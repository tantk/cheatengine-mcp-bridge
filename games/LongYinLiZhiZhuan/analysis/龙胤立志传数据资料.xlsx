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说明" sheetId="1" r:id="rId4"/>
    <sheet state="visible" name="全部武功" sheetId="2" r:id="rId5"/>
    <sheet state="visible" name="特殊角色" sheetId="3" r:id="rId6"/>
    <sheet state="visible" name="门派" sheetId="4" r:id="rId7"/>
    <sheet state="visible" name="剧情模式初始生成值" sheetId="5" r:id="rId8"/>
    <sheet state="visible" name="自由模式初始生成值" sheetId="6" r:id="rId9"/>
    <sheet state="visible" name="地点" sheetId="7" r:id="rId10"/>
  </sheets>
  <definedNames>
    <definedName hidden="1" localSheetId="1" name="_xlnm._FilterDatabase">'全部武功'!$A$1:$BK$997</definedName>
    <definedName hidden="1" localSheetId="2" name="_xlnm._FilterDatabase">'特殊角色'!$A$1:$U$1</definedName>
    <definedName hidden="1" localSheetId="4" name="_xlnm._FilterDatabase">'剧情模式初始生成值'!$A$1:$AN$1</definedName>
    <definedName hidden="1" localSheetId="5" name="_xlnm._FilterDatabase">'自由模式初始生成值'!$A$1:$AN$1</definedName>
    <definedName hidden="1" localSheetId="6" name="_xlnm._FilterDatabase">'地点'!$A$1:$N$1</definedName>
  </definedNames>
  <calcPr/>
  <extLst>
    <ext uri="GoogleSheetsCustomDataVersion2">
      <go:sheetsCustomData xmlns:go="http://customooxmlschemas.google.com/" r:id="rId11" roundtripDataChecksum="0lku06MM0xWvPdSY39WWuESs1jK3LuvV/NDGH4/X7Wc="/>
    </ext>
  </extLst>
</workbook>
</file>

<file path=xl/sharedStrings.xml><?xml version="1.0" encoding="utf-8"?>
<sst xmlns="http://schemas.openxmlformats.org/spreadsheetml/2006/main" count="27706" uniqueCount="8198">
  <si>
    <t>简要说明</t>
  </si>
  <si>
    <t>武功数据为3月13日正式版初始值，暂未根据后续更新修正。</t>
  </si>
  <si>
    <t>游戏人物的初始生成值会有一定随机性，本表格分别提供了剧情和自由模式的人物初始生成值，玩家可自行比较差异。</t>
  </si>
  <si>
    <t>武功附带了统计功能，可在名字前一列"已学习"列填写1，在表格末尾查看统计结果。</t>
  </si>
  <si>
    <r>
      <rPr>
        <rFont val="等线"/>
        <color theme="10"/>
        <sz val="11.0"/>
      </rPr>
      <t>点击关注</t>
    </r>
    <r>
      <rPr>
        <rFont val="等线"/>
        <color theme="10"/>
        <sz val="11.0"/>
        <u/>
      </rPr>
      <t xml:space="preserve"> 電玩狂熱愛好者 ，以获取更多游戏评测、资讯、攻略</t>
    </r>
  </si>
  <si>
    <t>★★★表格后续更新首发Steam平台，转载请注明出处★★★</t>
  </si>
  <si>
    <t>原贴地址：</t>
  </si>
  <si>
    <t>https://steamcommunity.com/sharedfiles/filedetails/?id=3685959111</t>
  </si>
  <si>
    <t>更新记录</t>
  </si>
  <si>
    <t>武功表格追加可获取门派</t>
  </si>
  <si>
    <t>追加了门派表格</t>
  </si>
  <si>
    <t>id</t>
  </si>
  <si>
    <t>类别</t>
  </si>
  <si>
    <t>等级</t>
  </si>
  <si>
    <t>已学习</t>
  </si>
  <si>
    <t>名字</t>
  </si>
  <si>
    <t>拥有门派</t>
  </si>
  <si>
    <t>描述</t>
  </si>
  <si>
    <t>基础威力</t>
  </si>
  <si>
    <t>经验系数</t>
  </si>
  <si>
    <t>修炼效果</t>
  </si>
  <si>
    <t>总潜力</t>
  </si>
  <si>
    <t>总属性</t>
  </si>
  <si>
    <t>力道潜力</t>
  </si>
  <si>
    <t>灵巧潜力</t>
  </si>
  <si>
    <t>智力潜力</t>
  </si>
  <si>
    <t>意志潜力</t>
  </si>
  <si>
    <t>体质潜力</t>
  </si>
  <si>
    <t>经脉潜力</t>
  </si>
  <si>
    <t>内功潜力</t>
  </si>
  <si>
    <t>轻功潜力</t>
  </si>
  <si>
    <t>绝技潜力</t>
  </si>
  <si>
    <t>拳掌潜力</t>
  </si>
  <si>
    <t>剑法潜力</t>
  </si>
  <si>
    <t>刀法潜力</t>
  </si>
  <si>
    <t>长兵潜力</t>
  </si>
  <si>
    <t>奇门潜力</t>
  </si>
  <si>
    <t>射术潜力</t>
  </si>
  <si>
    <t>力道</t>
  </si>
  <si>
    <t>灵巧</t>
  </si>
  <si>
    <t>智力</t>
  </si>
  <si>
    <t>意志</t>
  </si>
  <si>
    <t>体质</t>
  </si>
  <si>
    <t>经脉</t>
  </si>
  <si>
    <t>内功</t>
  </si>
  <si>
    <t>轻功</t>
  </si>
  <si>
    <t>绝技</t>
  </si>
  <si>
    <t>拳掌</t>
  </si>
  <si>
    <t>剑法</t>
  </si>
  <si>
    <t>刀法</t>
  </si>
  <si>
    <t>长兵</t>
  </si>
  <si>
    <t>奇门</t>
  </si>
  <si>
    <t>射术</t>
  </si>
  <si>
    <t>运功效果</t>
  </si>
  <si>
    <t>威力系数</t>
  </si>
  <si>
    <t>修炼需求</t>
  </si>
  <si>
    <t>攻击范围</t>
  </si>
  <si>
    <t>伤害范围</t>
  </si>
  <si>
    <t>使用特效</t>
  </si>
  <si>
    <t>内力消耗</t>
  </si>
  <si>
    <t>所属势力</t>
  </si>
  <si>
    <t>使用目标</t>
  </si>
  <si>
    <t>攻击架势</t>
  </si>
  <si>
    <t>防御架势</t>
  </si>
  <si>
    <t>召唤ID</t>
  </si>
  <si>
    <t>使用次数</t>
  </si>
  <si>
    <t>动作</t>
  </si>
  <si>
    <t>子弹</t>
  </si>
  <si>
    <t>特效</t>
  </si>
  <si>
    <t>使用武器</t>
  </si>
  <si>
    <t>伤害顺序</t>
  </si>
  <si>
    <t>角色位移</t>
  </si>
  <si>
    <t>Trail</t>
  </si>
  <si>
    <t>隐藏</t>
  </si>
  <si>
    <t>吐纳法</t>
  </si>
  <si>
    <t>黄河帮,仙霞派,巨鲸帮,伏牛派</t>
  </si>
  <si>
    <t>呼出浊气，吸入清气，一吐一纳之间，内息造化而成</t>
  </si>
  <si>
    <t>内功1;经脉1</t>
  </si>
  <si>
    <t>生命上限20;内力上限20;内功4;智力4;经脉4</t>
  </si>
  <si>
    <t>Same</t>
  </si>
  <si>
    <t>脉络诀</t>
  </si>
  <si>
    <t>聚义门,八卦门,巨鲸帮,金龙帮,青城派</t>
  </si>
  <si>
    <t>将内息在经脉中初步运行的功法，为日后的高深内功打开通路</t>
  </si>
  <si>
    <t>内功1;力道1</t>
  </si>
  <si>
    <t>生命上限10;内力上限30;灵巧4;意志4;经脉4</t>
  </si>
  <si>
    <t>内功10</t>
  </si>
  <si>
    <t>气血功</t>
  </si>
  <si>
    <t>黄河帮,海沙帮,铁掌帮</t>
  </si>
  <si>
    <t>充盈气血，强健身体之功法</t>
  </si>
  <si>
    <t>智力1;体质1</t>
  </si>
  <si>
    <t>生命上限30;内力上限10;力道4;体质4;经脉4</t>
  </si>
  <si>
    <t>内功5</t>
  </si>
  <si>
    <t>飞毛腿</t>
  </si>
  <si>
    <t>八卦门,海沙帮,金龙帮,青城派</t>
  </si>
  <si>
    <t>源于古代递送紧急军情“羽檄”之兵士的步法</t>
  </si>
  <si>
    <t>灵巧1</t>
  </si>
  <si>
    <t>轻功4;灵巧4;速度0.04</t>
  </si>
  <si>
    <t>轻身术</t>
  </si>
  <si>
    <t>黄河帮,仙霞派,巨鲸帮</t>
  </si>
  <si>
    <t>每日背负沙袋行走并渐增负重，乃是最基础的轻功练习之法</t>
  </si>
  <si>
    <t>轻功1</t>
  </si>
  <si>
    <t>轻功4;灵巧4;意志4</t>
  </si>
  <si>
    <t>轻功5</t>
  </si>
  <si>
    <t>梅花桩</t>
  </si>
  <si>
    <t>聚义门,铁掌帮,巨鲸帮,伏牛派</t>
  </si>
  <si>
    <t>在布置成梅花形的木桩上修炼步法，随功力渐进，木桩也会不断增高至五尺有余</t>
  </si>
  <si>
    <t>智力4;意志4;闪避0.04</t>
  </si>
  <si>
    <t>轻功10</t>
  </si>
  <si>
    <t>铁布衫</t>
  </si>
  <si>
    <t>聚义门,黄河帮,八卦门,铁掌帮,青城派</t>
  </si>
  <si>
    <t>基本硬功之一，修习者周身致密坚韧，能够抵御些许来袭之力道</t>
  </si>
  <si>
    <t>绝技1</t>
  </si>
  <si>
    <t>体质4;护甲2;减伤2</t>
  </si>
  <si>
    <t>千斤坠</t>
  </si>
  <si>
    <t>仙霞派,巨鲸帮</t>
  </si>
  <si>
    <t>此功法讲求全身力道向下以稳住身形，即使四五个壮汉也难以撼动</t>
  </si>
  <si>
    <t>力道4;体质4;卸力0.04</t>
  </si>
  <si>
    <t>绝技5</t>
  </si>
  <si>
    <t>胸口碎大石</t>
  </si>
  <si>
    <t>海沙帮,金龙帮,伏牛派</t>
  </si>
  <si>
    <t>卖艺之人最常见的把式，也蕴含着最基础的硬功法门</t>
  </si>
  <si>
    <t>意志1</t>
  </si>
  <si>
    <t>生命上限8;体质4;经脉4</t>
  </si>
  <si>
    <t>绝技10</t>
  </si>
  <si>
    <t>太祖长拳</t>
  </si>
  <si>
    <t>唐门,飞龙门,大隐阁,霸刀门,蓬莱派,金刚密宗,仙霞派</t>
  </si>
  <si>
    <t>相传本朝太祖所创的基础拳法</t>
  </si>
  <si>
    <t>拳掌1</t>
  </si>
  <si>
    <t>力道2;拳掌1;内力0.3</t>
  </si>
  <si>
    <t>1,1,1</t>
  </si>
  <si>
    <t>0,0,0</t>
  </si>
  <si>
    <t>伤害0.04</t>
  </si>
  <si>
    <t>胸15</t>
  </si>
  <si>
    <t>胸10</t>
  </si>
  <si>
    <t>skill0_0</t>
  </si>
  <si>
    <t>打击5-Target-Grid-Happen</t>
  </si>
  <si>
    <t>拳</t>
  </si>
  <si>
    <t>十段锦长拳</t>
  </si>
  <si>
    <t>八卦门,仙霞派,金龙帮,青城派,伏牛派</t>
  </si>
  <si>
    <t>一套养生健体之古拳法，注重与内劲配合</t>
  </si>
  <si>
    <t>经脉2;拳掌2;内力0.2</t>
  </si>
  <si>
    <t>拳掌5</t>
  </si>
  <si>
    <t>0,1,1</t>
  </si>
  <si>
    <t>7,0,0</t>
  </si>
  <si>
    <t>恢复0.06</t>
  </si>
  <si>
    <t>腹15</t>
  </si>
  <si>
    <t>腹12</t>
  </si>
  <si>
    <t>打击-Target-Grid-Happen</t>
  </si>
  <si>
    <t>禁军拳术</t>
  </si>
  <si>
    <t>长乐帮,茅山派,铸剑山庄,崆峒派,神机门,霹雳堂,聚义门,铁掌帮,巨鲸帮,伏牛派</t>
  </si>
  <si>
    <t>军中流传的基础拳法</t>
  </si>
  <si>
    <t>经脉1</t>
  </si>
  <si>
    <t>拳掌2</t>
  </si>
  <si>
    <t>拳掌10</t>
  </si>
  <si>
    <t>头16</t>
  </si>
  <si>
    <t>头4</t>
  </si>
  <si>
    <t>三连打击-Target-Grid-Happen</t>
  </si>
  <si>
    <t>御剑要术</t>
  </si>
  <si>
    <t>长乐帮,阎罗殿,霸刀门,仙霞派,金龙帮,青城派</t>
  </si>
  <si>
    <t>击、刺、格、洗四种基础剑招的汇总口诀</t>
  </si>
  <si>
    <t>剑法1</t>
  </si>
  <si>
    <t>灵巧2;剑法1;内力0.1</t>
  </si>
  <si>
    <t>4,0,0</t>
  </si>
  <si>
    <t>4,1,2</t>
  </si>
  <si>
    <t>命中0.04</t>
  </si>
  <si>
    <t>手14</t>
  </si>
  <si>
    <t>手10</t>
  </si>
  <si>
    <t>skill1_1</t>
  </si>
  <si>
    <t>劈砍-Target-Grid-Happen</t>
  </si>
  <si>
    <t>剑</t>
  </si>
  <si>
    <t>木剑式</t>
  </si>
  <si>
    <t>唐门,崆峒派,金刚密宗,八卦门,巨鲸帮,伏牛派</t>
  </si>
  <si>
    <t>初学者常用木剑修炼的剑招，注重防御</t>
  </si>
  <si>
    <t>经脉2;剑法2;内力0.2</t>
  </si>
  <si>
    <t>剑法5</t>
  </si>
  <si>
    <t>2,1,2</t>
  </si>
  <si>
    <t>通脉0.06</t>
  </si>
  <si>
    <t>足8</t>
  </si>
  <si>
    <t>手8;足8</t>
  </si>
  <si>
    <t>skill1_2</t>
  </si>
  <si>
    <t>三连劈砍-Target-Grid-Happen;旋叶-Target-Grid-Happen</t>
  </si>
  <si>
    <t>禁军剑术</t>
  </si>
  <si>
    <t>药王谷,丐帮,飞龙门,五毒教,大隐阁,少林寺,聚义门,黄河帮,海沙帮</t>
  </si>
  <si>
    <t>军中流传的基础剑法</t>
  </si>
  <si>
    <t>剑法2</t>
  </si>
  <si>
    <t>剑法10</t>
  </si>
  <si>
    <t>腹16</t>
  </si>
  <si>
    <t>腹4</t>
  </si>
  <si>
    <t>skill1_0</t>
  </si>
  <si>
    <t>穿刺_风电-Target-Grid-Happen</t>
  </si>
  <si>
    <t>拔刀功</t>
  </si>
  <si>
    <t>丐帮,五毒教,峨眉派,霹雳堂,八卦门,海沙帮,铁掌帮,巨鲸帮,伏牛派</t>
  </si>
  <si>
    <t>拔刀，劈刀，收刀，只此最简单的动作，却是一切刀法之基</t>
  </si>
  <si>
    <t>刀法1</t>
  </si>
  <si>
    <t>体质2;刀法1;内力0.1</t>
  </si>
  <si>
    <t>5,1,2</t>
  </si>
  <si>
    <t>暴击0.04</t>
  </si>
  <si>
    <t>心14</t>
  </si>
  <si>
    <t>心10</t>
  </si>
  <si>
    <t>skill2_1</t>
  </si>
  <si>
    <t>三连剑影小-Target-Grid-Happen</t>
  </si>
  <si>
    <t>刀</t>
  </si>
  <si>
    <t>劈柴刀法</t>
  </si>
  <si>
    <t>天山派,黄河帮,仙霞派</t>
  </si>
  <si>
    <t>农家劈砍柴火之刀法</t>
  </si>
  <si>
    <t>力道2;刀法2;内力0.2</t>
  </si>
  <si>
    <t>刀法5</t>
  </si>
  <si>
    <t>8,1,3</t>
  </si>
  <si>
    <t>蓄力0.06</t>
  </si>
  <si>
    <t>足18</t>
  </si>
  <si>
    <t>足6</t>
  </si>
  <si>
    <t>穿刺_土叶-Target-Grid-Happen;叶轮-Target-Grid-Happen</t>
  </si>
  <si>
    <t>禁军刀术</t>
  </si>
  <si>
    <t>药王谷,少林寺</t>
  </si>
  <si>
    <t>军中流传的基础刀法</t>
  </si>
  <si>
    <t>力道1</t>
  </si>
  <si>
    <t>刀法2</t>
  </si>
  <si>
    <t>刀法10</t>
  </si>
  <si>
    <t>手18</t>
  </si>
  <si>
    <t>手2</t>
  </si>
  <si>
    <t>skill2_0</t>
  </si>
  <si>
    <t>劈砍_蓝-Target-Grid-Happen</t>
  </si>
  <si>
    <t>太祖棍法</t>
  </si>
  <si>
    <t>唐门,茅山派,武当派,神机门,天山派,聚义门,巨鲸帮,青城派</t>
  </si>
  <si>
    <t>相传本朝太祖所创的基础棍法</t>
  </si>
  <si>
    <t>长兵1</t>
  </si>
  <si>
    <t>意志2;长兵1;内力0.1</t>
  </si>
  <si>
    <t>连击0.04</t>
  </si>
  <si>
    <t>头15</t>
  </si>
  <si>
    <t>头10</t>
  </si>
  <si>
    <t>skill3_1</t>
  </si>
  <si>
    <t>猎户叉功</t>
  </si>
  <si>
    <t>铸剑山庄,蓬莱派,黄河帮,海沙帮,青城派,伏牛派</t>
  </si>
  <si>
    <t>猎户常用的铁叉招式</t>
  </si>
  <si>
    <t>体质2;长兵2;内力0.2</t>
  </si>
  <si>
    <t>长兵5</t>
  </si>
  <si>
    <t>4,1,3</t>
  </si>
  <si>
    <t>外伤0.06</t>
  </si>
  <si>
    <t>心16</t>
  </si>
  <si>
    <t>skill3_0</t>
  </si>
  <si>
    <t>劈砍_裂地-Target-Grid-Happen</t>
  </si>
  <si>
    <t>Distance</t>
  </si>
  <si>
    <t>禁军枪术</t>
  </si>
  <si>
    <t>大隐阁,金刚密宗,八卦门,仙霞派,金龙帮,青城派</t>
  </si>
  <si>
    <t>军中流传的基础枪法</t>
  </si>
  <si>
    <t>体质1</t>
  </si>
  <si>
    <t>长兵2</t>
  </si>
  <si>
    <t>长兵10</t>
  </si>
  <si>
    <t>4,2,3</t>
  </si>
  <si>
    <t>胸16</t>
  </si>
  <si>
    <t>胸4</t>
  </si>
  <si>
    <t>穿刺_灰黄-Target-Grid-Happen</t>
  </si>
  <si>
    <t>三路鞭法</t>
  </si>
  <si>
    <t>丐帮,峨眉派,天山派,黄河帮,仙霞派,伏牛派</t>
  </si>
  <si>
    <t>分为上中下三路的基本鞭法</t>
  </si>
  <si>
    <t>奇门1</t>
  </si>
  <si>
    <t>智力2;奇门1;内力0.1</t>
  </si>
  <si>
    <t>3,1,1</t>
  </si>
  <si>
    <t>震脑0.04</t>
  </si>
  <si>
    <t>头14</t>
  </si>
  <si>
    <t>头6</t>
  </si>
  <si>
    <t>skill4_3</t>
  </si>
  <si>
    <t>乱刃-Target-Grid-Happen</t>
  </si>
  <si>
    <t>鞭</t>
  </si>
  <si>
    <t>伐木斧功</t>
  </si>
  <si>
    <t>药王谷,飞龙门,铸剑山庄,阎罗殿,霹雳堂,铁掌帮,巨鲸帮,青城派</t>
  </si>
  <si>
    <t>据说此功法砍伐木材时省力异常</t>
  </si>
  <si>
    <t>意志2;奇门2;采伐1</t>
  </si>
  <si>
    <t>奇门5</t>
  </si>
  <si>
    <t>3,0,1</t>
  </si>
  <si>
    <t>压制0.04</t>
  </si>
  <si>
    <t>足15</t>
  </si>
  <si>
    <t>足10</t>
  </si>
  <si>
    <t>劈砍_灰-Target-Grid-Happen;叶轮-Target-Grid-Happen</t>
  </si>
  <si>
    <t>禁军钩术</t>
  </si>
  <si>
    <t>长乐帮,大隐阁,武当派,霸刀门,聚义门,八卦门,海沙帮,铁掌帮</t>
  </si>
  <si>
    <t>军中流传的基础钩法</t>
  </si>
  <si>
    <t>奇门2</t>
  </si>
  <si>
    <t>奇门10</t>
  </si>
  <si>
    <t>拉近2</t>
  </si>
  <si>
    <t>手13</t>
  </si>
  <si>
    <t>手12</t>
  </si>
  <si>
    <t>skill4_0</t>
  </si>
  <si>
    <t>劈砍_白-Target-Grid-Happen</t>
  </si>
  <si>
    <t>对刺</t>
  </si>
  <si>
    <t>飞镖要诀</t>
  </si>
  <si>
    <t>峨眉派,崆峒派,仙霞派,金龙帮,青城派</t>
  </si>
  <si>
    <t>一门使用飞镖的基础手法</t>
  </si>
  <si>
    <t>射术1</t>
  </si>
  <si>
    <t>灵巧2;射术1;内力0.1</t>
  </si>
  <si>
    <t>0,2,3</t>
  </si>
  <si>
    <t>流血0.04</t>
  </si>
  <si>
    <t>腹20</t>
  </si>
  <si>
    <t>腹3</t>
  </si>
  <si>
    <t>skill5_0</t>
  </si>
  <si>
    <t>1-----0.9</t>
  </si>
  <si>
    <t>三连劈砍-Target-Grid-Happen</t>
  </si>
  <si>
    <t>飞针要诀</t>
  </si>
  <si>
    <t>霸刀门,蓬莱派,海沙帮,青城派</t>
  </si>
  <si>
    <t>一门使用飞针的基础手法</t>
  </si>
  <si>
    <t>智力2;射术2;内力0.2</t>
  </si>
  <si>
    <t>射术5</t>
  </si>
  <si>
    <t>0,3,5</t>
  </si>
  <si>
    <t>目盲0.06</t>
  </si>
  <si>
    <t>心20</t>
  </si>
  <si>
    <t>心3</t>
  </si>
  <si>
    <t>skill5_1</t>
  </si>
  <si>
    <t>4-----0.8</t>
  </si>
  <si>
    <t>劈砍_多重小-Target-Grid-Happen</t>
  </si>
  <si>
    <t>飞刀要诀</t>
  </si>
  <si>
    <t>茅山派,铸剑山庄,武当派,金刚密宗,天山派,聚义门,黄河帮,铁掌帮,巨鲸帮</t>
  </si>
  <si>
    <t>一门使用飞刀的基础手法</t>
  </si>
  <si>
    <t>智力1</t>
  </si>
  <si>
    <t>射术2</t>
  </si>
  <si>
    <t>射术10</t>
  </si>
  <si>
    <t>1,1,2</t>
  </si>
  <si>
    <t>胸20</t>
  </si>
  <si>
    <t>胸3</t>
  </si>
  <si>
    <t>2-----0.8</t>
  </si>
  <si>
    <t>开声贯气法</t>
  </si>
  <si>
    <t>固气培元，放劲发人，从而增强内息强度之基础内功功法</t>
  </si>
  <si>
    <t>生命上限40;内力上限40;内功6;力道6;命中0.06</t>
  </si>
  <si>
    <t>内功15</t>
  </si>
  <si>
    <t>气守丹田法</t>
  </si>
  <si>
    <t>八卦门,巨鲸帮</t>
  </si>
  <si>
    <t>气沉丹田，炼精化气，从而加速经脉流转之基础内功功法</t>
  </si>
  <si>
    <t>内力上限80;内功6;经脉6;回内0.009</t>
  </si>
  <si>
    <t>内功20</t>
  </si>
  <si>
    <t>舒筋通络法</t>
  </si>
  <si>
    <t>长乐帮</t>
  </si>
  <si>
    <t>将内劲灌入经络之中，从而舒展通畅筋骨的基础内功功法</t>
  </si>
  <si>
    <t>内功1;灵巧1</t>
  </si>
  <si>
    <t>生命上限30;内力上限50;内功6;灵巧6;回血0.006</t>
  </si>
  <si>
    <t>四段功法</t>
  </si>
  <si>
    <t>青城派</t>
  </si>
  <si>
    <t>源于少林的内家功法，分为四段，其法至简而其理颇深</t>
  </si>
  <si>
    <t>内功1;智力1</t>
  </si>
  <si>
    <t>生命上限40;内力上限40;内功6;意志3;智力3;减伤3</t>
  </si>
  <si>
    <t>内功10;智力10</t>
  </si>
  <si>
    <t>玉带诀</t>
  </si>
  <si>
    <t>仙霞派,金龙帮</t>
  </si>
  <si>
    <t>以双臂抱树不断运力拔持的奇特功法，功成者一发力便可将树木连根拔起</t>
  </si>
  <si>
    <t>力道1;意志1</t>
  </si>
  <si>
    <t>生命上限20;内力上限60;内功6;力道3;意志3;伤害0.06</t>
  </si>
  <si>
    <t>内功15;力道10</t>
  </si>
  <si>
    <t>五指点石功</t>
  </si>
  <si>
    <t>五毒教,黄河帮,铁掌帮</t>
  </si>
  <si>
    <t>将内劲运于指尖，于石面点指修炼的功法</t>
  </si>
  <si>
    <t>内功1;体质1</t>
  </si>
  <si>
    <t>生命上限60;内力上限20;内功6;体质6;外伤0.06</t>
  </si>
  <si>
    <t>内功15;体质15</t>
  </si>
  <si>
    <t>排打硬功</t>
  </si>
  <si>
    <t>聚义门,海沙帮</t>
  </si>
  <si>
    <t>用击扑之法，使筋肉坚实，乃是入门必修之硬气功法</t>
  </si>
  <si>
    <t>生命上限80;内功6;体质6;护甲3</t>
  </si>
  <si>
    <t>内功10;体质10</t>
  </si>
  <si>
    <t>鞭气劲</t>
  </si>
  <si>
    <t>将周身力道如鞭子般连续甩出的功法，需要一定的巧劲运用</t>
  </si>
  <si>
    <t>灵巧1;智力1</t>
  </si>
  <si>
    <t>生命上限70;内力上限10;内功6;灵巧3;智力3;连击0.06</t>
  </si>
  <si>
    <t>内功15;灵巧15</t>
  </si>
  <si>
    <t>实腹鼓气功</t>
  </si>
  <si>
    <t>将内劲在腹部循环，气鼓如吹豕之法，可增强经脉运行之效率</t>
  </si>
  <si>
    <t>生命上限10;内力上限70;内功6;经脉6;速度0.06</t>
  </si>
  <si>
    <t>内功10;经脉15</t>
  </si>
  <si>
    <t>热炎功</t>
  </si>
  <si>
    <t>长乐帮,伏牛派</t>
  </si>
  <si>
    <t>修习时周身发热，如置身火窖之中，非意志坚定者难以修炼</t>
  </si>
  <si>
    <t>内功1;意志1</t>
  </si>
  <si>
    <t>生命上限50;内力上限30;内功6;意志6;灼烧0.06</t>
  </si>
  <si>
    <t>内功15;意志15</t>
  </si>
  <si>
    <t>草上飞</t>
  </si>
  <si>
    <t>聚义门</t>
  </si>
  <si>
    <t>身轻体快的奔跑之法，其名有夸大之嫌</t>
  </si>
  <si>
    <t>轻功1;灵巧1</t>
  </si>
  <si>
    <t>轻功6;灵巧6;速度0.06</t>
  </si>
  <si>
    <t>泥潭功</t>
  </si>
  <si>
    <t>海沙帮</t>
  </si>
  <si>
    <t>在粘稠至极的泥潭之中练习的步法，对体质与毅力均有锤炼之功效</t>
  </si>
  <si>
    <t>体质1;意志1</t>
  </si>
  <si>
    <t>轻功3;体质3;意志6;卸力0.06</t>
  </si>
  <si>
    <t>轻功15;体质10</t>
  </si>
  <si>
    <t>走壁功</t>
  </si>
  <si>
    <t>修习者借由巧劲与内功，可在光滑墙壁上踏行数丈远，因而得名</t>
  </si>
  <si>
    <t>轻功1;经脉1</t>
  </si>
  <si>
    <t>轻功6;灵巧3;经脉3;神行0.06</t>
  </si>
  <si>
    <t>轻功10;灵巧15</t>
  </si>
  <si>
    <t>鲤鱼跃龙门</t>
  </si>
  <si>
    <t>着重修炼跳跃能力的功法，使用者身形腾空，如同鲤鱼飞跃</t>
  </si>
  <si>
    <t>轻功1;力道1</t>
  </si>
  <si>
    <t>轻功6;力道3;灵巧3;蓄力0.06</t>
  </si>
  <si>
    <t>轻功15;灵巧10</t>
  </si>
  <si>
    <t>一线穿</t>
  </si>
  <si>
    <t>修炼者可在绳索乃至极细的丝线上行走，乃是杂耍之人流传的把式</t>
  </si>
  <si>
    <t>轻功6;经脉6;轻灵0.06</t>
  </si>
  <si>
    <t>轻功15;经脉10</t>
  </si>
  <si>
    <t>雁回旋</t>
  </si>
  <si>
    <t>铁掌帮,青城派</t>
  </si>
  <si>
    <t>使用此步法者身形飞舞，能够如大雁般在空中回旋，少顷才缓缓落下</t>
  </si>
  <si>
    <t>轻功1;智力1</t>
  </si>
  <si>
    <t>轻功6;灵巧3;智力3;飘逸0.06</t>
  </si>
  <si>
    <t>轻功10;智力10</t>
  </si>
  <si>
    <t>跑铁索</t>
  </si>
  <si>
    <t>黄河帮,八卦门,巨鲸帮</t>
  </si>
  <si>
    <t>在铁索之上穿行跳跃，如履平地的轻功法门</t>
  </si>
  <si>
    <t>轻功1;意志1</t>
  </si>
  <si>
    <t>体力上限20;轻功6;意志4;体质4</t>
  </si>
  <si>
    <t>轻功10;意志10</t>
  </si>
  <si>
    <t>穿帘步</t>
  </si>
  <si>
    <t>一套讲求平身横窜的功法，有如飞燕穿帘之势</t>
  </si>
  <si>
    <t>轻功3;灵巧9;蓄力0.06</t>
  </si>
  <si>
    <t>轻功15</t>
  </si>
  <si>
    <t>缸沿功</t>
  </si>
  <si>
    <t>伏牛派</t>
  </si>
  <si>
    <t>在错落排列的缸沿之上横移纵跳，日夜苦练方能修炼而成的步法</t>
  </si>
  <si>
    <t>轻功6;灵巧3;意志3;命中0.06</t>
  </si>
  <si>
    <t>轻功20</t>
  </si>
  <si>
    <t>铁球滚</t>
  </si>
  <si>
    <t>天山派</t>
  </si>
  <si>
    <t>一套注重力道运用的轻功法门，需要推动数百斤重的石球或铁球行走，奔跑，乃至上下坡</t>
  </si>
  <si>
    <t>轻功3;力道3;智力3;体质3;回体1</t>
  </si>
  <si>
    <t>轻功15;力道15</t>
  </si>
  <si>
    <t>开碑劲</t>
  </si>
  <si>
    <t>霹雳堂,铁掌帮</t>
  </si>
  <si>
    <t>将全身气劲运于手臂使出，势不可挡，功力高强者甚至能开碑碎石</t>
  </si>
  <si>
    <t>绝技1;力道1</t>
  </si>
  <si>
    <t>绝技6;力道3;经脉3;暴击0.06</t>
  </si>
  <si>
    <t>绝技10;力道15</t>
  </si>
  <si>
    <t>龟甲功</t>
  </si>
  <si>
    <t>将全身力道绷紧，用以抵抗乃至反弹来袭的攻势，因蓄力时身形弯曲如龟壳而闻名</t>
  </si>
  <si>
    <t>绝技1;体质1</t>
  </si>
  <si>
    <t>绝技4;体质4;护甲2;减伤3</t>
  </si>
  <si>
    <t>石锁功</t>
  </si>
  <si>
    <t>八卦门</t>
  </si>
  <si>
    <t>将数十斤的石锁折腕上举，或向旁平提，进而练习翻接盘腰等法，可以大大增加修习者的力道与体质</t>
  </si>
  <si>
    <t>力道1;体质1</t>
  </si>
  <si>
    <t>绝技6;力道6;体质6</t>
  </si>
  <si>
    <t>力道10;灵巧10</t>
  </si>
  <si>
    <t>拔山功</t>
  </si>
  <si>
    <t>聚义门,青城派,伏牛派</t>
  </si>
  <si>
    <t>将丈许木桩埋入地下，每日用三指紧扣并尽力上提。功成者手腕饱含阴柔之劲，可伤敌于毫厘之间</t>
  </si>
  <si>
    <t>绝技3;力道9;伤害0.06</t>
  </si>
  <si>
    <t>绝技15;力道10</t>
  </si>
  <si>
    <t>倒踢腿</t>
  </si>
  <si>
    <t>海沙帮,巨鲸帮</t>
  </si>
  <si>
    <t>此功法脱胎于卖艺把式，以脚掌发力，向后上方快速倒踢，腿脚之间结成环形，令人眼花缭乱</t>
  </si>
  <si>
    <t>绝技1;轻功1</t>
  </si>
  <si>
    <t>绝技3;轻功3;灵巧6;反击0.06</t>
  </si>
  <si>
    <t>绝技10;轻功10</t>
  </si>
  <si>
    <t>柔身术</t>
  </si>
  <si>
    <t>着重于锻炼身体柔坚韧的功法，练成者的关节与肢体能以极大的幅度弯曲摆动</t>
  </si>
  <si>
    <t>绝技1;灵巧1</t>
  </si>
  <si>
    <t>绝技4;灵巧4;意志4;闪避0.06</t>
  </si>
  <si>
    <t>绝技15;意志10</t>
  </si>
  <si>
    <t>拔钉功</t>
  </si>
  <si>
    <t>黄河帮</t>
  </si>
  <si>
    <t>修炼此功法需用三指拔出钉入木板的一百单八枚铁钉。练成者三指抓出，便似有千斤之力</t>
  </si>
  <si>
    <t>绝技1;意志1</t>
  </si>
  <si>
    <t>绝技4;力道4;意志4;压制0.06</t>
  </si>
  <si>
    <t>绝技15</t>
  </si>
  <si>
    <t>闪战法</t>
  </si>
  <si>
    <t>专供练习闪转腾挪的功法，又练习心眼和拳脚的灵敏度，是武林人士经常练习的一门绝技</t>
  </si>
  <si>
    <t>绝技4;灵巧4;智力4;命中0.06</t>
  </si>
  <si>
    <t>绝技10;灵巧10</t>
  </si>
  <si>
    <t>铁牛犁地</t>
  </si>
  <si>
    <t>蓬莱派</t>
  </si>
  <si>
    <t>起源于农家的强身健体之功法，修习者身形拉伸起伏，如同黄牛犁地</t>
  </si>
  <si>
    <t>生命上限12;绝技6;体质6</t>
  </si>
  <si>
    <t>绝技10;体质10</t>
  </si>
  <si>
    <t>乱弹琵琶</t>
  </si>
  <si>
    <t>霹雳堂,聚义门</t>
  </si>
  <si>
    <t>四指并用陆续弹击，有如音乐家弹琵琶之指法，可令使用者的外功招式更加变幻莫测</t>
  </si>
  <si>
    <t>智力1;经脉1</t>
  </si>
  <si>
    <t>绝技3;智力6;经脉3;负面加成0.06</t>
  </si>
  <si>
    <t>绝技20;智力10</t>
  </si>
  <si>
    <t>八卦掌法</t>
  </si>
  <si>
    <t>茅山派,铸剑山庄</t>
  </si>
  <si>
    <t>八卦门成名掌法，掌势暗含八卦之理，在江湖中也多有流传</t>
  </si>
  <si>
    <t>拳掌1;经脉1</t>
  </si>
  <si>
    <t>经脉1;拳掌2;内力0.1</t>
  </si>
  <si>
    <t>拳掌15</t>
  </si>
  <si>
    <t>命中0.06</t>
  </si>
  <si>
    <t>心17</t>
  </si>
  <si>
    <t>心11</t>
  </si>
  <si>
    <t>skill0_1</t>
  </si>
  <si>
    <t>打击-Target-Grid-Happen;八卦爆-Target-Grid-Happen</t>
  </si>
  <si>
    <t>通臂拳</t>
  </si>
  <si>
    <t>聚义门,金龙帮</t>
  </si>
  <si>
    <t>以“两臂相通”的通臂劲而著称的一套拳法，力道由肩发出，通过手肘至拳上，以成通臂之势</t>
  </si>
  <si>
    <t>拳掌1;力道1</t>
  </si>
  <si>
    <t>力道2;拳掌2;内力0.2</t>
  </si>
  <si>
    <t>拳掌15;力道15</t>
  </si>
  <si>
    <t>伤害0.06</t>
  </si>
  <si>
    <t>胸13</t>
  </si>
  <si>
    <t>打击4-Target-Grid-Happen</t>
  </si>
  <si>
    <t>燕青拳</t>
  </si>
  <si>
    <t>崆峒派</t>
  </si>
  <si>
    <t>相传由燕青所创，快慢结合，灵活多变，是一套江湖人士常用的拳法</t>
  </si>
  <si>
    <t>拳掌1;灵巧1</t>
  </si>
  <si>
    <t>力道1;灵巧1;拳掌2</t>
  </si>
  <si>
    <t>拳掌10;力道10</t>
  </si>
  <si>
    <t>头17</t>
  </si>
  <si>
    <t>头11</t>
  </si>
  <si>
    <t>打击2-Target-Grid-Happen</t>
  </si>
  <si>
    <t>野狐拳</t>
  </si>
  <si>
    <t>巨鲸帮</t>
  </si>
  <si>
    <t>长白山人观察野狐缠斗猎犬而悟出的拳法，招式多为虚招，意在智取而非力胜</t>
  </si>
  <si>
    <t>拳掌1;智力1</t>
  </si>
  <si>
    <t>智力1;拳掌2;内力0.1</t>
  </si>
  <si>
    <t>拳掌10;智力15</t>
  </si>
  <si>
    <t>断腕0.1</t>
  </si>
  <si>
    <t>手15</t>
  </si>
  <si>
    <t>爪痕-Target-Grid-Happen</t>
  </si>
  <si>
    <t>螳螂拳</t>
  </si>
  <si>
    <t>仙霞派</t>
  </si>
  <si>
    <t>此拳法手型独特，如螳螂前爪般勾起，招式灵活迅速，讲求以螳螂捕蝉之势制敌</t>
  </si>
  <si>
    <t>灵巧1;拳掌2;内力0.1</t>
  </si>
  <si>
    <t>拳掌20;灵巧15</t>
  </si>
  <si>
    <t>虚弱0.06</t>
  </si>
  <si>
    <t>头20</t>
  </si>
  <si>
    <t>头8</t>
  </si>
  <si>
    <t>乱斩-Target-Grid-Happen</t>
  </si>
  <si>
    <t>八极拳</t>
  </si>
  <si>
    <t>铁掌帮</t>
  </si>
  <si>
    <t>短打拳法，其动作刚猛，招式朴实无华但发力迅速。由体质刚健者使出，威力更大</t>
  </si>
  <si>
    <t>拳掌1;体质1</t>
  </si>
  <si>
    <t>体质1;拳掌2;内力0.1</t>
  </si>
  <si>
    <t>拳掌15;体质10</t>
  </si>
  <si>
    <t>活血0.06</t>
  </si>
  <si>
    <t>腹18</t>
  </si>
  <si>
    <t>腹10</t>
  </si>
  <si>
    <t>打击3-Target-Grid-Happen</t>
  </si>
  <si>
    <t>赤尻连拳</t>
  </si>
  <si>
    <t>霸刀门,峨眉派,霹雳堂</t>
  </si>
  <si>
    <t>以猴拳为基础，讲求近身缠斗的小擒拿手法，很适合内力根基薄弱者使用</t>
  </si>
  <si>
    <t>拳掌3</t>
  </si>
  <si>
    <t>连绵0.02</t>
  </si>
  <si>
    <t>手17</t>
  </si>
  <si>
    <t>手11</t>
  </si>
  <si>
    <t>旋叶-Target-Grid-Happen;三连打击-Target-Grid-Happen</t>
  </si>
  <si>
    <t>连环掌法</t>
  </si>
  <si>
    <t>大隐阁</t>
  </si>
  <si>
    <t>一套注重防守与寻找敌人破绽的掌法，掌势自如收发，连绵不绝</t>
  </si>
  <si>
    <t>拳掌1;意志1</t>
  </si>
  <si>
    <t>意志1;拳掌2;内力0.1</t>
  </si>
  <si>
    <t>拳掌15;意志10</t>
  </si>
  <si>
    <t>连击0.06</t>
  </si>
  <si>
    <t>心15</t>
  </si>
  <si>
    <t>心13</t>
  </si>
  <si>
    <t>战轮-Target-Grid-Happen</t>
  </si>
  <si>
    <t>岳家拳</t>
  </si>
  <si>
    <t>飞龙门,蓬莱派,神机门</t>
  </si>
  <si>
    <t>用于军中练兵作战的拳法，招式刚猛且对内功的要求很低</t>
  </si>
  <si>
    <t>眩晕0.02</t>
  </si>
  <si>
    <t>胸5</t>
  </si>
  <si>
    <t>形意拳</t>
  </si>
  <si>
    <t>金刚密宗,青城派,伏牛派</t>
  </si>
  <si>
    <t>武林人士常用拳法，招式简洁朴实，严密紧凑，资质较低者也能顺利修习</t>
  </si>
  <si>
    <t>拳掌10;经脉10</t>
  </si>
  <si>
    <t>打击6-Target-Grid-Happen;叶轮-Target-Grid-Happen</t>
  </si>
  <si>
    <t>八卦剑法</t>
  </si>
  <si>
    <t>阎罗殿</t>
  </si>
  <si>
    <t>八卦门成名剑法，剑势暗含八卦之理，在江湖中也多有流传</t>
  </si>
  <si>
    <t>剑法1;智力1</t>
  </si>
  <si>
    <t>智力1;剑法2;内力0.1</t>
  </si>
  <si>
    <t>剑法15;智力10</t>
  </si>
  <si>
    <t>手16</t>
  </si>
  <si>
    <t>三连劈砍-Target-Grid-Happen;八卦爆-Target-Grid-Happen</t>
  </si>
  <si>
    <t>连环剑法</t>
  </si>
  <si>
    <t>一套注重防守与寻找敌人破绽的剑法，剑势自如收发，连绵不绝</t>
  </si>
  <si>
    <t>剑法1;经脉1</t>
  </si>
  <si>
    <t>剑法2;内力0.1</t>
  </si>
  <si>
    <t>剑法20</t>
  </si>
  <si>
    <t>0,1,2</t>
  </si>
  <si>
    <t>腹8</t>
  </si>
  <si>
    <t>旋风-Target-Grid-Happen</t>
  </si>
  <si>
    <t>雷震剑法</t>
  </si>
  <si>
    <t>将内劲运于剑锋之上，一剑刺出犹如雷霆之势</t>
  </si>
  <si>
    <t>剑法20;经脉15</t>
  </si>
  <si>
    <t>雷电0.02</t>
  </si>
  <si>
    <t>心6</t>
  </si>
  <si>
    <t>闪电-Target-Grid-Happen</t>
  </si>
  <si>
    <t>白马剑法</t>
  </si>
  <si>
    <t>攻守兼备的剑法，使用者如同白马般纵横驰骋，力道非凡</t>
  </si>
  <si>
    <t>剑法1;力道1</t>
  </si>
  <si>
    <t>力道1;剑法2;内力0.1</t>
  </si>
  <si>
    <t>剑法15;力道10</t>
  </si>
  <si>
    <t>气流-Target-Grid-Happen</t>
  </si>
  <si>
    <t>云雾剑法</t>
  </si>
  <si>
    <t>飞龙门,崆峒派</t>
  </si>
  <si>
    <t>这套剑招灵巧绵密，如同云雾般无孔不入，无处不在，不需内功基础便能发挥效力</t>
  </si>
  <si>
    <t>剑法1;灵巧1</t>
  </si>
  <si>
    <t>剑法3</t>
  </si>
  <si>
    <t>迟缓0.08</t>
  </si>
  <si>
    <t>胸12</t>
  </si>
  <si>
    <t>魔雾-Target-Grid-Happen;劈砍_多重-Target-Grid-Happen</t>
  </si>
  <si>
    <t>无量剑法</t>
  </si>
  <si>
    <t>长乐帮,铸剑山庄,崆峒派,霹雳堂,金刚密宗,金龙帮</t>
  </si>
  <si>
    <t>注重内功修为之剑法，其内劲收发方式繁多且可以自由组合，因此得“无量”之名</t>
  </si>
  <si>
    <t>经脉1;剑法2;内力0.1</t>
  </si>
  <si>
    <t>剑法15</t>
  </si>
  <si>
    <t>头12</t>
  </si>
  <si>
    <t>迅剑诀</t>
  </si>
  <si>
    <t>少林寺,金刚密宗,八卦门</t>
  </si>
  <si>
    <t>以攻势迅捷而闻名，若使用者轻功高强，则能发挥出更大威力</t>
  </si>
  <si>
    <t>剑法1;轻功1</t>
  </si>
  <si>
    <t>灵巧1;剑法1;轻功2</t>
  </si>
  <si>
    <t>剑法15;轻功10</t>
  </si>
  <si>
    <t>急速0.06</t>
  </si>
  <si>
    <t>心18</t>
  </si>
  <si>
    <t>快刃-Target-Grid-Happen</t>
  </si>
  <si>
    <t>闪剑</t>
  </si>
  <si>
    <t>药王谷,五毒教,聚义门,伏牛派</t>
  </si>
  <si>
    <t>追求极高出剑速度的剑法，其势若闪电，一去不返，但也因此导致防御薄弱</t>
  </si>
  <si>
    <t>灵巧3;剑法1;轻功1</t>
  </si>
  <si>
    <t>剑法10;灵巧15</t>
  </si>
  <si>
    <t>4,1,4</t>
  </si>
  <si>
    <t>破招0.06</t>
  </si>
  <si>
    <t>闪光-Target-Grid-Happen</t>
  </si>
  <si>
    <t>开阖剑术</t>
  </si>
  <si>
    <t>这套剑法起源于行伍，大开大阖，势大力沉，非身强体壮者难以发挥其威力</t>
  </si>
  <si>
    <t>剑法1;体质1</t>
  </si>
  <si>
    <t>体质1;剑法2;内力0.1</t>
  </si>
  <si>
    <t>剑法10;体质15</t>
  </si>
  <si>
    <t>头19</t>
  </si>
  <si>
    <t>头9</t>
  </si>
  <si>
    <t>圆斩电-Target-Grid-Happen</t>
  </si>
  <si>
    <t>迎风剑法</t>
  </si>
  <si>
    <t>唐门,黄河帮,青城派</t>
  </si>
  <si>
    <t>相传是高人迎狂风舞剑时领悟的剑法，其招式动静结合，攻守兼备</t>
  </si>
  <si>
    <t>剑法1;意志1</t>
  </si>
  <si>
    <t>意志1;剑法2;内力0.1</t>
  </si>
  <si>
    <t>剑法15;意志10</t>
  </si>
  <si>
    <t>6,1,2</t>
  </si>
  <si>
    <t>不屈0.06</t>
  </si>
  <si>
    <t>劈砍_灰-Target-Grid-Happen</t>
  </si>
  <si>
    <t>八卦刀法</t>
  </si>
  <si>
    <t>八卦门成名刀法，刀势暗含八卦之理，在江湖中也多有流传</t>
  </si>
  <si>
    <t>刀法1;力道1</t>
  </si>
  <si>
    <t>刀法20</t>
  </si>
  <si>
    <t>命中0.02</t>
  </si>
  <si>
    <t>劈砍_黑白-Target-Grid-Happen;八卦爆-Target-Grid-Happen</t>
  </si>
  <si>
    <t>六合刀法</t>
  </si>
  <si>
    <t>五毒教,黄河帮</t>
  </si>
  <si>
    <t>朴实无华，劲力浑厚，乃是一套实用性极强的江湖人士常用刀法</t>
  </si>
  <si>
    <t>刀法1;体质1</t>
  </si>
  <si>
    <t>体质1;刀法2</t>
  </si>
  <si>
    <t>刀法15;体质10</t>
  </si>
  <si>
    <t>腹7</t>
  </si>
  <si>
    <t>劈砍_黄-Target-Grid-Happen</t>
  </si>
  <si>
    <t>螳螂刀法</t>
  </si>
  <si>
    <t>使用者需要反手持刀，势如螳螂，其招式诡谲难测，追求一招毙敌</t>
  </si>
  <si>
    <t>灵巧2;体质1;刀法1</t>
  </si>
  <si>
    <t>灵巧15;体质10</t>
  </si>
  <si>
    <t>暴击0.06</t>
  </si>
  <si>
    <t>心9</t>
  </si>
  <si>
    <t>火轮-Target-Grid-Happen</t>
  </si>
  <si>
    <t>劈挂刀法</t>
  </si>
  <si>
    <t>据说脱胎于苗刀刀法之中，其招式大开大合，气势磅礴，颇有苗人剽悍之风</t>
  </si>
  <si>
    <t>力道2;刀法2;内力0.1</t>
  </si>
  <si>
    <t>刀法10;力道15</t>
  </si>
  <si>
    <t>压制0.06</t>
  </si>
  <si>
    <t>胸19</t>
  </si>
  <si>
    <t>胸11</t>
  </si>
  <si>
    <t>skill2_2</t>
  </si>
  <si>
    <t>劈砍_灰震地-Target-Grid-Happen</t>
  </si>
  <si>
    <t>铁门闩刀法</t>
  </si>
  <si>
    <t>药王谷</t>
  </si>
  <si>
    <t>以防守胸腹为主的刀法，犹如一道铁门栓横于身前，令来袭者处处碰壁</t>
  </si>
  <si>
    <t>体质2;刀法2;内力0.2</t>
  </si>
  <si>
    <t>刀法15</t>
  </si>
  <si>
    <t>霸体0.08</t>
  </si>
  <si>
    <t>胸14</t>
  </si>
  <si>
    <t>辛酉刀法</t>
  </si>
  <si>
    <t>需要双手握刀的刀法，以身催刀，刀随身转，使用者悟性越高，刀势越难于预料</t>
  </si>
  <si>
    <t>力道1;智力1</t>
  </si>
  <si>
    <t>力道1;智力2;刀法1</t>
  </si>
  <si>
    <t>刀法15;智力15</t>
  </si>
  <si>
    <t>重碾0.06</t>
  </si>
  <si>
    <t>头18</t>
  </si>
  <si>
    <t>劈砍_紫-Target-Grid-Happen</t>
  </si>
  <si>
    <t>雁行刀</t>
  </si>
  <si>
    <t>注重刚柔并济之刀法，因其招式不疾不徐，横平竖直，观之有如雁行而闻名</t>
  </si>
  <si>
    <t>刀法1;灵巧1</t>
  </si>
  <si>
    <t>力道1;灵巧1;刀法2</t>
  </si>
  <si>
    <t>刀法15;灵巧10</t>
  </si>
  <si>
    <t>5,2,2</t>
  </si>
  <si>
    <t>心12</t>
  </si>
  <si>
    <t>十字斩-Target-Grid-Happen</t>
  </si>
  <si>
    <t>地堂刀法</t>
  </si>
  <si>
    <t>一套与各种地趟动作结合而成的下盘刀法，招式之间跌扑滚摔，虽然不甚雅观，实则攻守兼备</t>
  </si>
  <si>
    <t>刀法1;意志1</t>
  </si>
  <si>
    <t>灵巧1;意志2;刀法1</t>
  </si>
  <si>
    <t>刀法10;意志15</t>
  </si>
  <si>
    <t>足14</t>
  </si>
  <si>
    <t>青龙刀法</t>
  </si>
  <si>
    <t>这套江湖人士常用刀法以攻击见长，刀势结合内劲长驱直入，如同青龙出海勇猛难当</t>
  </si>
  <si>
    <t>刀法1;经脉1</t>
  </si>
  <si>
    <t>经脉1;刀法2;内力0.1</t>
  </si>
  <si>
    <t>破甲0.06</t>
  </si>
  <si>
    <t>蟠龙-Target-Grid-Happen</t>
  </si>
  <si>
    <t>南山刀法</t>
  </si>
  <si>
    <t>丐帮</t>
  </si>
  <si>
    <t>南山以寿闻名，这套刀法也恰巧稳重持正，以防守闻名。如由内功高强者使出，其威力亦不可小视</t>
  </si>
  <si>
    <t>经脉2;刀法1;内力0.3</t>
  </si>
  <si>
    <t>刀法15;经脉15</t>
  </si>
  <si>
    <t>横练0.06</t>
  </si>
  <si>
    <t>足13</t>
  </si>
  <si>
    <t>劈砍_橙紫-Target-Grid-Happen</t>
  </si>
  <si>
    <t>八卦棍法</t>
  </si>
  <si>
    <t>巨鲸帮,青城派</t>
  </si>
  <si>
    <t>八卦门成名棍法，棍势暗含八卦之理，在江湖中也多有流传</t>
  </si>
  <si>
    <t>长兵1;经脉1</t>
  </si>
  <si>
    <t>经脉1;长兵2;内力0.1</t>
  </si>
  <si>
    <t>长兵15;经脉15</t>
  </si>
  <si>
    <t>skill3_2</t>
  </si>
  <si>
    <t>八卦升-Target-Grid-Happen;三连打击-Target-Grid-Happen</t>
  </si>
  <si>
    <t>罗家枪法</t>
  </si>
  <si>
    <t>罗家多用枪之高手，这是其家传的一套入门枪法，无需多少内力便能使出</t>
  </si>
  <si>
    <t>长兵1;体质1</t>
  </si>
  <si>
    <t>长兵20</t>
  </si>
  <si>
    <t>活血0.02</t>
  </si>
  <si>
    <t>灵猿棍法</t>
  </si>
  <si>
    <t>源于山间猿猴动作的棍法，使用者装如猿猴，左右横跳，棍招亦灵活多变，令敌人防不胜防</t>
  </si>
  <si>
    <t>长兵1;灵巧1</t>
  </si>
  <si>
    <t>灵巧1;长兵2;内力0.1</t>
  </si>
  <si>
    <t>长兵15;灵巧15</t>
  </si>
  <si>
    <t>6,1,3</t>
  </si>
  <si>
    <t>疲劳0.06</t>
  </si>
  <si>
    <t>劈砍_白-Target-Grid-Happen;叶轮-Target-Grid-Happen</t>
  </si>
  <si>
    <t>五郎棍法</t>
  </si>
  <si>
    <t>药王谷,神机门,八卦门,金龙帮</t>
  </si>
  <si>
    <t>由行伍枪法演化而来的棍法，掩去枪法之锋芒，化为绵密之守势，使用长兵之人多有修习</t>
  </si>
  <si>
    <t>长兵1;意志1</t>
  </si>
  <si>
    <t>意志2;长兵1</t>
  </si>
  <si>
    <t>长兵10;意志15</t>
  </si>
  <si>
    <t>旋棍-Target-Grid-Happen;旋风-Target-Grid-Happen</t>
  </si>
  <si>
    <t>形意枪</t>
  </si>
  <si>
    <t>武林人士常用枪法，招式简洁朴实，严密紧凑，资质较低者也能顺利修习</t>
  </si>
  <si>
    <t>意志1;长兵2</t>
  </si>
  <si>
    <t>伤害0.02</t>
  </si>
  <si>
    <t>中平枪法</t>
  </si>
  <si>
    <t>讲求顶平肩平脚平枪平“四平”之枪法，平直穿插，去势如箭，尽管招式简单，却又难以招架</t>
  </si>
  <si>
    <t>力道2;意志1;长兵1</t>
  </si>
  <si>
    <t>长兵15</t>
  </si>
  <si>
    <t>八母枪术</t>
  </si>
  <si>
    <t>武当派,金刚密宗</t>
  </si>
  <si>
    <t>“封闭提掳拿拦还缠”八式乃一切枪术之基本，其生出的组合又变化万千，因此以八母闻名</t>
  </si>
  <si>
    <t>长兵1;智力1</t>
  </si>
  <si>
    <t>力道1;智力1;长兵2</t>
  </si>
  <si>
    <t>长兵15;智力10</t>
  </si>
  <si>
    <t>弱点0.06</t>
  </si>
  <si>
    <t>杨家枪法</t>
  </si>
  <si>
    <t>武当派,伏牛派</t>
  </si>
  <si>
    <t>杨家多猛将，其中不乏用枪之高手，这是其家传的一套入门枪法</t>
  </si>
  <si>
    <t>体质1;长兵2;内力0.1</t>
  </si>
  <si>
    <t>长兵15;体质10</t>
  </si>
  <si>
    <t>足19</t>
  </si>
  <si>
    <t>足9</t>
  </si>
  <si>
    <t>千钧棍法</t>
  </si>
  <si>
    <t>将双手力道集中于刚猛一击之中，极简的招式蕴含着千钧之力，也因此缺乏防御后招</t>
  </si>
  <si>
    <t>长兵1;力道1</t>
  </si>
  <si>
    <t>力道2</t>
  </si>
  <si>
    <t>长兵20;力道20</t>
  </si>
  <si>
    <t>地面打击6-Target-Grid-Happen</t>
  </si>
  <si>
    <t>牛头钢叉功</t>
  </si>
  <si>
    <t>唐门,茅山派,海沙帮</t>
  </si>
  <si>
    <t>牛头乃阴间衙役，手持钢叉，力能排山。此招假其名号，由身强体壮者使出，确实威猛异常</t>
  </si>
  <si>
    <t>力道1;体质2;长兵1</t>
  </si>
  <si>
    <t>力道10;体质10</t>
  </si>
  <si>
    <t>心19</t>
  </si>
  <si>
    <t>八卦鞭法</t>
  </si>
  <si>
    <t>黄河帮,金龙帮</t>
  </si>
  <si>
    <t>八卦门成名鞭法，鞭势暗含八卦之理，在江湖中也多有流传</t>
  </si>
  <si>
    <t>奇门1;意志1</t>
  </si>
  <si>
    <t>意志1;奇门2;内力0.1</t>
  </si>
  <si>
    <t>skill4_4</t>
  </si>
  <si>
    <t>八卦升-Target-Grid-Happen;旋风-Target-Grid-Start</t>
  </si>
  <si>
    <t>开山斧</t>
  </si>
  <si>
    <t>源于山野之人劈砍荆棘树木之招式，在江湖争斗中也颇具实用性</t>
  </si>
  <si>
    <t>奇门1;体质1</t>
  </si>
  <si>
    <t>体质2;奇门2</t>
  </si>
  <si>
    <t>奇门10;体质15</t>
  </si>
  <si>
    <t>地刺-Target-Grid-Happen</t>
  </si>
  <si>
    <t>黄沙万里鞭</t>
  </si>
  <si>
    <t>峨眉派,八卦门</t>
  </si>
  <si>
    <t>从西域传入的奇门鞭法，鞭势绵密飞舞，卷起沙尘高达数丈，可令周遭敌人目不能视</t>
  </si>
  <si>
    <t>奇门1;智力1</t>
  </si>
  <si>
    <t>奇门15</t>
  </si>
  <si>
    <t>skill4_5</t>
  </si>
  <si>
    <t>黄沙-Target-Grid-Happen</t>
  </si>
  <si>
    <t>碎石铁鞭</t>
  </si>
  <si>
    <t>一门大开大合的进攻性鞭法，功力深厚者可以一鞭击碎岩石，足见其力道之刚猛</t>
  </si>
  <si>
    <t>奇门1;力道1</t>
  </si>
  <si>
    <t>力道1;奇门2;内力0.1</t>
  </si>
  <si>
    <t>奇门15;力道10</t>
  </si>
  <si>
    <t>胸9</t>
  </si>
  <si>
    <t>九节鞭法</t>
  </si>
  <si>
    <t>聚义门,青城派</t>
  </si>
  <si>
    <t>由九节铁鞭铰接而成的奇门兵器，以内力灌注其中，则可刚可柔，如臂指使，招式多变异常</t>
  </si>
  <si>
    <t>奇门1;经脉1</t>
  </si>
  <si>
    <t>经脉1;奇门2;内力0.1</t>
  </si>
  <si>
    <t>奇门20;经脉15</t>
  </si>
  <si>
    <t>0,0,1</t>
  </si>
  <si>
    <t>断腕0.06</t>
  </si>
  <si>
    <t>腹17</t>
  </si>
  <si>
    <t>腹11</t>
  </si>
  <si>
    <t>海叟钩法</t>
  </si>
  <si>
    <t>本是海边船夫以铁钩捕鱼之法，化为武学后招式奇特，别出心裁，非聪慧之人难以使用</t>
  </si>
  <si>
    <t>智力1;奇门2;内力0.1</t>
  </si>
  <si>
    <t>skill4_1</t>
  </si>
  <si>
    <t>水滴-Target-Grid-Happen</t>
  </si>
  <si>
    <t>连环对刺</t>
  </si>
  <si>
    <t>少林寺,天山派</t>
  </si>
  <si>
    <t>将一双对刺罩住周身，连环挥舞，劲道延绵不绝，是相当严密的防守招式</t>
  </si>
  <si>
    <t>意志2;奇门2;内力0.2</t>
  </si>
  <si>
    <t>奇门15;意志10</t>
  </si>
  <si>
    <t>断招0.1</t>
  </si>
  <si>
    <t>铁蜈钩</t>
  </si>
  <si>
    <t>将铁钩绑在手上运用的功法，使用时以钩代手，势如蜈蚣，蜿蜒诡谲，无孔不入</t>
  </si>
  <si>
    <t>奇门2;灵巧1</t>
  </si>
  <si>
    <t>奇门20;灵巧15</t>
  </si>
  <si>
    <t>6,1,1</t>
  </si>
  <si>
    <t>拉近1</t>
  </si>
  <si>
    <t>血轮-Target-Grid-Start;打击1-Target-Grid-Happen</t>
  </si>
  <si>
    <t>清凉扇法</t>
  </si>
  <si>
    <t>霸刀门,天山派,海沙帮</t>
  </si>
  <si>
    <t>一套使用铁扇的奇门武功，其招式进退有据，儒雅非凡，劲风绵绵不绝，可达数尺之远</t>
  </si>
  <si>
    <t>智力2;奇门2;内力0.2</t>
  </si>
  <si>
    <t>奇门15;智力15</t>
  </si>
  <si>
    <t>飘逸0.08</t>
  </si>
  <si>
    <t>skill4_6</t>
  </si>
  <si>
    <t>清风-Target-Grid-Happen;旋叶-Target-Grid-Happen</t>
  </si>
  <si>
    <t>扇</t>
  </si>
  <si>
    <t>闪电五连鞭</t>
  </si>
  <si>
    <t>药王谷,丐帮</t>
  </si>
  <si>
    <t>马姓道人修习拂尘功时，意外创出的一套飘忽若闪电的鞭法，以虚招为主，因此精妙有余而威力不足</t>
  </si>
  <si>
    <t>奇门1;灵巧1</t>
  </si>
  <si>
    <t>灵巧1;奇门2;内力0.1</t>
  </si>
  <si>
    <t>奇门5;灵巧5</t>
  </si>
  <si>
    <t>雷电0.1;连击0.1;疲劳0.1</t>
  </si>
  <si>
    <t>磁暴-Target-Grid-Happen</t>
  </si>
  <si>
    <t>掷短斧</t>
  </si>
  <si>
    <t>唐门,武当派</t>
  </si>
  <si>
    <t>将短斧当头掷出，手法极为简单，只需臂力强壮之人便能发挥威力</t>
  </si>
  <si>
    <t>射术1;力道1</t>
  </si>
  <si>
    <t>力道2;射术1</t>
  </si>
  <si>
    <t>射术10;力道15</t>
  </si>
  <si>
    <t>头22</t>
  </si>
  <si>
    <t>圆斩火-Target-Grid-Happen</t>
  </si>
  <si>
    <t>梅花镖</t>
  </si>
  <si>
    <t>常见江湖暗器，状如梅花，威力与射程中等，也往往最为实用</t>
  </si>
  <si>
    <t>射术1;智力1</t>
  </si>
  <si>
    <t>智力1;射术2;内力0.1</t>
  </si>
  <si>
    <t>0,2,4</t>
  </si>
  <si>
    <t>1-----1</t>
  </si>
  <si>
    <t>劈砍-Target-Grid-Happen;花散-Target-Grid-Happen</t>
  </si>
  <si>
    <t>玉蜂针</t>
  </si>
  <si>
    <t>铸剑山庄,峨眉派,巨鲸帮</t>
  </si>
  <si>
    <t>精钢打造的细长暗器，射程较远但威力也较小，以其上淬取的毒素伤人</t>
  </si>
  <si>
    <t>射术1;灵巧1</t>
  </si>
  <si>
    <t>灵巧2;射术2;内力0.2</t>
  </si>
  <si>
    <t>射术15;灵巧15</t>
  </si>
  <si>
    <t>0,2,5</t>
  </si>
  <si>
    <t>毒素0.1</t>
  </si>
  <si>
    <t>5-----0.8</t>
  </si>
  <si>
    <t>爆叶-Target-Grid-Happen</t>
  </si>
  <si>
    <t>白翎箭</t>
  </si>
  <si>
    <t>茅山派,霸刀门,黄河帮</t>
  </si>
  <si>
    <t>尾部装置白翎的短箭，本在军中使用，被改造成武林人士之暗器</t>
  </si>
  <si>
    <t>灵巧1;射术2;内力0.1</t>
  </si>
  <si>
    <t>射术15</t>
  </si>
  <si>
    <t>2,2,4</t>
  </si>
  <si>
    <t>skill5_2</t>
  </si>
  <si>
    <t>0-----0.75</t>
  </si>
  <si>
    <t>羽散-Target-Grid-Happen</t>
  </si>
  <si>
    <t>弓</t>
  </si>
  <si>
    <t>枣核钉</t>
  </si>
  <si>
    <t>状如枣核的铁钉，便于携带隐藏，传说高手可从口中吐出，专攻面门令人防不胜防</t>
  </si>
  <si>
    <t>射术1;意志1</t>
  </si>
  <si>
    <t>意志1;射术2;内力0.1</t>
  </si>
  <si>
    <t>射术20;意志10</t>
  </si>
  <si>
    <t>2,3,5</t>
  </si>
  <si>
    <t>头颈点穴0.06</t>
  </si>
  <si>
    <t>头3</t>
  </si>
  <si>
    <t>7-----0.75</t>
  </si>
  <si>
    <t>甩袖箭</t>
  </si>
  <si>
    <t>藏于袖中的暗箭，箭杆短轻，箭镞较重，向贸然近身之敌甩出，颇难防备</t>
  </si>
  <si>
    <t>笨拙0.02</t>
  </si>
  <si>
    <t>心21</t>
  </si>
  <si>
    <t>心4</t>
  </si>
  <si>
    <t>17-----0.9</t>
  </si>
  <si>
    <t>棉套索</t>
  </si>
  <si>
    <t>以极细之棉纱反复编织至拇指粗细而成，可以有效牵制被套住的敌人行动</t>
  </si>
  <si>
    <t>射术1;经脉1</t>
  </si>
  <si>
    <t>经脉1;射术2;内力0.1</t>
  </si>
  <si>
    <t>射术20;经脉10</t>
  </si>
  <si>
    <t>手臂点穴0.1;腿足点穴0.1</t>
  </si>
  <si>
    <t>手6</t>
  </si>
  <si>
    <t>8-----0.8</t>
  </si>
  <si>
    <t>网缠-Target-Grid-Happen</t>
  </si>
  <si>
    <t>系绳镖</t>
  </si>
  <si>
    <t>将金属镖头系于长绳末端而成的独特暗器，既可抛掷远击，又可缩短挥击，还可捆缚敌人并将其拉近</t>
  </si>
  <si>
    <t>射术15;智力15</t>
  </si>
  <si>
    <t>0,1,4</t>
  </si>
  <si>
    <t>迟缓0.06;拉近1</t>
  </si>
  <si>
    <t>腹6</t>
  </si>
  <si>
    <t>17-----1.1</t>
  </si>
  <si>
    <t>风轮-Target-Grid-Happen</t>
  </si>
  <si>
    <t>铁莲花</t>
  </si>
  <si>
    <t>状如莲花的奇门暗器，其花瓣边缘锋利无比，可一齐飞射而出，攻击周遭敌人</t>
  </si>
  <si>
    <t>射术20</t>
  </si>
  <si>
    <t>流血0.02</t>
  </si>
  <si>
    <t>足20</t>
  </si>
  <si>
    <t>足4</t>
  </si>
  <si>
    <t>9-----0.9</t>
  </si>
  <si>
    <t>莲花转-Target-Grid-Happen</t>
  </si>
  <si>
    <t>飞手戟</t>
  </si>
  <si>
    <t>唐门,金龙帮</t>
  </si>
  <si>
    <t>仿照手戟制成的暗器，可作近身格斗之用，关键时刻掷出，威力也不容小觑</t>
  </si>
  <si>
    <t>射术1;体质1</t>
  </si>
  <si>
    <t>体质1;射术2;内力0.1</t>
  </si>
  <si>
    <t>射术15;体质10</t>
  </si>
  <si>
    <t>压制0.02</t>
  </si>
  <si>
    <t>头5</t>
  </si>
  <si>
    <t>硬气功</t>
  </si>
  <si>
    <t>结合呼吸吐纳与排打锻炼，增强力道与体魄的功法。其修习过程艰苦漫长，常人难以忍受</t>
  </si>
  <si>
    <t>内功1;力道1;体质1</t>
  </si>
  <si>
    <t>生命上限100;内力上限20;内功6;力道6;体质6;护甲4</t>
  </si>
  <si>
    <t>内功35;体质25</t>
  </si>
  <si>
    <t>归元吐纳功</t>
  </si>
  <si>
    <t>少林寺</t>
  </si>
  <si>
    <t>吐纳功之进阶功法，于吐纳之时引气归元，使内力达到循环往复，生生不息之功效</t>
  </si>
  <si>
    <t>内功1;经脉1;体质1</t>
  </si>
  <si>
    <t>生命上限60;内力上限60;内功9;经脉9;回内0.012</t>
  </si>
  <si>
    <t>内功25;经脉20</t>
  </si>
  <si>
    <t>心意气混元功</t>
  </si>
  <si>
    <t>心意气三元混合之道家功法，修习者内息收放自如，可达心与意合，意与气合，气与力合之境界</t>
  </si>
  <si>
    <t>内功1;意志1;智力1</t>
  </si>
  <si>
    <t>生命上限30;内力上限90;内功9;意志9;命中0.08</t>
  </si>
  <si>
    <t>内功30;意志20</t>
  </si>
  <si>
    <t>金刚心法</t>
  </si>
  <si>
    <t>黄河帮,海沙帮</t>
  </si>
  <si>
    <t>佛门心法，修炼者如金刚菩提加持，内劲无坚不摧，神智亦过于常人</t>
  </si>
  <si>
    <t>内功1;力道1;智力1</t>
  </si>
  <si>
    <t>生命上限90;内力上限30;内功6;体质6;智力6;伤害0.06</t>
  </si>
  <si>
    <t>内功25;体质20</t>
  </si>
  <si>
    <t>轰天掣地诀</t>
  </si>
  <si>
    <t>阳刚猛烈的内功心法，内力如同奔雷般向四肢流转，使得修习者行动速度与经脉流转亦大大加快</t>
  </si>
  <si>
    <t>内功1;经脉1;灵巧1</t>
  </si>
  <si>
    <t>生命上限80;内力上限40;内功6;轻功6;灵巧6;速度0.08</t>
  </si>
  <si>
    <t>内功40</t>
  </si>
  <si>
    <t>普贤心经</t>
  </si>
  <si>
    <t>脱胎于普贤心经的佛门内功，缘起非有无，非实亦非虚，可大大增加修习者的内功修为</t>
  </si>
  <si>
    <t>内功2;经脉1</t>
  </si>
  <si>
    <t>生命上限20;内力上限130;内功10;经脉10</t>
  </si>
  <si>
    <t>内功35;经脉25</t>
  </si>
  <si>
    <t>灵台清明功</t>
  </si>
  <si>
    <t>这门阴柔内功旨在维持修炼者心智之清净。心无杂念，灵台清明，气感自生，功法自成</t>
  </si>
  <si>
    <t>内功2;智力1</t>
  </si>
  <si>
    <t>生命上限10;内力上限110;内功9;智力9;醒脑0.04;定神0.04</t>
  </si>
  <si>
    <t>内功25;智力20</t>
  </si>
  <si>
    <t>紫气氤氲法</t>
  </si>
  <si>
    <t>修习者周身紫气满布，氤氲不绝。每循环一周天，紫气亦加深一分，相传乃是内息在皮下流转所致</t>
  </si>
  <si>
    <t>内功2;意志1</t>
  </si>
  <si>
    <t>生命上限40;内力上限80;内功9;意志9;恢复0.04;回体1</t>
  </si>
  <si>
    <t>沸血法</t>
  </si>
  <si>
    <t>至阳至烈之功法，使内息在体内极速流转，血脉几近沸腾，在熬过初时的五内俱焚后，便能大增其修为</t>
  </si>
  <si>
    <t>内功2;力道1</t>
  </si>
  <si>
    <t>生命上限70;内力上限40;内功9;力道9;回血0.008</t>
  </si>
  <si>
    <t>内功30;力道20</t>
  </si>
  <si>
    <t>软玄功</t>
  </si>
  <si>
    <t>一门阴柔内功心法，练成者浑身遍布绵柔坚韧之内劲，可自行吸附或化解来袭之攻势</t>
  </si>
  <si>
    <t>内功1;灵巧1;体质1</t>
  </si>
  <si>
    <t>生命上限50;内力上限70;内功9;灵巧9;减伤4</t>
  </si>
  <si>
    <t>内功30;灵巧15</t>
  </si>
  <si>
    <t>燕子三抄水</t>
  </si>
  <si>
    <t>从燕子点水姿势中化出的灵巧轻功，功成者可足踏水面三次而不沉</t>
  </si>
  <si>
    <t>轻功2;灵巧1</t>
  </si>
  <si>
    <t>轻功9;灵巧9;连击0.08</t>
  </si>
  <si>
    <t>轻功35;灵巧20</t>
  </si>
  <si>
    <t>上高楼</t>
  </si>
  <si>
    <t>聚义门,巨鲸帮</t>
  </si>
  <si>
    <t>主修跳跃攀爬之法，以高楼或高塔为训练工具的轻功法门，练成者顷刻之间便能纵身而上数层</t>
  </si>
  <si>
    <t>轻功1;灵巧1;体质1</t>
  </si>
  <si>
    <t>轻功9;灵巧6;体质3;鹰眼0.08</t>
  </si>
  <si>
    <t>轻功25;灵巧15;体质15</t>
  </si>
  <si>
    <t>壁虎游墙</t>
  </si>
  <si>
    <t>借助轻功与内劲吸附，在墙面游行之轻功，精通此术者于广厦高墙上亦能如履平地</t>
  </si>
  <si>
    <t>轻功1;灵巧1;经脉1</t>
  </si>
  <si>
    <t>轻功9;经脉9;神行0.08</t>
  </si>
  <si>
    <t>轻功30;经脉15</t>
  </si>
  <si>
    <t>磐罡步</t>
  </si>
  <si>
    <t>此步法四纵五横，平直稳重，在稳固下盘之余，亦能增强周身之劲道</t>
  </si>
  <si>
    <t>轻功1;力道1;体质1</t>
  </si>
  <si>
    <t>轻功6;力道6;体质6;卸力0.08</t>
  </si>
  <si>
    <t>轻功25;体质20</t>
  </si>
  <si>
    <t>金雁功</t>
  </si>
  <si>
    <t>蕴含内功修行的轻功法门，相传内功深厚者使出，可凌空直上一丈有余</t>
  </si>
  <si>
    <t>轻功1;经脉2</t>
  </si>
  <si>
    <t>轻功6;经脉12;急速0.08</t>
  </si>
  <si>
    <t>轻功30;经脉20</t>
  </si>
  <si>
    <t>白马悬蹄</t>
  </si>
  <si>
    <t>八卦门,青城派</t>
  </si>
  <si>
    <t>悬千钧于一发的轻功法门，将全身重量集中运用于臂部，从而增强出击力道</t>
  </si>
  <si>
    <t>轻功1;力道1;意志1</t>
  </si>
  <si>
    <t>轻功3;力道9;意志6;回体1;击退1</t>
  </si>
  <si>
    <t>轻功30;力道20</t>
  </si>
  <si>
    <t>天云步</t>
  </si>
  <si>
    <t>金龙帮</t>
  </si>
  <si>
    <t>此步法如天边之流云，飘忽不定，看似漫不经心，却又暗含玄机</t>
  </si>
  <si>
    <t>轻功1;智力1;经脉1</t>
  </si>
  <si>
    <t>轻功9;智力6;经脉3;命中0.08</t>
  </si>
  <si>
    <t>轻功30;智力15;经脉15</t>
  </si>
  <si>
    <t>翻腾术</t>
  </si>
  <si>
    <t>主修翻滚腾跃之轻功功法，使用者身形上下回转之间，更容易避开敌人攻击</t>
  </si>
  <si>
    <t>轻功2;意志1</t>
  </si>
  <si>
    <t>轻功9;灵巧6;意志3;闪避0.08</t>
  </si>
  <si>
    <t>轻功25;灵巧25</t>
  </si>
  <si>
    <t>别离步</t>
  </si>
  <si>
    <t>此步法擅长控制敌我之间距离，步法柔婉凄怆，缓缓别离，却又回身紧逼，令人无从捉摸</t>
  </si>
  <si>
    <t>轻功2;智力1</t>
  </si>
  <si>
    <t>轻功9;智力9;飘逸0.08</t>
  </si>
  <si>
    <t>轻功35;智力25</t>
  </si>
  <si>
    <t>陆地飞行术</t>
  </si>
  <si>
    <t>一门长时间急速奔跑的轻功法门，使用者日行数百里，宛如陆地飞行</t>
  </si>
  <si>
    <t>轻功1;意志1;体质1</t>
  </si>
  <si>
    <t>轻功12;意志3;体质3;速度0.08</t>
  </si>
  <si>
    <t>轻功40</t>
  </si>
  <si>
    <t>四两拨千斤</t>
  </si>
  <si>
    <t>一门借力打力，以巧胜强的功夫，其对劲道的把握以及时机之掌控，非日夜苦练难得纯熟</t>
  </si>
  <si>
    <t>绝技1;灵巧1;智力1</t>
  </si>
  <si>
    <t>绝技9;灵巧6;智力3;卸力0.1</t>
  </si>
  <si>
    <t>绝技35;灵巧20;智力15</t>
  </si>
  <si>
    <t>铜头铁臂功</t>
  </si>
  <si>
    <t>着重锻炼头部和臂部抗击打能力的硬功绝技，运功之后，皮肤坚硬如铁，刀枪几不能入</t>
  </si>
  <si>
    <t>绝技2;体质1</t>
  </si>
  <si>
    <t>绝技6;体质6;护甲3;减伤4</t>
  </si>
  <si>
    <t>绝技30;体质20</t>
  </si>
  <si>
    <t>隔山打牛</t>
  </si>
  <si>
    <t>一种独特的运劲技巧，将内力冲击通过实体传导，功力深厚者可以一拳击飞数人</t>
  </si>
  <si>
    <t>绝技2;意志1</t>
  </si>
  <si>
    <t>绝技6;意志6;经脉6;内伤0.08</t>
  </si>
  <si>
    <t>绝技35;意志15;经脉15</t>
  </si>
  <si>
    <t>一指金刚法</t>
  </si>
  <si>
    <t>源于佛门的苦修之法，常人需三年方能技成。练习精纯者一指到处，木石皆碎，胸腑洞撤</t>
  </si>
  <si>
    <t>绝技1;力道1;体质1</t>
  </si>
  <si>
    <t>绝技9;力道9;伤害0.08</t>
  </si>
  <si>
    <t>绝技35;力道25</t>
  </si>
  <si>
    <t>千层纸功</t>
  </si>
  <si>
    <t>将千张白纸钉为纸方，悬于墙上反复击打之功法。表面上是阳刚劲路，却也暗含阴柔之力</t>
  </si>
  <si>
    <t>绝技1;灵巧1;体质1</t>
  </si>
  <si>
    <t>绝技9;体质6;经脉3;蓄力0.08</t>
  </si>
  <si>
    <t>绝技25;体质20;经脉10</t>
  </si>
  <si>
    <t>分水功</t>
  </si>
  <si>
    <t>以内家功夫分拨水面，初学者不过毫厘而已，而大成者可令水开数尺，足见其劲道浑厚</t>
  </si>
  <si>
    <t>绝技1;意志1;经脉1</t>
  </si>
  <si>
    <t>内力上限32;绝技6;意志6;经脉6</t>
  </si>
  <si>
    <t>绝技25;意志20</t>
  </si>
  <si>
    <t>柔骨摆柳功</t>
  </si>
  <si>
    <t>聚义门,八卦门</t>
  </si>
  <si>
    <t>此功法修炼者腰身与四肢极为柔韧，遇敌起舞，如迎风摆柳，或攻或守，灵活异常</t>
  </si>
  <si>
    <t>绝技2;灵巧1</t>
  </si>
  <si>
    <t>绝技9;灵巧9;闪避0.08</t>
  </si>
  <si>
    <t>绝技30;灵巧20</t>
  </si>
  <si>
    <t>卧虎功</t>
  </si>
  <si>
    <t>黄河帮,青城派</t>
  </si>
  <si>
    <t>如同卧虎之姿，看似闭眼假寐，实则为蓄力待敌之法，甫一起身，则如猛虎扑食，势不可挡</t>
  </si>
  <si>
    <t>绝技1;力道1;智力1</t>
  </si>
  <si>
    <t>绝技9;力道9;暴击0.08</t>
  </si>
  <si>
    <t>绝技30;力道20</t>
  </si>
  <si>
    <t>乱环扑</t>
  </si>
  <si>
    <t>以肢端内劲画圆，控制力道循环之法门，一旦敌人陷入此乱环劲道之中，便会被力牵引，左右难支</t>
  </si>
  <si>
    <t>绝技2;经脉1</t>
  </si>
  <si>
    <t>绝技9;智力9;动摇0.08</t>
  </si>
  <si>
    <t>绝技30;智力20</t>
  </si>
  <si>
    <t>霸王肘</t>
  </si>
  <si>
    <t>此功法专练手肘的顶凿屈转与抗击打能力，功成后手肘孔武有力，纵以利刃砍之亦不能损</t>
  </si>
  <si>
    <t>绝技1;力道1;意志1</t>
  </si>
  <si>
    <t>绝技6;力道6;意志6;霸体0.04</t>
  </si>
  <si>
    <t>绝技25;力道20;意志15</t>
  </si>
  <si>
    <t>摔碑手</t>
  </si>
  <si>
    <t>一门刚柔并济，攻守兼备的掌法，其诀窍在于“摔”字，即借助手腕甩打之力增强搏击威力</t>
  </si>
  <si>
    <t>拳掌2;力道1</t>
  </si>
  <si>
    <t>力道2;灵巧1;拳掌1</t>
  </si>
  <si>
    <t>拳掌35;力道25;灵巧10</t>
  </si>
  <si>
    <t>眩晕0.04</t>
  </si>
  <si>
    <t>胸12;手8</t>
  </si>
  <si>
    <t>胸5;手5</t>
  </si>
  <si>
    <t>地面打击1-Target-Grid-Happen</t>
  </si>
  <si>
    <t>追风短打</t>
  </si>
  <si>
    <t>小手寸劲，短促突击的贴身近战拳法，讲求闻风而动，穷追猛击，攻势越急促，敌人越容易露出破绽</t>
  </si>
  <si>
    <t>拳掌1;灵巧1;意志1</t>
  </si>
  <si>
    <t>灵巧2;拳掌2;内力0.2</t>
  </si>
  <si>
    <t>拳掌25;灵巧20</t>
  </si>
  <si>
    <t>连击0.08;阻滞0.08</t>
  </si>
  <si>
    <t>手21</t>
  </si>
  <si>
    <t>惊涛掌</t>
  </si>
  <si>
    <t>着重进攻的内家掌法，其内劲倾吐如同惊涛骇浪，内功薄弱者稍有不慎，便会被伤及五脏</t>
  </si>
  <si>
    <t>拳掌1;经脉1;智力1</t>
  </si>
  <si>
    <t>拳掌30;经脉20</t>
  </si>
  <si>
    <t>内伤0.08</t>
  </si>
  <si>
    <t>心15;腹8</t>
  </si>
  <si>
    <t>心6;腹3</t>
  </si>
  <si>
    <t>喷泉-Target-Grid-Happen</t>
  </si>
  <si>
    <t>猛禽手</t>
  </si>
  <si>
    <t>从猛禽捕食动作中演化出的擒拿路数，着重抓锁猎物的脖颈或关节处，并伺机予以致命一击</t>
  </si>
  <si>
    <t>拳掌1;灵巧1;智力1</t>
  </si>
  <si>
    <t>智力2;拳掌2;内力0.2</t>
  </si>
  <si>
    <t>拳掌30;智力20;灵巧15</t>
  </si>
  <si>
    <t>伤筋0.08</t>
  </si>
  <si>
    <t>手14;头6</t>
  </si>
  <si>
    <t>手7;头4</t>
  </si>
  <si>
    <t>skill0_2</t>
  </si>
  <si>
    <t>十字爪-Target-Grid-Happen</t>
  </si>
  <si>
    <t>铁砂掌</t>
  </si>
  <si>
    <t>铁掌帮,金龙帮</t>
  </si>
  <si>
    <t>反复击打铁砂锤炼而成的刚猛掌法。功成者手掌比常人厚两倍有余，骨节也粗大异常</t>
  </si>
  <si>
    <t>拳掌1;力道1;体质1</t>
  </si>
  <si>
    <t>拳掌35;力道20;体质10</t>
  </si>
  <si>
    <t>外伤0.08</t>
  </si>
  <si>
    <t>胸12;腹8</t>
  </si>
  <si>
    <t>胸4;腹7</t>
  </si>
  <si>
    <t>合盘掌</t>
  </si>
  <si>
    <t>合掌迎击的防御掌法，双掌相合后虽灵活性下降，但其重击能令敌方血脉不畅</t>
  </si>
  <si>
    <t>拳掌1;体质1;经脉1</t>
  </si>
  <si>
    <t>经脉1;体质2;内力0.3</t>
  </si>
  <si>
    <t>拳掌20;体质10;经脉30</t>
  </si>
  <si>
    <t>凝血0.08</t>
  </si>
  <si>
    <t>心8;胸4</t>
  </si>
  <si>
    <t>心10;胸9</t>
  </si>
  <si>
    <t>伏虎拳</t>
  </si>
  <si>
    <t>一门攻守兼备的实用拳法，招式严谨，底盘扎实，其创始者曾以此拳法伏虎除恶，因而闻名</t>
  </si>
  <si>
    <t>拳掌1;力道1;绝技1</t>
  </si>
  <si>
    <t>力道3;拳掌3;内力0.1</t>
  </si>
  <si>
    <t>拳掌25;力道25</t>
  </si>
  <si>
    <t>壮骨0.08</t>
  </si>
  <si>
    <t>猛虎-Target-Grid-Happen;打击2-Target-Grid-Happen</t>
  </si>
  <si>
    <t>大擒拿手</t>
  </si>
  <si>
    <t>大开大合的擒拿手法，其招式沉稳，出手凌厉，威猛力大，以攻代守</t>
  </si>
  <si>
    <t>力道1;经脉1;内功1</t>
  </si>
  <si>
    <t>力道2;经脉1;拳掌3</t>
  </si>
  <si>
    <t>拳掌30;力道20;经脉10</t>
  </si>
  <si>
    <t>断骨0.08</t>
  </si>
  <si>
    <t>手10;足10</t>
  </si>
  <si>
    <t>手3;足8</t>
  </si>
  <si>
    <t>蝴蝶斩-Target-Grid-Happen</t>
  </si>
  <si>
    <t>铁琵琶手</t>
  </si>
  <si>
    <t>一双手掌如同铁琵琶一般环抱身前，防御滴水不漏，令敌人难寻破绽之掌法</t>
  </si>
  <si>
    <t>拳掌2;体质1</t>
  </si>
  <si>
    <t>体质2;拳掌2;内力0.2</t>
  </si>
  <si>
    <t>拳掌30;体质20</t>
  </si>
  <si>
    <t>横练0.08</t>
  </si>
  <si>
    <t>墨圈-Target-Grid-Happen</t>
  </si>
  <si>
    <t>二郎担山掌</t>
  </si>
  <si>
    <t>自下向上的掌法招式，以稳固下盘为基，发全身之力向上迎敌，即便来势如泰山压顶亦能抵御</t>
  </si>
  <si>
    <t>拳掌2;意志1</t>
  </si>
  <si>
    <t>意志2;拳掌2;内力0.2</t>
  </si>
  <si>
    <t>拳掌25;意志15</t>
  </si>
  <si>
    <t>不屈0.08</t>
  </si>
  <si>
    <t>穿刺_土叶-Target-Grid-Happen</t>
  </si>
  <si>
    <t>飞星快剑</t>
  </si>
  <si>
    <t>海沙帮,仙霞派</t>
  </si>
  <si>
    <t>极为迅捷快速的剑招，映照在地上的剑光如飞星般闪烁，故而得名</t>
  </si>
  <si>
    <t>剑法1;灵巧1;轻功1</t>
  </si>
  <si>
    <t>灵巧3;剑法3;内力0.1</t>
  </si>
  <si>
    <t>剑法25;灵巧25</t>
  </si>
  <si>
    <t>急速0.08</t>
  </si>
  <si>
    <t>快慢十八路</t>
  </si>
  <si>
    <t>此剑招共一十八路，进退有据，快慢相合，其节奏变化往往令对敌者难以招架</t>
  </si>
  <si>
    <t>剑法1;意志1;灵巧1</t>
  </si>
  <si>
    <t>灵巧2;剑法2;内力0.2</t>
  </si>
  <si>
    <t>剑法30;灵巧20;意志10</t>
  </si>
  <si>
    <t>笨拙0.08</t>
  </si>
  <si>
    <t>腹13</t>
  </si>
  <si>
    <t>劈砍_黑白震-Target-Grid-Happen</t>
  </si>
  <si>
    <t>泼墨剑法</t>
  </si>
  <si>
    <t>茅山派,青城派</t>
  </si>
  <si>
    <t>剑招中饱含泼墨挥毫的潇洒之意，相传乃是剑术名家观颜真卿书法领悟而成</t>
  </si>
  <si>
    <t>剑法2;经脉1</t>
  </si>
  <si>
    <t>经脉2;剑法1;内力0.2</t>
  </si>
  <si>
    <t>剑法30;经脉25</t>
  </si>
  <si>
    <t>通脉0.08</t>
  </si>
  <si>
    <t>劈砍_黑白-Target-Grid-Happen;墨爆-Target-Grid-Happen</t>
  </si>
  <si>
    <t>北斗剑法</t>
  </si>
  <si>
    <t>分为七式，将北斗七星之方位与运行规律蕴含其中，招式精妙非凡，常人难解</t>
  </si>
  <si>
    <t>剑法2;智力1</t>
  </si>
  <si>
    <t>智力2;剑法3;内力0.1</t>
  </si>
  <si>
    <t>剑法35;智力25</t>
  </si>
  <si>
    <t>弱点0.08</t>
  </si>
  <si>
    <t>星落-Target-Grid-Happen;八卦光-Target-Grid-Happen</t>
  </si>
  <si>
    <t>雨打飞花剑</t>
  </si>
  <si>
    <t>此剑法善走倾斜剑势，出剑方位变幻莫测，攻势如同疾风骤雨，对敌者之防御亦如飞花般脆弱易逝</t>
  </si>
  <si>
    <t>剑法2;灵巧1</t>
  </si>
  <si>
    <t>灵巧2;剑法1;内力0.2</t>
  </si>
  <si>
    <t>剑法35;灵巧20</t>
  </si>
  <si>
    <t>手12;足8</t>
  </si>
  <si>
    <t>手4;足6</t>
  </si>
  <si>
    <t>水旋风-Target-Grid-Happen;红花-Target-Grid-Happen</t>
  </si>
  <si>
    <t>浣花流水剑</t>
  </si>
  <si>
    <t>招法优雅灵动，落花流水般倾泻而下，而剑招中暗含的内力更是能够伤人于无形</t>
  </si>
  <si>
    <t>剑法30;经脉20</t>
  </si>
  <si>
    <t>内劲0.08</t>
  </si>
  <si>
    <t>手8;心12</t>
  </si>
  <si>
    <t>手6;心4</t>
  </si>
  <si>
    <t>花散-Target-Grid-Happen;喷水-Target-Grid-Happen</t>
  </si>
  <si>
    <t>一字电剑</t>
  </si>
  <si>
    <t>一字电剑剑势喜直，将全身力道集中一线击出，不留防御后手，自然快如闪电</t>
  </si>
  <si>
    <t>剑法1;力道1;意志1</t>
  </si>
  <si>
    <t>意志2;剑法2;内力0.2</t>
  </si>
  <si>
    <t>剑法25;意志25;力道15</t>
  </si>
  <si>
    <t>4,2,4</t>
  </si>
  <si>
    <t>雷电0.08</t>
  </si>
  <si>
    <t>心22</t>
  </si>
  <si>
    <t>心8</t>
  </si>
  <si>
    <t>爆电-Target-Grid-Happen</t>
  </si>
  <si>
    <t>周公剑法</t>
  </si>
  <si>
    <t>假托周公姬旦之名，剑招四平八稳，不疾不徐，暗含礼乐之道，因此有修心养性，强身健体之功效</t>
  </si>
  <si>
    <t>剑法1;智力1;体质1</t>
  </si>
  <si>
    <t>体质2;剑法2;内力0.2</t>
  </si>
  <si>
    <t>剑法30;体质20;智力10</t>
  </si>
  <si>
    <t>2,1,3</t>
  </si>
  <si>
    <t>活血0.12</t>
  </si>
  <si>
    <t>足11;腹8</t>
  </si>
  <si>
    <t>足8;腹6</t>
  </si>
  <si>
    <t>五大夫剑</t>
  </si>
  <si>
    <t>金刚密宗,黄河帮,八卦门</t>
  </si>
  <si>
    <t>高人观泰山五大夫松所创之剑法，其剑势如苍松挺直，古朴沉稳，讲求以静制动</t>
  </si>
  <si>
    <t>剑法1;力道1;体质1</t>
  </si>
  <si>
    <t>力道2;剑法2;内力0.2</t>
  </si>
  <si>
    <t>剑法25;力道20;体质15</t>
  </si>
  <si>
    <t>手8;胸8</t>
  </si>
  <si>
    <t>手7;胸7</t>
  </si>
  <si>
    <t>霜花剑式</t>
  </si>
  <si>
    <t>此剑招需将阴寒之内力灌注剑身，使出时寒气逼人，周身霜花乱舞，剑身亦有冰凝，故而得名</t>
  </si>
  <si>
    <t>剑法1;经脉1;内功1</t>
  </si>
  <si>
    <t>经脉3;剑法1;内力0.3</t>
  </si>
  <si>
    <t>剑法20;经脉30</t>
  </si>
  <si>
    <t>冰寒0.08</t>
  </si>
  <si>
    <t>心9;腹11</t>
  </si>
  <si>
    <t>心4;腹8</t>
  </si>
  <si>
    <t>冰域-Target-Grid-Happen</t>
  </si>
  <si>
    <t>八面破身刀</t>
  </si>
  <si>
    <t>天山派,海沙帮</t>
  </si>
  <si>
    <t>攻守兼备之刀招，一经使用，四面八方皆为刀光所笼罩，需要相当高超的用刀技巧</t>
  </si>
  <si>
    <t>刀法1;力道1;灵巧1</t>
  </si>
  <si>
    <t>力道1;灵巧1;刀法3</t>
  </si>
  <si>
    <t>刀法35;力道20;灵巧10</t>
  </si>
  <si>
    <t>胸7;腹10</t>
  </si>
  <si>
    <t>胸6;腹8</t>
  </si>
  <si>
    <t>劈砍_黑白多重中-Target-Grid-Happen</t>
  </si>
  <si>
    <t>逐浪刀法</t>
  </si>
  <si>
    <t>东南刀客于海边练成的刀法，需挥刀反复劈斩海浪，至刀风可开分海浪数尺，方能功成</t>
  </si>
  <si>
    <t>刀法1;力道1;体质1</t>
  </si>
  <si>
    <t>力道2;体质2;刀法1</t>
  </si>
  <si>
    <t>刀法25;力道25;体质15</t>
  </si>
  <si>
    <t>压制0.08</t>
  </si>
  <si>
    <t>水旋风-Target-Grid-Happen</t>
  </si>
  <si>
    <t>鸳鸯刀法</t>
  </si>
  <si>
    <t>源于苗疆的双刀刀法，鸳刀主攻，鸯刀主守，双刀配合无间，上下翻飞，可谓滴水不漏</t>
  </si>
  <si>
    <t>刀法2;灵巧1</t>
  </si>
  <si>
    <t>灵巧2;刀法2;内力0.2</t>
  </si>
  <si>
    <t>刀法30;灵巧25</t>
  </si>
  <si>
    <t>3,1,2</t>
  </si>
  <si>
    <t>连绵0.04;外伤0.04</t>
  </si>
  <si>
    <t>手10;足9</t>
  </si>
  <si>
    <t>手6;足6</t>
  </si>
  <si>
    <t>血十字-Target-Grid-Happen</t>
  </si>
  <si>
    <t>五虎断门刀</t>
  </si>
  <si>
    <t>势大力沉，刚猛雄壮之刀法，如由膂力过人者使出，更是有分金断玉之能</t>
  </si>
  <si>
    <t>刀法2;力道1</t>
  </si>
  <si>
    <t>力道3;刀法1;内力0.1</t>
  </si>
  <si>
    <t>刀法20;力道30</t>
  </si>
  <si>
    <t>杀机0.08</t>
  </si>
  <si>
    <t>胸21</t>
  </si>
  <si>
    <t>地面打击2-Target-Grid-Happen;猛虎-Target-Grid-Happen</t>
  </si>
  <si>
    <t>八阵盘龙刀</t>
  </si>
  <si>
    <t>蕴含八阵图义理的刀法，以生死八门配合五行生克，经过精确计算使出，方能发挥威力</t>
  </si>
  <si>
    <t>刀法1;智力1;内功1</t>
  </si>
  <si>
    <t>智力2;刀法2;内力0.2</t>
  </si>
  <si>
    <t>刀法35;智力25;意志15</t>
  </si>
  <si>
    <t>震脑0.08</t>
  </si>
  <si>
    <t>头9;心9</t>
  </si>
  <si>
    <t>头7;心6</t>
  </si>
  <si>
    <t>蟠龙-Target-Grid-Happen;八卦光-Target-Grid-Happen</t>
  </si>
  <si>
    <t>春秋刀术</t>
  </si>
  <si>
    <t>从长兵偃月刀中演化而来的刀术，其招式气势雄伟，威武庄严，往往令敌人不战自危</t>
  </si>
  <si>
    <t>刀法1;意志1;经脉1</t>
  </si>
  <si>
    <t>意志2;刀法2;内力0.2</t>
  </si>
  <si>
    <t>刀法30;意志20;经脉10</t>
  </si>
  <si>
    <t>定神0.08</t>
  </si>
  <si>
    <t>火龙卷-Target-Grid-Happen</t>
  </si>
  <si>
    <t>百兽刀法</t>
  </si>
  <si>
    <t>效仿百兽形意之刀法，其招式威猛霸道，颇具熊虎之姿，对修习者的体魄大有裨益</t>
  </si>
  <si>
    <t>刀法1;体质1;绝技1</t>
  </si>
  <si>
    <t>体质3;刀法3;内力0.1</t>
  </si>
  <si>
    <t>刀法30;体质15</t>
  </si>
  <si>
    <t>5,1,3</t>
  </si>
  <si>
    <t>活血0.1</t>
  </si>
  <si>
    <t>手13;胸8</t>
  </si>
  <si>
    <t>手4;胸6</t>
  </si>
  <si>
    <t>猛虎-Target-Grid-Happen;乱斩-Target-Grid-Happen</t>
  </si>
  <si>
    <t>荡寇刀法</t>
  </si>
  <si>
    <t>刀意潇洒豪爽，正气凛然，相传髯须刀客曾以此刀法扫荡贼寇，剪除恶徒，因而闻名</t>
  </si>
  <si>
    <t>刀法1;力道1;经脉1</t>
  </si>
  <si>
    <t>经脉2;刀法2;内力0.2</t>
  </si>
  <si>
    <t>刀法30;经脉20</t>
  </si>
  <si>
    <t>破甲0.08</t>
  </si>
  <si>
    <t>心12;腹7</t>
  </si>
  <si>
    <t>心7;腹4</t>
  </si>
  <si>
    <t>雷鸣刀法</t>
  </si>
  <si>
    <t>双手持刀，以全身之力快速劈出刀招，刀锋隐隐有雷鸣之声，乃是劈空刀气所致</t>
  </si>
  <si>
    <t>力道3;刀法3;内力0.1</t>
  </si>
  <si>
    <t>刀法25;力道20</t>
  </si>
  <si>
    <t>雷球-Target-Grid-Happen</t>
  </si>
  <si>
    <t>泰山十八刀</t>
  </si>
  <si>
    <t>泰山刀客以十八盘山路为形制所创刀法，刀势曲折错落，旋转回盘，敌人往往应接不暇，疲于应付</t>
  </si>
  <si>
    <t>刀法1;体质1;意志1</t>
  </si>
  <si>
    <t>刀法25;体质20;意志10</t>
  </si>
  <si>
    <t>3,1,3</t>
  </si>
  <si>
    <t>断腕0.08</t>
  </si>
  <si>
    <t>二十四路枪势</t>
  </si>
  <si>
    <t>相传为古时名将总结大量实战经验，汇编而成的二十四招枪决，乃是行伍猛将必修之法门</t>
  </si>
  <si>
    <t>长兵2;力道1</t>
  </si>
  <si>
    <t>力道2;体质1;长兵3</t>
  </si>
  <si>
    <t>长兵30;力道20;体质10</t>
  </si>
  <si>
    <t>蓄力0.08</t>
  </si>
  <si>
    <t>心8;腹10</t>
  </si>
  <si>
    <t>心6;腹7</t>
  </si>
  <si>
    <t>乱斩火-Target-Grid-Happen</t>
  </si>
  <si>
    <t>泼水杖法</t>
  </si>
  <si>
    <t>此杖法以招式严谨，防守致密见长，修习者需以水桶取水泼之而不能进，方见其功力</t>
  </si>
  <si>
    <t>长兵1;灵巧1;经脉1</t>
  </si>
  <si>
    <t>经脉2;长兵2;内力0.2</t>
  </si>
  <si>
    <t>长兵35;经脉20;灵巧15</t>
  </si>
  <si>
    <t>铜皮0.08</t>
  </si>
  <si>
    <t>六合大枪</t>
  </si>
  <si>
    <t>以六种基本招式为根基的简练枪法，枪路刚猛直接，只需身强力壮者便能发挥威力</t>
  </si>
  <si>
    <t>长兵2;体质1</t>
  </si>
  <si>
    <t>体质3;长兵1;内力0.1</t>
  </si>
  <si>
    <t>长兵30;体质20</t>
  </si>
  <si>
    <t>伤害0.08</t>
  </si>
  <si>
    <t>心12;胸8</t>
  </si>
  <si>
    <t>心7;胸3</t>
  </si>
  <si>
    <t>地面打击-Target-Grid-Happen</t>
  </si>
  <si>
    <t>小夜叉棍法</t>
  </si>
  <si>
    <t>源于佛门，一种套路多变，以灵活见长的棍法，其中挑、点、戳的招式极多，可用于封人穴脉</t>
  </si>
  <si>
    <t>长兵1;灵巧1;智力1</t>
  </si>
  <si>
    <t>灵巧2;长兵2;内力0.2</t>
  </si>
  <si>
    <t>长兵25;灵巧20;智力10</t>
  </si>
  <si>
    <t>0,1,3</t>
  </si>
  <si>
    <t>心胸点穴0.02;腰腹点穴0.06</t>
  </si>
  <si>
    <t>胸10;腹9</t>
  </si>
  <si>
    <t>胸6;腹6</t>
  </si>
  <si>
    <t>旋棍-Target-Grid-Start;佛散-Target-Grid-Happen</t>
  </si>
  <si>
    <t>醉八仙棍法</t>
  </si>
  <si>
    <t>金刚密宗,聚义门,金龙帮</t>
  </si>
  <si>
    <t>初学者需饮酒辅助修炼的奇特棍法，功成后自然似醉非醉，似醒非醒，棍路狂放诡谲，令人无法捉摸</t>
  </si>
  <si>
    <t>长兵2;经脉1</t>
  </si>
  <si>
    <t>意志2;长兵2;内力0.2</t>
  </si>
  <si>
    <t>长兵30;意志20</t>
  </si>
  <si>
    <t>乱神0.08;疯魔0.04</t>
  </si>
  <si>
    <t>手9;足10</t>
  </si>
  <si>
    <t>手5;足7</t>
  </si>
  <si>
    <t>旋棍-Target-Grid-Happen;墨乱-Target-Grid-Happen</t>
  </si>
  <si>
    <t>蟠龙棍法</t>
  </si>
  <si>
    <t>此棍法注重灵活迅速，因此以短棍为优，棍势如同蟠龙环游周身，使敌人莫能近前</t>
  </si>
  <si>
    <t>长兵1;力道1;灵巧1</t>
  </si>
  <si>
    <t>长兵30;灵巧20</t>
  </si>
  <si>
    <t>手7;腹10</t>
  </si>
  <si>
    <t>手6;腹8</t>
  </si>
  <si>
    <t>大夜叉棍法</t>
  </si>
  <si>
    <t>源于佛门，一种套路简练，以力道见长的棍法，其中扫、劈、拨的招式极多，可压制整片敌人</t>
  </si>
  <si>
    <t>力道3;长兵1;内力0.1</t>
  </si>
  <si>
    <t>长兵20;力道30</t>
  </si>
  <si>
    <t>疲劳0.08</t>
  </si>
  <si>
    <t>头8;足12</t>
  </si>
  <si>
    <t>头5;足6</t>
  </si>
  <si>
    <t>旋棍-Target-Grid-Happen;佛升-Target-Grid-Happen</t>
  </si>
  <si>
    <t>百变菱枪</t>
  </si>
  <si>
    <t>招式繁复多变的枪法，据说由悟性高超之人使出，能产生上百种变化</t>
  </si>
  <si>
    <t>长兵1;体质1;绝技1</t>
  </si>
  <si>
    <t>智力2;体质2;长兵2</t>
  </si>
  <si>
    <t>长兵30;体质20;智力20</t>
  </si>
  <si>
    <t>笨拙0.1</t>
  </si>
  <si>
    <t>问天枪诀</t>
  </si>
  <si>
    <t>举枪问天，霸气豪壮之枪法，其招式多自下而上，或刺或挑，据说源于军中应对骑兵之法</t>
  </si>
  <si>
    <t>长兵2;意志1</t>
  </si>
  <si>
    <t>意志2;长兵1;内力0.2</t>
  </si>
  <si>
    <t>长兵25;意志20</t>
  </si>
  <si>
    <t>头16;胸6</t>
  </si>
  <si>
    <t>头6;胸3</t>
  </si>
  <si>
    <t>风刺-Target-Grid-Happen</t>
  </si>
  <si>
    <t>空灵杖法</t>
  </si>
  <si>
    <t>黄衣老者从仙人指路姿势中悟出，空灵奇绝，一招一式间似在指点迷津，实则往往令敌人误入歧途</t>
  </si>
  <si>
    <t>长兵1;智力1;轻功1</t>
  </si>
  <si>
    <t>智力3;长兵2;内力0.2</t>
  </si>
  <si>
    <t>长兵35;智力25</t>
  </si>
  <si>
    <t>1,0,1</t>
  </si>
  <si>
    <t>震脑0.1</t>
  </si>
  <si>
    <t>劈砍_蓝裂地-Target-Grid-Happen</t>
  </si>
  <si>
    <t>狂风扫雷扇</t>
  </si>
  <si>
    <t>极其快速迅捷之扇法，招式层层叠叠，如同狂风扫雷一般令人目不暇接</t>
  </si>
  <si>
    <t>奇门1;灵巧1;经脉1</t>
  </si>
  <si>
    <t>灵巧2;奇门2;内力0.2</t>
  </si>
  <si>
    <t>奇门30;灵巧20;经脉15</t>
  </si>
  <si>
    <t>连击0.04;雷电0.04</t>
  </si>
  <si>
    <t>清风-Target-Grid-Start;磁暴-Target-Grid-Happen</t>
  </si>
  <si>
    <t>蛇鹤八打</t>
  </si>
  <si>
    <t>奇门对刺功法，其中一刺蛇形柔转灵动，一刺鹤形沉静耸立，双刺齐出令人左右难支，应接不暇</t>
  </si>
  <si>
    <t>奇门35;智力25;灵巧15</t>
  </si>
  <si>
    <t>轻灵0.04;迟缓0.04</t>
  </si>
  <si>
    <t>手19</t>
  </si>
  <si>
    <t>血爪卷-Target-Grid-Happen</t>
  </si>
  <si>
    <t>金龙鞭法</t>
  </si>
  <si>
    <t>一门刚猛鞭法，以至阳内力灌注鞭身，金光耀目，有如蛟龙出海</t>
  </si>
  <si>
    <t>奇门1;力道1;经脉1</t>
  </si>
  <si>
    <t>经脉2;奇门2;内力0.2</t>
  </si>
  <si>
    <t>奇门30;经脉20;力道15</t>
  </si>
  <si>
    <t>头21</t>
  </si>
  <si>
    <t>腾龙-Target-Grid-Happen</t>
  </si>
  <si>
    <t>夺命鞭法</t>
  </si>
  <si>
    <t>号称鞭鞭夺命的阴毒鞭法，招招攻向敌人的软肋和要害处，其凶残狠辣常常令正派人士所不齿</t>
  </si>
  <si>
    <t>奇门1;意志1;智力1</t>
  </si>
  <si>
    <t>奇门35;意志20;智力10</t>
  </si>
  <si>
    <t>脆弱0.08</t>
  </si>
  <si>
    <t>心14;腹6</t>
  </si>
  <si>
    <t>心6;腹4</t>
  </si>
  <si>
    <t>喷血-Target-Grid-Happen</t>
  </si>
  <si>
    <t>乱披风锤法</t>
  </si>
  <si>
    <t>以连续挥击而闻名，短时间内数十次挥出势大力沉之铁锤，即便身强体壮者有时也难以驾驭</t>
  </si>
  <si>
    <t>奇门1;力道1;体质1</t>
  </si>
  <si>
    <t>力道2;体质3;奇门1</t>
  </si>
  <si>
    <t>奇门15;力道20;体质30</t>
  </si>
  <si>
    <t>连绵0.08</t>
  </si>
  <si>
    <t>头12;胸11</t>
  </si>
  <si>
    <t>头4;胸4</t>
  </si>
  <si>
    <t>地震波-Target-Grid-Happen</t>
  </si>
  <si>
    <t>精钢蟹钳功</t>
  </si>
  <si>
    <t>将双刀尾部相抵，然后像蟹钳般剪动的奇特招式，专攻敌之四肢，一旦夹住便伤筋挫骨，再难挣脱</t>
  </si>
  <si>
    <t>奇门1;意志1;绝技1</t>
  </si>
  <si>
    <t>意志3;奇门3;内力0.1</t>
  </si>
  <si>
    <t>奇门35;意志20</t>
  </si>
  <si>
    <t>伤筋0.04;腿足点穴0.04</t>
  </si>
  <si>
    <t>手6;足5</t>
  </si>
  <si>
    <t>普门杖法</t>
  </si>
  <si>
    <t>本是佛门惩罚犯戒僧众的杖法，被江湖人士用以对敌，容易命中，但威力不足</t>
  </si>
  <si>
    <t>奇门2;意志1</t>
  </si>
  <si>
    <t>意志1;奇门1;内力0.3</t>
  </si>
  <si>
    <t>奇门20;意志15</t>
  </si>
  <si>
    <t>命中0.15</t>
  </si>
  <si>
    <t>胸8;腿8</t>
  </si>
  <si>
    <t>胸8;腿6</t>
  </si>
  <si>
    <t>墨劈-Target-Grid-Happen;佛散-Target-Grid-Happen</t>
  </si>
  <si>
    <t>盘根错节斧</t>
  </si>
  <si>
    <t>樵夫出身的奇门高手所创，其招式层层叠叠，专攻下盘，真如老树盘根一般令人动弹不得</t>
  </si>
  <si>
    <t>奇门2;智力1</t>
  </si>
  <si>
    <t>智力3;奇门3;内力0.1</t>
  </si>
  <si>
    <t>奇门25;智力15</t>
  </si>
  <si>
    <t>腿19</t>
  </si>
  <si>
    <t>腿12</t>
  </si>
  <si>
    <t>劈砍_灰-Target-Grid-Happen;爆叶-Target-Grid-Happen</t>
  </si>
  <si>
    <t>回打软鞭式</t>
  </si>
  <si>
    <t>此招重在回打二字，即利用鞭子坚韧，使每一鞭挥出均有回环往复之后招，令人防不胜防</t>
  </si>
  <si>
    <t>奇门1;智力1;轻功1</t>
  </si>
  <si>
    <t>智力2;奇门1;内力0.2</t>
  </si>
  <si>
    <t>奇门30;智力20</t>
  </si>
  <si>
    <t>手12;胸9</t>
  </si>
  <si>
    <t>手5;胸5</t>
  </si>
  <si>
    <t>乱刃-Target-Grid-Start;叶轮-Target-Grid-Happen</t>
  </si>
  <si>
    <t>呼延鞭法</t>
  </si>
  <si>
    <t>少林寺,铁掌帮</t>
  </si>
  <si>
    <t>本是行伍中短钢鞭路数，被化用在长鞭之上，每一鞭挥出皆是孔武有力，威力不俗</t>
  </si>
  <si>
    <t>奇门2;体质1</t>
  </si>
  <si>
    <t>体质2;奇门2;内力0.2</t>
  </si>
  <si>
    <t>奇门30;体质20</t>
  </si>
  <si>
    <t>八门飞刀术</t>
  </si>
  <si>
    <t>以奇门遁甲中的生死八门之法计算飞刀射击的方位，可以缩小乃至封死敌人的躲避空档</t>
  </si>
  <si>
    <t>射术1;智力1;内功1</t>
  </si>
  <si>
    <t>智力2;射术1;内力0.2</t>
  </si>
  <si>
    <t>射术35;智力25</t>
  </si>
  <si>
    <t>胸12;心10</t>
  </si>
  <si>
    <t>胸4;心4</t>
  </si>
  <si>
    <t>乌叶镖</t>
  </si>
  <si>
    <t>峨眉派,金龙帮</t>
  </si>
  <si>
    <t>如同乌黑树叶一般的飞镖，颇有几分重量，在夜间或树林中射出，常人人难以察觉</t>
  </si>
  <si>
    <t>射术2;意志1</t>
  </si>
  <si>
    <t>意志2;射术2;内力0.2</t>
  </si>
  <si>
    <t>射术25;意志20</t>
  </si>
  <si>
    <t>鹰眼0.08</t>
  </si>
  <si>
    <t>胸24</t>
  </si>
  <si>
    <t>1-----1.1</t>
  </si>
  <si>
    <t>龙须针</t>
  </si>
  <si>
    <t>武当派</t>
  </si>
  <si>
    <t>极细极长之银针，需要以灵巧手法催动内劲射出，一旦命中敌人穴道，便可使其内息紊乱</t>
  </si>
  <si>
    <t>射术1;灵巧1;经脉1</t>
  </si>
  <si>
    <t>射术25;灵巧25;经脉25</t>
  </si>
  <si>
    <t>混乱0.08</t>
  </si>
  <si>
    <t>腹22</t>
  </si>
  <si>
    <t>4-----0.9</t>
  </si>
  <si>
    <t>铁链飞爪</t>
  </si>
  <si>
    <t>尾部连接锁链的特制铁爪，命中目标后，爪上倒钩会自动收紧并牢牢抓握，从而阻滞其行动</t>
  </si>
  <si>
    <t>射术2;灵巧1</t>
  </si>
  <si>
    <t>灵巧2;射术1;内力0.2</t>
  </si>
  <si>
    <t>射术35;灵巧15</t>
  </si>
  <si>
    <t>裂膝0.1;拉近2</t>
  </si>
  <si>
    <t>手25</t>
  </si>
  <si>
    <t>锁链-Target-Grid-Happen</t>
  </si>
  <si>
    <t>流星锤</t>
  </si>
  <si>
    <t>将金属锤头系于长绳一端，可旋转蓄力，如由力大者甩出，真如流行破空般势不可挡</t>
  </si>
  <si>
    <t>射术1;力道1;体质1</t>
  </si>
  <si>
    <t>力道2;射术2;内力0.2</t>
  </si>
  <si>
    <t>射术25;力道20;体质10</t>
  </si>
  <si>
    <t>胸10;腹14</t>
  </si>
  <si>
    <t>胸2;腹4</t>
  </si>
  <si>
    <t>3-----0.4</t>
  </si>
  <si>
    <t>打击1-Target-Grid-Happen</t>
  </si>
  <si>
    <t>银飞梭</t>
  </si>
  <si>
    <t>金刚密宗,巨鲸帮</t>
  </si>
  <si>
    <t>小枚的银质梭镖，可借由内劲丢出，断脉打穴，颇为方便</t>
  </si>
  <si>
    <t>射术1;力道1;经脉1</t>
  </si>
  <si>
    <t>经脉2;射术2;内力0.2</t>
  </si>
  <si>
    <t>射术30;经脉20;力道15</t>
  </si>
  <si>
    <t>4,2,5</t>
  </si>
  <si>
    <t>截脉0.08</t>
  </si>
  <si>
    <t>17-----1</t>
  </si>
  <si>
    <t>铁索渔网</t>
  </si>
  <si>
    <t>一张由铁索编成的大网，以内劲抛出，可罩住颇大一片范围，落网之人皆动弹不得</t>
  </si>
  <si>
    <t>射术2;经脉1</t>
  </si>
  <si>
    <t>射术25;智力20;经脉10</t>
  </si>
  <si>
    <t>腿足点穴0.15</t>
  </si>
  <si>
    <t>腿23</t>
  </si>
  <si>
    <t>腿5</t>
  </si>
  <si>
    <t>含沙射影</t>
  </si>
  <si>
    <t>以灵巧手法抛出大量粹毒铁砂，一旦接触皮肤或眼睛，便疼痛难忍，无法再战</t>
  </si>
  <si>
    <t>射术1;灵巧1;轻功1</t>
  </si>
  <si>
    <t>灵巧3;射术3;内力0.1</t>
  </si>
  <si>
    <t>射术30;灵巧20</t>
  </si>
  <si>
    <t>目盲0.08</t>
  </si>
  <si>
    <t>头7</t>
  </si>
  <si>
    <t>11-----1</t>
  </si>
  <si>
    <t>刀叶扇</t>
  </si>
  <si>
    <t>扇叶边缘极为锋利之铁扇，只需触动机关，便会一齐激射而出</t>
  </si>
  <si>
    <t>射术2;智力1</t>
  </si>
  <si>
    <t>智力3;射术3;内力0.1</t>
  </si>
  <si>
    <t>射术30;智力20</t>
  </si>
  <si>
    <t>流血0.08</t>
  </si>
  <si>
    <t>腹8;腿15</t>
  </si>
  <si>
    <t>腹3;腿6</t>
  </si>
  <si>
    <t>乾坤飞轮</t>
  </si>
  <si>
    <t>奇形飞轮，掷出后划圆弧飞行并回到手中，熟练者可反复次第掷出多枚，令敌人难以闪避</t>
  </si>
  <si>
    <t>射术1;体质1;意志1</t>
  </si>
  <si>
    <t>体质2;射术2;内力0.2</t>
  </si>
  <si>
    <t>射术35;体质20;意志10</t>
  </si>
  <si>
    <t>0,2,2</t>
  </si>
  <si>
    <t>头12;胸8</t>
  </si>
  <si>
    <t>9-----1.1</t>
  </si>
  <si>
    <t>潜渊心经</t>
  </si>
  <si>
    <t>韬光养晦之功法，将内力藏于丹田，如龙潜于深渊之中，以图厚积薄发之机</t>
  </si>
  <si>
    <t>经脉潜力1;内功1;体质1</t>
  </si>
  <si>
    <t>生命上限80;内力上限80;内功12;体质12;内伤0.05;调息0.05</t>
  </si>
  <si>
    <t>内功50;体质30;经脉20</t>
  </si>
  <si>
    <t>五岳独尊功</t>
  </si>
  <si>
    <t>泰山高手留下的内家心法，其内力奔流之势雄浑磅礴，有如泰山压顶，能敌百人</t>
  </si>
  <si>
    <t>内功潜力1;内功1;力道1</t>
  </si>
  <si>
    <t>生命上限120;内力上限40;内功12;力道12;外伤0.1</t>
  </si>
  <si>
    <t>内功45;力道30</t>
  </si>
  <si>
    <t>乾元功</t>
  </si>
  <si>
    <t>此心法暗合天道，旨在颐养神智，功成后如高僧入定，泰山崩于前亦面不改色</t>
  </si>
  <si>
    <t>智力潜力1;内功1;意志1</t>
  </si>
  <si>
    <t>生命上限100;内力上限60;内功12;意志12;回血0.01</t>
  </si>
  <si>
    <t>内功40;意志30;智力25</t>
  </si>
  <si>
    <t>潮起月盈功</t>
  </si>
  <si>
    <t>潮起潮落，月盈月亏，据说此功法有异曲同工之妙，在吐纳呼吸之间，积蓄澎湃之内力</t>
  </si>
  <si>
    <t>内功潜力1;内功1;经脉1</t>
  </si>
  <si>
    <t>生命上限40;内力上限120;内功12;经脉12;回内0.015</t>
  </si>
  <si>
    <t>内功45;经脉30</t>
  </si>
  <si>
    <t>太上十三经</t>
  </si>
  <si>
    <t>蕴含道家修真法门的内功典籍，讲求清静无为，归根复命，资质凡俗者颇难参悟</t>
  </si>
  <si>
    <t>内功潜力1;内功1;智力1</t>
  </si>
  <si>
    <t>生命上限60;内力上限100;内功12;智力12;吸内0.2</t>
  </si>
  <si>
    <t>内功55;智力35</t>
  </si>
  <si>
    <t>水上漂</t>
  </si>
  <si>
    <t>借助踩踏之力，在水面漂行之轻功，初时需要借助木板训练，功成后可奔行数丈而不沉</t>
  </si>
  <si>
    <t>轻功潜力1;轻功1;灵巧1</t>
  </si>
  <si>
    <t>轻功12;灵巧12;轻灵0.1</t>
  </si>
  <si>
    <t>轻功45;灵巧25</t>
  </si>
  <si>
    <t>七步追魂</t>
  </si>
  <si>
    <t>此七招步法，步步皆兵行险要，出人意料，有追魂夺命之能</t>
  </si>
  <si>
    <t>意志潜力1;轻功1;智力1</t>
  </si>
  <si>
    <t>轻功12;力道3;智力9;神行0.1</t>
  </si>
  <si>
    <t>轻功50;智力30;意志25</t>
  </si>
  <si>
    <t>八步赶蝉</t>
  </si>
  <si>
    <t>极快之轻功，相传功成者在八步之内赶上飞蝉，如同探囊取物</t>
  </si>
  <si>
    <t>轻功潜力1;轻功1;力道1</t>
  </si>
  <si>
    <t>轻功15;力道6;体质3;速度0.1</t>
  </si>
  <si>
    <t>轻功45;力道30;体质20</t>
  </si>
  <si>
    <t>踏空行</t>
  </si>
  <si>
    <t>驱动全身劲道腾跃空中，滑翔落地时双腿自然摆动，宛若踏空而行</t>
  </si>
  <si>
    <t>轻功潜力1;轻功1;意志1</t>
  </si>
  <si>
    <t>轻功9;灵巧9;意志6;急速0.1</t>
  </si>
  <si>
    <t>轻功40;灵巧30;意志20</t>
  </si>
  <si>
    <t>飒沓流星步</t>
  </si>
  <si>
    <t>此步法讲求绵绵不绝之快速平移，使用者如纷繁流星划空，令敌人眼花缭乱</t>
  </si>
  <si>
    <t>灵巧潜力1;轻功1;体质1</t>
  </si>
  <si>
    <t>轻功12;灵巧6;体质6;飘逸0.1</t>
  </si>
  <si>
    <t>轻功55;灵巧35;体质20</t>
  </si>
  <si>
    <t>虎鹤双形</t>
  </si>
  <si>
    <t>此绝技身形兼具虎之刚劲威猛与鹤之柔韧灵速，可谓刚柔并济，攻守兼备</t>
  </si>
  <si>
    <t>绝技潜力1;绝技1;力道1</t>
  </si>
  <si>
    <t>绝技8;力道8;灵巧8;压制0.05;反击0.05</t>
  </si>
  <si>
    <t>绝技55;力道35;灵巧20</t>
  </si>
  <si>
    <t>真元护体</t>
  </si>
  <si>
    <t>将内息灌注周身经脉，用以抵挡攻击的防御法门，需有深厚内力根基方能发挥功效</t>
  </si>
  <si>
    <t>体质潜力1;绝技1;经脉1</t>
  </si>
  <si>
    <t>绝技6;体质8;经脉10;护体真气0.2</t>
  </si>
  <si>
    <t>绝技45;经脉30;体质20</t>
  </si>
  <si>
    <t>五方揭谛功</t>
  </si>
  <si>
    <t>源于佛门的心神修炼之法，讲求临危不乱，神识铁铸，有如五方揭谛加持一般</t>
  </si>
  <si>
    <t>绝技潜力1;绝技1;意志1</t>
  </si>
  <si>
    <t>绝技12;智力3;意志9;慧眼0.05;鹰眼0.05</t>
  </si>
  <si>
    <t>绝技45;意志25</t>
  </si>
  <si>
    <t>熊形虎相</t>
  </si>
  <si>
    <t>健体强身之苦修功法，相传修习者日啖牛肉数斤而不觉饱，持之日久可得熊虎之相</t>
  </si>
  <si>
    <t>绝技潜力1;绝技1;体质1</t>
  </si>
  <si>
    <t>绝技12;意志3;体质9;卸力0.1</t>
  </si>
  <si>
    <t>绝技50;体质30;意志25</t>
  </si>
  <si>
    <t>雷霆万钧</t>
  </si>
  <si>
    <t>极大加快出手速度的发力技巧，招法快如闪电，兼具万钧之势，常人难挡</t>
  </si>
  <si>
    <t>力道潜力1;绝技1;灵巧1</t>
  </si>
  <si>
    <t>绝技9;力道6;灵巧9;雷电0.1</t>
  </si>
  <si>
    <t>绝技40;灵巧30;力道20</t>
  </si>
  <si>
    <t>飞凤手</t>
  </si>
  <si>
    <t>双手上下翻转，如同龙飞凤舞，颇为好看，其实暗含巨大力道，不能掉以轻心</t>
  </si>
  <si>
    <t>拳掌潜力1;拳掌1;力道1</t>
  </si>
  <si>
    <t>力道2;拳掌3;内力0.2</t>
  </si>
  <si>
    <t>拳掌45;力道25</t>
  </si>
  <si>
    <t>连击0.06;内劲0.06</t>
  </si>
  <si>
    <t>头12;胸10</t>
  </si>
  <si>
    <t>头8;胸5</t>
  </si>
  <si>
    <t>血龙卷-Target-Grid-Happen</t>
  </si>
  <si>
    <t>缠丝擒拿手</t>
  </si>
  <si>
    <t>此手法如同蜘蛛缠丝一般，轻巧柔弱，层层叠叠，待到敌人发觉，已被其中内劲所制，再难反抗</t>
  </si>
  <si>
    <t>经脉潜力1;拳掌1;经脉1</t>
  </si>
  <si>
    <t>经脉2;拳掌3;内力0.2</t>
  </si>
  <si>
    <t>拳掌50;经脉35</t>
  </si>
  <si>
    <t>手臂点穴0.06;迟缓0.06</t>
  </si>
  <si>
    <t>手8;心10</t>
  </si>
  <si>
    <t>手10;心8</t>
  </si>
  <si>
    <t>清风-Target-Grid-Start;网旋-Target-Grid-Happen</t>
  </si>
  <si>
    <t>百花错拳</t>
  </si>
  <si>
    <t>融合百家拳法而成，招式似是而非，真假莫辨，旁人看来错漏百出，但实则招招出其不意</t>
  </si>
  <si>
    <t>拳掌潜力1;拳掌1;意志1</t>
  </si>
  <si>
    <t>意志2;拳掌3;内力0.2</t>
  </si>
  <si>
    <t>拳掌55;意志30</t>
  </si>
  <si>
    <t>乱神0.05;昏沉0.05</t>
  </si>
  <si>
    <t>心12;腹10</t>
  </si>
  <si>
    <t>心6;腹6</t>
  </si>
  <si>
    <t>蝴蝶斩-Target-Grid-Happen;红花-Target-Grid-Happen</t>
  </si>
  <si>
    <t>劈金碎玉掌</t>
  </si>
  <si>
    <t>以硬功见长的刚猛掌法，每掌击出皆隐隐有金玉破空之声，砖石着之即碎，钢铁亦能击打弯折，足见其威力不凡</t>
  </si>
  <si>
    <t>力道潜力1;拳掌1;体质1</t>
  </si>
  <si>
    <t>体质2;拳掌2;内力0.4</t>
  </si>
  <si>
    <t>拳掌40;体质30;力道20</t>
  </si>
  <si>
    <t>外伤0.05;眩晕0.05</t>
  </si>
  <si>
    <t>胸14;腹9</t>
  </si>
  <si>
    <t>胸6;腹4</t>
  </si>
  <si>
    <t>地爆-Target-Grid-Happen</t>
  </si>
  <si>
    <t>分筋错骨手</t>
  </si>
  <si>
    <t>主攻关节部位的阴毒擒拿手法，招法灵活诡谲，敌人一旦着手，难免伤筋错骨，无力再战</t>
  </si>
  <si>
    <t>拳掌潜力1;拳掌1;灵巧1</t>
  </si>
  <si>
    <t>灵巧2;拳掌3;内力0.2</t>
  </si>
  <si>
    <t>拳掌45;灵巧30</t>
  </si>
  <si>
    <t>伤筋0.05;断骨0.05</t>
  </si>
  <si>
    <t>手12;足10</t>
  </si>
  <si>
    <t>追魂夺命剑</t>
  </si>
  <si>
    <t>以连续追击而闻名之剑术，一剑比一剑更快，更险，敌人刚挡下一剑，往往数剑又至</t>
  </si>
  <si>
    <t>剑法潜力1;剑法1;力道1</t>
  </si>
  <si>
    <t>力道2;灵巧3;剑法2</t>
  </si>
  <si>
    <t>剑法50;力道35;灵巧20</t>
  </si>
  <si>
    <t>4,1,5</t>
  </si>
  <si>
    <t>连击0.12</t>
  </si>
  <si>
    <t>心14;头12</t>
  </si>
  <si>
    <t>心4;头4</t>
  </si>
  <si>
    <t>圆斩血-Target-Grid-Happen</t>
  </si>
  <si>
    <t>子午十二剑</t>
  </si>
  <si>
    <t>所为子午，一阴一阳，一北一南，剑招蕴含天干地支，时辰方位之理，聪慧过人者方能参悟</t>
  </si>
  <si>
    <t>灵巧潜力1;剑法1;智力1</t>
  </si>
  <si>
    <t>智力2;剑法3;内力0.2</t>
  </si>
  <si>
    <t>剑法55;灵巧30;智力20</t>
  </si>
  <si>
    <t>弱点0.06;醒脑0.06</t>
  </si>
  <si>
    <t>圆斩电-Target-Grid-Happen;八卦光-Target-Grid-Happen</t>
  </si>
  <si>
    <t>点苍遗剑</t>
  </si>
  <si>
    <t>古门派点苍遗留之剑谱，大巧不工，重剑无锋，招式之中颇有古朴归真之意</t>
  </si>
  <si>
    <t>经脉潜力1;剑法1;体质1</t>
  </si>
  <si>
    <t>体质2;剑法2;内力0.3</t>
  </si>
  <si>
    <t>剑法40;体质30;经脉15</t>
  </si>
  <si>
    <t>断腕0.05;伤害0.05</t>
  </si>
  <si>
    <t>胸11;腹10</t>
  </si>
  <si>
    <t>胸5;腹6</t>
  </si>
  <si>
    <t>无影乱剑</t>
  </si>
  <si>
    <t>以内劲灌注剑刃，使之高速颤动化为残影，配合此套剑招使出，令人眼花缭乱，难辨虚实</t>
  </si>
  <si>
    <t>剑法潜力1;剑法1;经脉1</t>
  </si>
  <si>
    <t>经脉2;剑法3;内力0.2</t>
  </si>
  <si>
    <t>剑法45;经脉30</t>
  </si>
  <si>
    <t>连绵0.05;目盲0.05</t>
  </si>
  <si>
    <t>头10;手10</t>
  </si>
  <si>
    <t>头8;手4</t>
  </si>
  <si>
    <t>极速剑影-Target-Grid-Happen;羽毛-Target-Grid-Start</t>
  </si>
  <si>
    <t>越女剑法</t>
  </si>
  <si>
    <t>战国女子传于越王之古剑法，本用于上阵杀敌，后经高人改编更为轻灵翔动，于锋锐中另藏变化</t>
  </si>
  <si>
    <t>剑法潜力1;剑法1;灵巧1</t>
  </si>
  <si>
    <t>灵巧2;剑法3;内力0.2</t>
  </si>
  <si>
    <t>剑法45;灵巧25</t>
  </si>
  <si>
    <t>轻灵0.05;迟缓0.05</t>
  </si>
  <si>
    <t>腹12;足8</t>
  </si>
  <si>
    <t>腹8;足6</t>
  </si>
  <si>
    <t>劈砍_黑白多重大-Target-Grid-Happen</t>
  </si>
  <si>
    <t>两仪刀法</t>
  </si>
  <si>
    <t>从四象八卦中演化而出的刀法，其中变化八八六十四式，纷繁复杂，连舞三天三夜亦不能穷尽</t>
  </si>
  <si>
    <t>刀法潜力1;刀法1;智力1</t>
  </si>
  <si>
    <t>智力2;刀法3;内力0.2</t>
  </si>
  <si>
    <t>刀法55;智力30</t>
  </si>
  <si>
    <t>阻滞0.05;杀机0.05</t>
  </si>
  <si>
    <t>手12;足9</t>
  </si>
  <si>
    <t>手7;足6</t>
  </si>
  <si>
    <t>墨卷-Target-Grid-Happen;八卦升-Target-Grid-Happen</t>
  </si>
  <si>
    <t>羽衣刀法</t>
  </si>
  <si>
    <t>轻快迅捷之刀法，施展时闪烁刀光覆盖周身，犹如身披羽衣，寻常拳脚不能近之</t>
  </si>
  <si>
    <t>力道潜力1;刀法1;灵巧1</t>
  </si>
  <si>
    <t>灵巧2;刀法3;内力0.2</t>
  </si>
  <si>
    <t>刀法40;灵巧30;力道15</t>
  </si>
  <si>
    <t>昏沉0.05;目盲0.05</t>
  </si>
  <si>
    <t>胸8;腹8</t>
  </si>
  <si>
    <t>羽散-Target-Grid-Happen;三连剑影小-Target-Grid-Happen</t>
  </si>
  <si>
    <t>空空玄玄刀</t>
  </si>
  <si>
    <t>相传乃是一无名老道所传，以虚招为主，刀意空玄飘幻，令人如坠云里雾里，无从捉摸</t>
  </si>
  <si>
    <t>刀法潜力1;刀法1;体质1</t>
  </si>
  <si>
    <t>意志2;刀法3;内力0.2</t>
  </si>
  <si>
    <t>刀法50;意志35;灵巧20</t>
  </si>
  <si>
    <t>迟缓0.05;笨拙0.05</t>
  </si>
  <si>
    <t>头10;手12</t>
  </si>
  <si>
    <t>头6;手6</t>
  </si>
  <si>
    <t>墨烟-Target-Grid-Happen;墨旋-Target-Grid-Happen</t>
  </si>
  <si>
    <t>东瀛刀术</t>
  </si>
  <si>
    <t>东瀛武士之刀法，招法看似简单，实则强调对人体力道之极致运用，无需内力修为便能发挥威力</t>
  </si>
  <si>
    <t>体质潜力1;刀法1;意志1</t>
  </si>
  <si>
    <t>力道3;体质3;刀法1</t>
  </si>
  <si>
    <t>刀法45;体质20;力道20</t>
  </si>
  <si>
    <t>穿甲0.05;暴击0.05</t>
  </si>
  <si>
    <t>心6;腹8</t>
  </si>
  <si>
    <t>三连剑影中-Target-Grid-Happen</t>
  </si>
  <si>
    <t>升天斩</t>
  </si>
  <si>
    <t>猛将所传，刀势自下而上攻击骑兵之招数，据说由臂力惊人者使用，能挑飞战马</t>
  </si>
  <si>
    <t>刀法潜力1;刀法1;力道1</t>
  </si>
  <si>
    <t>力道3;刀法2;内力0.2</t>
  </si>
  <si>
    <t>刀法45;力道30</t>
  </si>
  <si>
    <t>死战0.05;失衡0.05</t>
  </si>
  <si>
    <t>头8;胸4</t>
  </si>
  <si>
    <t>升龙斩-Target-Grid-Happen</t>
  </si>
  <si>
    <t>阴符枪谱</t>
  </si>
  <si>
    <t>静为阴，动为符，此枪法动静结合，兵行诡道，专攻下三路，敌人稍有不慎便非残既伤</t>
  </si>
  <si>
    <t>长兵潜力1;长兵1;智力1</t>
  </si>
  <si>
    <t>智力2;长兵3;内力0.2</t>
  </si>
  <si>
    <t>长兵45;智力25</t>
  </si>
  <si>
    <t>裂膝0.06;腿足点穴0.06</t>
  </si>
  <si>
    <t>腹8;足15</t>
  </si>
  <si>
    <t>腹8;足4</t>
  </si>
  <si>
    <t>多重暗影-Target-Grid-Happen</t>
  </si>
  <si>
    <t>灵蛇杖法</t>
  </si>
  <si>
    <t>杖本刚硬，以纯阴内力灌注后竟生出几分韧性，由此使出如灵蛇般柔转迅敏，专攻心腹薄弱之处</t>
  </si>
  <si>
    <t>意志潜力1;长兵1;经脉1</t>
  </si>
  <si>
    <t>经脉2;长兵3;内力0.2</t>
  </si>
  <si>
    <t>长兵45;经脉30;意志25</t>
  </si>
  <si>
    <t>腰腹点穴0.05;虚弱0.05</t>
  </si>
  <si>
    <t>心9;腹12</t>
  </si>
  <si>
    <t>心5;腹8</t>
  </si>
  <si>
    <t>蛇头-Target-Grid-Happen</t>
  </si>
  <si>
    <t>燎原百击枪</t>
  </si>
  <si>
    <t>猛将应对盾牌之法，如烈火燎原，狂猛高速不断刺击，再严密之防御也难掩其锋芒</t>
  </si>
  <si>
    <t>体质潜力1;长兵1;力道1</t>
  </si>
  <si>
    <t>力道3;体质2;长兵2</t>
  </si>
  <si>
    <t>长兵55;力道35;体质20</t>
  </si>
  <si>
    <t>外伤0.06;击退2</t>
  </si>
  <si>
    <t>手6;胸16</t>
  </si>
  <si>
    <t>手4;胸8</t>
  </si>
  <si>
    <t>焚天棍影</t>
  </si>
  <si>
    <t>此棍法以攻代守，全力狂舞之时，棍影遮天蔽日，旨在以舍身之势压倒敌人的战意</t>
  </si>
  <si>
    <t>长兵潜力1;长兵1;意志1</t>
  </si>
  <si>
    <t>意志2;长兵3;内力0.2</t>
  </si>
  <si>
    <t>长兵40;意志30</t>
  </si>
  <si>
    <t>压制0.05;重碾0.05</t>
  </si>
  <si>
    <t>胸8;头16</t>
  </si>
  <si>
    <t>胸6;头4</t>
  </si>
  <si>
    <t>火圈-Target-Grid-Happen</t>
  </si>
  <si>
    <t>百鸟朝凤枪</t>
  </si>
  <si>
    <t>据说是三国名将所传招式，枪势大开大合，威武沉稳，招法华丽又不失实用性，颇具王者气象</t>
  </si>
  <si>
    <t>长兵潜力1;长兵1;体质1</t>
  </si>
  <si>
    <t>体质3;长兵3;内力0.1</t>
  </si>
  <si>
    <t>长兵50;体质30</t>
  </si>
  <si>
    <t>5,2,3</t>
  </si>
  <si>
    <t>伤害0.05;命中0.05</t>
  </si>
  <si>
    <t>心12;头9</t>
  </si>
  <si>
    <t>心8;头5</t>
  </si>
  <si>
    <t>血龙卷-Target-Grid-Happen;羽散-Target-Grid-Happen</t>
  </si>
  <si>
    <t>毗卢鞭法</t>
  </si>
  <si>
    <t>本用于惩罚犯戒僧众的佛门鞭式，也可做苦修之法，对使用者的内力修为要求较高</t>
  </si>
  <si>
    <t>意志潜力1;奇门1;经脉1</t>
  </si>
  <si>
    <t>经脉2;奇门2;内力0.3</t>
  </si>
  <si>
    <t>奇门45;经脉30;意志20</t>
  </si>
  <si>
    <t>3,1,4</t>
  </si>
  <si>
    <t>流血0.06;疲劳0.06</t>
  </si>
  <si>
    <t>心11;胸10</t>
  </si>
  <si>
    <t>心7;胸6</t>
  </si>
  <si>
    <t>佛升-Target-Grid-Happen;火龙卷-Target-Grid-Happen</t>
  </si>
  <si>
    <t>子午鸳鸯钺</t>
  </si>
  <si>
    <t>擅长招架攻击的成对奇门兵刃，出手时开合交织，难舍难分，恰似一对鸳鸯</t>
  </si>
  <si>
    <t>智力潜力1;奇门1;灵巧1</t>
  </si>
  <si>
    <t>灵巧2;奇门3;内力0.2</t>
  </si>
  <si>
    <t>奇门45;灵巧30;智力20</t>
  </si>
  <si>
    <t>不屈0.05;手臂点穴0.05</t>
  </si>
  <si>
    <t>手9;足9</t>
  </si>
  <si>
    <t>skill4_2</t>
  </si>
  <si>
    <t>轮</t>
  </si>
  <si>
    <t>判官笔法</t>
  </si>
  <si>
    <t>书法名家所创，或挥或洒，或点或按，走脉打穴之间颇现笔力，悟性不足者难得其神髓</t>
  </si>
  <si>
    <t>奇门潜力1;奇门1;智力1</t>
  </si>
  <si>
    <t>智力2;奇门3;内力0.2</t>
  </si>
  <si>
    <t>奇门55;智力30</t>
  </si>
  <si>
    <t>心胸点穴0.08;腰腹点穴0.04</t>
  </si>
  <si>
    <t>胸10;腹10</t>
  </si>
  <si>
    <t>胸7;腹7</t>
  </si>
  <si>
    <t>skill4_7</t>
  </si>
  <si>
    <t>笔</t>
  </si>
  <si>
    <t>月牙弯钩</t>
  </si>
  <si>
    <t>如同一轮弯月的细长铁钩，一旦被其钩中便再难脱身，乃是苗疆抓捕恶徒之奇门兵刃</t>
  </si>
  <si>
    <t>奇门潜力1;奇门1;意志1</t>
  </si>
  <si>
    <t>意志2;奇门3;内力0.2</t>
  </si>
  <si>
    <t>奇门50;意志35</t>
  </si>
  <si>
    <t>拉近3;腿足点穴0.06</t>
  </si>
  <si>
    <t>手14;头10</t>
  </si>
  <si>
    <t>手4;头6</t>
  </si>
  <si>
    <t>弯月-Target-Grid-Happen</t>
  </si>
  <si>
    <t>开天辟地斧</t>
  </si>
  <si>
    <t>以巨斧迎头重劈的奇门招式，伴以怒吼之声増其声威，如盘古开天地般势不可挡</t>
  </si>
  <si>
    <t>奇门潜力1;奇门1;体质1</t>
  </si>
  <si>
    <t>体质2;奇门3;内力0.2</t>
  </si>
  <si>
    <t>奇门45;体质30</t>
  </si>
  <si>
    <t>活血0.05;外伤0.05</t>
  </si>
  <si>
    <t>头12;足12</t>
  </si>
  <si>
    <t>头5;足5</t>
  </si>
  <si>
    <t>雷公钻</t>
  </si>
  <si>
    <t>带有螺旋形锋利棱角的铁钻，用铁锤击打射出，力道惊人，在中距离上可以贯穿甲胄，重伤敌人</t>
  </si>
  <si>
    <t>射术潜力1;射术1;力道1</t>
  </si>
  <si>
    <t>力道2;射术3;内力0.2</t>
  </si>
  <si>
    <t>射术50;力道35</t>
  </si>
  <si>
    <t>破甲0.05;雷电0.05</t>
  </si>
  <si>
    <t>胸16;心6</t>
  </si>
  <si>
    <t>胸2;心2</t>
  </si>
  <si>
    <t>7-----1.1</t>
  </si>
  <si>
    <t>穿刺_风电-Target-Grid-Happen;闪电-Target-Grid-Happen</t>
  </si>
  <si>
    <t>子母如意珠</t>
  </si>
  <si>
    <t>看似平平无奇的铁珠，实则内藏数个更小的铁珠，手法高超者掷出，能同时打击多个穴位</t>
  </si>
  <si>
    <t>射术潜力1;射术1;智力1</t>
  </si>
  <si>
    <t>智力2;射术3;内力0.2</t>
  </si>
  <si>
    <t>射术45;智力30</t>
  </si>
  <si>
    <t>腿足点穴0.08;头颈点穴0.04</t>
  </si>
  <si>
    <t>胸10;头12</t>
  </si>
  <si>
    <t>胸4;头4</t>
  </si>
  <si>
    <t>15-----1.15</t>
  </si>
  <si>
    <t>爆炸星-Target-Grid-Happen</t>
  </si>
  <si>
    <t>腐骨针</t>
  </si>
  <si>
    <t>涂有腐骨剧毒的钢针，威力较弱，主要以其猛烈毒性伤人</t>
  </si>
  <si>
    <t>灵巧潜力1;射术1;经脉1</t>
  </si>
  <si>
    <t>经脉2;射术3;内力0.2</t>
  </si>
  <si>
    <t>射术40;经脉30;灵巧20</t>
  </si>
  <si>
    <t>0,3,6</t>
  </si>
  <si>
    <t>毒素0.06;腰腹点穴0.04</t>
  </si>
  <si>
    <t>心14;腹10</t>
  </si>
  <si>
    <t>心2;腹4</t>
  </si>
  <si>
    <t>5-----1.1</t>
  </si>
  <si>
    <t>喷毒-Target-Grid-Happen</t>
  </si>
  <si>
    <t>赤链蛇锥</t>
  </si>
  <si>
    <t>小巧的蛇形锥刺，便于携带隐藏，使用起来防不胜防，威力不俗且带有些微毒性</t>
  </si>
  <si>
    <t>射术潜力1;射术1;灵巧1</t>
  </si>
  <si>
    <t>灵巧2;射术3;内力0.2</t>
  </si>
  <si>
    <t>射术55;灵巧35</t>
  </si>
  <si>
    <t>毒素0.04;凝血0.06</t>
  </si>
  <si>
    <t>足16;腹8</t>
  </si>
  <si>
    <t>足2;腹2</t>
  </si>
  <si>
    <t>5-----1.3</t>
  </si>
  <si>
    <t>阴冥砂</t>
  </si>
  <si>
    <t>阴险剧毒之暗器，中此砂者痛苦万分，如坠黄泉九幽，求生不得，求死不能</t>
  </si>
  <si>
    <t>智力潜力1;射术1;意志1</t>
  </si>
  <si>
    <t>意志2;射术3;内力0.2</t>
  </si>
  <si>
    <t>射术45;意志25;智力15</t>
  </si>
  <si>
    <t>毒素0.1;虚弱0.05</t>
  </si>
  <si>
    <t>头18;手6</t>
  </si>
  <si>
    <t>头4;手2</t>
  </si>
  <si>
    <t>11-----1.1</t>
  </si>
  <si>
    <t>毒雾-Target-Grid-Happen</t>
  </si>
  <si>
    <t>六言真经</t>
  </si>
  <si>
    <t>极为高深的佛门心法，其言甚简却涵摄诸多法门之精义，对于修行者心智神识均大有裨益</t>
  </si>
  <si>
    <t>内功潜力2;内功1;智力1</t>
  </si>
  <si>
    <t>生命上限150;内力上限50;内功10;智力10;意志10;无敌0.03;回血0.006</t>
  </si>
  <si>
    <t>内功65;智力40;意志30</t>
  </si>
  <si>
    <t>先天功</t>
  </si>
  <si>
    <t>道家修真之法，可激发人体及经脉之潜能，据说修炼此功法至巅峰，便能逼近凡人武学之极限</t>
  </si>
  <si>
    <t>内功潜力1;力道潜力1;经脉潜力1</t>
  </si>
  <si>
    <t>生命上限100;内力上限100;内功10;力道10;经脉10;护体真气0.12;恢复0.06</t>
  </si>
  <si>
    <t>内功60;力道45;经脉35</t>
  </si>
  <si>
    <t>元神出窍功</t>
  </si>
  <si>
    <t>将内息脱离体外建立循环的高超功法，修行者自觉物我两忘，天人合一之时，方为大成</t>
  </si>
  <si>
    <t>内功潜力1;灵巧潜力1;内功1;经脉1</t>
  </si>
  <si>
    <t>生命上限50;内力上限150;内功12;经脉12;灵巧6;内伤0.06;回内0.009</t>
  </si>
  <si>
    <t>内功55;经脉50;灵巧25</t>
  </si>
  <si>
    <t>如影随形</t>
  </si>
  <si>
    <t>顶尖杀手所使步法，有如鬼魅，无踪无影，无声无息，待敌人发觉之时，往往已陷入死境</t>
  </si>
  <si>
    <t>轻功潜力2;轻功1;灵巧1</t>
  </si>
  <si>
    <t>轻功15;灵巧15;暴击0.06;急速0.06</t>
  </si>
  <si>
    <t>轻功60;灵巧50</t>
  </si>
  <si>
    <t>攀云乘龙</t>
  </si>
  <si>
    <t>纵跃能力超绝之轻功，手伸足蹬间，如攀爬阶梯直至云上，常人见之只道是仙人乘龙，无不称奇</t>
  </si>
  <si>
    <t>轻功潜力1;力道潜力1;轻功1;意志1</t>
  </si>
  <si>
    <t>轻功12;力道9;体质9;鹰眼0.08;移距1</t>
  </si>
  <si>
    <t>轻功65;力道45;体质35</t>
  </si>
  <si>
    <t>嫦娥奔月</t>
  </si>
  <si>
    <t>一门滞空飘行之身法，修习者可借由微风之力扶摇而上，常人视之，真如直奔月宫而去一般</t>
  </si>
  <si>
    <t>轻功潜力1;意志潜力1;轻功1;灵巧1</t>
  </si>
  <si>
    <t>轻功10;灵巧10;意志10;速度0.12</t>
  </si>
  <si>
    <t>轻功55;意志40;灵巧30</t>
  </si>
  <si>
    <t>刀枪不入法</t>
  </si>
  <si>
    <t>刀枪不入乃硬功之祖，需日夜苦练配合秘药外敷内服，待大功告成，刀砍枪戳之，亦只能留下几道白印而已</t>
  </si>
  <si>
    <t>绝技潜力1;体质潜力1;绝技1;体质1</t>
  </si>
  <si>
    <t>绝技15;体质15;护甲6</t>
  </si>
  <si>
    <t>绝技55;体质45</t>
  </si>
  <si>
    <t>蛤蟆奇功</t>
  </si>
  <si>
    <t>如蛤蟆一般蹲伏于地，姿势颇为不雅，实则是以静制动，蓄势待发之高深法门，一经发动，则排山倒海势不可挡</t>
  </si>
  <si>
    <t>绝技潜力1;智力潜力1;意志潜力1</t>
  </si>
  <si>
    <t>绝技10;力道10;意志10;杀机0.06;铜皮0.06</t>
  </si>
  <si>
    <t>绝技60;意志50;力道30</t>
  </si>
  <si>
    <t>梦斩真龙</t>
  </si>
  <si>
    <t>出手运劲之姿似醉似醒，如梦如幻，招招皆出人意料，又在情理之中，只有智慧超绝者方能掌握的绝技法门</t>
  </si>
  <si>
    <t>绝技潜力2;绝技1;智力1</t>
  </si>
  <si>
    <t>绝技12;灵巧6;智力12;鹰眼0.06;破招0.06</t>
  </si>
  <si>
    <t>绝技65;智力45;灵巧35</t>
  </si>
  <si>
    <t>泫然指法</t>
  </si>
  <si>
    <t>此指法精妙非凡，饱含悲苦之意，内息运行低沉婉转，如怨如慕，如泣如诉，被命中之人血脉亦为之阻滞</t>
  </si>
  <si>
    <t>拳掌潜力1;经脉潜力1;拳掌2</t>
  </si>
  <si>
    <t>拳掌4;内力0.4</t>
  </si>
  <si>
    <t>拳掌55;经脉40</t>
  </si>
  <si>
    <t>冰寒0.06;内伤0.06</t>
  </si>
  <si>
    <t>心12;腹11</t>
  </si>
  <si>
    <t>心7;腹7</t>
  </si>
  <si>
    <t>冰龙卷-Target-Grid-Happen</t>
  </si>
  <si>
    <t>大风云手</t>
  </si>
  <si>
    <t>这套掌法行云流水，大开大合，掌风威力尤为惊人，常常一掌便能扫倒大片敌人，有如风卷残云</t>
  </si>
  <si>
    <t>拳掌潜力2;拳掌1;力道1</t>
  </si>
  <si>
    <t>力道3;拳掌3;内力0.2</t>
  </si>
  <si>
    <t>拳掌65;力道45</t>
  </si>
  <si>
    <t>压制0.06;连击0.06</t>
  </si>
  <si>
    <t>头10;胸14</t>
  </si>
  <si>
    <t>头4;胸8</t>
  </si>
  <si>
    <t>旋风斩-Target-Grid-Happen</t>
  </si>
  <si>
    <t>龙爪十缠</t>
  </si>
  <si>
    <t>五指弯曲宛若龙爪，爪势缠着敌人手臂逆经脉而上，甫一接触便挣脱不得，寻常高手大多撑到第五缠便败下阵来</t>
  </si>
  <si>
    <t>拳掌潜力1;力道潜力1;拳掌1;经脉1</t>
  </si>
  <si>
    <t>经脉3;拳掌3;内力0.2</t>
  </si>
  <si>
    <t>拳掌60;经脉50</t>
  </si>
  <si>
    <t>截脉0.06;内劲0.06</t>
  </si>
  <si>
    <t>手15;足8</t>
  </si>
  <si>
    <t>手10;足4</t>
  </si>
  <si>
    <t>无名剑法</t>
  </si>
  <si>
    <t>大巧不工，大道无名，此剑法仅有图谱却无固定招式，讲求随机应变，自然妙悟，对使用者剑法造诣要求极高</t>
  </si>
  <si>
    <t>剑法潜力1;灵巧潜力1;剑法2</t>
  </si>
  <si>
    <t>灵巧1;智力1;剑法5;内力0.2</t>
  </si>
  <si>
    <t>剑法65;灵巧45;智力30</t>
  </si>
  <si>
    <t>虚弱0.06;破招0.06</t>
  </si>
  <si>
    <t>腹12;足11</t>
  </si>
  <si>
    <t>墨斩-Target-Grid-Happen</t>
  </si>
  <si>
    <t>天意剑诀</t>
  </si>
  <si>
    <t>此剑法应和天意，实则暗含经脉运转之法。施展时催动全身内息随剑招奔流而出，便能克敌机先，伤敌无形</t>
  </si>
  <si>
    <t>剑法潜力2;剑法1;经脉1</t>
  </si>
  <si>
    <t>经脉3;剑法3;内力0.3</t>
  </si>
  <si>
    <t>剑法55;经脉40</t>
  </si>
  <si>
    <t>内劲0.06;截脉0.06</t>
  </si>
  <si>
    <t>头14;胸10</t>
  </si>
  <si>
    <t>头7;胸6</t>
  </si>
  <si>
    <t>喷墨-Target-Grid-Happen</t>
  </si>
  <si>
    <t>太白剑意</t>
  </si>
  <si>
    <t>传说乃李太白所创，其精要在于剑意而非招式。得其神髓者剑势变化雄奇，奔逸绝伦，颇得太白诗歌之神韵</t>
  </si>
  <si>
    <t>剑法潜力1;经脉潜力1;剑法1;灵巧1</t>
  </si>
  <si>
    <t>灵巧3;剑法4;内力0.1</t>
  </si>
  <si>
    <t>剑法60;灵巧50</t>
  </si>
  <si>
    <t>2,1,4</t>
  </si>
  <si>
    <t>失衡0.06;伤筋0.06</t>
  </si>
  <si>
    <t>手11;心11</t>
  </si>
  <si>
    <t>手8;心8</t>
  </si>
  <si>
    <t>墨圆斩-Target-Grid-Happen</t>
  </si>
  <si>
    <t>万壑刀法</t>
  </si>
  <si>
    <t>极尽霸道之刀法，每一刀均有劈石裂地之能，故激战过后，常在地面留下千沟万壑，其威势可见一斑</t>
  </si>
  <si>
    <t>刀法潜力2;刀法1;体质1</t>
  </si>
  <si>
    <t>体质3;刀法3;内力0.2</t>
  </si>
  <si>
    <t>刀法65;体质50</t>
  </si>
  <si>
    <t>凝血0.06;重碾0.06</t>
  </si>
  <si>
    <t>头8;足17</t>
  </si>
  <si>
    <t>头5;足7</t>
  </si>
  <si>
    <t>碎地-Target-Grid-Happen</t>
  </si>
  <si>
    <t>雾隐云龙刀</t>
  </si>
  <si>
    <t>此刀法善以大量虚招掩盖锋芒，静待时机。一旦察觉破绽，则如飞龙探云，潜蛟出海，毙敌于瞬息之间</t>
  </si>
  <si>
    <t>刀法潜力1;体质潜力1;刀法1;力道1</t>
  </si>
  <si>
    <t>力道3;灵巧2;刀法2;内力0.1</t>
  </si>
  <si>
    <t>刀法55;力道45;灵巧25</t>
  </si>
  <si>
    <t>目盲0.06;杀机0.06</t>
  </si>
  <si>
    <t>心10;腹10</t>
  </si>
  <si>
    <t>心9;腹8</t>
  </si>
  <si>
    <t>真气-Target-Grid-Happen;腾龙-Target-Grid-Happen</t>
  </si>
  <si>
    <t>战八方藏刀式</t>
  </si>
  <si>
    <t>将刀停于腋下身后藏起，看似谦恭礼让，实则周身皆在刀意笼罩之中，甫一出手，四面八方之敌非死即伤</t>
  </si>
  <si>
    <t>刀法潜力1;力道潜力1;刀法2</t>
  </si>
  <si>
    <t>刀法5;内力0.3</t>
  </si>
  <si>
    <t>刀法60;力道40</t>
  </si>
  <si>
    <t>蓄力0.06;不屈0.06</t>
  </si>
  <si>
    <t>手12;胸11</t>
  </si>
  <si>
    <t>墨染-Target-Grid-Start;升龙斩-Target-Grid-Happen</t>
  </si>
  <si>
    <t>披风七杀戟</t>
  </si>
  <si>
    <t>相传乃吕奉先所使之戟法，霸道无比，杀气外露，劲风过处，无不披靡</t>
  </si>
  <si>
    <t>长兵潜力1;意志潜力1;长兵1;体质1</t>
  </si>
  <si>
    <t>体质3;长兵3;内力0.2</t>
  </si>
  <si>
    <t>长兵65;体质50</t>
  </si>
  <si>
    <t>2,2,3</t>
  </si>
  <si>
    <t>外伤0.06;死战0.06</t>
  </si>
  <si>
    <t>手12;腹12</t>
  </si>
  <si>
    <t>手6;腹6</t>
  </si>
  <si>
    <t>血十字-Target-Grid-Happen;血爪卷-Target-Grid-Happen</t>
  </si>
  <si>
    <t>傲世奇枪</t>
  </si>
  <si>
    <t>兵行险锋，枪出奇招，此枪法招招角度诡谲，出奇制胜，传说熟习之人，必能建功立业，傲视群雄</t>
  </si>
  <si>
    <t>长兵潜力1;体质潜力1;长兵2</t>
  </si>
  <si>
    <t>力道1;长兵5;内力0.1</t>
  </si>
  <si>
    <t>长兵60;体质40;力道35</t>
  </si>
  <si>
    <t>6,2,5</t>
  </si>
  <si>
    <t>鹰眼0.06;笨拙0.06</t>
  </si>
  <si>
    <t>心18;足8</t>
  </si>
  <si>
    <t>心4;足7</t>
  </si>
  <si>
    <t>劈砍_红多重-Target-Grid-Happen</t>
  </si>
  <si>
    <t>当头棒喝</t>
  </si>
  <si>
    <t>返璞归真之棍招，此当头一棒，颇含禅机，对敌之人稍有不慎，便被震慑心神，动弹不得</t>
  </si>
  <si>
    <t>长兵潜力2;长兵1;意志1</t>
  </si>
  <si>
    <t>意志3;长兵2;内力0.3</t>
  </si>
  <si>
    <t>长兵55;意志45</t>
  </si>
  <si>
    <t>眩晕0.06;乱神0.06</t>
  </si>
  <si>
    <t>头20;胸4</t>
  </si>
  <si>
    <t>音波-Target-Grid-Happen;狮吼-Target-Grid-Happen</t>
  </si>
  <si>
    <t>银索金玲</t>
  </si>
  <si>
    <t>极为罕见之兵刃，银制锁链末端悬一黄金小球，回环灵活，射速如电，用于封脉打穴，无往而不利</t>
  </si>
  <si>
    <t>奇门潜力2;奇门1;智力1</t>
  </si>
  <si>
    <t>智力3;奇门3;内力0.2</t>
  </si>
  <si>
    <t>奇门60;智力45</t>
  </si>
  <si>
    <t>迟缓0.08;腿足点穴0.08</t>
  </si>
  <si>
    <t>胸10;手14</t>
  </si>
  <si>
    <t>胸5;手8</t>
  </si>
  <si>
    <t>多重锁链-Target-Grid-Happen</t>
  </si>
  <si>
    <t>龙头铁铡功</t>
  </si>
  <si>
    <t>以巨型铡刀使出，顺劈竖砍，或格或架，因其形制独特，体积巨大，可以不变应万变</t>
  </si>
  <si>
    <t>奇门潜力1;智力潜力1;奇门1;意志1</t>
  </si>
  <si>
    <t>意志3;奇门4;内力0.1</t>
  </si>
  <si>
    <t>奇门65;意志50</t>
  </si>
  <si>
    <t>重碾0.06;横练0.06</t>
  </si>
  <si>
    <t>头10;足10</t>
  </si>
  <si>
    <t>头8;足9</t>
  </si>
  <si>
    <t>狂劈-Target-Grid-Happen</t>
  </si>
  <si>
    <t>五蟒狂鞭</t>
  </si>
  <si>
    <t>以内力灌注软鞭，狂舞之时其残影亦化为五条巨蟒，绞杀突进，配合无间，真如活物一般难以防备</t>
  </si>
  <si>
    <t>奇门潜力1;意志潜力1;奇门2</t>
  </si>
  <si>
    <t>奇门5;内力0.4</t>
  </si>
  <si>
    <t>奇门55;意志45;经脉30</t>
  </si>
  <si>
    <t>乱神0.06;急速0.06</t>
  </si>
  <si>
    <t>心8;腹17</t>
  </si>
  <si>
    <t>墨乱-Target-Grid-Happen;蛇头-Target-Grid-Happen</t>
  </si>
  <si>
    <t>阎王帖</t>
  </si>
  <si>
    <t>暗器高手所使铁牌，薄如蝉翼却颇具重量，专攻咽喉小腹等要害部位，见之如见阎王</t>
  </si>
  <si>
    <t>射术潜力2;射术1;灵巧1</t>
  </si>
  <si>
    <t>灵巧3;射术3;内力0.2</t>
  </si>
  <si>
    <t>射术65;灵巧50</t>
  </si>
  <si>
    <t>2,1,6</t>
  </si>
  <si>
    <t>流血0.06;脆弱0.06</t>
  </si>
  <si>
    <t>腹16;头10</t>
  </si>
  <si>
    <t>腹2;头4</t>
  </si>
  <si>
    <t>12-----1</t>
  </si>
  <si>
    <t>爆血迹-Target-Grid-Happen</t>
  </si>
  <si>
    <t>追魂魔针</t>
  </si>
  <si>
    <t>此针专攻心脉和头脑，使人心智紊乱，经脉逆行。中此针者，如丧魂失魄一般，百邪癫狂，敌我不分</t>
  </si>
  <si>
    <t>射术潜力1;灵巧潜力1;射术1;智力1</t>
  </si>
  <si>
    <t>智力3;射术3;内力0.2</t>
  </si>
  <si>
    <t>射术55;智力45</t>
  </si>
  <si>
    <t>混乱0.08;头颈点穴0.08</t>
  </si>
  <si>
    <t>头18;心8</t>
  </si>
  <si>
    <t>头2;心4</t>
  </si>
  <si>
    <t>5-----1.2</t>
  </si>
  <si>
    <t>诅咒-Target-Grid-Happen;多重暗影-Target-Grid-Happen</t>
  </si>
  <si>
    <t>善恶镖</t>
  </si>
  <si>
    <t>一白一黑两种飞镖，分一善一恶。善镖专打人穴脉，旨在制敌机先，恶镖专攻人要害，旨在取人性命</t>
  </si>
  <si>
    <t>射术潜力1;智力潜力1;射术2</t>
  </si>
  <si>
    <t>射术5;内力0.3</t>
  </si>
  <si>
    <t>射术60;智力40;意志30</t>
  </si>
  <si>
    <t>弱点0.06;腰腹点穴0.06</t>
  </si>
  <si>
    <t>胸13;足13</t>
  </si>
  <si>
    <t>胸3;足3</t>
  </si>
  <si>
    <t>1-----1.2</t>
  </si>
  <si>
    <t>风轮-Target-Grid-Happen;黑爆-Target-Grid-Happen</t>
  </si>
  <si>
    <t>元始天功</t>
  </si>
  <si>
    <t>以丹田汲取天地元始之精气，化为己用。施展此功法如炉中点火，持续运转越久，其内息越磅礴澎湃</t>
  </si>
  <si>
    <t>内功潜力2;绝技潜力1;智力1;经脉1</t>
  </si>
  <si>
    <t>生命上限120;内力上限120;内功12;智力12;经脉12;内伤0.08;回内0.012</t>
  </si>
  <si>
    <t>内功75;经脉60;智力50</t>
  </si>
  <si>
    <t>飘飘欲仙</t>
  </si>
  <si>
    <t>浩浩乎如冯虚御风，而不知其所止，飘飘乎如遗世独立，羽化而登仙，清雅绝伦之间亦暗藏杀机</t>
  </si>
  <si>
    <t>轻功潜力2;内功潜力1;灵巧1;意志1</t>
  </si>
  <si>
    <t>轻功12;灵巧12;意志12;飘逸0.1;移距1</t>
  </si>
  <si>
    <t>轻功75;灵巧60;意志50</t>
  </si>
  <si>
    <t>虎啸龙吟</t>
  </si>
  <si>
    <t>习此功法者，出拳掌如虎啸，舞刀兵似龙吟，即便是再寻常的武功招式，也能发挥出惊人之威能</t>
  </si>
  <si>
    <t>绝技潜力2;轻功潜力1;力道1;体质1</t>
  </si>
  <si>
    <t>绝技12;力道12;体质12;眩晕0.08;脆弱0.08</t>
  </si>
  <si>
    <t>绝技75;体质60;力道50</t>
  </si>
  <si>
    <t>照影神拳</t>
  </si>
  <si>
    <t>此拳法擅以内息催动拳劲，往往拳未发出，内劲已至。因内劲变化远胜拳掌，其招法犹如惊鸿之照影，瞬息万变</t>
  </si>
  <si>
    <t>拳掌潜力2;经脉潜力1;经脉2</t>
  </si>
  <si>
    <t>经脉3;力道1;拳掌3;内力0.2</t>
  </si>
  <si>
    <t>拳掌75;经脉60</t>
  </si>
  <si>
    <t>内伤0.08;截脉0.08</t>
  </si>
  <si>
    <t>胸9;心8;腹8</t>
  </si>
  <si>
    <t>胸7;心4;腹4</t>
  </si>
  <si>
    <t>残影-Target-Grid-Start;爆炸灰-Target-Grid-Happen</t>
  </si>
  <si>
    <t>诛仙剑法</t>
  </si>
  <si>
    <t>传说乃是西王母于昆仑山所授，极尽锋锐之剑招，发挥十成威力时，风云际会，天地变色，心怀邪念之散仙亦当场伏诛</t>
  </si>
  <si>
    <t>剑法潜力2;灵巧潜力1;灵巧2</t>
  </si>
  <si>
    <t>灵巧3;经脉1;剑法3;内力0.2</t>
  </si>
  <si>
    <t>剑法75;灵巧60</t>
  </si>
  <si>
    <t>伤筋0.08;杀机0.08</t>
  </si>
  <si>
    <t>手9;头9;胸7</t>
  </si>
  <si>
    <t>手7;头4;胸4</t>
  </si>
  <si>
    <t>剑雨-Target-Grid-Start;劈砍_黑白震-Target-Grid-Happen</t>
  </si>
  <si>
    <t>九州风雷刀</t>
  </si>
  <si>
    <t>此刀法力道惊人无比，可引动九州风雷于刀锋之上，一刀劈下，当真是魂飞魄散，鬼哭神嚎</t>
  </si>
  <si>
    <t>刀法潜力2;力道潜力1;力道2</t>
  </si>
  <si>
    <t>力道3;体质1;刀法3;内力0.2</t>
  </si>
  <si>
    <t>刀法75;力道60</t>
  </si>
  <si>
    <t>断骨0.08;雷电0.08</t>
  </si>
  <si>
    <t>腹9;足7;心9</t>
  </si>
  <si>
    <t>腹7;足4;心4</t>
  </si>
  <si>
    <t>雷暴-Target-Grid-Happen</t>
  </si>
  <si>
    <t>大闹天宫棍</t>
  </si>
  <si>
    <t>此棍法取大圣闹天宫之意，挥洒自若，汹涌滂湃，棍扫过处，纵十万天兵亦不能当</t>
  </si>
  <si>
    <t>长兵潜力2;体质潜力1;体质2</t>
  </si>
  <si>
    <t>体质3;意志1;长兵3;内力0.2</t>
  </si>
  <si>
    <t>长兵75;体质60</t>
  </si>
  <si>
    <t>外伤0.08;重碾0.08</t>
  </si>
  <si>
    <t>头9;手8;足8</t>
  </si>
  <si>
    <t>头7;手4;足4</t>
  </si>
  <si>
    <t>Random</t>
  </si>
  <si>
    <t>碧海潮生曲</t>
  </si>
  <si>
    <t>以玉箫模仿海潮之声，曲意飘忽，婉转缠绵，声调起伏间暗藏致命内息，于无形间扰人心智，乱人经脉</t>
  </si>
  <si>
    <t>奇门潜力2;意志潜力1;意志2</t>
  </si>
  <si>
    <t>意志3;智力1;奇门3;内力0.2</t>
  </si>
  <si>
    <t>奇门75;意志60</t>
  </si>
  <si>
    <t>乱神0.1;虚弱0.1</t>
  </si>
  <si>
    <t>心9;头9;腹7</t>
  </si>
  <si>
    <t>心7;头4;腹4</t>
  </si>
  <si>
    <t>skill4_8</t>
  </si>
  <si>
    <t>音波-Target-Grid-Happen;喷泉-Target-Grid-Happen</t>
  </si>
  <si>
    <t>琴</t>
  </si>
  <si>
    <t>多情飞刀</t>
  </si>
  <si>
    <t>一名痴情高人所创，旨在伤人而非取人性命之手法，刀刀不伤人要害，却又刀刀避无可避</t>
  </si>
  <si>
    <t>射术潜力2;智力潜力1;智力2</t>
  </si>
  <si>
    <t>智力3;灵巧1;射术3;内力0.2</t>
  </si>
  <si>
    <t>射术75;智力60</t>
  </si>
  <si>
    <t>4,4,6</t>
  </si>
  <si>
    <t>鹰眼0.06;流血0.06;穿甲0.06</t>
  </si>
  <si>
    <t>足10;手10;胸6</t>
  </si>
  <si>
    <t>足7;手4;胸4</t>
  </si>
  <si>
    <t>2-----1.2</t>
  </si>
  <si>
    <t>劈砍_红连续-Target-Grid-Happen;红花-Target-Grid-Happen</t>
  </si>
  <si>
    <t>哭面功</t>
  </si>
  <si>
    <t>长乐帮外门弟子多为贩夫走卒乃至乞丐出身，以哭面示人，易于博取同情</t>
  </si>
  <si>
    <t>内功1</t>
  </si>
  <si>
    <t>生命上限30;内力上限10;内功4;意志4;混乱0.04</t>
  </si>
  <si>
    <t>内功5;意志5</t>
  </si>
  <si>
    <t>爬竿术</t>
  </si>
  <si>
    <t>顺着竹竿向上攀爬的杂耍把式，也是长乐帮众练习基础轻功之法</t>
  </si>
  <si>
    <t>轻功4;体质4;闪避0.04</t>
  </si>
  <si>
    <t>轻功5;体质5</t>
  </si>
  <si>
    <t>耍狗熊</t>
  </si>
  <si>
    <t>牵着狗熊做出各种滑稽动作的卖艺把式，需要有一定的臂力方能做到</t>
  </si>
  <si>
    <t>绝技4;力道4;外伤0.04</t>
  </si>
  <si>
    <t>石灰散</t>
  </si>
  <si>
    <t>市井流氓所用之下三滥手段，以油纸包裹石灰，向近身之敌猝然拍出，眼睛一旦被迷，痛痒难耐，泪流不止</t>
  </si>
  <si>
    <t>目盲0.1;昏沉0.04</t>
  </si>
  <si>
    <t>11-----0.8</t>
  </si>
  <si>
    <t>灰烟-Target-Grid-Happen</t>
  </si>
  <si>
    <t>金钱镖</t>
  </si>
  <si>
    <t>将大枚铜钱边缘打磨锋利而成，易于制造且便于隐藏，挂在腰间与铜钱无异，专攻敌之咽喉等部位</t>
  </si>
  <si>
    <t>射术5;灵巧10</t>
  </si>
  <si>
    <t>胸17</t>
  </si>
  <si>
    <t>胸7</t>
  </si>
  <si>
    <t>劈砍-Target-Grid-Happen;铜钱散-Target-Grid-Happen</t>
  </si>
  <si>
    <t>刑场刀法</t>
  </si>
  <si>
    <t>刽子手杀头之刀法，招式极其简单，胜在干脆利落</t>
  </si>
  <si>
    <t>力道2;刀法1;内力0.1</t>
  </si>
  <si>
    <t>4,1,1</t>
  </si>
  <si>
    <t>外伤0.02</t>
  </si>
  <si>
    <t>爆血-Target-Grid-Happen</t>
  </si>
  <si>
    <t>怒面功</t>
  </si>
  <si>
    <t>长乐帮入门弟子时常与其他帮派中人争抢地盘与档口，此时以怒面示人，可以吓退竞争者</t>
  </si>
  <si>
    <t>生命上限60;内力上限20;内功6;力道6;外伤0.06</t>
  </si>
  <si>
    <t>内功10;力道10</t>
  </si>
  <si>
    <t>走马灯</t>
  </si>
  <si>
    <t>走马灯般绕敌旋转之步法，待到敌人眼花缭乱，心神烦躁之时，往往使用者自己也头晕目眩</t>
  </si>
  <si>
    <t>轻功6;意志6;混乱0.06</t>
  </si>
  <si>
    <t>轻功15;意志10</t>
  </si>
  <si>
    <t>虎口吞枪</t>
  </si>
  <si>
    <t>将长枪自口中刺入，吞至腹中的杂耍功夫，不仅需要巧劲，还得是身强体壮之人，否则难免伤及内脏</t>
  </si>
  <si>
    <t>绝技4;灵巧4;体质4;卸力0.06</t>
  </si>
  <si>
    <t>绝技10;体质10;灵巧5</t>
  </si>
  <si>
    <t>银屑粉</t>
  </si>
  <si>
    <t>如雪花纷飞洒出银屑攻敌之法，其功效与石灰粉相似，着之者目不能视，泪流不止</t>
  </si>
  <si>
    <t>射术15;意志15</t>
  </si>
  <si>
    <t>目盲0.14</t>
  </si>
  <si>
    <t>11-----0.9</t>
  </si>
  <si>
    <t>冰雾-Target-Grid-Happen</t>
  </si>
  <si>
    <t>铜蟾蜍</t>
  </si>
  <si>
    <t>本是商贾招财进宝之摆件，熟铜铸就，颇有几分重量，改作暗器倒也还算趁手</t>
  </si>
  <si>
    <t>射术20;体质10</t>
  </si>
  <si>
    <t>昏沉0.04;裂膝0.04</t>
  </si>
  <si>
    <t>胸8</t>
  </si>
  <si>
    <t>15-----1</t>
  </si>
  <si>
    <t>两面三刀法</t>
  </si>
  <si>
    <t>长乐帮众所使之基础刀法，出手力道颇大，往往令人猝不及防</t>
  </si>
  <si>
    <t>刀法15;力道10</t>
  </si>
  <si>
    <t>外伤0.03;流血0.03</t>
  </si>
  <si>
    <t>三连劈砍-Target-Grid-Happen;尘土-Target-Grid-Happen</t>
  </si>
  <si>
    <t>知足常乐功</t>
  </si>
  <si>
    <t>长乐帮正式弟子有时需要迎送贵客，此时摆出知足常乐之笑脸，方为生财之道</t>
  </si>
  <si>
    <t>内功2;体质1</t>
  </si>
  <si>
    <t>生命上限90;内力上限30;内功9;体质9;虚弱0.08</t>
  </si>
  <si>
    <t>脚踏飞燕</t>
  </si>
  <si>
    <t>此步法善于运用巧劲，腾空之时，灵动轻盈，若踏飞燕而上</t>
  </si>
  <si>
    <t>轻功2;力道1</t>
  </si>
  <si>
    <t>轻功6;力道6;灵巧6;速度0.08</t>
  </si>
  <si>
    <t>轻功30;力道15;灵巧15</t>
  </si>
  <si>
    <t>嬉皮笑脸</t>
  </si>
  <si>
    <t>所谓伸手不打笑脸人，长乐帮众对战时好以笑脸相迎，江湖中人碍于情面，往往也不忍痛下杀手</t>
  </si>
  <si>
    <t>绝技9;意志9;卸力0.08;负面抗性0.08</t>
  </si>
  <si>
    <t>绝技30;意志20</t>
  </si>
  <si>
    <t>长乐散</t>
  </si>
  <si>
    <t>长乐帮特制乱人心神之毒药，中此毒者或狂呼或大笑，手舞足蹈，丑态百出</t>
  </si>
  <si>
    <t>射术30;意志20</t>
  </si>
  <si>
    <t>混乱0.15</t>
  </si>
  <si>
    <t>紫雾-Target-Grid-Happen</t>
  </si>
  <si>
    <t>长乐刀法</t>
  </si>
  <si>
    <t>长乐帮众所使强身健体之刀法，招式严谨中正，四平八稳，擅长以守代攻</t>
  </si>
  <si>
    <t>刀法2;体质1</t>
  </si>
  <si>
    <t>体质1;刀法2;内力0.2</t>
  </si>
  <si>
    <t>刀法25;体质15</t>
  </si>
  <si>
    <t>笑里藏刀式</t>
  </si>
  <si>
    <t>长乐帮众所使力道强横之刀法，招式发力迅猛，大开大合，擅长以攻代守</t>
  </si>
  <si>
    <t>刀法30;力道25</t>
  </si>
  <si>
    <t>2,1,1</t>
  </si>
  <si>
    <t>心13;腹8</t>
  </si>
  <si>
    <t>爆炸灰-Target-Grid-Happen</t>
  </si>
  <si>
    <t>活弥勒心法</t>
  </si>
  <si>
    <t>长乐帮亲传弟子时常需要接洽官府中人乃至皇亲贵胄，此时以极度欢喜之情相迎，自然事半功倍</t>
  </si>
  <si>
    <t>内功潜力1;内功1;体质1</t>
  </si>
  <si>
    <t>生命上限100;内力上限60;内功12;体质12;昏沉0.1;负面抗性0.05</t>
  </si>
  <si>
    <t>内功40;体质25</t>
  </si>
  <si>
    <t>得意春风步</t>
  </si>
  <si>
    <t>此步法灵动大气，潇洒自然，有欣喜豪爽之意，可谓春风得意马蹄疾，一日看尽长安花</t>
  </si>
  <si>
    <t>轻功12;意志12;速度0.1</t>
  </si>
  <si>
    <t>轻功45;意志35</t>
  </si>
  <si>
    <t>放浪形骸</t>
  </si>
  <si>
    <t>此绝技姿势奇特，狂放不羁，大摇大摆之间，可将自身的力道催发到极致</t>
  </si>
  <si>
    <t>绝技12;力道12;虚弱0.05;昏沉0.05</t>
  </si>
  <si>
    <t>绝技50;力道30</t>
  </si>
  <si>
    <t>极乐刺</t>
  </si>
  <si>
    <t>长乐帮独门暗器，专攻人头脑心腹，其毒性一旦侵入心脉，中毒者便会大笑狂舞三天三夜而死</t>
  </si>
  <si>
    <t>射术潜力1;射术1;意志1</t>
  </si>
  <si>
    <t>射术50;意志30</t>
  </si>
  <si>
    <t>混乱0.08;乱神0.08</t>
  </si>
  <si>
    <t>头10;心14</t>
  </si>
  <si>
    <t>头4;心4</t>
  </si>
  <si>
    <t>7-----0.95</t>
  </si>
  <si>
    <t>暗影-Target-Grid-Happen</t>
  </si>
  <si>
    <t>游龙戏凤刀</t>
  </si>
  <si>
    <t>戏子出身的用刀高手从武生套路中悟出，其招式龙飞凤舞，绵绵不绝，煞是好看，亦是擅长久战之刀法</t>
  </si>
  <si>
    <t>力道潜力1;刀法1;体质1</t>
  </si>
  <si>
    <t>体质3;刀法2;内力0.3</t>
  </si>
  <si>
    <t>刀法40;体质30;力道20</t>
  </si>
  <si>
    <t>疲劳0.06;蓄力0.06</t>
  </si>
  <si>
    <t>手11;足11</t>
  </si>
  <si>
    <t>手7;足7</t>
  </si>
  <si>
    <t>腾龙-Target-Grid-Happen;花散-Target-Grid-Happen</t>
  </si>
  <si>
    <t>一刀两断法</t>
  </si>
  <si>
    <t>双手持刀，将全身力道集中于刀刃，简单刚猛之招式，其一刀劈下，威势惊人，着者无不两断</t>
  </si>
  <si>
    <t>力道2;刀法3;内力0.2</t>
  </si>
  <si>
    <t>刀法45;力道35</t>
  </si>
  <si>
    <t>外伤0.1</t>
  </si>
  <si>
    <t>头14;胸8</t>
  </si>
  <si>
    <t>头6;胸6</t>
  </si>
  <si>
    <t>喜怒哀乐大法</t>
  </si>
  <si>
    <t>长乐帮顶级内功，将内息流转蕴含于喜怒哀乐情绪收放间，心随意动，劲由心生，无形无影，伤人于瞬息之间</t>
  </si>
  <si>
    <t>意志潜力1;内功潜力1;内功2</t>
  </si>
  <si>
    <t>生命上限140;内力上限60;内功10;意志10;体质10;虚弱0.04;混乱0.04;昏沉0.04;负面加成0.04</t>
  </si>
  <si>
    <t>内功65;意志50;体质30</t>
  </si>
  <si>
    <t>日月凌空</t>
  </si>
  <si>
    <t>相传乃女皇武则天所创，敬神祭天时所走之步法，亦步亦趋，端庄大气，举手投足间颇具帝王声威</t>
  </si>
  <si>
    <t>力道潜力1;轻功潜力1;轻功2</t>
  </si>
  <si>
    <t>轻功10;力道10;意志10;反击0.06;卸力0.06</t>
  </si>
  <si>
    <t>轻功60;力道45;意志25</t>
  </si>
  <si>
    <t>千金一掷</t>
  </si>
  <si>
    <t>极速投掷金钱镖之手法，其登峰造极者，举手一掷间便可发出铜钱千枚，遮天蔽日令人难以躲避</t>
  </si>
  <si>
    <t>射术潜力2;射术1;意志1</t>
  </si>
  <si>
    <t>意志3;射术3;内力0.2</t>
  </si>
  <si>
    <t>射术65;意志55</t>
  </si>
  <si>
    <t>笨拙0.06;乱神0.06</t>
  </si>
  <si>
    <t>胸16;腹12</t>
  </si>
  <si>
    <t>胸2;腹3</t>
  </si>
  <si>
    <t>16-----1.2</t>
  </si>
  <si>
    <t>铜钱散-Target-Grid-Happen;极速剑影-Target-Grid-Happen</t>
  </si>
  <si>
    <t>醉阎罗刀法</t>
  </si>
  <si>
    <t>看似东倒西歪，跌撞摇摆，实则形醉意不醉，处处暗含闪转腾挪，虚实混杂之法，应对者稍有疏忽便见阎王去也</t>
  </si>
  <si>
    <t>力道潜力1;体质潜力1;刀法1;体质1</t>
  </si>
  <si>
    <t>体质4;刀法2;内力0.2</t>
  </si>
  <si>
    <t>刀法55;体质50;力道30</t>
  </si>
  <si>
    <t>混乱0.06;弱点0.06</t>
  </si>
  <si>
    <t>手12;足11</t>
  </si>
  <si>
    <t>鲜血狂乱-Target-Grid-Happen;血爪狂-Target-Grid-Happen</t>
  </si>
  <si>
    <t>恩断义绝刀法</t>
  </si>
  <si>
    <t>攻敌要害，倾力出击，是罕见的不留丝毫退路之杀招，难怪江湖皆称长乐帮刀法繁多，以恩断义绝一式最为伤人</t>
  </si>
  <si>
    <t>刀法潜力2;刀法1;力道1</t>
  </si>
  <si>
    <t>力道4;刀法3;内力0.1</t>
  </si>
  <si>
    <t>刀法60;力道45</t>
  </si>
  <si>
    <t>8,1,4</t>
  </si>
  <si>
    <t>外伤0.06;虚弱0.06</t>
  </si>
  <si>
    <t>头14;心10</t>
  </si>
  <si>
    <t>头5;心6</t>
  </si>
  <si>
    <t>血雾-Target-Grid-Happen;血爪爆-Target-Grid-Happen</t>
  </si>
  <si>
    <t>醉梦鱼龙舞</t>
  </si>
  <si>
    <t>观元宵舞鱼龙彩灯的游行人群而悟，步法纷繁复杂，影影绰绰，身形虚幻难寻，待蓦然回首已在灯火阑珊处</t>
  </si>
  <si>
    <t>轻功潜力2;意志潜力1;力道1;意志1</t>
  </si>
  <si>
    <t>轻功12;力道12;意志12;混乱0.08;目盲0.08</t>
  </si>
  <si>
    <t>轻功75;力道60;意志50</t>
  </si>
  <si>
    <t>净乐琉璃刀</t>
  </si>
  <si>
    <t>长乐帮主乐无疾成名绝技，刀势玲珑剔透，乍看之下一览无余，实则蕴含无数精妙无比的刀意，再严密之防御也如透明一般</t>
  </si>
  <si>
    <t>意志潜力2;力道潜力1;刀法潜力1</t>
  </si>
  <si>
    <t>力道1;意志5;刀法2;内力0.1</t>
  </si>
  <si>
    <t>刀法75;意志65;力道45</t>
  </si>
  <si>
    <t>外伤0.06;流血0.06;定神0.06</t>
  </si>
  <si>
    <t>足10;手10;胸10</t>
  </si>
  <si>
    <t>足4;手4;胸4</t>
  </si>
  <si>
    <t>冰域-Target-Grid-Start;劈砍_黑白多重中-Target-Grid-Happen</t>
  </si>
  <si>
    <t>阴手伤人法</t>
  </si>
  <si>
    <t>唐门</t>
  </si>
  <si>
    <t>唐门入门心法，专练收发暗器之阴狠内劲</t>
  </si>
  <si>
    <t>生命上限10;内力上限10;内功6;力道6;射术威力0.04</t>
  </si>
  <si>
    <t>内功10;射术5</t>
  </si>
  <si>
    <t>走房檐</t>
  </si>
  <si>
    <t>于房檐之上奔跑行走的轻功，常为民间宵小之徒所用</t>
  </si>
  <si>
    <t>轻功4;灵巧4;闪避0.04</t>
  </si>
  <si>
    <t>轻功5;灵巧5</t>
  </si>
  <si>
    <t>心眼功</t>
  </si>
  <si>
    <t>唐门锻炼心智与眼力的初级法门，乃一切暗器手法之基</t>
  </si>
  <si>
    <t>绝技4;智力4;暴击0.04;负面加成0.04</t>
  </si>
  <si>
    <t>毒蒺藜</t>
  </si>
  <si>
    <t>形如蒺藜之常见暗器，表面遍布尖刺且涂有些微毒药</t>
  </si>
  <si>
    <t>智力2;射术1;内力0.1</t>
  </si>
  <si>
    <t>射术5;智力5</t>
  </si>
  <si>
    <t>毒素0.02;裂膝0.02</t>
  </si>
  <si>
    <t>足5</t>
  </si>
  <si>
    <t>1-----0.8</t>
  </si>
  <si>
    <t>绣花针</t>
  </si>
  <si>
    <t>本是织女绣花所用极细之钢针，用来作为暗器威力较小，但颇难察觉</t>
  </si>
  <si>
    <t>灵巧1;射术1;内力0.4</t>
  </si>
  <si>
    <t>0,3,4</t>
  </si>
  <si>
    <t>流血0.12</t>
  </si>
  <si>
    <t>4-----0.7</t>
  </si>
  <si>
    <t>三寸钉</t>
  </si>
  <si>
    <t>长约三寸之长铁钉，以暗器手法发出，能够穿透木板，颇具几分威力</t>
  </si>
  <si>
    <t>力道1;射术2</t>
  </si>
  <si>
    <t>7-----0.7</t>
  </si>
  <si>
    <t>袖里藏刀</t>
  </si>
  <si>
    <t>为江湖人士所不齿之刀法，需将兵刀藏于袖中，待敌人近前，突然出手，以偷袭取胜</t>
  </si>
  <si>
    <t>灵巧2;刀法1;内力0.1</t>
  </si>
  <si>
    <t>刀法5;灵巧5</t>
  </si>
  <si>
    <t>心7</t>
  </si>
  <si>
    <t>爆叶-Target-Grid-Happen;穿刺_风电-Target-Grid-Happen</t>
  </si>
  <si>
    <t>七窍玲珑功</t>
  </si>
  <si>
    <t>唐门着重锻炼七窍五感之内功心法，需得日夜苦练方能成玲珑之功</t>
  </si>
  <si>
    <t>生命上限20;内力上限20;内功8;智力8;射术威力0.06</t>
  </si>
  <si>
    <t>内功10;智力10;射术10</t>
  </si>
  <si>
    <t>鹞子翻身</t>
  </si>
  <si>
    <t>翻转身体，腾空倒跃，上房翻墙，颇为便捷</t>
  </si>
  <si>
    <t>轻功6;力道6;闪避0.06</t>
  </si>
  <si>
    <t>轻功10;力道5</t>
  </si>
  <si>
    <t>隐匿术</t>
  </si>
  <si>
    <t>屏息凝神，隐藏身形，刺客盗匪所修之法门</t>
  </si>
  <si>
    <t>绝技1;智力1</t>
  </si>
  <si>
    <t>绝技6;灵巧6;暴击0.06;负面加成0.06</t>
  </si>
  <si>
    <t>错骨钩</t>
  </si>
  <si>
    <t>唐门特制暗器，上有机关，一旦命中便自动刺出倒钩，着者难免皮开肉绽，错骨伤筋</t>
  </si>
  <si>
    <t>力道1;射术2;内力0.1</t>
  </si>
  <si>
    <t>射术20;力道10</t>
  </si>
  <si>
    <t>断骨0.04;不愈0.06</t>
  </si>
  <si>
    <t>足21</t>
  </si>
  <si>
    <t>10-----0.9</t>
  </si>
  <si>
    <t>血轮-Target-Grid-Happen</t>
  </si>
  <si>
    <t>牛毛针</t>
  </si>
  <si>
    <t>细如牛毛之钢针，一次发出多枚，威力不足以伤人性命，却能扰人心智，阻人血脉</t>
  </si>
  <si>
    <t>灵巧2;射术1;内力0.3</t>
  </si>
  <si>
    <t>射术10;灵巧15</t>
  </si>
  <si>
    <t>震脑0.08;凝血0.08</t>
  </si>
  <si>
    <t>腹19</t>
  </si>
  <si>
    <t>4-----0.75</t>
  </si>
  <si>
    <t>青蜂钉</t>
  </si>
  <si>
    <t>长约一寸之短铁钉，淬有蜂毒，因此隐隐散发青光</t>
  </si>
  <si>
    <t>智力1;毒术1</t>
  </si>
  <si>
    <t>射术3;内力0.2</t>
  </si>
  <si>
    <t>毒素0.06</t>
  </si>
  <si>
    <t>7-----0.8</t>
  </si>
  <si>
    <t>机关弹刀</t>
  </si>
  <si>
    <t>结合了暗器手法的奇特短刀，触动刀柄机关，刀刃便会弹射而出，出人意料，攻敌不备</t>
  </si>
  <si>
    <t>刀法1;智力1</t>
  </si>
  <si>
    <t>智力2;刀法2;射术1</t>
  </si>
  <si>
    <t>刀法15;智力10</t>
  </si>
  <si>
    <t>流血0.1</t>
  </si>
  <si>
    <t>九转飞芒功</t>
  </si>
  <si>
    <t>唐门独特内家心法，以此内劲所发之暗器，可以空中转向九次，任你轻功再高也难以闪避</t>
  </si>
  <si>
    <t>内功2;灵巧1</t>
  </si>
  <si>
    <t>生命上限40;内力上限40;内功12;灵巧12;鹰眼0.04;射术威力0.06</t>
  </si>
  <si>
    <t>内功30;灵巧20;射术20</t>
  </si>
  <si>
    <t>金蝉脱壳</t>
  </si>
  <si>
    <t>擅长逃脱闪避之轻功步法，可以快速拉开距离，避免与敌人近身缠斗</t>
  </si>
  <si>
    <t>轻功9;智力9;闪避0.08</t>
  </si>
  <si>
    <t>轻功25;智力15</t>
  </si>
  <si>
    <t>袖里乾坤</t>
  </si>
  <si>
    <t>唐门暗器高手可在袖中暗藏数十种不同暗器，无论想使哪种，不需找寻，一挥袖便能发出</t>
  </si>
  <si>
    <t>绝技2;射术潜力1</t>
  </si>
  <si>
    <t>绝技9;射术9;连绵0.04;射术威力0.04;负面加成0.04</t>
  </si>
  <si>
    <t>绝技25;射术25</t>
  </si>
  <si>
    <t>银丝网</t>
  </si>
  <si>
    <t>用细密银线编织之网，一旦罩住猎物后会自行不断收紧，寻常兵刃无法砍动</t>
  </si>
  <si>
    <t>灵巧1;智力1;射术1</t>
  </si>
  <si>
    <t>灵巧1;射术3;内力0.3</t>
  </si>
  <si>
    <t>射术25;灵巧15</t>
  </si>
  <si>
    <t>腿足点穴0.16</t>
  </si>
  <si>
    <t>足24</t>
  </si>
  <si>
    <t>8-----0.9</t>
  </si>
  <si>
    <t>断肠针</t>
  </si>
  <si>
    <t>敷有剧毒之钢针，其断肠草之毒性令人痛不欲生，若命中心腹部位则会加快毒性发作</t>
  </si>
  <si>
    <t>射术1;灵巧1;毒术1</t>
  </si>
  <si>
    <t>射术30;灵巧25</t>
  </si>
  <si>
    <t>毒素0.1;不愈0.04</t>
  </si>
  <si>
    <t>腹21</t>
  </si>
  <si>
    <t>5-----1</t>
  </si>
  <si>
    <t>毒素-Target-Grid-Happen</t>
  </si>
  <si>
    <t>穿心钉</t>
  </si>
  <si>
    <t>专攻敌人心胸部位之钢钉，较之其他暗器要锋利沉重许多，因此穿透力不俗</t>
  </si>
  <si>
    <t>智力3;射术1;内力0.1</t>
  </si>
  <si>
    <t>射术35;智力20</t>
  </si>
  <si>
    <t>裂膝0.04;穿甲0.04</t>
  </si>
  <si>
    <t>7-----0.9</t>
  </si>
  <si>
    <t>血圈-Target-Grid-Happen</t>
  </si>
  <si>
    <t>飞叶斩片刀</t>
  </si>
  <si>
    <t>外表平平之钢刀，实则由数十枚叶片叠成，触动机关弹开叶片，如孔雀开屏，刀光鳞鳞颇为奇异华丽</t>
  </si>
  <si>
    <t>刀法1;灵巧1;智力1</t>
  </si>
  <si>
    <t>灵巧2;智力2;刀法1</t>
  </si>
  <si>
    <t>刀法30;灵巧20;智力10</t>
  </si>
  <si>
    <t>羽毛-Target-Grid-Happen;劈砍_黑白多重中-Target-Grid-Happen</t>
  </si>
  <si>
    <t>百手千指功</t>
  </si>
  <si>
    <t>唐门秘传心法，以内息驱使五指手臂，使其灵巧倍增，发箭掷镖如疾风骤雨，堪比百手千指之功</t>
  </si>
  <si>
    <t>内功潜力1;内功1;灵巧1</t>
  </si>
  <si>
    <t>生命上限50;内力上限50;内功15;灵巧15;暴击0.05;连绵0.05;射术威力0.05</t>
  </si>
  <si>
    <t>内功40;灵巧30;射术30</t>
  </si>
  <si>
    <t>鬼影重重</t>
  </si>
  <si>
    <t>此步法飘忽诡谲，无声无息，挪移闪烁之间只留下重重黑影，有如鬼魅</t>
  </si>
  <si>
    <t>轻功12;力道12;暴击0.05;闪避0.05</t>
  </si>
  <si>
    <t>轻功45;力道30</t>
  </si>
  <si>
    <t>绵里藏针</t>
  </si>
  <si>
    <t>唐门隐藏出手痕迹的暗杀之法，挥手之间绵软似无力，却能激射出致命暗器，令人无从防备</t>
  </si>
  <si>
    <t>绝技潜力1;绝技1;智力1</t>
  </si>
  <si>
    <t>绝技12;智力12;暴击0.05;射术威力0.05;负面加成0.05</t>
  </si>
  <si>
    <t>绝技45;智力30;射术25</t>
  </si>
  <si>
    <t>孔雀翎</t>
  </si>
  <si>
    <t>孔雀翎毛编织而成的羽扇，内藏毒针，发动之时，四射飞散，如孔雀开屏，斑斓炫目</t>
  </si>
  <si>
    <t>智力潜力1;毒术潜力1;智力1</t>
  </si>
  <si>
    <t>射术50;智力25</t>
  </si>
  <si>
    <t>毒素0.05;昏沉0.05</t>
  </si>
  <si>
    <t>足10;胸16</t>
  </si>
  <si>
    <t>足1;胸4</t>
  </si>
  <si>
    <t>12-----0.9</t>
  </si>
  <si>
    <t>玉髓冰魄针</t>
  </si>
  <si>
    <t>极细之玉针，带有的冰寒之气一旦刺入人体，便会在经脉中自行游走，阻滞内息运行</t>
  </si>
  <si>
    <t>射术潜力1;灵巧1;智力1</t>
  </si>
  <si>
    <t>智力1;射术2;内力0.4</t>
  </si>
  <si>
    <t>射术40;智力30;灵巧25</t>
  </si>
  <si>
    <t>冰寒0.06;截脉0.06</t>
  </si>
  <si>
    <t>腹15;心8</t>
  </si>
  <si>
    <t>腹4;心5</t>
  </si>
  <si>
    <t>冰块-Target-Grid-Happen</t>
  </si>
  <si>
    <t>碎颅钉</t>
  </si>
  <si>
    <t>黢黑粗大之钢钉，边缘有增加穿透力的锋棱，以其劲道迅猛可以击碎头颅，故而闻名</t>
  </si>
  <si>
    <t>灵巧2;射术4;内力0.1</t>
  </si>
  <si>
    <t>射术45;灵巧35</t>
  </si>
  <si>
    <t>头颈点穴0.05;穿甲0.05</t>
  </si>
  <si>
    <t>7-----1</t>
  </si>
  <si>
    <t>地面打击4-Target-Grid-Happen</t>
  </si>
  <si>
    <t>百转千折刀</t>
  </si>
  <si>
    <t>给刀柄安装机关，使刀刃可以弯折旋转，因此可从各种诡异角度出刀，招式变化无穷</t>
  </si>
  <si>
    <t>灵巧潜力1;刀法1;力道1</t>
  </si>
  <si>
    <t>力道1;灵巧3;刀法2</t>
  </si>
  <si>
    <t>刀法45;灵巧30;力道20</t>
  </si>
  <si>
    <t>裂膝0.05;流血0.05</t>
  </si>
  <si>
    <t>心11;足10</t>
  </si>
  <si>
    <t>心7;足6</t>
  </si>
  <si>
    <t>极速剑影-Target-Grid-Happen</t>
  </si>
  <si>
    <t>天阴柔劲</t>
  </si>
  <si>
    <t>唐门专练阴柔手劲之法，以此发出暗器，如丝线牵引一般，忽快忽慢，随心而动，或凌空停滞不落，极为精妙</t>
  </si>
  <si>
    <t>绝技潜力1;灵巧潜力1;绝技2</t>
  </si>
  <si>
    <t>绝技15;灵巧15;暴击0.08;射术威力0.04;负面加成0.04</t>
  </si>
  <si>
    <t>绝技55;灵巧55;射术45</t>
  </si>
  <si>
    <t>观音泪</t>
  </si>
  <si>
    <t>以珍珠打磨而成的水滴形暗器，在剧毒中泡制百日方能使用。中此者血脉爆裂，惨不忍睹，观音视之亦会落泪</t>
  </si>
  <si>
    <t>毒术潜力2;灵巧1;智力1</t>
  </si>
  <si>
    <t>灵巧4;射术2;内力0.3</t>
  </si>
  <si>
    <t>射术55;灵巧50</t>
  </si>
  <si>
    <t>毒素0.12;不愈0.06</t>
  </si>
  <si>
    <t>足10;胸18</t>
  </si>
  <si>
    <t>足1;胸5</t>
  </si>
  <si>
    <t>13-----1.1</t>
  </si>
  <si>
    <t>暴雨梨花针</t>
  </si>
  <si>
    <t>以连绵不断之手法发射钢针，其攻势密如骤雨，急如暴风，功力不足者，也只能如娇弱梨花般被雨打风吹而去</t>
  </si>
  <si>
    <t>智力潜力2;射术1;灵巧1</t>
  </si>
  <si>
    <t>射术60;灵巧40</t>
  </si>
  <si>
    <t>连绵0.08;流血0.08</t>
  </si>
  <si>
    <t>腹17;心8</t>
  </si>
  <si>
    <t>腹5;心5</t>
  </si>
  <si>
    <t>4-----1.1</t>
  </si>
  <si>
    <t>七星透骨钉</t>
  </si>
  <si>
    <t>一次发出七枚透骨钢钉之手法，可同时攻击七个不同部位，其中暗含星宿阵法之理，唯有聪慧过人者方能完全掌握</t>
  </si>
  <si>
    <t>射术潜力2;射术1;智力1</t>
  </si>
  <si>
    <t>智力2;射术4;内力0.1</t>
  </si>
  <si>
    <t>射术65;智力50</t>
  </si>
  <si>
    <t>裂膝0.06;穿甲0.06</t>
  </si>
  <si>
    <t>头18;胸8</t>
  </si>
  <si>
    <t>头8;胸2</t>
  </si>
  <si>
    <t>万化玄机刀</t>
  </si>
  <si>
    <t>唐门机巧工艺之结晶，刀刃可伸缩、弯折、展开、飞射，因其结构复杂难以维护，长老以上方可使用</t>
  </si>
  <si>
    <t>灵巧潜力2;刀法1;力道1</t>
  </si>
  <si>
    <t>灵巧4;刀法3;内力0.1</t>
  </si>
  <si>
    <t>刀法60;灵巧45;力道30</t>
  </si>
  <si>
    <t>破招0.12</t>
  </si>
  <si>
    <t>足14;心9</t>
  </si>
  <si>
    <t>足8;心6</t>
  </si>
  <si>
    <t>漫天花雨</t>
  </si>
  <si>
    <t>唐门暗器种类纷繁复杂，大小重量，使用方法不尽相同，此手法却能一次发出数十种暗器，颇有花雨漫天飘零之意</t>
  </si>
  <si>
    <t>绝技潜力1;射术潜力1;灵巧潜力1;智力潜力1</t>
  </si>
  <si>
    <t>绝技12;灵巧12;智力12;连绵0.06;暴击0.06;射术威力0.06</t>
  </si>
  <si>
    <t>绝技60;灵巧60;智力60;射术60</t>
  </si>
  <si>
    <t>九天罗候针</t>
  </si>
  <si>
    <t>唐门至高暗器，平平无奇的黑色钢针，却是以九种剧毒淬炼而成，见血封喉，无比凶险，江湖中人闻之无不两股战战，望风逃遁</t>
  </si>
  <si>
    <t>射术潜力1;灵巧潜力1;智力潜力1;毒术1</t>
  </si>
  <si>
    <t>灵巧5;智力1;射术3</t>
  </si>
  <si>
    <t>射术75;灵巧65;智力55</t>
  </si>
  <si>
    <t>0,4,7</t>
  </si>
  <si>
    <t>暴击0.08;毒素0.08;不愈0.08</t>
  </si>
  <si>
    <t>心12;腹12;足12</t>
  </si>
  <si>
    <t>心2;腹2;足2</t>
  </si>
  <si>
    <t>12-----1.1</t>
  </si>
  <si>
    <t>毒刺-Target-Grid-Happen</t>
  </si>
  <si>
    <t>千金要方</t>
  </si>
  <si>
    <t>药王孙思邈所撰医书，有药方数千，博采众长，堪称医药研习之基本，武林中人习之亦有调元养身之功效</t>
  </si>
  <si>
    <t>生命上限20;内力上限20;内功3;经脉3;医术2;毒术1;疗伤0.04;抗耐药性0.02</t>
  </si>
  <si>
    <t>内功5;经脉5;医术5</t>
  </si>
  <si>
    <t>悬绳功</t>
  </si>
  <si>
    <t>在悬挂绳索上修习，或跑动，或跳跃，或打坐，或小憩，可锻炼身形平衡和下盘之稳固</t>
  </si>
  <si>
    <t>轻功4;体质4;卸力0.04</t>
  </si>
  <si>
    <t>推拿法</t>
  </si>
  <si>
    <t>此按摩手法可疏通经脉，活络气血，也能缓解过度练功后的肌肉酸痛</t>
  </si>
  <si>
    <t>绝技4;智力2;经脉2;康复0.04</t>
  </si>
  <si>
    <t>绝技5;智力5</t>
  </si>
  <si>
    <t>微雨指法</t>
  </si>
  <si>
    <t>绵若无物之指法，其劲道如和风细雨，能缓缓侵入经脉，闭人手臂之穴道</t>
  </si>
  <si>
    <t>经脉2;拳掌1;内力0.2</t>
  </si>
  <si>
    <t>拳掌5;经脉5</t>
  </si>
  <si>
    <t>手臂点穴0.15</t>
  </si>
  <si>
    <t>寒冰-Target-Grid-Happen</t>
  </si>
  <si>
    <t>化瘀掌</t>
  </si>
  <si>
    <t>从推拿手法中演化而来，以巧劲攻敌软弱之处，也能借反冲力道畅通自身气血</t>
  </si>
  <si>
    <t>医术1;拳掌2;内力0.2</t>
  </si>
  <si>
    <t>医术10</t>
  </si>
  <si>
    <t>恢复0.03;康复0.03</t>
  </si>
  <si>
    <t>打击5-Target-Grid-Happen;真气-Target-Grid-Happen</t>
  </si>
  <si>
    <t>药王针术</t>
  </si>
  <si>
    <t>药王孙思邈所传之针灸术，以毫针捻转提插，刺激穴位，从而疏经通络，活血化瘀</t>
  </si>
  <si>
    <t>医术0.1;射术0.1;内力0.01</t>
  </si>
  <si>
    <t>射术5;医术5</t>
  </si>
  <si>
    <t>疗伤0.04</t>
  </si>
  <si>
    <t>治疗-Target-Grid-Happen</t>
  </si>
  <si>
    <t>采补养元功</t>
  </si>
  <si>
    <t>药王谷入门心法，采天地精华，养自身元气，有增强内息，延年益寿之功效</t>
  </si>
  <si>
    <t>生命上限40;内力上限40;内功4;经脉4;体质4;疗伤0.04;康复0.04</t>
  </si>
  <si>
    <t>内功15;经脉10</t>
  </si>
  <si>
    <t>采燕功</t>
  </si>
  <si>
    <t>药王谷峭壁上盛产名贵补品：燕窝，采摘者需悬绳垂于崖面之上移行采撷，稍作不慎便会粉骨碎身</t>
  </si>
  <si>
    <t>轻功1;体质1</t>
  </si>
  <si>
    <t>轻功4;灵巧6;体质4;回体2;抗耐药性0.02</t>
  </si>
  <si>
    <t>回春丹方</t>
  </si>
  <si>
    <t>记叙丹方的歌诀，学医之人熟记并日常背诵，可以打磨心智，锻炼记忆</t>
  </si>
  <si>
    <t>绝技4;智力4;经脉4;疗伤0.04;康复0.02;抗耐药性0.04</t>
  </si>
  <si>
    <t>绝技10;智力5</t>
  </si>
  <si>
    <t>指点十一式</t>
  </si>
  <si>
    <t>基础点穴手法，药王谷入门弟子常借修习此功夫来辨认穴位，学习经脉走向</t>
  </si>
  <si>
    <t>智力1;医术1</t>
  </si>
  <si>
    <t>智力2;拳掌1;医术2</t>
  </si>
  <si>
    <t>拳掌10;智力10;医术10</t>
  </si>
  <si>
    <t>心胸点穴0.1;头颈点穴0.05</t>
  </si>
  <si>
    <t>腹6;足9</t>
  </si>
  <si>
    <t>腹4;足7</t>
  </si>
  <si>
    <t>春蚕掌</t>
  </si>
  <si>
    <t>此掌法擅长久战，招式以守代攻，绵密无比，劲道如春蚕吐丝般缠绕敌人，令其疲敝不堪</t>
  </si>
  <si>
    <t>体质2;拳掌2;内力0.1</t>
  </si>
  <si>
    <t>疲劳0.1</t>
  </si>
  <si>
    <t>手8</t>
  </si>
  <si>
    <t>胸14;手8</t>
  </si>
  <si>
    <t>芙蓉金针</t>
  </si>
  <si>
    <t>药王谷独门针灸手法，在数步距离上射出金针，替人远程渡穴疗伤，因有一定风险，需精习医术者方能使用</t>
  </si>
  <si>
    <t>医术0.2;经脉0.1;射术0.1</t>
  </si>
  <si>
    <t>射术15;经脉5;医术15</t>
  </si>
  <si>
    <t>0,0,2</t>
  </si>
  <si>
    <t>疗伤0.08</t>
  </si>
  <si>
    <t>金针伐脉术</t>
  </si>
  <si>
    <t>将内息运于金针之上的独特心法，刺中穴位后，内劲如涓流渗入经脉，治病救人还是扰乱内息，全在一念之间</t>
  </si>
  <si>
    <t>生命上限60;内力上限60;内功6;经脉6;智力6;医术6;调息0.04;内伤0.04;抗耐药性0.04</t>
  </si>
  <si>
    <t>内功30;经脉20;医术15</t>
  </si>
  <si>
    <t>灵鳌步</t>
  </si>
  <si>
    <t>注重防御之步法，其身形弯腰弓背，左挡右支，每日演练也有养生健体之功效</t>
  </si>
  <si>
    <t>轻功2;体质1</t>
  </si>
  <si>
    <t>轻功4;体质6;经脉6;回血0.005;回体1;抗耐药性0.04</t>
  </si>
  <si>
    <t>轻功25;体质15</t>
  </si>
  <si>
    <t>金钗刮膜功</t>
  </si>
  <si>
    <t>用金鎞刮去眼球表面的薄膜，使盲人复明之法。施此术者，眼力手劲均须极巧极稳，稍有差池便会伤人眼球</t>
  </si>
  <si>
    <t>绝技2;智力1</t>
  </si>
  <si>
    <t>绝技6;灵巧6;智力6;疗伤0.04;鹰眼0.04;抗耐药性0.04</t>
  </si>
  <si>
    <t>绝技25;智力25;医术25</t>
  </si>
  <si>
    <t>凝血指</t>
  </si>
  <si>
    <t>以内劲攻击人体关键穴位之指法，中招者血流淤塞，经脉受阻，只得任人鱼肉</t>
  </si>
  <si>
    <t>拳掌2;经脉1</t>
  </si>
  <si>
    <t>拳掌2;医术3;内力0.1</t>
  </si>
  <si>
    <t>拳掌30;医术20</t>
  </si>
  <si>
    <t>凝血0.05;不愈0.05</t>
  </si>
  <si>
    <t>腹4;足4</t>
  </si>
  <si>
    <t>血雾-Target-Grid-Happen</t>
  </si>
  <si>
    <t>摧心掌</t>
  </si>
  <si>
    <t>药王谷少有的狠辣武功，将猛烈内劲拍入敌方心脉，内力不足以相抗者，便会落得心脏爆裂而亡的下场</t>
  </si>
  <si>
    <t>拳掌35;经脉15</t>
  </si>
  <si>
    <t>内伤0.1</t>
  </si>
  <si>
    <t>心18;胸6</t>
  </si>
  <si>
    <t>心2;胸2</t>
  </si>
  <si>
    <t>天王补心针</t>
  </si>
  <si>
    <t>此针灸之法专门医治心脉重疾，对于气血亏虚之人大有裨益，亦有安定心神之功效</t>
  </si>
  <si>
    <t>射术1;智力1;体质1</t>
  </si>
  <si>
    <t>医术0.1;智力0.3;射术0.1</t>
  </si>
  <si>
    <t>射术20;智力20;医术30</t>
  </si>
  <si>
    <t>疗伤0.06;蓄力0.06</t>
  </si>
  <si>
    <t>扁鹊回春功</t>
  </si>
  <si>
    <t>战国名医扁鹊所留之医书，其中妙药灵方无数，更兼锤炼经脉之神奇法门，可大大增加内息潜能</t>
  </si>
  <si>
    <t>体质潜力1;经脉潜力1;医术潜力1</t>
  </si>
  <si>
    <t>生命上限80;内力上限80;内功8;经脉8;医术8;毒术4;疗伤0.05;康复0.1;抗耐药性0.05</t>
  </si>
  <si>
    <t>内功40;经脉20;医术40</t>
  </si>
  <si>
    <t>女娲补天式</t>
  </si>
  <si>
    <t>修习者模仿女娲神姿，身形挺立手举过顶，作托天撼地之姿，上身飘逸，下盘稳固，有锻炼全身筋骨之功效</t>
  </si>
  <si>
    <t>轻功潜力1;轻功1;体质1</t>
  </si>
  <si>
    <t>轻功6;意志9;体质9;疗伤0.04;卸力0.06</t>
  </si>
  <si>
    <t>轻功40;体质35</t>
  </si>
  <si>
    <t>移花接木</t>
  </si>
  <si>
    <t>本是园艺嫁接手法，经药王谷改进成一门复位关节，接骨正畸之绝技，对使用者手眼功夫和心智神识均有裨益</t>
  </si>
  <si>
    <t>智力潜力1;绝技1;智力1;医术1</t>
  </si>
  <si>
    <t>绝技3;灵巧9;智力9;医术6;康复0.05;斗转0.05;抗耐药性0.05</t>
  </si>
  <si>
    <t>绝技45;智力40</t>
  </si>
  <si>
    <t>九幽黄泉指</t>
  </si>
  <si>
    <t>专攻人体周身紧要死穴的狠毒指法，中招者五内翻滚，经脉逆行，如坠九幽黄泉</t>
  </si>
  <si>
    <t>拳掌潜力1;拳掌1;经脉1</t>
  </si>
  <si>
    <t>经脉1;拳掌2;内力0.4</t>
  </si>
  <si>
    <t>拳掌45;经脉35</t>
  </si>
  <si>
    <t>截脉0.06;不愈0.06</t>
  </si>
  <si>
    <t>心10;腹12</t>
  </si>
  <si>
    <t>心8;腹4</t>
  </si>
  <si>
    <t>药王毒手</t>
  </si>
  <si>
    <t>药王谷虽治病救人之所，其用毒亦是一绝。此手法将毒物暗藏掌心随招式拍出，所中之处立时腐化溃烂，痛苦难忍</t>
  </si>
  <si>
    <t>毒术潜力1;拳掌1;智力1</t>
  </si>
  <si>
    <t>智力3;拳掌1;毒术3</t>
  </si>
  <si>
    <t>拳掌40;智力30;毒术25</t>
  </si>
  <si>
    <t>毒素0.08;疗伤0.08</t>
  </si>
  <si>
    <t>胸6;手8</t>
  </si>
  <si>
    <t>扁鹊神针</t>
  </si>
  <si>
    <t>扁鹊所传针灸之法，其手法独到，不拘一格，所取穴位无不精奇巧妙，能令腐骨生肌，假死之人复生</t>
  </si>
  <si>
    <t>智力潜力1;射术1;医术潜力1</t>
  </si>
  <si>
    <t>医术0.3;射术0.1;内力0.02</t>
  </si>
  <si>
    <t>射术30;智力25;医术45</t>
  </si>
  <si>
    <t>1,0,2</t>
  </si>
  <si>
    <t>恢复0.06;康复0.06</t>
  </si>
  <si>
    <t>神农本草秘要</t>
  </si>
  <si>
    <t>假托神农之名的古代药学典籍，其中方剂分门别类，包罗万千，更兼君臣佐使，触类旁通之高深经脉运行法门</t>
  </si>
  <si>
    <t>医术潜力2;毒术潜力2;内功2</t>
  </si>
  <si>
    <t>生命上限100;内力上限100;内功10;经脉10;医术10;毒术5;疗伤0.06;康复0.12;抗耐药性0.06</t>
  </si>
  <si>
    <t>内功55;经脉45;医术55</t>
  </si>
  <si>
    <t>枯骨生肉法</t>
  </si>
  <si>
    <t>药王谷独门的开方配药，辨证施治之法，采百家之长，集历代精粹，乃当世从医者皆梦寐以求的神妙典籍</t>
  </si>
  <si>
    <t>智力潜力1;体质潜力1;医术2</t>
  </si>
  <si>
    <t>智力15;医术15;疗伤0.06;康复0.06;不愈0.06;抗耐药性0.06</t>
  </si>
  <si>
    <t>绝技50;智力45;医术65</t>
  </si>
  <si>
    <t>大慈大悲指</t>
  </si>
  <si>
    <t>此指法以慈悲为名，本是助人化解内伤之法，若是反其道而行之，便能吸收敌人内力，助自己调息养伤</t>
  </si>
  <si>
    <t>经脉潜力1;内功潜力1;体质1</t>
  </si>
  <si>
    <t>经脉4;医术4;内力0.4</t>
  </si>
  <si>
    <t>拳掌50;经脉40;医术60</t>
  </si>
  <si>
    <t>恢复0.1;不愈0.1;康复0.1</t>
  </si>
  <si>
    <t>心12;腹12</t>
  </si>
  <si>
    <t>气流-Target-Grid-Happen;真气-Target-Grid-Happen</t>
  </si>
  <si>
    <t>化脉神掌</t>
  </si>
  <si>
    <t>救治走火入魔者时，需以掌力化去其体内淤积乱行之内息。对敌时，此掌法也可化去其丹田所蕴含之内息，使其虚弱无比</t>
  </si>
  <si>
    <t>拳掌潜力2;拳掌1;经脉1</t>
  </si>
  <si>
    <t>经脉4;拳掌1;内力0.4</t>
  </si>
  <si>
    <t>拳掌60;经脉55</t>
  </si>
  <si>
    <t>削内0.5</t>
  </si>
  <si>
    <t>手9;腹14</t>
  </si>
  <si>
    <t>手12;腹5</t>
  </si>
  <si>
    <t>墨爆-Target-Grid-Happen;真气喷-Target-Grid-Happen</t>
  </si>
  <si>
    <t>无影神针</t>
  </si>
  <si>
    <t>用于治病救人之极细银针，以独特手法发出，无声无息，无踪无影，可于无形之间伤人要穴，断人经脉</t>
  </si>
  <si>
    <t>智力潜力1;经脉潜力1;射术1;智力1</t>
  </si>
  <si>
    <t>智力3;射术3;医术2</t>
  </si>
  <si>
    <t>射术45;智力45;医术65</t>
  </si>
  <si>
    <t>0,2,6</t>
  </si>
  <si>
    <t>虚弱0.1;伤筋0.1</t>
  </si>
  <si>
    <t>足10;腹18</t>
  </si>
  <si>
    <t>足2;腹4</t>
  </si>
  <si>
    <t>4-----1.2</t>
  </si>
  <si>
    <t>闪光-Target-Grid-Happen;极速剑影-Target-Grid-Happen</t>
  </si>
  <si>
    <t>黄帝秘经</t>
  </si>
  <si>
    <t>相传药王祖师孙思邈从黄帝内经中所悟隐秘之法，并凭此享寿元一百四十有余，乃调经养元，延年益寿之至高法门</t>
  </si>
  <si>
    <t>体质潜力1;经脉潜力2;内功潜力1</t>
  </si>
  <si>
    <t>生命上限120;内力上限120;内功10;经脉10;智力10;医术10;毒术5;疗伤0.09;康复0.09;抗耐药性0.09</t>
  </si>
  <si>
    <t>内功70;经脉60;医术70</t>
  </si>
  <si>
    <t>灵犀一指</t>
  </si>
  <si>
    <t>药王谷医术最高手法，需将五指功夫练至化境，劲道妙至毫巅，或悬丝诊脉，或摘叶飞花，皆若探囊取物</t>
  </si>
  <si>
    <t>拳掌潜力2;智力潜力2;拳掌1</t>
  </si>
  <si>
    <t>智力4;拳掌2;内力0.4</t>
  </si>
  <si>
    <t>拳掌70;智力70</t>
  </si>
  <si>
    <t>手臂点穴0.08;心胸点穴0.08;头颈点穴0.08</t>
  </si>
  <si>
    <t>心10;腹10;手10</t>
  </si>
  <si>
    <t>旋叶-Target-Grid-Start;花散-Target-Grid-Happen;闪光-Target-Grid-Happen</t>
  </si>
  <si>
    <t>敲碗诀</t>
  </si>
  <si>
    <t>街边乞丐一遍以筷子敲碗，一遍所唱之歌谣，其吐字换气中暗含丐帮入门内功心法</t>
  </si>
  <si>
    <t>生命上限20;内力上限20;内功4;力道2;经脉2;卸力0.04</t>
  </si>
  <si>
    <t>野狗步</t>
  </si>
  <si>
    <t>市井流氓的逃跑之法，纵跳乱窜，形状颇为不雅</t>
  </si>
  <si>
    <t>轻功2;体质4;速度0.04;负面抗性0.04</t>
  </si>
  <si>
    <t>快板功</t>
  </si>
  <si>
    <t>说书唱曲，乞讨卖艺之乐器，可锻炼五指灵活</t>
  </si>
  <si>
    <t>绝技4;灵巧2;经脉2;蓄力0.02;拳掌威力0.02</t>
  </si>
  <si>
    <t>绝技5;灵巧5</t>
  </si>
  <si>
    <t>五行六合拳</t>
  </si>
  <si>
    <t>低级武师和打手所用的入门级拳法，招式略显笨拙，但贵在简单实用</t>
  </si>
  <si>
    <t>力道2;拳掌1;内力0.2</t>
  </si>
  <si>
    <t>力道5</t>
  </si>
  <si>
    <t>快活十三掌</t>
  </si>
  <si>
    <t>地痞流氓常用武功，章法散漫，好似胡打乱挥一气，却也能唬住一些武功低微者</t>
  </si>
  <si>
    <t>铁扫帚</t>
  </si>
  <si>
    <t>杂役家仆所使的扫帚功法，用来打扫灰尘尚可，若与人对敌则少显威力不足</t>
  </si>
  <si>
    <t>体质2;长兵1;内力0.1</t>
  </si>
  <si>
    <t>体质5</t>
  </si>
  <si>
    <t>昏沉0.06</t>
  </si>
  <si>
    <t>尘土-Target-Grid-Happen</t>
  </si>
  <si>
    <t>花子棍</t>
  </si>
  <si>
    <t>乞丐沿街乞讨时，往往手拄一木棍或竹杆，既可助力行走，遇到地痞恶犬时也能稍作防身之用</t>
  </si>
  <si>
    <t>长兵3;内力0.2</t>
  </si>
  <si>
    <t>疲劳0.04</t>
  </si>
  <si>
    <t>内家数来宝</t>
  </si>
  <si>
    <t>在行乞时配合快板所唱之小曲，由丐帮高手改编后，其路数暗合丐帮基础内功心法，新晋弟子必须熟记</t>
  </si>
  <si>
    <t>生命上限40;内力上限40;内功6;经脉6;卸力0.03;拳掌威力0.03</t>
  </si>
  <si>
    <t>内功15;经脉5</t>
  </si>
  <si>
    <t>鸟兽散</t>
  </si>
  <si>
    <t>鸟兽一般四散奔逃而去，丐帮帮众为躲避捕快衙役所必修之步法</t>
  </si>
  <si>
    <t>轻功6;灵巧4;体质4;速度0.04</t>
  </si>
  <si>
    <t>轻功10;体质5</t>
  </si>
  <si>
    <t>花鼓戏</t>
  </si>
  <si>
    <t>背着大鼓，沿街边打边唱的卖艺把式，有强身健体，锻炼臂力之功效</t>
  </si>
  <si>
    <t>绝技6;力道3;体质3;壮骨0.03;拳掌威力0.03</t>
  </si>
  <si>
    <t>沾衣十八跌</t>
  </si>
  <si>
    <t>通过牵制重心使敌人跌倒的肉搏招式，进攻威力较弱，但防守反击时常能让疏忽大意者摔个人仰马翻</t>
  </si>
  <si>
    <t>力道1;拳掌3;内力0.1</t>
  </si>
  <si>
    <t>失衡0.08</t>
  </si>
  <si>
    <t>醉拳</t>
  </si>
  <si>
    <t>丐帮高手醉酒后意外使出的独到拳法，拳路似醉非醉，似醒非醒，左倒右支，难以捉摸</t>
  </si>
  <si>
    <t>拳掌20;体质10</t>
  </si>
  <si>
    <t>动摇0.06</t>
  </si>
  <si>
    <t>乱刃-Target-Grid-Start;风轮-Target-Grid-Happen</t>
  </si>
  <si>
    <t>拜年棍法</t>
  </si>
  <si>
    <t>源于乞丐在新春时节拜年乞讨之法，以木棍持续敲击地面，节奏杂乱令人烦躁不堪，然后突然出击之棍法</t>
  </si>
  <si>
    <t>力道3;长兵1</t>
  </si>
  <si>
    <t>长兵10;力道15</t>
  </si>
  <si>
    <t>迟缓0.06</t>
  </si>
  <si>
    <t>地面打击3-Target-Grid-Happen</t>
  </si>
  <si>
    <t>双棍缠身</t>
  </si>
  <si>
    <t>相传是无名乞丐长棍被恶徒砍断后，情急之下以两节断棍使出的棍法，颇有几分灵巧快速</t>
  </si>
  <si>
    <t>经脉1;灵巧2;长兵2</t>
  </si>
  <si>
    <t>不屈0.04</t>
  </si>
  <si>
    <t>旋棍-Target-Grid-Happen</t>
  </si>
  <si>
    <t>莲花落心法</t>
  </si>
  <si>
    <t>暗藏在民间戏曲莲花落中的进阶内功心法，若能演唱此贯口，证明此人已步入丐帮正式弟子之行列</t>
  </si>
  <si>
    <t>生命上限60;内力上限60;内功9;经脉9;壮骨0.04;拳掌威力0.04</t>
  </si>
  <si>
    <t>内功30;经脉15</t>
  </si>
  <si>
    <t>死缠烂打</t>
  </si>
  <si>
    <t>叫花子行乞时，紧跟目标、不断纠缠之身法。一旦缠住目标，便如同牛皮糖一般，撕扯不下，甩脱不开</t>
  </si>
  <si>
    <t>轻功9;力道9;笨拙0.08;负面加成0.04</t>
  </si>
  <si>
    <t>轻功25;力道15</t>
  </si>
  <si>
    <t>布袋功</t>
  </si>
  <si>
    <t>可能源于某位丐帮弟子的悲惨经历，将修习者置于布袋之中，摸爬滚翻，并承受棍棒殴打的强身锻体之法</t>
  </si>
  <si>
    <t>绝技9;体质9;铜皮0.04;卸力0.04</t>
  </si>
  <si>
    <t>绝技25;体质20</t>
  </si>
  <si>
    <t>莲花掌</t>
  </si>
  <si>
    <t>取出淤泥而不染，濯清涟而不妖之掌意，是丐帮之中少有的以柔克刚，以弱胜强之精巧掌法</t>
  </si>
  <si>
    <t>经脉1;拳掌3;内力0.3</t>
  </si>
  <si>
    <t>截脉0.04;腰腹点穴0.04</t>
  </si>
  <si>
    <t>莲花转-Target-Grid-Happen;打击4-Target-Grid-Happen</t>
  </si>
  <si>
    <t>铜锤手</t>
  </si>
  <si>
    <t>势大力沉，威力刚猛之拳法，双拳翻动挥舞，虎虎生风，撞击时会发出巨大声响，真如铜锤敲击一般</t>
  </si>
  <si>
    <t>拳掌1;力道2</t>
  </si>
  <si>
    <t>拳掌30;力道25</t>
  </si>
  <si>
    <t>压制0.04;眩晕0.04;击退1</t>
  </si>
  <si>
    <t>头8;胸12</t>
  </si>
  <si>
    <t>头4;胸6</t>
  </si>
  <si>
    <t>地面打击-Target-Grid-Happen;狮吼-Target-Grid-Happen</t>
  </si>
  <si>
    <t>莲花乱棍</t>
  </si>
  <si>
    <t>丐帮进阶棍法，其招式粗中有细，乱中有序，若丐帮弟子围成圆阵使出，则棍影如荷花叶瓣迎风起伏，颇具声势</t>
  </si>
  <si>
    <t>经脉2;长兵3;内力0.1</t>
  </si>
  <si>
    <t>长兵30;经脉20</t>
  </si>
  <si>
    <t>手4;心9</t>
  </si>
  <si>
    <t>莲花转-Target-Grid-Happen;三连打击-Target-Grid-Happen</t>
  </si>
  <si>
    <t>哭丧棍法</t>
  </si>
  <si>
    <t>从叫花子替人哭丧之动作中演化而出，以棍点地，然后快速出击，棍势诡谲凶猛，更兼使用者狂呼乱嚎，真如丧考妣一般</t>
  </si>
  <si>
    <t>长兵1;体质2</t>
  </si>
  <si>
    <t>长兵25;体质25</t>
  </si>
  <si>
    <t>动摇0.08</t>
  </si>
  <si>
    <t>旋棍-Target-Grid-Happen;墨圈-Target-Grid-Happen</t>
  </si>
  <si>
    <t>混天功</t>
  </si>
  <si>
    <t>丐帮高级内功心法，此功法内息刚猛，遒劲有力，左冲右突之时颇有几分混天动地之威势</t>
  </si>
  <si>
    <t>生命上限80;内力上限80;内功8;力道8;经脉8;眩晕0.04;铜皮0.04;拳掌威力0.04</t>
  </si>
  <si>
    <t>内功45;经脉25;力道25</t>
  </si>
  <si>
    <t>逍遥游</t>
  </si>
  <si>
    <t>脱胎自道家典籍庄子之轻功，乘天地之正，而御六气之辩，以游无穷，颇为符合丐帮弟子云游天下之意趣</t>
  </si>
  <si>
    <t>轻功8;力道8;经脉8;壮骨0.05;通脉0.05</t>
  </si>
  <si>
    <t>轻功45;力道30;经脉20</t>
  </si>
  <si>
    <t>妙手空空</t>
  </si>
  <si>
    <t>丐帮中人大多遵纪守法，但情急时仍需干些偷鸡摸狗的勾当，因此留有一式探囊取物的偷盗手法，但贸然以此作奸犯科者也难逃重罚</t>
  </si>
  <si>
    <t>绝技潜力1;绝技1;灵巧1</t>
  </si>
  <si>
    <t>绝技8;灵巧8;意志8;破招0.05;拳掌威力0.05</t>
  </si>
  <si>
    <t>绝技40;灵巧30;意志15</t>
  </si>
  <si>
    <t>鲲鹏拳法</t>
  </si>
  <si>
    <t>脱胎自道家典籍庄子之拳法，或水击千里，或扶摇直上，招式大开大合，内劲潇洒浑厚</t>
  </si>
  <si>
    <t>经脉2;拳掌4;内力0.1</t>
  </si>
  <si>
    <t>拳掌45;经脉30</t>
  </si>
  <si>
    <t>内伤0.05;压制0.05</t>
  </si>
  <si>
    <t>胸12;腹10</t>
  </si>
  <si>
    <t>铁蒲扇手</t>
  </si>
  <si>
    <t>五指张开如蒲扇挥舞的掌法，刚猛霸气，力道惊人，击出劲风刮到脸上都会隐隐作痛，若着之难免被击退数尺之远</t>
  </si>
  <si>
    <t>经脉潜力1;拳掌1;力道1</t>
  </si>
  <si>
    <t>力道3;拳掌2;内力0.2</t>
  </si>
  <si>
    <t>拳掌50;力道35</t>
  </si>
  <si>
    <t>眩晕0.05;断骨0.05;击退3</t>
  </si>
  <si>
    <t>头16;胸8</t>
  </si>
  <si>
    <t>奇门三才棍</t>
  </si>
  <si>
    <t>此棍法共分三大式，一式敬天，一式敬地，一式敬人，其中招式变换和内劲运用暗合奇门遁甲之法</t>
  </si>
  <si>
    <t>长兵潜力1;长兵1;经脉1</t>
  </si>
  <si>
    <t>经脉3;长兵2;内力0.3</t>
  </si>
  <si>
    <t>长兵50;经脉30</t>
  </si>
  <si>
    <t>通脉0.05;截脉0.05</t>
  </si>
  <si>
    <t>旋棍-Target-Grid-Happen;八卦光-Target-Grid-Happen</t>
  </si>
  <si>
    <t>威武棍法</t>
  </si>
  <si>
    <t>衙门升堂之时，左右衙役高呼威武之动作中领悟出的棍法，其路数威风凛凛，屏开八面，不时敲击地面发出巨响，震慑敌人心神</t>
  </si>
  <si>
    <t>力道潜力1;长兵1;力道1</t>
  </si>
  <si>
    <t>力道3;长兵3;内力0.1</t>
  </si>
  <si>
    <t>长兵45;力道25</t>
  </si>
  <si>
    <t>动摇0.05;虚弱0.05</t>
  </si>
  <si>
    <t>心8;足14</t>
  </si>
  <si>
    <t>心8;足4</t>
  </si>
  <si>
    <t>混世天罡</t>
  </si>
  <si>
    <t>至阳至刚之内功心法，其劲力汹涌澎湃，霸道无匹，无法无天，横冲直撞之时甚至会伤及己身，非功力雄厚者难以掌控</t>
  </si>
  <si>
    <t>经脉潜力1;内功潜力1;内功2</t>
  </si>
  <si>
    <t>生命上限100;内力上限100;内功15;经脉15;重碾0.05;眩晕0.05;拳掌威力0.05</t>
  </si>
  <si>
    <t>内功60;经脉50</t>
  </si>
  <si>
    <t>虎落平阳</t>
  </si>
  <si>
    <t>虎落平阳，蛟入浅海，乃是作困兽之斗，集中全身力量博最后一击的丐帮绝学，在生死关头能够发挥出超常的威力</t>
  </si>
  <si>
    <t>力道潜力1;绝技潜力1;绝技2</t>
  </si>
  <si>
    <t>绝技15;力道15;铜皮0.05;壮骨0.05;拳掌威力0.05</t>
  </si>
  <si>
    <t>绝技55;力道45</t>
  </si>
  <si>
    <t>睡梦罗汉拳</t>
  </si>
  <si>
    <t>相传是跛脚僧于睡梦中传授丐帮前辈的神妙拳法，出招时双眼微闭做昏昏欲睡状，招式空幻奇绝令人如坠梦中而不自知，待惊醒已身中数拳矣</t>
  </si>
  <si>
    <t>经脉潜力2;拳掌1;经脉1</t>
  </si>
  <si>
    <t>经脉3;拳掌3;内力0.3</t>
  </si>
  <si>
    <t>拳掌65;经脉45</t>
  </si>
  <si>
    <t>昏沉0.06;笨拙0.06</t>
  </si>
  <si>
    <t>胸8;足16</t>
  </si>
  <si>
    <t>胸6;足10</t>
  </si>
  <si>
    <t>烟圈-Target-Grid-Happen;佛压-Target-Grid-Happen</t>
  </si>
  <si>
    <t>酒仙散手</t>
  </si>
  <si>
    <t>丐帮前任帮主嗜酒如命，尝饮百杯不醉，并在随性挥舞间，创出这套以醉拳为基础的精妙拳法，其形散神不散，四面出击，潇洒快意，不负酒仙之名</t>
  </si>
  <si>
    <t>力道4;拳掌2;内力0.1</t>
  </si>
  <si>
    <t>拳掌55;力道55</t>
  </si>
  <si>
    <t>压制0.06;断骨0.06;击退2</t>
  </si>
  <si>
    <t>胸12;腹12</t>
  </si>
  <si>
    <t>胸4;腹8</t>
  </si>
  <si>
    <t>墨爪狂-Target-Grid-Start;地面打击4-Target-Grid-Happen</t>
  </si>
  <si>
    <t>吉祥如意棍</t>
  </si>
  <si>
    <t>名字颇为喜庆，却是丐帮一门精妙非常的棍法。此棍招防守森严，密不透风，更藏有一式自上向下，如同拜年一般的杀招，若闪避不及便有头颅崩碎之危</t>
  </si>
  <si>
    <t>长兵潜力2;长兵1;经脉1</t>
  </si>
  <si>
    <t>经脉2;长兵4;内力0.2</t>
  </si>
  <si>
    <t>长兵60;经脉40</t>
  </si>
  <si>
    <t>铜皮0.06;眩晕0.06</t>
  </si>
  <si>
    <t>头6;手12</t>
  </si>
  <si>
    <t>劈砍_红连续-Target-Grid-Happen</t>
  </si>
  <si>
    <t>黑白无常棍</t>
  </si>
  <si>
    <t>传说阴间鬼差黑白无常使一对杀威棍，专行赏善罚恶、勾人魂魄之事，阴狠诡谲，险招频出，稍有不慎便会命丧棍下</t>
  </si>
  <si>
    <t>力道潜力2;长兵1;力道1</t>
  </si>
  <si>
    <t>力道5;长兵1;内力0.1</t>
  </si>
  <si>
    <t>长兵45;力道60</t>
  </si>
  <si>
    <t>脆弱0.06;凝血0.06</t>
  </si>
  <si>
    <t>心8;足15</t>
  </si>
  <si>
    <t>心5;足9</t>
  </si>
  <si>
    <t>降龙掌法</t>
  </si>
  <si>
    <t>丐帮最强掌法，动作简单无奇但却威力无穷，盖因此掌法将人体之力道与内劲之运用发挥到了极致，因此每击均有排山倒海之力，可以不变应万变矣</t>
  </si>
  <si>
    <t>拳掌潜力1;力道潜力2;经脉2</t>
  </si>
  <si>
    <t>力道2;经脉2;拳掌3;内力0.4</t>
  </si>
  <si>
    <t>拳掌70;力道70;经脉60</t>
  </si>
  <si>
    <t>内伤0.06;断骨0.06;眩晕0.06;击退2</t>
  </si>
  <si>
    <t>心8;腹10;胸12</t>
  </si>
  <si>
    <t>心4;腹4;胸4</t>
  </si>
  <si>
    <t>龙腾全屏-Self-Grid-Start;龙腾爆-Target-Grid-Start;碎地-Target-Grid-Happen</t>
  </si>
  <si>
    <t>打狗八绝棍</t>
  </si>
  <si>
    <t>丐帮祖师对战群邪时所创棍法，以“打狗”称之颇有几分戏谑粗俗之意，却是举重若轻，返璞归真，实用至极，无丝毫多余动作之招式</t>
  </si>
  <si>
    <t>长兵潜力1;经脉潜力2;力道2</t>
  </si>
  <si>
    <t>经脉3;长兵5;内力0.1</t>
  </si>
  <si>
    <t>长兵80;力道55;经脉55</t>
  </si>
  <si>
    <t>失衡0.08;迟缓0.06;动摇0.06</t>
  </si>
  <si>
    <t>手8;足10;头8</t>
  </si>
  <si>
    <t>手5;足5;头5</t>
  </si>
  <si>
    <t>墨染-Target-Grid-Start;旋棍-Target-Grid-Happen;墨爆-Target-Grid-Happen</t>
  </si>
  <si>
    <t>禁军心法</t>
  </si>
  <si>
    <t>飞龙门</t>
  </si>
  <si>
    <t>京城守卫禁军所习之入门内功心法，与武林中人的内功相比，颇为简单直接</t>
  </si>
  <si>
    <t>生命上限30;内力上限10;内功4;力道4;长兵威力0.04</t>
  </si>
  <si>
    <t>从军行</t>
  </si>
  <si>
    <t>行伍之人行军时所走步法，不求快速轻巧，但求齐整有力</t>
  </si>
  <si>
    <t>坐骑加成0.06;减伤2;装备负重2</t>
  </si>
  <si>
    <t>举盾术</t>
  </si>
  <si>
    <t>士兵持盾防御，抵挡攻击之法</t>
  </si>
  <si>
    <t>绝技2;体质2;护甲2;反击0.04;装备负重4</t>
  </si>
  <si>
    <t>绝技5;体质5</t>
  </si>
  <si>
    <t>薛家戟法</t>
  </si>
  <si>
    <t>薛家家传戟法，注重防御，适合入伍新兵训练使用</t>
  </si>
  <si>
    <t>力道2;长兵1</t>
  </si>
  <si>
    <t>铜皮0.04</t>
  </si>
  <si>
    <t>足12</t>
  </si>
  <si>
    <t>劈砍_黑白-Target-Grid-Happen</t>
  </si>
  <si>
    <t>岳家枪法</t>
  </si>
  <si>
    <t>岳家家传枪法，注重进攻，适合入伍新兵训练使用</t>
  </si>
  <si>
    <t>体质1;长兵2</t>
  </si>
  <si>
    <t>胸6</t>
  </si>
  <si>
    <t>舂米戈术</t>
  </si>
  <si>
    <t>如同舂米一般，上下挥戈之术，乃士兵入伍所必修招式</t>
  </si>
  <si>
    <t>意志5</t>
  </si>
  <si>
    <t>破甲0.04</t>
  </si>
  <si>
    <t>四门刀法</t>
  </si>
  <si>
    <t>只有四式的刀法，攻击敌人上下左右四处门户，胜在简单易学</t>
  </si>
  <si>
    <t>羽林心法</t>
  </si>
  <si>
    <t>京城守卫禁军所习之基础内功心法，与武林中人的内功相比，忽视了内力修为，更注重实战操练</t>
  </si>
  <si>
    <t>生命上限70;内力上限10;内功4;力道4;体质4;回血0.003;长兵威力0.03</t>
  </si>
  <si>
    <t>衔枚疾走</t>
  </si>
  <si>
    <t>将枝条含在口中避免出声的快速隐秘行军之法</t>
  </si>
  <si>
    <t>坐骑加成0.07;速度0.03;长兵威力0.03</t>
  </si>
  <si>
    <t>轻功10;意志5</t>
  </si>
  <si>
    <t>铁桶功</t>
  </si>
  <si>
    <t>身披铁甲之人修习的硬功，通过肌肉运劲和姿势调整，令敌人的攻击落在甲胄较厚实处</t>
  </si>
  <si>
    <t>绝技2;力道6;护甲2;卸力0.06;装备负重6</t>
  </si>
  <si>
    <t>绝技15;力道5</t>
  </si>
  <si>
    <t>折戟沉沙</t>
  </si>
  <si>
    <t>本是扫击骑兵马腿之戟法，经飞龙门修改后，专攻敌人下盘</t>
  </si>
  <si>
    <t>意志1;长兵3;内力0.1</t>
  </si>
  <si>
    <t>长兵15;意志10</t>
  </si>
  <si>
    <t>裂膝0.06</t>
  </si>
  <si>
    <t>黄沙-Target-Grid-Happen;地刺-Target-Grid-Happen</t>
  </si>
  <si>
    <t>回马枪术</t>
  </si>
  <si>
    <t>佯装逃跑时借身体回转之力，给背后追击者致命一击的行伍枪术，因缺乏防御后手而需谨慎使用</t>
  </si>
  <si>
    <t>体质2;长兵2</t>
  </si>
  <si>
    <t>长兵20;体质10</t>
  </si>
  <si>
    <t>死战0.04</t>
  </si>
  <si>
    <t>泣血戈术</t>
  </si>
  <si>
    <t>败军之将所创，悲愤凶狠，志在复仇的全力挥戈之法，刺入人体后，鲜血自戈身滴落，宛若泣血呜咽</t>
  </si>
  <si>
    <t>力道3;长兵2</t>
  </si>
  <si>
    <t>流血0.06</t>
  </si>
  <si>
    <t>喷血-Target-Grid-Happen;劈砍_黄裂地-Target-Grid-Happen</t>
  </si>
  <si>
    <t>斩马刀法</t>
  </si>
  <si>
    <t>源于沙场之上，斩击骑兵马匹的勇猛刀法，讲求以攻代守，以力胜强</t>
  </si>
  <si>
    <t>手20</t>
  </si>
  <si>
    <t>孤烟心经</t>
  </si>
  <si>
    <t>大漠孤烟直，长河落日圆，此功法源于西北边塞，非身经百战，出生入死之士难以领略其精髓</t>
  </si>
  <si>
    <t>生命上限100;内力上限20;内功6;力道6;意志6;长兵威力0.08</t>
  </si>
  <si>
    <t>内功25;体质25</t>
  </si>
  <si>
    <t>策马过五关</t>
  </si>
  <si>
    <t>取关公过五关斩六将之意，横冲直撞，势不可挡，追求冲击力道而非闪避灵活的猛将之步法</t>
  </si>
  <si>
    <t>坐骑加成0.08;穿甲0.04;横练0.04;装备负重4</t>
  </si>
  <si>
    <t>轻功25;意志25</t>
  </si>
  <si>
    <t>陷阵之志</t>
  </si>
  <si>
    <t>陷阵之志，有死无生，乃猛将高顺所率精兵之口号，以此意志修习武功者，心神如铁，不可摧折</t>
  </si>
  <si>
    <t>绝技2;力道1</t>
  </si>
  <si>
    <t>绝技8;意志8;体质2;霸体0.04;长兵威力0.04</t>
  </si>
  <si>
    <t>绝技20;力道30</t>
  </si>
  <si>
    <t>飞龙长戟</t>
  </si>
  <si>
    <t>专攻远距离的戟法，其出势如龙，长攻远击，可谓一寸长一寸强，但难以应付近身肉搏之敌</t>
  </si>
  <si>
    <t>体质2;长兵2;内力0.1</t>
  </si>
  <si>
    <t>4,3,4</t>
  </si>
  <si>
    <t>击退2;凝血0.04</t>
  </si>
  <si>
    <t>胸10;手10</t>
  </si>
  <si>
    <t>火柱-Target-Grid-Happen;腾龙-Target-Grid-Happen</t>
  </si>
  <si>
    <t>潜龙枪诀</t>
  </si>
  <si>
    <t>此枪法擅长以游龙探海之势攻击下盘，一旦刺伤敌人腿脚，便能更好发挥长兵之优势</t>
  </si>
  <si>
    <t>意志2;长兵3</t>
  </si>
  <si>
    <t>裂膝0.04;失衡0.04</t>
  </si>
  <si>
    <t>腹4;足15</t>
  </si>
  <si>
    <t>腹4;足8</t>
  </si>
  <si>
    <t>墨卷-Target-Grid-Happen;蟠龙-Target-Grid-Happen</t>
  </si>
  <si>
    <t>铁马金戈</t>
  </si>
  <si>
    <t>行伍猛士所使的挥戈术，专破敌人防御，凭其惊人力道，可轻易啄开寻常甲盾</t>
  </si>
  <si>
    <t>长兵1;力道2</t>
  </si>
  <si>
    <t>力道4;长兵1</t>
  </si>
  <si>
    <t>长兵20;力道25</t>
  </si>
  <si>
    <t>破甲0.04;真伤0.04</t>
  </si>
  <si>
    <t>胸22</t>
  </si>
  <si>
    <t>金刚-Target-Grid-Happen;三连剑影中-Target-Grid-Happen</t>
  </si>
  <si>
    <t>劈天刀法</t>
  </si>
  <si>
    <t>举刀砍劈敌人上盘之刀法，招式简单以力量取胜，抵挡不及者难免头颈遭受重创</t>
  </si>
  <si>
    <t>穿甲0.08</t>
  </si>
  <si>
    <t>劈砍_黄裂地-Target-Grid-Happen</t>
  </si>
  <si>
    <t>潜龙心法</t>
  </si>
  <si>
    <t>讲求藏锋守拙，蓄势待发之内功心法，其息如龙潜深渊，厚积薄发，一旦出手，便如蛟龙出海，势不可挡</t>
  </si>
  <si>
    <t>生命上限140;内力上限30;内功8;力道8;体质8;外伤0.06;长兵威力0.06</t>
  </si>
  <si>
    <t>内功45;体质30</t>
  </si>
  <si>
    <t>长车踏破</t>
  </si>
  <si>
    <t>集中全身力道冲撞之步法，纵使面对铜墙铁壁，亦能力破千军，如架战车长驱直入</t>
  </si>
  <si>
    <t>体质潜力1;轻功1;力道1</t>
  </si>
  <si>
    <t>坐骑加成0.09;穿甲0.05;长兵威力0.05</t>
  </si>
  <si>
    <t>轻功40;力道25</t>
  </si>
  <si>
    <t>明光照铁衣</t>
  </si>
  <si>
    <t>精锐重铠军士所修之硬功，稳若泰山，人甲合一，能够最大化发挥所穿盔甲之防御效用</t>
  </si>
  <si>
    <t>绝技10;意志4;护甲5;横练0.05;霸体0.05;装备负重5</t>
  </si>
  <si>
    <t>绝技45;意志35</t>
  </si>
  <si>
    <t>十六路青龙戟</t>
  </si>
  <si>
    <t>此戟法共分十六路，均以青龙为形制，或游走盘恒，或张牙舞爪，招式之间浑然有序，一气呵成</t>
  </si>
  <si>
    <t>体质潜力1;长兵1;体质1</t>
  </si>
  <si>
    <t>体质3;长兵3</t>
  </si>
  <si>
    <t>长兵40;体质35</t>
  </si>
  <si>
    <t>足10;手12</t>
  </si>
  <si>
    <t>足4;手8</t>
  </si>
  <si>
    <t>蟠龙-Target-Grid-Start;地面打击1-Target-Grid-Happen</t>
  </si>
  <si>
    <t>定军枪</t>
  </si>
  <si>
    <t>相传黄忠斩夏侯渊时所使，居高临下突袭刺击之枪法，其招式勇往无前，以威势取胜，一枪既出足以平定三军</t>
  </si>
  <si>
    <t>意志2;长兵4;内力0.1</t>
  </si>
  <si>
    <t>长兵35;意志30</t>
  </si>
  <si>
    <t>死战0.08;真伤0.06</t>
  </si>
  <si>
    <t>腹8;足14</t>
  </si>
  <si>
    <t>干戈琢玉</t>
  </si>
  <si>
    <t>力道独特，招式精妙的挥戈之法，修习此功法登峰造极者，可用长戈雕琢玉器，分毫不差</t>
  </si>
  <si>
    <t>长兵潜力1;长兵1;力道1</t>
  </si>
  <si>
    <t>力道3;长兵4;内力0.1</t>
  </si>
  <si>
    <t>长兵45;力道40</t>
  </si>
  <si>
    <t>破甲0.05;穿甲0.05</t>
  </si>
  <si>
    <t>胸4;腹2</t>
  </si>
  <si>
    <t>百战刀法</t>
  </si>
  <si>
    <t>古代名将所传之刀法，凝练其从军以来一百余战之经验，乃是以鲜血浇灌而成，极尽实用之杀人术</t>
  </si>
  <si>
    <t>力道潜力1;刀法1;力道1</t>
  </si>
  <si>
    <t>力道3;刀法3</t>
  </si>
  <si>
    <t>刀法40;力道35</t>
  </si>
  <si>
    <t>横练0.1;霸体0.02</t>
  </si>
  <si>
    <t>头8;手6</t>
  </si>
  <si>
    <t>龙城飞将步</t>
  </si>
  <si>
    <t>西汉名将李广所传之步法，初看沉稳持重，虎步而行，而后逐渐加快，直至大步流星，气势惊人，宛如飞将军再世</t>
  </si>
  <si>
    <t>轻功潜力2;轻功2</t>
  </si>
  <si>
    <t>坐骑加成0.1;死战0.05;霸体0.05;长兵威力0.05</t>
  </si>
  <si>
    <t>轻功50;体质45;力道35</t>
  </si>
  <si>
    <t>满江红神功</t>
  </si>
  <si>
    <t>名将所传，隐于诗词之绝技。练成此功者体魄心智均如脱胎换骨、神仙再造一般</t>
  </si>
  <si>
    <t>力道潜力1;意志潜力1;体质潜力1</t>
  </si>
  <si>
    <t>绝技10;力道10;意志10;外伤0.05;霸体0.05;真伤0.05;装备负重10</t>
  </si>
  <si>
    <t>绝技55;力道60;意志40</t>
  </si>
  <si>
    <t>八荒六合戟</t>
  </si>
  <si>
    <t>西楚霸王项羽所传，一式极尽霸道之戟法，扫八荒，清六合，荡平群魔，铲除奸邪，只在举手之间</t>
  </si>
  <si>
    <t>体质潜力2;长兵1;体质1</t>
  </si>
  <si>
    <t>体质2;长兵4</t>
  </si>
  <si>
    <t>外伤0.04;活血0.04;无敌0.02</t>
  </si>
  <si>
    <t>腹12;足16</t>
  </si>
  <si>
    <t>墨爪狂-Target-Grid-Start;墨爪爆-Target-Grid-Happen</t>
  </si>
  <si>
    <t>碧血洗银枪</t>
  </si>
  <si>
    <t>鲜血铸就，惊鸿绝巘之枪法，三国名将赵子龙凭此出生入死，斩将七十余人未尝一败</t>
  </si>
  <si>
    <t>意志潜力2;长兵1;意志1</t>
  </si>
  <si>
    <t>意志3;长兵5;内力0.1</t>
  </si>
  <si>
    <t>长兵60;意志45</t>
  </si>
  <si>
    <t>8,2,5</t>
  </si>
  <si>
    <t>真伤0.06;穿甲0.06</t>
  </si>
  <si>
    <t>胸12;手12</t>
  </si>
  <si>
    <t>胸10;手6</t>
  </si>
  <si>
    <t>喷血迹-Target-Grid-Happen;圆斩-Target-Grid-Happen</t>
  </si>
  <si>
    <t>退日戈术</t>
  </si>
  <si>
    <t>情势危急之时使出，足以力挽狂澜的挥戈之术，传说鲁阳公曾以此法逼退空中烈日</t>
  </si>
  <si>
    <t>长兵潜力2;长兵1;力道1</t>
  </si>
  <si>
    <t>力道3;长兵3</t>
  </si>
  <si>
    <t>长兵55;力道40</t>
  </si>
  <si>
    <t>击退5;破甲0.04</t>
  </si>
  <si>
    <t>手18;腹14</t>
  </si>
  <si>
    <t>手2;腹6</t>
  </si>
  <si>
    <t>圆斩火-Target-Grid-Happen;烈日-Target-Grid-Happen</t>
  </si>
  <si>
    <t>镇魔斩妖刀</t>
  </si>
  <si>
    <t>吴道子所绘钟馗像之机锋演化而成，粗看下招式狂野鄙陋，却大有删繁就简，杀气凛然之意，奸邪群小见之无不胆寒</t>
  </si>
  <si>
    <t>力道潜力2;刀法1;力道1</t>
  </si>
  <si>
    <t>刀法50;力道50</t>
  </si>
  <si>
    <t>外伤0.06;横练0.06</t>
  </si>
  <si>
    <t>头14;胸14</t>
  </si>
  <si>
    <t>帝王封禅功</t>
  </si>
  <si>
    <t>飞龙门至高硬功绝学，运功者遍体坚如磐石，身形稳如泰山，如黄帝金身，江山永固，万夫不能撼其分毫</t>
  </si>
  <si>
    <t>绝技潜力2;体质潜力1;绝技2</t>
  </si>
  <si>
    <t>绝技12;体质12;力道6;护甲12;横练0.06;霸体0.06;装备负重8</t>
  </si>
  <si>
    <t>绝技70;体质65</t>
  </si>
  <si>
    <t>惊鸿一点枪</t>
  </si>
  <si>
    <t>飞龙门登峰造极之枪法，其发力时机只在瞬息之间，如惊鸿于水面一点，却是数十年心魂体魄修炼之结晶，即便高手对战也能一招分出胜负</t>
  </si>
  <si>
    <t>长兵潜力2;意志潜力1;长兵2</t>
  </si>
  <si>
    <t>力道1;意志2;体质3;长兵2</t>
  </si>
  <si>
    <t>长兵75;力道60;意志45</t>
  </si>
  <si>
    <t>死战0.08;穿甲0.08;霸体0.08</t>
  </si>
  <si>
    <t>手6;足6;头6;胸6</t>
  </si>
  <si>
    <t>手4;足4;头4;胸4</t>
  </si>
  <si>
    <t>羽散-Target-Grid-Happen;天罚-Target-Grid-Happen</t>
  </si>
  <si>
    <t>内丹功</t>
  </si>
  <si>
    <t>茅山派</t>
  </si>
  <si>
    <t>茅山道门以人体为鼎炉，以内息为药材，在体内修炼结丹的内功筑基方式</t>
  </si>
  <si>
    <t>生命上限10;内力上限30;内功4;经脉4;雷电0.04;负面抗性0.02</t>
  </si>
  <si>
    <t>内功10;经脉5</t>
  </si>
  <si>
    <t>卷云步</t>
  </si>
  <si>
    <t>茅山入门道士修习的步法，仿天边流云态势，轻慢舒缓，以修身养性为主</t>
  </si>
  <si>
    <t>轻功4;意志4;调息0.04</t>
  </si>
  <si>
    <t>布气诀</t>
  </si>
  <si>
    <t>道家入门的内气外发功法，可疏通经脉，祛风退邪</t>
  </si>
  <si>
    <t>绝技3;体质3;经脉3;康复0.04</t>
  </si>
  <si>
    <t>十八连环破</t>
  </si>
  <si>
    <t>催动阴阳两种内息摩擦碰撞产生微弱雷电之法，茅山新晋弟子需不断练习，直至能连发十八次，方为功成</t>
  </si>
  <si>
    <t>奇门10;智力5</t>
  </si>
  <si>
    <t>雷电0.04</t>
  </si>
  <si>
    <t>足16</t>
  </si>
  <si>
    <t>清心咒</t>
  </si>
  <si>
    <t>入门道士所学，可以清心醒脑的茅山咒术</t>
  </si>
  <si>
    <t>意志0.1;奇门0.1;内力0.01</t>
  </si>
  <si>
    <t>意志10</t>
  </si>
  <si>
    <t>醒脑0.2</t>
  </si>
  <si>
    <t>符纸-Target-Grid-Happen;真气-Target-Hip-Happen</t>
  </si>
  <si>
    <t>安神咒</t>
  </si>
  <si>
    <t>入门道士所学，可以安神定惊的茅山咒术</t>
  </si>
  <si>
    <t>奇门0.2;医术0.3</t>
  </si>
  <si>
    <t>定神0.2</t>
  </si>
  <si>
    <t>符纸-Target-Grid-Happen;治疗-Target-Grid-Happen</t>
  </si>
  <si>
    <t>清风剑法</t>
  </si>
  <si>
    <t>清风徐来，水波不兴，此剑法不急不躁，舒缓平稳，旨在锻炼经脉而非逞强伤人</t>
  </si>
  <si>
    <t>剑法5;经脉5</t>
  </si>
  <si>
    <t>调息0.04;通脉0.04</t>
  </si>
  <si>
    <t>清风-Target-Grid-Happen</t>
  </si>
  <si>
    <t>静守谷神法</t>
  </si>
  <si>
    <t>茅山派动静结合，凝练心神的基础内功，修习者需盘膝端坐，咬牙合口，掌按耳门，腹内鼓气以修炼内息</t>
  </si>
  <si>
    <t>生命上限20;内力上限60;内功6;经脉6;恢复0.03;康复0.06;负面抗性0.03</t>
  </si>
  <si>
    <t>内功20;经脉10</t>
  </si>
  <si>
    <t>御风咒</t>
  </si>
  <si>
    <t>降低风阻，同时借助风力使腿脚更为轻便，从而加快跑动速度的步法</t>
  </si>
  <si>
    <t>轻功6;灵巧3;智力3;速度0.06</t>
  </si>
  <si>
    <t>轻功15;意志15</t>
  </si>
  <si>
    <t>长目飞耳功</t>
  </si>
  <si>
    <t>茅山派集中神智，使耳聪目明之法，被民间讹传为眼睛伸长，耳朵飞出的仙术</t>
  </si>
  <si>
    <t>绝技2;智力5;意志5;鹰眼0.06</t>
  </si>
  <si>
    <t>绝技15;智力10</t>
  </si>
  <si>
    <t>跌打梅山咒</t>
  </si>
  <si>
    <t>以内劲扰乱敌方重心，使之跌倒的奇门咒术，茅山道士有时会用以戏弄功力低微的武林人士</t>
  </si>
  <si>
    <t>智力1;奇门3;内力0.1</t>
  </si>
  <si>
    <t>奇门10;智力10</t>
  </si>
  <si>
    <t>失衡0.04;动摇0.04</t>
  </si>
  <si>
    <t>符纸-Target-Grid-Happen;风轮-Target-Grid-Happen</t>
  </si>
  <si>
    <t>咽喉骨鲠法</t>
  </si>
  <si>
    <t>茅山派,蓬莱派</t>
  </si>
  <si>
    <t>扰乱对方内息的奇门咒术，命中者骨鲠在喉，芒刺在背，难以发挥全力</t>
  </si>
  <si>
    <t>意志1;奇门2;内力0.2</t>
  </si>
  <si>
    <t>虚弱0.06;笨拙0.06</t>
  </si>
  <si>
    <t>符纸-Target-Grid-Happen;诅咒-Target-Grid-Happen</t>
  </si>
  <si>
    <t>定身咒</t>
  </si>
  <si>
    <t>专攻下盘的奇门点穴之法，命中者腿脚僵劲不能动，如被仙法定身一般</t>
  </si>
  <si>
    <t>经脉1;智力1</t>
  </si>
  <si>
    <t>智力2;奇门1;内力0.3</t>
  </si>
  <si>
    <t>奇门10;智力15</t>
  </si>
  <si>
    <t>腿足点穴0.09;雷电0.09</t>
  </si>
  <si>
    <t>符纸-Target-Grid-Happen;锁链-Target-Grid-Happen</t>
  </si>
  <si>
    <t>茅山道剑</t>
  </si>
  <si>
    <t>茅山派剑法根基，招式谨守中庸之道，不疾不徐，不温不火，攻守有度，亦有调复内息之功效</t>
  </si>
  <si>
    <t>经脉2;剑法2;内力0.1</t>
  </si>
  <si>
    <t>剑法10;经脉15</t>
  </si>
  <si>
    <t>调息0.06</t>
  </si>
  <si>
    <t>八卦爆-Target-Grid-Happen;叶轮-Target-Grid-Happen</t>
  </si>
  <si>
    <t>玄门胎息功</t>
  </si>
  <si>
    <t>茅山派以意念引导腹部吐纳的进阶心法，传说修得胎息者可自服内气，握固守一，如孕胎中婴儿不以口鼻便能呼吸</t>
  </si>
  <si>
    <t>内功1;经脉2</t>
  </si>
  <si>
    <t>生命上限20;内力上限100;内功9;经脉6;体质3;调息0.06;雷电0.06;抗耐药性0.04</t>
  </si>
  <si>
    <t>内功40;经脉30</t>
  </si>
  <si>
    <t>服内元气诀</t>
  </si>
  <si>
    <t>唐代幻真先生所传，一门将天地元气吞服到自身体内，转化利用以充盈内息的进阶内功心法</t>
  </si>
  <si>
    <t>生命上限60;内力上限60;内功9;意志6;经脉3;恢复0.08;负面抗性0.04</t>
  </si>
  <si>
    <t>内功30;体质15;经脉15</t>
  </si>
  <si>
    <t>移形换位</t>
  </si>
  <si>
    <t>依天干地支之理，缩减行动距离，从而加快移速之步法，常人眨眼之间便能变换数个方位</t>
  </si>
  <si>
    <t>轻功6;智力6;经脉6;速度0.08</t>
  </si>
  <si>
    <t>轻功30;智力25</t>
  </si>
  <si>
    <t>关公朗真术</t>
  </si>
  <si>
    <t>安定心神，提振胆魄之法，可使惊慌失措之人顿生豪气，旁人看来有如关公附体</t>
  </si>
  <si>
    <t>绝技6;智力6;意志6;护体真气0.16</t>
  </si>
  <si>
    <t>绝技35;意志20</t>
  </si>
  <si>
    <t>引雷术</t>
  </si>
  <si>
    <t>茅山派最为闻名的奇门功法，引动阴阳内息剧烈摩擦碰撞，产生雷电攻击敌人</t>
  </si>
  <si>
    <t>奇门40;智力20</t>
  </si>
  <si>
    <t>勾魂咒</t>
  </si>
  <si>
    <t>以内息扰乱敌人心脉，使其神智混乱，敌我不分的奇门咒术</t>
  </si>
  <si>
    <t>奇门1;灵巧1;意志1</t>
  </si>
  <si>
    <t>意志3;奇门1;内力0.3</t>
  </si>
  <si>
    <t>奇门30;意志25</t>
  </si>
  <si>
    <t>混乱0.24</t>
  </si>
  <si>
    <t>符纸-Target-Grid-Happen;黑爆-Target-Grid-Happen</t>
  </si>
  <si>
    <t>天罡咒</t>
  </si>
  <si>
    <t>念动咒文同时运转内息，能在短时间内使硬功防御突飞猛进的奇门咒术</t>
  </si>
  <si>
    <t>体质0.2;奇门0.2;内力0.01;医术0.2</t>
  </si>
  <si>
    <t>奇门25;体质15</t>
  </si>
  <si>
    <t>铜皮0.24</t>
  </si>
  <si>
    <t>光圈-Target-Hip-Happen</t>
  </si>
  <si>
    <t>御剑秘术</t>
  </si>
  <si>
    <t>以真气驱动手中剑招，可将宝剑脱手数寸再以内劲吸回，因此招法飘逸绝尘，变幻莫测，旁人观之如仙人御剑一般</t>
  </si>
  <si>
    <t>经脉3;剑法3</t>
  </si>
  <si>
    <t>4,3,5</t>
  </si>
  <si>
    <t>真伤0.05;破招0.05</t>
  </si>
  <si>
    <t>胸14;头8</t>
  </si>
  <si>
    <t>胸6;头3</t>
  </si>
  <si>
    <t>五气朝元功</t>
  </si>
  <si>
    <t>道家上乘内功，将体内五气经过任督二脉汇聚于脑海，可去人间烦恼，入极乐幻境</t>
  </si>
  <si>
    <t>内功潜力1;经脉潜力1</t>
  </si>
  <si>
    <t>生命上限40;内力上限120;内功12;经脉6;智力6;调息0.04;恢复0.04;负面抗性0.02</t>
  </si>
  <si>
    <t>内功45;智力30</t>
  </si>
  <si>
    <t>金仙秘旨功</t>
  </si>
  <si>
    <t>传说乃大罗金仙所授功法，有大小周天共二十四诀，固本培元，炼神还虚，对学习者之修为大有裨益</t>
  </si>
  <si>
    <t>体质潜力1;意志潜力1</t>
  </si>
  <si>
    <t>生命上限80;内力上限80;内功12;经脉12;内劲0.05;雷电0.05;抗耐药性0.05</t>
  </si>
  <si>
    <t>内功50;经脉35;意志20</t>
  </si>
  <si>
    <t>瞬息千里</t>
  </si>
  <si>
    <t>将全身内劲灌注于腿脚，以极快之速度，瞬间闪身跃出数丈距离，可轻松躲避大多攻击</t>
  </si>
  <si>
    <t>轻功12;意志9;经脉3;急速0.1</t>
  </si>
  <si>
    <t>轻功45;意志25</t>
  </si>
  <si>
    <t>神女报梦</t>
  </si>
  <si>
    <t>通过神游之法，在睡梦中研习经典，冥想开悟，从而凝练心神，增长智慧的神奇道家法门</t>
  </si>
  <si>
    <t>绝技12;智力12;鹰眼0.05;醒脑0.05</t>
  </si>
  <si>
    <t>绝技45;智力35</t>
  </si>
  <si>
    <t>寒天咒</t>
  </si>
  <si>
    <t>将寒冷内息注入他人体内之咒术，可令其气血冰凝，经脉淤阻，周身寒气弥散</t>
  </si>
  <si>
    <t>意志潜力1;奇门1;意志1</t>
  </si>
  <si>
    <t>意志3;奇门3;内力0.3</t>
  </si>
  <si>
    <t>奇门45;意志30</t>
  </si>
  <si>
    <t>冰寒0.25</t>
  </si>
  <si>
    <t>符纸上升-Target-Grid-Happen;冰雾-Target-Grid-Happen</t>
  </si>
  <si>
    <t>地母雷网</t>
  </si>
  <si>
    <t>茅山秘传引雷之术，将内息所生之雷电引入地下，电击周遭敌人，其威力颇强，消耗也颇大</t>
  </si>
  <si>
    <t>智力潜力1;奇门1;智力1</t>
  </si>
  <si>
    <t>智力4;奇门2;内力0.2</t>
  </si>
  <si>
    <t>奇门50;智力40</t>
  </si>
  <si>
    <t>雷电0.1</t>
  </si>
  <si>
    <t>足16;腹6</t>
  </si>
  <si>
    <t>足10;腹2</t>
  </si>
  <si>
    <t>火炼金身符</t>
  </si>
  <si>
    <t>催动阳刚内力流转全身的咒法，使血脉喷张，肌肉紧绷，遍体坚硬如铁壁铜墙，从而大大增加抗击打能力</t>
  </si>
  <si>
    <t>体质0.2;奇门0.2;内力0.02;医术0.1</t>
  </si>
  <si>
    <t>奇门40;体质35</t>
  </si>
  <si>
    <t>霸体0.3</t>
  </si>
  <si>
    <t>火罩-Target-Hip-Happen</t>
  </si>
  <si>
    <t>钟馗斩妖剑</t>
  </si>
  <si>
    <t>仿照钟馗姿态所创之剑法，需以浑厚内劲驱动，其招式刚猛，劲道四射，足以令神鬼惊诧，群邪辟易</t>
  </si>
  <si>
    <t>经脉4;剑法2;内力0.1</t>
  </si>
  <si>
    <t>剑法40;经脉35</t>
  </si>
  <si>
    <t>胸12;头10</t>
  </si>
  <si>
    <t>胸6;头6</t>
  </si>
  <si>
    <t>龙虎金丹功</t>
  </si>
  <si>
    <t>将周身内力汇聚丹田反复催动炼化，如龙虎相争，直至阴阳调和水火相济，便是金丹练成之时，功力亦突飞猛进</t>
  </si>
  <si>
    <t>内功潜力1;经脉潜力1;体质潜力1</t>
  </si>
  <si>
    <t>生命上限50;内力上限150;内功15;经脉10;意志5;内劲0.06;调息0.06;抗耐药性0.04</t>
  </si>
  <si>
    <t>内功65;经脉50;意志35</t>
  </si>
  <si>
    <t>冲虚神功</t>
  </si>
  <si>
    <t>天师道隐匿于冲虚真经中的精妙内功法门，遵循天地含精，万物化生等自然之理，可令修习者祛病延年，功力大增</t>
  </si>
  <si>
    <t>内功潜力1;智力潜力2</t>
  </si>
  <si>
    <t>生命上限90;内力上限110;内功10;经脉10;体质10;恢复0.06;雷电0.06;负面抗性0.03</t>
  </si>
  <si>
    <t>内功60;智力55;经脉45</t>
  </si>
  <si>
    <t>万里神行</t>
  </si>
  <si>
    <t>茅山独门轻功，需双腿肌肉放松，完全以内劲驱动腿脚。因而不损耗体力，内息越深厚者其奔行速度越快，耐力越久</t>
  </si>
  <si>
    <t>轻功潜力2;轻功1;意志1</t>
  </si>
  <si>
    <t>轻功10;智力10;经脉10;速度0.06;蓄力0.06</t>
  </si>
  <si>
    <t>轻功60;意志45;智力30</t>
  </si>
  <si>
    <t>三华聚顶</t>
  </si>
  <si>
    <t>将精气神混合为一，并凝聚于头顶玄关一窍的道家绝妙法门，功成者可革故鼎新，脱胎换骨，心神进入圣明境界</t>
  </si>
  <si>
    <t>绝技6;智力12;意志12;醒脑0.06;护体真气0.12;负面抗性0.04</t>
  </si>
  <si>
    <t>绝技60;智力50;意志30</t>
  </si>
  <si>
    <t>三昧真火</t>
  </si>
  <si>
    <t>将炎热内息注入他人体内之咒术，可令其气血烧灼，五内俱焚，甚至周身衣物也会起火，观者无不惊惧万分</t>
  </si>
  <si>
    <t>奇门潜力1;智力潜力1;奇门1;智力1</t>
  </si>
  <si>
    <t>奇门55;智力50</t>
  </si>
  <si>
    <t>内伤0.06;灼烧0.12</t>
  </si>
  <si>
    <t>火焰-Target-Grid-Happen</t>
  </si>
  <si>
    <t>神兵天将咒</t>
  </si>
  <si>
    <t>至阳至刚之防御咒法，功力催至顶峰时周身金光外泄，好似天兵天将神力加持，寻常兵刃不能伤其分毫</t>
  </si>
  <si>
    <t>体质潜力2;奇门1;体质1</t>
  </si>
  <si>
    <t>体质0.2;奇门0.2;内力0.03;医术0.1</t>
  </si>
  <si>
    <t>奇门55;体质40</t>
  </si>
  <si>
    <t>无敌0.2</t>
  </si>
  <si>
    <t>激励-Target-Hip-Happen</t>
  </si>
  <si>
    <t>斗煞藏魂符</t>
  </si>
  <si>
    <t>专以内息攻敌心神的茅山咒术，意志柔弱者一旦中招，或丧魂失魄，或狂舞乱癫，久久不能清醒</t>
  </si>
  <si>
    <t>奇门潜力1;意志潜力1;奇门1;意志1</t>
  </si>
  <si>
    <t>意志2;奇门4;内力0.2</t>
  </si>
  <si>
    <t>奇门60;意志45</t>
  </si>
  <si>
    <t>混乱0.1;定身0.1;雷电0.1</t>
  </si>
  <si>
    <t>头10;心10</t>
  </si>
  <si>
    <t>符纸上升-Target-Grid-Happen;鲜血狂乱-Target-Grid-Happen</t>
  </si>
  <si>
    <t>玄真剑气</t>
  </si>
  <si>
    <t>茅山道剑最高境界，可化虚为实，化气为剑，在剑锋形成三尺白芒，吹毛立断，削铁如泥，江湖中罕有人敢撄其锋芒</t>
  </si>
  <si>
    <t>经脉潜力1;剑法2;经脉2</t>
  </si>
  <si>
    <t>经脉4;剑法1;内力0.4</t>
  </si>
  <si>
    <t>剑法45;经脉60</t>
  </si>
  <si>
    <t>内劲0.12</t>
  </si>
  <si>
    <t>胸12;头11</t>
  </si>
  <si>
    <t>胸10;头4</t>
  </si>
  <si>
    <t>天罚-Target-Grid-Happen;真气喷-Target-Grid-Happen</t>
  </si>
  <si>
    <t>遁甲天书</t>
  </si>
  <si>
    <t>茅山派不传之秘，能预测吉凶，卜算未来，中者十有八九。但因泄露天机，传说滥用此术者大多死于非命</t>
  </si>
  <si>
    <t>绝技潜力1;智力潜力2;经脉潜力1</t>
  </si>
  <si>
    <t>绝技12;智力12;经脉12;雷电0.05;震脑0.05;斗转0.05</t>
  </si>
  <si>
    <t>绝技75;经脉65;智力55</t>
  </si>
  <si>
    <t>天劫九重</t>
  </si>
  <si>
    <t>传说茅山祖师抱朴子曾因泄露天机遭五雷轰顶，以深厚修为方才保全性命，并领悟了这一以内息引动天雷的无上法门</t>
  </si>
  <si>
    <t>奇门潜力2;意志潜力2</t>
  </si>
  <si>
    <t>智力2;意志4;奇门2;内力0.2</t>
  </si>
  <si>
    <t>奇门75;智力60;意志45</t>
  </si>
  <si>
    <t>雷电0.08;内劲0.08;动摇0.04</t>
  </si>
  <si>
    <t>头14;胸10;腹6</t>
  </si>
  <si>
    <t>头5;胸4;腹3</t>
  </si>
  <si>
    <t>雷击-Target-Grid-Happen;雷球-Target-Grid-Happen</t>
  </si>
  <si>
    <t>打铁功</t>
  </si>
  <si>
    <t>铸剑山庄</t>
  </si>
  <si>
    <t>铸剑山庄新晋弟子皆需从事最苦最累的打铁工作，不仅可吓退意志薄弱者，也能锻炼外力与内劲之根基</t>
  </si>
  <si>
    <t>生命上限30;内力上限10;内功4;力道4;装备强化0.08;装备负重2</t>
  </si>
  <si>
    <t>内功5;力道5</t>
  </si>
  <si>
    <t>木屐步</t>
  </si>
  <si>
    <t>需穿着木鞋训练的轻功，以灵巧见长</t>
  </si>
  <si>
    <t>轻功4;灵巧6;速度0.02</t>
  </si>
  <si>
    <t>木甲百重</t>
  </si>
  <si>
    <t>配合木制盔甲训练的硬功，适合初学者</t>
  </si>
  <si>
    <t>体质3;护甲3;装备强化0.02;装备负重4</t>
  </si>
  <si>
    <t>寒泉剑法</t>
  </si>
  <si>
    <t>铸剑山庄旁有寒泉一眼，此剑法以此得名，其招式简洁明快，如同清泉奔流</t>
  </si>
  <si>
    <t>灵巧1;剑法2;内力0.2</t>
  </si>
  <si>
    <t>剑法5;灵巧5</t>
  </si>
  <si>
    <t>鱼肠剑法</t>
  </si>
  <si>
    <t>专诸刺吴王僚所使之剑法，以刺击招式为主，近身肉搏之时颇有几分险意</t>
  </si>
  <si>
    <t>剑法3;内力0.1</t>
  </si>
  <si>
    <t>穿甲0.02</t>
  </si>
  <si>
    <t>宰鸡牛刀</t>
  </si>
  <si>
    <t>铸剑弟子在庖厨中修习之刀法，以牛刀宰杀活鸡，切分鸡肉，专练手部力道和掌腕控制力</t>
  </si>
  <si>
    <t>力道5;灵巧5</t>
  </si>
  <si>
    <t>破招0.03;流血0.03</t>
  </si>
  <si>
    <t>百炼功</t>
  </si>
  <si>
    <t>铸剑山庄基础心法，如同打铁一般撞击锤炼丹田内息的功法，需运功百次方能练成</t>
  </si>
  <si>
    <t>生命上限60;内力上限20;内功6;力道6;装备强化0.06;坚毅0.03;装备负重3</t>
  </si>
  <si>
    <t>铁履功</t>
  </si>
  <si>
    <t>需穿着铁鞋训练的轻功，虽不甚灵敏但以防御见长</t>
  </si>
  <si>
    <t>轻功2;体质6;护甲2;横练0.04;装备负重6</t>
  </si>
  <si>
    <t>轻功10;体质10</t>
  </si>
  <si>
    <t>双剑合璧</t>
  </si>
  <si>
    <t>铸剑山庄绝技，练成后可同时使用两把武器，左右开弓，令敌人应接不暇</t>
  </si>
  <si>
    <t>剑法6;灵巧6;连击0.06;装备负重2</t>
  </si>
  <si>
    <t>绝技15;灵巧15;剑法15</t>
  </si>
  <si>
    <t>青釭剑法</t>
  </si>
  <si>
    <t>以攻代守，灵巧锐利的剑法招式，铸剑低级弟子常以此功试剑</t>
  </si>
  <si>
    <t>剑法15;灵巧10</t>
  </si>
  <si>
    <t>穿甲0.06</t>
  </si>
  <si>
    <t>胜邪剑法</t>
  </si>
  <si>
    <t>招式中透露着邪气的剑法，每挥出一招，剑上邪气便更胜一分，故而得名</t>
  </si>
  <si>
    <t>剑法4;内力0.1</t>
  </si>
  <si>
    <t>坚毅0.04</t>
  </si>
  <si>
    <t>黑焰-Target-Grid-Happen</t>
  </si>
  <si>
    <t>乱麻刀法</t>
  </si>
  <si>
    <t>招式快速连绵之刀法，乱中有序，序中有乱，形意多变，令敌人烦扰不堪</t>
  </si>
  <si>
    <t>力道1;刀法3</t>
  </si>
  <si>
    <t>刀法15;力道15</t>
  </si>
  <si>
    <t>千锤功</t>
  </si>
  <si>
    <t>铸剑山庄进阶心法，如同打铁一般撞击锤炼丹田内息的功法，需运功千次方能练成</t>
  </si>
  <si>
    <t>生命上限90;内力上限30;内功9;力道9;横练0.04;装备强化0.08;装备负重4</t>
  </si>
  <si>
    <t>内功25;力道25</t>
  </si>
  <si>
    <t>名山寻路</t>
  </si>
  <si>
    <t>铸剑弟子常需遍访名山，寻找可用木材矿藏，此步法轻盈若风，行山路如履平地，可大大加快搜寻效率</t>
  </si>
  <si>
    <t>轻功8;灵巧8;速度0.06;坚毅0.06</t>
  </si>
  <si>
    <t>轻功25;灵巧20</t>
  </si>
  <si>
    <t>铁甲千重</t>
  </si>
  <si>
    <t>配合铁制盔甲训练的硬功，在合适时机以合适姿态迎击敌人，可令甲胄防御能力倍增</t>
  </si>
  <si>
    <t>绝技8;体质8;护甲4;装备强化0.04;装备负重8</t>
  </si>
  <si>
    <t>巨阙重剑</t>
  </si>
  <si>
    <t>劲势刚猛，以力道取胜的重剑剑法，传说越王勾践曾以此一招劈斩马车为两半，足见其威力</t>
  </si>
  <si>
    <t>剑法2;力道1</t>
  </si>
  <si>
    <t>力道3;剑法2;内力0.1</t>
  </si>
  <si>
    <t>剑法30;力道20</t>
  </si>
  <si>
    <t>破甲0.04;横练0.04</t>
  </si>
  <si>
    <t>头12;胸6</t>
  </si>
  <si>
    <t>头3;胸9</t>
  </si>
  <si>
    <t>地面打击2-Target-Grid-Happen</t>
  </si>
  <si>
    <t>承影剑法</t>
  </si>
  <si>
    <t>以高速舞剑，使剑刃模糊不清难以辨认之法，对敌之人需要观察剑柄指向，方能判断其走势</t>
  </si>
  <si>
    <t>剑法潜力1;体质1</t>
  </si>
  <si>
    <t>剑法4;内力0.2</t>
  </si>
  <si>
    <t>剑法25;体质15</t>
  </si>
  <si>
    <t>连击0.08</t>
  </si>
  <si>
    <t>心9;腹9</t>
  </si>
  <si>
    <t>心8;腹6</t>
  </si>
  <si>
    <t>羽毛-Target-Grid-Happen;三连剑影小-Target-Grid-Happen</t>
  </si>
  <si>
    <t>庖丁解牛刀</t>
  </si>
  <si>
    <t>对于防御严密之敌，如庖丁解牛般从薄弱处下手，攻击盔甲接缝处和守招死角处的刀招，对手法精准度要求很高</t>
  </si>
  <si>
    <t>灵巧4;刀法2</t>
  </si>
  <si>
    <t>穿甲0.04;破招0.04</t>
  </si>
  <si>
    <t>心8;腹12</t>
  </si>
  <si>
    <t>心9;腹2</t>
  </si>
  <si>
    <t>炉火纯青功</t>
  </si>
  <si>
    <t>逐渐加热内息之法，其真气形同炉火，先黑浊，后黄白，再青白，最终化为纯青，乃是功法纯熟，至阳至热之象征</t>
  </si>
  <si>
    <t>生命上限120;内力上限40;内功12;力道12;坚毅0.04;横练0.04;装备强化0.1;装备负重5</t>
  </si>
  <si>
    <t>内功40;力道35</t>
  </si>
  <si>
    <t>踏破铁鞋功</t>
  </si>
  <si>
    <t>穿一双特制重型铁鞋，不断蹬踏地面的苦修之法，能锻炼腿部劲道与下盘之稳固，直至铁鞋碎裂方为功成</t>
  </si>
  <si>
    <t>轻功12;体质12;护甲5;坚毅0.05;装备负重5</t>
  </si>
  <si>
    <t>轻功45;体质30</t>
  </si>
  <si>
    <t>百剑穿心</t>
  </si>
  <si>
    <t>铸剑山庄秘传绝技，练成后可同时使用三把武器，切换迅捷，上下翻飞，如同百刃出击</t>
  </si>
  <si>
    <t>剑法12;灵巧12;连击0.1;装备负重3</t>
  </si>
  <si>
    <t>绝技35;灵巧25;剑法45</t>
  </si>
  <si>
    <t>破军剑法</t>
  </si>
  <si>
    <t>攻击范围和威力都不俗的剑法，其所过之处，草木催折，兵甲披靡，堪称可于万军丛中取上将首级</t>
  </si>
  <si>
    <t>剑法45;灵巧30</t>
  </si>
  <si>
    <t>破甲0.05;坚毅0.05</t>
  </si>
  <si>
    <t>足10;胸14</t>
  </si>
  <si>
    <t>足4;胸6</t>
  </si>
  <si>
    <t>干将莫邪剑</t>
  </si>
  <si>
    <t>取上古名剑之名，以雌雄双剑所使出的剑法，一攻一守，一进一退，双剑配合完美，亲密无间，如生灵性一般</t>
  </si>
  <si>
    <t>力道潜力1;灵巧潜力1</t>
  </si>
  <si>
    <t>灵巧1;剑法4;内力0.2</t>
  </si>
  <si>
    <t>剑法50;灵巧25</t>
  </si>
  <si>
    <t>连击0.05;阻滞0.05</t>
  </si>
  <si>
    <t>心8;腹8</t>
  </si>
  <si>
    <t>圆斩-Target-Grid-Start;墨劈-Target-Grid-Happen</t>
  </si>
  <si>
    <t>分金刀术</t>
  </si>
  <si>
    <t>专为劈砍重型甲盾所创，结合强悍力道与刀刃特性的精妙劈砍法门，可斩人无血，削铁如泥</t>
  </si>
  <si>
    <t>穿甲0.1</t>
  </si>
  <si>
    <t>头16;腹6</t>
  </si>
  <si>
    <t>头8;腹4</t>
  </si>
  <si>
    <t>金刚-Target-Grid-Happen;劈砍_黄裂地-Target-Grid-Happen</t>
  </si>
  <si>
    <t>万剑奇功</t>
  </si>
  <si>
    <t>铸剑山庄兵械绝技之首，练成后可同时使用四把武器，长短交接，软硬兼施，如同万刃齐发</t>
  </si>
  <si>
    <t>力道潜力2;剑法1;灵巧1</t>
  </si>
  <si>
    <t>剑法15;灵巧15;破招0.06;连击0.06;装备负重10</t>
  </si>
  <si>
    <t>绝技50;灵巧45;剑法65</t>
  </si>
  <si>
    <t>金甲万重</t>
  </si>
  <si>
    <t>铸剑山庄甲胄硬功之首，配合庄内锻造之重甲，反震之力极大，寻常兵刃触之立折，可谓一夫当关，万夫莫开</t>
  </si>
  <si>
    <t>绝技潜力2;绝技1;体质1</t>
  </si>
  <si>
    <t>绝技6;体质14;护甲6;横练0.05;装备强化0.15;装备负重5</t>
  </si>
  <si>
    <t>绝技60;体质45</t>
  </si>
  <si>
    <t>赤霄斩蛇剑</t>
  </si>
  <si>
    <t>传说乃汉高祖刘邦斩白蛇之剑法，势若长虹，锋锐无匹，其剑气化为一道赤练激射而出，可斩尽天下不祥之物</t>
  </si>
  <si>
    <t>剑法潜力2;剑法1;灵巧1</t>
  </si>
  <si>
    <t>灵巧4;剑法3;内力0.1</t>
  </si>
  <si>
    <t>剑法55;灵巧50</t>
  </si>
  <si>
    <t>穿甲0.06;破招0.06</t>
  </si>
  <si>
    <t>头7;胸7</t>
  </si>
  <si>
    <t>血龙卷-Target-Grid-Start;血斩-Target-Grid-Happen</t>
  </si>
  <si>
    <t>含光无形剑</t>
  </si>
  <si>
    <t>将剑速舞至极致，整柄剑在手中只剩些微反光和残影，仿若无形无影无声无息之剑，此后或攻或守，自然诡谲莫测，招法难辨</t>
  </si>
  <si>
    <t>灵巧潜力2;力道潜力1</t>
  </si>
  <si>
    <t>灵巧1;剑法5;内力0.2</t>
  </si>
  <si>
    <t>剑法65;灵巧40</t>
  </si>
  <si>
    <t>心13;腹9</t>
  </si>
  <si>
    <t>心10;腹6</t>
  </si>
  <si>
    <t>雷暴-Target-Grid-Happen;极速剑影-Target-Grid-Happen</t>
  </si>
  <si>
    <t>屠龙要术</t>
  </si>
  <si>
    <t>战国奇人支离益为斩杀梦中蛟龙所创，然终其一生未得使用，铸剑后人将之改成了绝妙的刀法，每招每式均属世间罕见</t>
  </si>
  <si>
    <t>力道3;刀法4</t>
  </si>
  <si>
    <t>刀法60;力道50</t>
  </si>
  <si>
    <t>真伤0.08;破甲0.08</t>
  </si>
  <si>
    <t>头8;腹18</t>
  </si>
  <si>
    <t>头2;腹8</t>
  </si>
  <si>
    <t>腾龙-Target-Grid-Start;劈砍_黑白多重大-Target-Grid-Happen</t>
  </si>
  <si>
    <t>无尽剑意</t>
  </si>
  <si>
    <t>铸剑祖师欧治子感应剑池中万柄废弃刀剑之意，终苦思而成一没有剑招只有剑意的神妙剑法，剑未动，意已发，剑有尽，意无穷</t>
  </si>
  <si>
    <t>剑法潜力2;力道潜力1;灵巧潜力1</t>
  </si>
  <si>
    <t>灵巧3;力道1;剑法3;刀法1</t>
  </si>
  <si>
    <t>剑法80;灵巧60;力道50</t>
  </si>
  <si>
    <t>连击0.1;穿甲0.1;破招0.1</t>
  </si>
  <si>
    <t>心10;胸6;腹8</t>
  </si>
  <si>
    <t>心5;胸5;腹5</t>
  </si>
  <si>
    <t>剑影大-Target-Grid-Happen</t>
  </si>
  <si>
    <t>引蛇术</t>
  </si>
  <si>
    <t>五毒教</t>
  </si>
  <si>
    <t>以内息催动五毒教特制香药，吸引并抓捕毒蛇之法，乃毒功入门</t>
  </si>
  <si>
    <t>生命上限10;内力上限20;内功2;经脉2;毒术6;毒素0.04;负面加成0.02</t>
  </si>
  <si>
    <t>毒术10</t>
  </si>
  <si>
    <t>泥鳅功</t>
  </si>
  <si>
    <t>模仿泥鳅身形，柔软滑腻，躲避攻击之轻功</t>
  </si>
  <si>
    <t>轻功2;意志2;闪避0.08</t>
  </si>
  <si>
    <t>迷虫香</t>
  </si>
  <si>
    <t>五毒教特制迷香，用于吸引捕捉蛛蝎蛇蟾等毒虫，作为炼制毒药之原料</t>
  </si>
  <si>
    <t>绝技3;智力3;毒术3;毒素0.04;负面加成0.02</t>
  </si>
  <si>
    <t>绝技5;毒术5</t>
  </si>
  <si>
    <t>蓝砂手</t>
  </si>
  <si>
    <t>用手掌反复拍打蓝色毒砂，直至皮肤微微发蓝，此后掌力便带有冰寒之毒性</t>
  </si>
  <si>
    <t>意志1;拳掌1;内力0.3</t>
  </si>
  <si>
    <t>冰寒0.06</t>
  </si>
  <si>
    <t>蓝火-Target-Grid-Happen</t>
  </si>
  <si>
    <t>五毒掌</t>
  </si>
  <si>
    <t>五毒教入门掌法，招式平平无奇，专以掌心和手腕间所藏之毒粉伤人</t>
  </si>
  <si>
    <t>毒术1</t>
  </si>
  <si>
    <t>经脉2;拳掌1;毒术1</t>
  </si>
  <si>
    <t>拳掌5;毒术5</t>
  </si>
  <si>
    <t>毒素0.03;不愈0.03</t>
  </si>
  <si>
    <t>朱蟾砂</t>
  </si>
  <si>
    <t>将朱蟾之毒附于铁砂之上，临敌掷出，可令人痛痒难当，目不能视</t>
  </si>
  <si>
    <t>智力2;射术2;毒术2</t>
  </si>
  <si>
    <t>头2</t>
  </si>
  <si>
    <t>11-----0.85</t>
  </si>
  <si>
    <t>五毒针</t>
  </si>
  <si>
    <t>五毒教低级弟子常用，淬有五种常见毒质之钢针</t>
  </si>
  <si>
    <t>毒素0.05</t>
  </si>
  <si>
    <t>墨染-Target-Grid-Happen</t>
  </si>
  <si>
    <t>泥鳅蛊</t>
  </si>
  <si>
    <t>五毒教制蛊入门之法，以泥鳅和五毒泡制而成，被咬中者体内如泥鳅乱窜，百爪挠心，坐卧难安</t>
  </si>
  <si>
    <t>意志1;奇门2;毒术2</t>
  </si>
  <si>
    <t>奇门10;毒术10</t>
  </si>
  <si>
    <t>虚弱0.1</t>
  </si>
  <si>
    <t>墨烟-Target-Grid-Happen</t>
  </si>
  <si>
    <t>腐尸功</t>
  </si>
  <si>
    <t>为江湖人士所禁忌的功法，需配合腐尸之毒修炼而成，对修炼者的毒功和意志均是一种考验</t>
  </si>
  <si>
    <t>生命上限20;内力上限40;内功6;经脉6;毒术3;毒素0.06;负面加成0.04</t>
  </si>
  <si>
    <t>内功10;经脉15;毒术15</t>
  </si>
  <si>
    <t>蛇行步</t>
  </si>
  <si>
    <t>模仿蛇行蜿蜒移动之步法，更容易躲避攻击</t>
  </si>
  <si>
    <t>轻功4;意志4;闪避0.1</t>
  </si>
  <si>
    <t>炼蛊术</t>
  </si>
  <si>
    <t>苗疆秘术，取各种毒虫置于一器内，任其自相啖食，待独存一物者谓之为蛊，能幻化变形，为人患祸</t>
  </si>
  <si>
    <t>绝技4;智力4;毒术4;毒素0.06;负面加成0.03</t>
  </si>
  <si>
    <t>绝技10;智力10;毒术10</t>
  </si>
  <si>
    <t>金蛇缠丝手</t>
  </si>
  <si>
    <t>铸剑山庄,五毒教</t>
  </si>
  <si>
    <t>柔弱无骨，顺势攀附之奇特手法，可沿敌人手臂缠绕而上，攻其心腹要害</t>
  </si>
  <si>
    <t>意志1;拳掌2;内力0.2</t>
  </si>
  <si>
    <t>手臂点穴0.08</t>
  </si>
  <si>
    <t>旋风-Target-Grid-Start;网缠-Target-Grid-Happen</t>
  </si>
  <si>
    <t>灵蛇拳</t>
  </si>
  <si>
    <t>模仿毒蛇进攻动作的拳法，施展时手臂可弯曲至超乎常理之角度，灵活婉转，柔中带刚</t>
  </si>
  <si>
    <t>经脉2;拳掌2;内力0.1</t>
  </si>
  <si>
    <t>拳掌10;经脉15</t>
  </si>
  <si>
    <t>腰腹点穴0.06</t>
  </si>
  <si>
    <t>蛇头-Target-Grid-Start;打击6-Target-Grid-Happen</t>
  </si>
  <si>
    <t>腐尸毒</t>
  </si>
  <si>
    <t>发射腐尸之毒的邪道手法，命中者皮肤溃烂，痛苦难当</t>
  </si>
  <si>
    <t>毒术1;智力1</t>
  </si>
  <si>
    <t>智力1;射术1;毒术3</t>
  </si>
  <si>
    <t>射术10;毒术15</t>
  </si>
  <si>
    <t>毒素0.06;不愈0.04</t>
  </si>
  <si>
    <t>11-----0.95</t>
  </si>
  <si>
    <t>碧磷针</t>
  </si>
  <si>
    <t>在夜间会散发幽幽绿光的粹毒银针，激射而出时如鬼火燎人</t>
  </si>
  <si>
    <t>灵巧2;射术1;毒术2</t>
  </si>
  <si>
    <t>射术15;灵巧15;毒术5</t>
  </si>
  <si>
    <t>灼烧0.06</t>
  </si>
  <si>
    <t>5-----0.9</t>
  </si>
  <si>
    <t>阴蛇蛊</t>
  </si>
  <si>
    <t>此蛊虫状如小蛇，阴寒至极，能够钻入目标体内顺血脉而行，阻塞内息，啮咬内脏</t>
  </si>
  <si>
    <t>意志2;奇门2;毒术1</t>
  </si>
  <si>
    <t>奇门15;意志10;毒术10</t>
  </si>
  <si>
    <t>迟缓0.04;冰寒0.04</t>
  </si>
  <si>
    <t>五仙真灵诀</t>
  </si>
  <si>
    <t>将毒素融入体内真气的五仙秘术，运功后内息带有些许毒性，与五仙教毒功结合使用可谓事半功倍</t>
  </si>
  <si>
    <t>生命上限30;内力上限60;内功8;经脉8;毒术8;毒素0.08;负面加成0.02</t>
  </si>
  <si>
    <t>内功25;经脉20;毒术30</t>
  </si>
  <si>
    <t>蛤蟆纵跳</t>
  </si>
  <si>
    <t>身形蹲伏如蛤蟆，随后发力弹跳之法，虽不甚雅观，但可一跃而出数丈距离，苗疆人士多有使用</t>
  </si>
  <si>
    <t>轻功8;灵巧8;急速0.06;闪避0.04</t>
  </si>
  <si>
    <t>迷魂息</t>
  </si>
  <si>
    <t>从口中喷吐能迷惑人心神的毒雾之绝技，中者丧魂失魄，精神萎靡，苗疆女子有时会用此法对付中意之男子</t>
  </si>
  <si>
    <t>绝技6;意志8;毒术6;混乱0.08;负面加成0.04</t>
  </si>
  <si>
    <t>绝技25;意志20;毒术25</t>
  </si>
  <si>
    <t>三尸蜈蚣爪</t>
  </si>
  <si>
    <t>五指柔韧灵活，如百足蜈蚣在敌人周身攀爬游移，所过之处皆留黑紫印记，不多时便会溃烂化脓，颇为狠毒</t>
  </si>
  <si>
    <t>意志2;拳掌2;毒术2</t>
  </si>
  <si>
    <t>拳掌30;意志20;毒术20</t>
  </si>
  <si>
    <t>毒素0.08</t>
  </si>
  <si>
    <t>手8;心14</t>
  </si>
  <si>
    <t>手6;心3</t>
  </si>
  <si>
    <t>毒雾-Target-Grid-Happen;爪痕-Target-Grid-Happen</t>
  </si>
  <si>
    <t>化骨绵掌</t>
  </si>
  <si>
    <t>专攻筋骨关节处的掌法，中掌者初觉无甚大碍，待出手时才发觉自身筋骨已断裂受损，可见其内劲之阴柔歹毒</t>
  </si>
  <si>
    <t>毒术2;经脉1</t>
  </si>
  <si>
    <t>经脉3;拳掌2;内力0.1</t>
  </si>
  <si>
    <t>拳掌25;经脉25</t>
  </si>
  <si>
    <t>断骨0.03;伤筋0.03;截脉0.03</t>
  </si>
  <si>
    <t>手12;腹8</t>
  </si>
  <si>
    <t>手4;腹8</t>
  </si>
  <si>
    <t>断魂砂</t>
  </si>
  <si>
    <t>细密的粹毒铁砂，射程较短但范围较大，随手一挥便能形成一片黑色烟雾，不甚沾染或吸入者立感痛痒难当</t>
  </si>
  <si>
    <t>毒术2;智力1</t>
  </si>
  <si>
    <t>智力1;射术1;毒术4</t>
  </si>
  <si>
    <t>射术20;智力15;毒术30</t>
  </si>
  <si>
    <t>毒素0.1;目盲0.06</t>
  </si>
  <si>
    <t>头18;胸6</t>
  </si>
  <si>
    <t>头2;胸2</t>
  </si>
  <si>
    <t>11-----1.05</t>
  </si>
  <si>
    <t>黑爆-Target-Grid-Happen</t>
  </si>
  <si>
    <t>饮血针</t>
  </si>
  <si>
    <t>此针中空，内敷有阻止伤口闭合的毒药，若能命中要害，则立时血如泉涌，如不及时医治，难免气血流尽而亡</t>
  </si>
  <si>
    <t>灵巧3;射术1;内力0.2</t>
  </si>
  <si>
    <t>射术30;灵巧15</t>
  </si>
  <si>
    <t>流血0.16;不愈0.08</t>
  </si>
  <si>
    <t>狂癫蛊</t>
  </si>
  <si>
    <t>此蛊虫使人神智癫狂，喜怒无常，出现身边之人正密谋加害自己的幻觉，因而时常敌我不分，乱砍一气</t>
  </si>
  <si>
    <t>意志2;奇门1;毒术3</t>
  </si>
  <si>
    <t>奇门25;意志20;毒术25</t>
  </si>
  <si>
    <t>混乱0.12</t>
  </si>
  <si>
    <t>头13</t>
  </si>
  <si>
    <t>诅咒-Target-Grid-Happen;墨乱-Target-Grid-Happen</t>
  </si>
  <si>
    <t>天蚕吐丝功</t>
  </si>
  <si>
    <t>此毒功劲道细如蚕丝，绵绵不绝，能在不知不觉间将毒素侵入敌人经脉，待其惊觉之时，往往已无药可医也</t>
  </si>
  <si>
    <t>生命上限20;内力上限100;内功12;经脉12;毒术4;毒素0.04;定身0.04;负面加成0.04</t>
  </si>
  <si>
    <t>内功40;经脉25;毒术40</t>
  </si>
  <si>
    <t>蜈蚣遁地术</t>
  </si>
  <si>
    <t>双腿摆动迅捷，更兼指掌攀援的奇特轻功，登山越险，见缝插针，上树游墙，如履平地</t>
  </si>
  <si>
    <t>轻功12;意志12;闪避0.05;乱神0.05</t>
  </si>
  <si>
    <t>摄魂大法</t>
  </si>
  <si>
    <t>结合毒烟迷雾，传音催眠和邪门真气等法，使心智不坚定者困惑迷狂，坠入幻境的五毒教奇门秘法</t>
  </si>
  <si>
    <t>绝技8;智力10;毒术8;毒素0.04;混乱0.06;负面加成0.04</t>
  </si>
  <si>
    <t>绝技35;智力30;毒术45</t>
  </si>
  <si>
    <t>千蛛万毒手</t>
  </si>
  <si>
    <t>驱使斑斓花蛛吸食自身血液，同时将蛛毒缓缓引入体内的奇功，出手时毒素聚集指尖，皮肤也会变得五彩斑斓，诡异莫名，触之者立中奇毒</t>
  </si>
  <si>
    <t>意志2;拳掌2;毒术3</t>
  </si>
  <si>
    <t>拳掌40;意志35;毒术40</t>
  </si>
  <si>
    <t>毒素0.1;不愈0.06</t>
  </si>
  <si>
    <t>手15;胸6</t>
  </si>
  <si>
    <t>手9;胸4</t>
  </si>
  <si>
    <t>墨染-Target-Grid-Happen;血爪卷-Target-Grid-Happen</t>
  </si>
  <si>
    <t>赤炼神掌</t>
  </si>
  <si>
    <t>含有五毒教奇门热毒的掌法，命中后会留下鲜红色掌印，此热毒入体会使人血脉膨胀，五内俱焚，功力孱弱者更是自燃当场</t>
  </si>
  <si>
    <t>毒术潜力1;毒术1;经脉1</t>
  </si>
  <si>
    <t>经脉3;拳掌3;内力0.1</t>
  </si>
  <si>
    <t>拳掌45;经脉30;毒术25</t>
  </si>
  <si>
    <t>毒素0.04;迟缓0.1</t>
  </si>
  <si>
    <t>心14;腹9</t>
  </si>
  <si>
    <t>心7;腹6</t>
  </si>
  <si>
    <t>孟婆散</t>
  </si>
  <si>
    <t>可迅速麻痹心脉大脑之五毒教特制迷药，中者如饮孟婆汤般，迷离惝恍，神情恍惚，乃至当场昏迷不醒，丧失记忆</t>
  </si>
  <si>
    <t>毒术潜力1;毒术1;智力1</t>
  </si>
  <si>
    <t>智力2;射术1;毒术4</t>
  </si>
  <si>
    <t>射术35;智力25;毒术45</t>
  </si>
  <si>
    <t>毒素0.08;震脑0.06;混乱0.06</t>
  </si>
  <si>
    <t>头3;心1</t>
  </si>
  <si>
    <t>11-----1.15</t>
  </si>
  <si>
    <t>赤炼神针</t>
  </si>
  <si>
    <t>含有五毒教奇门热毒的暗器，命中后会留下鲜红色针印，此热毒入体会使人血脉膨胀，五内俱焚，功力孱弱者更是自燃当场</t>
  </si>
  <si>
    <t>灵巧3;射术2;内力0.2</t>
  </si>
  <si>
    <t>射术45;灵巧30;毒术30</t>
  </si>
  <si>
    <t>灼烧0.08;流血0.08</t>
  </si>
  <si>
    <t>心12;腹14</t>
  </si>
  <si>
    <t>火焰爆发-Target-Grid-Happen</t>
  </si>
  <si>
    <t>情花蛊</t>
  </si>
  <si>
    <t>以女子心血和奇花饲养而成，中此毒者欲出手伤人之时，便感周身绵软，心如刀绞，好像要杀害至爱之人一般</t>
  </si>
  <si>
    <t>意志2;奇门3;毒术2</t>
  </si>
  <si>
    <t>奇门40;意志35;毒术35</t>
  </si>
  <si>
    <t>虚弱0.1;乱神0.06</t>
  </si>
  <si>
    <t>诅咒-Target-Grid-Happen;红花-Target-Grid-Happen</t>
  </si>
  <si>
    <t>五毒魔功</t>
  </si>
  <si>
    <t>五毒教至高内功心法，将五种剧毒融入经脉运行中，真气因而呈现出赤黄青紫黑五色，其周身肌肤与举手投足间无不暗含剧毒</t>
  </si>
  <si>
    <t>毒术潜力1;内功潜力1;内功1;经脉1</t>
  </si>
  <si>
    <t>生命上限80;内力上限80;内功15;经脉15;毒术10;毒素0.06;混乱0.04;负面加成0.03</t>
  </si>
  <si>
    <t>内功50;经脉50;毒术60</t>
  </si>
  <si>
    <t>天蛇诡步</t>
  </si>
  <si>
    <t>传说苗疆毒沼中有背生翅膀之异蛇，五毒高人有幸得见而创此功，其身形缥缈诡谲，去势叵测，上天入地，浮游深潜皆易如反掌</t>
  </si>
  <si>
    <t>轻功10;灵巧10;意志10;乱神0.04;目盲0.04;虚弱0.04</t>
  </si>
  <si>
    <t>轻功60;灵巧50;意志30</t>
  </si>
  <si>
    <t>天蚕手</t>
  </si>
  <si>
    <t>天蚕丝线珍贵无比，坚韧异常，刀砍火烧皆不能破，平时隐藏在手腕间，使用时以内劲吐出，可捆绑缠绕敌人武器四肢，一旦被缚再难脱身</t>
  </si>
  <si>
    <t>经脉3;拳掌4;内力0.1</t>
  </si>
  <si>
    <t>拳掌60;经脉40</t>
  </si>
  <si>
    <t>手14;足10</t>
  </si>
  <si>
    <t>手10;足8</t>
  </si>
  <si>
    <t>墨爪狂-Target-Grid-Happen;网旋-Target-Grid-Happen</t>
  </si>
  <si>
    <t>五毒神掌</t>
  </si>
  <si>
    <t>五毒教至高掌法，需采五毒反复淬炼双掌，中掌者体内五毒流窜，相互攻伐，周身肌肤因而呈现赤黄青紫黑五种颜色，足见其毒性诡谲狂乱</t>
  </si>
  <si>
    <t>意志潜力2;拳掌1;智力1</t>
  </si>
  <si>
    <t>意志3;拳掌2;毒术3</t>
  </si>
  <si>
    <t>拳掌50;意志50;毒术50</t>
  </si>
  <si>
    <t>毒素0.05;凝血0.05;乱神0.05</t>
  </si>
  <si>
    <t>心8;腹16</t>
  </si>
  <si>
    <t>心9;腹5</t>
  </si>
  <si>
    <t>毒雾-Target-Grid-Start;蓝火爆发-Target-Grid-Happen</t>
  </si>
  <si>
    <t>鹤顶红</t>
  </si>
  <si>
    <t>以红矾炼制而成的剧毒红色粉末，中毒者上吐下泻，随后很快肌肉麻痹，全身痉挛，若不及时救治，少顷便会窒息而亡</t>
  </si>
  <si>
    <t>毒术潜力1;智力潜力1;射术2</t>
  </si>
  <si>
    <t>智力2;射术1;毒术5</t>
  </si>
  <si>
    <t>射术55;智力40;毒术45</t>
  </si>
  <si>
    <t>毒素0.15;不愈0.1</t>
  </si>
  <si>
    <t>头4;胸2</t>
  </si>
  <si>
    <t>11-----1.25</t>
  </si>
  <si>
    <t>血爪爆-Target-Grid-Happen;血雾-Target-Grid-Happen</t>
  </si>
  <si>
    <t>黑血神针</t>
  </si>
  <si>
    <t>五毒教至毒暗器银针，细如牛毛，遍体漆黑，中者周身溃烂且不断流出黑色脓血，形状凄惨恐怖，江湖中人见之无不胆寒</t>
  </si>
  <si>
    <t>射术潜力2;智力1;灵巧1</t>
  </si>
  <si>
    <t>射术60;灵巧45</t>
  </si>
  <si>
    <t>毒素0.05;流血0.15</t>
  </si>
  <si>
    <t>心16;腹9</t>
  </si>
  <si>
    <t>喷血迹-Target-Grid-Happen</t>
  </si>
  <si>
    <t>害神蛊</t>
  </si>
  <si>
    <t>此蛊之幼虫以宿主血肉为食，并在其体内不断孵化繁衍，可在一定程度上影响乃至操控宿主的心智和行为</t>
  </si>
  <si>
    <t>奇门潜力2;奇门1;意志1</t>
  </si>
  <si>
    <t>意志2;奇门2;毒术4</t>
  </si>
  <si>
    <t>奇门55;意志45;毒术55</t>
  </si>
  <si>
    <t>混乱0.08;虚弱0.08</t>
  </si>
  <si>
    <t>心脏-Target-Grid-Happen</t>
  </si>
  <si>
    <t>蚩尤鬼降</t>
  </si>
  <si>
    <t>以苗家请神之法使先祖蚩尤降神附体，所过之处皆黑雾缭绕，功力稍浅者甫一接触，或疯癫乱舞，或丧神失魄，如见蚩尤真身</t>
  </si>
  <si>
    <t>轻功潜力1;意志潜力2;轻功1;意志1</t>
  </si>
  <si>
    <t>轻功12;灵巧12;意志12;混乱0.06;目盲0.06;疯魔0.06</t>
  </si>
  <si>
    <t>轻功75;意志45;灵巧30</t>
  </si>
  <si>
    <t>万毒宝典</t>
  </si>
  <si>
    <t>五毒教自先祖以来不断搜集而成，记载了无数虫蛇花草之毒理毒性及相生相克关系，故习此宝典，可知天下毒矣</t>
  </si>
  <si>
    <t>毒术潜力1;智力潜力1;绝技潜力1;智力2</t>
  </si>
  <si>
    <t>绝技14;智力14;毒术12;毒素0.12;负面加成0.12</t>
  </si>
  <si>
    <t>绝技70;智力40;毒术75</t>
  </si>
  <si>
    <t>金蚕王蛊</t>
  </si>
  <si>
    <t>五毒教秘宝，其状若蚕虫，肤质金黄，毒性猛烈无比，顷刻间便能令中毒者五脏溃烂，七窍流血而亡</t>
  </si>
  <si>
    <t>毒术潜力1;智力潜力1;射术潜力1;射术2</t>
  </si>
  <si>
    <t>智力1;意志3;射术2;毒术3</t>
  </si>
  <si>
    <t>射术65;智力50;毒术80</t>
  </si>
  <si>
    <t>毒素0.1;混乱0.1;流血0.1;不愈0.1</t>
  </si>
  <si>
    <t>头12;腹12</t>
  </si>
  <si>
    <t>11-----1.35</t>
  </si>
  <si>
    <t>蛛网-Target-Grid-Happen</t>
  </si>
  <si>
    <t>黑尸诀</t>
  </si>
  <si>
    <t>阎罗殿入门之邪功，修习者身形僵直，皮肤隐隐发黑，如死尸一般</t>
  </si>
  <si>
    <t>生命上限30;内力上限10;内功3;体质3;经脉3;回血0.003</t>
  </si>
  <si>
    <t>飞沙走石</t>
  </si>
  <si>
    <t>一边移动，一边以腿脚扬起沙尘迷惑敌人的步法</t>
  </si>
  <si>
    <t>轻功2;体质5;目盲0.04</t>
  </si>
  <si>
    <t>鬼夜哭</t>
  </si>
  <si>
    <t>过程极为艰苦的锻炼力道之法，修习之时罕有不疼痛哭嚎者，因而得名</t>
  </si>
  <si>
    <t>绝技4;力道4;壮骨0.04</t>
  </si>
  <si>
    <t>绝技5;力道5</t>
  </si>
  <si>
    <t>夜行刀法</t>
  </si>
  <si>
    <t>西南盗匪常用刀法，招式简洁凶狠，专砍人要害</t>
  </si>
  <si>
    <t>杀机0.04</t>
  </si>
  <si>
    <t>红眼刀法</t>
  </si>
  <si>
    <t>西北刀客搏命时所使，招招凶猛，拼急斗狠的赌徒式刀法，此刀法一出，意味着不是你死，就是我亡</t>
  </si>
  <si>
    <t>体质2;刀法1</t>
  </si>
  <si>
    <t>刀法5;体质5</t>
  </si>
  <si>
    <t>疯魔0.02</t>
  </si>
  <si>
    <t>僵尸拳</t>
  </si>
  <si>
    <t>此拳法直来直去，直上直下，姿势僵硬怪异，却颇有几分力道</t>
  </si>
  <si>
    <t>力道3</t>
  </si>
  <si>
    <t>力道10</t>
  </si>
  <si>
    <t>壮骨0.04</t>
  </si>
  <si>
    <t>招魂掌</t>
  </si>
  <si>
    <t>阴柔迟缓，姿态诡异，如同巫师招魂，实为施展内力，迷惑敌人之掌法</t>
  </si>
  <si>
    <t>经脉1;拳掌2;内力0.2</t>
  </si>
  <si>
    <t>昏沉0.04</t>
  </si>
  <si>
    <t>杀意心法</t>
  </si>
  <si>
    <t>每修炼一层，心中杀意便会增加一分的邪道心法，功力尚浅或急功近利者很容易因此走火入魔</t>
  </si>
  <si>
    <t>生命上限50;内力上限30;内功4;力道4;经脉4;杀机0.06</t>
  </si>
  <si>
    <t>内功15;经脉15</t>
  </si>
  <si>
    <t>邪鬼步</t>
  </si>
  <si>
    <t>此步法专走斜路，看似歪歪扭扭，不成体统，实则蕴含几分威猛冲劲，不可掉以轻心</t>
  </si>
  <si>
    <t>轻功4;力道4;体质4;霸体0.06</t>
  </si>
  <si>
    <t>轻功10;体质15</t>
  </si>
  <si>
    <t>鬼打墙</t>
  </si>
  <si>
    <t>用拳脚和身体击打冲撞砖墙的硬功修行之法，墙壁破碎坍塌之日，便是功成之时</t>
  </si>
  <si>
    <t>绝技6;体质6;动摇0.03;刀法威力0.03</t>
  </si>
  <si>
    <t>绝技10;力道10</t>
  </si>
  <si>
    <t>鬼面刀法</t>
  </si>
  <si>
    <t>阎罗殿,天山派</t>
  </si>
  <si>
    <t>据传修习此刀法时，面部表情会不自觉变得狰狞恐怖，如同鬼怪，乃刀招中的邪气杀意具象化所致</t>
  </si>
  <si>
    <t>力道2;刀法1;内力0.2</t>
  </si>
  <si>
    <t>死战0.05</t>
  </si>
  <si>
    <t>阴风刀法</t>
  </si>
  <si>
    <t>刺客所用，以诡异多变，悄无声息的快刀闻名，招式如阴风阵阵，杀意凛然</t>
  </si>
  <si>
    <t>体质2;刀法2;内力0.1</t>
  </si>
  <si>
    <t>刀法10;体质15</t>
  </si>
  <si>
    <t>杀机0.06</t>
  </si>
  <si>
    <t>绝户爪</t>
  </si>
  <si>
    <t>专攻敌人腹部和胯下的阴狠手法，一旦命中便能令其疼痛钻心，无力再战，重伤者甚至可能失去生育能力</t>
  </si>
  <si>
    <t>力道4;拳掌1;内力0.1</t>
  </si>
  <si>
    <t>虚弱0.06;腰腹点穴0.04</t>
  </si>
  <si>
    <t>血手印</t>
  </si>
  <si>
    <t>专攻敌人胸腹部位，以凶狠内劲阻截其血脉流通的掌法，因会在命中处留下手印形状的鲜红淤血而闻名</t>
  </si>
  <si>
    <t>经脉1;拳掌3</t>
  </si>
  <si>
    <t>拳掌20;经脉10</t>
  </si>
  <si>
    <t>凝血0.04</t>
  </si>
  <si>
    <t>阴阳磨</t>
  </si>
  <si>
    <t>将阴阳两股内力碰撞研磨之法，每旋转一周内劲便增加一分，敌人内力也磨损一分，若修为不精强行使用，自身经脉也会受损</t>
  </si>
  <si>
    <t>生命上限80;内力上限40;内功6;体质6;经脉6;削内0.36;负面抗性-0.01</t>
  </si>
  <si>
    <t>内功30;经脉25</t>
  </si>
  <si>
    <t>幽冥步</t>
  </si>
  <si>
    <t>刺客所用，以诡异多变，悄无声息的步法闻名，身形如幽冥鬼影，视之无形，听之无声</t>
  </si>
  <si>
    <t>轻功6;力道6;经脉6;杀机0.08</t>
  </si>
  <si>
    <t>轻功25;体质25</t>
  </si>
  <si>
    <t>鬼见愁</t>
  </si>
  <si>
    <t>阎罗殿强身健骨苦修之法，功成者全身劲力勇猛，更兼不惧刀砍斧劈，鬼怪见了也得发愁</t>
  </si>
  <si>
    <t>绝技6;力道6;体质6;霸体0.08</t>
  </si>
  <si>
    <t>绝技25;力道20</t>
  </si>
  <si>
    <t>夺命追魂刀</t>
  </si>
  <si>
    <t>阴狠凶邪，专攻人体要害的刀法，传说此刀一出，必须见红夺命，否则便会反噬其主</t>
  </si>
  <si>
    <t>力道1;刀法3;内力0.2</t>
  </si>
  <si>
    <t>刀法35;力道20</t>
  </si>
  <si>
    <t>杀机0.04;疯魔0.04</t>
  </si>
  <si>
    <t>修罗刀法</t>
  </si>
  <si>
    <t>阎罗殿弟子常用之进阶刀法，讲求以战养战，威猛嗜杀，挥砍之间鬼神惊惧，气势不凡</t>
  </si>
  <si>
    <t>刀法1;体质2</t>
  </si>
  <si>
    <t>体质3;刀法2;内力0.1</t>
  </si>
  <si>
    <t>刀法25;体质25</t>
  </si>
  <si>
    <t>凝血0.08;动摇0.04</t>
  </si>
  <si>
    <t>头12;胸9</t>
  </si>
  <si>
    <t>头6;胸4</t>
  </si>
  <si>
    <t>鬼哭拳</t>
  </si>
  <si>
    <t>套路狂放，以力道取胜的拳法，由膂力过人者使出，劲风飒飒，声响刺耳，不明就里者只以为是冤鬼夜哭</t>
  </si>
  <si>
    <t>力道3;拳掌2;内力0.1</t>
  </si>
  <si>
    <t>拳掌25;力道20</t>
  </si>
  <si>
    <t>朱砂掌</t>
  </si>
  <si>
    <t>修习者需用手掌快速拍打灼热铁砂，直至难以忍受，功成后则掌心血红，掌力附带灼热真气，所中之处立时皮焦肉烂</t>
  </si>
  <si>
    <t>拳掌1;经脉2</t>
  </si>
  <si>
    <t>拳掌35;经脉20</t>
  </si>
  <si>
    <t>内伤0.06;不愈0.04</t>
  </si>
  <si>
    <t>心6;腹14</t>
  </si>
  <si>
    <t>心3;腹8</t>
  </si>
  <si>
    <t>喷火-Target-Grid-Happen</t>
  </si>
  <si>
    <t>混世魔功</t>
  </si>
  <si>
    <t>此功法能在丹田之中生成一股混沌无匹的横练真气，左奔右突，狂轰乱撞，若不能驾驭此力道，便会走火入魔狂舞而亡</t>
  </si>
  <si>
    <t>生命上限100;内力上限60;内功12;力道12;削内0.2;反伤削内0.2;疯魔0.04;负面抗性-0.02</t>
  </si>
  <si>
    <t>内功45;力道40</t>
  </si>
  <si>
    <t>百鬼夜行</t>
  </si>
  <si>
    <t>此步法气势威猛，一往无前，如阎罗王大开鬼门关，其内力携劲风呼号，化作妖魔鬼怪奔涌而出，常人见之无不恐惧惊慌</t>
  </si>
  <si>
    <t>轻功潜力1;轻功1;经脉1</t>
  </si>
  <si>
    <t>轻功8;力道8;经脉8;杀机0.06;动摇0.06</t>
  </si>
  <si>
    <t>轻功40;经脉30</t>
  </si>
  <si>
    <t>群魔乱舞</t>
  </si>
  <si>
    <t>阎罗殿独门绝技，运功之时全身颤抖，手脚不受控制般狂乱舞动，实则为经脉和气血剧烈运行所致</t>
  </si>
  <si>
    <t>绝技8;体质8;经脉8;死战0.04;霸体0.04;疯魔0.04</t>
  </si>
  <si>
    <t>绝技40;体质35</t>
  </si>
  <si>
    <t>天玄七煞刀</t>
  </si>
  <si>
    <t>此七式刀法每招名称中皆有一“杀”字，一刀比一刀更为邪气逼人，杀意旺盛，若七刀尽出则再无退路，不死不休</t>
  </si>
  <si>
    <t>力道4;刀法2;内力0.1</t>
  </si>
  <si>
    <t>死战0.06;杀机0.06</t>
  </si>
  <si>
    <t>头9;胸14</t>
  </si>
  <si>
    <t>头5;胸6</t>
  </si>
  <si>
    <t>血雾-Target-Grid-Start;血十字-Target-Grid-Happen</t>
  </si>
  <si>
    <t>阴阳乱刃</t>
  </si>
  <si>
    <t>在刀上蕴含一阴一阳两股劲道，忽刚忽柔，随时变化，其招法看似散乱无章，实则配合无间，杀机四伏</t>
  </si>
  <si>
    <t>体质2;刀法3;内力0.2</t>
  </si>
  <si>
    <t>刀法50;体质25</t>
  </si>
  <si>
    <t>动摇0.04;昏沉0.04;疯魔0.04</t>
  </si>
  <si>
    <t>气流-Target-Grid-Happen;墨旋-Target-Grid-Happen</t>
  </si>
  <si>
    <t>黑龙十八手</t>
  </si>
  <si>
    <t>下手毒辣，时刻以性命相搏的掌法，出手时劲力凝聚于掌心，使手掌乌黑发紫，形容恐怖，因而得名</t>
  </si>
  <si>
    <t>体质潜力1;拳掌1;力道1</t>
  </si>
  <si>
    <t>拳掌45;力道30</t>
  </si>
  <si>
    <t>断骨0.05;凝血0.05</t>
  </si>
  <si>
    <t>胸17;腹7</t>
  </si>
  <si>
    <t>胸4;腹6</t>
  </si>
  <si>
    <t>墨乱-Target-Grid-Happen</t>
  </si>
  <si>
    <t>抽髓掌</t>
  </si>
  <si>
    <t>以阴损内力攻击敌方经脉的掌法，中者全身劲道散失，如被抽筋吸髓一般，内息亦空虚损耗，无力再战</t>
  </si>
  <si>
    <t>经脉2;拳掌4;内力0.2</t>
  </si>
  <si>
    <t>拳掌40;经脉25</t>
  </si>
  <si>
    <t>削内0.4;不愈0.1</t>
  </si>
  <si>
    <t>墨爆-Target-Grid-Happen;爆气-Target-Hip-Happen</t>
  </si>
  <si>
    <t>苦海魔功</t>
  </si>
  <si>
    <t>相传此魔功竟是一名走火入魔之高僧所创，其劲道凶狠狂暴，逆势而行，能伤人经脉，损人修为，江湖人士无不畏惧三分</t>
  </si>
  <si>
    <t>内功潜力2;内功1;经脉1</t>
  </si>
  <si>
    <t>生命上限120;内力上限80;内功15;经脉15;内伤0.06;疯魔0.06;削内0.32;负面抗性-0.02</t>
  </si>
  <si>
    <t>内功65;经脉50</t>
  </si>
  <si>
    <t>无法无天步</t>
  </si>
  <si>
    <t>横冲直撞，一往无前之步法，其声威地动山摇，其去势所向披靡，试图阻挡之人轻则歪倒撞飞，重则伤筋断骨</t>
  </si>
  <si>
    <t>轻功潜力2;轻功1;体质1</t>
  </si>
  <si>
    <t>轻功6;力道12;体质12;重碾0.06;杀机0.06</t>
  </si>
  <si>
    <t>轻功55;体质40</t>
  </si>
  <si>
    <t>炼狱破天劲</t>
  </si>
  <si>
    <t>以炼狱般炎热内息充盈四肢，使周身力道暴增之绝技，功力不足者若强行催动，则有血脉爆裂之危险</t>
  </si>
  <si>
    <t>绝技潜力2;绝技1;力道1</t>
  </si>
  <si>
    <t>绝技15;力道15;吸血0.05;壮骨0.05;动摇0.05</t>
  </si>
  <si>
    <t>绝技60;力道45</t>
  </si>
  <si>
    <t>饮血魔刀</t>
  </si>
  <si>
    <t>专攻血脉要害之凶邪刀法，在伤敌之时可吸取气血充盈自身，而使用者也常因异种气血难以消化而陷入癫狂</t>
  </si>
  <si>
    <t>刀法55;力道50</t>
  </si>
  <si>
    <t>吸血0.1;疯魔0.04</t>
  </si>
  <si>
    <t>心16;头9</t>
  </si>
  <si>
    <t>心8;头4</t>
  </si>
  <si>
    <t>血雾-Target-Grid-Happen;血斩-Target-Grid-Happen</t>
  </si>
  <si>
    <t>销魂鬼刃</t>
  </si>
  <si>
    <t>专攻气脉要穴之阴狠刀法，可引异种真气侵入敌方丹田，消融内息，阻滞经脉，使其如销魂蚀骨般无力再战</t>
  </si>
  <si>
    <t>力道潜力2;刀法1;体质1</t>
  </si>
  <si>
    <t>体质2;刀法4;内力0.3</t>
  </si>
  <si>
    <t>刀法60;体质45</t>
  </si>
  <si>
    <t>内伤0.06;削内0.24</t>
  </si>
  <si>
    <t>墨染-Target-Grid-Happen;墨斩-Target-Grid-Happen</t>
  </si>
  <si>
    <t>神倒鬼跌拳</t>
  </si>
  <si>
    <t>阎罗王自蒙古摔跤术中悟出，以怪力攻敌下盘使其失去重心的拳法，高手相争之时若一方跌倒在地，无异于落入任人鱼肉之境地</t>
  </si>
  <si>
    <t>体质潜力2;拳掌1;力道1</t>
  </si>
  <si>
    <t>拳掌55;力道40</t>
  </si>
  <si>
    <t>失衡0.12;动摇0.04</t>
  </si>
  <si>
    <t>足18;腹4</t>
  </si>
  <si>
    <t>足10;腹6</t>
  </si>
  <si>
    <t>升龙斩-Target-Grid-Happen;气流-Target-Grid-Happen</t>
  </si>
  <si>
    <t>九死离魂掌</t>
  </si>
  <si>
    <t>外劲威猛霸道，内劲怒涛汹涌的掌法，高手见之犹需避其锋芒，而贸然硬接此掌者，难免魂飞魄散，九死一生</t>
  </si>
  <si>
    <t>经脉4;拳掌3;内力0.1</t>
  </si>
  <si>
    <t>死战0.06;不愈0.12</t>
  </si>
  <si>
    <t>手8;胸19</t>
  </si>
  <si>
    <t>手8;胸4</t>
  </si>
  <si>
    <t>蓝火爆发-Target-Grid-Happen</t>
  </si>
  <si>
    <t>万恶魔功</t>
  </si>
  <si>
    <t>习武者最珍视苦修而来的内功功力，而此法却专攻任督二脉，损伤主脉消减功力，治疗不及便有伤残之虞，江湖中人不仅恨之入骨，更是畏之如虎</t>
  </si>
  <si>
    <t>力道潜力2;内功潜力1;内功1;力道1</t>
  </si>
  <si>
    <t>生命上限140;内力上限100;内功12;力道12;经脉12;内伤0.08;削内0.36;负面抗性-0.04</t>
  </si>
  <si>
    <t>内功75;经脉60;力道45</t>
  </si>
  <si>
    <t>血脉逆行</t>
  </si>
  <si>
    <t>令周身血脉逆行之奇功，可将他人血液吸入自身体内恢复元气，因异种血液排斥反应，时常也会让使用者陷入癫狂</t>
  </si>
  <si>
    <t>经脉潜力2;绝技潜力1;绝技1;经脉1</t>
  </si>
  <si>
    <t>绝技12;力道12;体质12;凝血0.06;吸血0.12;疯魔0.06;负面抗性-0.02</t>
  </si>
  <si>
    <t>绝技75;体质70;经脉50</t>
  </si>
  <si>
    <t>杀人刀法</t>
  </si>
  <si>
    <t>相传阎罗王曾学尽天下刀法，并以此创出这一无所不用其极的最强杀戮法门，因其凶险异常，稍有不慎便会走火入魔</t>
  </si>
  <si>
    <t>体质潜力2;刀法潜力1;刀法1;体质1</t>
  </si>
  <si>
    <t>力道3;体质3;刀法3;内力0.1</t>
  </si>
  <si>
    <t>刀法70;力道65;体质40</t>
  </si>
  <si>
    <t>5,2,4</t>
  </si>
  <si>
    <t>杀机0.08;吸血0.08;疯魔0.04</t>
  </si>
  <si>
    <t>头8;胸10;腹8</t>
  </si>
  <si>
    <t>头4;胸6;腹4</t>
  </si>
  <si>
    <t>瞬杀-Target-Grid-Happen</t>
  </si>
  <si>
    <t>龟息功</t>
  </si>
  <si>
    <t>模仿龟鳖，减缓呼吸频率的吐纳之法，有调养心神，延年益寿之功效</t>
  </si>
  <si>
    <t>生命上限10;内力上限30;内功4;意志4;调息0.04;负面抗性0.02</t>
  </si>
  <si>
    <t>内功10;意志5</t>
  </si>
  <si>
    <t>灵虚步</t>
  </si>
  <si>
    <t>大隐阁,铁掌帮</t>
  </si>
  <si>
    <t>灵巧飘逸，避实就虚之步法，其中意图常人难以揣测</t>
  </si>
  <si>
    <t>轻功4;灵巧4;飘逸0.04</t>
  </si>
  <si>
    <t>轻功10;灵巧10</t>
  </si>
  <si>
    <t>抚琴清音</t>
  </si>
  <si>
    <t>江上调玉琴，一弦清一心，乃是借瑶琴演奏锻炼心智之法门</t>
  </si>
  <si>
    <t>绝技4;智力4;定神0.04</t>
  </si>
  <si>
    <t>胡笳十八拍</t>
  </si>
  <si>
    <t>假托蔡文姬之名所作琴曲，其音调如怨如慕，如泣如诉，闻者无不落泪伤心，难以自持</t>
  </si>
  <si>
    <t>智力2;射术2;内力0.1</t>
  </si>
  <si>
    <t>射术5;智力10</t>
  </si>
  <si>
    <t>削内0.16;弱点0.04;疲劳0.04</t>
  </si>
  <si>
    <t>13-----0.8</t>
  </si>
  <si>
    <t>音波-Target-Grid-Happen</t>
  </si>
  <si>
    <t>琴棋书画功</t>
  </si>
  <si>
    <t>大隐阁武功不善争强斗狠，只求与世无争之意，因此入门弟子皆需修习琴棋书画等修身养性之法</t>
  </si>
  <si>
    <t>生命上限20;内力上限60;内功6;意志6;醒脑0.06;负面抗性0.03</t>
  </si>
  <si>
    <t>内功20;意志10</t>
  </si>
  <si>
    <t>笔走龙蛇</t>
  </si>
  <si>
    <t>以脚沾水，在地面挥洒行书之步法，其所成文字矫健活泼，潇洒大气，颇有几分嬉戏之意趣</t>
  </si>
  <si>
    <t>轻功6;灵巧6;闪避0.06</t>
  </si>
  <si>
    <t>轻功20;灵巧10</t>
  </si>
  <si>
    <t>星罗棋布</t>
  </si>
  <si>
    <t>以棋盘对弈为形制，分析阵型地利之法，用兵作战，攻守纵横之妙，皆可蕴含其中</t>
  </si>
  <si>
    <t>绝技6;智力6;弱点0.06</t>
  </si>
  <si>
    <t>绝技15;智力20</t>
  </si>
  <si>
    <t>七弦无形音</t>
  </si>
  <si>
    <t>以琴弦引动音波，化为劲风飞射攻敌的奇特武功，其招式无影无形，因此难以躲避</t>
  </si>
  <si>
    <t>13-----0.9</t>
  </si>
  <si>
    <t>棋盘四式</t>
  </si>
  <si>
    <t>活棋之子要求上下左右有气存在，此功法以棋子射击敌人上下左右四个方位，若四气皆失，则已入死地矣</t>
  </si>
  <si>
    <t>灵巧3;射术2;内力0.1</t>
  </si>
  <si>
    <t>射术20;灵巧10</t>
  </si>
  <si>
    <t>14-----1</t>
  </si>
  <si>
    <t>永字八法</t>
  </si>
  <si>
    <t>此八招在空中画一“永”字，取“永”字中侧勒努趯策掠啄磔八种运笔方式，作为书法功夫的入门修习</t>
  </si>
  <si>
    <t>智力3;奇门2;内力0.1</t>
  </si>
  <si>
    <t>奇门20;智力10</t>
  </si>
  <si>
    <t>伤筋0.06</t>
  </si>
  <si>
    <t>墨旋-Target-Grid-Happen</t>
  </si>
  <si>
    <t>丹青破穴</t>
  </si>
  <si>
    <t>以人体为画布，以穴位为着墨之处的奇门绘画武功，能快速点指敌人多处穴位</t>
  </si>
  <si>
    <t>意志1;奇门3;内力0.2</t>
  </si>
  <si>
    <t>奇门25;意志15</t>
  </si>
  <si>
    <t>心胸点穴0.04;头颈点穴0.04</t>
  </si>
  <si>
    <t>天罗地网剑</t>
  </si>
  <si>
    <t>剑光铺天盖地笼罩敌人周身，看似颇具威力之剑法，然而并不求杀伤目标，而是以限制其行动为目的</t>
  </si>
  <si>
    <t>灵巧1;剑法3;内力0.1</t>
  </si>
  <si>
    <t>剑法20;灵巧10</t>
  </si>
  <si>
    <t>腿足点穴0.06;笨拙0.06</t>
  </si>
  <si>
    <t>无欲无情功</t>
  </si>
  <si>
    <t>世人诸多烦恼皆因欲情二字而起，习此心法则需摒弃二者，无悲无喜之时，内息运行自然畅通无阻，事半功倍</t>
  </si>
  <si>
    <t>生命上限30;内力上限90;内功9;意志9;醒脑0.03;无敌0.03;负面抗性0.03</t>
  </si>
  <si>
    <t>内功35;意志25</t>
  </si>
  <si>
    <t>横空挪移</t>
  </si>
  <si>
    <t>腾空而起，快速左右横移之步法，因其发力迅速，能够躲避各种常见招式的攻击</t>
  </si>
  <si>
    <t>轻功9;灵巧9;飘逸0.08</t>
  </si>
  <si>
    <t>轻功30;灵巧20</t>
  </si>
  <si>
    <t>丹青妙手</t>
  </si>
  <si>
    <t>丹青绘画对手劲之发力，指点之精准，心神之修养皆有极高要求，因而大隐阁有此假借绘画进行身心修炼之法</t>
  </si>
  <si>
    <t>灵巧6;智力6;意志6;舒筋0.04;定神0.04</t>
  </si>
  <si>
    <t>绝技25;智力25;意志10</t>
  </si>
  <si>
    <t>阳春白雪</t>
  </si>
  <si>
    <t>在琴弦发射的风刃中融入阴阳两种真气，其中阳春者炽热流火，白雪者冰寒刺骨，冰火交加而下，颇难应付</t>
  </si>
  <si>
    <t>射术1;智力2</t>
  </si>
  <si>
    <t>智力4;射术2;内力0.3</t>
  </si>
  <si>
    <t>灼烧0.05;冰寒0.05</t>
  </si>
  <si>
    <t>13-----1</t>
  </si>
  <si>
    <t>冰域-Target-Grid-Happen;火柱-Target-Grid-Happen</t>
  </si>
  <si>
    <t>手谈十九路</t>
  </si>
  <si>
    <t>棋盘纵横各十九道，对弈双方默不作声，以手上功夫对谈，此功夫貌似围棋之法，实则也是习武对敌之理也</t>
  </si>
  <si>
    <t>昏沉0.05;腰腹点穴0.05</t>
  </si>
  <si>
    <t>腹14;手4</t>
  </si>
  <si>
    <t>腹11;手2</t>
  </si>
  <si>
    <t>14-----1.1</t>
  </si>
  <si>
    <t>铁画银钩</t>
  </si>
  <si>
    <t>抑扬顿挫，刚柔并济的书法功夫，以铁画出击时苍劲有力，以银钩防御时柔转秀丽，若其中一式修炼不精便会失其神韵</t>
  </si>
  <si>
    <t>奇门35;智力15</t>
  </si>
  <si>
    <t>舒筋0.04;伤筋0.04</t>
  </si>
  <si>
    <t>泼墨成画功</t>
  </si>
  <si>
    <t>看似出手随意，实则妙化万千之笔法，或挥或扫，或点或刷，晕染云雾，绘制风雨，可谓水墨淋漓，气势潇洒</t>
  </si>
  <si>
    <t>奇门1;意志2</t>
  </si>
  <si>
    <t>意志1;奇门4;内力0.3</t>
  </si>
  <si>
    <t>乱神0.04;飘逸0.04</t>
  </si>
  <si>
    <t>足12;腹10</t>
  </si>
  <si>
    <t>足6;腹6</t>
  </si>
  <si>
    <t>墨爆-Target-Grid-Happen</t>
  </si>
  <si>
    <t>玄音幻剑</t>
  </si>
  <si>
    <t>晃动手腕使剑刃高速颤抖的奇特剑法，挥剑之时发出或尖锐或低沉的金属鸣音，能够打断思绪，扰乱心神</t>
  </si>
  <si>
    <t>灵巧2;剑法4;内力0.1</t>
  </si>
  <si>
    <t>剑法35;灵巧25</t>
  </si>
  <si>
    <t>震脑0.04;头颈点穴0.04</t>
  </si>
  <si>
    <t>音波-Target-Grid-Start;闪光-Target-Grid-Happen</t>
  </si>
  <si>
    <t>梦蝶心经</t>
  </si>
  <si>
    <t>取庄周梦蝶虚实相济，生死物化之意，修习者需酣然入梦，物我两忘，入太虚幻境，则内息自生，功法自成</t>
  </si>
  <si>
    <t>内功潜力1;内功1;意志1</t>
  </si>
  <si>
    <t>生命上限20;内力上限140;内功12;智力12;醒脑0.04;定神0.04;负面抗性0.04</t>
  </si>
  <si>
    <t>内功50;意志30;智力20</t>
  </si>
  <si>
    <t>凭虚临风</t>
  </si>
  <si>
    <t>纵身跳跃后长久滞空的轻功，实为借助真气反冲减缓下坠速度，不明诀窍者只道是仙人降世，惊骇莫名</t>
  </si>
  <si>
    <t>轻功8;灵巧8;意志8;护体真气0.1;飘逸0.05</t>
  </si>
  <si>
    <t>轻功45;灵巧30;意志25</t>
  </si>
  <si>
    <t>文心雕龙</t>
  </si>
  <si>
    <t>南朝刘勰阐述文章笔法义理之巨著，其中包罗万象，开源发流，通晓此书后，各式秘籍中艰深之处自然迎刃而解</t>
  </si>
  <si>
    <t>绝技8;智力8;意志8;醒脑0.1</t>
  </si>
  <si>
    <t>绝技40;智力35;意志30</t>
  </si>
  <si>
    <t>高山流水</t>
  </si>
  <si>
    <t>春秋时伯牙所作，曲调高妙，余音绕梁，气劲飞射如流水自高山上倾泻而落，每奏一曲便断一弦，以示知音难觅</t>
  </si>
  <si>
    <t>智力潜力1;射术1;智力1</t>
  </si>
  <si>
    <t>智力3;射术4;内力0.2</t>
  </si>
  <si>
    <t>射术45;智力40</t>
  </si>
  <si>
    <t>醒脑0.06;定神0.06</t>
  </si>
  <si>
    <t>头14;心12</t>
  </si>
  <si>
    <t>头4;心2</t>
  </si>
  <si>
    <t>乱点天元</t>
  </si>
  <si>
    <t>天元位于棋盘中央，罕有起手落于此处，然此功反其道而行，出手即射击身体中央各经脉要道，攻其不备以求一击得手</t>
  </si>
  <si>
    <t>灵巧2;射术4;内力0.3</t>
  </si>
  <si>
    <t>射术50;灵巧30</t>
  </si>
  <si>
    <t>心胸点穴0.05;腰腹点穴0.05</t>
  </si>
  <si>
    <t>胸16;心8</t>
  </si>
  <si>
    <t>胸8;心2</t>
  </si>
  <si>
    <t>14-----1.2</t>
  </si>
  <si>
    <t>裴将军功</t>
  </si>
  <si>
    <t>源出颜真卿书法之功夫，行楷混杂，大气磅礴，以铁笔舞出，杀伐果断，一掣万钧，真有裴将军舞剑之声威</t>
  </si>
  <si>
    <t>智力5;奇门2;内力0.1</t>
  </si>
  <si>
    <t>奇门40;智力35</t>
  </si>
  <si>
    <t>震脑0.05;破甲0.05</t>
  </si>
  <si>
    <t>手10;腹10</t>
  </si>
  <si>
    <t>手7;腹7</t>
  </si>
  <si>
    <t>生花妙笔</t>
  </si>
  <si>
    <t>精妙奇门笔法，笔尖上下翻飞，轻舞慢点，残影在空中生出纷繁绚烂各式花卉，可谓华丽非常</t>
  </si>
  <si>
    <t>意志4;奇门3;内力0.1</t>
  </si>
  <si>
    <t>慧眼0.05;鹰眼0.05</t>
  </si>
  <si>
    <t>心6;腹12</t>
  </si>
  <si>
    <t>红花-Target-Grid-Happen;墨卷-Target-Grid-Happen</t>
  </si>
  <si>
    <t>阴阳奇剑</t>
  </si>
  <si>
    <t>遵循阴阳相生相克之理的奇特剑法，其招式一正一反，一攻一守，不断交错转换，每一剑都符合情理却又出人意料</t>
  </si>
  <si>
    <t>灵巧3;剑法3;内力0.2</t>
  </si>
  <si>
    <t>剑法50;灵巧35</t>
  </si>
  <si>
    <t>连绵0.05;断招0.05</t>
  </si>
  <si>
    <t>手12;足12</t>
  </si>
  <si>
    <t>墨旋-Target-Grid-Start;火龙卷-Target-Grid-Happen</t>
  </si>
  <si>
    <t>太阳太玄功</t>
  </si>
  <si>
    <t>融汇儒道易三家之神妙经典：太玄经上卷，需于正午时分汲取皓日之精华，日积月累方能修得此至阳至刚之磅礴内息</t>
  </si>
  <si>
    <t>内功潜力2;内功1;意志1</t>
  </si>
  <si>
    <t>生命上限130;内力上限70;内功15;意志15;舒筋0.05;灼烧0.05;削内0.2</t>
  </si>
  <si>
    <t>内功70;意志45</t>
  </si>
  <si>
    <t>太阴太玄功</t>
  </si>
  <si>
    <t>融汇儒道易三家之神妙经典：太玄经下卷，需于午夜时分汲取皎月之精华，日积月累方能修得此至阴至柔之浩渺内息</t>
  </si>
  <si>
    <t>生命上限40;内力上限160;内功15;智力15;醒脑0.05;冰寒0.05;吸内0.1</t>
  </si>
  <si>
    <t>内功65;智力50</t>
  </si>
  <si>
    <t>螺旋九影</t>
  </si>
  <si>
    <t>身形拔地而起，扶摇直上可至数丈之高的超绝轻功，功力深厚者更能以真气幻化九道身影，同进同退，见者无不惊异莫名</t>
  </si>
  <si>
    <t>轻功15;灵巧15;急速0.06;飘逸0.06</t>
  </si>
  <si>
    <t>轻功60;灵巧45</t>
  </si>
  <si>
    <t>霓裳羽衣舞</t>
  </si>
  <si>
    <t>自霓裳羽衣舞姿中演化而来，其身形与力道时而飘然转旋回雪轻，时而嫣然纵送游龙惊，再平凡之招式也能生出无穷变化</t>
  </si>
  <si>
    <t>绝技潜力1;灵巧潜力2</t>
  </si>
  <si>
    <t>绝技15;智力15;破招0.04;定身0.04;负面抗性0.08</t>
  </si>
  <si>
    <t>绝技55;智力45;灵巧35</t>
  </si>
  <si>
    <t>广陵散曲功</t>
  </si>
  <si>
    <t>以嵇康失传曲谱为形，深厚玄奥内劲为意所创奇功，演奏时劲风四射，周身数丈内惊蓬振振，杀气森森，飞沙走石，天地变色</t>
  </si>
  <si>
    <t>智力潜力2;射术1;智力1</t>
  </si>
  <si>
    <t>智力5;射术3;内力0.1</t>
  </si>
  <si>
    <t>射术60;智力55</t>
  </si>
  <si>
    <t>1,1,3</t>
  </si>
  <si>
    <t>定身0.08;震脑0.08</t>
  </si>
  <si>
    <t>头18;心10</t>
  </si>
  <si>
    <t>头6;心4</t>
  </si>
  <si>
    <t>13-----1.2</t>
  </si>
  <si>
    <t>黄沙-Target-Grid-Happen;音波-Target-Grid-Happen</t>
  </si>
  <si>
    <t>呕血坐隐功</t>
  </si>
  <si>
    <t>老僧入定，正襟危坐，运神凝思，喜怒不行于色，是为坐隐功，其打穴顺序和落点方位演化自呕血谱，纵横精妙令人叹为观止</t>
  </si>
  <si>
    <t>灵巧3;射术4;内力0.2</t>
  </si>
  <si>
    <t>腰腹点穴0.06;定神0.06</t>
  </si>
  <si>
    <t>手15;腹8</t>
  </si>
  <si>
    <t>14-----1.3</t>
  </si>
  <si>
    <t>血雾-Target-Grid-Start;血圈-Target-Grid-Happen</t>
  </si>
  <si>
    <t>春秋笔法</t>
  </si>
  <si>
    <t>微言大义堪比春秋之武功，每笔招式皆看似简单，实则曲折之间隐藏无数攻守态势和精妙变化，若非智虑超群之人难解其意</t>
  </si>
  <si>
    <t>智力4;奇门4;内力0.1</t>
  </si>
  <si>
    <t>奇门65;智力45</t>
  </si>
  <si>
    <t>2,0,2</t>
  </si>
  <si>
    <t>头颈点穴0.06;乱神0.06</t>
  </si>
  <si>
    <t>足11;手11</t>
  </si>
  <si>
    <t>足7;手7</t>
  </si>
  <si>
    <t>墨爪狂-Target-Grid-Happen</t>
  </si>
  <si>
    <t>画龙点睛</t>
  </si>
  <si>
    <t>大气挥洒，笔若游龙之功法，在大量华丽虚招间，隐藏着几式点睛之笔专攻敌人周身要穴，此招一出，无有不中之理</t>
  </si>
  <si>
    <t>意志潜力2;奇门1;意志1</t>
  </si>
  <si>
    <t>意志2;奇门5;内力0.2</t>
  </si>
  <si>
    <t>奇门60;意志50</t>
  </si>
  <si>
    <t>3,0,2</t>
  </si>
  <si>
    <t>慧眼0.06;弱点0.06</t>
  </si>
  <si>
    <t>心9;腹14</t>
  </si>
  <si>
    <t>心10;腹4</t>
  </si>
  <si>
    <t>腾龙-Target-Grid-Start;墨爪爆-Target-Grid-Happen</t>
  </si>
  <si>
    <t>天来剑术</t>
  </si>
  <si>
    <t>源于敦煌飞天壁画中的奇绝剑法，其招式需纵跃而上后凌空直下，剑光自天上而来，真如银瓶乍破水光泄，九天星河落凡间</t>
  </si>
  <si>
    <t>灵巧3;剑法4;内力0.2</t>
  </si>
  <si>
    <t>定身0.06;舒筋0.06</t>
  </si>
  <si>
    <t>头8;胸15</t>
  </si>
  <si>
    <t>头4;胸10</t>
  </si>
  <si>
    <t>剑雨-Target-Grid-Start;极速剑影-Target-Grid-Happen</t>
  </si>
  <si>
    <t>归墟秘典</t>
  </si>
  <si>
    <t>传说海水汇集处有无底深谷名曰归墟，此心法将丹田炼化为归墟，经脉炼化为河流，与他人内劲相交时，可将其内力沿河流吸纳入海，化为己用</t>
  </si>
  <si>
    <t>智力潜力2;内功潜力1;内功1;智力1</t>
  </si>
  <si>
    <t>生命上限20;内力上限220;内功12;智力12;经脉12;吸内0.18;反伤吸内0.12;护体真气0.06</t>
  </si>
  <si>
    <t>内功80;智力60;经脉60</t>
  </si>
  <si>
    <t>天人感应步</t>
  </si>
  <si>
    <t>此步法以易经为基础，修习者需根据当时时间和所处方位，经周密计算后踏对应卦象而行，传说此术可卜算吉凶，预知敌意，从而闪避刀兵，化险为夷</t>
  </si>
  <si>
    <t>灵巧潜力2;轻功潜力1;轻功1;灵巧1</t>
  </si>
  <si>
    <t>轻功12;灵巧12;智力12;舒筋0.06;醒脑0.06;定神0.06</t>
  </si>
  <si>
    <t>轻功75;灵巧65;智力50</t>
  </si>
  <si>
    <t>轮回不灭法</t>
  </si>
  <si>
    <t>大隐阁不传之绝技，运功者每遭重击，便借力将气血内息于体内轮回一次，直至行将落败，此前轮回之力同时爆发，便能凤凰涅槃，浴火重生</t>
  </si>
  <si>
    <t>意志潜力2;绝技潜力1;绝技1;意志1</t>
  </si>
  <si>
    <t>绝技12;意志12;体质12;复生0.12;反伤吸内0.06;护体真气0.06</t>
  </si>
  <si>
    <t>绝技70;意志70;意志45</t>
  </si>
  <si>
    <t>静禅功</t>
  </si>
  <si>
    <t>以禅入静，静中修禅，乃少林一切佛法以及内功修行之基础</t>
  </si>
  <si>
    <t>生命上限20;内力上限20;内功4;意志4;经脉4;坚毅0.02</t>
  </si>
  <si>
    <t>挑水桶</t>
  </si>
  <si>
    <t>少林新晋弟子需每日下山打杂挑水，实为修行腿脚功夫，直至能山路上健步如飞，桶中水一滴不漏，方为大成</t>
  </si>
  <si>
    <t>轻功4;力道4;回体1</t>
  </si>
  <si>
    <t>铁裆功</t>
  </si>
  <si>
    <t>少林武功向来重视下盘之稳固，因而有此以砖石棍棒反复击打腿脚胯部，锻炼下盘抗击打能力之硬功</t>
  </si>
  <si>
    <t>绝技4;体质4;护甲2;负面抗性0.02</t>
  </si>
  <si>
    <t>少林长拳</t>
  </si>
  <si>
    <t>刚健有力，朴实无华，是少林弟子和民间武师必修之入门拳法</t>
  </si>
  <si>
    <t>力道1;拳掌2;内力0.1</t>
  </si>
  <si>
    <t>断招0.04</t>
  </si>
  <si>
    <t>少林棍法</t>
  </si>
  <si>
    <t>少林棍法之基，只有最简单的扫拨捣劈等招式，但真要修炼至棍随意走，虎虎生风，却颇废几分功夫</t>
  </si>
  <si>
    <t>体质1;长兵2;内力0.2</t>
  </si>
  <si>
    <t>稍子棍法</t>
  </si>
  <si>
    <t>镖师捕快常使的短棍棍法，相比长棍范围较短，但也更灵活多变</t>
  </si>
  <si>
    <t>意志2;长兵2</t>
  </si>
  <si>
    <t>急速0.04</t>
  </si>
  <si>
    <t>月牙铲功</t>
  </si>
  <si>
    <t>本是民间起土所用农具，少林僧人在耕种之余也拿来习武练功，其招式朴实无华，只以几分蛮力取胜</t>
  </si>
  <si>
    <t>力道2;奇门1</t>
  </si>
  <si>
    <t>坚毅0.02</t>
  </si>
  <si>
    <t>足7</t>
  </si>
  <si>
    <t>劈砍_裂地-Target-Grid-Happen;尘土-Target-Grid-Happen</t>
  </si>
  <si>
    <t>罗汉护体功</t>
  </si>
  <si>
    <t>由外及内，先练体后练气的少林基础内功，修习时全身肌肉配合呼吸运劲，持之日久便感气血充盈，丹田膨胀，能意领气走，气随劲发</t>
  </si>
  <si>
    <t>生命上限60;内力上限20;内功6;力道6;疗伤0.03;坚毅0.03</t>
  </si>
  <si>
    <t>蜻蜓点水</t>
  </si>
  <si>
    <t>向水上跳跃并以足尖轻触水面，再将身形拔高返回岸边的轻功法门，需强大内劲和腰腹力道配合方能成功</t>
  </si>
  <si>
    <t>轻功4;力道4;经脉4;轻灵0.06</t>
  </si>
  <si>
    <t>轻功10;经脉10</t>
  </si>
  <si>
    <t>遍体铜人</t>
  </si>
  <si>
    <t>以黄铜浇铸成铜人，用手足胸背各部位拍打撞击，苦练而成的少林硬功，功成后周身刚硬，寻常拳脚触之立折</t>
  </si>
  <si>
    <t>绝技6;体质6;护甲3;负面抗性0.03</t>
  </si>
  <si>
    <t>绝技10;体质15</t>
  </si>
  <si>
    <t>罗汉拳法</t>
  </si>
  <si>
    <t>达摩祖师授予普通僧众的强身健体拳法，招式严谨庄重，劲道有力，且贵在简洁明了，资质平庸者亦能快速掌握</t>
  </si>
  <si>
    <t>力道2;拳掌2;内力0.1</t>
  </si>
  <si>
    <t>拳掌10;力道15</t>
  </si>
  <si>
    <t>胸18</t>
  </si>
  <si>
    <t>打击1-Target-Grid-Happen;佛散-Target-Grid-Happen</t>
  </si>
  <si>
    <t>韦陀掌</t>
  </si>
  <si>
    <t>少林基础掌法，注重经脉锻炼和内息运用，招式则平平无奇，以防御为主</t>
  </si>
  <si>
    <t>拳掌15;经脉5</t>
  </si>
  <si>
    <t>铜皮0.06</t>
  </si>
  <si>
    <t>天竺佛指</t>
  </si>
  <si>
    <t>自天竺传入中原之指法，专攻敌人周身穴位，少林僧众常以此作为穴位辨识入门之法</t>
  </si>
  <si>
    <t>智力3;拳掌1;内力0.2</t>
  </si>
  <si>
    <t>拳掌20;智力10</t>
  </si>
  <si>
    <t>心胸点穴0.03;腿足点穴0.03;头颈点穴0.03</t>
  </si>
  <si>
    <t>佛爆-Target-Grid-Happen</t>
  </si>
  <si>
    <t>齐眉棍法</t>
  </si>
  <si>
    <t>少林外门弟子常用，以齐眉长棍使出之棍法，要求身棍合一，力透棍尖，出棍时风声呼啸，圆转有力，颇有几分威势</t>
  </si>
  <si>
    <t>梅花棍法</t>
  </si>
  <si>
    <t>以虚招为主，颇具观赏性之棍法，其招式棍击两头，四面开花，舞得水泼不入，除少林弟子外也深得杂耍卖艺者喜爱</t>
  </si>
  <si>
    <t>意志2;长兵2;内力0.1</t>
  </si>
  <si>
    <t>腹14</t>
  </si>
  <si>
    <t>花散-Target-Grid-Happen;打击2-Target-Grid-Happen</t>
  </si>
  <si>
    <t>伏魔铲法</t>
  </si>
  <si>
    <t>以少林独有斧铲形奇门兵刃使出，其招式威猛，攻势猛烈，铲铲皆攻敌薄弱，颇有斩妖伏魔之决断</t>
  </si>
  <si>
    <t>意志1;奇门2,内力0.1</t>
  </si>
  <si>
    <t>奇门15;意志15</t>
  </si>
  <si>
    <t>坚毅0.06</t>
  </si>
  <si>
    <t>劈砍_蓝裂地-Target-Grid-Happen;尘土-Target-Grid-Happen</t>
  </si>
  <si>
    <t>菩提心法</t>
  </si>
  <si>
    <t>菩提心乃大乘佛法一切功德修行之基，少林弟子需先发菩提之心，生正信之力，此后方能循大道指引，入圆满境界</t>
  </si>
  <si>
    <t>生命上限70;内力上限50;内功6;体质6;经脉6;疗伤0.04;霸体0.04</t>
  </si>
  <si>
    <t>内功30;体质20;经脉10</t>
  </si>
  <si>
    <t>九图六坐像</t>
  </si>
  <si>
    <t>共分五十四种打坐姿势，每种均可静坐十二个时辰，乃是少林僧人修禅所用，以静制动，修生养性的下盘功法</t>
  </si>
  <si>
    <t>轻功1;力道1;经脉1</t>
  </si>
  <si>
    <t>轻功6;力道6;经脉6;活血0.04;通脉0.04</t>
  </si>
  <si>
    <t>轻功25;经脉25;力道15</t>
  </si>
  <si>
    <t>一指禅</t>
  </si>
  <si>
    <t>少林传统倒立功夫，初时以十指撑地，逐步递减，直至能以一指维持不倒即为功成，此后自是筋骨勇壮，力道惊人</t>
  </si>
  <si>
    <t>绝技6;力道6;体质6;壮骨0.04;活血0.04</t>
  </si>
  <si>
    <t>绝技30;力道20;体质10</t>
  </si>
  <si>
    <t>少林龙爪手</t>
  </si>
  <si>
    <t>古朴易学，力道奇大之少林爪法，拳掌坚硬逾钢，手指开砖如泥，致敌伤残于瞬息间，也因威力过大，戒律规定不得滥用</t>
  </si>
  <si>
    <t>力道4;拳掌2</t>
  </si>
  <si>
    <t>拳掌25;力道30</t>
  </si>
  <si>
    <t>手12;心8</t>
  </si>
  <si>
    <t>去烦恼指</t>
  </si>
  <si>
    <t>招式精妙，专攻头颈部位的少林指法，若不施加内劲可指点他人使其醒悟，若施加内劲则能令其昏厥当场</t>
  </si>
  <si>
    <t>拳掌30;经脉25</t>
  </si>
  <si>
    <t>头颈点穴0.06;定身0.04</t>
  </si>
  <si>
    <t>闪光-Target-Grid-Happen;佛散-Target-Grid-Happen</t>
  </si>
  <si>
    <t>扫落叶棍法</t>
  </si>
  <si>
    <t>少林高僧扫地时所创，扫帚般贴地挥舞专攻下盘之棍法，其扫荡之势迅捷威猛，对手稍有不慎便会被掀翻在地</t>
  </si>
  <si>
    <t>体质3;长兵2;内力0.1</t>
  </si>
  <si>
    <t>足11</t>
  </si>
  <si>
    <t>旋叶-Target-Grid-Start;爆叶-Target-Grid-Happen</t>
  </si>
  <si>
    <t>五虎群羊棍</t>
  </si>
  <si>
    <t>如同五虎狩猎群羊一般，从五个方位攻击敌人的棍法，挥舞起来势势相连，环环相扣，讲求围而不击，势在必得</t>
  </si>
  <si>
    <t>长兵25;意志15</t>
  </si>
  <si>
    <t>急速0.04;阻滞0.04</t>
  </si>
  <si>
    <t>头6;足7;手7</t>
  </si>
  <si>
    <t>头3;足4;手4</t>
  </si>
  <si>
    <t>旋棍-Target-Grid-Happen;猛虎-Target-Grid-Happen</t>
  </si>
  <si>
    <t>大韦陀杵</t>
  </si>
  <si>
    <t>正气凛然，以金刚大力正面迎击敌人胸腹部位的杵法，闪避不及者难免肋骨断折，脏腑震颤</t>
  </si>
  <si>
    <t>奇门2;力道1</t>
  </si>
  <si>
    <t>力道3;奇门2;内力0.2</t>
  </si>
  <si>
    <t>奇门30;力道20</t>
  </si>
  <si>
    <t>心胸点穴0.08</t>
  </si>
  <si>
    <t>胸14;腹6</t>
  </si>
  <si>
    <t>佛压-Target-Grid-Happen</t>
  </si>
  <si>
    <t>袈裟伏魔功</t>
  </si>
  <si>
    <t>修炼强大劲道和深厚内力的少林正宗心法，功成者即便一袈裟掷出，也有铺天盖地之威势，足以惩凶除恶，守护众生</t>
  </si>
  <si>
    <t>生命上限100;内力上限60;内功12;力道12;眩晕0.05;阻滞0.05</t>
  </si>
  <si>
    <t>少林归藏功</t>
  </si>
  <si>
    <t>少林所夺得的龙胤归藏功一部分，融入佛法后对修习者身形气力增益更甚，足见少林兼容并蓄之神髓</t>
  </si>
  <si>
    <t>力道潜力1;体质潜力1</t>
  </si>
  <si>
    <t>生命上限90;内力上限70;体质12;力道12;回血0.005;康复0.05</t>
  </si>
  <si>
    <t>内功40;体质30;力道20</t>
  </si>
  <si>
    <t>一苇渡江</t>
  </si>
  <si>
    <t>传说达摩祖师曾借一芦苇漂渡长江，此功法虽已失传大半，但修习者仍可脚踩整捆芦苇漂行于水面数个时辰不沉</t>
  </si>
  <si>
    <t>轻功12;经脉12;轻灵0.05;速度0.05</t>
  </si>
  <si>
    <t>轻功45;经脉35</t>
  </si>
  <si>
    <t>金钟罩</t>
  </si>
  <si>
    <t>少林闻名江湖之硬功绝技，其气劲化为金钟遮罩全身，任刀枪棍棒袭来，只听一声钟声巨响，或震颤弹开，或摧折当场</t>
  </si>
  <si>
    <t>绝技10;体质10;护甲5;霸体0.04;负面抗性0.04</t>
  </si>
  <si>
    <t>绝技50;体质30</t>
  </si>
  <si>
    <t>般若掌</t>
  </si>
  <si>
    <t>劲道威猛，招式亦不失精妙之少林正宗掌法，出手时需讲求了无杂念，心怀智慧与慈悲，方能发挥制敌奇功，伏魔定邪</t>
  </si>
  <si>
    <t>力道潜力1;拳掌1;力道1</t>
  </si>
  <si>
    <t>壮骨0.05;断骨0.05</t>
  </si>
  <si>
    <t>心12;胸10</t>
  </si>
  <si>
    <t>心6;胸6</t>
  </si>
  <si>
    <t>佛升-Target-Grid-Happen</t>
  </si>
  <si>
    <t>无相劫指</t>
  </si>
  <si>
    <t>以深湛内力为基，催动一股炽热纯阳真气攻敌的指法武功，中招之处立时皮开肉绽，焦黑如炭，威力颇为骇人</t>
  </si>
  <si>
    <t>经脉3;拳掌2;内力0.3</t>
  </si>
  <si>
    <t>拳掌40;经脉45</t>
  </si>
  <si>
    <t>内伤0.04;灼烧0.1</t>
  </si>
  <si>
    <t>手14;腹8</t>
  </si>
  <si>
    <t>手8;腹2</t>
  </si>
  <si>
    <t>佛散-Target-Grid-Happen;火焰-Target-Grid-Happen</t>
  </si>
  <si>
    <t>疯魔棍法</t>
  </si>
  <si>
    <t>如痴如狂，如癫如嗔之棍法，棍势攻出四面八方，形无定势，动无虚招，以疯助其快，以魔增其威，令敌人望而生畏又无处遁逃</t>
  </si>
  <si>
    <t>体质4;长兵2;内力0.1</t>
  </si>
  <si>
    <t>阻滞0.06;疯魔0.08</t>
  </si>
  <si>
    <t>头10;足14</t>
  </si>
  <si>
    <t>头4;足8</t>
  </si>
  <si>
    <t>旋棍-Target-Grid-Start;墨爆-Target-Grid-Happen</t>
  </si>
  <si>
    <t>大智无定棍法</t>
  </si>
  <si>
    <t>蓄势凝神收而不发之棍法，起手将棍举过头顶，随敌人移动不断变换出手角度方位与力道，至一棍击出，时机精妙，无失手之理</t>
  </si>
  <si>
    <t>意志3;长兵3;内力0.1</t>
  </si>
  <si>
    <t>长兵45;意志35</t>
  </si>
  <si>
    <t>慧眼0.06;鹰眼0.06</t>
  </si>
  <si>
    <t>胸18;足8</t>
  </si>
  <si>
    <t>胸8;足2</t>
  </si>
  <si>
    <t>墨旋-Target-Grid-Start;墨劈-Target-Grid-Happen</t>
  </si>
  <si>
    <t>菩提智慧杵</t>
  </si>
  <si>
    <t>发菩提之心，以大智慧教化他人的佛门杵法，中此杵者若邪念不深或能脱离苦海，若冥顽不灵则如遭当头棒喝，瘫倒当场</t>
  </si>
  <si>
    <t>智力4;奇门2;内力0.1</t>
  </si>
  <si>
    <t>奇门45;智力30</t>
  </si>
  <si>
    <t>眩晕0.06;坚毅0.06</t>
  </si>
  <si>
    <t>头16;心6</t>
  </si>
  <si>
    <t>头10;心2</t>
  </si>
  <si>
    <t>阿罗汉神功</t>
  </si>
  <si>
    <t>颇为艰深的罗汉堂秘传内功，其内劲浑厚，吐息澎湃，真气游走全身，以精炼体魄兼得硬功修习之效，可谓一举两得之奇功</t>
  </si>
  <si>
    <t>内功潜力2;内功1;体质1</t>
  </si>
  <si>
    <t>生命上限100;内力上限100;内功15;力道15;霸体0.05;活血0.05;坚毅0.05</t>
  </si>
  <si>
    <t>内功60;力道45;体质30</t>
  </si>
  <si>
    <t>无色无相身</t>
  </si>
  <si>
    <t>少林至高身法，需破除执念，心静止水，目中空无一物，其身形如梦幻泡影，如露亦如电，稍纵即逝，无可捉摸</t>
  </si>
  <si>
    <t>轻功潜力2;轻功1;经脉1</t>
  </si>
  <si>
    <t>轻功15;经脉15;无敌0.02;慧眼0.04;负面抗性0.08</t>
  </si>
  <si>
    <t>轻功60;经脉45</t>
  </si>
  <si>
    <t>佛门狮吼功</t>
  </si>
  <si>
    <t>传佛祖初诞时曾作狮子吼，云天上地下唯吾独尊，修习者亦发此吼声，响彻云霄，纯澈嘹亮，声闻数里，堪令群魔肝胆俱裂</t>
  </si>
  <si>
    <t>绝技15;体质15;昏沉0.04;眩晕0.04;负面加成0.08</t>
  </si>
  <si>
    <t>绝技60;体质45;力道30</t>
  </si>
  <si>
    <t>大力金刚掌</t>
  </si>
  <si>
    <t>内外兼修，威力无穷之少林无上正宗掌法，出掌时金光四溢，声威震天，所到之处无论砖石金铁，皆会被碾作齑粉</t>
  </si>
  <si>
    <t>力道潜力2;拳掌1;力道1</t>
  </si>
  <si>
    <t>力道5;拳掌2;内力0.2</t>
  </si>
  <si>
    <t>拳掌55;力道45</t>
  </si>
  <si>
    <t>眩晕0.06;断骨0.06</t>
  </si>
  <si>
    <t>胸20;腹4</t>
  </si>
  <si>
    <t>胸2;腹8</t>
  </si>
  <si>
    <t>佛散-Target-Grid-Start;地面打击2-Target-Grid-Happen</t>
  </si>
  <si>
    <t>拈花指</t>
  </si>
  <si>
    <t>形似佛祖拈花之指法，将全身真气凝于三指指尖，或钳制兵刃，或隔空制穴，貌似轻柔实则内劲澎湃，飞花落叶也足以掷出伤人</t>
  </si>
  <si>
    <t>经脉3;拳掌4;内力0.3</t>
  </si>
  <si>
    <t>腰腹点穴0.05;手臂点穴0.05;心胸点穴0.05</t>
  </si>
  <si>
    <t>花散-Target-Grid-Happen;佛爆-Target-Grid-Happen</t>
  </si>
  <si>
    <t>如来千叶手</t>
  </si>
  <si>
    <t>双掌急速挥舞化作残影无数，便如千掌同出一般，功力稍弱之人根本无从判断实掌从何方向而来，往往左支右绌难以抵挡</t>
  </si>
  <si>
    <t>体质潜力2;拳掌1;体质1</t>
  </si>
  <si>
    <t>体质4;拳掌3;内力0.4</t>
  </si>
  <si>
    <t>拳掌65;体质40</t>
  </si>
  <si>
    <t>压制0.05;笨拙0.05;阻滞0.05</t>
  </si>
  <si>
    <t>头8;心16</t>
  </si>
  <si>
    <t>头7;心7</t>
  </si>
  <si>
    <t>佛散-Target-Grid-Start;残影-Target-Grid-Happen</t>
  </si>
  <si>
    <t>大文殊杖法</t>
  </si>
  <si>
    <t>少林菩提院秘传棍法，取文殊菩萨之智慧，招式变化无穷，所含佛法禅机亦极为精深，由大智慧之人使出，方显精妙非凡</t>
  </si>
  <si>
    <t>长兵潜力2;长兵1;智力1</t>
  </si>
  <si>
    <t>智力3;长兵4;内力0.1</t>
  </si>
  <si>
    <t>长兵60;智力55</t>
  </si>
  <si>
    <t>震脑0.06;慧眼0.06</t>
  </si>
  <si>
    <t>心15;胸6</t>
  </si>
  <si>
    <t>心12;胸4</t>
  </si>
  <si>
    <t>佛散-Target-Grid-Happen;旋风斩-Target-Grid-Happen</t>
  </si>
  <si>
    <t>紧那罗王棍法</t>
  </si>
  <si>
    <t>相传邪道围攻少林时，有一后厨头陀持烧火棍迎战，力败数十高手后失踪。众僧皆称为紧那罗王法相显身，故得此名</t>
  </si>
  <si>
    <t>长兵潜力1;体质潜力1;长兵1;体质1</t>
  </si>
  <si>
    <t>体质4;长兵2;内力0.2</t>
  </si>
  <si>
    <t>长兵60;体质45</t>
  </si>
  <si>
    <t>死战0.12;活血0.06</t>
  </si>
  <si>
    <t>足12;腹12</t>
  </si>
  <si>
    <t>金刚伏魔圈</t>
  </si>
  <si>
    <t>两枚金刚铁圈挥砍批砸，旋转翻飞，更兼套索捆缚只用，能将敌人绑回寺中以佛法教化，因此邪魔外道一闻此功便心胆俱裂</t>
  </si>
  <si>
    <t>体质4;奇门3;内力0.1</t>
  </si>
  <si>
    <t>奇门55;体质55;意志30</t>
  </si>
  <si>
    <t>1,2,2</t>
  </si>
  <si>
    <t>定身0.04;凝血0.04;定神0.04</t>
  </si>
  <si>
    <t>头16;手8</t>
  </si>
  <si>
    <t>头3;手10</t>
  </si>
  <si>
    <t>易筋经</t>
  </si>
  <si>
    <t>达摩于嵩山面壁九年后，在少林留下这本融佛学和武学无上精要的宝典，通周身经络，系五脏精神，其内息澎湃无垠，可谓取之不尽，用之不竭</t>
  </si>
  <si>
    <t>经脉潜力2;内功潜力2;内功1;经脉1</t>
  </si>
  <si>
    <t>生命上限120;内力上限120;内功12;体质12;经脉12;无敌0.04;活血0.06;回血0.006</t>
  </si>
  <si>
    <t>内功80;经脉70;体质50</t>
  </si>
  <si>
    <t>洗髓经</t>
  </si>
  <si>
    <t>纯净无比之真气灌注百脉，如潮汐涨落填满周身，可将五脏六腑，四肢百胲中的污秽一一洗净，使人脱胎换骨，形同再造</t>
  </si>
  <si>
    <t>力道潜力2;意志潜力1;内功1;力道1</t>
  </si>
  <si>
    <t>生命上限160;内力上限80;内功12;力道12;经脉12;眩晕0.08;霸体0.06;壮骨0.06</t>
  </si>
  <si>
    <t>内功70;力道65;意志55</t>
  </si>
  <si>
    <t>金刚不坏神功</t>
  </si>
  <si>
    <t>少林硬功之首，运功时周身肌肤隐隐有金黄之色，功力越高者颜色越深，直至金芒四射之时，便能抵御一切外力侵袭，成就金刚不坏之身</t>
  </si>
  <si>
    <t>体质潜力2;绝技潜力1;绝技1;体质1</t>
  </si>
  <si>
    <t>绝技12;体质12;护甲6;无敌0.05;坚毅0.05;霸体0.05</t>
  </si>
  <si>
    <t>绝技80;体质70</t>
  </si>
  <si>
    <t>达摩神杖</t>
  </si>
  <si>
    <t>达摩祖师真传杖法，出神入化，精妙绝伦，更兼暗含禅机，能使人明心见性，幡然顿悟，堪称禅武合一之无上功法</t>
  </si>
  <si>
    <t>长兵潜力2;体质潜力1;经脉潜力1</t>
  </si>
  <si>
    <t>力道1;体质4;长兵3;内力0.3</t>
  </si>
  <si>
    <t>长兵75;体质60;力道45</t>
  </si>
  <si>
    <t>断骨0.06;凝血0.06;眩晕0.06;击退1</t>
  </si>
  <si>
    <t>头9;手9;足9</t>
  </si>
  <si>
    <t>头5;手5;足5</t>
  </si>
  <si>
    <t>佛像-Self-Grid-Start;旋棍-Target-Grid-Start;佛压-Target-Grid-Happen</t>
  </si>
  <si>
    <t>武当太和功</t>
  </si>
  <si>
    <t>武当入门内功，通过呼吸吐纳取天地精气，排体内浊气，求阴阳调和之法</t>
  </si>
  <si>
    <t>生命上限10;内力上限30;内功4;灵巧4;经脉4;蓄力0.02</t>
  </si>
  <si>
    <t>八卦步</t>
  </si>
  <si>
    <t>每走一圈恰好经过八卦八个方位，故而得名。武当弟子习此步法，可为后续进修树立根基</t>
  </si>
  <si>
    <t>轻功4;智力4;反击0.04</t>
  </si>
  <si>
    <t>轻功5;智力10</t>
  </si>
  <si>
    <t>武当软硬功</t>
  </si>
  <si>
    <t>武当功夫讲求刚柔并济，软硬兼施，此功法将腹部软功和周身硬功结合，劲道收放灵活自如</t>
  </si>
  <si>
    <t>绝技4;灵巧4;反弹0.02</t>
  </si>
  <si>
    <t>武当长拳</t>
  </si>
  <si>
    <t>武当入门拳法，舒缓灵巧，开合缜密，有培本筑基之功效，不可轻视</t>
  </si>
  <si>
    <t>调息0.04</t>
  </si>
  <si>
    <t>武当绵掌</t>
  </si>
  <si>
    <t>体现武当以柔克刚思维的入门掌法，掌力绵长圆转且蕴含内劲，看似柔弱无骨，实为绵里藏针</t>
  </si>
  <si>
    <t>拳掌10;经脉5</t>
  </si>
  <si>
    <t>连绵0.06</t>
  </si>
  <si>
    <t>武当丹剑</t>
  </si>
  <si>
    <t>武当内家剑之母，其神韵悠然自得，沉着稳重，亦包含基础的内劲运用技巧</t>
  </si>
  <si>
    <t>经脉2;剑法1;内力0.1</t>
  </si>
  <si>
    <t>松溪小花剑</t>
  </si>
  <si>
    <t>招式简练扼要，轻灵洒脱之剑法，其剑势如溪流潺潺而下，轻快奔腾</t>
  </si>
  <si>
    <t>智力1;剑法2;内力0.2</t>
  </si>
  <si>
    <t>武当混元桩</t>
  </si>
  <si>
    <t>大隐阁,武当派</t>
  </si>
  <si>
    <t>武当基础内修法门，取顶天立地之势站桩直立，引阴阳之气上下贯通经脉，最终归于丹田融成混元之内息</t>
  </si>
  <si>
    <t>生命上限30;内力上限50;内功6;经脉6;调息0.06</t>
  </si>
  <si>
    <t>九宫十八步</t>
  </si>
  <si>
    <t>在九宫格阵中按五行生克移动之法，能够提升修习者下盘灵活以及奇门数术功力</t>
  </si>
  <si>
    <t>轻功6;灵巧6;连绵0.06</t>
  </si>
  <si>
    <t>轻功15;灵巧10;智力10</t>
  </si>
  <si>
    <t>子午盘功</t>
  </si>
  <si>
    <t>在空气流通之清静室内，屏息凝神，盘腿打坐之法，有修身养性，锻炼心智之功效</t>
  </si>
  <si>
    <t>绝技6;智力6;疲劳0.03;蓄力0.03</t>
  </si>
  <si>
    <t>绝技15;智力10;灵巧5</t>
  </si>
  <si>
    <t>九宫游身掌</t>
  </si>
  <si>
    <t>双掌在周身游走翻飞，如车轮急转，虎虎生风，每次出手却是遵循九宫规制，颇为严谨细密</t>
  </si>
  <si>
    <t>智力1;拳掌3;内力0.1</t>
  </si>
  <si>
    <t>拳掌15;智力15</t>
  </si>
  <si>
    <t>疲劳0.04;阻滞0.04</t>
  </si>
  <si>
    <t>八卦升-Target-Grid-Start;三连打击-Target-Grid-Happen</t>
  </si>
  <si>
    <t>金针指功</t>
  </si>
  <si>
    <t>以指为针，刺击穴道之法，既可用于止血治病，也能以内劲封穴制敌</t>
  </si>
  <si>
    <t>心胸点穴0.06;疗伤0.04;内伤0.04</t>
  </si>
  <si>
    <t>柔云剑法</t>
  </si>
  <si>
    <t>此剑招一经发动，便一剑接一剑接踵而至，顺势而来，虽威力稍小，但胜在不僵不滞，连绵不断</t>
  </si>
  <si>
    <t>剑法10;灵巧10</t>
  </si>
  <si>
    <t>玄门十三剑</t>
  </si>
  <si>
    <t>共分为十三大剑势，快慢相兼，刚柔并济，讲求形神相合，意气贯通，乃武当正宗剑法之基</t>
  </si>
  <si>
    <t>经脉3;剑法1;内力0.1</t>
  </si>
  <si>
    <t>剑法15;经脉10</t>
  </si>
  <si>
    <t>内劲0.06</t>
  </si>
  <si>
    <t>劈砍_紫-Target-Grid-Happen;八卦爆-Target-Grid-Happen</t>
  </si>
  <si>
    <t>元始周天功</t>
  </si>
  <si>
    <t>使体内真气沿十二经脉自动循环运行之心法，每循环一周内息便略微增强一分，因而更讲求细水长流，厚积薄发</t>
  </si>
  <si>
    <t>生命上限30;内力上限90;内功9;经脉9;调息0.04;连绵0.04</t>
  </si>
  <si>
    <t>内功35;经脉20</t>
  </si>
  <si>
    <t>武当归藏功</t>
  </si>
  <si>
    <t>武当所夺得的龙胤归藏功一部分，虽说只得其总纲，融入道法后却已能大大提升修习者的经脉潜力</t>
  </si>
  <si>
    <t>生命上限50;内力上限70;智力9;经脉9;不屈0.04;通脉0.04</t>
  </si>
  <si>
    <t>内功25;智力25;经脉15</t>
  </si>
  <si>
    <t>四象疑步</t>
  </si>
  <si>
    <t>以四象代表四个方位移动之法，其中循环变化纷繁往复，每一步皆顺应卦象，不通易经之人难免疑惑万分</t>
  </si>
  <si>
    <t>轻功8;灵巧8;疲劳0.04;反击0.06</t>
  </si>
  <si>
    <t>轻功25;智力30</t>
  </si>
  <si>
    <t>金关玉锁诀</t>
  </si>
  <si>
    <t>传说乃重阳真人所传绝学，蕴含颇多道法心得和修真妙理，对于修习道家典籍和武功之人有提纲挈领之妙用</t>
  </si>
  <si>
    <t>绝技9;智力9;舒筋0.04;反弹0.02</t>
  </si>
  <si>
    <t>昊天掌</t>
  </si>
  <si>
    <t>气势浩大，劲道阳刚，一招一式间平稳持重，正气凛然，乃是不以投机取巧取胜的道门正宗掌法</t>
  </si>
  <si>
    <t>力道1;拳掌3;内力0.2</t>
  </si>
  <si>
    <t>拳掌35;力道15</t>
  </si>
  <si>
    <t>蓄力0.04</t>
  </si>
  <si>
    <t>胸8;腹12</t>
  </si>
  <si>
    <t>无极玄功拳</t>
  </si>
  <si>
    <t>玄门正宗以气御劲的上乘拳术，出招时将全身内力灌注双臂上击出，以雄厚内劲伤敌于无形之间</t>
  </si>
  <si>
    <t>经脉4;拳掌1;内力0.1</t>
  </si>
  <si>
    <t>内伤0.08;阻滞0.02</t>
  </si>
  <si>
    <t>手6;胸14</t>
  </si>
  <si>
    <t>手3;胸8</t>
  </si>
  <si>
    <t>金刚-Target-Grid-Happen</t>
  </si>
  <si>
    <t>绕指柔剑</t>
  </si>
  <si>
    <t>以内力逼弯剑刃，将长剑变为柔韧软鞭，轻柔扭转，飘忽不定，剑招亦颇为回环曲折，常人难测</t>
  </si>
  <si>
    <t>剑法30;灵巧20</t>
  </si>
  <si>
    <t>2,0,1</t>
  </si>
  <si>
    <t>阻滞0.08</t>
  </si>
  <si>
    <t>手14;心6</t>
  </si>
  <si>
    <t>手9;心3</t>
  </si>
  <si>
    <t>两仪剑法</t>
  </si>
  <si>
    <t>一阴一阳，一柔一刚两种剑法融合而成，要求配合无间，切换迅速，若运用者思路稍有混乱，便难免错漏百出</t>
  </si>
  <si>
    <t>剑法1;智力2</t>
  </si>
  <si>
    <t>智力3;剑法2;内力0.1</t>
  </si>
  <si>
    <t>剑法25;智力30</t>
  </si>
  <si>
    <t>连绵0.04;弱点0.04</t>
  </si>
  <si>
    <t>头6;足6</t>
  </si>
  <si>
    <t>劈砍_黑白震-Target-Grid-Happen;八卦升-Target-Grid-Happen</t>
  </si>
  <si>
    <t>纯阳无极功</t>
  </si>
  <si>
    <t>武当上乘内功心法，全篇十二关颇为艰涩，取天地阳气至丹田熔炉中反复精炼，修成后内息炽热无比，纯净清澈</t>
  </si>
  <si>
    <t>生命上限50;内力上限110;内功12;经脉12;内伤0.05;反弹0.03</t>
  </si>
  <si>
    <t>内功50;经脉40</t>
  </si>
  <si>
    <t>天梯纵云步</t>
  </si>
  <si>
    <t>武当山路之上，有百节陡峭阶梯连成竖直一线，以此步法纵跃而上如穿梭云间，一步十阶，倏忽间便可上下一轮</t>
  </si>
  <si>
    <t>轻功12;灵巧12;连绵0.05;反击0.05</t>
  </si>
  <si>
    <t>轻功40;灵巧35</t>
  </si>
  <si>
    <t>柔易九转功</t>
  </si>
  <si>
    <t>专练全身各部位柔劲，大成者一力有九转，任对手攻势再猛，力道再强，也只如陷入泥淖中无法自拔</t>
  </si>
  <si>
    <t>绝技12;智力12;反弹0.03;疲劳0.05</t>
  </si>
  <si>
    <t>绝技45;智力30</t>
  </si>
  <si>
    <t>伏魔证道拳</t>
  </si>
  <si>
    <t>引天地浩然正气，拳拳击出，罡风四射，暴喝有声，威势惊人，凭此拳法足以降妖伏魔，以武证道</t>
  </si>
  <si>
    <t>拳掌40;经脉35</t>
  </si>
  <si>
    <t>内伤0.06;阻滞0.06</t>
  </si>
  <si>
    <t>头10;胸12</t>
  </si>
  <si>
    <t>太虚掌</t>
  </si>
  <si>
    <t>运用者需先心神凝滞，视敌我如无物，出手时恍若遗世独立，神游太虚之中，招式自是超然物外，玄奥难测</t>
  </si>
  <si>
    <t>经脉潜力1;拳掌1;智力1</t>
  </si>
  <si>
    <t>智力2;拳掌4;内力0.3</t>
  </si>
  <si>
    <t>拳掌50;智力25</t>
  </si>
  <si>
    <t>连绵0.06;疲劳0.06</t>
  </si>
  <si>
    <t>心14;腹8</t>
  </si>
  <si>
    <t>心9;腹3</t>
  </si>
  <si>
    <t>墨染-Target-Grid-Start;墨劈-Target-Grid-Happen</t>
  </si>
  <si>
    <t>丹凤朝阳剑</t>
  </si>
  <si>
    <t>将至阳内力灌注剑身使出的武当内家剑法，破空之声清冽，如凤凰啼鸣，劲风奔涌炽热，如朝阳初生</t>
  </si>
  <si>
    <t>剑法45;经脉35</t>
  </si>
  <si>
    <t>内伤0.05;灼烧0.05</t>
  </si>
  <si>
    <t>手13;胸9</t>
  </si>
  <si>
    <t>手7;胸5</t>
  </si>
  <si>
    <t>三清化一剑</t>
  </si>
  <si>
    <t>三清者，玉清上清太清三胜景也，此剑法一招三剑，看似从三个方位刺向敌人，实则最终攻击同一点，可谓精妙非凡</t>
  </si>
  <si>
    <t>灵巧潜力1;剑法1;灵巧1</t>
  </si>
  <si>
    <t>破招0.1</t>
  </si>
  <si>
    <t>手6;心18</t>
  </si>
  <si>
    <t>手4;心8</t>
  </si>
  <si>
    <t>真气-Target-Grid-Start;三连剑影中-Target-Grid-Happen</t>
  </si>
  <si>
    <t>先天无上罡气</t>
  </si>
  <si>
    <t>能生成若有似无罡气之玄妙心法，调息时至阴至柔，对敌时至阳至刚，大成后周身三寸范围如有无形障壁，常人不能近之</t>
  </si>
  <si>
    <t>生命上限80;内力上限120;内功15;经脉15;反弹0.06</t>
  </si>
  <si>
    <t>北斗仙踪</t>
  </si>
  <si>
    <t>依北斗七星方位所行步法，初时款款而来，此后愈急愈促，直至身形缓缓飘升，于空中回转不落，颇有羽化登仙之意</t>
  </si>
  <si>
    <t>轻功15;灵巧15;急速0.04;反击0.04;反弹0.02</t>
  </si>
  <si>
    <t>阴阳调元法</t>
  </si>
  <si>
    <t>结合道家理念将一阴一阳两股内力调和成混元气劲的功法。此劲奔流无匹，更兼延绵不绝，便是内家高手也忌惮三分</t>
  </si>
  <si>
    <t>绝技10;智力15;经脉5;内伤0.06;连绵0.06</t>
  </si>
  <si>
    <t>绝技50;智力50;经脉30</t>
  </si>
  <si>
    <t>日月明光掌</t>
  </si>
  <si>
    <t>汲取日月之精华，以纯阳纯阴内力混元击出的掌法，其气劲破空激射，如日月当空，光芒万丈刺目耀眼</t>
  </si>
  <si>
    <t>经脉潜力2;拳掌1;智力1</t>
  </si>
  <si>
    <t>智力3;拳掌4;内力0.1</t>
  </si>
  <si>
    <t>拳掌60;智力45</t>
  </si>
  <si>
    <t>目盲0.04;内劲0.04</t>
  </si>
  <si>
    <t>头14;心9</t>
  </si>
  <si>
    <t>头8;心6</t>
  </si>
  <si>
    <t>天光-Target-Grid-Happen;八卦光-Target-Grid-Happen</t>
  </si>
  <si>
    <t>太极拳法</t>
  </si>
  <si>
    <t>太极圆转，无止无息，以柔劲不断卸去来袭力道为己用，再将此前所蓄一击返还，乃以静制动，以柔克刚之道家拳法不二法门</t>
  </si>
  <si>
    <t>经脉4;拳掌2;内力0.4</t>
  </si>
  <si>
    <t>拳掌65;经脉50</t>
  </si>
  <si>
    <t>连绵0.04;失衡0.04;阻滞0.1</t>
  </si>
  <si>
    <t>手12;胸10</t>
  </si>
  <si>
    <t>太极转-Target-Grid-Happen</t>
  </si>
  <si>
    <t>太乙神剑</t>
  </si>
  <si>
    <t>武当内家剑精髓，催周身真气于剑上，锋刃灵气氤氲，瑞光乍现，出招时乘九狮之仙驭，散百宝之祥光，堪有太乙天尊三分神通</t>
  </si>
  <si>
    <t>智力潜力2;剑法1;经脉1</t>
  </si>
  <si>
    <t>经脉3;剑法3;内力0.2</t>
  </si>
  <si>
    <t>剑法60;经脉45</t>
  </si>
  <si>
    <t>内伤0.12</t>
  </si>
  <si>
    <t>头8;胸16</t>
  </si>
  <si>
    <t>头5;胸7</t>
  </si>
  <si>
    <t>真武荡魔剑</t>
  </si>
  <si>
    <t>传说真武大帝于武当修行四十二年，功成飞升，遗此剑法于世，其剑势矫若惊龙，翩若游鸿，正气浩然长存，妖魔触之即溃</t>
  </si>
  <si>
    <t>灵巧2;剑法4;内力0.3</t>
  </si>
  <si>
    <t>内伤0.04;内劲0.08</t>
  </si>
  <si>
    <t>足13;手10</t>
  </si>
  <si>
    <t>足9;手5</t>
  </si>
  <si>
    <t>旋风斩-Target-Grid-Happen;八卦光-Target-Grid-Happen</t>
  </si>
  <si>
    <t>太极神功</t>
  </si>
  <si>
    <t>太极者天地混沌未开之相，此功法集天地灵气，纳四海于经脉，含八荒于丹田，故太极真气得以生生不息，取之无尽，用之不竭</t>
  </si>
  <si>
    <t>内功潜力2;智力潜力1;内功1;智力1</t>
  </si>
  <si>
    <t>生命上限60;内力上限180;内功12;经脉12;智力12;内伤0.04;连绵0.04;反弹0.04</t>
  </si>
  <si>
    <t>内功75;智力60;经脉50</t>
  </si>
  <si>
    <t>道德真经</t>
  </si>
  <si>
    <t>自老子道德经中解密而来，乃阐述宇宙运行规律，效天地之法指导修行，提纲挈领，正本清源之无上道家典籍</t>
  </si>
  <si>
    <t>绝技潜力1;经脉潜力2;灵巧潜力1</t>
  </si>
  <si>
    <t>经脉12;智力12;灵巧12;内劲0.04;反击0.04;反弹0.04</t>
  </si>
  <si>
    <t>绝技75;灵巧60;智力55</t>
  </si>
  <si>
    <t>太极剑道</t>
  </si>
  <si>
    <t>此剑已然超脱常法，登大道境界，手中无剑亦能挥手以剑气伤人，招式不着形貌，不留痕迹，可谓大音希声，大道无形</t>
  </si>
  <si>
    <t>剑法潜力2;智力潜力1;剑法1;经脉1</t>
  </si>
  <si>
    <t>经脉4;智力2;剑法2;内力0.3</t>
  </si>
  <si>
    <t>剑法75;经脉65;智力45</t>
  </si>
  <si>
    <t>内伤0.08;连绵0.06;疲劳0.06</t>
  </si>
  <si>
    <t>手8;足8;心8</t>
  </si>
  <si>
    <t>手6;足6;心6</t>
  </si>
  <si>
    <t>墨圆斩-Target-Grid-Start;太极爆-Target-Grid-Happen</t>
  </si>
  <si>
    <t>铁脉功</t>
  </si>
  <si>
    <t>霸刀门</t>
  </si>
  <si>
    <t>霸刀门地处西北蛮荒，向来重视硬功锤炼而轻视内家修为，此心法正是专练经脉之强劲，而非内息之积累</t>
  </si>
  <si>
    <t>生命上限30;内力上限10;内功2;力道4;体质2;刀法威力0.04</t>
  </si>
  <si>
    <t>铁膝功</t>
  </si>
  <si>
    <t>此脚法专练腿足膝盖之坚韧程度，棍棒击打亦不能曲折，如有铁铸</t>
  </si>
  <si>
    <t>意志4;体质4;卸力0.04</t>
  </si>
  <si>
    <t>铁头功</t>
  </si>
  <si>
    <t>专练头部硬功之绝技，初学时需以棉布包裹避免受伤，练成后则以头碎石劈砖亦无大碍</t>
  </si>
  <si>
    <t>绝技2;体质2;不屈0.04;减伤2</t>
  </si>
  <si>
    <t>开山刀法</t>
  </si>
  <si>
    <t>西凉马贼常用刀法，招式简单，以蛮力取胜</t>
  </si>
  <si>
    <t>力道2;刀法1</t>
  </si>
  <si>
    <t>骤雨刀法</t>
  </si>
  <si>
    <t>如同骤雨袭来，自上而下连续劈砍之轻快刀法</t>
  </si>
  <si>
    <t>体质2;刀法2</t>
  </si>
  <si>
    <t>重碾0.04</t>
  </si>
  <si>
    <t>银蛇枪法</t>
  </si>
  <si>
    <t>枪如银蛇，灵巧锐利，招式以各种刺击为主</t>
  </si>
  <si>
    <t>长兵5;意志5</t>
  </si>
  <si>
    <t>手7</t>
  </si>
  <si>
    <t>十三太保横练</t>
  </si>
  <si>
    <t>从硬功中演化而来，讲求内外兼修的霸刀门心法，以丹田内息支撑肢体之强健，提升力道之威猛</t>
  </si>
  <si>
    <t>生命上限70;内力上限10;力道3;体质3;横练0.02;刀法威力0.08;减伤3</t>
  </si>
  <si>
    <t>黄沙落雁</t>
  </si>
  <si>
    <t>西北刀客所用，在沙地上如落雁般滑行飞跃的轻功法门</t>
  </si>
  <si>
    <t>轻功6;意志6;神行0.06</t>
  </si>
  <si>
    <t>轻功10;意志15</t>
  </si>
  <si>
    <t>铜皮铁骨功</t>
  </si>
  <si>
    <t>霸刀门基础硬功，以砂砾滚磨皮肤使周身老茧遍布，以岩石击打筋骨使肌体强韧非常</t>
  </si>
  <si>
    <t>绝技3;力道3;体质3;铜皮0.03;不屈0.03;减伤3</t>
  </si>
  <si>
    <t>绝技20;体质5</t>
  </si>
  <si>
    <t>撼地刀法</t>
  </si>
  <si>
    <t>以蛮力取胜，速度较为缓慢的刀法，劈空砍地时能感到地面微微震颤，足见其势大力沉</t>
  </si>
  <si>
    <t>狂风快刀</t>
  </si>
  <si>
    <t>攻势灵活迅速，快若狂风，眨眼之间便可连出数刀，乃西北刀客常用之刀法</t>
  </si>
  <si>
    <t>连击0.05;急速0.05</t>
  </si>
  <si>
    <t>西凉枪法</t>
  </si>
  <si>
    <t>本用于马战的西凉行伍枪法，用于步战之时也颇有几分威势</t>
  </si>
  <si>
    <t>意志1;长兵3</t>
  </si>
  <si>
    <t>童子金身功</t>
  </si>
  <si>
    <t>大隐阁,霸刀门</t>
  </si>
  <si>
    <t>保持纯阳童子身越久，功力修为就越深厚强大的内功心法，其护身罡气可御劲卸力，折铁分金，令运功者免受伤痛</t>
  </si>
  <si>
    <t>生命上限100;内力上限20;内功4;力道4;意志4;刀法威力0.04;横练0.04;减伤4</t>
  </si>
  <si>
    <t>内功25;意志25</t>
  </si>
  <si>
    <t>猛将步</t>
  </si>
  <si>
    <t>猛将所使步法，每一步皆重重落地，铮然有声，引得周遭地面微颤，其力道与气势均是不俗</t>
  </si>
  <si>
    <t>轻功2;力道8;意志4;壮骨0.04;活血0.04;刀法威力0.04</t>
  </si>
  <si>
    <t>轻功20;力道25</t>
  </si>
  <si>
    <t>黑砂刚体</t>
  </si>
  <si>
    <t>此硬功修习者遍体黝黑刚毅，皮肤粗糙如砂砾一般，实乃风吹日晒，经年累月的苦修所致</t>
  </si>
  <si>
    <t>绝技6;体质6;横练0.04;坚毅0.04;减伤4</t>
  </si>
  <si>
    <t>霹雳雷震刀</t>
  </si>
  <si>
    <t>以雷电破空之势急速劈砍，力道狂猛之刀法，兵刀相交之时火光四溅，真如雷公电母显灵一般</t>
  </si>
  <si>
    <t>刀法1;力道2</t>
  </si>
  <si>
    <t>力道2;刀法3</t>
  </si>
  <si>
    <t>刀法30;力道20</t>
  </si>
  <si>
    <t>重碾0.04;雷电0.04</t>
  </si>
  <si>
    <t>手12;胸8</t>
  </si>
  <si>
    <t>手8;胸2</t>
  </si>
  <si>
    <t>断水流刀法</t>
  </si>
  <si>
    <t>以钢刀不断劈砍水流修炼而成，起初水流只是略有阻滞，待功力深厚之时，则能将水面劈开数寸</t>
  </si>
  <si>
    <t>体质3;刀法1;内力0.1</t>
  </si>
  <si>
    <t>刀法20;体质30</t>
  </si>
  <si>
    <t>头5;胸14</t>
  </si>
  <si>
    <t>七探盘龙枪</t>
  </si>
  <si>
    <t>以虚招为主的七式枪法，每一枪皆是试探之招，如神龙探首，而身形则隐藏在云雾之中蓄势待发</t>
  </si>
  <si>
    <t>意志3;长兵2;内力0.1</t>
  </si>
  <si>
    <t>长兵25;意志25</t>
  </si>
  <si>
    <t>笨拙0.05;脆弱0.05</t>
  </si>
  <si>
    <t>灰烟-Target-Grid-Happen;蟠龙-Target-Grid-Happen</t>
  </si>
  <si>
    <t>霸王举鼎功</t>
  </si>
  <si>
    <t>西楚霸王项羽所传，极尽刚猛的内修心法，以澎湃内息催动周身劲道，发动巨力足以拔山举鼎</t>
  </si>
  <si>
    <t>生命上限130;内力上限30;内功12;力道12;刀法威力0.06;不屈0.04</t>
  </si>
  <si>
    <t>内功35;力道40</t>
  </si>
  <si>
    <t>千里横行</t>
  </si>
  <si>
    <t>通过不断冲撞树木或砖墙修炼而成，横行霸道的勇猛步法，提刀出阵，冲杀敌军，如入无人之境</t>
  </si>
  <si>
    <t>轻功4;意志10;断骨0.08;重碾0.08;减伤4</t>
  </si>
  <si>
    <t>轻功40;意志35</t>
  </si>
  <si>
    <t>金刀换掌功</t>
  </si>
  <si>
    <t>在悬挂半空的刀阵中练习武功的霸刀门绝技，修成后可敏捷闪战，无惧刀兵，对于刀法理解亦更为深刻</t>
  </si>
  <si>
    <t>绝技8;体质8;刀法威力0.1;横练0.03;减伤6</t>
  </si>
  <si>
    <t>绝技45;体质30</t>
  </si>
  <si>
    <t>英雄刀法</t>
  </si>
  <si>
    <t>每一招均以英雄命名，豪气干云，霸道纵横之刀法，若由臂力过人者使出，气度更是不凡</t>
  </si>
  <si>
    <t>力道3;刀法2;内力0.1</t>
  </si>
  <si>
    <t>外伤0.05;铜皮0.05</t>
  </si>
  <si>
    <t>手9;胸12</t>
  </si>
  <si>
    <t>手6;胸7</t>
  </si>
  <si>
    <t>嗔狂刀法</t>
  </si>
  <si>
    <t>愤怒至极，狂放莫名的刀法，每一刀挥出，皆是竭尽全力，奋不顾身，颇有玉石俱焚，置之死地而后生之意</t>
  </si>
  <si>
    <t>体质4;刀法3</t>
  </si>
  <si>
    <t>刀法40;体质35</t>
  </si>
  <si>
    <t>死战0.06;横练0.06</t>
  </si>
  <si>
    <t>寻龙枪诀</t>
  </si>
  <si>
    <t>霸刀门主眺望西北戈壁山脉走势时所创，其枪势随山脊蜿蜒起伏，层峦叠嶂，心容山海之人方能得其真意</t>
  </si>
  <si>
    <t>长兵40;意志40</t>
  </si>
  <si>
    <t>壮骨0.05;活血0.05</t>
  </si>
  <si>
    <t>龙腾爆-Target-Grid-Happen</t>
  </si>
  <si>
    <t>霸王卸甲</t>
  </si>
  <si>
    <t>霸刀门专攻盔甲防护薄弱位置之绝技，一旦连接处被砍断，敌人周身铠甲便轰然落地，此后自然破绽百出，不堪一击</t>
  </si>
  <si>
    <t>绝技潜力2;力道潜力1</t>
  </si>
  <si>
    <t>绝技10;力道10;刀法威力0.05;破甲0.05;穿甲0.05;减伤8</t>
  </si>
  <si>
    <t>天命刀法</t>
  </si>
  <si>
    <t>上应天命,下从人心之刀法，出手时引动全身霸道无比之劲道，去势威猛，勇往直前，可谓天命所归，所向披靡</t>
  </si>
  <si>
    <t>力道4;刀法4</t>
  </si>
  <si>
    <t>壮骨0.05;破甲0.05;死战0.05</t>
  </si>
  <si>
    <t>头15;胸15</t>
  </si>
  <si>
    <t>劈砍_红连续-Target-Grid-Start;地爆-Target-Grid-Happen</t>
  </si>
  <si>
    <t>缺月弯刀</t>
  </si>
  <si>
    <t>此刀法孤傲诡谲，去势如同天边一轮残月，以弧线向下勾连，寒冷皎洁之刀光亦四下照射，能够穿透世间一切壁障</t>
  </si>
  <si>
    <t>力道潜力2;体质潜力1</t>
  </si>
  <si>
    <t>体质3;刀法5;内力0.1</t>
  </si>
  <si>
    <t>刀法65;体质45</t>
  </si>
  <si>
    <t>外伤0.06;凝血0.05;穿甲0.05</t>
  </si>
  <si>
    <t>手12;心11</t>
  </si>
  <si>
    <t>手7;心7</t>
  </si>
  <si>
    <t>霸王枪法</t>
  </si>
  <si>
    <t>西楚霸王项羽所传，一式极尽霸道之枪法，扫八荒，清六合，荡平群魔，铲除奸邪，只在举手之间</t>
  </si>
  <si>
    <t>意志3;长兵4</t>
  </si>
  <si>
    <t>真伤0.06;重碾0.04;坚毅0.04</t>
  </si>
  <si>
    <t>胸12;腹11</t>
  </si>
  <si>
    <t>墨爪爆-Target-Grid-Happen;墨旋-Target-Grid-Start</t>
  </si>
  <si>
    <t>霸刀一式</t>
  </si>
  <si>
    <t>霸刀门主虽资质愚钝但天生神力，因此刀招极为简朴，却能将人体力道发挥至极限，一刀之下，便有轰天裂地，劈山断海之威</t>
  </si>
  <si>
    <t>刀法潜力2;力道潜力1;体质潜力1</t>
  </si>
  <si>
    <t>力道4;体质5;刀法2</t>
  </si>
  <si>
    <t>刀法65;力道55;体质45</t>
  </si>
  <si>
    <t>2,2,2</t>
  </si>
  <si>
    <t>外伤0.04;真伤0.04;重碾0.04</t>
  </si>
  <si>
    <t>头12;手12;胸12</t>
  </si>
  <si>
    <t>头3;手3;胸3</t>
  </si>
  <si>
    <t>血爪卷-Target-Grid-Start;狂劈-Target-Grid-Happen</t>
  </si>
  <si>
    <t>抱元诀</t>
  </si>
  <si>
    <t>蓬莱派入门心法，有屏息凝神，保养元气之功效，修道练剑之人多有修习</t>
  </si>
  <si>
    <t>生命上限10;内力上限30;内功4;经脉4;剑法威力0.04</t>
  </si>
  <si>
    <t>内功5;经脉5</t>
  </si>
  <si>
    <t>倒骑驴</t>
  </si>
  <si>
    <t>仿张果老倒骑驴，倒着向后奔跑纵跃之法，可避开迎面之攻势</t>
  </si>
  <si>
    <t>轻功2;灵巧2;闪避0.08</t>
  </si>
  <si>
    <t>通气法</t>
  </si>
  <si>
    <t>借助大口呼吸，气灌天灵，从而安定神智，平稳心境之法</t>
  </si>
  <si>
    <t>绝技4;意志4;回内0.006</t>
  </si>
  <si>
    <t>八仙剑法</t>
  </si>
  <si>
    <t>蓬莱派入门剑法，假托八仙诸形分为八大架势，快慢相济，刚柔有度</t>
  </si>
  <si>
    <t>劈砍_蓝大-Target-Grid-Happen</t>
  </si>
  <si>
    <t>碧波剑法</t>
  </si>
  <si>
    <t>将内息缠绕于剑上，使之柔韧回转，波涛荡漾，可荡开力道较弱的攻势</t>
  </si>
  <si>
    <t>剑法5;经脉10</t>
  </si>
  <si>
    <t>断招0.06</t>
  </si>
  <si>
    <t>天女散花篮</t>
  </si>
  <si>
    <t>仿照蓝采和法宝以铁条编成，云游八方时能作容器，如遇拦路盗匪，也可遮挡利刃和暗器的袭击</t>
  </si>
  <si>
    <t>花散-Target-Grid-Happen</t>
  </si>
  <si>
    <t>灵宝毕法功</t>
  </si>
  <si>
    <t>钟离权所创蓬莱派修真心法，内含阴阳调和，修生养息，运气御剑等基础之法门</t>
  </si>
  <si>
    <t>生命上限20;内力上限60;内功6;经脉6;调息0.02;剑法威力0.04</t>
  </si>
  <si>
    <t>泅水术</t>
  </si>
  <si>
    <t>蓬莱派地处海边，因而有此在海水中修炼之法，功成者迎风破浪，泅水浮波，颇为轻松惬意</t>
  </si>
  <si>
    <t>轻功6;灵巧6;飘逸0.06</t>
  </si>
  <si>
    <t>丹砂诀</t>
  </si>
  <si>
    <t>蓬莱派基础内丹法门，其炼气者，需冥心定息，元寂绵绵，直至气入丹田，丹火旺盛</t>
  </si>
  <si>
    <t>意志1;经脉1</t>
  </si>
  <si>
    <t>绝技4;意志4;经脉4;调息0.06</t>
  </si>
  <si>
    <t>绝技10;意志10</t>
  </si>
  <si>
    <t>风波十三式</t>
  </si>
  <si>
    <t>此十三式有如海风逐浪，洋洋洒洒，其中蕴含内劲更是层层叠叠，连绵不绝</t>
  </si>
  <si>
    <t>剑法15;经脉15</t>
  </si>
  <si>
    <t>喷水-Target-Grid-Happen;清风-Target-Grid-Happen</t>
  </si>
  <si>
    <t>流云剑术</t>
  </si>
  <si>
    <t>蓬莱高人观海边流云所创，剑势时而聚拢，时而飘散，以虚胜实，难以捉摸</t>
  </si>
  <si>
    <t>灵巧1;剑法3;内力0.2</t>
  </si>
  <si>
    <t>飘逸0.06</t>
  </si>
  <si>
    <t>烟雾-Target-Grid-Happen;乱刃-Target-Grid-Happen</t>
  </si>
  <si>
    <t>芭蕉铁扇功</t>
  </si>
  <si>
    <t>钟离权所传之扇法，招式开合有度，擅以凌厉劲风扰乱敌人，关键时刻也可做格挡之用</t>
  </si>
  <si>
    <t>奇门10;意志10</t>
  </si>
  <si>
    <t>疲劳0.04;铜皮0.04</t>
  </si>
  <si>
    <t>清风-Target-Grid-Happen;叶轮-Target-Grid-Happen</t>
  </si>
  <si>
    <t>长生真诀</t>
  </si>
  <si>
    <t>蓬莱修真者大多追求长生，此法抱神以静，心如止水，直至目无所见，耳无所闻，入无穷之门，则内息自生矣</t>
  </si>
  <si>
    <t>生命上限30;内力上限90;内功9;经脉9;调息0.06;剑法威力0.02</t>
  </si>
  <si>
    <t>内功30;经脉20</t>
  </si>
  <si>
    <t>乘风归</t>
  </si>
  <si>
    <t>海边多风，因而蓬莱派有此借助风力移动之法，只需清风一起，便可乘风而行，姿态颇为潇洒飘逸</t>
  </si>
  <si>
    <t>轻功9;灵巧9;闪避0.08</t>
  </si>
  <si>
    <t>剑气歌</t>
  </si>
  <si>
    <t>此歌诀壮怀激烈，豪气干云，需以手指一边弹击剑刃，一边吟咏历代侠客风姿，其隐意颇深，只有深谙剑道者方能领会</t>
  </si>
  <si>
    <t>绝技1;意志1;剑法1</t>
  </si>
  <si>
    <t>灵巧6;意志6;剑法6;剑法威力0.08</t>
  </si>
  <si>
    <t>绝技20;意志20;剑法20</t>
  </si>
  <si>
    <t>花飞蝶舞剑</t>
  </si>
  <si>
    <t>相传乃无名女冠所创之剑法，轻巧灵动，曼妙翩跹，如蝴蝶飞舞，花瓣飘散，颇具观赏性，于剑法修为亦大有裨益</t>
  </si>
  <si>
    <t>灵巧3;剑法2;内力0.2</t>
  </si>
  <si>
    <t>手8;心6</t>
  </si>
  <si>
    <t>红花-Target-Grid-Happen;快刃-Target-Grid-Happen</t>
  </si>
  <si>
    <t>沧海追风剑</t>
  </si>
  <si>
    <t>攻势凌厉，出手迅猛之剑法，一招既出，全身内劲随剑身追风赶月而去，轻功高绝之人亦难以逃避</t>
  </si>
  <si>
    <t>剑法1;经脉2</t>
  </si>
  <si>
    <t>经脉2;剑法3;内力0.1</t>
  </si>
  <si>
    <t>轻灵0.08</t>
  </si>
  <si>
    <t>足8;腹12</t>
  </si>
  <si>
    <t>足4;腹6</t>
  </si>
  <si>
    <t>天花引</t>
  </si>
  <si>
    <t>韩湘子所作之洞箫曲，辞语空灵玄奥，摄人心神，可令听者如闻仙乐，心醉神迷之间不能自已</t>
  </si>
  <si>
    <t>奇门30;意志15</t>
  </si>
  <si>
    <t>定身0.1;昏沉0.1</t>
  </si>
  <si>
    <t>头23</t>
  </si>
  <si>
    <t>花散-Target-Grid-Happen;音波-Target-Grid-Happen</t>
  </si>
  <si>
    <t>仙人抚顶功</t>
  </si>
  <si>
    <t>蓬莱派秘传修真之法，仙人抚我顶，结发受长生，习此功法时自有一股真气自百会穴而下，若能一路破关抵达丹田，便可大增功力</t>
  </si>
  <si>
    <t>生命上限60;内力上限100;内功12;经脉12;内伤0.05;剑法威力0.05</t>
  </si>
  <si>
    <t>青烟飞絮</t>
  </si>
  <si>
    <t>轻巧缥缈，虚幻空灵之轻功法门，修习者身形有如青烟萦绕，飞絮飘散，寻常招式难以触其分毫</t>
  </si>
  <si>
    <t>轻功12;灵巧12;闪避0.1</t>
  </si>
  <si>
    <t>轻功45;灵巧30</t>
  </si>
  <si>
    <t>灵剑幻花</t>
  </si>
  <si>
    <t>蓬莱派独特运劲法门，可令剑尖高速颤动，舞出幻影剑花，使任何剑招都带有迷惑性，令敌人难以判断其走势</t>
  </si>
  <si>
    <t>经脉潜力1;意志1;剑法1</t>
  </si>
  <si>
    <t>灵巧8;意志8;剑法8;飘逸0.05;剑法威力0.05</t>
  </si>
  <si>
    <t>绝技30;意志30;剑法40</t>
  </si>
  <si>
    <t>溟海逐月剑</t>
  </si>
  <si>
    <t>需于月升之时修炼，吸收午夜阴气来滋养自身剑气的道家剑法，一经施展，则剑光闪闪，寒气逼人，如皎月西沉，令朔风四起</t>
  </si>
  <si>
    <t>灵巧2;剑法4;内力0.2</t>
  </si>
  <si>
    <t>飘逸0.05;冰寒0.05</t>
  </si>
  <si>
    <t>足12;腹18</t>
  </si>
  <si>
    <t>水滴-Target-Grid-Start;弯月-Target-Grid-Happen</t>
  </si>
  <si>
    <t>朝阳一气剑</t>
  </si>
  <si>
    <t>需于日出之时修炼，吸收清晨阳气来温养自身剑气的道家剑法，一经施展，则剑光滚滚，辉耀湛然，如旭日东升，令群邪辟易</t>
  </si>
  <si>
    <t>阻滞0.05;灼烧0.05</t>
  </si>
  <si>
    <t>手8;心4</t>
  </si>
  <si>
    <t>天火-Target-Grid-Happen</t>
  </si>
  <si>
    <t>冲天渔鼓</t>
  </si>
  <si>
    <t>张国老所授克敌之法，以内劲击打鼓身时响声震天动地，气冲云霄，能吓退凶邪，震慑敌人心神</t>
  </si>
  <si>
    <t>奇门潜力1;奇门1;力道1</t>
  </si>
  <si>
    <t>意志3;奇门3;内力0.2</t>
  </si>
  <si>
    <t>奇门40;意志35</t>
  </si>
  <si>
    <t>昏沉0.08;定神0.08</t>
  </si>
  <si>
    <t>头2;心6</t>
  </si>
  <si>
    <t>喷水-Target-Grid-Happen;音波-Target-Grid-Happen</t>
  </si>
  <si>
    <t>紫微星诀</t>
  </si>
  <si>
    <t>紫微斗数推命之术演化而来，将经脉穴位与天空星辰对应，根据每日天象与命盘转化来推算对应的内力运行路径，此后修为自然突飞猛进，如有神助</t>
  </si>
  <si>
    <t>生命上限30;内力上限170;内功15;经脉15;内伤0.06;剑法威力0.06</t>
  </si>
  <si>
    <t>凌波虚渡</t>
  </si>
  <si>
    <t>世间轻功大多为腿脚窜纵之术，而此轻功玄妙则可腾空以内息推进而行，凌空时全身静止不动，唯有衣袂飘飘，宛如驭气飞行</t>
  </si>
  <si>
    <t>轻功15;意志10;灵巧5;飘逸0.12</t>
  </si>
  <si>
    <t>轻功60;意志45;灵巧40</t>
  </si>
  <si>
    <t>大道剑诀</t>
  </si>
  <si>
    <t>食指中指并拢伸直，如剑指向敌方之手势，可借此测算敌我距离和行动方位，从而于高手相争之时攻敌必取，料敌机先</t>
  </si>
  <si>
    <t>经脉潜力1;灵巧潜力1;灵巧1;剑法1</t>
  </si>
  <si>
    <t>灵巧10;意志10;剑法10;剑法威力0.12</t>
  </si>
  <si>
    <t>绝技45;灵巧45;剑法55</t>
  </si>
  <si>
    <t>碧海飞仙剑</t>
  </si>
  <si>
    <t>蓬莱派第三代掌门凌霄子在海边练剑时，曾目睹海市蜃楼间仙女舞剑，便默记下招式，最终创出这套碧海飞仙剑，其招飘逸绝伦，使人如见飞仙之丰神绰约。</t>
  </si>
  <si>
    <t>灵巧潜力2;剑法1;灵巧1</t>
  </si>
  <si>
    <t>灵巧4;剑法3;内力0.2</t>
  </si>
  <si>
    <t>剑法60;灵巧45</t>
  </si>
  <si>
    <t>飘逸0.06;轻灵0.06</t>
  </si>
  <si>
    <t>手14;心9</t>
  </si>
  <si>
    <t>手6;心9</t>
  </si>
  <si>
    <t>蓝旋风-Target-Grid-Happen</t>
  </si>
  <si>
    <t>纯阳剑法</t>
  </si>
  <si>
    <t>相传是纯阳祖师吕洞宾所创之剑术，招式沉雄古逸，力道绵绵，使此术者当翦除邪恶，斩杀凶顽，消除浮世不平之事。</t>
  </si>
  <si>
    <t>经脉3;剑法4;内力0.1</t>
  </si>
  <si>
    <t>剑法55;经脉50</t>
  </si>
  <si>
    <t>内伤0.05;调息0.05;截脉0.05</t>
  </si>
  <si>
    <t>头12;胸12</t>
  </si>
  <si>
    <t>铁拐化龙</t>
  </si>
  <si>
    <t>八仙之首铁拐李所传奇门，有劈金碎石之威能，其中更有将铁拐一击掷出，直捣黄龙，再以内劲吸回手中的神奇招式</t>
  </si>
  <si>
    <t>0,1,5</t>
  </si>
  <si>
    <t>失衡0.06;重碾0.06</t>
  </si>
  <si>
    <t>心18;腹9</t>
  </si>
  <si>
    <t>心4;腹4</t>
  </si>
  <si>
    <t>五尺混天绫</t>
  </si>
  <si>
    <t>一卷平平无奇之蚕丝绫布，在深厚内力和独特手法挥舞之下，迎风招展，遮天蔽日，可缠卷兵刃，绑缚敌身，其曲折回环间如有灵性</t>
  </si>
  <si>
    <t>经脉潜力2;奇门1;意志1</t>
  </si>
  <si>
    <t>经脉5;奇门2;内力0.2</t>
  </si>
  <si>
    <t>奇门50;经脉55</t>
  </si>
  <si>
    <t>手臂点穴0.05;腿足点穴0.05;阻滞0.05</t>
  </si>
  <si>
    <t>手9;足16</t>
  </si>
  <si>
    <t>手9;足5</t>
  </si>
  <si>
    <t>敲爻歌诀</t>
  </si>
  <si>
    <t>吕洞宾所创长诗，字字蕴含道家修真之无上法门，玄通天地，神游虚空，大成者如得吕祖亲传，正是：附耳低言玄妙旨，提上蓬莱第一峰</t>
  </si>
  <si>
    <t>内功潜力2;经脉潜力1;意志潜力1</t>
  </si>
  <si>
    <t>生命上限40;内力上限200;内功18;经脉18;内伤0.06;轻灵0.06;通脉0.06</t>
  </si>
  <si>
    <t>内功75;经脉65;意志55</t>
  </si>
  <si>
    <t>天遁剑法</t>
  </si>
  <si>
    <t>神妙非凡，玄机莫测，与凡间剑法有云泥之别，传说乃火龙真人所授仙法，吕祖有诗赞曰：庞眉斗竖恶精神，万里腾空一踊身。背上匣中三尺剑，为天且示不平人。</t>
  </si>
  <si>
    <t>剑法潜力2;经脉潜力1;灵巧潜力1</t>
  </si>
  <si>
    <t>经脉3;灵巧3;剑法3;内力0.4</t>
  </si>
  <si>
    <t>剑法80;灵巧70;经脉60</t>
  </si>
  <si>
    <t>2,4,6</t>
  </si>
  <si>
    <t>内伤0.06;截脉0.06;内劲0.06</t>
  </si>
  <si>
    <t>头9;心9;腹9</t>
  </si>
  <si>
    <t>头5;心5;腹5</t>
  </si>
  <si>
    <t>天剑-Target-Grid-Happen</t>
  </si>
  <si>
    <t>坐忘功</t>
  </si>
  <si>
    <t>峨眉派</t>
  </si>
  <si>
    <t>峨眉派入门道家心法，修习者需在坐禅之时忘却己身，排除杂念，清心净性，真气自生</t>
  </si>
  <si>
    <t>生命上限10;内力上限30;内功3;经脉3;反击0.06</t>
  </si>
  <si>
    <t>猿公跳涧</t>
  </si>
  <si>
    <t>模仿猿猴越过山涧的纵跳之法，练习者腿部发力与落脚地点稍有偏差便会落入水中，狼狈不堪</t>
  </si>
  <si>
    <t>轻功4;灵巧4;舒筋0.04</t>
  </si>
  <si>
    <t>凝心诀</t>
  </si>
  <si>
    <t>峨眉入门弟子必须熟记之口诀，有凝聚心神，锻炼智慧之功效</t>
  </si>
  <si>
    <t>绝技4;智力4;慧眼0.04</t>
  </si>
  <si>
    <t>鸭形拳</t>
  </si>
  <si>
    <t>峨眉山养鸭道士所创，身体左摇右摆，前后晃动，古朴笨拙中隐藏着奇特的拳法技巧</t>
  </si>
  <si>
    <t>智力2;拳掌1;内力0.1</t>
  </si>
  <si>
    <t>笨拙0.04</t>
  </si>
  <si>
    <t>三十六闭手</t>
  </si>
  <si>
    <t>灵巧协调之拳法，其三十六式变化多端，连环紧扣，擅长封禁敌手，避实打虚</t>
  </si>
  <si>
    <t>通脉0.02;伤筋0.02</t>
  </si>
  <si>
    <t>静心剑法</t>
  </si>
  <si>
    <t>此剑法暗含修道之理，需平心静气方能发挥威力，修习者越是急于求成，越是难以精进</t>
  </si>
  <si>
    <t>临济十二庄</t>
  </si>
  <si>
    <t>庄者四通八达之大道也，此功法共天地之心、龙鹤风云、大小幽明道路十二条，条条皆是修持气脉，元养筋骨之精妙法门</t>
  </si>
  <si>
    <t>生命上限30;内力上限50;内功6;经脉6;反击0.06</t>
  </si>
  <si>
    <t>峨眉归藏功</t>
  </si>
  <si>
    <t>峨眉所夺得的龙胤归藏功一部分，因内容较少而融入了大量峨眉心法，可以提升修习者的行动之灵巧</t>
  </si>
  <si>
    <t>灵巧潜力1</t>
  </si>
  <si>
    <t>生命上限50;内力上限30;内功4;灵巧4;经脉4;意志2;通脉0.06</t>
  </si>
  <si>
    <t>内功15;灵巧10;意志5</t>
  </si>
  <si>
    <t>峨眉虎步功</t>
  </si>
  <si>
    <t>模仿老虎神态之步法，亦步亦趋，不疾不徐，耽耽虎视，顾盼生威，对于腰腿部劳损亦有保健功效</t>
  </si>
  <si>
    <t>轻功4;力道4;灵巧4;舒筋0.06</t>
  </si>
  <si>
    <t>清静归一法</t>
  </si>
  <si>
    <t>盘腿打坐内观，可视自身脏腑气脉五色盛衰之相，直至影相发白融为一体，自感遍体舒爽，烦恼去尽，入清净之境矣</t>
  </si>
  <si>
    <t>绝技6;智力6;慧眼0.06</t>
  </si>
  <si>
    <t>至云纽丝拳</t>
  </si>
  <si>
    <t>劲道阴柔细密之拳法，以缠丝之劲道限制敌方关节扭动，令其难以发力，从而以巧胜强</t>
  </si>
  <si>
    <t>智力2;拳掌1;内力0.2</t>
  </si>
  <si>
    <t>手臂点穴0.03;伤筋0.03</t>
  </si>
  <si>
    <t>白猿通臂拳</t>
  </si>
  <si>
    <t>药王谷,峨眉派</t>
  </si>
  <si>
    <t>德源长老仿猿猴姿态所创拳法，效猿之长臂为形，仿猿之灵快为意，发劲自背、肩、肘贯通一气，放长击远，攻守灵活</t>
  </si>
  <si>
    <t>猿公剑法</t>
  </si>
  <si>
    <t>此剑法身形不定，左右纵跳，同时随意出手，招无定形，心无定意，其路数亦如猿猴般灵活善变，难以捉摸</t>
  </si>
  <si>
    <t>舒筋0.03;通脉0.03</t>
  </si>
  <si>
    <t>旋叶-Target-Grid-Happen;穿刺_灰黄-Target-Grid-Happen</t>
  </si>
  <si>
    <t>灵悟自然功</t>
  </si>
  <si>
    <t>峨眉派进阶内功心法，强调灵感领悟，以道法自然为宗旨，令身心均回归混沌自然之境，自可以祛病强身，充盈经脉</t>
  </si>
  <si>
    <t>生命上限50;内力上限70;内功9;经脉9;恢复0.04;反击0.04</t>
  </si>
  <si>
    <t>步步生莲</t>
  </si>
  <si>
    <t>修此轻功者却需先修心，内心若清明洁净，纤尘不染，其脚步自然轻盈愉快，一步一莲，常人追之莫及</t>
  </si>
  <si>
    <t>轻功9;灵巧9;速度0.08</t>
  </si>
  <si>
    <t>莲花宝笈</t>
  </si>
  <si>
    <t>将唐密和藏密修行之法大胆引入道家修真法门的峨眉秘籍，只有悟性高超者方可翻阅，否则极易坠入邪道</t>
  </si>
  <si>
    <t>绝技1;智力2</t>
  </si>
  <si>
    <t>绝技6;智力6;经脉6;反击0.04;慧眼0.04</t>
  </si>
  <si>
    <t>绝技25;智力35</t>
  </si>
  <si>
    <t>金顶绵掌</t>
  </si>
  <si>
    <t>以防御见长的掌法，运转舒展绵长，能用柔劲卸去来袭力道，无论对方如何使劲，皆如打在棉花上一般无从着力</t>
  </si>
  <si>
    <t>拳掌2;智力1</t>
  </si>
  <si>
    <t>智力2;拳掌2;内力0.3</t>
  </si>
  <si>
    <t>拳掌25;智力20</t>
  </si>
  <si>
    <t>疲劳0.04;不屈0.04</t>
  </si>
  <si>
    <t>头8;腹8</t>
  </si>
  <si>
    <t>清风-Target-Grid-Start;羽毛-Target-Grid-Happen</t>
  </si>
  <si>
    <t>峨眉鹰爪功</t>
  </si>
  <si>
    <t>臂如鹰展，指如钢钩，气提丹田，大力开合，周身关节亦咯咯作响，猎物一旦被擒便再难挣脱</t>
  </si>
  <si>
    <t>经脉1;拳掌3;内力0.2</t>
  </si>
  <si>
    <t>手9</t>
  </si>
  <si>
    <t>回风拂柳剑</t>
  </si>
  <si>
    <t>此剑法柔软灵动，如风中之摆柳，劲道不绝，后招不断，在回环往复之间，不断尝试攻敌死角以制胜</t>
  </si>
  <si>
    <t>灵巧2;剑法3;内力0.1</t>
  </si>
  <si>
    <t>剑法30;灵巧25</t>
  </si>
  <si>
    <t>舒筋0.04;慧眼0.04</t>
  </si>
  <si>
    <t>墨卷-Target-Grid-Happen;旋叶-Target-Grid-Happen</t>
  </si>
  <si>
    <t>莲花玄功</t>
  </si>
  <si>
    <t>峨眉派佛道融合之内功心法，以佛门莲花部密法为根，结合道家修炼与五行玄术，有流通经脉，运转周天之功效</t>
  </si>
  <si>
    <t>生命上限40;内力上限120;内功12;经脉12;恢复0.05;慧眼0.05</t>
  </si>
  <si>
    <t>内功50;经脉30</t>
  </si>
  <si>
    <t>灵狐拜月步</t>
  </si>
  <si>
    <t>传说峨眉祖师曾于赏月之时，见一灵狐望月而拜，其神情诚恳虔敬，身形灵动优雅，不似凡间应有之意</t>
  </si>
  <si>
    <t>轻功12;灵巧12;舒筋0.05;反击0.05</t>
  </si>
  <si>
    <t>七星横链</t>
  </si>
  <si>
    <t>将体内七处要穴以真气相连的绝学，可形成一快速强劲的小周天循环，从而大大增加自身发力和经脉运行速度</t>
  </si>
  <si>
    <t>灵巧潜力1;经脉潜力1</t>
  </si>
  <si>
    <t>灵巧8;智力8;经脉8;通脉0.05;反击0.05</t>
  </si>
  <si>
    <t>智力35;经脉35;灵巧35</t>
  </si>
  <si>
    <t>兰花拂穴手</t>
  </si>
  <si>
    <t>精巧绝伦的点穴手法，手指似兰花翘起，招式优雅，气度闲逸，看似柔弱无骨，却能于不动声色间制人多处要穴</t>
  </si>
  <si>
    <t>拳掌潜力1;灵巧潜力1</t>
  </si>
  <si>
    <t>智力2;拳掌3;内力0.3</t>
  </si>
  <si>
    <t>手臂点穴0.04;头颈点穴0.04;腰腹点穴0.04</t>
  </si>
  <si>
    <t>手12;腹10</t>
  </si>
  <si>
    <t>红花-Target-Grid-Start;莲花转-Target-Grid-Happen</t>
  </si>
  <si>
    <t>金刚三昧掌</t>
  </si>
  <si>
    <t>天竺佛门掌法，出招前需摒除杂念，屏息凝神，随后一掌击出，金光迸射，邪魔崩摧，但若心有杂念威力亦会大减</t>
  </si>
  <si>
    <t>经脉3;拳掌2;内力0.2</t>
  </si>
  <si>
    <t>拳掌45;经脉40</t>
  </si>
  <si>
    <t>真伤0.04;伤筋0.04</t>
  </si>
  <si>
    <t>胸6;心4</t>
  </si>
  <si>
    <t>佛爆-Target-Grid-Happen;闪光-Target-Grid-Happen</t>
  </si>
  <si>
    <t>玄女九式</t>
  </si>
  <si>
    <t>九天玄女通晓兵法数术，因此剑法虽只有九式，却蕴含机巧变化万千，九剑尽出便能组成剑阵，被笼罩者插翅亦难飞</t>
  </si>
  <si>
    <t>灵巧4;剑法2;内力0.1</t>
  </si>
  <si>
    <t>剑法40;灵巧35</t>
  </si>
  <si>
    <t>舒筋0.05;笨拙0.05</t>
  </si>
  <si>
    <t>心14;足6</t>
  </si>
  <si>
    <t>心8;足6</t>
  </si>
  <si>
    <t>梵文贝叶经</t>
  </si>
  <si>
    <t>暹罗国王所赠之秘宝，乃天竺僧人以贝多罗叶为纸以泥金为墨所写之经书，内含极为精深的佛法和内家修行法门，非智慧非凡者难以参悟</t>
  </si>
  <si>
    <t>生命上限60;内力上限110;内功8;智力8;体质8;经脉8;通脉0.06;慧眼0.06;自愈3</t>
  </si>
  <si>
    <t>内功60;经脉50;智力40</t>
  </si>
  <si>
    <t>舍身飞渡</t>
  </si>
  <si>
    <t>峨眉金顶东面有一悬崖名舍身崖，雄险奇伟，修习者需以舍身勇气一跃而下，于悬崖上攀援横渡直至谷底，功力稍浅者恐有粉骨碎身之虞</t>
  </si>
  <si>
    <t>轻功15;灵巧15;舒筋0.06;不屈0.06</t>
  </si>
  <si>
    <t>轻功65;灵巧45</t>
  </si>
  <si>
    <t>金顶佛光</t>
  </si>
  <si>
    <t>峨眉禅修之法，以浩然正气和纯净无匹的内息充盈百会、玉枕、印堂等头部要穴，便能产生形似佛顶宝光的七色光环，智慧灿然，元气殊胜</t>
  </si>
  <si>
    <t>智力潜力2;经脉潜力1</t>
  </si>
  <si>
    <t>智力15;经脉15;慧眼0.05;脆弱0.05;目盲0.05</t>
  </si>
  <si>
    <t>智力55;经脉55</t>
  </si>
  <si>
    <t>天罡指穴功</t>
  </si>
  <si>
    <t>威力惊人内力消耗也极大的指法，以强大劲道专攻要害薄弱处，即便硬功卓绝之人，一旦罩门被击中，也难免为之洞穿</t>
  </si>
  <si>
    <t>拳掌潜力2;拳掌1;智力1</t>
  </si>
  <si>
    <t>拳掌65;智力40</t>
  </si>
  <si>
    <t>脆弱0.04;头颈点穴0.04;腰腹点穴0.04</t>
  </si>
  <si>
    <t>头10;腹14</t>
  </si>
  <si>
    <t>头9;腹4</t>
  </si>
  <si>
    <t>雷击-Target-Grid-Happen;八卦光-Target-Grid-Happen</t>
  </si>
  <si>
    <t>天罡雷轰掌</t>
  </si>
  <si>
    <t>威力惊人内力消耗也极大的掌法，将阴阳两股精纯真气凝聚掌心，借劈掌之力将其剧烈融合，所到之处雷鸣震天，无坚不摧，无物不毁</t>
  </si>
  <si>
    <t>经脉4;拳掌2;内力0.2</t>
  </si>
  <si>
    <t>拳掌55;经脉50</t>
  </si>
  <si>
    <t>真伤0.06;雷电0.06</t>
  </si>
  <si>
    <t>头4;手8</t>
  </si>
  <si>
    <t>雷暴-Target-Grid-Happen;八卦光-Target-Grid-Happen</t>
  </si>
  <si>
    <t>灭心绝情剑</t>
  </si>
  <si>
    <t>峨眉高人走火入魔之时无意所创，需泯灭本心，断绝七情六欲，出手之时自然无牵无挂，无所顾忌，只求速杀，于敌于己皆不留丝毫余地，因其杀心过盛不可轻易使用</t>
  </si>
  <si>
    <t>杀机0.06;弱点0.06</t>
  </si>
  <si>
    <t>心15;腹7</t>
  </si>
  <si>
    <t>劈砍_红连续-Target-Grid-Start;劈砍_红多重-Target-Grid-Happen</t>
  </si>
  <si>
    <t>三洞灵宝经</t>
  </si>
  <si>
    <t>传说太上老君在峨眉山授于轩辕黄帝之天书，其中万法糅杂，儒道佛兼备，清音霄畅，万真降庭，被奉为道法之宗，群经之首</t>
  </si>
  <si>
    <t>内功潜力1;经脉潜力2;智力潜力1</t>
  </si>
  <si>
    <t>生命上限80;内力上限160;内功10;经脉10;灵巧10;智力10;通脉0.05;醒脑0.05;慧眼0.05;真伤0.05</t>
  </si>
  <si>
    <t>内功75;经脉70;智力60</t>
  </si>
  <si>
    <t>诸天化身步</t>
  </si>
  <si>
    <t>一步一幻影，一步一化身，以玄妙步法和高超修为感应诸天众神的玄奇功法，挪步之间能飞渡虚空，跨越山海，清净光明，变化自在，常享胜妙快乐</t>
  </si>
  <si>
    <t>轻功潜力1;灵巧潜力2;智力潜力1</t>
  </si>
  <si>
    <t>轻功9;灵巧9;经脉9;智力9;舒筋0.05;定神0.05;复生0.05;神行0.05</t>
  </si>
  <si>
    <t>轻功70;灵巧65;智力55</t>
  </si>
  <si>
    <t>易通法</t>
  </si>
  <si>
    <t>崆峒派粗浅内功心法，易于上手也易于精通，资质愚笨之人亦能快速掌握</t>
  </si>
  <si>
    <t>生命上限30;内力上限10;内功3;灵巧3;体质3;奇门威力0.03</t>
  </si>
  <si>
    <t>麻雀跃</t>
  </si>
  <si>
    <t>麻雀般小步快速跳跃之法，能闪避一些短距离攻击</t>
  </si>
  <si>
    <t>轻功3;灵巧3;闪避0.03;移距1</t>
  </si>
  <si>
    <t>爬铁索</t>
  </si>
  <si>
    <t>崆峒山地势奇绝，山道间只以铁索相连，因此崆峒派弟子入门第一课，便是练习攀爬这些铁索</t>
  </si>
  <si>
    <t>绝技4;意志4;压制0.04</t>
  </si>
  <si>
    <t>绝技5;意志5</t>
  </si>
  <si>
    <t>蝎尾鞭</t>
  </si>
  <si>
    <t>将鞭收入手中，如同蝎尾蜷曲蓄力，而后快速甩刺的招式</t>
  </si>
  <si>
    <t>灵巧2;奇门1;内力0.1</t>
  </si>
  <si>
    <t>奇门10;灵巧5</t>
  </si>
  <si>
    <t>扫拂尘</t>
  </si>
  <si>
    <t>崆峒派入门软兵，威力较弱，但能迷封他人眼目，扰乱来袭攻势</t>
  </si>
  <si>
    <t>意志2;奇门2;内力0.1</t>
  </si>
  <si>
    <t>目盲0.04</t>
  </si>
  <si>
    <t>乱刃-Target-Grid-Happen;烟雾-Target-Grid-Happen</t>
  </si>
  <si>
    <t>铁脊矛突</t>
  </si>
  <si>
    <t>西凉兵士所修习的铁矛突刺之法，招式简单但威力较大</t>
  </si>
  <si>
    <t>子午流注功</t>
  </si>
  <si>
    <t>根据一天十二时辰的不同身体节律，即时调整经脉运行方式的道家养生功法</t>
  </si>
  <si>
    <t>生命上限60;内力上限20;内功6;体质6;疗伤0.04;奇门威力0.02</t>
  </si>
  <si>
    <t>内功10;体质15</t>
  </si>
  <si>
    <t>鹰翼功</t>
  </si>
  <si>
    <t>双臂展开如同鹰翼保持平衡，于山崖之间跳跃滑行之轻功</t>
  </si>
  <si>
    <t>轻功6;灵巧6;反击0.06</t>
  </si>
  <si>
    <t>磐石劲</t>
  </si>
  <si>
    <t>将下盘以磐石之劲道扎根地面的硬功绝技，可增强身体平衡和腿脚抗击打能力</t>
  </si>
  <si>
    <t>绝技4;意志4;体质4;重碾0.03;奇门威力0.03</t>
  </si>
  <si>
    <t>绝技15;意志5</t>
  </si>
  <si>
    <t>五鬼追魂鞭</t>
  </si>
  <si>
    <t>凶狠诡谲之鞭法，形同五鬼缠绕敌身，不断撕扯其皮肉，逃避不掉亦甩脱不开</t>
  </si>
  <si>
    <t>奇门15;灵巧15</t>
  </si>
  <si>
    <t>流血0.04;定身0.04</t>
  </si>
  <si>
    <t>龙凤双钩</t>
  </si>
  <si>
    <t>药王谷,崆峒派</t>
  </si>
  <si>
    <t>以一双铁钩使出的奇门招法，左右开弓，龙飞凤舞，一旦武器或肢体被其钩住便再难挣脱</t>
  </si>
  <si>
    <t>奇门20;意志10</t>
  </si>
  <si>
    <t>拉近2;迟缓0.02</t>
  </si>
  <si>
    <t>搬山铁耙功</t>
  </si>
  <si>
    <t>铁耙本是常见松土之农具，挥舞起来却也是虎虎生风，威力惊人</t>
  </si>
  <si>
    <t>体质3;长兵1</t>
  </si>
  <si>
    <t>长兵10;体质15</t>
  </si>
  <si>
    <t>4,2,2</t>
  </si>
  <si>
    <t>奇门五转</t>
  </si>
  <si>
    <t>崆峒派以奇门功夫闻名天下，此心法是专为此所创，其真气灵活多变，诡谲难测，配合各式奇门武功皆有妙效</t>
  </si>
  <si>
    <t>生命上限90;内力上限30;内功8;体质8;奇门8;奇门威力0.08</t>
  </si>
  <si>
    <t>内功20;体质15;奇门30</t>
  </si>
  <si>
    <t>大鹏展翅</t>
  </si>
  <si>
    <t>模仿山间大鹏将双臂大开，可在空中长时间滑翔的轻功法门，崆峒派弟子时常需用此身法在山头间快速移动</t>
  </si>
  <si>
    <t>轻功9;灵巧9;压制0.04;反击0.04</t>
  </si>
  <si>
    <t>花架门</t>
  </si>
  <si>
    <t>针对出手架势的修炼法门，花哨繁复，奇崛多变，看上去颇具表演性质，其后手反击招式也令敌人难以预料</t>
  </si>
  <si>
    <t>绝技8;意志8;反击0.08;奇门威力0.04</t>
  </si>
  <si>
    <t>金鳞巨蟒鞭</t>
  </si>
  <si>
    <t>使长鞭如巨蟒游移回转，不知不觉间鞭势缠绕敌人周身，一旦全力收紧，便可令被缚者周身骨骼尽碎</t>
  </si>
  <si>
    <t>灵巧2;奇门3;内力0.1</t>
  </si>
  <si>
    <t>奇门30;灵巧20</t>
  </si>
  <si>
    <t>定身0.04;腿足点穴0.04</t>
  </si>
  <si>
    <t>足7;手12</t>
  </si>
  <si>
    <t>翻天印</t>
  </si>
  <si>
    <t>印章形状的铁制兵刃，挥舞起来势大力沉，专攻头部，对敌时稍有不慎便会落得个脑浆迸裂的下场</t>
  </si>
  <si>
    <t>意志3;奇门2;内力0.2</t>
  </si>
  <si>
    <t>奇门25;意志25</t>
  </si>
  <si>
    <t>头颈点穴0.04;脆弱0.04</t>
  </si>
  <si>
    <t>贯甲破盾矛</t>
  </si>
  <si>
    <t>将全身力量击中于矛尖，一击而出，威势惊人，便是坚盾重甲也能轻易贯穿</t>
  </si>
  <si>
    <t>体质2;长兵3</t>
  </si>
  <si>
    <t>长兵25;体质30</t>
  </si>
  <si>
    <t>破甲0.04;穿甲0.04</t>
  </si>
  <si>
    <t>胸6;腹2</t>
  </si>
  <si>
    <t>上清气功</t>
  </si>
  <si>
    <t>息心静虑，蓄精养神，然后调动五脏真气导入丹田的道家上乘心法，可辟谷轻身，却老延年，大增练习者功力</t>
  </si>
  <si>
    <t>生命上限110;内力上限50;内功12;体质12;疗伤0.05;斗转0.05</t>
  </si>
  <si>
    <t>倒踩三叠云</t>
  </si>
  <si>
    <t>在下盘蓄有奇力的跳跃功法，运用者即便置身空中，无依无凭之时，仍可以发力转向三次，故而闻名</t>
  </si>
  <si>
    <t>轻功12;灵巧12;反击0.05;奇门威力0.05</t>
  </si>
  <si>
    <t>轻功45;灵巧35</t>
  </si>
  <si>
    <t>龟藏豹隐</t>
  </si>
  <si>
    <t>崆峒派独门藏锋蓄力之法，将全身力道汇聚于核心一点，择合适时机瞬间爆发，往往能起到一击制敌的奇效</t>
  </si>
  <si>
    <t>绝技12;意志10;重碾0.04;不屈0.04;奇门威力0.04</t>
  </si>
  <si>
    <t>绝技50;意志30</t>
  </si>
  <si>
    <t>鬼打狂鞭</t>
  </si>
  <si>
    <t>此鞭法看似狂舞乱挥，不成章法，却能在周身形成密不透风的鞭网，贸然近身者会立刻遭受狂风骤雨般的攻击</t>
  </si>
  <si>
    <t>灵巧潜力1;奇门1;灵巧1</t>
  </si>
  <si>
    <t>灵巧4;奇门2;内力0.1</t>
  </si>
  <si>
    <t>奇门50;灵巧30</t>
  </si>
  <si>
    <t>阻滞0.05;伤筋0.05;疯魔0.05</t>
  </si>
  <si>
    <t>手10;心10</t>
  </si>
  <si>
    <t>墨卷-Target-Grid-Happen;墨烟-Target-Grid-Happen</t>
  </si>
  <si>
    <t>太统法铃</t>
  </si>
  <si>
    <t>道家法器，本作驱鬼辟邪之用，对敌时可格架攻击，或用摧耳铃音扰乱周边敌人心智</t>
  </si>
  <si>
    <t>奇门45;意志35</t>
  </si>
  <si>
    <t>混乱0.1;定身0.1</t>
  </si>
  <si>
    <t>头9;心17</t>
  </si>
  <si>
    <t>狮吼-Target-Grid-Happen</t>
  </si>
  <si>
    <t>北风百裂矛</t>
  </si>
  <si>
    <t>以狂猛之劲道，向前快速多次突刺的使矛之法，体质强壮之人甚至可连刺百下，纵使铜墙铁壁也为之洞穿</t>
  </si>
  <si>
    <t>破甲0.05;脆弱0.05</t>
  </si>
  <si>
    <t>胸13;腹8</t>
  </si>
  <si>
    <t>胸6;腹7</t>
  </si>
  <si>
    <t>火柱-Target-Grid-Happen;蝴蝶斩-Target-Grid-Happen</t>
  </si>
  <si>
    <t>离合神功</t>
  </si>
  <si>
    <t>崆峒派绝学，将阴阳两股内息彻底分离，再行融合，离合间可产生强悍的真气，偏折来袭攻势，裂石开山，无坚不摧</t>
  </si>
  <si>
    <t>生命上限110;内力上限90;内功15;体质15;斗转0.04;不屈0.04;调息0.04</t>
  </si>
  <si>
    <t>内功60;体质50</t>
  </si>
  <si>
    <t>七雁落长空</t>
  </si>
  <si>
    <t>崆峒派轻功绝学，可凌空虚渡，踏雁而行，崆峒祖师更是曾足踏七雁，在各山峰间穿行如履平地，世人见之无不叹服</t>
  </si>
  <si>
    <t>轻功15;灵巧15;重碾0.06;奇门威力0.06</t>
  </si>
  <si>
    <t>轻功55;灵巧55</t>
  </si>
  <si>
    <t>回音搜魂术</t>
  </si>
  <si>
    <t>传说乃目盲高人所创，以内力催发极为尖细之声响，再根据声响反射进行定位的神奇绝技，能令周遭敌人无所遁形</t>
  </si>
  <si>
    <t>绝技潜力2;绝技1;意志1</t>
  </si>
  <si>
    <t>绝技15;意志15;鹰眼0.04;负面加成0.04;奇门威力0.06</t>
  </si>
  <si>
    <t>绝技65;意志45</t>
  </si>
  <si>
    <t>生死一线鞭</t>
  </si>
  <si>
    <t>将鞭收于脑后引而不发，全神贯注，将生死悬于身后一线之超绝鞭法，此鞭挥出力道时机方位均是精妙非凡，可谓高下立判，胜负立分</t>
  </si>
  <si>
    <t>奇门潜力2;奇门1;灵巧1</t>
  </si>
  <si>
    <t>灵巧3;奇门4;内力0.1</t>
  </si>
  <si>
    <t>奇门60;灵巧45</t>
  </si>
  <si>
    <t>重碾0.1;蓄力0.04</t>
  </si>
  <si>
    <t>手8;足16</t>
  </si>
  <si>
    <t>手4;足8</t>
  </si>
  <si>
    <t>血雾-Target-Grid-Start;血斩-Target-Grid-Happen</t>
  </si>
  <si>
    <t>乾坤日月圈</t>
  </si>
  <si>
    <t>崆峒奇门高手所使的圆环形兵刃，可持于手中挥砍格挡，也可掷于空中回环飞舞，招式纷繁复杂变化无穷，功浅者使用反而容易划伤自己</t>
  </si>
  <si>
    <t>意志4;奇门3;内力0.2</t>
  </si>
  <si>
    <t>奇门55;意志50</t>
  </si>
  <si>
    <t>定神0.06;流血0.06</t>
  </si>
  <si>
    <t>心12;足11</t>
  </si>
  <si>
    <t>心7;足7</t>
  </si>
  <si>
    <t>圆斩-Target-Grid-Happen;八卦光-Target-Grid-Happen</t>
  </si>
  <si>
    <t>玉石俱焚矛</t>
  </si>
  <si>
    <t>西凉死士所创，但求同归于尽的悲壮招式，虽毫无防御且不留后手，其一往无前之势却能摧毁敌人意志，颇有置之死地而后生之意</t>
  </si>
  <si>
    <t>长兵潜力2;长兵1;体质1</t>
  </si>
  <si>
    <t>体质3;长兵4</t>
  </si>
  <si>
    <t>长兵50;体质50</t>
  </si>
  <si>
    <t>死战0.05;不屈0.05;不愈0.05</t>
  </si>
  <si>
    <t>胸16;腹9</t>
  </si>
  <si>
    <t>血爪狂-Target-Grid-Happen;喷血迹-Target-Grid-Happen</t>
  </si>
  <si>
    <t>斗转星移</t>
  </si>
  <si>
    <t>令经脉穴位皆偏移逆转的崆峒奇功，修习后周身力道反转，出招方式与内息运行皆异于常人，更能借此反转之力将来袭刀剑偏移方向，甚至反伤敌身</t>
  </si>
  <si>
    <t>意志潜力2;灵巧潜力1;体质潜力1</t>
  </si>
  <si>
    <t>绝技12;意志12;体质12;斗转0.1;反伤吸内0.1;负面抗性0.05</t>
  </si>
  <si>
    <t>意志65;灵巧65;体质65</t>
  </si>
  <si>
    <t>非攻法</t>
  </si>
  <si>
    <t>神机门</t>
  </si>
  <si>
    <t>神机门传承自墨家，讲求止战止杀，修身养性的入门心法</t>
  </si>
  <si>
    <t>生命上限20;内力上限20;内功4;意志4;失衡0.02;机关耐久0.04</t>
  </si>
  <si>
    <t>迷踪步</t>
  </si>
  <si>
    <t>每踏一步之前均需细细思量之步法，迟疑万分，意向难测</t>
  </si>
  <si>
    <t>灵巧4;智力4;迟缓0.04</t>
  </si>
  <si>
    <t>灵巧5;智力5</t>
  </si>
  <si>
    <t>口算功</t>
  </si>
  <si>
    <t>神机门数术之法，于口中念念有词进行计算，可锻炼心智</t>
  </si>
  <si>
    <t>绝技2;智力6;弱点0.02;机关伤害0.04</t>
  </si>
  <si>
    <t>智力10</t>
  </si>
  <si>
    <t>木流马</t>
  </si>
  <si>
    <t>木制机关马，头部装有尖刺，可快速冲撞敌人，力道颇猛</t>
  </si>
  <si>
    <t>奇门5;智力10</t>
  </si>
  <si>
    <t>craft</t>
  </si>
  <si>
    <t>组装-Target-Grid-Start;烟雾-Target-Grid-Happen</t>
  </si>
  <si>
    <t>机簧斧</t>
  </si>
  <si>
    <t>柄上装有机关的铁斧，斧柄可伸缩，斧刃也可快速弹出，攻敌不备</t>
  </si>
  <si>
    <t>意志2;奇门1;内力0.05</t>
  </si>
  <si>
    <t>奇门10;意志5</t>
  </si>
  <si>
    <t>失衡0.04</t>
  </si>
  <si>
    <t>飞蝗箭</t>
  </si>
  <si>
    <t>装有大量小箭的机关筒，一旦触发便如飞蝗激射而出，难以闪避</t>
  </si>
  <si>
    <t>裂膝0.04</t>
  </si>
  <si>
    <t>0-----0.7</t>
  </si>
  <si>
    <t>旋叶-Target-Grid-Happen</t>
  </si>
  <si>
    <t>明鬼诀</t>
  </si>
  <si>
    <t>长乐帮,神机门</t>
  </si>
  <si>
    <t>明辨义理，卜算鬼神，并以此指导自身修行的墨家基础法门</t>
  </si>
  <si>
    <t>生命上限40;内力上限40;内功6;意志6;失衡0.03;机关耐久0.06</t>
  </si>
  <si>
    <t>内功10;意志15</t>
  </si>
  <si>
    <t>坐五车</t>
  </si>
  <si>
    <t>每一步皆应和着五车星象方位的奇门步法，轻巧快速且蕴含智慧</t>
  </si>
  <si>
    <t>轻功4;灵巧4;智力4;急速0.04;机关速度0.04</t>
  </si>
  <si>
    <t>相星术</t>
  </si>
  <si>
    <t>夜观天象，并根据星宿运转卜算吉凶，预测世事之法</t>
  </si>
  <si>
    <t>绝技4;智力8;弱点0.03;脆弱0.03</t>
  </si>
  <si>
    <t>绝技15;智力15</t>
  </si>
  <si>
    <t>青铜奔牛</t>
  </si>
  <si>
    <t>青铜制机关牛，牛角弯曲尖锐，其冲锋时如野牛奔突，威力惊人，势不可挡</t>
  </si>
  <si>
    <t>机关伞</t>
  </si>
  <si>
    <t>以机关控制开合的镔铁伞，关合时可挥舞突刺，撑开时可阻挡攻击，堪称神机门技巧器械的代表之作</t>
  </si>
  <si>
    <t>意志2;奇门3;内力0.1</t>
  </si>
  <si>
    <t>奇门10;灵巧10</t>
  </si>
  <si>
    <t>失衡0.06</t>
  </si>
  <si>
    <t>连珠箭</t>
  </si>
  <si>
    <t>军队所用，可连续发射箭矢的机关弩，经神机门改进，威力和精准度都有较大提升</t>
  </si>
  <si>
    <t>灵巧2;射术2;内力0.1</t>
  </si>
  <si>
    <t>0-----0.8</t>
  </si>
  <si>
    <t>箭雨-Target-Grid-Start</t>
  </si>
  <si>
    <t>天志术</t>
  </si>
  <si>
    <t>试图以奇门数术之法，解释上天意志的墨家法门，若以此法掌控内力运行，统领周身经脉，修为便能获得精进</t>
  </si>
  <si>
    <t>生命上限60;内力上限60;内功9;意志9;失衡0.04;机关耐久0.08</t>
  </si>
  <si>
    <t>内功25;意志30</t>
  </si>
  <si>
    <t>八阵图步</t>
  </si>
  <si>
    <t>自孔明八阵图中演化而来的步法，需结合兵法和周易之理，决定下一步行走方位，若一步算错则步步皆错</t>
  </si>
  <si>
    <t>轻功9;智力9;急速0.04;迟缓0.04</t>
  </si>
  <si>
    <t>举手摘星式</t>
  </si>
  <si>
    <t>专门锻炼手指臂膀的灵巧功夫，乃神机门正式弟子必修科目，若修习不精，打造机关时难免错漏百出</t>
  </si>
  <si>
    <t>绝技9;灵巧9;弱点0.04;机关伤害0.08</t>
  </si>
  <si>
    <t>玉石麒麟</t>
  </si>
  <si>
    <t>以玉石装饰的铜制麒麟，奔跑纵跃颇为华丽好看，绕敌人移动时口中会不时喷出箭矢暗器，令人防不胜防</t>
  </si>
  <si>
    <t>奇门30;智力30</t>
  </si>
  <si>
    <t>六转孔明锁</t>
  </si>
  <si>
    <t>传说是孔明所发明的机关锁，经神机门改造后，可钳制并锁住敌人的兵刃或四肢，只有智慧超群之人才能破解</t>
  </si>
  <si>
    <t>奇门1;智力2</t>
  </si>
  <si>
    <t>智力5;奇门2</t>
  </si>
  <si>
    <t>奇门25;智力20</t>
  </si>
  <si>
    <t>手臂点穴0.1;迟缓0.04</t>
  </si>
  <si>
    <t>神机箭</t>
  </si>
  <si>
    <t>将尾部绑有火药的箭支装入竹筒，以引线相连而成的机关装置，可瞬间发射大量火箭，一时间火光冲天，声势惊人</t>
  </si>
  <si>
    <t>灵巧2;射术3;内力0.1</t>
  </si>
  <si>
    <t>射术25;灵巧20</t>
  </si>
  <si>
    <t>0,5,6</t>
  </si>
  <si>
    <t>裂膝0.08</t>
  </si>
  <si>
    <t>头10;足16</t>
  </si>
  <si>
    <t>头2;足4</t>
  </si>
  <si>
    <t>0-----0.9</t>
  </si>
  <si>
    <t>本经阴符七术</t>
  </si>
  <si>
    <t>鬼谷子所传养精蓄锐，克己藏锋之术，其中七法皆仿效不同灵兽形态，可令修习者心神合一，物我两忘，脏腑清明，经脉通畅</t>
  </si>
  <si>
    <t>生命上限80;内力上限80;内功12;意志12;定神0.04;失衡0.04;机关耐久0.04</t>
  </si>
  <si>
    <t>内功45;意志40</t>
  </si>
  <si>
    <t>云龙九现</t>
  </si>
  <si>
    <t>以变幻莫测闻名的轻功，游走转向极为迅速，瞬息之间便可更换九个方位，如云中之龙见首不见尾</t>
  </si>
  <si>
    <t>轻功12;灵巧12;急速0.04;失衡0.04;移距1</t>
  </si>
  <si>
    <t>指算玄通</t>
  </si>
  <si>
    <t>通过掐指之法辅助占卜吉凶或推算干支的玄妙法门，智慧超群且通晓周易之理者方能完全掌握</t>
  </si>
  <si>
    <t>绝技12;智力12;弱点0.04;醒脑0.04;机关速度0.04</t>
  </si>
  <si>
    <t>绝技35;智力50</t>
  </si>
  <si>
    <t>燎原朱雀</t>
  </si>
  <si>
    <t>镔铁打造的朱雀形机关兽，展翅腾飞时，其下方数个机关口可喷射火油，因而其所过之处无不烈焰冲天，火海燎原</t>
  </si>
  <si>
    <t>奇门40;智力45</t>
  </si>
  <si>
    <t>遮天假手</t>
  </si>
  <si>
    <t>一支极为精巧的机关假手，可藏于袖袍之中，其手中握有兵刀，挥砍突刺与真手相差无几，猝然伸出攻敌，常人难以防备</t>
  </si>
  <si>
    <t>智力4;奇门3;内力0.1</t>
  </si>
  <si>
    <t>奇门35;智力40</t>
  </si>
  <si>
    <t>头颈点穴0.04;失衡0.06;拉近2</t>
  </si>
  <si>
    <t>手16;头6</t>
  </si>
  <si>
    <t>手10;头2</t>
  </si>
  <si>
    <t>残影-Target-Grid-Happen;快刃-Target-Grid-Happen</t>
  </si>
  <si>
    <t>五子追心箭</t>
  </si>
  <si>
    <t>连发五箭之机关筒，此五箭近乎首尾相连，射速极快，射程极远且不失准度，是神机门箭矢器械的代表之作</t>
  </si>
  <si>
    <t>射术35;灵巧40</t>
  </si>
  <si>
    <t>裂膝0.1</t>
  </si>
  <si>
    <t>足7;腹5</t>
  </si>
  <si>
    <t>0-----1</t>
  </si>
  <si>
    <t>河图洛书</t>
  </si>
  <si>
    <t>根据上古流传之河图洛书所创功法，博采阴阳五行，星象术数之长，若能参悟此功法，便可一通百通，获得超绝之功力与智慧</t>
  </si>
  <si>
    <t>生命上限100;内力上限100;内功10;智力10;意志10;弱点0.06;失衡0.06;机关耐久0.08</t>
  </si>
  <si>
    <t>内功60;智力55;意志45</t>
  </si>
  <si>
    <t>千机万巧</t>
  </si>
  <si>
    <t>公输班所创，同时凝结了神机门历代高人无数智慧心血，机关术之核心法门，只有长老以上地位者方能一睹其全貌</t>
  </si>
  <si>
    <t>灵巧潜力1;智力潜力1;绝技1;灵巧1</t>
  </si>
  <si>
    <t>绝技10;灵巧10;智力10;脆弱0.04;舒筋0.04;机关伤害0.06;机关速度0.06</t>
  </si>
  <si>
    <t>绝技50;灵巧50;智力50</t>
  </si>
  <si>
    <t>地动青龙</t>
  </si>
  <si>
    <t>多名顶尖工匠耗时数年方能打造而成的龙形机关兽，此物一出，地动山摇，群邪辟易，妖魔俯首，已得真龙三分之威矣</t>
  </si>
  <si>
    <t>奇门60;智力55;意志50</t>
  </si>
  <si>
    <t>傀儡牵丝术</t>
  </si>
  <si>
    <t>需亲手打造，与自身身形相仿的人形傀儡，可在丝线牵引下做出各种诡异惊人的攻防姿势，常人见之如见妖法一般</t>
  </si>
  <si>
    <t>智力潜力2;奇门1;智力1</t>
  </si>
  <si>
    <t>奇门65;智力50</t>
  </si>
  <si>
    <t>笨拙0.06;失衡0.06</t>
  </si>
  <si>
    <t>足10;手14</t>
  </si>
  <si>
    <t>足6;手8</t>
  </si>
  <si>
    <t>残影-Target-Grid-Start;极速剑影-Target-Grid-Happen</t>
  </si>
  <si>
    <t>元戎弩箭</t>
  </si>
  <si>
    <t>相传乃孔明所创巨型连发弩，现已失传。此为神机门尚在试验中的复刻品，其威力已是惊人，破砖石之墙如摧枯拉朽尔</t>
  </si>
  <si>
    <t>灵巧4;射术3;内力0.1</t>
  </si>
  <si>
    <t>射术50;灵巧50</t>
  </si>
  <si>
    <t>0,4,6</t>
  </si>
  <si>
    <t>裂膝0.12</t>
  </si>
  <si>
    <t>胸15;腹15</t>
  </si>
  <si>
    <t>胸2;腹2</t>
  </si>
  <si>
    <t>0-----1.1</t>
  </si>
  <si>
    <t>爆炸箭-Target-Grid-Start</t>
  </si>
  <si>
    <t>武库战车</t>
  </si>
  <si>
    <t>为行动不便之人特制的战车，其轮轴可高速进退平移，且装备刀枪剑盾等多种攻防兵刃，堪称神机门机巧器械之至高杰作</t>
  </si>
  <si>
    <t>智力潜力1;灵巧潜力2;智力1;灵巧1</t>
  </si>
  <si>
    <t>灵巧10;智力10;意志12;弱点0.05;破招0.05;拆招0.05;机关速度0.1</t>
  </si>
  <si>
    <t>轻功60;灵巧70;智力65</t>
  </si>
  <si>
    <t>公输遗匣</t>
  </si>
  <si>
    <t>传说乃公输班遗作，匣中装有零件机巧万千，针对对敌之人所使武功兵刃进行临时组装，号称可破尽天下兵器</t>
  </si>
  <si>
    <t>奇门潜力2;智力潜力1;意志潜力1</t>
  </si>
  <si>
    <t>奇门65;智力80;意志55</t>
  </si>
  <si>
    <t>组装-Target-Grid-Start;爆炸火-Target-Grid-Happen</t>
  </si>
  <si>
    <t>雷火功</t>
  </si>
  <si>
    <t>霹雳堂</t>
  </si>
  <si>
    <t>霹雳堂入门心法，能将体内真气温度提高，并如火药般爆发</t>
  </si>
  <si>
    <t>生命上限10;内力上限10;内功4;智力4;锻造4;灼烧0.04</t>
  </si>
  <si>
    <t>内功5;锻造5</t>
  </si>
  <si>
    <t>疾电步</t>
  </si>
  <si>
    <t>疾如闪电之跑动步法，可快速远离或靠近敌人</t>
  </si>
  <si>
    <t>轻功4;灵巧4;雷电0.02;移距1</t>
  </si>
  <si>
    <t>铁手腕</t>
  </si>
  <si>
    <t>霹雳堂多使爆炸暗器，若此法修习不精，很容易因投掷距离不够而炸伤自己</t>
  </si>
  <si>
    <t>绝技4;意志4;伤害0.04</t>
  </si>
  <si>
    <t>铄心弹</t>
  </si>
  <si>
    <t>装有火药和发烟物的球形暗器，掷出后会引起小幅爆炸，并产生大量烟雾迷惑敌人</t>
  </si>
  <si>
    <t>智力2;射术1;锻造1</t>
  </si>
  <si>
    <t>锻造10</t>
  </si>
  <si>
    <t>15-----0.8</t>
  </si>
  <si>
    <t>火蒺藜</t>
  </si>
  <si>
    <t>军中对付骑兵所用，内部装有火药的铁蒺藜，引爆后可伤敌腿脚</t>
  </si>
  <si>
    <t>霹雳枪法</t>
  </si>
  <si>
    <t>出手快速，击长攻远，霹雳堂低级弟子用此枪法逼退敌人，以保护后排使用火器的高级弟子</t>
  </si>
  <si>
    <t>动摇0.02;击退2</t>
  </si>
  <si>
    <t>烈阳心法</t>
  </si>
  <si>
    <t>在修习者四周架起火堆炙烤，从而增强内息中炎阳之气的功法，只需盏茶功夫便能让人汗流浃背，叫苦不迭</t>
  </si>
  <si>
    <t>生命上限30;内力上限30;内功6;意志6;锻造6;灼烧0.06</t>
  </si>
  <si>
    <t>内功15;锻造15</t>
  </si>
  <si>
    <t>风火轮</t>
  </si>
  <si>
    <t>霹雳堂独门轻功，在鞋底安装特制滑轮，在鞋跟安装火药推进装置，可短时间内极大提升行进速度</t>
  </si>
  <si>
    <t>轻功6;灵巧6;急速0.06</t>
  </si>
  <si>
    <t>硝石法</t>
  </si>
  <si>
    <t>火药原材料之一硝石的制备之法，需采掘含硝的矿石土块，水浸过滤，熬煮晒干，便可得纯净之结晶</t>
  </si>
  <si>
    <t>绝技2;智力8;意志2;伤害0.06</t>
  </si>
  <si>
    <t>震天雷</t>
  </si>
  <si>
    <t>爆炸威力不俗，且声响震天的火药暗器，光凭借其声势便可吓退心智脆弱之人</t>
  </si>
  <si>
    <t>智力1;射术2;锻造2</t>
  </si>
  <si>
    <t>射术10;锻造20</t>
  </si>
  <si>
    <t>震脑0.04;昏沉0.04</t>
  </si>
  <si>
    <t>足22</t>
  </si>
  <si>
    <t>足3</t>
  </si>
  <si>
    <t>15-----0.9</t>
  </si>
  <si>
    <t>突火筒</t>
  </si>
  <si>
    <t>在竹筒中装填火药和铁砂而成，点燃引线后子弹自开口处爆射而出，射程较长但威力一般</t>
  </si>
  <si>
    <t>灵巧1;射术3;内力0.1</t>
  </si>
  <si>
    <t>射术15;灵巧5</t>
  </si>
  <si>
    <t>火柱-Target-Grid-Happen</t>
  </si>
  <si>
    <t>烈阳枪法</t>
  </si>
  <si>
    <t>枪头浸透火油，在对敌时点燃使出的枪法，招式开合挥舞，火光阵阵，能够有效逼退敌人的攻势</t>
  </si>
  <si>
    <t>长兵15;意志15</t>
  </si>
  <si>
    <t>击退1;灼烧0.04</t>
  </si>
  <si>
    <t>江翻海沸功</t>
  </si>
  <si>
    <t>使内息在丹田和经脉中不断翻滚沸腾的至阳心法，沸腾程度每增加一分，修习者的毅力和内功修为便更进一层</t>
  </si>
  <si>
    <t>生命上限30;内力上限30;内功9;意志9;锻造9;灼烧0.08</t>
  </si>
  <si>
    <t>内功20;意志15;锻造30</t>
  </si>
  <si>
    <t>雷车动地</t>
  </si>
  <si>
    <t>压低身形，以雷车滚地之势快速移动，施展同时向四周抛洒烟火，声势惊人，意志薄弱者难免被其震慑</t>
  </si>
  <si>
    <t>轻功9;灵巧9;动摇0.04;震脑0.04</t>
  </si>
  <si>
    <t>伏硫黄法</t>
  </si>
  <si>
    <t>炼丹之人意外间发明，将硫磺、硝石与木炭混合制备火药的法门，也是霹雳堂火器制造的必修之法</t>
  </si>
  <si>
    <t>绝技4;智力10;意志4;锻造4;伤害0.04;震脑0.04</t>
  </si>
  <si>
    <t>绝技20;智力30</t>
  </si>
  <si>
    <t>霹雳雷火弹</t>
  </si>
  <si>
    <t>霹雳堂成名暗器，遍体漆黑的金属小球，以大力掷出撞击目标之时便会发生猛烈爆炸，不少武林高手命丧于此</t>
  </si>
  <si>
    <t>射术潜力1;智力1</t>
  </si>
  <si>
    <t>智力2;射术2;锻造2</t>
  </si>
  <si>
    <t>射术30;锻造25</t>
  </si>
  <si>
    <t>眩晕0.06;雷电0.06</t>
  </si>
  <si>
    <t>15-Curve----1</t>
  </si>
  <si>
    <t>猛火油</t>
  </si>
  <si>
    <t>将特制火油灌入瓦罐中，以布条堵塞罐口，点燃后掷出，可令命中者遍体火焚，水泼不熄，滚翻不灭</t>
  </si>
  <si>
    <t>迟缓0.1;灼烧0.2</t>
  </si>
  <si>
    <t>足23</t>
  </si>
  <si>
    <t>3-----0.35</t>
  </si>
  <si>
    <t>震天枪式</t>
  </si>
  <si>
    <t>在枪头绑有火药筒的奇特枪法，出枪刺击之时，拉动引线令火筒爆炸，可攻其不备，命中更为远处的敌人</t>
  </si>
  <si>
    <t>长兵30;意志25</t>
  </si>
  <si>
    <t>乱神0.04;动摇0.04</t>
  </si>
  <si>
    <t>手11;腹8</t>
  </si>
  <si>
    <t>祝融真火诀</t>
  </si>
  <si>
    <t>传说祝融乃南方火神，此功法可催逼丹田热度至极限，使气血滚沸，内息如岩浆流淌，其劲道喷吐之时有烧融万物之威</t>
  </si>
  <si>
    <t>生命上限60;内力上限30;内功12;意志12;锻造12;灼烧0.05;动摇0.05</t>
  </si>
  <si>
    <t>内功35;意志25;锻造40</t>
  </si>
  <si>
    <t>电光火石</t>
  </si>
  <si>
    <t>将至阳内力灌注于双腿之上，此后便能以爆炸之势极速移动的轻功步法</t>
  </si>
  <si>
    <t>轻功12;灵巧12;乱神0.05;急速0.05</t>
  </si>
  <si>
    <t>轻功40;灵巧30</t>
  </si>
  <si>
    <t>伏火矾法</t>
  </si>
  <si>
    <t>经霹雳堂历代不断研发的火药制备之法，消耗更少的原料，其产量和威力皆有所提升</t>
  </si>
  <si>
    <t>智力潜力1;意志潜力1;锻造潜力1;绝技1</t>
  </si>
  <si>
    <t>绝技6;智力12;意志6;锻造6;伤害0.05;震脑0.05</t>
  </si>
  <si>
    <t>绝技45;智力35;意志20</t>
  </si>
  <si>
    <t>飞火流星</t>
  </si>
  <si>
    <t>尾部绑有绳索的球形炸弹，快速甩动后掷出，可飞行数丈之远引发爆炸，由于操控手法复杂，霹雳堂高手方能使用</t>
  </si>
  <si>
    <t>智力3;射术2;锻造2</t>
  </si>
  <si>
    <t>射术45;智力30;锻造35</t>
  </si>
  <si>
    <t>眩晕0.05;动摇0.05</t>
  </si>
  <si>
    <t>手16;胸9</t>
  </si>
  <si>
    <t>手6;胸2</t>
  </si>
  <si>
    <t>铁嘴火鹞</t>
  </si>
  <si>
    <t>头部安有铁嘴，内部装填火药的奇特鹞状火器，掷出并命中目标后，嘴中会喷出大量火焰和烟雾</t>
  </si>
  <si>
    <t>灵巧3;射术3;锻造1</t>
  </si>
  <si>
    <t>射术40;灵巧20;锻造30</t>
  </si>
  <si>
    <t>目盲0.05;灼烧0.05</t>
  </si>
  <si>
    <t>头11;足10</t>
  </si>
  <si>
    <t>头7;足6</t>
  </si>
  <si>
    <t>15-Curve----1.1</t>
  </si>
  <si>
    <t>奔雷枪诀</t>
  </si>
  <si>
    <t>以雷霆之势轰击前方的枪法，即便敌人勉强挡下攻势，也会被其刚猛劲道击退数尺，从而保护后排队友</t>
  </si>
  <si>
    <t>意志4;长兵2;内力0.1</t>
  </si>
  <si>
    <t>长兵45;意志30</t>
  </si>
  <si>
    <t>击退4;昏沉0.02</t>
  </si>
  <si>
    <t>胸9;腹13</t>
  </si>
  <si>
    <t>黑火药法</t>
  </si>
  <si>
    <t>自广州传入的西洋黑火药配置之法，改进后燃烧极为猛烈，爆炸威力也大大增强，乃霹雳堂不传之秘</t>
  </si>
  <si>
    <t>智力潜力1;意志潜力2;锻造潜力2</t>
  </si>
  <si>
    <t>智力15;灵巧10;锻造20;眩晕0.05;灼烧0.05;动摇0.05</t>
  </si>
  <si>
    <t>绝技55;智力45;锻造55</t>
  </si>
  <si>
    <t>连环子母弹</t>
  </si>
  <si>
    <t>内装黑火药和钢珠之球形暗器，投掷爆炸后，其中上千枚钢珠四散激射，中者周身肌肤尽碎，如遭凌迟，如此惨状令人闻之色变</t>
  </si>
  <si>
    <t>智力3;射术3;锻造2</t>
  </si>
  <si>
    <t>射术50;智力50;锻造50</t>
  </si>
  <si>
    <t>0,3,3</t>
  </si>
  <si>
    <t>眩晕0.06;虚弱0.06</t>
  </si>
  <si>
    <t>心18;腹12</t>
  </si>
  <si>
    <t>心6;腹2</t>
  </si>
  <si>
    <t>15-----1.2</t>
  </si>
  <si>
    <t>鲜血狂乱-Target-Grid-Happen</t>
  </si>
  <si>
    <t>神火飞鸦</t>
  </si>
  <si>
    <t>用细竹芦苇编成的乌鸦形火器，内填火药，可借助下绑火箭之推力飞出数十丈距离，随后引发猛烈爆炸</t>
  </si>
  <si>
    <t>灵巧2;射术4;锻造2</t>
  </si>
  <si>
    <t>射术55;灵巧45;锻造45</t>
  </si>
  <si>
    <t>灼烧0.06;昏沉0.06</t>
  </si>
  <si>
    <t>腹16;足10</t>
  </si>
  <si>
    <t>腹4;足6</t>
  </si>
  <si>
    <t>3-----0.45</t>
  </si>
  <si>
    <t>爆炸火-Target-Grid-Happen</t>
  </si>
  <si>
    <t>火树银枪</t>
  </si>
  <si>
    <t>在枪头安装诸多火药和发烟装置的霹雳堂独门枪术，待出枪之时激发，火光冲天，浓烟滚滚，其声势令人胆寒，不敢靠近</t>
  </si>
  <si>
    <t>意志潜力1;长兵潜力1;长兵1;意志1</t>
  </si>
  <si>
    <t>意志4;长兵3;锻造1</t>
  </si>
  <si>
    <t>长兵55;意志50;锻造35</t>
  </si>
  <si>
    <t>灼烧0.1;目盲0.06</t>
  </si>
  <si>
    <t>头8;胸8</t>
  </si>
  <si>
    <t>灭世天雷</t>
  </si>
  <si>
    <t>霹雳祖师遭人暗算武功尽废后，潜心研制而成的终极火器，有毁天灭地之能。其配方失传后霹雳堂历代不断尝试复原，才得此最接近成功的复刻品</t>
  </si>
  <si>
    <t>射术潜力1;智力潜力1;意志潜力1;锻造潜力2</t>
  </si>
  <si>
    <t>智力2;意志1;灵巧1;射术2;锻造2</t>
  </si>
  <si>
    <t>射术70;智力70;锻造70</t>
  </si>
  <si>
    <t>0,4,4</t>
  </si>
  <si>
    <t>眩晕0.08;灼烧0.08;动摇0.04</t>
  </si>
  <si>
    <t>足12;胸12;头12</t>
  </si>
  <si>
    <t>足1;胸1;头1</t>
  </si>
  <si>
    <t>3-----0.5</t>
  </si>
  <si>
    <t>爆炸大-Target-Grid-Happen</t>
  </si>
  <si>
    <t>吐姆功</t>
  </si>
  <si>
    <t>金刚密宗</t>
  </si>
  <si>
    <t>通过经脉运转，提高身体温度的瑜伽法门，在金刚宗所处的高原苦寒之地多有流传</t>
  </si>
  <si>
    <t>生命上限30;内力上限10;内功3;力道3;回血0.004</t>
  </si>
  <si>
    <t>转山行</t>
  </si>
  <si>
    <t>绕圣山转圈而行的祭祀之法，由于需一路翻山越岭，颇为考验虔诚之心和脚力</t>
  </si>
  <si>
    <t>体力上限10;轻功3;体质3;意志3;回体0.5</t>
  </si>
  <si>
    <t>天耳通</t>
  </si>
  <si>
    <t>屏息静气，全神贯注于耳部，从而增强听力之法，能听闻并定位周围微小的声响</t>
  </si>
  <si>
    <t>绝技2;智力6;命中0.04</t>
  </si>
  <si>
    <t>灌顶法</t>
  </si>
  <si>
    <t>金刚宗弟子入门时，师傅需以水或醍醐灌洒其头顶，显示诸佛护持与慈悲，也能使神智清明</t>
  </si>
  <si>
    <t>绝技4;智力4;暴击0.04</t>
  </si>
  <si>
    <t>如意宝杵</t>
  </si>
  <si>
    <t>源于天竺的金刚宗杵形法器，象征所向无敌、无坚不摧的智慧与佛法，可斩断烦恼，祛除邪魔</t>
  </si>
  <si>
    <t>奇门5;智力5</t>
  </si>
  <si>
    <t>佛散-Target-Grid-Happen;打击6-Target-Grid-Happen</t>
  </si>
  <si>
    <t>飞轮功</t>
  </si>
  <si>
    <t>产自天竺的圆轮形奇门兵刃，平时可作祭祀法器，战斗时可大力挥舞格挡，或投掷攻敌</t>
  </si>
  <si>
    <t>体质1;奇门2;内力0.1</t>
  </si>
  <si>
    <t>持戒刀法</t>
  </si>
  <si>
    <t>以防守为重的刀法，一招一式皆遵循规制，严谨板正</t>
  </si>
  <si>
    <t>力道2;刀法2</t>
  </si>
  <si>
    <t>铜皮0.05</t>
  </si>
  <si>
    <t>宝瓶气功</t>
  </si>
  <si>
    <t>金刚宗修气瑜伽法，借助观想拙火疏通并洗涤自身经脉，可令内息滚沸，抵御藏地严寒</t>
  </si>
  <si>
    <t>生命上限60;内力上限20;内功6;力道6;外伤0.04;回血0.004</t>
  </si>
  <si>
    <t>顶礼功</t>
  </si>
  <si>
    <t>跪伏在地，头顶佛脚的敬礼姿势，每日坚持修习，可增长清净智慧，并锻炼下盘腰力</t>
  </si>
  <si>
    <t>轻功6;智力6;卸力0.06</t>
  </si>
  <si>
    <t>轻功10;智力15</t>
  </si>
  <si>
    <t>天眼通</t>
  </si>
  <si>
    <t>屏息静气，全神贯注于眼部，从而增强视力之法，能看清远处高速移动的物体</t>
  </si>
  <si>
    <t>智力潜力1</t>
  </si>
  <si>
    <t>绝技6;智力6;鹰眼0.06</t>
  </si>
  <si>
    <t>密宗缩骨功</t>
  </si>
  <si>
    <t>传自天竺的瑜伽柔术，可使全身筋骨关节柔软如棉，团缩后身形几乎减小一半</t>
  </si>
  <si>
    <t>绝技6;体质6;坚毅0.06</t>
  </si>
  <si>
    <t>绝技20;体质15</t>
  </si>
  <si>
    <t>三曼荼罗杵</t>
  </si>
  <si>
    <t>分为普门、部会、别尊三大架势的金刚杵法，其中蕴含颇多智慧变化法门，以用于应对不同敌人</t>
  </si>
  <si>
    <t>智力2;奇门2;内力0.1</t>
  </si>
  <si>
    <t>奇门15;智力10</t>
  </si>
  <si>
    <t>往生轮</t>
  </si>
  <si>
    <t>威力强悍的转轮功法，其凶狠招式可助人快速脱离苦海，往生极乐——无论对方是否愿意</t>
  </si>
  <si>
    <t>体质1;奇门3;内力0.1</t>
  </si>
  <si>
    <t>奇门20;体质10</t>
  </si>
  <si>
    <t>往生刀法</t>
  </si>
  <si>
    <t>威力强悍的刀法，其凶狠招式可助人快速脱离苦海，往生极乐——无论对方是否愿意</t>
  </si>
  <si>
    <t>力道3;刀法2</t>
  </si>
  <si>
    <t>不动明王功</t>
  </si>
  <si>
    <t>八大明王首座，具扫除障碍毫不动摇之意，修习者运功时遍体金刚，不动如山，邪魔外道不能撼其分毫</t>
  </si>
  <si>
    <t>生命上限90;内力上限30;内功6;力道6;体质6;反弹0.02;坚毅0.04</t>
  </si>
  <si>
    <t>内功30;体质20;力道10</t>
  </si>
  <si>
    <t>神足通</t>
  </si>
  <si>
    <t>自由无碍，随心所欲移动现身之本领，不论重峦叠嶂或刀枪障碍皆可轻易翻过</t>
  </si>
  <si>
    <t>轻功9;智力9;神行0.08</t>
  </si>
  <si>
    <t>轻功25;智力20</t>
  </si>
  <si>
    <t>金刚怒目</t>
  </si>
  <si>
    <t>心如止水，然而面目却呈现怒相的禅修法门，可以吓退宵小，降服四魔</t>
  </si>
  <si>
    <t>体质潜力1;意志1</t>
  </si>
  <si>
    <t>绝技6;力道6;体质6;脆弱0.04;坚毅0.04</t>
  </si>
  <si>
    <t>绝技30;力道25;意志10</t>
  </si>
  <si>
    <t>降龙伏虎功</t>
  </si>
  <si>
    <t>极为艰险的力量修行法门，功成者周身力道倍增，有降伏龙虎之威能</t>
  </si>
  <si>
    <t>绝技9;力道9;外伤0.08</t>
  </si>
  <si>
    <t>绝技35;力道20</t>
  </si>
  <si>
    <t>金刚降魔杵</t>
  </si>
  <si>
    <t>招式刚猛的杵法，蕴含无比锐利且无坚不摧之金刚智慧，号称可消除罪孽，降魔息灾</t>
  </si>
  <si>
    <t>体质2;奇门3;内力0.1</t>
  </si>
  <si>
    <t>奇门30;体质15</t>
  </si>
  <si>
    <t>虚弱0.04;慧眼0.04</t>
  </si>
  <si>
    <t>心12;腹9</t>
  </si>
  <si>
    <t>五轮大法</t>
  </si>
  <si>
    <t>同时操纵五枚转轮的功法，出招时上下翻飞，左右狂舞，令人眼花缭乱，以一敌多时亦能不落下风</t>
  </si>
  <si>
    <t>智力3;奇门1;内力0.2</t>
  </si>
  <si>
    <t>奇门25;智力30</t>
  </si>
  <si>
    <t>金刚降魔刀</t>
  </si>
  <si>
    <t>招式刚猛的刀法，蕴含无比锐利且无坚不摧之金刚智慧，号称可消除罪孽，降魔息灾</t>
  </si>
  <si>
    <t>力道2;刀法4</t>
  </si>
  <si>
    <t>脆弱0.04;坚毅0.04</t>
  </si>
  <si>
    <t>摩揭陀瑜伽功</t>
  </si>
  <si>
    <t>古国摩揭陀流传而来的瑜伽法，以苦修冥想，体位调息之法增进修为，最终达到心神合一之三摩地境界</t>
  </si>
  <si>
    <t>生命上限110;内力上限50;内功8;力道8;体质8;外伤0.05;反弹0.03</t>
  </si>
  <si>
    <t>内功40;力道35;体质20</t>
  </si>
  <si>
    <t>转轮行空</t>
  </si>
  <si>
    <t>脚踩转轮贴地滑行的神奇轻功，金刚宗弟子常借此快速下山，其中修为高深者甚至可凌空飞行</t>
  </si>
  <si>
    <t>轻功12;体质12;神行0.05;回体1</t>
  </si>
  <si>
    <t>轻功40;体质30</t>
  </si>
  <si>
    <t>释迦掷象</t>
  </si>
  <si>
    <t>传说佛祖曾掷象于空中，三日后方才坠地，此法虽无如此神通，但仍可以怪力抛掷百斤巨石</t>
  </si>
  <si>
    <t>力道潜力2</t>
  </si>
  <si>
    <t>绝技12;力道12;暴击0.1</t>
  </si>
  <si>
    <t>绝技45;力道30</t>
  </si>
  <si>
    <t>瑜伽行地</t>
  </si>
  <si>
    <t>描绘瑜伽修行十七重境界的金刚宗秘法，若能一一研习，可令修持者身体康健，心神清明</t>
  </si>
  <si>
    <t>绝技8;力道8;智力8;慧眼0.05;回血0.005</t>
  </si>
  <si>
    <t>绝技40;智力35;力道25</t>
  </si>
  <si>
    <t>大威德杵</t>
  </si>
  <si>
    <t>此杵法招式精深，攻守兼备，进能降服恶魔，故称大威，退能护佑良善，故称大德</t>
  </si>
  <si>
    <t>力道2;奇门4;内力0.1</t>
  </si>
  <si>
    <t>奇门45;力道25</t>
  </si>
  <si>
    <t>暴击0.05;霸体0.05</t>
  </si>
  <si>
    <t>头14;心8</t>
  </si>
  <si>
    <t>头6;心6</t>
  </si>
  <si>
    <t>无量转轮功</t>
  </si>
  <si>
    <t>以极快速度挥舞转轮，使之化为万千幻影攻敌，若敌人不倒，其攻势亦无穷无尽，无止无休</t>
  </si>
  <si>
    <t>奇门40;智力40</t>
  </si>
  <si>
    <t>迟缓0.05;重碾0.05</t>
  </si>
  <si>
    <t>头6;足15</t>
  </si>
  <si>
    <t>圆斩-Target-Grid-Happen;佛散-Target-Grid-Happen</t>
  </si>
  <si>
    <t>阿鼻八刀</t>
  </si>
  <si>
    <t>用于惩戒凶恶的恐怖刀法，刀刀攻人要害，却竟又刀刀不致人死地，中刀者如坠无间地狱，痛苦万分，嚎哭求饶</t>
  </si>
  <si>
    <t>体质3;刀法3</t>
  </si>
  <si>
    <t>刀法45;体质30</t>
  </si>
  <si>
    <t>虚弱0.1;杀机0.1</t>
  </si>
  <si>
    <t>心13;腹13</t>
  </si>
  <si>
    <t>大黑天降魔功</t>
  </si>
  <si>
    <t>传说湿婆皈依后所创护法神功，运转时遍体肌肤深沉暗淡，修为精深者更得黑气缭绕，此乃大黑天护持之法相，森然恐怖，不怒自威</t>
  </si>
  <si>
    <t>内功潜力2;内功1;力道1</t>
  </si>
  <si>
    <t>生命上限160;内力上限40;内功10;力道10;体质10;暴击0.06;无敌0.03</t>
  </si>
  <si>
    <t>内功60;力道45;体质35</t>
  </si>
  <si>
    <t>密宗大手印</t>
  </si>
  <si>
    <t>传承自天竺诸位高僧大德，密宗无上之佛法心髓，以简明诀要总摄见、修、行、果，佛门中人得之可谓如虎添翼</t>
  </si>
  <si>
    <t>智力潜力2;体质潜力1</t>
  </si>
  <si>
    <t>智力10;意志10;体质10;外伤0.06;无敌0.03</t>
  </si>
  <si>
    <t>智力60;体质50;意志50</t>
  </si>
  <si>
    <t>宿命通</t>
  </si>
  <si>
    <t>能感知众生过去之宿业，知晓现时或未来之果报的密宗绝技，非修持禅定多年者难以得此神通</t>
  </si>
  <si>
    <t>绝技10;力道10;智力10;慧眼0.05;杀机0.05;斗转0.02</t>
  </si>
  <si>
    <t>绝技60;智力55</t>
  </si>
  <si>
    <t>无上大力杵</t>
  </si>
  <si>
    <t>将周身之无上力道凝聚于杵尖，以平常招式击出，便有石破天惊，鬼哭神嚎之威势，世间甲盾罕有能撄其锋芒者</t>
  </si>
  <si>
    <t>力道潜力2;奇门1;力道1</t>
  </si>
  <si>
    <t>力道5;奇门2;内力0.1</t>
  </si>
  <si>
    <t>奇门55;力道50</t>
  </si>
  <si>
    <t>暴击0.06;破甲0.06</t>
  </si>
  <si>
    <t>头9;胸20</t>
  </si>
  <si>
    <t>头2;胸4</t>
  </si>
  <si>
    <t>地面打击5-Target-Grid-Happen;佛散-Target-Grid-Happen</t>
  </si>
  <si>
    <t>观想日月轮</t>
  </si>
  <si>
    <t>于心中观想日月，同时掷出两枚转轮之法，其形貌轨迹皆同日月，一阳一阴，一起一落，日月同辉之时，便能照澈万物</t>
  </si>
  <si>
    <t>脆弱0.06;鹰眼0.06</t>
  </si>
  <si>
    <t>足10;腹10</t>
  </si>
  <si>
    <t>足8;腹8</t>
  </si>
  <si>
    <t>弯月-Target-Grid-Happen;佛散-Target-Grid-Happen</t>
  </si>
  <si>
    <t>无苦寂灭刀</t>
  </si>
  <si>
    <t>修习者需先破除烦恼妄想，令身心进入绝对静止之境界，然后方能使出这消除世间苦难，令万物寂灭的玄妙刀法</t>
  </si>
  <si>
    <t>刀法潜力2;体质潜力1</t>
  </si>
  <si>
    <t>杀机0.06;慧眼0.06</t>
  </si>
  <si>
    <t>头12;心12</t>
  </si>
  <si>
    <t>血雾-Target-Grid-Happen;血爪狂-Target-Grid-Happen</t>
  </si>
  <si>
    <t>大日如来功</t>
  </si>
  <si>
    <t>金刚宗至高内修秘法，修成者如蒙佛祖加持，运功时遍体佛光照耀万物，获不可思议之力量与智慧，可谓功德圆满</t>
  </si>
  <si>
    <t>生命上限180;内力上限60;内功12;力道12;智力12;慧眼0.06;杀机0.06;无敌0.03</t>
  </si>
  <si>
    <t>内功70;智力70;力道55</t>
  </si>
  <si>
    <t>龙象护法功</t>
  </si>
  <si>
    <t>为修习者凭添护法之力，平常一拳挥出也具龙象之威，更兼偏转刀枪之不败金身，堪称金刚宗至高硬功</t>
  </si>
  <si>
    <t>绝技潜力1;力道潜力2;绝技1;体质1</t>
  </si>
  <si>
    <t>绝技12;力道12;体质12;外伤0.06;反弹0.06</t>
  </si>
  <si>
    <t>绝技75;力道60;体质45</t>
  </si>
  <si>
    <t>因陀罗杵</t>
  </si>
  <si>
    <t>传说乃佛陀护法帝释天所创，需有大力量与大智慧之人方能使出，一击之下金光四射闪电轰鸣，可击碎一切愚痴妄想与外道魔障</t>
  </si>
  <si>
    <t>奇门潜力2;智力潜力1;奇门1;力道1</t>
  </si>
  <si>
    <t>力道2;智力3;奇门4;内力0.1</t>
  </si>
  <si>
    <t>奇门65;智力65;力道65</t>
  </si>
  <si>
    <t>慧眼0.05;脆弱0.05;无敌0.05</t>
  </si>
  <si>
    <t>头9;心9;胸8</t>
  </si>
  <si>
    <t>头6;心5;胸4</t>
  </si>
  <si>
    <t>佛像-Self-Grid-Start;佛升-Target-Grid-Happen;地爆-Target-Grid-Happen</t>
  </si>
  <si>
    <t>凝冰诀</t>
  </si>
  <si>
    <t>天山派武功多走阴寒套路，以内力凝水成冰，乃入门弟子之必修心法</t>
  </si>
  <si>
    <t>生命上限10;内力上限30;内功4;经脉4;冰寒0.04</t>
  </si>
  <si>
    <t>踏雪行</t>
  </si>
  <si>
    <t>天山苦寒，积雪深厚，外门弟子在山道上洒扫庭除，挑水担柴，颇要几分脚力</t>
  </si>
  <si>
    <t>轻功4;灵巧2;体质2;轻灵0.04</t>
  </si>
  <si>
    <t>采冰术</t>
  </si>
  <si>
    <t>踩在冰面上以五指取冰之法，不仅需维持腿脚之平衡，手部抓握力道亦不能松懈</t>
  </si>
  <si>
    <t>绝技2;轻功3;力道3;回内0.006</t>
  </si>
  <si>
    <t>绝技5;轻功5</t>
  </si>
  <si>
    <t>碧罗掌</t>
  </si>
  <si>
    <t>女子所用之防身掌法，招式轻快，不需太大力道也能发挥作用</t>
  </si>
  <si>
    <t>力道1;灵巧1;拳掌3</t>
  </si>
  <si>
    <t>轻灵0.1</t>
  </si>
  <si>
    <t>朔风指</t>
  </si>
  <si>
    <t>天山派入门指法，指尖内力冰冷，出击之时裹挟着丝丝寒气</t>
  </si>
  <si>
    <t>经脉2;拳掌1;内力0.1</t>
  </si>
  <si>
    <t>冰寒0.04</t>
  </si>
  <si>
    <t>天山剑法</t>
  </si>
  <si>
    <t>天山派剑法之基，灵巧有加而威力稍弱，招式亦多走阴柔路数</t>
  </si>
  <si>
    <t>鹰眼0.04</t>
  </si>
  <si>
    <t>吹雪剑法</t>
  </si>
  <si>
    <t>此剑法以气势见长，在雪地中使出时能将周围积雪扬起，挥挥洒洒随剑风飘荡</t>
  </si>
  <si>
    <t>烟雾-Target-Grid-Happen;穿刺_风电-Target-Grid-Happen</t>
  </si>
  <si>
    <t>寒梅心经</t>
  </si>
  <si>
    <t>天山派独门心法，需在寒冷之处以经脉吸纳寒气，借以苦修阴性内功，意志不坚者多难以维持，真可谓不经一番寒彻骨,怎得梅花扑鼻香</t>
  </si>
  <si>
    <t>生命上限30;内力上限50;内功6;经脉6;冰寒0.06;抗耐药性0.03</t>
  </si>
  <si>
    <t>雪泥鸿爪</t>
  </si>
  <si>
    <t>此轻功可在深厚积雪中快速移动，在雪面所留足印形似鸿雁落下之爪印，足见其轻巧迅捷，故而得名</t>
  </si>
  <si>
    <t>轻功6;灵巧6;轻灵0.06</t>
  </si>
  <si>
    <t>傲霜诀</t>
  </si>
  <si>
    <t>天山之上常年雪积如冬，故弟子需修习此驱寒抗冻之法门，功成者不惧霜雪，在严寒之下亦能活动自如</t>
  </si>
  <si>
    <t>绝技4;力道4;体质4;恢复0.06;抗耐药性0.03</t>
  </si>
  <si>
    <t>五罗轻烟掌</t>
  </si>
  <si>
    <t>茅山派,天山派</t>
  </si>
  <si>
    <t>天山派女弟子入门所修，轻巧明快之掌法，出手之时，轻烟袅袅，云雾缭绕，颇有几分观赏性</t>
  </si>
  <si>
    <t>灵巧3;拳掌2;内力0.1</t>
  </si>
  <si>
    <t>拳掌15;灵巧10</t>
  </si>
  <si>
    <t>清风-Target-Grid-Happen;冰雾-Target-Grid-Happen</t>
  </si>
  <si>
    <t>凌云指</t>
  </si>
  <si>
    <t>以内力驱动之指法，故每次出招前皆需蓄力，一指既出则飒飒作响，气能凌云，威势不俗</t>
  </si>
  <si>
    <t>拳掌15;经脉15</t>
  </si>
  <si>
    <t>烟圈-Target-Grid-Happen;真气喷-Target-Grid-Happen</t>
  </si>
  <si>
    <t>烟雨六式</t>
  </si>
  <si>
    <t>这六招剑法皆是花哨虚招，取烟雨朦胧之意，挥舞时云山雾罩，故弄玄虚，自是难以捉摸</t>
  </si>
  <si>
    <t>经脉1;剑法3;内力0.1</t>
  </si>
  <si>
    <t>飘逸0.04;昏沉0.04</t>
  </si>
  <si>
    <t>飞瀑剑法</t>
  </si>
  <si>
    <t>举剑过头顶，自上而下连续刺击之剑术，如天山飞瀑倾泻而落，以强劲力道取胜</t>
  </si>
  <si>
    <t>力道3;剑法1;内力0.2</t>
  </si>
  <si>
    <t>剑法10;力道15</t>
  </si>
  <si>
    <t>喷水-Target-Grid-Happen;穿刺_土叶-Target-Grid-Happen</t>
  </si>
  <si>
    <t>天池心修</t>
  </si>
  <si>
    <t>天山派祖师于瑶池边领悟之心法，运行此功时，周身水雾缭绕，气蒸云梦，盖因深厚内息运转所致</t>
  </si>
  <si>
    <t>生命上限40;内力上限80;内功9;经脉9;冰寒0.04;恢复0.04;抗耐药性0.04</t>
  </si>
  <si>
    <t>临渊履冰</t>
  </si>
  <si>
    <t>天山乃雪岭苦寒之地，故而有此冰面行走之法，脚步轻巧灵动，审慎小心，稍有差池便会坠入寒冷刺骨的湖水中</t>
  </si>
  <si>
    <t>轻功9;灵巧9;轻灵0.05;回体1</t>
  </si>
  <si>
    <t>轻功30;灵巧25</t>
  </si>
  <si>
    <t>踏雪寻梅</t>
  </si>
  <si>
    <t>梅岭花初发，天山雪未开，于苦寒积雪之中搜寻三枝两朵腊梅，无疑是对气力，耐心和眼光的多重考验</t>
  </si>
  <si>
    <t>力道1;意志1;体质1</t>
  </si>
  <si>
    <t>力道6;意志6;体质6;鹰眼0.04;负面抗性0.04</t>
  </si>
  <si>
    <t>力道20;意志20;体质20</t>
  </si>
  <si>
    <t>寒霜掌</t>
  </si>
  <si>
    <t>招式凌厉，甫一出手，便有掌风裹挟着冰寒刺骨之内劲扑面而来，若以拳脚抵挡则难免冻伤肌肤</t>
  </si>
  <si>
    <t>拳掌35;力道20</t>
  </si>
  <si>
    <t>寒袖拂穴</t>
  </si>
  <si>
    <t>只需稍加触碰，便能以阴冷气劲封人穴道之指法，由于穴道会被极寒内息阻塞，比寻常点穴更难以破解</t>
  </si>
  <si>
    <t>冰寒0.06;心胸点穴0.06</t>
  </si>
  <si>
    <t>素女冰心剑</t>
  </si>
  <si>
    <t>天山派女弟子修习之柔美剑法，其挥招之时如素女立雪，羽衣蹁跹，鸾回凤舞，妙招频频</t>
  </si>
  <si>
    <t>剑法1;灵巧2</t>
  </si>
  <si>
    <t>胸6;足14</t>
  </si>
  <si>
    <t>胸4;足8</t>
  </si>
  <si>
    <t>长风落雁剑</t>
  </si>
  <si>
    <t>将气劲自剑尖迸射而出，化作一道长风破空而行，功力深厚者可以此击坠天边飞雁，足见其精妙</t>
  </si>
  <si>
    <t>经脉3;剑法2;内力0.3</t>
  </si>
  <si>
    <t>剑法25;经脉30</t>
  </si>
  <si>
    <t>鹰眼0.06;轻灵0.06</t>
  </si>
  <si>
    <t>羽散-Target-Grid-Happen;真气喷-Target-Grid-Happen</t>
  </si>
  <si>
    <t>天山融雪功</t>
  </si>
  <si>
    <t>天山内功多属性阴寒，常年修炼难免寒气入体伤肌冻骨，必须运此功法化解，盖因其内息纯阳炽热，可令周身寒意顿消，附近积雪亦被热浪融化</t>
  </si>
  <si>
    <t>生命上限70;内力上限90;内功12;经脉12;恢复0.05;复生0.05;抗耐药性0.05</t>
  </si>
  <si>
    <t>踏雪无痕</t>
  </si>
  <si>
    <t>天山派独门轻功，以此步法行于积雪上，可踏雪而行如履平地，雪面亦几乎不留踪迹，其轻巧高绝可见一斑</t>
  </si>
  <si>
    <t>轻功50;灵巧30</t>
  </si>
  <si>
    <t>控鹤功</t>
  </si>
  <si>
    <t>天山山脚水草丰茂，时常有仙鹤驻留，此擒拿绝技擅长攻其不备，快速捕捉而不伤分毫，若力道和内功修为稍有不足，便难以得手</t>
  </si>
  <si>
    <t>力道潜力1;绝技1;力道1</t>
  </si>
  <si>
    <t>绝技8;力道8;经脉8;鹰眼0.05;飘逸0.05</t>
  </si>
  <si>
    <t>绝技40;力道30</t>
  </si>
  <si>
    <t>飘雪穿云掌</t>
  </si>
  <si>
    <t>此掌法招势直上直下，看似平平无奇，却擅长不以手掌本身，而以掌中所含凌厉气劲伤人，故其距离亦远于寻常掌法</t>
  </si>
  <si>
    <t>力道2;拳掌4;内力0.2</t>
  </si>
  <si>
    <t>拳掌40;力道25</t>
  </si>
  <si>
    <t>内劲0.1</t>
  </si>
  <si>
    <t>胸8;腹6</t>
  </si>
  <si>
    <t>幻阴指</t>
  </si>
  <si>
    <t>攻人脑门以及心脉的阴险招式，一旦得手，便能用阴寒真气扰乱人心智，使其体温急速降低并出现幻觉</t>
  </si>
  <si>
    <t>冰寒0.04;定身0.04;心胸点穴0.04</t>
  </si>
  <si>
    <t>冰块-Target-Grid-Happen;蓝火-Target-Grid-Happen</t>
  </si>
  <si>
    <t>夺魂三仙剑</t>
  </si>
  <si>
    <t>起手时仙气飘飘，而后愈发愈快，越攻越险，最后三招乃致命之势，一剑封喉，二剑夺命，三剑追魂</t>
  </si>
  <si>
    <t>脆弱0.04;伤筋0.04</t>
  </si>
  <si>
    <t>心20;腹6</t>
  </si>
  <si>
    <t>心4;腹2</t>
  </si>
  <si>
    <t>风刀霜剑</t>
  </si>
  <si>
    <t>此剑法气劲冰寒无比，竟真能将空气中之水雾凝成霜雪，围绕剑身飘飞，挥舞之时便如漫天风雪侵袭，威力不俗</t>
  </si>
  <si>
    <t>经脉3;剑法3;内力0.1</t>
  </si>
  <si>
    <t>冰寒0.1</t>
  </si>
  <si>
    <t>手14;胸8</t>
  </si>
  <si>
    <t>玄冥真气</t>
  </si>
  <si>
    <t>在天山峰顶极寒之地修炼而成的内功心法，被此内劲击中者，冰肌蚀骨，血脉凝固，可谓一只脚已踏入黄泉幽冥之中</t>
  </si>
  <si>
    <t>生命上限70;内力上限130;内功15;经脉15;冰寒0.05;心胸点穴0.05;截脉0.05</t>
  </si>
  <si>
    <t>瑶池漫步</t>
  </si>
  <si>
    <t>于天山瑶池上漫步之法，看似闲庭信步，优雅惬意，实则每一脚都踩在薄如蝉翼的薄冰之上，其中巧劲之把控可谓精妙绝伦，分毫不差</t>
  </si>
  <si>
    <t>轻功15;灵巧15;轻灵0.06;负面抗性0.06</t>
  </si>
  <si>
    <t>轻功65;灵巧55</t>
  </si>
  <si>
    <t>玄天指</t>
  </si>
  <si>
    <t>天山派阴寒招法，凌厉一指之下，寒风激射而出，如刮骨钢刀袭来，即便奋力挡下此招者，其周身衣饰亦难免被撕碎</t>
  </si>
  <si>
    <t>力道3;拳掌4;内力0.1</t>
  </si>
  <si>
    <t>拳掌60;力道45</t>
  </si>
  <si>
    <t>断骨0.06;截脉0.06</t>
  </si>
  <si>
    <t>头14;足10</t>
  </si>
  <si>
    <t>蓝火-Target-Grid-Happen;冰块-Target-Grid-Happen</t>
  </si>
  <si>
    <t>玄冥神掌</t>
  </si>
  <si>
    <t>此掌法擅长以绵密内力入侵敌人体内，注入数股极寒真气沿经脉乱窜逆行，中者便是日常行动亦力不从心，自然无法再战</t>
  </si>
  <si>
    <t>拳掌55;经脉60</t>
  </si>
  <si>
    <t>冰寒0.08;心胸点穴0.06</t>
  </si>
  <si>
    <t>冰锥-Target-Grid-Happen</t>
  </si>
  <si>
    <t>清虚广寒剑</t>
  </si>
  <si>
    <t>剑势优美繁复，至阴至柔，嫦娥起舞，清影缭绕，令人如坠广寒宫中，有彻骨透心之意，唯有天山派资质最高之女弟子方能修习</t>
  </si>
  <si>
    <t>剑法60;灵巧40</t>
  </si>
  <si>
    <t>冰寒0.06;轻灵0.06</t>
  </si>
  <si>
    <t>手8;足6</t>
  </si>
  <si>
    <t>蓝旋风-Target-Grid-Happen;冰域-Target-Grid-Happen</t>
  </si>
  <si>
    <t>九霄冲天剑</t>
  </si>
  <si>
    <t>剑势简雅古朴，至阳至刚，内劲炙热，烈火烁金，其气直贯九霄云外，有冲天动地之能，唯有天山派资质最高之男弟子方能修习</t>
  </si>
  <si>
    <t>经脉4;剑法3;内力0.1</t>
  </si>
  <si>
    <t>剑法60;经脉55</t>
  </si>
  <si>
    <t>4,1,6</t>
  </si>
  <si>
    <t>灼烧0.06;恢复0.06</t>
  </si>
  <si>
    <t>头10;胸15</t>
  </si>
  <si>
    <t>岩浆喷-Target-Grid-Happen</t>
  </si>
  <si>
    <t>不老长春功</t>
  </si>
  <si>
    <t>刻于天山绝顶玄冰内部来历不明的超绝内功，传说有永葆青春乃至起死回生之神妙功效，然江湖中罕有一睹真容者，故大多认为此功不过乡野传说罢了</t>
  </si>
  <si>
    <t>内功潜力2;经脉潜力1;内功1;经脉1</t>
  </si>
  <si>
    <t>生命上限100;内力上限140;内功12;经脉12;力道12;复生0.12;恢复0.06;负面抗性0.06;抗耐药性0.06</t>
  </si>
  <si>
    <t>内功75;经脉75;力道45</t>
  </si>
  <si>
    <t>仙娥折梅</t>
  </si>
  <si>
    <t>传说天山祖师修行之时，曾目睹九天玄女自空中俯身而下，采撷梅花一枝，从而领悟出此飘忽若仙的绝世轻功，妙至巅毫，神出鬼入，不似人间所有</t>
  </si>
  <si>
    <t>轻功潜力2;灵巧潜力1;轻功1;灵巧1</t>
  </si>
  <si>
    <t>轻功12;灵巧12;经脉12;轻灵0.06;截脉0.06;冰寒0.08</t>
  </si>
  <si>
    <t>轻功75;灵巧65;经脉55</t>
  </si>
  <si>
    <t>白虹贯日掌</t>
  </si>
  <si>
    <t>由天山独特天文异象演化而来，将至阳内劲于掌心倾吐而出，形成一道炽热耀目的白虹，所过之处，冰消雪融，与日月争辉，势不可挡</t>
  </si>
  <si>
    <t>拳掌潜力1;经脉潜力2;拳掌1;经脉1</t>
  </si>
  <si>
    <t>经脉3;灵巧2;拳掌3;内力0.3</t>
  </si>
  <si>
    <t>拳掌70;经脉70;灵巧50</t>
  </si>
  <si>
    <t>内劲0.08;灼烧0.06;轻灵0.06</t>
  </si>
  <si>
    <t>足9;心9;胸9</t>
  </si>
  <si>
    <t>足5;心5;胸5</t>
  </si>
  <si>
    <t>天光-Target-Grid-Happen;烈日-Target-Grid-Start</t>
  </si>
  <si>
    <t>逆转周天大法</t>
  </si>
  <si>
    <t>武绝义融合了飞龙门帝王封禅功和崆峒派斗转星移，所创独门绝技，出招方式与内息运行完全逆常理而行，诡异莫测，修习者稍有不慎便会走火入魔</t>
  </si>
  <si>
    <t>力道潜力1;意志潜力1;体质潜力2</t>
  </si>
  <si>
    <t>绝技9;力道9;意志9;体质15;护甲6;反弹0.05;负面抗性0.05;疯魔0.05</t>
  </si>
  <si>
    <t>力道50;意志60;体质80</t>
  </si>
  <si>
    <t>绝义归藏功</t>
  </si>
  <si>
    <t>武绝义所夺得的龙胤归藏功一部分，融入了飞龙门心法后，变为一门可大大提升修为者力道和体魄，颇为霸道强悍的功法</t>
  </si>
  <si>
    <t>生命上限130;内力上限70;内功8;力道8;意志8;体质12;外伤0.05;横练0.05;霸体0.05</t>
  </si>
  <si>
    <t>内功60;力道50;体质70</t>
  </si>
  <si>
    <t>心狂归藏功</t>
  </si>
  <si>
    <t>计心狂所夺得的龙胤归藏功一部分，最为完整但也最为艰深。计心狂苦心参悟并融入五毒心法，最终成为一门阴狠毒辣，怪异莫测的恐怖功法</t>
  </si>
  <si>
    <t>智力潜力2;意志潜力1;经脉潜力1</t>
  </si>
  <si>
    <t>生命上限100;内力上限140;内功9;智力9;意志9;经脉9;毒术9;毒素0.06;混乱0.06;负面加成0.06</t>
  </si>
  <si>
    <t>内功75;智力80;经脉70</t>
  </si>
  <si>
    <t>龙胤归藏功</t>
  </si>
  <si>
    <t>赵胤宗所创，玄妙无比，威力无穷，可将修习者的体魄经脉发挥至天人境界，从而获得经天纬地之能，号称当世第一内功。</t>
  </si>
  <si>
    <t>力道潜力1;灵巧潜力1;智力潜力1;意志潜力1;体质潜力1;经脉潜力1</t>
  </si>
  <si>
    <t>生命上限150;内力上限150;内功10;力道10;灵巧10;智力10;意志10;体质10;经脉10</t>
  </si>
  <si>
    <t>内功90;智力70;经脉80</t>
  </si>
  <si>
    <t>此列填1</t>
  </si>
  <si>
    <t>累计数值</t>
  </si>
  <si>
    <t>性别</t>
  </si>
  <si>
    <t>门派</t>
  </si>
  <si>
    <t>武学流派</t>
  </si>
  <si>
    <t>实力等级</t>
  </si>
  <si>
    <t>性格</t>
  </si>
  <si>
    <t>资质</t>
  </si>
  <si>
    <t>年龄</t>
  </si>
  <si>
    <t>立场</t>
  </si>
  <si>
    <t>擅长武学</t>
  </si>
  <si>
    <t>擅长技艺</t>
  </si>
  <si>
    <t>绝学</t>
  </si>
  <si>
    <t>标签</t>
  </si>
  <si>
    <t>绰号</t>
  </si>
  <si>
    <t>出师角色</t>
  </si>
  <si>
    <t>关系设定</t>
  </si>
  <si>
    <t>皮肤ID</t>
  </si>
  <si>
    <t>特殊skeleton</t>
  </si>
  <si>
    <t>姜映泉</t>
  </si>
  <si>
    <t>男</t>
  </si>
  <si>
    <t>默认</t>
  </si>
  <si>
    <t>掌门</t>
  </si>
  <si>
    <t>稳重</t>
  </si>
  <si>
    <t>聪颖</t>
  </si>
  <si>
    <t>平常/善良</t>
  </si>
  <si>
    <t>内功/剑法</t>
  </si>
  <si>
    <t>医术/学识</t>
  </si>
  <si>
    <t>领袖;御剑;内家;正直;仁慈</t>
  </si>
  <si>
    <t>朋友:2;亲属:7;仇人:65</t>
  </si>
  <si>
    <t>陆仁谦</t>
  </si>
  <si>
    <t>无</t>
  </si>
  <si>
    <t>长老</t>
  </si>
  <si>
    <t>固执</t>
  </si>
  <si>
    <t>平平</t>
  </si>
  <si>
    <t>戒律/中立</t>
  </si>
  <si>
    <t>绝技/拳掌/剑法</t>
  </si>
  <si>
    <t>游侠;御剑;刚愎;云游</t>
  </si>
  <si>
    <t>魏胥华</t>
  </si>
  <si>
    <t>亲传弟子</t>
  </si>
  <si>
    <t>叛逆</t>
  </si>
  <si>
    <t>无序/冷酷</t>
  </si>
  <si>
    <t>内功/剑法/拳掌</t>
  </si>
  <si>
    <t>毒术</t>
  </si>
  <si>
    <t>桀骜不驯;刚愎;勤奋;内家</t>
  </si>
  <si>
    <t>余采薇</t>
  </si>
  <si>
    <t>女</t>
  </si>
  <si>
    <t>正式弟子</t>
  </si>
  <si>
    <t>纯粹</t>
  </si>
  <si>
    <t>究极</t>
  </si>
  <si>
    <t>平常/冷酷</t>
  </si>
  <si>
    <t>内功/轻功/剑法</t>
  </si>
  <si>
    <t>学识</t>
  </si>
  <si>
    <t>武学天才;灵巧;幸运;机敏</t>
  </si>
  <si>
    <t>顾游年</t>
  </si>
  <si>
    <t>潇洒</t>
  </si>
  <si>
    <t>超群</t>
  </si>
  <si>
    <t>无序/仁慈</t>
  </si>
  <si>
    <t>内功/剑法/奇门</t>
  </si>
  <si>
    <t>学识/口才</t>
  </si>
  <si>
    <t>游侠;谦逊;冷静;正直</t>
  </si>
  <si>
    <t>沈退</t>
  </si>
  <si>
    <t>入门弟子</t>
  </si>
  <si>
    <t>轻佻</t>
  </si>
  <si>
    <t>守序/中立</t>
  </si>
  <si>
    <t>绝技/剑法/射术</t>
  </si>
  <si>
    <t>口才</t>
  </si>
  <si>
    <t>游手好闲;叛逆;赌徒</t>
  </si>
  <si>
    <t>姜婉</t>
  </si>
  <si>
    <t>忠厚</t>
  </si>
  <si>
    <t>守序/善良</t>
  </si>
  <si>
    <t>轻功/奇门/剑法</t>
  </si>
  <si>
    <t>医术/炼药</t>
  </si>
  <si>
    <t>明眸皓齿;忠诚;仁慈;炼药</t>
  </si>
  <si>
    <t>杨思迟</t>
  </si>
  <si>
    <t>外门弟子</t>
  </si>
  <si>
    <t>简单</t>
  </si>
  <si>
    <t>愚钝</t>
  </si>
  <si>
    <t>混乱/仁慈</t>
  </si>
  <si>
    <t>绝技/拳掌/长兵</t>
  </si>
  <si>
    <t>采伐/锻造</t>
  </si>
  <si>
    <t>愚钝;孜孜不倦;务农;忠心耿耿</t>
  </si>
  <si>
    <t>林云裳</t>
  </si>
  <si>
    <t>灵活</t>
  </si>
  <si>
    <t>轻功/剑法/刀法</t>
  </si>
  <si>
    <t>烹饪/木植</t>
  </si>
  <si>
    <t>美貌;练武;学徒</t>
  </si>
  <si>
    <t>乐无疾</t>
  </si>
  <si>
    <t>戒律/凶狠</t>
  </si>
  <si>
    <t>刀法/射术</t>
  </si>
  <si>
    <t>倾国倾城;运筹帷幄;舞态生风;横刀跃马;飞檐走壁;赌运亨通;善贾</t>
  </si>
  <si>
    <t>金风玉露</t>
  </si>
  <si>
    <t>云彩衣</t>
  </si>
  <si>
    <t>副掌门</t>
  </si>
  <si>
    <t>平常/中立</t>
  </si>
  <si>
    <t>烹饪</t>
  </si>
  <si>
    <t>明眸皓齿;羽衣蹁跹;耍刀;飞檐走壁;赌徒;智力</t>
  </si>
  <si>
    <t>净乐琉璃</t>
  </si>
  <si>
    <t>师傅:10</t>
  </si>
  <si>
    <t>卢玉麟</t>
  </si>
  <si>
    <t>算计</t>
  </si>
  <si>
    <t>无序/凶狠</t>
  </si>
  <si>
    <t>精明强干;舞技;横刀跃马;轻功;囤积居奇;仕官</t>
  </si>
  <si>
    <t>铁算盘</t>
  </si>
  <si>
    <t>唐逸影</t>
  </si>
  <si>
    <t>混乱/中立</t>
  </si>
  <si>
    <t>射术/刀法</t>
  </si>
  <si>
    <t>漫天花雨;九天罗候针</t>
  </si>
  <si>
    <t>胸怀大志;例无虚发;轻功;绝艺超群;惊弓;毒术;精打细算;明察秋毫</t>
  </si>
  <si>
    <t>九天鬼手</t>
  </si>
  <si>
    <t>亲属:14/15</t>
  </si>
  <si>
    <t>唐离</t>
  </si>
  <si>
    <t>游手好闲;挥霍无度;射术;飞鹰走犬;放歌纵酒;嗜赌如命</t>
  </si>
  <si>
    <t>亲属:15</t>
  </si>
  <si>
    <t>唐嫣然</t>
  </si>
  <si>
    <t>无序/善良</t>
  </si>
  <si>
    <t>美貌;百步穿杨;神出鬼没;身怀绝技;桀骜不驯;锐眼;摘叶飞花</t>
  </si>
  <si>
    <t>杀人无形</t>
  </si>
  <si>
    <t>皇甫青衫</t>
  </si>
  <si>
    <t>平常/仁慈</t>
  </si>
  <si>
    <t>射术/拳掌</t>
  </si>
  <si>
    <t>医术</t>
  </si>
  <si>
    <t>妙手回春;医师;百步穿杨;灵丹妙药;毒术;内家;宅心仁厚;避世绝俗;刮骨疗毒</t>
  </si>
  <si>
    <t>玉面医仙</t>
  </si>
  <si>
    <t>亲属:17</t>
  </si>
  <si>
    <t>皇甫斌</t>
  </si>
  <si>
    <t>炼药</t>
  </si>
  <si>
    <t>济世神医;术精岐黄;拳掌;对症下药;毒术;内力精纯;叛逆;游侠;以毒攻毒</t>
  </si>
  <si>
    <t>穿林妙手</t>
  </si>
  <si>
    <t>朱断岳</t>
  </si>
  <si>
    <t>戒律/善良</t>
  </si>
  <si>
    <t>丑陋;浩气凛然;铁手钢拳;饕餮盛宴;内家;身怀绝技;容光焕发;行乞;掌风</t>
  </si>
  <si>
    <t>铁碗残拳</t>
  </si>
  <si>
    <t>结义:19</t>
  </si>
  <si>
    <t>徐不平</t>
  </si>
  <si>
    <t>守序/仁慈</t>
  </si>
  <si>
    <t>公正不阿;铁手钢拳;醉生梦死;内力精纯;绝技;康健;行乞;枪芒</t>
  </si>
  <si>
    <t>大醉侠</t>
  </si>
  <si>
    <t>赵破虏</t>
  </si>
  <si>
    <t>长兵/刀法</t>
  </si>
  <si>
    <t>采伐</t>
  </si>
  <si>
    <t>公正不阿;胸怀大志;一骑绝尘;枪扫六合;横刀跃马;绝艺超群;坚若磐石;身先士卒</t>
  </si>
  <si>
    <t>潜龙勿用</t>
  </si>
  <si>
    <t>诸葛伶</t>
  </si>
  <si>
    <t>戒律/冷酷</t>
  </si>
  <si>
    <t>笑里藏刀;运筹帷幄;纵马驰骋;舞枪弄棍;身怀绝技;位极人臣;临危不乱</t>
  </si>
  <si>
    <t>小卧龙</t>
  </si>
  <si>
    <t>南宫瑶</t>
  </si>
  <si>
    <t>龙虎金丹功;玄真剑气</t>
  </si>
  <si>
    <t>仙风道骨;未卜先知;剑随意动;对症下药;旁门左道;身怀绝技;淡泊</t>
  </si>
  <si>
    <t>玄微法师</t>
  </si>
  <si>
    <t>葛知远</t>
  </si>
  <si>
    <t>仙风道骨;相士;奇门遁甲;灵丹妙药;御剑;绝艺超群;仕官</t>
  </si>
  <si>
    <t>洞真法师</t>
  </si>
  <si>
    <t>欧长兵</t>
  </si>
  <si>
    <t>守序/冷酷</t>
  </si>
  <si>
    <t>千锤百炼;能工巧匠;横刀跃马;仕官;绝技;体质;囤积居奇;不择手段</t>
  </si>
  <si>
    <t>铸铁仙翁</t>
  </si>
  <si>
    <t>祖心炎</t>
  </si>
  <si>
    <t>锻造</t>
  </si>
  <si>
    <t>鬼斧神工;能工巧匠;剑随意动;绝技;意志;通才;面目狰狞;性烈如火</t>
  </si>
  <si>
    <t>百炼神剑</t>
  </si>
  <si>
    <t>龙凤娥</t>
  </si>
  <si>
    <t>混乱/凶狠</t>
  </si>
  <si>
    <t>万毒宝典;蚩尤鬼降</t>
  </si>
  <si>
    <t>百丑千拙;拳不离手;百步穿杨;见血封喉;飞檐走壁;绝艺超群;毒手药王;灭心绝情</t>
  </si>
  <si>
    <t>销魂蚀骨</t>
  </si>
  <si>
    <t>亲属:27</t>
  </si>
  <si>
    <t>龙凝霜</t>
  </si>
  <si>
    <t>倾国倾城;奇门遁甲;射术;五毒俱全;飞檐走壁;绝技;百毒不侵;宅心仁厚</t>
  </si>
  <si>
    <t>毒手琴心</t>
  </si>
  <si>
    <t>石崇虎</t>
  </si>
  <si>
    <t>忠心耿耿;旁门左道;拳掌;五毒俱全;轻功;身怀绝技;食客;医师</t>
  </si>
  <si>
    <t>黑爪</t>
  </si>
  <si>
    <t>阎罗王</t>
  </si>
  <si>
    <t>守序/凶狠</t>
  </si>
  <si>
    <t>刀法/拳掌</t>
  </si>
  <si>
    <t>万恶魔功;杀人刀法</t>
  </si>
  <si>
    <t>唯我独尊;雄才伟略;公正不阿;一刀两断;拔山扛鼎;钢筋铁骨;刀枪不入;内力精纯;绝艺超群;刀锋</t>
  </si>
  <si>
    <t>十殿冥主</t>
  </si>
  <si>
    <t>仇人:36/39/42/120</t>
  </si>
  <si>
    <t>崔命官</t>
  </si>
  <si>
    <t>平常/凶狠</t>
  </si>
  <si>
    <t>军师;心狠手辣;拳不离手;横刀跃马;内家;身怀绝技;弈棋;通才</t>
  </si>
  <si>
    <t>阴冥诡士</t>
  </si>
  <si>
    <t>孟婆娑</t>
  </si>
  <si>
    <t>倾国倾城;笑里藏刀;耍刀;拳掌;内力精纯;神出鬼没;绝技;瑶琴</t>
  </si>
  <si>
    <t>空谷幽兰</t>
  </si>
  <si>
    <t>常无黑</t>
  </si>
  <si>
    <t>性烈如火;唯命是从;横刀跃马;外门;劈荆斩棘</t>
  </si>
  <si>
    <t>黑白无常</t>
  </si>
  <si>
    <t>结义:33</t>
  </si>
  <si>
    <t>常无白</t>
  </si>
  <si>
    <t>无序/中立</t>
  </si>
  <si>
    <t>气定神闲;戒备森严;拳不离手;内家;精耕细作</t>
  </si>
  <si>
    <t>牛头</t>
  </si>
  <si>
    <t>离经叛道;奋勇当先;拳不离手;绝技;农家</t>
  </si>
  <si>
    <t>结义:35</t>
  </si>
  <si>
    <t>马面</t>
  </si>
  <si>
    <t>混乱/冷酷</t>
  </si>
  <si>
    <t>盛气凌人;快步流星;横刀跃马;轻功;采伐</t>
  </si>
  <si>
    <t>道无名</t>
  </si>
  <si>
    <t>归墟秘典;天人感应步;轮回不灭法;广陵散曲功;呕血坐隐功</t>
  </si>
  <si>
    <t>蛰居偃伏;避世绝俗;气定神闲;铁画银钩;皓首穷经;博学多才;炉火纯青;绝艺超群;鸿儒大学;起死回生</t>
  </si>
  <si>
    <t>无双国士</t>
  </si>
  <si>
    <t>朋友:37</t>
  </si>
  <si>
    <t>思中澜</t>
  </si>
  <si>
    <t>天来剑术;归墟秘典;画龙点睛</t>
  </si>
  <si>
    <t>不幸;武学天才;雄才伟略;神机妙算;炉火纯青;飞檐走壁;身怀绝技;剑随意动</t>
  </si>
  <si>
    <t>天剑客</t>
  </si>
  <si>
    <t>姬清梵</t>
  </si>
  <si>
    <t>天人感应步;春秋笔法;霓裳羽衣舞</t>
  </si>
  <si>
    <t>明眸皓齿;妙至毫巅;鸾吟凤唱;内力精纯;神出鬼没;绝技;儒生;公正不阿</t>
  </si>
  <si>
    <t>霓裳仙子</t>
  </si>
  <si>
    <t>空闻大师</t>
  </si>
  <si>
    <t>戒律/仁慈</t>
  </si>
  <si>
    <t>金刚不坏神功;大力金刚掌</t>
  </si>
  <si>
    <t>禅师;铁手钢拳;奇门;内力精纯;刀枪不入;身怀绝技;慈悲为怀;公正不阿;不骄不躁</t>
  </si>
  <si>
    <t>德高望重</t>
  </si>
  <si>
    <t>空见大师</t>
  </si>
  <si>
    <t>易筋经;金刚伏魔圈</t>
  </si>
  <si>
    <t>禅师;奇门遁甲;奇异莫名;炉火纯青;坚若磐石;绝艺超群;浩气凛然;盛气凌人;暴躁</t>
  </si>
  <si>
    <t>金身罗汉</t>
  </si>
  <si>
    <t>如是大师</t>
  </si>
  <si>
    <t>洗髓经;达摩神杖</t>
  </si>
  <si>
    <t>武痴;四大皆空;枪扫六合;铁手钢拳;炉火纯青;刀枪不入;绝艺超群;枪出如龙;虚怀若谷</t>
  </si>
  <si>
    <t>佛痴</t>
  </si>
  <si>
    <t>张青蓬</t>
  </si>
  <si>
    <t>拳掌/剑法</t>
  </si>
  <si>
    <t>太极神功;太极拳法</t>
  </si>
  <si>
    <t>仙风道骨;铁手钢拳;剑随意动;炉火纯青;绝艺超群;对症下药;运气自如;脉络贯通;掌风</t>
  </si>
  <si>
    <t>无为真人</t>
  </si>
  <si>
    <t>亲属:43</t>
  </si>
  <si>
    <t>张文馨</t>
  </si>
  <si>
    <t>剑法/拳掌</t>
  </si>
  <si>
    <t>道德真经;太极剑道</t>
  </si>
  <si>
    <t>武学天才;美貌;道士;剑随意动;内力精纯;身怀绝技;万木争荣;炼药;经脉</t>
  </si>
  <si>
    <t>文逸真人</t>
  </si>
  <si>
    <t>宋廉庭</t>
  </si>
  <si>
    <t>道士;剑随意动;拳不离手;内力精纯;身怀绝技;经脉;公正不阿;怒发冲冠;剑气</t>
  </si>
  <si>
    <t>清虚真人</t>
  </si>
  <si>
    <t>项元霸</t>
  </si>
  <si>
    <t>刀法/长兵</t>
  </si>
  <si>
    <t>拔山扛鼎;天生神力;一刀两断;刀枪不入;钢筋铁骨;痴傻蒙昧;武痴;脉络阻塞</t>
  </si>
  <si>
    <t>力大无穷</t>
  </si>
  <si>
    <t>宇文极</t>
  </si>
  <si>
    <t>雄才伟略;精明强干;横刀跃马;位极人臣;坚若磐石;身怀绝技;排兵布阵</t>
  </si>
  <si>
    <t>算无遗策</t>
  </si>
  <si>
    <t>吕寻峰</t>
  </si>
  <si>
    <t>剑法/奇门</t>
  </si>
  <si>
    <t>胸怀大志;不择手段;剑随意动;轻功;炉火纯青;杂学;修道;气冲斗牛</t>
  </si>
  <si>
    <t>都灵子</t>
  </si>
  <si>
    <t>庄晓梦</t>
  </si>
  <si>
    <t>奇门/剑法</t>
  </si>
  <si>
    <t>铁拐化龙;五尺混天绫</t>
  </si>
  <si>
    <t>游山玩水;旁门左道;神出鬼没;武学天才;内力精纯;隐士;卜算;剑气</t>
  </si>
  <si>
    <t>云鹏子</t>
  </si>
  <si>
    <t>司马德源</t>
  </si>
  <si>
    <t>木植</t>
  </si>
  <si>
    <t>三洞灵宝经;天罡指穴功</t>
  </si>
  <si>
    <t>隐士;拳不离手;坚若磐石;炉火纯青;飞檐走壁;顺脉;仁慈;丑陋</t>
  </si>
  <si>
    <t>白眉真人</t>
  </si>
  <si>
    <t>李潇湘</t>
  </si>
  <si>
    <t>诸天化身步;灭心绝情剑</t>
  </si>
  <si>
    <t>淡泊;剑随意动;炉火纯青;飞檐走壁;丹青妙手;脉络贯通;木植</t>
  </si>
  <si>
    <t>潇湘真人</t>
  </si>
  <si>
    <t>白云天</t>
  </si>
  <si>
    <t>三洞灵宝经;诸天化身步</t>
  </si>
  <si>
    <t>武学天才;七窍玲珑;聪慧绝伦;奇经八脉;仙风道骨;四大皆空;未卜先知;炉火纯青;神出鬼没;吉人天相</t>
  </si>
  <si>
    <t>白云子</t>
  </si>
  <si>
    <t>曲自封</t>
  </si>
  <si>
    <t>奇门/长兵</t>
  </si>
  <si>
    <t>斗转星移;乾坤日月圈;玉石俱焚矛</t>
  </si>
  <si>
    <t>心狠手辣;旁门左道;内力精纯;绝艺超群;百病不侵;杂学;临危不乱</t>
  </si>
  <si>
    <t>紫髯道人</t>
  </si>
  <si>
    <t>闻惊鸿</t>
  </si>
  <si>
    <t>斗转星移;生死一线鞭</t>
  </si>
  <si>
    <t>灭心绝情;旁门左道;内家;绝艺超群;容光焕发;通才;身先士卒</t>
  </si>
  <si>
    <t>绝情道人</t>
  </si>
  <si>
    <t>墨璇玑</t>
  </si>
  <si>
    <t>机关大师;机关铁轮;能工巧匠;聪慧绝伦;旧病沉疴;奇门遁甲;百步穿杨;瘦骨嶙峋;旷世奇才;脉络阻塞</t>
  </si>
  <si>
    <t>天工巧匠</t>
  </si>
  <si>
    <t>亲属:55</t>
  </si>
  <si>
    <t>墨从义</t>
  </si>
  <si>
    <t>混乱/善良</t>
  </si>
  <si>
    <t>武库战车;元戎弩箭</t>
  </si>
  <si>
    <t>机关大师;机关铁甲;能工巧匠;足智多谋;多病;例无虚发;旁门左道;天资过人;巧捷万端;滞脉</t>
  </si>
  <si>
    <t>病鲁班</t>
  </si>
  <si>
    <t>雷震天</t>
  </si>
  <si>
    <t>射术/长兵</t>
  </si>
  <si>
    <t>胸怀大志;千锤百炼;能工巧匠;百步穿杨;绝技;聪慧;滞脉;多病</t>
  </si>
  <si>
    <t>掣地霹雳</t>
  </si>
  <si>
    <t>亲属:57/58/151</t>
  </si>
  <si>
    <t>雷冠群</t>
  </si>
  <si>
    <t>长兵/射术</t>
  </si>
  <si>
    <t>锻造;学徒;放歌纵酒;云游;长兵;绝技;脉络阻塞;瘦骨嶙峋</t>
  </si>
  <si>
    <t>烁金枪</t>
  </si>
  <si>
    <t>亲属:58/151</t>
  </si>
  <si>
    <t>雷彤</t>
  </si>
  <si>
    <t>美貌;千锤百炼;工匠;射术;轻功;滞脉;多病;天资过人</t>
  </si>
  <si>
    <t>燎原火凤</t>
  </si>
  <si>
    <t>亲属:151</t>
  </si>
  <si>
    <t>转轮法王</t>
  </si>
  <si>
    <t>龙象护法功;观想日月轮</t>
  </si>
  <si>
    <t>禅师;旁门左道;耍刀;炉火纯青;身怀绝技;力道;百病不侵;灵丹妙药</t>
  </si>
  <si>
    <t>龙象护法</t>
  </si>
  <si>
    <t>金刚法王</t>
  </si>
  <si>
    <t>大日如来功;无上大力杵</t>
  </si>
  <si>
    <t>四大皆空;一刀两断;奇门;内力精纯;绝艺超群;奇经八脉;先天气海</t>
  </si>
  <si>
    <t>灵童转世</t>
  </si>
  <si>
    <t>真言法王</t>
  </si>
  <si>
    <t>奇门/刀法</t>
  </si>
  <si>
    <t>因陀罗杵;无苦寂灭刀</t>
  </si>
  <si>
    <t>禅师;运气自如;先天气海;炉火纯青;绝技;奇技;对症下药</t>
  </si>
  <si>
    <t>慧眼明王</t>
  </si>
  <si>
    <t>凌北渊</t>
  </si>
  <si>
    <t>不老长春功;仙娥折梅;白虹贯日掌</t>
  </si>
  <si>
    <t>倾国倾城;拳不离手;御剑;神出鬼没;炉火纯青;取予有节;脱胎换骨;避世绝俗</t>
  </si>
  <si>
    <t>天山仙子</t>
  </si>
  <si>
    <t>云九霄</t>
  </si>
  <si>
    <t>白虹贯日掌;九霄冲天剑</t>
  </si>
  <si>
    <t>正直;拳不离手;飞檐走壁;内力精纯;忠心耿耿;棋高一着;忠诚</t>
  </si>
  <si>
    <t>雪山飞鸿</t>
  </si>
  <si>
    <t>江映寒</t>
  </si>
  <si>
    <t>仙娥折梅;清虚广寒剑</t>
  </si>
  <si>
    <t>明眸皓齿;剑随意动;飞檐走壁;内力精纯;谦逊;余音绕梁</t>
  </si>
  <si>
    <t>冷月寒江</t>
  </si>
  <si>
    <t>夏天雄</t>
  </si>
  <si>
    <t>潮起月盈功;劈金碎玉掌</t>
  </si>
  <si>
    <t>雄才伟略;拳不离手;坚若磐石;内家;身怀绝技</t>
  </si>
  <si>
    <t>叶一鸣</t>
  </si>
  <si>
    <t>精明强干;拳掌;刚愎;暴躁</t>
  </si>
  <si>
    <t>铁掌双雄</t>
  </si>
  <si>
    <t>韩嵩</t>
  </si>
  <si>
    <t>唯命是从;拳不离手;残忍;冷静</t>
  </si>
  <si>
    <t>陆奇</t>
  </si>
  <si>
    <t>排兵布阵;拳掌;懒惰</t>
  </si>
  <si>
    <t>铁掌四杰</t>
  </si>
  <si>
    <t>吕子芳</t>
  </si>
  <si>
    <t>叛逆;浪费</t>
  </si>
  <si>
    <t>公孙防</t>
  </si>
  <si>
    <t>忠诚;愚钝</t>
  </si>
  <si>
    <t>朋友:71</t>
  </si>
  <si>
    <t>狄坤</t>
  </si>
  <si>
    <t>阴险;不幸</t>
  </si>
  <si>
    <t>万仞山</t>
  </si>
  <si>
    <t>学佛;正直;木植;静修</t>
  </si>
  <si>
    <t>卓远望</t>
  </si>
  <si>
    <t>挥霍无度;酒鬼;烹饪</t>
  </si>
  <si>
    <t>陆离</t>
  </si>
  <si>
    <t>练武;游侠;美貌</t>
  </si>
  <si>
    <t>卫海川</t>
  </si>
  <si>
    <t>工匠;暴躁;铸山煮海</t>
  </si>
  <si>
    <t>沈蛟</t>
  </si>
  <si>
    <t>赌徒;懒惰;锻造;狩猎</t>
  </si>
  <si>
    <t>上官雯</t>
  </si>
  <si>
    <t>经商;口才;足智多谋</t>
  </si>
  <si>
    <t>周莫知</t>
  </si>
  <si>
    <t>节俭;收藏;从政</t>
  </si>
  <si>
    <t>陌田桑</t>
  </si>
  <si>
    <t>勤奋;强身健体;在世神农;精耕细作</t>
  </si>
  <si>
    <t>武绝义</t>
  </si>
  <si>
    <t>唯我独尊;醉生梦死;心狠手辣;枪扫六合;枪芒;拔山扛鼎;钢筋铁骨;刀枪不入;绝艺超群</t>
  </si>
  <si>
    <t>绝情断义</t>
  </si>
  <si>
    <t>黄泉</t>
  </si>
  <si>
    <t>笑里藏刀;心狠手辣;神出鬼没;例无虚发;惊弓;七窍玲珑;避世绝俗</t>
  </si>
  <si>
    <t>玉观音</t>
  </si>
  <si>
    <t>灭心绝情;动心忍性;美貌;四大皆空;离经叛道;旁门左道;奇异莫名</t>
  </si>
  <si>
    <t>骷髅红粉</t>
  </si>
  <si>
    <t>雨人屠</t>
  </si>
  <si>
    <t>残忍;怒发冲冠;一刀两断;魁梧奇伟;拔山扛鼎;百丑千拙;笨手笨脚</t>
  </si>
  <si>
    <t>雨夜狂屠</t>
  </si>
  <si>
    <t>上官凤</t>
  </si>
  <si>
    <t>倾国倾城;穷奢极欲;排兵布阵;舌灿莲花;剑随意动;飞檐走壁;赌运亨通</t>
  </si>
  <si>
    <t>刺骨冰寒</t>
  </si>
  <si>
    <t>计心狂</t>
  </si>
  <si>
    <t>运筹帷幄;笑里藏刀;聪慧绝伦;未卜先知;见血封喉;拳不离手;例无虚发;神出鬼没</t>
  </si>
  <si>
    <t>诡计毒谋</t>
  </si>
  <si>
    <t>慕容星辰</t>
  </si>
  <si>
    <t>七窍玲珑;神出鬼没;口齿伶俐;巧捷万端;明眸皓齿;目光炯炯;去伪存真;福星高照</t>
  </si>
  <si>
    <t>摘月偷星</t>
  </si>
  <si>
    <t>幽冥</t>
  </si>
  <si>
    <t>飞檐走壁;奇门遁甲;足智多谋;经脉;叛逆</t>
  </si>
  <si>
    <t>四大杀手</t>
  </si>
  <si>
    <t>魅影</t>
  </si>
  <si>
    <t>神出鬼没;百步穿杨;手疾眼快;惊弓;隐士</t>
  </si>
  <si>
    <t>血刃</t>
  </si>
  <si>
    <t>身怀绝技;一刀两断;外门;孔武有力;暴躁</t>
  </si>
  <si>
    <t>残阳</t>
  </si>
  <si>
    <t>内力精纯;人剑合一;轻功;动心忍性;工匠</t>
  </si>
  <si>
    <t>厉苍穹</t>
  </si>
  <si>
    <t>怒发冲冠;横刀跃马;外门</t>
  </si>
  <si>
    <t>刀劳鬼</t>
  </si>
  <si>
    <t>迟百城</t>
  </si>
  <si>
    <t>不择手段;射术;轻功</t>
  </si>
  <si>
    <t>拘魂鬼</t>
  </si>
  <si>
    <t>费彬</t>
  </si>
  <si>
    <t>心狠手辣;拳掌;内家;多病;五毒俱全</t>
  </si>
  <si>
    <t>痨病鬼</t>
  </si>
  <si>
    <t>岳无畏</t>
  </si>
  <si>
    <t>性烈如火;长兵;绝技</t>
  </si>
  <si>
    <t>山魈鬼</t>
  </si>
  <si>
    <t>高首</t>
  </si>
  <si>
    <t>胆小如鼠;刚愎;懒惰</t>
  </si>
  <si>
    <t>魍魉鬼</t>
  </si>
  <si>
    <t>王彪</t>
  </si>
  <si>
    <t>盛气凌人;勇敢;赌徒</t>
  </si>
  <si>
    <t>黄河双煞</t>
  </si>
  <si>
    <t>结义:97;师傅:73</t>
  </si>
  <si>
    <t>马悍</t>
  </si>
  <si>
    <t>暴躁;忠诚;酒鬼</t>
  </si>
  <si>
    <t>师傅:73</t>
  </si>
  <si>
    <t>凤南飞</t>
  </si>
  <si>
    <t>笑里藏刀;善贾;收藏;学识</t>
  </si>
  <si>
    <t>乐善好施</t>
  </si>
  <si>
    <t>裘龙</t>
  </si>
  <si>
    <t>心狠手辣;酒鬼;浪费</t>
  </si>
  <si>
    <t>入林龙</t>
  </si>
  <si>
    <t>张成化</t>
  </si>
  <si>
    <t>桀骜不驯;练武;勤奋</t>
  </si>
  <si>
    <t>化虎成龙</t>
  </si>
  <si>
    <t>曾镇海</t>
  </si>
  <si>
    <t>盛气凌人;纵马驰骋;面目狰狞</t>
  </si>
  <si>
    <t>翻江镇海</t>
  </si>
  <si>
    <t>宋明公</t>
  </si>
  <si>
    <t>谦逊;战战兢兢;从政;领袖</t>
  </si>
  <si>
    <t>及时雨</t>
  </si>
  <si>
    <t>戴壮</t>
  </si>
  <si>
    <t>劈柴刀法;通臂拳</t>
  </si>
  <si>
    <t>康健;笨拙;宅心仁厚;务农</t>
  </si>
  <si>
    <t>乐山大患</t>
  </si>
  <si>
    <t>马应龙</t>
  </si>
  <si>
    <t>纵马驰骋;横刀跃马;大快朵颐</t>
  </si>
  <si>
    <t>西北四骏</t>
  </si>
  <si>
    <t>亲属:105/106/107</t>
  </si>
  <si>
    <t>马超群</t>
  </si>
  <si>
    <t>纵马驰骋;长兵;勤奋</t>
  </si>
  <si>
    <t>亲属:106/107</t>
  </si>
  <si>
    <t>马丹心</t>
  </si>
  <si>
    <t>骑术;御剑;忠诚</t>
  </si>
  <si>
    <t>亲属:107</t>
  </si>
  <si>
    <t>马宝郭</t>
  </si>
  <si>
    <t>骑术;笨拙;刚愎;吟诗</t>
  </si>
  <si>
    <t>郝大力</t>
  </si>
  <si>
    <t>强壮;笨拙;务农;愚钝</t>
  </si>
  <si>
    <t>神拳无敌</t>
  </si>
  <si>
    <t>结义:109/110</t>
  </si>
  <si>
    <t>汪财</t>
  </si>
  <si>
    <t>经商;瘦弱;精打细算;愚钝</t>
  </si>
  <si>
    <t>富可敌国</t>
  </si>
  <si>
    <t>结义:110</t>
  </si>
  <si>
    <t>吴谋</t>
  </si>
  <si>
    <t>读书;多病;懦弱;傻头傻脑</t>
  </si>
  <si>
    <t>智计无双</t>
  </si>
  <si>
    <t>熊百胜</t>
  </si>
  <si>
    <t>耍刀;懒惰;刚愎;领袖;挥霍无度</t>
  </si>
  <si>
    <t>黑风寨大当家</t>
  </si>
  <si>
    <t>朱全</t>
  </si>
  <si>
    <t>阴险;残忍</t>
  </si>
  <si>
    <t>黑风寨二当家</t>
  </si>
  <si>
    <t>严达开</t>
  </si>
  <si>
    <t>性烈如火;勇敢</t>
  </si>
  <si>
    <t>黑风寨三当家</t>
  </si>
  <si>
    <t>冯虎</t>
  </si>
  <si>
    <t>暴躁;随从</t>
  </si>
  <si>
    <t>黑风四贼</t>
  </si>
  <si>
    <t>朋友:115/116/117</t>
  </si>
  <si>
    <t>刘豹</t>
  </si>
  <si>
    <t>残忍;叛逆</t>
  </si>
  <si>
    <t>朋友:116/117</t>
  </si>
  <si>
    <t>黄豺</t>
  </si>
  <si>
    <t>阴险;弱视</t>
  </si>
  <si>
    <t>朋友:117</t>
  </si>
  <si>
    <t>韩狼</t>
  </si>
  <si>
    <t>懦弱;瘦骨嶙峋</t>
  </si>
  <si>
    <t>吴忧</t>
  </si>
  <si>
    <t>轻功/奇门</t>
  </si>
  <si>
    <t>避世绝俗;气定神闲;虚怀若谷;鸾吟凤唱;飞檐走壁;奇门遁甲;儒术</t>
  </si>
  <si>
    <t>中原五侠</t>
  </si>
  <si>
    <t>孟经世</t>
  </si>
  <si>
    <t>绝技/刀法</t>
  </si>
  <si>
    <t>囤积居奇;暴躁;盛气凌人;公正不阿;身怀绝技;横刀跃马;笔走龙蛇</t>
  </si>
  <si>
    <t>郭淮</t>
  </si>
  <si>
    <t>内功/拳掌</t>
  </si>
  <si>
    <t>侠义无双;武痴;浩气凛然;宅心仁厚;炉火纯青;铁手钢拳;愚钝;排山倒海;百折不挠;钢筋铁骨</t>
  </si>
  <si>
    <t>吕天行</t>
  </si>
  <si>
    <t>轻功/剑法</t>
  </si>
  <si>
    <t>淡泊;蛰居偃伏;不骄不躁;博览群书;神出鬼没;剑随意动;剑气</t>
  </si>
  <si>
    <t>何足道</t>
  </si>
  <si>
    <t>道士;侠客;浪迹天涯;文思泉涌;内力精纯;人剑合一;卜算</t>
  </si>
  <si>
    <t>楚风疾</t>
  </si>
  <si>
    <t>神出鬼没;百步穿杨;足智多谋;明察秋毫;公正不阿;领袖</t>
  </si>
  <si>
    <t>敕封御史之风</t>
  </si>
  <si>
    <t>结义:124/125/126</t>
  </si>
  <si>
    <t>林弄影</t>
  </si>
  <si>
    <t>飞檐走壁;剑随意动;手疾眼快;桀骜不驯;懒惰;随机应变;游斗</t>
  </si>
  <si>
    <t>敕封御史之林</t>
  </si>
  <si>
    <t>结义:125/126</t>
  </si>
  <si>
    <t>齐焱</t>
  </si>
  <si>
    <t>内力精纯;枪扫六合;强身健体;性烈如火;面目狰狞;先锋</t>
  </si>
  <si>
    <t>敕封御史之火</t>
  </si>
  <si>
    <t>结义:126</t>
  </si>
  <si>
    <t>张峻</t>
  </si>
  <si>
    <t>绝艺超群;拳不离手;百折不挠;不骄不躁;冷静;守备</t>
  </si>
  <si>
    <t>敕封御史之山</t>
  </si>
  <si>
    <t>项问天</t>
  </si>
  <si>
    <t>浩气凛然;废寝忘食;侠客;耍刀;强身健体</t>
  </si>
  <si>
    <t>侠义七子</t>
  </si>
  <si>
    <t>郭勇锐</t>
  </si>
  <si>
    <t>正直;忠心耿耿;傻头傻脑;勇敢</t>
  </si>
  <si>
    <t>阮芷</t>
  </si>
  <si>
    <t>桀骜不驯;浪费;刚愎;足智多谋;锐眼;见多识广;雅士</t>
  </si>
  <si>
    <t>彗定</t>
  </si>
  <si>
    <t>孜孜不倦;武痴;学佛;孔武有力;静修;化缘</t>
  </si>
  <si>
    <t>朋友:131</t>
  </si>
  <si>
    <t>清风</t>
  </si>
  <si>
    <t>无所用心;美貌;修道;手疾眼快;卜算</t>
  </si>
  <si>
    <t>李云鹤</t>
  </si>
  <si>
    <t>宅心仁厚;学医;勤奋;勇敢;视线模糊;医术</t>
  </si>
  <si>
    <t>师傅:16</t>
  </si>
  <si>
    <t>吕舞阳</t>
  </si>
  <si>
    <t>心狠手辣;练武;游手好闲;桀骜不驯</t>
  </si>
  <si>
    <t>曲佩环</t>
  </si>
  <si>
    <t>美貌;余音绕梁;绘画;书法;雅士</t>
  </si>
  <si>
    <t>水清秋</t>
  </si>
  <si>
    <t>明眸皓齿;博览群书;文思泉涌;习文</t>
  </si>
  <si>
    <t>柳如月</t>
  </si>
  <si>
    <t>倾国倾城;舞态生风;炮凤烹龙</t>
  </si>
  <si>
    <t>殷雨霏</t>
  </si>
  <si>
    <t>剑法/长兵</t>
  </si>
  <si>
    <t>明眸皓齿;棋高一着;命途多舛</t>
  </si>
  <si>
    <t>玉面判官</t>
  </si>
  <si>
    <t>师傅:124</t>
  </si>
  <si>
    <t>北冥雪</t>
  </si>
  <si>
    <t>倾国倾城;盛气凌人;嗜赌如命;相士</t>
  </si>
  <si>
    <t>金龙生</t>
  </si>
  <si>
    <t>内功/轻功/绝技</t>
  </si>
  <si>
    <t>武学天才;鸿儒大学;未卜先知;神机妙算;慧眼独具;博学多才;不老长生;起死回生;艺成百家;武学宗师</t>
  </si>
  <si>
    <t>江湖百晓</t>
  </si>
  <si>
    <t>天残</t>
  </si>
  <si>
    <t>拳掌/剑法/刀法</t>
  </si>
  <si>
    <t>元始天功;飘飘欲仙;虎啸龙吟</t>
  </si>
  <si>
    <t>缚鸡之力;旧病沉疴;铁手钢拳;人剑合一;一刀两断;炉火纯青;神出鬼没;绝艺超群;艺成百家;武学宗师</t>
  </si>
  <si>
    <t>侠盗四奇</t>
  </si>
  <si>
    <t>地缺</t>
  </si>
  <si>
    <t>剑法/刀法/奇门</t>
  </si>
  <si>
    <t>东倒西歪;经脉断绝;奇门遁甲;人剑合一;一刀两断;炉火纯青;神出鬼没;绝艺超群;艺成百家;武学宗师</t>
  </si>
  <si>
    <t>南丑</t>
  </si>
  <si>
    <t>奇门/长兵/射术</t>
  </si>
  <si>
    <t>百丑千拙;雾里看花;奇门遁甲;例无虚发;枪扫六合;炉火纯青;神出鬼没;绝艺超群;艺成百家;武学宗师</t>
  </si>
  <si>
    <t>北怪</t>
  </si>
  <si>
    <t>射术/拳掌/长兵</t>
  </si>
  <si>
    <t>痴傻蒙昧;胆小如鼠;铁手钢拳;例无虚发;枪扫六合;炉火纯青;神出鬼没;绝艺超群;艺成百家;武学宗师</t>
  </si>
  <si>
    <t>逍遥生</t>
  </si>
  <si>
    <t>奇门/绝技/轻功</t>
  </si>
  <si>
    <t>天劫九重;公输遗匣;碧海潮生曲</t>
  </si>
  <si>
    <t>物我两忘;扭转乾坤;万物归墟;奇门遁甲;奇异莫名;游戏人间;未卜先知;神机妙算;鸿儒大学;慧眼独具</t>
  </si>
  <si>
    <t>独孤剑</t>
  </si>
  <si>
    <t>剑法/轻功/内功</t>
  </si>
  <si>
    <t>无尽剑意;诛仙剑法;仙娥折梅</t>
  </si>
  <si>
    <t>返璞归真;混元一气;太极圆转;人剑合一;气冲斗牛;武学天才;面壁功深;浪迹天涯;铁画银钩;妙至毫巅</t>
  </si>
  <si>
    <t>炼气士</t>
  </si>
  <si>
    <t>射术/轻功/绝技</t>
  </si>
  <si>
    <t>多情飞刀;九天罗候针;漫天花雨;七星透骨钉;暴雨梨花针;碎颅钉;玉髓冰魄针;银丝网</t>
  </si>
  <si>
    <t>不老长生;天人合一;先天真气;例无虚发;摘叶飞花;见血封喉;仙风道骨;皓首穷经;鸾吟凤唱;先天气海</t>
  </si>
  <si>
    <t>都点检</t>
  </si>
  <si>
    <t>长兵/绝技/内功</t>
  </si>
  <si>
    <t>龙胤归藏功;打狗八绝棍;达摩神杖</t>
  </si>
  <si>
    <t>轰天震地;登峰造极;不动如山;枪扫六合;枪出如龙;艺成百家;雄才伟略;苍鹰搏兔;一骑绝尘;运筹帷幄</t>
  </si>
  <si>
    <t>独臂刀</t>
  </si>
  <si>
    <t>刀法/内功/绝技</t>
  </si>
  <si>
    <t>霸刀一式;净乐琉璃刀;蚩尤鬼降</t>
  </si>
  <si>
    <t>十殿阎王;以劲御气;力降十会;一刀两断;削铁无声;避世绝俗;天煞孤星;侠义无双;至死不渝;背水一战</t>
  </si>
  <si>
    <t>斗酒僧</t>
  </si>
  <si>
    <t>拳掌/内功/轻功</t>
  </si>
  <si>
    <t>醉梦鱼龙舞;灵犀一指;白虹贯日掌</t>
  </si>
  <si>
    <t>即身成佛;功德圆满;天人合一;铁手钢拳;排山倒海;刀枪不入;醉生梦死;饕餮盛宴;赌运亨通;四大皆空</t>
  </si>
  <si>
    <t>王添翼</t>
  </si>
  <si>
    <t>忠心耿耿;勤奋;练武;仁慈;不幸</t>
  </si>
  <si>
    <t>雷殷殷</t>
  </si>
  <si>
    <t>美貌;射术;盛气凌人;叛逆</t>
  </si>
  <si>
    <t>小霹雳</t>
  </si>
  <si>
    <t>赵胤宗</t>
  </si>
  <si>
    <t>中年天残</t>
  </si>
  <si>
    <t>缚鸡之力;旧病沉疴;铁手钢拳;内力精纯;飞檐走壁;身怀绝技</t>
  </si>
  <si>
    <t>侠盗四丑</t>
  </si>
  <si>
    <t>中年地缺</t>
  </si>
  <si>
    <t>东倒西歪;经脉断绝;人剑合一;内力精纯;飞檐走壁;身怀绝技</t>
  </si>
  <si>
    <t>中年南丑</t>
  </si>
  <si>
    <t>百丑千拙;雾里看花;奇门遁甲;内力精纯;飞檐走壁;身怀绝技</t>
  </si>
  <si>
    <t>中年北怪</t>
  </si>
  <si>
    <t>痴傻蒙昧;胆小如鼠;例无虚发;内力精纯;飞檐走壁;身怀绝技</t>
  </si>
  <si>
    <t>赵义仁</t>
  </si>
  <si>
    <t>石守信</t>
  </si>
  <si>
    <t>中年赵胤宗</t>
  </si>
  <si>
    <t>傅砚之</t>
  </si>
  <si>
    <t>拳掌/奇门</t>
  </si>
  <si>
    <t>缚鸡之力;智力;学识;仁慈;儒生;博览群书;军师</t>
  </si>
  <si>
    <t>张弥勒</t>
  </si>
  <si>
    <t>拳佛</t>
  </si>
  <si>
    <t>陆沉舟</t>
  </si>
  <si>
    <t>陆地剑仙</t>
  </si>
  <si>
    <t>王霸</t>
  </si>
  <si>
    <t>横刀灭九州</t>
  </si>
  <si>
    <t>龙灭</t>
  </si>
  <si>
    <t>铁枪破宇宙</t>
  </si>
  <si>
    <t>罗八怪</t>
  </si>
  <si>
    <t>出奇必胜</t>
  </si>
  <si>
    <t>菲燕子</t>
  </si>
  <si>
    <t>百步穿针</t>
  </si>
  <si>
    <t>叶寒</t>
  </si>
  <si>
    <t>叛逆;酒鬼;赌运亨通;游戏人间</t>
  </si>
  <si>
    <t>百骰百胜</t>
  </si>
  <si>
    <t>李天临</t>
  </si>
  <si>
    <t>武学天才;正直;勤奋;游侠</t>
  </si>
  <si>
    <t>熊刚</t>
  </si>
  <si>
    <t>残忍;强壮</t>
  </si>
  <si>
    <t>滚地雷</t>
  </si>
  <si>
    <t>王伦</t>
  </si>
  <si>
    <t>阴险;刚愎</t>
  </si>
  <si>
    <t>白衣秀士</t>
  </si>
  <si>
    <t>行事风格</t>
  </si>
  <si>
    <t>门派地点ID</t>
  </si>
  <si>
    <t>颜色</t>
  </si>
  <si>
    <t>特殊武功</t>
  </si>
  <si>
    <t>特殊好感设定</t>
  </si>
  <si>
    <t>男性比例</t>
  </si>
  <si>
    <t>武功专长</t>
  </si>
  <si>
    <t>技艺专长</t>
  </si>
  <si>
    <t>特色物品</t>
  </si>
  <si>
    <t>大帮派</t>
  </si>
  <si>
    <t>自动补充弟子</t>
  </si>
  <si>
    <t>默认皮肤</t>
  </si>
  <si>
    <t>门派特性</t>
  </si>
  <si>
    <t>中庸</t>
  </si>
  <si>
    <t>53defd</t>
  </si>
  <si>
    <t>轻功;刀法;射术</t>
  </si>
  <si>
    <t>珍宝:1.5</t>
  </si>
  <si>
    <t>&lt;b&gt;痛饮&lt;/b&gt;：消耗美酒获取对应长效加成。与他人对饮无好感要求，对饮耗内-20%，对饮好感+20%。\n&lt;b&gt;豪赌&lt;/b&gt;：随时进行赌博并获取额外好感，每月可赌博次数翻倍，下注数额翻倍。\n&lt;b&gt;销金&lt;/b&gt;：在销金库可用门派功绩兑换高品质珍宝。</t>
  </si>
  <si>
    <t>霸业</t>
  </si>
  <si>
    <t>9f61e5</t>
  </si>
  <si>
    <t>绝技;射术;刀法</t>
  </si>
  <si>
    <t>材料:1.5</t>
  </si>
  <si>
    <t>&lt;b&gt;暗器&lt;/b&gt;：暗室研究射术兵器，提升射术威力。\n&lt;b&gt;杀手&lt;/b&gt;：在暗室可领取杀手订单。袭击他人和痛下狠手的恶名-60%，被官兵抓捕时可轻功躲避。</t>
  </si>
  <si>
    <t>b57d4c</t>
  </si>
  <si>
    <t>内功;拳掌;射术</t>
  </si>
  <si>
    <t>医术;炼药</t>
  </si>
  <si>
    <t>丹药:2</t>
  </si>
  <si>
    <t>&lt;b&gt;行医&lt;/b&gt;：治疗他人不限好感和次数，每月坐诊次数翻倍，所有治疗好感+20%并获得额外声望。\n&lt;b&gt;妙药&lt;/b&gt;：炼药效率+20%且可以选用多个药引，炮制强化丹药的所有需求-50%。\n&lt;b&gt;灵谷&lt;/b&gt;：在万花谷可用门派功绩兑换高品质药引。</t>
  </si>
  <si>
    <t>仁义</t>
  </si>
  <si>
    <t>e1bf6e</t>
  </si>
  <si>
    <t>拳掌;长兵;绝技</t>
  </si>
  <si>
    <t>口才;烹饪</t>
  </si>
  <si>
    <t>饮食:2</t>
  </si>
  <si>
    <t>&lt;b&gt;铁掌&lt;/b&gt;：大会台研究拳掌兵器，提升拳掌威力。\n&lt;b&gt;行乞&lt;/b&gt;：可消耗声望向他人乞讨银两。索取他人物品消耗好感-40%。</t>
  </si>
  <si>
    <t>fdf553</t>
  </si>
  <si>
    <t>绝技;长兵;刀法</t>
  </si>
  <si>
    <t>马匹:2</t>
  </si>
  <si>
    <t>&lt;b&gt;枪术&lt;/b&gt;：赛马场研究长兵兵器，提升长兵威力。\n&lt;b&gt;马术&lt;/b&gt;：马匹驯服速率+20%，冲刺驯服度消耗-20%。每1%驯服度提升马匹全属性0.2%。</t>
  </si>
  <si>
    <t>dafaf7</t>
  </si>
  <si>
    <t>绝技;奇门;剑法</t>
  </si>
  <si>
    <t>丹药:1.5</t>
  </si>
  <si>
    <t>&lt;b&gt;符法&lt;/b&gt;：修习符咒武学解锁对应符法，用符法在战前强化己方角色/弱化对方角色。\n&lt;b&gt;天雷&lt;/b&gt;：每满级一门雷电武学，根据武学品级额外提升0.5/1/1.5/2/2.5/3点意志。\n&lt;b&gt;丹引&lt;/b&gt;：在华阳洞可炼化丹药获取对应药引。</t>
  </si>
  <si>
    <t>8ff2f4</t>
  </si>
  <si>
    <t>剑法;绝技;刀法</t>
  </si>
  <si>
    <t>采伐;锻造</t>
  </si>
  <si>
    <t>装备:2</t>
  </si>
  <si>
    <t>&lt;b&gt;天工&lt;/b&gt;：在探索中搜集陨铁碎片，在剑池对装备进行额外强化操作。\n&lt;b&gt;巧匠&lt;/b&gt;：锻造效率+20%且可以选用多个材料，在剑池可拆解装备获取对应材料。</t>
  </si>
  <si>
    <t>b46da6</t>
  </si>
  <si>
    <t>奇门;绝技;拳掌</t>
  </si>
  <si>
    <t>木植;毒术</t>
  </si>
  <si>
    <t>珍宝:1</t>
  </si>
  <si>
    <t>&lt;b&gt;炼蛊&lt;/b&gt;：在万毒池消耗药引/食材获取毒物，融合低级毒物获取强力高级毒物。\n&lt;b&gt;毒术&lt;/b&gt;：用毒可以选用多个毒物，装备淬毒下降速率-25%。</t>
  </si>
  <si>
    <t>960E0A</t>
  </si>
  <si>
    <t>内功;刀法;绝技;拳掌</t>
  </si>
  <si>
    <t>装备:1</t>
  </si>
  <si>
    <t>&lt;b&gt;试炼&lt;/b&gt;：挑战难度不断提升的鬼门关试炼，获取逐渐增强的天赋效果。\n&lt;b&gt;霸道&lt;/b&gt;：抢夺他人和商店物品的恶名-40%，被官兵抓捕时可以绝技硬闯。</t>
  </si>
  <si>
    <t>c5dff5</t>
  </si>
  <si>
    <t>内功;轻功;奇门;剑法</t>
  </si>
  <si>
    <t>学识;口才</t>
  </si>
  <si>
    <t>珍宝:2</t>
  </si>
  <si>
    <t>&lt;b&gt;博引&lt;/b&gt;：搜集其他门派秘籍放入星辰阁，获取对应武学加成。\n&lt;b&gt;旁证&lt;/b&gt;：论战手牌上限+3，论战胜利获取强化特效和额外好感。秘籍编纂的技能要求-10%。</t>
  </si>
  <si>
    <t>ffb861</t>
  </si>
  <si>
    <t>内功;绝技;长兵;拳掌</t>
  </si>
  <si>
    <t>秘籍:1</t>
  </si>
  <si>
    <t>&lt;b&gt;禅宗&lt;/b&gt;：通过禅宗修行获取少林寺武学加成。\n&lt;b&gt;普度&lt;/b&gt;：教化野外恶徒或其他侠士，将他人立场向戒律仁慈改变，并提升好感和声望。</t>
  </si>
  <si>
    <t>a0e15f</t>
  </si>
  <si>
    <t>内功;绝技;剑法;拳掌</t>
  </si>
  <si>
    <t>木植;炼药</t>
  </si>
  <si>
    <t>秘籍:0.75</t>
  </si>
  <si>
    <t>&lt;b&gt;道法&lt;/b&gt;：通过道法修行获取武当派武学加成。\n&lt;b&gt;无为&lt;/b&gt;：教化野外恶徒或其他侠士，将他人立场向平常中立改变，并提升好感和声望。</t>
  </si>
  <si>
    <t>c36328</t>
  </si>
  <si>
    <t>刀法;长兵;绝技</t>
  </si>
  <si>
    <t>饮食:1</t>
  </si>
  <si>
    <t>&lt;b&gt;试刀&lt;/b&gt;：试刀台研究刀法兵器，提升刀法威力。\n&lt;b&gt;老饕&lt;/b&gt;：烹饪效率+20%且可以选用多个食材，消耗佳肴时获取对应长效加成。</t>
  </si>
  <si>
    <t>fcc4d2</t>
  </si>
  <si>
    <t>内功;剑法;奇门</t>
  </si>
  <si>
    <t>秘籍:0.5</t>
  </si>
  <si>
    <t>&lt;b&gt;万剑&lt;/b&gt;：蓬莱阁研究剑法兵器，提升剑法威力。\n&lt;b&gt;归宗&lt;/b&gt;：每满级一门剑法武学，根据武学品级额外提升0.5/1/1.5/2/2.5/3点剑法。</t>
  </si>
  <si>
    <t>affac8</t>
  </si>
  <si>
    <t>内功;轻功;拳掌</t>
  </si>
  <si>
    <t>材料:1</t>
  </si>
  <si>
    <t>&lt;b&gt;自然&lt;/b&gt;：通过自然修行获取峨嵋派武学加成。\n&lt;b&gt;灵悟&lt;/b&gt;：突破效率+20%，突破选项+1且突破加成额外提升1个级别。</t>
  </si>
  <si>
    <t>3e92aa</t>
  </si>
  <si>
    <t>绝技;奇门;长兵</t>
  </si>
  <si>
    <t>马匹:1</t>
  </si>
  <si>
    <t>&lt;b&gt;奇技&lt;/b&gt;：七十二洞研究奇门兵器，提升奇门威力。\n&lt;b&gt;百出&lt;/b&gt;：每满级一门奇门武学，根据武学品级额外提升0.5/1/1.5/2/2.5/3点奇门。</t>
  </si>
  <si>
    <t>3eaa66</t>
  </si>
  <si>
    <t>奇门;射术;绝技</t>
  </si>
  <si>
    <t>学识;锻造</t>
  </si>
  <si>
    <t>装备:1.5</t>
  </si>
  <si>
    <t>&lt;b&gt;机关&lt;/b&gt;：使用装备改装升级机关兽，获取对应的机关兽加成。\n&lt;b&gt;杂学&lt;/b&gt;：所有技艺经验+20%，收集资源时更易获得高级珍宝/材料，珍宝鉴定额外学识加成。</t>
  </si>
  <si>
    <t>d72724</t>
  </si>
  <si>
    <t>射术;绝技;长兵</t>
  </si>
  <si>
    <t>材料:2</t>
  </si>
  <si>
    <t>&lt;b&gt;火药&lt;/b&gt;：通过配置火药提升霹雳堂武学和灼烧武学效果。\n&lt;b&gt;灼烧&lt;/b&gt;：每满级一门灼烧武学，根据武学品级额外提升0.5%/1%/1.5%/2%/2.5%/3%负面加成。\n&lt;b&gt;重烩&lt;/b&gt;：在火炼室可重烩饮食获取对应食材。</t>
  </si>
  <si>
    <t>内功;绝技;奇门</t>
  </si>
  <si>
    <t>饮食:1.5</t>
  </si>
  <si>
    <t>&lt;b&gt;密宗&lt;/b&gt;：通过密宗修行获取金刚宗武学加成。\n&lt;b&gt;灌顶&lt;/b&gt;：教化野外恶徒或其他侠士，将他人立场向混乱凶狠改变，并提升好感和声望。</t>
  </si>
  <si>
    <t>445c6a</t>
  </si>
  <si>
    <t>轻功;内功;拳掌</t>
  </si>
  <si>
    <t>丹药:1</t>
  </si>
  <si>
    <t>&lt;b&gt;玄冰&lt;/b&gt;：通过凝结玄冰提升天山派武学和冰寒武学效果。\n&lt;b&gt;冰寒&lt;/b&gt;：每满级一门冰寒武学，根据武学品级额外提升2/4/6/8/10/12点内力上限。</t>
  </si>
  <si>
    <t>ABABAB</t>
  </si>
  <si>
    <t>207/223/241</t>
  </si>
  <si>
    <t>内功;拳掌;长兵</t>
  </si>
  <si>
    <t>丹药:0.5</t>
  </si>
  <si>
    <t>&lt;b&gt;聚义&lt;/b&gt;：内功经验+20%，医术经验+20%。</t>
  </si>
  <si>
    <t>轻功;刀法</t>
  </si>
  <si>
    <t>珍宝:0.5</t>
  </si>
  <si>
    <t>&lt;b&gt;黄河&lt;/b&gt;：刀法经验+20%，毒术经验+20%。</t>
  </si>
  <si>
    <t>绝技;剑法;奇门</t>
  </si>
  <si>
    <t>秘籍:0.25</t>
  </si>
  <si>
    <t>&lt;b&gt;八卦&lt;/b&gt;：奇门经验+20%，学识经验+20%。</t>
  </si>
  <si>
    <t>绝技;刀法</t>
  </si>
  <si>
    <t>材料:0.5</t>
  </si>
  <si>
    <t>&lt;b&gt;海沙&lt;/b&gt;：绝技经验+20%，烹饪经验+20%。</t>
  </si>
  <si>
    <t>6/11/32/47/62/117/138/151/196/210/225</t>
  </si>
  <si>
    <t>内功;拳掌</t>
  </si>
  <si>
    <t>装备:0.5</t>
  </si>
  <si>
    <t>&lt;b&gt;铁掌&lt;/b&gt;：拳掌经验+20%，锻造经验+20%。</t>
  </si>
  <si>
    <t>0/4/7/9/12/16/20/21/24/31/39/52/61/68/126/149/157/230</t>
  </si>
  <si>
    <t>14-60;24-25</t>
  </si>
  <si>
    <t>&lt;b&gt;仙霞&lt;/b&gt;：所有经验获取+5%。</t>
  </si>
  <si>
    <t>轻功;射术</t>
  </si>
  <si>
    <t>饮食:0.5</t>
  </si>
  <si>
    <t>&lt;b&gt;巨鲸&lt;/b&gt;：轻功经验+20%，采伐经验+20%。</t>
  </si>
  <si>
    <t>内功;射术</t>
  </si>
  <si>
    <t>&lt;b&gt;金龙&lt;/b&gt;：射术经验+20%，口才经验+20%。</t>
  </si>
  <si>
    <t>轻功;奇门;剑法</t>
  </si>
  <si>
    <t>&lt;b&gt;青城&lt;/b&gt;：剑法经验+20%，炼药经验+20%。</t>
  </si>
  <si>
    <t>绝技;长兵</t>
  </si>
  <si>
    <t>马匹:0.5</t>
  </si>
  <si>
    <t>&lt;b&gt;伏牛&lt;/b&gt;：长兵经验+20%，木植经验+20%。</t>
  </si>
  <si>
    <t>heroID</t>
  </si>
  <si>
    <t>heroName</t>
  </si>
  <si>
    <t>age</t>
  </si>
  <si>
    <t>speHero</t>
  </si>
  <si>
    <t>recruitAble</t>
  </si>
  <si>
    <t>loveAble</t>
  </si>
  <si>
    <t>hide</t>
  </si>
  <si>
    <t>dead</t>
  </si>
  <si>
    <t>isFemale</t>
  </si>
  <si>
    <t>belongForceID</t>
  </si>
  <si>
    <t>heroForceLv</t>
  </si>
  <si>
    <t>MapX</t>
  </si>
  <si>
    <t>MapY</t>
  </si>
  <si>
    <t>战力</t>
  </si>
  <si>
    <t>声望</t>
  </si>
  <si>
    <t>主角</t>
  </si>
  <si>
    <t>false</t>
  </si>
  <si>
    <t>true</t>
  </si>
  <si>
    <t>明璐女</t>
  </si>
  <si>
    <t>孙芙盈</t>
  </si>
  <si>
    <t>况妃朱</t>
  </si>
  <si>
    <t>完颜卿暖</t>
  </si>
  <si>
    <t>殷统</t>
  </si>
  <si>
    <t>尤器</t>
  </si>
  <si>
    <t>薛洁茗</t>
  </si>
  <si>
    <t>荆涵有</t>
  </si>
  <si>
    <t>经柔</t>
  </si>
  <si>
    <t>步妹菲</t>
  </si>
  <si>
    <t>昌泰刀</t>
  </si>
  <si>
    <t>樊桥雪</t>
  </si>
  <si>
    <t>尚浓阁</t>
  </si>
  <si>
    <t>咸将</t>
  </si>
  <si>
    <t>金首</t>
  </si>
  <si>
    <t>雷麻嘉</t>
  </si>
  <si>
    <t>扈依以</t>
  </si>
  <si>
    <t>雷霜霖</t>
  </si>
  <si>
    <t>亢琬</t>
  </si>
  <si>
    <t>沙始转</t>
  </si>
  <si>
    <t>魏皓廊</t>
  </si>
  <si>
    <t>百里车暖</t>
  </si>
  <si>
    <t>封风脂</t>
  </si>
  <si>
    <t>金默</t>
  </si>
  <si>
    <t>寇庭炫</t>
  </si>
  <si>
    <t>丁淑期</t>
  </si>
  <si>
    <t>申淑</t>
  </si>
  <si>
    <t>阎晓怡</t>
  </si>
  <si>
    <t>左景部</t>
  </si>
  <si>
    <t>尚悦</t>
  </si>
  <si>
    <t>束导贝</t>
  </si>
  <si>
    <t>谭玲祷</t>
  </si>
  <si>
    <t>艾伟</t>
  </si>
  <si>
    <t>阳架郎</t>
  </si>
  <si>
    <t>邓施</t>
  </si>
  <si>
    <t>归醒</t>
  </si>
  <si>
    <t>段希蔷</t>
  </si>
  <si>
    <t>林姬君</t>
  </si>
  <si>
    <t>夏侯跃陈</t>
  </si>
  <si>
    <t>佟准益</t>
  </si>
  <si>
    <t>苏儿</t>
  </si>
  <si>
    <t>咸灭醉</t>
  </si>
  <si>
    <t>奚嘉苓</t>
  </si>
  <si>
    <t>福令宁</t>
  </si>
  <si>
    <t>梁芒</t>
  </si>
  <si>
    <t>倪炬富</t>
  </si>
  <si>
    <t>平刻追</t>
  </si>
  <si>
    <t>庄念</t>
  </si>
  <si>
    <t>古后哨</t>
  </si>
  <si>
    <t>巩画</t>
  </si>
  <si>
    <t>左丘蝶</t>
  </si>
  <si>
    <t>荣用西</t>
  </si>
  <si>
    <t>卜分樱</t>
  </si>
  <si>
    <t>姚琳持</t>
  </si>
  <si>
    <t>巫紫</t>
  </si>
  <si>
    <t>盖仪遥</t>
  </si>
  <si>
    <t>柳罡丑</t>
  </si>
  <si>
    <t>谢铮卷</t>
  </si>
  <si>
    <t>那潭</t>
  </si>
  <si>
    <t>阴步符</t>
  </si>
  <si>
    <t>景齐女</t>
  </si>
  <si>
    <t>越秋</t>
  </si>
  <si>
    <t>仇冰</t>
  </si>
  <si>
    <t>黎逸彤</t>
  </si>
  <si>
    <t>北堂娘十</t>
  </si>
  <si>
    <t>支棉琳</t>
  </si>
  <si>
    <t>禹颜凝</t>
  </si>
  <si>
    <t>皇甫早丽</t>
  </si>
  <si>
    <t>莫心红</t>
  </si>
  <si>
    <t>仇炬</t>
  </si>
  <si>
    <t>谭结</t>
  </si>
  <si>
    <t>桑败圭</t>
  </si>
  <si>
    <t>元泪</t>
  </si>
  <si>
    <t>戴黛桃</t>
  </si>
  <si>
    <t>林茗善</t>
  </si>
  <si>
    <t>万斓</t>
  </si>
  <si>
    <t>西门玲</t>
  </si>
  <si>
    <t>洪明翎</t>
  </si>
  <si>
    <t>农宗</t>
  </si>
  <si>
    <t>宗芸</t>
  </si>
  <si>
    <t>麻紫院</t>
  </si>
  <si>
    <t>荣结</t>
  </si>
  <si>
    <t>冉旅内</t>
  </si>
  <si>
    <t>花新颜</t>
  </si>
  <si>
    <t>姚剧革</t>
  </si>
  <si>
    <t>桑燧</t>
  </si>
  <si>
    <t>湛属丑</t>
  </si>
  <si>
    <t>莘鹃璧</t>
  </si>
  <si>
    <t>郁客忠</t>
  </si>
  <si>
    <t>慕绚</t>
  </si>
  <si>
    <t>解史来</t>
  </si>
  <si>
    <t>戎血</t>
  </si>
  <si>
    <t>詹铁</t>
  </si>
  <si>
    <t>帅器</t>
  </si>
  <si>
    <t>终夜惜</t>
  </si>
  <si>
    <t>平划</t>
  </si>
  <si>
    <t>查伊</t>
  </si>
  <si>
    <t>松群</t>
  </si>
  <si>
    <t>连志</t>
  </si>
  <si>
    <t>徐熙依</t>
  </si>
  <si>
    <t>尹历越</t>
  </si>
  <si>
    <t>濮冬夏</t>
  </si>
  <si>
    <t>鲁根尤</t>
  </si>
  <si>
    <t>东门极居</t>
  </si>
  <si>
    <t>祁幻始</t>
  </si>
  <si>
    <t>莘蝶曳</t>
  </si>
  <si>
    <t>仰俪</t>
  </si>
  <si>
    <t>樊然千</t>
  </si>
  <si>
    <t>贾薇</t>
  </si>
  <si>
    <t>融非朵</t>
  </si>
  <si>
    <t>索伟</t>
  </si>
  <si>
    <t>雷涌</t>
  </si>
  <si>
    <t>郦岭</t>
  </si>
  <si>
    <t>黄富壮</t>
  </si>
  <si>
    <t>毋栋</t>
  </si>
  <si>
    <t>北堂瑞泪</t>
  </si>
  <si>
    <t>尹彬婵</t>
  </si>
  <si>
    <t>芮刚</t>
  </si>
  <si>
    <t>耿浩</t>
  </si>
  <si>
    <t>贾显翠</t>
  </si>
  <si>
    <t>丁魅涵</t>
  </si>
  <si>
    <t>甘海一</t>
  </si>
  <si>
    <t>慕隆离</t>
  </si>
  <si>
    <t>蔚轩霏</t>
  </si>
  <si>
    <t>商羽蕴</t>
  </si>
  <si>
    <t>谢炭划</t>
  </si>
  <si>
    <t>养尺白</t>
  </si>
  <si>
    <t>吉素</t>
  </si>
  <si>
    <t>封增基</t>
  </si>
  <si>
    <t>马姿</t>
  </si>
  <si>
    <t>邢奎松</t>
  </si>
  <si>
    <t>乐领</t>
  </si>
  <si>
    <t>爱鹃朱</t>
  </si>
  <si>
    <t>南门顶</t>
  </si>
  <si>
    <t>白邦天</t>
  </si>
  <si>
    <t>强默</t>
  </si>
  <si>
    <t>牛霏琬</t>
  </si>
  <si>
    <t>尚息彪</t>
  </si>
  <si>
    <t>屠景析</t>
  </si>
  <si>
    <t>项昭姿</t>
  </si>
  <si>
    <t>厉仪妙</t>
  </si>
  <si>
    <t>东方蔷</t>
  </si>
  <si>
    <t>杭夕炫</t>
  </si>
  <si>
    <t>苍杏湛</t>
  </si>
  <si>
    <t>晏宫</t>
  </si>
  <si>
    <t>佟枝崇</t>
  </si>
  <si>
    <t>钟出</t>
  </si>
  <si>
    <t>尚晖壤</t>
  </si>
  <si>
    <t>尹黛</t>
  </si>
  <si>
    <t>水锋阳</t>
  </si>
  <si>
    <t>康恩曲</t>
  </si>
  <si>
    <t>柴好琦</t>
  </si>
  <si>
    <t>童娇依</t>
  </si>
  <si>
    <t>劳代</t>
  </si>
  <si>
    <t>穆总微</t>
  </si>
  <si>
    <t>纪源</t>
  </si>
  <si>
    <t>刘晗霖</t>
  </si>
  <si>
    <t>濮苦增</t>
  </si>
  <si>
    <t>慕义驱</t>
  </si>
  <si>
    <t>郭琼</t>
  </si>
  <si>
    <t>余蕾境</t>
  </si>
  <si>
    <t>闻清如</t>
  </si>
  <si>
    <t>茅台蔓</t>
  </si>
  <si>
    <t>端木击虎</t>
  </si>
  <si>
    <t>海湛藏</t>
  </si>
  <si>
    <t>袁馨谨</t>
  </si>
  <si>
    <t>牛宁</t>
  </si>
  <si>
    <t>晏集珂</t>
  </si>
  <si>
    <t>庞筑奎</t>
  </si>
  <si>
    <t>冯正征</t>
  </si>
  <si>
    <t>冯史</t>
  </si>
  <si>
    <t>龙楼沧</t>
  </si>
  <si>
    <t>咸燕千</t>
  </si>
  <si>
    <t>水幽转</t>
  </si>
  <si>
    <t>阴花眉</t>
  </si>
  <si>
    <t>敖沧磨</t>
  </si>
  <si>
    <t>应菘馆</t>
  </si>
  <si>
    <t>况明</t>
  </si>
  <si>
    <t>皇甫草派</t>
  </si>
  <si>
    <t>谢言霖</t>
  </si>
  <si>
    <t>黎野壬</t>
  </si>
  <si>
    <t>晏音</t>
  </si>
  <si>
    <t>尉迟涛锻</t>
  </si>
  <si>
    <t>焦间有</t>
  </si>
  <si>
    <t>东方旭屋</t>
  </si>
  <si>
    <t>禄宽</t>
  </si>
  <si>
    <t>商俏</t>
  </si>
  <si>
    <t>崔会学</t>
  </si>
  <si>
    <t>双朱椿</t>
  </si>
  <si>
    <t>姚仪情</t>
  </si>
  <si>
    <t>双炭</t>
  </si>
  <si>
    <t>喻惜森</t>
  </si>
  <si>
    <t>苏越击</t>
  </si>
  <si>
    <t>勾江姿</t>
  </si>
  <si>
    <t>洪贝</t>
  </si>
  <si>
    <t>厉新圭</t>
  </si>
  <si>
    <t>宿意鹰</t>
  </si>
  <si>
    <t>桂维林</t>
  </si>
  <si>
    <t>寇泛梅</t>
  </si>
  <si>
    <t>廉舞</t>
  </si>
  <si>
    <t>莘古五</t>
  </si>
  <si>
    <t>鲍茗晓</t>
  </si>
  <si>
    <t>水树</t>
  </si>
  <si>
    <t>终脂年</t>
  </si>
  <si>
    <t>田笛红</t>
  </si>
  <si>
    <t>钦景乌</t>
  </si>
  <si>
    <t>公孙圆愁</t>
  </si>
  <si>
    <t>北堂铭</t>
  </si>
  <si>
    <t>楚石</t>
  </si>
  <si>
    <t>明苦主</t>
  </si>
  <si>
    <t>段始令</t>
  </si>
  <si>
    <t>古彬令</t>
  </si>
  <si>
    <t>麻葛圆</t>
  </si>
  <si>
    <t>陈中</t>
  </si>
  <si>
    <t>籍帅衍</t>
  </si>
  <si>
    <t>养合圣</t>
  </si>
  <si>
    <t>章藤深</t>
  </si>
  <si>
    <t>危破丰</t>
  </si>
  <si>
    <t>养营成</t>
  </si>
  <si>
    <t>郝宾本</t>
  </si>
  <si>
    <t>景通炭</t>
  </si>
  <si>
    <t>严号</t>
  </si>
  <si>
    <t>终协驱</t>
  </si>
  <si>
    <t>庄衡根</t>
  </si>
  <si>
    <t>巫阳</t>
  </si>
  <si>
    <t>冉仙藤</t>
  </si>
  <si>
    <t>向艺迎</t>
  </si>
  <si>
    <t>冷暗石</t>
  </si>
  <si>
    <t>蔡原重</t>
  </si>
  <si>
    <t>姜娘眉</t>
  </si>
  <si>
    <t>沃弘天</t>
  </si>
  <si>
    <t>水诗采</t>
  </si>
  <si>
    <t>咸一耀</t>
  </si>
  <si>
    <t>宇文丙</t>
  </si>
  <si>
    <t>牧晨门</t>
  </si>
  <si>
    <t>桂婧</t>
  </si>
  <si>
    <t>袁展彗</t>
  </si>
  <si>
    <t>谷竹</t>
  </si>
  <si>
    <t>云痛盛</t>
  </si>
  <si>
    <t>文扬</t>
  </si>
  <si>
    <t>凌黄眉</t>
  </si>
  <si>
    <t>司空汇愁</t>
  </si>
  <si>
    <t>谯宽刚</t>
  </si>
  <si>
    <t>何始灰</t>
  </si>
  <si>
    <t>姬音</t>
  </si>
  <si>
    <t>项客勇</t>
  </si>
  <si>
    <t>公姬寻</t>
  </si>
  <si>
    <t>经妙蒙</t>
  </si>
  <si>
    <t>独孤切钢</t>
  </si>
  <si>
    <t>程翰酒</t>
  </si>
  <si>
    <t>储庄苓</t>
  </si>
  <si>
    <t>宿进敏</t>
  </si>
  <si>
    <t>于与洁</t>
  </si>
  <si>
    <t>裴思素</t>
  </si>
  <si>
    <t>温敏</t>
  </si>
  <si>
    <t>荆亦尊</t>
  </si>
  <si>
    <t>诸怀苑</t>
  </si>
  <si>
    <t>夏蒙难</t>
  </si>
  <si>
    <t>左丘会源</t>
  </si>
  <si>
    <t>祝衡雷</t>
  </si>
  <si>
    <t>奚合荆</t>
  </si>
  <si>
    <t>钟离苍</t>
  </si>
  <si>
    <t>隆净斓</t>
  </si>
  <si>
    <t>吕蕾</t>
  </si>
  <si>
    <t>陶熙妮</t>
  </si>
  <si>
    <t>公树</t>
  </si>
  <si>
    <t>嵇革宏</t>
  </si>
  <si>
    <t>养奕姑</t>
  </si>
  <si>
    <t>满江真</t>
  </si>
  <si>
    <t>干蕊</t>
  </si>
  <si>
    <t>罗迎溪</t>
  </si>
  <si>
    <t>竺挂止</t>
  </si>
  <si>
    <t>童意暗</t>
  </si>
  <si>
    <t>勾换宁</t>
  </si>
  <si>
    <t>云靖</t>
  </si>
  <si>
    <t>杜雁</t>
  </si>
  <si>
    <t>申飞晃</t>
  </si>
  <si>
    <t>暴沐陆</t>
  </si>
  <si>
    <t>茅藤工</t>
  </si>
  <si>
    <t>贲交昌</t>
  </si>
  <si>
    <t>殷忘日</t>
  </si>
  <si>
    <t>司绮隽</t>
  </si>
  <si>
    <t>卜森列</t>
  </si>
  <si>
    <t>牧圆当</t>
  </si>
  <si>
    <t>史瑞章</t>
  </si>
  <si>
    <t>端木仙琪</t>
  </si>
  <si>
    <t>全芝</t>
  </si>
  <si>
    <t>桑露</t>
  </si>
  <si>
    <t>古卉彩</t>
  </si>
  <si>
    <t>钱鑫越</t>
  </si>
  <si>
    <t>艾迪门</t>
  </si>
  <si>
    <t>平清稚</t>
  </si>
  <si>
    <t>滑思谷</t>
  </si>
  <si>
    <t>卓类莽</t>
  </si>
  <si>
    <t>印昭旅</t>
  </si>
  <si>
    <t>司马挂</t>
  </si>
  <si>
    <t>堵季夏</t>
  </si>
  <si>
    <t>阮绫泪</t>
  </si>
  <si>
    <t>都欢皓</t>
  </si>
  <si>
    <t>温舞儿</t>
  </si>
  <si>
    <t>弘庞鹃</t>
  </si>
  <si>
    <t>亢浩石</t>
  </si>
  <si>
    <t>皮彤号</t>
  </si>
  <si>
    <t>尉迟枝良</t>
  </si>
  <si>
    <t>凤岩宗</t>
  </si>
  <si>
    <t>祖民凌</t>
  </si>
  <si>
    <t>屈袖芙</t>
  </si>
  <si>
    <t>屈莲舞</t>
  </si>
  <si>
    <t>时显</t>
  </si>
  <si>
    <t>关旁钟</t>
  </si>
  <si>
    <t>卢永</t>
  </si>
  <si>
    <t>那璇</t>
  </si>
  <si>
    <t>殷笙</t>
  </si>
  <si>
    <t>孔震</t>
  </si>
  <si>
    <t>汪昕菊</t>
  </si>
  <si>
    <t>冷宜鸳</t>
  </si>
  <si>
    <t>诸葛桥杀</t>
  </si>
  <si>
    <t>司空虹宜</t>
  </si>
  <si>
    <t>狄会戎</t>
  </si>
  <si>
    <t>谢温莹</t>
  </si>
  <si>
    <t>冯苓轻</t>
  </si>
  <si>
    <t>褚迎统</t>
  </si>
  <si>
    <t>童姑</t>
  </si>
  <si>
    <t>年类根</t>
  </si>
  <si>
    <t>巩荷沐</t>
  </si>
  <si>
    <t>焦前弘</t>
  </si>
  <si>
    <t>乔田青</t>
  </si>
  <si>
    <t>成幻玉</t>
  </si>
  <si>
    <t>公神秉</t>
  </si>
  <si>
    <t>左扶亭</t>
  </si>
  <si>
    <t>乐苏鹿</t>
  </si>
  <si>
    <t>慎娟</t>
  </si>
  <si>
    <t>归亢炭</t>
  </si>
  <si>
    <t>屈潮</t>
  </si>
  <si>
    <t>姜经照</t>
  </si>
  <si>
    <t>雷当文</t>
  </si>
  <si>
    <t>计黑铁</t>
  </si>
  <si>
    <t>印妙画</t>
  </si>
  <si>
    <t>步通敌</t>
  </si>
  <si>
    <t>端木染</t>
  </si>
  <si>
    <t>喻征</t>
  </si>
  <si>
    <t>常宜克</t>
  </si>
  <si>
    <t>杜瑶</t>
  </si>
  <si>
    <t>琴施约</t>
  </si>
  <si>
    <t>管曲</t>
  </si>
  <si>
    <t>鲍新分</t>
  </si>
  <si>
    <t>华远</t>
  </si>
  <si>
    <t>祁姿原</t>
  </si>
  <si>
    <t>白范旗</t>
  </si>
  <si>
    <t>步纪败</t>
  </si>
  <si>
    <t>曲雅</t>
  </si>
  <si>
    <t>包千</t>
  </si>
  <si>
    <t>湛沐圭</t>
  </si>
  <si>
    <t>尉迟亦</t>
  </si>
  <si>
    <t>东方井军</t>
  </si>
  <si>
    <t>仲婵</t>
  </si>
  <si>
    <t>别蔷</t>
  </si>
  <si>
    <t>满范晴</t>
  </si>
  <si>
    <t>雷旋斌</t>
  </si>
  <si>
    <t>郁涵</t>
  </si>
  <si>
    <t>郁全寿</t>
  </si>
  <si>
    <t>余明相</t>
  </si>
  <si>
    <t>汲妍</t>
  </si>
  <si>
    <t>冯镂铁</t>
  </si>
  <si>
    <t>梁亦来</t>
  </si>
  <si>
    <t>匡蔷锦</t>
  </si>
  <si>
    <t>洪倩来</t>
  </si>
  <si>
    <t>司封进</t>
  </si>
  <si>
    <t>宫庭</t>
  </si>
  <si>
    <t>马草</t>
  </si>
  <si>
    <t>薛早绿</t>
  </si>
  <si>
    <t>双棋晴</t>
  </si>
  <si>
    <t>褚涵水</t>
  </si>
  <si>
    <t>万斗千</t>
  </si>
  <si>
    <t>骆艾</t>
  </si>
  <si>
    <t>谷脉与</t>
  </si>
  <si>
    <t>乌袖</t>
  </si>
  <si>
    <t>寿追娘</t>
  </si>
  <si>
    <t>皮梨</t>
  </si>
  <si>
    <t>季文营</t>
  </si>
  <si>
    <t>籍疾</t>
  </si>
  <si>
    <t>富行栋</t>
  </si>
  <si>
    <t>蓬升城</t>
  </si>
  <si>
    <t>越烟涵</t>
  </si>
  <si>
    <t>成凝画</t>
  </si>
  <si>
    <t>金尔</t>
  </si>
  <si>
    <t>司马杏媛</t>
  </si>
  <si>
    <t>谯展承</t>
  </si>
  <si>
    <t>司马旗</t>
  </si>
  <si>
    <t>干妃</t>
  </si>
  <si>
    <t>法本形</t>
  </si>
  <si>
    <t>于艺尽</t>
  </si>
  <si>
    <t>晋嘉珊</t>
  </si>
  <si>
    <t>奚英</t>
  </si>
  <si>
    <t>简古麟</t>
  </si>
  <si>
    <t>双蕴蔓</t>
  </si>
  <si>
    <t>焦媚绮</t>
  </si>
  <si>
    <t>欧阳珠灰</t>
  </si>
  <si>
    <t>陈准</t>
  </si>
  <si>
    <t>赵莲葵</t>
  </si>
  <si>
    <t>孔江璧</t>
  </si>
  <si>
    <t>荀璇荧</t>
  </si>
  <si>
    <t>咸智</t>
  </si>
  <si>
    <t>席勇欢</t>
  </si>
  <si>
    <t>全采梅</t>
  </si>
  <si>
    <t>独孤颀</t>
  </si>
  <si>
    <t>邹君境</t>
  </si>
  <si>
    <t>干三蓉</t>
  </si>
  <si>
    <t>翟尚</t>
  </si>
  <si>
    <t>万芬蜜</t>
  </si>
  <si>
    <t>桂来则</t>
  </si>
  <si>
    <t>经祝歆</t>
  </si>
  <si>
    <t>卞鸿内</t>
  </si>
  <si>
    <t>堵横登</t>
  </si>
  <si>
    <t>匡博振</t>
  </si>
  <si>
    <t>韶鸣伯</t>
  </si>
  <si>
    <t>弓俏潇</t>
  </si>
  <si>
    <t>戴来琦</t>
  </si>
  <si>
    <t>佟黄</t>
  </si>
  <si>
    <t>骆楚征</t>
  </si>
  <si>
    <t>谈千</t>
  </si>
  <si>
    <t>裘真马</t>
  </si>
  <si>
    <t>甘侠登</t>
  </si>
  <si>
    <t>窦玑</t>
  </si>
  <si>
    <t>海阵</t>
  </si>
  <si>
    <t>怀潇洁</t>
  </si>
  <si>
    <t>鱼图升</t>
  </si>
  <si>
    <t>卓海</t>
  </si>
  <si>
    <t>齐潜千</t>
  </si>
  <si>
    <t>周廊虹</t>
  </si>
  <si>
    <t>侯靖</t>
  </si>
  <si>
    <t>隆榭衡</t>
  </si>
  <si>
    <t>闻央语</t>
  </si>
  <si>
    <t>利国切</t>
  </si>
  <si>
    <t>仇森凉</t>
  </si>
  <si>
    <t>应姑洋</t>
  </si>
  <si>
    <t>简契神</t>
  </si>
  <si>
    <t>容风嫣</t>
  </si>
  <si>
    <t>纪顶刚</t>
  </si>
  <si>
    <t>祁脉君</t>
  </si>
  <si>
    <t>吕繁宗</t>
  </si>
  <si>
    <t>荆超冷</t>
  </si>
  <si>
    <t>年敬</t>
  </si>
  <si>
    <t>计鸽潜</t>
  </si>
  <si>
    <t>督北湖</t>
  </si>
  <si>
    <t>欧阳舒可</t>
  </si>
  <si>
    <t>蒙榭魅</t>
  </si>
  <si>
    <t>令狐国血</t>
  </si>
  <si>
    <t>方采言</t>
  </si>
  <si>
    <t>游散相</t>
  </si>
  <si>
    <t>顾早爱</t>
  </si>
  <si>
    <t>苏伊</t>
  </si>
  <si>
    <t>桂蕾白</t>
  </si>
  <si>
    <t>方繁康</t>
  </si>
  <si>
    <t>别共斩</t>
  </si>
  <si>
    <t>左袅甘</t>
  </si>
  <si>
    <t>盖残森</t>
  </si>
  <si>
    <t>廉化宇</t>
  </si>
  <si>
    <t>盖一峥</t>
  </si>
  <si>
    <t>左丘卿</t>
  </si>
  <si>
    <t>周愁炬</t>
  </si>
  <si>
    <t>阳白马</t>
  </si>
  <si>
    <t>樊锦当</t>
  </si>
  <si>
    <t>完颜心留</t>
  </si>
  <si>
    <t>雍万鸿</t>
  </si>
  <si>
    <t>罗留友</t>
  </si>
  <si>
    <t>蒲娟</t>
  </si>
  <si>
    <t>郦庭乙</t>
  </si>
  <si>
    <t>皮蕾瓷</t>
  </si>
  <si>
    <t>岑早</t>
  </si>
  <si>
    <t>尹析娜</t>
  </si>
  <si>
    <t>归声辰</t>
  </si>
  <si>
    <t>伏亭泛</t>
  </si>
  <si>
    <t>从庭莱</t>
  </si>
  <si>
    <t>东英溪</t>
  </si>
  <si>
    <t>松群铜</t>
  </si>
  <si>
    <t>臧妮</t>
  </si>
  <si>
    <t>米甲藏</t>
  </si>
  <si>
    <t>池霄振</t>
  </si>
  <si>
    <t>全杏鱼</t>
  </si>
  <si>
    <t>姚侠堂</t>
  </si>
  <si>
    <t>陶增</t>
  </si>
  <si>
    <t>殷涟幽</t>
  </si>
  <si>
    <t>郦绮形</t>
  </si>
  <si>
    <t>刘倩婷</t>
  </si>
  <si>
    <t>明俪</t>
  </si>
  <si>
    <t>爱争</t>
  </si>
  <si>
    <t>靳幽</t>
  </si>
  <si>
    <t>卓哲</t>
  </si>
  <si>
    <t>西门明残</t>
  </si>
  <si>
    <t>庾文</t>
  </si>
  <si>
    <t>庄玖燕</t>
  </si>
  <si>
    <t>佟棋</t>
  </si>
  <si>
    <t>乌汇冰</t>
  </si>
  <si>
    <t>诸听</t>
  </si>
  <si>
    <t>谢力</t>
  </si>
  <si>
    <t>郎越势</t>
  </si>
  <si>
    <t>成客</t>
  </si>
  <si>
    <t>印崇</t>
  </si>
  <si>
    <t>浦蕾</t>
  </si>
  <si>
    <t>敖末环</t>
  </si>
  <si>
    <t>阎豪豪</t>
  </si>
  <si>
    <t>纪榆陵</t>
  </si>
  <si>
    <t>翁仁炎</t>
  </si>
  <si>
    <t>巫六苏</t>
  </si>
  <si>
    <t>年桂</t>
  </si>
  <si>
    <t>杜馨</t>
  </si>
  <si>
    <t>尹龙</t>
  </si>
  <si>
    <t>葛飞度</t>
  </si>
  <si>
    <t>章寺</t>
  </si>
  <si>
    <t>融胜实</t>
  </si>
  <si>
    <t>乐泛部</t>
  </si>
  <si>
    <t>杜韦尘</t>
  </si>
  <si>
    <t>卓昕棉</t>
  </si>
  <si>
    <t>乐亚莫</t>
  </si>
  <si>
    <t>方水摇</t>
  </si>
  <si>
    <t>储紫仙</t>
  </si>
  <si>
    <t>广芳</t>
  </si>
  <si>
    <t>冯莱</t>
  </si>
  <si>
    <t>司徒朝收</t>
  </si>
  <si>
    <t>寿孤</t>
  </si>
  <si>
    <t>翁恒雷</t>
  </si>
  <si>
    <t>花藏舒</t>
  </si>
  <si>
    <t>郭简</t>
  </si>
  <si>
    <t>钦同简</t>
  </si>
  <si>
    <t>井幽纯</t>
  </si>
  <si>
    <t>于春璐</t>
  </si>
  <si>
    <t>殷烙朗</t>
  </si>
  <si>
    <t>郭庚</t>
  </si>
  <si>
    <t>宣哨欢</t>
  </si>
  <si>
    <t>华实</t>
  </si>
  <si>
    <t>安画容</t>
  </si>
  <si>
    <t>韩隐</t>
  </si>
  <si>
    <t>虞诚规</t>
  </si>
  <si>
    <t>益仙</t>
  </si>
  <si>
    <t>包川鹃</t>
  </si>
  <si>
    <t>顾晨暖</t>
  </si>
  <si>
    <t>公根</t>
  </si>
  <si>
    <t>仲玲</t>
  </si>
  <si>
    <t>潘语</t>
  </si>
  <si>
    <t>丁扬波</t>
  </si>
  <si>
    <t>韶神斌</t>
  </si>
  <si>
    <t>席圭步</t>
  </si>
  <si>
    <t>寇希少</t>
  </si>
  <si>
    <t>方贤</t>
  </si>
  <si>
    <t>太史珑君</t>
  </si>
  <si>
    <t>怀颜灵</t>
  </si>
  <si>
    <t>施历寻</t>
  </si>
  <si>
    <t>郎凌界</t>
  </si>
  <si>
    <t>湛衣惠</t>
  </si>
  <si>
    <t>林定沐</t>
  </si>
  <si>
    <t>仰玉</t>
  </si>
  <si>
    <t>上官诚</t>
  </si>
  <si>
    <t>冷拾眉</t>
  </si>
  <si>
    <t>养穗玑</t>
  </si>
  <si>
    <t>岑赢杀</t>
  </si>
  <si>
    <t>颜伯结</t>
  </si>
  <si>
    <t>杨御琦</t>
  </si>
  <si>
    <t>杨城步</t>
  </si>
  <si>
    <t>山鑫</t>
  </si>
  <si>
    <t>令狐苏</t>
  </si>
  <si>
    <t>钱秋布</t>
  </si>
  <si>
    <t>单摇情</t>
  </si>
  <si>
    <t>景希</t>
  </si>
  <si>
    <t>郝炭</t>
  </si>
  <si>
    <t>喻沧</t>
  </si>
  <si>
    <t>仇豹鸿</t>
  </si>
  <si>
    <t>邵椿彩</t>
  </si>
  <si>
    <t>薛昌</t>
  </si>
  <si>
    <t>丁桐公</t>
  </si>
  <si>
    <t>左移照</t>
  </si>
  <si>
    <t>袁物舞</t>
  </si>
  <si>
    <t>黄顺浓</t>
  </si>
  <si>
    <t>东门岩</t>
  </si>
  <si>
    <t>祁胜印</t>
  </si>
  <si>
    <t>茹洁净</t>
  </si>
  <si>
    <t>弓越威</t>
  </si>
  <si>
    <t>阮鼎炉</t>
  </si>
  <si>
    <t>史隆交</t>
  </si>
  <si>
    <t>查力络</t>
  </si>
  <si>
    <t>岳玉袅</t>
  </si>
  <si>
    <t>拓跋颜季</t>
  </si>
  <si>
    <t>马封挂</t>
  </si>
  <si>
    <t>尚音盈</t>
  </si>
  <si>
    <t>张梧好</t>
  </si>
  <si>
    <t>马初掌</t>
  </si>
  <si>
    <t>靳无军</t>
  </si>
  <si>
    <t>雍血入</t>
  </si>
  <si>
    <t>家冶属</t>
  </si>
  <si>
    <t>湛沐风</t>
  </si>
  <si>
    <t>常红金</t>
  </si>
  <si>
    <t>弓早琴</t>
  </si>
  <si>
    <t>羿志工</t>
  </si>
  <si>
    <t>孟麻娇</t>
  </si>
  <si>
    <t>东赫</t>
  </si>
  <si>
    <t>殷士</t>
  </si>
  <si>
    <t>雷彤玉</t>
  </si>
  <si>
    <t>独孤倾以</t>
  </si>
  <si>
    <t>柴新跃</t>
  </si>
  <si>
    <t>宇文范画</t>
  </si>
  <si>
    <t>金姝襄</t>
  </si>
  <si>
    <t>容小乱</t>
  </si>
  <si>
    <t>唐癸起</t>
  </si>
  <si>
    <t>孟获染</t>
  </si>
  <si>
    <t>谯凭阔</t>
  </si>
  <si>
    <t>伯牧命</t>
  </si>
  <si>
    <t>谷亢刀</t>
  </si>
  <si>
    <t>松诺翠</t>
  </si>
  <si>
    <t>堵豹华</t>
  </si>
  <si>
    <t>邓耀隆</t>
  </si>
  <si>
    <t>花菲采</t>
  </si>
  <si>
    <t>巴书哨</t>
  </si>
  <si>
    <t>仰琢汇</t>
  </si>
  <si>
    <t>廖推张</t>
  </si>
  <si>
    <t>娄芝</t>
  </si>
  <si>
    <t>蔚奏姗</t>
  </si>
  <si>
    <t>元回约</t>
  </si>
  <si>
    <t>红知优</t>
  </si>
  <si>
    <t>金丛向</t>
  </si>
  <si>
    <t>养奏彗</t>
  </si>
  <si>
    <t>邹梓孤</t>
  </si>
  <si>
    <t>楚断</t>
  </si>
  <si>
    <t>容类并</t>
  </si>
  <si>
    <t>伍桥琴</t>
  </si>
  <si>
    <t>缪翰超</t>
  </si>
  <si>
    <t>任紫珠</t>
  </si>
  <si>
    <t>扈信遇</t>
  </si>
  <si>
    <t>晁铭猛</t>
  </si>
  <si>
    <t>罗欣笛</t>
  </si>
  <si>
    <t>衡韵</t>
  </si>
  <si>
    <t>杨卉</t>
  </si>
  <si>
    <t>幸南</t>
  </si>
  <si>
    <t>籍见</t>
  </si>
  <si>
    <t>贺悲前</t>
  </si>
  <si>
    <t>雷天</t>
  </si>
  <si>
    <t>姜始间</t>
  </si>
  <si>
    <t>鞠欢枫</t>
  </si>
  <si>
    <t>滑阳</t>
  </si>
  <si>
    <t>通沐协</t>
  </si>
  <si>
    <t>冯伊曲</t>
  </si>
  <si>
    <t>戈艳</t>
  </si>
  <si>
    <t>通雯</t>
  </si>
  <si>
    <t>宋器哲</t>
  </si>
  <si>
    <t>戎慎乐</t>
  </si>
  <si>
    <t>甘络凤</t>
  </si>
  <si>
    <t>邓一婵</t>
  </si>
  <si>
    <t>容兴先</t>
  </si>
  <si>
    <t>空贞</t>
  </si>
  <si>
    <t>桂莎敬</t>
  </si>
  <si>
    <t>佟十南</t>
  </si>
  <si>
    <t>孙鹿</t>
  </si>
  <si>
    <t>嵇柔四</t>
  </si>
  <si>
    <t>杜秉</t>
  </si>
  <si>
    <t>李梨桃</t>
  </si>
  <si>
    <t>奚极</t>
  </si>
  <si>
    <t>利谷</t>
  </si>
  <si>
    <t>鲍歌曲</t>
  </si>
  <si>
    <t>苍烈煌</t>
  </si>
  <si>
    <t>归君</t>
  </si>
  <si>
    <t>钦草绝</t>
  </si>
  <si>
    <t>欧阳武黄</t>
  </si>
  <si>
    <t>路丁</t>
  </si>
  <si>
    <t>元简</t>
  </si>
  <si>
    <t>季显豪</t>
  </si>
  <si>
    <t>郎止洪</t>
  </si>
  <si>
    <t>上官泽绿</t>
  </si>
  <si>
    <t>都惜析</t>
  </si>
  <si>
    <t>亢紫</t>
  </si>
  <si>
    <t>惠千淡</t>
  </si>
  <si>
    <t>狄念离</t>
  </si>
  <si>
    <t>满歆</t>
  </si>
  <si>
    <t>尉迟倾芳</t>
  </si>
  <si>
    <t>甄屋士</t>
  </si>
  <si>
    <t>公冶慧畅</t>
  </si>
  <si>
    <t>班怡</t>
  </si>
  <si>
    <t>司徒澜顶</t>
  </si>
  <si>
    <t>顾珊</t>
  </si>
  <si>
    <t>尹划正</t>
  </si>
  <si>
    <t>艾子</t>
  </si>
  <si>
    <t>蒙颖营</t>
  </si>
  <si>
    <t>温宗蒲</t>
  </si>
  <si>
    <t>慕容脂银</t>
  </si>
  <si>
    <t>贝若</t>
  </si>
  <si>
    <t>邱戎马</t>
  </si>
  <si>
    <t>常法隆</t>
  </si>
  <si>
    <t>杭家福</t>
  </si>
  <si>
    <t>滑彪掌</t>
  </si>
  <si>
    <t>储桦挂</t>
  </si>
  <si>
    <t>关桦</t>
  </si>
  <si>
    <t>宇文遇印</t>
  </si>
  <si>
    <t>戚栗主</t>
  </si>
  <si>
    <t>宿寺戎</t>
  </si>
  <si>
    <t>钮都印</t>
  </si>
  <si>
    <t>左丘凌工</t>
  </si>
  <si>
    <t>富琪</t>
  </si>
  <si>
    <t>钦忠枪</t>
  </si>
  <si>
    <t>竺情导</t>
  </si>
  <si>
    <t>盛雁物</t>
  </si>
  <si>
    <t>柯芷</t>
  </si>
  <si>
    <t>左丘刀镇</t>
  </si>
  <si>
    <t>司马兰绚</t>
  </si>
  <si>
    <t>施脂蕾</t>
  </si>
  <si>
    <t>晋潜</t>
  </si>
  <si>
    <t>帅镇矩</t>
  </si>
  <si>
    <t>龚想辰</t>
  </si>
  <si>
    <t>单殿恩</t>
  </si>
  <si>
    <t>能逸出</t>
  </si>
  <si>
    <t>桓影</t>
  </si>
  <si>
    <t>解怡</t>
  </si>
  <si>
    <t>巫蔓凝</t>
  </si>
  <si>
    <t>阳角</t>
  </si>
  <si>
    <t>庄居首</t>
  </si>
  <si>
    <t>艾析柏</t>
  </si>
  <si>
    <t>空海情</t>
  </si>
  <si>
    <t>元莽智</t>
  </si>
  <si>
    <t>龙秋形</t>
  </si>
  <si>
    <t>商哲</t>
  </si>
  <si>
    <t>终控弦</t>
  </si>
  <si>
    <t>柳遥发</t>
  </si>
  <si>
    <t>陆夏昭</t>
  </si>
  <si>
    <t>杜攻根</t>
  </si>
  <si>
    <t>巢惊天</t>
  </si>
  <si>
    <t>羊境书</t>
  </si>
  <si>
    <t>吕晗芸</t>
  </si>
  <si>
    <t>沙黄集</t>
  </si>
  <si>
    <t>冀朱</t>
  </si>
  <si>
    <t>宿蝶染</t>
  </si>
  <si>
    <t>桑房</t>
  </si>
  <si>
    <t>凌葛统</t>
  </si>
  <si>
    <t>冷苦</t>
  </si>
  <si>
    <t>越冲庆</t>
  </si>
  <si>
    <t>秦满时</t>
  </si>
  <si>
    <t>墨原雅</t>
  </si>
  <si>
    <t>乐止舒</t>
  </si>
  <si>
    <t>于甲凡</t>
  </si>
  <si>
    <t>钱繁琬</t>
  </si>
  <si>
    <t>华乙</t>
  </si>
  <si>
    <t>于壮</t>
  </si>
  <si>
    <t>上官惜金</t>
  </si>
  <si>
    <t>申真荆</t>
  </si>
  <si>
    <t>上官雨芝</t>
  </si>
  <si>
    <t>融一出</t>
  </si>
  <si>
    <t>顾想</t>
  </si>
  <si>
    <t>寿娃辰</t>
  </si>
  <si>
    <t>年六宝</t>
  </si>
  <si>
    <t>冯岛大</t>
  </si>
  <si>
    <t>衡汉</t>
  </si>
  <si>
    <t>冯蓓</t>
  </si>
  <si>
    <t>元棘质</t>
  </si>
  <si>
    <t>全芙星</t>
  </si>
  <si>
    <t>晏照</t>
  </si>
  <si>
    <t>公孙问戊</t>
  </si>
  <si>
    <t>宗之凌</t>
  </si>
  <si>
    <t>年叔道</t>
  </si>
  <si>
    <t>诸葛书茗</t>
  </si>
  <si>
    <t>范虎树</t>
  </si>
  <si>
    <t>祖凌都</t>
  </si>
  <si>
    <t>海其谷</t>
  </si>
  <si>
    <t>堵残焰</t>
  </si>
  <si>
    <t>通共漫</t>
  </si>
  <si>
    <t>居国仙</t>
  </si>
  <si>
    <t>尚横势</t>
  </si>
  <si>
    <t>蒲势</t>
  </si>
  <si>
    <t>仲漆</t>
  </si>
  <si>
    <t>荆桑诺</t>
  </si>
  <si>
    <t>完颜庚持</t>
  </si>
  <si>
    <t>孙斓令</t>
  </si>
  <si>
    <t>爱北早</t>
  </si>
  <si>
    <t>鞠鬼术</t>
  </si>
  <si>
    <t>廖仪水</t>
  </si>
  <si>
    <t>督浓温</t>
  </si>
  <si>
    <t>明瑟</t>
  </si>
  <si>
    <t>燕良南</t>
  </si>
  <si>
    <t>巴王霜</t>
  </si>
  <si>
    <t>勾丝诺</t>
  </si>
  <si>
    <t>应烟展</t>
  </si>
  <si>
    <t>俞斓伊</t>
  </si>
  <si>
    <t>柯阳悲</t>
  </si>
  <si>
    <t>满蔓</t>
  </si>
  <si>
    <t>康脂</t>
  </si>
  <si>
    <t>平约极</t>
  </si>
  <si>
    <t>夏幽史</t>
  </si>
  <si>
    <t>乐雷炎</t>
  </si>
  <si>
    <t>爱范智</t>
  </si>
  <si>
    <t>封卉</t>
  </si>
  <si>
    <t>竺青桑</t>
  </si>
  <si>
    <t>终断</t>
  </si>
  <si>
    <t>别锋</t>
  </si>
  <si>
    <t>朱则石</t>
  </si>
  <si>
    <t>胡想嘉</t>
  </si>
  <si>
    <t>庄号</t>
  </si>
  <si>
    <t>成型共</t>
  </si>
  <si>
    <t>敖枪庆</t>
  </si>
  <si>
    <t>莘依</t>
  </si>
  <si>
    <t>惠学致</t>
  </si>
  <si>
    <t>闻甜奕</t>
  </si>
  <si>
    <t>师仁恩</t>
  </si>
  <si>
    <t>帅阔</t>
  </si>
  <si>
    <t>雍绫香</t>
  </si>
  <si>
    <t>钟夏约</t>
  </si>
  <si>
    <t>尚杨</t>
  </si>
  <si>
    <t>戈笑坤</t>
  </si>
  <si>
    <t>年力</t>
  </si>
  <si>
    <t>毕奎扶</t>
  </si>
  <si>
    <t>向璐蕴</t>
  </si>
  <si>
    <t>严特剧</t>
  </si>
  <si>
    <t>樊天</t>
  </si>
  <si>
    <t>窦艺弦</t>
  </si>
  <si>
    <t>蒲金晴</t>
  </si>
  <si>
    <t>姬槐化</t>
  </si>
  <si>
    <t>扶炎</t>
  </si>
  <si>
    <t>艾醒力</t>
  </si>
  <si>
    <t>宦琦蜜</t>
  </si>
  <si>
    <t>蓝翠</t>
  </si>
  <si>
    <t>翁重炫</t>
  </si>
  <si>
    <t>冀萍</t>
  </si>
  <si>
    <t>福造</t>
  </si>
  <si>
    <t>臧君</t>
  </si>
  <si>
    <t>荣烟</t>
  </si>
  <si>
    <t>双旗攻</t>
  </si>
  <si>
    <t>齐棉脂</t>
  </si>
  <si>
    <t>刁琪锦</t>
  </si>
  <si>
    <t>戴造熔</t>
  </si>
  <si>
    <t>阴卫斗</t>
  </si>
  <si>
    <t>卫营</t>
  </si>
  <si>
    <t>薛忧息</t>
  </si>
  <si>
    <t>欧阳封哨</t>
  </si>
  <si>
    <t>顾幻辛</t>
  </si>
  <si>
    <t>爱麒轻</t>
  </si>
  <si>
    <t>梅芬诗</t>
  </si>
  <si>
    <t>桓成洞</t>
  </si>
  <si>
    <t>成丑令</t>
  </si>
  <si>
    <t>何量娘</t>
  </si>
  <si>
    <t>弘摇</t>
  </si>
  <si>
    <t>伍麒架</t>
  </si>
  <si>
    <t>陈阔残</t>
  </si>
  <si>
    <t>苗双苏</t>
  </si>
  <si>
    <t>贡芝</t>
  </si>
  <si>
    <t>东晖</t>
  </si>
  <si>
    <t>陶弋简</t>
  </si>
  <si>
    <t>包血筑</t>
  </si>
  <si>
    <t>干殿妹</t>
  </si>
  <si>
    <t>怀霜醉</t>
  </si>
  <si>
    <t>干台漆</t>
  </si>
  <si>
    <t>乔欢棠</t>
  </si>
  <si>
    <t>石以</t>
  </si>
  <si>
    <t>雍福</t>
  </si>
  <si>
    <t>叶摇</t>
  </si>
  <si>
    <t>富远忠</t>
  </si>
  <si>
    <t>许灰</t>
  </si>
  <si>
    <t>吕潭</t>
  </si>
  <si>
    <t>侯馆荧</t>
  </si>
  <si>
    <t>党角琢</t>
  </si>
  <si>
    <t>崔杨施</t>
  </si>
  <si>
    <t>袁奇鹤</t>
  </si>
  <si>
    <t>都袅</t>
  </si>
  <si>
    <t>潘翎宛</t>
  </si>
  <si>
    <t>裴焰辉</t>
  </si>
  <si>
    <t>狄芙</t>
  </si>
  <si>
    <t>毕怀阵</t>
  </si>
  <si>
    <t>包柱</t>
  </si>
  <si>
    <t>屈类江</t>
  </si>
  <si>
    <t>史舒桥</t>
  </si>
  <si>
    <t>谢瑶</t>
  </si>
  <si>
    <t>幸玉</t>
  </si>
  <si>
    <t>胥剑</t>
  </si>
  <si>
    <t>浦堂</t>
  </si>
  <si>
    <t>蒋梧</t>
  </si>
  <si>
    <t>公孙娇秋</t>
  </si>
  <si>
    <t>单于翰地</t>
  </si>
  <si>
    <t>姚制郊</t>
  </si>
  <si>
    <t>花炬猛</t>
  </si>
  <si>
    <t>花荫</t>
  </si>
  <si>
    <t>万会木</t>
  </si>
  <si>
    <t>文俊麟</t>
  </si>
  <si>
    <t>班草相</t>
  </si>
  <si>
    <t>越和</t>
  </si>
  <si>
    <t>古稚</t>
  </si>
  <si>
    <t>庞红感</t>
  </si>
  <si>
    <t>翟琳莹</t>
  </si>
  <si>
    <t>孔亮</t>
  </si>
  <si>
    <t>司工奇</t>
  </si>
  <si>
    <t>赏湛二</t>
  </si>
  <si>
    <t>魏剑</t>
  </si>
  <si>
    <t>海乌叔</t>
  </si>
  <si>
    <t>爱塔葛</t>
  </si>
  <si>
    <t>仰权客</t>
  </si>
  <si>
    <t>慕治</t>
  </si>
  <si>
    <t>相迎字</t>
  </si>
  <si>
    <t>车期好</t>
  </si>
  <si>
    <t>伊并福</t>
  </si>
  <si>
    <t>蒋庭霞</t>
  </si>
  <si>
    <t>秋枪武</t>
  </si>
  <si>
    <t>从难司</t>
  </si>
  <si>
    <t>汲斓澄</t>
  </si>
  <si>
    <t>于守</t>
  </si>
  <si>
    <t>池夏辅</t>
  </si>
  <si>
    <t>窦亮</t>
  </si>
  <si>
    <t>詹悲临</t>
  </si>
  <si>
    <t>叶幽</t>
  </si>
  <si>
    <t>谢清昭</t>
  </si>
  <si>
    <t>太史伟</t>
  </si>
  <si>
    <t>花芸常</t>
  </si>
  <si>
    <t>蔚洞</t>
  </si>
  <si>
    <t>党子</t>
  </si>
  <si>
    <t>东方莲荣</t>
  </si>
  <si>
    <t>经运芷</t>
  </si>
  <si>
    <t>蔚阔</t>
  </si>
  <si>
    <t>祁纪彤</t>
  </si>
  <si>
    <t>籍采禄</t>
  </si>
  <si>
    <t>公冶张</t>
  </si>
  <si>
    <t>羿切</t>
  </si>
  <si>
    <t>廖宇</t>
  </si>
  <si>
    <t>韩默</t>
  </si>
  <si>
    <t>喻雨举</t>
  </si>
  <si>
    <t>充厅尊</t>
  </si>
  <si>
    <t>黄安铜</t>
  </si>
  <si>
    <t>韩目孤</t>
  </si>
  <si>
    <t>桑登猎</t>
  </si>
  <si>
    <t>卜铸鸣</t>
  </si>
  <si>
    <t>汤廊城</t>
  </si>
  <si>
    <t>步侠滨</t>
  </si>
  <si>
    <t>申阶</t>
  </si>
  <si>
    <t>文槐</t>
  </si>
  <si>
    <t>解泰</t>
  </si>
  <si>
    <t>平团</t>
  </si>
  <si>
    <t>法汇煌</t>
  </si>
  <si>
    <t>岑首进</t>
  </si>
  <si>
    <t>芮宽印</t>
  </si>
  <si>
    <t>幸笑西</t>
  </si>
  <si>
    <t>诸洞难</t>
  </si>
  <si>
    <t>蔚颀澄</t>
  </si>
  <si>
    <t>胡之银</t>
  </si>
  <si>
    <t>卜黄桐</t>
  </si>
  <si>
    <t>奚谦能</t>
  </si>
  <si>
    <t>濮教</t>
  </si>
  <si>
    <t>扶虹笙</t>
  </si>
  <si>
    <t>韩亘姑</t>
  </si>
  <si>
    <t>廉工</t>
  </si>
  <si>
    <t>危鹤富</t>
  </si>
  <si>
    <t>勾嘉蓝</t>
  </si>
  <si>
    <t>管深颜</t>
  </si>
  <si>
    <t>蓬杏</t>
  </si>
  <si>
    <t>任高</t>
  </si>
  <si>
    <t>怀并道</t>
  </si>
  <si>
    <t>朱带追</t>
  </si>
  <si>
    <t>宿晚清</t>
  </si>
  <si>
    <t>明问</t>
  </si>
  <si>
    <t>扈和长</t>
  </si>
  <si>
    <t>穆姬媚</t>
  </si>
  <si>
    <t>叶含</t>
  </si>
  <si>
    <t>韩炉型</t>
  </si>
  <si>
    <t>靳镂</t>
  </si>
  <si>
    <t>慎顺黄</t>
  </si>
  <si>
    <t>双卫</t>
  </si>
  <si>
    <t>祁宽己</t>
  </si>
  <si>
    <t>刁乌烈</t>
  </si>
  <si>
    <t>农夏语</t>
  </si>
  <si>
    <t>从约七</t>
  </si>
  <si>
    <t>阙西</t>
  </si>
  <si>
    <t>禹潇尺</t>
  </si>
  <si>
    <t>费如宛</t>
  </si>
  <si>
    <t>奚昕</t>
  </si>
  <si>
    <t>白炉</t>
  </si>
  <si>
    <t>凤猎振</t>
  </si>
  <si>
    <t>万鑫谦</t>
  </si>
  <si>
    <t>苍容幽</t>
  </si>
  <si>
    <t>松季姬</t>
  </si>
  <si>
    <t>沈雷笑</t>
  </si>
  <si>
    <t>汲壤</t>
  </si>
  <si>
    <t>完颜革东</t>
  </si>
  <si>
    <t>索温生</t>
  </si>
  <si>
    <t>冷琬</t>
  </si>
  <si>
    <t>山久竹</t>
  </si>
  <si>
    <t>严尽</t>
  </si>
  <si>
    <t>冉殿裳</t>
  </si>
  <si>
    <t>南门梁精</t>
  </si>
  <si>
    <t>庞寿至</t>
  </si>
  <si>
    <t>贡夏秉</t>
  </si>
  <si>
    <t>刁琬湛</t>
  </si>
  <si>
    <t>东郭瓷奏</t>
  </si>
  <si>
    <t>幸采罡</t>
  </si>
  <si>
    <t>尤文网</t>
  </si>
  <si>
    <t>武姗摇</t>
  </si>
  <si>
    <t>封浓营</t>
  </si>
  <si>
    <t>虞池合</t>
  </si>
  <si>
    <t>隆苑</t>
  </si>
  <si>
    <t>赏溪歆</t>
  </si>
  <si>
    <t>甄文玖</t>
  </si>
  <si>
    <t>戴升河</t>
  </si>
  <si>
    <t>金家烟</t>
  </si>
  <si>
    <t>符绮有</t>
  </si>
  <si>
    <t>孙辰贞</t>
  </si>
  <si>
    <t>齐器志</t>
  </si>
  <si>
    <t>成天</t>
  </si>
  <si>
    <t>柳骏迪</t>
  </si>
  <si>
    <t>茹园侠</t>
  </si>
  <si>
    <t>居摇绫</t>
  </si>
  <si>
    <t>计庚连</t>
  </si>
  <si>
    <t>卫密接</t>
  </si>
  <si>
    <t>耿金网</t>
  </si>
  <si>
    <t>阳尤创</t>
  </si>
  <si>
    <t>路荫珠</t>
  </si>
  <si>
    <t>郎凰</t>
  </si>
  <si>
    <t>荀媛</t>
  </si>
  <si>
    <t>范贞</t>
  </si>
  <si>
    <t>郭重散</t>
  </si>
  <si>
    <t>牧欢</t>
  </si>
  <si>
    <t>籍蓓燕</t>
  </si>
  <si>
    <t>安热御</t>
  </si>
  <si>
    <t>龙鑫文</t>
  </si>
  <si>
    <t>古雨合</t>
  </si>
  <si>
    <t>赏方佩</t>
  </si>
  <si>
    <t>怀型显</t>
  </si>
  <si>
    <t>向实泰</t>
  </si>
  <si>
    <t>贡珂</t>
  </si>
  <si>
    <t>裘眉念</t>
  </si>
  <si>
    <t>温城</t>
  </si>
  <si>
    <t>费芮量</t>
  </si>
  <si>
    <t>居霞理</t>
  </si>
  <si>
    <t>符共</t>
  </si>
  <si>
    <t>明桑步</t>
  </si>
  <si>
    <t>司徒流冬</t>
  </si>
  <si>
    <t>羊盛</t>
  </si>
  <si>
    <t>诸封祖</t>
  </si>
  <si>
    <t>匡丰苓</t>
  </si>
  <si>
    <t>吕展与</t>
  </si>
  <si>
    <t>尤归桦</t>
  </si>
  <si>
    <t>窦波</t>
  </si>
  <si>
    <t>司徒网秀</t>
  </si>
  <si>
    <t>苍枝八</t>
  </si>
  <si>
    <t>项稚鸽</t>
  </si>
  <si>
    <t>慎恬甜</t>
  </si>
  <si>
    <t>唐都彪</t>
  </si>
  <si>
    <t>霍龙孤</t>
  </si>
  <si>
    <t>林西殿</t>
  </si>
  <si>
    <t>田鬼</t>
  </si>
  <si>
    <t>盛瑟血</t>
  </si>
  <si>
    <t>芮辉单</t>
  </si>
  <si>
    <t>国梧子</t>
  </si>
  <si>
    <t>倪施</t>
  </si>
  <si>
    <t>雷绝弘</t>
  </si>
  <si>
    <t>麻楠一</t>
  </si>
  <si>
    <t>亢霆立</t>
  </si>
  <si>
    <t>红移俪</t>
  </si>
  <si>
    <t>茅奇爱</t>
  </si>
  <si>
    <t>况奇</t>
  </si>
  <si>
    <t>焦化界</t>
  </si>
  <si>
    <t>长孙迷邦</t>
  </si>
  <si>
    <t>章莉</t>
  </si>
  <si>
    <t>乐钢天</t>
  </si>
  <si>
    <t>樊宛</t>
  </si>
  <si>
    <t>阙绮如</t>
  </si>
  <si>
    <t>伊珊</t>
  </si>
  <si>
    <t>麻实前</t>
  </si>
  <si>
    <t>余季蕙</t>
  </si>
  <si>
    <t>巴共醉</t>
  </si>
  <si>
    <t>虞沙佩</t>
  </si>
  <si>
    <t>步笛芳</t>
  </si>
  <si>
    <t>芮坤弃</t>
  </si>
  <si>
    <t>邓芳剑</t>
  </si>
  <si>
    <t>焦共阶</t>
  </si>
  <si>
    <t>段廊贝</t>
  </si>
  <si>
    <t>倪青静</t>
  </si>
  <si>
    <t>翟杰命</t>
  </si>
  <si>
    <t>黎寻</t>
  </si>
  <si>
    <t>终君三</t>
  </si>
  <si>
    <t>翟塔欢</t>
  </si>
  <si>
    <t>钱眉</t>
  </si>
  <si>
    <t>白爱玄</t>
  </si>
  <si>
    <t>危博阔</t>
  </si>
  <si>
    <t>连颀晗</t>
  </si>
  <si>
    <t>嵇壤</t>
  </si>
  <si>
    <t>耿烈鹰</t>
  </si>
  <si>
    <t>邢玖鬼</t>
  </si>
  <si>
    <t>杭思昭</t>
  </si>
  <si>
    <t>独孤容茗</t>
  </si>
  <si>
    <t>云敬波</t>
  </si>
  <si>
    <t>庞沐夫</t>
  </si>
  <si>
    <t>赖渐邦</t>
  </si>
  <si>
    <t>单永</t>
  </si>
  <si>
    <t>商易连</t>
  </si>
  <si>
    <t>须娟司</t>
  </si>
  <si>
    <t>岳满千</t>
  </si>
  <si>
    <t>羊媚瑜</t>
  </si>
  <si>
    <t>武佳</t>
  </si>
  <si>
    <t>毕融来</t>
  </si>
  <si>
    <t>许瓷尺</t>
  </si>
  <si>
    <t>慎绿分</t>
  </si>
  <si>
    <t>蒲明</t>
  </si>
  <si>
    <t>寇翠冰</t>
  </si>
  <si>
    <t>卞梦放</t>
  </si>
  <si>
    <t>班季棘</t>
  </si>
  <si>
    <t>陈情</t>
  </si>
  <si>
    <t>雷愁惜</t>
  </si>
  <si>
    <t>禄曳刀</t>
  </si>
  <si>
    <t>余芳棋</t>
  </si>
  <si>
    <t>甘醉</t>
  </si>
  <si>
    <t>臧奇守</t>
  </si>
  <si>
    <t>游麒</t>
  </si>
  <si>
    <t>隆秋千</t>
  </si>
  <si>
    <t>茅邦</t>
  </si>
  <si>
    <t>山喜</t>
  </si>
  <si>
    <t>黄茗怡</t>
  </si>
  <si>
    <t>海椿玑</t>
  </si>
  <si>
    <t>袁棘冲</t>
  </si>
  <si>
    <t>杭弦草</t>
  </si>
  <si>
    <t>从群</t>
  </si>
  <si>
    <t>宫盼</t>
  </si>
  <si>
    <t>爱柳芽</t>
  </si>
  <si>
    <t>杨子</t>
  </si>
  <si>
    <t>熊缺大</t>
  </si>
  <si>
    <t>韩轩伟</t>
  </si>
  <si>
    <t>隆玉涵</t>
  </si>
  <si>
    <t>鞠冠虎</t>
  </si>
  <si>
    <t>邢琦</t>
  </si>
  <si>
    <t>韩葵</t>
  </si>
  <si>
    <t>惠敏</t>
  </si>
  <si>
    <t>蒯蝶入</t>
  </si>
  <si>
    <t>骆孤水</t>
  </si>
  <si>
    <t>平娘</t>
  </si>
  <si>
    <t>时广庭</t>
  </si>
  <si>
    <t>田城</t>
  </si>
  <si>
    <t>成藤</t>
  </si>
  <si>
    <t>北冥芝欣</t>
  </si>
  <si>
    <t>穆莲</t>
  </si>
  <si>
    <t>庾湖良</t>
  </si>
  <si>
    <t>汲域</t>
  </si>
  <si>
    <t>刁势愁</t>
  </si>
  <si>
    <t>廉伏部</t>
  </si>
  <si>
    <t>言真璇</t>
  </si>
  <si>
    <t>桑湖时</t>
  </si>
  <si>
    <t>娄听画</t>
  </si>
  <si>
    <t>全峰胜</t>
  </si>
  <si>
    <t>拓跋破广</t>
  </si>
  <si>
    <t>孙和奕</t>
  </si>
  <si>
    <t>沃巧葵</t>
  </si>
  <si>
    <t>卓系刀</t>
  </si>
  <si>
    <t>刁命雷</t>
  </si>
  <si>
    <t>干信扬</t>
  </si>
  <si>
    <t>季筑</t>
  </si>
  <si>
    <t>晋雨</t>
  </si>
  <si>
    <t>顾凝</t>
  </si>
  <si>
    <t>莫基</t>
  </si>
  <si>
    <t>缪柏</t>
  </si>
  <si>
    <t>岑历昕</t>
  </si>
  <si>
    <t>詹酒峥</t>
  </si>
  <si>
    <t>谈香双</t>
  </si>
  <si>
    <t>陈重里</t>
  </si>
  <si>
    <t>赖彪盈</t>
  </si>
  <si>
    <t>归晴</t>
  </si>
  <si>
    <t>戚切</t>
  </si>
  <si>
    <t>相杀烟</t>
  </si>
  <si>
    <t>拓跋霞</t>
  </si>
  <si>
    <t>终波夏</t>
  </si>
  <si>
    <t>南宫恒造</t>
  </si>
  <si>
    <t>后麟刀</t>
  </si>
  <si>
    <t>长孙稚</t>
  </si>
  <si>
    <t>翁接鬼</t>
  </si>
  <si>
    <t>汲达浩</t>
  </si>
  <si>
    <t>东冲</t>
  </si>
  <si>
    <t>计势</t>
  </si>
  <si>
    <t>盖菱</t>
  </si>
  <si>
    <t>皇甫潭尽</t>
  </si>
  <si>
    <t>丁棋歌</t>
  </si>
  <si>
    <t>柳忆拾</t>
  </si>
  <si>
    <t>阳尊</t>
  </si>
  <si>
    <t>咸涵</t>
  </si>
  <si>
    <t>萧千家</t>
  </si>
  <si>
    <t>卫江妍</t>
  </si>
  <si>
    <t>蔚庭莹</t>
  </si>
  <si>
    <t>凤伟起</t>
  </si>
  <si>
    <t>仲婵逐</t>
  </si>
  <si>
    <t>丰净示</t>
  </si>
  <si>
    <t>商尊炭</t>
  </si>
  <si>
    <t>咸维椿</t>
  </si>
  <si>
    <t>侯旅成</t>
  </si>
  <si>
    <t>萧馨</t>
  </si>
  <si>
    <t>伏曦</t>
  </si>
  <si>
    <t>戎猎张</t>
  </si>
  <si>
    <t>陈晗芙</t>
  </si>
  <si>
    <t>乌融伟</t>
  </si>
  <si>
    <t>吕墨圆</t>
  </si>
  <si>
    <t>全葵</t>
  </si>
  <si>
    <t>舒发地</t>
  </si>
  <si>
    <t>蒙半弘</t>
  </si>
  <si>
    <t>穆彩</t>
  </si>
  <si>
    <t>卞凉</t>
  </si>
  <si>
    <t>山云千</t>
  </si>
  <si>
    <t>隆蕴露</t>
  </si>
  <si>
    <t>汪莉</t>
  </si>
  <si>
    <t>荆鸿</t>
  </si>
  <si>
    <t>衡御居</t>
  </si>
  <si>
    <t>宫冰欢</t>
  </si>
  <si>
    <t>籍情</t>
  </si>
  <si>
    <t>夏侯忧</t>
  </si>
  <si>
    <t>辛彗敏</t>
  </si>
  <si>
    <t>安光曲</t>
  </si>
  <si>
    <t>山朵弋</t>
  </si>
  <si>
    <t>狄以重</t>
  </si>
  <si>
    <t>廉敏影</t>
  </si>
  <si>
    <t>危非</t>
  </si>
  <si>
    <t>齐制默</t>
  </si>
  <si>
    <t>松情</t>
  </si>
  <si>
    <t>北冥网仁</t>
  </si>
  <si>
    <t>吉梁缺</t>
  </si>
  <si>
    <t>薛人冰</t>
  </si>
  <si>
    <t>敖蕊陵</t>
  </si>
  <si>
    <t>居书</t>
  </si>
  <si>
    <t>勾燕微</t>
  </si>
  <si>
    <t>苍彬雨</t>
  </si>
  <si>
    <t>东门隐超</t>
  </si>
  <si>
    <t>汲尊期</t>
  </si>
  <si>
    <t>季恩黑</t>
  </si>
  <si>
    <t>皮敌</t>
  </si>
  <si>
    <t>封采秋</t>
  </si>
  <si>
    <t>武笛</t>
  </si>
  <si>
    <t>杜进控</t>
  </si>
  <si>
    <t>应领鹏</t>
  </si>
  <si>
    <t>景甜鱼</t>
  </si>
  <si>
    <t>蔡芮澄</t>
  </si>
  <si>
    <t>韶祝与</t>
  </si>
  <si>
    <t>管和简</t>
  </si>
  <si>
    <t>臧实柏</t>
  </si>
  <si>
    <t>红创绪</t>
  </si>
  <si>
    <t>竺赤珍</t>
  </si>
  <si>
    <t>毋谨继</t>
  </si>
  <si>
    <t>武园难</t>
  </si>
  <si>
    <t>邹芮一</t>
  </si>
  <si>
    <t>梅奕</t>
  </si>
  <si>
    <t>干友暗</t>
  </si>
  <si>
    <t>季思</t>
  </si>
  <si>
    <t>云旅架</t>
  </si>
  <si>
    <t>钮质当</t>
  </si>
  <si>
    <t>井雯忧</t>
  </si>
  <si>
    <t>寇原玲</t>
  </si>
  <si>
    <t>廉惜杨</t>
  </si>
  <si>
    <t>仰收</t>
  </si>
  <si>
    <t>毋嫣</t>
  </si>
  <si>
    <t>松听</t>
  </si>
  <si>
    <t>步规</t>
  </si>
  <si>
    <t>柯与</t>
  </si>
  <si>
    <t>宫势</t>
  </si>
  <si>
    <t>荆冲</t>
  </si>
  <si>
    <t>国凰</t>
  </si>
  <si>
    <t>别欢营</t>
  </si>
  <si>
    <t>端木彩</t>
  </si>
  <si>
    <t>督颖楼</t>
  </si>
  <si>
    <t>廖莉来</t>
  </si>
  <si>
    <t>祁观争</t>
  </si>
  <si>
    <t>戴恒柏</t>
  </si>
  <si>
    <t>涂奏璧</t>
  </si>
  <si>
    <t>庄菘软</t>
  </si>
  <si>
    <t>曹息</t>
  </si>
  <si>
    <t>秦鸳人</t>
  </si>
  <si>
    <t>景出俊</t>
  </si>
  <si>
    <t>权六鱼</t>
  </si>
  <si>
    <t>陆曳冬</t>
  </si>
  <si>
    <t>戴百更</t>
  </si>
  <si>
    <t>桑赫仓</t>
  </si>
  <si>
    <t>耿彪明</t>
  </si>
  <si>
    <t>魏柳珂</t>
  </si>
  <si>
    <t>计团</t>
  </si>
  <si>
    <t>晋歆</t>
  </si>
  <si>
    <t>融可璐</t>
  </si>
  <si>
    <t>海诺青</t>
  </si>
  <si>
    <t>戎纯紫</t>
  </si>
  <si>
    <t>田裳倾</t>
  </si>
  <si>
    <t>印寺</t>
  </si>
  <si>
    <t>马剧</t>
  </si>
  <si>
    <t>柏法架</t>
  </si>
  <si>
    <t>荆特叶</t>
  </si>
  <si>
    <t>慎霄贝</t>
  </si>
  <si>
    <t>郑夏娃</t>
  </si>
  <si>
    <t>安磨</t>
  </si>
  <si>
    <t>广术飞</t>
  </si>
  <si>
    <t>程衡征</t>
  </si>
  <si>
    <t>尹子旧</t>
  </si>
  <si>
    <t>朱太立</t>
  </si>
  <si>
    <t>牟征文</t>
  </si>
  <si>
    <t>劳大楚</t>
  </si>
  <si>
    <t>张痛</t>
  </si>
  <si>
    <t>伍分融</t>
  </si>
  <si>
    <t>嵇凤微</t>
  </si>
  <si>
    <t>容莫</t>
  </si>
  <si>
    <t>蔚灰岭</t>
  </si>
  <si>
    <t>慕容文</t>
  </si>
  <si>
    <t>茹桐苍</t>
  </si>
  <si>
    <t>贡媚</t>
  </si>
  <si>
    <t>皇甫环莺</t>
  </si>
  <si>
    <t>牛罡营</t>
  </si>
  <si>
    <t>狄莽园</t>
  </si>
  <si>
    <t>太史敏玲</t>
  </si>
  <si>
    <t>吴曲</t>
  </si>
  <si>
    <t>邵斓</t>
  </si>
  <si>
    <t>堵凡种</t>
  </si>
  <si>
    <t>乐观横</t>
  </si>
  <si>
    <t>薄韵</t>
  </si>
  <si>
    <t>甘控罗</t>
  </si>
  <si>
    <t>钱言燕</t>
  </si>
  <si>
    <t>墨韦灭</t>
  </si>
  <si>
    <t>简神半</t>
  </si>
  <si>
    <t>霍鸣景</t>
  </si>
  <si>
    <t>贲夏墨</t>
  </si>
  <si>
    <t>邓侠跃</t>
  </si>
  <si>
    <t>喻姗尔</t>
  </si>
  <si>
    <t>胥安古</t>
  </si>
  <si>
    <t>禄色石</t>
  </si>
  <si>
    <t>阴蓝蓓</t>
  </si>
  <si>
    <t>竺湖醉</t>
  </si>
  <si>
    <t>卢媚</t>
  </si>
  <si>
    <t>高烟心</t>
  </si>
  <si>
    <t>满笑芙</t>
  </si>
  <si>
    <t>施印横</t>
  </si>
  <si>
    <t>福断</t>
  </si>
  <si>
    <t>福辅</t>
  </si>
  <si>
    <t>容半</t>
  </si>
  <si>
    <t>那殿</t>
  </si>
  <si>
    <t>莘剑团</t>
  </si>
  <si>
    <t>庞冷后</t>
  </si>
  <si>
    <t>嵇刀圭</t>
  </si>
  <si>
    <t>袁娃芬</t>
  </si>
  <si>
    <t>颜壮符</t>
  </si>
  <si>
    <t>晏桃琪</t>
  </si>
  <si>
    <t>段捷祥</t>
  </si>
  <si>
    <t>鲁荧</t>
  </si>
  <si>
    <t>阳言常</t>
  </si>
  <si>
    <t>竺禄</t>
  </si>
  <si>
    <t>敖泉剑</t>
  </si>
  <si>
    <t>王九止</t>
  </si>
  <si>
    <t>翟瑶</t>
  </si>
  <si>
    <t>阮画棉</t>
  </si>
  <si>
    <t>梅涓涌</t>
  </si>
  <si>
    <t>池燧</t>
  </si>
  <si>
    <t>钮绚琢</t>
  </si>
  <si>
    <t>强俏琼</t>
  </si>
  <si>
    <t>濮竹</t>
  </si>
  <si>
    <t>车倾婉</t>
  </si>
  <si>
    <t>琴安</t>
  </si>
  <si>
    <t>黄康</t>
  </si>
  <si>
    <t>曾攻润</t>
  </si>
  <si>
    <t>贡棋亭</t>
  </si>
  <si>
    <t>涂霖</t>
  </si>
  <si>
    <t>隆念乱</t>
  </si>
  <si>
    <t>翟颜行</t>
  </si>
  <si>
    <t>纪步原</t>
  </si>
  <si>
    <t>佟猛宽</t>
  </si>
  <si>
    <t>柯醒</t>
  </si>
  <si>
    <t>伯道涌</t>
  </si>
  <si>
    <t>干夜合</t>
  </si>
  <si>
    <t>熊莹水</t>
  </si>
  <si>
    <t>阴丛宇</t>
  </si>
  <si>
    <t>经铸</t>
  </si>
  <si>
    <t>慎烟菡</t>
  </si>
  <si>
    <t>司徒谷繁</t>
  </si>
  <si>
    <t>左丘袖</t>
  </si>
  <si>
    <t>北堂荷</t>
  </si>
  <si>
    <t>卫赋炭</t>
  </si>
  <si>
    <t>井榭焰</t>
  </si>
  <si>
    <t>公孙断玄</t>
  </si>
  <si>
    <t>和淡贞</t>
  </si>
  <si>
    <t>卓祝君</t>
  </si>
  <si>
    <t>尤惜笑</t>
  </si>
  <si>
    <t>海炎</t>
  </si>
  <si>
    <t>闵能会</t>
  </si>
  <si>
    <t>荀末情</t>
  </si>
  <si>
    <t>涂映静</t>
  </si>
  <si>
    <t>卞旅缺</t>
  </si>
  <si>
    <t>勾经</t>
  </si>
  <si>
    <t>伯君雁</t>
  </si>
  <si>
    <t>寇净</t>
  </si>
  <si>
    <t>葛以丑</t>
  </si>
  <si>
    <t>乐电稚</t>
  </si>
  <si>
    <t>呼延升</t>
  </si>
  <si>
    <t>魏花</t>
  </si>
  <si>
    <t>季环</t>
  </si>
  <si>
    <t>秋阔夕</t>
  </si>
  <si>
    <t>尤陆东</t>
  </si>
  <si>
    <t>盖雄效</t>
  </si>
  <si>
    <t>充嫣留</t>
  </si>
  <si>
    <t>钟离铭</t>
  </si>
  <si>
    <t>冯列亮</t>
  </si>
  <si>
    <t>丰美</t>
  </si>
  <si>
    <t>南门剧权</t>
  </si>
  <si>
    <t>邹菘</t>
  </si>
  <si>
    <t>福秀敏</t>
  </si>
  <si>
    <t>拓跋桑群</t>
  </si>
  <si>
    <t>韩庚</t>
  </si>
  <si>
    <t>周葛坚</t>
  </si>
  <si>
    <t>缪健</t>
  </si>
  <si>
    <t>董书</t>
  </si>
  <si>
    <t>游熔</t>
  </si>
  <si>
    <t>边晓</t>
  </si>
  <si>
    <t>阙萱</t>
  </si>
  <si>
    <t>巩乐琳</t>
  </si>
  <si>
    <t>公孙换域</t>
  </si>
  <si>
    <t>空绮</t>
  </si>
  <si>
    <t>刘蓉</t>
  </si>
  <si>
    <t>奚秉</t>
  </si>
  <si>
    <t>乔古慎</t>
  </si>
  <si>
    <t>轩辕兴</t>
  </si>
  <si>
    <t>苗琳蓝</t>
  </si>
  <si>
    <t>穆间戒</t>
  </si>
  <si>
    <t>百里祷</t>
  </si>
  <si>
    <t>明尊亮</t>
  </si>
  <si>
    <t>丁印宙</t>
  </si>
  <si>
    <t>申凡</t>
  </si>
  <si>
    <t>魏巧末</t>
  </si>
  <si>
    <t>后兵</t>
  </si>
  <si>
    <t>储含</t>
  </si>
  <si>
    <t>蒯晖热</t>
  </si>
  <si>
    <t>茹橙</t>
  </si>
  <si>
    <t>能实群</t>
  </si>
  <si>
    <t>林蓉晶</t>
  </si>
  <si>
    <t>图标</t>
  </si>
  <si>
    <t>初始占领门派</t>
  </si>
  <si>
    <t>相邻地点</t>
  </si>
  <si>
    <t>初始等级</t>
  </si>
  <si>
    <t>背景类型</t>
  </si>
  <si>
    <t>皮肤编号</t>
  </si>
  <si>
    <t>x翻转</t>
  </si>
  <si>
    <t>特产</t>
  </si>
  <si>
    <t>坐标X</t>
  </si>
  <si>
    <t>坐标Y</t>
  </si>
  <si>
    <t>武</t>
  </si>
  <si>
    <t>"x":-1056,"y":-664</t>
  </si>
  <si>
    <t>京城</t>
  </si>
  <si>
    <t>城市</t>
  </si>
  <si>
    <t>20,27,29,40,33,61,46</t>
  </si>
  <si>
    <t>棋谱</t>
  </si>
  <si>
    <t>"x":-4777,"y":-952</t>
  </si>
  <si>
    <t>杭州</t>
  </si>
  <si>
    <t>30,52,14,11,24</t>
  </si>
  <si>
    <t>字帖</t>
  </si>
  <si>
    <t>福州</t>
  </si>
  <si>
    <t>32,13,39,26,62</t>
  </si>
  <si>
    <t>木材 矿料</t>
  </si>
  <si>
    <t>大理</t>
  </si>
  <si>
    <t>12,58,10,16,44</t>
  </si>
  <si>
    <t>食材 毒物</t>
  </si>
  <si>
    <t>幽州</t>
  </si>
  <si>
    <t>57,27,23,65</t>
  </si>
  <si>
    <t>香炉</t>
  </si>
  <si>
    <t>晋阳</t>
  </si>
  <si>
    <t>59,20,28,40</t>
  </si>
  <si>
    <t>画本</t>
  </si>
  <si>
    <t>成都</t>
  </si>
  <si>
    <t>10,31,45,22</t>
  </si>
  <si>
    <t>酒器</t>
  </si>
  <si>
    <t>西凉</t>
  </si>
  <si>
    <t>18,17,19,42,51</t>
  </si>
  <si>
    <t>珠玉</t>
  </si>
  <si>
    <t>江陵</t>
  </si>
  <si>
    <t>55,41,29,39,13</t>
  </si>
  <si>
    <t>史书</t>
  </si>
  <si>
    <t>扬州</t>
  </si>
  <si>
    <t>46,30,25,65</t>
  </si>
  <si>
    <t>服饰</t>
  </si>
  <si>
    <t>乐山镇</t>
  </si>
  <si>
    <t>村镇</t>
  </si>
  <si>
    <t>3,58,6,38,55</t>
  </si>
  <si>
    <t>太平乡</t>
  </si>
  <si>
    <t>1,36,53,47</t>
  </si>
  <si>
    <t>剑川镇</t>
  </si>
  <si>
    <t>37,3,64</t>
  </si>
  <si>
    <t>清远乡</t>
  </si>
  <si>
    <t>2,8,63</t>
  </si>
  <si>
    <t>富阳镇</t>
  </si>
  <si>
    <t>25,36,1,52</t>
  </si>
  <si>
    <t>那曲乡</t>
  </si>
  <si>
    <t>48,49,66,68</t>
  </si>
  <si>
    <t>玉溪村</t>
  </si>
  <si>
    <t>3,38,50,63</t>
  </si>
  <si>
    <t>灵台村</t>
  </si>
  <si>
    <t>7,45,31,18,66</t>
  </si>
  <si>
    <t>酒泉村</t>
  </si>
  <si>
    <t>7,17,49,51,66</t>
  </si>
  <si>
    <t>陇西县</t>
  </si>
  <si>
    <t>34,42,22,7,45,54</t>
  </si>
  <si>
    <t>河内乡</t>
  </si>
  <si>
    <t>40,0,34,5</t>
  </si>
  <si>
    <t>昌都镇</t>
  </si>
  <si>
    <t>37,48,60,64</t>
  </si>
  <si>
    <t>巴陵村</t>
  </si>
  <si>
    <t>6,19,54,41,55</t>
  </si>
  <si>
    <t>怀柔村</t>
  </si>
  <si>
    <t>4,43</t>
  </si>
  <si>
    <t>当涂镇</t>
  </si>
  <si>
    <t>1,33,30,62,67</t>
  </si>
  <si>
    <t>高邮镇</t>
  </si>
  <si>
    <t>9,14,52,56,65</t>
  </si>
  <si>
    <t>宁化乡</t>
  </si>
  <si>
    <t>2,47</t>
  </si>
  <si>
    <t>襄垣村</t>
  </si>
  <si>
    <t>0,4,35,46,40,57</t>
  </si>
  <si>
    <t>武邑乡</t>
  </si>
  <si>
    <t>5,57</t>
  </si>
  <si>
    <t>云梦乡</t>
  </si>
  <si>
    <t>0,33,8,61,67</t>
  </si>
  <si>
    <t>1,9,24</t>
  </si>
  <si>
    <t>6,17,58,68</t>
  </si>
  <si>
    <t>2,63</t>
  </si>
  <si>
    <t>0,24,29,67</t>
  </si>
  <si>
    <t>19,20,61</t>
  </si>
  <si>
    <t>27,65</t>
  </si>
  <si>
    <t>53,11,14</t>
  </si>
  <si>
    <t>12,21</t>
  </si>
  <si>
    <t>10,16,63</t>
  </si>
  <si>
    <t>8,2,67</t>
  </si>
  <si>
    <t>0,5,27,20</t>
  </si>
  <si>
    <t>8,22,61</t>
  </si>
  <si>
    <t>59,19,7</t>
  </si>
  <si>
    <t>23,65</t>
  </si>
  <si>
    <t>3,64</t>
  </si>
  <si>
    <t>17,19,6</t>
  </si>
  <si>
    <t>0,9,27</t>
  </si>
  <si>
    <t>26,11,53,62</t>
  </si>
  <si>
    <t>15,21,60</t>
  </si>
  <si>
    <t>15,18</t>
  </si>
  <si>
    <t>普通门派</t>
  </si>
  <si>
    <t>16,63</t>
  </si>
  <si>
    <t>7,18</t>
  </si>
  <si>
    <t>25,1,14</t>
  </si>
  <si>
    <t>47,11,36</t>
  </si>
  <si>
    <t>19,22,61</t>
  </si>
  <si>
    <t>22,8,10</t>
  </si>
  <si>
    <t>25,65</t>
  </si>
  <si>
    <t>4,27,28</t>
  </si>
  <si>
    <t>3,31,10</t>
  </si>
  <si>
    <t>5,42</t>
  </si>
  <si>
    <t>逻娑</t>
  </si>
  <si>
    <t>48,21,64,68</t>
  </si>
  <si>
    <t>药引</t>
  </si>
  <si>
    <t>朱仙镇</t>
  </si>
  <si>
    <t>0,29,34,41,54</t>
  </si>
  <si>
    <t>景德镇</t>
  </si>
  <si>
    <t>2,24,47,67</t>
  </si>
  <si>
    <t>佛山镇</t>
  </si>
  <si>
    <t>13,16,32,38,50</t>
  </si>
  <si>
    <t>腾冲府</t>
  </si>
  <si>
    <t>12,21,44,60</t>
  </si>
  <si>
    <t>板桥镇</t>
  </si>
  <si>
    <t>4,9,25,35,43,56</t>
  </si>
  <si>
    <t>灵州</t>
  </si>
  <si>
    <t>15,17,18,68</t>
  </si>
  <si>
    <t>乐器</t>
  </si>
  <si>
    <t>应天</t>
  </si>
  <si>
    <t>24,29,33,39,62</t>
  </si>
  <si>
    <t>典籍</t>
  </si>
  <si>
    <t>墨脱县</t>
  </si>
  <si>
    <t>15,31,60,66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</si>
</sst>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1">
    <font>
      <sz val="11.0"/>
      <color theme="1"/>
      <name val="Calibri"/>
      <scheme val="minor"/>
    </font>
    <font>
      <b/>
      <sz val="11.0"/>
      <color theme="1"/>
      <name val="等线"/>
    </font>
    <font>
      <sz val="11.0"/>
      <color theme="1"/>
      <name val="等线"/>
    </font>
    <font>
      <color theme="1"/>
      <name val="Calibri"/>
      <scheme val="minor"/>
    </font>
    <font>
      <u/>
      <sz val="11.0"/>
      <color theme="10"/>
      <name val="等线"/>
    </font>
    <font>
      <u/>
      <color rgb="FF0000FF"/>
    </font>
    <font>
      <b/>
      <sz val="11.0"/>
      <color rgb="FF000000"/>
      <name val="等线"/>
    </font>
    <font>
      <sz val="11.0"/>
      <color rgb="FF000000"/>
      <name val="等线"/>
    </font>
    <font>
      <b/>
      <sz val="11.0"/>
      <color theme="0"/>
      <name val="等线"/>
    </font>
    <font>
      <b/>
      <sz val="11.0"/>
      <color rgb="FF3F3F3F"/>
      <name val="等线"/>
    </font>
    <font>
      <sz val="11.0"/>
      <color rgb="FF3F3F76"/>
      <name val="等线"/>
    </font>
  </fonts>
  <fills count="6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</fills>
  <borders count="6">
    <border/>
    <border>
      <left style="medium">
        <color rgb="FF535354"/>
      </lef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2" fillId="2" fontId="8" numFmtId="0" xfId="0" applyAlignment="1" applyBorder="1" applyFill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left" vertical="center"/>
    </xf>
    <xf borderId="3" fillId="3" fontId="9" numFmtId="0" xfId="0" applyAlignment="1" applyBorder="1" applyFill="1" applyFont="1">
      <alignment horizontal="center" vertical="center"/>
    </xf>
    <xf borderId="3" fillId="2" fontId="9" numFmtId="0" xfId="0" applyAlignment="1" applyBorder="1" applyFont="1">
      <alignment horizontal="center" readingOrder="0" vertical="center"/>
    </xf>
    <xf borderId="3" fillId="3" fontId="9" numFmtId="0" xfId="0" applyAlignment="1" applyBorder="1" applyFont="1">
      <alignment horizontal="left" vertical="center"/>
    </xf>
    <xf borderId="3" fillId="3" fontId="9" numFmtId="0" xfId="0" applyAlignment="1" applyBorder="1" applyFont="1">
      <alignment horizontal="left" vertical="center"/>
    </xf>
    <xf borderId="4" fillId="2" fontId="2" numFmtId="0" xfId="0" applyBorder="1" applyFont="1"/>
    <xf borderId="0" fillId="0" fontId="3" numFmtId="0" xfId="0" applyAlignment="1" applyFont="1">
      <alignment horizontal="left"/>
    </xf>
    <xf borderId="2" fillId="2" fontId="8" numFmtId="0" xfId="0" applyBorder="1" applyFont="1"/>
    <xf borderId="4" fillId="2" fontId="2" numFmtId="0" xfId="0" applyAlignment="1" applyBorder="1" applyFont="1">
      <alignment readingOrder="0"/>
    </xf>
    <xf borderId="4" fillId="3" fontId="9" numFmtId="0" xfId="0" applyAlignment="1" applyBorder="1" applyFont="1">
      <alignment horizontal="center" vertical="center"/>
    </xf>
    <xf borderId="5" fillId="4" fontId="10" numFmtId="0" xfId="0" applyBorder="1" applyFill="1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7" numFmtId="0" xfId="0" applyAlignment="1" applyFont="1">
      <alignment horizontal="left"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right" readingOrder="0" shrinkToFit="0" wrapText="0"/>
    </xf>
    <xf borderId="2" fillId="2" fontId="8" numFmtId="0" xfId="0" applyAlignment="1" applyBorder="1" applyFont="1">
      <alignment vertical="center"/>
    </xf>
    <xf borderId="4" fillId="5" fontId="2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>
        <u/>
      </font>
      <fill>
        <patternFill patternType="solid">
          <fgColor rgb="FFFEF2CB"/>
          <bgColor rgb="FFFEF2CB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.steampowered.com/curator/26214428" TargetMode="External"/><Relationship Id="rId2" Type="http://schemas.openxmlformats.org/officeDocument/2006/relationships/hyperlink" Target="https://steamcommunity.com/sharedfiles/filedetails/?id=368595911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0.0"/>
    <col customWidth="1" min="4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B6" s="1" t="s">
        <v>0</v>
      </c>
      <c r="C6" s="2">
        <v>46097.0</v>
      </c>
    </row>
    <row r="7" ht="14.25" customHeight="1"/>
    <row r="8" ht="14.25" customHeight="1">
      <c r="B8" s="3">
        <v>1.0</v>
      </c>
      <c r="C8" s="3" t="s">
        <v>1</v>
      </c>
    </row>
    <row r="9" ht="14.25" customHeight="1">
      <c r="B9" s="3">
        <v>2.0</v>
      </c>
      <c r="C9" s="3" t="s">
        <v>2</v>
      </c>
    </row>
    <row r="10" ht="14.25" customHeight="1">
      <c r="B10" s="3">
        <v>3.0</v>
      </c>
      <c r="C10" s="3" t="s">
        <v>3</v>
      </c>
    </row>
    <row r="11" ht="14.25" customHeight="1"/>
    <row r="12" ht="14.25" customHeight="1">
      <c r="B12" s="4" t="s">
        <v>4</v>
      </c>
    </row>
    <row r="13" ht="14.25" customHeight="1">
      <c r="B13" s="1" t="s">
        <v>5</v>
      </c>
    </row>
    <row r="14" ht="14.25" customHeight="1"/>
    <row r="15" ht="14.25" customHeight="1">
      <c r="B15" s="5" t="s">
        <v>6</v>
      </c>
      <c r="C15" s="6" t="s">
        <v>7</v>
      </c>
    </row>
    <row r="16" ht="14.25" customHeight="1"/>
    <row r="17" ht="14.25" customHeight="1"/>
    <row r="18" ht="14.25" customHeight="1">
      <c r="B18" s="7" t="s">
        <v>8</v>
      </c>
    </row>
    <row r="19" ht="14.25" customHeight="1">
      <c r="B19" s="8">
        <v>46097.0</v>
      </c>
      <c r="C19" s="9" t="s">
        <v>9</v>
      </c>
    </row>
    <row r="20" ht="14.25" customHeight="1">
      <c r="B20" s="8">
        <v>46097.0</v>
      </c>
      <c r="C20" s="5" t="s">
        <v>10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2:H12"/>
  </mergeCells>
  <hyperlinks>
    <hyperlink r:id="rId1" ref="B12"/>
    <hyperlink r:id="rId2" ref="C15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4" width="5.29"/>
    <col customWidth="1" min="5" max="5" width="13.0"/>
    <col customWidth="1" min="6" max="6" width="39.29"/>
    <col customWidth="1" min="7" max="7" width="104.0"/>
    <col customWidth="1" min="8" max="9" width="8.71"/>
    <col customWidth="1" min="10" max="10" width="55.0"/>
    <col customWidth="1" min="11" max="12" width="7.0"/>
    <col customWidth="1" min="13" max="42" width="5.57"/>
    <col customWidth="1" min="43" max="43" width="86.29"/>
    <col customWidth="1" min="44" max="44" width="30.14"/>
    <col customWidth="1" min="45" max="45" width="27.43"/>
    <col customWidth="1" min="46" max="47" width="8.71"/>
    <col customWidth="1" min="48" max="48" width="37.57"/>
    <col customWidth="1" min="49" max="51" width="8.71"/>
    <col customWidth="1" min="52" max="53" width="14.57"/>
    <col customWidth="1" min="54" max="54" width="7.0"/>
    <col customWidth="1" min="55" max="55" width="8.71"/>
    <col customWidth="1" min="56" max="56" width="7.0"/>
    <col customWidth="1" min="57" max="57" width="16.14"/>
    <col customWidth="1" min="58" max="58" width="72.29"/>
    <col customWidth="1" min="59" max="61" width="8.71"/>
    <col customWidth="1" min="62" max="62" width="4.86"/>
    <col customWidth="1" min="63" max="63" width="5.29"/>
  </cols>
  <sheetData>
    <row r="1" ht="14.25" customHeight="1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1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12" t="s">
        <v>41</v>
      </c>
      <c r="AF1" s="12" t="s">
        <v>42</v>
      </c>
      <c r="AG1" s="12" t="s">
        <v>43</v>
      </c>
      <c r="AH1" s="12" t="s">
        <v>44</v>
      </c>
      <c r="AI1" s="12" t="s">
        <v>45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51</v>
      </c>
      <c r="AP1" s="12" t="s">
        <v>52</v>
      </c>
      <c r="AQ1" s="10" t="s">
        <v>53</v>
      </c>
      <c r="AR1" s="10" t="s">
        <v>54</v>
      </c>
      <c r="AS1" s="10" t="s">
        <v>55</v>
      </c>
      <c r="AT1" s="10" t="s">
        <v>56</v>
      </c>
      <c r="AU1" s="10" t="s">
        <v>57</v>
      </c>
      <c r="AV1" s="10" t="s">
        <v>58</v>
      </c>
      <c r="AW1" s="10" t="s">
        <v>59</v>
      </c>
      <c r="AX1" s="10" t="s">
        <v>60</v>
      </c>
      <c r="AY1" s="10" t="s">
        <v>61</v>
      </c>
      <c r="AZ1" s="10" t="s">
        <v>62</v>
      </c>
      <c r="BA1" s="10" t="s">
        <v>63</v>
      </c>
      <c r="BB1" s="10" t="s">
        <v>64</v>
      </c>
      <c r="BC1" s="10" t="s">
        <v>65</v>
      </c>
      <c r="BD1" s="10" t="s">
        <v>66</v>
      </c>
      <c r="BE1" s="10" t="s">
        <v>67</v>
      </c>
      <c r="BF1" s="10" t="s">
        <v>68</v>
      </c>
      <c r="BG1" s="10" t="s">
        <v>69</v>
      </c>
      <c r="BH1" s="10" t="s">
        <v>70</v>
      </c>
      <c r="BI1" s="10" t="s">
        <v>71</v>
      </c>
      <c r="BJ1" s="10" t="s">
        <v>72</v>
      </c>
      <c r="BK1" s="10" t="s">
        <v>73</v>
      </c>
    </row>
    <row r="2" ht="14.25" customHeight="1">
      <c r="A2" s="13">
        <v>0.0</v>
      </c>
      <c r="B2" s="13" t="s">
        <v>44</v>
      </c>
      <c r="C2" s="13">
        <v>0.0</v>
      </c>
      <c r="D2" s="14">
        <v>0.0</v>
      </c>
      <c r="E2" s="13" t="s">
        <v>74</v>
      </c>
      <c r="F2" s="15" t="s">
        <v>75</v>
      </c>
      <c r="G2" s="16" t="s">
        <v>76</v>
      </c>
      <c r="H2" s="13"/>
      <c r="I2" s="13">
        <v>0.9</v>
      </c>
      <c r="J2" s="13" t="s">
        <v>77</v>
      </c>
      <c r="K2" s="13">
        <f t="shared" ref="K2:K997" si="3">SUM(M2:AA2)</f>
        <v>0</v>
      </c>
      <c r="L2" s="13">
        <f t="shared" ref="L2:L997" si="4">SUM(AB2:AP2)</f>
        <v>2</v>
      </c>
      <c r="M2" s="13">
        <f t="shared" ref="M2:AA2" si="1">IFERROR(VALUE(RIGHT(LEFT($J2,FIND(M$1,$J2,1)+LEN(M$1)),1)),0)</f>
        <v>0</v>
      </c>
      <c r="N2" s="13">
        <f t="shared" si="1"/>
        <v>0</v>
      </c>
      <c r="O2" s="13">
        <f t="shared" si="1"/>
        <v>0</v>
      </c>
      <c r="P2" s="13">
        <f t="shared" si="1"/>
        <v>0</v>
      </c>
      <c r="Q2" s="13">
        <f t="shared" si="1"/>
        <v>0</v>
      </c>
      <c r="R2" s="13">
        <f t="shared" si="1"/>
        <v>0</v>
      </c>
      <c r="S2" s="13">
        <f t="shared" si="1"/>
        <v>0</v>
      </c>
      <c r="T2" s="13">
        <f t="shared" si="1"/>
        <v>0</v>
      </c>
      <c r="U2" s="13">
        <f t="shared" si="1"/>
        <v>0</v>
      </c>
      <c r="V2" s="13">
        <f t="shared" si="1"/>
        <v>0</v>
      </c>
      <c r="W2" s="13">
        <f t="shared" si="1"/>
        <v>0</v>
      </c>
      <c r="X2" s="13">
        <f t="shared" si="1"/>
        <v>0</v>
      </c>
      <c r="Y2" s="13">
        <f t="shared" si="1"/>
        <v>0</v>
      </c>
      <c r="Z2" s="13">
        <f t="shared" si="1"/>
        <v>0</v>
      </c>
      <c r="AA2" s="13">
        <f t="shared" si="1"/>
        <v>0</v>
      </c>
      <c r="AB2" s="13">
        <f t="shared" ref="AB2:AP2" si="2">IFERROR(VALUE(RIGHT(LEFT($J2,FIND(AB$1,$J2,IF(M2=0,1,FIND(AB$1,$J2,1)+1))+LEN(AB$1)),1)),0)</f>
        <v>0</v>
      </c>
      <c r="AC2" s="13">
        <f t="shared" si="2"/>
        <v>0</v>
      </c>
      <c r="AD2" s="13">
        <f t="shared" si="2"/>
        <v>0</v>
      </c>
      <c r="AE2" s="13">
        <f t="shared" si="2"/>
        <v>0</v>
      </c>
      <c r="AF2" s="13">
        <f t="shared" si="2"/>
        <v>0</v>
      </c>
      <c r="AG2" s="13">
        <f t="shared" si="2"/>
        <v>1</v>
      </c>
      <c r="AH2" s="13">
        <f t="shared" si="2"/>
        <v>1</v>
      </c>
      <c r="AI2" s="13">
        <f t="shared" si="2"/>
        <v>0</v>
      </c>
      <c r="AJ2" s="13">
        <f t="shared" si="2"/>
        <v>0</v>
      </c>
      <c r="AK2" s="13">
        <f t="shared" si="2"/>
        <v>0</v>
      </c>
      <c r="AL2" s="13">
        <f t="shared" si="2"/>
        <v>0</v>
      </c>
      <c r="AM2" s="13">
        <f t="shared" si="2"/>
        <v>0</v>
      </c>
      <c r="AN2" s="13">
        <f t="shared" si="2"/>
        <v>0</v>
      </c>
      <c r="AO2" s="13">
        <f t="shared" si="2"/>
        <v>0</v>
      </c>
      <c r="AP2" s="13">
        <f t="shared" si="2"/>
        <v>0</v>
      </c>
      <c r="AQ2" s="13" t="s">
        <v>78</v>
      </c>
      <c r="AR2" s="13"/>
      <c r="AS2" s="13"/>
      <c r="AT2" s="13"/>
      <c r="AU2" s="13"/>
      <c r="AV2" s="13"/>
      <c r="AW2" s="13">
        <v>0.0</v>
      </c>
      <c r="AX2" s="13">
        <v>-1.0</v>
      </c>
      <c r="AY2" s="13">
        <v>0.0</v>
      </c>
      <c r="AZ2" s="13"/>
      <c r="BA2" s="13"/>
      <c r="BB2" s="13"/>
      <c r="BC2" s="13"/>
      <c r="BD2" s="13"/>
      <c r="BE2" s="13"/>
      <c r="BF2" s="13"/>
      <c r="BG2" s="13"/>
      <c r="BH2" s="13" t="s">
        <v>79</v>
      </c>
      <c r="BI2" s="13" t="b">
        <v>0</v>
      </c>
      <c r="BJ2" s="13">
        <v>0.0</v>
      </c>
      <c r="BK2" s="13">
        <v>0.0</v>
      </c>
    </row>
    <row r="3" ht="14.25" customHeight="1">
      <c r="A3" s="13">
        <v>1.0</v>
      </c>
      <c r="B3" s="13" t="s">
        <v>44</v>
      </c>
      <c r="C3" s="13">
        <v>0.0</v>
      </c>
      <c r="D3" s="14">
        <v>0.0</v>
      </c>
      <c r="E3" s="13" t="s">
        <v>80</v>
      </c>
      <c r="F3" s="15" t="s">
        <v>81</v>
      </c>
      <c r="G3" s="16" t="s">
        <v>82</v>
      </c>
      <c r="H3" s="13"/>
      <c r="I3" s="13">
        <v>1.0</v>
      </c>
      <c r="J3" s="13" t="s">
        <v>83</v>
      </c>
      <c r="K3" s="13">
        <f t="shared" si="3"/>
        <v>0</v>
      </c>
      <c r="L3" s="13">
        <f t="shared" si="4"/>
        <v>2</v>
      </c>
      <c r="M3" s="13">
        <f t="shared" ref="M3:AA3" si="5">IFERROR(VALUE(RIGHT(LEFT($J3,FIND(M$1,$J3,1)+LEN(M$1)),1)),0)</f>
        <v>0</v>
      </c>
      <c r="N3" s="13">
        <f t="shared" si="5"/>
        <v>0</v>
      </c>
      <c r="O3" s="13">
        <f t="shared" si="5"/>
        <v>0</v>
      </c>
      <c r="P3" s="13">
        <f t="shared" si="5"/>
        <v>0</v>
      </c>
      <c r="Q3" s="13">
        <f t="shared" si="5"/>
        <v>0</v>
      </c>
      <c r="R3" s="13">
        <f t="shared" si="5"/>
        <v>0</v>
      </c>
      <c r="S3" s="13">
        <f t="shared" si="5"/>
        <v>0</v>
      </c>
      <c r="T3" s="13">
        <f t="shared" si="5"/>
        <v>0</v>
      </c>
      <c r="U3" s="13">
        <f t="shared" si="5"/>
        <v>0</v>
      </c>
      <c r="V3" s="13">
        <f t="shared" si="5"/>
        <v>0</v>
      </c>
      <c r="W3" s="13">
        <f t="shared" si="5"/>
        <v>0</v>
      </c>
      <c r="X3" s="13">
        <f t="shared" si="5"/>
        <v>0</v>
      </c>
      <c r="Y3" s="13">
        <f t="shared" si="5"/>
        <v>0</v>
      </c>
      <c r="Z3" s="13">
        <f t="shared" si="5"/>
        <v>0</v>
      </c>
      <c r="AA3" s="13">
        <f t="shared" si="5"/>
        <v>0</v>
      </c>
      <c r="AB3" s="13">
        <f t="shared" ref="AB3:AP3" si="6">IFERROR(VALUE(RIGHT(LEFT($J3,FIND(AB$1,$J3,IF(M3=0,1,FIND(AB$1,$J3,1)+1))+LEN(AB$1)),1)),0)</f>
        <v>1</v>
      </c>
      <c r="AC3" s="13">
        <f t="shared" si="6"/>
        <v>0</v>
      </c>
      <c r="AD3" s="13">
        <f t="shared" si="6"/>
        <v>0</v>
      </c>
      <c r="AE3" s="13">
        <f t="shared" si="6"/>
        <v>0</v>
      </c>
      <c r="AF3" s="13">
        <f t="shared" si="6"/>
        <v>0</v>
      </c>
      <c r="AG3" s="13">
        <f t="shared" si="6"/>
        <v>0</v>
      </c>
      <c r="AH3" s="13">
        <f t="shared" si="6"/>
        <v>1</v>
      </c>
      <c r="AI3" s="13">
        <f t="shared" si="6"/>
        <v>0</v>
      </c>
      <c r="AJ3" s="13">
        <f t="shared" si="6"/>
        <v>0</v>
      </c>
      <c r="AK3" s="13">
        <f t="shared" si="6"/>
        <v>0</v>
      </c>
      <c r="AL3" s="13">
        <f t="shared" si="6"/>
        <v>0</v>
      </c>
      <c r="AM3" s="13">
        <f t="shared" si="6"/>
        <v>0</v>
      </c>
      <c r="AN3" s="13">
        <f t="shared" si="6"/>
        <v>0</v>
      </c>
      <c r="AO3" s="13">
        <f t="shared" si="6"/>
        <v>0</v>
      </c>
      <c r="AP3" s="13">
        <f t="shared" si="6"/>
        <v>0</v>
      </c>
      <c r="AQ3" s="13" t="s">
        <v>84</v>
      </c>
      <c r="AR3" s="13"/>
      <c r="AS3" s="13" t="s">
        <v>85</v>
      </c>
      <c r="AT3" s="13"/>
      <c r="AU3" s="13"/>
      <c r="AV3" s="13"/>
      <c r="AW3" s="13">
        <v>0.0</v>
      </c>
      <c r="AX3" s="13">
        <v>-1.0</v>
      </c>
      <c r="AY3" s="13">
        <v>0.0</v>
      </c>
      <c r="AZ3" s="13"/>
      <c r="BA3" s="13"/>
      <c r="BB3" s="13"/>
      <c r="BC3" s="13"/>
      <c r="BD3" s="13"/>
      <c r="BE3" s="13"/>
      <c r="BF3" s="13"/>
      <c r="BG3" s="13"/>
      <c r="BH3" s="13" t="s">
        <v>79</v>
      </c>
      <c r="BI3" s="13" t="b">
        <v>0</v>
      </c>
      <c r="BJ3" s="13">
        <v>0.0</v>
      </c>
      <c r="BK3" s="13">
        <v>0.0</v>
      </c>
    </row>
    <row r="4" ht="14.25" customHeight="1">
      <c r="A4" s="13">
        <v>2.0</v>
      </c>
      <c r="B4" s="13" t="s">
        <v>44</v>
      </c>
      <c r="C4" s="13">
        <v>0.0</v>
      </c>
      <c r="D4" s="14">
        <v>0.0</v>
      </c>
      <c r="E4" s="13" t="s">
        <v>86</v>
      </c>
      <c r="F4" s="15" t="s">
        <v>87</v>
      </c>
      <c r="G4" s="16" t="s">
        <v>88</v>
      </c>
      <c r="H4" s="13"/>
      <c r="I4" s="13">
        <v>1.1</v>
      </c>
      <c r="J4" s="13" t="s">
        <v>89</v>
      </c>
      <c r="K4" s="13">
        <f t="shared" si="3"/>
        <v>0</v>
      </c>
      <c r="L4" s="13">
        <f t="shared" si="4"/>
        <v>2</v>
      </c>
      <c r="M4" s="13">
        <f t="shared" ref="M4:AA4" si="7">IFERROR(VALUE(RIGHT(LEFT($J4,FIND(M$1,$J4,1)+LEN(M$1)),1)),0)</f>
        <v>0</v>
      </c>
      <c r="N4" s="13">
        <f t="shared" si="7"/>
        <v>0</v>
      </c>
      <c r="O4" s="13">
        <f t="shared" si="7"/>
        <v>0</v>
      </c>
      <c r="P4" s="13">
        <f t="shared" si="7"/>
        <v>0</v>
      </c>
      <c r="Q4" s="13">
        <f t="shared" si="7"/>
        <v>0</v>
      </c>
      <c r="R4" s="13">
        <f t="shared" si="7"/>
        <v>0</v>
      </c>
      <c r="S4" s="13">
        <f t="shared" si="7"/>
        <v>0</v>
      </c>
      <c r="T4" s="13">
        <f t="shared" si="7"/>
        <v>0</v>
      </c>
      <c r="U4" s="13">
        <f t="shared" si="7"/>
        <v>0</v>
      </c>
      <c r="V4" s="13">
        <f t="shared" si="7"/>
        <v>0</v>
      </c>
      <c r="W4" s="13">
        <f t="shared" si="7"/>
        <v>0</v>
      </c>
      <c r="X4" s="13">
        <f t="shared" si="7"/>
        <v>0</v>
      </c>
      <c r="Y4" s="13">
        <f t="shared" si="7"/>
        <v>0</v>
      </c>
      <c r="Z4" s="13">
        <f t="shared" si="7"/>
        <v>0</v>
      </c>
      <c r="AA4" s="13">
        <f t="shared" si="7"/>
        <v>0</v>
      </c>
      <c r="AB4" s="13">
        <f t="shared" ref="AB4:AP4" si="8">IFERROR(VALUE(RIGHT(LEFT($J4,FIND(AB$1,$J4,IF(M4=0,1,FIND(AB$1,$J4,1)+1))+LEN(AB$1)),1)),0)</f>
        <v>0</v>
      </c>
      <c r="AC4" s="13">
        <f t="shared" si="8"/>
        <v>0</v>
      </c>
      <c r="AD4" s="13">
        <f t="shared" si="8"/>
        <v>1</v>
      </c>
      <c r="AE4" s="13">
        <f t="shared" si="8"/>
        <v>0</v>
      </c>
      <c r="AF4" s="13">
        <f t="shared" si="8"/>
        <v>1</v>
      </c>
      <c r="AG4" s="13">
        <f t="shared" si="8"/>
        <v>0</v>
      </c>
      <c r="AH4" s="13">
        <f t="shared" si="8"/>
        <v>0</v>
      </c>
      <c r="AI4" s="13">
        <f t="shared" si="8"/>
        <v>0</v>
      </c>
      <c r="AJ4" s="13">
        <f t="shared" si="8"/>
        <v>0</v>
      </c>
      <c r="AK4" s="13">
        <f t="shared" si="8"/>
        <v>0</v>
      </c>
      <c r="AL4" s="13">
        <f t="shared" si="8"/>
        <v>0</v>
      </c>
      <c r="AM4" s="13">
        <f t="shared" si="8"/>
        <v>0</v>
      </c>
      <c r="AN4" s="13">
        <f t="shared" si="8"/>
        <v>0</v>
      </c>
      <c r="AO4" s="13">
        <f t="shared" si="8"/>
        <v>0</v>
      </c>
      <c r="AP4" s="13">
        <f t="shared" si="8"/>
        <v>0</v>
      </c>
      <c r="AQ4" s="13" t="s">
        <v>90</v>
      </c>
      <c r="AR4" s="13"/>
      <c r="AS4" s="13" t="s">
        <v>91</v>
      </c>
      <c r="AT4" s="13"/>
      <c r="AU4" s="13"/>
      <c r="AV4" s="13"/>
      <c r="AW4" s="13">
        <v>0.0</v>
      </c>
      <c r="AX4" s="13">
        <v>-1.0</v>
      </c>
      <c r="AY4" s="13">
        <v>0.0</v>
      </c>
      <c r="AZ4" s="13"/>
      <c r="BA4" s="13"/>
      <c r="BB4" s="13"/>
      <c r="BC4" s="13"/>
      <c r="BD4" s="13"/>
      <c r="BE4" s="13"/>
      <c r="BF4" s="13"/>
      <c r="BG4" s="13"/>
      <c r="BH4" s="13" t="s">
        <v>79</v>
      </c>
      <c r="BI4" s="13" t="b">
        <v>0</v>
      </c>
      <c r="BJ4" s="13">
        <v>0.0</v>
      </c>
      <c r="BK4" s="13">
        <v>0.0</v>
      </c>
    </row>
    <row r="5" ht="14.25" customHeight="1">
      <c r="A5" s="13">
        <v>3.0</v>
      </c>
      <c r="B5" s="13" t="s">
        <v>45</v>
      </c>
      <c r="C5" s="13">
        <v>0.0</v>
      </c>
      <c r="D5" s="14">
        <v>0.0</v>
      </c>
      <c r="E5" s="13" t="s">
        <v>92</v>
      </c>
      <c r="F5" s="15" t="s">
        <v>93</v>
      </c>
      <c r="G5" s="16" t="s">
        <v>94</v>
      </c>
      <c r="H5" s="13"/>
      <c r="I5" s="13">
        <v>1.0</v>
      </c>
      <c r="J5" s="13" t="s">
        <v>95</v>
      </c>
      <c r="K5" s="13">
        <f t="shared" si="3"/>
        <v>0</v>
      </c>
      <c r="L5" s="13">
        <f t="shared" si="4"/>
        <v>1</v>
      </c>
      <c r="M5" s="13">
        <f t="shared" ref="M5:AA5" si="9">IFERROR(VALUE(RIGHT(LEFT($J5,FIND(M$1,$J5,1)+LEN(M$1)),1)),0)</f>
        <v>0</v>
      </c>
      <c r="N5" s="13">
        <f t="shared" si="9"/>
        <v>0</v>
      </c>
      <c r="O5" s="13">
        <f t="shared" si="9"/>
        <v>0</v>
      </c>
      <c r="P5" s="13">
        <f t="shared" si="9"/>
        <v>0</v>
      </c>
      <c r="Q5" s="13">
        <f t="shared" si="9"/>
        <v>0</v>
      </c>
      <c r="R5" s="13">
        <f t="shared" si="9"/>
        <v>0</v>
      </c>
      <c r="S5" s="13">
        <f t="shared" si="9"/>
        <v>0</v>
      </c>
      <c r="T5" s="13">
        <f t="shared" si="9"/>
        <v>0</v>
      </c>
      <c r="U5" s="13">
        <f t="shared" si="9"/>
        <v>0</v>
      </c>
      <c r="V5" s="13">
        <f t="shared" si="9"/>
        <v>0</v>
      </c>
      <c r="W5" s="13">
        <f t="shared" si="9"/>
        <v>0</v>
      </c>
      <c r="X5" s="13">
        <f t="shared" si="9"/>
        <v>0</v>
      </c>
      <c r="Y5" s="13">
        <f t="shared" si="9"/>
        <v>0</v>
      </c>
      <c r="Z5" s="13">
        <f t="shared" si="9"/>
        <v>0</v>
      </c>
      <c r="AA5" s="13">
        <f t="shared" si="9"/>
        <v>0</v>
      </c>
      <c r="AB5" s="13">
        <f t="shared" ref="AB5:AP5" si="10">IFERROR(VALUE(RIGHT(LEFT($J5,FIND(AB$1,$J5,IF(M5=0,1,FIND(AB$1,$J5,1)+1))+LEN(AB$1)),1)),0)</f>
        <v>0</v>
      </c>
      <c r="AC5" s="13">
        <f t="shared" si="10"/>
        <v>1</v>
      </c>
      <c r="AD5" s="13">
        <f t="shared" si="10"/>
        <v>0</v>
      </c>
      <c r="AE5" s="13">
        <f t="shared" si="10"/>
        <v>0</v>
      </c>
      <c r="AF5" s="13">
        <f t="shared" si="10"/>
        <v>0</v>
      </c>
      <c r="AG5" s="13">
        <f t="shared" si="10"/>
        <v>0</v>
      </c>
      <c r="AH5" s="13">
        <f t="shared" si="10"/>
        <v>0</v>
      </c>
      <c r="AI5" s="13">
        <f t="shared" si="10"/>
        <v>0</v>
      </c>
      <c r="AJ5" s="13">
        <f t="shared" si="10"/>
        <v>0</v>
      </c>
      <c r="AK5" s="13">
        <f t="shared" si="10"/>
        <v>0</v>
      </c>
      <c r="AL5" s="13">
        <f t="shared" si="10"/>
        <v>0</v>
      </c>
      <c r="AM5" s="13">
        <f t="shared" si="10"/>
        <v>0</v>
      </c>
      <c r="AN5" s="13">
        <f t="shared" si="10"/>
        <v>0</v>
      </c>
      <c r="AO5" s="13">
        <f t="shared" si="10"/>
        <v>0</v>
      </c>
      <c r="AP5" s="13">
        <f t="shared" si="10"/>
        <v>0</v>
      </c>
      <c r="AQ5" s="13" t="s">
        <v>96</v>
      </c>
      <c r="AR5" s="13"/>
      <c r="AS5" s="13"/>
      <c r="AT5" s="13"/>
      <c r="AU5" s="13"/>
      <c r="AV5" s="13"/>
      <c r="AW5" s="13">
        <v>0.0</v>
      </c>
      <c r="AX5" s="13">
        <v>-1.0</v>
      </c>
      <c r="AY5" s="13">
        <v>0.0</v>
      </c>
      <c r="AZ5" s="13"/>
      <c r="BA5" s="13"/>
      <c r="BB5" s="13"/>
      <c r="BC5" s="13"/>
      <c r="BD5" s="13"/>
      <c r="BE5" s="13"/>
      <c r="BF5" s="13"/>
      <c r="BG5" s="13"/>
      <c r="BH5" s="13" t="s">
        <v>79</v>
      </c>
      <c r="BI5" s="13" t="b">
        <v>0</v>
      </c>
      <c r="BJ5" s="13">
        <v>0.0</v>
      </c>
      <c r="BK5" s="13">
        <v>0.0</v>
      </c>
    </row>
    <row r="6" ht="14.25" customHeight="1">
      <c r="A6" s="13">
        <v>4.0</v>
      </c>
      <c r="B6" s="13" t="s">
        <v>45</v>
      </c>
      <c r="C6" s="13">
        <v>0.0</v>
      </c>
      <c r="D6" s="14">
        <v>0.0</v>
      </c>
      <c r="E6" s="13" t="s">
        <v>97</v>
      </c>
      <c r="F6" s="15" t="s">
        <v>98</v>
      </c>
      <c r="G6" s="16" t="s">
        <v>99</v>
      </c>
      <c r="H6" s="13"/>
      <c r="I6" s="13">
        <v>0.9</v>
      </c>
      <c r="J6" s="13" t="s">
        <v>100</v>
      </c>
      <c r="K6" s="13">
        <f t="shared" si="3"/>
        <v>0</v>
      </c>
      <c r="L6" s="13">
        <f t="shared" si="4"/>
        <v>1</v>
      </c>
      <c r="M6" s="13">
        <f t="shared" ref="M6:AA6" si="11">IFERROR(VALUE(RIGHT(LEFT($J6,FIND(M$1,$J6,1)+LEN(M$1)),1)),0)</f>
        <v>0</v>
      </c>
      <c r="N6" s="13">
        <f t="shared" si="11"/>
        <v>0</v>
      </c>
      <c r="O6" s="13">
        <f t="shared" si="11"/>
        <v>0</v>
      </c>
      <c r="P6" s="13">
        <f t="shared" si="11"/>
        <v>0</v>
      </c>
      <c r="Q6" s="13">
        <f t="shared" si="11"/>
        <v>0</v>
      </c>
      <c r="R6" s="13">
        <f t="shared" si="11"/>
        <v>0</v>
      </c>
      <c r="S6" s="13">
        <f t="shared" si="11"/>
        <v>0</v>
      </c>
      <c r="T6" s="13">
        <f t="shared" si="11"/>
        <v>0</v>
      </c>
      <c r="U6" s="13">
        <f t="shared" si="11"/>
        <v>0</v>
      </c>
      <c r="V6" s="13">
        <f t="shared" si="11"/>
        <v>0</v>
      </c>
      <c r="W6" s="13">
        <f t="shared" si="11"/>
        <v>0</v>
      </c>
      <c r="X6" s="13">
        <f t="shared" si="11"/>
        <v>0</v>
      </c>
      <c r="Y6" s="13">
        <f t="shared" si="11"/>
        <v>0</v>
      </c>
      <c r="Z6" s="13">
        <f t="shared" si="11"/>
        <v>0</v>
      </c>
      <c r="AA6" s="13">
        <f t="shared" si="11"/>
        <v>0</v>
      </c>
      <c r="AB6" s="13">
        <f t="shared" ref="AB6:AP6" si="12">IFERROR(VALUE(RIGHT(LEFT($J6,FIND(AB$1,$J6,IF(M6=0,1,FIND(AB$1,$J6,1)+1))+LEN(AB$1)),1)),0)</f>
        <v>0</v>
      </c>
      <c r="AC6" s="13">
        <f t="shared" si="12"/>
        <v>0</v>
      </c>
      <c r="AD6" s="13">
        <f t="shared" si="12"/>
        <v>0</v>
      </c>
      <c r="AE6" s="13">
        <f t="shared" si="12"/>
        <v>0</v>
      </c>
      <c r="AF6" s="13">
        <f t="shared" si="12"/>
        <v>0</v>
      </c>
      <c r="AG6" s="13">
        <f t="shared" si="12"/>
        <v>0</v>
      </c>
      <c r="AH6" s="13">
        <f t="shared" si="12"/>
        <v>0</v>
      </c>
      <c r="AI6" s="13">
        <f t="shared" si="12"/>
        <v>1</v>
      </c>
      <c r="AJ6" s="13">
        <f t="shared" si="12"/>
        <v>0</v>
      </c>
      <c r="AK6" s="13">
        <f t="shared" si="12"/>
        <v>0</v>
      </c>
      <c r="AL6" s="13">
        <f t="shared" si="12"/>
        <v>0</v>
      </c>
      <c r="AM6" s="13">
        <f t="shared" si="12"/>
        <v>0</v>
      </c>
      <c r="AN6" s="13">
        <f t="shared" si="12"/>
        <v>0</v>
      </c>
      <c r="AO6" s="13">
        <f t="shared" si="12"/>
        <v>0</v>
      </c>
      <c r="AP6" s="13">
        <f t="shared" si="12"/>
        <v>0</v>
      </c>
      <c r="AQ6" s="13" t="s">
        <v>101</v>
      </c>
      <c r="AR6" s="13"/>
      <c r="AS6" s="13" t="s">
        <v>102</v>
      </c>
      <c r="AT6" s="13"/>
      <c r="AU6" s="13"/>
      <c r="AV6" s="13"/>
      <c r="AW6" s="13">
        <v>0.0</v>
      </c>
      <c r="AX6" s="13">
        <v>-1.0</v>
      </c>
      <c r="AY6" s="13">
        <v>0.0</v>
      </c>
      <c r="AZ6" s="13"/>
      <c r="BA6" s="13"/>
      <c r="BB6" s="13"/>
      <c r="BC6" s="13"/>
      <c r="BD6" s="13"/>
      <c r="BE6" s="13"/>
      <c r="BF6" s="13"/>
      <c r="BG6" s="13"/>
      <c r="BH6" s="13" t="s">
        <v>79</v>
      </c>
      <c r="BI6" s="13" t="b">
        <v>0</v>
      </c>
      <c r="BJ6" s="13">
        <v>0.0</v>
      </c>
      <c r="BK6" s="13">
        <v>0.0</v>
      </c>
    </row>
    <row r="7" ht="14.25" customHeight="1">
      <c r="A7" s="13">
        <v>5.0</v>
      </c>
      <c r="B7" s="13" t="s">
        <v>45</v>
      </c>
      <c r="C7" s="13">
        <v>0.0</v>
      </c>
      <c r="D7" s="14">
        <v>0.0</v>
      </c>
      <c r="E7" s="13" t="s">
        <v>103</v>
      </c>
      <c r="F7" s="15" t="s">
        <v>104</v>
      </c>
      <c r="G7" s="16" t="s">
        <v>105</v>
      </c>
      <c r="H7" s="13"/>
      <c r="I7" s="13">
        <v>1.1</v>
      </c>
      <c r="J7" s="13" t="s">
        <v>100</v>
      </c>
      <c r="K7" s="13">
        <f t="shared" si="3"/>
        <v>0</v>
      </c>
      <c r="L7" s="13">
        <f t="shared" si="4"/>
        <v>1</v>
      </c>
      <c r="M7" s="13">
        <f t="shared" ref="M7:AA7" si="13">IFERROR(VALUE(RIGHT(LEFT($J7,FIND(M$1,$J7,1)+LEN(M$1)),1)),0)</f>
        <v>0</v>
      </c>
      <c r="N7" s="13">
        <f t="shared" si="13"/>
        <v>0</v>
      </c>
      <c r="O7" s="13">
        <f t="shared" si="13"/>
        <v>0</v>
      </c>
      <c r="P7" s="13">
        <f t="shared" si="13"/>
        <v>0</v>
      </c>
      <c r="Q7" s="13">
        <f t="shared" si="13"/>
        <v>0</v>
      </c>
      <c r="R7" s="13">
        <f t="shared" si="13"/>
        <v>0</v>
      </c>
      <c r="S7" s="13">
        <f t="shared" si="13"/>
        <v>0</v>
      </c>
      <c r="T7" s="13">
        <f t="shared" si="13"/>
        <v>0</v>
      </c>
      <c r="U7" s="13">
        <f t="shared" si="13"/>
        <v>0</v>
      </c>
      <c r="V7" s="13">
        <f t="shared" si="13"/>
        <v>0</v>
      </c>
      <c r="W7" s="13">
        <f t="shared" si="13"/>
        <v>0</v>
      </c>
      <c r="X7" s="13">
        <f t="shared" si="13"/>
        <v>0</v>
      </c>
      <c r="Y7" s="13">
        <f t="shared" si="13"/>
        <v>0</v>
      </c>
      <c r="Z7" s="13">
        <f t="shared" si="13"/>
        <v>0</v>
      </c>
      <c r="AA7" s="13">
        <f t="shared" si="13"/>
        <v>0</v>
      </c>
      <c r="AB7" s="13">
        <f t="shared" ref="AB7:AP7" si="14">IFERROR(VALUE(RIGHT(LEFT($J7,FIND(AB$1,$J7,IF(M7=0,1,FIND(AB$1,$J7,1)+1))+LEN(AB$1)),1)),0)</f>
        <v>0</v>
      </c>
      <c r="AC7" s="13">
        <f t="shared" si="14"/>
        <v>0</v>
      </c>
      <c r="AD7" s="13">
        <f t="shared" si="14"/>
        <v>0</v>
      </c>
      <c r="AE7" s="13">
        <f t="shared" si="14"/>
        <v>0</v>
      </c>
      <c r="AF7" s="13">
        <f t="shared" si="14"/>
        <v>0</v>
      </c>
      <c r="AG7" s="13">
        <f t="shared" si="14"/>
        <v>0</v>
      </c>
      <c r="AH7" s="13">
        <f t="shared" si="14"/>
        <v>0</v>
      </c>
      <c r="AI7" s="13">
        <f t="shared" si="14"/>
        <v>1</v>
      </c>
      <c r="AJ7" s="13">
        <f t="shared" si="14"/>
        <v>0</v>
      </c>
      <c r="AK7" s="13">
        <f t="shared" si="14"/>
        <v>0</v>
      </c>
      <c r="AL7" s="13">
        <f t="shared" si="14"/>
        <v>0</v>
      </c>
      <c r="AM7" s="13">
        <f t="shared" si="14"/>
        <v>0</v>
      </c>
      <c r="AN7" s="13">
        <f t="shared" si="14"/>
        <v>0</v>
      </c>
      <c r="AO7" s="13">
        <f t="shared" si="14"/>
        <v>0</v>
      </c>
      <c r="AP7" s="13">
        <f t="shared" si="14"/>
        <v>0</v>
      </c>
      <c r="AQ7" s="13" t="s">
        <v>106</v>
      </c>
      <c r="AR7" s="13"/>
      <c r="AS7" s="13" t="s">
        <v>107</v>
      </c>
      <c r="AT7" s="13"/>
      <c r="AU7" s="13"/>
      <c r="AV7" s="13"/>
      <c r="AW7" s="13">
        <v>0.0</v>
      </c>
      <c r="AX7" s="13">
        <v>-1.0</v>
      </c>
      <c r="AY7" s="13">
        <v>0.0</v>
      </c>
      <c r="AZ7" s="13"/>
      <c r="BA7" s="13"/>
      <c r="BB7" s="13"/>
      <c r="BC7" s="13"/>
      <c r="BD7" s="13"/>
      <c r="BE7" s="13"/>
      <c r="BF7" s="13"/>
      <c r="BG7" s="13"/>
      <c r="BH7" s="13" t="s">
        <v>79</v>
      </c>
      <c r="BI7" s="13" t="b">
        <v>0</v>
      </c>
      <c r="BJ7" s="13">
        <v>0.0</v>
      </c>
      <c r="BK7" s="13">
        <v>0.0</v>
      </c>
    </row>
    <row r="8" ht="14.25" customHeight="1">
      <c r="A8" s="13">
        <v>6.0</v>
      </c>
      <c r="B8" s="13" t="s">
        <v>46</v>
      </c>
      <c r="C8" s="13">
        <v>0.0</v>
      </c>
      <c r="D8" s="14">
        <v>0.0</v>
      </c>
      <c r="E8" s="13" t="s">
        <v>108</v>
      </c>
      <c r="F8" s="15" t="s">
        <v>109</v>
      </c>
      <c r="G8" s="16" t="s">
        <v>110</v>
      </c>
      <c r="H8" s="13"/>
      <c r="I8" s="13">
        <v>1.0</v>
      </c>
      <c r="J8" s="13" t="s">
        <v>111</v>
      </c>
      <c r="K8" s="13">
        <f t="shared" si="3"/>
        <v>0</v>
      </c>
      <c r="L8" s="13">
        <f t="shared" si="4"/>
        <v>1</v>
      </c>
      <c r="M8" s="13">
        <f t="shared" ref="M8:AA8" si="15">IFERROR(VALUE(RIGHT(LEFT($J8,FIND(M$1,$J8,1)+LEN(M$1)),1)),0)</f>
        <v>0</v>
      </c>
      <c r="N8" s="13">
        <f t="shared" si="15"/>
        <v>0</v>
      </c>
      <c r="O8" s="13">
        <f t="shared" si="15"/>
        <v>0</v>
      </c>
      <c r="P8" s="13">
        <f t="shared" si="15"/>
        <v>0</v>
      </c>
      <c r="Q8" s="13">
        <f t="shared" si="15"/>
        <v>0</v>
      </c>
      <c r="R8" s="13">
        <f t="shared" si="15"/>
        <v>0</v>
      </c>
      <c r="S8" s="13">
        <f t="shared" si="15"/>
        <v>0</v>
      </c>
      <c r="T8" s="13">
        <f t="shared" si="15"/>
        <v>0</v>
      </c>
      <c r="U8" s="13">
        <f t="shared" si="15"/>
        <v>0</v>
      </c>
      <c r="V8" s="13">
        <f t="shared" si="15"/>
        <v>0</v>
      </c>
      <c r="W8" s="13">
        <f t="shared" si="15"/>
        <v>0</v>
      </c>
      <c r="X8" s="13">
        <f t="shared" si="15"/>
        <v>0</v>
      </c>
      <c r="Y8" s="13">
        <f t="shared" si="15"/>
        <v>0</v>
      </c>
      <c r="Z8" s="13">
        <f t="shared" si="15"/>
        <v>0</v>
      </c>
      <c r="AA8" s="13">
        <f t="shared" si="15"/>
        <v>0</v>
      </c>
      <c r="AB8" s="13">
        <f t="shared" ref="AB8:AP8" si="16">IFERROR(VALUE(RIGHT(LEFT($J8,FIND(AB$1,$J8,IF(M8=0,1,FIND(AB$1,$J8,1)+1))+LEN(AB$1)),1)),0)</f>
        <v>0</v>
      </c>
      <c r="AC8" s="13">
        <f t="shared" si="16"/>
        <v>0</v>
      </c>
      <c r="AD8" s="13">
        <f t="shared" si="16"/>
        <v>0</v>
      </c>
      <c r="AE8" s="13">
        <f t="shared" si="16"/>
        <v>0</v>
      </c>
      <c r="AF8" s="13">
        <f t="shared" si="16"/>
        <v>0</v>
      </c>
      <c r="AG8" s="13">
        <f t="shared" si="16"/>
        <v>0</v>
      </c>
      <c r="AH8" s="13">
        <f t="shared" si="16"/>
        <v>0</v>
      </c>
      <c r="AI8" s="13">
        <f t="shared" si="16"/>
        <v>0</v>
      </c>
      <c r="AJ8" s="13">
        <f t="shared" si="16"/>
        <v>1</v>
      </c>
      <c r="AK8" s="13">
        <f t="shared" si="16"/>
        <v>0</v>
      </c>
      <c r="AL8" s="13">
        <f t="shared" si="16"/>
        <v>0</v>
      </c>
      <c r="AM8" s="13">
        <f t="shared" si="16"/>
        <v>0</v>
      </c>
      <c r="AN8" s="13">
        <f t="shared" si="16"/>
        <v>0</v>
      </c>
      <c r="AO8" s="13">
        <f t="shared" si="16"/>
        <v>0</v>
      </c>
      <c r="AP8" s="13">
        <f t="shared" si="16"/>
        <v>0</v>
      </c>
      <c r="AQ8" s="13" t="s">
        <v>112</v>
      </c>
      <c r="AR8" s="13"/>
      <c r="AS8" s="13"/>
      <c r="AT8" s="13"/>
      <c r="AU8" s="13"/>
      <c r="AV8" s="13"/>
      <c r="AW8" s="13">
        <v>0.0</v>
      </c>
      <c r="AX8" s="13">
        <v>-1.0</v>
      </c>
      <c r="AY8" s="13">
        <v>0.0</v>
      </c>
      <c r="AZ8" s="13"/>
      <c r="BA8" s="13"/>
      <c r="BB8" s="13"/>
      <c r="BC8" s="13"/>
      <c r="BD8" s="13"/>
      <c r="BE8" s="13"/>
      <c r="BF8" s="13"/>
      <c r="BG8" s="13"/>
      <c r="BH8" s="13" t="s">
        <v>79</v>
      </c>
      <c r="BI8" s="13" t="b">
        <v>0</v>
      </c>
      <c r="BJ8" s="13">
        <v>0.0</v>
      </c>
      <c r="BK8" s="13">
        <v>0.0</v>
      </c>
    </row>
    <row r="9" ht="14.25" customHeight="1">
      <c r="A9" s="13">
        <v>7.0</v>
      </c>
      <c r="B9" s="13" t="s">
        <v>46</v>
      </c>
      <c r="C9" s="13">
        <v>0.0</v>
      </c>
      <c r="D9" s="14">
        <v>0.0</v>
      </c>
      <c r="E9" s="13" t="s">
        <v>113</v>
      </c>
      <c r="F9" s="15" t="s">
        <v>114</v>
      </c>
      <c r="G9" s="16" t="s">
        <v>115</v>
      </c>
      <c r="H9" s="13"/>
      <c r="I9" s="13">
        <v>1.1</v>
      </c>
      <c r="J9" s="13" t="s">
        <v>111</v>
      </c>
      <c r="K9" s="13">
        <f t="shared" si="3"/>
        <v>0</v>
      </c>
      <c r="L9" s="13">
        <f t="shared" si="4"/>
        <v>1</v>
      </c>
      <c r="M9" s="13">
        <f t="shared" ref="M9:AA9" si="17">IFERROR(VALUE(RIGHT(LEFT($J9,FIND(M$1,$J9,1)+LEN(M$1)),1)),0)</f>
        <v>0</v>
      </c>
      <c r="N9" s="13">
        <f t="shared" si="17"/>
        <v>0</v>
      </c>
      <c r="O9" s="13">
        <f t="shared" si="17"/>
        <v>0</v>
      </c>
      <c r="P9" s="13">
        <f t="shared" si="17"/>
        <v>0</v>
      </c>
      <c r="Q9" s="13">
        <f t="shared" si="17"/>
        <v>0</v>
      </c>
      <c r="R9" s="13">
        <f t="shared" si="17"/>
        <v>0</v>
      </c>
      <c r="S9" s="13">
        <f t="shared" si="17"/>
        <v>0</v>
      </c>
      <c r="T9" s="13">
        <f t="shared" si="17"/>
        <v>0</v>
      </c>
      <c r="U9" s="13">
        <f t="shared" si="17"/>
        <v>0</v>
      </c>
      <c r="V9" s="13">
        <f t="shared" si="17"/>
        <v>0</v>
      </c>
      <c r="W9" s="13">
        <f t="shared" si="17"/>
        <v>0</v>
      </c>
      <c r="X9" s="13">
        <f t="shared" si="17"/>
        <v>0</v>
      </c>
      <c r="Y9" s="13">
        <f t="shared" si="17"/>
        <v>0</v>
      </c>
      <c r="Z9" s="13">
        <f t="shared" si="17"/>
        <v>0</v>
      </c>
      <c r="AA9" s="13">
        <f t="shared" si="17"/>
        <v>0</v>
      </c>
      <c r="AB9" s="13">
        <f t="shared" ref="AB9:AP9" si="18">IFERROR(VALUE(RIGHT(LEFT($J9,FIND(AB$1,$J9,IF(M9=0,1,FIND(AB$1,$J9,1)+1))+LEN(AB$1)),1)),0)</f>
        <v>0</v>
      </c>
      <c r="AC9" s="13">
        <f t="shared" si="18"/>
        <v>0</v>
      </c>
      <c r="AD9" s="13">
        <f t="shared" si="18"/>
        <v>0</v>
      </c>
      <c r="AE9" s="13">
        <f t="shared" si="18"/>
        <v>0</v>
      </c>
      <c r="AF9" s="13">
        <f t="shared" si="18"/>
        <v>0</v>
      </c>
      <c r="AG9" s="13">
        <f t="shared" si="18"/>
        <v>0</v>
      </c>
      <c r="AH9" s="13">
        <f t="shared" si="18"/>
        <v>0</v>
      </c>
      <c r="AI9" s="13">
        <f t="shared" si="18"/>
        <v>0</v>
      </c>
      <c r="AJ9" s="13">
        <f t="shared" si="18"/>
        <v>1</v>
      </c>
      <c r="AK9" s="13">
        <f t="shared" si="18"/>
        <v>0</v>
      </c>
      <c r="AL9" s="13">
        <f t="shared" si="18"/>
        <v>0</v>
      </c>
      <c r="AM9" s="13">
        <f t="shared" si="18"/>
        <v>0</v>
      </c>
      <c r="AN9" s="13">
        <f t="shared" si="18"/>
        <v>0</v>
      </c>
      <c r="AO9" s="13">
        <f t="shared" si="18"/>
        <v>0</v>
      </c>
      <c r="AP9" s="13">
        <f t="shared" si="18"/>
        <v>0</v>
      </c>
      <c r="AQ9" s="13" t="s">
        <v>116</v>
      </c>
      <c r="AR9" s="13"/>
      <c r="AS9" s="13" t="s">
        <v>117</v>
      </c>
      <c r="AT9" s="13"/>
      <c r="AU9" s="13"/>
      <c r="AV9" s="13"/>
      <c r="AW9" s="13">
        <v>0.0</v>
      </c>
      <c r="AX9" s="13">
        <v>-1.0</v>
      </c>
      <c r="AY9" s="13">
        <v>0.0</v>
      </c>
      <c r="AZ9" s="13"/>
      <c r="BA9" s="13"/>
      <c r="BB9" s="13"/>
      <c r="BC9" s="13"/>
      <c r="BD9" s="13"/>
      <c r="BE9" s="13"/>
      <c r="BF9" s="13"/>
      <c r="BG9" s="13"/>
      <c r="BH9" s="13" t="s">
        <v>79</v>
      </c>
      <c r="BI9" s="13" t="b">
        <v>0</v>
      </c>
      <c r="BJ9" s="13">
        <v>0.0</v>
      </c>
      <c r="BK9" s="13">
        <v>0.0</v>
      </c>
    </row>
    <row r="10" ht="14.25" customHeight="1">
      <c r="A10" s="13">
        <v>8.0</v>
      </c>
      <c r="B10" s="13" t="s">
        <v>46</v>
      </c>
      <c r="C10" s="13">
        <v>0.0</v>
      </c>
      <c r="D10" s="14">
        <v>0.0</v>
      </c>
      <c r="E10" s="13" t="s">
        <v>118</v>
      </c>
      <c r="F10" s="15" t="s">
        <v>119</v>
      </c>
      <c r="G10" s="16" t="s">
        <v>120</v>
      </c>
      <c r="H10" s="13"/>
      <c r="I10" s="13">
        <v>0.8</v>
      </c>
      <c r="J10" s="13" t="s">
        <v>121</v>
      </c>
      <c r="K10" s="13">
        <f t="shared" si="3"/>
        <v>0</v>
      </c>
      <c r="L10" s="13">
        <f t="shared" si="4"/>
        <v>1</v>
      </c>
      <c r="M10" s="13">
        <f t="shared" ref="M10:AA10" si="19">IFERROR(VALUE(RIGHT(LEFT($J10,FIND(M$1,$J10,1)+LEN(M$1)),1)),0)</f>
        <v>0</v>
      </c>
      <c r="N10" s="13">
        <f t="shared" si="19"/>
        <v>0</v>
      </c>
      <c r="O10" s="13">
        <f t="shared" si="19"/>
        <v>0</v>
      </c>
      <c r="P10" s="13">
        <f t="shared" si="19"/>
        <v>0</v>
      </c>
      <c r="Q10" s="13">
        <f t="shared" si="19"/>
        <v>0</v>
      </c>
      <c r="R10" s="13">
        <f t="shared" si="19"/>
        <v>0</v>
      </c>
      <c r="S10" s="13">
        <f t="shared" si="19"/>
        <v>0</v>
      </c>
      <c r="T10" s="13">
        <f t="shared" si="19"/>
        <v>0</v>
      </c>
      <c r="U10" s="13">
        <f t="shared" si="19"/>
        <v>0</v>
      </c>
      <c r="V10" s="13">
        <f t="shared" si="19"/>
        <v>0</v>
      </c>
      <c r="W10" s="13">
        <f t="shared" si="19"/>
        <v>0</v>
      </c>
      <c r="X10" s="13">
        <f t="shared" si="19"/>
        <v>0</v>
      </c>
      <c r="Y10" s="13">
        <f t="shared" si="19"/>
        <v>0</v>
      </c>
      <c r="Z10" s="13">
        <f t="shared" si="19"/>
        <v>0</v>
      </c>
      <c r="AA10" s="13">
        <f t="shared" si="19"/>
        <v>0</v>
      </c>
      <c r="AB10" s="13">
        <f t="shared" ref="AB10:AP10" si="20">IFERROR(VALUE(RIGHT(LEFT($J10,FIND(AB$1,$J10,IF(M10=0,1,FIND(AB$1,$J10,1)+1))+LEN(AB$1)),1)),0)</f>
        <v>0</v>
      </c>
      <c r="AC10" s="13">
        <f t="shared" si="20"/>
        <v>0</v>
      </c>
      <c r="AD10" s="13">
        <f t="shared" si="20"/>
        <v>0</v>
      </c>
      <c r="AE10" s="13">
        <f t="shared" si="20"/>
        <v>1</v>
      </c>
      <c r="AF10" s="13">
        <f t="shared" si="20"/>
        <v>0</v>
      </c>
      <c r="AG10" s="13">
        <f t="shared" si="20"/>
        <v>0</v>
      </c>
      <c r="AH10" s="13">
        <f t="shared" si="20"/>
        <v>0</v>
      </c>
      <c r="AI10" s="13">
        <f t="shared" si="20"/>
        <v>0</v>
      </c>
      <c r="AJ10" s="13">
        <f t="shared" si="20"/>
        <v>0</v>
      </c>
      <c r="AK10" s="13">
        <f t="shared" si="20"/>
        <v>0</v>
      </c>
      <c r="AL10" s="13">
        <f t="shared" si="20"/>
        <v>0</v>
      </c>
      <c r="AM10" s="13">
        <f t="shared" si="20"/>
        <v>0</v>
      </c>
      <c r="AN10" s="13">
        <f t="shared" si="20"/>
        <v>0</v>
      </c>
      <c r="AO10" s="13">
        <f t="shared" si="20"/>
        <v>0</v>
      </c>
      <c r="AP10" s="13">
        <f t="shared" si="20"/>
        <v>0</v>
      </c>
      <c r="AQ10" s="13" t="s">
        <v>122</v>
      </c>
      <c r="AR10" s="13"/>
      <c r="AS10" s="13" t="s">
        <v>123</v>
      </c>
      <c r="AT10" s="13"/>
      <c r="AU10" s="13"/>
      <c r="AV10" s="13"/>
      <c r="AW10" s="13">
        <v>0.0</v>
      </c>
      <c r="AX10" s="13">
        <v>-1.0</v>
      </c>
      <c r="AY10" s="13">
        <v>0.0</v>
      </c>
      <c r="AZ10" s="13"/>
      <c r="BA10" s="13"/>
      <c r="BB10" s="13"/>
      <c r="BC10" s="13"/>
      <c r="BD10" s="13"/>
      <c r="BE10" s="13"/>
      <c r="BF10" s="13"/>
      <c r="BG10" s="13"/>
      <c r="BH10" s="13" t="s">
        <v>79</v>
      </c>
      <c r="BI10" s="13" t="b">
        <v>0</v>
      </c>
      <c r="BJ10" s="13">
        <v>0.0</v>
      </c>
      <c r="BK10" s="13">
        <v>0.0</v>
      </c>
    </row>
    <row r="11" ht="14.25" customHeight="1">
      <c r="A11" s="13">
        <v>9.0</v>
      </c>
      <c r="B11" s="13" t="s">
        <v>47</v>
      </c>
      <c r="C11" s="13">
        <v>0.0</v>
      </c>
      <c r="D11" s="14">
        <v>0.0</v>
      </c>
      <c r="E11" s="13" t="s">
        <v>124</v>
      </c>
      <c r="F11" s="15" t="s">
        <v>125</v>
      </c>
      <c r="G11" s="16" t="s">
        <v>126</v>
      </c>
      <c r="H11" s="13">
        <v>10.0</v>
      </c>
      <c r="I11" s="13">
        <v>1.1</v>
      </c>
      <c r="J11" s="13" t="s">
        <v>127</v>
      </c>
      <c r="K11" s="13">
        <f t="shared" si="3"/>
        <v>0</v>
      </c>
      <c r="L11" s="13">
        <f t="shared" si="4"/>
        <v>1</v>
      </c>
      <c r="M11" s="13">
        <f t="shared" ref="M11:AA11" si="21">IFERROR(VALUE(RIGHT(LEFT($J11,FIND(M$1,$J11,1)+LEN(M$1)),1)),0)</f>
        <v>0</v>
      </c>
      <c r="N11" s="13">
        <f t="shared" si="21"/>
        <v>0</v>
      </c>
      <c r="O11" s="13">
        <f t="shared" si="21"/>
        <v>0</v>
      </c>
      <c r="P11" s="13">
        <f t="shared" si="21"/>
        <v>0</v>
      </c>
      <c r="Q11" s="13">
        <f t="shared" si="21"/>
        <v>0</v>
      </c>
      <c r="R11" s="13">
        <f t="shared" si="21"/>
        <v>0</v>
      </c>
      <c r="S11" s="13">
        <f t="shared" si="21"/>
        <v>0</v>
      </c>
      <c r="T11" s="13">
        <f t="shared" si="21"/>
        <v>0</v>
      </c>
      <c r="U11" s="13">
        <f t="shared" si="21"/>
        <v>0</v>
      </c>
      <c r="V11" s="13">
        <f t="shared" si="21"/>
        <v>0</v>
      </c>
      <c r="W11" s="13">
        <f t="shared" si="21"/>
        <v>0</v>
      </c>
      <c r="X11" s="13">
        <f t="shared" si="21"/>
        <v>0</v>
      </c>
      <c r="Y11" s="13">
        <f t="shared" si="21"/>
        <v>0</v>
      </c>
      <c r="Z11" s="13">
        <f t="shared" si="21"/>
        <v>0</v>
      </c>
      <c r="AA11" s="13">
        <f t="shared" si="21"/>
        <v>0</v>
      </c>
      <c r="AB11" s="13">
        <f t="shared" ref="AB11:AP11" si="22">IFERROR(VALUE(RIGHT(LEFT($J11,FIND(AB$1,$J11,IF(M11=0,1,FIND(AB$1,$J11,1)+1))+LEN(AB$1)),1)),0)</f>
        <v>0</v>
      </c>
      <c r="AC11" s="13">
        <f t="shared" si="22"/>
        <v>0</v>
      </c>
      <c r="AD11" s="13">
        <f t="shared" si="22"/>
        <v>0</v>
      </c>
      <c r="AE11" s="13">
        <f t="shared" si="22"/>
        <v>0</v>
      </c>
      <c r="AF11" s="13">
        <f t="shared" si="22"/>
        <v>0</v>
      </c>
      <c r="AG11" s="13">
        <f t="shared" si="22"/>
        <v>0</v>
      </c>
      <c r="AH11" s="13">
        <f t="shared" si="22"/>
        <v>0</v>
      </c>
      <c r="AI11" s="13">
        <f t="shared" si="22"/>
        <v>0</v>
      </c>
      <c r="AJ11" s="13">
        <f t="shared" si="22"/>
        <v>0</v>
      </c>
      <c r="AK11" s="13">
        <f t="shared" si="22"/>
        <v>1</v>
      </c>
      <c r="AL11" s="13">
        <f t="shared" si="22"/>
        <v>0</v>
      </c>
      <c r="AM11" s="13">
        <f t="shared" si="22"/>
        <v>0</v>
      </c>
      <c r="AN11" s="13">
        <f t="shared" si="22"/>
        <v>0</v>
      </c>
      <c r="AO11" s="13">
        <f t="shared" si="22"/>
        <v>0</v>
      </c>
      <c r="AP11" s="13">
        <f t="shared" si="22"/>
        <v>0</v>
      </c>
      <c r="AQ11" s="13"/>
      <c r="AR11" s="13" t="s">
        <v>128</v>
      </c>
      <c r="AS11" s="13"/>
      <c r="AT11" s="13" t="s">
        <v>129</v>
      </c>
      <c r="AU11" s="13" t="s">
        <v>130</v>
      </c>
      <c r="AV11" s="13" t="s">
        <v>131</v>
      </c>
      <c r="AW11" s="13">
        <v>5.0</v>
      </c>
      <c r="AX11" s="13">
        <v>-1.0</v>
      </c>
      <c r="AY11" s="13">
        <v>0.0</v>
      </c>
      <c r="AZ11" s="13" t="s">
        <v>132</v>
      </c>
      <c r="BA11" s="13" t="s">
        <v>133</v>
      </c>
      <c r="BB11" s="13"/>
      <c r="BC11" s="13"/>
      <c r="BD11" s="13" t="s">
        <v>134</v>
      </c>
      <c r="BE11" s="13"/>
      <c r="BF11" s="13" t="s">
        <v>135</v>
      </c>
      <c r="BG11" s="13" t="s">
        <v>136</v>
      </c>
      <c r="BH11" s="13" t="s">
        <v>79</v>
      </c>
      <c r="BI11" s="13" t="b">
        <v>0</v>
      </c>
      <c r="BJ11" s="13">
        <v>0.0</v>
      </c>
      <c r="BK11" s="13">
        <v>0.0</v>
      </c>
    </row>
    <row r="12" ht="14.25" customHeight="1">
      <c r="A12" s="13">
        <v>10.0</v>
      </c>
      <c r="B12" s="13" t="s">
        <v>47</v>
      </c>
      <c r="C12" s="13">
        <v>0.0</v>
      </c>
      <c r="D12" s="14">
        <v>0.0</v>
      </c>
      <c r="E12" s="13" t="s">
        <v>137</v>
      </c>
      <c r="F12" s="15" t="s">
        <v>138</v>
      </c>
      <c r="G12" s="16" t="s">
        <v>139</v>
      </c>
      <c r="H12" s="13">
        <v>7.0</v>
      </c>
      <c r="I12" s="13">
        <v>0.9</v>
      </c>
      <c r="J12" s="13" t="s">
        <v>127</v>
      </c>
      <c r="K12" s="13">
        <f t="shared" si="3"/>
        <v>0</v>
      </c>
      <c r="L12" s="13">
        <f t="shared" si="4"/>
        <v>1</v>
      </c>
      <c r="M12" s="13">
        <f t="shared" ref="M12:AA12" si="23">IFERROR(VALUE(RIGHT(LEFT($J12,FIND(M$1,$J12,1)+LEN(M$1)),1)),0)</f>
        <v>0</v>
      </c>
      <c r="N12" s="13">
        <f t="shared" si="23"/>
        <v>0</v>
      </c>
      <c r="O12" s="13">
        <f t="shared" si="23"/>
        <v>0</v>
      </c>
      <c r="P12" s="13">
        <f t="shared" si="23"/>
        <v>0</v>
      </c>
      <c r="Q12" s="13">
        <f t="shared" si="23"/>
        <v>0</v>
      </c>
      <c r="R12" s="13">
        <f t="shared" si="23"/>
        <v>0</v>
      </c>
      <c r="S12" s="13">
        <f t="shared" si="23"/>
        <v>0</v>
      </c>
      <c r="T12" s="13">
        <f t="shared" si="23"/>
        <v>0</v>
      </c>
      <c r="U12" s="13">
        <f t="shared" si="23"/>
        <v>0</v>
      </c>
      <c r="V12" s="13">
        <f t="shared" si="23"/>
        <v>0</v>
      </c>
      <c r="W12" s="13">
        <f t="shared" si="23"/>
        <v>0</v>
      </c>
      <c r="X12" s="13">
        <f t="shared" si="23"/>
        <v>0</v>
      </c>
      <c r="Y12" s="13">
        <f t="shared" si="23"/>
        <v>0</v>
      </c>
      <c r="Z12" s="13">
        <f t="shared" si="23"/>
        <v>0</v>
      </c>
      <c r="AA12" s="13">
        <f t="shared" si="23"/>
        <v>0</v>
      </c>
      <c r="AB12" s="13">
        <f t="shared" ref="AB12:AP12" si="24">IFERROR(VALUE(RIGHT(LEFT($J12,FIND(AB$1,$J12,IF(M12=0,1,FIND(AB$1,$J12,1)+1))+LEN(AB$1)),1)),0)</f>
        <v>0</v>
      </c>
      <c r="AC12" s="13">
        <f t="shared" si="24"/>
        <v>0</v>
      </c>
      <c r="AD12" s="13">
        <f t="shared" si="24"/>
        <v>0</v>
      </c>
      <c r="AE12" s="13">
        <f t="shared" si="24"/>
        <v>0</v>
      </c>
      <c r="AF12" s="13">
        <f t="shared" si="24"/>
        <v>0</v>
      </c>
      <c r="AG12" s="13">
        <f t="shared" si="24"/>
        <v>0</v>
      </c>
      <c r="AH12" s="13">
        <f t="shared" si="24"/>
        <v>0</v>
      </c>
      <c r="AI12" s="13">
        <f t="shared" si="24"/>
        <v>0</v>
      </c>
      <c r="AJ12" s="13">
        <f t="shared" si="24"/>
        <v>0</v>
      </c>
      <c r="AK12" s="13">
        <f t="shared" si="24"/>
        <v>1</v>
      </c>
      <c r="AL12" s="13">
        <f t="shared" si="24"/>
        <v>0</v>
      </c>
      <c r="AM12" s="13">
        <f t="shared" si="24"/>
        <v>0</v>
      </c>
      <c r="AN12" s="13">
        <f t="shared" si="24"/>
        <v>0</v>
      </c>
      <c r="AO12" s="13">
        <f t="shared" si="24"/>
        <v>0</v>
      </c>
      <c r="AP12" s="13">
        <f t="shared" si="24"/>
        <v>0</v>
      </c>
      <c r="AQ12" s="13"/>
      <c r="AR12" s="13" t="s">
        <v>140</v>
      </c>
      <c r="AS12" s="13" t="s">
        <v>141</v>
      </c>
      <c r="AT12" s="13" t="s">
        <v>142</v>
      </c>
      <c r="AU12" s="13" t="s">
        <v>143</v>
      </c>
      <c r="AV12" s="13" t="s">
        <v>144</v>
      </c>
      <c r="AW12" s="13">
        <v>3.0</v>
      </c>
      <c r="AX12" s="13">
        <v>-1.0</v>
      </c>
      <c r="AY12" s="13">
        <v>0.0</v>
      </c>
      <c r="AZ12" s="13" t="s">
        <v>145</v>
      </c>
      <c r="BA12" s="13" t="s">
        <v>146</v>
      </c>
      <c r="BB12" s="13"/>
      <c r="BC12" s="13"/>
      <c r="BD12" s="13" t="s">
        <v>134</v>
      </c>
      <c r="BE12" s="13"/>
      <c r="BF12" s="13" t="s">
        <v>147</v>
      </c>
      <c r="BG12" s="13" t="s">
        <v>136</v>
      </c>
      <c r="BH12" s="13" t="s">
        <v>79</v>
      </c>
      <c r="BI12" s="13" t="b">
        <v>0</v>
      </c>
      <c r="BJ12" s="13">
        <v>0.0</v>
      </c>
      <c r="BK12" s="13">
        <v>0.0</v>
      </c>
    </row>
    <row r="13" ht="14.25" customHeight="1">
      <c r="A13" s="13">
        <v>11.0</v>
      </c>
      <c r="B13" s="13" t="s">
        <v>47</v>
      </c>
      <c r="C13" s="13">
        <v>0.0</v>
      </c>
      <c r="D13" s="14">
        <v>0.0</v>
      </c>
      <c r="E13" s="13" t="s">
        <v>148</v>
      </c>
      <c r="F13" s="15" t="s">
        <v>149</v>
      </c>
      <c r="G13" s="16" t="s">
        <v>150</v>
      </c>
      <c r="H13" s="13">
        <v>12.0</v>
      </c>
      <c r="I13" s="13">
        <v>1.0</v>
      </c>
      <c r="J13" s="13" t="s">
        <v>151</v>
      </c>
      <c r="K13" s="13">
        <f t="shared" si="3"/>
        <v>0</v>
      </c>
      <c r="L13" s="13">
        <f t="shared" si="4"/>
        <v>1</v>
      </c>
      <c r="M13" s="13">
        <f t="shared" ref="M13:AA13" si="25">IFERROR(VALUE(RIGHT(LEFT($J13,FIND(M$1,$J13,1)+LEN(M$1)),1)),0)</f>
        <v>0</v>
      </c>
      <c r="N13" s="13">
        <f t="shared" si="25"/>
        <v>0</v>
      </c>
      <c r="O13" s="13">
        <f t="shared" si="25"/>
        <v>0</v>
      </c>
      <c r="P13" s="13">
        <f t="shared" si="25"/>
        <v>0</v>
      </c>
      <c r="Q13" s="13">
        <f t="shared" si="25"/>
        <v>0</v>
      </c>
      <c r="R13" s="13">
        <f t="shared" si="25"/>
        <v>0</v>
      </c>
      <c r="S13" s="13">
        <f t="shared" si="25"/>
        <v>0</v>
      </c>
      <c r="T13" s="13">
        <f t="shared" si="25"/>
        <v>0</v>
      </c>
      <c r="U13" s="13">
        <f t="shared" si="25"/>
        <v>0</v>
      </c>
      <c r="V13" s="13">
        <f t="shared" si="25"/>
        <v>0</v>
      </c>
      <c r="W13" s="13">
        <f t="shared" si="25"/>
        <v>0</v>
      </c>
      <c r="X13" s="13">
        <f t="shared" si="25"/>
        <v>0</v>
      </c>
      <c r="Y13" s="13">
        <f t="shared" si="25"/>
        <v>0</v>
      </c>
      <c r="Z13" s="13">
        <f t="shared" si="25"/>
        <v>0</v>
      </c>
      <c r="AA13" s="13">
        <f t="shared" si="25"/>
        <v>0</v>
      </c>
      <c r="AB13" s="13">
        <f t="shared" ref="AB13:AP13" si="26">IFERROR(VALUE(RIGHT(LEFT($J13,FIND(AB$1,$J13,IF(M13=0,1,FIND(AB$1,$J13,1)+1))+LEN(AB$1)),1)),0)</f>
        <v>0</v>
      </c>
      <c r="AC13" s="13">
        <f t="shared" si="26"/>
        <v>0</v>
      </c>
      <c r="AD13" s="13">
        <f t="shared" si="26"/>
        <v>0</v>
      </c>
      <c r="AE13" s="13">
        <f t="shared" si="26"/>
        <v>0</v>
      </c>
      <c r="AF13" s="13">
        <f t="shared" si="26"/>
        <v>0</v>
      </c>
      <c r="AG13" s="13">
        <f t="shared" si="26"/>
        <v>1</v>
      </c>
      <c r="AH13" s="13">
        <f t="shared" si="26"/>
        <v>0</v>
      </c>
      <c r="AI13" s="13">
        <f t="shared" si="26"/>
        <v>0</v>
      </c>
      <c r="AJ13" s="13">
        <f t="shared" si="26"/>
        <v>0</v>
      </c>
      <c r="AK13" s="13">
        <f t="shared" si="26"/>
        <v>0</v>
      </c>
      <c r="AL13" s="13">
        <f t="shared" si="26"/>
        <v>0</v>
      </c>
      <c r="AM13" s="13">
        <f t="shared" si="26"/>
        <v>0</v>
      </c>
      <c r="AN13" s="13">
        <f t="shared" si="26"/>
        <v>0</v>
      </c>
      <c r="AO13" s="13">
        <f t="shared" si="26"/>
        <v>0</v>
      </c>
      <c r="AP13" s="13">
        <f t="shared" si="26"/>
        <v>0</v>
      </c>
      <c r="AQ13" s="13"/>
      <c r="AR13" s="13" t="s">
        <v>152</v>
      </c>
      <c r="AS13" s="13" t="s">
        <v>153</v>
      </c>
      <c r="AT13" s="13" t="s">
        <v>142</v>
      </c>
      <c r="AU13" s="13" t="s">
        <v>130</v>
      </c>
      <c r="AV13" s="13"/>
      <c r="AW13" s="13">
        <v>4.0</v>
      </c>
      <c r="AX13" s="13">
        <v>-1.0</v>
      </c>
      <c r="AY13" s="13">
        <v>0.0</v>
      </c>
      <c r="AZ13" s="13" t="s">
        <v>154</v>
      </c>
      <c r="BA13" s="13" t="s">
        <v>155</v>
      </c>
      <c r="BB13" s="13"/>
      <c r="BC13" s="13"/>
      <c r="BD13" s="13" t="s">
        <v>134</v>
      </c>
      <c r="BE13" s="13"/>
      <c r="BF13" s="13" t="s">
        <v>156</v>
      </c>
      <c r="BG13" s="13" t="s">
        <v>136</v>
      </c>
      <c r="BH13" s="13" t="s">
        <v>79</v>
      </c>
      <c r="BI13" s="13" t="b">
        <v>0</v>
      </c>
      <c r="BJ13" s="13">
        <v>0.0</v>
      </c>
      <c r="BK13" s="13">
        <v>0.0</v>
      </c>
    </row>
    <row r="14" ht="14.25" customHeight="1">
      <c r="A14" s="13">
        <v>12.0</v>
      </c>
      <c r="B14" s="13" t="s">
        <v>48</v>
      </c>
      <c r="C14" s="13">
        <v>0.0</v>
      </c>
      <c r="D14" s="14">
        <v>0.0</v>
      </c>
      <c r="E14" s="13" t="s">
        <v>157</v>
      </c>
      <c r="F14" s="15" t="s">
        <v>158</v>
      </c>
      <c r="G14" s="16" t="s">
        <v>159</v>
      </c>
      <c r="H14" s="13">
        <v>10.0</v>
      </c>
      <c r="I14" s="13">
        <v>1.1</v>
      </c>
      <c r="J14" s="13" t="s">
        <v>160</v>
      </c>
      <c r="K14" s="13">
        <f t="shared" si="3"/>
        <v>0</v>
      </c>
      <c r="L14" s="13">
        <f t="shared" si="4"/>
        <v>1</v>
      </c>
      <c r="M14" s="13">
        <f t="shared" ref="M14:AA14" si="27">IFERROR(VALUE(RIGHT(LEFT($J14,FIND(M$1,$J14,1)+LEN(M$1)),1)),0)</f>
        <v>0</v>
      </c>
      <c r="N14" s="13">
        <f t="shared" si="27"/>
        <v>0</v>
      </c>
      <c r="O14" s="13">
        <f t="shared" si="27"/>
        <v>0</v>
      </c>
      <c r="P14" s="13">
        <f t="shared" si="27"/>
        <v>0</v>
      </c>
      <c r="Q14" s="13">
        <f t="shared" si="27"/>
        <v>0</v>
      </c>
      <c r="R14" s="13">
        <f t="shared" si="27"/>
        <v>0</v>
      </c>
      <c r="S14" s="13">
        <f t="shared" si="27"/>
        <v>0</v>
      </c>
      <c r="T14" s="13">
        <f t="shared" si="27"/>
        <v>0</v>
      </c>
      <c r="U14" s="13">
        <f t="shared" si="27"/>
        <v>0</v>
      </c>
      <c r="V14" s="13">
        <f t="shared" si="27"/>
        <v>0</v>
      </c>
      <c r="W14" s="13">
        <f t="shared" si="27"/>
        <v>0</v>
      </c>
      <c r="X14" s="13">
        <f t="shared" si="27"/>
        <v>0</v>
      </c>
      <c r="Y14" s="13">
        <f t="shared" si="27"/>
        <v>0</v>
      </c>
      <c r="Z14" s="13">
        <f t="shared" si="27"/>
        <v>0</v>
      </c>
      <c r="AA14" s="13">
        <f t="shared" si="27"/>
        <v>0</v>
      </c>
      <c r="AB14" s="13">
        <f t="shared" ref="AB14:AP14" si="28">IFERROR(VALUE(RIGHT(LEFT($J14,FIND(AB$1,$J14,IF(M14=0,1,FIND(AB$1,$J14,1)+1))+LEN(AB$1)),1)),0)</f>
        <v>0</v>
      </c>
      <c r="AC14" s="13">
        <f t="shared" si="28"/>
        <v>0</v>
      </c>
      <c r="AD14" s="13">
        <f t="shared" si="28"/>
        <v>0</v>
      </c>
      <c r="AE14" s="13">
        <f t="shared" si="28"/>
        <v>0</v>
      </c>
      <c r="AF14" s="13">
        <f t="shared" si="28"/>
        <v>0</v>
      </c>
      <c r="AG14" s="13">
        <f t="shared" si="28"/>
        <v>0</v>
      </c>
      <c r="AH14" s="13">
        <f t="shared" si="28"/>
        <v>0</v>
      </c>
      <c r="AI14" s="13">
        <f t="shared" si="28"/>
        <v>0</v>
      </c>
      <c r="AJ14" s="13">
        <f t="shared" si="28"/>
        <v>0</v>
      </c>
      <c r="AK14" s="13">
        <f t="shared" si="28"/>
        <v>0</v>
      </c>
      <c r="AL14" s="13">
        <f t="shared" si="28"/>
        <v>1</v>
      </c>
      <c r="AM14" s="13">
        <f t="shared" si="28"/>
        <v>0</v>
      </c>
      <c r="AN14" s="13">
        <f t="shared" si="28"/>
        <v>0</v>
      </c>
      <c r="AO14" s="13">
        <f t="shared" si="28"/>
        <v>0</v>
      </c>
      <c r="AP14" s="13">
        <f t="shared" si="28"/>
        <v>0</v>
      </c>
      <c r="AQ14" s="13"/>
      <c r="AR14" s="13" t="s">
        <v>161</v>
      </c>
      <c r="AS14" s="13"/>
      <c r="AT14" s="13" t="s">
        <v>162</v>
      </c>
      <c r="AU14" s="13" t="s">
        <v>163</v>
      </c>
      <c r="AV14" s="13" t="s">
        <v>164</v>
      </c>
      <c r="AW14" s="13">
        <v>5.0</v>
      </c>
      <c r="AX14" s="13">
        <v>-1.0</v>
      </c>
      <c r="AY14" s="13">
        <v>0.0</v>
      </c>
      <c r="AZ14" s="13" t="s">
        <v>165</v>
      </c>
      <c r="BA14" s="13" t="s">
        <v>166</v>
      </c>
      <c r="BB14" s="13"/>
      <c r="BC14" s="13"/>
      <c r="BD14" s="13" t="s">
        <v>167</v>
      </c>
      <c r="BE14" s="13"/>
      <c r="BF14" s="13" t="s">
        <v>168</v>
      </c>
      <c r="BG14" s="13" t="s">
        <v>169</v>
      </c>
      <c r="BH14" s="13" t="s">
        <v>79</v>
      </c>
      <c r="BI14" s="13" t="b">
        <v>0</v>
      </c>
      <c r="BJ14" s="13">
        <v>0.0</v>
      </c>
      <c r="BK14" s="13">
        <v>0.0</v>
      </c>
    </row>
    <row r="15" ht="14.25" customHeight="1">
      <c r="A15" s="13">
        <v>13.0</v>
      </c>
      <c r="B15" s="13" t="s">
        <v>48</v>
      </c>
      <c r="C15" s="13">
        <v>0.0</v>
      </c>
      <c r="D15" s="14">
        <v>0.0</v>
      </c>
      <c r="E15" s="13" t="s">
        <v>170</v>
      </c>
      <c r="F15" s="15" t="s">
        <v>171</v>
      </c>
      <c r="G15" s="16" t="s">
        <v>172</v>
      </c>
      <c r="H15" s="13">
        <v>8.0</v>
      </c>
      <c r="I15" s="13">
        <v>0.9</v>
      </c>
      <c r="J15" s="13" t="s">
        <v>160</v>
      </c>
      <c r="K15" s="13">
        <f t="shared" si="3"/>
        <v>0</v>
      </c>
      <c r="L15" s="13">
        <f t="shared" si="4"/>
        <v>1</v>
      </c>
      <c r="M15" s="13">
        <f t="shared" ref="M15:AA15" si="29">IFERROR(VALUE(RIGHT(LEFT($J15,FIND(M$1,$J15,1)+LEN(M$1)),1)),0)</f>
        <v>0</v>
      </c>
      <c r="N15" s="13">
        <f t="shared" si="29"/>
        <v>0</v>
      </c>
      <c r="O15" s="13">
        <f t="shared" si="29"/>
        <v>0</v>
      </c>
      <c r="P15" s="13">
        <f t="shared" si="29"/>
        <v>0</v>
      </c>
      <c r="Q15" s="13">
        <f t="shared" si="29"/>
        <v>0</v>
      </c>
      <c r="R15" s="13">
        <f t="shared" si="29"/>
        <v>0</v>
      </c>
      <c r="S15" s="13">
        <f t="shared" si="29"/>
        <v>0</v>
      </c>
      <c r="T15" s="13">
        <f t="shared" si="29"/>
        <v>0</v>
      </c>
      <c r="U15" s="13">
        <f t="shared" si="29"/>
        <v>0</v>
      </c>
      <c r="V15" s="13">
        <f t="shared" si="29"/>
        <v>0</v>
      </c>
      <c r="W15" s="13">
        <f t="shared" si="29"/>
        <v>0</v>
      </c>
      <c r="X15" s="13">
        <f t="shared" si="29"/>
        <v>0</v>
      </c>
      <c r="Y15" s="13">
        <f t="shared" si="29"/>
        <v>0</v>
      </c>
      <c r="Z15" s="13">
        <f t="shared" si="29"/>
        <v>0</v>
      </c>
      <c r="AA15" s="13">
        <f t="shared" si="29"/>
        <v>0</v>
      </c>
      <c r="AB15" s="13">
        <f t="shared" ref="AB15:AP15" si="30">IFERROR(VALUE(RIGHT(LEFT($J15,FIND(AB$1,$J15,IF(M15=0,1,FIND(AB$1,$J15,1)+1))+LEN(AB$1)),1)),0)</f>
        <v>0</v>
      </c>
      <c r="AC15" s="13">
        <f t="shared" si="30"/>
        <v>0</v>
      </c>
      <c r="AD15" s="13">
        <f t="shared" si="30"/>
        <v>0</v>
      </c>
      <c r="AE15" s="13">
        <f t="shared" si="30"/>
        <v>0</v>
      </c>
      <c r="AF15" s="13">
        <f t="shared" si="30"/>
        <v>0</v>
      </c>
      <c r="AG15" s="13">
        <f t="shared" si="30"/>
        <v>0</v>
      </c>
      <c r="AH15" s="13">
        <f t="shared" si="30"/>
        <v>0</v>
      </c>
      <c r="AI15" s="13">
        <f t="shared" si="30"/>
        <v>0</v>
      </c>
      <c r="AJ15" s="13">
        <f t="shared" si="30"/>
        <v>0</v>
      </c>
      <c r="AK15" s="13">
        <f t="shared" si="30"/>
        <v>0</v>
      </c>
      <c r="AL15" s="13">
        <f t="shared" si="30"/>
        <v>1</v>
      </c>
      <c r="AM15" s="13">
        <f t="shared" si="30"/>
        <v>0</v>
      </c>
      <c r="AN15" s="13">
        <f t="shared" si="30"/>
        <v>0</v>
      </c>
      <c r="AO15" s="13">
        <f t="shared" si="30"/>
        <v>0</v>
      </c>
      <c r="AP15" s="13">
        <f t="shared" si="30"/>
        <v>0</v>
      </c>
      <c r="AQ15" s="13"/>
      <c r="AR15" s="13" t="s">
        <v>173</v>
      </c>
      <c r="AS15" s="13" t="s">
        <v>174</v>
      </c>
      <c r="AT15" s="13" t="s">
        <v>175</v>
      </c>
      <c r="AU15" s="13" t="s">
        <v>143</v>
      </c>
      <c r="AV15" s="13" t="s">
        <v>176</v>
      </c>
      <c r="AW15" s="13">
        <v>3.0</v>
      </c>
      <c r="AX15" s="13">
        <v>-1.0</v>
      </c>
      <c r="AY15" s="13">
        <v>0.0</v>
      </c>
      <c r="AZ15" s="13" t="s">
        <v>177</v>
      </c>
      <c r="BA15" s="13" t="s">
        <v>178</v>
      </c>
      <c r="BB15" s="13"/>
      <c r="BC15" s="13"/>
      <c r="BD15" s="13" t="s">
        <v>179</v>
      </c>
      <c r="BE15" s="13"/>
      <c r="BF15" s="13" t="s">
        <v>180</v>
      </c>
      <c r="BG15" s="13" t="s">
        <v>169</v>
      </c>
      <c r="BH15" s="13" t="s">
        <v>79</v>
      </c>
      <c r="BI15" s="13" t="b">
        <v>0</v>
      </c>
      <c r="BJ15" s="13">
        <v>0.0</v>
      </c>
      <c r="BK15" s="13">
        <v>0.0</v>
      </c>
    </row>
    <row r="16" ht="14.25" customHeight="1">
      <c r="A16" s="13">
        <v>14.0</v>
      </c>
      <c r="B16" s="13" t="s">
        <v>48</v>
      </c>
      <c r="C16" s="13">
        <v>0.0</v>
      </c>
      <c r="D16" s="14">
        <v>0.0</v>
      </c>
      <c r="E16" s="13" t="s">
        <v>181</v>
      </c>
      <c r="F16" s="15" t="s">
        <v>182</v>
      </c>
      <c r="G16" s="16" t="s">
        <v>183</v>
      </c>
      <c r="H16" s="13">
        <v>12.0</v>
      </c>
      <c r="I16" s="13">
        <v>1.0</v>
      </c>
      <c r="J16" s="13" t="s">
        <v>95</v>
      </c>
      <c r="K16" s="13">
        <f t="shared" si="3"/>
        <v>0</v>
      </c>
      <c r="L16" s="13">
        <f t="shared" si="4"/>
        <v>1</v>
      </c>
      <c r="M16" s="13">
        <f t="shared" ref="M16:AA16" si="31">IFERROR(VALUE(RIGHT(LEFT($J16,FIND(M$1,$J16,1)+LEN(M$1)),1)),0)</f>
        <v>0</v>
      </c>
      <c r="N16" s="13">
        <f t="shared" si="31"/>
        <v>0</v>
      </c>
      <c r="O16" s="13">
        <f t="shared" si="31"/>
        <v>0</v>
      </c>
      <c r="P16" s="13">
        <f t="shared" si="31"/>
        <v>0</v>
      </c>
      <c r="Q16" s="13">
        <f t="shared" si="31"/>
        <v>0</v>
      </c>
      <c r="R16" s="13">
        <f t="shared" si="31"/>
        <v>0</v>
      </c>
      <c r="S16" s="13">
        <f t="shared" si="31"/>
        <v>0</v>
      </c>
      <c r="T16" s="13">
        <f t="shared" si="31"/>
        <v>0</v>
      </c>
      <c r="U16" s="13">
        <f t="shared" si="31"/>
        <v>0</v>
      </c>
      <c r="V16" s="13">
        <f t="shared" si="31"/>
        <v>0</v>
      </c>
      <c r="W16" s="13">
        <f t="shared" si="31"/>
        <v>0</v>
      </c>
      <c r="X16" s="13">
        <f t="shared" si="31"/>
        <v>0</v>
      </c>
      <c r="Y16" s="13">
        <f t="shared" si="31"/>
        <v>0</v>
      </c>
      <c r="Z16" s="13">
        <f t="shared" si="31"/>
        <v>0</v>
      </c>
      <c r="AA16" s="13">
        <f t="shared" si="31"/>
        <v>0</v>
      </c>
      <c r="AB16" s="13">
        <f t="shared" ref="AB16:AP16" si="32">IFERROR(VALUE(RIGHT(LEFT($J16,FIND(AB$1,$J16,IF(M16=0,1,FIND(AB$1,$J16,1)+1))+LEN(AB$1)),1)),0)</f>
        <v>0</v>
      </c>
      <c r="AC16" s="13">
        <f t="shared" si="32"/>
        <v>1</v>
      </c>
      <c r="AD16" s="13">
        <f t="shared" si="32"/>
        <v>0</v>
      </c>
      <c r="AE16" s="13">
        <f t="shared" si="32"/>
        <v>0</v>
      </c>
      <c r="AF16" s="13">
        <f t="shared" si="32"/>
        <v>0</v>
      </c>
      <c r="AG16" s="13">
        <f t="shared" si="32"/>
        <v>0</v>
      </c>
      <c r="AH16" s="13">
        <f t="shared" si="32"/>
        <v>0</v>
      </c>
      <c r="AI16" s="13">
        <f t="shared" si="32"/>
        <v>0</v>
      </c>
      <c r="AJ16" s="13">
        <f t="shared" si="32"/>
        <v>0</v>
      </c>
      <c r="AK16" s="13">
        <f t="shared" si="32"/>
        <v>0</v>
      </c>
      <c r="AL16" s="13">
        <f t="shared" si="32"/>
        <v>0</v>
      </c>
      <c r="AM16" s="13">
        <f t="shared" si="32"/>
        <v>0</v>
      </c>
      <c r="AN16" s="13">
        <f t="shared" si="32"/>
        <v>0</v>
      </c>
      <c r="AO16" s="13">
        <f t="shared" si="32"/>
        <v>0</v>
      </c>
      <c r="AP16" s="13">
        <f t="shared" si="32"/>
        <v>0</v>
      </c>
      <c r="AQ16" s="13"/>
      <c r="AR16" s="13" t="s">
        <v>184</v>
      </c>
      <c r="AS16" s="13" t="s">
        <v>185</v>
      </c>
      <c r="AT16" s="13" t="s">
        <v>162</v>
      </c>
      <c r="AU16" s="13" t="s">
        <v>163</v>
      </c>
      <c r="AV16" s="13"/>
      <c r="AW16" s="13">
        <v>4.0</v>
      </c>
      <c r="AX16" s="13">
        <v>-1.0</v>
      </c>
      <c r="AY16" s="13">
        <v>0.0</v>
      </c>
      <c r="AZ16" s="13" t="s">
        <v>186</v>
      </c>
      <c r="BA16" s="13" t="s">
        <v>187</v>
      </c>
      <c r="BB16" s="13"/>
      <c r="BC16" s="13"/>
      <c r="BD16" s="13" t="s">
        <v>188</v>
      </c>
      <c r="BE16" s="13"/>
      <c r="BF16" s="13" t="s">
        <v>189</v>
      </c>
      <c r="BG16" s="13" t="s">
        <v>169</v>
      </c>
      <c r="BH16" s="13" t="s">
        <v>79</v>
      </c>
      <c r="BI16" s="13" t="b">
        <v>0</v>
      </c>
      <c r="BJ16" s="13">
        <v>0.0</v>
      </c>
      <c r="BK16" s="13">
        <v>0.0</v>
      </c>
    </row>
    <row r="17" ht="14.25" customHeight="1">
      <c r="A17" s="13">
        <v>15.0</v>
      </c>
      <c r="B17" s="13" t="s">
        <v>49</v>
      </c>
      <c r="C17" s="13">
        <v>0.0</v>
      </c>
      <c r="D17" s="14">
        <v>0.0</v>
      </c>
      <c r="E17" s="13" t="s">
        <v>190</v>
      </c>
      <c r="F17" s="15" t="s">
        <v>191</v>
      </c>
      <c r="G17" s="16" t="s">
        <v>192</v>
      </c>
      <c r="H17" s="13">
        <v>10.0</v>
      </c>
      <c r="I17" s="13">
        <v>1.1</v>
      </c>
      <c r="J17" s="13" t="s">
        <v>193</v>
      </c>
      <c r="K17" s="13">
        <f t="shared" si="3"/>
        <v>0</v>
      </c>
      <c r="L17" s="13">
        <f t="shared" si="4"/>
        <v>1</v>
      </c>
      <c r="M17" s="13">
        <f t="shared" ref="M17:AA17" si="33">IFERROR(VALUE(RIGHT(LEFT($J17,FIND(M$1,$J17,1)+LEN(M$1)),1)),0)</f>
        <v>0</v>
      </c>
      <c r="N17" s="13">
        <f t="shared" si="33"/>
        <v>0</v>
      </c>
      <c r="O17" s="13">
        <f t="shared" si="33"/>
        <v>0</v>
      </c>
      <c r="P17" s="13">
        <f t="shared" si="33"/>
        <v>0</v>
      </c>
      <c r="Q17" s="13">
        <f t="shared" si="33"/>
        <v>0</v>
      </c>
      <c r="R17" s="13">
        <f t="shared" si="33"/>
        <v>0</v>
      </c>
      <c r="S17" s="13">
        <f t="shared" si="33"/>
        <v>0</v>
      </c>
      <c r="T17" s="13">
        <f t="shared" si="33"/>
        <v>0</v>
      </c>
      <c r="U17" s="13">
        <f t="shared" si="33"/>
        <v>0</v>
      </c>
      <c r="V17" s="13">
        <f t="shared" si="33"/>
        <v>0</v>
      </c>
      <c r="W17" s="13">
        <f t="shared" si="33"/>
        <v>0</v>
      </c>
      <c r="X17" s="13">
        <f t="shared" si="33"/>
        <v>0</v>
      </c>
      <c r="Y17" s="13">
        <f t="shared" si="33"/>
        <v>0</v>
      </c>
      <c r="Z17" s="13">
        <f t="shared" si="33"/>
        <v>0</v>
      </c>
      <c r="AA17" s="13">
        <f t="shared" si="33"/>
        <v>0</v>
      </c>
      <c r="AB17" s="13">
        <f t="shared" ref="AB17:AP17" si="34">IFERROR(VALUE(RIGHT(LEFT($J17,FIND(AB$1,$J17,IF(M17=0,1,FIND(AB$1,$J17,1)+1))+LEN(AB$1)),1)),0)</f>
        <v>0</v>
      </c>
      <c r="AC17" s="13">
        <f t="shared" si="34"/>
        <v>0</v>
      </c>
      <c r="AD17" s="13">
        <f t="shared" si="34"/>
        <v>0</v>
      </c>
      <c r="AE17" s="13">
        <f t="shared" si="34"/>
        <v>0</v>
      </c>
      <c r="AF17" s="13">
        <f t="shared" si="34"/>
        <v>0</v>
      </c>
      <c r="AG17" s="13">
        <f t="shared" si="34"/>
        <v>0</v>
      </c>
      <c r="AH17" s="13">
        <f t="shared" si="34"/>
        <v>0</v>
      </c>
      <c r="AI17" s="13">
        <f t="shared" si="34"/>
        <v>0</v>
      </c>
      <c r="AJ17" s="13">
        <f t="shared" si="34"/>
        <v>0</v>
      </c>
      <c r="AK17" s="13">
        <f t="shared" si="34"/>
        <v>0</v>
      </c>
      <c r="AL17" s="13">
        <f t="shared" si="34"/>
        <v>0</v>
      </c>
      <c r="AM17" s="13">
        <f t="shared" si="34"/>
        <v>1</v>
      </c>
      <c r="AN17" s="13">
        <f t="shared" si="34"/>
        <v>0</v>
      </c>
      <c r="AO17" s="13">
        <f t="shared" si="34"/>
        <v>0</v>
      </c>
      <c r="AP17" s="13">
        <f t="shared" si="34"/>
        <v>0</v>
      </c>
      <c r="AQ17" s="13"/>
      <c r="AR17" s="13" t="s">
        <v>194</v>
      </c>
      <c r="AS17" s="13"/>
      <c r="AT17" s="13" t="s">
        <v>162</v>
      </c>
      <c r="AU17" s="13" t="s">
        <v>195</v>
      </c>
      <c r="AV17" s="13" t="s">
        <v>196</v>
      </c>
      <c r="AW17" s="13">
        <v>5.0</v>
      </c>
      <c r="AX17" s="13">
        <v>-1.0</v>
      </c>
      <c r="AY17" s="13">
        <v>0.0</v>
      </c>
      <c r="AZ17" s="13" t="s">
        <v>197</v>
      </c>
      <c r="BA17" s="13" t="s">
        <v>198</v>
      </c>
      <c r="BB17" s="13"/>
      <c r="BC17" s="13"/>
      <c r="BD17" s="13" t="s">
        <v>199</v>
      </c>
      <c r="BE17" s="13"/>
      <c r="BF17" s="13" t="s">
        <v>200</v>
      </c>
      <c r="BG17" s="13" t="s">
        <v>201</v>
      </c>
      <c r="BH17" s="13" t="s">
        <v>79</v>
      </c>
      <c r="BI17" s="13" t="b">
        <v>0</v>
      </c>
      <c r="BJ17" s="13">
        <v>0.0</v>
      </c>
      <c r="BK17" s="13">
        <v>0.0</v>
      </c>
    </row>
    <row r="18" ht="14.25" customHeight="1">
      <c r="A18" s="13">
        <v>16.0</v>
      </c>
      <c r="B18" s="13" t="s">
        <v>49</v>
      </c>
      <c r="C18" s="13">
        <v>0.0</v>
      </c>
      <c r="D18" s="14">
        <v>0.0</v>
      </c>
      <c r="E18" s="13" t="s">
        <v>202</v>
      </c>
      <c r="F18" s="15" t="s">
        <v>203</v>
      </c>
      <c r="G18" s="16" t="s">
        <v>204</v>
      </c>
      <c r="H18" s="13">
        <v>9.0</v>
      </c>
      <c r="I18" s="13">
        <v>0.9</v>
      </c>
      <c r="J18" s="13" t="s">
        <v>193</v>
      </c>
      <c r="K18" s="13">
        <f t="shared" si="3"/>
        <v>0</v>
      </c>
      <c r="L18" s="13">
        <f t="shared" si="4"/>
        <v>1</v>
      </c>
      <c r="M18" s="13">
        <f t="shared" ref="M18:AA18" si="35">IFERROR(VALUE(RIGHT(LEFT($J18,FIND(M$1,$J18,1)+LEN(M$1)),1)),0)</f>
        <v>0</v>
      </c>
      <c r="N18" s="13">
        <f t="shared" si="35"/>
        <v>0</v>
      </c>
      <c r="O18" s="13">
        <f t="shared" si="35"/>
        <v>0</v>
      </c>
      <c r="P18" s="13">
        <f t="shared" si="35"/>
        <v>0</v>
      </c>
      <c r="Q18" s="13">
        <f t="shared" si="35"/>
        <v>0</v>
      </c>
      <c r="R18" s="13">
        <f t="shared" si="35"/>
        <v>0</v>
      </c>
      <c r="S18" s="13">
        <f t="shared" si="35"/>
        <v>0</v>
      </c>
      <c r="T18" s="13">
        <f t="shared" si="35"/>
        <v>0</v>
      </c>
      <c r="U18" s="13">
        <f t="shared" si="35"/>
        <v>0</v>
      </c>
      <c r="V18" s="13">
        <f t="shared" si="35"/>
        <v>0</v>
      </c>
      <c r="W18" s="13">
        <f t="shared" si="35"/>
        <v>0</v>
      </c>
      <c r="X18" s="13">
        <f t="shared" si="35"/>
        <v>0</v>
      </c>
      <c r="Y18" s="13">
        <f t="shared" si="35"/>
        <v>0</v>
      </c>
      <c r="Z18" s="13">
        <f t="shared" si="35"/>
        <v>0</v>
      </c>
      <c r="AA18" s="13">
        <f t="shared" si="35"/>
        <v>0</v>
      </c>
      <c r="AB18" s="13">
        <f t="shared" ref="AB18:AP18" si="36">IFERROR(VALUE(RIGHT(LEFT($J18,FIND(AB$1,$J18,IF(M18=0,1,FIND(AB$1,$J18,1)+1))+LEN(AB$1)),1)),0)</f>
        <v>0</v>
      </c>
      <c r="AC18" s="13">
        <f t="shared" si="36"/>
        <v>0</v>
      </c>
      <c r="AD18" s="13">
        <f t="shared" si="36"/>
        <v>0</v>
      </c>
      <c r="AE18" s="13">
        <f t="shared" si="36"/>
        <v>0</v>
      </c>
      <c r="AF18" s="13">
        <f t="shared" si="36"/>
        <v>0</v>
      </c>
      <c r="AG18" s="13">
        <f t="shared" si="36"/>
        <v>0</v>
      </c>
      <c r="AH18" s="13">
        <f t="shared" si="36"/>
        <v>0</v>
      </c>
      <c r="AI18" s="13">
        <f t="shared" si="36"/>
        <v>0</v>
      </c>
      <c r="AJ18" s="13">
        <f t="shared" si="36"/>
        <v>0</v>
      </c>
      <c r="AK18" s="13">
        <f t="shared" si="36"/>
        <v>0</v>
      </c>
      <c r="AL18" s="13">
        <f t="shared" si="36"/>
        <v>0</v>
      </c>
      <c r="AM18" s="13">
        <f t="shared" si="36"/>
        <v>1</v>
      </c>
      <c r="AN18" s="13">
        <f t="shared" si="36"/>
        <v>0</v>
      </c>
      <c r="AO18" s="13">
        <f t="shared" si="36"/>
        <v>0</v>
      </c>
      <c r="AP18" s="13">
        <f t="shared" si="36"/>
        <v>0</v>
      </c>
      <c r="AQ18" s="13"/>
      <c r="AR18" s="13" t="s">
        <v>205</v>
      </c>
      <c r="AS18" s="13" t="s">
        <v>206</v>
      </c>
      <c r="AT18" s="13" t="s">
        <v>162</v>
      </c>
      <c r="AU18" s="13" t="s">
        <v>207</v>
      </c>
      <c r="AV18" s="13" t="s">
        <v>208</v>
      </c>
      <c r="AW18" s="13">
        <v>3.0</v>
      </c>
      <c r="AX18" s="13">
        <v>-1.0</v>
      </c>
      <c r="AY18" s="13">
        <v>0.0</v>
      </c>
      <c r="AZ18" s="13" t="s">
        <v>209</v>
      </c>
      <c r="BA18" s="13" t="s">
        <v>210</v>
      </c>
      <c r="BB18" s="13"/>
      <c r="BC18" s="13"/>
      <c r="BD18" s="13" t="s">
        <v>199</v>
      </c>
      <c r="BE18" s="13"/>
      <c r="BF18" s="13" t="s">
        <v>211</v>
      </c>
      <c r="BG18" s="13" t="s">
        <v>201</v>
      </c>
      <c r="BH18" s="13" t="s">
        <v>79</v>
      </c>
      <c r="BI18" s="13" t="b">
        <v>0</v>
      </c>
      <c r="BJ18" s="13">
        <v>0.0</v>
      </c>
      <c r="BK18" s="13">
        <v>0.0</v>
      </c>
    </row>
    <row r="19" ht="14.25" customHeight="1">
      <c r="A19" s="13">
        <v>17.0</v>
      </c>
      <c r="B19" s="13" t="s">
        <v>49</v>
      </c>
      <c r="C19" s="13">
        <v>0.0</v>
      </c>
      <c r="D19" s="14">
        <v>0.0</v>
      </c>
      <c r="E19" s="13" t="s">
        <v>212</v>
      </c>
      <c r="F19" s="15" t="s">
        <v>213</v>
      </c>
      <c r="G19" s="16" t="s">
        <v>214</v>
      </c>
      <c r="H19" s="13">
        <v>12.0</v>
      </c>
      <c r="I19" s="13">
        <v>1.0</v>
      </c>
      <c r="J19" s="13" t="s">
        <v>215</v>
      </c>
      <c r="K19" s="13">
        <f t="shared" si="3"/>
        <v>0</v>
      </c>
      <c r="L19" s="13">
        <f t="shared" si="4"/>
        <v>1</v>
      </c>
      <c r="M19" s="13">
        <f t="shared" ref="M19:AA19" si="37">IFERROR(VALUE(RIGHT(LEFT($J19,FIND(M$1,$J19,1)+LEN(M$1)),1)),0)</f>
        <v>0</v>
      </c>
      <c r="N19" s="13">
        <f t="shared" si="37"/>
        <v>0</v>
      </c>
      <c r="O19" s="13">
        <f t="shared" si="37"/>
        <v>0</v>
      </c>
      <c r="P19" s="13">
        <f t="shared" si="37"/>
        <v>0</v>
      </c>
      <c r="Q19" s="13">
        <f t="shared" si="37"/>
        <v>0</v>
      </c>
      <c r="R19" s="13">
        <f t="shared" si="37"/>
        <v>0</v>
      </c>
      <c r="S19" s="13">
        <f t="shared" si="37"/>
        <v>0</v>
      </c>
      <c r="T19" s="13">
        <f t="shared" si="37"/>
        <v>0</v>
      </c>
      <c r="U19" s="13">
        <f t="shared" si="37"/>
        <v>0</v>
      </c>
      <c r="V19" s="13">
        <f t="shared" si="37"/>
        <v>0</v>
      </c>
      <c r="W19" s="13">
        <f t="shared" si="37"/>
        <v>0</v>
      </c>
      <c r="X19" s="13">
        <f t="shared" si="37"/>
        <v>0</v>
      </c>
      <c r="Y19" s="13">
        <f t="shared" si="37"/>
        <v>0</v>
      </c>
      <c r="Z19" s="13">
        <f t="shared" si="37"/>
        <v>0</v>
      </c>
      <c r="AA19" s="13">
        <f t="shared" si="37"/>
        <v>0</v>
      </c>
      <c r="AB19" s="13">
        <f t="shared" ref="AB19:AP19" si="38">IFERROR(VALUE(RIGHT(LEFT($J19,FIND(AB$1,$J19,IF(M19=0,1,FIND(AB$1,$J19,1)+1))+LEN(AB$1)),1)),0)</f>
        <v>1</v>
      </c>
      <c r="AC19" s="13">
        <f t="shared" si="38"/>
        <v>0</v>
      </c>
      <c r="AD19" s="13">
        <f t="shared" si="38"/>
        <v>0</v>
      </c>
      <c r="AE19" s="13">
        <f t="shared" si="38"/>
        <v>0</v>
      </c>
      <c r="AF19" s="13">
        <f t="shared" si="38"/>
        <v>0</v>
      </c>
      <c r="AG19" s="13">
        <f t="shared" si="38"/>
        <v>0</v>
      </c>
      <c r="AH19" s="13">
        <f t="shared" si="38"/>
        <v>0</v>
      </c>
      <c r="AI19" s="13">
        <f t="shared" si="38"/>
        <v>0</v>
      </c>
      <c r="AJ19" s="13">
        <f t="shared" si="38"/>
        <v>0</v>
      </c>
      <c r="AK19" s="13">
        <f t="shared" si="38"/>
        <v>0</v>
      </c>
      <c r="AL19" s="13">
        <f t="shared" si="38"/>
        <v>0</v>
      </c>
      <c r="AM19" s="13">
        <f t="shared" si="38"/>
        <v>0</v>
      </c>
      <c r="AN19" s="13">
        <f t="shared" si="38"/>
        <v>0</v>
      </c>
      <c r="AO19" s="13">
        <f t="shared" si="38"/>
        <v>0</v>
      </c>
      <c r="AP19" s="13">
        <f t="shared" si="38"/>
        <v>0</v>
      </c>
      <c r="AQ19" s="13"/>
      <c r="AR19" s="13" t="s">
        <v>216</v>
      </c>
      <c r="AS19" s="13" t="s">
        <v>217</v>
      </c>
      <c r="AT19" s="13" t="s">
        <v>162</v>
      </c>
      <c r="AU19" s="13" t="s">
        <v>163</v>
      </c>
      <c r="AV19" s="13"/>
      <c r="AW19" s="13">
        <v>4.0</v>
      </c>
      <c r="AX19" s="13">
        <v>-1.0</v>
      </c>
      <c r="AY19" s="13">
        <v>0.0</v>
      </c>
      <c r="AZ19" s="13" t="s">
        <v>218</v>
      </c>
      <c r="BA19" s="13" t="s">
        <v>219</v>
      </c>
      <c r="BB19" s="13"/>
      <c r="BC19" s="13"/>
      <c r="BD19" s="13" t="s">
        <v>220</v>
      </c>
      <c r="BE19" s="13"/>
      <c r="BF19" s="13" t="s">
        <v>221</v>
      </c>
      <c r="BG19" s="13" t="s">
        <v>201</v>
      </c>
      <c r="BH19" s="13" t="s">
        <v>79</v>
      </c>
      <c r="BI19" s="13" t="b">
        <v>0</v>
      </c>
      <c r="BJ19" s="13">
        <v>0.0</v>
      </c>
      <c r="BK19" s="13">
        <v>0.0</v>
      </c>
    </row>
    <row r="20" ht="14.25" customHeight="1">
      <c r="A20" s="13">
        <v>18.0</v>
      </c>
      <c r="B20" s="13" t="s">
        <v>50</v>
      </c>
      <c r="C20" s="13">
        <v>0.0</v>
      </c>
      <c r="D20" s="14">
        <v>0.0</v>
      </c>
      <c r="E20" s="13" t="s">
        <v>222</v>
      </c>
      <c r="F20" s="15" t="s">
        <v>223</v>
      </c>
      <c r="G20" s="16" t="s">
        <v>224</v>
      </c>
      <c r="H20" s="13">
        <v>10.0</v>
      </c>
      <c r="I20" s="13">
        <v>1.1</v>
      </c>
      <c r="J20" s="13" t="s">
        <v>225</v>
      </c>
      <c r="K20" s="13">
        <f t="shared" si="3"/>
        <v>0</v>
      </c>
      <c r="L20" s="13">
        <f t="shared" si="4"/>
        <v>1</v>
      </c>
      <c r="M20" s="13">
        <f t="shared" ref="M20:AA20" si="39">IFERROR(VALUE(RIGHT(LEFT($J20,FIND(M$1,$J20,1)+LEN(M$1)),1)),0)</f>
        <v>0</v>
      </c>
      <c r="N20" s="13">
        <f t="shared" si="39"/>
        <v>0</v>
      </c>
      <c r="O20" s="13">
        <f t="shared" si="39"/>
        <v>0</v>
      </c>
      <c r="P20" s="13">
        <f t="shared" si="39"/>
        <v>0</v>
      </c>
      <c r="Q20" s="13">
        <f t="shared" si="39"/>
        <v>0</v>
      </c>
      <c r="R20" s="13">
        <f t="shared" si="39"/>
        <v>0</v>
      </c>
      <c r="S20" s="13">
        <f t="shared" si="39"/>
        <v>0</v>
      </c>
      <c r="T20" s="13">
        <f t="shared" si="39"/>
        <v>0</v>
      </c>
      <c r="U20" s="13">
        <f t="shared" si="39"/>
        <v>0</v>
      </c>
      <c r="V20" s="13">
        <f t="shared" si="39"/>
        <v>0</v>
      </c>
      <c r="W20" s="13">
        <f t="shared" si="39"/>
        <v>0</v>
      </c>
      <c r="X20" s="13">
        <f t="shared" si="39"/>
        <v>0</v>
      </c>
      <c r="Y20" s="13">
        <f t="shared" si="39"/>
        <v>0</v>
      </c>
      <c r="Z20" s="13">
        <f t="shared" si="39"/>
        <v>0</v>
      </c>
      <c r="AA20" s="13">
        <f t="shared" si="39"/>
        <v>0</v>
      </c>
      <c r="AB20" s="13">
        <f t="shared" ref="AB20:AP20" si="40">IFERROR(VALUE(RIGHT(LEFT($J20,FIND(AB$1,$J20,IF(M20=0,1,FIND(AB$1,$J20,1)+1))+LEN(AB$1)),1)),0)</f>
        <v>0</v>
      </c>
      <c r="AC20" s="13">
        <f t="shared" si="40"/>
        <v>0</v>
      </c>
      <c r="AD20" s="13">
        <f t="shared" si="40"/>
        <v>0</v>
      </c>
      <c r="AE20" s="13">
        <f t="shared" si="40"/>
        <v>0</v>
      </c>
      <c r="AF20" s="13">
        <f t="shared" si="40"/>
        <v>0</v>
      </c>
      <c r="AG20" s="13">
        <f t="shared" si="40"/>
        <v>0</v>
      </c>
      <c r="AH20" s="13">
        <f t="shared" si="40"/>
        <v>0</v>
      </c>
      <c r="AI20" s="13">
        <f t="shared" si="40"/>
        <v>0</v>
      </c>
      <c r="AJ20" s="13">
        <f t="shared" si="40"/>
        <v>0</v>
      </c>
      <c r="AK20" s="13">
        <f t="shared" si="40"/>
        <v>0</v>
      </c>
      <c r="AL20" s="13">
        <f t="shared" si="40"/>
        <v>0</v>
      </c>
      <c r="AM20" s="13">
        <f t="shared" si="40"/>
        <v>0</v>
      </c>
      <c r="AN20" s="13">
        <f t="shared" si="40"/>
        <v>1</v>
      </c>
      <c r="AO20" s="13">
        <f t="shared" si="40"/>
        <v>0</v>
      </c>
      <c r="AP20" s="13">
        <f t="shared" si="40"/>
        <v>0</v>
      </c>
      <c r="AQ20" s="13"/>
      <c r="AR20" s="13" t="s">
        <v>226</v>
      </c>
      <c r="AS20" s="13"/>
      <c r="AT20" s="13" t="s">
        <v>129</v>
      </c>
      <c r="AU20" s="13" t="s">
        <v>143</v>
      </c>
      <c r="AV20" s="13" t="s">
        <v>227</v>
      </c>
      <c r="AW20" s="13">
        <v>5.0</v>
      </c>
      <c r="AX20" s="13">
        <v>-1.0</v>
      </c>
      <c r="AY20" s="13">
        <v>0.0</v>
      </c>
      <c r="AZ20" s="13" t="s">
        <v>228</v>
      </c>
      <c r="BA20" s="13" t="s">
        <v>229</v>
      </c>
      <c r="BB20" s="13"/>
      <c r="BC20" s="13"/>
      <c r="BD20" s="13" t="s">
        <v>230</v>
      </c>
      <c r="BE20" s="13"/>
      <c r="BF20" s="13" t="s">
        <v>135</v>
      </c>
      <c r="BG20" s="13" t="s">
        <v>50</v>
      </c>
      <c r="BH20" s="13" t="s">
        <v>79</v>
      </c>
      <c r="BI20" s="13" t="b">
        <v>0</v>
      </c>
      <c r="BJ20" s="13">
        <v>0.0</v>
      </c>
      <c r="BK20" s="13">
        <v>0.0</v>
      </c>
    </row>
    <row r="21" ht="14.25" customHeight="1">
      <c r="A21" s="13">
        <v>19.0</v>
      </c>
      <c r="B21" s="13" t="s">
        <v>50</v>
      </c>
      <c r="C21" s="13">
        <v>0.0</v>
      </c>
      <c r="D21" s="14">
        <v>0.0</v>
      </c>
      <c r="E21" s="13" t="s">
        <v>231</v>
      </c>
      <c r="F21" s="15" t="s">
        <v>232</v>
      </c>
      <c r="G21" s="16" t="s">
        <v>233</v>
      </c>
      <c r="H21" s="13">
        <v>8.0</v>
      </c>
      <c r="I21" s="13">
        <v>0.9</v>
      </c>
      <c r="J21" s="13" t="s">
        <v>225</v>
      </c>
      <c r="K21" s="13">
        <f t="shared" si="3"/>
        <v>0</v>
      </c>
      <c r="L21" s="13">
        <f t="shared" si="4"/>
        <v>1</v>
      </c>
      <c r="M21" s="13">
        <f t="shared" ref="M21:AA21" si="41">IFERROR(VALUE(RIGHT(LEFT($J21,FIND(M$1,$J21,1)+LEN(M$1)),1)),0)</f>
        <v>0</v>
      </c>
      <c r="N21" s="13">
        <f t="shared" si="41"/>
        <v>0</v>
      </c>
      <c r="O21" s="13">
        <f t="shared" si="41"/>
        <v>0</v>
      </c>
      <c r="P21" s="13">
        <f t="shared" si="41"/>
        <v>0</v>
      </c>
      <c r="Q21" s="13">
        <f t="shared" si="41"/>
        <v>0</v>
      </c>
      <c r="R21" s="13">
        <f t="shared" si="41"/>
        <v>0</v>
      </c>
      <c r="S21" s="13">
        <f t="shared" si="41"/>
        <v>0</v>
      </c>
      <c r="T21" s="13">
        <f t="shared" si="41"/>
        <v>0</v>
      </c>
      <c r="U21" s="13">
        <f t="shared" si="41"/>
        <v>0</v>
      </c>
      <c r="V21" s="13">
        <f t="shared" si="41"/>
        <v>0</v>
      </c>
      <c r="W21" s="13">
        <f t="shared" si="41"/>
        <v>0</v>
      </c>
      <c r="X21" s="13">
        <f t="shared" si="41"/>
        <v>0</v>
      </c>
      <c r="Y21" s="13">
        <f t="shared" si="41"/>
        <v>0</v>
      </c>
      <c r="Z21" s="13">
        <f t="shared" si="41"/>
        <v>0</v>
      </c>
      <c r="AA21" s="13">
        <f t="shared" si="41"/>
        <v>0</v>
      </c>
      <c r="AB21" s="13">
        <f t="shared" ref="AB21:AP21" si="42">IFERROR(VALUE(RIGHT(LEFT($J21,FIND(AB$1,$J21,IF(M21=0,1,FIND(AB$1,$J21,1)+1))+LEN(AB$1)),1)),0)</f>
        <v>0</v>
      </c>
      <c r="AC21" s="13">
        <f t="shared" si="42"/>
        <v>0</v>
      </c>
      <c r="AD21" s="13">
        <f t="shared" si="42"/>
        <v>0</v>
      </c>
      <c r="AE21" s="13">
        <f t="shared" si="42"/>
        <v>0</v>
      </c>
      <c r="AF21" s="13">
        <f t="shared" si="42"/>
        <v>0</v>
      </c>
      <c r="AG21" s="13">
        <f t="shared" si="42"/>
        <v>0</v>
      </c>
      <c r="AH21" s="13">
        <f t="shared" si="42"/>
        <v>0</v>
      </c>
      <c r="AI21" s="13">
        <f t="shared" si="42"/>
        <v>0</v>
      </c>
      <c r="AJ21" s="13">
        <f t="shared" si="42"/>
        <v>0</v>
      </c>
      <c r="AK21" s="13">
        <f t="shared" si="42"/>
        <v>0</v>
      </c>
      <c r="AL21" s="13">
        <f t="shared" si="42"/>
        <v>0</v>
      </c>
      <c r="AM21" s="13">
        <f t="shared" si="42"/>
        <v>0</v>
      </c>
      <c r="AN21" s="13">
        <f t="shared" si="42"/>
        <v>1</v>
      </c>
      <c r="AO21" s="13">
        <f t="shared" si="42"/>
        <v>0</v>
      </c>
      <c r="AP21" s="13">
        <f t="shared" si="42"/>
        <v>0</v>
      </c>
      <c r="AQ21" s="13"/>
      <c r="AR21" s="13" t="s">
        <v>234</v>
      </c>
      <c r="AS21" s="13" t="s">
        <v>235</v>
      </c>
      <c r="AT21" s="13" t="s">
        <v>162</v>
      </c>
      <c r="AU21" s="13" t="s">
        <v>236</v>
      </c>
      <c r="AV21" s="13" t="s">
        <v>237</v>
      </c>
      <c r="AW21" s="13">
        <v>3.0</v>
      </c>
      <c r="AX21" s="13">
        <v>-1.0</v>
      </c>
      <c r="AY21" s="13">
        <v>0.0</v>
      </c>
      <c r="AZ21" s="13" t="s">
        <v>238</v>
      </c>
      <c r="BA21" s="13" t="s">
        <v>198</v>
      </c>
      <c r="BB21" s="13"/>
      <c r="BC21" s="13"/>
      <c r="BD21" s="13" t="s">
        <v>239</v>
      </c>
      <c r="BE21" s="13"/>
      <c r="BF21" s="13" t="s">
        <v>240</v>
      </c>
      <c r="BG21" s="13" t="s">
        <v>50</v>
      </c>
      <c r="BH21" s="13" t="s">
        <v>241</v>
      </c>
      <c r="BI21" s="13" t="b">
        <v>0</v>
      </c>
      <c r="BJ21" s="13">
        <v>0.0</v>
      </c>
      <c r="BK21" s="13">
        <v>0.0</v>
      </c>
    </row>
    <row r="22" ht="14.25" customHeight="1">
      <c r="A22" s="13">
        <v>20.0</v>
      </c>
      <c r="B22" s="13" t="s">
        <v>50</v>
      </c>
      <c r="C22" s="13">
        <v>0.0</v>
      </c>
      <c r="D22" s="14">
        <v>0.0</v>
      </c>
      <c r="E22" s="13" t="s">
        <v>242</v>
      </c>
      <c r="F22" s="15" t="s">
        <v>243</v>
      </c>
      <c r="G22" s="16" t="s">
        <v>244</v>
      </c>
      <c r="H22" s="13">
        <v>12.0</v>
      </c>
      <c r="I22" s="13">
        <v>1.0</v>
      </c>
      <c r="J22" s="13" t="s">
        <v>245</v>
      </c>
      <c r="K22" s="13">
        <f t="shared" si="3"/>
        <v>0</v>
      </c>
      <c r="L22" s="13">
        <f t="shared" si="4"/>
        <v>1</v>
      </c>
      <c r="M22" s="13">
        <f t="shared" ref="M22:AA22" si="43">IFERROR(VALUE(RIGHT(LEFT($J22,FIND(M$1,$J22,1)+LEN(M$1)),1)),0)</f>
        <v>0</v>
      </c>
      <c r="N22" s="13">
        <f t="shared" si="43"/>
        <v>0</v>
      </c>
      <c r="O22" s="13">
        <f t="shared" si="43"/>
        <v>0</v>
      </c>
      <c r="P22" s="13">
        <f t="shared" si="43"/>
        <v>0</v>
      </c>
      <c r="Q22" s="13">
        <f t="shared" si="43"/>
        <v>0</v>
      </c>
      <c r="R22" s="13">
        <f t="shared" si="43"/>
        <v>0</v>
      </c>
      <c r="S22" s="13">
        <f t="shared" si="43"/>
        <v>0</v>
      </c>
      <c r="T22" s="13">
        <f t="shared" si="43"/>
        <v>0</v>
      </c>
      <c r="U22" s="13">
        <f t="shared" si="43"/>
        <v>0</v>
      </c>
      <c r="V22" s="13">
        <f t="shared" si="43"/>
        <v>0</v>
      </c>
      <c r="W22" s="13">
        <f t="shared" si="43"/>
        <v>0</v>
      </c>
      <c r="X22" s="13">
        <f t="shared" si="43"/>
        <v>0</v>
      </c>
      <c r="Y22" s="13">
        <f t="shared" si="43"/>
        <v>0</v>
      </c>
      <c r="Z22" s="13">
        <f t="shared" si="43"/>
        <v>0</v>
      </c>
      <c r="AA22" s="13">
        <f t="shared" si="43"/>
        <v>0</v>
      </c>
      <c r="AB22" s="13">
        <f t="shared" ref="AB22:AP22" si="44">IFERROR(VALUE(RIGHT(LEFT($J22,FIND(AB$1,$J22,IF(M22=0,1,FIND(AB$1,$J22,1)+1))+LEN(AB$1)),1)),0)</f>
        <v>0</v>
      </c>
      <c r="AC22" s="13">
        <f t="shared" si="44"/>
        <v>0</v>
      </c>
      <c r="AD22" s="13">
        <f t="shared" si="44"/>
        <v>0</v>
      </c>
      <c r="AE22" s="13">
        <f t="shared" si="44"/>
        <v>0</v>
      </c>
      <c r="AF22" s="13">
        <f t="shared" si="44"/>
        <v>1</v>
      </c>
      <c r="AG22" s="13">
        <f t="shared" si="44"/>
        <v>0</v>
      </c>
      <c r="AH22" s="13">
        <f t="shared" si="44"/>
        <v>0</v>
      </c>
      <c r="AI22" s="13">
        <f t="shared" si="44"/>
        <v>0</v>
      </c>
      <c r="AJ22" s="13">
        <f t="shared" si="44"/>
        <v>0</v>
      </c>
      <c r="AK22" s="13">
        <f t="shared" si="44"/>
        <v>0</v>
      </c>
      <c r="AL22" s="13">
        <f t="shared" si="44"/>
        <v>0</v>
      </c>
      <c r="AM22" s="13">
        <f t="shared" si="44"/>
        <v>0</v>
      </c>
      <c r="AN22" s="13">
        <f t="shared" si="44"/>
        <v>0</v>
      </c>
      <c r="AO22" s="13">
        <f t="shared" si="44"/>
        <v>0</v>
      </c>
      <c r="AP22" s="13">
        <f t="shared" si="44"/>
        <v>0</v>
      </c>
      <c r="AQ22" s="13"/>
      <c r="AR22" s="13" t="s">
        <v>246</v>
      </c>
      <c r="AS22" s="13" t="s">
        <v>247</v>
      </c>
      <c r="AT22" s="13" t="s">
        <v>162</v>
      </c>
      <c r="AU22" s="13" t="s">
        <v>248</v>
      </c>
      <c r="AV22" s="13"/>
      <c r="AW22" s="13">
        <v>4.0</v>
      </c>
      <c r="AX22" s="13">
        <v>-1.0</v>
      </c>
      <c r="AY22" s="13">
        <v>0.0</v>
      </c>
      <c r="AZ22" s="13" t="s">
        <v>249</v>
      </c>
      <c r="BA22" s="13" t="s">
        <v>250</v>
      </c>
      <c r="BB22" s="13"/>
      <c r="BC22" s="13"/>
      <c r="BD22" s="13" t="s">
        <v>239</v>
      </c>
      <c r="BE22" s="13"/>
      <c r="BF22" s="13" t="s">
        <v>251</v>
      </c>
      <c r="BG22" s="13" t="s">
        <v>50</v>
      </c>
      <c r="BH22" s="13" t="s">
        <v>79</v>
      </c>
      <c r="BI22" s="13" t="b">
        <v>0</v>
      </c>
      <c r="BJ22" s="13">
        <v>0.0</v>
      </c>
      <c r="BK22" s="13">
        <v>0.0</v>
      </c>
    </row>
    <row r="23" ht="14.25" customHeight="1">
      <c r="A23" s="13">
        <v>21.0</v>
      </c>
      <c r="B23" s="13" t="s">
        <v>51</v>
      </c>
      <c r="C23" s="13">
        <v>0.0</v>
      </c>
      <c r="D23" s="14">
        <v>0.0</v>
      </c>
      <c r="E23" s="13" t="s">
        <v>252</v>
      </c>
      <c r="F23" s="15" t="s">
        <v>253</v>
      </c>
      <c r="G23" s="16" t="s">
        <v>254</v>
      </c>
      <c r="H23" s="13">
        <v>10.0</v>
      </c>
      <c r="I23" s="13">
        <v>1.1</v>
      </c>
      <c r="J23" s="13" t="s">
        <v>255</v>
      </c>
      <c r="K23" s="13">
        <f t="shared" si="3"/>
        <v>0</v>
      </c>
      <c r="L23" s="13">
        <f t="shared" si="4"/>
        <v>1</v>
      </c>
      <c r="M23" s="13">
        <f t="shared" ref="M23:AA23" si="45">IFERROR(VALUE(RIGHT(LEFT($J23,FIND(M$1,$J23,1)+LEN(M$1)),1)),0)</f>
        <v>0</v>
      </c>
      <c r="N23" s="13">
        <f t="shared" si="45"/>
        <v>0</v>
      </c>
      <c r="O23" s="13">
        <f t="shared" si="45"/>
        <v>0</v>
      </c>
      <c r="P23" s="13">
        <f t="shared" si="45"/>
        <v>0</v>
      </c>
      <c r="Q23" s="13">
        <f t="shared" si="45"/>
        <v>0</v>
      </c>
      <c r="R23" s="13">
        <f t="shared" si="45"/>
        <v>0</v>
      </c>
      <c r="S23" s="13">
        <f t="shared" si="45"/>
        <v>0</v>
      </c>
      <c r="T23" s="13">
        <f t="shared" si="45"/>
        <v>0</v>
      </c>
      <c r="U23" s="13">
        <f t="shared" si="45"/>
        <v>0</v>
      </c>
      <c r="V23" s="13">
        <f t="shared" si="45"/>
        <v>0</v>
      </c>
      <c r="W23" s="13">
        <f t="shared" si="45"/>
        <v>0</v>
      </c>
      <c r="X23" s="13">
        <f t="shared" si="45"/>
        <v>0</v>
      </c>
      <c r="Y23" s="13">
        <f t="shared" si="45"/>
        <v>0</v>
      </c>
      <c r="Z23" s="13">
        <f t="shared" si="45"/>
        <v>0</v>
      </c>
      <c r="AA23" s="13">
        <f t="shared" si="45"/>
        <v>0</v>
      </c>
      <c r="AB23" s="13">
        <f t="shared" ref="AB23:AP23" si="46">IFERROR(VALUE(RIGHT(LEFT($J23,FIND(AB$1,$J23,IF(M23=0,1,FIND(AB$1,$J23,1)+1))+LEN(AB$1)),1)),0)</f>
        <v>0</v>
      </c>
      <c r="AC23" s="13">
        <f t="shared" si="46"/>
        <v>0</v>
      </c>
      <c r="AD23" s="13">
        <f t="shared" si="46"/>
        <v>0</v>
      </c>
      <c r="AE23" s="13">
        <f t="shared" si="46"/>
        <v>0</v>
      </c>
      <c r="AF23" s="13">
        <f t="shared" si="46"/>
        <v>0</v>
      </c>
      <c r="AG23" s="13">
        <f t="shared" si="46"/>
        <v>0</v>
      </c>
      <c r="AH23" s="13">
        <f t="shared" si="46"/>
        <v>0</v>
      </c>
      <c r="AI23" s="13">
        <f t="shared" si="46"/>
        <v>0</v>
      </c>
      <c r="AJ23" s="13">
        <f t="shared" si="46"/>
        <v>0</v>
      </c>
      <c r="AK23" s="13">
        <f t="shared" si="46"/>
        <v>0</v>
      </c>
      <c r="AL23" s="13">
        <f t="shared" si="46"/>
        <v>0</v>
      </c>
      <c r="AM23" s="13">
        <f t="shared" si="46"/>
        <v>0</v>
      </c>
      <c r="AN23" s="13">
        <f t="shared" si="46"/>
        <v>0</v>
      </c>
      <c r="AO23" s="13">
        <f t="shared" si="46"/>
        <v>1</v>
      </c>
      <c r="AP23" s="13">
        <f t="shared" si="46"/>
        <v>0</v>
      </c>
      <c r="AQ23" s="13"/>
      <c r="AR23" s="13" t="s">
        <v>256</v>
      </c>
      <c r="AS23" s="13"/>
      <c r="AT23" s="13" t="s">
        <v>257</v>
      </c>
      <c r="AU23" s="13" t="s">
        <v>143</v>
      </c>
      <c r="AV23" s="13" t="s">
        <v>258</v>
      </c>
      <c r="AW23" s="13">
        <v>5.0</v>
      </c>
      <c r="AX23" s="13">
        <v>-1.0</v>
      </c>
      <c r="AY23" s="13">
        <v>0.0</v>
      </c>
      <c r="AZ23" s="13" t="s">
        <v>259</v>
      </c>
      <c r="BA23" s="13" t="s">
        <v>260</v>
      </c>
      <c r="BB23" s="13"/>
      <c r="BC23" s="13"/>
      <c r="BD23" s="13" t="s">
        <v>261</v>
      </c>
      <c r="BE23" s="13"/>
      <c r="BF23" s="13" t="s">
        <v>262</v>
      </c>
      <c r="BG23" s="13" t="s">
        <v>263</v>
      </c>
      <c r="BH23" s="13" t="s">
        <v>79</v>
      </c>
      <c r="BI23" s="13" t="b">
        <v>0</v>
      </c>
      <c r="BJ23" s="13">
        <v>0.0</v>
      </c>
      <c r="BK23" s="13">
        <v>0.0</v>
      </c>
    </row>
    <row r="24" ht="14.25" customHeight="1">
      <c r="A24" s="13">
        <v>22.0</v>
      </c>
      <c r="B24" s="13" t="s">
        <v>51</v>
      </c>
      <c r="C24" s="13">
        <v>0.0</v>
      </c>
      <c r="D24" s="14">
        <v>0.0</v>
      </c>
      <c r="E24" s="13" t="s">
        <v>264</v>
      </c>
      <c r="F24" s="15" t="s">
        <v>265</v>
      </c>
      <c r="G24" s="16" t="s">
        <v>266</v>
      </c>
      <c r="H24" s="13">
        <v>11.0</v>
      </c>
      <c r="I24" s="13">
        <v>0.9</v>
      </c>
      <c r="J24" s="13" t="s">
        <v>255</v>
      </c>
      <c r="K24" s="13">
        <f t="shared" si="3"/>
        <v>0</v>
      </c>
      <c r="L24" s="13">
        <f t="shared" si="4"/>
        <v>1</v>
      </c>
      <c r="M24" s="13">
        <f t="shared" ref="M24:AA24" si="47">IFERROR(VALUE(RIGHT(LEFT($J24,FIND(M$1,$J24,1)+LEN(M$1)),1)),0)</f>
        <v>0</v>
      </c>
      <c r="N24" s="13">
        <f t="shared" si="47"/>
        <v>0</v>
      </c>
      <c r="O24" s="13">
        <f t="shared" si="47"/>
        <v>0</v>
      </c>
      <c r="P24" s="13">
        <f t="shared" si="47"/>
        <v>0</v>
      </c>
      <c r="Q24" s="13">
        <f t="shared" si="47"/>
        <v>0</v>
      </c>
      <c r="R24" s="13">
        <f t="shared" si="47"/>
        <v>0</v>
      </c>
      <c r="S24" s="13">
        <f t="shared" si="47"/>
        <v>0</v>
      </c>
      <c r="T24" s="13">
        <f t="shared" si="47"/>
        <v>0</v>
      </c>
      <c r="U24" s="13">
        <f t="shared" si="47"/>
        <v>0</v>
      </c>
      <c r="V24" s="13">
        <f t="shared" si="47"/>
        <v>0</v>
      </c>
      <c r="W24" s="13">
        <f t="shared" si="47"/>
        <v>0</v>
      </c>
      <c r="X24" s="13">
        <f t="shared" si="47"/>
        <v>0</v>
      </c>
      <c r="Y24" s="13">
        <f t="shared" si="47"/>
        <v>0</v>
      </c>
      <c r="Z24" s="13">
        <f t="shared" si="47"/>
        <v>0</v>
      </c>
      <c r="AA24" s="13">
        <f t="shared" si="47"/>
        <v>0</v>
      </c>
      <c r="AB24" s="13">
        <f t="shared" ref="AB24:AP24" si="48">IFERROR(VALUE(RIGHT(LEFT($J24,FIND(AB$1,$J24,IF(M24=0,1,FIND(AB$1,$J24,1)+1))+LEN(AB$1)),1)),0)</f>
        <v>0</v>
      </c>
      <c r="AC24" s="13">
        <f t="shared" si="48"/>
        <v>0</v>
      </c>
      <c r="AD24" s="13">
        <f t="shared" si="48"/>
        <v>0</v>
      </c>
      <c r="AE24" s="13">
        <f t="shared" si="48"/>
        <v>0</v>
      </c>
      <c r="AF24" s="13">
        <f t="shared" si="48"/>
        <v>0</v>
      </c>
      <c r="AG24" s="13">
        <f t="shared" si="48"/>
        <v>0</v>
      </c>
      <c r="AH24" s="13">
        <f t="shared" si="48"/>
        <v>0</v>
      </c>
      <c r="AI24" s="13">
        <f t="shared" si="48"/>
        <v>0</v>
      </c>
      <c r="AJ24" s="13">
        <f t="shared" si="48"/>
        <v>0</v>
      </c>
      <c r="AK24" s="13">
        <f t="shared" si="48"/>
        <v>0</v>
      </c>
      <c r="AL24" s="13">
        <f t="shared" si="48"/>
        <v>0</v>
      </c>
      <c r="AM24" s="13">
        <f t="shared" si="48"/>
        <v>0</v>
      </c>
      <c r="AN24" s="13">
        <f t="shared" si="48"/>
        <v>0</v>
      </c>
      <c r="AO24" s="13">
        <f t="shared" si="48"/>
        <v>1</v>
      </c>
      <c r="AP24" s="13">
        <f t="shared" si="48"/>
        <v>0</v>
      </c>
      <c r="AQ24" s="13"/>
      <c r="AR24" s="13" t="s">
        <v>267</v>
      </c>
      <c r="AS24" s="13" t="s">
        <v>268</v>
      </c>
      <c r="AT24" s="13" t="s">
        <v>129</v>
      </c>
      <c r="AU24" s="13" t="s">
        <v>269</v>
      </c>
      <c r="AV24" s="13" t="s">
        <v>270</v>
      </c>
      <c r="AW24" s="13">
        <v>3.0</v>
      </c>
      <c r="AX24" s="13">
        <v>-1.0</v>
      </c>
      <c r="AY24" s="13">
        <v>0.0</v>
      </c>
      <c r="AZ24" s="13" t="s">
        <v>271</v>
      </c>
      <c r="BA24" s="13" t="s">
        <v>272</v>
      </c>
      <c r="BB24" s="13"/>
      <c r="BC24" s="13"/>
      <c r="BD24" s="13" t="s">
        <v>199</v>
      </c>
      <c r="BE24" s="13"/>
      <c r="BF24" s="13" t="s">
        <v>273</v>
      </c>
      <c r="BG24" s="13" t="s">
        <v>201</v>
      </c>
      <c r="BH24" s="13" t="s">
        <v>79</v>
      </c>
      <c r="BI24" s="13" t="b">
        <v>0</v>
      </c>
      <c r="BJ24" s="13">
        <v>0.0</v>
      </c>
      <c r="BK24" s="13">
        <v>0.0</v>
      </c>
    </row>
    <row r="25" ht="14.25" customHeight="1">
      <c r="A25" s="13">
        <v>23.0</v>
      </c>
      <c r="B25" s="13" t="s">
        <v>51</v>
      </c>
      <c r="C25" s="13">
        <v>0.0</v>
      </c>
      <c r="D25" s="14">
        <v>0.0</v>
      </c>
      <c r="E25" s="13" t="s">
        <v>274</v>
      </c>
      <c r="F25" s="15" t="s">
        <v>275</v>
      </c>
      <c r="G25" s="16" t="s">
        <v>276</v>
      </c>
      <c r="H25" s="13">
        <v>9.0</v>
      </c>
      <c r="I25" s="13">
        <v>1.0</v>
      </c>
      <c r="J25" s="13" t="s">
        <v>121</v>
      </c>
      <c r="K25" s="13">
        <f t="shared" si="3"/>
        <v>0</v>
      </c>
      <c r="L25" s="13">
        <f t="shared" si="4"/>
        <v>1</v>
      </c>
      <c r="M25" s="13">
        <f t="shared" ref="M25:AA25" si="49">IFERROR(VALUE(RIGHT(LEFT($J25,FIND(M$1,$J25,1)+LEN(M$1)),1)),0)</f>
        <v>0</v>
      </c>
      <c r="N25" s="13">
        <f t="shared" si="49"/>
        <v>0</v>
      </c>
      <c r="O25" s="13">
        <f t="shared" si="49"/>
        <v>0</v>
      </c>
      <c r="P25" s="13">
        <f t="shared" si="49"/>
        <v>0</v>
      </c>
      <c r="Q25" s="13">
        <f t="shared" si="49"/>
        <v>0</v>
      </c>
      <c r="R25" s="13">
        <f t="shared" si="49"/>
        <v>0</v>
      </c>
      <c r="S25" s="13">
        <f t="shared" si="49"/>
        <v>0</v>
      </c>
      <c r="T25" s="13">
        <f t="shared" si="49"/>
        <v>0</v>
      </c>
      <c r="U25" s="13">
        <f t="shared" si="49"/>
        <v>0</v>
      </c>
      <c r="V25" s="13">
        <f t="shared" si="49"/>
        <v>0</v>
      </c>
      <c r="W25" s="13">
        <f t="shared" si="49"/>
        <v>0</v>
      </c>
      <c r="X25" s="13">
        <f t="shared" si="49"/>
        <v>0</v>
      </c>
      <c r="Y25" s="13">
        <f t="shared" si="49"/>
        <v>0</v>
      </c>
      <c r="Z25" s="13">
        <f t="shared" si="49"/>
        <v>0</v>
      </c>
      <c r="AA25" s="13">
        <f t="shared" si="49"/>
        <v>0</v>
      </c>
      <c r="AB25" s="13">
        <f t="shared" ref="AB25:AP25" si="50">IFERROR(VALUE(RIGHT(LEFT($J25,FIND(AB$1,$J25,IF(M25=0,1,FIND(AB$1,$J25,1)+1))+LEN(AB$1)),1)),0)</f>
        <v>0</v>
      </c>
      <c r="AC25" s="13">
        <f t="shared" si="50"/>
        <v>0</v>
      </c>
      <c r="AD25" s="13">
        <f t="shared" si="50"/>
        <v>0</v>
      </c>
      <c r="AE25" s="13">
        <f t="shared" si="50"/>
        <v>1</v>
      </c>
      <c r="AF25" s="13">
        <f t="shared" si="50"/>
        <v>0</v>
      </c>
      <c r="AG25" s="13">
        <f t="shared" si="50"/>
        <v>0</v>
      </c>
      <c r="AH25" s="13">
        <f t="shared" si="50"/>
        <v>0</v>
      </c>
      <c r="AI25" s="13">
        <f t="shared" si="50"/>
        <v>0</v>
      </c>
      <c r="AJ25" s="13">
        <f t="shared" si="50"/>
        <v>0</v>
      </c>
      <c r="AK25" s="13">
        <f t="shared" si="50"/>
        <v>0</v>
      </c>
      <c r="AL25" s="13">
        <f t="shared" si="50"/>
        <v>0</v>
      </c>
      <c r="AM25" s="13">
        <f t="shared" si="50"/>
        <v>0</v>
      </c>
      <c r="AN25" s="13">
        <f t="shared" si="50"/>
        <v>0</v>
      </c>
      <c r="AO25" s="13">
        <f t="shared" si="50"/>
        <v>0</v>
      </c>
      <c r="AP25" s="13">
        <f t="shared" si="50"/>
        <v>0</v>
      </c>
      <c r="AQ25" s="13"/>
      <c r="AR25" s="13" t="s">
        <v>277</v>
      </c>
      <c r="AS25" s="13" t="s">
        <v>278</v>
      </c>
      <c r="AT25" s="13" t="s">
        <v>162</v>
      </c>
      <c r="AU25" s="13" t="s">
        <v>248</v>
      </c>
      <c r="AV25" s="13" t="s">
        <v>279</v>
      </c>
      <c r="AW25" s="13">
        <v>4.0</v>
      </c>
      <c r="AX25" s="13">
        <v>-1.0</v>
      </c>
      <c r="AY25" s="13">
        <v>0.0</v>
      </c>
      <c r="AZ25" s="13" t="s">
        <v>280</v>
      </c>
      <c r="BA25" s="13" t="s">
        <v>281</v>
      </c>
      <c r="BB25" s="13"/>
      <c r="BC25" s="13"/>
      <c r="BD25" s="13" t="s">
        <v>282</v>
      </c>
      <c r="BE25" s="13"/>
      <c r="BF25" s="13" t="s">
        <v>283</v>
      </c>
      <c r="BG25" s="13" t="s">
        <v>284</v>
      </c>
      <c r="BH25" s="13" t="s">
        <v>79</v>
      </c>
      <c r="BI25" s="13" t="b">
        <v>0</v>
      </c>
      <c r="BJ25" s="13">
        <v>0.0</v>
      </c>
      <c r="BK25" s="13">
        <v>0.0</v>
      </c>
    </row>
    <row r="26" ht="14.25" customHeight="1">
      <c r="A26" s="13">
        <v>24.0</v>
      </c>
      <c r="B26" s="13" t="s">
        <v>52</v>
      </c>
      <c r="C26" s="13">
        <v>0.0</v>
      </c>
      <c r="D26" s="14">
        <v>0.0</v>
      </c>
      <c r="E26" s="13" t="s">
        <v>285</v>
      </c>
      <c r="F26" s="15" t="s">
        <v>286</v>
      </c>
      <c r="G26" s="16" t="s">
        <v>287</v>
      </c>
      <c r="H26" s="13">
        <v>10.0</v>
      </c>
      <c r="I26" s="13">
        <v>1.1</v>
      </c>
      <c r="J26" s="13" t="s">
        <v>288</v>
      </c>
      <c r="K26" s="13">
        <f t="shared" si="3"/>
        <v>0</v>
      </c>
      <c r="L26" s="13">
        <f t="shared" si="4"/>
        <v>1</v>
      </c>
      <c r="M26" s="13">
        <f t="shared" ref="M26:AA26" si="51">IFERROR(VALUE(RIGHT(LEFT($J26,FIND(M$1,$J26,1)+LEN(M$1)),1)),0)</f>
        <v>0</v>
      </c>
      <c r="N26" s="13">
        <f t="shared" si="51"/>
        <v>0</v>
      </c>
      <c r="O26" s="13">
        <f t="shared" si="51"/>
        <v>0</v>
      </c>
      <c r="P26" s="13">
        <f t="shared" si="51"/>
        <v>0</v>
      </c>
      <c r="Q26" s="13">
        <f t="shared" si="51"/>
        <v>0</v>
      </c>
      <c r="R26" s="13">
        <f t="shared" si="51"/>
        <v>0</v>
      </c>
      <c r="S26" s="13">
        <f t="shared" si="51"/>
        <v>0</v>
      </c>
      <c r="T26" s="13">
        <f t="shared" si="51"/>
        <v>0</v>
      </c>
      <c r="U26" s="13">
        <f t="shared" si="51"/>
        <v>0</v>
      </c>
      <c r="V26" s="13">
        <f t="shared" si="51"/>
        <v>0</v>
      </c>
      <c r="W26" s="13">
        <f t="shared" si="51"/>
        <v>0</v>
      </c>
      <c r="X26" s="13">
        <f t="shared" si="51"/>
        <v>0</v>
      </c>
      <c r="Y26" s="13">
        <f t="shared" si="51"/>
        <v>0</v>
      </c>
      <c r="Z26" s="13">
        <f t="shared" si="51"/>
        <v>0</v>
      </c>
      <c r="AA26" s="13">
        <f t="shared" si="51"/>
        <v>0</v>
      </c>
      <c r="AB26" s="13">
        <f t="shared" ref="AB26:AP26" si="52">IFERROR(VALUE(RIGHT(LEFT($J26,FIND(AB$1,$J26,IF(M26=0,1,FIND(AB$1,$J26,1)+1))+LEN(AB$1)),1)),0)</f>
        <v>0</v>
      </c>
      <c r="AC26" s="13">
        <f t="shared" si="52"/>
        <v>0</v>
      </c>
      <c r="AD26" s="13">
        <f t="shared" si="52"/>
        <v>0</v>
      </c>
      <c r="AE26" s="13">
        <f t="shared" si="52"/>
        <v>0</v>
      </c>
      <c r="AF26" s="13">
        <f t="shared" si="52"/>
        <v>0</v>
      </c>
      <c r="AG26" s="13">
        <f t="shared" si="52"/>
        <v>0</v>
      </c>
      <c r="AH26" s="13">
        <f t="shared" si="52"/>
        <v>0</v>
      </c>
      <c r="AI26" s="13">
        <f t="shared" si="52"/>
        <v>0</v>
      </c>
      <c r="AJ26" s="13">
        <f t="shared" si="52"/>
        <v>0</v>
      </c>
      <c r="AK26" s="13">
        <f t="shared" si="52"/>
        <v>0</v>
      </c>
      <c r="AL26" s="13">
        <f t="shared" si="52"/>
        <v>0</v>
      </c>
      <c r="AM26" s="13">
        <f t="shared" si="52"/>
        <v>0</v>
      </c>
      <c r="AN26" s="13">
        <f t="shared" si="52"/>
        <v>0</v>
      </c>
      <c r="AO26" s="13">
        <f t="shared" si="52"/>
        <v>0</v>
      </c>
      <c r="AP26" s="13">
        <f t="shared" si="52"/>
        <v>1</v>
      </c>
      <c r="AQ26" s="13"/>
      <c r="AR26" s="13" t="s">
        <v>289</v>
      </c>
      <c r="AS26" s="13"/>
      <c r="AT26" s="13" t="s">
        <v>290</v>
      </c>
      <c r="AU26" s="13" t="s">
        <v>130</v>
      </c>
      <c r="AV26" s="13" t="s">
        <v>291</v>
      </c>
      <c r="AW26" s="13">
        <v>5.0</v>
      </c>
      <c r="AX26" s="13">
        <v>-1.0</v>
      </c>
      <c r="AY26" s="13">
        <v>0.0</v>
      </c>
      <c r="AZ26" s="13" t="s">
        <v>292</v>
      </c>
      <c r="BA26" s="13" t="s">
        <v>293</v>
      </c>
      <c r="BB26" s="13"/>
      <c r="BC26" s="13"/>
      <c r="BD26" s="13" t="s">
        <v>294</v>
      </c>
      <c r="BE26" s="13" t="s">
        <v>295</v>
      </c>
      <c r="BF26" s="13" t="s">
        <v>296</v>
      </c>
      <c r="BG26" s="13"/>
      <c r="BH26" s="13" t="s">
        <v>79</v>
      </c>
      <c r="BI26" s="13" t="b">
        <v>0</v>
      </c>
      <c r="BJ26" s="13">
        <v>0.0</v>
      </c>
      <c r="BK26" s="13">
        <v>0.0</v>
      </c>
    </row>
    <row r="27" ht="14.25" customHeight="1">
      <c r="A27" s="13">
        <v>25.0</v>
      </c>
      <c r="B27" s="13" t="s">
        <v>52</v>
      </c>
      <c r="C27" s="13">
        <v>0.0</v>
      </c>
      <c r="D27" s="14">
        <v>0.0</v>
      </c>
      <c r="E27" s="13" t="s">
        <v>297</v>
      </c>
      <c r="F27" s="15" t="s">
        <v>298</v>
      </c>
      <c r="G27" s="16" t="s">
        <v>299</v>
      </c>
      <c r="H27" s="13">
        <v>7.0</v>
      </c>
      <c r="I27" s="13">
        <v>0.9</v>
      </c>
      <c r="J27" s="13" t="s">
        <v>288</v>
      </c>
      <c r="K27" s="13">
        <f t="shared" si="3"/>
        <v>0</v>
      </c>
      <c r="L27" s="13">
        <f t="shared" si="4"/>
        <v>1</v>
      </c>
      <c r="M27" s="13">
        <f t="shared" ref="M27:AA27" si="53">IFERROR(VALUE(RIGHT(LEFT($J27,FIND(M$1,$J27,1)+LEN(M$1)),1)),0)</f>
        <v>0</v>
      </c>
      <c r="N27" s="13">
        <f t="shared" si="53"/>
        <v>0</v>
      </c>
      <c r="O27" s="13">
        <f t="shared" si="53"/>
        <v>0</v>
      </c>
      <c r="P27" s="13">
        <f t="shared" si="53"/>
        <v>0</v>
      </c>
      <c r="Q27" s="13">
        <f t="shared" si="53"/>
        <v>0</v>
      </c>
      <c r="R27" s="13">
        <f t="shared" si="53"/>
        <v>0</v>
      </c>
      <c r="S27" s="13">
        <f t="shared" si="53"/>
        <v>0</v>
      </c>
      <c r="T27" s="13">
        <f t="shared" si="53"/>
        <v>0</v>
      </c>
      <c r="U27" s="13">
        <f t="shared" si="53"/>
        <v>0</v>
      </c>
      <c r="V27" s="13">
        <f t="shared" si="53"/>
        <v>0</v>
      </c>
      <c r="W27" s="13">
        <f t="shared" si="53"/>
        <v>0</v>
      </c>
      <c r="X27" s="13">
        <f t="shared" si="53"/>
        <v>0</v>
      </c>
      <c r="Y27" s="13">
        <f t="shared" si="53"/>
        <v>0</v>
      </c>
      <c r="Z27" s="13">
        <f t="shared" si="53"/>
        <v>0</v>
      </c>
      <c r="AA27" s="13">
        <f t="shared" si="53"/>
        <v>0</v>
      </c>
      <c r="AB27" s="13">
        <f t="shared" ref="AB27:AP27" si="54">IFERROR(VALUE(RIGHT(LEFT($J27,FIND(AB$1,$J27,IF(M27=0,1,FIND(AB$1,$J27,1)+1))+LEN(AB$1)),1)),0)</f>
        <v>0</v>
      </c>
      <c r="AC27" s="13">
        <f t="shared" si="54"/>
        <v>0</v>
      </c>
      <c r="AD27" s="13">
        <f t="shared" si="54"/>
        <v>0</v>
      </c>
      <c r="AE27" s="13">
        <f t="shared" si="54"/>
        <v>0</v>
      </c>
      <c r="AF27" s="13">
        <f t="shared" si="54"/>
        <v>0</v>
      </c>
      <c r="AG27" s="13">
        <f t="shared" si="54"/>
        <v>0</v>
      </c>
      <c r="AH27" s="13">
        <f t="shared" si="54"/>
        <v>0</v>
      </c>
      <c r="AI27" s="13">
        <f t="shared" si="54"/>
        <v>0</v>
      </c>
      <c r="AJ27" s="13">
        <f t="shared" si="54"/>
        <v>0</v>
      </c>
      <c r="AK27" s="13">
        <f t="shared" si="54"/>
        <v>0</v>
      </c>
      <c r="AL27" s="13">
        <f t="shared" si="54"/>
        <v>0</v>
      </c>
      <c r="AM27" s="13">
        <f t="shared" si="54"/>
        <v>0</v>
      </c>
      <c r="AN27" s="13">
        <f t="shared" si="54"/>
        <v>0</v>
      </c>
      <c r="AO27" s="13">
        <f t="shared" si="54"/>
        <v>0</v>
      </c>
      <c r="AP27" s="13">
        <f t="shared" si="54"/>
        <v>1</v>
      </c>
      <c r="AQ27" s="13"/>
      <c r="AR27" s="13" t="s">
        <v>300</v>
      </c>
      <c r="AS27" s="13" t="s">
        <v>301</v>
      </c>
      <c r="AT27" s="13" t="s">
        <v>302</v>
      </c>
      <c r="AU27" s="13" t="s">
        <v>130</v>
      </c>
      <c r="AV27" s="13" t="s">
        <v>303</v>
      </c>
      <c r="AW27" s="13">
        <v>3.0</v>
      </c>
      <c r="AX27" s="13">
        <v>-1.0</v>
      </c>
      <c r="AY27" s="13">
        <v>0.0</v>
      </c>
      <c r="AZ27" s="13" t="s">
        <v>304</v>
      </c>
      <c r="BA27" s="13" t="s">
        <v>305</v>
      </c>
      <c r="BB27" s="13"/>
      <c r="BC27" s="13"/>
      <c r="BD27" s="13" t="s">
        <v>306</v>
      </c>
      <c r="BE27" s="13" t="s">
        <v>307</v>
      </c>
      <c r="BF27" s="13" t="s">
        <v>308</v>
      </c>
      <c r="BG27" s="13"/>
      <c r="BH27" s="13" t="s">
        <v>79</v>
      </c>
      <c r="BI27" s="13" t="b">
        <v>0</v>
      </c>
      <c r="BJ27" s="13">
        <v>0.0</v>
      </c>
      <c r="BK27" s="13">
        <v>0.0</v>
      </c>
    </row>
    <row r="28" ht="14.25" customHeight="1">
      <c r="A28" s="13">
        <v>26.0</v>
      </c>
      <c r="B28" s="13" t="s">
        <v>52</v>
      </c>
      <c r="C28" s="13">
        <v>0.0</v>
      </c>
      <c r="D28" s="14">
        <v>0.0</v>
      </c>
      <c r="E28" s="13" t="s">
        <v>309</v>
      </c>
      <c r="F28" s="15" t="s">
        <v>310</v>
      </c>
      <c r="G28" s="16" t="s">
        <v>311</v>
      </c>
      <c r="H28" s="13">
        <v>12.0</v>
      </c>
      <c r="I28" s="13">
        <v>1.0</v>
      </c>
      <c r="J28" s="13" t="s">
        <v>312</v>
      </c>
      <c r="K28" s="13">
        <f t="shared" si="3"/>
        <v>0</v>
      </c>
      <c r="L28" s="13">
        <f t="shared" si="4"/>
        <v>1</v>
      </c>
      <c r="M28" s="13">
        <f t="shared" ref="M28:AA28" si="55">IFERROR(VALUE(RIGHT(LEFT($J28,FIND(M$1,$J28,1)+LEN(M$1)),1)),0)</f>
        <v>0</v>
      </c>
      <c r="N28" s="13">
        <f t="shared" si="55"/>
        <v>0</v>
      </c>
      <c r="O28" s="13">
        <f t="shared" si="55"/>
        <v>0</v>
      </c>
      <c r="P28" s="13">
        <f t="shared" si="55"/>
        <v>0</v>
      </c>
      <c r="Q28" s="13">
        <f t="shared" si="55"/>
        <v>0</v>
      </c>
      <c r="R28" s="13">
        <f t="shared" si="55"/>
        <v>0</v>
      </c>
      <c r="S28" s="13">
        <f t="shared" si="55"/>
        <v>0</v>
      </c>
      <c r="T28" s="13">
        <f t="shared" si="55"/>
        <v>0</v>
      </c>
      <c r="U28" s="13">
        <f t="shared" si="55"/>
        <v>0</v>
      </c>
      <c r="V28" s="13">
        <f t="shared" si="55"/>
        <v>0</v>
      </c>
      <c r="W28" s="13">
        <f t="shared" si="55"/>
        <v>0</v>
      </c>
      <c r="X28" s="13">
        <f t="shared" si="55"/>
        <v>0</v>
      </c>
      <c r="Y28" s="13">
        <f t="shared" si="55"/>
        <v>0</v>
      </c>
      <c r="Z28" s="13">
        <f t="shared" si="55"/>
        <v>0</v>
      </c>
      <c r="AA28" s="13">
        <f t="shared" si="55"/>
        <v>0</v>
      </c>
      <c r="AB28" s="13">
        <f t="shared" ref="AB28:AP28" si="56">IFERROR(VALUE(RIGHT(LEFT($J28,FIND(AB$1,$J28,IF(M28=0,1,FIND(AB$1,$J28,1)+1))+LEN(AB$1)),1)),0)</f>
        <v>0</v>
      </c>
      <c r="AC28" s="13">
        <f t="shared" si="56"/>
        <v>0</v>
      </c>
      <c r="AD28" s="13">
        <f t="shared" si="56"/>
        <v>1</v>
      </c>
      <c r="AE28" s="13">
        <f t="shared" si="56"/>
        <v>0</v>
      </c>
      <c r="AF28" s="13">
        <f t="shared" si="56"/>
        <v>0</v>
      </c>
      <c r="AG28" s="13">
        <f t="shared" si="56"/>
        <v>0</v>
      </c>
      <c r="AH28" s="13">
        <f t="shared" si="56"/>
        <v>0</v>
      </c>
      <c r="AI28" s="13">
        <f t="shared" si="56"/>
        <v>0</v>
      </c>
      <c r="AJ28" s="13">
        <f t="shared" si="56"/>
        <v>0</v>
      </c>
      <c r="AK28" s="13">
        <f t="shared" si="56"/>
        <v>0</v>
      </c>
      <c r="AL28" s="13">
        <f t="shared" si="56"/>
        <v>0</v>
      </c>
      <c r="AM28" s="13">
        <f t="shared" si="56"/>
        <v>0</v>
      </c>
      <c r="AN28" s="13">
        <f t="shared" si="56"/>
        <v>0</v>
      </c>
      <c r="AO28" s="13">
        <f t="shared" si="56"/>
        <v>0</v>
      </c>
      <c r="AP28" s="13">
        <f t="shared" si="56"/>
        <v>0</v>
      </c>
      <c r="AQ28" s="13"/>
      <c r="AR28" s="13" t="s">
        <v>313</v>
      </c>
      <c r="AS28" s="13" t="s">
        <v>314</v>
      </c>
      <c r="AT28" s="13" t="s">
        <v>315</v>
      </c>
      <c r="AU28" s="13" t="s">
        <v>130</v>
      </c>
      <c r="AV28" s="13"/>
      <c r="AW28" s="13">
        <v>4.0</v>
      </c>
      <c r="AX28" s="13">
        <v>-1.0</v>
      </c>
      <c r="AY28" s="13">
        <v>0.0</v>
      </c>
      <c r="AZ28" s="13" t="s">
        <v>316</v>
      </c>
      <c r="BA28" s="13" t="s">
        <v>317</v>
      </c>
      <c r="BB28" s="13"/>
      <c r="BC28" s="13"/>
      <c r="BD28" s="13" t="s">
        <v>294</v>
      </c>
      <c r="BE28" s="13" t="s">
        <v>318</v>
      </c>
      <c r="BF28" s="13" t="s">
        <v>168</v>
      </c>
      <c r="BG28" s="13"/>
      <c r="BH28" s="13" t="s">
        <v>79</v>
      </c>
      <c r="BI28" s="13" t="b">
        <v>0</v>
      </c>
      <c r="BJ28" s="13">
        <v>0.0</v>
      </c>
      <c r="BK28" s="13">
        <v>0.0</v>
      </c>
    </row>
    <row r="29" ht="14.25" customHeight="1">
      <c r="A29" s="13">
        <v>27.0</v>
      </c>
      <c r="B29" s="13" t="s">
        <v>44</v>
      </c>
      <c r="C29" s="13">
        <v>1.0</v>
      </c>
      <c r="D29" s="14">
        <v>0.0</v>
      </c>
      <c r="E29" s="13" t="s">
        <v>319</v>
      </c>
      <c r="F29" s="15"/>
      <c r="G29" s="16" t="s">
        <v>320</v>
      </c>
      <c r="H29" s="13"/>
      <c r="I29" s="13">
        <v>1.0</v>
      </c>
      <c r="J29" s="13" t="s">
        <v>83</v>
      </c>
      <c r="K29" s="13">
        <f t="shared" si="3"/>
        <v>0</v>
      </c>
      <c r="L29" s="13">
        <f t="shared" si="4"/>
        <v>2</v>
      </c>
      <c r="M29" s="13">
        <f t="shared" ref="M29:AA29" si="57">IFERROR(VALUE(RIGHT(LEFT($J29,FIND(M$1,$J29,1)+LEN(M$1)),1)),0)</f>
        <v>0</v>
      </c>
      <c r="N29" s="13">
        <f t="shared" si="57"/>
        <v>0</v>
      </c>
      <c r="O29" s="13">
        <f t="shared" si="57"/>
        <v>0</v>
      </c>
      <c r="P29" s="13">
        <f t="shared" si="57"/>
        <v>0</v>
      </c>
      <c r="Q29" s="13">
        <f t="shared" si="57"/>
        <v>0</v>
      </c>
      <c r="R29" s="13">
        <f t="shared" si="57"/>
        <v>0</v>
      </c>
      <c r="S29" s="13">
        <f t="shared" si="57"/>
        <v>0</v>
      </c>
      <c r="T29" s="13">
        <f t="shared" si="57"/>
        <v>0</v>
      </c>
      <c r="U29" s="13">
        <f t="shared" si="57"/>
        <v>0</v>
      </c>
      <c r="V29" s="13">
        <f t="shared" si="57"/>
        <v>0</v>
      </c>
      <c r="W29" s="13">
        <f t="shared" si="57"/>
        <v>0</v>
      </c>
      <c r="X29" s="13">
        <f t="shared" si="57"/>
        <v>0</v>
      </c>
      <c r="Y29" s="13">
        <f t="shared" si="57"/>
        <v>0</v>
      </c>
      <c r="Z29" s="13">
        <f t="shared" si="57"/>
        <v>0</v>
      </c>
      <c r="AA29" s="13">
        <f t="shared" si="57"/>
        <v>0</v>
      </c>
      <c r="AB29" s="13">
        <f t="shared" ref="AB29:AP29" si="58">IFERROR(VALUE(RIGHT(LEFT($J29,FIND(AB$1,$J29,IF(M29=0,1,FIND(AB$1,$J29,1)+1))+LEN(AB$1)),1)),0)</f>
        <v>1</v>
      </c>
      <c r="AC29" s="13">
        <f t="shared" si="58"/>
        <v>0</v>
      </c>
      <c r="AD29" s="13">
        <f t="shared" si="58"/>
        <v>0</v>
      </c>
      <c r="AE29" s="13">
        <f t="shared" si="58"/>
        <v>0</v>
      </c>
      <c r="AF29" s="13">
        <f t="shared" si="58"/>
        <v>0</v>
      </c>
      <c r="AG29" s="13">
        <f t="shared" si="58"/>
        <v>0</v>
      </c>
      <c r="AH29" s="13">
        <f t="shared" si="58"/>
        <v>1</v>
      </c>
      <c r="AI29" s="13">
        <f t="shared" si="58"/>
        <v>0</v>
      </c>
      <c r="AJ29" s="13">
        <f t="shared" si="58"/>
        <v>0</v>
      </c>
      <c r="AK29" s="13">
        <f t="shared" si="58"/>
        <v>0</v>
      </c>
      <c r="AL29" s="13">
        <f t="shared" si="58"/>
        <v>0</v>
      </c>
      <c r="AM29" s="13">
        <f t="shared" si="58"/>
        <v>0</v>
      </c>
      <c r="AN29" s="13">
        <f t="shared" si="58"/>
        <v>0</v>
      </c>
      <c r="AO29" s="13">
        <f t="shared" si="58"/>
        <v>0</v>
      </c>
      <c r="AP29" s="13">
        <f t="shared" si="58"/>
        <v>0</v>
      </c>
      <c r="AQ29" s="13" t="s">
        <v>321</v>
      </c>
      <c r="AR29" s="13"/>
      <c r="AS29" s="13" t="s">
        <v>322</v>
      </c>
      <c r="AT29" s="13"/>
      <c r="AU29" s="13"/>
      <c r="AV29" s="13"/>
      <c r="AW29" s="13">
        <v>0.0</v>
      </c>
      <c r="AX29" s="13">
        <v>-1.0</v>
      </c>
      <c r="AY29" s="13">
        <v>0.0</v>
      </c>
      <c r="AZ29" s="13"/>
      <c r="BA29" s="13"/>
      <c r="BB29" s="13"/>
      <c r="BC29" s="13"/>
      <c r="BD29" s="13"/>
      <c r="BE29" s="13"/>
      <c r="BF29" s="13"/>
      <c r="BG29" s="13"/>
      <c r="BH29" s="13" t="s">
        <v>79</v>
      </c>
      <c r="BI29" s="13" t="b">
        <v>0</v>
      </c>
      <c r="BJ29" s="13">
        <v>0.0</v>
      </c>
      <c r="BK29" s="13">
        <v>0.0</v>
      </c>
    </row>
    <row r="30" ht="14.25" customHeight="1">
      <c r="A30" s="13">
        <v>28.0</v>
      </c>
      <c r="B30" s="13" t="s">
        <v>44</v>
      </c>
      <c r="C30" s="13">
        <v>1.0</v>
      </c>
      <c r="D30" s="14">
        <v>0.0</v>
      </c>
      <c r="E30" s="13" t="s">
        <v>323</v>
      </c>
      <c r="F30" s="15" t="s">
        <v>324</v>
      </c>
      <c r="G30" s="16" t="s">
        <v>325</v>
      </c>
      <c r="H30" s="13"/>
      <c r="I30" s="13">
        <v>1.1</v>
      </c>
      <c r="J30" s="13" t="s">
        <v>77</v>
      </c>
      <c r="K30" s="13">
        <f t="shared" si="3"/>
        <v>0</v>
      </c>
      <c r="L30" s="13">
        <f t="shared" si="4"/>
        <v>2</v>
      </c>
      <c r="M30" s="13">
        <f t="shared" ref="M30:AA30" si="59">IFERROR(VALUE(RIGHT(LEFT($J30,FIND(M$1,$J30,1)+LEN(M$1)),1)),0)</f>
        <v>0</v>
      </c>
      <c r="N30" s="13">
        <f t="shared" si="59"/>
        <v>0</v>
      </c>
      <c r="O30" s="13">
        <f t="shared" si="59"/>
        <v>0</v>
      </c>
      <c r="P30" s="13">
        <f t="shared" si="59"/>
        <v>0</v>
      </c>
      <c r="Q30" s="13">
        <f t="shared" si="59"/>
        <v>0</v>
      </c>
      <c r="R30" s="13">
        <f t="shared" si="59"/>
        <v>0</v>
      </c>
      <c r="S30" s="13">
        <f t="shared" si="59"/>
        <v>0</v>
      </c>
      <c r="T30" s="13">
        <f t="shared" si="59"/>
        <v>0</v>
      </c>
      <c r="U30" s="13">
        <f t="shared" si="59"/>
        <v>0</v>
      </c>
      <c r="V30" s="13">
        <f t="shared" si="59"/>
        <v>0</v>
      </c>
      <c r="W30" s="13">
        <f t="shared" si="59"/>
        <v>0</v>
      </c>
      <c r="X30" s="13">
        <f t="shared" si="59"/>
        <v>0</v>
      </c>
      <c r="Y30" s="13">
        <f t="shared" si="59"/>
        <v>0</v>
      </c>
      <c r="Z30" s="13">
        <f t="shared" si="59"/>
        <v>0</v>
      </c>
      <c r="AA30" s="13">
        <f t="shared" si="59"/>
        <v>0</v>
      </c>
      <c r="AB30" s="13">
        <f t="shared" ref="AB30:AP30" si="60">IFERROR(VALUE(RIGHT(LEFT($J30,FIND(AB$1,$J30,IF(M30=0,1,FIND(AB$1,$J30,1)+1))+LEN(AB$1)),1)),0)</f>
        <v>0</v>
      </c>
      <c r="AC30" s="13">
        <f t="shared" si="60"/>
        <v>0</v>
      </c>
      <c r="AD30" s="13">
        <f t="shared" si="60"/>
        <v>0</v>
      </c>
      <c r="AE30" s="13">
        <f t="shared" si="60"/>
        <v>0</v>
      </c>
      <c r="AF30" s="13">
        <f t="shared" si="60"/>
        <v>0</v>
      </c>
      <c r="AG30" s="13">
        <f t="shared" si="60"/>
        <v>1</v>
      </c>
      <c r="AH30" s="13">
        <f t="shared" si="60"/>
        <v>1</v>
      </c>
      <c r="AI30" s="13">
        <f t="shared" si="60"/>
        <v>0</v>
      </c>
      <c r="AJ30" s="13">
        <f t="shared" si="60"/>
        <v>0</v>
      </c>
      <c r="AK30" s="13">
        <f t="shared" si="60"/>
        <v>0</v>
      </c>
      <c r="AL30" s="13">
        <f t="shared" si="60"/>
        <v>0</v>
      </c>
      <c r="AM30" s="13">
        <f t="shared" si="60"/>
        <v>0</v>
      </c>
      <c r="AN30" s="13">
        <f t="shared" si="60"/>
        <v>0</v>
      </c>
      <c r="AO30" s="13">
        <f t="shared" si="60"/>
        <v>0</v>
      </c>
      <c r="AP30" s="13">
        <f t="shared" si="60"/>
        <v>0</v>
      </c>
      <c r="AQ30" s="13" t="s">
        <v>326</v>
      </c>
      <c r="AR30" s="13"/>
      <c r="AS30" s="13" t="s">
        <v>327</v>
      </c>
      <c r="AT30" s="13"/>
      <c r="AU30" s="13"/>
      <c r="AV30" s="13"/>
      <c r="AW30" s="13">
        <v>0.0</v>
      </c>
      <c r="AX30" s="13">
        <v>-1.0</v>
      </c>
      <c r="AY30" s="13">
        <v>0.0</v>
      </c>
      <c r="AZ30" s="13"/>
      <c r="BA30" s="13"/>
      <c r="BB30" s="13"/>
      <c r="BC30" s="13"/>
      <c r="BD30" s="13"/>
      <c r="BE30" s="13"/>
      <c r="BF30" s="13"/>
      <c r="BG30" s="13"/>
      <c r="BH30" s="13" t="s">
        <v>79</v>
      </c>
      <c r="BI30" s="13" t="b">
        <v>0</v>
      </c>
      <c r="BJ30" s="13">
        <v>0.0</v>
      </c>
      <c r="BK30" s="13">
        <v>0.0</v>
      </c>
    </row>
    <row r="31" ht="14.25" customHeight="1">
      <c r="A31" s="13">
        <v>29.0</v>
      </c>
      <c r="B31" s="13" t="s">
        <v>44</v>
      </c>
      <c r="C31" s="13">
        <v>1.0</v>
      </c>
      <c r="D31" s="14">
        <v>0.0</v>
      </c>
      <c r="E31" s="13" t="s">
        <v>328</v>
      </c>
      <c r="F31" s="15" t="s">
        <v>329</v>
      </c>
      <c r="G31" s="16" t="s">
        <v>330</v>
      </c>
      <c r="H31" s="13"/>
      <c r="I31" s="13">
        <v>0.9</v>
      </c>
      <c r="J31" s="13" t="s">
        <v>331</v>
      </c>
      <c r="K31" s="13">
        <f t="shared" si="3"/>
        <v>0</v>
      </c>
      <c r="L31" s="13">
        <f t="shared" si="4"/>
        <v>2</v>
      </c>
      <c r="M31" s="13">
        <f t="shared" ref="M31:AA31" si="61">IFERROR(VALUE(RIGHT(LEFT($J31,FIND(M$1,$J31,1)+LEN(M$1)),1)),0)</f>
        <v>0</v>
      </c>
      <c r="N31" s="13">
        <f t="shared" si="61"/>
        <v>0</v>
      </c>
      <c r="O31" s="13">
        <f t="shared" si="61"/>
        <v>0</v>
      </c>
      <c r="P31" s="13">
        <f t="shared" si="61"/>
        <v>0</v>
      </c>
      <c r="Q31" s="13">
        <f t="shared" si="61"/>
        <v>0</v>
      </c>
      <c r="R31" s="13">
        <f t="shared" si="61"/>
        <v>0</v>
      </c>
      <c r="S31" s="13">
        <f t="shared" si="61"/>
        <v>0</v>
      </c>
      <c r="T31" s="13">
        <f t="shared" si="61"/>
        <v>0</v>
      </c>
      <c r="U31" s="13">
        <f t="shared" si="61"/>
        <v>0</v>
      </c>
      <c r="V31" s="13">
        <f t="shared" si="61"/>
        <v>0</v>
      </c>
      <c r="W31" s="13">
        <f t="shared" si="61"/>
        <v>0</v>
      </c>
      <c r="X31" s="13">
        <f t="shared" si="61"/>
        <v>0</v>
      </c>
      <c r="Y31" s="13">
        <f t="shared" si="61"/>
        <v>0</v>
      </c>
      <c r="Z31" s="13">
        <f t="shared" si="61"/>
        <v>0</v>
      </c>
      <c r="AA31" s="13">
        <f t="shared" si="61"/>
        <v>0</v>
      </c>
      <c r="AB31" s="13">
        <f t="shared" ref="AB31:AP31" si="62">IFERROR(VALUE(RIGHT(LEFT($J31,FIND(AB$1,$J31,IF(M31=0,1,FIND(AB$1,$J31,1)+1))+LEN(AB$1)),1)),0)</f>
        <v>0</v>
      </c>
      <c r="AC31" s="13">
        <f t="shared" si="62"/>
        <v>1</v>
      </c>
      <c r="AD31" s="13">
        <f t="shared" si="62"/>
        <v>0</v>
      </c>
      <c r="AE31" s="13">
        <f t="shared" si="62"/>
        <v>0</v>
      </c>
      <c r="AF31" s="13">
        <f t="shared" si="62"/>
        <v>0</v>
      </c>
      <c r="AG31" s="13">
        <f t="shared" si="62"/>
        <v>0</v>
      </c>
      <c r="AH31" s="13">
        <f t="shared" si="62"/>
        <v>1</v>
      </c>
      <c r="AI31" s="13">
        <f t="shared" si="62"/>
        <v>0</v>
      </c>
      <c r="AJ31" s="13">
        <f t="shared" si="62"/>
        <v>0</v>
      </c>
      <c r="AK31" s="13">
        <f t="shared" si="62"/>
        <v>0</v>
      </c>
      <c r="AL31" s="13">
        <f t="shared" si="62"/>
        <v>0</v>
      </c>
      <c r="AM31" s="13">
        <f t="shared" si="62"/>
        <v>0</v>
      </c>
      <c r="AN31" s="13">
        <f t="shared" si="62"/>
        <v>0</v>
      </c>
      <c r="AO31" s="13">
        <f t="shared" si="62"/>
        <v>0</v>
      </c>
      <c r="AP31" s="13">
        <f t="shared" si="62"/>
        <v>0</v>
      </c>
      <c r="AQ31" s="13" t="s">
        <v>332</v>
      </c>
      <c r="AR31" s="13"/>
      <c r="AS31" s="13" t="s">
        <v>85</v>
      </c>
      <c r="AT31" s="13"/>
      <c r="AU31" s="13"/>
      <c r="AV31" s="13"/>
      <c r="AW31" s="13">
        <v>0.0</v>
      </c>
      <c r="AX31" s="13">
        <v>-1.0</v>
      </c>
      <c r="AY31" s="13">
        <v>0.0</v>
      </c>
      <c r="AZ31" s="13"/>
      <c r="BA31" s="13"/>
      <c r="BB31" s="13"/>
      <c r="BC31" s="13"/>
      <c r="BD31" s="13"/>
      <c r="BE31" s="13"/>
      <c r="BF31" s="13"/>
      <c r="BG31" s="13"/>
      <c r="BH31" s="13" t="s">
        <v>79</v>
      </c>
      <c r="BI31" s="13" t="b">
        <v>0</v>
      </c>
      <c r="BJ31" s="13">
        <v>0.0</v>
      </c>
      <c r="BK31" s="13">
        <v>0.0</v>
      </c>
    </row>
    <row r="32" ht="14.25" customHeight="1">
      <c r="A32" s="13">
        <v>30.0</v>
      </c>
      <c r="B32" s="13" t="s">
        <v>44</v>
      </c>
      <c r="C32" s="13">
        <v>1.0</v>
      </c>
      <c r="D32" s="14">
        <v>0.0</v>
      </c>
      <c r="E32" s="13" t="s">
        <v>333</v>
      </c>
      <c r="F32" s="15" t="s">
        <v>334</v>
      </c>
      <c r="G32" s="16" t="s">
        <v>335</v>
      </c>
      <c r="H32" s="13"/>
      <c r="I32" s="13">
        <v>0.8</v>
      </c>
      <c r="J32" s="13" t="s">
        <v>336</v>
      </c>
      <c r="K32" s="13">
        <f t="shared" si="3"/>
        <v>0</v>
      </c>
      <c r="L32" s="13">
        <f t="shared" si="4"/>
        <v>2</v>
      </c>
      <c r="M32" s="13">
        <f t="shared" ref="M32:AA32" si="63">IFERROR(VALUE(RIGHT(LEFT($J32,FIND(M$1,$J32,1)+LEN(M$1)),1)),0)</f>
        <v>0</v>
      </c>
      <c r="N32" s="13">
        <f t="shared" si="63"/>
        <v>0</v>
      </c>
      <c r="O32" s="13">
        <f t="shared" si="63"/>
        <v>0</v>
      </c>
      <c r="P32" s="13">
        <f t="shared" si="63"/>
        <v>0</v>
      </c>
      <c r="Q32" s="13">
        <f t="shared" si="63"/>
        <v>0</v>
      </c>
      <c r="R32" s="13">
        <f t="shared" si="63"/>
        <v>0</v>
      </c>
      <c r="S32" s="13">
        <f t="shared" si="63"/>
        <v>0</v>
      </c>
      <c r="T32" s="13">
        <f t="shared" si="63"/>
        <v>0</v>
      </c>
      <c r="U32" s="13">
        <f t="shared" si="63"/>
        <v>0</v>
      </c>
      <c r="V32" s="13">
        <f t="shared" si="63"/>
        <v>0</v>
      </c>
      <c r="W32" s="13">
        <f t="shared" si="63"/>
        <v>0</v>
      </c>
      <c r="X32" s="13">
        <f t="shared" si="63"/>
        <v>0</v>
      </c>
      <c r="Y32" s="13">
        <f t="shared" si="63"/>
        <v>0</v>
      </c>
      <c r="Z32" s="13">
        <f t="shared" si="63"/>
        <v>0</v>
      </c>
      <c r="AA32" s="13">
        <f t="shared" si="63"/>
        <v>0</v>
      </c>
      <c r="AB32" s="13">
        <f t="shared" ref="AB32:AP32" si="64">IFERROR(VALUE(RIGHT(LEFT($J32,FIND(AB$1,$J32,IF(M32=0,1,FIND(AB$1,$J32,1)+1))+LEN(AB$1)),1)),0)</f>
        <v>0</v>
      </c>
      <c r="AC32" s="13">
        <f t="shared" si="64"/>
        <v>0</v>
      </c>
      <c r="AD32" s="13">
        <f t="shared" si="64"/>
        <v>1</v>
      </c>
      <c r="AE32" s="13">
        <f t="shared" si="64"/>
        <v>0</v>
      </c>
      <c r="AF32" s="13">
        <f t="shared" si="64"/>
        <v>0</v>
      </c>
      <c r="AG32" s="13">
        <f t="shared" si="64"/>
        <v>0</v>
      </c>
      <c r="AH32" s="13">
        <f t="shared" si="64"/>
        <v>1</v>
      </c>
      <c r="AI32" s="13">
        <f t="shared" si="64"/>
        <v>0</v>
      </c>
      <c r="AJ32" s="13">
        <f t="shared" si="64"/>
        <v>0</v>
      </c>
      <c r="AK32" s="13">
        <f t="shared" si="64"/>
        <v>0</v>
      </c>
      <c r="AL32" s="13">
        <f t="shared" si="64"/>
        <v>0</v>
      </c>
      <c r="AM32" s="13">
        <f t="shared" si="64"/>
        <v>0</v>
      </c>
      <c r="AN32" s="13">
        <f t="shared" si="64"/>
        <v>0</v>
      </c>
      <c r="AO32" s="13">
        <f t="shared" si="64"/>
        <v>0</v>
      </c>
      <c r="AP32" s="13">
        <f t="shared" si="64"/>
        <v>0</v>
      </c>
      <c r="AQ32" s="13" t="s">
        <v>337</v>
      </c>
      <c r="AR32" s="13"/>
      <c r="AS32" s="13" t="s">
        <v>338</v>
      </c>
      <c r="AT32" s="13"/>
      <c r="AU32" s="13"/>
      <c r="AV32" s="13"/>
      <c r="AW32" s="13">
        <v>0.0</v>
      </c>
      <c r="AX32" s="13">
        <v>-1.0</v>
      </c>
      <c r="AY32" s="13">
        <v>0.0</v>
      </c>
      <c r="AZ32" s="13"/>
      <c r="BA32" s="13"/>
      <c r="BB32" s="13"/>
      <c r="BC32" s="13"/>
      <c r="BD32" s="13"/>
      <c r="BE32" s="13"/>
      <c r="BF32" s="13"/>
      <c r="BG32" s="13"/>
      <c r="BH32" s="13" t="s">
        <v>79</v>
      </c>
      <c r="BI32" s="13" t="b">
        <v>0</v>
      </c>
      <c r="BJ32" s="13">
        <v>0.0</v>
      </c>
      <c r="BK32" s="13">
        <v>0.0</v>
      </c>
    </row>
    <row r="33" ht="14.25" customHeight="1">
      <c r="A33" s="13">
        <v>31.0</v>
      </c>
      <c r="B33" s="13" t="s">
        <v>44</v>
      </c>
      <c r="C33" s="13">
        <v>1.0</v>
      </c>
      <c r="D33" s="14">
        <v>0.0</v>
      </c>
      <c r="E33" s="13" t="s">
        <v>339</v>
      </c>
      <c r="F33" s="15" t="s">
        <v>340</v>
      </c>
      <c r="G33" s="16" t="s">
        <v>341</v>
      </c>
      <c r="H33" s="13"/>
      <c r="I33" s="13">
        <v>1.0</v>
      </c>
      <c r="J33" s="13" t="s">
        <v>342</v>
      </c>
      <c r="K33" s="13">
        <f t="shared" si="3"/>
        <v>0</v>
      </c>
      <c r="L33" s="13">
        <f t="shared" si="4"/>
        <v>2</v>
      </c>
      <c r="M33" s="13">
        <f t="shared" ref="M33:AA33" si="65">IFERROR(VALUE(RIGHT(LEFT($J33,FIND(M$1,$J33,1)+LEN(M$1)),1)),0)</f>
        <v>0</v>
      </c>
      <c r="N33" s="13">
        <f t="shared" si="65"/>
        <v>0</v>
      </c>
      <c r="O33" s="13">
        <f t="shared" si="65"/>
        <v>0</v>
      </c>
      <c r="P33" s="13">
        <f t="shared" si="65"/>
        <v>0</v>
      </c>
      <c r="Q33" s="13">
        <f t="shared" si="65"/>
        <v>0</v>
      </c>
      <c r="R33" s="13">
        <f t="shared" si="65"/>
        <v>0</v>
      </c>
      <c r="S33" s="13">
        <f t="shared" si="65"/>
        <v>0</v>
      </c>
      <c r="T33" s="13">
        <f t="shared" si="65"/>
        <v>0</v>
      </c>
      <c r="U33" s="13">
        <f t="shared" si="65"/>
        <v>0</v>
      </c>
      <c r="V33" s="13">
        <f t="shared" si="65"/>
        <v>0</v>
      </c>
      <c r="W33" s="13">
        <f t="shared" si="65"/>
        <v>0</v>
      </c>
      <c r="X33" s="13">
        <f t="shared" si="65"/>
        <v>0</v>
      </c>
      <c r="Y33" s="13">
        <f t="shared" si="65"/>
        <v>0</v>
      </c>
      <c r="Z33" s="13">
        <f t="shared" si="65"/>
        <v>0</v>
      </c>
      <c r="AA33" s="13">
        <f t="shared" si="65"/>
        <v>0</v>
      </c>
      <c r="AB33" s="13">
        <f t="shared" ref="AB33:AP33" si="66">IFERROR(VALUE(RIGHT(LEFT($J33,FIND(AB$1,$J33,IF(M33=0,1,FIND(AB$1,$J33,1)+1))+LEN(AB$1)),1)),0)</f>
        <v>1</v>
      </c>
      <c r="AC33" s="13">
        <f t="shared" si="66"/>
        <v>0</v>
      </c>
      <c r="AD33" s="13">
        <f t="shared" si="66"/>
        <v>0</v>
      </c>
      <c r="AE33" s="13">
        <f t="shared" si="66"/>
        <v>1</v>
      </c>
      <c r="AF33" s="13">
        <f t="shared" si="66"/>
        <v>0</v>
      </c>
      <c r="AG33" s="13">
        <f t="shared" si="66"/>
        <v>0</v>
      </c>
      <c r="AH33" s="13">
        <f t="shared" si="66"/>
        <v>0</v>
      </c>
      <c r="AI33" s="13">
        <f t="shared" si="66"/>
        <v>0</v>
      </c>
      <c r="AJ33" s="13">
        <f t="shared" si="66"/>
        <v>0</v>
      </c>
      <c r="AK33" s="13">
        <f t="shared" si="66"/>
        <v>0</v>
      </c>
      <c r="AL33" s="13">
        <f t="shared" si="66"/>
        <v>0</v>
      </c>
      <c r="AM33" s="13">
        <f t="shared" si="66"/>
        <v>0</v>
      </c>
      <c r="AN33" s="13">
        <f t="shared" si="66"/>
        <v>0</v>
      </c>
      <c r="AO33" s="13">
        <f t="shared" si="66"/>
        <v>0</v>
      </c>
      <c r="AP33" s="13">
        <f t="shared" si="66"/>
        <v>0</v>
      </c>
      <c r="AQ33" s="13" t="s">
        <v>343</v>
      </c>
      <c r="AR33" s="13"/>
      <c r="AS33" s="13" t="s">
        <v>344</v>
      </c>
      <c r="AT33" s="13"/>
      <c r="AU33" s="13"/>
      <c r="AV33" s="13"/>
      <c r="AW33" s="13">
        <v>0.0</v>
      </c>
      <c r="AX33" s="13">
        <v>-1.0</v>
      </c>
      <c r="AY33" s="13">
        <v>0.0</v>
      </c>
      <c r="AZ33" s="13"/>
      <c r="BA33" s="13"/>
      <c r="BB33" s="13"/>
      <c r="BC33" s="13"/>
      <c r="BD33" s="13"/>
      <c r="BE33" s="13"/>
      <c r="BF33" s="13"/>
      <c r="BG33" s="13"/>
      <c r="BH33" s="13" t="s">
        <v>79</v>
      </c>
      <c r="BI33" s="13" t="b">
        <v>0</v>
      </c>
      <c r="BJ33" s="13">
        <v>0.0</v>
      </c>
      <c r="BK33" s="13">
        <v>0.0</v>
      </c>
    </row>
    <row r="34" ht="14.25" customHeight="1">
      <c r="A34" s="13">
        <v>32.0</v>
      </c>
      <c r="B34" s="13" t="s">
        <v>44</v>
      </c>
      <c r="C34" s="13">
        <v>1.0</v>
      </c>
      <c r="D34" s="14">
        <v>0.0</v>
      </c>
      <c r="E34" s="13" t="s">
        <v>345</v>
      </c>
      <c r="F34" s="15" t="s">
        <v>346</v>
      </c>
      <c r="G34" s="16" t="s">
        <v>347</v>
      </c>
      <c r="H34" s="13"/>
      <c r="I34" s="13">
        <v>1.1</v>
      </c>
      <c r="J34" s="13" t="s">
        <v>348</v>
      </c>
      <c r="K34" s="13">
        <f t="shared" si="3"/>
        <v>0</v>
      </c>
      <c r="L34" s="13">
        <f t="shared" si="4"/>
        <v>2</v>
      </c>
      <c r="M34" s="13">
        <f t="shared" ref="M34:AA34" si="67">IFERROR(VALUE(RIGHT(LEFT($J34,FIND(M$1,$J34,1)+LEN(M$1)),1)),0)</f>
        <v>0</v>
      </c>
      <c r="N34" s="13">
        <f t="shared" si="67"/>
        <v>0</v>
      </c>
      <c r="O34" s="13">
        <f t="shared" si="67"/>
        <v>0</v>
      </c>
      <c r="P34" s="13">
        <f t="shared" si="67"/>
        <v>0</v>
      </c>
      <c r="Q34" s="13">
        <f t="shared" si="67"/>
        <v>0</v>
      </c>
      <c r="R34" s="13">
        <f t="shared" si="67"/>
        <v>0</v>
      </c>
      <c r="S34" s="13">
        <f t="shared" si="67"/>
        <v>0</v>
      </c>
      <c r="T34" s="13">
        <f t="shared" si="67"/>
        <v>0</v>
      </c>
      <c r="U34" s="13">
        <f t="shared" si="67"/>
        <v>0</v>
      </c>
      <c r="V34" s="13">
        <f t="shared" si="67"/>
        <v>0</v>
      </c>
      <c r="W34" s="13">
        <f t="shared" si="67"/>
        <v>0</v>
      </c>
      <c r="X34" s="13">
        <f t="shared" si="67"/>
        <v>0</v>
      </c>
      <c r="Y34" s="13">
        <f t="shared" si="67"/>
        <v>0</v>
      </c>
      <c r="Z34" s="13">
        <f t="shared" si="67"/>
        <v>0</v>
      </c>
      <c r="AA34" s="13">
        <f t="shared" si="67"/>
        <v>0</v>
      </c>
      <c r="AB34" s="13">
        <f t="shared" ref="AB34:AP34" si="68">IFERROR(VALUE(RIGHT(LEFT($J34,FIND(AB$1,$J34,IF(M34=0,1,FIND(AB$1,$J34,1)+1))+LEN(AB$1)),1)),0)</f>
        <v>0</v>
      </c>
      <c r="AC34" s="13">
        <f t="shared" si="68"/>
        <v>0</v>
      </c>
      <c r="AD34" s="13">
        <f t="shared" si="68"/>
        <v>0</v>
      </c>
      <c r="AE34" s="13">
        <f t="shared" si="68"/>
        <v>0</v>
      </c>
      <c r="AF34" s="13">
        <f t="shared" si="68"/>
        <v>1</v>
      </c>
      <c r="AG34" s="13">
        <f t="shared" si="68"/>
        <v>0</v>
      </c>
      <c r="AH34" s="13">
        <f t="shared" si="68"/>
        <v>1</v>
      </c>
      <c r="AI34" s="13">
        <f t="shared" si="68"/>
        <v>0</v>
      </c>
      <c r="AJ34" s="13">
        <f t="shared" si="68"/>
        <v>0</v>
      </c>
      <c r="AK34" s="13">
        <f t="shared" si="68"/>
        <v>0</v>
      </c>
      <c r="AL34" s="13">
        <f t="shared" si="68"/>
        <v>0</v>
      </c>
      <c r="AM34" s="13">
        <f t="shared" si="68"/>
        <v>0</v>
      </c>
      <c r="AN34" s="13">
        <f t="shared" si="68"/>
        <v>0</v>
      </c>
      <c r="AO34" s="13">
        <f t="shared" si="68"/>
        <v>0</v>
      </c>
      <c r="AP34" s="13">
        <f t="shared" si="68"/>
        <v>0</v>
      </c>
      <c r="AQ34" s="13" t="s">
        <v>349</v>
      </c>
      <c r="AR34" s="13"/>
      <c r="AS34" s="13" t="s">
        <v>350</v>
      </c>
      <c r="AT34" s="13"/>
      <c r="AU34" s="13"/>
      <c r="AV34" s="13"/>
      <c r="AW34" s="13">
        <v>0.0</v>
      </c>
      <c r="AX34" s="13">
        <v>-1.0</v>
      </c>
      <c r="AY34" s="13">
        <v>0.0</v>
      </c>
      <c r="AZ34" s="13"/>
      <c r="BA34" s="13"/>
      <c r="BB34" s="13"/>
      <c r="BC34" s="13"/>
      <c r="BD34" s="13"/>
      <c r="BE34" s="13"/>
      <c r="BF34" s="13"/>
      <c r="BG34" s="13"/>
      <c r="BH34" s="13" t="s">
        <v>79</v>
      </c>
      <c r="BI34" s="13" t="b">
        <v>0</v>
      </c>
      <c r="BJ34" s="13">
        <v>0.0</v>
      </c>
      <c r="BK34" s="13">
        <v>0.0</v>
      </c>
    </row>
    <row r="35" ht="14.25" customHeight="1">
      <c r="A35" s="13">
        <v>33.0</v>
      </c>
      <c r="B35" s="13" t="s">
        <v>44</v>
      </c>
      <c r="C35" s="13">
        <v>1.0</v>
      </c>
      <c r="D35" s="14">
        <v>0.0</v>
      </c>
      <c r="E35" s="13" t="s">
        <v>351</v>
      </c>
      <c r="F35" s="15" t="s">
        <v>352</v>
      </c>
      <c r="G35" s="16" t="s">
        <v>353</v>
      </c>
      <c r="H35" s="13"/>
      <c r="I35" s="13">
        <v>0.9</v>
      </c>
      <c r="J35" s="13" t="s">
        <v>348</v>
      </c>
      <c r="K35" s="13">
        <f t="shared" si="3"/>
        <v>0</v>
      </c>
      <c r="L35" s="13">
        <f t="shared" si="4"/>
        <v>2</v>
      </c>
      <c r="M35" s="13">
        <f t="shared" ref="M35:AA35" si="69">IFERROR(VALUE(RIGHT(LEFT($J35,FIND(M$1,$J35,1)+LEN(M$1)),1)),0)</f>
        <v>0</v>
      </c>
      <c r="N35" s="13">
        <f t="shared" si="69"/>
        <v>0</v>
      </c>
      <c r="O35" s="13">
        <f t="shared" si="69"/>
        <v>0</v>
      </c>
      <c r="P35" s="13">
        <f t="shared" si="69"/>
        <v>0</v>
      </c>
      <c r="Q35" s="13">
        <f t="shared" si="69"/>
        <v>0</v>
      </c>
      <c r="R35" s="13">
        <f t="shared" si="69"/>
        <v>0</v>
      </c>
      <c r="S35" s="13">
        <f t="shared" si="69"/>
        <v>0</v>
      </c>
      <c r="T35" s="13">
        <f t="shared" si="69"/>
        <v>0</v>
      </c>
      <c r="U35" s="13">
        <f t="shared" si="69"/>
        <v>0</v>
      </c>
      <c r="V35" s="13">
        <f t="shared" si="69"/>
        <v>0</v>
      </c>
      <c r="W35" s="13">
        <f t="shared" si="69"/>
        <v>0</v>
      </c>
      <c r="X35" s="13">
        <f t="shared" si="69"/>
        <v>0</v>
      </c>
      <c r="Y35" s="13">
        <f t="shared" si="69"/>
        <v>0</v>
      </c>
      <c r="Z35" s="13">
        <f t="shared" si="69"/>
        <v>0</v>
      </c>
      <c r="AA35" s="13">
        <f t="shared" si="69"/>
        <v>0</v>
      </c>
      <c r="AB35" s="13">
        <f t="shared" ref="AB35:AP35" si="70">IFERROR(VALUE(RIGHT(LEFT($J35,FIND(AB$1,$J35,IF(M35=0,1,FIND(AB$1,$J35,1)+1))+LEN(AB$1)),1)),0)</f>
        <v>0</v>
      </c>
      <c r="AC35" s="13">
        <f t="shared" si="70"/>
        <v>0</v>
      </c>
      <c r="AD35" s="13">
        <f t="shared" si="70"/>
        <v>0</v>
      </c>
      <c r="AE35" s="13">
        <f t="shared" si="70"/>
        <v>0</v>
      </c>
      <c r="AF35" s="13">
        <f t="shared" si="70"/>
        <v>1</v>
      </c>
      <c r="AG35" s="13">
        <f t="shared" si="70"/>
        <v>0</v>
      </c>
      <c r="AH35" s="13">
        <f t="shared" si="70"/>
        <v>1</v>
      </c>
      <c r="AI35" s="13">
        <f t="shared" si="70"/>
        <v>0</v>
      </c>
      <c r="AJ35" s="13">
        <f t="shared" si="70"/>
        <v>0</v>
      </c>
      <c r="AK35" s="13">
        <f t="shared" si="70"/>
        <v>0</v>
      </c>
      <c r="AL35" s="13">
        <f t="shared" si="70"/>
        <v>0</v>
      </c>
      <c r="AM35" s="13">
        <f t="shared" si="70"/>
        <v>0</v>
      </c>
      <c r="AN35" s="13">
        <f t="shared" si="70"/>
        <v>0</v>
      </c>
      <c r="AO35" s="13">
        <f t="shared" si="70"/>
        <v>0</v>
      </c>
      <c r="AP35" s="13">
        <f t="shared" si="70"/>
        <v>0</v>
      </c>
      <c r="AQ35" s="13" t="s">
        <v>354</v>
      </c>
      <c r="AR35" s="13"/>
      <c r="AS35" s="13" t="s">
        <v>355</v>
      </c>
      <c r="AT35" s="13"/>
      <c r="AU35" s="13"/>
      <c r="AV35" s="13"/>
      <c r="AW35" s="13">
        <v>0.0</v>
      </c>
      <c r="AX35" s="13">
        <v>-1.0</v>
      </c>
      <c r="AY35" s="13">
        <v>0.0</v>
      </c>
      <c r="AZ35" s="13"/>
      <c r="BA35" s="13"/>
      <c r="BB35" s="13"/>
      <c r="BC35" s="13"/>
      <c r="BD35" s="13"/>
      <c r="BE35" s="13"/>
      <c r="BF35" s="13"/>
      <c r="BG35" s="13"/>
      <c r="BH35" s="13" t="s">
        <v>79</v>
      </c>
      <c r="BI35" s="13" t="b">
        <v>0</v>
      </c>
      <c r="BJ35" s="13">
        <v>0.0</v>
      </c>
      <c r="BK35" s="13">
        <v>0.0</v>
      </c>
    </row>
    <row r="36" ht="14.25" customHeight="1">
      <c r="A36" s="13">
        <v>34.0</v>
      </c>
      <c r="B36" s="13" t="s">
        <v>44</v>
      </c>
      <c r="C36" s="13">
        <v>1.0</v>
      </c>
      <c r="D36" s="14">
        <v>0.0</v>
      </c>
      <c r="E36" s="13" t="s">
        <v>356</v>
      </c>
      <c r="F36" s="15"/>
      <c r="G36" s="16" t="s">
        <v>357</v>
      </c>
      <c r="H36" s="13"/>
      <c r="I36" s="13">
        <v>1.2</v>
      </c>
      <c r="J36" s="13" t="s">
        <v>358</v>
      </c>
      <c r="K36" s="13">
        <f t="shared" si="3"/>
        <v>0</v>
      </c>
      <c r="L36" s="13">
        <f t="shared" si="4"/>
        <v>2</v>
      </c>
      <c r="M36" s="13">
        <f t="shared" ref="M36:AA36" si="71">IFERROR(VALUE(RIGHT(LEFT($J36,FIND(M$1,$J36,1)+LEN(M$1)),1)),0)</f>
        <v>0</v>
      </c>
      <c r="N36" s="13">
        <f t="shared" si="71"/>
        <v>0</v>
      </c>
      <c r="O36" s="13">
        <f t="shared" si="71"/>
        <v>0</v>
      </c>
      <c r="P36" s="13">
        <f t="shared" si="71"/>
        <v>0</v>
      </c>
      <c r="Q36" s="13">
        <f t="shared" si="71"/>
        <v>0</v>
      </c>
      <c r="R36" s="13">
        <f t="shared" si="71"/>
        <v>0</v>
      </c>
      <c r="S36" s="13">
        <f t="shared" si="71"/>
        <v>0</v>
      </c>
      <c r="T36" s="13">
        <f t="shared" si="71"/>
        <v>0</v>
      </c>
      <c r="U36" s="13">
        <f t="shared" si="71"/>
        <v>0</v>
      </c>
      <c r="V36" s="13">
        <f t="shared" si="71"/>
        <v>0</v>
      </c>
      <c r="W36" s="13">
        <f t="shared" si="71"/>
        <v>0</v>
      </c>
      <c r="X36" s="13">
        <f t="shared" si="71"/>
        <v>0</v>
      </c>
      <c r="Y36" s="13">
        <f t="shared" si="71"/>
        <v>0</v>
      </c>
      <c r="Z36" s="13">
        <f t="shared" si="71"/>
        <v>0</v>
      </c>
      <c r="AA36" s="13">
        <f t="shared" si="71"/>
        <v>0</v>
      </c>
      <c r="AB36" s="13">
        <f t="shared" ref="AB36:AP36" si="72">IFERROR(VALUE(RIGHT(LEFT($J36,FIND(AB$1,$J36,IF(M36=0,1,FIND(AB$1,$J36,1)+1))+LEN(AB$1)),1)),0)</f>
        <v>0</v>
      </c>
      <c r="AC36" s="13">
        <f t="shared" si="72"/>
        <v>1</v>
      </c>
      <c r="AD36" s="13">
        <f t="shared" si="72"/>
        <v>1</v>
      </c>
      <c r="AE36" s="13">
        <f t="shared" si="72"/>
        <v>0</v>
      </c>
      <c r="AF36" s="13">
        <f t="shared" si="72"/>
        <v>0</v>
      </c>
      <c r="AG36" s="13">
        <f t="shared" si="72"/>
        <v>0</v>
      </c>
      <c r="AH36" s="13">
        <f t="shared" si="72"/>
        <v>0</v>
      </c>
      <c r="AI36" s="13">
        <f t="shared" si="72"/>
        <v>0</v>
      </c>
      <c r="AJ36" s="13">
        <f t="shared" si="72"/>
        <v>0</v>
      </c>
      <c r="AK36" s="13">
        <f t="shared" si="72"/>
        <v>0</v>
      </c>
      <c r="AL36" s="13">
        <f t="shared" si="72"/>
        <v>0</v>
      </c>
      <c r="AM36" s="13">
        <f t="shared" si="72"/>
        <v>0</v>
      </c>
      <c r="AN36" s="13">
        <f t="shared" si="72"/>
        <v>0</v>
      </c>
      <c r="AO36" s="13">
        <f t="shared" si="72"/>
        <v>0</v>
      </c>
      <c r="AP36" s="13">
        <f t="shared" si="72"/>
        <v>0</v>
      </c>
      <c r="AQ36" s="13" t="s">
        <v>359</v>
      </c>
      <c r="AR36" s="13"/>
      <c r="AS36" s="13" t="s">
        <v>360</v>
      </c>
      <c r="AT36" s="13"/>
      <c r="AU36" s="13"/>
      <c r="AV36" s="13"/>
      <c r="AW36" s="13">
        <v>0.0</v>
      </c>
      <c r="AX36" s="13">
        <v>-1.0</v>
      </c>
      <c r="AY36" s="13">
        <v>0.0</v>
      </c>
      <c r="AZ36" s="13"/>
      <c r="BA36" s="13"/>
      <c r="BB36" s="13"/>
      <c r="BC36" s="13"/>
      <c r="BD36" s="13"/>
      <c r="BE36" s="13"/>
      <c r="BF36" s="13"/>
      <c r="BG36" s="13"/>
      <c r="BH36" s="13" t="s">
        <v>79</v>
      </c>
      <c r="BI36" s="13" t="b">
        <v>0</v>
      </c>
      <c r="BJ36" s="13">
        <v>0.0</v>
      </c>
      <c r="BK36" s="13">
        <v>0.0</v>
      </c>
    </row>
    <row r="37" ht="14.25" customHeight="1">
      <c r="A37" s="13">
        <v>35.0</v>
      </c>
      <c r="B37" s="13" t="s">
        <v>44</v>
      </c>
      <c r="C37" s="13">
        <v>1.0</v>
      </c>
      <c r="D37" s="14">
        <v>0.0</v>
      </c>
      <c r="E37" s="13" t="s">
        <v>361</v>
      </c>
      <c r="F37" s="15"/>
      <c r="G37" s="16" t="s">
        <v>362</v>
      </c>
      <c r="H37" s="13"/>
      <c r="I37" s="13">
        <v>1.0</v>
      </c>
      <c r="J37" s="13" t="s">
        <v>77</v>
      </c>
      <c r="K37" s="13">
        <f t="shared" si="3"/>
        <v>0</v>
      </c>
      <c r="L37" s="13">
        <f t="shared" si="4"/>
        <v>2</v>
      </c>
      <c r="M37" s="13">
        <f t="shared" ref="M37:AA37" si="73">IFERROR(VALUE(RIGHT(LEFT($J37,FIND(M$1,$J37,1)+LEN(M$1)),1)),0)</f>
        <v>0</v>
      </c>
      <c r="N37" s="13">
        <f t="shared" si="73"/>
        <v>0</v>
      </c>
      <c r="O37" s="13">
        <f t="shared" si="73"/>
        <v>0</v>
      </c>
      <c r="P37" s="13">
        <f t="shared" si="73"/>
        <v>0</v>
      </c>
      <c r="Q37" s="13">
        <f t="shared" si="73"/>
        <v>0</v>
      </c>
      <c r="R37" s="13">
        <f t="shared" si="73"/>
        <v>0</v>
      </c>
      <c r="S37" s="13">
        <f t="shared" si="73"/>
        <v>0</v>
      </c>
      <c r="T37" s="13">
        <f t="shared" si="73"/>
        <v>0</v>
      </c>
      <c r="U37" s="13">
        <f t="shared" si="73"/>
        <v>0</v>
      </c>
      <c r="V37" s="13">
        <f t="shared" si="73"/>
        <v>0</v>
      </c>
      <c r="W37" s="13">
        <f t="shared" si="73"/>
        <v>0</v>
      </c>
      <c r="X37" s="13">
        <f t="shared" si="73"/>
        <v>0</v>
      </c>
      <c r="Y37" s="13">
        <f t="shared" si="73"/>
        <v>0</v>
      </c>
      <c r="Z37" s="13">
        <f t="shared" si="73"/>
        <v>0</v>
      </c>
      <c r="AA37" s="13">
        <f t="shared" si="73"/>
        <v>0</v>
      </c>
      <c r="AB37" s="13">
        <f t="shared" ref="AB37:AP37" si="74">IFERROR(VALUE(RIGHT(LEFT($J37,FIND(AB$1,$J37,IF(M37=0,1,FIND(AB$1,$J37,1)+1))+LEN(AB$1)),1)),0)</f>
        <v>0</v>
      </c>
      <c r="AC37" s="13">
        <f t="shared" si="74"/>
        <v>0</v>
      </c>
      <c r="AD37" s="13">
        <f t="shared" si="74"/>
        <v>0</v>
      </c>
      <c r="AE37" s="13">
        <f t="shared" si="74"/>
        <v>0</v>
      </c>
      <c r="AF37" s="13">
        <f t="shared" si="74"/>
        <v>0</v>
      </c>
      <c r="AG37" s="13">
        <f t="shared" si="74"/>
        <v>1</v>
      </c>
      <c r="AH37" s="13">
        <f t="shared" si="74"/>
        <v>1</v>
      </c>
      <c r="AI37" s="13">
        <f t="shared" si="74"/>
        <v>0</v>
      </c>
      <c r="AJ37" s="13">
        <f t="shared" si="74"/>
        <v>0</v>
      </c>
      <c r="AK37" s="13">
        <f t="shared" si="74"/>
        <v>0</v>
      </c>
      <c r="AL37" s="13">
        <f t="shared" si="74"/>
        <v>0</v>
      </c>
      <c r="AM37" s="13">
        <f t="shared" si="74"/>
        <v>0</v>
      </c>
      <c r="AN37" s="13">
        <f t="shared" si="74"/>
        <v>0</v>
      </c>
      <c r="AO37" s="13">
        <f t="shared" si="74"/>
        <v>0</v>
      </c>
      <c r="AP37" s="13">
        <f t="shared" si="74"/>
        <v>0</v>
      </c>
      <c r="AQ37" s="13" t="s">
        <v>363</v>
      </c>
      <c r="AR37" s="13"/>
      <c r="AS37" s="13" t="s">
        <v>364</v>
      </c>
      <c r="AT37" s="13"/>
      <c r="AU37" s="13"/>
      <c r="AV37" s="13"/>
      <c r="AW37" s="13">
        <v>0.0</v>
      </c>
      <c r="AX37" s="13">
        <v>-1.0</v>
      </c>
      <c r="AY37" s="13">
        <v>0.0</v>
      </c>
      <c r="AZ37" s="13"/>
      <c r="BA37" s="13"/>
      <c r="BB37" s="13"/>
      <c r="BC37" s="13"/>
      <c r="BD37" s="13"/>
      <c r="BE37" s="13"/>
      <c r="BF37" s="13"/>
      <c r="BG37" s="13"/>
      <c r="BH37" s="13" t="s">
        <v>79</v>
      </c>
      <c r="BI37" s="13" t="b">
        <v>0</v>
      </c>
      <c r="BJ37" s="13">
        <v>0.0</v>
      </c>
      <c r="BK37" s="13">
        <v>0.0</v>
      </c>
    </row>
    <row r="38" ht="14.25" customHeight="1">
      <c r="A38" s="13">
        <v>36.0</v>
      </c>
      <c r="B38" s="13" t="s">
        <v>44</v>
      </c>
      <c r="C38" s="13">
        <v>1.0</v>
      </c>
      <c r="D38" s="14">
        <v>0.0</v>
      </c>
      <c r="E38" s="13" t="s">
        <v>365</v>
      </c>
      <c r="F38" s="15" t="s">
        <v>366</v>
      </c>
      <c r="G38" s="16" t="s">
        <v>367</v>
      </c>
      <c r="H38" s="13"/>
      <c r="I38" s="13">
        <v>1.1</v>
      </c>
      <c r="J38" s="13" t="s">
        <v>368</v>
      </c>
      <c r="K38" s="13">
        <f t="shared" si="3"/>
        <v>0</v>
      </c>
      <c r="L38" s="13">
        <f t="shared" si="4"/>
        <v>2</v>
      </c>
      <c r="M38" s="13">
        <f t="shared" ref="M38:AA38" si="75">IFERROR(VALUE(RIGHT(LEFT($J38,FIND(M$1,$J38,1)+LEN(M$1)),1)),0)</f>
        <v>0</v>
      </c>
      <c r="N38" s="13">
        <f t="shared" si="75"/>
        <v>0</v>
      </c>
      <c r="O38" s="13">
        <f t="shared" si="75"/>
        <v>0</v>
      </c>
      <c r="P38" s="13">
        <f t="shared" si="75"/>
        <v>0</v>
      </c>
      <c r="Q38" s="13">
        <f t="shared" si="75"/>
        <v>0</v>
      </c>
      <c r="R38" s="13">
        <f t="shared" si="75"/>
        <v>0</v>
      </c>
      <c r="S38" s="13">
        <f t="shared" si="75"/>
        <v>0</v>
      </c>
      <c r="T38" s="13">
        <f t="shared" si="75"/>
        <v>0</v>
      </c>
      <c r="U38" s="13">
        <f t="shared" si="75"/>
        <v>0</v>
      </c>
      <c r="V38" s="13">
        <f t="shared" si="75"/>
        <v>0</v>
      </c>
      <c r="W38" s="13">
        <f t="shared" si="75"/>
        <v>0</v>
      </c>
      <c r="X38" s="13">
        <f t="shared" si="75"/>
        <v>0</v>
      </c>
      <c r="Y38" s="13">
        <f t="shared" si="75"/>
        <v>0</v>
      </c>
      <c r="Z38" s="13">
        <f t="shared" si="75"/>
        <v>0</v>
      </c>
      <c r="AA38" s="13">
        <f t="shared" si="75"/>
        <v>0</v>
      </c>
      <c r="AB38" s="13">
        <f t="shared" ref="AB38:AP38" si="76">IFERROR(VALUE(RIGHT(LEFT($J38,FIND(AB$1,$J38,IF(M38=0,1,FIND(AB$1,$J38,1)+1))+LEN(AB$1)),1)),0)</f>
        <v>0</v>
      </c>
      <c r="AC38" s="13">
        <f t="shared" si="76"/>
        <v>0</v>
      </c>
      <c r="AD38" s="13">
        <f t="shared" si="76"/>
        <v>0</v>
      </c>
      <c r="AE38" s="13">
        <f t="shared" si="76"/>
        <v>1</v>
      </c>
      <c r="AF38" s="13">
        <f t="shared" si="76"/>
        <v>0</v>
      </c>
      <c r="AG38" s="13">
        <f t="shared" si="76"/>
        <v>0</v>
      </c>
      <c r="AH38" s="13">
        <f t="shared" si="76"/>
        <v>1</v>
      </c>
      <c r="AI38" s="13">
        <f t="shared" si="76"/>
        <v>0</v>
      </c>
      <c r="AJ38" s="13">
        <f t="shared" si="76"/>
        <v>0</v>
      </c>
      <c r="AK38" s="13">
        <f t="shared" si="76"/>
        <v>0</v>
      </c>
      <c r="AL38" s="13">
        <f t="shared" si="76"/>
        <v>0</v>
      </c>
      <c r="AM38" s="13">
        <f t="shared" si="76"/>
        <v>0</v>
      </c>
      <c r="AN38" s="13">
        <f t="shared" si="76"/>
        <v>0</v>
      </c>
      <c r="AO38" s="13">
        <f t="shared" si="76"/>
        <v>0</v>
      </c>
      <c r="AP38" s="13">
        <f t="shared" si="76"/>
        <v>0</v>
      </c>
      <c r="AQ38" s="13" t="s">
        <v>369</v>
      </c>
      <c r="AR38" s="13"/>
      <c r="AS38" s="13" t="s">
        <v>370</v>
      </c>
      <c r="AT38" s="13"/>
      <c r="AU38" s="13"/>
      <c r="AV38" s="13"/>
      <c r="AW38" s="13">
        <v>0.0</v>
      </c>
      <c r="AX38" s="13">
        <v>-1.0</v>
      </c>
      <c r="AY38" s="13">
        <v>0.0</v>
      </c>
      <c r="AZ38" s="13"/>
      <c r="BA38" s="13"/>
      <c r="BB38" s="13"/>
      <c r="BC38" s="13"/>
      <c r="BD38" s="13"/>
      <c r="BE38" s="13"/>
      <c r="BF38" s="13"/>
      <c r="BG38" s="13"/>
      <c r="BH38" s="13" t="s">
        <v>79</v>
      </c>
      <c r="BI38" s="13" t="b">
        <v>0</v>
      </c>
      <c r="BJ38" s="13">
        <v>0.0</v>
      </c>
      <c r="BK38" s="13">
        <v>0.0</v>
      </c>
    </row>
    <row r="39" ht="14.25" customHeight="1">
      <c r="A39" s="13">
        <v>37.0</v>
      </c>
      <c r="B39" s="13" t="s">
        <v>45</v>
      </c>
      <c r="C39" s="13">
        <v>1.0</v>
      </c>
      <c r="D39" s="14">
        <v>0.0</v>
      </c>
      <c r="E39" s="13" t="s">
        <v>371</v>
      </c>
      <c r="F39" s="15" t="s">
        <v>372</v>
      </c>
      <c r="G39" s="16" t="s">
        <v>373</v>
      </c>
      <c r="H39" s="13"/>
      <c r="I39" s="13">
        <v>0.9</v>
      </c>
      <c r="J39" s="13" t="s">
        <v>374</v>
      </c>
      <c r="K39" s="13">
        <f t="shared" si="3"/>
        <v>0</v>
      </c>
      <c r="L39" s="13">
        <f t="shared" si="4"/>
        <v>2</v>
      </c>
      <c r="M39" s="13">
        <f t="shared" ref="M39:AA39" si="77">IFERROR(VALUE(RIGHT(LEFT($J39,FIND(M$1,$J39,1)+LEN(M$1)),1)),0)</f>
        <v>0</v>
      </c>
      <c r="N39" s="13">
        <f t="shared" si="77"/>
        <v>0</v>
      </c>
      <c r="O39" s="13">
        <f t="shared" si="77"/>
        <v>0</v>
      </c>
      <c r="P39" s="13">
        <f t="shared" si="77"/>
        <v>0</v>
      </c>
      <c r="Q39" s="13">
        <f t="shared" si="77"/>
        <v>0</v>
      </c>
      <c r="R39" s="13">
        <f t="shared" si="77"/>
        <v>0</v>
      </c>
      <c r="S39" s="13">
        <f t="shared" si="77"/>
        <v>0</v>
      </c>
      <c r="T39" s="13">
        <f t="shared" si="77"/>
        <v>0</v>
      </c>
      <c r="U39" s="13">
        <f t="shared" si="77"/>
        <v>0</v>
      </c>
      <c r="V39" s="13">
        <f t="shared" si="77"/>
        <v>0</v>
      </c>
      <c r="W39" s="13">
        <f t="shared" si="77"/>
        <v>0</v>
      </c>
      <c r="X39" s="13">
        <f t="shared" si="77"/>
        <v>0</v>
      </c>
      <c r="Y39" s="13">
        <f t="shared" si="77"/>
        <v>0</v>
      </c>
      <c r="Z39" s="13">
        <f t="shared" si="77"/>
        <v>0</v>
      </c>
      <c r="AA39" s="13">
        <f t="shared" si="77"/>
        <v>0</v>
      </c>
      <c r="AB39" s="13">
        <f t="shared" ref="AB39:AP39" si="78">IFERROR(VALUE(RIGHT(LEFT($J39,FIND(AB$1,$J39,IF(M39=0,1,FIND(AB$1,$J39,1)+1))+LEN(AB$1)),1)),0)</f>
        <v>0</v>
      </c>
      <c r="AC39" s="13">
        <f t="shared" si="78"/>
        <v>1</v>
      </c>
      <c r="AD39" s="13">
        <f t="shared" si="78"/>
        <v>0</v>
      </c>
      <c r="AE39" s="13">
        <f t="shared" si="78"/>
        <v>0</v>
      </c>
      <c r="AF39" s="13">
        <f t="shared" si="78"/>
        <v>0</v>
      </c>
      <c r="AG39" s="13">
        <f t="shared" si="78"/>
        <v>0</v>
      </c>
      <c r="AH39" s="13">
        <f t="shared" si="78"/>
        <v>0</v>
      </c>
      <c r="AI39" s="13">
        <f t="shared" si="78"/>
        <v>1</v>
      </c>
      <c r="AJ39" s="13">
        <f t="shared" si="78"/>
        <v>0</v>
      </c>
      <c r="AK39" s="13">
        <f t="shared" si="78"/>
        <v>0</v>
      </c>
      <c r="AL39" s="13">
        <f t="shared" si="78"/>
        <v>0</v>
      </c>
      <c r="AM39" s="13">
        <f t="shared" si="78"/>
        <v>0</v>
      </c>
      <c r="AN39" s="13">
        <f t="shared" si="78"/>
        <v>0</v>
      </c>
      <c r="AO39" s="13">
        <f t="shared" si="78"/>
        <v>0</v>
      </c>
      <c r="AP39" s="13">
        <f t="shared" si="78"/>
        <v>0</v>
      </c>
      <c r="AQ39" s="13" t="s">
        <v>375</v>
      </c>
      <c r="AR39" s="13"/>
      <c r="AS39" s="13" t="s">
        <v>107</v>
      </c>
      <c r="AT39" s="13"/>
      <c r="AU39" s="13"/>
      <c r="AV39" s="13"/>
      <c r="AW39" s="13">
        <v>0.0</v>
      </c>
      <c r="AX39" s="13">
        <v>-1.0</v>
      </c>
      <c r="AY39" s="13">
        <v>0.0</v>
      </c>
      <c r="AZ39" s="13"/>
      <c r="BA39" s="13"/>
      <c r="BB39" s="13"/>
      <c r="BC39" s="13"/>
      <c r="BD39" s="13"/>
      <c r="BE39" s="13"/>
      <c r="BF39" s="13"/>
      <c r="BG39" s="13"/>
      <c r="BH39" s="13" t="s">
        <v>79</v>
      </c>
      <c r="BI39" s="13" t="b">
        <v>0</v>
      </c>
      <c r="BJ39" s="13">
        <v>0.0</v>
      </c>
      <c r="BK39" s="13">
        <v>0.0</v>
      </c>
    </row>
    <row r="40" ht="14.25" customHeight="1">
      <c r="A40" s="13">
        <v>38.0</v>
      </c>
      <c r="B40" s="13" t="s">
        <v>45</v>
      </c>
      <c r="C40" s="13">
        <v>1.0</v>
      </c>
      <c r="D40" s="14">
        <v>0.0</v>
      </c>
      <c r="E40" s="13" t="s">
        <v>376</v>
      </c>
      <c r="F40" s="15" t="s">
        <v>377</v>
      </c>
      <c r="G40" s="16" t="s">
        <v>378</v>
      </c>
      <c r="H40" s="13"/>
      <c r="I40" s="13">
        <v>1.1</v>
      </c>
      <c r="J40" s="13" t="s">
        <v>379</v>
      </c>
      <c r="K40" s="13">
        <f t="shared" si="3"/>
        <v>0</v>
      </c>
      <c r="L40" s="13">
        <f t="shared" si="4"/>
        <v>2</v>
      </c>
      <c r="M40" s="13">
        <f t="shared" ref="M40:AA40" si="79">IFERROR(VALUE(RIGHT(LEFT($J40,FIND(M$1,$J40,1)+LEN(M$1)),1)),0)</f>
        <v>0</v>
      </c>
      <c r="N40" s="13">
        <f t="shared" si="79"/>
        <v>0</v>
      </c>
      <c r="O40" s="13">
        <f t="shared" si="79"/>
        <v>0</v>
      </c>
      <c r="P40" s="13">
        <f t="shared" si="79"/>
        <v>0</v>
      </c>
      <c r="Q40" s="13">
        <f t="shared" si="79"/>
        <v>0</v>
      </c>
      <c r="R40" s="13">
        <f t="shared" si="79"/>
        <v>0</v>
      </c>
      <c r="S40" s="13">
        <f t="shared" si="79"/>
        <v>0</v>
      </c>
      <c r="T40" s="13">
        <f t="shared" si="79"/>
        <v>0</v>
      </c>
      <c r="U40" s="13">
        <f t="shared" si="79"/>
        <v>0</v>
      </c>
      <c r="V40" s="13">
        <f t="shared" si="79"/>
        <v>0</v>
      </c>
      <c r="W40" s="13">
        <f t="shared" si="79"/>
        <v>0</v>
      </c>
      <c r="X40" s="13">
        <f t="shared" si="79"/>
        <v>0</v>
      </c>
      <c r="Y40" s="13">
        <f t="shared" si="79"/>
        <v>0</v>
      </c>
      <c r="Z40" s="13">
        <f t="shared" si="79"/>
        <v>0</v>
      </c>
      <c r="AA40" s="13">
        <f t="shared" si="79"/>
        <v>0</v>
      </c>
      <c r="AB40" s="13">
        <f t="shared" ref="AB40:AP40" si="80">IFERROR(VALUE(RIGHT(LEFT($J40,FIND(AB$1,$J40,IF(M40=0,1,FIND(AB$1,$J40,1)+1))+LEN(AB$1)),1)),0)</f>
        <v>0</v>
      </c>
      <c r="AC40" s="13">
        <f t="shared" si="80"/>
        <v>0</v>
      </c>
      <c r="AD40" s="13">
        <f t="shared" si="80"/>
        <v>0</v>
      </c>
      <c r="AE40" s="13">
        <f t="shared" si="80"/>
        <v>1</v>
      </c>
      <c r="AF40" s="13">
        <f t="shared" si="80"/>
        <v>1</v>
      </c>
      <c r="AG40" s="13">
        <f t="shared" si="80"/>
        <v>0</v>
      </c>
      <c r="AH40" s="13">
        <f t="shared" si="80"/>
        <v>0</v>
      </c>
      <c r="AI40" s="13">
        <f t="shared" si="80"/>
        <v>0</v>
      </c>
      <c r="AJ40" s="13">
        <f t="shared" si="80"/>
        <v>0</v>
      </c>
      <c r="AK40" s="13">
        <f t="shared" si="80"/>
        <v>0</v>
      </c>
      <c r="AL40" s="13">
        <f t="shared" si="80"/>
        <v>0</v>
      </c>
      <c r="AM40" s="13">
        <f t="shared" si="80"/>
        <v>0</v>
      </c>
      <c r="AN40" s="13">
        <f t="shared" si="80"/>
        <v>0</v>
      </c>
      <c r="AO40" s="13">
        <f t="shared" si="80"/>
        <v>0</v>
      </c>
      <c r="AP40" s="13">
        <f t="shared" si="80"/>
        <v>0</v>
      </c>
      <c r="AQ40" s="13" t="s">
        <v>380</v>
      </c>
      <c r="AR40" s="13"/>
      <c r="AS40" s="13" t="s">
        <v>381</v>
      </c>
      <c r="AT40" s="13"/>
      <c r="AU40" s="13"/>
      <c r="AV40" s="13"/>
      <c r="AW40" s="13">
        <v>0.0</v>
      </c>
      <c r="AX40" s="13">
        <v>-1.0</v>
      </c>
      <c r="AY40" s="13">
        <v>0.0</v>
      </c>
      <c r="AZ40" s="13"/>
      <c r="BA40" s="13"/>
      <c r="BB40" s="13"/>
      <c r="BC40" s="13"/>
      <c r="BD40" s="13"/>
      <c r="BE40" s="13"/>
      <c r="BF40" s="13"/>
      <c r="BG40" s="13"/>
      <c r="BH40" s="13" t="s">
        <v>79</v>
      </c>
      <c r="BI40" s="13" t="b">
        <v>0</v>
      </c>
      <c r="BJ40" s="13">
        <v>0.0</v>
      </c>
      <c r="BK40" s="13">
        <v>0.0</v>
      </c>
    </row>
    <row r="41" ht="14.25" customHeight="1">
      <c r="A41" s="13">
        <v>39.0</v>
      </c>
      <c r="B41" s="13" t="s">
        <v>45</v>
      </c>
      <c r="C41" s="13">
        <v>1.0</v>
      </c>
      <c r="D41" s="14">
        <v>0.0</v>
      </c>
      <c r="E41" s="13" t="s">
        <v>382</v>
      </c>
      <c r="F41" s="15" t="s">
        <v>340</v>
      </c>
      <c r="G41" s="16" t="s">
        <v>383</v>
      </c>
      <c r="H41" s="13"/>
      <c r="I41" s="13">
        <v>1.0</v>
      </c>
      <c r="J41" s="13" t="s">
        <v>384</v>
      </c>
      <c r="K41" s="13">
        <f t="shared" si="3"/>
        <v>0</v>
      </c>
      <c r="L41" s="13">
        <f t="shared" si="4"/>
        <v>2</v>
      </c>
      <c r="M41" s="13">
        <f t="shared" ref="M41:AA41" si="81">IFERROR(VALUE(RIGHT(LEFT($J41,FIND(M$1,$J41,1)+LEN(M$1)),1)),0)</f>
        <v>0</v>
      </c>
      <c r="N41" s="13">
        <f t="shared" si="81"/>
        <v>0</v>
      </c>
      <c r="O41" s="13">
        <f t="shared" si="81"/>
        <v>0</v>
      </c>
      <c r="P41" s="13">
        <f t="shared" si="81"/>
        <v>0</v>
      </c>
      <c r="Q41" s="13">
        <f t="shared" si="81"/>
        <v>0</v>
      </c>
      <c r="R41" s="13">
        <f t="shared" si="81"/>
        <v>0</v>
      </c>
      <c r="S41" s="13">
        <f t="shared" si="81"/>
        <v>0</v>
      </c>
      <c r="T41" s="13">
        <f t="shared" si="81"/>
        <v>0</v>
      </c>
      <c r="U41" s="13">
        <f t="shared" si="81"/>
        <v>0</v>
      </c>
      <c r="V41" s="13">
        <f t="shared" si="81"/>
        <v>0</v>
      </c>
      <c r="W41" s="13">
        <f t="shared" si="81"/>
        <v>0</v>
      </c>
      <c r="X41" s="13">
        <f t="shared" si="81"/>
        <v>0</v>
      </c>
      <c r="Y41" s="13">
        <f t="shared" si="81"/>
        <v>0</v>
      </c>
      <c r="Z41" s="13">
        <f t="shared" si="81"/>
        <v>0</v>
      </c>
      <c r="AA41" s="13">
        <f t="shared" si="81"/>
        <v>0</v>
      </c>
      <c r="AB41" s="13">
        <f t="shared" ref="AB41:AP41" si="82">IFERROR(VALUE(RIGHT(LEFT($J41,FIND(AB$1,$J41,IF(M41=0,1,FIND(AB$1,$J41,1)+1))+LEN(AB$1)),1)),0)</f>
        <v>0</v>
      </c>
      <c r="AC41" s="13">
        <f t="shared" si="82"/>
        <v>0</v>
      </c>
      <c r="AD41" s="13">
        <f t="shared" si="82"/>
        <v>0</v>
      </c>
      <c r="AE41" s="13">
        <f t="shared" si="82"/>
        <v>0</v>
      </c>
      <c r="AF41" s="13">
        <f t="shared" si="82"/>
        <v>0</v>
      </c>
      <c r="AG41" s="13">
        <f t="shared" si="82"/>
        <v>1</v>
      </c>
      <c r="AH41" s="13">
        <f t="shared" si="82"/>
        <v>0</v>
      </c>
      <c r="AI41" s="13">
        <f t="shared" si="82"/>
        <v>1</v>
      </c>
      <c r="AJ41" s="13">
        <f t="shared" si="82"/>
        <v>0</v>
      </c>
      <c r="AK41" s="13">
        <f t="shared" si="82"/>
        <v>0</v>
      </c>
      <c r="AL41" s="13">
        <f t="shared" si="82"/>
        <v>0</v>
      </c>
      <c r="AM41" s="13">
        <f t="shared" si="82"/>
        <v>0</v>
      </c>
      <c r="AN41" s="13">
        <f t="shared" si="82"/>
        <v>0</v>
      </c>
      <c r="AO41" s="13">
        <f t="shared" si="82"/>
        <v>0</v>
      </c>
      <c r="AP41" s="13">
        <f t="shared" si="82"/>
        <v>0</v>
      </c>
      <c r="AQ41" s="13" t="s">
        <v>385</v>
      </c>
      <c r="AR41" s="13"/>
      <c r="AS41" s="13" t="s">
        <v>386</v>
      </c>
      <c r="AT41" s="13"/>
      <c r="AU41" s="13"/>
      <c r="AV41" s="13"/>
      <c r="AW41" s="13">
        <v>0.0</v>
      </c>
      <c r="AX41" s="13">
        <v>-1.0</v>
      </c>
      <c r="AY41" s="13">
        <v>0.0</v>
      </c>
      <c r="AZ41" s="13"/>
      <c r="BA41" s="13"/>
      <c r="BB41" s="13"/>
      <c r="BC41" s="13"/>
      <c r="BD41" s="13"/>
      <c r="BE41" s="13"/>
      <c r="BF41" s="13"/>
      <c r="BG41" s="13"/>
      <c r="BH41" s="13" t="s">
        <v>79</v>
      </c>
      <c r="BI41" s="13" t="b">
        <v>0</v>
      </c>
      <c r="BJ41" s="13">
        <v>0.0</v>
      </c>
      <c r="BK41" s="13">
        <v>0.0</v>
      </c>
    </row>
    <row r="42" ht="14.25" customHeight="1">
      <c r="A42" s="13">
        <v>40.0</v>
      </c>
      <c r="B42" s="13" t="s">
        <v>45</v>
      </c>
      <c r="C42" s="13">
        <v>1.0</v>
      </c>
      <c r="D42" s="14">
        <v>0.0</v>
      </c>
      <c r="E42" s="13" t="s">
        <v>387</v>
      </c>
      <c r="F42" s="15"/>
      <c r="G42" s="16" t="s">
        <v>388</v>
      </c>
      <c r="H42" s="13"/>
      <c r="I42" s="13">
        <v>1.1</v>
      </c>
      <c r="J42" s="13" t="s">
        <v>389</v>
      </c>
      <c r="K42" s="13">
        <f t="shared" si="3"/>
        <v>0</v>
      </c>
      <c r="L42" s="13">
        <f t="shared" si="4"/>
        <v>2</v>
      </c>
      <c r="M42" s="13">
        <f t="shared" ref="M42:AA42" si="83">IFERROR(VALUE(RIGHT(LEFT($J42,FIND(M$1,$J42,1)+LEN(M$1)),1)),0)</f>
        <v>0</v>
      </c>
      <c r="N42" s="13">
        <f t="shared" si="83"/>
        <v>0</v>
      </c>
      <c r="O42" s="13">
        <f t="shared" si="83"/>
        <v>0</v>
      </c>
      <c r="P42" s="13">
        <f t="shared" si="83"/>
        <v>0</v>
      </c>
      <c r="Q42" s="13">
        <f t="shared" si="83"/>
        <v>0</v>
      </c>
      <c r="R42" s="13">
        <f t="shared" si="83"/>
        <v>0</v>
      </c>
      <c r="S42" s="13">
        <f t="shared" si="83"/>
        <v>0</v>
      </c>
      <c r="T42" s="13">
        <f t="shared" si="83"/>
        <v>0</v>
      </c>
      <c r="U42" s="13">
        <f t="shared" si="83"/>
        <v>0</v>
      </c>
      <c r="V42" s="13">
        <f t="shared" si="83"/>
        <v>0</v>
      </c>
      <c r="W42" s="13">
        <f t="shared" si="83"/>
        <v>0</v>
      </c>
      <c r="X42" s="13">
        <f t="shared" si="83"/>
        <v>0</v>
      </c>
      <c r="Y42" s="13">
        <f t="shared" si="83"/>
        <v>0</v>
      </c>
      <c r="Z42" s="13">
        <f t="shared" si="83"/>
        <v>0</v>
      </c>
      <c r="AA42" s="13">
        <f t="shared" si="83"/>
        <v>0</v>
      </c>
      <c r="AB42" s="13">
        <f t="shared" ref="AB42:AP42" si="84">IFERROR(VALUE(RIGHT(LEFT($J42,FIND(AB$1,$J42,IF(M42=0,1,FIND(AB$1,$J42,1)+1))+LEN(AB$1)),1)),0)</f>
        <v>1</v>
      </c>
      <c r="AC42" s="13">
        <f t="shared" si="84"/>
        <v>0</v>
      </c>
      <c r="AD42" s="13">
        <f t="shared" si="84"/>
        <v>0</v>
      </c>
      <c r="AE42" s="13">
        <f t="shared" si="84"/>
        <v>0</v>
      </c>
      <c r="AF42" s="13">
        <f t="shared" si="84"/>
        <v>0</v>
      </c>
      <c r="AG42" s="13">
        <f t="shared" si="84"/>
        <v>0</v>
      </c>
      <c r="AH42" s="13">
        <f t="shared" si="84"/>
        <v>0</v>
      </c>
      <c r="AI42" s="13">
        <f t="shared" si="84"/>
        <v>1</v>
      </c>
      <c r="AJ42" s="13">
        <f t="shared" si="84"/>
        <v>0</v>
      </c>
      <c r="AK42" s="13">
        <f t="shared" si="84"/>
        <v>0</v>
      </c>
      <c r="AL42" s="13">
        <f t="shared" si="84"/>
        <v>0</v>
      </c>
      <c r="AM42" s="13">
        <f t="shared" si="84"/>
        <v>0</v>
      </c>
      <c r="AN42" s="13">
        <f t="shared" si="84"/>
        <v>0</v>
      </c>
      <c r="AO42" s="13">
        <f t="shared" si="84"/>
        <v>0</v>
      </c>
      <c r="AP42" s="13">
        <f t="shared" si="84"/>
        <v>0</v>
      </c>
      <c r="AQ42" s="13" t="s">
        <v>390</v>
      </c>
      <c r="AR42" s="13"/>
      <c r="AS42" s="13" t="s">
        <v>391</v>
      </c>
      <c r="AT42" s="13"/>
      <c r="AU42" s="13"/>
      <c r="AV42" s="13"/>
      <c r="AW42" s="13">
        <v>0.0</v>
      </c>
      <c r="AX42" s="13">
        <v>-1.0</v>
      </c>
      <c r="AY42" s="13">
        <v>0.0</v>
      </c>
      <c r="AZ42" s="13"/>
      <c r="BA42" s="13"/>
      <c r="BB42" s="13"/>
      <c r="BC42" s="13"/>
      <c r="BD42" s="13"/>
      <c r="BE42" s="13"/>
      <c r="BF42" s="13"/>
      <c r="BG42" s="13"/>
      <c r="BH42" s="13" t="s">
        <v>79</v>
      </c>
      <c r="BI42" s="13" t="b">
        <v>0</v>
      </c>
      <c r="BJ42" s="13">
        <v>0.0</v>
      </c>
      <c r="BK42" s="13">
        <v>0.0</v>
      </c>
    </row>
    <row r="43" ht="14.25" customHeight="1">
      <c r="A43" s="13">
        <v>41.0</v>
      </c>
      <c r="B43" s="13" t="s">
        <v>45</v>
      </c>
      <c r="C43" s="13">
        <v>1.0</v>
      </c>
      <c r="D43" s="14">
        <v>0.0</v>
      </c>
      <c r="E43" s="13" t="s">
        <v>392</v>
      </c>
      <c r="F43" s="15"/>
      <c r="G43" s="16" t="s">
        <v>393</v>
      </c>
      <c r="H43" s="13"/>
      <c r="I43" s="13">
        <v>1.0</v>
      </c>
      <c r="J43" s="13" t="s">
        <v>384</v>
      </c>
      <c r="K43" s="13">
        <f t="shared" si="3"/>
        <v>0</v>
      </c>
      <c r="L43" s="13">
        <f t="shared" si="4"/>
        <v>2</v>
      </c>
      <c r="M43" s="13">
        <f t="shared" ref="M43:AA43" si="85">IFERROR(VALUE(RIGHT(LEFT($J43,FIND(M$1,$J43,1)+LEN(M$1)),1)),0)</f>
        <v>0</v>
      </c>
      <c r="N43" s="13">
        <f t="shared" si="85"/>
        <v>0</v>
      </c>
      <c r="O43" s="13">
        <f t="shared" si="85"/>
        <v>0</v>
      </c>
      <c r="P43" s="13">
        <f t="shared" si="85"/>
        <v>0</v>
      </c>
      <c r="Q43" s="13">
        <f t="shared" si="85"/>
        <v>0</v>
      </c>
      <c r="R43" s="13">
        <f t="shared" si="85"/>
        <v>0</v>
      </c>
      <c r="S43" s="13">
        <f t="shared" si="85"/>
        <v>0</v>
      </c>
      <c r="T43" s="13">
        <f t="shared" si="85"/>
        <v>0</v>
      </c>
      <c r="U43" s="13">
        <f t="shared" si="85"/>
        <v>0</v>
      </c>
      <c r="V43" s="13">
        <f t="shared" si="85"/>
        <v>0</v>
      </c>
      <c r="W43" s="13">
        <f t="shared" si="85"/>
        <v>0</v>
      </c>
      <c r="X43" s="13">
        <f t="shared" si="85"/>
        <v>0</v>
      </c>
      <c r="Y43" s="13">
        <f t="shared" si="85"/>
        <v>0</v>
      </c>
      <c r="Z43" s="13">
        <f t="shared" si="85"/>
        <v>0</v>
      </c>
      <c r="AA43" s="13">
        <f t="shared" si="85"/>
        <v>0</v>
      </c>
      <c r="AB43" s="13">
        <f t="shared" ref="AB43:AP43" si="86">IFERROR(VALUE(RIGHT(LEFT($J43,FIND(AB$1,$J43,IF(M43=0,1,FIND(AB$1,$J43,1)+1))+LEN(AB$1)),1)),0)</f>
        <v>0</v>
      </c>
      <c r="AC43" s="13">
        <f t="shared" si="86"/>
        <v>0</v>
      </c>
      <c r="AD43" s="13">
        <f t="shared" si="86"/>
        <v>0</v>
      </c>
      <c r="AE43" s="13">
        <f t="shared" si="86"/>
        <v>0</v>
      </c>
      <c r="AF43" s="13">
        <f t="shared" si="86"/>
        <v>0</v>
      </c>
      <c r="AG43" s="13">
        <f t="shared" si="86"/>
        <v>1</v>
      </c>
      <c r="AH43" s="13">
        <f t="shared" si="86"/>
        <v>0</v>
      </c>
      <c r="AI43" s="13">
        <f t="shared" si="86"/>
        <v>1</v>
      </c>
      <c r="AJ43" s="13">
        <f t="shared" si="86"/>
        <v>0</v>
      </c>
      <c r="AK43" s="13">
        <f t="shared" si="86"/>
        <v>0</v>
      </c>
      <c r="AL43" s="13">
        <f t="shared" si="86"/>
        <v>0</v>
      </c>
      <c r="AM43" s="13">
        <f t="shared" si="86"/>
        <v>0</v>
      </c>
      <c r="AN43" s="13">
        <f t="shared" si="86"/>
        <v>0</v>
      </c>
      <c r="AO43" s="13">
        <f t="shared" si="86"/>
        <v>0</v>
      </c>
      <c r="AP43" s="13">
        <f t="shared" si="86"/>
        <v>0</v>
      </c>
      <c r="AQ43" s="13" t="s">
        <v>394</v>
      </c>
      <c r="AR43" s="13"/>
      <c r="AS43" s="13" t="s">
        <v>395</v>
      </c>
      <c r="AT43" s="13"/>
      <c r="AU43" s="13"/>
      <c r="AV43" s="13"/>
      <c r="AW43" s="13">
        <v>0.0</v>
      </c>
      <c r="AX43" s="13">
        <v>-1.0</v>
      </c>
      <c r="AY43" s="13">
        <v>0.0</v>
      </c>
      <c r="AZ43" s="13"/>
      <c r="BA43" s="13"/>
      <c r="BB43" s="13"/>
      <c r="BC43" s="13"/>
      <c r="BD43" s="13"/>
      <c r="BE43" s="13"/>
      <c r="BF43" s="13"/>
      <c r="BG43" s="13"/>
      <c r="BH43" s="13" t="s">
        <v>79</v>
      </c>
      <c r="BI43" s="13" t="b">
        <v>0</v>
      </c>
      <c r="BJ43" s="13">
        <v>0.0</v>
      </c>
      <c r="BK43" s="13">
        <v>0.0</v>
      </c>
    </row>
    <row r="44" ht="14.25" customHeight="1">
      <c r="A44" s="13">
        <v>42.0</v>
      </c>
      <c r="B44" s="13" t="s">
        <v>45</v>
      </c>
      <c r="C44" s="13">
        <v>1.0</v>
      </c>
      <c r="D44" s="14">
        <v>0.0</v>
      </c>
      <c r="E44" s="13" t="s">
        <v>396</v>
      </c>
      <c r="F44" s="15" t="s">
        <v>397</v>
      </c>
      <c r="G44" s="16" t="s">
        <v>398</v>
      </c>
      <c r="H44" s="13"/>
      <c r="I44" s="13">
        <v>1.0</v>
      </c>
      <c r="J44" s="13" t="s">
        <v>399</v>
      </c>
      <c r="K44" s="13">
        <f t="shared" si="3"/>
        <v>0</v>
      </c>
      <c r="L44" s="13">
        <f t="shared" si="4"/>
        <v>2</v>
      </c>
      <c r="M44" s="13">
        <f t="shared" ref="M44:AA44" si="87">IFERROR(VALUE(RIGHT(LEFT($J44,FIND(M$1,$J44,1)+LEN(M$1)),1)),0)</f>
        <v>0</v>
      </c>
      <c r="N44" s="13">
        <f t="shared" si="87"/>
        <v>0</v>
      </c>
      <c r="O44" s="13">
        <f t="shared" si="87"/>
        <v>0</v>
      </c>
      <c r="P44" s="13">
        <f t="shared" si="87"/>
        <v>0</v>
      </c>
      <c r="Q44" s="13">
        <f t="shared" si="87"/>
        <v>0</v>
      </c>
      <c r="R44" s="13">
        <f t="shared" si="87"/>
        <v>0</v>
      </c>
      <c r="S44" s="13">
        <f t="shared" si="87"/>
        <v>0</v>
      </c>
      <c r="T44" s="13">
        <f t="shared" si="87"/>
        <v>0</v>
      </c>
      <c r="U44" s="13">
        <f t="shared" si="87"/>
        <v>0</v>
      </c>
      <c r="V44" s="13">
        <f t="shared" si="87"/>
        <v>0</v>
      </c>
      <c r="W44" s="13">
        <f t="shared" si="87"/>
        <v>0</v>
      </c>
      <c r="X44" s="13">
        <f t="shared" si="87"/>
        <v>0</v>
      </c>
      <c r="Y44" s="13">
        <f t="shared" si="87"/>
        <v>0</v>
      </c>
      <c r="Z44" s="13">
        <f t="shared" si="87"/>
        <v>0</v>
      </c>
      <c r="AA44" s="13">
        <f t="shared" si="87"/>
        <v>0</v>
      </c>
      <c r="AB44" s="13">
        <f t="shared" ref="AB44:AP44" si="88">IFERROR(VALUE(RIGHT(LEFT($J44,FIND(AB$1,$J44,IF(M44=0,1,FIND(AB$1,$J44,1)+1))+LEN(AB$1)),1)),0)</f>
        <v>0</v>
      </c>
      <c r="AC44" s="13">
        <f t="shared" si="88"/>
        <v>0</v>
      </c>
      <c r="AD44" s="13">
        <f t="shared" si="88"/>
        <v>1</v>
      </c>
      <c r="AE44" s="13">
        <f t="shared" si="88"/>
        <v>0</v>
      </c>
      <c r="AF44" s="13">
        <f t="shared" si="88"/>
        <v>0</v>
      </c>
      <c r="AG44" s="13">
        <f t="shared" si="88"/>
        <v>0</v>
      </c>
      <c r="AH44" s="13">
        <f t="shared" si="88"/>
        <v>0</v>
      </c>
      <c r="AI44" s="13">
        <f t="shared" si="88"/>
        <v>1</v>
      </c>
      <c r="AJ44" s="13">
        <f t="shared" si="88"/>
        <v>0</v>
      </c>
      <c r="AK44" s="13">
        <f t="shared" si="88"/>
        <v>0</v>
      </c>
      <c r="AL44" s="13">
        <f t="shared" si="88"/>
        <v>0</v>
      </c>
      <c r="AM44" s="13">
        <f t="shared" si="88"/>
        <v>0</v>
      </c>
      <c r="AN44" s="13">
        <f t="shared" si="88"/>
        <v>0</v>
      </c>
      <c r="AO44" s="13">
        <f t="shared" si="88"/>
        <v>0</v>
      </c>
      <c r="AP44" s="13">
        <f t="shared" si="88"/>
        <v>0</v>
      </c>
      <c r="AQ44" s="13" t="s">
        <v>400</v>
      </c>
      <c r="AR44" s="13"/>
      <c r="AS44" s="13" t="s">
        <v>401</v>
      </c>
      <c r="AT44" s="13"/>
      <c r="AU44" s="13"/>
      <c r="AV44" s="13"/>
      <c r="AW44" s="13">
        <v>0.0</v>
      </c>
      <c r="AX44" s="13">
        <v>-1.0</v>
      </c>
      <c r="AY44" s="13">
        <v>0.0</v>
      </c>
      <c r="AZ44" s="13"/>
      <c r="BA44" s="13"/>
      <c r="BB44" s="13"/>
      <c r="BC44" s="13"/>
      <c r="BD44" s="13"/>
      <c r="BE44" s="13"/>
      <c r="BF44" s="13"/>
      <c r="BG44" s="13"/>
      <c r="BH44" s="13" t="s">
        <v>79</v>
      </c>
      <c r="BI44" s="13" t="b">
        <v>0</v>
      </c>
      <c r="BJ44" s="13">
        <v>0.0</v>
      </c>
      <c r="BK44" s="13">
        <v>0.0</v>
      </c>
    </row>
    <row r="45" ht="14.25" customHeight="1">
      <c r="A45" s="13">
        <v>43.0</v>
      </c>
      <c r="B45" s="13" t="s">
        <v>45</v>
      </c>
      <c r="C45" s="13">
        <v>1.0</v>
      </c>
      <c r="D45" s="14">
        <v>0.0</v>
      </c>
      <c r="E45" s="13" t="s">
        <v>402</v>
      </c>
      <c r="F45" s="15" t="s">
        <v>403</v>
      </c>
      <c r="G45" s="16" t="s">
        <v>404</v>
      </c>
      <c r="H45" s="13"/>
      <c r="I45" s="13">
        <v>0.9</v>
      </c>
      <c r="J45" s="13" t="s">
        <v>405</v>
      </c>
      <c r="K45" s="13">
        <f t="shared" si="3"/>
        <v>0</v>
      </c>
      <c r="L45" s="13">
        <f t="shared" si="4"/>
        <v>2</v>
      </c>
      <c r="M45" s="13">
        <f t="shared" ref="M45:AA45" si="89">IFERROR(VALUE(RIGHT(LEFT($J45,FIND(M$1,$J45,1)+LEN(M$1)),1)),0)</f>
        <v>0</v>
      </c>
      <c r="N45" s="13">
        <f t="shared" si="89"/>
        <v>0</v>
      </c>
      <c r="O45" s="13">
        <f t="shared" si="89"/>
        <v>0</v>
      </c>
      <c r="P45" s="13">
        <f t="shared" si="89"/>
        <v>0</v>
      </c>
      <c r="Q45" s="13">
        <f t="shared" si="89"/>
        <v>0</v>
      </c>
      <c r="R45" s="13">
        <f t="shared" si="89"/>
        <v>0</v>
      </c>
      <c r="S45" s="13">
        <f t="shared" si="89"/>
        <v>0</v>
      </c>
      <c r="T45" s="13">
        <f t="shared" si="89"/>
        <v>0</v>
      </c>
      <c r="U45" s="13">
        <f t="shared" si="89"/>
        <v>0</v>
      </c>
      <c r="V45" s="13">
        <f t="shared" si="89"/>
        <v>0</v>
      </c>
      <c r="W45" s="13">
        <f t="shared" si="89"/>
        <v>0</v>
      </c>
      <c r="X45" s="13">
        <f t="shared" si="89"/>
        <v>0</v>
      </c>
      <c r="Y45" s="13">
        <f t="shared" si="89"/>
        <v>0</v>
      </c>
      <c r="Z45" s="13">
        <f t="shared" si="89"/>
        <v>0</v>
      </c>
      <c r="AA45" s="13">
        <f t="shared" si="89"/>
        <v>0</v>
      </c>
      <c r="AB45" s="13">
        <f t="shared" ref="AB45:AP45" si="90">IFERROR(VALUE(RIGHT(LEFT($J45,FIND(AB$1,$J45,IF(M45=0,1,FIND(AB$1,$J45,1)+1))+LEN(AB$1)),1)),0)</f>
        <v>0</v>
      </c>
      <c r="AC45" s="13">
        <f t="shared" si="90"/>
        <v>0</v>
      </c>
      <c r="AD45" s="13">
        <f t="shared" si="90"/>
        <v>0</v>
      </c>
      <c r="AE45" s="13">
        <f t="shared" si="90"/>
        <v>1</v>
      </c>
      <c r="AF45" s="13">
        <f t="shared" si="90"/>
        <v>0</v>
      </c>
      <c r="AG45" s="13">
        <f t="shared" si="90"/>
        <v>0</v>
      </c>
      <c r="AH45" s="13">
        <f t="shared" si="90"/>
        <v>0</v>
      </c>
      <c r="AI45" s="13">
        <f t="shared" si="90"/>
        <v>1</v>
      </c>
      <c r="AJ45" s="13">
        <f t="shared" si="90"/>
        <v>0</v>
      </c>
      <c r="AK45" s="13">
        <f t="shared" si="90"/>
        <v>0</v>
      </c>
      <c r="AL45" s="13">
        <f t="shared" si="90"/>
        <v>0</v>
      </c>
      <c r="AM45" s="13">
        <f t="shared" si="90"/>
        <v>0</v>
      </c>
      <c r="AN45" s="13">
        <f t="shared" si="90"/>
        <v>0</v>
      </c>
      <c r="AO45" s="13">
        <f t="shared" si="90"/>
        <v>0</v>
      </c>
      <c r="AP45" s="13">
        <f t="shared" si="90"/>
        <v>0</v>
      </c>
      <c r="AQ45" s="13" t="s">
        <v>406</v>
      </c>
      <c r="AR45" s="13"/>
      <c r="AS45" s="13" t="s">
        <v>407</v>
      </c>
      <c r="AT45" s="13"/>
      <c r="AU45" s="13"/>
      <c r="AV45" s="13"/>
      <c r="AW45" s="13">
        <v>0.0</v>
      </c>
      <c r="AX45" s="13">
        <v>-1.0</v>
      </c>
      <c r="AY45" s="13">
        <v>0.0</v>
      </c>
      <c r="AZ45" s="13"/>
      <c r="BA45" s="13"/>
      <c r="BB45" s="13"/>
      <c r="BC45" s="13"/>
      <c r="BD45" s="13"/>
      <c r="BE45" s="13"/>
      <c r="BF45" s="13"/>
      <c r="BG45" s="13"/>
      <c r="BH45" s="13" t="s">
        <v>79</v>
      </c>
      <c r="BI45" s="13" t="b">
        <v>0</v>
      </c>
      <c r="BJ45" s="13">
        <v>0.0</v>
      </c>
      <c r="BK45" s="13">
        <v>0.0</v>
      </c>
    </row>
    <row r="46" ht="14.25" customHeight="1">
      <c r="A46" s="13">
        <v>44.0</v>
      </c>
      <c r="B46" s="13" t="s">
        <v>45</v>
      </c>
      <c r="C46" s="13">
        <v>1.0</v>
      </c>
      <c r="D46" s="14">
        <v>0.0</v>
      </c>
      <c r="E46" s="13" t="s">
        <v>408</v>
      </c>
      <c r="F46" s="15"/>
      <c r="G46" s="16" t="s">
        <v>409</v>
      </c>
      <c r="H46" s="13"/>
      <c r="I46" s="13">
        <v>0.9</v>
      </c>
      <c r="J46" s="13" t="s">
        <v>374</v>
      </c>
      <c r="K46" s="13">
        <f t="shared" si="3"/>
        <v>0</v>
      </c>
      <c r="L46" s="13">
        <f t="shared" si="4"/>
        <v>2</v>
      </c>
      <c r="M46" s="13">
        <f t="shared" ref="M46:AA46" si="91">IFERROR(VALUE(RIGHT(LEFT($J46,FIND(M$1,$J46,1)+LEN(M$1)),1)),0)</f>
        <v>0</v>
      </c>
      <c r="N46" s="13">
        <f t="shared" si="91"/>
        <v>0</v>
      </c>
      <c r="O46" s="13">
        <f t="shared" si="91"/>
        <v>0</v>
      </c>
      <c r="P46" s="13">
        <f t="shared" si="91"/>
        <v>0</v>
      </c>
      <c r="Q46" s="13">
        <f t="shared" si="91"/>
        <v>0</v>
      </c>
      <c r="R46" s="13">
        <f t="shared" si="91"/>
        <v>0</v>
      </c>
      <c r="S46" s="13">
        <f t="shared" si="91"/>
        <v>0</v>
      </c>
      <c r="T46" s="13">
        <f t="shared" si="91"/>
        <v>0</v>
      </c>
      <c r="U46" s="13">
        <f t="shared" si="91"/>
        <v>0</v>
      </c>
      <c r="V46" s="13">
        <f t="shared" si="91"/>
        <v>0</v>
      </c>
      <c r="W46" s="13">
        <f t="shared" si="91"/>
        <v>0</v>
      </c>
      <c r="X46" s="13">
        <f t="shared" si="91"/>
        <v>0</v>
      </c>
      <c r="Y46" s="13">
        <f t="shared" si="91"/>
        <v>0</v>
      </c>
      <c r="Z46" s="13">
        <f t="shared" si="91"/>
        <v>0</v>
      </c>
      <c r="AA46" s="13">
        <f t="shared" si="91"/>
        <v>0</v>
      </c>
      <c r="AB46" s="13">
        <f t="shared" ref="AB46:AP46" si="92">IFERROR(VALUE(RIGHT(LEFT($J46,FIND(AB$1,$J46,IF(M46=0,1,FIND(AB$1,$J46,1)+1))+LEN(AB$1)),1)),0)</f>
        <v>0</v>
      </c>
      <c r="AC46" s="13">
        <f t="shared" si="92"/>
        <v>1</v>
      </c>
      <c r="AD46" s="13">
        <f t="shared" si="92"/>
        <v>0</v>
      </c>
      <c r="AE46" s="13">
        <f t="shared" si="92"/>
        <v>0</v>
      </c>
      <c r="AF46" s="13">
        <f t="shared" si="92"/>
        <v>0</v>
      </c>
      <c r="AG46" s="13">
        <f t="shared" si="92"/>
        <v>0</v>
      </c>
      <c r="AH46" s="13">
        <f t="shared" si="92"/>
        <v>0</v>
      </c>
      <c r="AI46" s="13">
        <f t="shared" si="92"/>
        <v>1</v>
      </c>
      <c r="AJ46" s="13">
        <f t="shared" si="92"/>
        <v>0</v>
      </c>
      <c r="AK46" s="13">
        <f t="shared" si="92"/>
        <v>0</v>
      </c>
      <c r="AL46" s="13">
        <f t="shared" si="92"/>
        <v>0</v>
      </c>
      <c r="AM46" s="13">
        <f t="shared" si="92"/>
        <v>0</v>
      </c>
      <c r="AN46" s="13">
        <f t="shared" si="92"/>
        <v>0</v>
      </c>
      <c r="AO46" s="13">
        <f t="shared" si="92"/>
        <v>0</v>
      </c>
      <c r="AP46" s="13">
        <f t="shared" si="92"/>
        <v>0</v>
      </c>
      <c r="AQ46" s="13" t="s">
        <v>410</v>
      </c>
      <c r="AR46" s="13"/>
      <c r="AS46" s="13" t="s">
        <v>411</v>
      </c>
      <c r="AT46" s="13"/>
      <c r="AU46" s="13"/>
      <c r="AV46" s="13"/>
      <c r="AW46" s="13">
        <v>0.0</v>
      </c>
      <c r="AX46" s="13">
        <v>-1.0</v>
      </c>
      <c r="AY46" s="13">
        <v>0.0</v>
      </c>
      <c r="AZ46" s="13"/>
      <c r="BA46" s="13"/>
      <c r="BB46" s="13"/>
      <c r="BC46" s="13"/>
      <c r="BD46" s="13"/>
      <c r="BE46" s="13"/>
      <c r="BF46" s="13"/>
      <c r="BG46" s="13"/>
      <c r="BH46" s="13" t="s">
        <v>79</v>
      </c>
      <c r="BI46" s="13" t="b">
        <v>0</v>
      </c>
      <c r="BJ46" s="13">
        <v>0.0</v>
      </c>
      <c r="BK46" s="13">
        <v>0.0</v>
      </c>
    </row>
    <row r="47" ht="14.25" customHeight="1">
      <c r="A47" s="13">
        <v>45.0</v>
      </c>
      <c r="B47" s="13" t="s">
        <v>45</v>
      </c>
      <c r="C47" s="13">
        <v>1.0</v>
      </c>
      <c r="D47" s="14">
        <v>0.0</v>
      </c>
      <c r="E47" s="13" t="s">
        <v>412</v>
      </c>
      <c r="F47" s="15" t="s">
        <v>413</v>
      </c>
      <c r="G47" s="16" t="s">
        <v>414</v>
      </c>
      <c r="H47" s="13"/>
      <c r="I47" s="13">
        <v>1.1</v>
      </c>
      <c r="J47" s="13" t="s">
        <v>374</v>
      </c>
      <c r="K47" s="13">
        <f t="shared" si="3"/>
        <v>0</v>
      </c>
      <c r="L47" s="13">
        <f t="shared" si="4"/>
        <v>2</v>
      </c>
      <c r="M47" s="13">
        <f t="shared" ref="M47:AA47" si="93">IFERROR(VALUE(RIGHT(LEFT($J47,FIND(M$1,$J47,1)+LEN(M$1)),1)),0)</f>
        <v>0</v>
      </c>
      <c r="N47" s="13">
        <f t="shared" si="93"/>
        <v>0</v>
      </c>
      <c r="O47" s="13">
        <f t="shared" si="93"/>
        <v>0</v>
      </c>
      <c r="P47" s="13">
        <f t="shared" si="93"/>
        <v>0</v>
      </c>
      <c r="Q47" s="13">
        <f t="shared" si="93"/>
        <v>0</v>
      </c>
      <c r="R47" s="13">
        <f t="shared" si="93"/>
        <v>0</v>
      </c>
      <c r="S47" s="13">
        <f t="shared" si="93"/>
        <v>0</v>
      </c>
      <c r="T47" s="13">
        <f t="shared" si="93"/>
        <v>0</v>
      </c>
      <c r="U47" s="13">
        <f t="shared" si="93"/>
        <v>0</v>
      </c>
      <c r="V47" s="13">
        <f t="shared" si="93"/>
        <v>0</v>
      </c>
      <c r="W47" s="13">
        <f t="shared" si="93"/>
        <v>0</v>
      </c>
      <c r="X47" s="13">
        <f t="shared" si="93"/>
        <v>0</v>
      </c>
      <c r="Y47" s="13">
        <f t="shared" si="93"/>
        <v>0</v>
      </c>
      <c r="Z47" s="13">
        <f t="shared" si="93"/>
        <v>0</v>
      </c>
      <c r="AA47" s="13">
        <f t="shared" si="93"/>
        <v>0</v>
      </c>
      <c r="AB47" s="13">
        <f t="shared" ref="AB47:AP47" si="94">IFERROR(VALUE(RIGHT(LEFT($J47,FIND(AB$1,$J47,IF(M47=0,1,FIND(AB$1,$J47,1)+1))+LEN(AB$1)),1)),0)</f>
        <v>0</v>
      </c>
      <c r="AC47" s="13">
        <f t="shared" si="94"/>
        <v>1</v>
      </c>
      <c r="AD47" s="13">
        <f t="shared" si="94"/>
        <v>0</v>
      </c>
      <c r="AE47" s="13">
        <f t="shared" si="94"/>
        <v>0</v>
      </c>
      <c r="AF47" s="13">
        <f t="shared" si="94"/>
        <v>0</v>
      </c>
      <c r="AG47" s="13">
        <f t="shared" si="94"/>
        <v>0</v>
      </c>
      <c r="AH47" s="13">
        <f t="shared" si="94"/>
        <v>0</v>
      </c>
      <c r="AI47" s="13">
        <f t="shared" si="94"/>
        <v>1</v>
      </c>
      <c r="AJ47" s="13">
        <f t="shared" si="94"/>
        <v>0</v>
      </c>
      <c r="AK47" s="13">
        <f t="shared" si="94"/>
        <v>0</v>
      </c>
      <c r="AL47" s="13">
        <f t="shared" si="94"/>
        <v>0</v>
      </c>
      <c r="AM47" s="13">
        <f t="shared" si="94"/>
        <v>0</v>
      </c>
      <c r="AN47" s="13">
        <f t="shared" si="94"/>
        <v>0</v>
      </c>
      <c r="AO47" s="13">
        <f t="shared" si="94"/>
        <v>0</v>
      </c>
      <c r="AP47" s="13">
        <f t="shared" si="94"/>
        <v>0</v>
      </c>
      <c r="AQ47" s="13" t="s">
        <v>415</v>
      </c>
      <c r="AR47" s="13"/>
      <c r="AS47" s="13" t="s">
        <v>416</v>
      </c>
      <c r="AT47" s="13"/>
      <c r="AU47" s="13"/>
      <c r="AV47" s="13"/>
      <c r="AW47" s="13">
        <v>0.0</v>
      </c>
      <c r="AX47" s="13">
        <v>-1.0</v>
      </c>
      <c r="AY47" s="13">
        <v>0.0</v>
      </c>
      <c r="AZ47" s="13"/>
      <c r="BA47" s="13"/>
      <c r="BB47" s="13"/>
      <c r="BC47" s="13"/>
      <c r="BD47" s="13"/>
      <c r="BE47" s="13"/>
      <c r="BF47" s="13"/>
      <c r="BG47" s="13"/>
      <c r="BH47" s="13" t="s">
        <v>79</v>
      </c>
      <c r="BI47" s="13" t="b">
        <v>0</v>
      </c>
      <c r="BJ47" s="13">
        <v>0.0</v>
      </c>
      <c r="BK47" s="13">
        <v>0.0</v>
      </c>
    </row>
    <row r="48" ht="14.25" customHeight="1">
      <c r="A48" s="13">
        <v>46.0</v>
      </c>
      <c r="B48" s="13" t="s">
        <v>45</v>
      </c>
      <c r="C48" s="13">
        <v>1.0</v>
      </c>
      <c r="D48" s="14">
        <v>0.0</v>
      </c>
      <c r="E48" s="13" t="s">
        <v>417</v>
      </c>
      <c r="F48" s="15" t="s">
        <v>418</v>
      </c>
      <c r="G48" s="16" t="s">
        <v>419</v>
      </c>
      <c r="H48" s="13"/>
      <c r="I48" s="13">
        <v>1.2</v>
      </c>
      <c r="J48" s="13" t="s">
        <v>389</v>
      </c>
      <c r="K48" s="13">
        <f t="shared" si="3"/>
        <v>0</v>
      </c>
      <c r="L48" s="13">
        <f t="shared" si="4"/>
        <v>2</v>
      </c>
      <c r="M48" s="13">
        <f t="shared" ref="M48:AA48" si="95">IFERROR(VALUE(RIGHT(LEFT($J48,FIND(M$1,$J48,1)+LEN(M$1)),1)),0)</f>
        <v>0</v>
      </c>
      <c r="N48" s="13">
        <f t="shared" si="95"/>
        <v>0</v>
      </c>
      <c r="O48" s="13">
        <f t="shared" si="95"/>
        <v>0</v>
      </c>
      <c r="P48" s="13">
        <f t="shared" si="95"/>
        <v>0</v>
      </c>
      <c r="Q48" s="13">
        <f t="shared" si="95"/>
        <v>0</v>
      </c>
      <c r="R48" s="13">
        <f t="shared" si="95"/>
        <v>0</v>
      </c>
      <c r="S48" s="13">
        <f t="shared" si="95"/>
        <v>0</v>
      </c>
      <c r="T48" s="13">
        <f t="shared" si="95"/>
        <v>0</v>
      </c>
      <c r="U48" s="13">
        <f t="shared" si="95"/>
        <v>0</v>
      </c>
      <c r="V48" s="13">
        <f t="shared" si="95"/>
        <v>0</v>
      </c>
      <c r="W48" s="13">
        <f t="shared" si="95"/>
        <v>0</v>
      </c>
      <c r="X48" s="13">
        <f t="shared" si="95"/>
        <v>0</v>
      </c>
      <c r="Y48" s="13">
        <f t="shared" si="95"/>
        <v>0</v>
      </c>
      <c r="Z48" s="13">
        <f t="shared" si="95"/>
        <v>0</v>
      </c>
      <c r="AA48" s="13">
        <f t="shared" si="95"/>
        <v>0</v>
      </c>
      <c r="AB48" s="13">
        <f t="shared" ref="AB48:AP48" si="96">IFERROR(VALUE(RIGHT(LEFT($J48,FIND(AB$1,$J48,IF(M48=0,1,FIND(AB$1,$J48,1)+1))+LEN(AB$1)),1)),0)</f>
        <v>1</v>
      </c>
      <c r="AC48" s="13">
        <f t="shared" si="96"/>
        <v>0</v>
      </c>
      <c r="AD48" s="13">
        <f t="shared" si="96"/>
        <v>0</v>
      </c>
      <c r="AE48" s="13">
        <f t="shared" si="96"/>
        <v>0</v>
      </c>
      <c r="AF48" s="13">
        <f t="shared" si="96"/>
        <v>0</v>
      </c>
      <c r="AG48" s="13">
        <f t="shared" si="96"/>
        <v>0</v>
      </c>
      <c r="AH48" s="13">
        <f t="shared" si="96"/>
        <v>0</v>
      </c>
      <c r="AI48" s="13">
        <f t="shared" si="96"/>
        <v>1</v>
      </c>
      <c r="AJ48" s="13">
        <f t="shared" si="96"/>
        <v>0</v>
      </c>
      <c r="AK48" s="13">
        <f t="shared" si="96"/>
        <v>0</v>
      </c>
      <c r="AL48" s="13">
        <f t="shared" si="96"/>
        <v>0</v>
      </c>
      <c r="AM48" s="13">
        <f t="shared" si="96"/>
        <v>0</v>
      </c>
      <c r="AN48" s="13">
        <f t="shared" si="96"/>
        <v>0</v>
      </c>
      <c r="AO48" s="13">
        <f t="shared" si="96"/>
        <v>0</v>
      </c>
      <c r="AP48" s="13">
        <f t="shared" si="96"/>
        <v>0</v>
      </c>
      <c r="AQ48" s="13" t="s">
        <v>420</v>
      </c>
      <c r="AR48" s="13"/>
      <c r="AS48" s="13" t="s">
        <v>421</v>
      </c>
      <c r="AT48" s="13"/>
      <c r="AU48" s="13"/>
      <c r="AV48" s="13"/>
      <c r="AW48" s="13">
        <v>0.0</v>
      </c>
      <c r="AX48" s="13">
        <v>-1.0</v>
      </c>
      <c r="AY48" s="13">
        <v>0.0</v>
      </c>
      <c r="AZ48" s="13"/>
      <c r="BA48" s="13"/>
      <c r="BB48" s="13"/>
      <c r="BC48" s="13"/>
      <c r="BD48" s="13"/>
      <c r="BE48" s="13"/>
      <c r="BF48" s="13"/>
      <c r="BG48" s="13"/>
      <c r="BH48" s="13" t="s">
        <v>79</v>
      </c>
      <c r="BI48" s="13" t="b">
        <v>0</v>
      </c>
      <c r="BJ48" s="13">
        <v>0.0</v>
      </c>
      <c r="BK48" s="13">
        <v>0.0</v>
      </c>
    </row>
    <row r="49" ht="14.25" customHeight="1">
      <c r="A49" s="13">
        <v>47.0</v>
      </c>
      <c r="B49" s="13" t="s">
        <v>46</v>
      </c>
      <c r="C49" s="13">
        <v>1.0</v>
      </c>
      <c r="D49" s="14">
        <v>0.0</v>
      </c>
      <c r="E49" s="13" t="s">
        <v>422</v>
      </c>
      <c r="F49" s="15" t="s">
        <v>423</v>
      </c>
      <c r="G49" s="16" t="s">
        <v>424</v>
      </c>
      <c r="H49" s="13"/>
      <c r="I49" s="13">
        <v>1.0</v>
      </c>
      <c r="J49" s="13" t="s">
        <v>425</v>
      </c>
      <c r="K49" s="13">
        <f t="shared" si="3"/>
        <v>0</v>
      </c>
      <c r="L49" s="13">
        <f t="shared" si="4"/>
        <v>2</v>
      </c>
      <c r="M49" s="13">
        <f t="shared" ref="M49:AA49" si="97">IFERROR(VALUE(RIGHT(LEFT($J49,FIND(M$1,$J49,1)+LEN(M$1)),1)),0)</f>
        <v>0</v>
      </c>
      <c r="N49" s="13">
        <f t="shared" si="97"/>
        <v>0</v>
      </c>
      <c r="O49" s="13">
        <f t="shared" si="97"/>
        <v>0</v>
      </c>
      <c r="P49" s="13">
        <f t="shared" si="97"/>
        <v>0</v>
      </c>
      <c r="Q49" s="13">
        <f t="shared" si="97"/>
        <v>0</v>
      </c>
      <c r="R49" s="13">
        <f t="shared" si="97"/>
        <v>0</v>
      </c>
      <c r="S49" s="13">
        <f t="shared" si="97"/>
        <v>0</v>
      </c>
      <c r="T49" s="13">
        <f t="shared" si="97"/>
        <v>0</v>
      </c>
      <c r="U49" s="13">
        <f t="shared" si="97"/>
        <v>0</v>
      </c>
      <c r="V49" s="13">
        <f t="shared" si="97"/>
        <v>0</v>
      </c>
      <c r="W49" s="13">
        <f t="shared" si="97"/>
        <v>0</v>
      </c>
      <c r="X49" s="13">
        <f t="shared" si="97"/>
        <v>0</v>
      </c>
      <c r="Y49" s="13">
        <f t="shared" si="97"/>
        <v>0</v>
      </c>
      <c r="Z49" s="13">
        <f t="shared" si="97"/>
        <v>0</v>
      </c>
      <c r="AA49" s="13">
        <f t="shared" si="97"/>
        <v>0</v>
      </c>
      <c r="AB49" s="13">
        <f t="shared" ref="AB49:AP49" si="98">IFERROR(VALUE(RIGHT(LEFT($J49,FIND(AB$1,$J49,IF(M49=0,1,FIND(AB$1,$J49,1)+1))+LEN(AB$1)),1)),0)</f>
        <v>1</v>
      </c>
      <c r="AC49" s="13">
        <f t="shared" si="98"/>
        <v>0</v>
      </c>
      <c r="AD49" s="13">
        <f t="shared" si="98"/>
        <v>0</v>
      </c>
      <c r="AE49" s="13">
        <f t="shared" si="98"/>
        <v>0</v>
      </c>
      <c r="AF49" s="13">
        <f t="shared" si="98"/>
        <v>0</v>
      </c>
      <c r="AG49" s="13">
        <f t="shared" si="98"/>
        <v>0</v>
      </c>
      <c r="AH49" s="13">
        <f t="shared" si="98"/>
        <v>0</v>
      </c>
      <c r="AI49" s="13">
        <f t="shared" si="98"/>
        <v>0</v>
      </c>
      <c r="AJ49" s="13">
        <f t="shared" si="98"/>
        <v>1</v>
      </c>
      <c r="AK49" s="13">
        <f t="shared" si="98"/>
        <v>0</v>
      </c>
      <c r="AL49" s="13">
        <f t="shared" si="98"/>
        <v>0</v>
      </c>
      <c r="AM49" s="13">
        <f t="shared" si="98"/>
        <v>0</v>
      </c>
      <c r="AN49" s="13">
        <f t="shared" si="98"/>
        <v>0</v>
      </c>
      <c r="AO49" s="13">
        <f t="shared" si="98"/>
        <v>0</v>
      </c>
      <c r="AP49" s="13">
        <f t="shared" si="98"/>
        <v>0</v>
      </c>
      <c r="AQ49" s="13" t="s">
        <v>426</v>
      </c>
      <c r="AR49" s="13"/>
      <c r="AS49" s="13" t="s">
        <v>427</v>
      </c>
      <c r="AT49" s="13"/>
      <c r="AU49" s="13"/>
      <c r="AV49" s="13"/>
      <c r="AW49" s="13">
        <v>0.0</v>
      </c>
      <c r="AX49" s="13">
        <v>-1.0</v>
      </c>
      <c r="AY49" s="13">
        <v>0.0</v>
      </c>
      <c r="AZ49" s="13"/>
      <c r="BA49" s="13"/>
      <c r="BB49" s="13"/>
      <c r="BC49" s="13"/>
      <c r="BD49" s="13"/>
      <c r="BE49" s="13"/>
      <c r="BF49" s="13"/>
      <c r="BG49" s="13"/>
      <c r="BH49" s="13" t="s">
        <v>79</v>
      </c>
      <c r="BI49" s="13" t="b">
        <v>0</v>
      </c>
      <c r="BJ49" s="13">
        <v>0.0</v>
      </c>
      <c r="BK49" s="13">
        <v>0.0</v>
      </c>
    </row>
    <row r="50" ht="14.25" customHeight="1">
      <c r="A50" s="13">
        <v>48.0</v>
      </c>
      <c r="B50" s="13" t="s">
        <v>46</v>
      </c>
      <c r="C50" s="13">
        <v>1.0</v>
      </c>
      <c r="D50" s="14">
        <v>0.0</v>
      </c>
      <c r="E50" s="13" t="s">
        <v>428</v>
      </c>
      <c r="F50" s="15"/>
      <c r="G50" s="16" t="s">
        <v>429</v>
      </c>
      <c r="H50" s="13"/>
      <c r="I50" s="13">
        <v>0.9</v>
      </c>
      <c r="J50" s="13" t="s">
        <v>430</v>
      </c>
      <c r="K50" s="13">
        <f t="shared" si="3"/>
        <v>0</v>
      </c>
      <c r="L50" s="13">
        <f t="shared" si="4"/>
        <v>2</v>
      </c>
      <c r="M50" s="13">
        <f t="shared" ref="M50:AA50" si="99">IFERROR(VALUE(RIGHT(LEFT($J50,FIND(M$1,$J50,1)+LEN(M$1)),1)),0)</f>
        <v>0</v>
      </c>
      <c r="N50" s="13">
        <f t="shared" si="99"/>
        <v>0</v>
      </c>
      <c r="O50" s="13">
        <f t="shared" si="99"/>
        <v>0</v>
      </c>
      <c r="P50" s="13">
        <f t="shared" si="99"/>
        <v>0</v>
      </c>
      <c r="Q50" s="13">
        <f t="shared" si="99"/>
        <v>0</v>
      </c>
      <c r="R50" s="13">
        <f t="shared" si="99"/>
        <v>0</v>
      </c>
      <c r="S50" s="13">
        <f t="shared" si="99"/>
        <v>0</v>
      </c>
      <c r="T50" s="13">
        <f t="shared" si="99"/>
        <v>0</v>
      </c>
      <c r="U50" s="13">
        <f t="shared" si="99"/>
        <v>0</v>
      </c>
      <c r="V50" s="13">
        <f t="shared" si="99"/>
        <v>0</v>
      </c>
      <c r="W50" s="13">
        <f t="shared" si="99"/>
        <v>0</v>
      </c>
      <c r="X50" s="13">
        <f t="shared" si="99"/>
        <v>0</v>
      </c>
      <c r="Y50" s="13">
        <f t="shared" si="99"/>
        <v>0</v>
      </c>
      <c r="Z50" s="13">
        <f t="shared" si="99"/>
        <v>0</v>
      </c>
      <c r="AA50" s="13">
        <f t="shared" si="99"/>
        <v>0</v>
      </c>
      <c r="AB50" s="13">
        <f t="shared" ref="AB50:AP50" si="100">IFERROR(VALUE(RIGHT(LEFT($J50,FIND(AB$1,$J50,IF(M50=0,1,FIND(AB$1,$J50,1)+1))+LEN(AB$1)),1)),0)</f>
        <v>0</v>
      </c>
      <c r="AC50" s="13">
        <f t="shared" si="100"/>
        <v>0</v>
      </c>
      <c r="AD50" s="13">
        <f t="shared" si="100"/>
        <v>0</v>
      </c>
      <c r="AE50" s="13">
        <f t="shared" si="100"/>
        <v>0</v>
      </c>
      <c r="AF50" s="13">
        <f t="shared" si="100"/>
        <v>1</v>
      </c>
      <c r="AG50" s="13">
        <f t="shared" si="100"/>
        <v>0</v>
      </c>
      <c r="AH50" s="13">
        <f t="shared" si="100"/>
        <v>0</v>
      </c>
      <c r="AI50" s="13">
        <f t="shared" si="100"/>
        <v>0</v>
      </c>
      <c r="AJ50" s="13">
        <f t="shared" si="100"/>
        <v>1</v>
      </c>
      <c r="AK50" s="13">
        <f t="shared" si="100"/>
        <v>0</v>
      </c>
      <c r="AL50" s="13">
        <f t="shared" si="100"/>
        <v>0</v>
      </c>
      <c r="AM50" s="13">
        <f t="shared" si="100"/>
        <v>0</v>
      </c>
      <c r="AN50" s="13">
        <f t="shared" si="100"/>
        <v>0</v>
      </c>
      <c r="AO50" s="13">
        <f t="shared" si="100"/>
        <v>0</v>
      </c>
      <c r="AP50" s="13">
        <f t="shared" si="100"/>
        <v>0</v>
      </c>
      <c r="AQ50" s="13" t="s">
        <v>431</v>
      </c>
      <c r="AR50" s="13"/>
      <c r="AS50" s="13" t="s">
        <v>123</v>
      </c>
      <c r="AT50" s="13"/>
      <c r="AU50" s="13"/>
      <c r="AV50" s="13"/>
      <c r="AW50" s="13">
        <v>0.0</v>
      </c>
      <c r="AX50" s="13">
        <v>-1.0</v>
      </c>
      <c r="AY50" s="13">
        <v>0.0</v>
      </c>
      <c r="AZ50" s="13"/>
      <c r="BA50" s="13"/>
      <c r="BB50" s="13"/>
      <c r="BC50" s="13"/>
      <c r="BD50" s="13"/>
      <c r="BE50" s="13"/>
      <c r="BF50" s="13"/>
      <c r="BG50" s="13"/>
      <c r="BH50" s="13" t="s">
        <v>79</v>
      </c>
      <c r="BI50" s="13" t="b">
        <v>0</v>
      </c>
      <c r="BJ50" s="13">
        <v>0.0</v>
      </c>
      <c r="BK50" s="13">
        <v>0.0</v>
      </c>
    </row>
    <row r="51" ht="14.25" customHeight="1">
      <c r="A51" s="13">
        <v>49.0</v>
      </c>
      <c r="B51" s="13" t="s">
        <v>46</v>
      </c>
      <c r="C51" s="13">
        <v>1.0</v>
      </c>
      <c r="D51" s="14">
        <v>0.0</v>
      </c>
      <c r="E51" s="13" t="s">
        <v>432</v>
      </c>
      <c r="F51" s="15" t="s">
        <v>433</v>
      </c>
      <c r="G51" s="16" t="s">
        <v>434</v>
      </c>
      <c r="H51" s="13"/>
      <c r="I51" s="13">
        <v>1.1</v>
      </c>
      <c r="J51" s="13" t="s">
        <v>435</v>
      </c>
      <c r="K51" s="13">
        <f t="shared" si="3"/>
        <v>0</v>
      </c>
      <c r="L51" s="13">
        <f t="shared" si="4"/>
        <v>2</v>
      </c>
      <c r="M51" s="13">
        <f t="shared" ref="M51:AA51" si="101">IFERROR(VALUE(RIGHT(LEFT($J51,FIND(M$1,$J51,1)+LEN(M$1)),1)),0)</f>
        <v>0</v>
      </c>
      <c r="N51" s="13">
        <f t="shared" si="101"/>
        <v>0</v>
      </c>
      <c r="O51" s="13">
        <f t="shared" si="101"/>
        <v>0</v>
      </c>
      <c r="P51" s="13">
        <f t="shared" si="101"/>
        <v>0</v>
      </c>
      <c r="Q51" s="13">
        <f t="shared" si="101"/>
        <v>0</v>
      </c>
      <c r="R51" s="13">
        <f t="shared" si="101"/>
        <v>0</v>
      </c>
      <c r="S51" s="13">
        <f t="shared" si="101"/>
        <v>0</v>
      </c>
      <c r="T51" s="13">
        <f t="shared" si="101"/>
        <v>0</v>
      </c>
      <c r="U51" s="13">
        <f t="shared" si="101"/>
        <v>0</v>
      </c>
      <c r="V51" s="13">
        <f t="shared" si="101"/>
        <v>0</v>
      </c>
      <c r="W51" s="13">
        <f t="shared" si="101"/>
        <v>0</v>
      </c>
      <c r="X51" s="13">
        <f t="shared" si="101"/>
        <v>0</v>
      </c>
      <c r="Y51" s="13">
        <f t="shared" si="101"/>
        <v>0</v>
      </c>
      <c r="Z51" s="13">
        <f t="shared" si="101"/>
        <v>0</v>
      </c>
      <c r="AA51" s="13">
        <f t="shared" si="101"/>
        <v>0</v>
      </c>
      <c r="AB51" s="13">
        <f t="shared" ref="AB51:AP51" si="102">IFERROR(VALUE(RIGHT(LEFT($J51,FIND(AB$1,$J51,IF(M51=0,1,FIND(AB$1,$J51,1)+1))+LEN(AB$1)),1)),0)</f>
        <v>1</v>
      </c>
      <c r="AC51" s="13">
        <f t="shared" si="102"/>
        <v>0</v>
      </c>
      <c r="AD51" s="13">
        <f t="shared" si="102"/>
        <v>0</v>
      </c>
      <c r="AE51" s="13">
        <f t="shared" si="102"/>
        <v>0</v>
      </c>
      <c r="AF51" s="13">
        <f t="shared" si="102"/>
        <v>1</v>
      </c>
      <c r="AG51" s="13">
        <f t="shared" si="102"/>
        <v>0</v>
      </c>
      <c r="AH51" s="13">
        <f t="shared" si="102"/>
        <v>0</v>
      </c>
      <c r="AI51" s="13">
        <f t="shared" si="102"/>
        <v>0</v>
      </c>
      <c r="AJ51" s="13">
        <f t="shared" si="102"/>
        <v>0</v>
      </c>
      <c r="AK51" s="13">
        <f t="shared" si="102"/>
        <v>0</v>
      </c>
      <c r="AL51" s="13">
        <f t="shared" si="102"/>
        <v>0</v>
      </c>
      <c r="AM51" s="13">
        <f t="shared" si="102"/>
        <v>0</v>
      </c>
      <c r="AN51" s="13">
        <f t="shared" si="102"/>
        <v>0</v>
      </c>
      <c r="AO51" s="13">
        <f t="shared" si="102"/>
        <v>0</v>
      </c>
      <c r="AP51" s="13">
        <f t="shared" si="102"/>
        <v>0</v>
      </c>
      <c r="AQ51" s="13" t="s">
        <v>436</v>
      </c>
      <c r="AR51" s="13"/>
      <c r="AS51" s="13" t="s">
        <v>437</v>
      </c>
      <c r="AT51" s="13"/>
      <c r="AU51" s="13"/>
      <c r="AV51" s="13"/>
      <c r="AW51" s="13">
        <v>0.0</v>
      </c>
      <c r="AX51" s="13">
        <v>-1.0</v>
      </c>
      <c r="AY51" s="13">
        <v>0.0</v>
      </c>
      <c r="AZ51" s="13"/>
      <c r="BA51" s="13"/>
      <c r="BB51" s="13"/>
      <c r="BC51" s="13"/>
      <c r="BD51" s="13"/>
      <c r="BE51" s="13"/>
      <c r="BF51" s="13"/>
      <c r="BG51" s="13"/>
      <c r="BH51" s="13" t="s">
        <v>79</v>
      </c>
      <c r="BI51" s="13" t="b">
        <v>0</v>
      </c>
      <c r="BJ51" s="13">
        <v>0.0</v>
      </c>
      <c r="BK51" s="13">
        <v>0.0</v>
      </c>
    </row>
    <row r="52" ht="14.25" customHeight="1">
      <c r="A52" s="13">
        <v>50.0</v>
      </c>
      <c r="B52" s="13" t="s">
        <v>46</v>
      </c>
      <c r="C52" s="13">
        <v>1.0</v>
      </c>
      <c r="D52" s="14">
        <v>0.0</v>
      </c>
      <c r="E52" s="13" t="s">
        <v>438</v>
      </c>
      <c r="F52" s="15" t="s">
        <v>439</v>
      </c>
      <c r="G52" s="16" t="s">
        <v>440</v>
      </c>
      <c r="H52" s="13"/>
      <c r="I52" s="13">
        <v>1.0</v>
      </c>
      <c r="J52" s="13" t="s">
        <v>425</v>
      </c>
      <c r="K52" s="13">
        <f t="shared" si="3"/>
        <v>0</v>
      </c>
      <c r="L52" s="13">
        <f t="shared" si="4"/>
        <v>2</v>
      </c>
      <c r="M52" s="13">
        <f t="shared" ref="M52:AA52" si="103">IFERROR(VALUE(RIGHT(LEFT($J52,FIND(M$1,$J52,1)+LEN(M$1)),1)),0)</f>
        <v>0</v>
      </c>
      <c r="N52" s="13">
        <f t="shared" si="103"/>
        <v>0</v>
      </c>
      <c r="O52" s="13">
        <f t="shared" si="103"/>
        <v>0</v>
      </c>
      <c r="P52" s="13">
        <f t="shared" si="103"/>
        <v>0</v>
      </c>
      <c r="Q52" s="13">
        <f t="shared" si="103"/>
        <v>0</v>
      </c>
      <c r="R52" s="13">
        <f t="shared" si="103"/>
        <v>0</v>
      </c>
      <c r="S52" s="13">
        <f t="shared" si="103"/>
        <v>0</v>
      </c>
      <c r="T52" s="13">
        <f t="shared" si="103"/>
        <v>0</v>
      </c>
      <c r="U52" s="13">
        <f t="shared" si="103"/>
        <v>0</v>
      </c>
      <c r="V52" s="13">
        <f t="shared" si="103"/>
        <v>0</v>
      </c>
      <c r="W52" s="13">
        <f t="shared" si="103"/>
        <v>0</v>
      </c>
      <c r="X52" s="13">
        <f t="shared" si="103"/>
        <v>0</v>
      </c>
      <c r="Y52" s="13">
        <f t="shared" si="103"/>
        <v>0</v>
      </c>
      <c r="Z52" s="13">
        <f t="shared" si="103"/>
        <v>0</v>
      </c>
      <c r="AA52" s="13">
        <f t="shared" si="103"/>
        <v>0</v>
      </c>
      <c r="AB52" s="13">
        <f t="shared" ref="AB52:AP52" si="104">IFERROR(VALUE(RIGHT(LEFT($J52,FIND(AB$1,$J52,IF(M52=0,1,FIND(AB$1,$J52,1)+1))+LEN(AB$1)),1)),0)</f>
        <v>1</v>
      </c>
      <c r="AC52" s="13">
        <f t="shared" si="104"/>
        <v>0</v>
      </c>
      <c r="AD52" s="13">
        <f t="shared" si="104"/>
        <v>0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  <c r="AJ52" s="13">
        <f t="shared" si="104"/>
        <v>1</v>
      </c>
      <c r="AK52" s="13">
        <f t="shared" si="104"/>
        <v>0</v>
      </c>
      <c r="AL52" s="13">
        <f t="shared" si="104"/>
        <v>0</v>
      </c>
      <c r="AM52" s="13">
        <f t="shared" si="104"/>
        <v>0</v>
      </c>
      <c r="AN52" s="13">
        <f t="shared" si="104"/>
        <v>0</v>
      </c>
      <c r="AO52" s="13">
        <f t="shared" si="104"/>
        <v>0</v>
      </c>
      <c r="AP52" s="13">
        <f t="shared" si="104"/>
        <v>0</v>
      </c>
      <c r="AQ52" s="13" t="s">
        <v>441</v>
      </c>
      <c r="AR52" s="13"/>
      <c r="AS52" s="13" t="s">
        <v>442</v>
      </c>
      <c r="AT52" s="13"/>
      <c r="AU52" s="13"/>
      <c r="AV52" s="13"/>
      <c r="AW52" s="13">
        <v>0.0</v>
      </c>
      <c r="AX52" s="13">
        <v>-1.0</v>
      </c>
      <c r="AY52" s="13">
        <v>0.0</v>
      </c>
      <c r="AZ52" s="13"/>
      <c r="BA52" s="13"/>
      <c r="BB52" s="13"/>
      <c r="BC52" s="13"/>
      <c r="BD52" s="13"/>
      <c r="BE52" s="13"/>
      <c r="BF52" s="13"/>
      <c r="BG52" s="13"/>
      <c r="BH52" s="13" t="s">
        <v>79</v>
      </c>
      <c r="BI52" s="13" t="b">
        <v>0</v>
      </c>
      <c r="BJ52" s="13">
        <v>0.0</v>
      </c>
      <c r="BK52" s="13">
        <v>0.0</v>
      </c>
    </row>
    <row r="53" ht="14.25" customHeight="1">
      <c r="A53" s="13">
        <v>51.0</v>
      </c>
      <c r="B53" s="13" t="s">
        <v>46</v>
      </c>
      <c r="C53" s="13">
        <v>1.0</v>
      </c>
      <c r="D53" s="14">
        <v>0.0</v>
      </c>
      <c r="E53" s="13" t="s">
        <v>443</v>
      </c>
      <c r="F53" s="15" t="s">
        <v>444</v>
      </c>
      <c r="G53" s="16" t="s">
        <v>445</v>
      </c>
      <c r="H53" s="13"/>
      <c r="I53" s="13">
        <v>0.9</v>
      </c>
      <c r="J53" s="13" t="s">
        <v>446</v>
      </c>
      <c r="K53" s="13">
        <f t="shared" si="3"/>
        <v>0</v>
      </c>
      <c r="L53" s="13">
        <f t="shared" si="4"/>
        <v>2</v>
      </c>
      <c r="M53" s="13">
        <f t="shared" ref="M53:AA53" si="105">IFERROR(VALUE(RIGHT(LEFT($J53,FIND(M$1,$J53,1)+LEN(M$1)),1)),0)</f>
        <v>0</v>
      </c>
      <c r="N53" s="13">
        <f t="shared" si="105"/>
        <v>0</v>
      </c>
      <c r="O53" s="13">
        <f t="shared" si="105"/>
        <v>0</v>
      </c>
      <c r="P53" s="13">
        <f t="shared" si="105"/>
        <v>0</v>
      </c>
      <c r="Q53" s="13">
        <f t="shared" si="105"/>
        <v>0</v>
      </c>
      <c r="R53" s="13">
        <f t="shared" si="105"/>
        <v>0</v>
      </c>
      <c r="S53" s="13">
        <f t="shared" si="105"/>
        <v>0</v>
      </c>
      <c r="T53" s="13">
        <f t="shared" si="105"/>
        <v>0</v>
      </c>
      <c r="U53" s="13">
        <f t="shared" si="105"/>
        <v>0</v>
      </c>
      <c r="V53" s="13">
        <f t="shared" si="105"/>
        <v>0</v>
      </c>
      <c r="W53" s="13">
        <f t="shared" si="105"/>
        <v>0</v>
      </c>
      <c r="X53" s="13">
        <f t="shared" si="105"/>
        <v>0</v>
      </c>
      <c r="Y53" s="13">
        <f t="shared" si="105"/>
        <v>0</v>
      </c>
      <c r="Z53" s="13">
        <f t="shared" si="105"/>
        <v>0</v>
      </c>
      <c r="AA53" s="13">
        <f t="shared" si="105"/>
        <v>0</v>
      </c>
      <c r="AB53" s="13">
        <f t="shared" ref="AB53:AP53" si="106">IFERROR(VALUE(RIGHT(LEFT($J53,FIND(AB$1,$J53,IF(M53=0,1,FIND(AB$1,$J53,1)+1))+LEN(AB$1)),1)),0)</f>
        <v>0</v>
      </c>
      <c r="AC53" s="13">
        <f t="shared" si="106"/>
        <v>0</v>
      </c>
      <c r="AD53" s="13">
        <f t="shared" si="106"/>
        <v>0</v>
      </c>
      <c r="AE53" s="13">
        <f t="shared" si="106"/>
        <v>0</v>
      </c>
      <c r="AF53" s="13">
        <f t="shared" si="106"/>
        <v>0</v>
      </c>
      <c r="AG53" s="13">
        <f t="shared" si="106"/>
        <v>0</v>
      </c>
      <c r="AH53" s="13">
        <f t="shared" si="106"/>
        <v>0</v>
      </c>
      <c r="AI53" s="13">
        <f t="shared" si="106"/>
        <v>1</v>
      </c>
      <c r="AJ53" s="13">
        <f t="shared" si="106"/>
        <v>1</v>
      </c>
      <c r="AK53" s="13">
        <f t="shared" si="106"/>
        <v>0</v>
      </c>
      <c r="AL53" s="13">
        <f t="shared" si="106"/>
        <v>0</v>
      </c>
      <c r="AM53" s="13">
        <f t="shared" si="106"/>
        <v>0</v>
      </c>
      <c r="AN53" s="13">
        <f t="shared" si="106"/>
        <v>0</v>
      </c>
      <c r="AO53" s="13">
        <f t="shared" si="106"/>
        <v>0</v>
      </c>
      <c r="AP53" s="13">
        <f t="shared" si="106"/>
        <v>0</v>
      </c>
      <c r="AQ53" s="13" t="s">
        <v>447</v>
      </c>
      <c r="AR53" s="13"/>
      <c r="AS53" s="13" t="s">
        <v>448</v>
      </c>
      <c r="AT53" s="13"/>
      <c r="AU53" s="13"/>
      <c r="AV53" s="13"/>
      <c r="AW53" s="13">
        <v>0.0</v>
      </c>
      <c r="AX53" s="13">
        <v>-1.0</v>
      </c>
      <c r="AY53" s="13">
        <v>0.0</v>
      </c>
      <c r="AZ53" s="13"/>
      <c r="BA53" s="13"/>
      <c r="BB53" s="13"/>
      <c r="BC53" s="13"/>
      <c r="BD53" s="13"/>
      <c r="BE53" s="13"/>
      <c r="BF53" s="13"/>
      <c r="BG53" s="13"/>
      <c r="BH53" s="13" t="s">
        <v>79</v>
      </c>
      <c r="BI53" s="13" t="b">
        <v>0</v>
      </c>
      <c r="BJ53" s="13">
        <v>0.0</v>
      </c>
      <c r="BK53" s="13">
        <v>0.0</v>
      </c>
    </row>
    <row r="54" ht="14.25" customHeight="1">
      <c r="A54" s="13">
        <v>52.0</v>
      </c>
      <c r="B54" s="13" t="s">
        <v>46</v>
      </c>
      <c r="C54" s="13">
        <v>1.0</v>
      </c>
      <c r="D54" s="14">
        <v>0.0</v>
      </c>
      <c r="E54" s="13" t="s">
        <v>449</v>
      </c>
      <c r="F54" s="15" t="s">
        <v>340</v>
      </c>
      <c r="G54" s="16" t="s">
        <v>450</v>
      </c>
      <c r="H54" s="13"/>
      <c r="I54" s="13">
        <v>1.1</v>
      </c>
      <c r="J54" s="13" t="s">
        <v>451</v>
      </c>
      <c r="K54" s="13">
        <f t="shared" si="3"/>
        <v>0</v>
      </c>
      <c r="L54" s="13">
        <f t="shared" si="4"/>
        <v>2</v>
      </c>
      <c r="M54" s="13">
        <f t="shared" ref="M54:AA54" si="107">IFERROR(VALUE(RIGHT(LEFT($J54,FIND(M$1,$J54,1)+LEN(M$1)),1)),0)</f>
        <v>0</v>
      </c>
      <c r="N54" s="13">
        <f t="shared" si="107"/>
        <v>0</v>
      </c>
      <c r="O54" s="13">
        <f t="shared" si="107"/>
        <v>0</v>
      </c>
      <c r="P54" s="13">
        <f t="shared" si="107"/>
        <v>0</v>
      </c>
      <c r="Q54" s="13">
        <f t="shared" si="107"/>
        <v>0</v>
      </c>
      <c r="R54" s="13">
        <f t="shared" si="107"/>
        <v>0</v>
      </c>
      <c r="S54" s="13">
        <f t="shared" si="107"/>
        <v>0</v>
      </c>
      <c r="T54" s="13">
        <f t="shared" si="107"/>
        <v>0</v>
      </c>
      <c r="U54" s="13">
        <f t="shared" si="107"/>
        <v>0</v>
      </c>
      <c r="V54" s="13">
        <f t="shared" si="107"/>
        <v>0</v>
      </c>
      <c r="W54" s="13">
        <f t="shared" si="107"/>
        <v>0</v>
      </c>
      <c r="X54" s="13">
        <f t="shared" si="107"/>
        <v>0</v>
      </c>
      <c r="Y54" s="13">
        <f t="shared" si="107"/>
        <v>0</v>
      </c>
      <c r="Z54" s="13">
        <f t="shared" si="107"/>
        <v>0</v>
      </c>
      <c r="AA54" s="13">
        <f t="shared" si="107"/>
        <v>0</v>
      </c>
      <c r="AB54" s="13">
        <f t="shared" ref="AB54:AP54" si="108">IFERROR(VALUE(RIGHT(LEFT($J54,FIND(AB$1,$J54,IF(M54=0,1,FIND(AB$1,$J54,1)+1))+LEN(AB$1)),1)),0)</f>
        <v>0</v>
      </c>
      <c r="AC54" s="13">
        <f t="shared" si="108"/>
        <v>1</v>
      </c>
      <c r="AD54" s="13">
        <f t="shared" si="108"/>
        <v>0</v>
      </c>
      <c r="AE54" s="13">
        <f t="shared" si="108"/>
        <v>0</v>
      </c>
      <c r="AF54" s="13">
        <f t="shared" si="108"/>
        <v>0</v>
      </c>
      <c r="AG54" s="13">
        <f t="shared" si="108"/>
        <v>0</v>
      </c>
      <c r="AH54" s="13">
        <f t="shared" si="108"/>
        <v>0</v>
      </c>
      <c r="AI54" s="13">
        <f t="shared" si="108"/>
        <v>0</v>
      </c>
      <c r="AJ54" s="13">
        <f t="shared" si="108"/>
        <v>1</v>
      </c>
      <c r="AK54" s="13">
        <f t="shared" si="108"/>
        <v>0</v>
      </c>
      <c r="AL54" s="13">
        <f t="shared" si="108"/>
        <v>0</v>
      </c>
      <c r="AM54" s="13">
        <f t="shared" si="108"/>
        <v>0</v>
      </c>
      <c r="AN54" s="13">
        <f t="shared" si="108"/>
        <v>0</v>
      </c>
      <c r="AO54" s="13">
        <f t="shared" si="108"/>
        <v>0</v>
      </c>
      <c r="AP54" s="13">
        <f t="shared" si="108"/>
        <v>0</v>
      </c>
      <c r="AQ54" s="13" t="s">
        <v>452</v>
      </c>
      <c r="AR54" s="13"/>
      <c r="AS54" s="13" t="s">
        <v>453</v>
      </c>
      <c r="AT54" s="13"/>
      <c r="AU54" s="13"/>
      <c r="AV54" s="13"/>
      <c r="AW54" s="13">
        <v>0.0</v>
      </c>
      <c r="AX54" s="13">
        <v>-1.0</v>
      </c>
      <c r="AY54" s="13">
        <v>0.0</v>
      </c>
      <c r="AZ54" s="13"/>
      <c r="BA54" s="13"/>
      <c r="BB54" s="13"/>
      <c r="BC54" s="13"/>
      <c r="BD54" s="13"/>
      <c r="BE54" s="13"/>
      <c r="BF54" s="13"/>
      <c r="BG54" s="13"/>
      <c r="BH54" s="13" t="s">
        <v>79</v>
      </c>
      <c r="BI54" s="13" t="b">
        <v>0</v>
      </c>
      <c r="BJ54" s="13">
        <v>0.0</v>
      </c>
      <c r="BK54" s="13">
        <v>0.0</v>
      </c>
    </row>
    <row r="55" ht="14.25" customHeight="1">
      <c r="A55" s="13">
        <v>53.0</v>
      </c>
      <c r="B55" s="13" t="s">
        <v>46</v>
      </c>
      <c r="C55" s="13">
        <v>1.0</v>
      </c>
      <c r="D55" s="14">
        <v>0.0</v>
      </c>
      <c r="E55" s="13" t="s">
        <v>454</v>
      </c>
      <c r="F55" s="15" t="s">
        <v>455</v>
      </c>
      <c r="G55" s="16" t="s">
        <v>456</v>
      </c>
      <c r="H55" s="13"/>
      <c r="I55" s="13">
        <v>1.0</v>
      </c>
      <c r="J55" s="13" t="s">
        <v>457</v>
      </c>
      <c r="K55" s="13">
        <f t="shared" si="3"/>
        <v>0</v>
      </c>
      <c r="L55" s="13">
        <f t="shared" si="4"/>
        <v>2</v>
      </c>
      <c r="M55" s="13">
        <f t="shared" ref="M55:AA55" si="109">IFERROR(VALUE(RIGHT(LEFT($J55,FIND(M$1,$J55,1)+LEN(M$1)),1)),0)</f>
        <v>0</v>
      </c>
      <c r="N55" s="13">
        <f t="shared" si="109"/>
        <v>0</v>
      </c>
      <c r="O55" s="13">
        <f t="shared" si="109"/>
        <v>0</v>
      </c>
      <c r="P55" s="13">
        <f t="shared" si="109"/>
        <v>0</v>
      </c>
      <c r="Q55" s="13">
        <f t="shared" si="109"/>
        <v>0</v>
      </c>
      <c r="R55" s="13">
        <f t="shared" si="109"/>
        <v>0</v>
      </c>
      <c r="S55" s="13">
        <f t="shared" si="109"/>
        <v>0</v>
      </c>
      <c r="T55" s="13">
        <f t="shared" si="109"/>
        <v>0</v>
      </c>
      <c r="U55" s="13">
        <f t="shared" si="109"/>
        <v>0</v>
      </c>
      <c r="V55" s="13">
        <f t="shared" si="109"/>
        <v>0</v>
      </c>
      <c r="W55" s="13">
        <f t="shared" si="109"/>
        <v>0</v>
      </c>
      <c r="X55" s="13">
        <f t="shared" si="109"/>
        <v>0</v>
      </c>
      <c r="Y55" s="13">
        <f t="shared" si="109"/>
        <v>0</v>
      </c>
      <c r="Z55" s="13">
        <f t="shared" si="109"/>
        <v>0</v>
      </c>
      <c r="AA55" s="13">
        <f t="shared" si="109"/>
        <v>0</v>
      </c>
      <c r="AB55" s="13">
        <f t="shared" ref="AB55:AP55" si="110">IFERROR(VALUE(RIGHT(LEFT($J55,FIND(AB$1,$J55,IF(M55=0,1,FIND(AB$1,$J55,1)+1))+LEN(AB$1)),1)),0)</f>
        <v>0</v>
      </c>
      <c r="AC55" s="13">
        <f t="shared" si="110"/>
        <v>0</v>
      </c>
      <c r="AD55" s="13">
        <f t="shared" si="110"/>
        <v>0</v>
      </c>
      <c r="AE55" s="13">
        <f t="shared" si="110"/>
        <v>1</v>
      </c>
      <c r="AF55" s="13">
        <f t="shared" si="110"/>
        <v>0</v>
      </c>
      <c r="AG55" s="13">
        <f t="shared" si="110"/>
        <v>0</v>
      </c>
      <c r="AH55" s="13">
        <f t="shared" si="110"/>
        <v>0</v>
      </c>
      <c r="AI55" s="13">
        <f t="shared" si="110"/>
        <v>0</v>
      </c>
      <c r="AJ55" s="13">
        <f t="shared" si="110"/>
        <v>1</v>
      </c>
      <c r="AK55" s="13">
        <f t="shared" si="110"/>
        <v>0</v>
      </c>
      <c r="AL55" s="13">
        <f t="shared" si="110"/>
        <v>0</v>
      </c>
      <c r="AM55" s="13">
        <f t="shared" si="110"/>
        <v>0</v>
      </c>
      <c r="AN55" s="13">
        <f t="shared" si="110"/>
        <v>0</v>
      </c>
      <c r="AO55" s="13">
        <f t="shared" si="110"/>
        <v>0</v>
      </c>
      <c r="AP55" s="13">
        <f t="shared" si="110"/>
        <v>0</v>
      </c>
      <c r="AQ55" s="13" t="s">
        <v>458</v>
      </c>
      <c r="AR55" s="13"/>
      <c r="AS55" s="13" t="s">
        <v>459</v>
      </c>
      <c r="AT55" s="13"/>
      <c r="AU55" s="13"/>
      <c r="AV55" s="13"/>
      <c r="AW55" s="13">
        <v>0.0</v>
      </c>
      <c r="AX55" s="13">
        <v>-1.0</v>
      </c>
      <c r="AY55" s="13">
        <v>0.0</v>
      </c>
      <c r="AZ55" s="13"/>
      <c r="BA55" s="13"/>
      <c r="BB55" s="13"/>
      <c r="BC55" s="13"/>
      <c r="BD55" s="13"/>
      <c r="BE55" s="13"/>
      <c r="BF55" s="13"/>
      <c r="BG55" s="13"/>
      <c r="BH55" s="13" t="s">
        <v>79</v>
      </c>
      <c r="BI55" s="13" t="b">
        <v>0</v>
      </c>
      <c r="BJ55" s="13">
        <v>0.0</v>
      </c>
      <c r="BK55" s="13">
        <v>0.0</v>
      </c>
    </row>
    <row r="56" ht="14.25" customHeight="1">
      <c r="A56" s="13">
        <v>54.0</v>
      </c>
      <c r="B56" s="13" t="s">
        <v>46</v>
      </c>
      <c r="C56" s="13">
        <v>1.0</v>
      </c>
      <c r="D56" s="14">
        <v>0.0</v>
      </c>
      <c r="E56" s="13" t="s">
        <v>460</v>
      </c>
      <c r="F56" s="15"/>
      <c r="G56" s="16" t="s">
        <v>461</v>
      </c>
      <c r="H56" s="13"/>
      <c r="I56" s="13">
        <v>0.9</v>
      </c>
      <c r="J56" s="13" t="s">
        <v>358</v>
      </c>
      <c r="K56" s="13">
        <f t="shared" si="3"/>
        <v>0</v>
      </c>
      <c r="L56" s="13">
        <f t="shared" si="4"/>
        <v>2</v>
      </c>
      <c r="M56" s="13">
        <f t="shared" ref="M56:AA56" si="111">IFERROR(VALUE(RIGHT(LEFT($J56,FIND(M$1,$J56,1)+LEN(M$1)),1)),0)</f>
        <v>0</v>
      </c>
      <c r="N56" s="13">
        <f t="shared" si="111"/>
        <v>0</v>
      </c>
      <c r="O56" s="13">
        <f t="shared" si="111"/>
        <v>0</v>
      </c>
      <c r="P56" s="13">
        <f t="shared" si="111"/>
        <v>0</v>
      </c>
      <c r="Q56" s="13">
        <f t="shared" si="111"/>
        <v>0</v>
      </c>
      <c r="R56" s="13">
        <f t="shared" si="111"/>
        <v>0</v>
      </c>
      <c r="S56" s="13">
        <f t="shared" si="111"/>
        <v>0</v>
      </c>
      <c r="T56" s="13">
        <f t="shared" si="111"/>
        <v>0</v>
      </c>
      <c r="U56" s="13">
        <f t="shared" si="111"/>
        <v>0</v>
      </c>
      <c r="V56" s="13">
        <f t="shared" si="111"/>
        <v>0</v>
      </c>
      <c r="W56" s="13">
        <f t="shared" si="111"/>
        <v>0</v>
      </c>
      <c r="X56" s="13">
        <f t="shared" si="111"/>
        <v>0</v>
      </c>
      <c r="Y56" s="13">
        <f t="shared" si="111"/>
        <v>0</v>
      </c>
      <c r="Z56" s="13">
        <f t="shared" si="111"/>
        <v>0</v>
      </c>
      <c r="AA56" s="13">
        <f t="shared" si="111"/>
        <v>0</v>
      </c>
      <c r="AB56" s="13">
        <f t="shared" ref="AB56:AP56" si="112">IFERROR(VALUE(RIGHT(LEFT($J56,FIND(AB$1,$J56,IF(M56=0,1,FIND(AB$1,$J56,1)+1))+LEN(AB$1)),1)),0)</f>
        <v>0</v>
      </c>
      <c r="AC56" s="13">
        <f t="shared" si="112"/>
        <v>1</v>
      </c>
      <c r="AD56" s="13">
        <f t="shared" si="112"/>
        <v>1</v>
      </c>
      <c r="AE56" s="13">
        <f t="shared" si="112"/>
        <v>0</v>
      </c>
      <c r="AF56" s="13">
        <f t="shared" si="112"/>
        <v>0</v>
      </c>
      <c r="AG56" s="13">
        <f t="shared" si="112"/>
        <v>0</v>
      </c>
      <c r="AH56" s="13">
        <f t="shared" si="112"/>
        <v>0</v>
      </c>
      <c r="AI56" s="13">
        <f t="shared" si="112"/>
        <v>0</v>
      </c>
      <c r="AJ56" s="13">
        <f t="shared" si="112"/>
        <v>0</v>
      </c>
      <c r="AK56" s="13">
        <f t="shared" si="112"/>
        <v>0</v>
      </c>
      <c r="AL56" s="13">
        <f t="shared" si="112"/>
        <v>0</v>
      </c>
      <c r="AM56" s="13">
        <f t="shared" si="112"/>
        <v>0</v>
      </c>
      <c r="AN56" s="13">
        <f t="shared" si="112"/>
        <v>0</v>
      </c>
      <c r="AO56" s="13">
        <f t="shared" si="112"/>
        <v>0</v>
      </c>
      <c r="AP56" s="13">
        <f t="shared" si="112"/>
        <v>0</v>
      </c>
      <c r="AQ56" s="13" t="s">
        <v>462</v>
      </c>
      <c r="AR56" s="13"/>
      <c r="AS56" s="13" t="s">
        <v>463</v>
      </c>
      <c r="AT56" s="13"/>
      <c r="AU56" s="13"/>
      <c r="AV56" s="13"/>
      <c r="AW56" s="13">
        <v>0.0</v>
      </c>
      <c r="AX56" s="13">
        <v>-1.0</v>
      </c>
      <c r="AY56" s="13">
        <v>0.0</v>
      </c>
      <c r="AZ56" s="13"/>
      <c r="BA56" s="13"/>
      <c r="BB56" s="13"/>
      <c r="BC56" s="13"/>
      <c r="BD56" s="13"/>
      <c r="BE56" s="13"/>
      <c r="BF56" s="13"/>
      <c r="BG56" s="13"/>
      <c r="BH56" s="13" t="s">
        <v>79</v>
      </c>
      <c r="BI56" s="13" t="b">
        <v>0</v>
      </c>
      <c r="BJ56" s="13">
        <v>0.0</v>
      </c>
      <c r="BK56" s="13">
        <v>0.0</v>
      </c>
    </row>
    <row r="57" ht="14.25" customHeight="1">
      <c r="A57" s="13">
        <v>55.0</v>
      </c>
      <c r="B57" s="13" t="s">
        <v>46</v>
      </c>
      <c r="C57" s="13">
        <v>1.0</v>
      </c>
      <c r="D57" s="14">
        <v>0.0</v>
      </c>
      <c r="E57" s="13" t="s">
        <v>464</v>
      </c>
      <c r="F57" s="15" t="s">
        <v>465</v>
      </c>
      <c r="G57" s="16" t="s">
        <v>466</v>
      </c>
      <c r="H57" s="13"/>
      <c r="I57" s="13">
        <v>0.8</v>
      </c>
      <c r="J57" s="13" t="s">
        <v>430</v>
      </c>
      <c r="K57" s="13">
        <f t="shared" si="3"/>
        <v>0</v>
      </c>
      <c r="L57" s="13">
        <f t="shared" si="4"/>
        <v>2</v>
      </c>
      <c r="M57" s="13">
        <f t="shared" ref="M57:AA57" si="113">IFERROR(VALUE(RIGHT(LEFT($J57,FIND(M$1,$J57,1)+LEN(M$1)),1)),0)</f>
        <v>0</v>
      </c>
      <c r="N57" s="13">
        <f t="shared" si="113"/>
        <v>0</v>
      </c>
      <c r="O57" s="13">
        <f t="shared" si="113"/>
        <v>0</v>
      </c>
      <c r="P57" s="13">
        <f t="shared" si="113"/>
        <v>0</v>
      </c>
      <c r="Q57" s="13">
        <f t="shared" si="113"/>
        <v>0</v>
      </c>
      <c r="R57" s="13">
        <f t="shared" si="113"/>
        <v>0</v>
      </c>
      <c r="S57" s="13">
        <f t="shared" si="113"/>
        <v>0</v>
      </c>
      <c r="T57" s="13">
        <f t="shared" si="113"/>
        <v>0</v>
      </c>
      <c r="U57" s="13">
        <f t="shared" si="113"/>
        <v>0</v>
      </c>
      <c r="V57" s="13">
        <f t="shared" si="113"/>
        <v>0</v>
      </c>
      <c r="W57" s="13">
        <f t="shared" si="113"/>
        <v>0</v>
      </c>
      <c r="X57" s="13">
        <f t="shared" si="113"/>
        <v>0</v>
      </c>
      <c r="Y57" s="13">
        <f t="shared" si="113"/>
        <v>0</v>
      </c>
      <c r="Z57" s="13">
        <f t="shared" si="113"/>
        <v>0</v>
      </c>
      <c r="AA57" s="13">
        <f t="shared" si="113"/>
        <v>0</v>
      </c>
      <c r="AB57" s="13">
        <f t="shared" ref="AB57:AP57" si="114">IFERROR(VALUE(RIGHT(LEFT($J57,FIND(AB$1,$J57,IF(M57=0,1,FIND(AB$1,$J57,1)+1))+LEN(AB$1)),1)),0)</f>
        <v>0</v>
      </c>
      <c r="AC57" s="13">
        <f t="shared" si="114"/>
        <v>0</v>
      </c>
      <c r="AD57" s="13">
        <f t="shared" si="114"/>
        <v>0</v>
      </c>
      <c r="AE57" s="13">
        <f t="shared" si="114"/>
        <v>0</v>
      </c>
      <c r="AF57" s="13">
        <f t="shared" si="114"/>
        <v>1</v>
      </c>
      <c r="AG57" s="13">
        <f t="shared" si="114"/>
        <v>0</v>
      </c>
      <c r="AH57" s="13">
        <f t="shared" si="114"/>
        <v>0</v>
      </c>
      <c r="AI57" s="13">
        <f t="shared" si="114"/>
        <v>0</v>
      </c>
      <c r="AJ57" s="13">
        <f t="shared" si="114"/>
        <v>1</v>
      </c>
      <c r="AK57" s="13">
        <f t="shared" si="114"/>
        <v>0</v>
      </c>
      <c r="AL57" s="13">
        <f t="shared" si="114"/>
        <v>0</v>
      </c>
      <c r="AM57" s="13">
        <f t="shared" si="114"/>
        <v>0</v>
      </c>
      <c r="AN57" s="13">
        <f t="shared" si="114"/>
        <v>0</v>
      </c>
      <c r="AO57" s="13">
        <f t="shared" si="114"/>
        <v>0</v>
      </c>
      <c r="AP57" s="13">
        <f t="shared" si="114"/>
        <v>0</v>
      </c>
      <c r="AQ57" s="13" t="s">
        <v>467</v>
      </c>
      <c r="AR57" s="13"/>
      <c r="AS57" s="13" t="s">
        <v>468</v>
      </c>
      <c r="AT57" s="13"/>
      <c r="AU57" s="13"/>
      <c r="AV57" s="13"/>
      <c r="AW57" s="13">
        <v>0.0</v>
      </c>
      <c r="AX57" s="13">
        <v>-1.0</v>
      </c>
      <c r="AY57" s="13">
        <v>0.0</v>
      </c>
      <c r="AZ57" s="13"/>
      <c r="BA57" s="13"/>
      <c r="BB57" s="13"/>
      <c r="BC57" s="13"/>
      <c r="BD57" s="13"/>
      <c r="BE57" s="13"/>
      <c r="BF57" s="13"/>
      <c r="BG57" s="13"/>
      <c r="BH57" s="13" t="s">
        <v>79</v>
      </c>
      <c r="BI57" s="13" t="b">
        <v>0</v>
      </c>
      <c r="BJ57" s="13">
        <v>0.0</v>
      </c>
      <c r="BK57" s="13">
        <v>0.0</v>
      </c>
    </row>
    <row r="58" ht="14.25" customHeight="1">
      <c r="A58" s="13">
        <v>56.0</v>
      </c>
      <c r="B58" s="13" t="s">
        <v>46</v>
      </c>
      <c r="C58" s="13">
        <v>1.0</v>
      </c>
      <c r="D58" s="14">
        <v>0.0</v>
      </c>
      <c r="E58" s="13" t="s">
        <v>469</v>
      </c>
      <c r="F58" s="15" t="s">
        <v>470</v>
      </c>
      <c r="G58" s="16" t="s">
        <v>471</v>
      </c>
      <c r="H58" s="13"/>
      <c r="I58" s="13">
        <v>1.2</v>
      </c>
      <c r="J58" s="13" t="s">
        <v>472</v>
      </c>
      <c r="K58" s="13">
        <f t="shared" si="3"/>
        <v>0</v>
      </c>
      <c r="L58" s="13">
        <f t="shared" si="4"/>
        <v>2</v>
      </c>
      <c r="M58" s="13">
        <f t="shared" ref="M58:AA58" si="115">IFERROR(VALUE(RIGHT(LEFT($J58,FIND(M$1,$J58,1)+LEN(M$1)),1)),0)</f>
        <v>0</v>
      </c>
      <c r="N58" s="13">
        <f t="shared" si="115"/>
        <v>0</v>
      </c>
      <c r="O58" s="13">
        <f t="shared" si="115"/>
        <v>0</v>
      </c>
      <c r="P58" s="13">
        <f t="shared" si="115"/>
        <v>0</v>
      </c>
      <c r="Q58" s="13">
        <f t="shared" si="115"/>
        <v>0</v>
      </c>
      <c r="R58" s="13">
        <f t="shared" si="115"/>
        <v>0</v>
      </c>
      <c r="S58" s="13">
        <f t="shared" si="115"/>
        <v>0</v>
      </c>
      <c r="T58" s="13">
        <f t="shared" si="115"/>
        <v>0</v>
      </c>
      <c r="U58" s="13">
        <f t="shared" si="115"/>
        <v>0</v>
      </c>
      <c r="V58" s="13">
        <f t="shared" si="115"/>
        <v>0</v>
      </c>
      <c r="W58" s="13">
        <f t="shared" si="115"/>
        <v>0</v>
      </c>
      <c r="X58" s="13">
        <f t="shared" si="115"/>
        <v>0</v>
      </c>
      <c r="Y58" s="13">
        <f t="shared" si="115"/>
        <v>0</v>
      </c>
      <c r="Z58" s="13">
        <f t="shared" si="115"/>
        <v>0</v>
      </c>
      <c r="AA58" s="13">
        <f t="shared" si="115"/>
        <v>0</v>
      </c>
      <c r="AB58" s="13">
        <f t="shared" ref="AB58:AP58" si="116">IFERROR(VALUE(RIGHT(LEFT($J58,FIND(AB$1,$J58,IF(M58=0,1,FIND(AB$1,$J58,1)+1))+LEN(AB$1)),1)),0)</f>
        <v>0</v>
      </c>
      <c r="AC58" s="13">
        <f t="shared" si="116"/>
        <v>0</v>
      </c>
      <c r="AD58" s="13">
        <f t="shared" si="116"/>
        <v>1</v>
      </c>
      <c r="AE58" s="13">
        <f t="shared" si="116"/>
        <v>0</v>
      </c>
      <c r="AF58" s="13">
        <f t="shared" si="116"/>
        <v>0</v>
      </c>
      <c r="AG58" s="13">
        <f t="shared" si="116"/>
        <v>1</v>
      </c>
      <c r="AH58" s="13">
        <f t="shared" si="116"/>
        <v>0</v>
      </c>
      <c r="AI58" s="13">
        <f t="shared" si="116"/>
        <v>0</v>
      </c>
      <c r="AJ58" s="13">
        <f t="shared" si="116"/>
        <v>0</v>
      </c>
      <c r="AK58" s="13">
        <f t="shared" si="116"/>
        <v>0</v>
      </c>
      <c r="AL58" s="13">
        <f t="shared" si="116"/>
        <v>0</v>
      </c>
      <c r="AM58" s="13">
        <f t="shared" si="116"/>
        <v>0</v>
      </c>
      <c r="AN58" s="13">
        <f t="shared" si="116"/>
        <v>0</v>
      </c>
      <c r="AO58" s="13">
        <f t="shared" si="116"/>
        <v>0</v>
      </c>
      <c r="AP58" s="13">
        <f t="shared" si="116"/>
        <v>0</v>
      </c>
      <c r="AQ58" s="13" t="s">
        <v>473</v>
      </c>
      <c r="AR58" s="13"/>
      <c r="AS58" s="13" t="s">
        <v>474</v>
      </c>
      <c r="AT58" s="13"/>
      <c r="AU58" s="13"/>
      <c r="AV58" s="13"/>
      <c r="AW58" s="13">
        <v>0.0</v>
      </c>
      <c r="AX58" s="13">
        <v>-1.0</v>
      </c>
      <c r="AY58" s="13">
        <v>0.0</v>
      </c>
      <c r="AZ58" s="13"/>
      <c r="BA58" s="13"/>
      <c r="BB58" s="13"/>
      <c r="BC58" s="13"/>
      <c r="BD58" s="13"/>
      <c r="BE58" s="13"/>
      <c r="BF58" s="13"/>
      <c r="BG58" s="13"/>
      <c r="BH58" s="13" t="s">
        <v>79</v>
      </c>
      <c r="BI58" s="13" t="b">
        <v>0</v>
      </c>
      <c r="BJ58" s="13">
        <v>0.0</v>
      </c>
      <c r="BK58" s="13">
        <v>0.0</v>
      </c>
    </row>
    <row r="59" ht="14.25" customHeight="1">
      <c r="A59" s="13">
        <v>57.0</v>
      </c>
      <c r="B59" s="13" t="s">
        <v>47</v>
      </c>
      <c r="C59" s="13">
        <v>1.0</v>
      </c>
      <c r="D59" s="14">
        <v>0.0</v>
      </c>
      <c r="E59" s="13" t="s">
        <v>475</v>
      </c>
      <c r="F59" s="15" t="s">
        <v>476</v>
      </c>
      <c r="G59" s="16" t="s">
        <v>477</v>
      </c>
      <c r="H59" s="13">
        <v>12.0</v>
      </c>
      <c r="I59" s="13">
        <v>1.1</v>
      </c>
      <c r="J59" s="13" t="s">
        <v>478</v>
      </c>
      <c r="K59" s="13">
        <f t="shared" si="3"/>
        <v>0</v>
      </c>
      <c r="L59" s="13">
        <f t="shared" si="4"/>
        <v>2</v>
      </c>
      <c r="M59" s="13">
        <f t="shared" ref="M59:AA59" si="117">IFERROR(VALUE(RIGHT(LEFT($J59,FIND(M$1,$J59,1)+LEN(M$1)),1)),0)</f>
        <v>0</v>
      </c>
      <c r="N59" s="13">
        <f t="shared" si="117"/>
        <v>0</v>
      </c>
      <c r="O59" s="13">
        <f t="shared" si="117"/>
        <v>0</v>
      </c>
      <c r="P59" s="13">
        <f t="shared" si="117"/>
        <v>0</v>
      </c>
      <c r="Q59" s="13">
        <f t="shared" si="117"/>
        <v>0</v>
      </c>
      <c r="R59" s="13">
        <f t="shared" si="117"/>
        <v>0</v>
      </c>
      <c r="S59" s="13">
        <f t="shared" si="117"/>
        <v>0</v>
      </c>
      <c r="T59" s="13">
        <f t="shared" si="117"/>
        <v>0</v>
      </c>
      <c r="U59" s="13">
        <f t="shared" si="117"/>
        <v>0</v>
      </c>
      <c r="V59" s="13">
        <f t="shared" si="117"/>
        <v>0</v>
      </c>
      <c r="W59" s="13">
        <f t="shared" si="117"/>
        <v>0</v>
      </c>
      <c r="X59" s="13">
        <f t="shared" si="117"/>
        <v>0</v>
      </c>
      <c r="Y59" s="13">
        <f t="shared" si="117"/>
        <v>0</v>
      </c>
      <c r="Z59" s="13">
        <f t="shared" si="117"/>
        <v>0</v>
      </c>
      <c r="AA59" s="13">
        <f t="shared" si="117"/>
        <v>0</v>
      </c>
      <c r="AB59" s="13">
        <f t="shared" ref="AB59:AP59" si="118">IFERROR(VALUE(RIGHT(LEFT($J59,FIND(AB$1,$J59,IF(M59=0,1,FIND(AB$1,$J59,1)+1))+LEN(AB$1)),1)),0)</f>
        <v>0</v>
      </c>
      <c r="AC59" s="13">
        <f t="shared" si="118"/>
        <v>0</v>
      </c>
      <c r="AD59" s="13">
        <f t="shared" si="118"/>
        <v>0</v>
      </c>
      <c r="AE59" s="13">
        <f t="shared" si="118"/>
        <v>0</v>
      </c>
      <c r="AF59" s="13">
        <f t="shared" si="118"/>
        <v>0</v>
      </c>
      <c r="AG59" s="13">
        <f t="shared" si="118"/>
        <v>1</v>
      </c>
      <c r="AH59" s="13">
        <f t="shared" si="118"/>
        <v>0</v>
      </c>
      <c r="AI59" s="13">
        <f t="shared" si="118"/>
        <v>0</v>
      </c>
      <c r="AJ59" s="13">
        <f t="shared" si="118"/>
        <v>0</v>
      </c>
      <c r="AK59" s="13">
        <f t="shared" si="118"/>
        <v>1</v>
      </c>
      <c r="AL59" s="13">
        <f t="shared" si="118"/>
        <v>0</v>
      </c>
      <c r="AM59" s="13">
        <f t="shared" si="118"/>
        <v>0</v>
      </c>
      <c r="AN59" s="13">
        <f t="shared" si="118"/>
        <v>0</v>
      </c>
      <c r="AO59" s="13">
        <f t="shared" si="118"/>
        <v>0</v>
      </c>
      <c r="AP59" s="13">
        <f t="shared" si="118"/>
        <v>0</v>
      </c>
      <c r="AQ59" s="13"/>
      <c r="AR59" s="13" t="s">
        <v>479</v>
      </c>
      <c r="AS59" s="13" t="s">
        <v>480</v>
      </c>
      <c r="AT59" s="13" t="s">
        <v>129</v>
      </c>
      <c r="AU59" s="13" t="s">
        <v>130</v>
      </c>
      <c r="AV59" s="13" t="s">
        <v>481</v>
      </c>
      <c r="AW59" s="13">
        <v>11.0</v>
      </c>
      <c r="AX59" s="13">
        <v>-1.0</v>
      </c>
      <c r="AY59" s="13">
        <v>0.0</v>
      </c>
      <c r="AZ59" s="13" t="s">
        <v>482</v>
      </c>
      <c r="BA59" s="13" t="s">
        <v>483</v>
      </c>
      <c r="BB59" s="13"/>
      <c r="BC59" s="13"/>
      <c r="BD59" s="13" t="s">
        <v>484</v>
      </c>
      <c r="BE59" s="13"/>
      <c r="BF59" s="13" t="s">
        <v>485</v>
      </c>
      <c r="BG59" s="13" t="s">
        <v>136</v>
      </c>
      <c r="BH59" s="13" t="s">
        <v>79</v>
      </c>
      <c r="BI59" s="13" t="b">
        <v>0</v>
      </c>
      <c r="BJ59" s="13">
        <v>0.0</v>
      </c>
      <c r="BK59" s="13">
        <v>0.0</v>
      </c>
    </row>
    <row r="60" ht="14.25" customHeight="1">
      <c r="A60" s="13">
        <v>58.0</v>
      </c>
      <c r="B60" s="13" t="s">
        <v>47</v>
      </c>
      <c r="C60" s="13">
        <v>1.0</v>
      </c>
      <c r="D60" s="14">
        <v>0.0</v>
      </c>
      <c r="E60" s="13" t="s">
        <v>486</v>
      </c>
      <c r="F60" s="15" t="s">
        <v>487</v>
      </c>
      <c r="G60" s="16" t="s">
        <v>488</v>
      </c>
      <c r="H60" s="13">
        <v>10.0</v>
      </c>
      <c r="I60" s="13">
        <v>1.0</v>
      </c>
      <c r="J60" s="13" t="s">
        <v>489</v>
      </c>
      <c r="K60" s="13">
        <f t="shared" si="3"/>
        <v>0</v>
      </c>
      <c r="L60" s="13">
        <f t="shared" si="4"/>
        <v>2</v>
      </c>
      <c r="M60" s="13">
        <f t="shared" ref="M60:AA60" si="119">IFERROR(VALUE(RIGHT(LEFT($J60,FIND(M$1,$J60,1)+LEN(M$1)),1)),0)</f>
        <v>0</v>
      </c>
      <c r="N60" s="13">
        <f t="shared" si="119"/>
        <v>0</v>
      </c>
      <c r="O60" s="13">
        <f t="shared" si="119"/>
        <v>0</v>
      </c>
      <c r="P60" s="13">
        <f t="shared" si="119"/>
        <v>0</v>
      </c>
      <c r="Q60" s="13">
        <f t="shared" si="119"/>
        <v>0</v>
      </c>
      <c r="R60" s="13">
        <f t="shared" si="119"/>
        <v>0</v>
      </c>
      <c r="S60" s="13">
        <f t="shared" si="119"/>
        <v>0</v>
      </c>
      <c r="T60" s="13">
        <f t="shared" si="119"/>
        <v>0</v>
      </c>
      <c r="U60" s="13">
        <f t="shared" si="119"/>
        <v>0</v>
      </c>
      <c r="V60" s="13">
        <f t="shared" si="119"/>
        <v>0</v>
      </c>
      <c r="W60" s="13">
        <f t="shared" si="119"/>
        <v>0</v>
      </c>
      <c r="X60" s="13">
        <f t="shared" si="119"/>
        <v>0</v>
      </c>
      <c r="Y60" s="13">
        <f t="shared" si="119"/>
        <v>0</v>
      </c>
      <c r="Z60" s="13">
        <f t="shared" si="119"/>
        <v>0</v>
      </c>
      <c r="AA60" s="13">
        <f t="shared" si="119"/>
        <v>0</v>
      </c>
      <c r="AB60" s="13">
        <f t="shared" ref="AB60:AP60" si="120">IFERROR(VALUE(RIGHT(LEFT($J60,FIND(AB$1,$J60,IF(M60=0,1,FIND(AB$1,$J60,1)+1))+LEN(AB$1)),1)),0)</f>
        <v>1</v>
      </c>
      <c r="AC60" s="13">
        <f t="shared" si="120"/>
        <v>0</v>
      </c>
      <c r="AD60" s="13">
        <f t="shared" si="120"/>
        <v>0</v>
      </c>
      <c r="AE60" s="13">
        <f t="shared" si="120"/>
        <v>0</v>
      </c>
      <c r="AF60" s="13">
        <f t="shared" si="120"/>
        <v>0</v>
      </c>
      <c r="AG60" s="13">
        <f t="shared" si="120"/>
        <v>0</v>
      </c>
      <c r="AH60" s="13">
        <f t="shared" si="120"/>
        <v>0</v>
      </c>
      <c r="AI60" s="13">
        <f t="shared" si="120"/>
        <v>0</v>
      </c>
      <c r="AJ60" s="13">
        <f t="shared" si="120"/>
        <v>0</v>
      </c>
      <c r="AK60" s="13">
        <f t="shared" si="120"/>
        <v>1</v>
      </c>
      <c r="AL60" s="13">
        <f t="shared" si="120"/>
        <v>0</v>
      </c>
      <c r="AM60" s="13">
        <f t="shared" si="120"/>
        <v>0</v>
      </c>
      <c r="AN60" s="13">
        <f t="shared" si="120"/>
        <v>0</v>
      </c>
      <c r="AO60" s="13">
        <f t="shared" si="120"/>
        <v>0</v>
      </c>
      <c r="AP60" s="13">
        <f t="shared" si="120"/>
        <v>0</v>
      </c>
      <c r="AQ60" s="13"/>
      <c r="AR60" s="13" t="s">
        <v>490</v>
      </c>
      <c r="AS60" s="13" t="s">
        <v>491</v>
      </c>
      <c r="AT60" s="13" t="s">
        <v>162</v>
      </c>
      <c r="AU60" s="13" t="s">
        <v>163</v>
      </c>
      <c r="AV60" s="13" t="s">
        <v>492</v>
      </c>
      <c r="AW60" s="13">
        <v>9.0</v>
      </c>
      <c r="AX60" s="13">
        <v>-1.0</v>
      </c>
      <c r="AY60" s="13">
        <v>0.0</v>
      </c>
      <c r="AZ60" s="13" t="s">
        <v>132</v>
      </c>
      <c r="BA60" s="13" t="s">
        <v>493</v>
      </c>
      <c r="BB60" s="13"/>
      <c r="BC60" s="13"/>
      <c r="BD60" s="13" t="s">
        <v>134</v>
      </c>
      <c r="BE60" s="13"/>
      <c r="BF60" s="13" t="s">
        <v>494</v>
      </c>
      <c r="BG60" s="13" t="s">
        <v>136</v>
      </c>
      <c r="BH60" s="13" t="s">
        <v>79</v>
      </c>
      <c r="BI60" s="13" t="b">
        <v>0</v>
      </c>
      <c r="BJ60" s="13">
        <v>0.0</v>
      </c>
      <c r="BK60" s="13">
        <v>0.0</v>
      </c>
    </row>
    <row r="61" ht="14.25" customHeight="1">
      <c r="A61" s="13">
        <v>59.0</v>
      </c>
      <c r="B61" s="13" t="s">
        <v>47</v>
      </c>
      <c r="C61" s="13">
        <v>1.0</v>
      </c>
      <c r="D61" s="14">
        <v>0.0</v>
      </c>
      <c r="E61" s="13" t="s">
        <v>495</v>
      </c>
      <c r="F61" s="15" t="s">
        <v>496</v>
      </c>
      <c r="G61" s="16" t="s">
        <v>497</v>
      </c>
      <c r="H61" s="13">
        <v>13.0</v>
      </c>
      <c r="I61" s="13">
        <v>0.8</v>
      </c>
      <c r="J61" s="13" t="s">
        <v>498</v>
      </c>
      <c r="K61" s="13">
        <f t="shared" si="3"/>
        <v>0</v>
      </c>
      <c r="L61" s="13">
        <f t="shared" si="4"/>
        <v>2</v>
      </c>
      <c r="M61" s="13">
        <f t="shared" ref="M61:AA61" si="121">IFERROR(VALUE(RIGHT(LEFT($J61,FIND(M$1,$J61,1)+LEN(M$1)),1)),0)</f>
        <v>0</v>
      </c>
      <c r="N61" s="13">
        <f t="shared" si="121"/>
        <v>0</v>
      </c>
      <c r="O61" s="13">
        <f t="shared" si="121"/>
        <v>0</v>
      </c>
      <c r="P61" s="13">
        <f t="shared" si="121"/>
        <v>0</v>
      </c>
      <c r="Q61" s="13">
        <f t="shared" si="121"/>
        <v>0</v>
      </c>
      <c r="R61" s="13">
        <f t="shared" si="121"/>
        <v>0</v>
      </c>
      <c r="S61" s="13">
        <f t="shared" si="121"/>
        <v>0</v>
      </c>
      <c r="T61" s="13">
        <f t="shared" si="121"/>
        <v>0</v>
      </c>
      <c r="U61" s="13">
        <f t="shared" si="121"/>
        <v>0</v>
      </c>
      <c r="V61" s="13">
        <f t="shared" si="121"/>
        <v>0</v>
      </c>
      <c r="W61" s="13">
        <f t="shared" si="121"/>
        <v>0</v>
      </c>
      <c r="X61" s="13">
        <f t="shared" si="121"/>
        <v>0</v>
      </c>
      <c r="Y61" s="13">
        <f t="shared" si="121"/>
        <v>0</v>
      </c>
      <c r="Z61" s="13">
        <f t="shared" si="121"/>
        <v>0</v>
      </c>
      <c r="AA61" s="13">
        <f t="shared" si="121"/>
        <v>0</v>
      </c>
      <c r="AB61" s="13">
        <f t="shared" ref="AB61:AP61" si="122">IFERROR(VALUE(RIGHT(LEFT($J61,FIND(AB$1,$J61,IF(M61=0,1,FIND(AB$1,$J61,1)+1))+LEN(AB$1)),1)),0)</f>
        <v>0</v>
      </c>
      <c r="AC61" s="13">
        <f t="shared" si="122"/>
        <v>1</v>
      </c>
      <c r="AD61" s="13">
        <f t="shared" si="122"/>
        <v>0</v>
      </c>
      <c r="AE61" s="13">
        <f t="shared" si="122"/>
        <v>0</v>
      </c>
      <c r="AF61" s="13">
        <f t="shared" si="122"/>
        <v>0</v>
      </c>
      <c r="AG61" s="13">
        <f t="shared" si="122"/>
        <v>0</v>
      </c>
      <c r="AH61" s="13">
        <f t="shared" si="122"/>
        <v>0</v>
      </c>
      <c r="AI61" s="13">
        <f t="shared" si="122"/>
        <v>0</v>
      </c>
      <c r="AJ61" s="13">
        <f t="shared" si="122"/>
        <v>0</v>
      </c>
      <c r="AK61" s="13">
        <f t="shared" si="122"/>
        <v>1</v>
      </c>
      <c r="AL61" s="13">
        <f t="shared" si="122"/>
        <v>0</v>
      </c>
      <c r="AM61" s="13">
        <f t="shared" si="122"/>
        <v>0</v>
      </c>
      <c r="AN61" s="13">
        <f t="shared" si="122"/>
        <v>0</v>
      </c>
      <c r="AO61" s="13">
        <f t="shared" si="122"/>
        <v>0</v>
      </c>
      <c r="AP61" s="13">
        <f t="shared" si="122"/>
        <v>0</v>
      </c>
      <c r="AQ61" s="13"/>
      <c r="AR61" s="13" t="s">
        <v>499</v>
      </c>
      <c r="AS61" s="13" t="s">
        <v>500</v>
      </c>
      <c r="AT61" s="13" t="s">
        <v>142</v>
      </c>
      <c r="AU61" s="13" t="s">
        <v>130</v>
      </c>
      <c r="AV61" s="13"/>
      <c r="AW61" s="13">
        <v>10.0</v>
      </c>
      <c r="AX61" s="13">
        <v>-1.0</v>
      </c>
      <c r="AY61" s="13">
        <v>0.0</v>
      </c>
      <c r="AZ61" s="13" t="s">
        <v>501</v>
      </c>
      <c r="BA61" s="13" t="s">
        <v>502</v>
      </c>
      <c r="BB61" s="13"/>
      <c r="BC61" s="13"/>
      <c r="BD61" s="13" t="s">
        <v>134</v>
      </c>
      <c r="BE61" s="13"/>
      <c r="BF61" s="13" t="s">
        <v>503</v>
      </c>
      <c r="BG61" s="13" t="s">
        <v>136</v>
      </c>
      <c r="BH61" s="13" t="s">
        <v>79</v>
      </c>
      <c r="BI61" s="13" t="b">
        <v>0</v>
      </c>
      <c r="BJ61" s="13">
        <v>0.0</v>
      </c>
      <c r="BK61" s="13">
        <v>0.0</v>
      </c>
    </row>
    <row r="62" ht="14.25" customHeight="1">
      <c r="A62" s="13">
        <v>60.0</v>
      </c>
      <c r="B62" s="13" t="s">
        <v>47</v>
      </c>
      <c r="C62" s="13">
        <v>1.0</v>
      </c>
      <c r="D62" s="14">
        <v>0.0</v>
      </c>
      <c r="E62" s="13" t="s">
        <v>504</v>
      </c>
      <c r="F62" s="15" t="s">
        <v>505</v>
      </c>
      <c r="G62" s="16" t="s">
        <v>506</v>
      </c>
      <c r="H62" s="13">
        <v>8.0</v>
      </c>
      <c r="I62" s="13">
        <v>1.1</v>
      </c>
      <c r="J62" s="13" t="s">
        <v>507</v>
      </c>
      <c r="K62" s="13">
        <f t="shared" si="3"/>
        <v>0</v>
      </c>
      <c r="L62" s="13">
        <f t="shared" si="4"/>
        <v>2</v>
      </c>
      <c r="M62" s="13">
        <f t="shared" ref="M62:AA62" si="123">IFERROR(VALUE(RIGHT(LEFT($J62,FIND(M$1,$J62,1)+LEN(M$1)),1)),0)</f>
        <v>0</v>
      </c>
      <c r="N62" s="13">
        <f t="shared" si="123"/>
        <v>0</v>
      </c>
      <c r="O62" s="13">
        <f t="shared" si="123"/>
        <v>0</v>
      </c>
      <c r="P62" s="13">
        <f t="shared" si="123"/>
        <v>0</v>
      </c>
      <c r="Q62" s="13">
        <f t="shared" si="123"/>
        <v>0</v>
      </c>
      <c r="R62" s="13">
        <f t="shared" si="123"/>
        <v>0</v>
      </c>
      <c r="S62" s="13">
        <f t="shared" si="123"/>
        <v>0</v>
      </c>
      <c r="T62" s="13">
        <f t="shared" si="123"/>
        <v>0</v>
      </c>
      <c r="U62" s="13">
        <f t="shared" si="123"/>
        <v>0</v>
      </c>
      <c r="V62" s="13">
        <f t="shared" si="123"/>
        <v>0</v>
      </c>
      <c r="W62" s="13">
        <f t="shared" si="123"/>
        <v>0</v>
      </c>
      <c r="X62" s="13">
        <f t="shared" si="123"/>
        <v>0</v>
      </c>
      <c r="Y62" s="13">
        <f t="shared" si="123"/>
        <v>0</v>
      </c>
      <c r="Z62" s="13">
        <f t="shared" si="123"/>
        <v>0</v>
      </c>
      <c r="AA62" s="13">
        <f t="shared" si="123"/>
        <v>0</v>
      </c>
      <c r="AB62" s="13">
        <f t="shared" ref="AB62:AP62" si="124">IFERROR(VALUE(RIGHT(LEFT($J62,FIND(AB$1,$J62,IF(M62=0,1,FIND(AB$1,$J62,1)+1))+LEN(AB$1)),1)),0)</f>
        <v>0</v>
      </c>
      <c r="AC62" s="13">
        <f t="shared" si="124"/>
        <v>0</v>
      </c>
      <c r="AD62" s="13">
        <f t="shared" si="124"/>
        <v>1</v>
      </c>
      <c r="AE62" s="13">
        <f t="shared" si="124"/>
        <v>0</v>
      </c>
      <c r="AF62" s="13">
        <f t="shared" si="124"/>
        <v>0</v>
      </c>
      <c r="AG62" s="13">
        <f t="shared" si="124"/>
        <v>0</v>
      </c>
      <c r="AH62" s="13">
        <f t="shared" si="124"/>
        <v>0</v>
      </c>
      <c r="AI62" s="13">
        <f t="shared" si="124"/>
        <v>0</v>
      </c>
      <c r="AJ62" s="13">
        <f t="shared" si="124"/>
        <v>0</v>
      </c>
      <c r="AK62" s="13">
        <f t="shared" si="124"/>
        <v>1</v>
      </c>
      <c r="AL62" s="13">
        <f t="shared" si="124"/>
        <v>0</v>
      </c>
      <c r="AM62" s="13">
        <f t="shared" si="124"/>
        <v>0</v>
      </c>
      <c r="AN62" s="13">
        <f t="shared" si="124"/>
        <v>0</v>
      </c>
      <c r="AO62" s="13">
        <f t="shared" si="124"/>
        <v>0</v>
      </c>
      <c r="AP62" s="13">
        <f t="shared" si="124"/>
        <v>0</v>
      </c>
      <c r="AQ62" s="13"/>
      <c r="AR62" s="13" t="s">
        <v>508</v>
      </c>
      <c r="AS62" s="13" t="s">
        <v>509</v>
      </c>
      <c r="AT62" s="13" t="s">
        <v>129</v>
      </c>
      <c r="AU62" s="13" t="s">
        <v>143</v>
      </c>
      <c r="AV62" s="13" t="s">
        <v>510</v>
      </c>
      <c r="AW62" s="13">
        <v>8.0</v>
      </c>
      <c r="AX62" s="13">
        <v>-1.0</v>
      </c>
      <c r="AY62" s="13">
        <v>0.0</v>
      </c>
      <c r="AZ62" s="13" t="s">
        <v>511</v>
      </c>
      <c r="BA62" s="13" t="s">
        <v>280</v>
      </c>
      <c r="BB62" s="13"/>
      <c r="BC62" s="13"/>
      <c r="BD62" s="13" t="s">
        <v>134</v>
      </c>
      <c r="BE62" s="13"/>
      <c r="BF62" s="13" t="s">
        <v>512</v>
      </c>
      <c r="BG62" s="13" t="s">
        <v>136</v>
      </c>
      <c r="BH62" s="13" t="s">
        <v>79</v>
      </c>
      <c r="BI62" s="13" t="b">
        <v>0</v>
      </c>
      <c r="BJ62" s="13">
        <v>0.0</v>
      </c>
      <c r="BK62" s="13">
        <v>0.0</v>
      </c>
    </row>
    <row r="63" ht="14.25" customHeight="1">
      <c r="A63" s="13">
        <v>61.0</v>
      </c>
      <c r="B63" s="13" t="s">
        <v>47</v>
      </c>
      <c r="C63" s="13">
        <v>1.0</v>
      </c>
      <c r="D63" s="14">
        <v>0.0</v>
      </c>
      <c r="E63" s="13" t="s">
        <v>513</v>
      </c>
      <c r="F63" s="15" t="s">
        <v>514</v>
      </c>
      <c r="G63" s="16" t="s">
        <v>515</v>
      </c>
      <c r="H63" s="13">
        <v>12.0</v>
      </c>
      <c r="I63" s="13">
        <v>1.2</v>
      </c>
      <c r="J63" s="13" t="s">
        <v>498</v>
      </c>
      <c r="K63" s="13">
        <f t="shared" si="3"/>
        <v>0</v>
      </c>
      <c r="L63" s="13">
        <f t="shared" si="4"/>
        <v>2</v>
      </c>
      <c r="M63" s="13">
        <f t="shared" ref="M63:AA63" si="125">IFERROR(VALUE(RIGHT(LEFT($J63,FIND(M$1,$J63,1)+LEN(M$1)),1)),0)</f>
        <v>0</v>
      </c>
      <c r="N63" s="13">
        <f t="shared" si="125"/>
        <v>0</v>
      </c>
      <c r="O63" s="13">
        <f t="shared" si="125"/>
        <v>0</v>
      </c>
      <c r="P63" s="13">
        <f t="shared" si="125"/>
        <v>0</v>
      </c>
      <c r="Q63" s="13">
        <f t="shared" si="125"/>
        <v>0</v>
      </c>
      <c r="R63" s="13">
        <f t="shared" si="125"/>
        <v>0</v>
      </c>
      <c r="S63" s="13">
        <f t="shared" si="125"/>
        <v>0</v>
      </c>
      <c r="T63" s="13">
        <f t="shared" si="125"/>
        <v>0</v>
      </c>
      <c r="U63" s="13">
        <f t="shared" si="125"/>
        <v>0</v>
      </c>
      <c r="V63" s="13">
        <f t="shared" si="125"/>
        <v>0</v>
      </c>
      <c r="W63" s="13">
        <f t="shared" si="125"/>
        <v>0</v>
      </c>
      <c r="X63" s="13">
        <f t="shared" si="125"/>
        <v>0</v>
      </c>
      <c r="Y63" s="13">
        <f t="shared" si="125"/>
        <v>0</v>
      </c>
      <c r="Z63" s="13">
        <f t="shared" si="125"/>
        <v>0</v>
      </c>
      <c r="AA63" s="13">
        <f t="shared" si="125"/>
        <v>0</v>
      </c>
      <c r="AB63" s="13">
        <f t="shared" ref="AB63:AP63" si="126">IFERROR(VALUE(RIGHT(LEFT($J63,FIND(AB$1,$J63,IF(M63=0,1,FIND(AB$1,$J63,1)+1))+LEN(AB$1)),1)),0)</f>
        <v>0</v>
      </c>
      <c r="AC63" s="13">
        <f t="shared" si="126"/>
        <v>1</v>
      </c>
      <c r="AD63" s="13">
        <f t="shared" si="126"/>
        <v>0</v>
      </c>
      <c r="AE63" s="13">
        <f t="shared" si="126"/>
        <v>0</v>
      </c>
      <c r="AF63" s="13">
        <f t="shared" si="126"/>
        <v>0</v>
      </c>
      <c r="AG63" s="13">
        <f t="shared" si="126"/>
        <v>0</v>
      </c>
      <c r="AH63" s="13">
        <f t="shared" si="126"/>
        <v>0</v>
      </c>
      <c r="AI63" s="13">
        <f t="shared" si="126"/>
        <v>0</v>
      </c>
      <c r="AJ63" s="13">
        <f t="shared" si="126"/>
        <v>0</v>
      </c>
      <c r="AK63" s="13">
        <f t="shared" si="126"/>
        <v>1</v>
      </c>
      <c r="AL63" s="13">
        <f t="shared" si="126"/>
        <v>0</v>
      </c>
      <c r="AM63" s="13">
        <f t="shared" si="126"/>
        <v>0</v>
      </c>
      <c r="AN63" s="13">
        <f t="shared" si="126"/>
        <v>0</v>
      </c>
      <c r="AO63" s="13">
        <f t="shared" si="126"/>
        <v>0</v>
      </c>
      <c r="AP63" s="13">
        <f t="shared" si="126"/>
        <v>0</v>
      </c>
      <c r="AQ63" s="13"/>
      <c r="AR63" s="13" t="s">
        <v>516</v>
      </c>
      <c r="AS63" s="13" t="s">
        <v>517</v>
      </c>
      <c r="AT63" s="13" t="s">
        <v>315</v>
      </c>
      <c r="AU63" s="13" t="s">
        <v>130</v>
      </c>
      <c r="AV63" s="13" t="s">
        <v>518</v>
      </c>
      <c r="AW63" s="13">
        <v>10.0</v>
      </c>
      <c r="AX63" s="13">
        <v>-1.0</v>
      </c>
      <c r="AY63" s="13">
        <v>0.0</v>
      </c>
      <c r="AZ63" s="13" t="s">
        <v>519</v>
      </c>
      <c r="BA63" s="13" t="s">
        <v>520</v>
      </c>
      <c r="BB63" s="13"/>
      <c r="BC63" s="13"/>
      <c r="BD63" s="13" t="s">
        <v>134</v>
      </c>
      <c r="BE63" s="13"/>
      <c r="BF63" s="13" t="s">
        <v>521</v>
      </c>
      <c r="BG63" s="13" t="s">
        <v>136</v>
      </c>
      <c r="BH63" s="13" t="s">
        <v>79</v>
      </c>
      <c r="BI63" s="13" t="b">
        <v>0</v>
      </c>
      <c r="BJ63" s="13">
        <v>0.0</v>
      </c>
      <c r="BK63" s="13">
        <v>0.0</v>
      </c>
    </row>
    <row r="64" ht="14.25" customHeight="1">
      <c r="A64" s="13">
        <v>62.0</v>
      </c>
      <c r="B64" s="13" t="s">
        <v>47</v>
      </c>
      <c r="C64" s="13">
        <v>1.0</v>
      </c>
      <c r="D64" s="14">
        <v>0.0</v>
      </c>
      <c r="E64" s="13" t="s">
        <v>522</v>
      </c>
      <c r="F64" s="15" t="s">
        <v>523</v>
      </c>
      <c r="G64" s="16" t="s">
        <v>524</v>
      </c>
      <c r="H64" s="13">
        <v>12.0</v>
      </c>
      <c r="I64" s="13">
        <v>0.9</v>
      </c>
      <c r="J64" s="13" t="s">
        <v>525</v>
      </c>
      <c r="K64" s="13">
        <f t="shared" si="3"/>
        <v>0</v>
      </c>
      <c r="L64" s="13">
        <f t="shared" si="4"/>
        <v>2</v>
      </c>
      <c r="M64" s="13">
        <f t="shared" ref="M64:AA64" si="127">IFERROR(VALUE(RIGHT(LEFT($J64,FIND(M$1,$J64,1)+LEN(M$1)),1)),0)</f>
        <v>0</v>
      </c>
      <c r="N64" s="13">
        <f t="shared" si="127"/>
        <v>0</v>
      </c>
      <c r="O64" s="13">
        <f t="shared" si="127"/>
        <v>0</v>
      </c>
      <c r="P64" s="13">
        <f t="shared" si="127"/>
        <v>0</v>
      </c>
      <c r="Q64" s="13">
        <f t="shared" si="127"/>
        <v>0</v>
      </c>
      <c r="R64" s="13">
        <f t="shared" si="127"/>
        <v>0</v>
      </c>
      <c r="S64" s="13">
        <f t="shared" si="127"/>
        <v>0</v>
      </c>
      <c r="T64" s="13">
        <f t="shared" si="127"/>
        <v>0</v>
      </c>
      <c r="U64" s="13">
        <f t="shared" si="127"/>
        <v>0</v>
      </c>
      <c r="V64" s="13">
        <f t="shared" si="127"/>
        <v>0</v>
      </c>
      <c r="W64" s="13">
        <f t="shared" si="127"/>
        <v>0</v>
      </c>
      <c r="X64" s="13">
        <f t="shared" si="127"/>
        <v>0</v>
      </c>
      <c r="Y64" s="13">
        <f t="shared" si="127"/>
        <v>0</v>
      </c>
      <c r="Z64" s="13">
        <f t="shared" si="127"/>
        <v>0</v>
      </c>
      <c r="AA64" s="13">
        <f t="shared" si="127"/>
        <v>0</v>
      </c>
      <c r="AB64" s="13">
        <f t="shared" ref="AB64:AP64" si="128">IFERROR(VALUE(RIGHT(LEFT($J64,FIND(AB$1,$J64,IF(M64=0,1,FIND(AB$1,$J64,1)+1))+LEN(AB$1)),1)),0)</f>
        <v>0</v>
      </c>
      <c r="AC64" s="13">
        <f t="shared" si="128"/>
        <v>0</v>
      </c>
      <c r="AD64" s="13">
        <f t="shared" si="128"/>
        <v>0</v>
      </c>
      <c r="AE64" s="13">
        <f t="shared" si="128"/>
        <v>0</v>
      </c>
      <c r="AF64" s="13">
        <f t="shared" si="128"/>
        <v>1</v>
      </c>
      <c r="AG64" s="13">
        <f t="shared" si="128"/>
        <v>0</v>
      </c>
      <c r="AH64" s="13">
        <f t="shared" si="128"/>
        <v>0</v>
      </c>
      <c r="AI64" s="13">
        <f t="shared" si="128"/>
        <v>0</v>
      </c>
      <c r="AJ64" s="13">
        <f t="shared" si="128"/>
        <v>0</v>
      </c>
      <c r="AK64" s="13">
        <f t="shared" si="128"/>
        <v>1</v>
      </c>
      <c r="AL64" s="13">
        <f t="shared" si="128"/>
        <v>0</v>
      </c>
      <c r="AM64" s="13">
        <f t="shared" si="128"/>
        <v>0</v>
      </c>
      <c r="AN64" s="13">
        <f t="shared" si="128"/>
        <v>0</v>
      </c>
      <c r="AO64" s="13">
        <f t="shared" si="128"/>
        <v>0</v>
      </c>
      <c r="AP64" s="13">
        <f t="shared" si="128"/>
        <v>0</v>
      </c>
      <c r="AQ64" s="13"/>
      <c r="AR64" s="13" t="s">
        <v>526</v>
      </c>
      <c r="AS64" s="13" t="s">
        <v>527</v>
      </c>
      <c r="AT64" s="13" t="s">
        <v>129</v>
      </c>
      <c r="AU64" s="13" t="s">
        <v>130</v>
      </c>
      <c r="AV64" s="13" t="s">
        <v>528</v>
      </c>
      <c r="AW64" s="13">
        <v>9.0</v>
      </c>
      <c r="AX64" s="13">
        <v>-1.0</v>
      </c>
      <c r="AY64" s="13">
        <v>0.0</v>
      </c>
      <c r="AZ64" s="13" t="s">
        <v>529</v>
      </c>
      <c r="BA64" s="13" t="s">
        <v>530</v>
      </c>
      <c r="BB64" s="13"/>
      <c r="BC64" s="13"/>
      <c r="BD64" s="13" t="s">
        <v>134</v>
      </c>
      <c r="BE64" s="13"/>
      <c r="BF64" s="13" t="s">
        <v>531</v>
      </c>
      <c r="BG64" s="13" t="s">
        <v>136</v>
      </c>
      <c r="BH64" s="13" t="s">
        <v>79</v>
      </c>
      <c r="BI64" s="13" t="b">
        <v>0</v>
      </c>
      <c r="BJ64" s="13">
        <v>0.0</v>
      </c>
      <c r="BK64" s="13">
        <v>0.0</v>
      </c>
    </row>
    <row r="65" ht="14.25" customHeight="1">
      <c r="A65" s="13">
        <v>63.0</v>
      </c>
      <c r="B65" s="13" t="s">
        <v>47</v>
      </c>
      <c r="C65" s="13">
        <v>1.0</v>
      </c>
      <c r="D65" s="14">
        <v>0.0</v>
      </c>
      <c r="E65" s="13" t="s">
        <v>532</v>
      </c>
      <c r="F65" s="15" t="s">
        <v>533</v>
      </c>
      <c r="G65" s="16" t="s">
        <v>534</v>
      </c>
      <c r="H65" s="13">
        <v>13.0</v>
      </c>
      <c r="I65" s="13">
        <v>0.9</v>
      </c>
      <c r="J65" s="13" t="s">
        <v>498</v>
      </c>
      <c r="K65" s="13">
        <f t="shared" si="3"/>
        <v>0</v>
      </c>
      <c r="L65" s="13">
        <f t="shared" si="4"/>
        <v>2</v>
      </c>
      <c r="M65" s="13">
        <f t="shared" ref="M65:AA65" si="129">IFERROR(VALUE(RIGHT(LEFT($J65,FIND(M$1,$J65,1)+LEN(M$1)),1)),0)</f>
        <v>0</v>
      </c>
      <c r="N65" s="13">
        <f t="shared" si="129"/>
        <v>0</v>
      </c>
      <c r="O65" s="13">
        <f t="shared" si="129"/>
        <v>0</v>
      </c>
      <c r="P65" s="13">
        <f t="shared" si="129"/>
        <v>0</v>
      </c>
      <c r="Q65" s="13">
        <f t="shared" si="129"/>
        <v>0</v>
      </c>
      <c r="R65" s="13">
        <f t="shared" si="129"/>
        <v>0</v>
      </c>
      <c r="S65" s="13">
        <f t="shared" si="129"/>
        <v>0</v>
      </c>
      <c r="T65" s="13">
        <f t="shared" si="129"/>
        <v>0</v>
      </c>
      <c r="U65" s="13">
        <f t="shared" si="129"/>
        <v>0</v>
      </c>
      <c r="V65" s="13">
        <f t="shared" si="129"/>
        <v>0</v>
      </c>
      <c r="W65" s="13">
        <f t="shared" si="129"/>
        <v>0</v>
      </c>
      <c r="X65" s="13">
        <f t="shared" si="129"/>
        <v>0</v>
      </c>
      <c r="Y65" s="13">
        <f t="shared" si="129"/>
        <v>0</v>
      </c>
      <c r="Z65" s="13">
        <f t="shared" si="129"/>
        <v>0</v>
      </c>
      <c r="AA65" s="13">
        <f t="shared" si="129"/>
        <v>0</v>
      </c>
      <c r="AB65" s="13">
        <f t="shared" ref="AB65:AP65" si="130">IFERROR(VALUE(RIGHT(LEFT($J65,FIND(AB$1,$J65,IF(M65=0,1,FIND(AB$1,$J65,1)+1))+LEN(AB$1)),1)),0)</f>
        <v>0</v>
      </c>
      <c r="AC65" s="13">
        <f t="shared" si="130"/>
        <v>1</v>
      </c>
      <c r="AD65" s="13">
        <f t="shared" si="130"/>
        <v>0</v>
      </c>
      <c r="AE65" s="13">
        <f t="shared" si="130"/>
        <v>0</v>
      </c>
      <c r="AF65" s="13">
        <f t="shared" si="130"/>
        <v>0</v>
      </c>
      <c r="AG65" s="13">
        <f t="shared" si="130"/>
        <v>0</v>
      </c>
      <c r="AH65" s="13">
        <f t="shared" si="130"/>
        <v>0</v>
      </c>
      <c r="AI65" s="13">
        <f t="shared" si="130"/>
        <v>0</v>
      </c>
      <c r="AJ65" s="13">
        <f t="shared" si="130"/>
        <v>0</v>
      </c>
      <c r="AK65" s="13">
        <f t="shared" si="130"/>
        <v>1</v>
      </c>
      <c r="AL65" s="13">
        <f t="shared" si="130"/>
        <v>0</v>
      </c>
      <c r="AM65" s="13">
        <f t="shared" si="130"/>
        <v>0</v>
      </c>
      <c r="AN65" s="13">
        <f t="shared" si="130"/>
        <v>0</v>
      </c>
      <c r="AO65" s="13">
        <f t="shared" si="130"/>
        <v>0</v>
      </c>
      <c r="AP65" s="13">
        <f t="shared" si="130"/>
        <v>0</v>
      </c>
      <c r="AQ65" s="13"/>
      <c r="AR65" s="13" t="s">
        <v>535</v>
      </c>
      <c r="AS65" s="13" t="s">
        <v>153</v>
      </c>
      <c r="AT65" s="13" t="s">
        <v>142</v>
      </c>
      <c r="AU65" s="13" t="s">
        <v>143</v>
      </c>
      <c r="AV65" s="13" t="s">
        <v>536</v>
      </c>
      <c r="AW65" s="13">
        <v>8.0</v>
      </c>
      <c r="AX65" s="13">
        <v>-1.0</v>
      </c>
      <c r="AY65" s="13">
        <v>0.0</v>
      </c>
      <c r="AZ65" s="13" t="s">
        <v>537</v>
      </c>
      <c r="BA65" s="13" t="s">
        <v>538</v>
      </c>
      <c r="BB65" s="13"/>
      <c r="BC65" s="13"/>
      <c r="BD65" s="13" t="s">
        <v>134</v>
      </c>
      <c r="BE65" s="13"/>
      <c r="BF65" s="13" t="s">
        <v>539</v>
      </c>
      <c r="BG65" s="13" t="s">
        <v>136</v>
      </c>
      <c r="BH65" s="13" t="s">
        <v>79</v>
      </c>
      <c r="BI65" s="13" t="b">
        <v>0</v>
      </c>
      <c r="BJ65" s="13">
        <v>0.0</v>
      </c>
      <c r="BK65" s="13">
        <v>0.0</v>
      </c>
    </row>
    <row r="66" ht="14.25" customHeight="1">
      <c r="A66" s="13">
        <v>64.0</v>
      </c>
      <c r="B66" s="13" t="s">
        <v>47</v>
      </c>
      <c r="C66" s="13">
        <v>1.0</v>
      </c>
      <c r="D66" s="14">
        <v>0.0</v>
      </c>
      <c r="E66" s="13" t="s">
        <v>540</v>
      </c>
      <c r="F66" s="15" t="s">
        <v>541</v>
      </c>
      <c r="G66" s="16" t="s">
        <v>542</v>
      </c>
      <c r="H66" s="13">
        <v>12.0</v>
      </c>
      <c r="I66" s="13">
        <v>1.0</v>
      </c>
      <c r="J66" s="13" t="s">
        <v>543</v>
      </c>
      <c r="K66" s="13">
        <f t="shared" si="3"/>
        <v>0</v>
      </c>
      <c r="L66" s="13">
        <f t="shared" si="4"/>
        <v>2</v>
      </c>
      <c r="M66" s="13">
        <f t="shared" ref="M66:AA66" si="131">IFERROR(VALUE(RIGHT(LEFT($J66,FIND(M$1,$J66,1)+LEN(M$1)),1)),0)</f>
        <v>0</v>
      </c>
      <c r="N66" s="13">
        <f t="shared" si="131"/>
        <v>0</v>
      </c>
      <c r="O66" s="13">
        <f t="shared" si="131"/>
        <v>0</v>
      </c>
      <c r="P66" s="13">
        <f t="shared" si="131"/>
        <v>0</v>
      </c>
      <c r="Q66" s="13">
        <f t="shared" si="131"/>
        <v>0</v>
      </c>
      <c r="R66" s="13">
        <f t="shared" si="131"/>
        <v>0</v>
      </c>
      <c r="S66" s="13">
        <f t="shared" si="131"/>
        <v>0</v>
      </c>
      <c r="T66" s="13">
        <f t="shared" si="131"/>
        <v>0</v>
      </c>
      <c r="U66" s="13">
        <f t="shared" si="131"/>
        <v>0</v>
      </c>
      <c r="V66" s="13">
        <f t="shared" si="131"/>
        <v>0</v>
      </c>
      <c r="W66" s="13">
        <f t="shared" si="131"/>
        <v>0</v>
      </c>
      <c r="X66" s="13">
        <f t="shared" si="131"/>
        <v>0</v>
      </c>
      <c r="Y66" s="13">
        <f t="shared" si="131"/>
        <v>0</v>
      </c>
      <c r="Z66" s="13">
        <f t="shared" si="131"/>
        <v>0</v>
      </c>
      <c r="AA66" s="13">
        <f t="shared" si="131"/>
        <v>0</v>
      </c>
      <c r="AB66" s="13">
        <f t="shared" ref="AB66:AP66" si="132">IFERROR(VALUE(RIGHT(LEFT($J66,FIND(AB$1,$J66,IF(M66=0,1,FIND(AB$1,$J66,1)+1))+LEN(AB$1)),1)),0)</f>
        <v>0</v>
      </c>
      <c r="AC66" s="13">
        <f t="shared" si="132"/>
        <v>0</v>
      </c>
      <c r="AD66" s="13">
        <f t="shared" si="132"/>
        <v>0</v>
      </c>
      <c r="AE66" s="13">
        <f t="shared" si="132"/>
        <v>1</v>
      </c>
      <c r="AF66" s="13">
        <f t="shared" si="132"/>
        <v>0</v>
      </c>
      <c r="AG66" s="13">
        <f t="shared" si="132"/>
        <v>0</v>
      </c>
      <c r="AH66" s="13">
        <f t="shared" si="132"/>
        <v>0</v>
      </c>
      <c r="AI66" s="13">
        <f t="shared" si="132"/>
        <v>0</v>
      </c>
      <c r="AJ66" s="13">
        <f t="shared" si="132"/>
        <v>0</v>
      </c>
      <c r="AK66" s="13">
        <f t="shared" si="132"/>
        <v>1</v>
      </c>
      <c r="AL66" s="13">
        <f t="shared" si="132"/>
        <v>0</v>
      </c>
      <c r="AM66" s="13">
        <f t="shared" si="132"/>
        <v>0</v>
      </c>
      <c r="AN66" s="13">
        <f t="shared" si="132"/>
        <v>0</v>
      </c>
      <c r="AO66" s="13">
        <f t="shared" si="132"/>
        <v>0</v>
      </c>
      <c r="AP66" s="13">
        <f t="shared" si="132"/>
        <v>0</v>
      </c>
      <c r="AQ66" s="13"/>
      <c r="AR66" s="13" t="s">
        <v>544</v>
      </c>
      <c r="AS66" s="13" t="s">
        <v>545</v>
      </c>
      <c r="AT66" s="13" t="s">
        <v>142</v>
      </c>
      <c r="AU66" s="13" t="s">
        <v>143</v>
      </c>
      <c r="AV66" s="13" t="s">
        <v>546</v>
      </c>
      <c r="AW66" s="13">
        <v>10.0</v>
      </c>
      <c r="AX66" s="13">
        <v>-1.0</v>
      </c>
      <c r="AY66" s="13">
        <v>0.0</v>
      </c>
      <c r="AZ66" s="13" t="s">
        <v>547</v>
      </c>
      <c r="BA66" s="13" t="s">
        <v>548</v>
      </c>
      <c r="BB66" s="13"/>
      <c r="BC66" s="13"/>
      <c r="BD66" s="13" t="s">
        <v>484</v>
      </c>
      <c r="BE66" s="13"/>
      <c r="BF66" s="13" t="s">
        <v>549</v>
      </c>
      <c r="BG66" s="13" t="s">
        <v>136</v>
      </c>
      <c r="BH66" s="13" t="s">
        <v>79</v>
      </c>
      <c r="BI66" s="13" t="b">
        <v>0</v>
      </c>
      <c r="BJ66" s="13">
        <v>0.0</v>
      </c>
      <c r="BK66" s="13">
        <v>0.0</v>
      </c>
    </row>
    <row r="67" ht="14.25" customHeight="1">
      <c r="A67" s="13">
        <v>65.0</v>
      </c>
      <c r="B67" s="13" t="s">
        <v>47</v>
      </c>
      <c r="C67" s="13">
        <v>1.0</v>
      </c>
      <c r="D67" s="14">
        <v>0.0</v>
      </c>
      <c r="E67" s="13" t="s">
        <v>550</v>
      </c>
      <c r="F67" s="15" t="s">
        <v>551</v>
      </c>
      <c r="G67" s="16" t="s">
        <v>552</v>
      </c>
      <c r="H67" s="13">
        <v>14.0</v>
      </c>
      <c r="I67" s="13">
        <v>0.9</v>
      </c>
      <c r="J67" s="13" t="s">
        <v>489</v>
      </c>
      <c r="K67" s="13">
        <f t="shared" si="3"/>
        <v>0</v>
      </c>
      <c r="L67" s="13">
        <f t="shared" si="4"/>
        <v>2</v>
      </c>
      <c r="M67" s="13">
        <f t="shared" ref="M67:AA67" si="133">IFERROR(VALUE(RIGHT(LEFT($J67,FIND(M$1,$J67,1)+LEN(M$1)),1)),0)</f>
        <v>0</v>
      </c>
      <c r="N67" s="13">
        <f t="shared" si="133"/>
        <v>0</v>
      </c>
      <c r="O67" s="13">
        <f t="shared" si="133"/>
        <v>0</v>
      </c>
      <c r="P67" s="13">
        <f t="shared" si="133"/>
        <v>0</v>
      </c>
      <c r="Q67" s="13">
        <f t="shared" si="133"/>
        <v>0</v>
      </c>
      <c r="R67" s="13">
        <f t="shared" si="133"/>
        <v>0</v>
      </c>
      <c r="S67" s="13">
        <f t="shared" si="133"/>
        <v>0</v>
      </c>
      <c r="T67" s="13">
        <f t="shared" si="133"/>
        <v>0</v>
      </c>
      <c r="U67" s="13">
        <f t="shared" si="133"/>
        <v>0</v>
      </c>
      <c r="V67" s="13">
        <f t="shared" si="133"/>
        <v>0</v>
      </c>
      <c r="W67" s="13">
        <f t="shared" si="133"/>
        <v>0</v>
      </c>
      <c r="X67" s="13">
        <f t="shared" si="133"/>
        <v>0</v>
      </c>
      <c r="Y67" s="13">
        <f t="shared" si="133"/>
        <v>0</v>
      </c>
      <c r="Z67" s="13">
        <f t="shared" si="133"/>
        <v>0</v>
      </c>
      <c r="AA67" s="13">
        <f t="shared" si="133"/>
        <v>0</v>
      </c>
      <c r="AB67" s="13">
        <f t="shared" ref="AB67:AP67" si="134">IFERROR(VALUE(RIGHT(LEFT($J67,FIND(AB$1,$J67,IF(M67=0,1,FIND(AB$1,$J67,1)+1))+LEN(AB$1)),1)),0)</f>
        <v>1</v>
      </c>
      <c r="AC67" s="13">
        <f t="shared" si="134"/>
        <v>0</v>
      </c>
      <c r="AD67" s="13">
        <f t="shared" si="134"/>
        <v>0</v>
      </c>
      <c r="AE67" s="13">
        <f t="shared" si="134"/>
        <v>0</v>
      </c>
      <c r="AF67" s="13">
        <f t="shared" si="134"/>
        <v>0</v>
      </c>
      <c r="AG67" s="13">
        <f t="shared" si="134"/>
        <v>0</v>
      </c>
      <c r="AH67" s="13">
        <f t="shared" si="134"/>
        <v>0</v>
      </c>
      <c r="AI67" s="13">
        <f t="shared" si="134"/>
        <v>0</v>
      </c>
      <c r="AJ67" s="13">
        <f t="shared" si="134"/>
        <v>0</v>
      </c>
      <c r="AK67" s="13">
        <f t="shared" si="134"/>
        <v>1</v>
      </c>
      <c r="AL67" s="13">
        <f t="shared" si="134"/>
        <v>0</v>
      </c>
      <c r="AM67" s="13">
        <f t="shared" si="134"/>
        <v>0</v>
      </c>
      <c r="AN67" s="13">
        <f t="shared" si="134"/>
        <v>0</v>
      </c>
      <c r="AO67" s="13">
        <f t="shared" si="134"/>
        <v>0</v>
      </c>
      <c r="AP67" s="13">
        <f t="shared" si="134"/>
        <v>0</v>
      </c>
      <c r="AQ67" s="13"/>
      <c r="AR67" s="13" t="s">
        <v>152</v>
      </c>
      <c r="AS67" s="13" t="s">
        <v>141</v>
      </c>
      <c r="AT67" s="13" t="s">
        <v>142</v>
      </c>
      <c r="AU67" s="13" t="s">
        <v>130</v>
      </c>
      <c r="AV67" s="13" t="s">
        <v>553</v>
      </c>
      <c r="AW67" s="13">
        <v>9.0</v>
      </c>
      <c r="AX67" s="13">
        <v>-1.0</v>
      </c>
      <c r="AY67" s="13">
        <v>0.0</v>
      </c>
      <c r="AZ67" s="13" t="s">
        <v>316</v>
      </c>
      <c r="BA67" s="13" t="s">
        <v>554</v>
      </c>
      <c r="BB67" s="13"/>
      <c r="BC67" s="13"/>
      <c r="BD67" s="13" t="s">
        <v>134</v>
      </c>
      <c r="BE67" s="13"/>
      <c r="BF67" s="13" t="s">
        <v>135</v>
      </c>
      <c r="BG67" s="13" t="s">
        <v>136</v>
      </c>
      <c r="BH67" s="13" t="s">
        <v>79</v>
      </c>
      <c r="BI67" s="13" t="b">
        <v>0</v>
      </c>
      <c r="BJ67" s="13">
        <v>0.0</v>
      </c>
      <c r="BK67" s="13">
        <v>0.0</v>
      </c>
    </row>
    <row r="68" ht="14.25" customHeight="1">
      <c r="A68" s="13">
        <v>66.0</v>
      </c>
      <c r="B68" s="13" t="s">
        <v>47</v>
      </c>
      <c r="C68" s="13">
        <v>1.0</v>
      </c>
      <c r="D68" s="14">
        <v>0.0</v>
      </c>
      <c r="E68" s="13" t="s">
        <v>555</v>
      </c>
      <c r="F68" s="15" t="s">
        <v>556</v>
      </c>
      <c r="G68" s="16" t="s">
        <v>557</v>
      </c>
      <c r="H68" s="13">
        <v>10.0</v>
      </c>
      <c r="I68" s="13">
        <v>0.8</v>
      </c>
      <c r="J68" s="13" t="s">
        <v>478</v>
      </c>
      <c r="K68" s="13">
        <f t="shared" si="3"/>
        <v>0</v>
      </c>
      <c r="L68" s="13">
        <f t="shared" si="4"/>
        <v>2</v>
      </c>
      <c r="M68" s="13">
        <f t="shared" ref="M68:AA68" si="135">IFERROR(VALUE(RIGHT(LEFT($J68,FIND(M$1,$J68,1)+LEN(M$1)),1)),0)</f>
        <v>0</v>
      </c>
      <c r="N68" s="13">
        <f t="shared" si="135"/>
        <v>0</v>
      </c>
      <c r="O68" s="13">
        <f t="shared" si="135"/>
        <v>0</v>
      </c>
      <c r="P68" s="13">
        <f t="shared" si="135"/>
        <v>0</v>
      </c>
      <c r="Q68" s="13">
        <f t="shared" si="135"/>
        <v>0</v>
      </c>
      <c r="R68" s="13">
        <f t="shared" si="135"/>
        <v>0</v>
      </c>
      <c r="S68" s="13">
        <f t="shared" si="135"/>
        <v>0</v>
      </c>
      <c r="T68" s="13">
        <f t="shared" si="135"/>
        <v>0</v>
      </c>
      <c r="U68" s="13">
        <f t="shared" si="135"/>
        <v>0</v>
      </c>
      <c r="V68" s="13">
        <f t="shared" si="135"/>
        <v>0</v>
      </c>
      <c r="W68" s="13">
        <f t="shared" si="135"/>
        <v>0</v>
      </c>
      <c r="X68" s="13">
        <f t="shared" si="135"/>
        <v>0</v>
      </c>
      <c r="Y68" s="13">
        <f t="shared" si="135"/>
        <v>0</v>
      </c>
      <c r="Z68" s="13">
        <f t="shared" si="135"/>
        <v>0</v>
      </c>
      <c r="AA68" s="13">
        <f t="shared" si="135"/>
        <v>0</v>
      </c>
      <c r="AB68" s="13">
        <f t="shared" ref="AB68:AP68" si="136">IFERROR(VALUE(RIGHT(LEFT($J68,FIND(AB$1,$J68,IF(M68=0,1,FIND(AB$1,$J68,1)+1))+LEN(AB$1)),1)),0)</f>
        <v>0</v>
      </c>
      <c r="AC68" s="13">
        <f t="shared" si="136"/>
        <v>0</v>
      </c>
      <c r="AD68" s="13">
        <f t="shared" si="136"/>
        <v>0</v>
      </c>
      <c r="AE68" s="13">
        <f t="shared" si="136"/>
        <v>0</v>
      </c>
      <c r="AF68" s="13">
        <f t="shared" si="136"/>
        <v>0</v>
      </c>
      <c r="AG68" s="13">
        <f t="shared" si="136"/>
        <v>1</v>
      </c>
      <c r="AH68" s="13">
        <f t="shared" si="136"/>
        <v>0</v>
      </c>
      <c r="AI68" s="13">
        <f t="shared" si="136"/>
        <v>0</v>
      </c>
      <c r="AJ68" s="13">
        <f t="shared" si="136"/>
        <v>0</v>
      </c>
      <c r="AK68" s="13">
        <f t="shared" si="136"/>
        <v>1</v>
      </c>
      <c r="AL68" s="13">
        <f t="shared" si="136"/>
        <v>0</v>
      </c>
      <c r="AM68" s="13">
        <f t="shared" si="136"/>
        <v>0</v>
      </c>
      <c r="AN68" s="13">
        <f t="shared" si="136"/>
        <v>0</v>
      </c>
      <c r="AO68" s="13">
        <f t="shared" si="136"/>
        <v>0</v>
      </c>
      <c r="AP68" s="13">
        <f t="shared" si="136"/>
        <v>0</v>
      </c>
      <c r="AQ68" s="13"/>
      <c r="AR68" s="13" t="s">
        <v>140</v>
      </c>
      <c r="AS68" s="13" t="s">
        <v>558</v>
      </c>
      <c r="AT68" s="13" t="s">
        <v>162</v>
      </c>
      <c r="AU68" s="13" t="s">
        <v>163</v>
      </c>
      <c r="AV68" s="13" t="s">
        <v>208</v>
      </c>
      <c r="AW68" s="13">
        <v>8.0</v>
      </c>
      <c r="AX68" s="13">
        <v>-1.0</v>
      </c>
      <c r="AY68" s="13">
        <v>0.0</v>
      </c>
      <c r="AZ68" s="13" t="s">
        <v>186</v>
      </c>
      <c r="BA68" s="13" t="s">
        <v>146</v>
      </c>
      <c r="BB68" s="13"/>
      <c r="BC68" s="13"/>
      <c r="BD68" s="13" t="s">
        <v>134</v>
      </c>
      <c r="BE68" s="13"/>
      <c r="BF68" s="13" t="s">
        <v>559</v>
      </c>
      <c r="BG68" s="13" t="s">
        <v>136</v>
      </c>
      <c r="BH68" s="13" t="s">
        <v>79</v>
      </c>
      <c r="BI68" s="13" t="b">
        <v>0</v>
      </c>
      <c r="BJ68" s="13">
        <v>0.0</v>
      </c>
      <c r="BK68" s="13">
        <v>0.0</v>
      </c>
    </row>
    <row r="69" ht="14.25" customHeight="1">
      <c r="A69" s="13">
        <v>67.0</v>
      </c>
      <c r="B69" s="13" t="s">
        <v>48</v>
      </c>
      <c r="C69" s="13">
        <v>1.0</v>
      </c>
      <c r="D69" s="14">
        <v>0.0</v>
      </c>
      <c r="E69" s="13" t="s">
        <v>560</v>
      </c>
      <c r="F69" s="15" t="s">
        <v>561</v>
      </c>
      <c r="G69" s="16" t="s">
        <v>562</v>
      </c>
      <c r="H69" s="13">
        <v>12.0</v>
      </c>
      <c r="I69" s="13">
        <v>1.0</v>
      </c>
      <c r="J69" s="13" t="s">
        <v>563</v>
      </c>
      <c r="K69" s="13">
        <f t="shared" si="3"/>
        <v>0</v>
      </c>
      <c r="L69" s="13">
        <f t="shared" si="4"/>
        <v>2</v>
      </c>
      <c r="M69" s="13">
        <f t="shared" ref="M69:AA69" si="137">IFERROR(VALUE(RIGHT(LEFT($J69,FIND(M$1,$J69,1)+LEN(M$1)),1)),0)</f>
        <v>0</v>
      </c>
      <c r="N69" s="13">
        <f t="shared" si="137"/>
        <v>0</v>
      </c>
      <c r="O69" s="13">
        <f t="shared" si="137"/>
        <v>0</v>
      </c>
      <c r="P69" s="13">
        <f t="shared" si="137"/>
        <v>0</v>
      </c>
      <c r="Q69" s="13">
        <f t="shared" si="137"/>
        <v>0</v>
      </c>
      <c r="R69" s="13">
        <f t="shared" si="137"/>
        <v>0</v>
      </c>
      <c r="S69" s="13">
        <f t="shared" si="137"/>
        <v>0</v>
      </c>
      <c r="T69" s="13">
        <f t="shared" si="137"/>
        <v>0</v>
      </c>
      <c r="U69" s="13">
        <f t="shared" si="137"/>
        <v>0</v>
      </c>
      <c r="V69" s="13">
        <f t="shared" si="137"/>
        <v>0</v>
      </c>
      <c r="W69" s="13">
        <f t="shared" si="137"/>
        <v>0</v>
      </c>
      <c r="X69" s="13">
        <f t="shared" si="137"/>
        <v>0</v>
      </c>
      <c r="Y69" s="13">
        <f t="shared" si="137"/>
        <v>0</v>
      </c>
      <c r="Z69" s="13">
        <f t="shared" si="137"/>
        <v>0</v>
      </c>
      <c r="AA69" s="13">
        <f t="shared" si="137"/>
        <v>0</v>
      </c>
      <c r="AB69" s="13">
        <f t="shared" ref="AB69:AP69" si="138">IFERROR(VALUE(RIGHT(LEFT($J69,FIND(AB$1,$J69,IF(M69=0,1,FIND(AB$1,$J69,1)+1))+LEN(AB$1)),1)),0)</f>
        <v>0</v>
      </c>
      <c r="AC69" s="13">
        <f t="shared" si="138"/>
        <v>0</v>
      </c>
      <c r="AD69" s="13">
        <f t="shared" si="138"/>
        <v>1</v>
      </c>
      <c r="AE69" s="13">
        <f t="shared" si="138"/>
        <v>0</v>
      </c>
      <c r="AF69" s="13">
        <f t="shared" si="138"/>
        <v>0</v>
      </c>
      <c r="AG69" s="13">
        <f t="shared" si="138"/>
        <v>0</v>
      </c>
      <c r="AH69" s="13">
        <f t="shared" si="138"/>
        <v>0</v>
      </c>
      <c r="AI69" s="13">
        <f t="shared" si="138"/>
        <v>0</v>
      </c>
      <c r="AJ69" s="13">
        <f t="shared" si="138"/>
        <v>0</v>
      </c>
      <c r="AK69" s="13">
        <f t="shared" si="138"/>
        <v>0</v>
      </c>
      <c r="AL69" s="13">
        <f t="shared" si="138"/>
        <v>1</v>
      </c>
      <c r="AM69" s="13">
        <f t="shared" si="138"/>
        <v>0</v>
      </c>
      <c r="AN69" s="13">
        <f t="shared" si="138"/>
        <v>0</v>
      </c>
      <c r="AO69" s="13">
        <f t="shared" si="138"/>
        <v>0</v>
      </c>
      <c r="AP69" s="13">
        <f t="shared" si="138"/>
        <v>0</v>
      </c>
      <c r="AQ69" s="13"/>
      <c r="AR69" s="13" t="s">
        <v>564</v>
      </c>
      <c r="AS69" s="13" t="s">
        <v>565</v>
      </c>
      <c r="AT69" s="13" t="s">
        <v>162</v>
      </c>
      <c r="AU69" s="13" t="s">
        <v>163</v>
      </c>
      <c r="AV69" s="13" t="s">
        <v>481</v>
      </c>
      <c r="AW69" s="13">
        <v>10.0</v>
      </c>
      <c r="AX69" s="13">
        <v>-1.0</v>
      </c>
      <c r="AY69" s="13">
        <v>0.0</v>
      </c>
      <c r="AZ69" s="13" t="s">
        <v>566</v>
      </c>
      <c r="BA69" s="13" t="s">
        <v>281</v>
      </c>
      <c r="BB69" s="13"/>
      <c r="BC69" s="13"/>
      <c r="BD69" s="13" t="s">
        <v>167</v>
      </c>
      <c r="BE69" s="13"/>
      <c r="BF69" s="13" t="s">
        <v>567</v>
      </c>
      <c r="BG69" s="13" t="s">
        <v>169</v>
      </c>
      <c r="BH69" s="13" t="s">
        <v>79</v>
      </c>
      <c r="BI69" s="13" t="b">
        <v>0</v>
      </c>
      <c r="BJ69" s="13">
        <v>0.0</v>
      </c>
      <c r="BK69" s="13">
        <v>0.0</v>
      </c>
    </row>
    <row r="70" ht="14.25" customHeight="1">
      <c r="A70" s="13">
        <v>68.0</v>
      </c>
      <c r="B70" s="13" t="s">
        <v>48</v>
      </c>
      <c r="C70" s="13">
        <v>1.0</v>
      </c>
      <c r="D70" s="14">
        <v>0.0</v>
      </c>
      <c r="E70" s="13" t="s">
        <v>568</v>
      </c>
      <c r="F70" s="15" t="s">
        <v>340</v>
      </c>
      <c r="G70" s="16" t="s">
        <v>569</v>
      </c>
      <c r="H70" s="13">
        <v>13.0</v>
      </c>
      <c r="I70" s="13">
        <v>1.1</v>
      </c>
      <c r="J70" s="13" t="s">
        <v>570</v>
      </c>
      <c r="K70" s="13">
        <f t="shared" si="3"/>
        <v>0</v>
      </c>
      <c r="L70" s="13">
        <f t="shared" si="4"/>
        <v>2</v>
      </c>
      <c r="M70" s="13">
        <f t="shared" ref="M70:AA70" si="139">IFERROR(VALUE(RIGHT(LEFT($J70,FIND(M$1,$J70,1)+LEN(M$1)),1)),0)</f>
        <v>0</v>
      </c>
      <c r="N70" s="13">
        <f t="shared" si="139"/>
        <v>0</v>
      </c>
      <c r="O70" s="13">
        <f t="shared" si="139"/>
        <v>0</v>
      </c>
      <c r="P70" s="13">
        <f t="shared" si="139"/>
        <v>0</v>
      </c>
      <c r="Q70" s="13">
        <f t="shared" si="139"/>
        <v>0</v>
      </c>
      <c r="R70" s="13">
        <f t="shared" si="139"/>
        <v>0</v>
      </c>
      <c r="S70" s="13">
        <f t="shared" si="139"/>
        <v>0</v>
      </c>
      <c r="T70" s="13">
        <f t="shared" si="139"/>
        <v>0</v>
      </c>
      <c r="U70" s="13">
        <f t="shared" si="139"/>
        <v>0</v>
      </c>
      <c r="V70" s="13">
        <f t="shared" si="139"/>
        <v>0</v>
      </c>
      <c r="W70" s="13">
        <f t="shared" si="139"/>
        <v>0</v>
      </c>
      <c r="X70" s="13">
        <f t="shared" si="139"/>
        <v>0</v>
      </c>
      <c r="Y70" s="13">
        <f t="shared" si="139"/>
        <v>0</v>
      </c>
      <c r="Z70" s="13">
        <f t="shared" si="139"/>
        <v>0</v>
      </c>
      <c r="AA70" s="13">
        <f t="shared" si="139"/>
        <v>0</v>
      </c>
      <c r="AB70" s="13">
        <f t="shared" ref="AB70:AP70" si="140">IFERROR(VALUE(RIGHT(LEFT($J70,FIND(AB$1,$J70,IF(M70=0,1,FIND(AB$1,$J70,1)+1))+LEN(AB$1)),1)),0)</f>
        <v>0</v>
      </c>
      <c r="AC70" s="13">
        <f t="shared" si="140"/>
        <v>0</v>
      </c>
      <c r="AD70" s="13">
        <f t="shared" si="140"/>
        <v>0</v>
      </c>
      <c r="AE70" s="13">
        <f t="shared" si="140"/>
        <v>0</v>
      </c>
      <c r="AF70" s="13">
        <f t="shared" si="140"/>
        <v>0</v>
      </c>
      <c r="AG70" s="13">
        <f t="shared" si="140"/>
        <v>1</v>
      </c>
      <c r="AH70" s="13">
        <f t="shared" si="140"/>
        <v>0</v>
      </c>
      <c r="AI70" s="13">
        <f t="shared" si="140"/>
        <v>0</v>
      </c>
      <c r="AJ70" s="13">
        <f t="shared" si="140"/>
        <v>0</v>
      </c>
      <c r="AK70" s="13">
        <f t="shared" si="140"/>
        <v>0</v>
      </c>
      <c r="AL70" s="13">
        <f t="shared" si="140"/>
        <v>1</v>
      </c>
      <c r="AM70" s="13">
        <f t="shared" si="140"/>
        <v>0</v>
      </c>
      <c r="AN70" s="13">
        <f t="shared" si="140"/>
        <v>0</v>
      </c>
      <c r="AO70" s="13">
        <f t="shared" si="140"/>
        <v>0</v>
      </c>
      <c r="AP70" s="13">
        <f t="shared" si="140"/>
        <v>0</v>
      </c>
      <c r="AQ70" s="13"/>
      <c r="AR70" s="13" t="s">
        <v>571</v>
      </c>
      <c r="AS70" s="13" t="s">
        <v>572</v>
      </c>
      <c r="AT70" s="13" t="s">
        <v>573</v>
      </c>
      <c r="AU70" s="13" t="s">
        <v>130</v>
      </c>
      <c r="AV70" s="13" t="s">
        <v>227</v>
      </c>
      <c r="AW70" s="13">
        <v>11.0</v>
      </c>
      <c r="AX70" s="13">
        <v>-1.0</v>
      </c>
      <c r="AY70" s="13">
        <v>0.0</v>
      </c>
      <c r="AZ70" s="13" t="s">
        <v>529</v>
      </c>
      <c r="BA70" s="13" t="s">
        <v>574</v>
      </c>
      <c r="BB70" s="13"/>
      <c r="BC70" s="13"/>
      <c r="BD70" s="13" t="s">
        <v>179</v>
      </c>
      <c r="BE70" s="13"/>
      <c r="BF70" s="13" t="s">
        <v>575</v>
      </c>
      <c r="BG70" s="13" t="s">
        <v>169</v>
      </c>
      <c r="BH70" s="13" t="s">
        <v>79</v>
      </c>
      <c r="BI70" s="13" t="b">
        <v>0</v>
      </c>
      <c r="BJ70" s="13">
        <v>0.0</v>
      </c>
      <c r="BK70" s="13">
        <v>0.0</v>
      </c>
    </row>
    <row r="71" ht="14.25" customHeight="1">
      <c r="A71" s="13">
        <v>69.0</v>
      </c>
      <c r="B71" s="13" t="s">
        <v>48</v>
      </c>
      <c r="C71" s="13">
        <v>1.0</v>
      </c>
      <c r="D71" s="14">
        <v>0.0</v>
      </c>
      <c r="E71" s="13" t="s">
        <v>576</v>
      </c>
      <c r="F71" s="15"/>
      <c r="G71" s="16" t="s">
        <v>577</v>
      </c>
      <c r="H71" s="13">
        <v>14.0</v>
      </c>
      <c r="I71" s="13">
        <v>1.2</v>
      </c>
      <c r="J71" s="13" t="s">
        <v>570</v>
      </c>
      <c r="K71" s="13">
        <f t="shared" si="3"/>
        <v>0</v>
      </c>
      <c r="L71" s="13">
        <f t="shared" si="4"/>
        <v>2</v>
      </c>
      <c r="M71" s="13">
        <f t="shared" ref="M71:AA71" si="141">IFERROR(VALUE(RIGHT(LEFT($J71,FIND(M$1,$J71,1)+LEN(M$1)),1)),0)</f>
        <v>0</v>
      </c>
      <c r="N71" s="13">
        <f t="shared" si="141"/>
        <v>0</v>
      </c>
      <c r="O71" s="13">
        <f t="shared" si="141"/>
        <v>0</v>
      </c>
      <c r="P71" s="13">
        <f t="shared" si="141"/>
        <v>0</v>
      </c>
      <c r="Q71" s="13">
        <f t="shared" si="141"/>
        <v>0</v>
      </c>
      <c r="R71" s="13">
        <f t="shared" si="141"/>
        <v>0</v>
      </c>
      <c r="S71" s="13">
        <f t="shared" si="141"/>
        <v>0</v>
      </c>
      <c r="T71" s="13">
        <f t="shared" si="141"/>
        <v>0</v>
      </c>
      <c r="U71" s="13">
        <f t="shared" si="141"/>
        <v>0</v>
      </c>
      <c r="V71" s="13">
        <f t="shared" si="141"/>
        <v>0</v>
      </c>
      <c r="W71" s="13">
        <f t="shared" si="141"/>
        <v>0</v>
      </c>
      <c r="X71" s="13">
        <f t="shared" si="141"/>
        <v>0</v>
      </c>
      <c r="Y71" s="13">
        <f t="shared" si="141"/>
        <v>0</v>
      </c>
      <c r="Z71" s="13">
        <f t="shared" si="141"/>
        <v>0</v>
      </c>
      <c r="AA71" s="13">
        <f t="shared" si="141"/>
        <v>0</v>
      </c>
      <c r="AB71" s="13">
        <f t="shared" ref="AB71:AP71" si="142">IFERROR(VALUE(RIGHT(LEFT($J71,FIND(AB$1,$J71,IF(M71=0,1,FIND(AB$1,$J71,1)+1))+LEN(AB$1)),1)),0)</f>
        <v>0</v>
      </c>
      <c r="AC71" s="13">
        <f t="shared" si="142"/>
        <v>0</v>
      </c>
      <c r="AD71" s="13">
        <f t="shared" si="142"/>
        <v>0</v>
      </c>
      <c r="AE71" s="13">
        <f t="shared" si="142"/>
        <v>0</v>
      </c>
      <c r="AF71" s="13">
        <f t="shared" si="142"/>
        <v>0</v>
      </c>
      <c r="AG71" s="13">
        <f t="shared" si="142"/>
        <v>1</v>
      </c>
      <c r="AH71" s="13">
        <f t="shared" si="142"/>
        <v>0</v>
      </c>
      <c r="AI71" s="13">
        <f t="shared" si="142"/>
        <v>0</v>
      </c>
      <c r="AJ71" s="13">
        <f t="shared" si="142"/>
        <v>0</v>
      </c>
      <c r="AK71" s="13">
        <f t="shared" si="142"/>
        <v>0</v>
      </c>
      <c r="AL71" s="13">
        <f t="shared" si="142"/>
        <v>1</v>
      </c>
      <c r="AM71" s="13">
        <f t="shared" si="142"/>
        <v>0</v>
      </c>
      <c r="AN71" s="13">
        <f t="shared" si="142"/>
        <v>0</v>
      </c>
      <c r="AO71" s="13">
        <f t="shared" si="142"/>
        <v>0</v>
      </c>
      <c r="AP71" s="13">
        <f t="shared" si="142"/>
        <v>0</v>
      </c>
      <c r="AQ71" s="13"/>
      <c r="AR71" s="13" t="s">
        <v>173</v>
      </c>
      <c r="AS71" s="13" t="s">
        <v>578</v>
      </c>
      <c r="AT71" s="13" t="s">
        <v>162</v>
      </c>
      <c r="AU71" s="13" t="s">
        <v>163</v>
      </c>
      <c r="AV71" s="13" t="s">
        <v>579</v>
      </c>
      <c r="AW71" s="13">
        <v>13.0</v>
      </c>
      <c r="AX71" s="13">
        <v>-1.0</v>
      </c>
      <c r="AY71" s="13">
        <v>0.0</v>
      </c>
      <c r="AZ71" s="13" t="s">
        <v>304</v>
      </c>
      <c r="BA71" s="13" t="s">
        <v>580</v>
      </c>
      <c r="BB71" s="13"/>
      <c r="BC71" s="13"/>
      <c r="BD71" s="13" t="s">
        <v>188</v>
      </c>
      <c r="BE71" s="13"/>
      <c r="BF71" s="13" t="s">
        <v>581</v>
      </c>
      <c r="BG71" s="13" t="s">
        <v>169</v>
      </c>
      <c r="BH71" s="13" t="s">
        <v>79</v>
      </c>
      <c r="BI71" s="13" t="b">
        <v>0</v>
      </c>
      <c r="BJ71" s="13">
        <v>0.0</v>
      </c>
      <c r="BK71" s="13">
        <v>0.0</v>
      </c>
    </row>
    <row r="72" ht="14.25" customHeight="1">
      <c r="A72" s="13">
        <v>70.0</v>
      </c>
      <c r="B72" s="13" t="s">
        <v>48</v>
      </c>
      <c r="C72" s="13">
        <v>1.0</v>
      </c>
      <c r="D72" s="14">
        <v>0.0</v>
      </c>
      <c r="E72" s="13" t="s">
        <v>582</v>
      </c>
      <c r="F72" s="15" t="s">
        <v>377</v>
      </c>
      <c r="G72" s="16" t="s">
        <v>583</v>
      </c>
      <c r="H72" s="13">
        <v>12.0</v>
      </c>
      <c r="I72" s="13">
        <v>1.1</v>
      </c>
      <c r="J72" s="13" t="s">
        <v>584</v>
      </c>
      <c r="K72" s="13">
        <f t="shared" si="3"/>
        <v>0</v>
      </c>
      <c r="L72" s="13">
        <f t="shared" si="4"/>
        <v>2</v>
      </c>
      <c r="M72" s="13">
        <f t="shared" ref="M72:AA72" si="143">IFERROR(VALUE(RIGHT(LEFT($J72,FIND(M$1,$J72,1)+LEN(M$1)),1)),0)</f>
        <v>0</v>
      </c>
      <c r="N72" s="13">
        <f t="shared" si="143"/>
        <v>0</v>
      </c>
      <c r="O72" s="13">
        <f t="shared" si="143"/>
        <v>0</v>
      </c>
      <c r="P72" s="13">
        <f t="shared" si="143"/>
        <v>0</v>
      </c>
      <c r="Q72" s="13">
        <f t="shared" si="143"/>
        <v>0</v>
      </c>
      <c r="R72" s="13">
        <f t="shared" si="143"/>
        <v>0</v>
      </c>
      <c r="S72" s="13">
        <f t="shared" si="143"/>
        <v>0</v>
      </c>
      <c r="T72" s="13">
        <f t="shared" si="143"/>
        <v>0</v>
      </c>
      <c r="U72" s="13">
        <f t="shared" si="143"/>
        <v>0</v>
      </c>
      <c r="V72" s="13">
        <f t="shared" si="143"/>
        <v>0</v>
      </c>
      <c r="W72" s="13">
        <f t="shared" si="143"/>
        <v>0</v>
      </c>
      <c r="X72" s="13">
        <f t="shared" si="143"/>
        <v>0</v>
      </c>
      <c r="Y72" s="13">
        <f t="shared" si="143"/>
        <v>0</v>
      </c>
      <c r="Z72" s="13">
        <f t="shared" si="143"/>
        <v>0</v>
      </c>
      <c r="AA72" s="13">
        <f t="shared" si="143"/>
        <v>0</v>
      </c>
      <c r="AB72" s="13">
        <f t="shared" ref="AB72:AP72" si="144">IFERROR(VALUE(RIGHT(LEFT($J72,FIND(AB$1,$J72,IF(M72=0,1,FIND(AB$1,$J72,1)+1))+LEN(AB$1)),1)),0)</f>
        <v>1</v>
      </c>
      <c r="AC72" s="13">
        <f t="shared" si="144"/>
        <v>0</v>
      </c>
      <c r="AD72" s="13">
        <f t="shared" si="144"/>
        <v>0</v>
      </c>
      <c r="AE72" s="13">
        <f t="shared" si="144"/>
        <v>0</v>
      </c>
      <c r="AF72" s="13">
        <f t="shared" si="144"/>
        <v>0</v>
      </c>
      <c r="AG72" s="13">
        <f t="shared" si="144"/>
        <v>0</v>
      </c>
      <c r="AH72" s="13">
        <f t="shared" si="144"/>
        <v>0</v>
      </c>
      <c r="AI72" s="13">
        <f t="shared" si="144"/>
        <v>0</v>
      </c>
      <c r="AJ72" s="13">
        <f t="shared" si="144"/>
        <v>0</v>
      </c>
      <c r="AK72" s="13">
        <f t="shared" si="144"/>
        <v>0</v>
      </c>
      <c r="AL72" s="13">
        <f t="shared" si="144"/>
        <v>1</v>
      </c>
      <c r="AM72" s="13">
        <f t="shared" si="144"/>
        <v>0</v>
      </c>
      <c r="AN72" s="13">
        <f t="shared" si="144"/>
        <v>0</v>
      </c>
      <c r="AO72" s="13">
        <f t="shared" si="144"/>
        <v>0</v>
      </c>
      <c r="AP72" s="13">
        <f t="shared" si="144"/>
        <v>0</v>
      </c>
      <c r="AQ72" s="13"/>
      <c r="AR72" s="13" t="s">
        <v>585</v>
      </c>
      <c r="AS72" s="13" t="s">
        <v>586</v>
      </c>
      <c r="AT72" s="13" t="s">
        <v>162</v>
      </c>
      <c r="AU72" s="13" t="s">
        <v>236</v>
      </c>
      <c r="AV72" s="13" t="s">
        <v>492</v>
      </c>
      <c r="AW72" s="13">
        <v>10.0</v>
      </c>
      <c r="AX72" s="13">
        <v>-1.0</v>
      </c>
      <c r="AY72" s="13">
        <v>0.0</v>
      </c>
      <c r="AZ72" s="13" t="s">
        <v>209</v>
      </c>
      <c r="BA72" s="13" t="s">
        <v>272</v>
      </c>
      <c r="BB72" s="13"/>
      <c r="BC72" s="13"/>
      <c r="BD72" s="13" t="s">
        <v>188</v>
      </c>
      <c r="BE72" s="13"/>
      <c r="BF72" s="13" t="s">
        <v>587</v>
      </c>
      <c r="BG72" s="13" t="s">
        <v>169</v>
      </c>
      <c r="BH72" s="13" t="s">
        <v>79</v>
      </c>
      <c r="BI72" s="13" t="b">
        <v>0</v>
      </c>
      <c r="BJ72" s="13">
        <v>0.0</v>
      </c>
      <c r="BK72" s="13">
        <v>0.0</v>
      </c>
    </row>
    <row r="73" ht="14.25" customHeight="1">
      <c r="A73" s="13">
        <v>71.0</v>
      </c>
      <c r="B73" s="13" t="s">
        <v>48</v>
      </c>
      <c r="C73" s="13">
        <v>1.0</v>
      </c>
      <c r="D73" s="14">
        <v>0.0</v>
      </c>
      <c r="E73" s="13" t="s">
        <v>588</v>
      </c>
      <c r="F73" s="15" t="s">
        <v>589</v>
      </c>
      <c r="G73" s="16" t="s">
        <v>590</v>
      </c>
      <c r="H73" s="13">
        <v>10.0</v>
      </c>
      <c r="I73" s="13">
        <v>0.9</v>
      </c>
      <c r="J73" s="13" t="s">
        <v>591</v>
      </c>
      <c r="K73" s="13">
        <f t="shared" si="3"/>
        <v>0</v>
      </c>
      <c r="L73" s="13">
        <f t="shared" si="4"/>
        <v>2</v>
      </c>
      <c r="M73" s="13">
        <f t="shared" ref="M73:AA73" si="145">IFERROR(VALUE(RIGHT(LEFT($J73,FIND(M$1,$J73,1)+LEN(M$1)),1)),0)</f>
        <v>0</v>
      </c>
      <c r="N73" s="13">
        <f t="shared" si="145"/>
        <v>0</v>
      </c>
      <c r="O73" s="13">
        <f t="shared" si="145"/>
        <v>0</v>
      </c>
      <c r="P73" s="13">
        <f t="shared" si="145"/>
        <v>0</v>
      </c>
      <c r="Q73" s="13">
        <f t="shared" si="145"/>
        <v>0</v>
      </c>
      <c r="R73" s="13">
        <f t="shared" si="145"/>
        <v>0</v>
      </c>
      <c r="S73" s="13">
        <f t="shared" si="145"/>
        <v>0</v>
      </c>
      <c r="T73" s="13">
        <f t="shared" si="145"/>
        <v>0</v>
      </c>
      <c r="U73" s="13">
        <f t="shared" si="145"/>
        <v>0</v>
      </c>
      <c r="V73" s="13">
        <f t="shared" si="145"/>
        <v>0</v>
      </c>
      <c r="W73" s="13">
        <f t="shared" si="145"/>
        <v>0</v>
      </c>
      <c r="X73" s="13">
        <f t="shared" si="145"/>
        <v>0</v>
      </c>
      <c r="Y73" s="13">
        <f t="shared" si="145"/>
        <v>0</v>
      </c>
      <c r="Z73" s="13">
        <f t="shared" si="145"/>
        <v>0</v>
      </c>
      <c r="AA73" s="13">
        <f t="shared" si="145"/>
        <v>0</v>
      </c>
      <c r="AB73" s="13">
        <f t="shared" ref="AB73:AP73" si="146">IFERROR(VALUE(RIGHT(LEFT($J73,FIND(AB$1,$J73,IF(M73=0,1,FIND(AB$1,$J73,1)+1))+LEN(AB$1)),1)),0)</f>
        <v>0</v>
      </c>
      <c r="AC73" s="13">
        <f t="shared" si="146"/>
        <v>1</v>
      </c>
      <c r="AD73" s="13">
        <f t="shared" si="146"/>
        <v>0</v>
      </c>
      <c r="AE73" s="13">
        <f t="shared" si="146"/>
        <v>0</v>
      </c>
      <c r="AF73" s="13">
        <f t="shared" si="146"/>
        <v>0</v>
      </c>
      <c r="AG73" s="13">
        <f t="shared" si="146"/>
        <v>0</v>
      </c>
      <c r="AH73" s="13">
        <f t="shared" si="146"/>
        <v>0</v>
      </c>
      <c r="AI73" s="13">
        <f t="shared" si="146"/>
        <v>0</v>
      </c>
      <c r="AJ73" s="13">
        <f t="shared" si="146"/>
        <v>0</v>
      </c>
      <c r="AK73" s="13">
        <f t="shared" si="146"/>
        <v>0</v>
      </c>
      <c r="AL73" s="13">
        <f t="shared" si="146"/>
        <v>1</v>
      </c>
      <c r="AM73" s="13">
        <f t="shared" si="146"/>
        <v>0</v>
      </c>
      <c r="AN73" s="13">
        <f t="shared" si="146"/>
        <v>0</v>
      </c>
      <c r="AO73" s="13">
        <f t="shared" si="146"/>
        <v>0</v>
      </c>
      <c r="AP73" s="13">
        <f t="shared" si="146"/>
        <v>0</v>
      </c>
      <c r="AQ73" s="13"/>
      <c r="AR73" s="13" t="s">
        <v>592</v>
      </c>
      <c r="AS73" s="13" t="s">
        <v>185</v>
      </c>
      <c r="AT73" s="13" t="s">
        <v>129</v>
      </c>
      <c r="AU73" s="13" t="s">
        <v>143</v>
      </c>
      <c r="AV73" s="13" t="s">
        <v>593</v>
      </c>
      <c r="AW73" s="13">
        <v>8.0</v>
      </c>
      <c r="AX73" s="13">
        <v>-1.0</v>
      </c>
      <c r="AY73" s="13">
        <v>0.0</v>
      </c>
      <c r="AZ73" s="13" t="s">
        <v>249</v>
      </c>
      <c r="BA73" s="13" t="s">
        <v>594</v>
      </c>
      <c r="BB73" s="13"/>
      <c r="BC73" s="13"/>
      <c r="BD73" s="13" t="s">
        <v>179</v>
      </c>
      <c r="BE73" s="13"/>
      <c r="BF73" s="13" t="s">
        <v>595</v>
      </c>
      <c r="BG73" s="13" t="s">
        <v>169</v>
      </c>
      <c r="BH73" s="13" t="s">
        <v>79</v>
      </c>
      <c r="BI73" s="13" t="b">
        <v>0</v>
      </c>
      <c r="BJ73" s="13">
        <v>0.0</v>
      </c>
      <c r="BK73" s="13">
        <v>0.0</v>
      </c>
    </row>
    <row r="74" ht="14.25" customHeight="1">
      <c r="A74" s="13">
        <v>72.0</v>
      </c>
      <c r="B74" s="13" t="s">
        <v>48</v>
      </c>
      <c r="C74" s="13">
        <v>1.0</v>
      </c>
      <c r="D74" s="14">
        <v>0.0</v>
      </c>
      <c r="E74" s="13" t="s">
        <v>596</v>
      </c>
      <c r="F74" s="15" t="s">
        <v>597</v>
      </c>
      <c r="G74" s="16" t="s">
        <v>598</v>
      </c>
      <c r="H74" s="13">
        <v>12.0</v>
      </c>
      <c r="I74" s="13">
        <v>1.0</v>
      </c>
      <c r="J74" s="13" t="s">
        <v>570</v>
      </c>
      <c r="K74" s="13">
        <f t="shared" si="3"/>
        <v>0</v>
      </c>
      <c r="L74" s="13">
        <f t="shared" si="4"/>
        <v>2</v>
      </c>
      <c r="M74" s="13">
        <f t="shared" ref="M74:AA74" si="147">IFERROR(VALUE(RIGHT(LEFT($J74,FIND(M$1,$J74,1)+LEN(M$1)),1)),0)</f>
        <v>0</v>
      </c>
      <c r="N74" s="13">
        <f t="shared" si="147"/>
        <v>0</v>
      </c>
      <c r="O74" s="13">
        <f t="shared" si="147"/>
        <v>0</v>
      </c>
      <c r="P74" s="13">
        <f t="shared" si="147"/>
        <v>0</v>
      </c>
      <c r="Q74" s="13">
        <f t="shared" si="147"/>
        <v>0</v>
      </c>
      <c r="R74" s="13">
        <f t="shared" si="147"/>
        <v>0</v>
      </c>
      <c r="S74" s="13">
        <f t="shared" si="147"/>
        <v>0</v>
      </c>
      <c r="T74" s="13">
        <f t="shared" si="147"/>
        <v>0</v>
      </c>
      <c r="U74" s="13">
        <f t="shared" si="147"/>
        <v>0</v>
      </c>
      <c r="V74" s="13">
        <f t="shared" si="147"/>
        <v>0</v>
      </c>
      <c r="W74" s="13">
        <f t="shared" si="147"/>
        <v>0</v>
      </c>
      <c r="X74" s="13">
        <f t="shared" si="147"/>
        <v>0</v>
      </c>
      <c r="Y74" s="13">
        <f t="shared" si="147"/>
        <v>0</v>
      </c>
      <c r="Z74" s="13">
        <f t="shared" si="147"/>
        <v>0</v>
      </c>
      <c r="AA74" s="13">
        <f t="shared" si="147"/>
        <v>0</v>
      </c>
      <c r="AB74" s="13">
        <f t="shared" ref="AB74:AP74" si="148">IFERROR(VALUE(RIGHT(LEFT($J74,FIND(AB$1,$J74,IF(M74=0,1,FIND(AB$1,$J74,1)+1))+LEN(AB$1)),1)),0)</f>
        <v>0</v>
      </c>
      <c r="AC74" s="13">
        <f t="shared" si="148"/>
        <v>0</v>
      </c>
      <c r="AD74" s="13">
        <f t="shared" si="148"/>
        <v>0</v>
      </c>
      <c r="AE74" s="13">
        <f t="shared" si="148"/>
        <v>0</v>
      </c>
      <c r="AF74" s="13">
        <f t="shared" si="148"/>
        <v>0</v>
      </c>
      <c r="AG74" s="13">
        <f t="shared" si="148"/>
        <v>1</v>
      </c>
      <c r="AH74" s="13">
        <f t="shared" si="148"/>
        <v>0</v>
      </c>
      <c r="AI74" s="13">
        <f t="shared" si="148"/>
        <v>0</v>
      </c>
      <c r="AJ74" s="13">
        <f t="shared" si="148"/>
        <v>0</v>
      </c>
      <c r="AK74" s="13">
        <f t="shared" si="148"/>
        <v>0</v>
      </c>
      <c r="AL74" s="13">
        <f t="shared" si="148"/>
        <v>1</v>
      </c>
      <c r="AM74" s="13">
        <f t="shared" si="148"/>
        <v>0</v>
      </c>
      <c r="AN74" s="13">
        <f t="shared" si="148"/>
        <v>0</v>
      </c>
      <c r="AO74" s="13">
        <f t="shared" si="148"/>
        <v>0</v>
      </c>
      <c r="AP74" s="13">
        <f t="shared" si="148"/>
        <v>0</v>
      </c>
      <c r="AQ74" s="13"/>
      <c r="AR74" s="13" t="s">
        <v>599</v>
      </c>
      <c r="AS74" s="13" t="s">
        <v>600</v>
      </c>
      <c r="AT74" s="13" t="s">
        <v>175</v>
      </c>
      <c r="AU74" s="13" t="s">
        <v>143</v>
      </c>
      <c r="AV74" s="13" t="s">
        <v>176</v>
      </c>
      <c r="AW74" s="13">
        <v>10.0</v>
      </c>
      <c r="AX74" s="13">
        <v>-1.0</v>
      </c>
      <c r="AY74" s="13">
        <v>0.0</v>
      </c>
      <c r="AZ74" s="13" t="s">
        <v>154</v>
      </c>
      <c r="BA74" s="13" t="s">
        <v>601</v>
      </c>
      <c r="BB74" s="13"/>
      <c r="BC74" s="13"/>
      <c r="BD74" s="13" t="s">
        <v>167</v>
      </c>
      <c r="BE74" s="13"/>
      <c r="BF74" s="13" t="s">
        <v>549</v>
      </c>
      <c r="BG74" s="13" t="s">
        <v>169</v>
      </c>
      <c r="BH74" s="13" t="s">
        <v>79</v>
      </c>
      <c r="BI74" s="13" t="b">
        <v>0</v>
      </c>
      <c r="BJ74" s="13">
        <v>0.0</v>
      </c>
      <c r="BK74" s="13">
        <v>0.0</v>
      </c>
    </row>
    <row r="75" ht="14.25" customHeight="1">
      <c r="A75" s="13">
        <v>73.0</v>
      </c>
      <c r="B75" s="13" t="s">
        <v>48</v>
      </c>
      <c r="C75" s="13">
        <v>1.0</v>
      </c>
      <c r="D75" s="14">
        <v>0.0</v>
      </c>
      <c r="E75" s="13" t="s">
        <v>602</v>
      </c>
      <c r="F75" s="15" t="s">
        <v>603</v>
      </c>
      <c r="G75" s="16" t="s">
        <v>604</v>
      </c>
      <c r="H75" s="13">
        <v>12.0</v>
      </c>
      <c r="I75" s="13">
        <v>1.0</v>
      </c>
      <c r="J75" s="13" t="s">
        <v>605</v>
      </c>
      <c r="K75" s="13">
        <f t="shared" si="3"/>
        <v>0</v>
      </c>
      <c r="L75" s="13">
        <f t="shared" si="4"/>
        <v>2</v>
      </c>
      <c r="M75" s="13">
        <f t="shared" ref="M75:AA75" si="149">IFERROR(VALUE(RIGHT(LEFT($J75,FIND(M$1,$J75,1)+LEN(M$1)),1)),0)</f>
        <v>0</v>
      </c>
      <c r="N75" s="13">
        <f t="shared" si="149"/>
        <v>0</v>
      </c>
      <c r="O75" s="13">
        <f t="shared" si="149"/>
        <v>0</v>
      </c>
      <c r="P75" s="13">
        <f t="shared" si="149"/>
        <v>0</v>
      </c>
      <c r="Q75" s="13">
        <f t="shared" si="149"/>
        <v>0</v>
      </c>
      <c r="R75" s="13">
        <f t="shared" si="149"/>
        <v>0</v>
      </c>
      <c r="S75" s="13">
        <f t="shared" si="149"/>
        <v>0</v>
      </c>
      <c r="T75" s="13">
        <f t="shared" si="149"/>
        <v>0</v>
      </c>
      <c r="U75" s="13">
        <f t="shared" si="149"/>
        <v>0</v>
      </c>
      <c r="V75" s="13">
        <f t="shared" si="149"/>
        <v>0</v>
      </c>
      <c r="W75" s="13">
        <f t="shared" si="149"/>
        <v>0</v>
      </c>
      <c r="X75" s="13">
        <f t="shared" si="149"/>
        <v>0</v>
      </c>
      <c r="Y75" s="13">
        <f t="shared" si="149"/>
        <v>0</v>
      </c>
      <c r="Z75" s="13">
        <f t="shared" si="149"/>
        <v>0</v>
      </c>
      <c r="AA75" s="13">
        <f t="shared" si="149"/>
        <v>0</v>
      </c>
      <c r="AB75" s="13">
        <f t="shared" ref="AB75:AP75" si="150">IFERROR(VALUE(RIGHT(LEFT($J75,FIND(AB$1,$J75,IF(M75=0,1,FIND(AB$1,$J75,1)+1))+LEN(AB$1)),1)),0)</f>
        <v>0</v>
      </c>
      <c r="AC75" s="13">
        <f t="shared" si="150"/>
        <v>0</v>
      </c>
      <c r="AD75" s="13">
        <f t="shared" si="150"/>
        <v>0</v>
      </c>
      <c r="AE75" s="13">
        <f t="shared" si="150"/>
        <v>0</v>
      </c>
      <c r="AF75" s="13">
        <f t="shared" si="150"/>
        <v>0</v>
      </c>
      <c r="AG75" s="13">
        <f t="shared" si="150"/>
        <v>0</v>
      </c>
      <c r="AH75" s="13">
        <f t="shared" si="150"/>
        <v>0</v>
      </c>
      <c r="AI75" s="13">
        <f t="shared" si="150"/>
        <v>1</v>
      </c>
      <c r="AJ75" s="13">
        <f t="shared" si="150"/>
        <v>0</v>
      </c>
      <c r="AK75" s="13">
        <f t="shared" si="150"/>
        <v>0</v>
      </c>
      <c r="AL75" s="13">
        <f t="shared" si="150"/>
        <v>1</v>
      </c>
      <c r="AM75" s="13">
        <f t="shared" si="150"/>
        <v>0</v>
      </c>
      <c r="AN75" s="13">
        <f t="shared" si="150"/>
        <v>0</v>
      </c>
      <c r="AO75" s="13">
        <f t="shared" si="150"/>
        <v>0</v>
      </c>
      <c r="AP75" s="13">
        <f t="shared" si="150"/>
        <v>0</v>
      </c>
      <c r="AQ75" s="13"/>
      <c r="AR75" s="13" t="s">
        <v>606</v>
      </c>
      <c r="AS75" s="13" t="s">
        <v>607</v>
      </c>
      <c r="AT75" s="13" t="s">
        <v>162</v>
      </c>
      <c r="AU75" s="13" t="s">
        <v>236</v>
      </c>
      <c r="AV75" s="13" t="s">
        <v>608</v>
      </c>
      <c r="AW75" s="13">
        <v>11.0</v>
      </c>
      <c r="AX75" s="13">
        <v>-1.0</v>
      </c>
      <c r="AY75" s="13">
        <v>0.0</v>
      </c>
      <c r="AZ75" s="13" t="s">
        <v>609</v>
      </c>
      <c r="BA75" s="13" t="s">
        <v>198</v>
      </c>
      <c r="BB75" s="13"/>
      <c r="BC75" s="13"/>
      <c r="BD75" s="13" t="s">
        <v>188</v>
      </c>
      <c r="BE75" s="13"/>
      <c r="BF75" s="13" t="s">
        <v>610</v>
      </c>
      <c r="BG75" s="13" t="s">
        <v>169</v>
      </c>
      <c r="BH75" s="13" t="s">
        <v>79</v>
      </c>
      <c r="BI75" s="13" t="b">
        <v>0</v>
      </c>
      <c r="BJ75" s="13">
        <v>0.0</v>
      </c>
      <c r="BK75" s="13">
        <v>0.0</v>
      </c>
    </row>
    <row r="76" ht="14.25" customHeight="1">
      <c r="A76" s="13">
        <v>74.0</v>
      </c>
      <c r="B76" s="13" t="s">
        <v>48</v>
      </c>
      <c r="C76" s="13">
        <v>1.0</v>
      </c>
      <c r="D76" s="14">
        <v>0.0</v>
      </c>
      <c r="E76" s="13" t="s">
        <v>611</v>
      </c>
      <c r="F76" s="15" t="s">
        <v>612</v>
      </c>
      <c r="G76" s="16" t="s">
        <v>613</v>
      </c>
      <c r="H76" s="13">
        <v>10.0</v>
      </c>
      <c r="I76" s="13">
        <v>0.9</v>
      </c>
      <c r="J76" s="13" t="s">
        <v>591</v>
      </c>
      <c r="K76" s="13">
        <f t="shared" si="3"/>
        <v>0</v>
      </c>
      <c r="L76" s="13">
        <f t="shared" si="4"/>
        <v>2</v>
      </c>
      <c r="M76" s="13">
        <f t="shared" ref="M76:AA76" si="151">IFERROR(VALUE(RIGHT(LEFT($J76,FIND(M$1,$J76,1)+LEN(M$1)),1)),0)</f>
        <v>0</v>
      </c>
      <c r="N76" s="13">
        <f t="shared" si="151"/>
        <v>0</v>
      </c>
      <c r="O76" s="13">
        <f t="shared" si="151"/>
        <v>0</v>
      </c>
      <c r="P76" s="13">
        <f t="shared" si="151"/>
        <v>0</v>
      </c>
      <c r="Q76" s="13">
        <f t="shared" si="151"/>
        <v>0</v>
      </c>
      <c r="R76" s="13">
        <f t="shared" si="151"/>
        <v>0</v>
      </c>
      <c r="S76" s="13">
        <f t="shared" si="151"/>
        <v>0</v>
      </c>
      <c r="T76" s="13">
        <f t="shared" si="151"/>
        <v>0</v>
      </c>
      <c r="U76" s="13">
        <f t="shared" si="151"/>
        <v>0</v>
      </c>
      <c r="V76" s="13">
        <f t="shared" si="151"/>
        <v>0</v>
      </c>
      <c r="W76" s="13">
        <f t="shared" si="151"/>
        <v>0</v>
      </c>
      <c r="X76" s="13">
        <f t="shared" si="151"/>
        <v>0</v>
      </c>
      <c r="Y76" s="13">
        <f t="shared" si="151"/>
        <v>0</v>
      </c>
      <c r="Z76" s="13">
        <f t="shared" si="151"/>
        <v>0</v>
      </c>
      <c r="AA76" s="13">
        <f t="shared" si="151"/>
        <v>0</v>
      </c>
      <c r="AB76" s="13">
        <f t="shared" ref="AB76:AP76" si="152">IFERROR(VALUE(RIGHT(LEFT($J76,FIND(AB$1,$J76,IF(M76=0,1,FIND(AB$1,$J76,1)+1))+LEN(AB$1)),1)),0)</f>
        <v>0</v>
      </c>
      <c r="AC76" s="13">
        <f t="shared" si="152"/>
        <v>1</v>
      </c>
      <c r="AD76" s="13">
        <f t="shared" si="152"/>
        <v>0</v>
      </c>
      <c r="AE76" s="13">
        <f t="shared" si="152"/>
        <v>0</v>
      </c>
      <c r="AF76" s="13">
        <f t="shared" si="152"/>
        <v>0</v>
      </c>
      <c r="AG76" s="13">
        <f t="shared" si="152"/>
        <v>0</v>
      </c>
      <c r="AH76" s="13">
        <f t="shared" si="152"/>
        <v>0</v>
      </c>
      <c r="AI76" s="13">
        <f t="shared" si="152"/>
        <v>0</v>
      </c>
      <c r="AJ76" s="13">
        <f t="shared" si="152"/>
        <v>0</v>
      </c>
      <c r="AK76" s="13">
        <f t="shared" si="152"/>
        <v>0</v>
      </c>
      <c r="AL76" s="13">
        <f t="shared" si="152"/>
        <v>1</v>
      </c>
      <c r="AM76" s="13">
        <f t="shared" si="152"/>
        <v>0</v>
      </c>
      <c r="AN76" s="13">
        <f t="shared" si="152"/>
        <v>0</v>
      </c>
      <c r="AO76" s="13">
        <f t="shared" si="152"/>
        <v>0</v>
      </c>
      <c r="AP76" s="13">
        <f t="shared" si="152"/>
        <v>0</v>
      </c>
      <c r="AQ76" s="13"/>
      <c r="AR76" s="13" t="s">
        <v>614</v>
      </c>
      <c r="AS76" s="13" t="s">
        <v>615</v>
      </c>
      <c r="AT76" s="13" t="s">
        <v>162</v>
      </c>
      <c r="AU76" s="13" t="s">
        <v>616</v>
      </c>
      <c r="AV76" s="13" t="s">
        <v>617</v>
      </c>
      <c r="AW76" s="13">
        <v>9.0</v>
      </c>
      <c r="AX76" s="13">
        <v>-1.0</v>
      </c>
      <c r="AY76" s="13">
        <v>0.0</v>
      </c>
      <c r="AZ76" s="13" t="s">
        <v>292</v>
      </c>
      <c r="BA76" s="13" t="s">
        <v>574</v>
      </c>
      <c r="BB76" s="13"/>
      <c r="BC76" s="13"/>
      <c r="BD76" s="13" t="s">
        <v>188</v>
      </c>
      <c r="BE76" s="13"/>
      <c r="BF76" s="13" t="s">
        <v>618</v>
      </c>
      <c r="BG76" s="13" t="s">
        <v>169</v>
      </c>
      <c r="BH76" s="13" t="s">
        <v>79</v>
      </c>
      <c r="BI76" s="13" t="b">
        <v>0</v>
      </c>
      <c r="BJ76" s="13">
        <v>0.0</v>
      </c>
      <c r="BK76" s="13">
        <v>0.0</v>
      </c>
    </row>
    <row r="77" ht="14.25" customHeight="1">
      <c r="A77" s="13">
        <v>75.0</v>
      </c>
      <c r="B77" s="13" t="s">
        <v>48</v>
      </c>
      <c r="C77" s="13">
        <v>1.0</v>
      </c>
      <c r="D77" s="14">
        <v>0.0</v>
      </c>
      <c r="E77" s="13" t="s">
        <v>619</v>
      </c>
      <c r="F77" s="15" t="s">
        <v>418</v>
      </c>
      <c r="G77" s="16" t="s">
        <v>620</v>
      </c>
      <c r="H77" s="13">
        <v>12.0</v>
      </c>
      <c r="I77" s="13">
        <v>0.9</v>
      </c>
      <c r="J77" s="13" t="s">
        <v>621</v>
      </c>
      <c r="K77" s="13">
        <f t="shared" si="3"/>
        <v>0</v>
      </c>
      <c r="L77" s="13">
        <f t="shared" si="4"/>
        <v>2</v>
      </c>
      <c r="M77" s="13">
        <f t="shared" ref="M77:AA77" si="153">IFERROR(VALUE(RIGHT(LEFT($J77,FIND(M$1,$J77,1)+LEN(M$1)),1)),0)</f>
        <v>0</v>
      </c>
      <c r="N77" s="13">
        <f t="shared" si="153"/>
        <v>0</v>
      </c>
      <c r="O77" s="13">
        <f t="shared" si="153"/>
        <v>0</v>
      </c>
      <c r="P77" s="13">
        <f t="shared" si="153"/>
        <v>0</v>
      </c>
      <c r="Q77" s="13">
        <f t="shared" si="153"/>
        <v>0</v>
      </c>
      <c r="R77" s="13">
        <f t="shared" si="153"/>
        <v>0</v>
      </c>
      <c r="S77" s="13">
        <f t="shared" si="153"/>
        <v>0</v>
      </c>
      <c r="T77" s="13">
        <f t="shared" si="153"/>
        <v>0</v>
      </c>
      <c r="U77" s="13">
        <f t="shared" si="153"/>
        <v>0</v>
      </c>
      <c r="V77" s="13">
        <f t="shared" si="153"/>
        <v>0</v>
      </c>
      <c r="W77" s="13">
        <f t="shared" si="153"/>
        <v>0</v>
      </c>
      <c r="X77" s="13">
        <f t="shared" si="153"/>
        <v>0</v>
      </c>
      <c r="Y77" s="13">
        <f t="shared" si="153"/>
        <v>0</v>
      </c>
      <c r="Z77" s="13">
        <f t="shared" si="153"/>
        <v>0</v>
      </c>
      <c r="AA77" s="13">
        <f t="shared" si="153"/>
        <v>0</v>
      </c>
      <c r="AB77" s="13">
        <f t="shared" ref="AB77:AP77" si="154">IFERROR(VALUE(RIGHT(LEFT($J77,FIND(AB$1,$J77,IF(M77=0,1,FIND(AB$1,$J77,1)+1))+LEN(AB$1)),1)),0)</f>
        <v>0</v>
      </c>
      <c r="AC77" s="13">
        <f t="shared" si="154"/>
        <v>0</v>
      </c>
      <c r="AD77" s="13">
        <f t="shared" si="154"/>
        <v>0</v>
      </c>
      <c r="AE77" s="13">
        <f t="shared" si="154"/>
        <v>0</v>
      </c>
      <c r="AF77" s="13">
        <f t="shared" si="154"/>
        <v>1</v>
      </c>
      <c r="AG77" s="13">
        <f t="shared" si="154"/>
        <v>0</v>
      </c>
      <c r="AH77" s="13">
        <f t="shared" si="154"/>
        <v>0</v>
      </c>
      <c r="AI77" s="13">
        <f t="shared" si="154"/>
        <v>0</v>
      </c>
      <c r="AJ77" s="13">
        <f t="shared" si="154"/>
        <v>0</v>
      </c>
      <c r="AK77" s="13">
        <f t="shared" si="154"/>
        <v>0</v>
      </c>
      <c r="AL77" s="13">
        <f t="shared" si="154"/>
        <v>1</v>
      </c>
      <c r="AM77" s="13">
        <f t="shared" si="154"/>
        <v>0</v>
      </c>
      <c r="AN77" s="13">
        <f t="shared" si="154"/>
        <v>0</v>
      </c>
      <c r="AO77" s="13">
        <f t="shared" si="154"/>
        <v>0</v>
      </c>
      <c r="AP77" s="13">
        <f t="shared" si="154"/>
        <v>0</v>
      </c>
      <c r="AQ77" s="13"/>
      <c r="AR77" s="13" t="s">
        <v>622</v>
      </c>
      <c r="AS77" s="13" t="s">
        <v>623</v>
      </c>
      <c r="AT77" s="13" t="s">
        <v>129</v>
      </c>
      <c r="AU77" s="13" t="s">
        <v>143</v>
      </c>
      <c r="AV77" s="13" t="s">
        <v>237</v>
      </c>
      <c r="AW77" s="13">
        <v>11.0</v>
      </c>
      <c r="AX77" s="13">
        <v>-1.0</v>
      </c>
      <c r="AY77" s="13">
        <v>0.0</v>
      </c>
      <c r="AZ77" s="13" t="s">
        <v>624</v>
      </c>
      <c r="BA77" s="13" t="s">
        <v>625</v>
      </c>
      <c r="BB77" s="13"/>
      <c r="BC77" s="13"/>
      <c r="BD77" s="13" t="s">
        <v>167</v>
      </c>
      <c r="BE77" s="13"/>
      <c r="BF77" s="13" t="s">
        <v>626</v>
      </c>
      <c r="BG77" s="13" t="s">
        <v>169</v>
      </c>
      <c r="BH77" s="13" t="s">
        <v>79</v>
      </c>
      <c r="BI77" s="13" t="b">
        <v>0</v>
      </c>
      <c r="BJ77" s="13">
        <v>0.0</v>
      </c>
      <c r="BK77" s="13">
        <v>0.0</v>
      </c>
    </row>
    <row r="78" ht="14.25" customHeight="1">
      <c r="A78" s="13">
        <v>76.0</v>
      </c>
      <c r="B78" s="13" t="s">
        <v>48</v>
      </c>
      <c r="C78" s="13">
        <v>1.0</v>
      </c>
      <c r="D78" s="14">
        <v>0.0</v>
      </c>
      <c r="E78" s="13" t="s">
        <v>627</v>
      </c>
      <c r="F78" s="15" t="s">
        <v>628</v>
      </c>
      <c r="G78" s="16" t="s">
        <v>629</v>
      </c>
      <c r="H78" s="13">
        <v>12.0</v>
      </c>
      <c r="I78" s="13">
        <v>1.1</v>
      </c>
      <c r="J78" s="13" t="s">
        <v>630</v>
      </c>
      <c r="K78" s="13">
        <f t="shared" si="3"/>
        <v>0</v>
      </c>
      <c r="L78" s="13">
        <f t="shared" si="4"/>
        <v>2</v>
      </c>
      <c r="M78" s="13">
        <f t="shared" ref="M78:AA78" si="155">IFERROR(VALUE(RIGHT(LEFT($J78,FIND(M$1,$J78,1)+LEN(M$1)),1)),0)</f>
        <v>0</v>
      </c>
      <c r="N78" s="13">
        <f t="shared" si="155"/>
        <v>0</v>
      </c>
      <c r="O78" s="13">
        <f t="shared" si="155"/>
        <v>0</v>
      </c>
      <c r="P78" s="13">
        <f t="shared" si="155"/>
        <v>0</v>
      </c>
      <c r="Q78" s="13">
        <f t="shared" si="155"/>
        <v>0</v>
      </c>
      <c r="R78" s="13">
        <f t="shared" si="155"/>
        <v>0</v>
      </c>
      <c r="S78" s="13">
        <f t="shared" si="155"/>
        <v>0</v>
      </c>
      <c r="T78" s="13">
        <f t="shared" si="155"/>
        <v>0</v>
      </c>
      <c r="U78" s="13">
        <f t="shared" si="155"/>
        <v>0</v>
      </c>
      <c r="V78" s="13">
        <f t="shared" si="155"/>
        <v>0</v>
      </c>
      <c r="W78" s="13">
        <f t="shared" si="155"/>
        <v>0</v>
      </c>
      <c r="X78" s="13">
        <f t="shared" si="155"/>
        <v>0</v>
      </c>
      <c r="Y78" s="13">
        <f t="shared" si="155"/>
        <v>0</v>
      </c>
      <c r="Z78" s="13">
        <f t="shared" si="155"/>
        <v>0</v>
      </c>
      <c r="AA78" s="13">
        <f t="shared" si="155"/>
        <v>0</v>
      </c>
      <c r="AB78" s="13">
        <f t="shared" ref="AB78:AP78" si="156">IFERROR(VALUE(RIGHT(LEFT($J78,FIND(AB$1,$J78,IF(M78=0,1,FIND(AB$1,$J78,1)+1))+LEN(AB$1)),1)),0)</f>
        <v>0</v>
      </c>
      <c r="AC78" s="13">
        <f t="shared" si="156"/>
        <v>0</v>
      </c>
      <c r="AD78" s="13">
        <f t="shared" si="156"/>
        <v>0</v>
      </c>
      <c r="AE78" s="13">
        <f t="shared" si="156"/>
        <v>1</v>
      </c>
      <c r="AF78" s="13">
        <f t="shared" si="156"/>
        <v>0</v>
      </c>
      <c r="AG78" s="13">
        <f t="shared" si="156"/>
        <v>0</v>
      </c>
      <c r="AH78" s="13">
        <f t="shared" si="156"/>
        <v>0</v>
      </c>
      <c r="AI78" s="13">
        <f t="shared" si="156"/>
        <v>0</v>
      </c>
      <c r="AJ78" s="13">
        <f t="shared" si="156"/>
        <v>0</v>
      </c>
      <c r="AK78" s="13">
        <f t="shared" si="156"/>
        <v>0</v>
      </c>
      <c r="AL78" s="13">
        <f t="shared" si="156"/>
        <v>1</v>
      </c>
      <c r="AM78" s="13">
        <f t="shared" si="156"/>
        <v>0</v>
      </c>
      <c r="AN78" s="13">
        <f t="shared" si="156"/>
        <v>0</v>
      </c>
      <c r="AO78" s="13">
        <f t="shared" si="156"/>
        <v>0</v>
      </c>
      <c r="AP78" s="13">
        <f t="shared" si="156"/>
        <v>0</v>
      </c>
      <c r="AQ78" s="13"/>
      <c r="AR78" s="13" t="s">
        <v>631</v>
      </c>
      <c r="AS78" s="13" t="s">
        <v>632</v>
      </c>
      <c r="AT78" s="13" t="s">
        <v>162</v>
      </c>
      <c r="AU78" s="13" t="s">
        <v>633</v>
      </c>
      <c r="AV78" s="13" t="s">
        <v>634</v>
      </c>
      <c r="AW78" s="13">
        <v>9.0</v>
      </c>
      <c r="AX78" s="13">
        <v>-1.0</v>
      </c>
      <c r="AY78" s="13">
        <v>0.0</v>
      </c>
      <c r="AZ78" s="13" t="s">
        <v>566</v>
      </c>
      <c r="BA78" s="13" t="s">
        <v>281</v>
      </c>
      <c r="BB78" s="13"/>
      <c r="BC78" s="13"/>
      <c r="BD78" s="13" t="s">
        <v>179</v>
      </c>
      <c r="BE78" s="13"/>
      <c r="BF78" s="13" t="s">
        <v>635</v>
      </c>
      <c r="BG78" s="13" t="s">
        <v>169</v>
      </c>
      <c r="BH78" s="13" t="s">
        <v>79</v>
      </c>
      <c r="BI78" s="13" t="b">
        <v>0</v>
      </c>
      <c r="BJ78" s="13">
        <v>0.0</v>
      </c>
      <c r="BK78" s="13">
        <v>0.0</v>
      </c>
    </row>
    <row r="79" ht="14.25" customHeight="1">
      <c r="A79" s="13">
        <v>77.0</v>
      </c>
      <c r="B79" s="13" t="s">
        <v>49</v>
      </c>
      <c r="C79" s="13">
        <v>1.0</v>
      </c>
      <c r="D79" s="14">
        <v>0.0</v>
      </c>
      <c r="E79" s="13" t="s">
        <v>636</v>
      </c>
      <c r="F79" s="15" t="s">
        <v>496</v>
      </c>
      <c r="G79" s="16" t="s">
        <v>637</v>
      </c>
      <c r="H79" s="13">
        <v>14.0</v>
      </c>
      <c r="I79" s="13">
        <v>1.0</v>
      </c>
      <c r="J79" s="13" t="s">
        <v>638</v>
      </c>
      <c r="K79" s="13">
        <f t="shared" si="3"/>
        <v>0</v>
      </c>
      <c r="L79" s="13">
        <f t="shared" si="4"/>
        <v>2</v>
      </c>
      <c r="M79" s="13">
        <f t="shared" ref="M79:AA79" si="157">IFERROR(VALUE(RIGHT(LEFT($J79,FIND(M$1,$J79,1)+LEN(M$1)),1)),0)</f>
        <v>0</v>
      </c>
      <c r="N79" s="13">
        <f t="shared" si="157"/>
        <v>0</v>
      </c>
      <c r="O79" s="13">
        <f t="shared" si="157"/>
        <v>0</v>
      </c>
      <c r="P79" s="13">
        <f t="shared" si="157"/>
        <v>0</v>
      </c>
      <c r="Q79" s="13">
        <f t="shared" si="157"/>
        <v>0</v>
      </c>
      <c r="R79" s="13">
        <f t="shared" si="157"/>
        <v>0</v>
      </c>
      <c r="S79" s="13">
        <f t="shared" si="157"/>
        <v>0</v>
      </c>
      <c r="T79" s="13">
        <f t="shared" si="157"/>
        <v>0</v>
      </c>
      <c r="U79" s="13">
        <f t="shared" si="157"/>
        <v>0</v>
      </c>
      <c r="V79" s="13">
        <f t="shared" si="157"/>
        <v>0</v>
      </c>
      <c r="W79" s="13">
        <f t="shared" si="157"/>
        <v>0</v>
      </c>
      <c r="X79" s="13">
        <f t="shared" si="157"/>
        <v>0</v>
      </c>
      <c r="Y79" s="13">
        <f t="shared" si="157"/>
        <v>0</v>
      </c>
      <c r="Z79" s="13">
        <f t="shared" si="157"/>
        <v>0</v>
      </c>
      <c r="AA79" s="13">
        <f t="shared" si="157"/>
        <v>0</v>
      </c>
      <c r="AB79" s="13">
        <f t="shared" ref="AB79:AP79" si="158">IFERROR(VALUE(RIGHT(LEFT($J79,FIND(AB$1,$J79,IF(M79=0,1,FIND(AB$1,$J79,1)+1))+LEN(AB$1)),1)),0)</f>
        <v>1</v>
      </c>
      <c r="AC79" s="13">
        <f t="shared" si="158"/>
        <v>0</v>
      </c>
      <c r="AD79" s="13">
        <f t="shared" si="158"/>
        <v>0</v>
      </c>
      <c r="AE79" s="13">
        <f t="shared" si="158"/>
        <v>0</v>
      </c>
      <c r="AF79" s="13">
        <f t="shared" si="158"/>
        <v>0</v>
      </c>
      <c r="AG79" s="13">
        <f t="shared" si="158"/>
        <v>0</v>
      </c>
      <c r="AH79" s="13">
        <f t="shared" si="158"/>
        <v>0</v>
      </c>
      <c r="AI79" s="13">
        <f t="shared" si="158"/>
        <v>0</v>
      </c>
      <c r="AJ79" s="13">
        <f t="shared" si="158"/>
        <v>0</v>
      </c>
      <c r="AK79" s="13">
        <f t="shared" si="158"/>
        <v>0</v>
      </c>
      <c r="AL79" s="13">
        <f t="shared" si="158"/>
        <v>0</v>
      </c>
      <c r="AM79" s="13">
        <f t="shared" si="158"/>
        <v>1</v>
      </c>
      <c r="AN79" s="13">
        <f t="shared" si="158"/>
        <v>0</v>
      </c>
      <c r="AO79" s="13">
        <f t="shared" si="158"/>
        <v>0</v>
      </c>
      <c r="AP79" s="13">
        <f t="shared" si="158"/>
        <v>0</v>
      </c>
      <c r="AQ79" s="13"/>
      <c r="AR79" s="13" t="s">
        <v>216</v>
      </c>
      <c r="AS79" s="13" t="s">
        <v>639</v>
      </c>
      <c r="AT79" s="13" t="s">
        <v>162</v>
      </c>
      <c r="AU79" s="13" t="s">
        <v>163</v>
      </c>
      <c r="AV79" s="13" t="s">
        <v>640</v>
      </c>
      <c r="AW79" s="13">
        <v>12.0</v>
      </c>
      <c r="AX79" s="13">
        <v>-1.0</v>
      </c>
      <c r="AY79" s="13">
        <v>0.0</v>
      </c>
      <c r="AZ79" s="13" t="s">
        <v>154</v>
      </c>
      <c r="BA79" s="13" t="s">
        <v>229</v>
      </c>
      <c r="BB79" s="13"/>
      <c r="BC79" s="13"/>
      <c r="BD79" s="13" t="s">
        <v>199</v>
      </c>
      <c r="BE79" s="13"/>
      <c r="BF79" s="13" t="s">
        <v>641</v>
      </c>
      <c r="BG79" s="13" t="s">
        <v>201</v>
      </c>
      <c r="BH79" s="13" t="s">
        <v>79</v>
      </c>
      <c r="BI79" s="13" t="b">
        <v>0</v>
      </c>
      <c r="BJ79" s="13">
        <v>0.0</v>
      </c>
      <c r="BK79" s="13">
        <v>0.0</v>
      </c>
    </row>
    <row r="80" ht="14.25" customHeight="1">
      <c r="A80" s="13">
        <v>78.0</v>
      </c>
      <c r="B80" s="13" t="s">
        <v>49</v>
      </c>
      <c r="C80" s="13">
        <v>1.0</v>
      </c>
      <c r="D80" s="14">
        <v>0.0</v>
      </c>
      <c r="E80" s="13" t="s">
        <v>642</v>
      </c>
      <c r="F80" s="15" t="s">
        <v>643</v>
      </c>
      <c r="G80" s="16" t="s">
        <v>644</v>
      </c>
      <c r="H80" s="13">
        <v>14.0</v>
      </c>
      <c r="I80" s="13">
        <v>0.9</v>
      </c>
      <c r="J80" s="13" t="s">
        <v>645</v>
      </c>
      <c r="K80" s="13">
        <f t="shared" si="3"/>
        <v>0</v>
      </c>
      <c r="L80" s="13">
        <f t="shared" si="4"/>
        <v>2</v>
      </c>
      <c r="M80" s="13">
        <f t="shared" ref="M80:AA80" si="159">IFERROR(VALUE(RIGHT(LEFT($J80,FIND(M$1,$J80,1)+LEN(M$1)),1)),0)</f>
        <v>0</v>
      </c>
      <c r="N80" s="13">
        <f t="shared" si="159"/>
        <v>0</v>
      </c>
      <c r="O80" s="13">
        <f t="shared" si="159"/>
        <v>0</v>
      </c>
      <c r="P80" s="13">
        <f t="shared" si="159"/>
        <v>0</v>
      </c>
      <c r="Q80" s="13">
        <f t="shared" si="159"/>
        <v>0</v>
      </c>
      <c r="R80" s="13">
        <f t="shared" si="159"/>
        <v>0</v>
      </c>
      <c r="S80" s="13">
        <f t="shared" si="159"/>
        <v>0</v>
      </c>
      <c r="T80" s="13">
        <f t="shared" si="159"/>
        <v>0</v>
      </c>
      <c r="U80" s="13">
        <f t="shared" si="159"/>
        <v>0</v>
      </c>
      <c r="V80" s="13">
        <f t="shared" si="159"/>
        <v>0</v>
      </c>
      <c r="W80" s="13">
        <f t="shared" si="159"/>
        <v>0</v>
      </c>
      <c r="X80" s="13">
        <f t="shared" si="159"/>
        <v>0</v>
      </c>
      <c r="Y80" s="13">
        <f t="shared" si="159"/>
        <v>0</v>
      </c>
      <c r="Z80" s="13">
        <f t="shared" si="159"/>
        <v>0</v>
      </c>
      <c r="AA80" s="13">
        <f t="shared" si="159"/>
        <v>0</v>
      </c>
      <c r="AB80" s="13">
        <f t="shared" ref="AB80:AP80" si="160">IFERROR(VALUE(RIGHT(LEFT($J80,FIND(AB$1,$J80,IF(M80=0,1,FIND(AB$1,$J80,1)+1))+LEN(AB$1)),1)),0)</f>
        <v>0</v>
      </c>
      <c r="AC80" s="13">
        <f t="shared" si="160"/>
        <v>0</v>
      </c>
      <c r="AD80" s="13">
        <f t="shared" si="160"/>
        <v>0</v>
      </c>
      <c r="AE80" s="13">
        <f t="shared" si="160"/>
        <v>0</v>
      </c>
      <c r="AF80" s="13">
        <f t="shared" si="160"/>
        <v>1</v>
      </c>
      <c r="AG80" s="13">
        <f t="shared" si="160"/>
        <v>0</v>
      </c>
      <c r="AH80" s="13">
        <f t="shared" si="160"/>
        <v>0</v>
      </c>
      <c r="AI80" s="13">
        <f t="shared" si="160"/>
        <v>0</v>
      </c>
      <c r="AJ80" s="13">
        <f t="shared" si="160"/>
        <v>0</v>
      </c>
      <c r="AK80" s="13">
        <f t="shared" si="160"/>
        <v>0</v>
      </c>
      <c r="AL80" s="13">
        <f t="shared" si="160"/>
        <v>0</v>
      </c>
      <c r="AM80" s="13">
        <f t="shared" si="160"/>
        <v>1</v>
      </c>
      <c r="AN80" s="13">
        <f t="shared" si="160"/>
        <v>0</v>
      </c>
      <c r="AO80" s="13">
        <f t="shared" si="160"/>
        <v>0</v>
      </c>
      <c r="AP80" s="13">
        <f t="shared" si="160"/>
        <v>0</v>
      </c>
      <c r="AQ80" s="13"/>
      <c r="AR80" s="13" t="s">
        <v>646</v>
      </c>
      <c r="AS80" s="13" t="s">
        <v>647</v>
      </c>
      <c r="AT80" s="13" t="s">
        <v>162</v>
      </c>
      <c r="AU80" s="13" t="s">
        <v>163</v>
      </c>
      <c r="AV80" s="13"/>
      <c r="AW80" s="13">
        <v>10.0</v>
      </c>
      <c r="AX80" s="13">
        <v>-1.0</v>
      </c>
      <c r="AY80" s="13">
        <v>0.0</v>
      </c>
      <c r="AZ80" s="13" t="s">
        <v>529</v>
      </c>
      <c r="BA80" s="13" t="s">
        <v>648</v>
      </c>
      <c r="BB80" s="13"/>
      <c r="BC80" s="13"/>
      <c r="BD80" s="13" t="s">
        <v>199</v>
      </c>
      <c r="BE80" s="13"/>
      <c r="BF80" s="13" t="s">
        <v>649</v>
      </c>
      <c r="BG80" s="13" t="s">
        <v>201</v>
      </c>
      <c r="BH80" s="13" t="s">
        <v>79</v>
      </c>
      <c r="BI80" s="13" t="b">
        <v>0</v>
      </c>
      <c r="BJ80" s="13">
        <v>0.0</v>
      </c>
      <c r="BK80" s="13">
        <v>0.0</v>
      </c>
    </row>
    <row r="81" ht="14.25" customHeight="1">
      <c r="A81" s="13">
        <v>79.0</v>
      </c>
      <c r="B81" s="13" t="s">
        <v>49</v>
      </c>
      <c r="C81" s="13">
        <v>1.0</v>
      </c>
      <c r="D81" s="14">
        <v>0.0</v>
      </c>
      <c r="E81" s="13" t="s">
        <v>650</v>
      </c>
      <c r="F81" s="15" t="s">
        <v>444</v>
      </c>
      <c r="G81" s="16" t="s">
        <v>651</v>
      </c>
      <c r="H81" s="13">
        <v>12.0</v>
      </c>
      <c r="I81" s="13">
        <v>1.1</v>
      </c>
      <c r="J81" s="13" t="s">
        <v>645</v>
      </c>
      <c r="K81" s="13">
        <f t="shared" si="3"/>
        <v>0</v>
      </c>
      <c r="L81" s="13">
        <f t="shared" si="4"/>
        <v>2</v>
      </c>
      <c r="M81" s="13">
        <f t="shared" ref="M81:AA81" si="161">IFERROR(VALUE(RIGHT(LEFT($J81,FIND(M$1,$J81,1)+LEN(M$1)),1)),0)</f>
        <v>0</v>
      </c>
      <c r="N81" s="13">
        <f t="shared" si="161"/>
        <v>0</v>
      </c>
      <c r="O81" s="13">
        <f t="shared" si="161"/>
        <v>0</v>
      </c>
      <c r="P81" s="13">
        <f t="shared" si="161"/>
        <v>0</v>
      </c>
      <c r="Q81" s="13">
        <f t="shared" si="161"/>
        <v>0</v>
      </c>
      <c r="R81" s="13">
        <f t="shared" si="161"/>
        <v>0</v>
      </c>
      <c r="S81" s="13">
        <f t="shared" si="161"/>
        <v>0</v>
      </c>
      <c r="T81" s="13">
        <f t="shared" si="161"/>
        <v>0</v>
      </c>
      <c r="U81" s="13">
        <f t="shared" si="161"/>
        <v>0</v>
      </c>
      <c r="V81" s="13">
        <f t="shared" si="161"/>
        <v>0</v>
      </c>
      <c r="W81" s="13">
        <f t="shared" si="161"/>
        <v>0</v>
      </c>
      <c r="X81" s="13">
        <f t="shared" si="161"/>
        <v>0</v>
      </c>
      <c r="Y81" s="13">
        <f t="shared" si="161"/>
        <v>0</v>
      </c>
      <c r="Z81" s="13">
        <f t="shared" si="161"/>
        <v>0</v>
      </c>
      <c r="AA81" s="13">
        <f t="shared" si="161"/>
        <v>0</v>
      </c>
      <c r="AB81" s="13">
        <f t="shared" ref="AB81:AP81" si="162">IFERROR(VALUE(RIGHT(LEFT($J81,FIND(AB$1,$J81,IF(M81=0,1,FIND(AB$1,$J81,1)+1))+LEN(AB$1)),1)),0)</f>
        <v>0</v>
      </c>
      <c r="AC81" s="13">
        <f t="shared" si="162"/>
        <v>0</v>
      </c>
      <c r="AD81" s="13">
        <f t="shared" si="162"/>
        <v>0</v>
      </c>
      <c r="AE81" s="13">
        <f t="shared" si="162"/>
        <v>0</v>
      </c>
      <c r="AF81" s="13">
        <f t="shared" si="162"/>
        <v>1</v>
      </c>
      <c r="AG81" s="13">
        <f t="shared" si="162"/>
        <v>0</v>
      </c>
      <c r="AH81" s="13">
        <f t="shared" si="162"/>
        <v>0</v>
      </c>
      <c r="AI81" s="13">
        <f t="shared" si="162"/>
        <v>0</v>
      </c>
      <c r="AJ81" s="13">
        <f t="shared" si="162"/>
        <v>0</v>
      </c>
      <c r="AK81" s="13">
        <f t="shared" si="162"/>
        <v>0</v>
      </c>
      <c r="AL81" s="13">
        <f t="shared" si="162"/>
        <v>0</v>
      </c>
      <c r="AM81" s="13">
        <f t="shared" si="162"/>
        <v>1</v>
      </c>
      <c r="AN81" s="13">
        <f t="shared" si="162"/>
        <v>0</v>
      </c>
      <c r="AO81" s="13">
        <f t="shared" si="162"/>
        <v>0</v>
      </c>
      <c r="AP81" s="13">
        <f t="shared" si="162"/>
        <v>0</v>
      </c>
      <c r="AQ81" s="13"/>
      <c r="AR81" s="13" t="s">
        <v>652</v>
      </c>
      <c r="AS81" s="13" t="s">
        <v>653</v>
      </c>
      <c r="AT81" s="13" t="s">
        <v>257</v>
      </c>
      <c r="AU81" s="13" t="s">
        <v>143</v>
      </c>
      <c r="AV81" s="13" t="s">
        <v>654</v>
      </c>
      <c r="AW81" s="13">
        <v>9.0</v>
      </c>
      <c r="AX81" s="13">
        <v>-1.0</v>
      </c>
      <c r="AY81" s="13">
        <v>0.0</v>
      </c>
      <c r="AZ81" s="13" t="s">
        <v>304</v>
      </c>
      <c r="BA81" s="13" t="s">
        <v>655</v>
      </c>
      <c r="BB81" s="13"/>
      <c r="BC81" s="13"/>
      <c r="BD81" s="13" t="s">
        <v>220</v>
      </c>
      <c r="BE81" s="13"/>
      <c r="BF81" s="13" t="s">
        <v>656</v>
      </c>
      <c r="BG81" s="13" t="s">
        <v>201</v>
      </c>
      <c r="BH81" s="13" t="s">
        <v>79</v>
      </c>
      <c r="BI81" s="13" t="b">
        <v>0</v>
      </c>
      <c r="BJ81" s="13">
        <v>0.0</v>
      </c>
      <c r="BK81" s="13">
        <v>0.0</v>
      </c>
    </row>
    <row r="82" ht="14.25" customHeight="1">
      <c r="A82" s="13">
        <v>80.0</v>
      </c>
      <c r="B82" s="13" t="s">
        <v>49</v>
      </c>
      <c r="C82" s="13">
        <v>1.0</v>
      </c>
      <c r="D82" s="14">
        <v>0.0</v>
      </c>
      <c r="E82" s="13" t="s">
        <v>657</v>
      </c>
      <c r="F82" s="15" t="s">
        <v>418</v>
      </c>
      <c r="G82" s="16" t="s">
        <v>658</v>
      </c>
      <c r="H82" s="13">
        <v>11.0</v>
      </c>
      <c r="I82" s="13">
        <v>1.0</v>
      </c>
      <c r="J82" s="13" t="s">
        <v>638</v>
      </c>
      <c r="K82" s="13">
        <f t="shared" si="3"/>
        <v>0</v>
      </c>
      <c r="L82" s="13">
        <f t="shared" si="4"/>
        <v>2</v>
      </c>
      <c r="M82" s="13">
        <f t="shared" ref="M82:AA82" si="163">IFERROR(VALUE(RIGHT(LEFT($J82,FIND(M$1,$J82,1)+LEN(M$1)),1)),0)</f>
        <v>0</v>
      </c>
      <c r="N82" s="13">
        <f t="shared" si="163"/>
        <v>0</v>
      </c>
      <c r="O82" s="13">
        <f t="shared" si="163"/>
        <v>0</v>
      </c>
      <c r="P82" s="13">
        <f t="shared" si="163"/>
        <v>0</v>
      </c>
      <c r="Q82" s="13">
        <f t="shared" si="163"/>
        <v>0</v>
      </c>
      <c r="R82" s="13">
        <f t="shared" si="163"/>
        <v>0</v>
      </c>
      <c r="S82" s="13">
        <f t="shared" si="163"/>
        <v>0</v>
      </c>
      <c r="T82" s="13">
        <f t="shared" si="163"/>
        <v>0</v>
      </c>
      <c r="U82" s="13">
        <f t="shared" si="163"/>
        <v>0</v>
      </c>
      <c r="V82" s="13">
        <f t="shared" si="163"/>
        <v>0</v>
      </c>
      <c r="W82" s="13">
        <f t="shared" si="163"/>
        <v>0</v>
      </c>
      <c r="X82" s="13">
        <f t="shared" si="163"/>
        <v>0</v>
      </c>
      <c r="Y82" s="13">
        <f t="shared" si="163"/>
        <v>0</v>
      </c>
      <c r="Z82" s="13">
        <f t="shared" si="163"/>
        <v>0</v>
      </c>
      <c r="AA82" s="13">
        <f t="shared" si="163"/>
        <v>0</v>
      </c>
      <c r="AB82" s="13">
        <f t="shared" ref="AB82:AP82" si="164">IFERROR(VALUE(RIGHT(LEFT($J82,FIND(AB$1,$J82,IF(M82=0,1,FIND(AB$1,$J82,1)+1))+LEN(AB$1)),1)),0)</f>
        <v>1</v>
      </c>
      <c r="AC82" s="13">
        <f t="shared" si="164"/>
        <v>0</v>
      </c>
      <c r="AD82" s="13">
        <f t="shared" si="164"/>
        <v>0</v>
      </c>
      <c r="AE82" s="13">
        <f t="shared" si="164"/>
        <v>0</v>
      </c>
      <c r="AF82" s="13">
        <f t="shared" si="164"/>
        <v>0</v>
      </c>
      <c r="AG82" s="13">
        <f t="shared" si="164"/>
        <v>0</v>
      </c>
      <c r="AH82" s="13">
        <f t="shared" si="164"/>
        <v>0</v>
      </c>
      <c r="AI82" s="13">
        <f t="shared" si="164"/>
        <v>0</v>
      </c>
      <c r="AJ82" s="13">
        <f t="shared" si="164"/>
        <v>0</v>
      </c>
      <c r="AK82" s="13">
        <f t="shared" si="164"/>
        <v>0</v>
      </c>
      <c r="AL82" s="13">
        <f t="shared" si="164"/>
        <v>0</v>
      </c>
      <c r="AM82" s="13">
        <f t="shared" si="164"/>
        <v>1</v>
      </c>
      <c r="AN82" s="13">
        <f t="shared" si="164"/>
        <v>0</v>
      </c>
      <c r="AO82" s="13">
        <f t="shared" si="164"/>
        <v>0</v>
      </c>
      <c r="AP82" s="13">
        <f t="shared" si="164"/>
        <v>0</v>
      </c>
      <c r="AQ82" s="13"/>
      <c r="AR82" s="13" t="s">
        <v>659</v>
      </c>
      <c r="AS82" s="13" t="s">
        <v>660</v>
      </c>
      <c r="AT82" s="13" t="s">
        <v>175</v>
      </c>
      <c r="AU82" s="13" t="s">
        <v>143</v>
      </c>
      <c r="AV82" s="13" t="s">
        <v>661</v>
      </c>
      <c r="AW82" s="13">
        <v>10.0</v>
      </c>
      <c r="AX82" s="13">
        <v>-1.0</v>
      </c>
      <c r="AY82" s="13">
        <v>0.0</v>
      </c>
      <c r="AZ82" s="13" t="s">
        <v>662</v>
      </c>
      <c r="BA82" s="13" t="s">
        <v>663</v>
      </c>
      <c r="BB82" s="13"/>
      <c r="BC82" s="13"/>
      <c r="BD82" s="13" t="s">
        <v>664</v>
      </c>
      <c r="BE82" s="13"/>
      <c r="BF82" s="13" t="s">
        <v>665</v>
      </c>
      <c r="BG82" s="13" t="s">
        <v>201</v>
      </c>
      <c r="BH82" s="13" t="s">
        <v>79</v>
      </c>
      <c r="BI82" s="13" t="b">
        <v>0</v>
      </c>
      <c r="BJ82" s="13">
        <v>0.0</v>
      </c>
      <c r="BK82" s="13">
        <v>0.0</v>
      </c>
    </row>
    <row r="83" ht="14.25" customHeight="1">
      <c r="A83" s="13">
        <v>81.0</v>
      </c>
      <c r="B83" s="13" t="s">
        <v>49</v>
      </c>
      <c r="C83" s="13">
        <v>1.0</v>
      </c>
      <c r="D83" s="14">
        <v>0.0</v>
      </c>
      <c r="E83" s="13" t="s">
        <v>666</v>
      </c>
      <c r="F83" s="15" t="s">
        <v>667</v>
      </c>
      <c r="G83" s="16" t="s">
        <v>668</v>
      </c>
      <c r="H83" s="13">
        <v>10.0</v>
      </c>
      <c r="I83" s="13">
        <v>0.9</v>
      </c>
      <c r="J83" s="13" t="s">
        <v>645</v>
      </c>
      <c r="K83" s="13">
        <f t="shared" si="3"/>
        <v>0</v>
      </c>
      <c r="L83" s="13">
        <f t="shared" si="4"/>
        <v>2</v>
      </c>
      <c r="M83" s="13">
        <f t="shared" ref="M83:AA83" si="165">IFERROR(VALUE(RIGHT(LEFT($J83,FIND(M$1,$J83,1)+LEN(M$1)),1)),0)</f>
        <v>0</v>
      </c>
      <c r="N83" s="13">
        <f t="shared" si="165"/>
        <v>0</v>
      </c>
      <c r="O83" s="13">
        <f t="shared" si="165"/>
        <v>0</v>
      </c>
      <c r="P83" s="13">
        <f t="shared" si="165"/>
        <v>0</v>
      </c>
      <c r="Q83" s="13">
        <f t="shared" si="165"/>
        <v>0</v>
      </c>
      <c r="R83" s="13">
        <f t="shared" si="165"/>
        <v>0</v>
      </c>
      <c r="S83" s="13">
        <f t="shared" si="165"/>
        <v>0</v>
      </c>
      <c r="T83" s="13">
        <f t="shared" si="165"/>
        <v>0</v>
      </c>
      <c r="U83" s="13">
        <f t="shared" si="165"/>
        <v>0</v>
      </c>
      <c r="V83" s="13">
        <f t="shared" si="165"/>
        <v>0</v>
      </c>
      <c r="W83" s="13">
        <f t="shared" si="165"/>
        <v>0</v>
      </c>
      <c r="X83" s="13">
        <f t="shared" si="165"/>
        <v>0</v>
      </c>
      <c r="Y83" s="13">
        <f t="shared" si="165"/>
        <v>0</v>
      </c>
      <c r="Z83" s="13">
        <f t="shared" si="165"/>
        <v>0</v>
      </c>
      <c r="AA83" s="13">
        <f t="shared" si="165"/>
        <v>0</v>
      </c>
      <c r="AB83" s="13">
        <f t="shared" ref="AB83:AP83" si="166">IFERROR(VALUE(RIGHT(LEFT($J83,FIND(AB$1,$J83,IF(M83=0,1,FIND(AB$1,$J83,1)+1))+LEN(AB$1)),1)),0)</f>
        <v>0</v>
      </c>
      <c r="AC83" s="13">
        <f t="shared" si="166"/>
        <v>0</v>
      </c>
      <c r="AD83" s="13">
        <f t="shared" si="166"/>
        <v>0</v>
      </c>
      <c r="AE83" s="13">
        <f t="shared" si="166"/>
        <v>0</v>
      </c>
      <c r="AF83" s="13">
        <f t="shared" si="166"/>
        <v>1</v>
      </c>
      <c r="AG83" s="13">
        <f t="shared" si="166"/>
        <v>0</v>
      </c>
      <c r="AH83" s="13">
        <f t="shared" si="166"/>
        <v>0</v>
      </c>
      <c r="AI83" s="13">
        <f t="shared" si="166"/>
        <v>0</v>
      </c>
      <c r="AJ83" s="13">
        <f t="shared" si="166"/>
        <v>0</v>
      </c>
      <c r="AK83" s="13">
        <f t="shared" si="166"/>
        <v>0</v>
      </c>
      <c r="AL83" s="13">
        <f t="shared" si="166"/>
        <v>0</v>
      </c>
      <c r="AM83" s="13">
        <f t="shared" si="166"/>
        <v>1</v>
      </c>
      <c r="AN83" s="13">
        <f t="shared" si="166"/>
        <v>0</v>
      </c>
      <c r="AO83" s="13">
        <f t="shared" si="166"/>
        <v>0</v>
      </c>
      <c r="AP83" s="13">
        <f t="shared" si="166"/>
        <v>0</v>
      </c>
      <c r="AQ83" s="13"/>
      <c r="AR83" s="13" t="s">
        <v>669</v>
      </c>
      <c r="AS83" s="13" t="s">
        <v>670</v>
      </c>
      <c r="AT83" s="13" t="s">
        <v>129</v>
      </c>
      <c r="AU83" s="13" t="s">
        <v>143</v>
      </c>
      <c r="AV83" s="13" t="s">
        <v>671</v>
      </c>
      <c r="AW83" s="13">
        <v>9.0</v>
      </c>
      <c r="AX83" s="13">
        <v>-1.0</v>
      </c>
      <c r="AY83" s="13">
        <v>0.0</v>
      </c>
      <c r="AZ83" s="13" t="s">
        <v>672</v>
      </c>
      <c r="BA83" s="13" t="s">
        <v>672</v>
      </c>
      <c r="BB83" s="13"/>
      <c r="BC83" s="13"/>
      <c r="BD83" s="13" t="s">
        <v>199</v>
      </c>
      <c r="BE83" s="13"/>
      <c r="BF83" s="13" t="s">
        <v>549</v>
      </c>
      <c r="BG83" s="13" t="s">
        <v>201</v>
      </c>
      <c r="BH83" s="13" t="s">
        <v>79</v>
      </c>
      <c r="BI83" s="13" t="b">
        <v>0</v>
      </c>
      <c r="BJ83" s="13">
        <v>0.0</v>
      </c>
      <c r="BK83" s="13">
        <v>0.0</v>
      </c>
    </row>
    <row r="84" ht="14.25" customHeight="1">
      <c r="A84" s="13">
        <v>82.0</v>
      </c>
      <c r="B84" s="13" t="s">
        <v>49</v>
      </c>
      <c r="C84" s="13">
        <v>1.0</v>
      </c>
      <c r="D84" s="14">
        <v>0.0</v>
      </c>
      <c r="E84" s="13" t="s">
        <v>673</v>
      </c>
      <c r="F84" s="15"/>
      <c r="G84" s="16" t="s">
        <v>674</v>
      </c>
      <c r="H84" s="13">
        <v>12.0</v>
      </c>
      <c r="I84" s="13">
        <v>1.2</v>
      </c>
      <c r="J84" s="13" t="s">
        <v>675</v>
      </c>
      <c r="K84" s="13">
        <f t="shared" si="3"/>
        <v>0</v>
      </c>
      <c r="L84" s="13">
        <f t="shared" si="4"/>
        <v>2</v>
      </c>
      <c r="M84" s="13">
        <f t="shared" ref="M84:AA84" si="167">IFERROR(VALUE(RIGHT(LEFT($J84,FIND(M$1,$J84,1)+LEN(M$1)),1)),0)</f>
        <v>0</v>
      </c>
      <c r="N84" s="13">
        <f t="shared" si="167"/>
        <v>0</v>
      </c>
      <c r="O84" s="13">
        <f t="shared" si="167"/>
        <v>0</v>
      </c>
      <c r="P84" s="13">
        <f t="shared" si="167"/>
        <v>0</v>
      </c>
      <c r="Q84" s="13">
        <f t="shared" si="167"/>
        <v>0</v>
      </c>
      <c r="R84" s="13">
        <f t="shared" si="167"/>
        <v>0</v>
      </c>
      <c r="S84" s="13">
        <f t="shared" si="167"/>
        <v>0</v>
      </c>
      <c r="T84" s="13">
        <f t="shared" si="167"/>
        <v>0</v>
      </c>
      <c r="U84" s="13">
        <f t="shared" si="167"/>
        <v>0</v>
      </c>
      <c r="V84" s="13">
        <f t="shared" si="167"/>
        <v>0</v>
      </c>
      <c r="W84" s="13">
        <f t="shared" si="167"/>
        <v>0</v>
      </c>
      <c r="X84" s="13">
        <f t="shared" si="167"/>
        <v>0</v>
      </c>
      <c r="Y84" s="13">
        <f t="shared" si="167"/>
        <v>0</v>
      </c>
      <c r="Z84" s="13">
        <f t="shared" si="167"/>
        <v>0</v>
      </c>
      <c r="AA84" s="13">
        <f t="shared" si="167"/>
        <v>0</v>
      </c>
      <c r="AB84" s="13">
        <f t="shared" ref="AB84:AP84" si="168">IFERROR(VALUE(RIGHT(LEFT($J84,FIND(AB$1,$J84,IF(M84=0,1,FIND(AB$1,$J84,1)+1))+LEN(AB$1)),1)),0)</f>
        <v>1</v>
      </c>
      <c r="AC84" s="13">
        <f t="shared" si="168"/>
        <v>0</v>
      </c>
      <c r="AD84" s="13">
        <f t="shared" si="168"/>
        <v>1</v>
      </c>
      <c r="AE84" s="13">
        <f t="shared" si="168"/>
        <v>0</v>
      </c>
      <c r="AF84" s="13">
        <f t="shared" si="168"/>
        <v>0</v>
      </c>
      <c r="AG84" s="13">
        <f t="shared" si="168"/>
        <v>0</v>
      </c>
      <c r="AH84" s="13">
        <f t="shared" si="168"/>
        <v>0</v>
      </c>
      <c r="AI84" s="13">
        <f t="shared" si="168"/>
        <v>0</v>
      </c>
      <c r="AJ84" s="13">
        <f t="shared" si="168"/>
        <v>0</v>
      </c>
      <c r="AK84" s="13">
        <f t="shared" si="168"/>
        <v>0</v>
      </c>
      <c r="AL84" s="13">
        <f t="shared" si="168"/>
        <v>0</v>
      </c>
      <c r="AM84" s="13">
        <f t="shared" si="168"/>
        <v>0</v>
      </c>
      <c r="AN84" s="13">
        <f t="shared" si="168"/>
        <v>0</v>
      </c>
      <c r="AO84" s="13">
        <f t="shared" si="168"/>
        <v>0</v>
      </c>
      <c r="AP84" s="13">
        <f t="shared" si="168"/>
        <v>0</v>
      </c>
      <c r="AQ84" s="13"/>
      <c r="AR84" s="13" t="s">
        <v>676</v>
      </c>
      <c r="AS84" s="13" t="s">
        <v>677</v>
      </c>
      <c r="AT84" s="13" t="s">
        <v>162</v>
      </c>
      <c r="AU84" s="13" t="s">
        <v>195</v>
      </c>
      <c r="AV84" s="13" t="s">
        <v>678</v>
      </c>
      <c r="AW84" s="13">
        <v>10.0</v>
      </c>
      <c r="AX84" s="13">
        <v>-1.0</v>
      </c>
      <c r="AY84" s="13">
        <v>0.0</v>
      </c>
      <c r="AZ84" s="13" t="s">
        <v>679</v>
      </c>
      <c r="BA84" s="13" t="s">
        <v>229</v>
      </c>
      <c r="BB84" s="13"/>
      <c r="BC84" s="13"/>
      <c r="BD84" s="13" t="s">
        <v>664</v>
      </c>
      <c r="BE84" s="13"/>
      <c r="BF84" s="13" t="s">
        <v>680</v>
      </c>
      <c r="BG84" s="13" t="s">
        <v>201</v>
      </c>
      <c r="BH84" s="13" t="s">
        <v>79</v>
      </c>
      <c r="BI84" s="13" t="b">
        <v>0</v>
      </c>
      <c r="BJ84" s="13">
        <v>0.0</v>
      </c>
      <c r="BK84" s="13">
        <v>0.0</v>
      </c>
    </row>
    <row r="85" ht="14.25" customHeight="1">
      <c r="A85" s="13">
        <v>83.0</v>
      </c>
      <c r="B85" s="13" t="s">
        <v>49</v>
      </c>
      <c r="C85" s="13">
        <v>1.0</v>
      </c>
      <c r="D85" s="14">
        <v>0.0</v>
      </c>
      <c r="E85" s="13" t="s">
        <v>681</v>
      </c>
      <c r="F85" s="15"/>
      <c r="G85" s="16" t="s">
        <v>682</v>
      </c>
      <c r="H85" s="13">
        <v>13.0</v>
      </c>
      <c r="I85" s="13">
        <v>1.1</v>
      </c>
      <c r="J85" s="13" t="s">
        <v>683</v>
      </c>
      <c r="K85" s="13">
        <f t="shared" si="3"/>
        <v>0</v>
      </c>
      <c r="L85" s="13">
        <f t="shared" si="4"/>
        <v>2</v>
      </c>
      <c r="M85" s="13">
        <f t="shared" ref="M85:AA85" si="169">IFERROR(VALUE(RIGHT(LEFT($J85,FIND(M$1,$J85,1)+LEN(M$1)),1)),0)</f>
        <v>0</v>
      </c>
      <c r="N85" s="13">
        <f t="shared" si="169"/>
        <v>0</v>
      </c>
      <c r="O85" s="13">
        <f t="shared" si="169"/>
        <v>0</v>
      </c>
      <c r="P85" s="13">
        <f t="shared" si="169"/>
        <v>0</v>
      </c>
      <c r="Q85" s="13">
        <f t="shared" si="169"/>
        <v>0</v>
      </c>
      <c r="R85" s="13">
        <f t="shared" si="169"/>
        <v>0</v>
      </c>
      <c r="S85" s="13">
        <f t="shared" si="169"/>
        <v>0</v>
      </c>
      <c r="T85" s="13">
        <f t="shared" si="169"/>
        <v>0</v>
      </c>
      <c r="U85" s="13">
        <f t="shared" si="169"/>
        <v>0</v>
      </c>
      <c r="V85" s="13">
        <f t="shared" si="169"/>
        <v>0</v>
      </c>
      <c r="W85" s="13">
        <f t="shared" si="169"/>
        <v>0</v>
      </c>
      <c r="X85" s="13">
        <f t="shared" si="169"/>
        <v>0</v>
      </c>
      <c r="Y85" s="13">
        <f t="shared" si="169"/>
        <v>0</v>
      </c>
      <c r="Z85" s="13">
        <f t="shared" si="169"/>
        <v>0</v>
      </c>
      <c r="AA85" s="13">
        <f t="shared" si="169"/>
        <v>0</v>
      </c>
      <c r="AB85" s="13">
        <f t="shared" ref="AB85:AP85" si="170">IFERROR(VALUE(RIGHT(LEFT($J85,FIND(AB$1,$J85,IF(M85=0,1,FIND(AB$1,$J85,1)+1))+LEN(AB$1)),1)),0)</f>
        <v>0</v>
      </c>
      <c r="AC85" s="13">
        <f t="shared" si="170"/>
        <v>1</v>
      </c>
      <c r="AD85" s="13">
        <f t="shared" si="170"/>
        <v>0</v>
      </c>
      <c r="AE85" s="13">
        <f t="shared" si="170"/>
        <v>0</v>
      </c>
      <c r="AF85" s="13">
        <f t="shared" si="170"/>
        <v>0</v>
      </c>
      <c r="AG85" s="13">
        <f t="shared" si="170"/>
        <v>0</v>
      </c>
      <c r="AH85" s="13">
        <f t="shared" si="170"/>
        <v>0</v>
      </c>
      <c r="AI85" s="13">
        <f t="shared" si="170"/>
        <v>0</v>
      </c>
      <c r="AJ85" s="13">
        <f t="shared" si="170"/>
        <v>0</v>
      </c>
      <c r="AK85" s="13">
        <f t="shared" si="170"/>
        <v>0</v>
      </c>
      <c r="AL85" s="13">
        <f t="shared" si="170"/>
        <v>0</v>
      </c>
      <c r="AM85" s="13">
        <f t="shared" si="170"/>
        <v>1</v>
      </c>
      <c r="AN85" s="13">
        <f t="shared" si="170"/>
        <v>0</v>
      </c>
      <c r="AO85" s="13">
        <f t="shared" si="170"/>
        <v>0</v>
      </c>
      <c r="AP85" s="13">
        <f t="shared" si="170"/>
        <v>0</v>
      </c>
      <c r="AQ85" s="13"/>
      <c r="AR85" s="13" t="s">
        <v>684</v>
      </c>
      <c r="AS85" s="13" t="s">
        <v>685</v>
      </c>
      <c r="AT85" s="13" t="s">
        <v>162</v>
      </c>
      <c r="AU85" s="13" t="s">
        <v>686</v>
      </c>
      <c r="AV85" s="13" t="s">
        <v>481</v>
      </c>
      <c r="AW85" s="13">
        <v>11.0</v>
      </c>
      <c r="AX85" s="13">
        <v>-1.0</v>
      </c>
      <c r="AY85" s="13">
        <v>0.0</v>
      </c>
      <c r="AZ85" s="13" t="s">
        <v>238</v>
      </c>
      <c r="BA85" s="13" t="s">
        <v>687</v>
      </c>
      <c r="BB85" s="13"/>
      <c r="BC85" s="13"/>
      <c r="BD85" s="13" t="s">
        <v>199</v>
      </c>
      <c r="BE85" s="13"/>
      <c r="BF85" s="13" t="s">
        <v>688</v>
      </c>
      <c r="BG85" s="13" t="s">
        <v>201</v>
      </c>
      <c r="BH85" s="13" t="s">
        <v>79</v>
      </c>
      <c r="BI85" s="13" t="b">
        <v>0</v>
      </c>
      <c r="BJ85" s="13">
        <v>0.0</v>
      </c>
      <c r="BK85" s="13">
        <v>0.0</v>
      </c>
    </row>
    <row r="86" ht="14.25" customHeight="1">
      <c r="A86" s="13">
        <v>84.0</v>
      </c>
      <c r="B86" s="13" t="s">
        <v>49</v>
      </c>
      <c r="C86" s="13">
        <v>1.0</v>
      </c>
      <c r="D86" s="14">
        <v>0.0</v>
      </c>
      <c r="E86" s="13" t="s">
        <v>689</v>
      </c>
      <c r="F86" s="15" t="s">
        <v>523</v>
      </c>
      <c r="G86" s="16" t="s">
        <v>690</v>
      </c>
      <c r="H86" s="13">
        <v>11.0</v>
      </c>
      <c r="I86" s="13">
        <v>1.0</v>
      </c>
      <c r="J86" s="13" t="s">
        <v>691</v>
      </c>
      <c r="K86" s="13">
        <f t="shared" si="3"/>
        <v>0</v>
      </c>
      <c r="L86" s="13">
        <f t="shared" si="4"/>
        <v>2</v>
      </c>
      <c r="M86" s="13">
        <f t="shared" ref="M86:AA86" si="171">IFERROR(VALUE(RIGHT(LEFT($J86,FIND(M$1,$J86,1)+LEN(M$1)),1)),0)</f>
        <v>0</v>
      </c>
      <c r="N86" s="13">
        <f t="shared" si="171"/>
        <v>0</v>
      </c>
      <c r="O86" s="13">
        <f t="shared" si="171"/>
        <v>0</v>
      </c>
      <c r="P86" s="13">
        <f t="shared" si="171"/>
        <v>0</v>
      </c>
      <c r="Q86" s="13">
        <f t="shared" si="171"/>
        <v>0</v>
      </c>
      <c r="R86" s="13">
        <f t="shared" si="171"/>
        <v>0</v>
      </c>
      <c r="S86" s="13">
        <f t="shared" si="171"/>
        <v>0</v>
      </c>
      <c r="T86" s="13">
        <f t="shared" si="171"/>
        <v>0</v>
      </c>
      <c r="U86" s="13">
        <f t="shared" si="171"/>
        <v>0</v>
      </c>
      <c r="V86" s="13">
        <f t="shared" si="171"/>
        <v>0</v>
      </c>
      <c r="W86" s="13">
        <f t="shared" si="171"/>
        <v>0</v>
      </c>
      <c r="X86" s="13">
        <f t="shared" si="171"/>
        <v>0</v>
      </c>
      <c r="Y86" s="13">
        <f t="shared" si="171"/>
        <v>0</v>
      </c>
      <c r="Z86" s="13">
        <f t="shared" si="171"/>
        <v>0</v>
      </c>
      <c r="AA86" s="13">
        <f t="shared" si="171"/>
        <v>0</v>
      </c>
      <c r="AB86" s="13">
        <f t="shared" ref="AB86:AP86" si="172">IFERROR(VALUE(RIGHT(LEFT($J86,FIND(AB$1,$J86,IF(M86=0,1,FIND(AB$1,$J86,1)+1))+LEN(AB$1)),1)),0)</f>
        <v>0</v>
      </c>
      <c r="AC86" s="13">
        <f t="shared" si="172"/>
        <v>0</v>
      </c>
      <c r="AD86" s="13">
        <f t="shared" si="172"/>
        <v>0</v>
      </c>
      <c r="AE86" s="13">
        <f t="shared" si="172"/>
        <v>1</v>
      </c>
      <c r="AF86" s="13">
        <f t="shared" si="172"/>
        <v>0</v>
      </c>
      <c r="AG86" s="13">
        <f t="shared" si="172"/>
        <v>0</v>
      </c>
      <c r="AH86" s="13">
        <f t="shared" si="172"/>
        <v>0</v>
      </c>
      <c r="AI86" s="13">
        <f t="shared" si="172"/>
        <v>0</v>
      </c>
      <c r="AJ86" s="13">
        <f t="shared" si="172"/>
        <v>0</v>
      </c>
      <c r="AK86" s="13">
        <f t="shared" si="172"/>
        <v>0</v>
      </c>
      <c r="AL86" s="13">
        <f t="shared" si="172"/>
        <v>0</v>
      </c>
      <c r="AM86" s="13">
        <f t="shared" si="172"/>
        <v>1</v>
      </c>
      <c r="AN86" s="13">
        <f t="shared" si="172"/>
        <v>0</v>
      </c>
      <c r="AO86" s="13">
        <f t="shared" si="172"/>
        <v>0</v>
      </c>
      <c r="AP86" s="13">
        <f t="shared" si="172"/>
        <v>0</v>
      </c>
      <c r="AQ86" s="13"/>
      <c r="AR86" s="13" t="s">
        <v>692</v>
      </c>
      <c r="AS86" s="13" t="s">
        <v>693</v>
      </c>
      <c r="AT86" s="13" t="s">
        <v>142</v>
      </c>
      <c r="AU86" s="13" t="s">
        <v>143</v>
      </c>
      <c r="AV86" s="13" t="s">
        <v>634</v>
      </c>
      <c r="AW86" s="13">
        <v>9.0</v>
      </c>
      <c r="AX86" s="13">
        <v>-1.0</v>
      </c>
      <c r="AY86" s="13">
        <v>0.0</v>
      </c>
      <c r="AZ86" s="13" t="s">
        <v>694</v>
      </c>
      <c r="BA86" s="13" t="s">
        <v>694</v>
      </c>
      <c r="BB86" s="13"/>
      <c r="BC86" s="13"/>
      <c r="BD86" s="13" t="s">
        <v>664</v>
      </c>
      <c r="BE86" s="13"/>
      <c r="BF86" s="13" t="s">
        <v>251</v>
      </c>
      <c r="BG86" s="13" t="s">
        <v>201</v>
      </c>
      <c r="BH86" s="13" t="s">
        <v>79</v>
      </c>
      <c r="BI86" s="13" t="b">
        <v>0</v>
      </c>
      <c r="BJ86" s="13">
        <v>0.0</v>
      </c>
      <c r="BK86" s="13">
        <v>0.0</v>
      </c>
    </row>
    <row r="87" ht="14.25" customHeight="1">
      <c r="A87" s="13">
        <v>85.0</v>
      </c>
      <c r="B87" s="13" t="s">
        <v>49</v>
      </c>
      <c r="C87" s="13">
        <v>1.0</v>
      </c>
      <c r="D87" s="14">
        <v>0.0</v>
      </c>
      <c r="E87" s="13" t="s">
        <v>695</v>
      </c>
      <c r="F87" s="15" t="s">
        <v>667</v>
      </c>
      <c r="G87" s="16" t="s">
        <v>696</v>
      </c>
      <c r="H87" s="13">
        <v>12.0</v>
      </c>
      <c r="I87" s="13">
        <v>0.9</v>
      </c>
      <c r="J87" s="13" t="s">
        <v>697</v>
      </c>
      <c r="K87" s="13">
        <f t="shared" si="3"/>
        <v>0</v>
      </c>
      <c r="L87" s="13">
        <f t="shared" si="4"/>
        <v>2</v>
      </c>
      <c r="M87" s="13">
        <f t="shared" ref="M87:AA87" si="173">IFERROR(VALUE(RIGHT(LEFT($J87,FIND(M$1,$J87,1)+LEN(M$1)),1)),0)</f>
        <v>0</v>
      </c>
      <c r="N87" s="13">
        <f t="shared" si="173"/>
        <v>0</v>
      </c>
      <c r="O87" s="13">
        <f t="shared" si="173"/>
        <v>0</v>
      </c>
      <c r="P87" s="13">
        <f t="shared" si="173"/>
        <v>0</v>
      </c>
      <c r="Q87" s="13">
        <f t="shared" si="173"/>
        <v>0</v>
      </c>
      <c r="R87" s="13">
        <f t="shared" si="173"/>
        <v>0</v>
      </c>
      <c r="S87" s="13">
        <f t="shared" si="173"/>
        <v>0</v>
      </c>
      <c r="T87" s="13">
        <f t="shared" si="173"/>
        <v>0</v>
      </c>
      <c r="U87" s="13">
        <f t="shared" si="173"/>
        <v>0</v>
      </c>
      <c r="V87" s="13">
        <f t="shared" si="173"/>
        <v>0</v>
      </c>
      <c r="W87" s="13">
        <f t="shared" si="173"/>
        <v>0</v>
      </c>
      <c r="X87" s="13">
        <f t="shared" si="173"/>
        <v>0</v>
      </c>
      <c r="Y87" s="13">
        <f t="shared" si="173"/>
        <v>0</v>
      </c>
      <c r="Z87" s="13">
        <f t="shared" si="173"/>
        <v>0</v>
      </c>
      <c r="AA87" s="13">
        <f t="shared" si="173"/>
        <v>0</v>
      </c>
      <c r="AB87" s="13">
        <f t="shared" ref="AB87:AP87" si="174">IFERROR(VALUE(RIGHT(LEFT($J87,FIND(AB$1,$J87,IF(M87=0,1,FIND(AB$1,$J87,1)+1))+LEN(AB$1)),1)),0)</f>
        <v>0</v>
      </c>
      <c r="AC87" s="13">
        <f t="shared" si="174"/>
        <v>0</v>
      </c>
      <c r="AD87" s="13">
        <f t="shared" si="174"/>
        <v>0</v>
      </c>
      <c r="AE87" s="13">
        <f t="shared" si="174"/>
        <v>0</v>
      </c>
      <c r="AF87" s="13">
        <f t="shared" si="174"/>
        <v>0</v>
      </c>
      <c r="AG87" s="13">
        <f t="shared" si="174"/>
        <v>1</v>
      </c>
      <c r="AH87" s="13">
        <f t="shared" si="174"/>
        <v>0</v>
      </c>
      <c r="AI87" s="13">
        <f t="shared" si="174"/>
        <v>0</v>
      </c>
      <c r="AJ87" s="13">
        <f t="shared" si="174"/>
        <v>0</v>
      </c>
      <c r="AK87" s="13">
        <f t="shared" si="174"/>
        <v>0</v>
      </c>
      <c r="AL87" s="13">
        <f t="shared" si="174"/>
        <v>0</v>
      </c>
      <c r="AM87" s="13">
        <f t="shared" si="174"/>
        <v>1</v>
      </c>
      <c r="AN87" s="13">
        <f t="shared" si="174"/>
        <v>0</v>
      </c>
      <c r="AO87" s="13">
        <f t="shared" si="174"/>
        <v>0</v>
      </c>
      <c r="AP87" s="13">
        <f t="shared" si="174"/>
        <v>0</v>
      </c>
      <c r="AQ87" s="13"/>
      <c r="AR87" s="13" t="s">
        <v>698</v>
      </c>
      <c r="AS87" s="13" t="s">
        <v>217</v>
      </c>
      <c r="AT87" s="13" t="s">
        <v>162</v>
      </c>
      <c r="AU87" s="13" t="s">
        <v>163</v>
      </c>
      <c r="AV87" s="13" t="s">
        <v>699</v>
      </c>
      <c r="AW87" s="13">
        <v>11.0</v>
      </c>
      <c r="AX87" s="13">
        <v>-1.0</v>
      </c>
      <c r="AY87" s="13">
        <v>0.0</v>
      </c>
      <c r="AZ87" s="13" t="s">
        <v>609</v>
      </c>
      <c r="BA87" s="13" t="s">
        <v>687</v>
      </c>
      <c r="BB87" s="13"/>
      <c r="BC87" s="13"/>
      <c r="BD87" s="13" t="s">
        <v>199</v>
      </c>
      <c r="BE87" s="13"/>
      <c r="BF87" s="13" t="s">
        <v>700</v>
      </c>
      <c r="BG87" s="13" t="s">
        <v>201</v>
      </c>
      <c r="BH87" s="13" t="s">
        <v>79</v>
      </c>
      <c r="BI87" s="13" t="b">
        <v>0</v>
      </c>
      <c r="BJ87" s="13">
        <v>0.0</v>
      </c>
      <c r="BK87" s="13">
        <v>0.0</v>
      </c>
    </row>
    <row r="88" ht="14.25" customHeight="1">
      <c r="A88" s="13">
        <v>86.0</v>
      </c>
      <c r="B88" s="13" t="s">
        <v>49</v>
      </c>
      <c r="C88" s="13">
        <v>1.0</v>
      </c>
      <c r="D88" s="14">
        <v>0.0</v>
      </c>
      <c r="E88" s="13" t="s">
        <v>701</v>
      </c>
      <c r="F88" s="15" t="s">
        <v>702</v>
      </c>
      <c r="G88" s="16" t="s">
        <v>703</v>
      </c>
      <c r="H88" s="13">
        <v>13.0</v>
      </c>
      <c r="I88" s="13">
        <v>1.1</v>
      </c>
      <c r="J88" s="13" t="s">
        <v>697</v>
      </c>
      <c r="K88" s="13">
        <f t="shared" si="3"/>
        <v>0</v>
      </c>
      <c r="L88" s="13">
        <f t="shared" si="4"/>
        <v>2</v>
      </c>
      <c r="M88" s="13">
        <f t="shared" ref="M88:AA88" si="175">IFERROR(VALUE(RIGHT(LEFT($J88,FIND(M$1,$J88,1)+LEN(M$1)),1)),0)</f>
        <v>0</v>
      </c>
      <c r="N88" s="13">
        <f t="shared" si="175"/>
        <v>0</v>
      </c>
      <c r="O88" s="13">
        <f t="shared" si="175"/>
        <v>0</v>
      </c>
      <c r="P88" s="13">
        <f t="shared" si="175"/>
        <v>0</v>
      </c>
      <c r="Q88" s="13">
        <f t="shared" si="175"/>
        <v>0</v>
      </c>
      <c r="R88" s="13">
        <f t="shared" si="175"/>
        <v>0</v>
      </c>
      <c r="S88" s="13">
        <f t="shared" si="175"/>
        <v>0</v>
      </c>
      <c r="T88" s="13">
        <f t="shared" si="175"/>
        <v>0</v>
      </c>
      <c r="U88" s="13">
        <f t="shared" si="175"/>
        <v>0</v>
      </c>
      <c r="V88" s="13">
        <f t="shared" si="175"/>
        <v>0</v>
      </c>
      <c r="W88" s="13">
        <f t="shared" si="175"/>
        <v>0</v>
      </c>
      <c r="X88" s="13">
        <f t="shared" si="175"/>
        <v>0</v>
      </c>
      <c r="Y88" s="13">
        <f t="shared" si="175"/>
        <v>0</v>
      </c>
      <c r="Z88" s="13">
        <f t="shared" si="175"/>
        <v>0</v>
      </c>
      <c r="AA88" s="13">
        <f t="shared" si="175"/>
        <v>0</v>
      </c>
      <c r="AB88" s="13">
        <f t="shared" ref="AB88:AP88" si="176">IFERROR(VALUE(RIGHT(LEFT($J88,FIND(AB$1,$J88,IF(M88=0,1,FIND(AB$1,$J88,1)+1))+LEN(AB$1)),1)),0)</f>
        <v>0</v>
      </c>
      <c r="AC88" s="13">
        <f t="shared" si="176"/>
        <v>0</v>
      </c>
      <c r="AD88" s="13">
        <f t="shared" si="176"/>
        <v>0</v>
      </c>
      <c r="AE88" s="13">
        <f t="shared" si="176"/>
        <v>0</v>
      </c>
      <c r="AF88" s="13">
        <f t="shared" si="176"/>
        <v>0</v>
      </c>
      <c r="AG88" s="13">
        <f t="shared" si="176"/>
        <v>1</v>
      </c>
      <c r="AH88" s="13">
        <f t="shared" si="176"/>
        <v>0</v>
      </c>
      <c r="AI88" s="13">
        <f t="shared" si="176"/>
        <v>0</v>
      </c>
      <c r="AJ88" s="13">
        <f t="shared" si="176"/>
        <v>0</v>
      </c>
      <c r="AK88" s="13">
        <f t="shared" si="176"/>
        <v>0</v>
      </c>
      <c r="AL88" s="13">
        <f t="shared" si="176"/>
        <v>0</v>
      </c>
      <c r="AM88" s="13">
        <f t="shared" si="176"/>
        <v>1</v>
      </c>
      <c r="AN88" s="13">
        <f t="shared" si="176"/>
        <v>0</v>
      </c>
      <c r="AO88" s="13">
        <f t="shared" si="176"/>
        <v>0</v>
      </c>
      <c r="AP88" s="13">
        <f t="shared" si="176"/>
        <v>0</v>
      </c>
      <c r="AQ88" s="13"/>
      <c r="AR88" s="13" t="s">
        <v>704</v>
      </c>
      <c r="AS88" s="13" t="s">
        <v>705</v>
      </c>
      <c r="AT88" s="13" t="s">
        <v>162</v>
      </c>
      <c r="AU88" s="13" t="s">
        <v>195</v>
      </c>
      <c r="AV88" s="13" t="s">
        <v>706</v>
      </c>
      <c r="AW88" s="13">
        <v>12.0</v>
      </c>
      <c r="AX88" s="13">
        <v>-1.0</v>
      </c>
      <c r="AY88" s="13">
        <v>0.0</v>
      </c>
      <c r="AZ88" s="13" t="s">
        <v>271</v>
      </c>
      <c r="BA88" s="13" t="s">
        <v>707</v>
      </c>
      <c r="BB88" s="13"/>
      <c r="BC88" s="13"/>
      <c r="BD88" s="13" t="s">
        <v>220</v>
      </c>
      <c r="BE88" s="13"/>
      <c r="BF88" s="13" t="s">
        <v>708</v>
      </c>
      <c r="BG88" s="13" t="s">
        <v>201</v>
      </c>
      <c r="BH88" s="13" t="s">
        <v>79</v>
      </c>
      <c r="BI88" s="13" t="b">
        <v>0</v>
      </c>
      <c r="BJ88" s="13">
        <v>0.0</v>
      </c>
      <c r="BK88" s="13">
        <v>0.0</v>
      </c>
    </row>
    <row r="89" ht="14.25" customHeight="1">
      <c r="A89" s="13">
        <v>87.0</v>
      </c>
      <c r="B89" s="13" t="s">
        <v>50</v>
      </c>
      <c r="C89" s="13">
        <v>1.0</v>
      </c>
      <c r="D89" s="14">
        <v>0.0</v>
      </c>
      <c r="E89" s="13" t="s">
        <v>709</v>
      </c>
      <c r="F89" s="15" t="s">
        <v>710</v>
      </c>
      <c r="G89" s="16" t="s">
        <v>711</v>
      </c>
      <c r="H89" s="13">
        <v>12.0</v>
      </c>
      <c r="I89" s="13">
        <v>1.0</v>
      </c>
      <c r="J89" s="13" t="s">
        <v>712</v>
      </c>
      <c r="K89" s="13">
        <f t="shared" si="3"/>
        <v>0</v>
      </c>
      <c r="L89" s="13">
        <f t="shared" si="4"/>
        <v>2</v>
      </c>
      <c r="M89" s="13">
        <f t="shared" ref="M89:AA89" si="177">IFERROR(VALUE(RIGHT(LEFT($J89,FIND(M$1,$J89,1)+LEN(M$1)),1)),0)</f>
        <v>0</v>
      </c>
      <c r="N89" s="13">
        <f t="shared" si="177"/>
        <v>0</v>
      </c>
      <c r="O89" s="13">
        <f t="shared" si="177"/>
        <v>0</v>
      </c>
      <c r="P89" s="13">
        <f t="shared" si="177"/>
        <v>0</v>
      </c>
      <c r="Q89" s="13">
        <f t="shared" si="177"/>
        <v>0</v>
      </c>
      <c r="R89" s="13">
        <f t="shared" si="177"/>
        <v>0</v>
      </c>
      <c r="S89" s="13">
        <f t="shared" si="177"/>
        <v>0</v>
      </c>
      <c r="T89" s="13">
        <f t="shared" si="177"/>
        <v>0</v>
      </c>
      <c r="U89" s="13">
        <f t="shared" si="177"/>
        <v>0</v>
      </c>
      <c r="V89" s="13">
        <f t="shared" si="177"/>
        <v>0</v>
      </c>
      <c r="W89" s="13">
        <f t="shared" si="177"/>
        <v>0</v>
      </c>
      <c r="X89" s="13">
        <f t="shared" si="177"/>
        <v>0</v>
      </c>
      <c r="Y89" s="13">
        <f t="shared" si="177"/>
        <v>0</v>
      </c>
      <c r="Z89" s="13">
        <f t="shared" si="177"/>
        <v>0</v>
      </c>
      <c r="AA89" s="13">
        <f t="shared" si="177"/>
        <v>0</v>
      </c>
      <c r="AB89" s="13">
        <f t="shared" ref="AB89:AP89" si="178">IFERROR(VALUE(RIGHT(LEFT($J89,FIND(AB$1,$J89,IF(M89=0,1,FIND(AB$1,$J89,1)+1))+LEN(AB$1)),1)),0)</f>
        <v>0</v>
      </c>
      <c r="AC89" s="13">
        <f t="shared" si="178"/>
        <v>0</v>
      </c>
      <c r="AD89" s="13">
        <f t="shared" si="178"/>
        <v>0</v>
      </c>
      <c r="AE89" s="13">
        <f t="shared" si="178"/>
        <v>0</v>
      </c>
      <c r="AF89" s="13">
        <f t="shared" si="178"/>
        <v>0</v>
      </c>
      <c r="AG89" s="13">
        <f t="shared" si="178"/>
        <v>1</v>
      </c>
      <c r="AH89" s="13">
        <f t="shared" si="178"/>
        <v>0</v>
      </c>
      <c r="AI89" s="13">
        <f t="shared" si="178"/>
        <v>0</v>
      </c>
      <c r="AJ89" s="13">
        <f t="shared" si="178"/>
        <v>0</v>
      </c>
      <c r="AK89" s="13">
        <f t="shared" si="178"/>
        <v>0</v>
      </c>
      <c r="AL89" s="13">
        <f t="shared" si="178"/>
        <v>0</v>
      </c>
      <c r="AM89" s="13">
        <f t="shared" si="178"/>
        <v>0</v>
      </c>
      <c r="AN89" s="13">
        <f t="shared" si="178"/>
        <v>1</v>
      </c>
      <c r="AO89" s="13">
        <f t="shared" si="178"/>
        <v>0</v>
      </c>
      <c r="AP89" s="13">
        <f t="shared" si="178"/>
        <v>0</v>
      </c>
      <c r="AQ89" s="13"/>
      <c r="AR89" s="13" t="s">
        <v>713</v>
      </c>
      <c r="AS89" s="13" t="s">
        <v>714</v>
      </c>
      <c r="AT89" s="13" t="s">
        <v>162</v>
      </c>
      <c r="AU89" s="13" t="s">
        <v>248</v>
      </c>
      <c r="AV89" s="13" t="s">
        <v>164</v>
      </c>
      <c r="AW89" s="13">
        <v>10.0</v>
      </c>
      <c r="AX89" s="13">
        <v>-1.0</v>
      </c>
      <c r="AY89" s="13">
        <v>0.0</v>
      </c>
      <c r="AZ89" s="13" t="s">
        <v>154</v>
      </c>
      <c r="BA89" s="13" t="s">
        <v>601</v>
      </c>
      <c r="BB89" s="13"/>
      <c r="BC89" s="13"/>
      <c r="BD89" s="13" t="s">
        <v>715</v>
      </c>
      <c r="BE89" s="13"/>
      <c r="BF89" s="13" t="s">
        <v>716</v>
      </c>
      <c r="BG89" s="13" t="s">
        <v>50</v>
      </c>
      <c r="BH89" s="13" t="s">
        <v>79</v>
      </c>
      <c r="BI89" s="13" t="b">
        <v>0</v>
      </c>
      <c r="BJ89" s="13">
        <v>0.0</v>
      </c>
      <c r="BK89" s="13">
        <v>0.0</v>
      </c>
    </row>
    <row r="90" ht="14.25" customHeight="1">
      <c r="A90" s="13">
        <v>88.0</v>
      </c>
      <c r="B90" s="13" t="s">
        <v>50</v>
      </c>
      <c r="C90" s="13">
        <v>1.0</v>
      </c>
      <c r="D90" s="14">
        <v>0.0</v>
      </c>
      <c r="E90" s="13" t="s">
        <v>717</v>
      </c>
      <c r="F90" s="15" t="s">
        <v>418</v>
      </c>
      <c r="G90" s="16" t="s">
        <v>718</v>
      </c>
      <c r="H90" s="13">
        <v>14.0</v>
      </c>
      <c r="I90" s="13">
        <v>1.2</v>
      </c>
      <c r="J90" s="13" t="s">
        <v>719</v>
      </c>
      <c r="K90" s="13">
        <f t="shared" si="3"/>
        <v>0</v>
      </c>
      <c r="L90" s="13">
        <f t="shared" si="4"/>
        <v>2</v>
      </c>
      <c r="M90" s="13">
        <f t="shared" ref="M90:AA90" si="179">IFERROR(VALUE(RIGHT(LEFT($J90,FIND(M$1,$J90,1)+LEN(M$1)),1)),0)</f>
        <v>0</v>
      </c>
      <c r="N90" s="13">
        <f t="shared" si="179"/>
        <v>0</v>
      </c>
      <c r="O90" s="13">
        <f t="shared" si="179"/>
        <v>0</v>
      </c>
      <c r="P90" s="13">
        <f t="shared" si="179"/>
        <v>0</v>
      </c>
      <c r="Q90" s="13">
        <f t="shared" si="179"/>
        <v>0</v>
      </c>
      <c r="R90" s="13">
        <f t="shared" si="179"/>
        <v>0</v>
      </c>
      <c r="S90" s="13">
        <f t="shared" si="179"/>
        <v>0</v>
      </c>
      <c r="T90" s="13">
        <f t="shared" si="179"/>
        <v>0</v>
      </c>
      <c r="U90" s="13">
        <f t="shared" si="179"/>
        <v>0</v>
      </c>
      <c r="V90" s="13">
        <f t="shared" si="179"/>
        <v>0</v>
      </c>
      <c r="W90" s="13">
        <f t="shared" si="179"/>
        <v>0</v>
      </c>
      <c r="X90" s="13">
        <f t="shared" si="179"/>
        <v>0</v>
      </c>
      <c r="Y90" s="13">
        <f t="shared" si="179"/>
        <v>0</v>
      </c>
      <c r="Z90" s="13">
        <f t="shared" si="179"/>
        <v>0</v>
      </c>
      <c r="AA90" s="13">
        <f t="shared" si="179"/>
        <v>0</v>
      </c>
      <c r="AB90" s="13">
        <f t="shared" ref="AB90:AP90" si="180">IFERROR(VALUE(RIGHT(LEFT($J90,FIND(AB$1,$J90,IF(M90=0,1,FIND(AB$1,$J90,1)+1))+LEN(AB$1)),1)),0)</f>
        <v>0</v>
      </c>
      <c r="AC90" s="13">
        <f t="shared" si="180"/>
        <v>0</v>
      </c>
      <c r="AD90" s="13">
        <f t="shared" si="180"/>
        <v>0</v>
      </c>
      <c r="AE90" s="13">
        <f t="shared" si="180"/>
        <v>0</v>
      </c>
      <c r="AF90" s="13">
        <f t="shared" si="180"/>
        <v>1</v>
      </c>
      <c r="AG90" s="13">
        <f t="shared" si="180"/>
        <v>0</v>
      </c>
      <c r="AH90" s="13">
        <f t="shared" si="180"/>
        <v>0</v>
      </c>
      <c r="AI90" s="13">
        <f t="shared" si="180"/>
        <v>0</v>
      </c>
      <c r="AJ90" s="13">
        <f t="shared" si="180"/>
        <v>0</v>
      </c>
      <c r="AK90" s="13">
        <f t="shared" si="180"/>
        <v>0</v>
      </c>
      <c r="AL90" s="13">
        <f t="shared" si="180"/>
        <v>0</v>
      </c>
      <c r="AM90" s="13">
        <f t="shared" si="180"/>
        <v>0</v>
      </c>
      <c r="AN90" s="13">
        <f t="shared" si="180"/>
        <v>1</v>
      </c>
      <c r="AO90" s="13">
        <f t="shared" si="180"/>
        <v>0</v>
      </c>
      <c r="AP90" s="13">
        <f t="shared" si="180"/>
        <v>0</v>
      </c>
      <c r="AQ90" s="13"/>
      <c r="AR90" s="13" t="s">
        <v>246</v>
      </c>
      <c r="AS90" s="13" t="s">
        <v>720</v>
      </c>
      <c r="AT90" s="13" t="s">
        <v>162</v>
      </c>
      <c r="AU90" s="13" t="s">
        <v>163</v>
      </c>
      <c r="AV90" s="13" t="s">
        <v>721</v>
      </c>
      <c r="AW90" s="13">
        <v>11.0</v>
      </c>
      <c r="AX90" s="13">
        <v>-1.0</v>
      </c>
      <c r="AY90" s="13">
        <v>0.0</v>
      </c>
      <c r="AZ90" s="13" t="s">
        <v>249</v>
      </c>
      <c r="BA90" s="13" t="s">
        <v>133</v>
      </c>
      <c r="BB90" s="13"/>
      <c r="BC90" s="13"/>
      <c r="BD90" s="13" t="s">
        <v>239</v>
      </c>
      <c r="BE90" s="13"/>
      <c r="BF90" s="13" t="s">
        <v>521</v>
      </c>
      <c r="BG90" s="13" t="s">
        <v>50</v>
      </c>
      <c r="BH90" s="13" t="s">
        <v>79</v>
      </c>
      <c r="BI90" s="13" t="b">
        <v>0</v>
      </c>
      <c r="BJ90" s="13">
        <v>0.0</v>
      </c>
      <c r="BK90" s="13">
        <v>0.0</v>
      </c>
    </row>
    <row r="91" ht="14.25" customHeight="1">
      <c r="A91" s="13">
        <v>89.0</v>
      </c>
      <c r="B91" s="13" t="s">
        <v>50</v>
      </c>
      <c r="C91" s="13">
        <v>1.0</v>
      </c>
      <c r="D91" s="14">
        <v>0.0</v>
      </c>
      <c r="E91" s="13" t="s">
        <v>722</v>
      </c>
      <c r="F91" s="15" t="s">
        <v>372</v>
      </c>
      <c r="G91" s="16" t="s">
        <v>723</v>
      </c>
      <c r="H91" s="13">
        <v>12.0</v>
      </c>
      <c r="I91" s="13">
        <v>1.1</v>
      </c>
      <c r="J91" s="13" t="s">
        <v>724</v>
      </c>
      <c r="K91" s="13">
        <f t="shared" si="3"/>
        <v>0</v>
      </c>
      <c r="L91" s="13">
        <f t="shared" si="4"/>
        <v>2</v>
      </c>
      <c r="M91" s="13">
        <f t="shared" ref="M91:AA91" si="181">IFERROR(VALUE(RIGHT(LEFT($J91,FIND(M$1,$J91,1)+LEN(M$1)),1)),0)</f>
        <v>0</v>
      </c>
      <c r="N91" s="13">
        <f t="shared" si="181"/>
        <v>0</v>
      </c>
      <c r="O91" s="13">
        <f t="shared" si="181"/>
        <v>0</v>
      </c>
      <c r="P91" s="13">
        <f t="shared" si="181"/>
        <v>0</v>
      </c>
      <c r="Q91" s="13">
        <f t="shared" si="181"/>
        <v>0</v>
      </c>
      <c r="R91" s="13">
        <f t="shared" si="181"/>
        <v>0</v>
      </c>
      <c r="S91" s="13">
        <f t="shared" si="181"/>
        <v>0</v>
      </c>
      <c r="T91" s="13">
        <f t="shared" si="181"/>
        <v>0</v>
      </c>
      <c r="U91" s="13">
        <f t="shared" si="181"/>
        <v>0</v>
      </c>
      <c r="V91" s="13">
        <f t="shared" si="181"/>
        <v>0</v>
      </c>
      <c r="W91" s="13">
        <f t="shared" si="181"/>
        <v>0</v>
      </c>
      <c r="X91" s="13">
        <f t="shared" si="181"/>
        <v>0</v>
      </c>
      <c r="Y91" s="13">
        <f t="shared" si="181"/>
        <v>0</v>
      </c>
      <c r="Z91" s="13">
        <f t="shared" si="181"/>
        <v>0</v>
      </c>
      <c r="AA91" s="13">
        <f t="shared" si="181"/>
        <v>0</v>
      </c>
      <c r="AB91" s="13">
        <f t="shared" ref="AB91:AP91" si="182">IFERROR(VALUE(RIGHT(LEFT($J91,FIND(AB$1,$J91,IF(M91=0,1,FIND(AB$1,$J91,1)+1))+LEN(AB$1)),1)),0)</f>
        <v>0</v>
      </c>
      <c r="AC91" s="13">
        <f t="shared" si="182"/>
        <v>1</v>
      </c>
      <c r="AD91" s="13">
        <f t="shared" si="182"/>
        <v>0</v>
      </c>
      <c r="AE91" s="13">
        <f t="shared" si="182"/>
        <v>0</v>
      </c>
      <c r="AF91" s="13">
        <f t="shared" si="182"/>
        <v>0</v>
      </c>
      <c r="AG91" s="13">
        <f t="shared" si="182"/>
        <v>0</v>
      </c>
      <c r="AH91" s="13">
        <f t="shared" si="182"/>
        <v>0</v>
      </c>
      <c r="AI91" s="13">
        <f t="shared" si="182"/>
        <v>0</v>
      </c>
      <c r="AJ91" s="13">
        <f t="shared" si="182"/>
        <v>0</v>
      </c>
      <c r="AK91" s="13">
        <f t="shared" si="182"/>
        <v>0</v>
      </c>
      <c r="AL91" s="13">
        <f t="shared" si="182"/>
        <v>0</v>
      </c>
      <c r="AM91" s="13">
        <f t="shared" si="182"/>
        <v>0</v>
      </c>
      <c r="AN91" s="13">
        <f t="shared" si="182"/>
        <v>1</v>
      </c>
      <c r="AO91" s="13">
        <f t="shared" si="182"/>
        <v>0</v>
      </c>
      <c r="AP91" s="13">
        <f t="shared" si="182"/>
        <v>0</v>
      </c>
      <c r="AQ91" s="13"/>
      <c r="AR91" s="13" t="s">
        <v>725</v>
      </c>
      <c r="AS91" s="13" t="s">
        <v>726</v>
      </c>
      <c r="AT91" s="13" t="s">
        <v>162</v>
      </c>
      <c r="AU91" s="13" t="s">
        <v>727</v>
      </c>
      <c r="AV91" s="13" t="s">
        <v>728</v>
      </c>
      <c r="AW91" s="13">
        <v>10.0</v>
      </c>
      <c r="AX91" s="13">
        <v>-1.0</v>
      </c>
      <c r="AY91" s="13">
        <v>0.0</v>
      </c>
      <c r="AZ91" s="13" t="s">
        <v>537</v>
      </c>
      <c r="BA91" s="13" t="s">
        <v>538</v>
      </c>
      <c r="BB91" s="13"/>
      <c r="BC91" s="13"/>
      <c r="BD91" s="13" t="s">
        <v>715</v>
      </c>
      <c r="BE91" s="13"/>
      <c r="BF91" s="13" t="s">
        <v>729</v>
      </c>
      <c r="BG91" s="13" t="s">
        <v>50</v>
      </c>
      <c r="BH91" s="13" t="s">
        <v>241</v>
      </c>
      <c r="BI91" s="13" t="b">
        <v>0</v>
      </c>
      <c r="BJ91" s="13">
        <v>0.0</v>
      </c>
      <c r="BK91" s="13">
        <v>0.0</v>
      </c>
    </row>
    <row r="92" ht="14.25" customHeight="1">
      <c r="A92" s="13">
        <v>90.0</v>
      </c>
      <c r="B92" s="13" t="s">
        <v>50</v>
      </c>
      <c r="C92" s="13">
        <v>1.0</v>
      </c>
      <c r="D92" s="14">
        <v>0.0</v>
      </c>
      <c r="E92" s="13" t="s">
        <v>730</v>
      </c>
      <c r="F92" s="15" t="s">
        <v>731</v>
      </c>
      <c r="G92" s="16" t="s">
        <v>732</v>
      </c>
      <c r="H92" s="13">
        <v>11.0</v>
      </c>
      <c r="I92" s="13">
        <v>0.9</v>
      </c>
      <c r="J92" s="13" t="s">
        <v>733</v>
      </c>
      <c r="K92" s="13">
        <f t="shared" si="3"/>
        <v>0</v>
      </c>
      <c r="L92" s="13">
        <f t="shared" si="4"/>
        <v>2</v>
      </c>
      <c r="M92" s="13">
        <f t="shared" ref="M92:AA92" si="183">IFERROR(VALUE(RIGHT(LEFT($J92,FIND(M$1,$J92,1)+LEN(M$1)),1)),0)</f>
        <v>0</v>
      </c>
      <c r="N92" s="13">
        <f t="shared" si="183"/>
        <v>0</v>
      </c>
      <c r="O92" s="13">
        <f t="shared" si="183"/>
        <v>0</v>
      </c>
      <c r="P92" s="13">
        <f t="shared" si="183"/>
        <v>0</v>
      </c>
      <c r="Q92" s="13">
        <f t="shared" si="183"/>
        <v>0</v>
      </c>
      <c r="R92" s="13">
        <f t="shared" si="183"/>
        <v>0</v>
      </c>
      <c r="S92" s="13">
        <f t="shared" si="183"/>
        <v>0</v>
      </c>
      <c r="T92" s="13">
        <f t="shared" si="183"/>
        <v>0</v>
      </c>
      <c r="U92" s="13">
        <f t="shared" si="183"/>
        <v>0</v>
      </c>
      <c r="V92" s="13">
        <f t="shared" si="183"/>
        <v>0</v>
      </c>
      <c r="W92" s="13">
        <f t="shared" si="183"/>
        <v>0</v>
      </c>
      <c r="X92" s="13">
        <f t="shared" si="183"/>
        <v>0</v>
      </c>
      <c r="Y92" s="13">
        <f t="shared" si="183"/>
        <v>0</v>
      </c>
      <c r="Z92" s="13">
        <f t="shared" si="183"/>
        <v>0</v>
      </c>
      <c r="AA92" s="13">
        <f t="shared" si="183"/>
        <v>0</v>
      </c>
      <c r="AB92" s="13">
        <f t="shared" ref="AB92:AP92" si="184">IFERROR(VALUE(RIGHT(LEFT($J92,FIND(AB$1,$J92,IF(M92=0,1,FIND(AB$1,$J92,1)+1))+LEN(AB$1)),1)),0)</f>
        <v>0</v>
      </c>
      <c r="AC92" s="13">
        <f t="shared" si="184"/>
        <v>0</v>
      </c>
      <c r="AD92" s="13">
        <f t="shared" si="184"/>
        <v>0</v>
      </c>
      <c r="AE92" s="13">
        <f t="shared" si="184"/>
        <v>1</v>
      </c>
      <c r="AF92" s="13">
        <f t="shared" si="184"/>
        <v>0</v>
      </c>
      <c r="AG92" s="13">
        <f t="shared" si="184"/>
        <v>0</v>
      </c>
      <c r="AH92" s="13">
        <f t="shared" si="184"/>
        <v>0</v>
      </c>
      <c r="AI92" s="13">
        <f t="shared" si="184"/>
        <v>0</v>
      </c>
      <c r="AJ92" s="13">
        <f t="shared" si="184"/>
        <v>0</v>
      </c>
      <c r="AK92" s="13">
        <f t="shared" si="184"/>
        <v>0</v>
      </c>
      <c r="AL92" s="13">
        <f t="shared" si="184"/>
        <v>0</v>
      </c>
      <c r="AM92" s="13">
        <f t="shared" si="184"/>
        <v>0</v>
      </c>
      <c r="AN92" s="13">
        <f t="shared" si="184"/>
        <v>1</v>
      </c>
      <c r="AO92" s="13">
        <f t="shared" si="184"/>
        <v>0</v>
      </c>
      <c r="AP92" s="13">
        <f t="shared" si="184"/>
        <v>0</v>
      </c>
      <c r="AQ92" s="13"/>
      <c r="AR92" s="13" t="s">
        <v>734</v>
      </c>
      <c r="AS92" s="13" t="s">
        <v>735</v>
      </c>
      <c r="AT92" s="13" t="s">
        <v>142</v>
      </c>
      <c r="AU92" s="13" t="s">
        <v>143</v>
      </c>
      <c r="AV92" s="13"/>
      <c r="AW92" s="13">
        <v>9.0</v>
      </c>
      <c r="AX92" s="13">
        <v>-1.0</v>
      </c>
      <c r="AY92" s="13">
        <v>0.0</v>
      </c>
      <c r="AZ92" s="13" t="s">
        <v>271</v>
      </c>
      <c r="BA92" s="13" t="s">
        <v>707</v>
      </c>
      <c r="BB92" s="13"/>
      <c r="BC92" s="13"/>
      <c r="BD92" s="13" t="s">
        <v>230</v>
      </c>
      <c r="BE92" s="13"/>
      <c r="BF92" s="13" t="s">
        <v>736</v>
      </c>
      <c r="BG92" s="13" t="s">
        <v>50</v>
      </c>
      <c r="BH92" s="13" t="s">
        <v>79</v>
      </c>
      <c r="BI92" s="13" t="b">
        <v>0</v>
      </c>
      <c r="BJ92" s="13">
        <v>0.0</v>
      </c>
      <c r="BK92" s="13">
        <v>0.0</v>
      </c>
    </row>
    <row r="93" ht="14.25" customHeight="1">
      <c r="A93" s="13">
        <v>91.0</v>
      </c>
      <c r="B93" s="13" t="s">
        <v>50</v>
      </c>
      <c r="C93" s="13">
        <v>1.0</v>
      </c>
      <c r="D93" s="14">
        <v>0.0</v>
      </c>
      <c r="E93" s="13" t="s">
        <v>737</v>
      </c>
      <c r="F93" s="15"/>
      <c r="G93" s="16" t="s">
        <v>738</v>
      </c>
      <c r="H93" s="13">
        <v>13.0</v>
      </c>
      <c r="I93" s="13">
        <v>1.0</v>
      </c>
      <c r="J93" s="13" t="s">
        <v>733</v>
      </c>
      <c r="K93" s="13">
        <f t="shared" si="3"/>
        <v>0</v>
      </c>
      <c r="L93" s="13">
        <f t="shared" si="4"/>
        <v>2</v>
      </c>
      <c r="M93" s="13">
        <f t="shared" ref="M93:AA93" si="185">IFERROR(VALUE(RIGHT(LEFT($J93,FIND(M$1,$J93,1)+LEN(M$1)),1)),0)</f>
        <v>0</v>
      </c>
      <c r="N93" s="13">
        <f t="shared" si="185"/>
        <v>0</v>
      </c>
      <c r="O93" s="13">
        <f t="shared" si="185"/>
        <v>0</v>
      </c>
      <c r="P93" s="13">
        <f t="shared" si="185"/>
        <v>0</v>
      </c>
      <c r="Q93" s="13">
        <f t="shared" si="185"/>
        <v>0</v>
      </c>
      <c r="R93" s="13">
        <f t="shared" si="185"/>
        <v>0</v>
      </c>
      <c r="S93" s="13">
        <f t="shared" si="185"/>
        <v>0</v>
      </c>
      <c r="T93" s="13">
        <f t="shared" si="185"/>
        <v>0</v>
      </c>
      <c r="U93" s="13">
        <f t="shared" si="185"/>
        <v>0</v>
      </c>
      <c r="V93" s="13">
        <f t="shared" si="185"/>
        <v>0</v>
      </c>
      <c r="W93" s="13">
        <f t="shared" si="185"/>
        <v>0</v>
      </c>
      <c r="X93" s="13">
        <f t="shared" si="185"/>
        <v>0</v>
      </c>
      <c r="Y93" s="13">
        <f t="shared" si="185"/>
        <v>0</v>
      </c>
      <c r="Z93" s="13">
        <f t="shared" si="185"/>
        <v>0</v>
      </c>
      <c r="AA93" s="13">
        <f t="shared" si="185"/>
        <v>0</v>
      </c>
      <c r="AB93" s="13">
        <f t="shared" ref="AB93:AP93" si="186">IFERROR(VALUE(RIGHT(LEFT($J93,FIND(AB$1,$J93,IF(M93=0,1,FIND(AB$1,$J93,1)+1))+LEN(AB$1)),1)),0)</f>
        <v>0</v>
      </c>
      <c r="AC93" s="13">
        <f t="shared" si="186"/>
        <v>0</v>
      </c>
      <c r="AD93" s="13">
        <f t="shared" si="186"/>
        <v>0</v>
      </c>
      <c r="AE93" s="13">
        <f t="shared" si="186"/>
        <v>1</v>
      </c>
      <c r="AF93" s="13">
        <f t="shared" si="186"/>
        <v>0</v>
      </c>
      <c r="AG93" s="13">
        <f t="shared" si="186"/>
        <v>0</v>
      </c>
      <c r="AH93" s="13">
        <f t="shared" si="186"/>
        <v>0</v>
      </c>
      <c r="AI93" s="13">
        <f t="shared" si="186"/>
        <v>0</v>
      </c>
      <c r="AJ93" s="13">
        <f t="shared" si="186"/>
        <v>0</v>
      </c>
      <c r="AK93" s="13">
        <f t="shared" si="186"/>
        <v>0</v>
      </c>
      <c r="AL93" s="13">
        <f t="shared" si="186"/>
        <v>0</v>
      </c>
      <c r="AM93" s="13">
        <f t="shared" si="186"/>
        <v>0</v>
      </c>
      <c r="AN93" s="13">
        <f t="shared" si="186"/>
        <v>1</v>
      </c>
      <c r="AO93" s="13">
        <f t="shared" si="186"/>
        <v>0</v>
      </c>
      <c r="AP93" s="13">
        <f t="shared" si="186"/>
        <v>0</v>
      </c>
      <c r="AQ93" s="13"/>
      <c r="AR93" s="13" t="s">
        <v>739</v>
      </c>
      <c r="AS93" s="13" t="s">
        <v>247</v>
      </c>
      <c r="AT93" s="13" t="s">
        <v>162</v>
      </c>
      <c r="AU93" s="13" t="s">
        <v>248</v>
      </c>
      <c r="AV93" s="13" t="s">
        <v>740</v>
      </c>
      <c r="AW93" s="13">
        <v>10.0</v>
      </c>
      <c r="AX93" s="13">
        <v>-1.0</v>
      </c>
      <c r="AY93" s="13">
        <v>0.0</v>
      </c>
      <c r="AZ93" s="13" t="s">
        <v>186</v>
      </c>
      <c r="BA93" s="13" t="s">
        <v>146</v>
      </c>
      <c r="BB93" s="13"/>
      <c r="BC93" s="13"/>
      <c r="BD93" s="13" t="s">
        <v>239</v>
      </c>
      <c r="BE93" s="13"/>
      <c r="BF93" s="13" t="s">
        <v>512</v>
      </c>
      <c r="BG93" s="13" t="s">
        <v>50</v>
      </c>
      <c r="BH93" s="13" t="s">
        <v>79</v>
      </c>
      <c r="BI93" s="13" t="b">
        <v>0</v>
      </c>
      <c r="BJ93" s="13">
        <v>0.0</v>
      </c>
      <c r="BK93" s="13">
        <v>0.0</v>
      </c>
    </row>
    <row r="94" ht="14.25" customHeight="1">
      <c r="A94" s="13">
        <v>92.0</v>
      </c>
      <c r="B94" s="13" t="s">
        <v>50</v>
      </c>
      <c r="C94" s="13">
        <v>1.0</v>
      </c>
      <c r="D94" s="14">
        <v>0.0</v>
      </c>
      <c r="E94" s="13" t="s">
        <v>741</v>
      </c>
      <c r="F94" s="15" t="s">
        <v>465</v>
      </c>
      <c r="G94" s="16" t="s">
        <v>742</v>
      </c>
      <c r="H94" s="13">
        <v>12.0</v>
      </c>
      <c r="I94" s="13">
        <v>0.9</v>
      </c>
      <c r="J94" s="13" t="s">
        <v>342</v>
      </c>
      <c r="K94" s="13">
        <f t="shared" si="3"/>
        <v>0</v>
      </c>
      <c r="L94" s="13">
        <f t="shared" si="4"/>
        <v>2</v>
      </c>
      <c r="M94" s="13">
        <f t="shared" ref="M94:AA94" si="187">IFERROR(VALUE(RIGHT(LEFT($J94,FIND(M$1,$J94,1)+LEN(M$1)),1)),0)</f>
        <v>0</v>
      </c>
      <c r="N94" s="13">
        <f t="shared" si="187"/>
        <v>0</v>
      </c>
      <c r="O94" s="13">
        <f t="shared" si="187"/>
        <v>0</v>
      </c>
      <c r="P94" s="13">
        <f t="shared" si="187"/>
        <v>0</v>
      </c>
      <c r="Q94" s="13">
        <f t="shared" si="187"/>
        <v>0</v>
      </c>
      <c r="R94" s="13">
        <f t="shared" si="187"/>
        <v>0</v>
      </c>
      <c r="S94" s="13">
        <f t="shared" si="187"/>
        <v>0</v>
      </c>
      <c r="T94" s="13">
        <f t="shared" si="187"/>
        <v>0</v>
      </c>
      <c r="U94" s="13">
        <f t="shared" si="187"/>
        <v>0</v>
      </c>
      <c r="V94" s="13">
        <f t="shared" si="187"/>
        <v>0</v>
      </c>
      <c r="W94" s="13">
        <f t="shared" si="187"/>
        <v>0</v>
      </c>
      <c r="X94" s="13">
        <f t="shared" si="187"/>
        <v>0</v>
      </c>
      <c r="Y94" s="13">
        <f t="shared" si="187"/>
        <v>0</v>
      </c>
      <c r="Z94" s="13">
        <f t="shared" si="187"/>
        <v>0</v>
      </c>
      <c r="AA94" s="13">
        <f t="shared" si="187"/>
        <v>0</v>
      </c>
      <c r="AB94" s="13">
        <f t="shared" ref="AB94:AP94" si="188">IFERROR(VALUE(RIGHT(LEFT($J94,FIND(AB$1,$J94,IF(M94=0,1,FIND(AB$1,$J94,1)+1))+LEN(AB$1)),1)),0)</f>
        <v>1</v>
      </c>
      <c r="AC94" s="13">
        <f t="shared" si="188"/>
        <v>0</v>
      </c>
      <c r="AD94" s="13">
        <f t="shared" si="188"/>
        <v>0</v>
      </c>
      <c r="AE94" s="13">
        <f t="shared" si="188"/>
        <v>1</v>
      </c>
      <c r="AF94" s="13">
        <f t="shared" si="188"/>
        <v>0</v>
      </c>
      <c r="AG94" s="13">
        <f t="shared" si="188"/>
        <v>0</v>
      </c>
      <c r="AH94" s="13">
        <f t="shared" si="188"/>
        <v>0</v>
      </c>
      <c r="AI94" s="13">
        <f t="shared" si="188"/>
        <v>0</v>
      </c>
      <c r="AJ94" s="13">
        <f t="shared" si="188"/>
        <v>0</v>
      </c>
      <c r="AK94" s="13">
        <f t="shared" si="188"/>
        <v>0</v>
      </c>
      <c r="AL94" s="13">
        <f t="shared" si="188"/>
        <v>0</v>
      </c>
      <c r="AM94" s="13">
        <f t="shared" si="188"/>
        <v>0</v>
      </c>
      <c r="AN94" s="13">
        <f t="shared" si="188"/>
        <v>0</v>
      </c>
      <c r="AO94" s="13">
        <f t="shared" si="188"/>
        <v>0</v>
      </c>
      <c r="AP94" s="13">
        <f t="shared" si="188"/>
        <v>0</v>
      </c>
      <c r="AQ94" s="13"/>
      <c r="AR94" s="13" t="s">
        <v>743</v>
      </c>
      <c r="AS94" s="13" t="s">
        <v>744</v>
      </c>
      <c r="AT94" s="13" t="s">
        <v>162</v>
      </c>
      <c r="AU94" s="13" t="s">
        <v>236</v>
      </c>
      <c r="AV94" s="13" t="s">
        <v>481</v>
      </c>
      <c r="AW94" s="13">
        <v>9.0</v>
      </c>
      <c r="AX94" s="13">
        <v>-1.0</v>
      </c>
      <c r="AY94" s="13">
        <v>0.0</v>
      </c>
      <c r="AZ94" s="13" t="s">
        <v>482</v>
      </c>
      <c r="BA94" s="13" t="s">
        <v>483</v>
      </c>
      <c r="BB94" s="13"/>
      <c r="BC94" s="13"/>
      <c r="BD94" s="13" t="s">
        <v>239</v>
      </c>
      <c r="BE94" s="13"/>
      <c r="BF94" s="13" t="s">
        <v>688</v>
      </c>
      <c r="BG94" s="13" t="s">
        <v>50</v>
      </c>
      <c r="BH94" s="13" t="s">
        <v>241</v>
      </c>
      <c r="BI94" s="13" t="b">
        <v>0</v>
      </c>
      <c r="BJ94" s="13">
        <v>0.0</v>
      </c>
      <c r="BK94" s="13">
        <v>0.0</v>
      </c>
    </row>
    <row r="95" ht="14.25" customHeight="1">
      <c r="A95" s="13">
        <v>93.0</v>
      </c>
      <c r="B95" s="13" t="s">
        <v>50</v>
      </c>
      <c r="C95" s="13">
        <v>1.0</v>
      </c>
      <c r="D95" s="14">
        <v>0.0</v>
      </c>
      <c r="E95" s="13" t="s">
        <v>745</v>
      </c>
      <c r="F95" s="15" t="s">
        <v>746</v>
      </c>
      <c r="G95" s="16" t="s">
        <v>747</v>
      </c>
      <c r="H95" s="13">
        <v>12.0</v>
      </c>
      <c r="I95" s="13">
        <v>1.1</v>
      </c>
      <c r="J95" s="13" t="s">
        <v>748</v>
      </c>
      <c r="K95" s="13">
        <f t="shared" si="3"/>
        <v>0</v>
      </c>
      <c r="L95" s="13">
        <f t="shared" si="4"/>
        <v>2</v>
      </c>
      <c r="M95" s="13">
        <f t="shared" ref="M95:AA95" si="189">IFERROR(VALUE(RIGHT(LEFT($J95,FIND(M$1,$J95,1)+LEN(M$1)),1)),0)</f>
        <v>0</v>
      </c>
      <c r="N95" s="13">
        <f t="shared" si="189"/>
        <v>0</v>
      </c>
      <c r="O95" s="13">
        <f t="shared" si="189"/>
        <v>0</v>
      </c>
      <c r="P95" s="13">
        <f t="shared" si="189"/>
        <v>0</v>
      </c>
      <c r="Q95" s="13">
        <f t="shared" si="189"/>
        <v>0</v>
      </c>
      <c r="R95" s="13">
        <f t="shared" si="189"/>
        <v>0</v>
      </c>
      <c r="S95" s="13">
        <f t="shared" si="189"/>
        <v>0</v>
      </c>
      <c r="T95" s="13">
        <f t="shared" si="189"/>
        <v>0</v>
      </c>
      <c r="U95" s="13">
        <f t="shared" si="189"/>
        <v>0</v>
      </c>
      <c r="V95" s="13">
        <f t="shared" si="189"/>
        <v>0</v>
      </c>
      <c r="W95" s="13">
        <f t="shared" si="189"/>
        <v>0</v>
      </c>
      <c r="X95" s="13">
        <f t="shared" si="189"/>
        <v>0</v>
      </c>
      <c r="Y95" s="13">
        <f t="shared" si="189"/>
        <v>0</v>
      </c>
      <c r="Z95" s="13">
        <f t="shared" si="189"/>
        <v>0</v>
      </c>
      <c r="AA95" s="13">
        <f t="shared" si="189"/>
        <v>0</v>
      </c>
      <c r="AB95" s="13">
        <f t="shared" ref="AB95:AP95" si="190">IFERROR(VALUE(RIGHT(LEFT($J95,FIND(AB$1,$J95,IF(M95=0,1,FIND(AB$1,$J95,1)+1))+LEN(AB$1)),1)),0)</f>
        <v>0</v>
      </c>
      <c r="AC95" s="13">
        <f t="shared" si="190"/>
        <v>0</v>
      </c>
      <c r="AD95" s="13">
        <f t="shared" si="190"/>
        <v>1</v>
      </c>
      <c r="AE95" s="13">
        <f t="shared" si="190"/>
        <v>0</v>
      </c>
      <c r="AF95" s="13">
        <f t="shared" si="190"/>
        <v>0</v>
      </c>
      <c r="AG95" s="13">
        <f t="shared" si="190"/>
        <v>0</v>
      </c>
      <c r="AH95" s="13">
        <f t="shared" si="190"/>
        <v>0</v>
      </c>
      <c r="AI95" s="13">
        <f t="shared" si="190"/>
        <v>0</v>
      </c>
      <c r="AJ95" s="13">
        <f t="shared" si="190"/>
        <v>0</v>
      </c>
      <c r="AK95" s="13">
        <f t="shared" si="190"/>
        <v>0</v>
      </c>
      <c r="AL95" s="13">
        <f t="shared" si="190"/>
        <v>0</v>
      </c>
      <c r="AM95" s="13">
        <f t="shared" si="190"/>
        <v>0</v>
      </c>
      <c r="AN95" s="13">
        <f t="shared" si="190"/>
        <v>1</v>
      </c>
      <c r="AO95" s="13">
        <f t="shared" si="190"/>
        <v>0</v>
      </c>
      <c r="AP95" s="13">
        <f t="shared" si="190"/>
        <v>0</v>
      </c>
      <c r="AQ95" s="13"/>
      <c r="AR95" s="13" t="s">
        <v>749</v>
      </c>
      <c r="AS95" s="13" t="s">
        <v>750</v>
      </c>
      <c r="AT95" s="13" t="s">
        <v>129</v>
      </c>
      <c r="AU95" s="13" t="s">
        <v>143</v>
      </c>
      <c r="AV95" s="13" t="s">
        <v>751</v>
      </c>
      <c r="AW95" s="13">
        <v>11.0</v>
      </c>
      <c r="AX95" s="13">
        <v>-1.0</v>
      </c>
      <c r="AY95" s="13">
        <v>0.0</v>
      </c>
      <c r="AZ95" s="13" t="s">
        <v>186</v>
      </c>
      <c r="BA95" s="13" t="s">
        <v>146</v>
      </c>
      <c r="BB95" s="13"/>
      <c r="BC95" s="13"/>
      <c r="BD95" s="13" t="s">
        <v>715</v>
      </c>
      <c r="BE95" s="13"/>
      <c r="BF95" s="13" t="s">
        <v>221</v>
      </c>
      <c r="BG95" s="13" t="s">
        <v>50</v>
      </c>
      <c r="BH95" s="13" t="s">
        <v>79</v>
      </c>
      <c r="BI95" s="13" t="b">
        <v>0</v>
      </c>
      <c r="BJ95" s="13">
        <v>0.0</v>
      </c>
      <c r="BK95" s="13">
        <v>0.0</v>
      </c>
    </row>
    <row r="96" ht="14.25" customHeight="1">
      <c r="A96" s="13">
        <v>94.0</v>
      </c>
      <c r="B96" s="13" t="s">
        <v>50</v>
      </c>
      <c r="C96" s="13">
        <v>1.0</v>
      </c>
      <c r="D96" s="14">
        <v>0.0</v>
      </c>
      <c r="E96" s="13" t="s">
        <v>752</v>
      </c>
      <c r="F96" s="15" t="s">
        <v>753</v>
      </c>
      <c r="G96" s="16" t="s">
        <v>754</v>
      </c>
      <c r="H96" s="13">
        <v>12.0</v>
      </c>
      <c r="I96" s="13">
        <v>1.0</v>
      </c>
      <c r="J96" s="13" t="s">
        <v>719</v>
      </c>
      <c r="K96" s="13">
        <f t="shared" si="3"/>
        <v>0</v>
      </c>
      <c r="L96" s="13">
        <f t="shared" si="4"/>
        <v>2</v>
      </c>
      <c r="M96" s="13">
        <f t="shared" ref="M96:AA96" si="191">IFERROR(VALUE(RIGHT(LEFT($J96,FIND(M$1,$J96,1)+LEN(M$1)),1)),0)</f>
        <v>0</v>
      </c>
      <c r="N96" s="13">
        <f t="shared" si="191"/>
        <v>0</v>
      </c>
      <c r="O96" s="13">
        <f t="shared" si="191"/>
        <v>0</v>
      </c>
      <c r="P96" s="13">
        <f t="shared" si="191"/>
        <v>0</v>
      </c>
      <c r="Q96" s="13">
        <f t="shared" si="191"/>
        <v>0</v>
      </c>
      <c r="R96" s="13">
        <f t="shared" si="191"/>
        <v>0</v>
      </c>
      <c r="S96" s="13">
        <f t="shared" si="191"/>
        <v>0</v>
      </c>
      <c r="T96" s="13">
        <f t="shared" si="191"/>
        <v>0</v>
      </c>
      <c r="U96" s="13">
        <f t="shared" si="191"/>
        <v>0</v>
      </c>
      <c r="V96" s="13">
        <f t="shared" si="191"/>
        <v>0</v>
      </c>
      <c r="W96" s="13">
        <f t="shared" si="191"/>
        <v>0</v>
      </c>
      <c r="X96" s="13">
        <f t="shared" si="191"/>
        <v>0</v>
      </c>
      <c r="Y96" s="13">
        <f t="shared" si="191"/>
        <v>0</v>
      </c>
      <c r="Z96" s="13">
        <f t="shared" si="191"/>
        <v>0</v>
      </c>
      <c r="AA96" s="13">
        <f t="shared" si="191"/>
        <v>0</v>
      </c>
      <c r="AB96" s="13">
        <f t="shared" ref="AB96:AP96" si="192">IFERROR(VALUE(RIGHT(LEFT($J96,FIND(AB$1,$J96,IF(M96=0,1,FIND(AB$1,$J96,1)+1))+LEN(AB$1)),1)),0)</f>
        <v>0</v>
      </c>
      <c r="AC96" s="13">
        <f t="shared" si="192"/>
        <v>0</v>
      </c>
      <c r="AD96" s="13">
        <f t="shared" si="192"/>
        <v>0</v>
      </c>
      <c r="AE96" s="13">
        <f t="shared" si="192"/>
        <v>0</v>
      </c>
      <c r="AF96" s="13">
        <f t="shared" si="192"/>
        <v>1</v>
      </c>
      <c r="AG96" s="13">
        <f t="shared" si="192"/>
        <v>0</v>
      </c>
      <c r="AH96" s="13">
        <f t="shared" si="192"/>
        <v>0</v>
      </c>
      <c r="AI96" s="13">
        <f t="shared" si="192"/>
        <v>0</v>
      </c>
      <c r="AJ96" s="13">
        <f t="shared" si="192"/>
        <v>0</v>
      </c>
      <c r="AK96" s="13">
        <f t="shared" si="192"/>
        <v>0</v>
      </c>
      <c r="AL96" s="13">
        <f t="shared" si="192"/>
        <v>0</v>
      </c>
      <c r="AM96" s="13">
        <f t="shared" si="192"/>
        <v>0</v>
      </c>
      <c r="AN96" s="13">
        <f t="shared" si="192"/>
        <v>1</v>
      </c>
      <c r="AO96" s="13">
        <f t="shared" si="192"/>
        <v>0</v>
      </c>
      <c r="AP96" s="13">
        <f t="shared" si="192"/>
        <v>0</v>
      </c>
      <c r="AQ96" s="13"/>
      <c r="AR96" s="13" t="s">
        <v>755</v>
      </c>
      <c r="AS96" s="13" t="s">
        <v>756</v>
      </c>
      <c r="AT96" s="13" t="s">
        <v>175</v>
      </c>
      <c r="AU96" s="13" t="s">
        <v>143</v>
      </c>
      <c r="AV96" s="13" t="s">
        <v>237</v>
      </c>
      <c r="AW96" s="13">
        <v>10.0</v>
      </c>
      <c r="AX96" s="13">
        <v>-1.0</v>
      </c>
      <c r="AY96" s="13">
        <v>0.0</v>
      </c>
      <c r="AZ96" s="13" t="s">
        <v>757</v>
      </c>
      <c r="BA96" s="13" t="s">
        <v>758</v>
      </c>
      <c r="BB96" s="13"/>
      <c r="BC96" s="13"/>
      <c r="BD96" s="13" t="s">
        <v>239</v>
      </c>
      <c r="BE96" s="13"/>
      <c r="BF96" s="13" t="s">
        <v>656</v>
      </c>
      <c r="BG96" s="13" t="s">
        <v>50</v>
      </c>
      <c r="BH96" s="13" t="s">
        <v>241</v>
      </c>
      <c r="BI96" s="13" t="b">
        <v>0</v>
      </c>
      <c r="BJ96" s="13">
        <v>0.0</v>
      </c>
      <c r="BK96" s="13">
        <v>0.0</v>
      </c>
    </row>
    <row r="97" ht="14.25" customHeight="1">
      <c r="A97" s="13">
        <v>95.0</v>
      </c>
      <c r="B97" s="13" t="s">
        <v>50</v>
      </c>
      <c r="C97" s="13">
        <v>1.0</v>
      </c>
      <c r="D97" s="14">
        <v>0.0</v>
      </c>
      <c r="E97" s="13" t="s">
        <v>759</v>
      </c>
      <c r="F97" s="15"/>
      <c r="G97" s="16" t="s">
        <v>760</v>
      </c>
      <c r="H97" s="13">
        <v>15.0</v>
      </c>
      <c r="I97" s="13">
        <v>1.2</v>
      </c>
      <c r="J97" s="13" t="s">
        <v>761</v>
      </c>
      <c r="K97" s="13">
        <f t="shared" si="3"/>
        <v>0</v>
      </c>
      <c r="L97" s="13">
        <f t="shared" si="4"/>
        <v>2</v>
      </c>
      <c r="M97" s="13">
        <f t="shared" ref="M97:AA97" si="193">IFERROR(VALUE(RIGHT(LEFT($J97,FIND(M$1,$J97,1)+LEN(M$1)),1)),0)</f>
        <v>0</v>
      </c>
      <c r="N97" s="13">
        <f t="shared" si="193"/>
        <v>0</v>
      </c>
      <c r="O97" s="13">
        <f t="shared" si="193"/>
        <v>0</v>
      </c>
      <c r="P97" s="13">
        <f t="shared" si="193"/>
        <v>0</v>
      </c>
      <c r="Q97" s="13">
        <f t="shared" si="193"/>
        <v>0</v>
      </c>
      <c r="R97" s="13">
        <f t="shared" si="193"/>
        <v>0</v>
      </c>
      <c r="S97" s="13">
        <f t="shared" si="193"/>
        <v>0</v>
      </c>
      <c r="T97" s="13">
        <f t="shared" si="193"/>
        <v>0</v>
      </c>
      <c r="U97" s="13">
        <f t="shared" si="193"/>
        <v>0</v>
      </c>
      <c r="V97" s="13">
        <f t="shared" si="193"/>
        <v>0</v>
      </c>
      <c r="W97" s="13">
        <f t="shared" si="193"/>
        <v>0</v>
      </c>
      <c r="X97" s="13">
        <f t="shared" si="193"/>
        <v>0</v>
      </c>
      <c r="Y97" s="13">
        <f t="shared" si="193"/>
        <v>0</v>
      </c>
      <c r="Z97" s="13">
        <f t="shared" si="193"/>
        <v>0</v>
      </c>
      <c r="AA97" s="13">
        <f t="shared" si="193"/>
        <v>0</v>
      </c>
      <c r="AB97" s="13">
        <f t="shared" ref="AB97:AP97" si="194">IFERROR(VALUE(RIGHT(LEFT($J97,FIND(AB$1,$J97,IF(M97=0,1,FIND(AB$1,$J97,1)+1))+LEN(AB$1)),1)),0)</f>
        <v>1</v>
      </c>
      <c r="AC97" s="13">
        <f t="shared" si="194"/>
        <v>0</v>
      </c>
      <c r="AD97" s="13">
        <f t="shared" si="194"/>
        <v>0</v>
      </c>
      <c r="AE97" s="13">
        <f t="shared" si="194"/>
        <v>0</v>
      </c>
      <c r="AF97" s="13">
        <f t="shared" si="194"/>
        <v>0</v>
      </c>
      <c r="AG97" s="13">
        <f t="shared" si="194"/>
        <v>0</v>
      </c>
      <c r="AH97" s="13">
        <f t="shared" si="194"/>
        <v>0</v>
      </c>
      <c r="AI97" s="13">
        <f t="shared" si="194"/>
        <v>0</v>
      </c>
      <c r="AJ97" s="13">
        <f t="shared" si="194"/>
        <v>0</v>
      </c>
      <c r="AK97" s="13">
        <f t="shared" si="194"/>
        <v>0</v>
      </c>
      <c r="AL97" s="13">
        <f t="shared" si="194"/>
        <v>0</v>
      </c>
      <c r="AM97" s="13">
        <f t="shared" si="194"/>
        <v>0</v>
      </c>
      <c r="AN97" s="13">
        <f t="shared" si="194"/>
        <v>1</v>
      </c>
      <c r="AO97" s="13">
        <f t="shared" si="194"/>
        <v>0</v>
      </c>
      <c r="AP97" s="13">
        <f t="shared" si="194"/>
        <v>0</v>
      </c>
      <c r="AQ97" s="13"/>
      <c r="AR97" s="13" t="s">
        <v>762</v>
      </c>
      <c r="AS97" s="13" t="s">
        <v>763</v>
      </c>
      <c r="AT97" s="13" t="s">
        <v>315</v>
      </c>
      <c r="AU97" s="13" t="s">
        <v>130</v>
      </c>
      <c r="AV97" s="13"/>
      <c r="AW97" s="13">
        <v>13.0</v>
      </c>
      <c r="AX97" s="13">
        <v>-1.0</v>
      </c>
      <c r="AY97" s="13">
        <v>0.0</v>
      </c>
      <c r="AZ97" s="13" t="s">
        <v>519</v>
      </c>
      <c r="BA97" s="13" t="s">
        <v>155</v>
      </c>
      <c r="BB97" s="13"/>
      <c r="BC97" s="13"/>
      <c r="BD97" s="13" t="s">
        <v>230</v>
      </c>
      <c r="BE97" s="13"/>
      <c r="BF97" s="13" t="s">
        <v>764</v>
      </c>
      <c r="BG97" s="13" t="s">
        <v>50</v>
      </c>
      <c r="BH97" s="13" t="s">
        <v>79</v>
      </c>
      <c r="BI97" s="13" t="b">
        <v>0</v>
      </c>
      <c r="BJ97" s="13">
        <v>0.0</v>
      </c>
      <c r="BK97" s="13">
        <v>0.0</v>
      </c>
    </row>
    <row r="98" ht="14.25" customHeight="1">
      <c r="A98" s="13">
        <v>96.0</v>
      </c>
      <c r="B98" s="13" t="s">
        <v>50</v>
      </c>
      <c r="C98" s="13">
        <v>1.0</v>
      </c>
      <c r="D98" s="14">
        <v>0.0</v>
      </c>
      <c r="E98" s="13" t="s">
        <v>765</v>
      </c>
      <c r="F98" s="15" t="s">
        <v>766</v>
      </c>
      <c r="G98" s="16" t="s">
        <v>767</v>
      </c>
      <c r="H98" s="13">
        <v>13.0</v>
      </c>
      <c r="I98" s="13">
        <v>0.9</v>
      </c>
      <c r="J98" s="13" t="s">
        <v>719</v>
      </c>
      <c r="K98" s="13">
        <f t="shared" si="3"/>
        <v>0</v>
      </c>
      <c r="L98" s="13">
        <f t="shared" si="4"/>
        <v>2</v>
      </c>
      <c r="M98" s="13">
        <f t="shared" ref="M98:AA98" si="195">IFERROR(VALUE(RIGHT(LEFT($J98,FIND(M$1,$J98,1)+LEN(M$1)),1)),0)</f>
        <v>0</v>
      </c>
      <c r="N98" s="13">
        <f t="shared" si="195"/>
        <v>0</v>
      </c>
      <c r="O98" s="13">
        <f t="shared" si="195"/>
        <v>0</v>
      </c>
      <c r="P98" s="13">
        <f t="shared" si="195"/>
        <v>0</v>
      </c>
      <c r="Q98" s="13">
        <f t="shared" si="195"/>
        <v>0</v>
      </c>
      <c r="R98" s="13">
        <f t="shared" si="195"/>
        <v>0</v>
      </c>
      <c r="S98" s="13">
        <f t="shared" si="195"/>
        <v>0</v>
      </c>
      <c r="T98" s="13">
        <f t="shared" si="195"/>
        <v>0</v>
      </c>
      <c r="U98" s="13">
        <f t="shared" si="195"/>
        <v>0</v>
      </c>
      <c r="V98" s="13">
        <f t="shared" si="195"/>
        <v>0</v>
      </c>
      <c r="W98" s="13">
        <f t="shared" si="195"/>
        <v>0</v>
      </c>
      <c r="X98" s="13">
        <f t="shared" si="195"/>
        <v>0</v>
      </c>
      <c r="Y98" s="13">
        <f t="shared" si="195"/>
        <v>0</v>
      </c>
      <c r="Z98" s="13">
        <f t="shared" si="195"/>
        <v>0</v>
      </c>
      <c r="AA98" s="13">
        <f t="shared" si="195"/>
        <v>0</v>
      </c>
      <c r="AB98" s="13">
        <f t="shared" ref="AB98:AP98" si="196">IFERROR(VALUE(RIGHT(LEFT($J98,FIND(AB$1,$J98,IF(M98=0,1,FIND(AB$1,$J98,1)+1))+LEN(AB$1)),1)),0)</f>
        <v>0</v>
      </c>
      <c r="AC98" s="13">
        <f t="shared" si="196"/>
        <v>0</v>
      </c>
      <c r="AD98" s="13">
        <f t="shared" si="196"/>
        <v>0</v>
      </c>
      <c r="AE98" s="13">
        <f t="shared" si="196"/>
        <v>0</v>
      </c>
      <c r="AF98" s="13">
        <f t="shared" si="196"/>
        <v>1</v>
      </c>
      <c r="AG98" s="13">
        <f t="shared" si="196"/>
        <v>0</v>
      </c>
      <c r="AH98" s="13">
        <f t="shared" si="196"/>
        <v>0</v>
      </c>
      <c r="AI98" s="13">
        <f t="shared" si="196"/>
        <v>0</v>
      </c>
      <c r="AJ98" s="13">
        <f t="shared" si="196"/>
        <v>0</v>
      </c>
      <c r="AK98" s="13">
        <f t="shared" si="196"/>
        <v>0</v>
      </c>
      <c r="AL98" s="13">
        <f t="shared" si="196"/>
        <v>0</v>
      </c>
      <c r="AM98" s="13">
        <f t="shared" si="196"/>
        <v>0</v>
      </c>
      <c r="AN98" s="13">
        <f t="shared" si="196"/>
        <v>1</v>
      </c>
      <c r="AO98" s="13">
        <f t="shared" si="196"/>
        <v>0</v>
      </c>
      <c r="AP98" s="13">
        <f t="shared" si="196"/>
        <v>0</v>
      </c>
      <c r="AQ98" s="13"/>
      <c r="AR98" s="13" t="s">
        <v>768</v>
      </c>
      <c r="AS98" s="13" t="s">
        <v>769</v>
      </c>
      <c r="AT98" s="13" t="s">
        <v>162</v>
      </c>
      <c r="AU98" s="13" t="s">
        <v>163</v>
      </c>
      <c r="AV98" s="13" t="s">
        <v>492</v>
      </c>
      <c r="AW98" s="13">
        <v>10.0</v>
      </c>
      <c r="AX98" s="13">
        <v>-1.0</v>
      </c>
      <c r="AY98" s="13">
        <v>0.0</v>
      </c>
      <c r="AZ98" s="13" t="s">
        <v>770</v>
      </c>
      <c r="BA98" s="13" t="s">
        <v>655</v>
      </c>
      <c r="BB98" s="13"/>
      <c r="BC98" s="13"/>
      <c r="BD98" s="13" t="s">
        <v>239</v>
      </c>
      <c r="BE98" s="13"/>
      <c r="BF98" s="13" t="s">
        <v>610</v>
      </c>
      <c r="BG98" s="13" t="s">
        <v>50</v>
      </c>
      <c r="BH98" s="13" t="s">
        <v>79</v>
      </c>
      <c r="BI98" s="13" t="b">
        <v>0</v>
      </c>
      <c r="BJ98" s="13">
        <v>0.0</v>
      </c>
      <c r="BK98" s="13">
        <v>0.0</v>
      </c>
    </row>
    <row r="99" ht="14.25" customHeight="1">
      <c r="A99" s="13">
        <v>97.0</v>
      </c>
      <c r="B99" s="13" t="s">
        <v>51</v>
      </c>
      <c r="C99" s="13">
        <v>1.0</v>
      </c>
      <c r="D99" s="14">
        <v>0.0</v>
      </c>
      <c r="E99" s="13" t="s">
        <v>771</v>
      </c>
      <c r="F99" s="15" t="s">
        <v>772</v>
      </c>
      <c r="G99" s="16" t="s">
        <v>773</v>
      </c>
      <c r="H99" s="13">
        <v>12.0</v>
      </c>
      <c r="I99" s="13">
        <v>1.0</v>
      </c>
      <c r="J99" s="13" t="s">
        <v>774</v>
      </c>
      <c r="K99" s="13">
        <f t="shared" si="3"/>
        <v>0</v>
      </c>
      <c r="L99" s="13">
        <f t="shared" si="4"/>
        <v>2</v>
      </c>
      <c r="M99" s="13">
        <f t="shared" ref="M99:AA99" si="197">IFERROR(VALUE(RIGHT(LEFT($J99,FIND(M$1,$J99,1)+LEN(M$1)),1)),0)</f>
        <v>0</v>
      </c>
      <c r="N99" s="13">
        <f t="shared" si="197"/>
        <v>0</v>
      </c>
      <c r="O99" s="13">
        <f t="shared" si="197"/>
        <v>0</v>
      </c>
      <c r="P99" s="13">
        <f t="shared" si="197"/>
        <v>0</v>
      </c>
      <c r="Q99" s="13">
        <f t="shared" si="197"/>
        <v>0</v>
      </c>
      <c r="R99" s="13">
        <f t="shared" si="197"/>
        <v>0</v>
      </c>
      <c r="S99" s="13">
        <f t="shared" si="197"/>
        <v>0</v>
      </c>
      <c r="T99" s="13">
        <f t="shared" si="197"/>
        <v>0</v>
      </c>
      <c r="U99" s="13">
        <f t="shared" si="197"/>
        <v>0</v>
      </c>
      <c r="V99" s="13">
        <f t="shared" si="197"/>
        <v>0</v>
      </c>
      <c r="W99" s="13">
        <f t="shared" si="197"/>
        <v>0</v>
      </c>
      <c r="X99" s="13">
        <f t="shared" si="197"/>
        <v>0</v>
      </c>
      <c r="Y99" s="13">
        <f t="shared" si="197"/>
        <v>0</v>
      </c>
      <c r="Z99" s="13">
        <f t="shared" si="197"/>
        <v>0</v>
      </c>
      <c r="AA99" s="13">
        <f t="shared" si="197"/>
        <v>0</v>
      </c>
      <c r="AB99" s="13">
        <f t="shared" ref="AB99:AP99" si="198">IFERROR(VALUE(RIGHT(LEFT($J99,FIND(AB$1,$J99,IF(M99=0,1,FIND(AB$1,$J99,1)+1))+LEN(AB$1)),1)),0)</f>
        <v>0</v>
      </c>
      <c r="AC99" s="13">
        <f t="shared" si="198"/>
        <v>0</v>
      </c>
      <c r="AD99" s="13">
        <f t="shared" si="198"/>
        <v>0</v>
      </c>
      <c r="AE99" s="13">
        <f t="shared" si="198"/>
        <v>1</v>
      </c>
      <c r="AF99" s="13">
        <f t="shared" si="198"/>
        <v>0</v>
      </c>
      <c r="AG99" s="13">
        <f t="shared" si="198"/>
        <v>0</v>
      </c>
      <c r="AH99" s="13">
        <f t="shared" si="198"/>
        <v>0</v>
      </c>
      <c r="AI99" s="13">
        <f t="shared" si="198"/>
        <v>0</v>
      </c>
      <c r="AJ99" s="13">
        <f t="shared" si="198"/>
        <v>0</v>
      </c>
      <c r="AK99" s="13">
        <f t="shared" si="198"/>
        <v>0</v>
      </c>
      <c r="AL99" s="13">
        <f t="shared" si="198"/>
        <v>0</v>
      </c>
      <c r="AM99" s="13">
        <f t="shared" si="198"/>
        <v>0</v>
      </c>
      <c r="AN99" s="13">
        <f t="shared" si="198"/>
        <v>0</v>
      </c>
      <c r="AO99" s="13">
        <f t="shared" si="198"/>
        <v>1</v>
      </c>
      <c r="AP99" s="13">
        <f t="shared" si="198"/>
        <v>0</v>
      </c>
      <c r="AQ99" s="13"/>
      <c r="AR99" s="13" t="s">
        <v>775</v>
      </c>
      <c r="AS99" s="13" t="s">
        <v>278</v>
      </c>
      <c r="AT99" s="13" t="s">
        <v>257</v>
      </c>
      <c r="AU99" s="13" t="s">
        <v>143</v>
      </c>
      <c r="AV99" s="13" t="s">
        <v>481</v>
      </c>
      <c r="AW99" s="13">
        <v>9.0</v>
      </c>
      <c r="AX99" s="13">
        <v>-1.0</v>
      </c>
      <c r="AY99" s="13">
        <v>0.0</v>
      </c>
      <c r="AZ99" s="13" t="s">
        <v>566</v>
      </c>
      <c r="BA99" s="13" t="s">
        <v>281</v>
      </c>
      <c r="BB99" s="13"/>
      <c r="BC99" s="13"/>
      <c r="BD99" s="13" t="s">
        <v>776</v>
      </c>
      <c r="BE99" s="13"/>
      <c r="BF99" s="13" t="s">
        <v>777</v>
      </c>
      <c r="BG99" s="13" t="s">
        <v>263</v>
      </c>
      <c r="BH99" s="13" t="s">
        <v>79</v>
      </c>
      <c r="BI99" s="13" t="b">
        <v>0</v>
      </c>
      <c r="BJ99" s="13">
        <v>0.0</v>
      </c>
      <c r="BK99" s="13">
        <v>0.0</v>
      </c>
    </row>
    <row r="100" ht="14.25" customHeight="1">
      <c r="A100" s="13">
        <v>98.0</v>
      </c>
      <c r="B100" s="13" t="s">
        <v>51</v>
      </c>
      <c r="C100" s="13">
        <v>1.0</v>
      </c>
      <c r="D100" s="14">
        <v>0.0</v>
      </c>
      <c r="E100" s="13" t="s">
        <v>778</v>
      </c>
      <c r="F100" s="15" t="s">
        <v>523</v>
      </c>
      <c r="G100" s="16" t="s">
        <v>779</v>
      </c>
      <c r="H100" s="13">
        <v>13.0</v>
      </c>
      <c r="I100" s="13">
        <v>0.9</v>
      </c>
      <c r="J100" s="13" t="s">
        <v>780</v>
      </c>
      <c r="K100" s="13">
        <f t="shared" si="3"/>
        <v>0</v>
      </c>
      <c r="L100" s="13">
        <f t="shared" si="4"/>
        <v>2</v>
      </c>
      <c r="M100" s="13">
        <f t="shared" ref="M100:AA100" si="199">IFERROR(VALUE(RIGHT(LEFT($J100,FIND(M$1,$J100,1)+LEN(M$1)),1)),0)</f>
        <v>0</v>
      </c>
      <c r="N100" s="13">
        <f t="shared" si="199"/>
        <v>0</v>
      </c>
      <c r="O100" s="13">
        <f t="shared" si="199"/>
        <v>0</v>
      </c>
      <c r="P100" s="13">
        <f t="shared" si="199"/>
        <v>0</v>
      </c>
      <c r="Q100" s="13">
        <f t="shared" si="199"/>
        <v>0</v>
      </c>
      <c r="R100" s="13">
        <f t="shared" si="199"/>
        <v>0</v>
      </c>
      <c r="S100" s="13">
        <f t="shared" si="199"/>
        <v>0</v>
      </c>
      <c r="T100" s="13">
        <f t="shared" si="199"/>
        <v>0</v>
      </c>
      <c r="U100" s="13">
        <f t="shared" si="199"/>
        <v>0</v>
      </c>
      <c r="V100" s="13">
        <f t="shared" si="199"/>
        <v>0</v>
      </c>
      <c r="W100" s="13">
        <f t="shared" si="199"/>
        <v>0</v>
      </c>
      <c r="X100" s="13">
        <f t="shared" si="199"/>
        <v>0</v>
      </c>
      <c r="Y100" s="13">
        <f t="shared" si="199"/>
        <v>0</v>
      </c>
      <c r="Z100" s="13">
        <f t="shared" si="199"/>
        <v>0</v>
      </c>
      <c r="AA100" s="13">
        <f t="shared" si="199"/>
        <v>0</v>
      </c>
      <c r="AB100" s="13">
        <f t="shared" ref="AB100:AP100" si="200">IFERROR(VALUE(RIGHT(LEFT($J100,FIND(AB$1,$J100,IF(M100=0,1,FIND(AB$1,$J100,1)+1))+LEN(AB$1)),1)),0)</f>
        <v>0</v>
      </c>
      <c r="AC100" s="13">
        <f t="shared" si="200"/>
        <v>0</v>
      </c>
      <c r="AD100" s="13">
        <f t="shared" si="200"/>
        <v>0</v>
      </c>
      <c r="AE100" s="13">
        <f t="shared" si="200"/>
        <v>0</v>
      </c>
      <c r="AF100" s="13">
        <f t="shared" si="200"/>
        <v>1</v>
      </c>
      <c r="AG100" s="13">
        <f t="shared" si="200"/>
        <v>0</v>
      </c>
      <c r="AH100" s="13">
        <f t="shared" si="200"/>
        <v>0</v>
      </c>
      <c r="AI100" s="13">
        <f t="shared" si="200"/>
        <v>0</v>
      </c>
      <c r="AJ100" s="13">
        <f t="shared" si="200"/>
        <v>0</v>
      </c>
      <c r="AK100" s="13">
        <f t="shared" si="200"/>
        <v>0</v>
      </c>
      <c r="AL100" s="13">
        <f t="shared" si="200"/>
        <v>0</v>
      </c>
      <c r="AM100" s="13">
        <f t="shared" si="200"/>
        <v>0</v>
      </c>
      <c r="AN100" s="13">
        <f t="shared" si="200"/>
        <v>0</v>
      </c>
      <c r="AO100" s="13">
        <f t="shared" si="200"/>
        <v>1</v>
      </c>
      <c r="AP100" s="13">
        <f t="shared" si="200"/>
        <v>0</v>
      </c>
      <c r="AQ100" s="13"/>
      <c r="AR100" s="13" t="s">
        <v>781</v>
      </c>
      <c r="AS100" s="13" t="s">
        <v>782</v>
      </c>
      <c r="AT100" s="13" t="s">
        <v>162</v>
      </c>
      <c r="AU100" s="13" t="s">
        <v>195</v>
      </c>
      <c r="AV100" s="13" t="s">
        <v>661</v>
      </c>
      <c r="AW100" s="13">
        <v>12.0</v>
      </c>
      <c r="AX100" s="13">
        <v>-1.0</v>
      </c>
      <c r="AY100" s="13">
        <v>0.0</v>
      </c>
      <c r="AZ100" s="13" t="s">
        <v>679</v>
      </c>
      <c r="BA100" s="13" t="s">
        <v>625</v>
      </c>
      <c r="BB100" s="13"/>
      <c r="BC100" s="13"/>
      <c r="BD100" s="13" t="s">
        <v>199</v>
      </c>
      <c r="BE100" s="13"/>
      <c r="BF100" s="13" t="s">
        <v>783</v>
      </c>
      <c r="BG100" s="13" t="s">
        <v>201</v>
      </c>
      <c r="BH100" s="13" t="s">
        <v>241</v>
      </c>
      <c r="BI100" s="13" t="b">
        <v>0</v>
      </c>
      <c r="BJ100" s="13">
        <v>0.0</v>
      </c>
      <c r="BK100" s="13">
        <v>0.0</v>
      </c>
    </row>
    <row r="101" ht="14.25" customHeight="1">
      <c r="A101" s="13">
        <v>99.0</v>
      </c>
      <c r="B101" s="13" t="s">
        <v>51</v>
      </c>
      <c r="C101" s="13">
        <v>1.0</v>
      </c>
      <c r="D101" s="14">
        <v>0.0</v>
      </c>
      <c r="E101" s="13" t="s">
        <v>784</v>
      </c>
      <c r="F101" s="15" t="s">
        <v>785</v>
      </c>
      <c r="G101" s="16" t="s">
        <v>786</v>
      </c>
      <c r="H101" s="13">
        <v>12.0</v>
      </c>
      <c r="I101" s="13">
        <v>1.1</v>
      </c>
      <c r="J101" s="13" t="s">
        <v>787</v>
      </c>
      <c r="K101" s="13">
        <f t="shared" si="3"/>
        <v>0</v>
      </c>
      <c r="L101" s="13">
        <f t="shared" si="4"/>
        <v>2</v>
      </c>
      <c r="M101" s="13">
        <f t="shared" ref="M101:AA101" si="201">IFERROR(VALUE(RIGHT(LEFT($J101,FIND(M$1,$J101,1)+LEN(M$1)),1)),0)</f>
        <v>0</v>
      </c>
      <c r="N101" s="13">
        <f t="shared" si="201"/>
        <v>0</v>
      </c>
      <c r="O101" s="13">
        <f t="shared" si="201"/>
        <v>0</v>
      </c>
      <c r="P101" s="13">
        <f t="shared" si="201"/>
        <v>0</v>
      </c>
      <c r="Q101" s="13">
        <f t="shared" si="201"/>
        <v>0</v>
      </c>
      <c r="R101" s="13">
        <f t="shared" si="201"/>
        <v>0</v>
      </c>
      <c r="S101" s="13">
        <f t="shared" si="201"/>
        <v>0</v>
      </c>
      <c r="T101" s="13">
        <f t="shared" si="201"/>
        <v>0</v>
      </c>
      <c r="U101" s="13">
        <f t="shared" si="201"/>
        <v>0</v>
      </c>
      <c r="V101" s="13">
        <f t="shared" si="201"/>
        <v>0</v>
      </c>
      <c r="W101" s="13">
        <f t="shared" si="201"/>
        <v>0</v>
      </c>
      <c r="X101" s="13">
        <f t="shared" si="201"/>
        <v>0</v>
      </c>
      <c r="Y101" s="13">
        <f t="shared" si="201"/>
        <v>0</v>
      </c>
      <c r="Z101" s="13">
        <f t="shared" si="201"/>
        <v>0</v>
      </c>
      <c r="AA101" s="13">
        <f t="shared" si="201"/>
        <v>0</v>
      </c>
      <c r="AB101" s="13">
        <f t="shared" ref="AB101:AP101" si="202">IFERROR(VALUE(RIGHT(LEFT($J101,FIND(AB$1,$J101,IF(M101=0,1,FIND(AB$1,$J101,1)+1))+LEN(AB$1)),1)),0)</f>
        <v>0</v>
      </c>
      <c r="AC101" s="13">
        <f t="shared" si="202"/>
        <v>0</v>
      </c>
      <c r="AD101" s="13">
        <f t="shared" si="202"/>
        <v>1</v>
      </c>
      <c r="AE101" s="13">
        <f t="shared" si="202"/>
        <v>0</v>
      </c>
      <c r="AF101" s="13">
        <f t="shared" si="202"/>
        <v>0</v>
      </c>
      <c r="AG101" s="13">
        <f t="shared" si="202"/>
        <v>0</v>
      </c>
      <c r="AH101" s="13">
        <f t="shared" si="202"/>
        <v>0</v>
      </c>
      <c r="AI101" s="13">
        <f t="shared" si="202"/>
        <v>0</v>
      </c>
      <c r="AJ101" s="13">
        <f t="shared" si="202"/>
        <v>0</v>
      </c>
      <c r="AK101" s="13">
        <f t="shared" si="202"/>
        <v>0</v>
      </c>
      <c r="AL101" s="13">
        <f t="shared" si="202"/>
        <v>0</v>
      </c>
      <c r="AM101" s="13">
        <f t="shared" si="202"/>
        <v>0</v>
      </c>
      <c r="AN101" s="13">
        <f t="shared" si="202"/>
        <v>0</v>
      </c>
      <c r="AO101" s="13">
        <f t="shared" si="202"/>
        <v>1</v>
      </c>
      <c r="AP101" s="13">
        <f t="shared" si="202"/>
        <v>0</v>
      </c>
      <c r="AQ101" s="13"/>
      <c r="AR101" s="13" t="s">
        <v>277</v>
      </c>
      <c r="AS101" s="13" t="s">
        <v>788</v>
      </c>
      <c r="AT101" s="13" t="s">
        <v>129</v>
      </c>
      <c r="AU101" s="13" t="s">
        <v>143</v>
      </c>
      <c r="AV101" s="13" t="s">
        <v>303</v>
      </c>
      <c r="AW101" s="13">
        <v>11.0</v>
      </c>
      <c r="AX101" s="13">
        <v>-1.0</v>
      </c>
      <c r="AY101" s="13">
        <v>0.0</v>
      </c>
      <c r="AZ101" s="13" t="s">
        <v>271</v>
      </c>
      <c r="BA101" s="13" t="s">
        <v>707</v>
      </c>
      <c r="BB101" s="13"/>
      <c r="BC101" s="13"/>
      <c r="BD101" s="13" t="s">
        <v>789</v>
      </c>
      <c r="BE101" s="13"/>
      <c r="BF101" s="13" t="s">
        <v>790</v>
      </c>
      <c r="BG101" s="13" t="s">
        <v>263</v>
      </c>
      <c r="BH101" s="13" t="s">
        <v>79</v>
      </c>
      <c r="BI101" s="13" t="b">
        <v>0</v>
      </c>
      <c r="BJ101" s="13">
        <v>0.0</v>
      </c>
      <c r="BK101" s="13">
        <v>0.0</v>
      </c>
    </row>
    <row r="102" ht="14.25" customHeight="1">
      <c r="A102" s="13">
        <v>100.0</v>
      </c>
      <c r="B102" s="13" t="s">
        <v>51</v>
      </c>
      <c r="C102" s="13">
        <v>1.0</v>
      </c>
      <c r="D102" s="14">
        <v>0.0</v>
      </c>
      <c r="E102" s="13" t="s">
        <v>791</v>
      </c>
      <c r="F102" s="15"/>
      <c r="G102" s="16" t="s">
        <v>792</v>
      </c>
      <c r="H102" s="13">
        <v>13.0</v>
      </c>
      <c r="I102" s="13">
        <v>1.0</v>
      </c>
      <c r="J102" s="13" t="s">
        <v>793</v>
      </c>
      <c r="K102" s="13">
        <f t="shared" si="3"/>
        <v>0</v>
      </c>
      <c r="L102" s="13">
        <f t="shared" si="4"/>
        <v>2</v>
      </c>
      <c r="M102" s="13">
        <f t="shared" ref="M102:AA102" si="203">IFERROR(VALUE(RIGHT(LEFT($J102,FIND(M$1,$J102,1)+LEN(M$1)),1)),0)</f>
        <v>0</v>
      </c>
      <c r="N102" s="13">
        <f t="shared" si="203"/>
        <v>0</v>
      </c>
      <c r="O102" s="13">
        <f t="shared" si="203"/>
        <v>0</v>
      </c>
      <c r="P102" s="13">
        <f t="shared" si="203"/>
        <v>0</v>
      </c>
      <c r="Q102" s="13">
        <f t="shared" si="203"/>
        <v>0</v>
      </c>
      <c r="R102" s="13">
        <f t="shared" si="203"/>
        <v>0</v>
      </c>
      <c r="S102" s="13">
        <f t="shared" si="203"/>
        <v>0</v>
      </c>
      <c r="T102" s="13">
        <f t="shared" si="203"/>
        <v>0</v>
      </c>
      <c r="U102" s="13">
        <f t="shared" si="203"/>
        <v>0</v>
      </c>
      <c r="V102" s="13">
        <f t="shared" si="203"/>
        <v>0</v>
      </c>
      <c r="W102" s="13">
        <f t="shared" si="203"/>
        <v>0</v>
      </c>
      <c r="X102" s="13">
        <f t="shared" si="203"/>
        <v>0</v>
      </c>
      <c r="Y102" s="13">
        <f t="shared" si="203"/>
        <v>0</v>
      </c>
      <c r="Z102" s="13">
        <f t="shared" si="203"/>
        <v>0</v>
      </c>
      <c r="AA102" s="13">
        <f t="shared" si="203"/>
        <v>0</v>
      </c>
      <c r="AB102" s="13">
        <f t="shared" ref="AB102:AP102" si="204">IFERROR(VALUE(RIGHT(LEFT($J102,FIND(AB$1,$J102,IF(M102=0,1,FIND(AB$1,$J102,1)+1))+LEN(AB$1)),1)),0)</f>
        <v>1</v>
      </c>
      <c r="AC102" s="13">
        <f t="shared" si="204"/>
        <v>0</v>
      </c>
      <c r="AD102" s="13">
        <f t="shared" si="204"/>
        <v>0</v>
      </c>
      <c r="AE102" s="13">
        <f t="shared" si="204"/>
        <v>0</v>
      </c>
      <c r="AF102" s="13">
        <f t="shared" si="204"/>
        <v>0</v>
      </c>
      <c r="AG102" s="13">
        <f t="shared" si="204"/>
        <v>0</v>
      </c>
      <c r="AH102" s="13">
        <f t="shared" si="204"/>
        <v>0</v>
      </c>
      <c r="AI102" s="13">
        <f t="shared" si="204"/>
        <v>0</v>
      </c>
      <c r="AJ102" s="13">
        <f t="shared" si="204"/>
        <v>0</v>
      </c>
      <c r="AK102" s="13">
        <f t="shared" si="204"/>
        <v>0</v>
      </c>
      <c r="AL102" s="13">
        <f t="shared" si="204"/>
        <v>0</v>
      </c>
      <c r="AM102" s="13">
        <f t="shared" si="204"/>
        <v>0</v>
      </c>
      <c r="AN102" s="13">
        <f t="shared" si="204"/>
        <v>0</v>
      </c>
      <c r="AO102" s="13">
        <f t="shared" si="204"/>
        <v>1</v>
      </c>
      <c r="AP102" s="13">
        <f t="shared" si="204"/>
        <v>0</v>
      </c>
      <c r="AQ102" s="13"/>
      <c r="AR102" s="13" t="s">
        <v>794</v>
      </c>
      <c r="AS102" s="13" t="s">
        <v>795</v>
      </c>
      <c r="AT102" s="13" t="s">
        <v>162</v>
      </c>
      <c r="AU102" s="13" t="s">
        <v>163</v>
      </c>
      <c r="AV102" s="13" t="s">
        <v>699</v>
      </c>
      <c r="AW102" s="13">
        <v>12.0</v>
      </c>
      <c r="AX102" s="13">
        <v>-1.0</v>
      </c>
      <c r="AY102" s="13">
        <v>0.0</v>
      </c>
      <c r="AZ102" s="13" t="s">
        <v>662</v>
      </c>
      <c r="BA102" s="13" t="s">
        <v>796</v>
      </c>
      <c r="BB102" s="13"/>
      <c r="BC102" s="13"/>
      <c r="BD102" s="13" t="s">
        <v>776</v>
      </c>
      <c r="BE102" s="13"/>
      <c r="BF102" s="13" t="s">
        <v>240</v>
      </c>
      <c r="BG102" s="13" t="s">
        <v>263</v>
      </c>
      <c r="BH102" s="13" t="s">
        <v>79</v>
      </c>
      <c r="BI102" s="13" t="b">
        <v>0</v>
      </c>
      <c r="BJ102" s="13">
        <v>0.0</v>
      </c>
      <c r="BK102" s="13">
        <v>0.0</v>
      </c>
    </row>
    <row r="103" ht="14.25" customHeight="1">
      <c r="A103" s="13">
        <v>101.0</v>
      </c>
      <c r="B103" s="13" t="s">
        <v>51</v>
      </c>
      <c r="C103" s="13">
        <v>1.0</v>
      </c>
      <c r="D103" s="14">
        <v>0.0</v>
      </c>
      <c r="E103" s="13" t="s">
        <v>797</v>
      </c>
      <c r="F103" s="15" t="s">
        <v>798</v>
      </c>
      <c r="G103" s="16" t="s">
        <v>799</v>
      </c>
      <c r="H103" s="13">
        <v>12.0</v>
      </c>
      <c r="I103" s="13">
        <v>1.2</v>
      </c>
      <c r="J103" s="13" t="s">
        <v>800</v>
      </c>
      <c r="K103" s="13">
        <f t="shared" si="3"/>
        <v>0</v>
      </c>
      <c r="L103" s="13">
        <f t="shared" si="4"/>
        <v>2</v>
      </c>
      <c r="M103" s="13">
        <f t="shared" ref="M103:AA103" si="205">IFERROR(VALUE(RIGHT(LEFT($J103,FIND(M$1,$J103,1)+LEN(M$1)),1)),0)</f>
        <v>0</v>
      </c>
      <c r="N103" s="13">
        <f t="shared" si="205"/>
        <v>0</v>
      </c>
      <c r="O103" s="13">
        <f t="shared" si="205"/>
        <v>0</v>
      </c>
      <c r="P103" s="13">
        <f t="shared" si="205"/>
        <v>0</v>
      </c>
      <c r="Q103" s="13">
        <f t="shared" si="205"/>
        <v>0</v>
      </c>
      <c r="R103" s="13">
        <f t="shared" si="205"/>
        <v>0</v>
      </c>
      <c r="S103" s="13">
        <f t="shared" si="205"/>
        <v>0</v>
      </c>
      <c r="T103" s="13">
        <f t="shared" si="205"/>
        <v>0</v>
      </c>
      <c r="U103" s="13">
        <f t="shared" si="205"/>
        <v>0</v>
      </c>
      <c r="V103" s="13">
        <f t="shared" si="205"/>
        <v>0</v>
      </c>
      <c r="W103" s="13">
        <f t="shared" si="205"/>
        <v>0</v>
      </c>
      <c r="X103" s="13">
        <f t="shared" si="205"/>
        <v>0</v>
      </c>
      <c r="Y103" s="13">
        <f t="shared" si="205"/>
        <v>0</v>
      </c>
      <c r="Z103" s="13">
        <f t="shared" si="205"/>
        <v>0</v>
      </c>
      <c r="AA103" s="13">
        <f t="shared" si="205"/>
        <v>0</v>
      </c>
      <c r="AB103" s="13">
        <f t="shared" ref="AB103:AP103" si="206">IFERROR(VALUE(RIGHT(LEFT($J103,FIND(AB$1,$J103,IF(M103=0,1,FIND(AB$1,$J103,1)+1))+LEN(AB$1)),1)),0)</f>
        <v>0</v>
      </c>
      <c r="AC103" s="13">
        <f t="shared" si="206"/>
        <v>0</v>
      </c>
      <c r="AD103" s="13">
        <f t="shared" si="206"/>
        <v>0</v>
      </c>
      <c r="AE103" s="13">
        <f t="shared" si="206"/>
        <v>0</v>
      </c>
      <c r="AF103" s="13">
        <f t="shared" si="206"/>
        <v>0</v>
      </c>
      <c r="AG103" s="13">
        <f t="shared" si="206"/>
        <v>1</v>
      </c>
      <c r="AH103" s="13">
        <f t="shared" si="206"/>
        <v>0</v>
      </c>
      <c r="AI103" s="13">
        <f t="shared" si="206"/>
        <v>0</v>
      </c>
      <c r="AJ103" s="13">
        <f t="shared" si="206"/>
        <v>0</v>
      </c>
      <c r="AK103" s="13">
        <f t="shared" si="206"/>
        <v>0</v>
      </c>
      <c r="AL103" s="13">
        <f t="shared" si="206"/>
        <v>0</v>
      </c>
      <c r="AM103" s="13">
        <f t="shared" si="206"/>
        <v>0</v>
      </c>
      <c r="AN103" s="13">
        <f t="shared" si="206"/>
        <v>0</v>
      </c>
      <c r="AO103" s="13">
        <f t="shared" si="206"/>
        <v>1</v>
      </c>
      <c r="AP103" s="13">
        <f t="shared" si="206"/>
        <v>0</v>
      </c>
      <c r="AQ103" s="13"/>
      <c r="AR103" s="13" t="s">
        <v>801</v>
      </c>
      <c r="AS103" s="13" t="s">
        <v>802</v>
      </c>
      <c r="AT103" s="13" t="s">
        <v>175</v>
      </c>
      <c r="AU103" s="13" t="s">
        <v>803</v>
      </c>
      <c r="AV103" s="13" t="s">
        <v>804</v>
      </c>
      <c r="AW103" s="13">
        <v>10.0</v>
      </c>
      <c r="AX103" s="13">
        <v>-1.0</v>
      </c>
      <c r="AY103" s="13">
        <v>0.0</v>
      </c>
      <c r="AZ103" s="13" t="s">
        <v>805</v>
      </c>
      <c r="BA103" s="13" t="s">
        <v>806</v>
      </c>
      <c r="BB103" s="13"/>
      <c r="BC103" s="13"/>
      <c r="BD103" s="13" t="s">
        <v>261</v>
      </c>
      <c r="BE103" s="13"/>
      <c r="BF103" s="13" t="s">
        <v>549</v>
      </c>
      <c r="BG103" s="13" t="s">
        <v>263</v>
      </c>
      <c r="BH103" s="13" t="s">
        <v>79</v>
      </c>
      <c r="BI103" s="13" t="b">
        <v>0</v>
      </c>
      <c r="BJ103" s="13">
        <v>0.0</v>
      </c>
      <c r="BK103" s="13">
        <v>0.0</v>
      </c>
    </row>
    <row r="104" ht="14.25" customHeight="1">
      <c r="A104" s="13">
        <v>102.0</v>
      </c>
      <c r="B104" s="13" t="s">
        <v>51</v>
      </c>
      <c r="C104" s="13">
        <v>1.0</v>
      </c>
      <c r="D104" s="14">
        <v>0.0</v>
      </c>
      <c r="E104" s="13" t="s">
        <v>807</v>
      </c>
      <c r="F104" s="15" t="s">
        <v>413</v>
      </c>
      <c r="G104" s="16" t="s">
        <v>808</v>
      </c>
      <c r="H104" s="13">
        <v>11.0</v>
      </c>
      <c r="I104" s="13">
        <v>1.1</v>
      </c>
      <c r="J104" s="13" t="s">
        <v>787</v>
      </c>
      <c r="K104" s="13">
        <f t="shared" si="3"/>
        <v>0</v>
      </c>
      <c r="L104" s="13">
        <f t="shared" si="4"/>
        <v>2</v>
      </c>
      <c r="M104" s="13">
        <f t="shared" ref="M104:AA104" si="207">IFERROR(VALUE(RIGHT(LEFT($J104,FIND(M$1,$J104,1)+LEN(M$1)),1)),0)</f>
        <v>0</v>
      </c>
      <c r="N104" s="13">
        <f t="shared" si="207"/>
        <v>0</v>
      </c>
      <c r="O104" s="13">
        <f t="shared" si="207"/>
        <v>0</v>
      </c>
      <c r="P104" s="13">
        <f t="shared" si="207"/>
        <v>0</v>
      </c>
      <c r="Q104" s="13">
        <f t="shared" si="207"/>
        <v>0</v>
      </c>
      <c r="R104" s="13">
        <f t="shared" si="207"/>
        <v>0</v>
      </c>
      <c r="S104" s="13">
        <f t="shared" si="207"/>
        <v>0</v>
      </c>
      <c r="T104" s="13">
        <f t="shared" si="207"/>
        <v>0</v>
      </c>
      <c r="U104" s="13">
        <f t="shared" si="207"/>
        <v>0</v>
      </c>
      <c r="V104" s="13">
        <f t="shared" si="207"/>
        <v>0</v>
      </c>
      <c r="W104" s="13">
        <f t="shared" si="207"/>
        <v>0</v>
      </c>
      <c r="X104" s="13">
        <f t="shared" si="207"/>
        <v>0</v>
      </c>
      <c r="Y104" s="13">
        <f t="shared" si="207"/>
        <v>0</v>
      </c>
      <c r="Z104" s="13">
        <f t="shared" si="207"/>
        <v>0</v>
      </c>
      <c r="AA104" s="13">
        <f t="shared" si="207"/>
        <v>0</v>
      </c>
      <c r="AB104" s="13">
        <f t="shared" ref="AB104:AP104" si="208">IFERROR(VALUE(RIGHT(LEFT($J104,FIND(AB$1,$J104,IF(M104=0,1,FIND(AB$1,$J104,1)+1))+LEN(AB$1)),1)),0)</f>
        <v>0</v>
      </c>
      <c r="AC104" s="13">
        <f t="shared" si="208"/>
        <v>0</v>
      </c>
      <c r="AD104" s="13">
        <f t="shared" si="208"/>
        <v>1</v>
      </c>
      <c r="AE104" s="13">
        <f t="shared" si="208"/>
        <v>0</v>
      </c>
      <c r="AF104" s="13">
        <f t="shared" si="208"/>
        <v>0</v>
      </c>
      <c r="AG104" s="13">
        <f t="shared" si="208"/>
        <v>0</v>
      </c>
      <c r="AH104" s="13">
        <f t="shared" si="208"/>
        <v>0</v>
      </c>
      <c r="AI104" s="13">
        <f t="shared" si="208"/>
        <v>0</v>
      </c>
      <c r="AJ104" s="13">
        <f t="shared" si="208"/>
        <v>0</v>
      </c>
      <c r="AK104" s="13">
        <f t="shared" si="208"/>
        <v>0</v>
      </c>
      <c r="AL104" s="13">
        <f t="shared" si="208"/>
        <v>0</v>
      </c>
      <c r="AM104" s="13">
        <f t="shared" si="208"/>
        <v>0</v>
      </c>
      <c r="AN104" s="13">
        <f t="shared" si="208"/>
        <v>0</v>
      </c>
      <c r="AO104" s="13">
        <f t="shared" si="208"/>
        <v>1</v>
      </c>
      <c r="AP104" s="13">
        <f t="shared" si="208"/>
        <v>0</v>
      </c>
      <c r="AQ104" s="13"/>
      <c r="AR104" s="13" t="s">
        <v>809</v>
      </c>
      <c r="AS104" s="13" t="s">
        <v>788</v>
      </c>
      <c r="AT104" s="13" t="s">
        <v>162</v>
      </c>
      <c r="AU104" s="13" t="s">
        <v>236</v>
      </c>
      <c r="AV104" s="13" t="s">
        <v>279</v>
      </c>
      <c r="AW104" s="13">
        <v>9.0</v>
      </c>
      <c r="AX104" s="13">
        <v>-1.0</v>
      </c>
      <c r="AY104" s="13">
        <v>0.0</v>
      </c>
      <c r="AZ104" s="13" t="s">
        <v>609</v>
      </c>
      <c r="BA104" s="13" t="s">
        <v>198</v>
      </c>
      <c r="BB104" s="13"/>
      <c r="BC104" s="13"/>
      <c r="BD104" s="13" t="s">
        <v>810</v>
      </c>
      <c r="BE104" s="13"/>
      <c r="BF104" s="13" t="s">
        <v>811</v>
      </c>
      <c r="BG104" s="13" t="s">
        <v>284</v>
      </c>
      <c r="BH104" s="13" t="s">
        <v>79</v>
      </c>
      <c r="BI104" s="13" t="b">
        <v>0</v>
      </c>
      <c r="BJ104" s="13">
        <v>0.0</v>
      </c>
      <c r="BK104" s="13">
        <v>0.0</v>
      </c>
    </row>
    <row r="105" ht="14.25" customHeight="1">
      <c r="A105" s="13">
        <v>103.0</v>
      </c>
      <c r="B105" s="13" t="s">
        <v>51</v>
      </c>
      <c r="C105" s="13">
        <v>1.0</v>
      </c>
      <c r="D105" s="14">
        <v>0.0</v>
      </c>
      <c r="E105" s="13" t="s">
        <v>812</v>
      </c>
      <c r="F105" s="15" t="s">
        <v>813</v>
      </c>
      <c r="G105" s="16" t="s">
        <v>814</v>
      </c>
      <c r="H105" s="13">
        <v>10.0</v>
      </c>
      <c r="I105" s="13">
        <v>0.9</v>
      </c>
      <c r="J105" s="13" t="s">
        <v>774</v>
      </c>
      <c r="K105" s="13">
        <f t="shared" si="3"/>
        <v>0</v>
      </c>
      <c r="L105" s="13">
        <f t="shared" si="4"/>
        <v>2</v>
      </c>
      <c r="M105" s="13">
        <f t="shared" ref="M105:AA105" si="209">IFERROR(VALUE(RIGHT(LEFT($J105,FIND(M$1,$J105,1)+LEN(M$1)),1)),0)</f>
        <v>0</v>
      </c>
      <c r="N105" s="13">
        <f t="shared" si="209"/>
        <v>0</v>
      </c>
      <c r="O105" s="13">
        <f t="shared" si="209"/>
        <v>0</v>
      </c>
      <c r="P105" s="13">
        <f t="shared" si="209"/>
        <v>0</v>
      </c>
      <c r="Q105" s="13">
        <f t="shared" si="209"/>
        <v>0</v>
      </c>
      <c r="R105" s="13">
        <f t="shared" si="209"/>
        <v>0</v>
      </c>
      <c r="S105" s="13">
        <f t="shared" si="209"/>
        <v>0</v>
      </c>
      <c r="T105" s="13">
        <f t="shared" si="209"/>
        <v>0</v>
      </c>
      <c r="U105" s="13">
        <f t="shared" si="209"/>
        <v>0</v>
      </c>
      <c r="V105" s="13">
        <f t="shared" si="209"/>
        <v>0</v>
      </c>
      <c r="W105" s="13">
        <f t="shared" si="209"/>
        <v>0</v>
      </c>
      <c r="X105" s="13">
        <f t="shared" si="209"/>
        <v>0</v>
      </c>
      <c r="Y105" s="13">
        <f t="shared" si="209"/>
        <v>0</v>
      </c>
      <c r="Z105" s="13">
        <f t="shared" si="209"/>
        <v>0</v>
      </c>
      <c r="AA105" s="13">
        <f t="shared" si="209"/>
        <v>0</v>
      </c>
      <c r="AB105" s="13">
        <f t="shared" ref="AB105:AP105" si="210">IFERROR(VALUE(RIGHT(LEFT($J105,FIND(AB$1,$J105,IF(M105=0,1,FIND(AB$1,$J105,1)+1))+LEN(AB$1)),1)),0)</f>
        <v>0</v>
      </c>
      <c r="AC105" s="13">
        <f t="shared" si="210"/>
        <v>0</v>
      </c>
      <c r="AD105" s="13">
        <f t="shared" si="210"/>
        <v>0</v>
      </c>
      <c r="AE105" s="13">
        <f t="shared" si="210"/>
        <v>1</v>
      </c>
      <c r="AF105" s="13">
        <f t="shared" si="210"/>
        <v>0</v>
      </c>
      <c r="AG105" s="13">
        <f t="shared" si="210"/>
        <v>0</v>
      </c>
      <c r="AH105" s="13">
        <f t="shared" si="210"/>
        <v>0</v>
      </c>
      <c r="AI105" s="13">
        <f t="shared" si="210"/>
        <v>0</v>
      </c>
      <c r="AJ105" s="13">
        <f t="shared" si="210"/>
        <v>0</v>
      </c>
      <c r="AK105" s="13">
        <f t="shared" si="210"/>
        <v>0</v>
      </c>
      <c r="AL105" s="13">
        <f t="shared" si="210"/>
        <v>0</v>
      </c>
      <c r="AM105" s="13">
        <f t="shared" si="210"/>
        <v>0</v>
      </c>
      <c r="AN105" s="13">
        <f t="shared" si="210"/>
        <v>0</v>
      </c>
      <c r="AO105" s="13">
        <f t="shared" si="210"/>
        <v>1</v>
      </c>
      <c r="AP105" s="13">
        <f t="shared" si="210"/>
        <v>0</v>
      </c>
      <c r="AQ105" s="13"/>
      <c r="AR105" s="13" t="s">
        <v>815</v>
      </c>
      <c r="AS105" s="13" t="s">
        <v>816</v>
      </c>
      <c r="AT105" s="13" t="s">
        <v>142</v>
      </c>
      <c r="AU105" s="13" t="s">
        <v>143</v>
      </c>
      <c r="AV105" s="13" t="s">
        <v>817</v>
      </c>
      <c r="AW105" s="13">
        <v>8.0</v>
      </c>
      <c r="AX105" s="13">
        <v>-1.0</v>
      </c>
      <c r="AY105" s="13">
        <v>0.0</v>
      </c>
      <c r="AZ105" s="13" t="s">
        <v>547</v>
      </c>
      <c r="BA105" s="13" t="s">
        <v>547</v>
      </c>
      <c r="BB105" s="13"/>
      <c r="BC105" s="13"/>
      <c r="BD105" s="13" t="s">
        <v>282</v>
      </c>
      <c r="BE105" s="13"/>
      <c r="BF105" s="13" t="s">
        <v>512</v>
      </c>
      <c r="BG105" s="13" t="s">
        <v>284</v>
      </c>
      <c r="BH105" s="13" t="s">
        <v>79</v>
      </c>
      <c r="BI105" s="13" t="b">
        <v>0</v>
      </c>
      <c r="BJ105" s="13">
        <v>0.0</v>
      </c>
      <c r="BK105" s="13">
        <v>0.0</v>
      </c>
    </row>
    <row r="106" ht="14.25" customHeight="1">
      <c r="A106" s="13">
        <v>104.0</v>
      </c>
      <c r="B106" s="13" t="s">
        <v>51</v>
      </c>
      <c r="C106" s="13">
        <v>1.0</v>
      </c>
      <c r="D106" s="14">
        <v>0.0</v>
      </c>
      <c r="E106" s="13" t="s">
        <v>818</v>
      </c>
      <c r="F106" s="15" t="s">
        <v>329</v>
      </c>
      <c r="G106" s="16" t="s">
        <v>819</v>
      </c>
      <c r="H106" s="13">
        <v>14.0</v>
      </c>
      <c r="I106" s="13">
        <v>1.1</v>
      </c>
      <c r="J106" s="13" t="s">
        <v>774</v>
      </c>
      <c r="K106" s="13">
        <f t="shared" si="3"/>
        <v>0</v>
      </c>
      <c r="L106" s="13">
        <f t="shared" si="4"/>
        <v>2</v>
      </c>
      <c r="M106" s="13">
        <f t="shared" ref="M106:AA106" si="211">IFERROR(VALUE(RIGHT(LEFT($J106,FIND(M$1,$J106,1)+LEN(M$1)),1)),0)</f>
        <v>0</v>
      </c>
      <c r="N106" s="13">
        <f t="shared" si="211"/>
        <v>0</v>
      </c>
      <c r="O106" s="13">
        <f t="shared" si="211"/>
        <v>0</v>
      </c>
      <c r="P106" s="13">
        <f t="shared" si="211"/>
        <v>0</v>
      </c>
      <c r="Q106" s="13">
        <f t="shared" si="211"/>
        <v>0</v>
      </c>
      <c r="R106" s="13">
        <f t="shared" si="211"/>
        <v>0</v>
      </c>
      <c r="S106" s="13">
        <f t="shared" si="211"/>
        <v>0</v>
      </c>
      <c r="T106" s="13">
        <f t="shared" si="211"/>
        <v>0</v>
      </c>
      <c r="U106" s="13">
        <f t="shared" si="211"/>
        <v>0</v>
      </c>
      <c r="V106" s="13">
        <f t="shared" si="211"/>
        <v>0</v>
      </c>
      <c r="W106" s="13">
        <f t="shared" si="211"/>
        <v>0</v>
      </c>
      <c r="X106" s="13">
        <f t="shared" si="211"/>
        <v>0</v>
      </c>
      <c r="Y106" s="13">
        <f t="shared" si="211"/>
        <v>0</v>
      </c>
      <c r="Z106" s="13">
        <f t="shared" si="211"/>
        <v>0</v>
      </c>
      <c r="AA106" s="13">
        <f t="shared" si="211"/>
        <v>0</v>
      </c>
      <c r="AB106" s="13">
        <f t="shared" ref="AB106:AP106" si="212">IFERROR(VALUE(RIGHT(LEFT($J106,FIND(AB$1,$J106,IF(M106=0,1,FIND(AB$1,$J106,1)+1))+LEN(AB$1)),1)),0)</f>
        <v>0</v>
      </c>
      <c r="AC106" s="13">
        <f t="shared" si="212"/>
        <v>0</v>
      </c>
      <c r="AD106" s="13">
        <f t="shared" si="212"/>
        <v>0</v>
      </c>
      <c r="AE106" s="13">
        <f t="shared" si="212"/>
        <v>1</v>
      </c>
      <c r="AF106" s="13">
        <f t="shared" si="212"/>
        <v>0</v>
      </c>
      <c r="AG106" s="13">
        <f t="shared" si="212"/>
        <v>0</v>
      </c>
      <c r="AH106" s="13">
        <f t="shared" si="212"/>
        <v>0</v>
      </c>
      <c r="AI106" s="13">
        <f t="shared" si="212"/>
        <v>0</v>
      </c>
      <c r="AJ106" s="13">
        <f t="shared" si="212"/>
        <v>0</v>
      </c>
      <c r="AK106" s="13">
        <f t="shared" si="212"/>
        <v>0</v>
      </c>
      <c r="AL106" s="13">
        <f t="shared" si="212"/>
        <v>0</v>
      </c>
      <c r="AM106" s="13">
        <f t="shared" si="212"/>
        <v>0</v>
      </c>
      <c r="AN106" s="13">
        <f t="shared" si="212"/>
        <v>0</v>
      </c>
      <c r="AO106" s="13">
        <f t="shared" si="212"/>
        <v>1</v>
      </c>
      <c r="AP106" s="13">
        <f t="shared" si="212"/>
        <v>0</v>
      </c>
      <c r="AQ106" s="13"/>
      <c r="AR106" s="13" t="s">
        <v>820</v>
      </c>
      <c r="AS106" s="13" t="s">
        <v>821</v>
      </c>
      <c r="AT106" s="13" t="s">
        <v>162</v>
      </c>
      <c r="AU106" s="13" t="s">
        <v>822</v>
      </c>
      <c r="AV106" s="13" t="s">
        <v>823</v>
      </c>
      <c r="AW106" s="13">
        <v>11.0</v>
      </c>
      <c r="AX106" s="13">
        <v>-1.0</v>
      </c>
      <c r="AY106" s="13">
        <v>0.0</v>
      </c>
      <c r="AZ106" s="13" t="s">
        <v>537</v>
      </c>
      <c r="BA106" s="13" t="s">
        <v>538</v>
      </c>
      <c r="BB106" s="13"/>
      <c r="BC106" s="13"/>
      <c r="BD106" s="13" t="s">
        <v>282</v>
      </c>
      <c r="BE106" s="13"/>
      <c r="BF106" s="13" t="s">
        <v>824</v>
      </c>
      <c r="BG106" s="13" t="s">
        <v>284</v>
      </c>
      <c r="BH106" s="13" t="s">
        <v>79</v>
      </c>
      <c r="BI106" s="13" t="b">
        <v>0</v>
      </c>
      <c r="BJ106" s="13">
        <v>0.0</v>
      </c>
      <c r="BK106" s="13">
        <v>0.0</v>
      </c>
    </row>
    <row r="107" ht="14.25" customHeight="1">
      <c r="A107" s="13">
        <v>105.0</v>
      </c>
      <c r="B107" s="13" t="s">
        <v>51</v>
      </c>
      <c r="C107" s="13">
        <v>1.0</v>
      </c>
      <c r="D107" s="14">
        <v>0.0</v>
      </c>
      <c r="E107" s="13" t="s">
        <v>825</v>
      </c>
      <c r="F107" s="15" t="s">
        <v>826</v>
      </c>
      <c r="G107" s="16" t="s">
        <v>827</v>
      </c>
      <c r="H107" s="13">
        <v>10.0</v>
      </c>
      <c r="I107" s="13">
        <v>1.0</v>
      </c>
      <c r="J107" s="13" t="s">
        <v>787</v>
      </c>
      <c r="K107" s="13">
        <f t="shared" si="3"/>
        <v>0</v>
      </c>
      <c r="L107" s="13">
        <f t="shared" si="4"/>
        <v>2</v>
      </c>
      <c r="M107" s="13">
        <f t="shared" ref="M107:AA107" si="213">IFERROR(VALUE(RIGHT(LEFT($J107,FIND(M$1,$J107,1)+LEN(M$1)),1)),0)</f>
        <v>0</v>
      </c>
      <c r="N107" s="13">
        <f t="shared" si="213"/>
        <v>0</v>
      </c>
      <c r="O107" s="13">
        <f t="shared" si="213"/>
        <v>0</v>
      </c>
      <c r="P107" s="13">
        <f t="shared" si="213"/>
        <v>0</v>
      </c>
      <c r="Q107" s="13">
        <f t="shared" si="213"/>
        <v>0</v>
      </c>
      <c r="R107" s="13">
        <f t="shared" si="213"/>
        <v>0</v>
      </c>
      <c r="S107" s="13">
        <f t="shared" si="213"/>
        <v>0</v>
      </c>
      <c r="T107" s="13">
        <f t="shared" si="213"/>
        <v>0</v>
      </c>
      <c r="U107" s="13">
        <f t="shared" si="213"/>
        <v>0</v>
      </c>
      <c r="V107" s="13">
        <f t="shared" si="213"/>
        <v>0</v>
      </c>
      <c r="W107" s="13">
        <f t="shared" si="213"/>
        <v>0</v>
      </c>
      <c r="X107" s="13">
        <f t="shared" si="213"/>
        <v>0</v>
      </c>
      <c r="Y107" s="13">
        <f t="shared" si="213"/>
        <v>0</v>
      </c>
      <c r="Z107" s="13">
        <f t="shared" si="213"/>
        <v>0</v>
      </c>
      <c r="AA107" s="13">
        <f t="shared" si="213"/>
        <v>0</v>
      </c>
      <c r="AB107" s="13">
        <f t="shared" ref="AB107:AP107" si="214">IFERROR(VALUE(RIGHT(LEFT($J107,FIND(AB$1,$J107,IF(M107=0,1,FIND(AB$1,$J107,1)+1))+LEN(AB$1)),1)),0)</f>
        <v>0</v>
      </c>
      <c r="AC107" s="13">
        <f t="shared" si="214"/>
        <v>0</v>
      </c>
      <c r="AD107" s="13">
        <f t="shared" si="214"/>
        <v>1</v>
      </c>
      <c r="AE107" s="13">
        <f t="shared" si="214"/>
        <v>0</v>
      </c>
      <c r="AF107" s="13">
        <f t="shared" si="214"/>
        <v>0</v>
      </c>
      <c r="AG107" s="13">
        <f t="shared" si="214"/>
        <v>0</v>
      </c>
      <c r="AH107" s="13">
        <f t="shared" si="214"/>
        <v>0</v>
      </c>
      <c r="AI107" s="13">
        <f t="shared" si="214"/>
        <v>0</v>
      </c>
      <c r="AJ107" s="13">
        <f t="shared" si="214"/>
        <v>0</v>
      </c>
      <c r="AK107" s="13">
        <f t="shared" si="214"/>
        <v>0</v>
      </c>
      <c r="AL107" s="13">
        <f t="shared" si="214"/>
        <v>0</v>
      </c>
      <c r="AM107" s="13">
        <f t="shared" si="214"/>
        <v>0</v>
      </c>
      <c r="AN107" s="13">
        <f t="shared" si="214"/>
        <v>0</v>
      </c>
      <c r="AO107" s="13">
        <f t="shared" si="214"/>
        <v>1</v>
      </c>
      <c r="AP107" s="13">
        <f t="shared" si="214"/>
        <v>0</v>
      </c>
      <c r="AQ107" s="13"/>
      <c r="AR107" s="13" t="s">
        <v>828</v>
      </c>
      <c r="AS107" s="13" t="s">
        <v>829</v>
      </c>
      <c r="AT107" s="13" t="s">
        <v>162</v>
      </c>
      <c r="AU107" s="13" t="s">
        <v>616</v>
      </c>
      <c r="AV107" s="13" t="s">
        <v>830</v>
      </c>
      <c r="AW107" s="13">
        <v>9.0</v>
      </c>
      <c r="AX107" s="13">
        <v>-1.0</v>
      </c>
      <c r="AY107" s="13">
        <v>0.0</v>
      </c>
      <c r="AZ107" s="13" t="s">
        <v>154</v>
      </c>
      <c r="BA107" s="13" t="s">
        <v>601</v>
      </c>
      <c r="BB107" s="13"/>
      <c r="BC107" s="13"/>
      <c r="BD107" s="13" t="s">
        <v>831</v>
      </c>
      <c r="BE107" s="13"/>
      <c r="BF107" s="13" t="s">
        <v>832</v>
      </c>
      <c r="BG107" s="13" t="s">
        <v>833</v>
      </c>
      <c r="BH107" s="13" t="s">
        <v>241</v>
      </c>
      <c r="BI107" s="13" t="b">
        <v>0</v>
      </c>
      <c r="BJ107" s="13">
        <v>0.0</v>
      </c>
      <c r="BK107" s="13">
        <v>0.0</v>
      </c>
    </row>
    <row r="108" ht="14.25" customHeight="1">
      <c r="A108" s="13">
        <v>106.0</v>
      </c>
      <c r="B108" s="13" t="s">
        <v>51</v>
      </c>
      <c r="C108" s="13">
        <v>1.0</v>
      </c>
      <c r="D108" s="14">
        <v>0.0</v>
      </c>
      <c r="E108" s="13" t="s">
        <v>834</v>
      </c>
      <c r="F108" s="15" t="s">
        <v>835</v>
      </c>
      <c r="G108" s="16" t="s">
        <v>836</v>
      </c>
      <c r="H108" s="13">
        <v>3.0</v>
      </c>
      <c r="I108" s="13">
        <v>0.6</v>
      </c>
      <c r="J108" s="13" t="s">
        <v>837</v>
      </c>
      <c r="K108" s="13">
        <f t="shared" si="3"/>
        <v>0</v>
      </c>
      <c r="L108" s="13">
        <f t="shared" si="4"/>
        <v>2</v>
      </c>
      <c r="M108" s="13">
        <f t="shared" ref="M108:AA108" si="215">IFERROR(VALUE(RIGHT(LEFT($J108,FIND(M$1,$J108,1)+LEN(M$1)),1)),0)</f>
        <v>0</v>
      </c>
      <c r="N108" s="13">
        <f t="shared" si="215"/>
        <v>0</v>
      </c>
      <c r="O108" s="13">
        <f t="shared" si="215"/>
        <v>0</v>
      </c>
      <c r="P108" s="13">
        <f t="shared" si="215"/>
        <v>0</v>
      </c>
      <c r="Q108" s="13">
        <f t="shared" si="215"/>
        <v>0</v>
      </c>
      <c r="R108" s="13">
        <f t="shared" si="215"/>
        <v>0</v>
      </c>
      <c r="S108" s="13">
        <f t="shared" si="215"/>
        <v>0</v>
      </c>
      <c r="T108" s="13">
        <f t="shared" si="215"/>
        <v>0</v>
      </c>
      <c r="U108" s="13">
        <f t="shared" si="215"/>
        <v>0</v>
      </c>
      <c r="V108" s="13">
        <f t="shared" si="215"/>
        <v>0</v>
      </c>
      <c r="W108" s="13">
        <f t="shared" si="215"/>
        <v>0</v>
      </c>
      <c r="X108" s="13">
        <f t="shared" si="215"/>
        <v>0</v>
      </c>
      <c r="Y108" s="13">
        <f t="shared" si="215"/>
        <v>0</v>
      </c>
      <c r="Z108" s="13">
        <f t="shared" si="215"/>
        <v>0</v>
      </c>
      <c r="AA108" s="13">
        <f t="shared" si="215"/>
        <v>0</v>
      </c>
      <c r="AB108" s="13">
        <f t="shared" ref="AB108:AP108" si="216">IFERROR(VALUE(RIGHT(LEFT($J108,FIND(AB$1,$J108,IF(M108=0,1,FIND(AB$1,$J108,1)+1))+LEN(AB$1)),1)),0)</f>
        <v>0</v>
      </c>
      <c r="AC108" s="13">
        <f t="shared" si="216"/>
        <v>1</v>
      </c>
      <c r="AD108" s="13">
        <f t="shared" si="216"/>
        <v>0</v>
      </c>
      <c r="AE108" s="13">
        <f t="shared" si="216"/>
        <v>0</v>
      </c>
      <c r="AF108" s="13">
        <f t="shared" si="216"/>
        <v>0</v>
      </c>
      <c r="AG108" s="13">
        <f t="shared" si="216"/>
        <v>0</v>
      </c>
      <c r="AH108" s="13">
        <f t="shared" si="216"/>
        <v>0</v>
      </c>
      <c r="AI108" s="13">
        <f t="shared" si="216"/>
        <v>0</v>
      </c>
      <c r="AJ108" s="13">
        <f t="shared" si="216"/>
        <v>0</v>
      </c>
      <c r="AK108" s="13">
        <f t="shared" si="216"/>
        <v>0</v>
      </c>
      <c r="AL108" s="13">
        <f t="shared" si="216"/>
        <v>0</v>
      </c>
      <c r="AM108" s="13">
        <f t="shared" si="216"/>
        <v>0</v>
      </c>
      <c r="AN108" s="13">
        <f t="shared" si="216"/>
        <v>0</v>
      </c>
      <c r="AO108" s="13">
        <f t="shared" si="216"/>
        <v>1</v>
      </c>
      <c r="AP108" s="13">
        <f t="shared" si="216"/>
        <v>0</v>
      </c>
      <c r="AQ108" s="13"/>
      <c r="AR108" s="13" t="s">
        <v>838</v>
      </c>
      <c r="AS108" s="13" t="s">
        <v>839</v>
      </c>
      <c r="AT108" s="13" t="s">
        <v>142</v>
      </c>
      <c r="AU108" s="13" t="s">
        <v>130</v>
      </c>
      <c r="AV108" s="13" t="s">
        <v>840</v>
      </c>
      <c r="AW108" s="13">
        <v>5.0</v>
      </c>
      <c r="AX108" s="13">
        <v>-1.0</v>
      </c>
      <c r="AY108" s="13">
        <v>0.0</v>
      </c>
      <c r="AZ108" s="13" t="s">
        <v>529</v>
      </c>
      <c r="BA108" s="13" t="s">
        <v>530</v>
      </c>
      <c r="BB108" s="13"/>
      <c r="BC108" s="13"/>
      <c r="BD108" s="13" t="s">
        <v>789</v>
      </c>
      <c r="BE108" s="13"/>
      <c r="BF108" s="13" t="s">
        <v>841</v>
      </c>
      <c r="BG108" s="13" t="s">
        <v>263</v>
      </c>
      <c r="BH108" s="13" t="s">
        <v>79</v>
      </c>
      <c r="BI108" s="13" t="b">
        <v>0</v>
      </c>
      <c r="BJ108" s="13">
        <v>0.0</v>
      </c>
      <c r="BK108" s="13">
        <v>0.0</v>
      </c>
    </row>
    <row r="109" ht="14.25" customHeight="1">
      <c r="A109" s="13">
        <v>107.0</v>
      </c>
      <c r="B109" s="13" t="s">
        <v>52</v>
      </c>
      <c r="C109" s="13">
        <v>1.0</v>
      </c>
      <c r="D109" s="14">
        <v>0.0</v>
      </c>
      <c r="E109" s="13" t="s">
        <v>842</v>
      </c>
      <c r="F109" s="15" t="s">
        <v>843</v>
      </c>
      <c r="G109" s="16" t="s">
        <v>844</v>
      </c>
      <c r="H109" s="13">
        <v>14.0</v>
      </c>
      <c r="I109" s="13">
        <v>0.9</v>
      </c>
      <c r="J109" s="13" t="s">
        <v>845</v>
      </c>
      <c r="K109" s="13">
        <f t="shared" si="3"/>
        <v>0</v>
      </c>
      <c r="L109" s="13">
        <f t="shared" si="4"/>
        <v>2</v>
      </c>
      <c r="M109" s="13">
        <f t="shared" ref="M109:AA109" si="217">IFERROR(VALUE(RIGHT(LEFT($J109,FIND(M$1,$J109,1)+LEN(M$1)),1)),0)</f>
        <v>0</v>
      </c>
      <c r="N109" s="13">
        <f t="shared" si="217"/>
        <v>0</v>
      </c>
      <c r="O109" s="13">
        <f t="shared" si="217"/>
        <v>0</v>
      </c>
      <c r="P109" s="13">
        <f t="shared" si="217"/>
        <v>0</v>
      </c>
      <c r="Q109" s="13">
        <f t="shared" si="217"/>
        <v>0</v>
      </c>
      <c r="R109" s="13">
        <f t="shared" si="217"/>
        <v>0</v>
      </c>
      <c r="S109" s="13">
        <f t="shared" si="217"/>
        <v>0</v>
      </c>
      <c r="T109" s="13">
        <f t="shared" si="217"/>
        <v>0</v>
      </c>
      <c r="U109" s="13">
        <f t="shared" si="217"/>
        <v>0</v>
      </c>
      <c r="V109" s="13">
        <f t="shared" si="217"/>
        <v>0</v>
      </c>
      <c r="W109" s="13">
        <f t="shared" si="217"/>
        <v>0</v>
      </c>
      <c r="X109" s="13">
        <f t="shared" si="217"/>
        <v>0</v>
      </c>
      <c r="Y109" s="13">
        <f t="shared" si="217"/>
        <v>0</v>
      </c>
      <c r="Z109" s="13">
        <f t="shared" si="217"/>
        <v>0</v>
      </c>
      <c r="AA109" s="13">
        <f t="shared" si="217"/>
        <v>0</v>
      </c>
      <c r="AB109" s="13">
        <f t="shared" ref="AB109:AP109" si="218">IFERROR(VALUE(RIGHT(LEFT($J109,FIND(AB$1,$J109,IF(M109=0,1,FIND(AB$1,$J109,1)+1))+LEN(AB$1)),1)),0)</f>
        <v>1</v>
      </c>
      <c r="AC109" s="13">
        <f t="shared" si="218"/>
        <v>0</v>
      </c>
      <c r="AD109" s="13">
        <f t="shared" si="218"/>
        <v>0</v>
      </c>
      <c r="AE109" s="13">
        <f t="shared" si="218"/>
        <v>0</v>
      </c>
      <c r="AF109" s="13">
        <f t="shared" si="218"/>
        <v>0</v>
      </c>
      <c r="AG109" s="13">
        <f t="shared" si="218"/>
        <v>0</v>
      </c>
      <c r="AH109" s="13">
        <f t="shared" si="218"/>
        <v>0</v>
      </c>
      <c r="AI109" s="13">
        <f t="shared" si="218"/>
        <v>0</v>
      </c>
      <c r="AJ109" s="13">
        <f t="shared" si="218"/>
        <v>0</v>
      </c>
      <c r="AK109" s="13">
        <f t="shared" si="218"/>
        <v>0</v>
      </c>
      <c r="AL109" s="13">
        <f t="shared" si="218"/>
        <v>0</v>
      </c>
      <c r="AM109" s="13">
        <f t="shared" si="218"/>
        <v>0</v>
      </c>
      <c r="AN109" s="13">
        <f t="shared" si="218"/>
        <v>0</v>
      </c>
      <c r="AO109" s="13">
        <f t="shared" si="218"/>
        <v>0</v>
      </c>
      <c r="AP109" s="13">
        <f t="shared" si="218"/>
        <v>1</v>
      </c>
      <c r="AQ109" s="13"/>
      <c r="AR109" s="13" t="s">
        <v>846</v>
      </c>
      <c r="AS109" s="13" t="s">
        <v>847</v>
      </c>
      <c r="AT109" s="13" t="s">
        <v>175</v>
      </c>
      <c r="AU109" s="13" t="s">
        <v>130</v>
      </c>
      <c r="AV109" s="13"/>
      <c r="AW109" s="13">
        <v>12.0</v>
      </c>
      <c r="AX109" s="13">
        <v>-1.0</v>
      </c>
      <c r="AY109" s="13">
        <v>0.0</v>
      </c>
      <c r="AZ109" s="13" t="s">
        <v>848</v>
      </c>
      <c r="BA109" s="13" t="s">
        <v>155</v>
      </c>
      <c r="BB109" s="13"/>
      <c r="BC109" s="13"/>
      <c r="BD109" s="13" t="s">
        <v>294</v>
      </c>
      <c r="BE109" s="13">
        <v>6.0</v>
      </c>
      <c r="BF109" s="13" t="s">
        <v>849</v>
      </c>
      <c r="BG109" s="13"/>
      <c r="BH109" s="13" t="s">
        <v>79</v>
      </c>
      <c r="BI109" s="13" t="b">
        <v>0</v>
      </c>
      <c r="BJ109" s="13">
        <v>0.0</v>
      </c>
      <c r="BK109" s="13">
        <v>0.0</v>
      </c>
    </row>
    <row r="110" ht="14.25" customHeight="1">
      <c r="A110" s="13">
        <v>108.0</v>
      </c>
      <c r="B110" s="13" t="s">
        <v>52</v>
      </c>
      <c r="C110" s="13">
        <v>1.0</v>
      </c>
      <c r="D110" s="14">
        <v>0.0</v>
      </c>
      <c r="E110" s="13" t="s">
        <v>850</v>
      </c>
      <c r="F110" s="15" t="s">
        <v>377</v>
      </c>
      <c r="G110" s="16" t="s">
        <v>851</v>
      </c>
      <c r="H110" s="13">
        <v>12.0</v>
      </c>
      <c r="I110" s="13">
        <v>0.9</v>
      </c>
      <c r="J110" s="13" t="s">
        <v>852</v>
      </c>
      <c r="K110" s="13">
        <f t="shared" si="3"/>
        <v>0</v>
      </c>
      <c r="L110" s="13">
        <f t="shared" si="4"/>
        <v>2</v>
      </c>
      <c r="M110" s="13">
        <f t="shared" ref="M110:AA110" si="219">IFERROR(VALUE(RIGHT(LEFT($J110,FIND(M$1,$J110,1)+LEN(M$1)),1)),0)</f>
        <v>0</v>
      </c>
      <c r="N110" s="13">
        <f t="shared" si="219"/>
        <v>0</v>
      </c>
      <c r="O110" s="13">
        <f t="shared" si="219"/>
        <v>0</v>
      </c>
      <c r="P110" s="13">
        <f t="shared" si="219"/>
        <v>0</v>
      </c>
      <c r="Q110" s="13">
        <f t="shared" si="219"/>
        <v>0</v>
      </c>
      <c r="R110" s="13">
        <f t="shared" si="219"/>
        <v>0</v>
      </c>
      <c r="S110" s="13">
        <f t="shared" si="219"/>
        <v>0</v>
      </c>
      <c r="T110" s="13">
        <f t="shared" si="219"/>
        <v>0</v>
      </c>
      <c r="U110" s="13">
        <f t="shared" si="219"/>
        <v>0</v>
      </c>
      <c r="V110" s="13">
        <f t="shared" si="219"/>
        <v>0</v>
      </c>
      <c r="W110" s="13">
        <f t="shared" si="219"/>
        <v>0</v>
      </c>
      <c r="X110" s="13">
        <f t="shared" si="219"/>
        <v>0</v>
      </c>
      <c r="Y110" s="13">
        <f t="shared" si="219"/>
        <v>0</v>
      </c>
      <c r="Z110" s="13">
        <f t="shared" si="219"/>
        <v>0</v>
      </c>
      <c r="AA110" s="13">
        <f t="shared" si="219"/>
        <v>0</v>
      </c>
      <c r="AB110" s="13">
        <f t="shared" ref="AB110:AP110" si="220">IFERROR(VALUE(RIGHT(LEFT($J110,FIND(AB$1,$J110,IF(M110=0,1,FIND(AB$1,$J110,1)+1))+LEN(AB$1)),1)),0)</f>
        <v>0</v>
      </c>
      <c r="AC110" s="13">
        <f t="shared" si="220"/>
        <v>0</v>
      </c>
      <c r="AD110" s="13">
        <f t="shared" si="220"/>
        <v>1</v>
      </c>
      <c r="AE110" s="13">
        <f t="shared" si="220"/>
        <v>0</v>
      </c>
      <c r="AF110" s="13">
        <f t="shared" si="220"/>
        <v>0</v>
      </c>
      <c r="AG110" s="13">
        <f t="shared" si="220"/>
        <v>0</v>
      </c>
      <c r="AH110" s="13">
        <f t="shared" si="220"/>
        <v>0</v>
      </c>
      <c r="AI110" s="13">
        <f t="shared" si="220"/>
        <v>0</v>
      </c>
      <c r="AJ110" s="13">
        <f t="shared" si="220"/>
        <v>0</v>
      </c>
      <c r="AK110" s="13">
        <f t="shared" si="220"/>
        <v>0</v>
      </c>
      <c r="AL110" s="13">
        <f t="shared" si="220"/>
        <v>0</v>
      </c>
      <c r="AM110" s="13">
        <f t="shared" si="220"/>
        <v>0</v>
      </c>
      <c r="AN110" s="13">
        <f t="shared" si="220"/>
        <v>0</v>
      </c>
      <c r="AO110" s="13">
        <f t="shared" si="220"/>
        <v>0</v>
      </c>
      <c r="AP110" s="13">
        <f t="shared" si="220"/>
        <v>1</v>
      </c>
      <c r="AQ110" s="13"/>
      <c r="AR110" s="13" t="s">
        <v>853</v>
      </c>
      <c r="AS110" s="13" t="s">
        <v>314</v>
      </c>
      <c r="AT110" s="13" t="s">
        <v>854</v>
      </c>
      <c r="AU110" s="13" t="s">
        <v>130</v>
      </c>
      <c r="AV110" s="13" t="s">
        <v>481</v>
      </c>
      <c r="AW110" s="13">
        <v>10.0</v>
      </c>
      <c r="AX110" s="13">
        <v>-1.0</v>
      </c>
      <c r="AY110" s="13">
        <v>0.0</v>
      </c>
      <c r="AZ110" s="13" t="s">
        <v>316</v>
      </c>
      <c r="BA110" s="13" t="s">
        <v>554</v>
      </c>
      <c r="BB110" s="13"/>
      <c r="BC110" s="13"/>
      <c r="BD110" s="13" t="s">
        <v>306</v>
      </c>
      <c r="BE110" s="13" t="s">
        <v>855</v>
      </c>
      <c r="BF110" s="13" t="s">
        <v>856</v>
      </c>
      <c r="BG110" s="13"/>
      <c r="BH110" s="13" t="s">
        <v>79</v>
      </c>
      <c r="BI110" s="13" t="b">
        <v>0</v>
      </c>
      <c r="BJ110" s="13">
        <v>0.0</v>
      </c>
      <c r="BK110" s="13">
        <v>0.0</v>
      </c>
    </row>
    <row r="111" ht="14.25" customHeight="1">
      <c r="A111" s="13">
        <v>109.0</v>
      </c>
      <c r="B111" s="13" t="s">
        <v>52</v>
      </c>
      <c r="C111" s="13">
        <v>1.0</v>
      </c>
      <c r="D111" s="14">
        <v>0.0</v>
      </c>
      <c r="E111" s="13" t="s">
        <v>857</v>
      </c>
      <c r="F111" s="15" t="s">
        <v>858</v>
      </c>
      <c r="G111" s="16" t="s">
        <v>859</v>
      </c>
      <c r="H111" s="13">
        <v>8.0</v>
      </c>
      <c r="I111" s="13">
        <v>1.1</v>
      </c>
      <c r="J111" s="13" t="s">
        <v>860</v>
      </c>
      <c r="K111" s="13">
        <f t="shared" si="3"/>
        <v>0</v>
      </c>
      <c r="L111" s="13">
        <f t="shared" si="4"/>
        <v>2</v>
      </c>
      <c r="M111" s="13">
        <f t="shared" ref="M111:AA111" si="221">IFERROR(VALUE(RIGHT(LEFT($J111,FIND(M$1,$J111,1)+LEN(M$1)),1)),0)</f>
        <v>0</v>
      </c>
      <c r="N111" s="13">
        <f t="shared" si="221"/>
        <v>0</v>
      </c>
      <c r="O111" s="13">
        <f t="shared" si="221"/>
        <v>0</v>
      </c>
      <c r="P111" s="13">
        <f t="shared" si="221"/>
        <v>0</v>
      </c>
      <c r="Q111" s="13">
        <f t="shared" si="221"/>
        <v>0</v>
      </c>
      <c r="R111" s="13">
        <f t="shared" si="221"/>
        <v>0</v>
      </c>
      <c r="S111" s="13">
        <f t="shared" si="221"/>
        <v>0</v>
      </c>
      <c r="T111" s="13">
        <f t="shared" si="221"/>
        <v>0</v>
      </c>
      <c r="U111" s="13">
        <f t="shared" si="221"/>
        <v>0</v>
      </c>
      <c r="V111" s="13">
        <f t="shared" si="221"/>
        <v>0</v>
      </c>
      <c r="W111" s="13">
        <f t="shared" si="221"/>
        <v>0</v>
      </c>
      <c r="X111" s="13">
        <f t="shared" si="221"/>
        <v>0</v>
      </c>
      <c r="Y111" s="13">
        <f t="shared" si="221"/>
        <v>0</v>
      </c>
      <c r="Z111" s="13">
        <f t="shared" si="221"/>
        <v>0</v>
      </c>
      <c r="AA111" s="13">
        <f t="shared" si="221"/>
        <v>0</v>
      </c>
      <c r="AB111" s="13">
        <f t="shared" ref="AB111:AP111" si="222">IFERROR(VALUE(RIGHT(LEFT($J111,FIND(AB$1,$J111,IF(M111=0,1,FIND(AB$1,$J111,1)+1))+LEN(AB$1)),1)),0)</f>
        <v>0</v>
      </c>
      <c r="AC111" s="13">
        <f t="shared" si="222"/>
        <v>1</v>
      </c>
      <c r="AD111" s="13">
        <f t="shared" si="222"/>
        <v>0</v>
      </c>
      <c r="AE111" s="13">
        <f t="shared" si="222"/>
        <v>0</v>
      </c>
      <c r="AF111" s="13">
        <f t="shared" si="222"/>
        <v>0</v>
      </c>
      <c r="AG111" s="13">
        <f t="shared" si="222"/>
        <v>0</v>
      </c>
      <c r="AH111" s="13">
        <f t="shared" si="222"/>
        <v>0</v>
      </c>
      <c r="AI111" s="13">
        <f t="shared" si="222"/>
        <v>0</v>
      </c>
      <c r="AJ111" s="13">
        <f t="shared" si="222"/>
        <v>0</v>
      </c>
      <c r="AK111" s="13">
        <f t="shared" si="222"/>
        <v>0</v>
      </c>
      <c r="AL111" s="13">
        <f t="shared" si="222"/>
        <v>0</v>
      </c>
      <c r="AM111" s="13">
        <f t="shared" si="222"/>
        <v>0</v>
      </c>
      <c r="AN111" s="13">
        <f t="shared" si="222"/>
        <v>0</v>
      </c>
      <c r="AO111" s="13">
        <f t="shared" si="222"/>
        <v>0</v>
      </c>
      <c r="AP111" s="13">
        <f t="shared" si="222"/>
        <v>1</v>
      </c>
      <c r="AQ111" s="13"/>
      <c r="AR111" s="13" t="s">
        <v>861</v>
      </c>
      <c r="AS111" s="13" t="s">
        <v>862</v>
      </c>
      <c r="AT111" s="13" t="s">
        <v>863</v>
      </c>
      <c r="AU111" s="13" t="s">
        <v>130</v>
      </c>
      <c r="AV111" s="13" t="s">
        <v>864</v>
      </c>
      <c r="AW111" s="13">
        <v>8.0</v>
      </c>
      <c r="AX111" s="13">
        <v>-1.0</v>
      </c>
      <c r="AY111" s="13">
        <v>0.0</v>
      </c>
      <c r="AZ111" s="13" t="s">
        <v>529</v>
      </c>
      <c r="BA111" s="13" t="s">
        <v>187</v>
      </c>
      <c r="BB111" s="13"/>
      <c r="BC111" s="13"/>
      <c r="BD111" s="13" t="s">
        <v>306</v>
      </c>
      <c r="BE111" s="13" t="s">
        <v>865</v>
      </c>
      <c r="BF111" s="13" t="s">
        <v>866</v>
      </c>
      <c r="BG111" s="13"/>
      <c r="BH111" s="13" t="s">
        <v>79</v>
      </c>
      <c r="BI111" s="13" t="b">
        <v>0</v>
      </c>
      <c r="BJ111" s="13">
        <v>0.0</v>
      </c>
      <c r="BK111" s="13">
        <v>0.0</v>
      </c>
    </row>
    <row r="112" ht="14.25" customHeight="1">
      <c r="A112" s="13">
        <v>110.0</v>
      </c>
      <c r="B112" s="13" t="s">
        <v>52</v>
      </c>
      <c r="C112" s="13">
        <v>1.0</v>
      </c>
      <c r="D112" s="14">
        <v>0.0</v>
      </c>
      <c r="E112" s="13" t="s">
        <v>867</v>
      </c>
      <c r="F112" s="15" t="s">
        <v>868</v>
      </c>
      <c r="G112" s="16" t="s">
        <v>869</v>
      </c>
      <c r="H112" s="13">
        <v>11.0</v>
      </c>
      <c r="I112" s="13">
        <v>1.0</v>
      </c>
      <c r="J112" s="13" t="s">
        <v>860</v>
      </c>
      <c r="K112" s="13">
        <f t="shared" si="3"/>
        <v>0</v>
      </c>
      <c r="L112" s="13">
        <f t="shared" si="4"/>
        <v>2</v>
      </c>
      <c r="M112" s="13">
        <f t="shared" ref="M112:AA112" si="223">IFERROR(VALUE(RIGHT(LEFT($J112,FIND(M$1,$J112,1)+LEN(M$1)),1)),0)</f>
        <v>0</v>
      </c>
      <c r="N112" s="13">
        <f t="shared" si="223"/>
        <v>0</v>
      </c>
      <c r="O112" s="13">
        <f t="shared" si="223"/>
        <v>0</v>
      </c>
      <c r="P112" s="13">
        <f t="shared" si="223"/>
        <v>0</v>
      </c>
      <c r="Q112" s="13">
        <f t="shared" si="223"/>
        <v>0</v>
      </c>
      <c r="R112" s="13">
        <f t="shared" si="223"/>
        <v>0</v>
      </c>
      <c r="S112" s="13">
        <f t="shared" si="223"/>
        <v>0</v>
      </c>
      <c r="T112" s="13">
        <f t="shared" si="223"/>
        <v>0</v>
      </c>
      <c r="U112" s="13">
        <f t="shared" si="223"/>
        <v>0</v>
      </c>
      <c r="V112" s="13">
        <f t="shared" si="223"/>
        <v>0</v>
      </c>
      <c r="W112" s="13">
        <f t="shared" si="223"/>
        <v>0</v>
      </c>
      <c r="X112" s="13">
        <f t="shared" si="223"/>
        <v>0</v>
      </c>
      <c r="Y112" s="13">
        <f t="shared" si="223"/>
        <v>0</v>
      </c>
      <c r="Z112" s="13">
        <f t="shared" si="223"/>
        <v>0</v>
      </c>
      <c r="AA112" s="13">
        <f t="shared" si="223"/>
        <v>0</v>
      </c>
      <c r="AB112" s="13">
        <f t="shared" ref="AB112:AP112" si="224">IFERROR(VALUE(RIGHT(LEFT($J112,FIND(AB$1,$J112,IF(M112=0,1,FIND(AB$1,$J112,1)+1))+LEN(AB$1)),1)),0)</f>
        <v>0</v>
      </c>
      <c r="AC112" s="13">
        <f t="shared" si="224"/>
        <v>1</v>
      </c>
      <c r="AD112" s="13">
        <f t="shared" si="224"/>
        <v>0</v>
      </c>
      <c r="AE112" s="13">
        <f t="shared" si="224"/>
        <v>0</v>
      </c>
      <c r="AF112" s="13">
        <f t="shared" si="224"/>
        <v>0</v>
      </c>
      <c r="AG112" s="13">
        <f t="shared" si="224"/>
        <v>0</v>
      </c>
      <c r="AH112" s="13">
        <f t="shared" si="224"/>
        <v>0</v>
      </c>
      <c r="AI112" s="13">
        <f t="shared" si="224"/>
        <v>0</v>
      </c>
      <c r="AJ112" s="13">
        <f t="shared" si="224"/>
        <v>0</v>
      </c>
      <c r="AK112" s="13">
        <f t="shared" si="224"/>
        <v>0</v>
      </c>
      <c r="AL112" s="13">
        <f t="shared" si="224"/>
        <v>0</v>
      </c>
      <c r="AM112" s="13">
        <f t="shared" si="224"/>
        <v>0</v>
      </c>
      <c r="AN112" s="13">
        <f t="shared" si="224"/>
        <v>0</v>
      </c>
      <c r="AO112" s="13">
        <f t="shared" si="224"/>
        <v>0</v>
      </c>
      <c r="AP112" s="13">
        <f t="shared" si="224"/>
        <v>1</v>
      </c>
      <c r="AQ112" s="13"/>
      <c r="AR112" s="13" t="s">
        <v>870</v>
      </c>
      <c r="AS112" s="13" t="s">
        <v>871</v>
      </c>
      <c r="AT112" s="13" t="s">
        <v>872</v>
      </c>
      <c r="AU112" s="13" t="s">
        <v>130</v>
      </c>
      <c r="AV112" s="13" t="s">
        <v>492</v>
      </c>
      <c r="AW112" s="13">
        <v>9.0</v>
      </c>
      <c r="AX112" s="13">
        <v>-1.0</v>
      </c>
      <c r="AY112" s="13">
        <v>0.0</v>
      </c>
      <c r="AZ112" s="13" t="s">
        <v>482</v>
      </c>
      <c r="BA112" s="13" t="s">
        <v>580</v>
      </c>
      <c r="BB112" s="13"/>
      <c r="BC112" s="13"/>
      <c r="BD112" s="13" t="s">
        <v>873</v>
      </c>
      <c r="BE112" s="13" t="s">
        <v>874</v>
      </c>
      <c r="BF112" s="13" t="s">
        <v>875</v>
      </c>
      <c r="BG112" s="13" t="s">
        <v>876</v>
      </c>
      <c r="BH112" s="13" t="s">
        <v>79</v>
      </c>
      <c r="BI112" s="13" t="b">
        <v>0</v>
      </c>
      <c r="BJ112" s="13">
        <v>0.0</v>
      </c>
      <c r="BK112" s="13">
        <v>0.0</v>
      </c>
    </row>
    <row r="113" ht="14.25" customHeight="1">
      <c r="A113" s="13">
        <v>111.0</v>
      </c>
      <c r="B113" s="13" t="s">
        <v>52</v>
      </c>
      <c r="C113" s="13">
        <v>1.0</v>
      </c>
      <c r="D113" s="14">
        <v>0.0</v>
      </c>
      <c r="E113" s="13" t="s">
        <v>877</v>
      </c>
      <c r="F113" s="15"/>
      <c r="G113" s="16" t="s">
        <v>878</v>
      </c>
      <c r="H113" s="13">
        <v>10.0</v>
      </c>
      <c r="I113" s="13">
        <v>1.2</v>
      </c>
      <c r="J113" s="13" t="s">
        <v>879</v>
      </c>
      <c r="K113" s="13">
        <f t="shared" si="3"/>
        <v>0</v>
      </c>
      <c r="L113" s="13">
        <f t="shared" si="4"/>
        <v>2</v>
      </c>
      <c r="M113" s="13">
        <f t="shared" ref="M113:AA113" si="225">IFERROR(VALUE(RIGHT(LEFT($J113,FIND(M$1,$J113,1)+LEN(M$1)),1)),0)</f>
        <v>0</v>
      </c>
      <c r="N113" s="13">
        <f t="shared" si="225"/>
        <v>0</v>
      </c>
      <c r="O113" s="13">
        <f t="shared" si="225"/>
        <v>0</v>
      </c>
      <c r="P113" s="13">
        <f t="shared" si="225"/>
        <v>0</v>
      </c>
      <c r="Q113" s="13">
        <f t="shared" si="225"/>
        <v>0</v>
      </c>
      <c r="R113" s="13">
        <f t="shared" si="225"/>
        <v>0</v>
      </c>
      <c r="S113" s="13">
        <f t="shared" si="225"/>
        <v>0</v>
      </c>
      <c r="T113" s="13">
        <f t="shared" si="225"/>
        <v>0</v>
      </c>
      <c r="U113" s="13">
        <f t="shared" si="225"/>
        <v>0</v>
      </c>
      <c r="V113" s="13">
        <f t="shared" si="225"/>
        <v>0</v>
      </c>
      <c r="W113" s="13">
        <f t="shared" si="225"/>
        <v>0</v>
      </c>
      <c r="X113" s="13">
        <f t="shared" si="225"/>
        <v>0</v>
      </c>
      <c r="Y113" s="13">
        <f t="shared" si="225"/>
        <v>0</v>
      </c>
      <c r="Z113" s="13">
        <f t="shared" si="225"/>
        <v>0</v>
      </c>
      <c r="AA113" s="13">
        <f t="shared" si="225"/>
        <v>0</v>
      </c>
      <c r="AB113" s="13">
        <f t="shared" ref="AB113:AP113" si="226">IFERROR(VALUE(RIGHT(LEFT($J113,FIND(AB$1,$J113,IF(M113=0,1,FIND(AB$1,$J113,1)+1))+LEN(AB$1)),1)),0)</f>
        <v>0</v>
      </c>
      <c r="AC113" s="13">
        <f t="shared" si="226"/>
        <v>0</v>
      </c>
      <c r="AD113" s="13">
        <f t="shared" si="226"/>
        <v>0</v>
      </c>
      <c r="AE113" s="13">
        <f t="shared" si="226"/>
        <v>1</v>
      </c>
      <c r="AF113" s="13">
        <f t="shared" si="226"/>
        <v>0</v>
      </c>
      <c r="AG113" s="13">
        <f t="shared" si="226"/>
        <v>0</v>
      </c>
      <c r="AH113" s="13">
        <f t="shared" si="226"/>
        <v>0</v>
      </c>
      <c r="AI113" s="13">
        <f t="shared" si="226"/>
        <v>0</v>
      </c>
      <c r="AJ113" s="13">
        <f t="shared" si="226"/>
        <v>0</v>
      </c>
      <c r="AK113" s="13">
        <f t="shared" si="226"/>
        <v>0</v>
      </c>
      <c r="AL113" s="13">
        <f t="shared" si="226"/>
        <v>0</v>
      </c>
      <c r="AM113" s="13">
        <f t="shared" si="226"/>
        <v>0</v>
      </c>
      <c r="AN113" s="13">
        <f t="shared" si="226"/>
        <v>0</v>
      </c>
      <c r="AO113" s="13">
        <f t="shared" si="226"/>
        <v>0</v>
      </c>
      <c r="AP113" s="13">
        <f t="shared" si="226"/>
        <v>1</v>
      </c>
      <c r="AQ113" s="13"/>
      <c r="AR113" s="13" t="s">
        <v>880</v>
      </c>
      <c r="AS113" s="13" t="s">
        <v>881</v>
      </c>
      <c r="AT113" s="13" t="s">
        <v>882</v>
      </c>
      <c r="AU113" s="13" t="s">
        <v>130</v>
      </c>
      <c r="AV113" s="13" t="s">
        <v>883</v>
      </c>
      <c r="AW113" s="13">
        <v>11.0</v>
      </c>
      <c r="AX113" s="13">
        <v>-1.0</v>
      </c>
      <c r="AY113" s="13">
        <v>0.0</v>
      </c>
      <c r="AZ113" s="13" t="s">
        <v>679</v>
      </c>
      <c r="BA113" s="13" t="s">
        <v>884</v>
      </c>
      <c r="BB113" s="13"/>
      <c r="BC113" s="13"/>
      <c r="BD113" s="13" t="s">
        <v>306</v>
      </c>
      <c r="BE113" s="13" t="s">
        <v>885</v>
      </c>
      <c r="BF113" s="13" t="s">
        <v>708</v>
      </c>
      <c r="BG113" s="13"/>
      <c r="BH113" s="13" t="s">
        <v>79</v>
      </c>
      <c r="BI113" s="13" t="b">
        <v>0</v>
      </c>
      <c r="BJ113" s="13">
        <v>0.0</v>
      </c>
      <c r="BK113" s="13">
        <v>0.0</v>
      </c>
    </row>
    <row r="114" ht="14.25" customHeight="1">
      <c r="A114" s="13">
        <v>112.0</v>
      </c>
      <c r="B114" s="13" t="s">
        <v>52</v>
      </c>
      <c r="C114" s="13">
        <v>1.0</v>
      </c>
      <c r="D114" s="14">
        <v>0.0</v>
      </c>
      <c r="E114" s="13" t="s">
        <v>886</v>
      </c>
      <c r="F114" s="15"/>
      <c r="G114" s="16" t="s">
        <v>887</v>
      </c>
      <c r="H114" s="13">
        <v>12.0</v>
      </c>
      <c r="I114" s="13">
        <v>0.9</v>
      </c>
      <c r="J114" s="13" t="s">
        <v>860</v>
      </c>
      <c r="K114" s="13">
        <f t="shared" si="3"/>
        <v>0</v>
      </c>
      <c r="L114" s="13">
        <f t="shared" si="4"/>
        <v>2</v>
      </c>
      <c r="M114" s="13">
        <f t="shared" ref="M114:AA114" si="227">IFERROR(VALUE(RIGHT(LEFT($J114,FIND(M$1,$J114,1)+LEN(M$1)),1)),0)</f>
        <v>0</v>
      </c>
      <c r="N114" s="13">
        <f t="shared" si="227"/>
        <v>0</v>
      </c>
      <c r="O114" s="13">
        <f t="shared" si="227"/>
        <v>0</v>
      </c>
      <c r="P114" s="13">
        <f t="shared" si="227"/>
        <v>0</v>
      </c>
      <c r="Q114" s="13">
        <f t="shared" si="227"/>
        <v>0</v>
      </c>
      <c r="R114" s="13">
        <f t="shared" si="227"/>
        <v>0</v>
      </c>
      <c r="S114" s="13">
        <f t="shared" si="227"/>
        <v>0</v>
      </c>
      <c r="T114" s="13">
        <f t="shared" si="227"/>
        <v>0</v>
      </c>
      <c r="U114" s="13">
        <f t="shared" si="227"/>
        <v>0</v>
      </c>
      <c r="V114" s="13">
        <f t="shared" si="227"/>
        <v>0</v>
      </c>
      <c r="W114" s="13">
        <f t="shared" si="227"/>
        <v>0</v>
      </c>
      <c r="X114" s="13">
        <f t="shared" si="227"/>
        <v>0</v>
      </c>
      <c r="Y114" s="13">
        <f t="shared" si="227"/>
        <v>0</v>
      </c>
      <c r="Z114" s="13">
        <f t="shared" si="227"/>
        <v>0</v>
      </c>
      <c r="AA114" s="13">
        <f t="shared" si="227"/>
        <v>0</v>
      </c>
      <c r="AB114" s="13">
        <f t="shared" ref="AB114:AP114" si="228">IFERROR(VALUE(RIGHT(LEFT($J114,FIND(AB$1,$J114,IF(M114=0,1,FIND(AB$1,$J114,1)+1))+LEN(AB$1)),1)),0)</f>
        <v>0</v>
      </c>
      <c r="AC114" s="13">
        <f t="shared" si="228"/>
        <v>1</v>
      </c>
      <c r="AD114" s="13">
        <f t="shared" si="228"/>
        <v>0</v>
      </c>
      <c r="AE114" s="13">
        <f t="shared" si="228"/>
        <v>0</v>
      </c>
      <c r="AF114" s="13">
        <f t="shared" si="228"/>
        <v>0</v>
      </c>
      <c r="AG114" s="13">
        <f t="shared" si="228"/>
        <v>0</v>
      </c>
      <c r="AH114" s="13">
        <f t="shared" si="228"/>
        <v>0</v>
      </c>
      <c r="AI114" s="13">
        <f t="shared" si="228"/>
        <v>0</v>
      </c>
      <c r="AJ114" s="13">
        <f t="shared" si="228"/>
        <v>0</v>
      </c>
      <c r="AK114" s="13">
        <f t="shared" si="228"/>
        <v>0</v>
      </c>
      <c r="AL114" s="13">
        <f t="shared" si="228"/>
        <v>0</v>
      </c>
      <c r="AM114" s="13">
        <f t="shared" si="228"/>
        <v>0</v>
      </c>
      <c r="AN114" s="13">
        <f t="shared" si="228"/>
        <v>0</v>
      </c>
      <c r="AO114" s="13">
        <f t="shared" si="228"/>
        <v>0</v>
      </c>
      <c r="AP114" s="13">
        <f t="shared" si="228"/>
        <v>1</v>
      </c>
      <c r="AQ114" s="13"/>
      <c r="AR114" s="13" t="s">
        <v>313</v>
      </c>
      <c r="AS114" s="13" t="s">
        <v>871</v>
      </c>
      <c r="AT114" s="13" t="s">
        <v>573</v>
      </c>
      <c r="AU114" s="13" t="s">
        <v>130</v>
      </c>
      <c r="AV114" s="13" t="s">
        <v>888</v>
      </c>
      <c r="AW114" s="13">
        <v>9.0</v>
      </c>
      <c r="AX114" s="13">
        <v>-1.0</v>
      </c>
      <c r="AY114" s="13">
        <v>0.0</v>
      </c>
      <c r="AZ114" s="13" t="s">
        <v>889</v>
      </c>
      <c r="BA114" s="13" t="s">
        <v>890</v>
      </c>
      <c r="BB114" s="13"/>
      <c r="BC114" s="13"/>
      <c r="BD114" s="13" t="s">
        <v>306</v>
      </c>
      <c r="BE114" s="13" t="s">
        <v>891</v>
      </c>
      <c r="BF114" s="13" t="s">
        <v>618</v>
      </c>
      <c r="BG114" s="13"/>
      <c r="BH114" s="13" t="s">
        <v>79</v>
      </c>
      <c r="BI114" s="13" t="b">
        <v>0</v>
      </c>
      <c r="BJ114" s="13">
        <v>0.0</v>
      </c>
      <c r="BK114" s="13">
        <v>0.0</v>
      </c>
    </row>
    <row r="115" ht="14.25" customHeight="1">
      <c r="A115" s="13">
        <v>113.0</v>
      </c>
      <c r="B115" s="13" t="s">
        <v>52</v>
      </c>
      <c r="C115" s="13">
        <v>1.0</v>
      </c>
      <c r="D115" s="14">
        <v>0.0</v>
      </c>
      <c r="E115" s="13" t="s">
        <v>892</v>
      </c>
      <c r="F115" s="15"/>
      <c r="G115" s="16" t="s">
        <v>893</v>
      </c>
      <c r="H115" s="13">
        <v>1.0</v>
      </c>
      <c r="I115" s="13">
        <v>1.2</v>
      </c>
      <c r="J115" s="13" t="s">
        <v>894</v>
      </c>
      <c r="K115" s="13">
        <f t="shared" si="3"/>
        <v>0</v>
      </c>
      <c r="L115" s="13">
        <f t="shared" si="4"/>
        <v>2</v>
      </c>
      <c r="M115" s="13">
        <f t="shared" ref="M115:AA115" si="229">IFERROR(VALUE(RIGHT(LEFT($J115,FIND(M$1,$J115,1)+LEN(M$1)),1)),0)</f>
        <v>0</v>
      </c>
      <c r="N115" s="13">
        <f t="shared" si="229"/>
        <v>0</v>
      </c>
      <c r="O115" s="13">
        <f t="shared" si="229"/>
        <v>0</v>
      </c>
      <c r="P115" s="13">
        <f t="shared" si="229"/>
        <v>0</v>
      </c>
      <c r="Q115" s="13">
        <f t="shared" si="229"/>
        <v>0</v>
      </c>
      <c r="R115" s="13">
        <f t="shared" si="229"/>
        <v>0</v>
      </c>
      <c r="S115" s="13">
        <f t="shared" si="229"/>
        <v>0</v>
      </c>
      <c r="T115" s="13">
        <f t="shared" si="229"/>
        <v>0</v>
      </c>
      <c r="U115" s="13">
        <f t="shared" si="229"/>
        <v>0</v>
      </c>
      <c r="V115" s="13">
        <f t="shared" si="229"/>
        <v>0</v>
      </c>
      <c r="W115" s="13">
        <f t="shared" si="229"/>
        <v>0</v>
      </c>
      <c r="X115" s="13">
        <f t="shared" si="229"/>
        <v>0</v>
      </c>
      <c r="Y115" s="13">
        <f t="shared" si="229"/>
        <v>0</v>
      </c>
      <c r="Z115" s="13">
        <f t="shared" si="229"/>
        <v>0</v>
      </c>
      <c r="AA115" s="13">
        <f t="shared" si="229"/>
        <v>0</v>
      </c>
      <c r="AB115" s="13">
        <f t="shared" ref="AB115:AP115" si="230">IFERROR(VALUE(RIGHT(LEFT($J115,FIND(AB$1,$J115,IF(M115=0,1,FIND(AB$1,$J115,1)+1))+LEN(AB$1)),1)),0)</f>
        <v>0</v>
      </c>
      <c r="AC115" s="13">
        <f t="shared" si="230"/>
        <v>0</v>
      </c>
      <c r="AD115" s="13">
        <f t="shared" si="230"/>
        <v>0</v>
      </c>
      <c r="AE115" s="13">
        <f t="shared" si="230"/>
        <v>0</v>
      </c>
      <c r="AF115" s="13">
        <f t="shared" si="230"/>
        <v>0</v>
      </c>
      <c r="AG115" s="13">
        <f t="shared" si="230"/>
        <v>1</v>
      </c>
      <c r="AH115" s="13">
        <f t="shared" si="230"/>
        <v>0</v>
      </c>
      <c r="AI115" s="13">
        <f t="shared" si="230"/>
        <v>0</v>
      </c>
      <c r="AJ115" s="13">
        <f t="shared" si="230"/>
        <v>0</v>
      </c>
      <c r="AK115" s="13">
        <f t="shared" si="230"/>
        <v>0</v>
      </c>
      <c r="AL115" s="13">
        <f t="shared" si="230"/>
        <v>0</v>
      </c>
      <c r="AM115" s="13">
        <f t="shared" si="230"/>
        <v>0</v>
      </c>
      <c r="AN115" s="13">
        <f t="shared" si="230"/>
        <v>0</v>
      </c>
      <c r="AO115" s="13">
        <f t="shared" si="230"/>
        <v>0</v>
      </c>
      <c r="AP115" s="13">
        <f t="shared" si="230"/>
        <v>1</v>
      </c>
      <c r="AQ115" s="13"/>
      <c r="AR115" s="13" t="s">
        <v>895</v>
      </c>
      <c r="AS115" s="13" t="s">
        <v>896</v>
      </c>
      <c r="AT115" s="13" t="s">
        <v>854</v>
      </c>
      <c r="AU115" s="13" t="s">
        <v>803</v>
      </c>
      <c r="AV115" s="13" t="s">
        <v>897</v>
      </c>
      <c r="AW115" s="13">
        <v>6.0</v>
      </c>
      <c r="AX115" s="13">
        <v>-1.0</v>
      </c>
      <c r="AY115" s="13">
        <v>0.0</v>
      </c>
      <c r="AZ115" s="13" t="s">
        <v>218</v>
      </c>
      <c r="BA115" s="13" t="s">
        <v>898</v>
      </c>
      <c r="BB115" s="13"/>
      <c r="BC115" s="13"/>
      <c r="BD115" s="13" t="s">
        <v>294</v>
      </c>
      <c r="BE115" s="13" t="s">
        <v>899</v>
      </c>
      <c r="BF115" s="13" t="s">
        <v>900</v>
      </c>
      <c r="BG115" s="13"/>
      <c r="BH115" s="13" t="s">
        <v>241</v>
      </c>
      <c r="BI115" s="13" t="b">
        <v>0</v>
      </c>
      <c r="BJ115" s="13">
        <v>0.0</v>
      </c>
      <c r="BK115" s="13">
        <v>0.0</v>
      </c>
    </row>
    <row r="116" ht="14.25" customHeight="1">
      <c r="A116" s="13">
        <v>114.0</v>
      </c>
      <c r="B116" s="13" t="s">
        <v>52</v>
      </c>
      <c r="C116" s="13">
        <v>1.0</v>
      </c>
      <c r="D116" s="14">
        <v>0.0</v>
      </c>
      <c r="E116" s="13" t="s">
        <v>901</v>
      </c>
      <c r="F116" s="15"/>
      <c r="G116" s="16" t="s">
        <v>902</v>
      </c>
      <c r="H116" s="13">
        <v>10.0</v>
      </c>
      <c r="I116" s="13">
        <v>1.1</v>
      </c>
      <c r="J116" s="13" t="s">
        <v>852</v>
      </c>
      <c r="K116" s="13">
        <f t="shared" si="3"/>
        <v>0</v>
      </c>
      <c r="L116" s="13">
        <f t="shared" si="4"/>
        <v>2</v>
      </c>
      <c r="M116" s="13">
        <f t="shared" ref="M116:AA116" si="231">IFERROR(VALUE(RIGHT(LEFT($J116,FIND(M$1,$J116,1)+LEN(M$1)),1)),0)</f>
        <v>0</v>
      </c>
      <c r="N116" s="13">
        <f t="shared" si="231"/>
        <v>0</v>
      </c>
      <c r="O116" s="13">
        <f t="shared" si="231"/>
        <v>0</v>
      </c>
      <c r="P116" s="13">
        <f t="shared" si="231"/>
        <v>0</v>
      </c>
      <c r="Q116" s="13">
        <f t="shared" si="231"/>
        <v>0</v>
      </c>
      <c r="R116" s="13">
        <f t="shared" si="231"/>
        <v>0</v>
      </c>
      <c r="S116" s="13">
        <f t="shared" si="231"/>
        <v>0</v>
      </c>
      <c r="T116" s="13">
        <f t="shared" si="231"/>
        <v>0</v>
      </c>
      <c r="U116" s="13">
        <f t="shared" si="231"/>
        <v>0</v>
      </c>
      <c r="V116" s="13">
        <f t="shared" si="231"/>
        <v>0</v>
      </c>
      <c r="W116" s="13">
        <f t="shared" si="231"/>
        <v>0</v>
      </c>
      <c r="X116" s="13">
        <f t="shared" si="231"/>
        <v>0</v>
      </c>
      <c r="Y116" s="13">
        <f t="shared" si="231"/>
        <v>0</v>
      </c>
      <c r="Z116" s="13">
        <f t="shared" si="231"/>
        <v>0</v>
      </c>
      <c r="AA116" s="13">
        <f t="shared" si="231"/>
        <v>0</v>
      </c>
      <c r="AB116" s="13">
        <f t="shared" ref="AB116:AP116" si="232">IFERROR(VALUE(RIGHT(LEFT($J116,FIND(AB$1,$J116,IF(M116=0,1,FIND(AB$1,$J116,1)+1))+LEN(AB$1)),1)),0)</f>
        <v>0</v>
      </c>
      <c r="AC116" s="13">
        <f t="shared" si="232"/>
        <v>0</v>
      </c>
      <c r="AD116" s="13">
        <f t="shared" si="232"/>
        <v>1</v>
      </c>
      <c r="AE116" s="13">
        <f t="shared" si="232"/>
        <v>0</v>
      </c>
      <c r="AF116" s="13">
        <f t="shared" si="232"/>
        <v>0</v>
      </c>
      <c r="AG116" s="13">
        <f t="shared" si="232"/>
        <v>0</v>
      </c>
      <c r="AH116" s="13">
        <f t="shared" si="232"/>
        <v>0</v>
      </c>
      <c r="AI116" s="13">
        <f t="shared" si="232"/>
        <v>0</v>
      </c>
      <c r="AJ116" s="13">
        <f t="shared" si="232"/>
        <v>0</v>
      </c>
      <c r="AK116" s="13">
        <f t="shared" si="232"/>
        <v>0</v>
      </c>
      <c r="AL116" s="13">
        <f t="shared" si="232"/>
        <v>0</v>
      </c>
      <c r="AM116" s="13">
        <f t="shared" si="232"/>
        <v>0</v>
      </c>
      <c r="AN116" s="13">
        <f t="shared" si="232"/>
        <v>0</v>
      </c>
      <c r="AO116" s="13">
        <f t="shared" si="232"/>
        <v>0</v>
      </c>
      <c r="AP116" s="13">
        <f t="shared" si="232"/>
        <v>1</v>
      </c>
      <c r="AQ116" s="13"/>
      <c r="AR116" s="13" t="s">
        <v>300</v>
      </c>
      <c r="AS116" s="13" t="s">
        <v>903</v>
      </c>
      <c r="AT116" s="13" t="s">
        <v>904</v>
      </c>
      <c r="AU116" s="13" t="s">
        <v>130</v>
      </c>
      <c r="AV116" s="13" t="s">
        <v>905</v>
      </c>
      <c r="AW116" s="13">
        <v>8.0</v>
      </c>
      <c r="AX116" s="13">
        <v>-1.0</v>
      </c>
      <c r="AY116" s="13">
        <v>0.0</v>
      </c>
      <c r="AZ116" s="13" t="s">
        <v>529</v>
      </c>
      <c r="BA116" s="13" t="s">
        <v>906</v>
      </c>
      <c r="BB116" s="13"/>
      <c r="BC116" s="13"/>
      <c r="BD116" s="13" t="s">
        <v>294</v>
      </c>
      <c r="BE116" s="13" t="s">
        <v>907</v>
      </c>
      <c r="BF116" s="13" t="s">
        <v>908</v>
      </c>
      <c r="BG116" s="13"/>
      <c r="BH116" s="13" t="s">
        <v>79</v>
      </c>
      <c r="BI116" s="13" t="b">
        <v>0</v>
      </c>
      <c r="BJ116" s="13">
        <v>0.0</v>
      </c>
      <c r="BK116" s="13">
        <v>0.0</v>
      </c>
    </row>
    <row r="117" ht="14.25" customHeight="1">
      <c r="A117" s="13">
        <v>115.0</v>
      </c>
      <c r="B117" s="13" t="s">
        <v>52</v>
      </c>
      <c r="C117" s="13">
        <v>1.0</v>
      </c>
      <c r="D117" s="14">
        <v>0.0</v>
      </c>
      <c r="E117" s="13" t="s">
        <v>909</v>
      </c>
      <c r="F117" s="15"/>
      <c r="G117" s="16" t="s">
        <v>910</v>
      </c>
      <c r="H117" s="13">
        <v>12.0</v>
      </c>
      <c r="I117" s="13">
        <v>1.0</v>
      </c>
      <c r="J117" s="13" t="s">
        <v>852</v>
      </c>
      <c r="K117" s="13">
        <f t="shared" si="3"/>
        <v>0</v>
      </c>
      <c r="L117" s="13">
        <f t="shared" si="4"/>
        <v>2</v>
      </c>
      <c r="M117" s="13">
        <f t="shared" ref="M117:AA117" si="233">IFERROR(VALUE(RIGHT(LEFT($J117,FIND(M$1,$J117,1)+LEN(M$1)),1)),0)</f>
        <v>0</v>
      </c>
      <c r="N117" s="13">
        <f t="shared" si="233"/>
        <v>0</v>
      </c>
      <c r="O117" s="13">
        <f t="shared" si="233"/>
        <v>0</v>
      </c>
      <c r="P117" s="13">
        <f t="shared" si="233"/>
        <v>0</v>
      </c>
      <c r="Q117" s="13">
        <f t="shared" si="233"/>
        <v>0</v>
      </c>
      <c r="R117" s="13">
        <f t="shared" si="233"/>
        <v>0</v>
      </c>
      <c r="S117" s="13">
        <f t="shared" si="233"/>
        <v>0</v>
      </c>
      <c r="T117" s="13">
        <f t="shared" si="233"/>
        <v>0</v>
      </c>
      <c r="U117" s="13">
        <f t="shared" si="233"/>
        <v>0</v>
      </c>
      <c r="V117" s="13">
        <f t="shared" si="233"/>
        <v>0</v>
      </c>
      <c r="W117" s="13">
        <f t="shared" si="233"/>
        <v>0</v>
      </c>
      <c r="X117" s="13">
        <f t="shared" si="233"/>
        <v>0</v>
      </c>
      <c r="Y117" s="13">
        <f t="shared" si="233"/>
        <v>0</v>
      </c>
      <c r="Z117" s="13">
        <f t="shared" si="233"/>
        <v>0</v>
      </c>
      <c r="AA117" s="13">
        <f t="shared" si="233"/>
        <v>0</v>
      </c>
      <c r="AB117" s="13">
        <f t="shared" ref="AB117:AP117" si="234">IFERROR(VALUE(RIGHT(LEFT($J117,FIND(AB$1,$J117,IF(M117=0,1,FIND(AB$1,$J117,1)+1))+LEN(AB$1)),1)),0)</f>
        <v>0</v>
      </c>
      <c r="AC117" s="13">
        <f t="shared" si="234"/>
        <v>0</v>
      </c>
      <c r="AD117" s="13">
        <f t="shared" si="234"/>
        <v>1</v>
      </c>
      <c r="AE117" s="13">
        <f t="shared" si="234"/>
        <v>0</v>
      </c>
      <c r="AF117" s="13">
        <f t="shared" si="234"/>
        <v>0</v>
      </c>
      <c r="AG117" s="13">
        <f t="shared" si="234"/>
        <v>0</v>
      </c>
      <c r="AH117" s="13">
        <f t="shared" si="234"/>
        <v>0</v>
      </c>
      <c r="AI117" s="13">
        <f t="shared" si="234"/>
        <v>0</v>
      </c>
      <c r="AJ117" s="13">
        <f t="shared" si="234"/>
        <v>0</v>
      </c>
      <c r="AK117" s="13">
        <f t="shared" si="234"/>
        <v>0</v>
      </c>
      <c r="AL117" s="13">
        <f t="shared" si="234"/>
        <v>0</v>
      </c>
      <c r="AM117" s="13">
        <f t="shared" si="234"/>
        <v>0</v>
      </c>
      <c r="AN117" s="13">
        <f t="shared" si="234"/>
        <v>0</v>
      </c>
      <c r="AO117" s="13">
        <f t="shared" si="234"/>
        <v>0</v>
      </c>
      <c r="AP117" s="13">
        <f t="shared" si="234"/>
        <v>1</v>
      </c>
      <c r="AQ117" s="13"/>
      <c r="AR117" s="13" t="s">
        <v>313</v>
      </c>
      <c r="AS117" s="13" t="s">
        <v>911</v>
      </c>
      <c r="AT117" s="13" t="s">
        <v>129</v>
      </c>
      <c r="AU117" s="13" t="s">
        <v>143</v>
      </c>
      <c r="AV117" s="13" t="s">
        <v>912</v>
      </c>
      <c r="AW117" s="13">
        <v>10.0</v>
      </c>
      <c r="AX117" s="13">
        <v>-1.0</v>
      </c>
      <c r="AY117" s="13">
        <v>0.0</v>
      </c>
      <c r="AZ117" s="13" t="s">
        <v>913</v>
      </c>
      <c r="BA117" s="13" t="s">
        <v>914</v>
      </c>
      <c r="BB117" s="13"/>
      <c r="BC117" s="13"/>
      <c r="BD117" s="13" t="s">
        <v>294</v>
      </c>
      <c r="BE117" s="13" t="s">
        <v>915</v>
      </c>
      <c r="BF117" s="13" t="s">
        <v>916</v>
      </c>
      <c r="BG117" s="13"/>
      <c r="BH117" s="13" t="s">
        <v>79</v>
      </c>
      <c r="BI117" s="13" t="b">
        <v>0</v>
      </c>
      <c r="BJ117" s="13">
        <v>0.0</v>
      </c>
      <c r="BK117" s="13">
        <v>0.0</v>
      </c>
    </row>
    <row r="118" ht="14.25" customHeight="1">
      <c r="A118" s="13">
        <v>116.0</v>
      </c>
      <c r="B118" s="13" t="s">
        <v>52</v>
      </c>
      <c r="C118" s="13">
        <v>1.0</v>
      </c>
      <c r="D118" s="14">
        <v>0.0</v>
      </c>
      <c r="E118" s="13" t="s">
        <v>917</v>
      </c>
      <c r="F118" s="15" t="s">
        <v>918</v>
      </c>
      <c r="G118" s="16" t="s">
        <v>919</v>
      </c>
      <c r="H118" s="13">
        <v>13.0</v>
      </c>
      <c r="I118" s="13">
        <v>1.0</v>
      </c>
      <c r="J118" s="13" t="s">
        <v>920</v>
      </c>
      <c r="K118" s="13">
        <f t="shared" si="3"/>
        <v>0</v>
      </c>
      <c r="L118" s="13">
        <f t="shared" si="4"/>
        <v>2</v>
      </c>
      <c r="M118" s="13">
        <f t="shared" ref="M118:AA118" si="235">IFERROR(VALUE(RIGHT(LEFT($J118,FIND(M$1,$J118,1)+LEN(M$1)),1)),0)</f>
        <v>0</v>
      </c>
      <c r="N118" s="13">
        <f t="shared" si="235"/>
        <v>0</v>
      </c>
      <c r="O118" s="13">
        <f t="shared" si="235"/>
        <v>0</v>
      </c>
      <c r="P118" s="13">
        <f t="shared" si="235"/>
        <v>0</v>
      </c>
      <c r="Q118" s="13">
        <f t="shared" si="235"/>
        <v>0</v>
      </c>
      <c r="R118" s="13">
        <f t="shared" si="235"/>
        <v>0</v>
      </c>
      <c r="S118" s="13">
        <f t="shared" si="235"/>
        <v>0</v>
      </c>
      <c r="T118" s="13">
        <f t="shared" si="235"/>
        <v>0</v>
      </c>
      <c r="U118" s="13">
        <f t="shared" si="235"/>
        <v>0</v>
      </c>
      <c r="V118" s="13">
        <f t="shared" si="235"/>
        <v>0</v>
      </c>
      <c r="W118" s="13">
        <f t="shared" si="235"/>
        <v>0</v>
      </c>
      <c r="X118" s="13">
        <f t="shared" si="235"/>
        <v>0</v>
      </c>
      <c r="Y118" s="13">
        <f t="shared" si="235"/>
        <v>0</v>
      </c>
      <c r="Z118" s="13">
        <f t="shared" si="235"/>
        <v>0</v>
      </c>
      <c r="AA118" s="13">
        <f t="shared" si="235"/>
        <v>0</v>
      </c>
      <c r="AB118" s="13">
        <f t="shared" ref="AB118:AP118" si="236">IFERROR(VALUE(RIGHT(LEFT($J118,FIND(AB$1,$J118,IF(M118=0,1,FIND(AB$1,$J118,1)+1))+LEN(AB$1)),1)),0)</f>
        <v>0</v>
      </c>
      <c r="AC118" s="13">
        <f t="shared" si="236"/>
        <v>0</v>
      </c>
      <c r="AD118" s="13">
        <f t="shared" si="236"/>
        <v>0</v>
      </c>
      <c r="AE118" s="13">
        <f t="shared" si="236"/>
        <v>0</v>
      </c>
      <c r="AF118" s="13">
        <f t="shared" si="236"/>
        <v>1</v>
      </c>
      <c r="AG118" s="13">
        <f t="shared" si="236"/>
        <v>0</v>
      </c>
      <c r="AH118" s="13">
        <f t="shared" si="236"/>
        <v>0</v>
      </c>
      <c r="AI118" s="13">
        <f t="shared" si="236"/>
        <v>0</v>
      </c>
      <c r="AJ118" s="13">
        <f t="shared" si="236"/>
        <v>0</v>
      </c>
      <c r="AK118" s="13">
        <f t="shared" si="236"/>
        <v>0</v>
      </c>
      <c r="AL118" s="13">
        <f t="shared" si="236"/>
        <v>0</v>
      </c>
      <c r="AM118" s="13">
        <f t="shared" si="236"/>
        <v>0</v>
      </c>
      <c r="AN118" s="13">
        <f t="shared" si="236"/>
        <v>0</v>
      </c>
      <c r="AO118" s="13">
        <f t="shared" si="236"/>
        <v>0</v>
      </c>
      <c r="AP118" s="13">
        <f t="shared" si="236"/>
        <v>1</v>
      </c>
      <c r="AQ118" s="13"/>
      <c r="AR118" s="13" t="s">
        <v>921</v>
      </c>
      <c r="AS118" s="13" t="s">
        <v>922</v>
      </c>
      <c r="AT118" s="13" t="s">
        <v>573</v>
      </c>
      <c r="AU118" s="13" t="s">
        <v>130</v>
      </c>
      <c r="AV118" s="13" t="s">
        <v>923</v>
      </c>
      <c r="AW118" s="13">
        <v>11.0</v>
      </c>
      <c r="AX118" s="13">
        <v>-1.0</v>
      </c>
      <c r="AY118" s="13">
        <v>0.0</v>
      </c>
      <c r="AZ118" s="13" t="s">
        <v>624</v>
      </c>
      <c r="BA118" s="13" t="s">
        <v>924</v>
      </c>
      <c r="BB118" s="13"/>
      <c r="BC118" s="13"/>
      <c r="BD118" s="13" t="s">
        <v>294</v>
      </c>
      <c r="BE118" s="13">
        <v>6.0</v>
      </c>
      <c r="BF118" s="13" t="s">
        <v>665</v>
      </c>
      <c r="BG118" s="13"/>
      <c r="BH118" s="13" t="s">
        <v>79</v>
      </c>
      <c r="BI118" s="13" t="b">
        <v>0</v>
      </c>
      <c r="BJ118" s="13">
        <v>0.0</v>
      </c>
      <c r="BK118" s="13">
        <v>0.0</v>
      </c>
    </row>
    <row r="119" ht="14.25" customHeight="1">
      <c r="A119" s="13">
        <v>117.0</v>
      </c>
      <c r="B119" s="13" t="s">
        <v>44</v>
      </c>
      <c r="C119" s="13">
        <v>2.0</v>
      </c>
      <c r="D119" s="14">
        <v>0.0</v>
      </c>
      <c r="E119" s="13" t="s">
        <v>925</v>
      </c>
      <c r="F119" s="15" t="s">
        <v>397</v>
      </c>
      <c r="G119" s="16" t="s">
        <v>926</v>
      </c>
      <c r="H119" s="13"/>
      <c r="I119" s="13">
        <v>1.2</v>
      </c>
      <c r="J119" s="13" t="s">
        <v>927</v>
      </c>
      <c r="K119" s="13">
        <f t="shared" si="3"/>
        <v>0</v>
      </c>
      <c r="L119" s="13">
        <f t="shared" si="4"/>
        <v>3</v>
      </c>
      <c r="M119" s="13">
        <f t="shared" ref="M119:AA119" si="237">IFERROR(VALUE(RIGHT(LEFT($J119,FIND(M$1,$J119,1)+LEN(M$1)),1)),0)</f>
        <v>0</v>
      </c>
      <c r="N119" s="13">
        <f t="shared" si="237"/>
        <v>0</v>
      </c>
      <c r="O119" s="13">
        <f t="shared" si="237"/>
        <v>0</v>
      </c>
      <c r="P119" s="13">
        <f t="shared" si="237"/>
        <v>0</v>
      </c>
      <c r="Q119" s="13">
        <f t="shared" si="237"/>
        <v>0</v>
      </c>
      <c r="R119" s="13">
        <f t="shared" si="237"/>
        <v>0</v>
      </c>
      <c r="S119" s="13">
        <f t="shared" si="237"/>
        <v>0</v>
      </c>
      <c r="T119" s="13">
        <f t="shared" si="237"/>
        <v>0</v>
      </c>
      <c r="U119" s="13">
        <f t="shared" si="237"/>
        <v>0</v>
      </c>
      <c r="V119" s="13">
        <f t="shared" si="237"/>
        <v>0</v>
      </c>
      <c r="W119" s="13">
        <f t="shared" si="237"/>
        <v>0</v>
      </c>
      <c r="X119" s="13">
        <f t="shared" si="237"/>
        <v>0</v>
      </c>
      <c r="Y119" s="13">
        <f t="shared" si="237"/>
        <v>0</v>
      </c>
      <c r="Z119" s="13">
        <f t="shared" si="237"/>
        <v>0</v>
      </c>
      <c r="AA119" s="13">
        <f t="shared" si="237"/>
        <v>0</v>
      </c>
      <c r="AB119" s="13">
        <f t="shared" ref="AB119:AP119" si="238">IFERROR(VALUE(RIGHT(LEFT($J119,FIND(AB$1,$J119,IF(M119=0,1,FIND(AB$1,$J119,1)+1))+LEN(AB$1)),1)),0)</f>
        <v>1</v>
      </c>
      <c r="AC119" s="13">
        <f t="shared" si="238"/>
        <v>0</v>
      </c>
      <c r="AD119" s="13">
        <f t="shared" si="238"/>
        <v>0</v>
      </c>
      <c r="AE119" s="13">
        <f t="shared" si="238"/>
        <v>0</v>
      </c>
      <c r="AF119" s="13">
        <f t="shared" si="238"/>
        <v>1</v>
      </c>
      <c r="AG119" s="13">
        <f t="shared" si="238"/>
        <v>0</v>
      </c>
      <c r="AH119" s="13">
        <f t="shared" si="238"/>
        <v>1</v>
      </c>
      <c r="AI119" s="13">
        <f t="shared" si="238"/>
        <v>0</v>
      </c>
      <c r="AJ119" s="13">
        <f t="shared" si="238"/>
        <v>0</v>
      </c>
      <c r="AK119" s="13">
        <f t="shared" si="238"/>
        <v>0</v>
      </c>
      <c r="AL119" s="13">
        <f t="shared" si="238"/>
        <v>0</v>
      </c>
      <c r="AM119" s="13">
        <f t="shared" si="238"/>
        <v>0</v>
      </c>
      <c r="AN119" s="13">
        <f t="shared" si="238"/>
        <v>0</v>
      </c>
      <c r="AO119" s="13">
        <f t="shared" si="238"/>
        <v>0</v>
      </c>
      <c r="AP119" s="13">
        <f t="shared" si="238"/>
        <v>0</v>
      </c>
      <c r="AQ119" s="13" t="s">
        <v>928</v>
      </c>
      <c r="AR119" s="13"/>
      <c r="AS119" s="13" t="s">
        <v>929</v>
      </c>
      <c r="AT119" s="13"/>
      <c r="AU119" s="13"/>
      <c r="AV119" s="13"/>
      <c r="AW119" s="13">
        <v>0.0</v>
      </c>
      <c r="AX119" s="13">
        <v>-1.0</v>
      </c>
      <c r="AY119" s="13">
        <v>0.0</v>
      </c>
      <c r="AZ119" s="13"/>
      <c r="BA119" s="13"/>
      <c r="BB119" s="13"/>
      <c r="BC119" s="13"/>
      <c r="BD119" s="13"/>
      <c r="BE119" s="13"/>
      <c r="BF119" s="13"/>
      <c r="BG119" s="13"/>
      <c r="BH119" s="13" t="s">
        <v>79</v>
      </c>
      <c r="BI119" s="13" t="b">
        <v>0</v>
      </c>
      <c r="BJ119" s="13">
        <v>0.0</v>
      </c>
      <c r="BK119" s="13">
        <v>0.0</v>
      </c>
    </row>
    <row r="120" ht="14.25" customHeight="1">
      <c r="A120" s="13">
        <v>118.0</v>
      </c>
      <c r="B120" s="13" t="s">
        <v>44</v>
      </c>
      <c r="C120" s="13">
        <v>2.0</v>
      </c>
      <c r="D120" s="14">
        <v>0.0</v>
      </c>
      <c r="E120" s="13" t="s">
        <v>930</v>
      </c>
      <c r="F120" s="15" t="s">
        <v>931</v>
      </c>
      <c r="G120" s="16" t="s">
        <v>932</v>
      </c>
      <c r="H120" s="13"/>
      <c r="I120" s="13">
        <v>0.9</v>
      </c>
      <c r="J120" s="13" t="s">
        <v>933</v>
      </c>
      <c r="K120" s="13">
        <f t="shared" si="3"/>
        <v>0</v>
      </c>
      <c r="L120" s="13">
        <f t="shared" si="4"/>
        <v>3</v>
      </c>
      <c r="M120" s="13">
        <f t="shared" ref="M120:AA120" si="239">IFERROR(VALUE(RIGHT(LEFT($J120,FIND(M$1,$J120,1)+LEN(M$1)),1)),0)</f>
        <v>0</v>
      </c>
      <c r="N120" s="13">
        <f t="shared" si="239"/>
        <v>0</v>
      </c>
      <c r="O120" s="13">
        <f t="shared" si="239"/>
        <v>0</v>
      </c>
      <c r="P120" s="13">
        <f t="shared" si="239"/>
        <v>0</v>
      </c>
      <c r="Q120" s="13">
        <f t="shared" si="239"/>
        <v>0</v>
      </c>
      <c r="R120" s="13">
        <f t="shared" si="239"/>
        <v>0</v>
      </c>
      <c r="S120" s="13">
        <f t="shared" si="239"/>
        <v>0</v>
      </c>
      <c r="T120" s="13">
        <f t="shared" si="239"/>
        <v>0</v>
      </c>
      <c r="U120" s="13">
        <f t="shared" si="239"/>
        <v>0</v>
      </c>
      <c r="V120" s="13">
        <f t="shared" si="239"/>
        <v>0</v>
      </c>
      <c r="W120" s="13">
        <f t="shared" si="239"/>
        <v>0</v>
      </c>
      <c r="X120" s="13">
        <f t="shared" si="239"/>
        <v>0</v>
      </c>
      <c r="Y120" s="13">
        <f t="shared" si="239"/>
        <v>0</v>
      </c>
      <c r="Z120" s="13">
        <f t="shared" si="239"/>
        <v>0</v>
      </c>
      <c r="AA120" s="13">
        <f t="shared" si="239"/>
        <v>0</v>
      </c>
      <c r="AB120" s="13">
        <f t="shared" ref="AB120:AP120" si="240">IFERROR(VALUE(RIGHT(LEFT($J120,FIND(AB$1,$J120,IF(M120=0,1,FIND(AB$1,$J120,1)+1))+LEN(AB$1)),1)),0)</f>
        <v>0</v>
      </c>
      <c r="AC120" s="13">
        <f t="shared" si="240"/>
        <v>0</v>
      </c>
      <c r="AD120" s="13">
        <f t="shared" si="240"/>
        <v>0</v>
      </c>
      <c r="AE120" s="13">
        <f t="shared" si="240"/>
        <v>0</v>
      </c>
      <c r="AF120" s="13">
        <f t="shared" si="240"/>
        <v>1</v>
      </c>
      <c r="AG120" s="13">
        <f t="shared" si="240"/>
        <v>1</v>
      </c>
      <c r="AH120" s="13">
        <f t="shared" si="240"/>
        <v>1</v>
      </c>
      <c r="AI120" s="13">
        <f t="shared" si="240"/>
        <v>0</v>
      </c>
      <c r="AJ120" s="13">
        <f t="shared" si="240"/>
        <v>0</v>
      </c>
      <c r="AK120" s="13">
        <f t="shared" si="240"/>
        <v>0</v>
      </c>
      <c r="AL120" s="13">
        <f t="shared" si="240"/>
        <v>0</v>
      </c>
      <c r="AM120" s="13">
        <f t="shared" si="240"/>
        <v>0</v>
      </c>
      <c r="AN120" s="13">
        <f t="shared" si="240"/>
        <v>0</v>
      </c>
      <c r="AO120" s="13">
        <f t="shared" si="240"/>
        <v>0</v>
      </c>
      <c r="AP120" s="13">
        <f t="shared" si="240"/>
        <v>0</v>
      </c>
      <c r="AQ120" s="13" t="s">
        <v>934</v>
      </c>
      <c r="AR120" s="13"/>
      <c r="AS120" s="13" t="s">
        <v>935</v>
      </c>
      <c r="AT120" s="13"/>
      <c r="AU120" s="13"/>
      <c r="AV120" s="13"/>
      <c r="AW120" s="13">
        <v>0.0</v>
      </c>
      <c r="AX120" s="13">
        <v>-1.0</v>
      </c>
      <c r="AY120" s="13">
        <v>0.0</v>
      </c>
      <c r="AZ120" s="13"/>
      <c r="BA120" s="13"/>
      <c r="BB120" s="13"/>
      <c r="BC120" s="13"/>
      <c r="BD120" s="13"/>
      <c r="BE120" s="13"/>
      <c r="BF120" s="13"/>
      <c r="BG120" s="13"/>
      <c r="BH120" s="13" t="s">
        <v>79</v>
      </c>
      <c r="BI120" s="13" t="b">
        <v>0</v>
      </c>
      <c r="BJ120" s="13">
        <v>0.0</v>
      </c>
      <c r="BK120" s="13">
        <v>0.0</v>
      </c>
    </row>
    <row r="121" ht="14.25" customHeight="1">
      <c r="A121" s="13">
        <v>119.0</v>
      </c>
      <c r="B121" s="13" t="s">
        <v>44</v>
      </c>
      <c r="C121" s="13">
        <v>2.0</v>
      </c>
      <c r="D121" s="14">
        <v>0.0</v>
      </c>
      <c r="E121" s="13" t="s">
        <v>936</v>
      </c>
      <c r="F121" s="15" t="s">
        <v>413</v>
      </c>
      <c r="G121" s="16" t="s">
        <v>937</v>
      </c>
      <c r="H121" s="13"/>
      <c r="I121" s="13">
        <v>1.0</v>
      </c>
      <c r="J121" s="13" t="s">
        <v>938</v>
      </c>
      <c r="K121" s="13">
        <f t="shared" si="3"/>
        <v>0</v>
      </c>
      <c r="L121" s="13">
        <f t="shared" si="4"/>
        <v>3</v>
      </c>
      <c r="M121" s="13">
        <f t="shared" ref="M121:AA121" si="241">IFERROR(VALUE(RIGHT(LEFT($J121,FIND(M$1,$J121,1)+LEN(M$1)),1)),0)</f>
        <v>0</v>
      </c>
      <c r="N121" s="13">
        <f t="shared" si="241"/>
        <v>0</v>
      </c>
      <c r="O121" s="13">
        <f t="shared" si="241"/>
        <v>0</v>
      </c>
      <c r="P121" s="13">
        <f t="shared" si="241"/>
        <v>0</v>
      </c>
      <c r="Q121" s="13">
        <f t="shared" si="241"/>
        <v>0</v>
      </c>
      <c r="R121" s="13">
        <f t="shared" si="241"/>
        <v>0</v>
      </c>
      <c r="S121" s="13">
        <f t="shared" si="241"/>
        <v>0</v>
      </c>
      <c r="T121" s="13">
        <f t="shared" si="241"/>
        <v>0</v>
      </c>
      <c r="U121" s="13">
        <f t="shared" si="241"/>
        <v>0</v>
      </c>
      <c r="V121" s="13">
        <f t="shared" si="241"/>
        <v>0</v>
      </c>
      <c r="W121" s="13">
        <f t="shared" si="241"/>
        <v>0</v>
      </c>
      <c r="X121" s="13">
        <f t="shared" si="241"/>
        <v>0</v>
      </c>
      <c r="Y121" s="13">
        <f t="shared" si="241"/>
        <v>0</v>
      </c>
      <c r="Z121" s="13">
        <f t="shared" si="241"/>
        <v>0</v>
      </c>
      <c r="AA121" s="13">
        <f t="shared" si="241"/>
        <v>0</v>
      </c>
      <c r="AB121" s="13">
        <f t="shared" ref="AB121:AP121" si="242">IFERROR(VALUE(RIGHT(LEFT($J121,FIND(AB$1,$J121,IF(M121=0,1,FIND(AB$1,$J121,1)+1))+LEN(AB$1)),1)),0)</f>
        <v>0</v>
      </c>
      <c r="AC121" s="13">
        <f t="shared" si="242"/>
        <v>0</v>
      </c>
      <c r="AD121" s="13">
        <f t="shared" si="242"/>
        <v>1</v>
      </c>
      <c r="AE121" s="13">
        <f t="shared" si="242"/>
        <v>1</v>
      </c>
      <c r="AF121" s="13">
        <f t="shared" si="242"/>
        <v>0</v>
      </c>
      <c r="AG121" s="13">
        <f t="shared" si="242"/>
        <v>0</v>
      </c>
      <c r="AH121" s="13">
        <f t="shared" si="242"/>
        <v>1</v>
      </c>
      <c r="AI121" s="13">
        <f t="shared" si="242"/>
        <v>0</v>
      </c>
      <c r="AJ121" s="13">
        <f t="shared" si="242"/>
        <v>0</v>
      </c>
      <c r="AK121" s="13">
        <f t="shared" si="242"/>
        <v>0</v>
      </c>
      <c r="AL121" s="13">
        <f t="shared" si="242"/>
        <v>0</v>
      </c>
      <c r="AM121" s="13">
        <f t="shared" si="242"/>
        <v>0</v>
      </c>
      <c r="AN121" s="13">
        <f t="shared" si="242"/>
        <v>0</v>
      </c>
      <c r="AO121" s="13">
        <f t="shared" si="242"/>
        <v>0</v>
      </c>
      <c r="AP121" s="13">
        <f t="shared" si="242"/>
        <v>0</v>
      </c>
      <c r="AQ121" s="13" t="s">
        <v>939</v>
      </c>
      <c r="AR121" s="13"/>
      <c r="AS121" s="13" t="s">
        <v>940</v>
      </c>
      <c r="AT121" s="13"/>
      <c r="AU121" s="13"/>
      <c r="AV121" s="13"/>
      <c r="AW121" s="13">
        <v>0.0</v>
      </c>
      <c r="AX121" s="13">
        <v>-1.0</v>
      </c>
      <c r="AY121" s="13">
        <v>0.0</v>
      </c>
      <c r="AZ121" s="13"/>
      <c r="BA121" s="13"/>
      <c r="BB121" s="13"/>
      <c r="BC121" s="13"/>
      <c r="BD121" s="13"/>
      <c r="BE121" s="13"/>
      <c r="BF121" s="13"/>
      <c r="BG121" s="13"/>
      <c r="BH121" s="13" t="s">
        <v>79</v>
      </c>
      <c r="BI121" s="13" t="b">
        <v>0</v>
      </c>
      <c r="BJ121" s="13">
        <v>0.0</v>
      </c>
      <c r="BK121" s="13">
        <v>0.0</v>
      </c>
    </row>
    <row r="122" ht="14.25" customHeight="1">
      <c r="A122" s="13">
        <v>120.0</v>
      </c>
      <c r="B122" s="13" t="s">
        <v>44</v>
      </c>
      <c r="C122" s="13">
        <v>2.0</v>
      </c>
      <c r="D122" s="14">
        <v>0.0</v>
      </c>
      <c r="E122" s="13" t="s">
        <v>941</v>
      </c>
      <c r="F122" s="15" t="s">
        <v>942</v>
      </c>
      <c r="G122" s="16" t="s">
        <v>943</v>
      </c>
      <c r="H122" s="13"/>
      <c r="I122" s="13">
        <v>0.9</v>
      </c>
      <c r="J122" s="13" t="s">
        <v>944</v>
      </c>
      <c r="K122" s="13">
        <f t="shared" si="3"/>
        <v>0</v>
      </c>
      <c r="L122" s="13">
        <f t="shared" si="4"/>
        <v>3</v>
      </c>
      <c r="M122" s="13">
        <f t="shared" ref="M122:AA122" si="243">IFERROR(VALUE(RIGHT(LEFT($J122,FIND(M$1,$J122,1)+LEN(M$1)),1)),0)</f>
        <v>0</v>
      </c>
      <c r="N122" s="13">
        <f t="shared" si="243"/>
        <v>0</v>
      </c>
      <c r="O122" s="13">
        <f t="shared" si="243"/>
        <v>0</v>
      </c>
      <c r="P122" s="13">
        <f t="shared" si="243"/>
        <v>0</v>
      </c>
      <c r="Q122" s="13">
        <f t="shared" si="243"/>
        <v>0</v>
      </c>
      <c r="R122" s="13">
        <f t="shared" si="243"/>
        <v>0</v>
      </c>
      <c r="S122" s="13">
        <f t="shared" si="243"/>
        <v>0</v>
      </c>
      <c r="T122" s="13">
        <f t="shared" si="243"/>
        <v>0</v>
      </c>
      <c r="U122" s="13">
        <f t="shared" si="243"/>
        <v>0</v>
      </c>
      <c r="V122" s="13">
        <f t="shared" si="243"/>
        <v>0</v>
      </c>
      <c r="W122" s="13">
        <f t="shared" si="243"/>
        <v>0</v>
      </c>
      <c r="X122" s="13">
        <f t="shared" si="243"/>
        <v>0</v>
      </c>
      <c r="Y122" s="13">
        <f t="shared" si="243"/>
        <v>0</v>
      </c>
      <c r="Z122" s="13">
        <f t="shared" si="243"/>
        <v>0</v>
      </c>
      <c r="AA122" s="13">
        <f t="shared" si="243"/>
        <v>0</v>
      </c>
      <c r="AB122" s="13">
        <f t="shared" ref="AB122:AP122" si="244">IFERROR(VALUE(RIGHT(LEFT($J122,FIND(AB$1,$J122,IF(M122=0,1,FIND(AB$1,$J122,1)+1))+LEN(AB$1)),1)),0)</f>
        <v>1</v>
      </c>
      <c r="AC122" s="13">
        <f t="shared" si="244"/>
        <v>0</v>
      </c>
      <c r="AD122" s="13">
        <f t="shared" si="244"/>
        <v>1</v>
      </c>
      <c r="AE122" s="13">
        <f t="shared" si="244"/>
        <v>0</v>
      </c>
      <c r="AF122" s="13">
        <f t="shared" si="244"/>
        <v>0</v>
      </c>
      <c r="AG122" s="13">
        <f t="shared" si="244"/>
        <v>0</v>
      </c>
      <c r="AH122" s="13">
        <f t="shared" si="244"/>
        <v>1</v>
      </c>
      <c r="AI122" s="13">
        <f t="shared" si="244"/>
        <v>0</v>
      </c>
      <c r="AJ122" s="13">
        <f t="shared" si="244"/>
        <v>0</v>
      </c>
      <c r="AK122" s="13">
        <f t="shared" si="244"/>
        <v>0</v>
      </c>
      <c r="AL122" s="13">
        <f t="shared" si="244"/>
        <v>0</v>
      </c>
      <c r="AM122" s="13">
        <f t="shared" si="244"/>
        <v>0</v>
      </c>
      <c r="AN122" s="13">
        <f t="shared" si="244"/>
        <v>0</v>
      </c>
      <c r="AO122" s="13">
        <f t="shared" si="244"/>
        <v>0</v>
      </c>
      <c r="AP122" s="13">
        <f t="shared" si="244"/>
        <v>0</v>
      </c>
      <c r="AQ122" s="13" t="s">
        <v>945</v>
      </c>
      <c r="AR122" s="13"/>
      <c r="AS122" s="13" t="s">
        <v>946</v>
      </c>
      <c r="AT122" s="13"/>
      <c r="AU122" s="13"/>
      <c r="AV122" s="13"/>
      <c r="AW122" s="13">
        <v>0.0</v>
      </c>
      <c r="AX122" s="13">
        <v>-1.0</v>
      </c>
      <c r="AY122" s="13">
        <v>0.0</v>
      </c>
      <c r="AZ122" s="13"/>
      <c r="BA122" s="13"/>
      <c r="BB122" s="13"/>
      <c r="BC122" s="13"/>
      <c r="BD122" s="13"/>
      <c r="BE122" s="13"/>
      <c r="BF122" s="13"/>
      <c r="BG122" s="13"/>
      <c r="BH122" s="13" t="s">
        <v>79</v>
      </c>
      <c r="BI122" s="13" t="b">
        <v>0</v>
      </c>
      <c r="BJ122" s="13">
        <v>0.0</v>
      </c>
      <c r="BK122" s="13">
        <v>0.0</v>
      </c>
    </row>
    <row r="123" ht="14.25" customHeight="1">
      <c r="A123" s="13">
        <v>121.0</v>
      </c>
      <c r="B123" s="13" t="s">
        <v>44</v>
      </c>
      <c r="C123" s="13">
        <v>2.0</v>
      </c>
      <c r="D123" s="14">
        <v>0.0</v>
      </c>
      <c r="E123" s="13" t="s">
        <v>947</v>
      </c>
      <c r="F123" s="15"/>
      <c r="G123" s="16" t="s">
        <v>948</v>
      </c>
      <c r="H123" s="13"/>
      <c r="I123" s="13">
        <v>1.1</v>
      </c>
      <c r="J123" s="13" t="s">
        <v>949</v>
      </c>
      <c r="K123" s="13">
        <f t="shared" si="3"/>
        <v>0</v>
      </c>
      <c r="L123" s="13">
        <f t="shared" si="4"/>
        <v>3</v>
      </c>
      <c r="M123" s="13">
        <f t="shared" ref="M123:AA123" si="245">IFERROR(VALUE(RIGHT(LEFT($J123,FIND(M$1,$J123,1)+LEN(M$1)),1)),0)</f>
        <v>0</v>
      </c>
      <c r="N123" s="13">
        <f t="shared" si="245"/>
        <v>0</v>
      </c>
      <c r="O123" s="13">
        <f t="shared" si="245"/>
        <v>0</v>
      </c>
      <c r="P123" s="13">
        <f t="shared" si="245"/>
        <v>0</v>
      </c>
      <c r="Q123" s="13">
        <f t="shared" si="245"/>
        <v>0</v>
      </c>
      <c r="R123" s="13">
        <f t="shared" si="245"/>
        <v>0</v>
      </c>
      <c r="S123" s="13">
        <f t="shared" si="245"/>
        <v>0</v>
      </c>
      <c r="T123" s="13">
        <f t="shared" si="245"/>
        <v>0</v>
      </c>
      <c r="U123" s="13">
        <f t="shared" si="245"/>
        <v>0</v>
      </c>
      <c r="V123" s="13">
        <f t="shared" si="245"/>
        <v>0</v>
      </c>
      <c r="W123" s="13">
        <f t="shared" si="245"/>
        <v>0</v>
      </c>
      <c r="X123" s="13">
        <f t="shared" si="245"/>
        <v>0</v>
      </c>
      <c r="Y123" s="13">
        <f t="shared" si="245"/>
        <v>0</v>
      </c>
      <c r="Z123" s="13">
        <f t="shared" si="245"/>
        <v>0</v>
      </c>
      <c r="AA123" s="13">
        <f t="shared" si="245"/>
        <v>0</v>
      </c>
      <c r="AB123" s="13">
        <f t="shared" ref="AB123:AP123" si="246">IFERROR(VALUE(RIGHT(LEFT($J123,FIND(AB$1,$J123,IF(M123=0,1,FIND(AB$1,$J123,1)+1))+LEN(AB$1)),1)),0)</f>
        <v>0</v>
      </c>
      <c r="AC123" s="13">
        <f t="shared" si="246"/>
        <v>1</v>
      </c>
      <c r="AD123" s="13">
        <f t="shared" si="246"/>
        <v>0</v>
      </c>
      <c r="AE123" s="13">
        <f t="shared" si="246"/>
        <v>0</v>
      </c>
      <c r="AF123" s="13">
        <f t="shared" si="246"/>
        <v>0</v>
      </c>
      <c r="AG123" s="13">
        <f t="shared" si="246"/>
        <v>1</v>
      </c>
      <c r="AH123" s="13">
        <f t="shared" si="246"/>
        <v>1</v>
      </c>
      <c r="AI123" s="13">
        <f t="shared" si="246"/>
        <v>0</v>
      </c>
      <c r="AJ123" s="13">
        <f t="shared" si="246"/>
        <v>0</v>
      </c>
      <c r="AK123" s="13">
        <f t="shared" si="246"/>
        <v>0</v>
      </c>
      <c r="AL123" s="13">
        <f t="shared" si="246"/>
        <v>0</v>
      </c>
      <c r="AM123" s="13">
        <f t="shared" si="246"/>
        <v>0</v>
      </c>
      <c r="AN123" s="13">
        <f t="shared" si="246"/>
        <v>0</v>
      </c>
      <c r="AO123" s="13">
        <f t="shared" si="246"/>
        <v>0</v>
      </c>
      <c r="AP123" s="13">
        <f t="shared" si="246"/>
        <v>0</v>
      </c>
      <c r="AQ123" s="13" t="s">
        <v>950</v>
      </c>
      <c r="AR123" s="13"/>
      <c r="AS123" s="13" t="s">
        <v>951</v>
      </c>
      <c r="AT123" s="13"/>
      <c r="AU123" s="13"/>
      <c r="AV123" s="13"/>
      <c r="AW123" s="13">
        <v>0.0</v>
      </c>
      <c r="AX123" s="13">
        <v>-1.0</v>
      </c>
      <c r="AY123" s="13">
        <v>0.0</v>
      </c>
      <c r="AZ123" s="13"/>
      <c r="BA123" s="13"/>
      <c r="BB123" s="13"/>
      <c r="BC123" s="13"/>
      <c r="BD123" s="13"/>
      <c r="BE123" s="13"/>
      <c r="BF123" s="13"/>
      <c r="BG123" s="13"/>
      <c r="BH123" s="13" t="s">
        <v>79</v>
      </c>
      <c r="BI123" s="13" t="b">
        <v>0</v>
      </c>
      <c r="BJ123" s="13">
        <v>0.0</v>
      </c>
      <c r="BK123" s="13">
        <v>0.0</v>
      </c>
    </row>
    <row r="124" ht="14.25" customHeight="1">
      <c r="A124" s="13">
        <v>122.0</v>
      </c>
      <c r="B124" s="13" t="s">
        <v>44</v>
      </c>
      <c r="C124" s="13">
        <v>2.0</v>
      </c>
      <c r="D124" s="14">
        <v>0.0</v>
      </c>
      <c r="E124" s="13" t="s">
        <v>952</v>
      </c>
      <c r="F124" s="15" t="s">
        <v>372</v>
      </c>
      <c r="G124" s="16" t="s">
        <v>953</v>
      </c>
      <c r="H124" s="13"/>
      <c r="I124" s="13">
        <v>1.5</v>
      </c>
      <c r="J124" s="13" t="s">
        <v>954</v>
      </c>
      <c r="K124" s="13">
        <f t="shared" si="3"/>
        <v>0</v>
      </c>
      <c r="L124" s="13">
        <f t="shared" si="4"/>
        <v>3</v>
      </c>
      <c r="M124" s="13">
        <f t="shared" ref="M124:AA124" si="247">IFERROR(VALUE(RIGHT(LEFT($J124,FIND(M$1,$J124,1)+LEN(M$1)),1)),0)</f>
        <v>0</v>
      </c>
      <c r="N124" s="13">
        <f t="shared" si="247"/>
        <v>0</v>
      </c>
      <c r="O124" s="13">
        <f t="shared" si="247"/>
        <v>0</v>
      </c>
      <c r="P124" s="13">
        <f t="shared" si="247"/>
        <v>0</v>
      </c>
      <c r="Q124" s="13">
        <f t="shared" si="247"/>
        <v>0</v>
      </c>
      <c r="R124" s="13">
        <f t="shared" si="247"/>
        <v>0</v>
      </c>
      <c r="S124" s="13">
        <f t="shared" si="247"/>
        <v>0</v>
      </c>
      <c r="T124" s="13">
        <f t="shared" si="247"/>
        <v>0</v>
      </c>
      <c r="U124" s="13">
        <f t="shared" si="247"/>
        <v>0</v>
      </c>
      <c r="V124" s="13">
        <f t="shared" si="247"/>
        <v>0</v>
      </c>
      <c r="W124" s="13">
        <f t="shared" si="247"/>
        <v>0</v>
      </c>
      <c r="X124" s="13">
        <f t="shared" si="247"/>
        <v>0</v>
      </c>
      <c r="Y124" s="13">
        <f t="shared" si="247"/>
        <v>0</v>
      </c>
      <c r="Z124" s="13">
        <f t="shared" si="247"/>
        <v>0</v>
      </c>
      <c r="AA124" s="13">
        <f t="shared" si="247"/>
        <v>0</v>
      </c>
      <c r="AB124" s="13">
        <f t="shared" ref="AB124:AP124" si="248">IFERROR(VALUE(RIGHT(LEFT($J124,FIND(AB$1,$J124,IF(M124=0,1,FIND(AB$1,$J124,1)+1))+LEN(AB$1)),1)),0)</f>
        <v>0</v>
      </c>
      <c r="AC124" s="13">
        <f t="shared" si="248"/>
        <v>0</v>
      </c>
      <c r="AD124" s="13">
        <f t="shared" si="248"/>
        <v>0</v>
      </c>
      <c r="AE124" s="13">
        <f t="shared" si="248"/>
        <v>0</v>
      </c>
      <c r="AF124" s="13">
        <f t="shared" si="248"/>
        <v>0</v>
      </c>
      <c r="AG124" s="13">
        <f t="shared" si="248"/>
        <v>1</v>
      </c>
      <c r="AH124" s="13">
        <f t="shared" si="248"/>
        <v>2</v>
      </c>
      <c r="AI124" s="13">
        <f t="shared" si="248"/>
        <v>0</v>
      </c>
      <c r="AJ124" s="13">
        <f t="shared" si="248"/>
        <v>0</v>
      </c>
      <c r="AK124" s="13">
        <f t="shared" si="248"/>
        <v>0</v>
      </c>
      <c r="AL124" s="13">
        <f t="shared" si="248"/>
        <v>0</v>
      </c>
      <c r="AM124" s="13">
        <f t="shared" si="248"/>
        <v>0</v>
      </c>
      <c r="AN124" s="13">
        <f t="shared" si="248"/>
        <v>0</v>
      </c>
      <c r="AO124" s="13">
        <f t="shared" si="248"/>
        <v>0</v>
      </c>
      <c r="AP124" s="13">
        <f t="shared" si="248"/>
        <v>0</v>
      </c>
      <c r="AQ124" s="13" t="s">
        <v>955</v>
      </c>
      <c r="AR124" s="13"/>
      <c r="AS124" s="13" t="s">
        <v>956</v>
      </c>
      <c r="AT124" s="13"/>
      <c r="AU124" s="13"/>
      <c r="AV124" s="13"/>
      <c r="AW124" s="13">
        <v>0.0</v>
      </c>
      <c r="AX124" s="13">
        <v>-1.0</v>
      </c>
      <c r="AY124" s="13">
        <v>0.0</v>
      </c>
      <c r="AZ124" s="13"/>
      <c r="BA124" s="13"/>
      <c r="BB124" s="13"/>
      <c r="BC124" s="13"/>
      <c r="BD124" s="13"/>
      <c r="BE124" s="13"/>
      <c r="BF124" s="13"/>
      <c r="BG124" s="13"/>
      <c r="BH124" s="13" t="s">
        <v>79</v>
      </c>
      <c r="BI124" s="13" t="b">
        <v>0</v>
      </c>
      <c r="BJ124" s="13">
        <v>0.0</v>
      </c>
      <c r="BK124" s="13">
        <v>0.0</v>
      </c>
    </row>
    <row r="125" ht="14.25" customHeight="1">
      <c r="A125" s="13">
        <v>123.0</v>
      </c>
      <c r="B125" s="13" t="s">
        <v>44</v>
      </c>
      <c r="C125" s="13">
        <v>2.0</v>
      </c>
      <c r="D125" s="14">
        <v>0.0</v>
      </c>
      <c r="E125" s="13" t="s">
        <v>957</v>
      </c>
      <c r="F125" s="15" t="s">
        <v>505</v>
      </c>
      <c r="G125" s="16" t="s">
        <v>958</v>
      </c>
      <c r="H125" s="13"/>
      <c r="I125" s="13">
        <v>0.9</v>
      </c>
      <c r="J125" s="13" t="s">
        <v>959</v>
      </c>
      <c r="K125" s="13">
        <f t="shared" si="3"/>
        <v>0</v>
      </c>
      <c r="L125" s="13">
        <f t="shared" si="4"/>
        <v>3</v>
      </c>
      <c r="M125" s="13">
        <f t="shared" ref="M125:AA125" si="249">IFERROR(VALUE(RIGHT(LEFT($J125,FIND(M$1,$J125,1)+LEN(M$1)),1)),0)</f>
        <v>0</v>
      </c>
      <c r="N125" s="13">
        <f t="shared" si="249"/>
        <v>0</v>
      </c>
      <c r="O125" s="13">
        <f t="shared" si="249"/>
        <v>0</v>
      </c>
      <c r="P125" s="13">
        <f t="shared" si="249"/>
        <v>0</v>
      </c>
      <c r="Q125" s="13">
        <f t="shared" si="249"/>
        <v>0</v>
      </c>
      <c r="R125" s="13">
        <f t="shared" si="249"/>
        <v>0</v>
      </c>
      <c r="S125" s="13">
        <f t="shared" si="249"/>
        <v>0</v>
      </c>
      <c r="T125" s="13">
        <f t="shared" si="249"/>
        <v>0</v>
      </c>
      <c r="U125" s="13">
        <f t="shared" si="249"/>
        <v>0</v>
      </c>
      <c r="V125" s="13">
        <f t="shared" si="249"/>
        <v>0</v>
      </c>
      <c r="W125" s="13">
        <f t="shared" si="249"/>
        <v>0</v>
      </c>
      <c r="X125" s="13">
        <f t="shared" si="249"/>
        <v>0</v>
      </c>
      <c r="Y125" s="13">
        <f t="shared" si="249"/>
        <v>0</v>
      </c>
      <c r="Z125" s="13">
        <f t="shared" si="249"/>
        <v>0</v>
      </c>
      <c r="AA125" s="13">
        <f t="shared" si="249"/>
        <v>0</v>
      </c>
      <c r="AB125" s="13">
        <f t="shared" ref="AB125:AP125" si="250">IFERROR(VALUE(RIGHT(LEFT($J125,FIND(AB$1,$J125,IF(M125=0,1,FIND(AB$1,$J125,1)+1))+LEN(AB$1)),1)),0)</f>
        <v>0</v>
      </c>
      <c r="AC125" s="13">
        <f t="shared" si="250"/>
        <v>0</v>
      </c>
      <c r="AD125" s="13">
        <f t="shared" si="250"/>
        <v>1</v>
      </c>
      <c r="AE125" s="13">
        <f t="shared" si="250"/>
        <v>0</v>
      </c>
      <c r="AF125" s="13">
        <f t="shared" si="250"/>
        <v>0</v>
      </c>
      <c r="AG125" s="13">
        <f t="shared" si="250"/>
        <v>0</v>
      </c>
      <c r="AH125" s="13">
        <f t="shared" si="250"/>
        <v>2</v>
      </c>
      <c r="AI125" s="13">
        <f t="shared" si="250"/>
        <v>0</v>
      </c>
      <c r="AJ125" s="13">
        <f t="shared" si="250"/>
        <v>0</v>
      </c>
      <c r="AK125" s="13">
        <f t="shared" si="250"/>
        <v>0</v>
      </c>
      <c r="AL125" s="13">
        <f t="shared" si="250"/>
        <v>0</v>
      </c>
      <c r="AM125" s="13">
        <f t="shared" si="250"/>
        <v>0</v>
      </c>
      <c r="AN125" s="13">
        <f t="shared" si="250"/>
        <v>0</v>
      </c>
      <c r="AO125" s="13">
        <f t="shared" si="250"/>
        <v>0</v>
      </c>
      <c r="AP125" s="13">
        <f t="shared" si="250"/>
        <v>0</v>
      </c>
      <c r="AQ125" s="13" t="s">
        <v>960</v>
      </c>
      <c r="AR125" s="13"/>
      <c r="AS125" s="13" t="s">
        <v>961</v>
      </c>
      <c r="AT125" s="13"/>
      <c r="AU125" s="13"/>
      <c r="AV125" s="13"/>
      <c r="AW125" s="13">
        <v>0.0</v>
      </c>
      <c r="AX125" s="13">
        <v>-1.0</v>
      </c>
      <c r="AY125" s="13">
        <v>0.0</v>
      </c>
      <c r="AZ125" s="13"/>
      <c r="BA125" s="13"/>
      <c r="BB125" s="13"/>
      <c r="BC125" s="13"/>
      <c r="BD125" s="13"/>
      <c r="BE125" s="13"/>
      <c r="BF125" s="13"/>
      <c r="BG125" s="13"/>
      <c r="BH125" s="13" t="s">
        <v>79</v>
      </c>
      <c r="BI125" s="13" t="b">
        <v>0</v>
      </c>
      <c r="BJ125" s="13">
        <v>0.0</v>
      </c>
      <c r="BK125" s="13">
        <v>0.0</v>
      </c>
    </row>
    <row r="126" ht="14.25" customHeight="1">
      <c r="A126" s="13">
        <v>124.0</v>
      </c>
      <c r="B126" s="13" t="s">
        <v>44</v>
      </c>
      <c r="C126" s="13">
        <v>2.0</v>
      </c>
      <c r="D126" s="14">
        <v>0.0</v>
      </c>
      <c r="E126" s="13" t="s">
        <v>962</v>
      </c>
      <c r="F126" s="15"/>
      <c r="G126" s="16" t="s">
        <v>963</v>
      </c>
      <c r="H126" s="13"/>
      <c r="I126" s="13">
        <v>1.0</v>
      </c>
      <c r="J126" s="13" t="s">
        <v>964</v>
      </c>
      <c r="K126" s="13">
        <f t="shared" si="3"/>
        <v>0</v>
      </c>
      <c r="L126" s="13">
        <f t="shared" si="4"/>
        <v>3</v>
      </c>
      <c r="M126" s="13">
        <f t="shared" ref="M126:AA126" si="251">IFERROR(VALUE(RIGHT(LEFT($J126,FIND(M$1,$J126,1)+LEN(M$1)),1)),0)</f>
        <v>0</v>
      </c>
      <c r="N126" s="13">
        <f t="shared" si="251"/>
        <v>0</v>
      </c>
      <c r="O126" s="13">
        <f t="shared" si="251"/>
        <v>0</v>
      </c>
      <c r="P126" s="13">
        <f t="shared" si="251"/>
        <v>0</v>
      </c>
      <c r="Q126" s="13">
        <f t="shared" si="251"/>
        <v>0</v>
      </c>
      <c r="R126" s="13">
        <f t="shared" si="251"/>
        <v>0</v>
      </c>
      <c r="S126" s="13">
        <f t="shared" si="251"/>
        <v>0</v>
      </c>
      <c r="T126" s="13">
        <f t="shared" si="251"/>
        <v>0</v>
      </c>
      <c r="U126" s="13">
        <f t="shared" si="251"/>
        <v>0</v>
      </c>
      <c r="V126" s="13">
        <f t="shared" si="251"/>
        <v>0</v>
      </c>
      <c r="W126" s="13">
        <f t="shared" si="251"/>
        <v>0</v>
      </c>
      <c r="X126" s="13">
        <f t="shared" si="251"/>
        <v>0</v>
      </c>
      <c r="Y126" s="13">
        <f t="shared" si="251"/>
        <v>0</v>
      </c>
      <c r="Z126" s="13">
        <f t="shared" si="251"/>
        <v>0</v>
      </c>
      <c r="AA126" s="13">
        <f t="shared" si="251"/>
        <v>0</v>
      </c>
      <c r="AB126" s="13">
        <f t="shared" ref="AB126:AP126" si="252">IFERROR(VALUE(RIGHT(LEFT($J126,FIND(AB$1,$J126,IF(M126=0,1,FIND(AB$1,$J126,1)+1))+LEN(AB$1)),1)),0)</f>
        <v>0</v>
      </c>
      <c r="AC126" s="13">
        <f t="shared" si="252"/>
        <v>0</v>
      </c>
      <c r="AD126" s="13">
        <f t="shared" si="252"/>
        <v>0</v>
      </c>
      <c r="AE126" s="13">
        <f t="shared" si="252"/>
        <v>1</v>
      </c>
      <c r="AF126" s="13">
        <f t="shared" si="252"/>
        <v>0</v>
      </c>
      <c r="AG126" s="13">
        <f t="shared" si="252"/>
        <v>0</v>
      </c>
      <c r="AH126" s="13">
        <f t="shared" si="252"/>
        <v>2</v>
      </c>
      <c r="AI126" s="13">
        <f t="shared" si="252"/>
        <v>0</v>
      </c>
      <c r="AJ126" s="13">
        <f t="shared" si="252"/>
        <v>0</v>
      </c>
      <c r="AK126" s="13">
        <f t="shared" si="252"/>
        <v>0</v>
      </c>
      <c r="AL126" s="13">
        <f t="shared" si="252"/>
        <v>0</v>
      </c>
      <c r="AM126" s="13">
        <f t="shared" si="252"/>
        <v>0</v>
      </c>
      <c r="AN126" s="13">
        <f t="shared" si="252"/>
        <v>0</v>
      </c>
      <c r="AO126" s="13">
        <f t="shared" si="252"/>
        <v>0</v>
      </c>
      <c r="AP126" s="13">
        <f t="shared" si="252"/>
        <v>0</v>
      </c>
      <c r="AQ126" s="13" t="s">
        <v>965</v>
      </c>
      <c r="AR126" s="13"/>
      <c r="AS126" s="13" t="s">
        <v>940</v>
      </c>
      <c r="AT126" s="13"/>
      <c r="AU126" s="13"/>
      <c r="AV126" s="13"/>
      <c r="AW126" s="13">
        <v>0.0</v>
      </c>
      <c r="AX126" s="13">
        <v>-1.0</v>
      </c>
      <c r="AY126" s="13">
        <v>0.0</v>
      </c>
      <c r="AZ126" s="13"/>
      <c r="BA126" s="13"/>
      <c r="BB126" s="13"/>
      <c r="BC126" s="13"/>
      <c r="BD126" s="13"/>
      <c r="BE126" s="13"/>
      <c r="BF126" s="13"/>
      <c r="BG126" s="13"/>
      <c r="BH126" s="13" t="s">
        <v>79</v>
      </c>
      <c r="BI126" s="13" t="b">
        <v>0</v>
      </c>
      <c r="BJ126" s="13">
        <v>0.0</v>
      </c>
      <c r="BK126" s="13">
        <v>0.0</v>
      </c>
    </row>
    <row r="127" ht="14.25" customHeight="1">
      <c r="A127" s="13">
        <v>125.0</v>
      </c>
      <c r="B127" s="13" t="s">
        <v>44</v>
      </c>
      <c r="C127" s="13">
        <v>2.0</v>
      </c>
      <c r="D127" s="14">
        <v>0.0</v>
      </c>
      <c r="E127" s="13" t="s">
        <v>966</v>
      </c>
      <c r="F127" s="15"/>
      <c r="G127" s="16" t="s">
        <v>967</v>
      </c>
      <c r="H127" s="13"/>
      <c r="I127" s="13">
        <v>1.0</v>
      </c>
      <c r="J127" s="13" t="s">
        <v>968</v>
      </c>
      <c r="K127" s="13">
        <f t="shared" si="3"/>
        <v>0</v>
      </c>
      <c r="L127" s="13">
        <f t="shared" si="4"/>
        <v>3</v>
      </c>
      <c r="M127" s="13">
        <f t="shared" ref="M127:AA127" si="253">IFERROR(VALUE(RIGHT(LEFT($J127,FIND(M$1,$J127,1)+LEN(M$1)),1)),0)</f>
        <v>0</v>
      </c>
      <c r="N127" s="13">
        <f t="shared" si="253"/>
        <v>0</v>
      </c>
      <c r="O127" s="13">
        <f t="shared" si="253"/>
        <v>0</v>
      </c>
      <c r="P127" s="13">
        <f t="shared" si="253"/>
        <v>0</v>
      </c>
      <c r="Q127" s="13">
        <f t="shared" si="253"/>
        <v>0</v>
      </c>
      <c r="R127" s="13">
        <f t="shared" si="253"/>
        <v>0</v>
      </c>
      <c r="S127" s="13">
        <f t="shared" si="253"/>
        <v>0</v>
      </c>
      <c r="T127" s="13">
        <f t="shared" si="253"/>
        <v>0</v>
      </c>
      <c r="U127" s="13">
        <f t="shared" si="253"/>
        <v>0</v>
      </c>
      <c r="V127" s="13">
        <f t="shared" si="253"/>
        <v>0</v>
      </c>
      <c r="W127" s="13">
        <f t="shared" si="253"/>
        <v>0</v>
      </c>
      <c r="X127" s="13">
        <f t="shared" si="253"/>
        <v>0</v>
      </c>
      <c r="Y127" s="13">
        <f t="shared" si="253"/>
        <v>0</v>
      </c>
      <c r="Z127" s="13">
        <f t="shared" si="253"/>
        <v>0</v>
      </c>
      <c r="AA127" s="13">
        <f t="shared" si="253"/>
        <v>0</v>
      </c>
      <c r="AB127" s="13">
        <f t="shared" ref="AB127:AP127" si="254">IFERROR(VALUE(RIGHT(LEFT($J127,FIND(AB$1,$J127,IF(M127=0,1,FIND(AB$1,$J127,1)+1))+LEN(AB$1)),1)),0)</f>
        <v>1</v>
      </c>
      <c r="AC127" s="13">
        <f t="shared" si="254"/>
        <v>0</v>
      </c>
      <c r="AD127" s="13">
        <f t="shared" si="254"/>
        <v>0</v>
      </c>
      <c r="AE127" s="13">
        <f t="shared" si="254"/>
        <v>0</v>
      </c>
      <c r="AF127" s="13">
        <f t="shared" si="254"/>
        <v>0</v>
      </c>
      <c r="AG127" s="13">
        <f t="shared" si="254"/>
        <v>0</v>
      </c>
      <c r="AH127" s="13">
        <f t="shared" si="254"/>
        <v>2</v>
      </c>
      <c r="AI127" s="13">
        <f t="shared" si="254"/>
        <v>0</v>
      </c>
      <c r="AJ127" s="13">
        <f t="shared" si="254"/>
        <v>0</v>
      </c>
      <c r="AK127" s="13">
        <f t="shared" si="254"/>
        <v>0</v>
      </c>
      <c r="AL127" s="13">
        <f t="shared" si="254"/>
        <v>0</v>
      </c>
      <c r="AM127" s="13">
        <f t="shared" si="254"/>
        <v>0</v>
      </c>
      <c r="AN127" s="13">
        <f t="shared" si="254"/>
        <v>0</v>
      </c>
      <c r="AO127" s="13">
        <f t="shared" si="254"/>
        <v>0</v>
      </c>
      <c r="AP127" s="13">
        <f t="shared" si="254"/>
        <v>0</v>
      </c>
      <c r="AQ127" s="13" t="s">
        <v>969</v>
      </c>
      <c r="AR127" s="13"/>
      <c r="AS127" s="13" t="s">
        <v>970</v>
      </c>
      <c r="AT127" s="13"/>
      <c r="AU127" s="13"/>
      <c r="AV127" s="13"/>
      <c r="AW127" s="13">
        <v>0.0</v>
      </c>
      <c r="AX127" s="13">
        <v>-1.0</v>
      </c>
      <c r="AY127" s="13">
        <v>0.0</v>
      </c>
      <c r="AZ127" s="13"/>
      <c r="BA127" s="13"/>
      <c r="BB127" s="13"/>
      <c r="BC127" s="13"/>
      <c r="BD127" s="13"/>
      <c r="BE127" s="13"/>
      <c r="BF127" s="13"/>
      <c r="BG127" s="13"/>
      <c r="BH127" s="13" t="s">
        <v>79</v>
      </c>
      <c r="BI127" s="13" t="b">
        <v>0</v>
      </c>
      <c r="BJ127" s="13">
        <v>0.0</v>
      </c>
      <c r="BK127" s="13">
        <v>0.0</v>
      </c>
    </row>
    <row r="128" ht="14.25" customHeight="1">
      <c r="A128" s="13">
        <v>126.0</v>
      </c>
      <c r="B128" s="13" t="s">
        <v>44</v>
      </c>
      <c r="C128" s="13">
        <v>2.0</v>
      </c>
      <c r="D128" s="14">
        <v>0.0</v>
      </c>
      <c r="E128" s="13" t="s">
        <v>971</v>
      </c>
      <c r="F128" s="15" t="s">
        <v>340</v>
      </c>
      <c r="G128" s="16" t="s">
        <v>972</v>
      </c>
      <c r="H128" s="13"/>
      <c r="I128" s="13">
        <v>1.0</v>
      </c>
      <c r="J128" s="13" t="s">
        <v>973</v>
      </c>
      <c r="K128" s="13">
        <f t="shared" si="3"/>
        <v>0</v>
      </c>
      <c r="L128" s="13">
        <f t="shared" si="4"/>
        <v>3</v>
      </c>
      <c r="M128" s="13">
        <f t="shared" ref="M128:AA128" si="255">IFERROR(VALUE(RIGHT(LEFT($J128,FIND(M$1,$J128,1)+LEN(M$1)),1)),0)</f>
        <v>0</v>
      </c>
      <c r="N128" s="13">
        <f t="shared" si="255"/>
        <v>0</v>
      </c>
      <c r="O128" s="13">
        <f t="shared" si="255"/>
        <v>0</v>
      </c>
      <c r="P128" s="13">
        <f t="shared" si="255"/>
        <v>0</v>
      </c>
      <c r="Q128" s="13">
        <f t="shared" si="255"/>
        <v>0</v>
      </c>
      <c r="R128" s="13">
        <f t="shared" si="255"/>
        <v>0</v>
      </c>
      <c r="S128" s="13">
        <f t="shared" si="255"/>
        <v>0</v>
      </c>
      <c r="T128" s="13">
        <f t="shared" si="255"/>
        <v>0</v>
      </c>
      <c r="U128" s="13">
        <f t="shared" si="255"/>
        <v>0</v>
      </c>
      <c r="V128" s="13">
        <f t="shared" si="255"/>
        <v>0</v>
      </c>
      <c r="W128" s="13">
        <f t="shared" si="255"/>
        <v>0</v>
      </c>
      <c r="X128" s="13">
        <f t="shared" si="255"/>
        <v>0</v>
      </c>
      <c r="Y128" s="13">
        <f t="shared" si="255"/>
        <v>0</v>
      </c>
      <c r="Z128" s="13">
        <f t="shared" si="255"/>
        <v>0</v>
      </c>
      <c r="AA128" s="13">
        <f t="shared" si="255"/>
        <v>0</v>
      </c>
      <c r="AB128" s="13">
        <f t="shared" ref="AB128:AP128" si="256">IFERROR(VALUE(RIGHT(LEFT($J128,FIND(AB$1,$J128,IF(M128=0,1,FIND(AB$1,$J128,1)+1))+LEN(AB$1)),1)),0)</f>
        <v>0</v>
      </c>
      <c r="AC128" s="13">
        <f t="shared" si="256"/>
        <v>1</v>
      </c>
      <c r="AD128" s="13">
        <f t="shared" si="256"/>
        <v>0</v>
      </c>
      <c r="AE128" s="13">
        <f t="shared" si="256"/>
        <v>0</v>
      </c>
      <c r="AF128" s="13">
        <f t="shared" si="256"/>
        <v>1</v>
      </c>
      <c r="AG128" s="13">
        <f t="shared" si="256"/>
        <v>0</v>
      </c>
      <c r="AH128" s="13">
        <f t="shared" si="256"/>
        <v>1</v>
      </c>
      <c r="AI128" s="13">
        <f t="shared" si="256"/>
        <v>0</v>
      </c>
      <c r="AJ128" s="13">
        <f t="shared" si="256"/>
        <v>0</v>
      </c>
      <c r="AK128" s="13">
        <f t="shared" si="256"/>
        <v>0</v>
      </c>
      <c r="AL128" s="13">
        <f t="shared" si="256"/>
        <v>0</v>
      </c>
      <c r="AM128" s="13">
        <f t="shared" si="256"/>
        <v>0</v>
      </c>
      <c r="AN128" s="13">
        <f t="shared" si="256"/>
        <v>0</v>
      </c>
      <c r="AO128" s="13">
        <f t="shared" si="256"/>
        <v>0</v>
      </c>
      <c r="AP128" s="13">
        <f t="shared" si="256"/>
        <v>0</v>
      </c>
      <c r="AQ128" s="13" t="s">
        <v>974</v>
      </c>
      <c r="AR128" s="13"/>
      <c r="AS128" s="13" t="s">
        <v>975</v>
      </c>
      <c r="AT128" s="13"/>
      <c r="AU128" s="13"/>
      <c r="AV128" s="13"/>
      <c r="AW128" s="13">
        <v>0.0</v>
      </c>
      <c r="AX128" s="13">
        <v>-1.0</v>
      </c>
      <c r="AY128" s="13">
        <v>0.0</v>
      </c>
      <c r="AZ128" s="13"/>
      <c r="BA128" s="13"/>
      <c r="BB128" s="13"/>
      <c r="BC128" s="13"/>
      <c r="BD128" s="13"/>
      <c r="BE128" s="13"/>
      <c r="BF128" s="13"/>
      <c r="BG128" s="13"/>
      <c r="BH128" s="13" t="s">
        <v>79</v>
      </c>
      <c r="BI128" s="13" t="b">
        <v>0</v>
      </c>
      <c r="BJ128" s="13">
        <v>0.0</v>
      </c>
      <c r="BK128" s="13">
        <v>0.0</v>
      </c>
    </row>
    <row r="129" ht="14.25" customHeight="1">
      <c r="A129" s="13">
        <v>127.0</v>
      </c>
      <c r="B129" s="13" t="s">
        <v>45</v>
      </c>
      <c r="C129" s="13">
        <v>2.0</v>
      </c>
      <c r="D129" s="14">
        <v>0.0</v>
      </c>
      <c r="E129" s="13" t="s">
        <v>976</v>
      </c>
      <c r="F129" s="15"/>
      <c r="G129" s="16" t="s">
        <v>977</v>
      </c>
      <c r="H129" s="13"/>
      <c r="I129" s="13">
        <v>1.1</v>
      </c>
      <c r="J129" s="13" t="s">
        <v>978</v>
      </c>
      <c r="K129" s="13">
        <f t="shared" si="3"/>
        <v>0</v>
      </c>
      <c r="L129" s="13">
        <f t="shared" si="4"/>
        <v>3</v>
      </c>
      <c r="M129" s="13">
        <f t="shared" ref="M129:AA129" si="257">IFERROR(VALUE(RIGHT(LEFT($J129,FIND(M$1,$J129,1)+LEN(M$1)),1)),0)</f>
        <v>0</v>
      </c>
      <c r="N129" s="13">
        <f t="shared" si="257"/>
        <v>0</v>
      </c>
      <c r="O129" s="13">
        <f t="shared" si="257"/>
        <v>0</v>
      </c>
      <c r="P129" s="13">
        <f t="shared" si="257"/>
        <v>0</v>
      </c>
      <c r="Q129" s="13">
        <f t="shared" si="257"/>
        <v>0</v>
      </c>
      <c r="R129" s="13">
        <f t="shared" si="257"/>
        <v>0</v>
      </c>
      <c r="S129" s="13">
        <f t="shared" si="257"/>
        <v>0</v>
      </c>
      <c r="T129" s="13">
        <f t="shared" si="257"/>
        <v>0</v>
      </c>
      <c r="U129" s="13">
        <f t="shared" si="257"/>
        <v>0</v>
      </c>
      <c r="V129" s="13">
        <f t="shared" si="257"/>
        <v>0</v>
      </c>
      <c r="W129" s="13">
        <f t="shared" si="257"/>
        <v>0</v>
      </c>
      <c r="X129" s="13">
        <f t="shared" si="257"/>
        <v>0</v>
      </c>
      <c r="Y129" s="13">
        <f t="shared" si="257"/>
        <v>0</v>
      </c>
      <c r="Z129" s="13">
        <f t="shared" si="257"/>
        <v>0</v>
      </c>
      <c r="AA129" s="13">
        <f t="shared" si="257"/>
        <v>0</v>
      </c>
      <c r="AB129" s="13">
        <f t="shared" ref="AB129:AP129" si="258">IFERROR(VALUE(RIGHT(LEFT($J129,FIND(AB$1,$J129,IF(M129=0,1,FIND(AB$1,$J129,1)+1))+LEN(AB$1)),1)),0)</f>
        <v>0</v>
      </c>
      <c r="AC129" s="13">
        <f t="shared" si="258"/>
        <v>1</v>
      </c>
      <c r="AD129" s="13">
        <f t="shared" si="258"/>
        <v>0</v>
      </c>
      <c r="AE129" s="13">
        <f t="shared" si="258"/>
        <v>0</v>
      </c>
      <c r="AF129" s="13">
        <f t="shared" si="258"/>
        <v>0</v>
      </c>
      <c r="AG129" s="13">
        <f t="shared" si="258"/>
        <v>0</v>
      </c>
      <c r="AH129" s="13">
        <f t="shared" si="258"/>
        <v>0</v>
      </c>
      <c r="AI129" s="13">
        <f t="shared" si="258"/>
        <v>2</v>
      </c>
      <c r="AJ129" s="13">
        <f t="shared" si="258"/>
        <v>0</v>
      </c>
      <c r="AK129" s="13">
        <f t="shared" si="258"/>
        <v>0</v>
      </c>
      <c r="AL129" s="13">
        <f t="shared" si="258"/>
        <v>0</v>
      </c>
      <c r="AM129" s="13">
        <f t="shared" si="258"/>
        <v>0</v>
      </c>
      <c r="AN129" s="13">
        <f t="shared" si="258"/>
        <v>0</v>
      </c>
      <c r="AO129" s="13">
        <f t="shared" si="258"/>
        <v>0</v>
      </c>
      <c r="AP129" s="13">
        <f t="shared" si="258"/>
        <v>0</v>
      </c>
      <c r="AQ129" s="13" t="s">
        <v>979</v>
      </c>
      <c r="AR129" s="13"/>
      <c r="AS129" s="13" t="s">
        <v>980</v>
      </c>
      <c r="AT129" s="13"/>
      <c r="AU129" s="13"/>
      <c r="AV129" s="13"/>
      <c r="AW129" s="13">
        <v>0.0</v>
      </c>
      <c r="AX129" s="13">
        <v>-1.0</v>
      </c>
      <c r="AY129" s="13">
        <v>0.0</v>
      </c>
      <c r="AZ129" s="13"/>
      <c r="BA129" s="13"/>
      <c r="BB129" s="13"/>
      <c r="BC129" s="13"/>
      <c r="BD129" s="13"/>
      <c r="BE129" s="13"/>
      <c r="BF129" s="13"/>
      <c r="BG129" s="13"/>
      <c r="BH129" s="13" t="s">
        <v>79</v>
      </c>
      <c r="BI129" s="13" t="b">
        <v>0</v>
      </c>
      <c r="BJ129" s="13">
        <v>0.0</v>
      </c>
      <c r="BK129" s="13">
        <v>0.0</v>
      </c>
    </row>
    <row r="130" ht="14.25" customHeight="1">
      <c r="A130" s="13">
        <v>128.0</v>
      </c>
      <c r="B130" s="13" t="s">
        <v>45</v>
      </c>
      <c r="C130" s="13">
        <v>2.0</v>
      </c>
      <c r="D130" s="14">
        <v>0.0</v>
      </c>
      <c r="E130" s="13" t="s">
        <v>981</v>
      </c>
      <c r="F130" s="15" t="s">
        <v>982</v>
      </c>
      <c r="G130" s="16" t="s">
        <v>983</v>
      </c>
      <c r="H130" s="13"/>
      <c r="I130" s="13">
        <v>0.9</v>
      </c>
      <c r="J130" s="13" t="s">
        <v>984</v>
      </c>
      <c r="K130" s="13">
        <f t="shared" si="3"/>
        <v>0</v>
      </c>
      <c r="L130" s="13">
        <f t="shared" si="4"/>
        <v>3</v>
      </c>
      <c r="M130" s="13">
        <f t="shared" ref="M130:AA130" si="259">IFERROR(VALUE(RIGHT(LEFT($J130,FIND(M$1,$J130,1)+LEN(M$1)),1)),0)</f>
        <v>0</v>
      </c>
      <c r="N130" s="13">
        <f t="shared" si="259"/>
        <v>0</v>
      </c>
      <c r="O130" s="13">
        <f t="shared" si="259"/>
        <v>0</v>
      </c>
      <c r="P130" s="13">
        <f t="shared" si="259"/>
        <v>0</v>
      </c>
      <c r="Q130" s="13">
        <f t="shared" si="259"/>
        <v>0</v>
      </c>
      <c r="R130" s="13">
        <f t="shared" si="259"/>
        <v>0</v>
      </c>
      <c r="S130" s="13">
        <f t="shared" si="259"/>
        <v>0</v>
      </c>
      <c r="T130" s="13">
        <f t="shared" si="259"/>
        <v>0</v>
      </c>
      <c r="U130" s="13">
        <f t="shared" si="259"/>
        <v>0</v>
      </c>
      <c r="V130" s="13">
        <f t="shared" si="259"/>
        <v>0</v>
      </c>
      <c r="W130" s="13">
        <f t="shared" si="259"/>
        <v>0</v>
      </c>
      <c r="X130" s="13">
        <f t="shared" si="259"/>
        <v>0</v>
      </c>
      <c r="Y130" s="13">
        <f t="shared" si="259"/>
        <v>0</v>
      </c>
      <c r="Z130" s="13">
        <f t="shared" si="259"/>
        <v>0</v>
      </c>
      <c r="AA130" s="13">
        <f t="shared" si="259"/>
        <v>0</v>
      </c>
      <c r="AB130" s="13">
        <f t="shared" ref="AB130:AP130" si="260">IFERROR(VALUE(RIGHT(LEFT($J130,FIND(AB$1,$J130,IF(M130=0,1,FIND(AB$1,$J130,1)+1))+LEN(AB$1)),1)),0)</f>
        <v>0</v>
      </c>
      <c r="AC130" s="13">
        <f t="shared" si="260"/>
        <v>1</v>
      </c>
      <c r="AD130" s="13">
        <f t="shared" si="260"/>
        <v>0</v>
      </c>
      <c r="AE130" s="13">
        <f t="shared" si="260"/>
        <v>0</v>
      </c>
      <c r="AF130" s="13">
        <f t="shared" si="260"/>
        <v>1</v>
      </c>
      <c r="AG130" s="13">
        <f t="shared" si="260"/>
        <v>0</v>
      </c>
      <c r="AH130" s="13">
        <f t="shared" si="260"/>
        <v>0</v>
      </c>
      <c r="AI130" s="13">
        <f t="shared" si="260"/>
        <v>1</v>
      </c>
      <c r="AJ130" s="13">
        <f t="shared" si="260"/>
        <v>0</v>
      </c>
      <c r="AK130" s="13">
        <f t="shared" si="260"/>
        <v>0</v>
      </c>
      <c r="AL130" s="13">
        <f t="shared" si="260"/>
        <v>0</v>
      </c>
      <c r="AM130" s="13">
        <f t="shared" si="260"/>
        <v>0</v>
      </c>
      <c r="AN130" s="13">
        <f t="shared" si="260"/>
        <v>0</v>
      </c>
      <c r="AO130" s="13">
        <f t="shared" si="260"/>
        <v>0</v>
      </c>
      <c r="AP130" s="13">
        <f t="shared" si="260"/>
        <v>0</v>
      </c>
      <c r="AQ130" s="13" t="s">
        <v>985</v>
      </c>
      <c r="AR130" s="13"/>
      <c r="AS130" s="13" t="s">
        <v>986</v>
      </c>
      <c r="AT130" s="13"/>
      <c r="AU130" s="13"/>
      <c r="AV130" s="13"/>
      <c r="AW130" s="13">
        <v>0.0</v>
      </c>
      <c r="AX130" s="13">
        <v>-1.0</v>
      </c>
      <c r="AY130" s="13">
        <v>0.0</v>
      </c>
      <c r="AZ130" s="13"/>
      <c r="BA130" s="13"/>
      <c r="BB130" s="13"/>
      <c r="BC130" s="13"/>
      <c r="BD130" s="13"/>
      <c r="BE130" s="13"/>
      <c r="BF130" s="13"/>
      <c r="BG130" s="13"/>
      <c r="BH130" s="13" t="s">
        <v>79</v>
      </c>
      <c r="BI130" s="13" t="b">
        <v>0</v>
      </c>
      <c r="BJ130" s="13">
        <v>0.0</v>
      </c>
      <c r="BK130" s="13">
        <v>0.0</v>
      </c>
    </row>
    <row r="131" ht="14.25" customHeight="1">
      <c r="A131" s="13">
        <v>129.0</v>
      </c>
      <c r="B131" s="13" t="s">
        <v>45</v>
      </c>
      <c r="C131" s="13">
        <v>2.0</v>
      </c>
      <c r="D131" s="14">
        <v>0.0</v>
      </c>
      <c r="E131" s="13" t="s">
        <v>987</v>
      </c>
      <c r="F131" s="15" t="s">
        <v>413</v>
      </c>
      <c r="G131" s="16" t="s">
        <v>988</v>
      </c>
      <c r="H131" s="13"/>
      <c r="I131" s="13">
        <v>1.0</v>
      </c>
      <c r="J131" s="13" t="s">
        <v>989</v>
      </c>
      <c r="K131" s="13">
        <f t="shared" si="3"/>
        <v>0</v>
      </c>
      <c r="L131" s="13">
        <f t="shared" si="4"/>
        <v>3</v>
      </c>
      <c r="M131" s="13">
        <f t="shared" ref="M131:AA131" si="261">IFERROR(VALUE(RIGHT(LEFT($J131,FIND(M$1,$J131,1)+LEN(M$1)),1)),0)</f>
        <v>0</v>
      </c>
      <c r="N131" s="13">
        <f t="shared" si="261"/>
        <v>0</v>
      </c>
      <c r="O131" s="13">
        <f t="shared" si="261"/>
        <v>0</v>
      </c>
      <c r="P131" s="13">
        <f t="shared" si="261"/>
        <v>0</v>
      </c>
      <c r="Q131" s="13">
        <f t="shared" si="261"/>
        <v>0</v>
      </c>
      <c r="R131" s="13">
        <f t="shared" si="261"/>
        <v>0</v>
      </c>
      <c r="S131" s="13">
        <f t="shared" si="261"/>
        <v>0</v>
      </c>
      <c r="T131" s="13">
        <f t="shared" si="261"/>
        <v>0</v>
      </c>
      <c r="U131" s="13">
        <f t="shared" si="261"/>
        <v>0</v>
      </c>
      <c r="V131" s="13">
        <f t="shared" si="261"/>
        <v>0</v>
      </c>
      <c r="W131" s="13">
        <f t="shared" si="261"/>
        <v>0</v>
      </c>
      <c r="X131" s="13">
        <f t="shared" si="261"/>
        <v>0</v>
      </c>
      <c r="Y131" s="13">
        <f t="shared" si="261"/>
        <v>0</v>
      </c>
      <c r="Z131" s="13">
        <f t="shared" si="261"/>
        <v>0</v>
      </c>
      <c r="AA131" s="13">
        <f t="shared" si="261"/>
        <v>0</v>
      </c>
      <c r="AB131" s="13">
        <f t="shared" ref="AB131:AP131" si="262">IFERROR(VALUE(RIGHT(LEFT($J131,FIND(AB$1,$J131,IF(M131=0,1,FIND(AB$1,$J131,1)+1))+LEN(AB$1)),1)),0)</f>
        <v>0</v>
      </c>
      <c r="AC131" s="13">
        <f t="shared" si="262"/>
        <v>1</v>
      </c>
      <c r="AD131" s="13">
        <f t="shared" si="262"/>
        <v>0</v>
      </c>
      <c r="AE131" s="13">
        <f t="shared" si="262"/>
        <v>0</v>
      </c>
      <c r="AF131" s="13">
        <f t="shared" si="262"/>
        <v>0</v>
      </c>
      <c r="AG131" s="13">
        <f t="shared" si="262"/>
        <v>1</v>
      </c>
      <c r="AH131" s="13">
        <f t="shared" si="262"/>
        <v>0</v>
      </c>
      <c r="AI131" s="13">
        <f t="shared" si="262"/>
        <v>1</v>
      </c>
      <c r="AJ131" s="13">
        <f t="shared" si="262"/>
        <v>0</v>
      </c>
      <c r="AK131" s="13">
        <f t="shared" si="262"/>
        <v>0</v>
      </c>
      <c r="AL131" s="13">
        <f t="shared" si="262"/>
        <v>0</v>
      </c>
      <c r="AM131" s="13">
        <f t="shared" si="262"/>
        <v>0</v>
      </c>
      <c r="AN131" s="13">
        <f t="shared" si="262"/>
        <v>0</v>
      </c>
      <c r="AO131" s="13">
        <f t="shared" si="262"/>
        <v>0</v>
      </c>
      <c r="AP131" s="13">
        <f t="shared" si="262"/>
        <v>0</v>
      </c>
      <c r="AQ131" s="13" t="s">
        <v>990</v>
      </c>
      <c r="AR131" s="13"/>
      <c r="AS131" s="13" t="s">
        <v>991</v>
      </c>
      <c r="AT131" s="13"/>
      <c r="AU131" s="13"/>
      <c r="AV131" s="13"/>
      <c r="AW131" s="13">
        <v>0.0</v>
      </c>
      <c r="AX131" s="13">
        <v>-1.0</v>
      </c>
      <c r="AY131" s="13">
        <v>0.0</v>
      </c>
      <c r="AZ131" s="13"/>
      <c r="BA131" s="13"/>
      <c r="BB131" s="13"/>
      <c r="BC131" s="13"/>
      <c r="BD131" s="13"/>
      <c r="BE131" s="13"/>
      <c r="BF131" s="13"/>
      <c r="BG131" s="13"/>
      <c r="BH131" s="13" t="s">
        <v>79</v>
      </c>
      <c r="BI131" s="13" t="b">
        <v>0</v>
      </c>
      <c r="BJ131" s="13">
        <v>0.0</v>
      </c>
      <c r="BK131" s="13">
        <v>0.0</v>
      </c>
    </row>
    <row r="132" ht="14.25" customHeight="1">
      <c r="A132" s="13">
        <v>130.0</v>
      </c>
      <c r="B132" s="13" t="s">
        <v>45</v>
      </c>
      <c r="C132" s="13">
        <v>2.0</v>
      </c>
      <c r="D132" s="14">
        <v>0.0</v>
      </c>
      <c r="E132" s="13" t="s">
        <v>992</v>
      </c>
      <c r="F132" s="15"/>
      <c r="G132" s="16" t="s">
        <v>993</v>
      </c>
      <c r="H132" s="13"/>
      <c r="I132" s="13">
        <v>0.9</v>
      </c>
      <c r="J132" s="13" t="s">
        <v>994</v>
      </c>
      <c r="K132" s="13">
        <f t="shared" si="3"/>
        <v>0</v>
      </c>
      <c r="L132" s="13">
        <f t="shared" si="4"/>
        <v>3</v>
      </c>
      <c r="M132" s="13">
        <f t="shared" ref="M132:AA132" si="263">IFERROR(VALUE(RIGHT(LEFT($J132,FIND(M$1,$J132,1)+LEN(M$1)),1)),0)</f>
        <v>0</v>
      </c>
      <c r="N132" s="13">
        <f t="shared" si="263"/>
        <v>0</v>
      </c>
      <c r="O132" s="13">
        <f t="shared" si="263"/>
        <v>0</v>
      </c>
      <c r="P132" s="13">
        <f t="shared" si="263"/>
        <v>0</v>
      </c>
      <c r="Q132" s="13">
        <f t="shared" si="263"/>
        <v>0</v>
      </c>
      <c r="R132" s="13">
        <f t="shared" si="263"/>
        <v>0</v>
      </c>
      <c r="S132" s="13">
        <f t="shared" si="263"/>
        <v>0</v>
      </c>
      <c r="T132" s="13">
        <f t="shared" si="263"/>
        <v>0</v>
      </c>
      <c r="U132" s="13">
        <f t="shared" si="263"/>
        <v>0</v>
      </c>
      <c r="V132" s="13">
        <f t="shared" si="263"/>
        <v>0</v>
      </c>
      <c r="W132" s="13">
        <f t="shared" si="263"/>
        <v>0</v>
      </c>
      <c r="X132" s="13">
        <f t="shared" si="263"/>
        <v>0</v>
      </c>
      <c r="Y132" s="13">
        <f t="shared" si="263"/>
        <v>0</v>
      </c>
      <c r="Z132" s="13">
        <f t="shared" si="263"/>
        <v>0</v>
      </c>
      <c r="AA132" s="13">
        <f t="shared" si="263"/>
        <v>0</v>
      </c>
      <c r="AB132" s="13">
        <f t="shared" ref="AB132:AP132" si="264">IFERROR(VALUE(RIGHT(LEFT($J132,FIND(AB$1,$J132,IF(M132=0,1,FIND(AB$1,$J132,1)+1))+LEN(AB$1)),1)),0)</f>
        <v>1</v>
      </c>
      <c r="AC132" s="13">
        <f t="shared" si="264"/>
        <v>0</v>
      </c>
      <c r="AD132" s="13">
        <f t="shared" si="264"/>
        <v>0</v>
      </c>
      <c r="AE132" s="13">
        <f t="shared" si="264"/>
        <v>0</v>
      </c>
      <c r="AF132" s="13">
        <f t="shared" si="264"/>
        <v>1</v>
      </c>
      <c r="AG132" s="13">
        <f t="shared" si="264"/>
        <v>0</v>
      </c>
      <c r="AH132" s="13">
        <f t="shared" si="264"/>
        <v>0</v>
      </c>
      <c r="AI132" s="13">
        <f t="shared" si="264"/>
        <v>1</v>
      </c>
      <c r="AJ132" s="13">
        <f t="shared" si="264"/>
        <v>0</v>
      </c>
      <c r="AK132" s="13">
        <f t="shared" si="264"/>
        <v>0</v>
      </c>
      <c r="AL132" s="13">
        <f t="shared" si="264"/>
        <v>0</v>
      </c>
      <c r="AM132" s="13">
        <f t="shared" si="264"/>
        <v>0</v>
      </c>
      <c r="AN132" s="13">
        <f t="shared" si="264"/>
        <v>0</v>
      </c>
      <c r="AO132" s="13">
        <f t="shared" si="264"/>
        <v>0</v>
      </c>
      <c r="AP132" s="13">
        <f t="shared" si="264"/>
        <v>0</v>
      </c>
      <c r="AQ132" s="13" t="s">
        <v>995</v>
      </c>
      <c r="AR132" s="13"/>
      <c r="AS132" s="13" t="s">
        <v>996</v>
      </c>
      <c r="AT132" s="13"/>
      <c r="AU132" s="13"/>
      <c r="AV132" s="13"/>
      <c r="AW132" s="13">
        <v>0.0</v>
      </c>
      <c r="AX132" s="13">
        <v>-1.0</v>
      </c>
      <c r="AY132" s="13">
        <v>0.0</v>
      </c>
      <c r="AZ132" s="13"/>
      <c r="BA132" s="13"/>
      <c r="BB132" s="13"/>
      <c r="BC132" s="13"/>
      <c r="BD132" s="13"/>
      <c r="BE132" s="13"/>
      <c r="BF132" s="13"/>
      <c r="BG132" s="13"/>
      <c r="BH132" s="13" t="s">
        <v>79</v>
      </c>
      <c r="BI132" s="13" t="b">
        <v>0</v>
      </c>
      <c r="BJ132" s="13">
        <v>0.0</v>
      </c>
      <c r="BK132" s="13">
        <v>0.0</v>
      </c>
    </row>
    <row r="133" ht="14.25" customHeight="1">
      <c r="A133" s="13">
        <v>131.0</v>
      </c>
      <c r="B133" s="13" t="s">
        <v>45</v>
      </c>
      <c r="C133" s="13">
        <v>2.0</v>
      </c>
      <c r="D133" s="14">
        <v>0.0</v>
      </c>
      <c r="E133" s="13" t="s">
        <v>997</v>
      </c>
      <c r="F133" s="15"/>
      <c r="G133" s="16" t="s">
        <v>998</v>
      </c>
      <c r="H133" s="13"/>
      <c r="I133" s="13">
        <v>1.0</v>
      </c>
      <c r="J133" s="13" t="s">
        <v>999</v>
      </c>
      <c r="K133" s="13">
        <f t="shared" si="3"/>
        <v>0</v>
      </c>
      <c r="L133" s="13">
        <f t="shared" si="4"/>
        <v>3</v>
      </c>
      <c r="M133" s="13">
        <f t="shared" ref="M133:AA133" si="265">IFERROR(VALUE(RIGHT(LEFT($J133,FIND(M$1,$J133,1)+LEN(M$1)),1)),0)</f>
        <v>0</v>
      </c>
      <c r="N133" s="13">
        <f t="shared" si="265"/>
        <v>0</v>
      </c>
      <c r="O133" s="13">
        <f t="shared" si="265"/>
        <v>0</v>
      </c>
      <c r="P133" s="13">
        <f t="shared" si="265"/>
        <v>0</v>
      </c>
      <c r="Q133" s="13">
        <f t="shared" si="265"/>
        <v>0</v>
      </c>
      <c r="R133" s="13">
        <f t="shared" si="265"/>
        <v>0</v>
      </c>
      <c r="S133" s="13">
        <f t="shared" si="265"/>
        <v>0</v>
      </c>
      <c r="T133" s="13">
        <f t="shared" si="265"/>
        <v>0</v>
      </c>
      <c r="U133" s="13">
        <f t="shared" si="265"/>
        <v>0</v>
      </c>
      <c r="V133" s="13">
        <f t="shared" si="265"/>
        <v>0</v>
      </c>
      <c r="W133" s="13">
        <f t="shared" si="265"/>
        <v>0</v>
      </c>
      <c r="X133" s="13">
        <f t="shared" si="265"/>
        <v>0</v>
      </c>
      <c r="Y133" s="13">
        <f t="shared" si="265"/>
        <v>0</v>
      </c>
      <c r="Z133" s="13">
        <f t="shared" si="265"/>
        <v>0</v>
      </c>
      <c r="AA133" s="13">
        <f t="shared" si="265"/>
        <v>0</v>
      </c>
      <c r="AB133" s="13">
        <f t="shared" ref="AB133:AP133" si="266">IFERROR(VALUE(RIGHT(LEFT($J133,FIND(AB$1,$J133,IF(M133=0,1,FIND(AB$1,$J133,1)+1))+LEN(AB$1)),1)),0)</f>
        <v>0</v>
      </c>
      <c r="AC133" s="13">
        <f t="shared" si="266"/>
        <v>0</v>
      </c>
      <c r="AD133" s="13">
        <f t="shared" si="266"/>
        <v>0</v>
      </c>
      <c r="AE133" s="13">
        <f t="shared" si="266"/>
        <v>0</v>
      </c>
      <c r="AF133" s="13">
        <f t="shared" si="266"/>
        <v>0</v>
      </c>
      <c r="AG133" s="13">
        <f t="shared" si="266"/>
        <v>2</v>
      </c>
      <c r="AH133" s="13">
        <f t="shared" si="266"/>
        <v>0</v>
      </c>
      <c r="AI133" s="13">
        <f t="shared" si="266"/>
        <v>1</v>
      </c>
      <c r="AJ133" s="13">
        <f t="shared" si="266"/>
        <v>0</v>
      </c>
      <c r="AK133" s="13">
        <f t="shared" si="266"/>
        <v>0</v>
      </c>
      <c r="AL133" s="13">
        <f t="shared" si="266"/>
        <v>0</v>
      </c>
      <c r="AM133" s="13">
        <f t="shared" si="266"/>
        <v>0</v>
      </c>
      <c r="AN133" s="13">
        <f t="shared" si="266"/>
        <v>0</v>
      </c>
      <c r="AO133" s="13">
        <f t="shared" si="266"/>
        <v>0</v>
      </c>
      <c r="AP133" s="13">
        <f t="shared" si="266"/>
        <v>0</v>
      </c>
      <c r="AQ133" s="13" t="s">
        <v>1000</v>
      </c>
      <c r="AR133" s="13"/>
      <c r="AS133" s="13" t="s">
        <v>1001</v>
      </c>
      <c r="AT133" s="13"/>
      <c r="AU133" s="13"/>
      <c r="AV133" s="13"/>
      <c r="AW133" s="13">
        <v>0.0</v>
      </c>
      <c r="AX133" s="13">
        <v>-1.0</v>
      </c>
      <c r="AY133" s="13">
        <v>0.0</v>
      </c>
      <c r="AZ133" s="13"/>
      <c r="BA133" s="13"/>
      <c r="BB133" s="13"/>
      <c r="BC133" s="13"/>
      <c r="BD133" s="13"/>
      <c r="BE133" s="13"/>
      <c r="BF133" s="13"/>
      <c r="BG133" s="13"/>
      <c r="BH133" s="13" t="s">
        <v>79</v>
      </c>
      <c r="BI133" s="13" t="b">
        <v>0</v>
      </c>
      <c r="BJ133" s="13">
        <v>0.0</v>
      </c>
      <c r="BK133" s="13">
        <v>0.0</v>
      </c>
    </row>
    <row r="134" ht="14.25" customHeight="1">
      <c r="A134" s="13">
        <v>132.0</v>
      </c>
      <c r="B134" s="13" t="s">
        <v>45</v>
      </c>
      <c r="C134" s="13">
        <v>2.0</v>
      </c>
      <c r="D134" s="14">
        <v>0.0</v>
      </c>
      <c r="E134" s="13" t="s">
        <v>1002</v>
      </c>
      <c r="F134" s="15" t="s">
        <v>1003</v>
      </c>
      <c r="G134" s="16" t="s">
        <v>1004</v>
      </c>
      <c r="H134" s="13"/>
      <c r="I134" s="13">
        <v>1.0</v>
      </c>
      <c r="J134" s="13" t="s">
        <v>1005</v>
      </c>
      <c r="K134" s="13">
        <f t="shared" si="3"/>
        <v>0</v>
      </c>
      <c r="L134" s="13">
        <f t="shared" si="4"/>
        <v>3</v>
      </c>
      <c r="M134" s="13">
        <f t="shared" ref="M134:AA134" si="267">IFERROR(VALUE(RIGHT(LEFT($J134,FIND(M$1,$J134,1)+LEN(M$1)),1)),0)</f>
        <v>0</v>
      </c>
      <c r="N134" s="13">
        <f t="shared" si="267"/>
        <v>0</v>
      </c>
      <c r="O134" s="13">
        <f t="shared" si="267"/>
        <v>0</v>
      </c>
      <c r="P134" s="13">
        <f t="shared" si="267"/>
        <v>0</v>
      </c>
      <c r="Q134" s="13">
        <f t="shared" si="267"/>
        <v>0</v>
      </c>
      <c r="R134" s="13">
        <f t="shared" si="267"/>
        <v>0</v>
      </c>
      <c r="S134" s="13">
        <f t="shared" si="267"/>
        <v>0</v>
      </c>
      <c r="T134" s="13">
        <f t="shared" si="267"/>
        <v>0</v>
      </c>
      <c r="U134" s="13">
        <f t="shared" si="267"/>
        <v>0</v>
      </c>
      <c r="V134" s="13">
        <f t="shared" si="267"/>
        <v>0</v>
      </c>
      <c r="W134" s="13">
        <f t="shared" si="267"/>
        <v>0</v>
      </c>
      <c r="X134" s="13">
        <f t="shared" si="267"/>
        <v>0</v>
      </c>
      <c r="Y134" s="13">
        <f t="shared" si="267"/>
        <v>0</v>
      </c>
      <c r="Z134" s="13">
        <f t="shared" si="267"/>
        <v>0</v>
      </c>
      <c r="AA134" s="13">
        <f t="shared" si="267"/>
        <v>0</v>
      </c>
      <c r="AB134" s="13">
        <f t="shared" ref="AB134:AP134" si="268">IFERROR(VALUE(RIGHT(LEFT($J134,FIND(AB$1,$J134,IF(M134=0,1,FIND(AB$1,$J134,1)+1))+LEN(AB$1)),1)),0)</f>
        <v>1</v>
      </c>
      <c r="AC134" s="13">
        <f t="shared" si="268"/>
        <v>0</v>
      </c>
      <c r="AD134" s="13">
        <f t="shared" si="268"/>
        <v>0</v>
      </c>
      <c r="AE134" s="13">
        <f t="shared" si="268"/>
        <v>1</v>
      </c>
      <c r="AF134" s="13">
        <f t="shared" si="268"/>
        <v>0</v>
      </c>
      <c r="AG134" s="13">
        <f t="shared" si="268"/>
        <v>0</v>
      </c>
      <c r="AH134" s="13">
        <f t="shared" si="268"/>
        <v>0</v>
      </c>
      <c r="AI134" s="13">
        <f t="shared" si="268"/>
        <v>1</v>
      </c>
      <c r="AJ134" s="13">
        <f t="shared" si="268"/>
        <v>0</v>
      </c>
      <c r="AK134" s="13">
        <f t="shared" si="268"/>
        <v>0</v>
      </c>
      <c r="AL134" s="13">
        <f t="shared" si="268"/>
        <v>0</v>
      </c>
      <c r="AM134" s="13">
        <f t="shared" si="268"/>
        <v>0</v>
      </c>
      <c r="AN134" s="13">
        <f t="shared" si="268"/>
        <v>0</v>
      </c>
      <c r="AO134" s="13">
        <f t="shared" si="268"/>
        <v>0</v>
      </c>
      <c r="AP134" s="13">
        <f t="shared" si="268"/>
        <v>0</v>
      </c>
      <c r="AQ134" s="13" t="s">
        <v>1006</v>
      </c>
      <c r="AR134" s="13"/>
      <c r="AS134" s="13" t="s">
        <v>1007</v>
      </c>
      <c r="AT134" s="13"/>
      <c r="AU134" s="13"/>
      <c r="AV134" s="13"/>
      <c r="AW134" s="13">
        <v>0.0</v>
      </c>
      <c r="AX134" s="13">
        <v>-1.0</v>
      </c>
      <c r="AY134" s="13">
        <v>0.0</v>
      </c>
      <c r="AZ134" s="13"/>
      <c r="BA134" s="13"/>
      <c r="BB134" s="13"/>
      <c r="BC134" s="13"/>
      <c r="BD134" s="13"/>
      <c r="BE134" s="13"/>
      <c r="BF134" s="13"/>
      <c r="BG134" s="13"/>
      <c r="BH134" s="13" t="s">
        <v>79</v>
      </c>
      <c r="BI134" s="13" t="b">
        <v>0</v>
      </c>
      <c r="BJ134" s="13">
        <v>0.0</v>
      </c>
      <c r="BK134" s="13">
        <v>0.0</v>
      </c>
    </row>
    <row r="135" ht="14.25" customHeight="1">
      <c r="A135" s="13">
        <v>133.0</v>
      </c>
      <c r="B135" s="13" t="s">
        <v>45</v>
      </c>
      <c r="C135" s="13">
        <v>2.0</v>
      </c>
      <c r="D135" s="14">
        <v>0.0</v>
      </c>
      <c r="E135" s="13" t="s">
        <v>1008</v>
      </c>
      <c r="F135" s="15" t="s">
        <v>1009</v>
      </c>
      <c r="G135" s="16" t="s">
        <v>1010</v>
      </c>
      <c r="H135" s="13"/>
      <c r="I135" s="13">
        <v>1.1</v>
      </c>
      <c r="J135" s="13" t="s">
        <v>1011</v>
      </c>
      <c r="K135" s="13">
        <f t="shared" si="3"/>
        <v>0</v>
      </c>
      <c r="L135" s="13">
        <f t="shared" si="4"/>
        <v>3</v>
      </c>
      <c r="M135" s="13">
        <f t="shared" ref="M135:AA135" si="269">IFERROR(VALUE(RIGHT(LEFT($J135,FIND(M$1,$J135,1)+LEN(M$1)),1)),0)</f>
        <v>0</v>
      </c>
      <c r="N135" s="13">
        <f t="shared" si="269"/>
        <v>0</v>
      </c>
      <c r="O135" s="13">
        <f t="shared" si="269"/>
        <v>0</v>
      </c>
      <c r="P135" s="13">
        <f t="shared" si="269"/>
        <v>0</v>
      </c>
      <c r="Q135" s="13">
        <f t="shared" si="269"/>
        <v>0</v>
      </c>
      <c r="R135" s="13">
        <f t="shared" si="269"/>
        <v>0</v>
      </c>
      <c r="S135" s="13">
        <f t="shared" si="269"/>
        <v>0</v>
      </c>
      <c r="T135" s="13">
        <f t="shared" si="269"/>
        <v>0</v>
      </c>
      <c r="U135" s="13">
        <f t="shared" si="269"/>
        <v>0</v>
      </c>
      <c r="V135" s="13">
        <f t="shared" si="269"/>
        <v>0</v>
      </c>
      <c r="W135" s="13">
        <f t="shared" si="269"/>
        <v>0</v>
      </c>
      <c r="X135" s="13">
        <f t="shared" si="269"/>
        <v>0</v>
      </c>
      <c r="Y135" s="13">
        <f t="shared" si="269"/>
        <v>0</v>
      </c>
      <c r="Z135" s="13">
        <f t="shared" si="269"/>
        <v>0</v>
      </c>
      <c r="AA135" s="13">
        <f t="shared" si="269"/>
        <v>0</v>
      </c>
      <c r="AB135" s="13">
        <f t="shared" ref="AB135:AP135" si="270">IFERROR(VALUE(RIGHT(LEFT($J135,FIND(AB$1,$J135,IF(M135=0,1,FIND(AB$1,$J135,1)+1))+LEN(AB$1)),1)),0)</f>
        <v>0</v>
      </c>
      <c r="AC135" s="13">
        <f t="shared" si="270"/>
        <v>0</v>
      </c>
      <c r="AD135" s="13">
        <f t="shared" si="270"/>
        <v>1</v>
      </c>
      <c r="AE135" s="13">
        <f t="shared" si="270"/>
        <v>0</v>
      </c>
      <c r="AF135" s="13">
        <f t="shared" si="270"/>
        <v>0</v>
      </c>
      <c r="AG135" s="13">
        <f t="shared" si="270"/>
        <v>1</v>
      </c>
      <c r="AH135" s="13">
        <f t="shared" si="270"/>
        <v>0</v>
      </c>
      <c r="AI135" s="13">
        <f t="shared" si="270"/>
        <v>1</v>
      </c>
      <c r="AJ135" s="13">
        <f t="shared" si="270"/>
        <v>0</v>
      </c>
      <c r="AK135" s="13">
        <f t="shared" si="270"/>
        <v>0</v>
      </c>
      <c r="AL135" s="13">
        <f t="shared" si="270"/>
        <v>0</v>
      </c>
      <c r="AM135" s="13">
        <f t="shared" si="270"/>
        <v>0</v>
      </c>
      <c r="AN135" s="13">
        <f t="shared" si="270"/>
        <v>0</v>
      </c>
      <c r="AO135" s="13">
        <f t="shared" si="270"/>
        <v>0</v>
      </c>
      <c r="AP135" s="13">
        <f t="shared" si="270"/>
        <v>0</v>
      </c>
      <c r="AQ135" s="13" t="s">
        <v>1012</v>
      </c>
      <c r="AR135" s="13"/>
      <c r="AS135" s="13" t="s">
        <v>1013</v>
      </c>
      <c r="AT135" s="13"/>
      <c r="AU135" s="13"/>
      <c r="AV135" s="13"/>
      <c r="AW135" s="13">
        <v>0.0</v>
      </c>
      <c r="AX135" s="13">
        <v>-1.0</v>
      </c>
      <c r="AY135" s="13">
        <v>0.0</v>
      </c>
      <c r="AZ135" s="13"/>
      <c r="BA135" s="13"/>
      <c r="BB135" s="13"/>
      <c r="BC135" s="13"/>
      <c r="BD135" s="13"/>
      <c r="BE135" s="13"/>
      <c r="BF135" s="13"/>
      <c r="BG135" s="13"/>
      <c r="BH135" s="13" t="s">
        <v>79</v>
      </c>
      <c r="BI135" s="13" t="b">
        <v>0</v>
      </c>
      <c r="BJ135" s="13">
        <v>0.0</v>
      </c>
      <c r="BK135" s="13">
        <v>0.0</v>
      </c>
    </row>
    <row r="136" ht="14.25" customHeight="1">
      <c r="A136" s="13">
        <v>134.0</v>
      </c>
      <c r="B136" s="13" t="s">
        <v>45</v>
      </c>
      <c r="C136" s="13">
        <v>2.0</v>
      </c>
      <c r="D136" s="14">
        <v>0.0</v>
      </c>
      <c r="E136" s="13" t="s">
        <v>1014</v>
      </c>
      <c r="F136" s="15" t="s">
        <v>942</v>
      </c>
      <c r="G136" s="16" t="s">
        <v>1015</v>
      </c>
      <c r="H136" s="13"/>
      <c r="I136" s="13">
        <v>0.9</v>
      </c>
      <c r="J136" s="13" t="s">
        <v>1016</v>
      </c>
      <c r="K136" s="13">
        <f t="shared" si="3"/>
        <v>0</v>
      </c>
      <c r="L136" s="13">
        <f t="shared" si="4"/>
        <v>3</v>
      </c>
      <c r="M136" s="13">
        <f t="shared" ref="M136:AA136" si="271">IFERROR(VALUE(RIGHT(LEFT($J136,FIND(M$1,$J136,1)+LEN(M$1)),1)),0)</f>
        <v>0</v>
      </c>
      <c r="N136" s="13">
        <f t="shared" si="271"/>
        <v>0</v>
      </c>
      <c r="O136" s="13">
        <f t="shared" si="271"/>
        <v>0</v>
      </c>
      <c r="P136" s="13">
        <f t="shared" si="271"/>
        <v>0</v>
      </c>
      <c r="Q136" s="13">
        <f t="shared" si="271"/>
        <v>0</v>
      </c>
      <c r="R136" s="13">
        <f t="shared" si="271"/>
        <v>0</v>
      </c>
      <c r="S136" s="13">
        <f t="shared" si="271"/>
        <v>0</v>
      </c>
      <c r="T136" s="13">
        <f t="shared" si="271"/>
        <v>0</v>
      </c>
      <c r="U136" s="13">
        <f t="shared" si="271"/>
        <v>0</v>
      </c>
      <c r="V136" s="13">
        <f t="shared" si="271"/>
        <v>0</v>
      </c>
      <c r="W136" s="13">
        <f t="shared" si="271"/>
        <v>0</v>
      </c>
      <c r="X136" s="13">
        <f t="shared" si="271"/>
        <v>0</v>
      </c>
      <c r="Y136" s="13">
        <f t="shared" si="271"/>
        <v>0</v>
      </c>
      <c r="Z136" s="13">
        <f t="shared" si="271"/>
        <v>0</v>
      </c>
      <c r="AA136" s="13">
        <f t="shared" si="271"/>
        <v>0</v>
      </c>
      <c r="AB136" s="13">
        <f t="shared" ref="AB136:AP136" si="272">IFERROR(VALUE(RIGHT(LEFT($J136,FIND(AB$1,$J136,IF(M136=0,1,FIND(AB$1,$J136,1)+1))+LEN(AB$1)),1)),0)</f>
        <v>0</v>
      </c>
      <c r="AC136" s="13">
        <f t="shared" si="272"/>
        <v>0</v>
      </c>
      <c r="AD136" s="13">
        <f t="shared" si="272"/>
        <v>0</v>
      </c>
      <c r="AE136" s="13">
        <f t="shared" si="272"/>
        <v>1</v>
      </c>
      <c r="AF136" s="13">
        <f t="shared" si="272"/>
        <v>0</v>
      </c>
      <c r="AG136" s="13">
        <f t="shared" si="272"/>
        <v>0</v>
      </c>
      <c r="AH136" s="13">
        <f t="shared" si="272"/>
        <v>0</v>
      </c>
      <c r="AI136" s="13">
        <f t="shared" si="272"/>
        <v>2</v>
      </c>
      <c r="AJ136" s="13">
        <f t="shared" si="272"/>
        <v>0</v>
      </c>
      <c r="AK136" s="13">
        <f t="shared" si="272"/>
        <v>0</v>
      </c>
      <c r="AL136" s="13">
        <f t="shared" si="272"/>
        <v>0</v>
      </c>
      <c r="AM136" s="13">
        <f t="shared" si="272"/>
        <v>0</v>
      </c>
      <c r="AN136" s="13">
        <f t="shared" si="272"/>
        <v>0</v>
      </c>
      <c r="AO136" s="13">
        <f t="shared" si="272"/>
        <v>0</v>
      </c>
      <c r="AP136" s="13">
        <f t="shared" si="272"/>
        <v>0</v>
      </c>
      <c r="AQ136" s="13" t="s">
        <v>1017</v>
      </c>
      <c r="AR136" s="13"/>
      <c r="AS136" s="13" t="s">
        <v>1018</v>
      </c>
      <c r="AT136" s="13"/>
      <c r="AU136" s="13"/>
      <c r="AV136" s="13"/>
      <c r="AW136" s="13">
        <v>0.0</v>
      </c>
      <c r="AX136" s="13">
        <v>-1.0</v>
      </c>
      <c r="AY136" s="13">
        <v>0.0</v>
      </c>
      <c r="AZ136" s="13"/>
      <c r="BA136" s="13"/>
      <c r="BB136" s="13"/>
      <c r="BC136" s="13"/>
      <c r="BD136" s="13"/>
      <c r="BE136" s="13"/>
      <c r="BF136" s="13"/>
      <c r="BG136" s="13"/>
      <c r="BH136" s="13" t="s">
        <v>79</v>
      </c>
      <c r="BI136" s="13" t="b">
        <v>0</v>
      </c>
      <c r="BJ136" s="13">
        <v>0.0</v>
      </c>
      <c r="BK136" s="13">
        <v>0.0</v>
      </c>
    </row>
    <row r="137" ht="14.25" customHeight="1">
      <c r="A137" s="13">
        <v>135.0</v>
      </c>
      <c r="B137" s="13" t="s">
        <v>45</v>
      </c>
      <c r="C137" s="13">
        <v>2.0</v>
      </c>
      <c r="D137" s="14">
        <v>0.0</v>
      </c>
      <c r="E137" s="13" t="s">
        <v>1019</v>
      </c>
      <c r="F137" s="15"/>
      <c r="G137" s="16" t="s">
        <v>1020</v>
      </c>
      <c r="H137" s="13"/>
      <c r="I137" s="13">
        <v>1.2</v>
      </c>
      <c r="J137" s="13" t="s">
        <v>1021</v>
      </c>
      <c r="K137" s="13">
        <f t="shared" si="3"/>
        <v>0</v>
      </c>
      <c r="L137" s="13">
        <f t="shared" si="4"/>
        <v>3</v>
      </c>
      <c r="M137" s="13">
        <f t="shared" ref="M137:AA137" si="273">IFERROR(VALUE(RIGHT(LEFT($J137,FIND(M$1,$J137,1)+LEN(M$1)),1)),0)</f>
        <v>0</v>
      </c>
      <c r="N137" s="13">
        <f t="shared" si="273"/>
        <v>0</v>
      </c>
      <c r="O137" s="13">
        <f t="shared" si="273"/>
        <v>0</v>
      </c>
      <c r="P137" s="13">
        <f t="shared" si="273"/>
        <v>0</v>
      </c>
      <c r="Q137" s="13">
        <f t="shared" si="273"/>
        <v>0</v>
      </c>
      <c r="R137" s="13">
        <f t="shared" si="273"/>
        <v>0</v>
      </c>
      <c r="S137" s="13">
        <f t="shared" si="273"/>
        <v>0</v>
      </c>
      <c r="T137" s="13">
        <f t="shared" si="273"/>
        <v>0</v>
      </c>
      <c r="U137" s="13">
        <f t="shared" si="273"/>
        <v>0</v>
      </c>
      <c r="V137" s="13">
        <f t="shared" si="273"/>
        <v>0</v>
      </c>
      <c r="W137" s="13">
        <f t="shared" si="273"/>
        <v>0</v>
      </c>
      <c r="X137" s="13">
        <f t="shared" si="273"/>
        <v>0</v>
      </c>
      <c r="Y137" s="13">
        <f t="shared" si="273"/>
        <v>0</v>
      </c>
      <c r="Z137" s="13">
        <f t="shared" si="273"/>
        <v>0</v>
      </c>
      <c r="AA137" s="13">
        <f t="shared" si="273"/>
        <v>0</v>
      </c>
      <c r="AB137" s="13">
        <f t="shared" ref="AB137:AP137" si="274">IFERROR(VALUE(RIGHT(LEFT($J137,FIND(AB$1,$J137,IF(M137=0,1,FIND(AB$1,$J137,1)+1))+LEN(AB$1)),1)),0)</f>
        <v>0</v>
      </c>
      <c r="AC137" s="13">
        <f t="shared" si="274"/>
        <v>0</v>
      </c>
      <c r="AD137" s="13">
        <f t="shared" si="274"/>
        <v>1</v>
      </c>
      <c r="AE137" s="13">
        <f t="shared" si="274"/>
        <v>0</v>
      </c>
      <c r="AF137" s="13">
        <f t="shared" si="274"/>
        <v>0</v>
      </c>
      <c r="AG137" s="13">
        <f t="shared" si="274"/>
        <v>0</v>
      </c>
      <c r="AH137" s="13">
        <f t="shared" si="274"/>
        <v>0</v>
      </c>
      <c r="AI137" s="13">
        <f t="shared" si="274"/>
        <v>2</v>
      </c>
      <c r="AJ137" s="13">
        <f t="shared" si="274"/>
        <v>0</v>
      </c>
      <c r="AK137" s="13">
        <f t="shared" si="274"/>
        <v>0</v>
      </c>
      <c r="AL137" s="13">
        <f t="shared" si="274"/>
        <v>0</v>
      </c>
      <c r="AM137" s="13">
        <f t="shared" si="274"/>
        <v>0</v>
      </c>
      <c r="AN137" s="13">
        <f t="shared" si="274"/>
        <v>0</v>
      </c>
      <c r="AO137" s="13">
        <f t="shared" si="274"/>
        <v>0</v>
      </c>
      <c r="AP137" s="13">
        <f t="shared" si="274"/>
        <v>0</v>
      </c>
      <c r="AQ137" s="13" t="s">
        <v>1022</v>
      </c>
      <c r="AR137" s="13"/>
      <c r="AS137" s="13" t="s">
        <v>1023</v>
      </c>
      <c r="AT137" s="13"/>
      <c r="AU137" s="13"/>
      <c r="AV137" s="13"/>
      <c r="AW137" s="13">
        <v>0.0</v>
      </c>
      <c r="AX137" s="13">
        <v>-1.0</v>
      </c>
      <c r="AY137" s="13">
        <v>0.0</v>
      </c>
      <c r="AZ137" s="13"/>
      <c r="BA137" s="13"/>
      <c r="BB137" s="13"/>
      <c r="BC137" s="13"/>
      <c r="BD137" s="13"/>
      <c r="BE137" s="13"/>
      <c r="BF137" s="13"/>
      <c r="BG137" s="13"/>
      <c r="BH137" s="13" t="s">
        <v>79</v>
      </c>
      <c r="BI137" s="13" t="b">
        <v>0</v>
      </c>
      <c r="BJ137" s="13">
        <v>0.0</v>
      </c>
      <c r="BK137" s="13">
        <v>0.0</v>
      </c>
    </row>
    <row r="138" ht="14.25" customHeight="1">
      <c r="A138" s="13">
        <v>136.0</v>
      </c>
      <c r="B138" s="13" t="s">
        <v>45</v>
      </c>
      <c r="C138" s="13">
        <v>2.0</v>
      </c>
      <c r="D138" s="14">
        <v>0.0</v>
      </c>
      <c r="E138" s="13" t="s">
        <v>1024</v>
      </c>
      <c r="F138" s="15"/>
      <c r="G138" s="16" t="s">
        <v>1025</v>
      </c>
      <c r="H138" s="13"/>
      <c r="I138" s="13">
        <v>1.0</v>
      </c>
      <c r="J138" s="13" t="s">
        <v>1026</v>
      </c>
      <c r="K138" s="13">
        <f t="shared" si="3"/>
        <v>0</v>
      </c>
      <c r="L138" s="13">
        <f t="shared" si="4"/>
        <v>3</v>
      </c>
      <c r="M138" s="13">
        <f t="shared" ref="M138:AA138" si="275">IFERROR(VALUE(RIGHT(LEFT($J138,FIND(M$1,$J138,1)+LEN(M$1)),1)),0)</f>
        <v>0</v>
      </c>
      <c r="N138" s="13">
        <f t="shared" si="275"/>
        <v>0</v>
      </c>
      <c r="O138" s="13">
        <f t="shared" si="275"/>
        <v>0</v>
      </c>
      <c r="P138" s="13">
        <f t="shared" si="275"/>
        <v>0</v>
      </c>
      <c r="Q138" s="13">
        <f t="shared" si="275"/>
        <v>0</v>
      </c>
      <c r="R138" s="13">
        <f t="shared" si="275"/>
        <v>0</v>
      </c>
      <c r="S138" s="13">
        <f t="shared" si="275"/>
        <v>0</v>
      </c>
      <c r="T138" s="13">
        <f t="shared" si="275"/>
        <v>0</v>
      </c>
      <c r="U138" s="13">
        <f t="shared" si="275"/>
        <v>0</v>
      </c>
      <c r="V138" s="13">
        <f t="shared" si="275"/>
        <v>0</v>
      </c>
      <c r="W138" s="13">
        <f t="shared" si="275"/>
        <v>0</v>
      </c>
      <c r="X138" s="13">
        <f t="shared" si="275"/>
        <v>0</v>
      </c>
      <c r="Y138" s="13">
        <f t="shared" si="275"/>
        <v>0</v>
      </c>
      <c r="Z138" s="13">
        <f t="shared" si="275"/>
        <v>0</v>
      </c>
      <c r="AA138" s="13">
        <f t="shared" si="275"/>
        <v>0</v>
      </c>
      <c r="AB138" s="13">
        <f t="shared" ref="AB138:AP138" si="276">IFERROR(VALUE(RIGHT(LEFT($J138,FIND(AB$1,$J138,IF(M138=0,1,FIND(AB$1,$J138,1)+1))+LEN(AB$1)),1)),0)</f>
        <v>0</v>
      </c>
      <c r="AC138" s="13">
        <f t="shared" si="276"/>
        <v>0</v>
      </c>
      <c r="AD138" s="13">
        <f t="shared" si="276"/>
        <v>0</v>
      </c>
      <c r="AE138" s="13">
        <f t="shared" si="276"/>
        <v>1</v>
      </c>
      <c r="AF138" s="13">
        <f t="shared" si="276"/>
        <v>1</v>
      </c>
      <c r="AG138" s="13">
        <f t="shared" si="276"/>
        <v>0</v>
      </c>
      <c r="AH138" s="13">
        <f t="shared" si="276"/>
        <v>0</v>
      </c>
      <c r="AI138" s="13">
        <f t="shared" si="276"/>
        <v>1</v>
      </c>
      <c r="AJ138" s="13">
        <f t="shared" si="276"/>
        <v>0</v>
      </c>
      <c r="AK138" s="13">
        <f t="shared" si="276"/>
        <v>0</v>
      </c>
      <c r="AL138" s="13">
        <f t="shared" si="276"/>
        <v>0</v>
      </c>
      <c r="AM138" s="13">
        <f t="shared" si="276"/>
        <v>0</v>
      </c>
      <c r="AN138" s="13">
        <f t="shared" si="276"/>
        <v>0</v>
      </c>
      <c r="AO138" s="13">
        <f t="shared" si="276"/>
        <v>0</v>
      </c>
      <c r="AP138" s="13">
        <f t="shared" si="276"/>
        <v>0</v>
      </c>
      <c r="AQ138" s="13" t="s">
        <v>1027</v>
      </c>
      <c r="AR138" s="13"/>
      <c r="AS138" s="13" t="s">
        <v>1028</v>
      </c>
      <c r="AT138" s="13"/>
      <c r="AU138" s="13"/>
      <c r="AV138" s="13"/>
      <c r="AW138" s="13">
        <v>0.0</v>
      </c>
      <c r="AX138" s="13">
        <v>-1.0</v>
      </c>
      <c r="AY138" s="13">
        <v>0.0</v>
      </c>
      <c r="AZ138" s="13"/>
      <c r="BA138" s="13"/>
      <c r="BB138" s="13"/>
      <c r="BC138" s="13"/>
      <c r="BD138" s="13"/>
      <c r="BE138" s="13"/>
      <c r="BF138" s="13"/>
      <c r="BG138" s="13"/>
      <c r="BH138" s="13" t="s">
        <v>79</v>
      </c>
      <c r="BI138" s="13" t="b">
        <v>0</v>
      </c>
      <c r="BJ138" s="13">
        <v>0.0</v>
      </c>
      <c r="BK138" s="13">
        <v>0.0</v>
      </c>
    </row>
    <row r="139" ht="14.25" customHeight="1">
      <c r="A139" s="13">
        <v>137.0</v>
      </c>
      <c r="B139" s="13" t="s">
        <v>46</v>
      </c>
      <c r="C139" s="13">
        <v>2.0</v>
      </c>
      <c r="D139" s="14">
        <v>0.0</v>
      </c>
      <c r="E139" s="13" t="s">
        <v>1029</v>
      </c>
      <c r="F139" s="15"/>
      <c r="G139" s="16" t="s">
        <v>1030</v>
      </c>
      <c r="H139" s="13"/>
      <c r="I139" s="13">
        <v>1.2</v>
      </c>
      <c r="J139" s="13" t="s">
        <v>1031</v>
      </c>
      <c r="K139" s="13">
        <f t="shared" si="3"/>
        <v>0</v>
      </c>
      <c r="L139" s="13">
        <f t="shared" si="4"/>
        <v>3</v>
      </c>
      <c r="M139" s="13">
        <f t="shared" ref="M139:AA139" si="277">IFERROR(VALUE(RIGHT(LEFT($J139,FIND(M$1,$J139,1)+LEN(M$1)),1)),0)</f>
        <v>0</v>
      </c>
      <c r="N139" s="13">
        <f t="shared" si="277"/>
        <v>0</v>
      </c>
      <c r="O139" s="13">
        <f t="shared" si="277"/>
        <v>0</v>
      </c>
      <c r="P139" s="13">
        <f t="shared" si="277"/>
        <v>0</v>
      </c>
      <c r="Q139" s="13">
        <f t="shared" si="277"/>
        <v>0</v>
      </c>
      <c r="R139" s="13">
        <f t="shared" si="277"/>
        <v>0</v>
      </c>
      <c r="S139" s="13">
        <f t="shared" si="277"/>
        <v>0</v>
      </c>
      <c r="T139" s="13">
        <f t="shared" si="277"/>
        <v>0</v>
      </c>
      <c r="U139" s="13">
        <f t="shared" si="277"/>
        <v>0</v>
      </c>
      <c r="V139" s="13">
        <f t="shared" si="277"/>
        <v>0</v>
      </c>
      <c r="W139" s="13">
        <f t="shared" si="277"/>
        <v>0</v>
      </c>
      <c r="X139" s="13">
        <f t="shared" si="277"/>
        <v>0</v>
      </c>
      <c r="Y139" s="13">
        <f t="shared" si="277"/>
        <v>0</v>
      </c>
      <c r="Z139" s="13">
        <f t="shared" si="277"/>
        <v>0</v>
      </c>
      <c r="AA139" s="13">
        <f t="shared" si="277"/>
        <v>0</v>
      </c>
      <c r="AB139" s="13">
        <f t="shared" ref="AB139:AP139" si="278">IFERROR(VALUE(RIGHT(LEFT($J139,FIND(AB$1,$J139,IF(M139=0,1,FIND(AB$1,$J139,1)+1))+LEN(AB$1)),1)),0)</f>
        <v>0</v>
      </c>
      <c r="AC139" s="13">
        <f t="shared" si="278"/>
        <v>1</v>
      </c>
      <c r="AD139" s="13">
        <f t="shared" si="278"/>
        <v>1</v>
      </c>
      <c r="AE139" s="13">
        <f t="shared" si="278"/>
        <v>0</v>
      </c>
      <c r="AF139" s="13">
        <f t="shared" si="278"/>
        <v>0</v>
      </c>
      <c r="AG139" s="13">
        <f t="shared" si="278"/>
        <v>0</v>
      </c>
      <c r="AH139" s="13">
        <f t="shared" si="278"/>
        <v>0</v>
      </c>
      <c r="AI139" s="13">
        <f t="shared" si="278"/>
        <v>0</v>
      </c>
      <c r="AJ139" s="13">
        <f t="shared" si="278"/>
        <v>1</v>
      </c>
      <c r="AK139" s="13">
        <f t="shared" si="278"/>
        <v>0</v>
      </c>
      <c r="AL139" s="13">
        <f t="shared" si="278"/>
        <v>0</v>
      </c>
      <c r="AM139" s="13">
        <f t="shared" si="278"/>
        <v>0</v>
      </c>
      <c r="AN139" s="13">
        <f t="shared" si="278"/>
        <v>0</v>
      </c>
      <c r="AO139" s="13">
        <f t="shared" si="278"/>
        <v>0</v>
      </c>
      <c r="AP139" s="13">
        <f t="shared" si="278"/>
        <v>0</v>
      </c>
      <c r="AQ139" s="13" t="s">
        <v>1032</v>
      </c>
      <c r="AR139" s="13"/>
      <c r="AS139" s="13" t="s">
        <v>1033</v>
      </c>
      <c r="AT139" s="13"/>
      <c r="AU139" s="13"/>
      <c r="AV139" s="13"/>
      <c r="AW139" s="13">
        <v>0.0</v>
      </c>
      <c r="AX139" s="13">
        <v>-1.0</v>
      </c>
      <c r="AY139" s="13">
        <v>0.0</v>
      </c>
      <c r="AZ139" s="13"/>
      <c r="BA139" s="13"/>
      <c r="BB139" s="13"/>
      <c r="BC139" s="13"/>
      <c r="BD139" s="13"/>
      <c r="BE139" s="13"/>
      <c r="BF139" s="13"/>
      <c r="BG139" s="13"/>
      <c r="BH139" s="13" t="s">
        <v>79</v>
      </c>
      <c r="BI139" s="13" t="b">
        <v>0</v>
      </c>
      <c r="BJ139" s="13">
        <v>0.0</v>
      </c>
      <c r="BK139" s="13">
        <v>0.0</v>
      </c>
    </row>
    <row r="140" ht="14.25" customHeight="1">
      <c r="A140" s="13">
        <v>138.0</v>
      </c>
      <c r="B140" s="13" t="s">
        <v>46</v>
      </c>
      <c r="C140" s="13">
        <v>2.0</v>
      </c>
      <c r="D140" s="14">
        <v>0.0</v>
      </c>
      <c r="E140" s="13" t="s">
        <v>1034</v>
      </c>
      <c r="F140" s="15" t="s">
        <v>523</v>
      </c>
      <c r="G140" s="16" t="s">
        <v>1035</v>
      </c>
      <c r="H140" s="13"/>
      <c r="I140" s="13">
        <v>1.1</v>
      </c>
      <c r="J140" s="13" t="s">
        <v>1036</v>
      </c>
      <c r="K140" s="13">
        <f t="shared" si="3"/>
        <v>0</v>
      </c>
      <c r="L140" s="13">
        <f t="shared" si="4"/>
        <v>3</v>
      </c>
      <c r="M140" s="13">
        <f t="shared" ref="M140:AA140" si="279">IFERROR(VALUE(RIGHT(LEFT($J140,FIND(M$1,$J140,1)+LEN(M$1)),1)),0)</f>
        <v>0</v>
      </c>
      <c r="N140" s="13">
        <f t="shared" si="279"/>
        <v>0</v>
      </c>
      <c r="O140" s="13">
        <f t="shared" si="279"/>
        <v>0</v>
      </c>
      <c r="P140" s="13">
        <f t="shared" si="279"/>
        <v>0</v>
      </c>
      <c r="Q140" s="13">
        <f t="shared" si="279"/>
        <v>0</v>
      </c>
      <c r="R140" s="13">
        <f t="shared" si="279"/>
        <v>0</v>
      </c>
      <c r="S140" s="13">
        <f t="shared" si="279"/>
        <v>0</v>
      </c>
      <c r="T140" s="13">
        <f t="shared" si="279"/>
        <v>0</v>
      </c>
      <c r="U140" s="13">
        <f t="shared" si="279"/>
        <v>0</v>
      </c>
      <c r="V140" s="13">
        <f t="shared" si="279"/>
        <v>0</v>
      </c>
      <c r="W140" s="13">
        <f t="shared" si="279"/>
        <v>0</v>
      </c>
      <c r="X140" s="13">
        <f t="shared" si="279"/>
        <v>0</v>
      </c>
      <c r="Y140" s="13">
        <f t="shared" si="279"/>
        <v>0</v>
      </c>
      <c r="Z140" s="13">
        <f t="shared" si="279"/>
        <v>0</v>
      </c>
      <c r="AA140" s="13">
        <f t="shared" si="279"/>
        <v>0</v>
      </c>
      <c r="AB140" s="13">
        <f t="shared" ref="AB140:AP140" si="280">IFERROR(VALUE(RIGHT(LEFT($J140,FIND(AB$1,$J140,IF(M140=0,1,FIND(AB$1,$J140,1)+1))+LEN(AB$1)),1)),0)</f>
        <v>0</v>
      </c>
      <c r="AC140" s="13">
        <f t="shared" si="280"/>
        <v>0</v>
      </c>
      <c r="AD140" s="13">
        <f t="shared" si="280"/>
        <v>0</v>
      </c>
      <c r="AE140" s="13">
        <f t="shared" si="280"/>
        <v>0</v>
      </c>
      <c r="AF140" s="13">
        <f t="shared" si="280"/>
        <v>1</v>
      </c>
      <c r="AG140" s="13">
        <f t="shared" si="280"/>
        <v>0</v>
      </c>
      <c r="AH140" s="13">
        <f t="shared" si="280"/>
        <v>0</v>
      </c>
      <c r="AI140" s="13">
        <f t="shared" si="280"/>
        <v>0</v>
      </c>
      <c r="AJ140" s="13">
        <f t="shared" si="280"/>
        <v>2</v>
      </c>
      <c r="AK140" s="13">
        <f t="shared" si="280"/>
        <v>0</v>
      </c>
      <c r="AL140" s="13">
        <f t="shared" si="280"/>
        <v>0</v>
      </c>
      <c r="AM140" s="13">
        <f t="shared" si="280"/>
        <v>0</v>
      </c>
      <c r="AN140" s="13">
        <f t="shared" si="280"/>
        <v>0</v>
      </c>
      <c r="AO140" s="13">
        <f t="shared" si="280"/>
        <v>0</v>
      </c>
      <c r="AP140" s="13">
        <f t="shared" si="280"/>
        <v>0</v>
      </c>
      <c r="AQ140" s="13" t="s">
        <v>1037</v>
      </c>
      <c r="AR140" s="13"/>
      <c r="AS140" s="13" t="s">
        <v>1038</v>
      </c>
      <c r="AT140" s="13"/>
      <c r="AU140" s="13"/>
      <c r="AV140" s="13"/>
      <c r="AW140" s="13">
        <v>0.0</v>
      </c>
      <c r="AX140" s="13">
        <v>-1.0</v>
      </c>
      <c r="AY140" s="13">
        <v>0.0</v>
      </c>
      <c r="AZ140" s="13"/>
      <c r="BA140" s="13"/>
      <c r="BB140" s="13"/>
      <c r="BC140" s="13"/>
      <c r="BD140" s="13"/>
      <c r="BE140" s="13"/>
      <c r="BF140" s="13"/>
      <c r="BG140" s="13"/>
      <c r="BH140" s="13" t="s">
        <v>79</v>
      </c>
      <c r="BI140" s="13" t="b">
        <v>0</v>
      </c>
      <c r="BJ140" s="13">
        <v>0.0</v>
      </c>
      <c r="BK140" s="13">
        <v>0.0</v>
      </c>
    </row>
    <row r="141" ht="14.25" customHeight="1">
      <c r="A141" s="13">
        <v>139.0</v>
      </c>
      <c r="B141" s="13" t="s">
        <v>46</v>
      </c>
      <c r="C141" s="13">
        <v>2.0</v>
      </c>
      <c r="D141" s="14">
        <v>0.0</v>
      </c>
      <c r="E141" s="13" t="s">
        <v>1039</v>
      </c>
      <c r="F141" s="15"/>
      <c r="G141" s="16" t="s">
        <v>1040</v>
      </c>
      <c r="H141" s="13"/>
      <c r="I141" s="13">
        <v>1.0</v>
      </c>
      <c r="J141" s="13" t="s">
        <v>1041</v>
      </c>
      <c r="K141" s="13">
        <f t="shared" si="3"/>
        <v>0</v>
      </c>
      <c r="L141" s="13">
        <f t="shared" si="4"/>
        <v>3</v>
      </c>
      <c r="M141" s="13">
        <f t="shared" ref="M141:AA141" si="281">IFERROR(VALUE(RIGHT(LEFT($J141,FIND(M$1,$J141,1)+LEN(M$1)),1)),0)</f>
        <v>0</v>
      </c>
      <c r="N141" s="13">
        <f t="shared" si="281"/>
        <v>0</v>
      </c>
      <c r="O141" s="13">
        <f t="shared" si="281"/>
        <v>0</v>
      </c>
      <c r="P141" s="13">
        <f t="shared" si="281"/>
        <v>0</v>
      </c>
      <c r="Q141" s="13">
        <f t="shared" si="281"/>
        <v>0</v>
      </c>
      <c r="R141" s="13">
        <f t="shared" si="281"/>
        <v>0</v>
      </c>
      <c r="S141" s="13">
        <f t="shared" si="281"/>
        <v>0</v>
      </c>
      <c r="T141" s="13">
        <f t="shared" si="281"/>
        <v>0</v>
      </c>
      <c r="U141" s="13">
        <f t="shared" si="281"/>
        <v>0</v>
      </c>
      <c r="V141" s="13">
        <f t="shared" si="281"/>
        <v>0</v>
      </c>
      <c r="W141" s="13">
        <f t="shared" si="281"/>
        <v>0</v>
      </c>
      <c r="X141" s="13">
        <f t="shared" si="281"/>
        <v>0</v>
      </c>
      <c r="Y141" s="13">
        <f t="shared" si="281"/>
        <v>0</v>
      </c>
      <c r="Z141" s="13">
        <f t="shared" si="281"/>
        <v>0</v>
      </c>
      <c r="AA141" s="13">
        <f t="shared" si="281"/>
        <v>0</v>
      </c>
      <c r="AB141" s="13">
        <f t="shared" ref="AB141:AP141" si="282">IFERROR(VALUE(RIGHT(LEFT($J141,FIND(AB$1,$J141,IF(M141=0,1,FIND(AB$1,$J141,1)+1))+LEN(AB$1)),1)),0)</f>
        <v>0</v>
      </c>
      <c r="AC141" s="13">
        <f t="shared" si="282"/>
        <v>0</v>
      </c>
      <c r="AD141" s="13">
        <f t="shared" si="282"/>
        <v>0</v>
      </c>
      <c r="AE141" s="13">
        <f t="shared" si="282"/>
        <v>1</v>
      </c>
      <c r="AF141" s="13">
        <f t="shared" si="282"/>
        <v>0</v>
      </c>
      <c r="AG141" s="13">
        <f t="shared" si="282"/>
        <v>0</v>
      </c>
      <c r="AH141" s="13">
        <f t="shared" si="282"/>
        <v>0</v>
      </c>
      <c r="AI141" s="13">
        <f t="shared" si="282"/>
        <v>0</v>
      </c>
      <c r="AJ141" s="13">
        <f t="shared" si="282"/>
        <v>2</v>
      </c>
      <c r="AK141" s="13">
        <f t="shared" si="282"/>
        <v>0</v>
      </c>
      <c r="AL141" s="13">
        <f t="shared" si="282"/>
        <v>0</v>
      </c>
      <c r="AM141" s="13">
        <f t="shared" si="282"/>
        <v>0</v>
      </c>
      <c r="AN141" s="13">
        <f t="shared" si="282"/>
        <v>0</v>
      </c>
      <c r="AO141" s="13">
        <f t="shared" si="282"/>
        <v>0</v>
      </c>
      <c r="AP141" s="13">
        <f t="shared" si="282"/>
        <v>0</v>
      </c>
      <c r="AQ141" s="13" t="s">
        <v>1042</v>
      </c>
      <c r="AR141" s="13"/>
      <c r="AS141" s="13" t="s">
        <v>1043</v>
      </c>
      <c r="AT141" s="13"/>
      <c r="AU141" s="13"/>
      <c r="AV141" s="13"/>
      <c r="AW141" s="13">
        <v>0.0</v>
      </c>
      <c r="AX141" s="13">
        <v>-1.0</v>
      </c>
      <c r="AY141" s="13">
        <v>0.0</v>
      </c>
      <c r="AZ141" s="13"/>
      <c r="BA141" s="13"/>
      <c r="BB141" s="13"/>
      <c r="BC141" s="13"/>
      <c r="BD141" s="13"/>
      <c r="BE141" s="13"/>
      <c r="BF141" s="13"/>
      <c r="BG141" s="13"/>
      <c r="BH141" s="13" t="s">
        <v>79</v>
      </c>
      <c r="BI141" s="13" t="b">
        <v>0</v>
      </c>
      <c r="BJ141" s="13">
        <v>0.0</v>
      </c>
      <c r="BK141" s="13">
        <v>0.0</v>
      </c>
    </row>
    <row r="142" ht="14.25" customHeight="1">
      <c r="A142" s="13">
        <v>140.0</v>
      </c>
      <c r="B142" s="13" t="s">
        <v>46</v>
      </c>
      <c r="C142" s="13">
        <v>2.0</v>
      </c>
      <c r="D142" s="14">
        <v>0.0</v>
      </c>
      <c r="E142" s="13" t="s">
        <v>1044</v>
      </c>
      <c r="F142" s="15"/>
      <c r="G142" s="16" t="s">
        <v>1045</v>
      </c>
      <c r="H142" s="13"/>
      <c r="I142" s="13">
        <v>1.2</v>
      </c>
      <c r="J142" s="13" t="s">
        <v>1046</v>
      </c>
      <c r="K142" s="13">
        <f t="shared" si="3"/>
        <v>0</v>
      </c>
      <c r="L142" s="13">
        <f t="shared" si="4"/>
        <v>3</v>
      </c>
      <c r="M142" s="13">
        <f t="shared" ref="M142:AA142" si="283">IFERROR(VALUE(RIGHT(LEFT($J142,FIND(M$1,$J142,1)+LEN(M$1)),1)),0)</f>
        <v>0</v>
      </c>
      <c r="N142" s="13">
        <f t="shared" si="283"/>
        <v>0</v>
      </c>
      <c r="O142" s="13">
        <f t="shared" si="283"/>
        <v>0</v>
      </c>
      <c r="P142" s="13">
        <f t="shared" si="283"/>
        <v>0</v>
      </c>
      <c r="Q142" s="13">
        <f t="shared" si="283"/>
        <v>0</v>
      </c>
      <c r="R142" s="13">
        <f t="shared" si="283"/>
        <v>0</v>
      </c>
      <c r="S142" s="13">
        <f t="shared" si="283"/>
        <v>0</v>
      </c>
      <c r="T142" s="13">
        <f t="shared" si="283"/>
        <v>0</v>
      </c>
      <c r="U142" s="13">
        <f t="shared" si="283"/>
        <v>0</v>
      </c>
      <c r="V142" s="13">
        <f t="shared" si="283"/>
        <v>0</v>
      </c>
      <c r="W142" s="13">
        <f t="shared" si="283"/>
        <v>0</v>
      </c>
      <c r="X142" s="13">
        <f t="shared" si="283"/>
        <v>0</v>
      </c>
      <c r="Y142" s="13">
        <f t="shared" si="283"/>
        <v>0</v>
      </c>
      <c r="Z142" s="13">
        <f t="shared" si="283"/>
        <v>0</v>
      </c>
      <c r="AA142" s="13">
        <f t="shared" si="283"/>
        <v>0</v>
      </c>
      <c r="AB142" s="13">
        <f t="shared" ref="AB142:AP142" si="284">IFERROR(VALUE(RIGHT(LEFT($J142,FIND(AB$1,$J142,IF(M142=0,1,FIND(AB$1,$J142,1)+1))+LEN(AB$1)),1)),0)</f>
        <v>1</v>
      </c>
      <c r="AC142" s="13">
        <f t="shared" si="284"/>
        <v>0</v>
      </c>
      <c r="AD142" s="13">
        <f t="shared" si="284"/>
        <v>0</v>
      </c>
      <c r="AE142" s="13">
        <f t="shared" si="284"/>
        <v>0</v>
      </c>
      <c r="AF142" s="13">
        <f t="shared" si="284"/>
        <v>1</v>
      </c>
      <c r="AG142" s="13">
        <f t="shared" si="284"/>
        <v>0</v>
      </c>
      <c r="AH142" s="13">
        <f t="shared" si="284"/>
        <v>0</v>
      </c>
      <c r="AI142" s="13">
        <f t="shared" si="284"/>
        <v>0</v>
      </c>
      <c r="AJ142" s="13">
        <f t="shared" si="284"/>
        <v>1</v>
      </c>
      <c r="AK142" s="13">
        <f t="shared" si="284"/>
        <v>0</v>
      </c>
      <c r="AL142" s="13">
        <f t="shared" si="284"/>
        <v>0</v>
      </c>
      <c r="AM142" s="13">
        <f t="shared" si="284"/>
        <v>0</v>
      </c>
      <c r="AN142" s="13">
        <f t="shared" si="284"/>
        <v>0</v>
      </c>
      <c r="AO142" s="13">
        <f t="shared" si="284"/>
        <v>0</v>
      </c>
      <c r="AP142" s="13">
        <f t="shared" si="284"/>
        <v>0</v>
      </c>
      <c r="AQ142" s="13" t="s">
        <v>1047</v>
      </c>
      <c r="AR142" s="13"/>
      <c r="AS142" s="13" t="s">
        <v>1048</v>
      </c>
      <c r="AT142" s="13"/>
      <c r="AU142" s="13"/>
      <c r="AV142" s="13"/>
      <c r="AW142" s="13">
        <v>0.0</v>
      </c>
      <c r="AX142" s="13">
        <v>-1.0</v>
      </c>
      <c r="AY142" s="13">
        <v>0.0</v>
      </c>
      <c r="AZ142" s="13"/>
      <c r="BA142" s="13"/>
      <c r="BB142" s="13"/>
      <c r="BC142" s="13"/>
      <c r="BD142" s="13"/>
      <c r="BE142" s="13"/>
      <c r="BF142" s="13"/>
      <c r="BG142" s="13"/>
      <c r="BH142" s="13" t="s">
        <v>79</v>
      </c>
      <c r="BI142" s="13" t="b">
        <v>0</v>
      </c>
      <c r="BJ142" s="13">
        <v>0.0</v>
      </c>
      <c r="BK142" s="13">
        <v>0.0</v>
      </c>
    </row>
    <row r="143" ht="14.25" customHeight="1">
      <c r="A143" s="13">
        <v>141.0</v>
      </c>
      <c r="B143" s="13" t="s">
        <v>46</v>
      </c>
      <c r="C143" s="13">
        <v>2.0</v>
      </c>
      <c r="D143" s="14">
        <v>0.0</v>
      </c>
      <c r="E143" s="13" t="s">
        <v>1049</v>
      </c>
      <c r="F143" s="15"/>
      <c r="G143" s="16" t="s">
        <v>1050</v>
      </c>
      <c r="H143" s="13"/>
      <c r="I143" s="13">
        <v>0.9</v>
      </c>
      <c r="J143" s="13" t="s">
        <v>1051</v>
      </c>
      <c r="K143" s="13">
        <f t="shared" si="3"/>
        <v>0</v>
      </c>
      <c r="L143" s="13">
        <f t="shared" si="4"/>
        <v>3</v>
      </c>
      <c r="M143" s="13">
        <f t="shared" ref="M143:AA143" si="285">IFERROR(VALUE(RIGHT(LEFT($J143,FIND(M$1,$J143,1)+LEN(M$1)),1)),0)</f>
        <v>0</v>
      </c>
      <c r="N143" s="13">
        <f t="shared" si="285"/>
        <v>0</v>
      </c>
      <c r="O143" s="13">
        <f t="shared" si="285"/>
        <v>0</v>
      </c>
      <c r="P143" s="13">
        <f t="shared" si="285"/>
        <v>0</v>
      </c>
      <c r="Q143" s="13">
        <f t="shared" si="285"/>
        <v>0</v>
      </c>
      <c r="R143" s="13">
        <f t="shared" si="285"/>
        <v>0</v>
      </c>
      <c r="S143" s="13">
        <f t="shared" si="285"/>
        <v>0</v>
      </c>
      <c r="T143" s="13">
        <f t="shared" si="285"/>
        <v>0</v>
      </c>
      <c r="U143" s="13">
        <f t="shared" si="285"/>
        <v>0</v>
      </c>
      <c r="V143" s="13">
        <f t="shared" si="285"/>
        <v>0</v>
      </c>
      <c r="W143" s="13">
        <f t="shared" si="285"/>
        <v>0</v>
      </c>
      <c r="X143" s="13">
        <f t="shared" si="285"/>
        <v>0</v>
      </c>
      <c r="Y143" s="13">
        <f t="shared" si="285"/>
        <v>0</v>
      </c>
      <c r="Z143" s="13">
        <f t="shared" si="285"/>
        <v>0</v>
      </c>
      <c r="AA143" s="13">
        <f t="shared" si="285"/>
        <v>0</v>
      </c>
      <c r="AB143" s="13">
        <f t="shared" ref="AB143:AP143" si="286">IFERROR(VALUE(RIGHT(LEFT($J143,FIND(AB$1,$J143,IF(M143=0,1,FIND(AB$1,$J143,1)+1))+LEN(AB$1)),1)),0)</f>
        <v>0</v>
      </c>
      <c r="AC143" s="13">
        <f t="shared" si="286"/>
        <v>1</v>
      </c>
      <c r="AD143" s="13">
        <f t="shared" si="286"/>
        <v>0</v>
      </c>
      <c r="AE143" s="13">
        <f t="shared" si="286"/>
        <v>0</v>
      </c>
      <c r="AF143" s="13">
        <f t="shared" si="286"/>
        <v>1</v>
      </c>
      <c r="AG143" s="13">
        <f t="shared" si="286"/>
        <v>0</v>
      </c>
      <c r="AH143" s="13">
        <f t="shared" si="286"/>
        <v>0</v>
      </c>
      <c r="AI143" s="13">
        <f t="shared" si="286"/>
        <v>0</v>
      </c>
      <c r="AJ143" s="13">
        <f t="shared" si="286"/>
        <v>1</v>
      </c>
      <c r="AK143" s="13">
        <f t="shared" si="286"/>
        <v>0</v>
      </c>
      <c r="AL143" s="13">
        <f t="shared" si="286"/>
        <v>0</v>
      </c>
      <c r="AM143" s="13">
        <f t="shared" si="286"/>
        <v>0</v>
      </c>
      <c r="AN143" s="13">
        <f t="shared" si="286"/>
        <v>0</v>
      </c>
      <c r="AO143" s="13">
        <f t="shared" si="286"/>
        <v>0</v>
      </c>
      <c r="AP143" s="13">
        <f t="shared" si="286"/>
        <v>0</v>
      </c>
      <c r="AQ143" s="13" t="s">
        <v>1052</v>
      </c>
      <c r="AR143" s="13"/>
      <c r="AS143" s="13" t="s">
        <v>1053</v>
      </c>
      <c r="AT143" s="13"/>
      <c r="AU143" s="13"/>
      <c r="AV143" s="13"/>
      <c r="AW143" s="13">
        <v>0.0</v>
      </c>
      <c r="AX143" s="13">
        <v>-1.0</v>
      </c>
      <c r="AY143" s="13">
        <v>0.0</v>
      </c>
      <c r="AZ143" s="13"/>
      <c r="BA143" s="13"/>
      <c r="BB143" s="13"/>
      <c r="BC143" s="13"/>
      <c r="BD143" s="13"/>
      <c r="BE143" s="13"/>
      <c r="BF143" s="13"/>
      <c r="BG143" s="13"/>
      <c r="BH143" s="13" t="s">
        <v>79</v>
      </c>
      <c r="BI143" s="13" t="b">
        <v>0</v>
      </c>
      <c r="BJ143" s="13">
        <v>0.0</v>
      </c>
      <c r="BK143" s="13">
        <v>0.0</v>
      </c>
    </row>
    <row r="144" ht="14.25" customHeight="1">
      <c r="A144" s="13">
        <v>142.0</v>
      </c>
      <c r="B144" s="13" t="s">
        <v>46</v>
      </c>
      <c r="C144" s="13">
        <v>2.0</v>
      </c>
      <c r="D144" s="14">
        <v>0.0</v>
      </c>
      <c r="E144" s="13" t="s">
        <v>1054</v>
      </c>
      <c r="F144" s="15" t="s">
        <v>377</v>
      </c>
      <c r="G144" s="16" t="s">
        <v>1055</v>
      </c>
      <c r="H144" s="13"/>
      <c r="I144" s="13">
        <v>0.9</v>
      </c>
      <c r="J144" s="13" t="s">
        <v>1056</v>
      </c>
      <c r="K144" s="13">
        <f t="shared" si="3"/>
        <v>0</v>
      </c>
      <c r="L144" s="13">
        <f t="shared" si="4"/>
        <v>3</v>
      </c>
      <c r="M144" s="13">
        <f t="shared" ref="M144:AA144" si="287">IFERROR(VALUE(RIGHT(LEFT($J144,FIND(M$1,$J144,1)+LEN(M$1)),1)),0)</f>
        <v>0</v>
      </c>
      <c r="N144" s="13">
        <f t="shared" si="287"/>
        <v>0</v>
      </c>
      <c r="O144" s="13">
        <f t="shared" si="287"/>
        <v>0</v>
      </c>
      <c r="P144" s="13">
        <f t="shared" si="287"/>
        <v>0</v>
      </c>
      <c r="Q144" s="13">
        <f t="shared" si="287"/>
        <v>0</v>
      </c>
      <c r="R144" s="13">
        <f t="shared" si="287"/>
        <v>0</v>
      </c>
      <c r="S144" s="13">
        <f t="shared" si="287"/>
        <v>0</v>
      </c>
      <c r="T144" s="13">
        <f t="shared" si="287"/>
        <v>0</v>
      </c>
      <c r="U144" s="13">
        <f t="shared" si="287"/>
        <v>0</v>
      </c>
      <c r="V144" s="13">
        <f t="shared" si="287"/>
        <v>0</v>
      </c>
      <c r="W144" s="13">
        <f t="shared" si="287"/>
        <v>0</v>
      </c>
      <c r="X144" s="13">
        <f t="shared" si="287"/>
        <v>0</v>
      </c>
      <c r="Y144" s="13">
        <f t="shared" si="287"/>
        <v>0</v>
      </c>
      <c r="Z144" s="13">
        <f t="shared" si="287"/>
        <v>0</v>
      </c>
      <c r="AA144" s="13">
        <f t="shared" si="287"/>
        <v>0</v>
      </c>
      <c r="AB144" s="13">
        <f t="shared" ref="AB144:AP144" si="288">IFERROR(VALUE(RIGHT(LEFT($J144,FIND(AB$1,$J144,IF(M144=0,1,FIND(AB$1,$J144,1)+1))+LEN(AB$1)),1)),0)</f>
        <v>0</v>
      </c>
      <c r="AC144" s="13">
        <f t="shared" si="288"/>
        <v>0</v>
      </c>
      <c r="AD144" s="13">
        <f t="shared" si="288"/>
        <v>0</v>
      </c>
      <c r="AE144" s="13">
        <f t="shared" si="288"/>
        <v>1</v>
      </c>
      <c r="AF144" s="13">
        <f t="shared" si="288"/>
        <v>0</v>
      </c>
      <c r="AG144" s="13">
        <f t="shared" si="288"/>
        <v>1</v>
      </c>
      <c r="AH144" s="13">
        <f t="shared" si="288"/>
        <v>0</v>
      </c>
      <c r="AI144" s="13">
        <f t="shared" si="288"/>
        <v>0</v>
      </c>
      <c r="AJ144" s="13">
        <f t="shared" si="288"/>
        <v>1</v>
      </c>
      <c r="AK144" s="13">
        <f t="shared" si="288"/>
        <v>0</v>
      </c>
      <c r="AL144" s="13">
        <f t="shared" si="288"/>
        <v>0</v>
      </c>
      <c r="AM144" s="13">
        <f t="shared" si="288"/>
        <v>0</v>
      </c>
      <c r="AN144" s="13">
        <f t="shared" si="288"/>
        <v>0</v>
      </c>
      <c r="AO144" s="13">
        <f t="shared" si="288"/>
        <v>0</v>
      </c>
      <c r="AP144" s="13">
        <f t="shared" si="288"/>
        <v>0</v>
      </c>
      <c r="AQ144" s="13" t="s">
        <v>1057</v>
      </c>
      <c r="AR144" s="13"/>
      <c r="AS144" s="13" t="s">
        <v>1058</v>
      </c>
      <c r="AT144" s="13"/>
      <c r="AU144" s="13"/>
      <c r="AV144" s="13"/>
      <c r="AW144" s="13">
        <v>0.0</v>
      </c>
      <c r="AX144" s="13">
        <v>-1.0</v>
      </c>
      <c r="AY144" s="13">
        <v>0.0</v>
      </c>
      <c r="AZ144" s="13"/>
      <c r="BA144" s="13"/>
      <c r="BB144" s="13"/>
      <c r="BC144" s="13"/>
      <c r="BD144" s="13"/>
      <c r="BE144" s="13"/>
      <c r="BF144" s="13"/>
      <c r="BG144" s="13"/>
      <c r="BH144" s="13" t="s">
        <v>79</v>
      </c>
      <c r="BI144" s="13" t="b">
        <v>0</v>
      </c>
      <c r="BJ144" s="13">
        <v>0.0</v>
      </c>
      <c r="BK144" s="13">
        <v>0.0</v>
      </c>
    </row>
    <row r="145" ht="14.25" customHeight="1">
      <c r="A145" s="13">
        <v>143.0</v>
      </c>
      <c r="B145" s="13" t="s">
        <v>46</v>
      </c>
      <c r="C145" s="13">
        <v>2.0</v>
      </c>
      <c r="D145" s="14">
        <v>0.0</v>
      </c>
      <c r="E145" s="13" t="s">
        <v>1059</v>
      </c>
      <c r="F145" s="15" t="s">
        <v>1060</v>
      </c>
      <c r="G145" s="16" t="s">
        <v>1061</v>
      </c>
      <c r="H145" s="13"/>
      <c r="I145" s="13">
        <v>1.0</v>
      </c>
      <c r="J145" s="13" t="s">
        <v>1062</v>
      </c>
      <c r="K145" s="13">
        <f t="shared" si="3"/>
        <v>0</v>
      </c>
      <c r="L145" s="13">
        <f t="shared" si="4"/>
        <v>3</v>
      </c>
      <c r="M145" s="13">
        <f t="shared" ref="M145:AA145" si="289">IFERROR(VALUE(RIGHT(LEFT($J145,FIND(M$1,$J145,1)+LEN(M$1)),1)),0)</f>
        <v>0</v>
      </c>
      <c r="N145" s="13">
        <f t="shared" si="289"/>
        <v>0</v>
      </c>
      <c r="O145" s="13">
        <f t="shared" si="289"/>
        <v>0</v>
      </c>
      <c r="P145" s="13">
        <f t="shared" si="289"/>
        <v>0</v>
      </c>
      <c r="Q145" s="13">
        <f t="shared" si="289"/>
        <v>0</v>
      </c>
      <c r="R145" s="13">
        <f t="shared" si="289"/>
        <v>0</v>
      </c>
      <c r="S145" s="13">
        <f t="shared" si="289"/>
        <v>0</v>
      </c>
      <c r="T145" s="13">
        <f t="shared" si="289"/>
        <v>0</v>
      </c>
      <c r="U145" s="13">
        <f t="shared" si="289"/>
        <v>0</v>
      </c>
      <c r="V145" s="13">
        <f t="shared" si="289"/>
        <v>0</v>
      </c>
      <c r="W145" s="13">
        <f t="shared" si="289"/>
        <v>0</v>
      </c>
      <c r="X145" s="13">
        <f t="shared" si="289"/>
        <v>0</v>
      </c>
      <c r="Y145" s="13">
        <f t="shared" si="289"/>
        <v>0</v>
      </c>
      <c r="Z145" s="13">
        <f t="shared" si="289"/>
        <v>0</v>
      </c>
      <c r="AA145" s="13">
        <f t="shared" si="289"/>
        <v>0</v>
      </c>
      <c r="AB145" s="13">
        <f t="shared" ref="AB145:AP145" si="290">IFERROR(VALUE(RIGHT(LEFT($J145,FIND(AB$1,$J145,IF(M145=0,1,FIND(AB$1,$J145,1)+1))+LEN(AB$1)),1)),0)</f>
        <v>0</v>
      </c>
      <c r="AC145" s="13">
        <f t="shared" si="290"/>
        <v>1</v>
      </c>
      <c r="AD145" s="13">
        <f t="shared" si="290"/>
        <v>0</v>
      </c>
      <c r="AE145" s="13">
        <f t="shared" si="290"/>
        <v>0</v>
      </c>
      <c r="AF145" s="13">
        <f t="shared" si="290"/>
        <v>0</v>
      </c>
      <c r="AG145" s="13">
        <f t="shared" si="290"/>
        <v>0</v>
      </c>
      <c r="AH145" s="13">
        <f t="shared" si="290"/>
        <v>0</v>
      </c>
      <c r="AI145" s="13">
        <f t="shared" si="290"/>
        <v>0</v>
      </c>
      <c r="AJ145" s="13">
        <f t="shared" si="290"/>
        <v>2</v>
      </c>
      <c r="AK145" s="13">
        <f t="shared" si="290"/>
        <v>0</v>
      </c>
      <c r="AL145" s="13">
        <f t="shared" si="290"/>
        <v>0</v>
      </c>
      <c r="AM145" s="13">
        <f t="shared" si="290"/>
        <v>0</v>
      </c>
      <c r="AN145" s="13">
        <f t="shared" si="290"/>
        <v>0</v>
      </c>
      <c r="AO145" s="13">
        <f t="shared" si="290"/>
        <v>0</v>
      </c>
      <c r="AP145" s="13">
        <f t="shared" si="290"/>
        <v>0</v>
      </c>
      <c r="AQ145" s="13" t="s">
        <v>1063</v>
      </c>
      <c r="AR145" s="13"/>
      <c r="AS145" s="13" t="s">
        <v>1064</v>
      </c>
      <c r="AT145" s="13"/>
      <c r="AU145" s="13"/>
      <c r="AV145" s="13"/>
      <c r="AW145" s="13">
        <v>0.0</v>
      </c>
      <c r="AX145" s="13">
        <v>-1.0</v>
      </c>
      <c r="AY145" s="13">
        <v>0.0</v>
      </c>
      <c r="AZ145" s="13"/>
      <c r="BA145" s="13"/>
      <c r="BB145" s="13"/>
      <c r="BC145" s="13"/>
      <c r="BD145" s="13"/>
      <c r="BE145" s="13"/>
      <c r="BF145" s="13"/>
      <c r="BG145" s="13"/>
      <c r="BH145" s="13" t="s">
        <v>79</v>
      </c>
      <c r="BI145" s="13" t="b">
        <v>0</v>
      </c>
      <c r="BJ145" s="13">
        <v>0.0</v>
      </c>
      <c r="BK145" s="13">
        <v>0.0</v>
      </c>
    </row>
    <row r="146" ht="14.25" customHeight="1">
      <c r="A146" s="13">
        <v>144.0</v>
      </c>
      <c r="B146" s="13" t="s">
        <v>46</v>
      </c>
      <c r="C146" s="13">
        <v>2.0</v>
      </c>
      <c r="D146" s="14">
        <v>0.0</v>
      </c>
      <c r="E146" s="13" t="s">
        <v>1065</v>
      </c>
      <c r="F146" s="15" t="s">
        <v>1066</v>
      </c>
      <c r="G146" s="16" t="s">
        <v>1067</v>
      </c>
      <c r="H146" s="13"/>
      <c r="I146" s="13">
        <v>1.0</v>
      </c>
      <c r="J146" s="13" t="s">
        <v>1068</v>
      </c>
      <c r="K146" s="13">
        <f t="shared" si="3"/>
        <v>0</v>
      </c>
      <c r="L146" s="13">
        <f t="shared" si="4"/>
        <v>3</v>
      </c>
      <c r="M146" s="13">
        <f t="shared" ref="M146:AA146" si="291">IFERROR(VALUE(RIGHT(LEFT($J146,FIND(M$1,$J146,1)+LEN(M$1)),1)),0)</f>
        <v>0</v>
      </c>
      <c r="N146" s="13">
        <f t="shared" si="291"/>
        <v>0</v>
      </c>
      <c r="O146" s="13">
        <f t="shared" si="291"/>
        <v>0</v>
      </c>
      <c r="P146" s="13">
        <f t="shared" si="291"/>
        <v>0</v>
      </c>
      <c r="Q146" s="13">
        <f t="shared" si="291"/>
        <v>0</v>
      </c>
      <c r="R146" s="13">
        <f t="shared" si="291"/>
        <v>0</v>
      </c>
      <c r="S146" s="13">
        <f t="shared" si="291"/>
        <v>0</v>
      </c>
      <c r="T146" s="13">
        <f t="shared" si="291"/>
        <v>0</v>
      </c>
      <c r="U146" s="13">
        <f t="shared" si="291"/>
        <v>0</v>
      </c>
      <c r="V146" s="13">
        <f t="shared" si="291"/>
        <v>0</v>
      </c>
      <c r="W146" s="13">
        <f t="shared" si="291"/>
        <v>0</v>
      </c>
      <c r="X146" s="13">
        <f t="shared" si="291"/>
        <v>0</v>
      </c>
      <c r="Y146" s="13">
        <f t="shared" si="291"/>
        <v>0</v>
      </c>
      <c r="Z146" s="13">
        <f t="shared" si="291"/>
        <v>0</v>
      </c>
      <c r="AA146" s="13">
        <f t="shared" si="291"/>
        <v>0</v>
      </c>
      <c r="AB146" s="13">
        <f t="shared" ref="AB146:AP146" si="292">IFERROR(VALUE(RIGHT(LEFT($J146,FIND(AB$1,$J146,IF(M146=0,1,FIND(AB$1,$J146,1)+1))+LEN(AB$1)),1)),0)</f>
        <v>1</v>
      </c>
      <c r="AC146" s="13">
        <f t="shared" si="292"/>
        <v>0</v>
      </c>
      <c r="AD146" s="13">
        <f t="shared" si="292"/>
        <v>1</v>
      </c>
      <c r="AE146" s="13">
        <f t="shared" si="292"/>
        <v>0</v>
      </c>
      <c r="AF146" s="13">
        <f t="shared" si="292"/>
        <v>0</v>
      </c>
      <c r="AG146" s="13">
        <f t="shared" si="292"/>
        <v>0</v>
      </c>
      <c r="AH146" s="13">
        <f t="shared" si="292"/>
        <v>0</v>
      </c>
      <c r="AI146" s="13">
        <f t="shared" si="292"/>
        <v>0</v>
      </c>
      <c r="AJ146" s="13">
        <f t="shared" si="292"/>
        <v>1</v>
      </c>
      <c r="AK146" s="13">
        <f t="shared" si="292"/>
        <v>0</v>
      </c>
      <c r="AL146" s="13">
        <f t="shared" si="292"/>
        <v>0</v>
      </c>
      <c r="AM146" s="13">
        <f t="shared" si="292"/>
        <v>0</v>
      </c>
      <c r="AN146" s="13">
        <f t="shared" si="292"/>
        <v>0</v>
      </c>
      <c r="AO146" s="13">
        <f t="shared" si="292"/>
        <v>0</v>
      </c>
      <c r="AP146" s="13">
        <f t="shared" si="292"/>
        <v>0</v>
      </c>
      <c r="AQ146" s="13" t="s">
        <v>1069</v>
      </c>
      <c r="AR146" s="13"/>
      <c r="AS146" s="13" t="s">
        <v>1070</v>
      </c>
      <c r="AT146" s="13"/>
      <c r="AU146" s="13"/>
      <c r="AV146" s="13"/>
      <c r="AW146" s="13">
        <v>0.0</v>
      </c>
      <c r="AX146" s="13">
        <v>-1.0</v>
      </c>
      <c r="AY146" s="13">
        <v>0.0</v>
      </c>
      <c r="AZ146" s="13"/>
      <c r="BA146" s="13"/>
      <c r="BB146" s="13"/>
      <c r="BC146" s="13"/>
      <c r="BD146" s="13"/>
      <c r="BE146" s="13"/>
      <c r="BF146" s="13"/>
      <c r="BG146" s="13"/>
      <c r="BH146" s="13" t="s">
        <v>79</v>
      </c>
      <c r="BI146" s="13" t="b">
        <v>0</v>
      </c>
      <c r="BJ146" s="13">
        <v>0.0</v>
      </c>
      <c r="BK146" s="13">
        <v>0.0</v>
      </c>
    </row>
    <row r="147" ht="14.25" customHeight="1">
      <c r="A147" s="13">
        <v>145.0</v>
      </c>
      <c r="B147" s="13" t="s">
        <v>46</v>
      </c>
      <c r="C147" s="13">
        <v>2.0</v>
      </c>
      <c r="D147" s="14">
        <v>0.0</v>
      </c>
      <c r="E147" s="13" t="s">
        <v>1071</v>
      </c>
      <c r="F147" s="15" t="s">
        <v>1009</v>
      </c>
      <c r="G147" s="16" t="s">
        <v>1072</v>
      </c>
      <c r="H147" s="13"/>
      <c r="I147" s="13">
        <v>1.0</v>
      </c>
      <c r="J147" s="13" t="s">
        <v>1073</v>
      </c>
      <c r="K147" s="13">
        <f t="shared" si="3"/>
        <v>0</v>
      </c>
      <c r="L147" s="13">
        <f t="shared" si="4"/>
        <v>3</v>
      </c>
      <c r="M147" s="13">
        <f t="shared" ref="M147:AA147" si="293">IFERROR(VALUE(RIGHT(LEFT($J147,FIND(M$1,$J147,1)+LEN(M$1)),1)),0)</f>
        <v>0</v>
      </c>
      <c r="N147" s="13">
        <f t="shared" si="293"/>
        <v>0</v>
      </c>
      <c r="O147" s="13">
        <f t="shared" si="293"/>
        <v>0</v>
      </c>
      <c r="P147" s="13">
        <f t="shared" si="293"/>
        <v>0</v>
      </c>
      <c r="Q147" s="13">
        <f t="shared" si="293"/>
        <v>0</v>
      </c>
      <c r="R147" s="13">
        <f t="shared" si="293"/>
        <v>0</v>
      </c>
      <c r="S147" s="13">
        <f t="shared" si="293"/>
        <v>0</v>
      </c>
      <c r="T147" s="13">
        <f t="shared" si="293"/>
        <v>0</v>
      </c>
      <c r="U147" s="13">
        <f t="shared" si="293"/>
        <v>0</v>
      </c>
      <c r="V147" s="13">
        <f t="shared" si="293"/>
        <v>0</v>
      </c>
      <c r="W147" s="13">
        <f t="shared" si="293"/>
        <v>0</v>
      </c>
      <c r="X147" s="13">
        <f t="shared" si="293"/>
        <v>0</v>
      </c>
      <c r="Y147" s="13">
        <f t="shared" si="293"/>
        <v>0</v>
      </c>
      <c r="Z147" s="13">
        <f t="shared" si="293"/>
        <v>0</v>
      </c>
      <c r="AA147" s="13">
        <f t="shared" si="293"/>
        <v>0</v>
      </c>
      <c r="AB147" s="13">
        <f t="shared" ref="AB147:AP147" si="294">IFERROR(VALUE(RIGHT(LEFT($J147,FIND(AB$1,$J147,IF(M147=0,1,FIND(AB$1,$J147,1)+1))+LEN(AB$1)),1)),0)</f>
        <v>0</v>
      </c>
      <c r="AC147" s="13">
        <f t="shared" si="294"/>
        <v>0</v>
      </c>
      <c r="AD147" s="13">
        <f t="shared" si="294"/>
        <v>0</v>
      </c>
      <c r="AE147" s="13">
        <f t="shared" si="294"/>
        <v>0</v>
      </c>
      <c r="AF147" s="13">
        <f t="shared" si="294"/>
        <v>0</v>
      </c>
      <c r="AG147" s="13">
        <f t="shared" si="294"/>
        <v>1</v>
      </c>
      <c r="AH147" s="13">
        <f t="shared" si="294"/>
        <v>0</v>
      </c>
      <c r="AI147" s="13">
        <f t="shared" si="294"/>
        <v>0</v>
      </c>
      <c r="AJ147" s="13">
        <f t="shared" si="294"/>
        <v>2</v>
      </c>
      <c r="AK147" s="13">
        <f t="shared" si="294"/>
        <v>0</v>
      </c>
      <c r="AL147" s="13">
        <f t="shared" si="294"/>
        <v>0</v>
      </c>
      <c r="AM147" s="13">
        <f t="shared" si="294"/>
        <v>0</v>
      </c>
      <c r="AN147" s="13">
        <f t="shared" si="294"/>
        <v>0</v>
      </c>
      <c r="AO147" s="13">
        <f t="shared" si="294"/>
        <v>0</v>
      </c>
      <c r="AP147" s="13">
        <f t="shared" si="294"/>
        <v>0</v>
      </c>
      <c r="AQ147" s="13" t="s">
        <v>1074</v>
      </c>
      <c r="AR147" s="13"/>
      <c r="AS147" s="13" t="s">
        <v>1075</v>
      </c>
      <c r="AT147" s="13"/>
      <c r="AU147" s="13"/>
      <c r="AV147" s="13"/>
      <c r="AW147" s="13">
        <v>0.0</v>
      </c>
      <c r="AX147" s="13">
        <v>-1.0</v>
      </c>
      <c r="AY147" s="13">
        <v>0.0</v>
      </c>
      <c r="AZ147" s="13"/>
      <c r="BA147" s="13"/>
      <c r="BB147" s="13"/>
      <c r="BC147" s="13"/>
      <c r="BD147" s="13"/>
      <c r="BE147" s="13"/>
      <c r="BF147" s="13"/>
      <c r="BG147" s="13"/>
      <c r="BH147" s="13" t="s">
        <v>79</v>
      </c>
      <c r="BI147" s="13" t="b">
        <v>0</v>
      </c>
      <c r="BJ147" s="13">
        <v>0.0</v>
      </c>
      <c r="BK147" s="13">
        <v>0.0</v>
      </c>
    </row>
    <row r="148" ht="14.25" customHeight="1">
      <c r="A148" s="13">
        <v>146.0</v>
      </c>
      <c r="B148" s="13" t="s">
        <v>46</v>
      </c>
      <c r="C148" s="13">
        <v>2.0</v>
      </c>
      <c r="D148" s="14">
        <v>0.0</v>
      </c>
      <c r="E148" s="13" t="s">
        <v>1076</v>
      </c>
      <c r="F148" s="15" t="s">
        <v>413</v>
      </c>
      <c r="G148" s="16" t="s">
        <v>1077</v>
      </c>
      <c r="H148" s="13"/>
      <c r="I148" s="13">
        <v>0.9</v>
      </c>
      <c r="J148" s="13" t="s">
        <v>1078</v>
      </c>
      <c r="K148" s="13">
        <f t="shared" si="3"/>
        <v>0</v>
      </c>
      <c r="L148" s="13">
        <f t="shared" si="4"/>
        <v>3</v>
      </c>
      <c r="M148" s="13">
        <f t="shared" ref="M148:AA148" si="295">IFERROR(VALUE(RIGHT(LEFT($J148,FIND(M$1,$J148,1)+LEN(M$1)),1)),0)</f>
        <v>0</v>
      </c>
      <c r="N148" s="13">
        <f t="shared" si="295"/>
        <v>0</v>
      </c>
      <c r="O148" s="13">
        <f t="shared" si="295"/>
        <v>0</v>
      </c>
      <c r="P148" s="13">
        <f t="shared" si="295"/>
        <v>0</v>
      </c>
      <c r="Q148" s="13">
        <f t="shared" si="295"/>
        <v>0</v>
      </c>
      <c r="R148" s="13">
        <f t="shared" si="295"/>
        <v>0</v>
      </c>
      <c r="S148" s="13">
        <f t="shared" si="295"/>
        <v>0</v>
      </c>
      <c r="T148" s="13">
        <f t="shared" si="295"/>
        <v>0</v>
      </c>
      <c r="U148" s="13">
        <f t="shared" si="295"/>
        <v>0</v>
      </c>
      <c r="V148" s="13">
        <f t="shared" si="295"/>
        <v>0</v>
      </c>
      <c r="W148" s="13">
        <f t="shared" si="295"/>
        <v>0</v>
      </c>
      <c r="X148" s="13">
        <f t="shared" si="295"/>
        <v>0</v>
      </c>
      <c r="Y148" s="13">
        <f t="shared" si="295"/>
        <v>0</v>
      </c>
      <c r="Z148" s="13">
        <f t="shared" si="295"/>
        <v>0</v>
      </c>
      <c r="AA148" s="13">
        <f t="shared" si="295"/>
        <v>0</v>
      </c>
      <c r="AB148" s="13">
        <f t="shared" ref="AB148:AP148" si="296">IFERROR(VALUE(RIGHT(LEFT($J148,FIND(AB$1,$J148,IF(M148=0,1,FIND(AB$1,$J148,1)+1))+LEN(AB$1)),1)),0)</f>
        <v>1</v>
      </c>
      <c r="AC148" s="13">
        <f t="shared" si="296"/>
        <v>0</v>
      </c>
      <c r="AD148" s="13">
        <f t="shared" si="296"/>
        <v>0</v>
      </c>
      <c r="AE148" s="13">
        <f t="shared" si="296"/>
        <v>1</v>
      </c>
      <c r="AF148" s="13">
        <f t="shared" si="296"/>
        <v>0</v>
      </c>
      <c r="AG148" s="13">
        <f t="shared" si="296"/>
        <v>0</v>
      </c>
      <c r="AH148" s="13">
        <f t="shared" si="296"/>
        <v>0</v>
      </c>
      <c r="AI148" s="13">
        <f t="shared" si="296"/>
        <v>0</v>
      </c>
      <c r="AJ148" s="13">
        <f t="shared" si="296"/>
        <v>1</v>
      </c>
      <c r="AK148" s="13">
        <f t="shared" si="296"/>
        <v>0</v>
      </c>
      <c r="AL148" s="13">
        <f t="shared" si="296"/>
        <v>0</v>
      </c>
      <c r="AM148" s="13">
        <f t="shared" si="296"/>
        <v>0</v>
      </c>
      <c r="AN148" s="13">
        <f t="shared" si="296"/>
        <v>0</v>
      </c>
      <c r="AO148" s="13">
        <f t="shared" si="296"/>
        <v>0</v>
      </c>
      <c r="AP148" s="13">
        <f t="shared" si="296"/>
        <v>0</v>
      </c>
      <c r="AQ148" s="13" t="s">
        <v>1079</v>
      </c>
      <c r="AR148" s="13"/>
      <c r="AS148" s="13" t="s">
        <v>1080</v>
      </c>
      <c r="AT148" s="13"/>
      <c r="AU148" s="13"/>
      <c r="AV148" s="13"/>
      <c r="AW148" s="13">
        <v>0.0</v>
      </c>
      <c r="AX148" s="13">
        <v>-1.0</v>
      </c>
      <c r="AY148" s="13">
        <v>0.0</v>
      </c>
      <c r="AZ148" s="13"/>
      <c r="BA148" s="13"/>
      <c r="BB148" s="13"/>
      <c r="BC148" s="13"/>
      <c r="BD148" s="13"/>
      <c r="BE148" s="13"/>
      <c r="BF148" s="13"/>
      <c r="BG148" s="13"/>
      <c r="BH148" s="13" t="s">
        <v>79</v>
      </c>
      <c r="BI148" s="13" t="b">
        <v>0</v>
      </c>
      <c r="BJ148" s="13">
        <v>0.0</v>
      </c>
      <c r="BK148" s="13">
        <v>0.0</v>
      </c>
    </row>
    <row r="149" ht="14.25" customHeight="1">
      <c r="A149" s="13">
        <v>147.0</v>
      </c>
      <c r="B149" s="13" t="s">
        <v>47</v>
      </c>
      <c r="C149" s="13">
        <v>2.0</v>
      </c>
      <c r="D149" s="14">
        <v>0.0</v>
      </c>
      <c r="E149" s="13" t="s">
        <v>1081</v>
      </c>
      <c r="F149" s="15"/>
      <c r="G149" s="16" t="s">
        <v>1082</v>
      </c>
      <c r="H149" s="13">
        <v>16.0</v>
      </c>
      <c r="I149" s="13">
        <v>1.2</v>
      </c>
      <c r="J149" s="13" t="s">
        <v>1083</v>
      </c>
      <c r="K149" s="13">
        <f t="shared" si="3"/>
        <v>0</v>
      </c>
      <c r="L149" s="13">
        <f t="shared" si="4"/>
        <v>3</v>
      </c>
      <c r="M149" s="13">
        <f t="shared" ref="M149:AA149" si="297">IFERROR(VALUE(RIGHT(LEFT($J149,FIND(M$1,$J149,1)+LEN(M$1)),1)),0)</f>
        <v>0</v>
      </c>
      <c r="N149" s="13">
        <f t="shared" si="297"/>
        <v>0</v>
      </c>
      <c r="O149" s="13">
        <f t="shared" si="297"/>
        <v>0</v>
      </c>
      <c r="P149" s="13">
        <f t="shared" si="297"/>
        <v>0</v>
      </c>
      <c r="Q149" s="13">
        <f t="shared" si="297"/>
        <v>0</v>
      </c>
      <c r="R149" s="13">
        <f t="shared" si="297"/>
        <v>0</v>
      </c>
      <c r="S149" s="13">
        <f t="shared" si="297"/>
        <v>0</v>
      </c>
      <c r="T149" s="13">
        <f t="shared" si="297"/>
        <v>0</v>
      </c>
      <c r="U149" s="13">
        <f t="shared" si="297"/>
        <v>0</v>
      </c>
      <c r="V149" s="13">
        <f t="shared" si="297"/>
        <v>0</v>
      </c>
      <c r="W149" s="13">
        <f t="shared" si="297"/>
        <v>0</v>
      </c>
      <c r="X149" s="13">
        <f t="shared" si="297"/>
        <v>0</v>
      </c>
      <c r="Y149" s="13">
        <f t="shared" si="297"/>
        <v>0</v>
      </c>
      <c r="Z149" s="13">
        <f t="shared" si="297"/>
        <v>0</v>
      </c>
      <c r="AA149" s="13">
        <f t="shared" si="297"/>
        <v>0</v>
      </c>
      <c r="AB149" s="13">
        <f t="shared" ref="AB149:AP149" si="298">IFERROR(VALUE(RIGHT(LEFT($J149,FIND(AB$1,$J149,IF(M149=0,1,FIND(AB$1,$J149,1)+1))+LEN(AB$1)),1)),0)</f>
        <v>1</v>
      </c>
      <c r="AC149" s="13">
        <f t="shared" si="298"/>
        <v>0</v>
      </c>
      <c r="AD149" s="13">
        <f t="shared" si="298"/>
        <v>0</v>
      </c>
      <c r="AE149" s="13">
        <f t="shared" si="298"/>
        <v>0</v>
      </c>
      <c r="AF149" s="13">
        <f t="shared" si="298"/>
        <v>0</v>
      </c>
      <c r="AG149" s="13">
        <f t="shared" si="298"/>
        <v>0</v>
      </c>
      <c r="AH149" s="13">
        <f t="shared" si="298"/>
        <v>0</v>
      </c>
      <c r="AI149" s="13">
        <f t="shared" si="298"/>
        <v>0</v>
      </c>
      <c r="AJ149" s="13">
        <f t="shared" si="298"/>
        <v>0</v>
      </c>
      <c r="AK149" s="13">
        <f t="shared" si="298"/>
        <v>2</v>
      </c>
      <c r="AL149" s="13">
        <f t="shared" si="298"/>
        <v>0</v>
      </c>
      <c r="AM149" s="13">
        <f t="shared" si="298"/>
        <v>0</v>
      </c>
      <c r="AN149" s="13">
        <f t="shared" si="298"/>
        <v>0</v>
      </c>
      <c r="AO149" s="13">
        <f t="shared" si="298"/>
        <v>0</v>
      </c>
      <c r="AP149" s="13">
        <f t="shared" si="298"/>
        <v>0</v>
      </c>
      <c r="AQ149" s="13"/>
      <c r="AR149" s="13" t="s">
        <v>1084</v>
      </c>
      <c r="AS149" s="13" t="s">
        <v>1085</v>
      </c>
      <c r="AT149" s="13" t="s">
        <v>573</v>
      </c>
      <c r="AU149" s="13" t="s">
        <v>130</v>
      </c>
      <c r="AV149" s="13" t="s">
        <v>1086</v>
      </c>
      <c r="AW149" s="13">
        <v>16.0</v>
      </c>
      <c r="AX149" s="13">
        <v>-1.0</v>
      </c>
      <c r="AY149" s="13">
        <v>0.0</v>
      </c>
      <c r="AZ149" s="13" t="s">
        <v>1087</v>
      </c>
      <c r="BA149" s="13" t="s">
        <v>1088</v>
      </c>
      <c r="BB149" s="13"/>
      <c r="BC149" s="13"/>
      <c r="BD149" s="13" t="s">
        <v>484</v>
      </c>
      <c r="BE149" s="13"/>
      <c r="BF149" s="13" t="s">
        <v>1089</v>
      </c>
      <c r="BG149" s="13" t="s">
        <v>136</v>
      </c>
      <c r="BH149" s="13" t="s">
        <v>79</v>
      </c>
      <c r="BI149" s="13" t="b">
        <v>0</v>
      </c>
      <c r="BJ149" s="13">
        <v>0.0</v>
      </c>
      <c r="BK149" s="13">
        <v>0.0</v>
      </c>
    </row>
    <row r="150" ht="14.25" customHeight="1">
      <c r="A150" s="13">
        <v>148.0</v>
      </c>
      <c r="B150" s="13" t="s">
        <v>47</v>
      </c>
      <c r="C150" s="13">
        <v>2.0</v>
      </c>
      <c r="D150" s="14">
        <v>0.0</v>
      </c>
      <c r="E150" s="13" t="s">
        <v>1090</v>
      </c>
      <c r="F150" s="15" t="s">
        <v>413</v>
      </c>
      <c r="G150" s="16" t="s">
        <v>1091</v>
      </c>
      <c r="H150" s="13">
        <v>12.0</v>
      </c>
      <c r="I150" s="13">
        <v>0.9</v>
      </c>
      <c r="J150" s="13" t="s">
        <v>1092</v>
      </c>
      <c r="K150" s="13">
        <f t="shared" si="3"/>
        <v>0</v>
      </c>
      <c r="L150" s="13">
        <f t="shared" si="4"/>
        <v>3</v>
      </c>
      <c r="M150" s="13">
        <f t="shared" ref="M150:AA150" si="299">IFERROR(VALUE(RIGHT(LEFT($J150,FIND(M$1,$J150,1)+LEN(M$1)),1)),0)</f>
        <v>0</v>
      </c>
      <c r="N150" s="13">
        <f t="shared" si="299"/>
        <v>0</v>
      </c>
      <c r="O150" s="13">
        <f t="shared" si="299"/>
        <v>0</v>
      </c>
      <c r="P150" s="13">
        <f t="shared" si="299"/>
        <v>0</v>
      </c>
      <c r="Q150" s="13">
        <f t="shared" si="299"/>
        <v>0</v>
      </c>
      <c r="R150" s="13">
        <f t="shared" si="299"/>
        <v>0</v>
      </c>
      <c r="S150" s="13">
        <f t="shared" si="299"/>
        <v>0</v>
      </c>
      <c r="T150" s="13">
        <f t="shared" si="299"/>
        <v>0</v>
      </c>
      <c r="U150" s="13">
        <f t="shared" si="299"/>
        <v>0</v>
      </c>
      <c r="V150" s="13">
        <f t="shared" si="299"/>
        <v>0</v>
      </c>
      <c r="W150" s="13">
        <f t="shared" si="299"/>
        <v>0</v>
      </c>
      <c r="X150" s="13">
        <f t="shared" si="299"/>
        <v>0</v>
      </c>
      <c r="Y150" s="13">
        <f t="shared" si="299"/>
        <v>0</v>
      </c>
      <c r="Z150" s="13">
        <f t="shared" si="299"/>
        <v>0</v>
      </c>
      <c r="AA150" s="13">
        <f t="shared" si="299"/>
        <v>0</v>
      </c>
      <c r="AB150" s="13">
        <f t="shared" ref="AB150:AP150" si="300">IFERROR(VALUE(RIGHT(LEFT($J150,FIND(AB$1,$J150,IF(M150=0,1,FIND(AB$1,$J150,1)+1))+LEN(AB$1)),1)),0)</f>
        <v>0</v>
      </c>
      <c r="AC150" s="13">
        <f t="shared" si="300"/>
        <v>1</v>
      </c>
      <c r="AD150" s="13">
        <f t="shared" si="300"/>
        <v>0</v>
      </c>
      <c r="AE150" s="13">
        <f t="shared" si="300"/>
        <v>1</v>
      </c>
      <c r="AF150" s="13">
        <f t="shared" si="300"/>
        <v>0</v>
      </c>
      <c r="AG150" s="13">
        <f t="shared" si="300"/>
        <v>0</v>
      </c>
      <c r="AH150" s="13">
        <f t="shared" si="300"/>
        <v>0</v>
      </c>
      <c r="AI150" s="13">
        <f t="shared" si="300"/>
        <v>0</v>
      </c>
      <c r="AJ150" s="13">
        <f t="shared" si="300"/>
        <v>0</v>
      </c>
      <c r="AK150" s="13">
        <f t="shared" si="300"/>
        <v>1</v>
      </c>
      <c r="AL150" s="13">
        <f t="shared" si="300"/>
        <v>0</v>
      </c>
      <c r="AM150" s="13">
        <f t="shared" si="300"/>
        <v>0</v>
      </c>
      <c r="AN150" s="13">
        <f t="shared" si="300"/>
        <v>0</v>
      </c>
      <c r="AO150" s="13">
        <f t="shared" si="300"/>
        <v>0</v>
      </c>
      <c r="AP150" s="13">
        <f t="shared" si="300"/>
        <v>0</v>
      </c>
      <c r="AQ150" s="13"/>
      <c r="AR150" s="13" t="s">
        <v>1093</v>
      </c>
      <c r="AS150" s="13" t="s">
        <v>1094</v>
      </c>
      <c r="AT150" s="13" t="s">
        <v>129</v>
      </c>
      <c r="AU150" s="13" t="s">
        <v>143</v>
      </c>
      <c r="AV150" s="13" t="s">
        <v>1095</v>
      </c>
      <c r="AW150" s="13">
        <v>12.0</v>
      </c>
      <c r="AX150" s="13">
        <v>-1.0</v>
      </c>
      <c r="AY150" s="13">
        <v>0.0</v>
      </c>
      <c r="AZ150" s="13" t="s">
        <v>1096</v>
      </c>
      <c r="BA150" s="13" t="s">
        <v>281</v>
      </c>
      <c r="BB150" s="13"/>
      <c r="BC150" s="13"/>
      <c r="BD150" s="13" t="s">
        <v>134</v>
      </c>
      <c r="BE150" s="13"/>
      <c r="BF150" s="13" t="s">
        <v>156</v>
      </c>
      <c r="BG150" s="13" t="s">
        <v>136</v>
      </c>
      <c r="BH150" s="13" t="s">
        <v>79</v>
      </c>
      <c r="BI150" s="13" t="b">
        <v>0</v>
      </c>
      <c r="BJ150" s="13">
        <v>0.0</v>
      </c>
      <c r="BK150" s="13">
        <v>0.0</v>
      </c>
    </row>
    <row r="151" ht="14.25" customHeight="1">
      <c r="A151" s="13">
        <v>149.0</v>
      </c>
      <c r="B151" s="13" t="s">
        <v>47</v>
      </c>
      <c r="C151" s="13">
        <v>2.0</v>
      </c>
      <c r="D151" s="14">
        <v>0.0</v>
      </c>
      <c r="E151" s="13" t="s">
        <v>1097</v>
      </c>
      <c r="F151" s="15" t="s">
        <v>514</v>
      </c>
      <c r="G151" s="16" t="s">
        <v>1098</v>
      </c>
      <c r="H151" s="13">
        <v>15.0</v>
      </c>
      <c r="I151" s="13">
        <v>1.1</v>
      </c>
      <c r="J151" s="13" t="s">
        <v>1099</v>
      </c>
      <c r="K151" s="13">
        <f t="shared" si="3"/>
        <v>0</v>
      </c>
      <c r="L151" s="13">
        <f t="shared" si="4"/>
        <v>3</v>
      </c>
      <c r="M151" s="13">
        <f t="shared" ref="M151:AA151" si="301">IFERROR(VALUE(RIGHT(LEFT($J151,FIND(M$1,$J151,1)+LEN(M$1)),1)),0)</f>
        <v>0</v>
      </c>
      <c r="N151" s="13">
        <f t="shared" si="301"/>
        <v>0</v>
      </c>
      <c r="O151" s="13">
        <f t="shared" si="301"/>
        <v>0</v>
      </c>
      <c r="P151" s="13">
        <f t="shared" si="301"/>
        <v>0</v>
      </c>
      <c r="Q151" s="13">
        <f t="shared" si="301"/>
        <v>0</v>
      </c>
      <c r="R151" s="13">
        <f t="shared" si="301"/>
        <v>0</v>
      </c>
      <c r="S151" s="13">
        <f t="shared" si="301"/>
        <v>0</v>
      </c>
      <c r="T151" s="13">
        <f t="shared" si="301"/>
        <v>0</v>
      </c>
      <c r="U151" s="13">
        <f t="shared" si="301"/>
        <v>0</v>
      </c>
      <c r="V151" s="13">
        <f t="shared" si="301"/>
        <v>0</v>
      </c>
      <c r="W151" s="13">
        <f t="shared" si="301"/>
        <v>0</v>
      </c>
      <c r="X151" s="13">
        <f t="shared" si="301"/>
        <v>0</v>
      </c>
      <c r="Y151" s="13">
        <f t="shared" si="301"/>
        <v>0</v>
      </c>
      <c r="Z151" s="13">
        <f t="shared" si="301"/>
        <v>0</v>
      </c>
      <c r="AA151" s="13">
        <f t="shared" si="301"/>
        <v>0</v>
      </c>
      <c r="AB151" s="13">
        <f t="shared" ref="AB151:AP151" si="302">IFERROR(VALUE(RIGHT(LEFT($J151,FIND(AB$1,$J151,IF(M151=0,1,FIND(AB$1,$J151,1)+1))+LEN(AB$1)),1)),0)</f>
        <v>0</v>
      </c>
      <c r="AC151" s="13">
        <f t="shared" si="302"/>
        <v>0</v>
      </c>
      <c r="AD151" s="13">
        <f t="shared" si="302"/>
        <v>1</v>
      </c>
      <c r="AE151" s="13">
        <f t="shared" si="302"/>
        <v>0</v>
      </c>
      <c r="AF151" s="13">
        <f t="shared" si="302"/>
        <v>0</v>
      </c>
      <c r="AG151" s="13">
        <f t="shared" si="302"/>
        <v>1</v>
      </c>
      <c r="AH151" s="13">
        <f t="shared" si="302"/>
        <v>0</v>
      </c>
      <c r="AI151" s="13">
        <f t="shared" si="302"/>
        <v>0</v>
      </c>
      <c r="AJ151" s="13">
        <f t="shared" si="302"/>
        <v>0</v>
      </c>
      <c r="AK151" s="13">
        <f t="shared" si="302"/>
        <v>1</v>
      </c>
      <c r="AL151" s="13">
        <f t="shared" si="302"/>
        <v>0</v>
      </c>
      <c r="AM151" s="13">
        <f t="shared" si="302"/>
        <v>0</v>
      </c>
      <c r="AN151" s="13">
        <f t="shared" si="302"/>
        <v>0</v>
      </c>
      <c r="AO151" s="13">
        <f t="shared" si="302"/>
        <v>0</v>
      </c>
      <c r="AP151" s="13">
        <f t="shared" si="302"/>
        <v>0</v>
      </c>
      <c r="AQ151" s="13"/>
      <c r="AR151" s="13" t="s">
        <v>140</v>
      </c>
      <c r="AS151" s="13" t="s">
        <v>1100</v>
      </c>
      <c r="AT151" s="13" t="s">
        <v>162</v>
      </c>
      <c r="AU151" s="13" t="s">
        <v>195</v>
      </c>
      <c r="AV151" s="13" t="s">
        <v>1101</v>
      </c>
      <c r="AW151" s="13">
        <v>16.0</v>
      </c>
      <c r="AX151" s="13">
        <v>-1.0</v>
      </c>
      <c r="AY151" s="13">
        <v>0.0</v>
      </c>
      <c r="AZ151" s="13" t="s">
        <v>1102</v>
      </c>
      <c r="BA151" s="13" t="s">
        <v>1103</v>
      </c>
      <c r="BB151" s="13"/>
      <c r="BC151" s="13"/>
      <c r="BD151" s="13" t="s">
        <v>484</v>
      </c>
      <c r="BE151" s="13"/>
      <c r="BF151" s="13" t="s">
        <v>1104</v>
      </c>
      <c r="BG151" s="13" t="s">
        <v>136</v>
      </c>
      <c r="BH151" s="13" t="s">
        <v>241</v>
      </c>
      <c r="BI151" s="13" t="b">
        <v>0</v>
      </c>
      <c r="BJ151" s="13">
        <v>0.0</v>
      </c>
      <c r="BK151" s="13">
        <v>0.0</v>
      </c>
    </row>
    <row r="152" ht="14.25" customHeight="1">
      <c r="A152" s="13">
        <v>150.0</v>
      </c>
      <c r="B152" s="13" t="s">
        <v>47</v>
      </c>
      <c r="C152" s="13">
        <v>2.0</v>
      </c>
      <c r="D152" s="14">
        <v>0.0</v>
      </c>
      <c r="E152" s="13" t="s">
        <v>1105</v>
      </c>
      <c r="F152" s="15"/>
      <c r="G152" s="16" t="s">
        <v>1106</v>
      </c>
      <c r="H152" s="13">
        <v>15.0</v>
      </c>
      <c r="I152" s="13">
        <v>1.0</v>
      </c>
      <c r="J152" s="13" t="s">
        <v>1107</v>
      </c>
      <c r="K152" s="13">
        <f t="shared" si="3"/>
        <v>0</v>
      </c>
      <c r="L152" s="13">
        <f t="shared" si="4"/>
        <v>3</v>
      </c>
      <c r="M152" s="13">
        <f t="shared" ref="M152:AA152" si="303">IFERROR(VALUE(RIGHT(LEFT($J152,FIND(M$1,$J152,1)+LEN(M$1)),1)),0)</f>
        <v>0</v>
      </c>
      <c r="N152" s="13">
        <f t="shared" si="303"/>
        <v>0</v>
      </c>
      <c r="O152" s="13">
        <f t="shared" si="303"/>
        <v>0</v>
      </c>
      <c r="P152" s="13">
        <f t="shared" si="303"/>
        <v>0</v>
      </c>
      <c r="Q152" s="13">
        <f t="shared" si="303"/>
        <v>0</v>
      </c>
      <c r="R152" s="13">
        <f t="shared" si="303"/>
        <v>0</v>
      </c>
      <c r="S152" s="13">
        <f t="shared" si="303"/>
        <v>0</v>
      </c>
      <c r="T152" s="13">
        <f t="shared" si="303"/>
        <v>0</v>
      </c>
      <c r="U152" s="13">
        <f t="shared" si="303"/>
        <v>0</v>
      </c>
      <c r="V152" s="13">
        <f t="shared" si="303"/>
        <v>0</v>
      </c>
      <c r="W152" s="13">
        <f t="shared" si="303"/>
        <v>0</v>
      </c>
      <c r="X152" s="13">
        <f t="shared" si="303"/>
        <v>0</v>
      </c>
      <c r="Y152" s="13">
        <f t="shared" si="303"/>
        <v>0</v>
      </c>
      <c r="Z152" s="13">
        <f t="shared" si="303"/>
        <v>0</v>
      </c>
      <c r="AA152" s="13">
        <f t="shared" si="303"/>
        <v>0</v>
      </c>
      <c r="AB152" s="13">
        <f t="shared" ref="AB152:AP152" si="304">IFERROR(VALUE(RIGHT(LEFT($J152,FIND(AB$1,$J152,IF(M152=0,1,FIND(AB$1,$J152,1)+1))+LEN(AB$1)),1)),0)</f>
        <v>0</v>
      </c>
      <c r="AC152" s="13">
        <f t="shared" si="304"/>
        <v>1</v>
      </c>
      <c r="AD152" s="13">
        <f t="shared" si="304"/>
        <v>1</v>
      </c>
      <c r="AE152" s="13">
        <f t="shared" si="304"/>
        <v>0</v>
      </c>
      <c r="AF152" s="13">
        <f t="shared" si="304"/>
        <v>0</v>
      </c>
      <c r="AG152" s="13">
        <f t="shared" si="304"/>
        <v>0</v>
      </c>
      <c r="AH152" s="13">
        <f t="shared" si="304"/>
        <v>0</v>
      </c>
      <c r="AI152" s="13">
        <f t="shared" si="304"/>
        <v>0</v>
      </c>
      <c r="AJ152" s="13">
        <f t="shared" si="304"/>
        <v>0</v>
      </c>
      <c r="AK152" s="13">
        <f t="shared" si="304"/>
        <v>1</v>
      </c>
      <c r="AL152" s="13">
        <f t="shared" si="304"/>
        <v>0</v>
      </c>
      <c r="AM152" s="13">
        <f t="shared" si="304"/>
        <v>0</v>
      </c>
      <c r="AN152" s="13">
        <f t="shared" si="304"/>
        <v>0</v>
      </c>
      <c r="AO152" s="13">
        <f t="shared" si="304"/>
        <v>0</v>
      </c>
      <c r="AP152" s="13">
        <f t="shared" si="304"/>
        <v>0</v>
      </c>
      <c r="AQ152" s="13"/>
      <c r="AR152" s="13" t="s">
        <v>1108</v>
      </c>
      <c r="AS152" s="13" t="s">
        <v>1109</v>
      </c>
      <c r="AT152" s="13" t="s">
        <v>142</v>
      </c>
      <c r="AU152" s="13" t="s">
        <v>143</v>
      </c>
      <c r="AV152" s="13" t="s">
        <v>1110</v>
      </c>
      <c r="AW152" s="13">
        <v>14.0</v>
      </c>
      <c r="AX152" s="13">
        <v>-1.0</v>
      </c>
      <c r="AY152" s="13">
        <v>0.0</v>
      </c>
      <c r="AZ152" s="13" t="s">
        <v>1111</v>
      </c>
      <c r="BA152" s="13" t="s">
        <v>1112</v>
      </c>
      <c r="BB152" s="13"/>
      <c r="BC152" s="13"/>
      <c r="BD152" s="13" t="s">
        <v>1113</v>
      </c>
      <c r="BE152" s="13"/>
      <c r="BF152" s="13" t="s">
        <v>1114</v>
      </c>
      <c r="BG152" s="13" t="s">
        <v>136</v>
      </c>
      <c r="BH152" s="13" t="s">
        <v>79</v>
      </c>
      <c r="BI152" s="13" t="b">
        <v>0</v>
      </c>
      <c r="BJ152" s="13">
        <v>0.0</v>
      </c>
      <c r="BK152" s="13">
        <v>0.0</v>
      </c>
    </row>
    <row r="153" ht="14.25" customHeight="1">
      <c r="A153" s="13">
        <v>151.0</v>
      </c>
      <c r="B153" s="13" t="s">
        <v>47</v>
      </c>
      <c r="C153" s="13">
        <v>2.0</v>
      </c>
      <c r="D153" s="14">
        <v>0.0</v>
      </c>
      <c r="E153" s="13" t="s">
        <v>1115</v>
      </c>
      <c r="F153" s="15" t="s">
        <v>1116</v>
      </c>
      <c r="G153" s="16" t="s">
        <v>1117</v>
      </c>
      <c r="H153" s="13">
        <v>15.0</v>
      </c>
      <c r="I153" s="13">
        <v>1.2</v>
      </c>
      <c r="J153" s="13" t="s">
        <v>1118</v>
      </c>
      <c r="K153" s="13">
        <f t="shared" si="3"/>
        <v>0</v>
      </c>
      <c r="L153" s="13">
        <f t="shared" si="4"/>
        <v>3</v>
      </c>
      <c r="M153" s="13">
        <f t="shared" ref="M153:AA153" si="305">IFERROR(VALUE(RIGHT(LEFT($J153,FIND(M$1,$J153,1)+LEN(M$1)),1)),0)</f>
        <v>0</v>
      </c>
      <c r="N153" s="13">
        <f t="shared" si="305"/>
        <v>0</v>
      </c>
      <c r="O153" s="13">
        <f t="shared" si="305"/>
        <v>0</v>
      </c>
      <c r="P153" s="13">
        <f t="shared" si="305"/>
        <v>0</v>
      </c>
      <c r="Q153" s="13">
        <f t="shared" si="305"/>
        <v>0</v>
      </c>
      <c r="R153" s="13">
        <f t="shared" si="305"/>
        <v>0</v>
      </c>
      <c r="S153" s="13">
        <f t="shared" si="305"/>
        <v>0</v>
      </c>
      <c r="T153" s="13">
        <f t="shared" si="305"/>
        <v>0</v>
      </c>
      <c r="U153" s="13">
        <f t="shared" si="305"/>
        <v>0</v>
      </c>
      <c r="V153" s="13">
        <f t="shared" si="305"/>
        <v>0</v>
      </c>
      <c r="W153" s="13">
        <f t="shared" si="305"/>
        <v>0</v>
      </c>
      <c r="X153" s="13">
        <f t="shared" si="305"/>
        <v>0</v>
      </c>
      <c r="Y153" s="13">
        <f t="shared" si="305"/>
        <v>0</v>
      </c>
      <c r="Z153" s="13">
        <f t="shared" si="305"/>
        <v>0</v>
      </c>
      <c r="AA153" s="13">
        <f t="shared" si="305"/>
        <v>0</v>
      </c>
      <c r="AB153" s="13">
        <f t="shared" ref="AB153:AP153" si="306">IFERROR(VALUE(RIGHT(LEFT($J153,FIND(AB$1,$J153,IF(M153=0,1,FIND(AB$1,$J153,1)+1))+LEN(AB$1)),1)),0)</f>
        <v>1</v>
      </c>
      <c r="AC153" s="13">
        <f t="shared" si="306"/>
        <v>0</v>
      </c>
      <c r="AD153" s="13">
        <f t="shared" si="306"/>
        <v>0</v>
      </c>
      <c r="AE153" s="13">
        <f t="shared" si="306"/>
        <v>0</v>
      </c>
      <c r="AF153" s="13">
        <f t="shared" si="306"/>
        <v>1</v>
      </c>
      <c r="AG153" s="13">
        <f t="shared" si="306"/>
        <v>0</v>
      </c>
      <c r="AH153" s="13">
        <f t="shared" si="306"/>
        <v>0</v>
      </c>
      <c r="AI153" s="13">
        <f t="shared" si="306"/>
        <v>0</v>
      </c>
      <c r="AJ153" s="13">
        <f t="shared" si="306"/>
        <v>0</v>
      </c>
      <c r="AK153" s="13">
        <f t="shared" si="306"/>
        <v>1</v>
      </c>
      <c r="AL153" s="13">
        <f t="shared" si="306"/>
        <v>0</v>
      </c>
      <c r="AM153" s="13">
        <f t="shared" si="306"/>
        <v>0</v>
      </c>
      <c r="AN153" s="13">
        <f t="shared" si="306"/>
        <v>0</v>
      </c>
      <c r="AO153" s="13">
        <f t="shared" si="306"/>
        <v>0</v>
      </c>
      <c r="AP153" s="13">
        <f t="shared" si="306"/>
        <v>0</v>
      </c>
      <c r="AQ153" s="13"/>
      <c r="AR153" s="13" t="s">
        <v>490</v>
      </c>
      <c r="AS153" s="13" t="s">
        <v>1119</v>
      </c>
      <c r="AT153" s="13" t="s">
        <v>162</v>
      </c>
      <c r="AU153" s="13" t="s">
        <v>163</v>
      </c>
      <c r="AV153" s="13" t="s">
        <v>1120</v>
      </c>
      <c r="AW153" s="13">
        <v>16.0</v>
      </c>
      <c r="AX153" s="13">
        <v>-1.0</v>
      </c>
      <c r="AY153" s="13">
        <v>0.0</v>
      </c>
      <c r="AZ153" s="13" t="s">
        <v>1121</v>
      </c>
      <c r="BA153" s="13" t="s">
        <v>1122</v>
      </c>
      <c r="BB153" s="13"/>
      <c r="BC153" s="13"/>
      <c r="BD153" s="13" t="s">
        <v>484</v>
      </c>
      <c r="BE153" s="13"/>
      <c r="BF153" s="13" t="s">
        <v>764</v>
      </c>
      <c r="BG153" s="13" t="s">
        <v>136</v>
      </c>
      <c r="BH153" s="13" t="s">
        <v>79</v>
      </c>
      <c r="BI153" s="13" t="b">
        <v>0</v>
      </c>
      <c r="BJ153" s="13">
        <v>0.0</v>
      </c>
      <c r="BK153" s="13">
        <v>0.0</v>
      </c>
    </row>
    <row r="154" ht="14.25" customHeight="1">
      <c r="A154" s="13">
        <v>152.0</v>
      </c>
      <c r="B154" s="13" t="s">
        <v>47</v>
      </c>
      <c r="C154" s="13">
        <v>2.0</v>
      </c>
      <c r="D154" s="14">
        <v>0.0</v>
      </c>
      <c r="E154" s="13" t="s">
        <v>1123</v>
      </c>
      <c r="F154" s="15" t="s">
        <v>372</v>
      </c>
      <c r="G154" s="16" t="s">
        <v>1124</v>
      </c>
      <c r="H154" s="13">
        <v>16.0</v>
      </c>
      <c r="I154" s="13">
        <v>1.0</v>
      </c>
      <c r="J154" s="13" t="s">
        <v>1125</v>
      </c>
      <c r="K154" s="13">
        <f t="shared" si="3"/>
        <v>0</v>
      </c>
      <c r="L154" s="13">
        <f t="shared" si="4"/>
        <v>3</v>
      </c>
      <c r="M154" s="13">
        <f t="shared" ref="M154:AA154" si="307">IFERROR(VALUE(RIGHT(LEFT($J154,FIND(M$1,$J154,1)+LEN(M$1)),1)),0)</f>
        <v>0</v>
      </c>
      <c r="N154" s="13">
        <f t="shared" si="307"/>
        <v>0</v>
      </c>
      <c r="O154" s="13">
        <f t="shared" si="307"/>
        <v>0</v>
      </c>
      <c r="P154" s="13">
        <f t="shared" si="307"/>
        <v>0</v>
      </c>
      <c r="Q154" s="13">
        <f t="shared" si="307"/>
        <v>0</v>
      </c>
      <c r="R154" s="13">
        <f t="shared" si="307"/>
        <v>0</v>
      </c>
      <c r="S154" s="13">
        <f t="shared" si="307"/>
        <v>0</v>
      </c>
      <c r="T154" s="13">
        <f t="shared" si="307"/>
        <v>0</v>
      </c>
      <c r="U154" s="13">
        <f t="shared" si="307"/>
        <v>0</v>
      </c>
      <c r="V154" s="13">
        <f t="shared" si="307"/>
        <v>0</v>
      </c>
      <c r="W154" s="13">
        <f t="shared" si="307"/>
        <v>0</v>
      </c>
      <c r="X154" s="13">
        <f t="shared" si="307"/>
        <v>0</v>
      </c>
      <c r="Y154" s="13">
        <f t="shared" si="307"/>
        <v>0</v>
      </c>
      <c r="Z154" s="13">
        <f t="shared" si="307"/>
        <v>0</v>
      </c>
      <c r="AA154" s="13">
        <f t="shared" si="307"/>
        <v>0</v>
      </c>
      <c r="AB154" s="13">
        <f t="shared" ref="AB154:AP154" si="308">IFERROR(VALUE(RIGHT(LEFT($J154,FIND(AB$1,$J154,IF(M154=0,1,FIND(AB$1,$J154,1)+1))+LEN(AB$1)),1)),0)</f>
        <v>0</v>
      </c>
      <c r="AC154" s="13">
        <f t="shared" si="308"/>
        <v>0</v>
      </c>
      <c r="AD154" s="13">
        <f t="shared" si="308"/>
        <v>0</v>
      </c>
      <c r="AE154" s="13">
        <f t="shared" si="308"/>
        <v>0</v>
      </c>
      <c r="AF154" s="13">
        <f t="shared" si="308"/>
        <v>1</v>
      </c>
      <c r="AG154" s="13">
        <f t="shared" si="308"/>
        <v>1</v>
      </c>
      <c r="AH154" s="13">
        <f t="shared" si="308"/>
        <v>0</v>
      </c>
      <c r="AI154" s="13">
        <f t="shared" si="308"/>
        <v>0</v>
      </c>
      <c r="AJ154" s="13">
        <f t="shared" si="308"/>
        <v>0</v>
      </c>
      <c r="AK154" s="13">
        <f t="shared" si="308"/>
        <v>1</v>
      </c>
      <c r="AL154" s="13">
        <f t="shared" si="308"/>
        <v>0</v>
      </c>
      <c r="AM154" s="13">
        <f t="shared" si="308"/>
        <v>0</v>
      </c>
      <c r="AN154" s="13">
        <f t="shared" si="308"/>
        <v>0</v>
      </c>
      <c r="AO154" s="13">
        <f t="shared" si="308"/>
        <v>0</v>
      </c>
      <c r="AP154" s="13">
        <f t="shared" si="308"/>
        <v>0</v>
      </c>
      <c r="AQ154" s="13"/>
      <c r="AR154" s="13" t="s">
        <v>1126</v>
      </c>
      <c r="AS154" s="13" t="s">
        <v>1127</v>
      </c>
      <c r="AT154" s="13" t="s">
        <v>315</v>
      </c>
      <c r="AU154" s="13" t="s">
        <v>130</v>
      </c>
      <c r="AV154" s="13" t="s">
        <v>1128</v>
      </c>
      <c r="AW154" s="13">
        <v>14.0</v>
      </c>
      <c r="AX154" s="13">
        <v>-1.0</v>
      </c>
      <c r="AY154" s="13">
        <v>0.0</v>
      </c>
      <c r="AZ154" s="13" t="s">
        <v>1129</v>
      </c>
      <c r="BA154" s="13" t="s">
        <v>1130</v>
      </c>
      <c r="BB154" s="13"/>
      <c r="BC154" s="13"/>
      <c r="BD154" s="13" t="s">
        <v>484</v>
      </c>
      <c r="BE154" s="13"/>
      <c r="BF154" s="13" t="s">
        <v>549</v>
      </c>
      <c r="BG154" s="13" t="s">
        <v>136</v>
      </c>
      <c r="BH154" s="13" t="s">
        <v>79</v>
      </c>
      <c r="BI154" s="13" t="b">
        <v>0</v>
      </c>
      <c r="BJ154" s="13">
        <v>0.0</v>
      </c>
      <c r="BK154" s="13">
        <v>0.0</v>
      </c>
    </row>
    <row r="155" ht="14.25" customHeight="1">
      <c r="A155" s="13">
        <v>153.0</v>
      </c>
      <c r="B155" s="13" t="s">
        <v>47</v>
      </c>
      <c r="C155" s="13">
        <v>2.0</v>
      </c>
      <c r="D155" s="14">
        <v>0.0</v>
      </c>
      <c r="E155" s="13" t="s">
        <v>1131</v>
      </c>
      <c r="F155" s="15" t="s">
        <v>505</v>
      </c>
      <c r="G155" s="16" t="s">
        <v>1132</v>
      </c>
      <c r="H155" s="13">
        <v>14.0</v>
      </c>
      <c r="I155" s="13">
        <v>0.9</v>
      </c>
      <c r="J155" s="13" t="s">
        <v>1133</v>
      </c>
      <c r="K155" s="13">
        <f t="shared" si="3"/>
        <v>0</v>
      </c>
      <c r="L155" s="13">
        <f t="shared" si="4"/>
        <v>3</v>
      </c>
      <c r="M155" s="13">
        <f t="shared" ref="M155:AA155" si="309">IFERROR(VALUE(RIGHT(LEFT($J155,FIND(M$1,$J155,1)+LEN(M$1)),1)),0)</f>
        <v>0</v>
      </c>
      <c r="N155" s="13">
        <f t="shared" si="309"/>
        <v>0</v>
      </c>
      <c r="O155" s="13">
        <f t="shared" si="309"/>
        <v>0</v>
      </c>
      <c r="P155" s="13">
        <f t="shared" si="309"/>
        <v>0</v>
      </c>
      <c r="Q155" s="13">
        <f t="shared" si="309"/>
        <v>0</v>
      </c>
      <c r="R155" s="13">
        <f t="shared" si="309"/>
        <v>0</v>
      </c>
      <c r="S155" s="13">
        <f t="shared" si="309"/>
        <v>0</v>
      </c>
      <c r="T155" s="13">
        <f t="shared" si="309"/>
        <v>0</v>
      </c>
      <c r="U155" s="13">
        <f t="shared" si="309"/>
        <v>0</v>
      </c>
      <c r="V155" s="13">
        <f t="shared" si="309"/>
        <v>0</v>
      </c>
      <c r="W155" s="13">
        <f t="shared" si="309"/>
        <v>0</v>
      </c>
      <c r="X155" s="13">
        <f t="shared" si="309"/>
        <v>0</v>
      </c>
      <c r="Y155" s="13">
        <f t="shared" si="309"/>
        <v>0</v>
      </c>
      <c r="Z155" s="13">
        <f t="shared" si="309"/>
        <v>0</v>
      </c>
      <c r="AA155" s="13">
        <f t="shared" si="309"/>
        <v>0</v>
      </c>
      <c r="AB155" s="13">
        <f t="shared" ref="AB155:AP155" si="310">IFERROR(VALUE(RIGHT(LEFT($J155,FIND(AB$1,$J155,IF(M155=0,1,FIND(AB$1,$J155,1)+1))+LEN(AB$1)),1)),0)</f>
        <v>1</v>
      </c>
      <c r="AC155" s="13">
        <f t="shared" si="310"/>
        <v>0</v>
      </c>
      <c r="AD155" s="13">
        <f t="shared" si="310"/>
        <v>0</v>
      </c>
      <c r="AE155" s="13">
        <f t="shared" si="310"/>
        <v>0</v>
      </c>
      <c r="AF155" s="13">
        <f t="shared" si="310"/>
        <v>0</v>
      </c>
      <c r="AG155" s="13">
        <f t="shared" si="310"/>
        <v>0</v>
      </c>
      <c r="AH155" s="13">
        <f t="shared" si="310"/>
        <v>0</v>
      </c>
      <c r="AI155" s="13">
        <f t="shared" si="310"/>
        <v>0</v>
      </c>
      <c r="AJ155" s="13">
        <f t="shared" si="310"/>
        <v>1</v>
      </c>
      <c r="AK155" s="13">
        <f t="shared" si="310"/>
        <v>1</v>
      </c>
      <c r="AL155" s="13">
        <f t="shared" si="310"/>
        <v>0</v>
      </c>
      <c r="AM155" s="13">
        <f t="shared" si="310"/>
        <v>0</v>
      </c>
      <c r="AN155" s="13">
        <f t="shared" si="310"/>
        <v>0</v>
      </c>
      <c r="AO155" s="13">
        <f t="shared" si="310"/>
        <v>0</v>
      </c>
      <c r="AP155" s="13">
        <f t="shared" si="310"/>
        <v>0</v>
      </c>
      <c r="AQ155" s="13"/>
      <c r="AR155" s="13" t="s">
        <v>1134</v>
      </c>
      <c r="AS155" s="13" t="s">
        <v>1135</v>
      </c>
      <c r="AT155" s="13" t="s">
        <v>162</v>
      </c>
      <c r="AU155" s="13" t="s">
        <v>163</v>
      </c>
      <c r="AV155" s="13" t="s">
        <v>1136</v>
      </c>
      <c r="AW155" s="13">
        <v>13.0</v>
      </c>
      <c r="AX155" s="13">
        <v>-1.0</v>
      </c>
      <c r="AY155" s="13">
        <v>0.0</v>
      </c>
      <c r="AZ155" s="13" t="s">
        <v>609</v>
      </c>
      <c r="BA155" s="13" t="s">
        <v>548</v>
      </c>
      <c r="BB155" s="13"/>
      <c r="BC155" s="13"/>
      <c r="BD155" s="13" t="s">
        <v>134</v>
      </c>
      <c r="BE155" s="13"/>
      <c r="BF155" s="13" t="s">
        <v>1137</v>
      </c>
      <c r="BG155" s="13" t="s">
        <v>136</v>
      </c>
      <c r="BH155" s="13" t="s">
        <v>79</v>
      </c>
      <c r="BI155" s="13" t="b">
        <v>0</v>
      </c>
      <c r="BJ155" s="13">
        <v>0.0</v>
      </c>
      <c r="BK155" s="13">
        <v>0.0</v>
      </c>
    </row>
    <row r="156" ht="14.25" customHeight="1">
      <c r="A156" s="13">
        <v>154.0</v>
      </c>
      <c r="B156" s="13" t="s">
        <v>47</v>
      </c>
      <c r="C156" s="13">
        <v>2.0</v>
      </c>
      <c r="D156" s="14">
        <v>0.0</v>
      </c>
      <c r="E156" s="13" t="s">
        <v>1138</v>
      </c>
      <c r="F156" s="15"/>
      <c r="G156" s="16" t="s">
        <v>1139</v>
      </c>
      <c r="H156" s="13">
        <v>14.0</v>
      </c>
      <c r="I156" s="13">
        <v>1.0</v>
      </c>
      <c r="J156" s="13" t="s">
        <v>1140</v>
      </c>
      <c r="K156" s="13">
        <f t="shared" si="3"/>
        <v>0</v>
      </c>
      <c r="L156" s="13">
        <f t="shared" si="4"/>
        <v>3</v>
      </c>
      <c r="M156" s="13">
        <f t="shared" ref="M156:AA156" si="311">IFERROR(VALUE(RIGHT(LEFT($J156,FIND(M$1,$J156,1)+LEN(M$1)),1)),0)</f>
        <v>0</v>
      </c>
      <c r="N156" s="13">
        <f t="shared" si="311"/>
        <v>0</v>
      </c>
      <c r="O156" s="13">
        <f t="shared" si="311"/>
        <v>0</v>
      </c>
      <c r="P156" s="13">
        <f t="shared" si="311"/>
        <v>0</v>
      </c>
      <c r="Q156" s="13">
        <f t="shared" si="311"/>
        <v>0</v>
      </c>
      <c r="R156" s="13">
        <f t="shared" si="311"/>
        <v>0</v>
      </c>
      <c r="S156" s="13">
        <f t="shared" si="311"/>
        <v>0</v>
      </c>
      <c r="T156" s="13">
        <f t="shared" si="311"/>
        <v>0</v>
      </c>
      <c r="U156" s="13">
        <f t="shared" si="311"/>
        <v>0</v>
      </c>
      <c r="V156" s="13">
        <f t="shared" si="311"/>
        <v>0</v>
      </c>
      <c r="W156" s="13">
        <f t="shared" si="311"/>
        <v>0</v>
      </c>
      <c r="X156" s="13">
        <f t="shared" si="311"/>
        <v>0</v>
      </c>
      <c r="Y156" s="13">
        <f t="shared" si="311"/>
        <v>0</v>
      </c>
      <c r="Z156" s="13">
        <f t="shared" si="311"/>
        <v>0</v>
      </c>
      <c r="AA156" s="13">
        <f t="shared" si="311"/>
        <v>0</v>
      </c>
      <c r="AB156" s="13">
        <f t="shared" ref="AB156:AP156" si="312">IFERROR(VALUE(RIGHT(LEFT($J156,FIND(AB$1,$J156,IF(M156=0,1,FIND(AB$1,$J156,1)+1))+LEN(AB$1)),1)),0)</f>
        <v>1</v>
      </c>
      <c r="AC156" s="13">
        <f t="shared" si="312"/>
        <v>0</v>
      </c>
      <c r="AD156" s="13">
        <f t="shared" si="312"/>
        <v>0</v>
      </c>
      <c r="AE156" s="13">
        <f t="shared" si="312"/>
        <v>0</v>
      </c>
      <c r="AF156" s="13">
        <f t="shared" si="312"/>
        <v>0</v>
      </c>
      <c r="AG156" s="13">
        <f t="shared" si="312"/>
        <v>1</v>
      </c>
      <c r="AH156" s="13">
        <f t="shared" si="312"/>
        <v>1</v>
      </c>
      <c r="AI156" s="13">
        <f t="shared" si="312"/>
        <v>0</v>
      </c>
      <c r="AJ156" s="13">
        <f t="shared" si="312"/>
        <v>0</v>
      </c>
      <c r="AK156" s="13">
        <f t="shared" si="312"/>
        <v>0</v>
      </c>
      <c r="AL156" s="13">
        <f t="shared" si="312"/>
        <v>0</v>
      </c>
      <c r="AM156" s="13">
        <f t="shared" si="312"/>
        <v>0</v>
      </c>
      <c r="AN156" s="13">
        <f t="shared" si="312"/>
        <v>0</v>
      </c>
      <c r="AO156" s="13">
        <f t="shared" si="312"/>
        <v>0</v>
      </c>
      <c r="AP156" s="13">
        <f t="shared" si="312"/>
        <v>0</v>
      </c>
      <c r="AQ156" s="13"/>
      <c r="AR156" s="13" t="s">
        <v>1141</v>
      </c>
      <c r="AS156" s="13" t="s">
        <v>1142</v>
      </c>
      <c r="AT156" s="13" t="s">
        <v>573</v>
      </c>
      <c r="AU156" s="13" t="s">
        <v>803</v>
      </c>
      <c r="AV156" s="13" t="s">
        <v>1143</v>
      </c>
      <c r="AW156" s="13">
        <v>14.0</v>
      </c>
      <c r="AX156" s="13">
        <v>-1.0</v>
      </c>
      <c r="AY156" s="13">
        <v>0.0</v>
      </c>
      <c r="AZ156" s="13" t="s">
        <v>1144</v>
      </c>
      <c r="BA156" s="13" t="s">
        <v>1145</v>
      </c>
      <c r="BB156" s="13"/>
      <c r="BC156" s="13"/>
      <c r="BD156" s="13" t="s">
        <v>1113</v>
      </c>
      <c r="BE156" s="13"/>
      <c r="BF156" s="13" t="s">
        <v>1146</v>
      </c>
      <c r="BG156" s="13" t="s">
        <v>136</v>
      </c>
      <c r="BH156" s="13" t="s">
        <v>79</v>
      </c>
      <c r="BI156" s="13" t="b">
        <v>0</v>
      </c>
      <c r="BJ156" s="13">
        <v>0.0</v>
      </c>
      <c r="BK156" s="13">
        <v>0.0</v>
      </c>
    </row>
    <row r="157" ht="14.25" customHeight="1">
      <c r="A157" s="13">
        <v>155.0</v>
      </c>
      <c r="B157" s="13" t="s">
        <v>47</v>
      </c>
      <c r="C157" s="13">
        <v>2.0</v>
      </c>
      <c r="D157" s="14">
        <v>0.0</v>
      </c>
      <c r="E157" s="13" t="s">
        <v>1147</v>
      </c>
      <c r="F157" s="15"/>
      <c r="G157" s="16" t="s">
        <v>1148</v>
      </c>
      <c r="H157" s="13">
        <v>15.0</v>
      </c>
      <c r="I157" s="13">
        <v>1.0</v>
      </c>
      <c r="J157" s="13" t="s">
        <v>1149</v>
      </c>
      <c r="K157" s="13">
        <f t="shared" si="3"/>
        <v>0</v>
      </c>
      <c r="L157" s="13">
        <f t="shared" si="4"/>
        <v>3</v>
      </c>
      <c r="M157" s="13">
        <f t="shared" ref="M157:AA157" si="313">IFERROR(VALUE(RIGHT(LEFT($J157,FIND(M$1,$J157,1)+LEN(M$1)),1)),0)</f>
        <v>0</v>
      </c>
      <c r="N157" s="13">
        <f t="shared" si="313"/>
        <v>0</v>
      </c>
      <c r="O157" s="13">
        <f t="shared" si="313"/>
        <v>0</v>
      </c>
      <c r="P157" s="13">
        <f t="shared" si="313"/>
        <v>0</v>
      </c>
      <c r="Q157" s="13">
        <f t="shared" si="313"/>
        <v>0</v>
      </c>
      <c r="R157" s="13">
        <f t="shared" si="313"/>
        <v>0</v>
      </c>
      <c r="S157" s="13">
        <f t="shared" si="313"/>
        <v>0</v>
      </c>
      <c r="T157" s="13">
        <f t="shared" si="313"/>
        <v>0</v>
      </c>
      <c r="U157" s="13">
        <f t="shared" si="313"/>
        <v>0</v>
      </c>
      <c r="V157" s="13">
        <f t="shared" si="313"/>
        <v>0</v>
      </c>
      <c r="W157" s="13">
        <f t="shared" si="313"/>
        <v>0</v>
      </c>
      <c r="X157" s="13">
        <f t="shared" si="313"/>
        <v>0</v>
      </c>
      <c r="Y157" s="13">
        <f t="shared" si="313"/>
        <v>0</v>
      </c>
      <c r="Z157" s="13">
        <f t="shared" si="313"/>
        <v>0</v>
      </c>
      <c r="AA157" s="13">
        <f t="shared" si="313"/>
        <v>0</v>
      </c>
      <c r="AB157" s="13">
        <f t="shared" ref="AB157:AP157" si="314">IFERROR(VALUE(RIGHT(LEFT($J157,FIND(AB$1,$J157,IF(M157=0,1,FIND(AB$1,$J157,1)+1))+LEN(AB$1)),1)),0)</f>
        <v>0</v>
      </c>
      <c r="AC157" s="13">
        <f t="shared" si="314"/>
        <v>0</v>
      </c>
      <c r="AD157" s="13">
        <f t="shared" si="314"/>
        <v>0</v>
      </c>
      <c r="AE157" s="13">
        <f t="shared" si="314"/>
        <v>0</v>
      </c>
      <c r="AF157" s="13">
        <f t="shared" si="314"/>
        <v>1</v>
      </c>
      <c r="AG157" s="13">
        <f t="shared" si="314"/>
        <v>0</v>
      </c>
      <c r="AH157" s="13">
        <f t="shared" si="314"/>
        <v>0</v>
      </c>
      <c r="AI157" s="13">
        <f t="shared" si="314"/>
        <v>0</v>
      </c>
      <c r="AJ157" s="13">
        <f t="shared" si="314"/>
        <v>0</v>
      </c>
      <c r="AK157" s="13">
        <f t="shared" si="314"/>
        <v>2</v>
      </c>
      <c r="AL157" s="13">
        <f t="shared" si="314"/>
        <v>0</v>
      </c>
      <c r="AM157" s="13">
        <f t="shared" si="314"/>
        <v>0</v>
      </c>
      <c r="AN157" s="13">
        <f t="shared" si="314"/>
        <v>0</v>
      </c>
      <c r="AO157" s="13">
        <f t="shared" si="314"/>
        <v>0</v>
      </c>
      <c r="AP157" s="13">
        <f t="shared" si="314"/>
        <v>0</v>
      </c>
      <c r="AQ157" s="13"/>
      <c r="AR157" s="13" t="s">
        <v>1150</v>
      </c>
      <c r="AS157" s="13" t="s">
        <v>1151</v>
      </c>
      <c r="AT157" s="13" t="s">
        <v>162</v>
      </c>
      <c r="AU157" s="13" t="s">
        <v>686</v>
      </c>
      <c r="AV157" s="13" t="s">
        <v>1152</v>
      </c>
      <c r="AW157" s="13">
        <v>15.0</v>
      </c>
      <c r="AX157" s="13">
        <v>-1.0</v>
      </c>
      <c r="AY157" s="13">
        <v>0.0</v>
      </c>
      <c r="AZ157" s="13" t="s">
        <v>249</v>
      </c>
      <c r="BA157" s="13" t="s">
        <v>132</v>
      </c>
      <c r="BB157" s="13"/>
      <c r="BC157" s="13"/>
      <c r="BD157" s="13" t="s">
        <v>134</v>
      </c>
      <c r="BE157" s="13"/>
      <c r="BF157" s="13" t="s">
        <v>1153</v>
      </c>
      <c r="BG157" s="13" t="s">
        <v>136</v>
      </c>
      <c r="BH157" s="13" t="s">
        <v>79</v>
      </c>
      <c r="BI157" s="13" t="b">
        <v>0</v>
      </c>
      <c r="BJ157" s="13">
        <v>0.0</v>
      </c>
      <c r="BK157" s="13">
        <v>0.0</v>
      </c>
    </row>
    <row r="158" ht="14.25" customHeight="1">
      <c r="A158" s="13">
        <v>156.0</v>
      </c>
      <c r="B158" s="13" t="s">
        <v>47</v>
      </c>
      <c r="C158" s="13">
        <v>2.0</v>
      </c>
      <c r="D158" s="14">
        <v>0.0</v>
      </c>
      <c r="E158" s="13" t="s">
        <v>1154</v>
      </c>
      <c r="F158" s="15"/>
      <c r="G158" s="16" t="s">
        <v>1155</v>
      </c>
      <c r="H158" s="13">
        <v>15.0</v>
      </c>
      <c r="I158" s="13">
        <v>0.9</v>
      </c>
      <c r="J158" s="13" t="s">
        <v>1156</v>
      </c>
      <c r="K158" s="13">
        <f t="shared" si="3"/>
        <v>0</v>
      </c>
      <c r="L158" s="13">
        <f t="shared" si="4"/>
        <v>3</v>
      </c>
      <c r="M158" s="13">
        <f t="shared" ref="M158:AA158" si="315">IFERROR(VALUE(RIGHT(LEFT($J158,FIND(M$1,$J158,1)+LEN(M$1)),1)),0)</f>
        <v>0</v>
      </c>
      <c r="N158" s="13">
        <f t="shared" si="315"/>
        <v>0</v>
      </c>
      <c r="O158" s="13">
        <f t="shared" si="315"/>
        <v>0</v>
      </c>
      <c r="P158" s="13">
        <f t="shared" si="315"/>
        <v>0</v>
      </c>
      <c r="Q158" s="13">
        <f t="shared" si="315"/>
        <v>0</v>
      </c>
      <c r="R158" s="13">
        <f t="shared" si="315"/>
        <v>0</v>
      </c>
      <c r="S158" s="13">
        <f t="shared" si="315"/>
        <v>0</v>
      </c>
      <c r="T158" s="13">
        <f t="shared" si="315"/>
        <v>0</v>
      </c>
      <c r="U158" s="13">
        <f t="shared" si="315"/>
        <v>0</v>
      </c>
      <c r="V158" s="13">
        <f t="shared" si="315"/>
        <v>0</v>
      </c>
      <c r="W158" s="13">
        <f t="shared" si="315"/>
        <v>0</v>
      </c>
      <c r="X158" s="13">
        <f t="shared" si="315"/>
        <v>0</v>
      </c>
      <c r="Y158" s="13">
        <f t="shared" si="315"/>
        <v>0</v>
      </c>
      <c r="Z158" s="13">
        <f t="shared" si="315"/>
        <v>0</v>
      </c>
      <c r="AA158" s="13">
        <f t="shared" si="315"/>
        <v>0</v>
      </c>
      <c r="AB158" s="13">
        <f t="shared" ref="AB158:AP158" si="316">IFERROR(VALUE(RIGHT(LEFT($J158,FIND(AB$1,$J158,IF(M158=0,1,FIND(AB$1,$J158,1)+1))+LEN(AB$1)),1)),0)</f>
        <v>0</v>
      </c>
      <c r="AC158" s="13">
        <f t="shared" si="316"/>
        <v>0</v>
      </c>
      <c r="AD158" s="13">
        <f t="shared" si="316"/>
        <v>0</v>
      </c>
      <c r="AE158" s="13">
        <f t="shared" si="316"/>
        <v>1</v>
      </c>
      <c r="AF158" s="13">
        <f t="shared" si="316"/>
        <v>0</v>
      </c>
      <c r="AG158" s="13">
        <f t="shared" si="316"/>
        <v>0</v>
      </c>
      <c r="AH158" s="13">
        <f t="shared" si="316"/>
        <v>0</v>
      </c>
      <c r="AI158" s="13">
        <f t="shared" si="316"/>
        <v>0</v>
      </c>
      <c r="AJ158" s="13">
        <f t="shared" si="316"/>
        <v>0</v>
      </c>
      <c r="AK158" s="13">
        <f t="shared" si="316"/>
        <v>2</v>
      </c>
      <c r="AL158" s="13">
        <f t="shared" si="316"/>
        <v>0</v>
      </c>
      <c r="AM158" s="13">
        <f t="shared" si="316"/>
        <v>0</v>
      </c>
      <c r="AN158" s="13">
        <f t="shared" si="316"/>
        <v>0</v>
      </c>
      <c r="AO158" s="13">
        <f t="shared" si="316"/>
        <v>0</v>
      </c>
      <c r="AP158" s="13">
        <f t="shared" si="316"/>
        <v>0</v>
      </c>
      <c r="AQ158" s="13"/>
      <c r="AR158" s="13" t="s">
        <v>1157</v>
      </c>
      <c r="AS158" s="13" t="s">
        <v>1158</v>
      </c>
      <c r="AT158" s="13" t="s">
        <v>162</v>
      </c>
      <c r="AU158" s="13" t="s">
        <v>195</v>
      </c>
      <c r="AV158" s="13" t="s">
        <v>1159</v>
      </c>
      <c r="AW158" s="13">
        <v>16.0</v>
      </c>
      <c r="AX158" s="13">
        <v>-1.0</v>
      </c>
      <c r="AY158" s="13">
        <v>0.0</v>
      </c>
      <c r="AZ158" s="13" t="s">
        <v>228</v>
      </c>
      <c r="BA158" s="13" t="s">
        <v>154</v>
      </c>
      <c r="BB158" s="13"/>
      <c r="BC158" s="13"/>
      <c r="BD158" s="13" t="s">
        <v>484</v>
      </c>
      <c r="BE158" s="13"/>
      <c r="BF158" s="13" t="s">
        <v>1160</v>
      </c>
      <c r="BG158" s="13" t="s">
        <v>136</v>
      </c>
      <c r="BH158" s="13" t="s">
        <v>79</v>
      </c>
      <c r="BI158" s="13" t="b">
        <v>0</v>
      </c>
      <c r="BJ158" s="13">
        <v>0.0</v>
      </c>
      <c r="BK158" s="13">
        <v>0.0</v>
      </c>
    </row>
    <row r="159" ht="14.25" customHeight="1">
      <c r="A159" s="13">
        <v>157.0</v>
      </c>
      <c r="B159" s="13" t="s">
        <v>48</v>
      </c>
      <c r="C159" s="13">
        <v>2.0</v>
      </c>
      <c r="D159" s="14">
        <v>0.0</v>
      </c>
      <c r="E159" s="13" t="s">
        <v>1161</v>
      </c>
      <c r="F159" s="15" t="s">
        <v>1162</v>
      </c>
      <c r="G159" s="16" t="s">
        <v>1163</v>
      </c>
      <c r="H159" s="13">
        <v>14.0</v>
      </c>
      <c r="I159" s="13">
        <v>1.0</v>
      </c>
      <c r="J159" s="13" t="s">
        <v>1164</v>
      </c>
      <c r="K159" s="13">
        <f t="shared" si="3"/>
        <v>0</v>
      </c>
      <c r="L159" s="13">
        <f t="shared" si="4"/>
        <v>3</v>
      </c>
      <c r="M159" s="13">
        <f t="shared" ref="M159:AA159" si="317">IFERROR(VALUE(RIGHT(LEFT($J159,FIND(M$1,$J159,1)+LEN(M$1)),1)),0)</f>
        <v>0</v>
      </c>
      <c r="N159" s="13">
        <f t="shared" si="317"/>
        <v>0</v>
      </c>
      <c r="O159" s="13">
        <f t="shared" si="317"/>
        <v>0</v>
      </c>
      <c r="P159" s="13">
        <f t="shared" si="317"/>
        <v>0</v>
      </c>
      <c r="Q159" s="13">
        <f t="shared" si="317"/>
        <v>0</v>
      </c>
      <c r="R159" s="13">
        <f t="shared" si="317"/>
        <v>0</v>
      </c>
      <c r="S159" s="13">
        <f t="shared" si="317"/>
        <v>0</v>
      </c>
      <c r="T159" s="13">
        <f t="shared" si="317"/>
        <v>0</v>
      </c>
      <c r="U159" s="13">
        <f t="shared" si="317"/>
        <v>0</v>
      </c>
      <c r="V159" s="13">
        <f t="shared" si="317"/>
        <v>0</v>
      </c>
      <c r="W159" s="13">
        <f t="shared" si="317"/>
        <v>0</v>
      </c>
      <c r="X159" s="13">
        <f t="shared" si="317"/>
        <v>0</v>
      </c>
      <c r="Y159" s="13">
        <f t="shared" si="317"/>
        <v>0</v>
      </c>
      <c r="Z159" s="13">
        <f t="shared" si="317"/>
        <v>0</v>
      </c>
      <c r="AA159" s="13">
        <f t="shared" si="317"/>
        <v>0</v>
      </c>
      <c r="AB159" s="13">
        <f t="shared" ref="AB159:AP159" si="318">IFERROR(VALUE(RIGHT(LEFT($J159,FIND(AB$1,$J159,IF(M159=0,1,FIND(AB$1,$J159,1)+1))+LEN(AB$1)),1)),0)</f>
        <v>0</v>
      </c>
      <c r="AC159" s="13">
        <f t="shared" si="318"/>
        <v>1</v>
      </c>
      <c r="AD159" s="13">
        <f t="shared" si="318"/>
        <v>0</v>
      </c>
      <c r="AE159" s="13">
        <f t="shared" si="318"/>
        <v>0</v>
      </c>
      <c r="AF159" s="13">
        <f t="shared" si="318"/>
        <v>0</v>
      </c>
      <c r="AG159" s="13">
        <f t="shared" si="318"/>
        <v>0</v>
      </c>
      <c r="AH159" s="13">
        <f t="shared" si="318"/>
        <v>0</v>
      </c>
      <c r="AI159" s="13">
        <f t="shared" si="318"/>
        <v>1</v>
      </c>
      <c r="AJ159" s="13">
        <f t="shared" si="318"/>
        <v>0</v>
      </c>
      <c r="AK159" s="13">
        <f t="shared" si="318"/>
        <v>0</v>
      </c>
      <c r="AL159" s="13">
        <f t="shared" si="318"/>
        <v>1</v>
      </c>
      <c r="AM159" s="13">
        <f t="shared" si="318"/>
        <v>0</v>
      </c>
      <c r="AN159" s="13">
        <f t="shared" si="318"/>
        <v>0</v>
      </c>
      <c r="AO159" s="13">
        <f t="shared" si="318"/>
        <v>0</v>
      </c>
      <c r="AP159" s="13">
        <f t="shared" si="318"/>
        <v>0</v>
      </c>
      <c r="AQ159" s="13"/>
      <c r="AR159" s="13" t="s">
        <v>1165</v>
      </c>
      <c r="AS159" s="13" t="s">
        <v>1166</v>
      </c>
      <c r="AT159" s="13" t="s">
        <v>175</v>
      </c>
      <c r="AU159" s="13" t="s">
        <v>143</v>
      </c>
      <c r="AV159" s="13" t="s">
        <v>1167</v>
      </c>
      <c r="AW159" s="13">
        <v>14.0</v>
      </c>
      <c r="AX159" s="13">
        <v>-1.0</v>
      </c>
      <c r="AY159" s="13">
        <v>0.0</v>
      </c>
      <c r="AZ159" s="13" t="s">
        <v>304</v>
      </c>
      <c r="BA159" s="13" t="s">
        <v>687</v>
      </c>
      <c r="BB159" s="13"/>
      <c r="BC159" s="13"/>
      <c r="BD159" s="13" t="s">
        <v>188</v>
      </c>
      <c r="BE159" s="13"/>
      <c r="BF159" s="13" t="s">
        <v>610</v>
      </c>
      <c r="BG159" s="13" t="s">
        <v>169</v>
      </c>
      <c r="BH159" s="13" t="s">
        <v>79</v>
      </c>
      <c r="BI159" s="13" t="b">
        <v>0</v>
      </c>
      <c r="BJ159" s="13">
        <v>0.0</v>
      </c>
      <c r="BK159" s="13">
        <v>0.0</v>
      </c>
    </row>
    <row r="160" ht="14.25" customHeight="1">
      <c r="A160" s="13">
        <v>158.0</v>
      </c>
      <c r="B160" s="13" t="s">
        <v>48</v>
      </c>
      <c r="C160" s="13">
        <v>2.0</v>
      </c>
      <c r="D160" s="14">
        <v>0.0</v>
      </c>
      <c r="E160" s="13" t="s">
        <v>1168</v>
      </c>
      <c r="F160" s="15"/>
      <c r="G160" s="16" t="s">
        <v>1169</v>
      </c>
      <c r="H160" s="13">
        <v>15.0</v>
      </c>
      <c r="I160" s="13">
        <v>1.0</v>
      </c>
      <c r="J160" s="13" t="s">
        <v>1170</v>
      </c>
      <c r="K160" s="13">
        <f t="shared" si="3"/>
        <v>0</v>
      </c>
      <c r="L160" s="13">
        <f t="shared" si="4"/>
        <v>3</v>
      </c>
      <c r="M160" s="13">
        <f t="shared" ref="M160:AA160" si="319">IFERROR(VALUE(RIGHT(LEFT($J160,FIND(M$1,$J160,1)+LEN(M$1)),1)),0)</f>
        <v>0</v>
      </c>
      <c r="N160" s="13">
        <f t="shared" si="319"/>
        <v>0</v>
      </c>
      <c r="O160" s="13">
        <f t="shared" si="319"/>
        <v>0</v>
      </c>
      <c r="P160" s="13">
        <f t="shared" si="319"/>
        <v>0</v>
      </c>
      <c r="Q160" s="13">
        <f t="shared" si="319"/>
        <v>0</v>
      </c>
      <c r="R160" s="13">
        <f t="shared" si="319"/>
        <v>0</v>
      </c>
      <c r="S160" s="13">
        <f t="shared" si="319"/>
        <v>0</v>
      </c>
      <c r="T160" s="13">
        <f t="shared" si="319"/>
        <v>0</v>
      </c>
      <c r="U160" s="13">
        <f t="shared" si="319"/>
        <v>0</v>
      </c>
      <c r="V160" s="13">
        <f t="shared" si="319"/>
        <v>0</v>
      </c>
      <c r="W160" s="13">
        <f t="shared" si="319"/>
        <v>0</v>
      </c>
      <c r="X160" s="13">
        <f t="shared" si="319"/>
        <v>0</v>
      </c>
      <c r="Y160" s="13">
        <f t="shared" si="319"/>
        <v>0</v>
      </c>
      <c r="Z160" s="13">
        <f t="shared" si="319"/>
        <v>0</v>
      </c>
      <c r="AA160" s="13">
        <f t="shared" si="319"/>
        <v>0</v>
      </c>
      <c r="AB160" s="13">
        <f t="shared" ref="AB160:AP160" si="320">IFERROR(VALUE(RIGHT(LEFT($J160,FIND(AB$1,$J160,IF(M160=0,1,FIND(AB$1,$J160,1)+1))+LEN(AB$1)),1)),0)</f>
        <v>0</v>
      </c>
      <c r="AC160" s="13">
        <f t="shared" si="320"/>
        <v>1</v>
      </c>
      <c r="AD160" s="13">
        <f t="shared" si="320"/>
        <v>0</v>
      </c>
      <c r="AE160" s="13">
        <f t="shared" si="320"/>
        <v>1</v>
      </c>
      <c r="AF160" s="13">
        <f t="shared" si="320"/>
        <v>0</v>
      </c>
      <c r="AG160" s="13">
        <f t="shared" si="320"/>
        <v>0</v>
      </c>
      <c r="AH160" s="13">
        <f t="shared" si="320"/>
        <v>0</v>
      </c>
      <c r="AI160" s="13">
        <f t="shared" si="320"/>
        <v>0</v>
      </c>
      <c r="AJ160" s="13">
        <f t="shared" si="320"/>
        <v>0</v>
      </c>
      <c r="AK160" s="13">
        <f t="shared" si="320"/>
        <v>0</v>
      </c>
      <c r="AL160" s="13">
        <f t="shared" si="320"/>
        <v>1</v>
      </c>
      <c r="AM160" s="13">
        <f t="shared" si="320"/>
        <v>0</v>
      </c>
      <c r="AN160" s="13">
        <f t="shared" si="320"/>
        <v>0</v>
      </c>
      <c r="AO160" s="13">
        <f t="shared" si="320"/>
        <v>0</v>
      </c>
      <c r="AP160" s="13">
        <f t="shared" si="320"/>
        <v>0</v>
      </c>
      <c r="AQ160" s="13"/>
      <c r="AR160" s="13" t="s">
        <v>1171</v>
      </c>
      <c r="AS160" s="13" t="s">
        <v>1172</v>
      </c>
      <c r="AT160" s="13" t="s">
        <v>162</v>
      </c>
      <c r="AU160" s="13" t="s">
        <v>236</v>
      </c>
      <c r="AV160" s="13" t="s">
        <v>1173</v>
      </c>
      <c r="AW160" s="13">
        <v>15.0</v>
      </c>
      <c r="AX160" s="13">
        <v>-1.0</v>
      </c>
      <c r="AY160" s="13">
        <v>0.0</v>
      </c>
      <c r="AZ160" s="13" t="s">
        <v>529</v>
      </c>
      <c r="BA160" s="13" t="s">
        <v>1174</v>
      </c>
      <c r="BB160" s="13"/>
      <c r="BC160" s="13"/>
      <c r="BD160" s="13" t="s">
        <v>167</v>
      </c>
      <c r="BE160" s="13"/>
      <c r="BF160" s="13" t="s">
        <v>1175</v>
      </c>
      <c r="BG160" s="13" t="s">
        <v>169</v>
      </c>
      <c r="BH160" s="13" t="s">
        <v>79</v>
      </c>
      <c r="BI160" s="13" t="b">
        <v>0</v>
      </c>
      <c r="BJ160" s="13">
        <v>0.0</v>
      </c>
      <c r="BK160" s="13">
        <v>0.0</v>
      </c>
    </row>
    <row r="161" ht="14.25" customHeight="1">
      <c r="A161" s="13">
        <v>159.0</v>
      </c>
      <c r="B161" s="13" t="s">
        <v>48</v>
      </c>
      <c r="C161" s="13">
        <v>2.0</v>
      </c>
      <c r="D161" s="14">
        <v>0.0</v>
      </c>
      <c r="E161" s="13" t="s">
        <v>1176</v>
      </c>
      <c r="F161" s="15" t="s">
        <v>1177</v>
      </c>
      <c r="G161" s="16" t="s">
        <v>1178</v>
      </c>
      <c r="H161" s="13">
        <v>16.0</v>
      </c>
      <c r="I161" s="13">
        <v>1.1</v>
      </c>
      <c r="J161" s="13" t="s">
        <v>1179</v>
      </c>
      <c r="K161" s="13">
        <f t="shared" si="3"/>
        <v>0</v>
      </c>
      <c r="L161" s="13">
        <f t="shared" si="4"/>
        <v>3</v>
      </c>
      <c r="M161" s="13">
        <f t="shared" ref="M161:AA161" si="321">IFERROR(VALUE(RIGHT(LEFT($J161,FIND(M$1,$J161,1)+LEN(M$1)),1)),0)</f>
        <v>0</v>
      </c>
      <c r="N161" s="13">
        <f t="shared" si="321"/>
        <v>0</v>
      </c>
      <c r="O161" s="13">
        <f t="shared" si="321"/>
        <v>0</v>
      </c>
      <c r="P161" s="13">
        <f t="shared" si="321"/>
        <v>0</v>
      </c>
      <c r="Q161" s="13">
        <f t="shared" si="321"/>
        <v>0</v>
      </c>
      <c r="R161" s="13">
        <f t="shared" si="321"/>
        <v>0</v>
      </c>
      <c r="S161" s="13">
        <f t="shared" si="321"/>
        <v>0</v>
      </c>
      <c r="T161" s="13">
        <f t="shared" si="321"/>
        <v>0</v>
      </c>
      <c r="U161" s="13">
        <f t="shared" si="321"/>
        <v>0</v>
      </c>
      <c r="V161" s="13">
        <f t="shared" si="321"/>
        <v>0</v>
      </c>
      <c r="W161" s="13">
        <f t="shared" si="321"/>
        <v>0</v>
      </c>
      <c r="X161" s="13">
        <f t="shared" si="321"/>
        <v>0</v>
      </c>
      <c r="Y161" s="13">
        <f t="shared" si="321"/>
        <v>0</v>
      </c>
      <c r="Z161" s="13">
        <f t="shared" si="321"/>
        <v>0</v>
      </c>
      <c r="AA161" s="13">
        <f t="shared" si="321"/>
        <v>0</v>
      </c>
      <c r="AB161" s="13">
        <f t="shared" ref="AB161:AP161" si="322">IFERROR(VALUE(RIGHT(LEFT($J161,FIND(AB$1,$J161,IF(M161=0,1,FIND(AB$1,$J161,1)+1))+LEN(AB$1)),1)),0)</f>
        <v>0</v>
      </c>
      <c r="AC161" s="13">
        <f t="shared" si="322"/>
        <v>0</v>
      </c>
      <c r="AD161" s="13">
        <f t="shared" si="322"/>
        <v>0</v>
      </c>
      <c r="AE161" s="13">
        <f t="shared" si="322"/>
        <v>0</v>
      </c>
      <c r="AF161" s="13">
        <f t="shared" si="322"/>
        <v>0</v>
      </c>
      <c r="AG161" s="13">
        <f t="shared" si="322"/>
        <v>1</v>
      </c>
      <c r="AH161" s="13">
        <f t="shared" si="322"/>
        <v>0</v>
      </c>
      <c r="AI161" s="13">
        <f t="shared" si="322"/>
        <v>0</v>
      </c>
      <c r="AJ161" s="13">
        <f t="shared" si="322"/>
        <v>0</v>
      </c>
      <c r="AK161" s="13">
        <f t="shared" si="322"/>
        <v>0</v>
      </c>
      <c r="AL161" s="13">
        <f t="shared" si="322"/>
        <v>2</v>
      </c>
      <c r="AM161" s="13">
        <f t="shared" si="322"/>
        <v>0</v>
      </c>
      <c r="AN161" s="13">
        <f t="shared" si="322"/>
        <v>0</v>
      </c>
      <c r="AO161" s="13">
        <f t="shared" si="322"/>
        <v>0</v>
      </c>
      <c r="AP161" s="13">
        <f t="shared" si="322"/>
        <v>0</v>
      </c>
      <c r="AQ161" s="13"/>
      <c r="AR161" s="13" t="s">
        <v>1180</v>
      </c>
      <c r="AS161" s="13" t="s">
        <v>1181</v>
      </c>
      <c r="AT161" s="13" t="s">
        <v>162</v>
      </c>
      <c r="AU161" s="13" t="s">
        <v>163</v>
      </c>
      <c r="AV161" s="13" t="s">
        <v>1182</v>
      </c>
      <c r="AW161" s="13">
        <v>16.0</v>
      </c>
      <c r="AX161" s="13">
        <v>-1.0</v>
      </c>
      <c r="AY161" s="13">
        <v>0.0</v>
      </c>
      <c r="AZ161" s="13" t="s">
        <v>662</v>
      </c>
      <c r="BA161" s="13" t="s">
        <v>594</v>
      </c>
      <c r="BB161" s="13"/>
      <c r="BC161" s="13"/>
      <c r="BD161" s="13" t="s">
        <v>179</v>
      </c>
      <c r="BE161" s="13"/>
      <c r="BF161" s="13" t="s">
        <v>1183</v>
      </c>
      <c r="BG161" s="13" t="s">
        <v>169</v>
      </c>
      <c r="BH161" s="13" t="s">
        <v>79</v>
      </c>
      <c r="BI161" s="13" t="b">
        <v>0</v>
      </c>
      <c r="BJ161" s="13">
        <v>0.0</v>
      </c>
      <c r="BK161" s="13">
        <v>0.0</v>
      </c>
    </row>
    <row r="162" ht="14.25" customHeight="1">
      <c r="A162" s="13">
        <v>160.0</v>
      </c>
      <c r="B162" s="13" t="s">
        <v>48</v>
      </c>
      <c r="C162" s="13">
        <v>2.0</v>
      </c>
      <c r="D162" s="14">
        <v>0.0</v>
      </c>
      <c r="E162" s="13" t="s">
        <v>1184</v>
      </c>
      <c r="F162" s="15"/>
      <c r="G162" s="16" t="s">
        <v>1185</v>
      </c>
      <c r="H162" s="13">
        <v>15.0</v>
      </c>
      <c r="I162" s="13">
        <v>1.2</v>
      </c>
      <c r="J162" s="13" t="s">
        <v>1186</v>
      </c>
      <c r="K162" s="13">
        <f t="shared" si="3"/>
        <v>0</v>
      </c>
      <c r="L162" s="13">
        <f t="shared" si="4"/>
        <v>3</v>
      </c>
      <c r="M162" s="13">
        <f t="shared" ref="M162:AA162" si="323">IFERROR(VALUE(RIGHT(LEFT($J162,FIND(M$1,$J162,1)+LEN(M$1)),1)),0)</f>
        <v>0</v>
      </c>
      <c r="N162" s="13">
        <f t="shared" si="323"/>
        <v>0</v>
      </c>
      <c r="O162" s="13">
        <f t="shared" si="323"/>
        <v>0</v>
      </c>
      <c r="P162" s="13">
        <f t="shared" si="323"/>
        <v>0</v>
      </c>
      <c r="Q162" s="13">
        <f t="shared" si="323"/>
        <v>0</v>
      </c>
      <c r="R162" s="13">
        <f t="shared" si="323"/>
        <v>0</v>
      </c>
      <c r="S162" s="13">
        <f t="shared" si="323"/>
        <v>0</v>
      </c>
      <c r="T162" s="13">
        <f t="shared" si="323"/>
        <v>0</v>
      </c>
      <c r="U162" s="13">
        <f t="shared" si="323"/>
        <v>0</v>
      </c>
      <c r="V162" s="13">
        <f t="shared" si="323"/>
        <v>0</v>
      </c>
      <c r="W162" s="13">
        <f t="shared" si="323"/>
        <v>0</v>
      </c>
      <c r="X162" s="13">
        <f t="shared" si="323"/>
        <v>0</v>
      </c>
      <c r="Y162" s="13">
        <f t="shared" si="323"/>
        <v>0</v>
      </c>
      <c r="Z162" s="13">
        <f t="shared" si="323"/>
        <v>0</v>
      </c>
      <c r="AA162" s="13">
        <f t="shared" si="323"/>
        <v>0</v>
      </c>
      <c r="AB162" s="13">
        <f t="shared" ref="AB162:AP162" si="324">IFERROR(VALUE(RIGHT(LEFT($J162,FIND(AB$1,$J162,IF(M162=0,1,FIND(AB$1,$J162,1)+1))+LEN(AB$1)),1)),0)</f>
        <v>0</v>
      </c>
      <c r="AC162" s="13">
        <f t="shared" si="324"/>
        <v>0</v>
      </c>
      <c r="AD162" s="13">
        <f t="shared" si="324"/>
        <v>1</v>
      </c>
      <c r="AE162" s="13">
        <f t="shared" si="324"/>
        <v>0</v>
      </c>
      <c r="AF162" s="13">
        <f t="shared" si="324"/>
        <v>0</v>
      </c>
      <c r="AG162" s="13">
        <f t="shared" si="324"/>
        <v>0</v>
      </c>
      <c r="AH162" s="13">
        <f t="shared" si="324"/>
        <v>0</v>
      </c>
      <c r="AI162" s="13">
        <f t="shared" si="324"/>
        <v>0</v>
      </c>
      <c r="AJ162" s="13">
        <f t="shared" si="324"/>
        <v>0</v>
      </c>
      <c r="AK162" s="13">
        <f t="shared" si="324"/>
        <v>0</v>
      </c>
      <c r="AL162" s="13">
        <f t="shared" si="324"/>
        <v>2</v>
      </c>
      <c r="AM162" s="13">
        <f t="shared" si="324"/>
        <v>0</v>
      </c>
      <c r="AN162" s="13">
        <f t="shared" si="324"/>
        <v>0</v>
      </c>
      <c r="AO162" s="13">
        <f t="shared" si="324"/>
        <v>0</v>
      </c>
      <c r="AP162" s="13">
        <f t="shared" si="324"/>
        <v>0</v>
      </c>
      <c r="AQ162" s="13"/>
      <c r="AR162" s="13" t="s">
        <v>1187</v>
      </c>
      <c r="AS162" s="13" t="s">
        <v>1188</v>
      </c>
      <c r="AT162" s="13" t="s">
        <v>129</v>
      </c>
      <c r="AU162" s="13" t="s">
        <v>803</v>
      </c>
      <c r="AV162" s="13" t="s">
        <v>1189</v>
      </c>
      <c r="AW162" s="13">
        <v>14.0</v>
      </c>
      <c r="AX162" s="13">
        <v>-1.0</v>
      </c>
      <c r="AY162" s="13">
        <v>0.0</v>
      </c>
      <c r="AZ162" s="13" t="s">
        <v>218</v>
      </c>
      <c r="BA162" s="13" t="s">
        <v>280</v>
      </c>
      <c r="BB162" s="13"/>
      <c r="BC162" s="13"/>
      <c r="BD162" s="13" t="s">
        <v>179</v>
      </c>
      <c r="BE162" s="13"/>
      <c r="BF162" s="13" t="s">
        <v>1190</v>
      </c>
      <c r="BG162" s="13" t="s">
        <v>169</v>
      </c>
      <c r="BH162" s="13" t="s">
        <v>79</v>
      </c>
      <c r="BI162" s="13" t="b">
        <v>0</v>
      </c>
      <c r="BJ162" s="13">
        <v>0.0</v>
      </c>
      <c r="BK162" s="13">
        <v>0.0</v>
      </c>
    </row>
    <row r="163" ht="14.25" customHeight="1">
      <c r="A163" s="13">
        <v>161.0</v>
      </c>
      <c r="B163" s="13" t="s">
        <v>48</v>
      </c>
      <c r="C163" s="13">
        <v>2.0</v>
      </c>
      <c r="D163" s="14">
        <v>0.0</v>
      </c>
      <c r="E163" s="13" t="s">
        <v>1191</v>
      </c>
      <c r="F163" s="15"/>
      <c r="G163" s="16" t="s">
        <v>1192</v>
      </c>
      <c r="H163" s="13">
        <v>16.0</v>
      </c>
      <c r="I163" s="13">
        <v>1.1</v>
      </c>
      <c r="J163" s="13" t="s">
        <v>1193</v>
      </c>
      <c r="K163" s="13">
        <f t="shared" si="3"/>
        <v>0</v>
      </c>
      <c r="L163" s="13">
        <f t="shared" si="4"/>
        <v>3</v>
      </c>
      <c r="M163" s="13">
        <f t="shared" ref="M163:AA163" si="325">IFERROR(VALUE(RIGHT(LEFT($J163,FIND(M$1,$J163,1)+LEN(M$1)),1)),0)</f>
        <v>0</v>
      </c>
      <c r="N163" s="13">
        <f t="shared" si="325"/>
        <v>0</v>
      </c>
      <c r="O163" s="13">
        <f t="shared" si="325"/>
        <v>0</v>
      </c>
      <c r="P163" s="13">
        <f t="shared" si="325"/>
        <v>0</v>
      </c>
      <c r="Q163" s="13">
        <f t="shared" si="325"/>
        <v>0</v>
      </c>
      <c r="R163" s="13">
        <f t="shared" si="325"/>
        <v>0</v>
      </c>
      <c r="S163" s="13">
        <f t="shared" si="325"/>
        <v>0</v>
      </c>
      <c r="T163" s="13">
        <f t="shared" si="325"/>
        <v>0</v>
      </c>
      <c r="U163" s="13">
        <f t="shared" si="325"/>
        <v>0</v>
      </c>
      <c r="V163" s="13">
        <f t="shared" si="325"/>
        <v>0</v>
      </c>
      <c r="W163" s="13">
        <f t="shared" si="325"/>
        <v>0</v>
      </c>
      <c r="X163" s="13">
        <f t="shared" si="325"/>
        <v>0</v>
      </c>
      <c r="Y163" s="13">
        <f t="shared" si="325"/>
        <v>0</v>
      </c>
      <c r="Z163" s="13">
        <f t="shared" si="325"/>
        <v>0</v>
      </c>
      <c r="AA163" s="13">
        <f t="shared" si="325"/>
        <v>0</v>
      </c>
      <c r="AB163" s="13">
        <f t="shared" ref="AB163:AP163" si="326">IFERROR(VALUE(RIGHT(LEFT($J163,FIND(AB$1,$J163,IF(M163=0,1,FIND(AB$1,$J163,1)+1))+LEN(AB$1)),1)),0)</f>
        <v>0</v>
      </c>
      <c r="AC163" s="13">
        <f t="shared" si="326"/>
        <v>1</v>
      </c>
      <c r="AD163" s="13">
        <f t="shared" si="326"/>
        <v>0</v>
      </c>
      <c r="AE163" s="13">
        <f t="shared" si="326"/>
        <v>0</v>
      </c>
      <c r="AF163" s="13">
        <f t="shared" si="326"/>
        <v>0</v>
      </c>
      <c r="AG163" s="13">
        <f t="shared" si="326"/>
        <v>0</v>
      </c>
      <c r="AH163" s="13">
        <f t="shared" si="326"/>
        <v>0</v>
      </c>
      <c r="AI163" s="13">
        <f t="shared" si="326"/>
        <v>0</v>
      </c>
      <c r="AJ163" s="13">
        <f t="shared" si="326"/>
        <v>0</v>
      </c>
      <c r="AK163" s="13">
        <f t="shared" si="326"/>
        <v>0</v>
      </c>
      <c r="AL163" s="13">
        <f t="shared" si="326"/>
        <v>2</v>
      </c>
      <c r="AM163" s="13">
        <f t="shared" si="326"/>
        <v>0</v>
      </c>
      <c r="AN163" s="13">
        <f t="shared" si="326"/>
        <v>0</v>
      </c>
      <c r="AO163" s="13">
        <f t="shared" si="326"/>
        <v>0</v>
      </c>
      <c r="AP163" s="13">
        <f t="shared" si="326"/>
        <v>0</v>
      </c>
      <c r="AQ163" s="13"/>
      <c r="AR163" s="13" t="s">
        <v>1194</v>
      </c>
      <c r="AS163" s="13" t="s">
        <v>1195</v>
      </c>
      <c r="AT163" s="13" t="s">
        <v>162</v>
      </c>
      <c r="AU163" s="13" t="s">
        <v>727</v>
      </c>
      <c r="AV163" s="13" t="s">
        <v>1110</v>
      </c>
      <c r="AW163" s="13">
        <v>15.0</v>
      </c>
      <c r="AX163" s="13">
        <v>-1.0</v>
      </c>
      <c r="AY163" s="13">
        <v>0.0</v>
      </c>
      <c r="AZ163" s="13" t="s">
        <v>1196</v>
      </c>
      <c r="BA163" s="13" t="s">
        <v>1197</v>
      </c>
      <c r="BB163" s="13"/>
      <c r="BC163" s="13"/>
      <c r="BD163" s="13" t="s">
        <v>179</v>
      </c>
      <c r="BE163" s="13"/>
      <c r="BF163" s="13" t="s">
        <v>1198</v>
      </c>
      <c r="BG163" s="13" t="s">
        <v>169</v>
      </c>
      <c r="BH163" s="13" t="s">
        <v>79</v>
      </c>
      <c r="BI163" s="13" t="b">
        <v>0</v>
      </c>
      <c r="BJ163" s="13">
        <v>0.0</v>
      </c>
      <c r="BK163" s="13">
        <v>0.0</v>
      </c>
    </row>
    <row r="164" ht="14.25" customHeight="1">
      <c r="A164" s="13">
        <v>162.0</v>
      </c>
      <c r="B164" s="13" t="s">
        <v>48</v>
      </c>
      <c r="C164" s="13">
        <v>2.0</v>
      </c>
      <c r="D164" s="14">
        <v>0.0</v>
      </c>
      <c r="E164" s="13" t="s">
        <v>1199</v>
      </c>
      <c r="F164" s="15" t="s">
        <v>413</v>
      </c>
      <c r="G164" s="16" t="s">
        <v>1200</v>
      </c>
      <c r="H164" s="13">
        <v>15.0</v>
      </c>
      <c r="I164" s="13">
        <v>1.0</v>
      </c>
      <c r="J164" s="13" t="s">
        <v>1193</v>
      </c>
      <c r="K164" s="13">
        <f t="shared" si="3"/>
        <v>0</v>
      </c>
      <c r="L164" s="13">
        <f t="shared" si="4"/>
        <v>3</v>
      </c>
      <c r="M164" s="13">
        <f t="shared" ref="M164:AA164" si="327">IFERROR(VALUE(RIGHT(LEFT($J164,FIND(M$1,$J164,1)+LEN(M$1)),1)),0)</f>
        <v>0</v>
      </c>
      <c r="N164" s="13">
        <f t="shared" si="327"/>
        <v>0</v>
      </c>
      <c r="O164" s="13">
        <f t="shared" si="327"/>
        <v>0</v>
      </c>
      <c r="P164" s="13">
        <f t="shared" si="327"/>
        <v>0</v>
      </c>
      <c r="Q164" s="13">
        <f t="shared" si="327"/>
        <v>0</v>
      </c>
      <c r="R164" s="13">
        <f t="shared" si="327"/>
        <v>0</v>
      </c>
      <c r="S164" s="13">
        <f t="shared" si="327"/>
        <v>0</v>
      </c>
      <c r="T164" s="13">
        <f t="shared" si="327"/>
        <v>0</v>
      </c>
      <c r="U164" s="13">
        <f t="shared" si="327"/>
        <v>0</v>
      </c>
      <c r="V164" s="13">
        <f t="shared" si="327"/>
        <v>0</v>
      </c>
      <c r="W164" s="13">
        <f t="shared" si="327"/>
        <v>0</v>
      </c>
      <c r="X164" s="13">
        <f t="shared" si="327"/>
        <v>0</v>
      </c>
      <c r="Y164" s="13">
        <f t="shared" si="327"/>
        <v>0</v>
      </c>
      <c r="Z164" s="13">
        <f t="shared" si="327"/>
        <v>0</v>
      </c>
      <c r="AA164" s="13">
        <f t="shared" si="327"/>
        <v>0</v>
      </c>
      <c r="AB164" s="13">
        <f t="shared" ref="AB164:AP164" si="328">IFERROR(VALUE(RIGHT(LEFT($J164,FIND(AB$1,$J164,IF(M164=0,1,FIND(AB$1,$J164,1)+1))+LEN(AB$1)),1)),0)</f>
        <v>0</v>
      </c>
      <c r="AC164" s="13">
        <f t="shared" si="328"/>
        <v>1</v>
      </c>
      <c r="AD164" s="13">
        <f t="shared" si="328"/>
        <v>0</v>
      </c>
      <c r="AE164" s="13">
        <f t="shared" si="328"/>
        <v>0</v>
      </c>
      <c r="AF164" s="13">
        <f t="shared" si="328"/>
        <v>0</v>
      </c>
      <c r="AG164" s="13">
        <f t="shared" si="328"/>
        <v>0</v>
      </c>
      <c r="AH164" s="13">
        <f t="shared" si="328"/>
        <v>0</v>
      </c>
      <c r="AI164" s="13">
        <f t="shared" si="328"/>
        <v>0</v>
      </c>
      <c r="AJ164" s="13">
        <f t="shared" si="328"/>
        <v>0</v>
      </c>
      <c r="AK164" s="13">
        <f t="shared" si="328"/>
        <v>0</v>
      </c>
      <c r="AL164" s="13">
        <f t="shared" si="328"/>
        <v>2</v>
      </c>
      <c r="AM164" s="13">
        <f t="shared" si="328"/>
        <v>0</v>
      </c>
      <c r="AN164" s="13">
        <f t="shared" si="328"/>
        <v>0</v>
      </c>
      <c r="AO164" s="13">
        <f t="shared" si="328"/>
        <v>0</v>
      </c>
      <c r="AP164" s="13">
        <f t="shared" si="328"/>
        <v>0</v>
      </c>
      <c r="AQ164" s="13"/>
      <c r="AR164" s="13" t="s">
        <v>173</v>
      </c>
      <c r="AS164" s="13" t="s">
        <v>1201</v>
      </c>
      <c r="AT164" s="13" t="s">
        <v>162</v>
      </c>
      <c r="AU164" s="13" t="s">
        <v>236</v>
      </c>
      <c r="AV164" s="13" t="s">
        <v>1202</v>
      </c>
      <c r="AW164" s="13">
        <v>15.0</v>
      </c>
      <c r="AX164" s="13">
        <v>-1.0</v>
      </c>
      <c r="AY164" s="13">
        <v>0.0</v>
      </c>
      <c r="AZ164" s="13" t="s">
        <v>1203</v>
      </c>
      <c r="BA164" s="13" t="s">
        <v>1204</v>
      </c>
      <c r="BB164" s="13"/>
      <c r="BC164" s="13"/>
      <c r="BD164" s="13" t="s">
        <v>179</v>
      </c>
      <c r="BE164" s="13"/>
      <c r="BF164" s="13" t="s">
        <v>1205</v>
      </c>
      <c r="BG164" s="13" t="s">
        <v>169</v>
      </c>
      <c r="BH164" s="13" t="s">
        <v>79</v>
      </c>
      <c r="BI164" s="13" t="b">
        <v>0</v>
      </c>
      <c r="BJ164" s="13">
        <v>0.0</v>
      </c>
      <c r="BK164" s="13">
        <v>0.0</v>
      </c>
    </row>
    <row r="165" ht="14.25" customHeight="1">
      <c r="A165" s="13">
        <v>163.0</v>
      </c>
      <c r="B165" s="13" t="s">
        <v>48</v>
      </c>
      <c r="C165" s="13">
        <v>2.0</v>
      </c>
      <c r="D165" s="14">
        <v>0.0</v>
      </c>
      <c r="E165" s="13" t="s">
        <v>1206</v>
      </c>
      <c r="F165" s="15"/>
      <c r="G165" s="16" t="s">
        <v>1207</v>
      </c>
      <c r="H165" s="13">
        <v>15.0</v>
      </c>
      <c r="I165" s="13">
        <v>0.9</v>
      </c>
      <c r="J165" s="13" t="s">
        <v>1208</v>
      </c>
      <c r="K165" s="13">
        <f t="shared" si="3"/>
        <v>0</v>
      </c>
      <c r="L165" s="13">
        <f t="shared" si="4"/>
        <v>3</v>
      </c>
      <c r="M165" s="13">
        <f t="shared" ref="M165:AA165" si="329">IFERROR(VALUE(RIGHT(LEFT($J165,FIND(M$1,$J165,1)+LEN(M$1)),1)),0)</f>
        <v>0</v>
      </c>
      <c r="N165" s="13">
        <f t="shared" si="329"/>
        <v>0</v>
      </c>
      <c r="O165" s="13">
        <f t="shared" si="329"/>
        <v>0</v>
      </c>
      <c r="P165" s="13">
        <f t="shared" si="329"/>
        <v>0</v>
      </c>
      <c r="Q165" s="13">
        <f t="shared" si="329"/>
        <v>0</v>
      </c>
      <c r="R165" s="13">
        <f t="shared" si="329"/>
        <v>0</v>
      </c>
      <c r="S165" s="13">
        <f t="shared" si="329"/>
        <v>0</v>
      </c>
      <c r="T165" s="13">
        <f t="shared" si="329"/>
        <v>0</v>
      </c>
      <c r="U165" s="13">
        <f t="shared" si="329"/>
        <v>0</v>
      </c>
      <c r="V165" s="13">
        <f t="shared" si="329"/>
        <v>0</v>
      </c>
      <c r="W165" s="13">
        <f t="shared" si="329"/>
        <v>0</v>
      </c>
      <c r="X165" s="13">
        <f t="shared" si="329"/>
        <v>0</v>
      </c>
      <c r="Y165" s="13">
        <f t="shared" si="329"/>
        <v>0</v>
      </c>
      <c r="Z165" s="13">
        <f t="shared" si="329"/>
        <v>0</v>
      </c>
      <c r="AA165" s="13">
        <f t="shared" si="329"/>
        <v>0</v>
      </c>
      <c r="AB165" s="13">
        <f t="shared" ref="AB165:AP165" si="330">IFERROR(VALUE(RIGHT(LEFT($J165,FIND(AB$1,$J165,IF(M165=0,1,FIND(AB$1,$J165,1)+1))+LEN(AB$1)),1)),0)</f>
        <v>1</v>
      </c>
      <c r="AC165" s="13">
        <f t="shared" si="330"/>
        <v>0</v>
      </c>
      <c r="AD165" s="13">
        <f t="shared" si="330"/>
        <v>0</v>
      </c>
      <c r="AE165" s="13">
        <f t="shared" si="330"/>
        <v>1</v>
      </c>
      <c r="AF165" s="13">
        <f t="shared" si="330"/>
        <v>0</v>
      </c>
      <c r="AG165" s="13">
        <f t="shared" si="330"/>
        <v>0</v>
      </c>
      <c r="AH165" s="13">
        <f t="shared" si="330"/>
        <v>0</v>
      </c>
      <c r="AI165" s="13">
        <f t="shared" si="330"/>
        <v>0</v>
      </c>
      <c r="AJ165" s="13">
        <f t="shared" si="330"/>
        <v>0</v>
      </c>
      <c r="AK165" s="13">
        <f t="shared" si="330"/>
        <v>0</v>
      </c>
      <c r="AL165" s="13">
        <f t="shared" si="330"/>
        <v>1</v>
      </c>
      <c r="AM165" s="13">
        <f t="shared" si="330"/>
        <v>0</v>
      </c>
      <c r="AN165" s="13">
        <f t="shared" si="330"/>
        <v>0</v>
      </c>
      <c r="AO165" s="13">
        <f t="shared" si="330"/>
        <v>0</v>
      </c>
      <c r="AP165" s="13">
        <f t="shared" si="330"/>
        <v>0</v>
      </c>
      <c r="AQ165" s="13"/>
      <c r="AR165" s="13" t="s">
        <v>1209</v>
      </c>
      <c r="AS165" s="13" t="s">
        <v>1210</v>
      </c>
      <c r="AT165" s="13" t="s">
        <v>162</v>
      </c>
      <c r="AU165" s="13" t="s">
        <v>1211</v>
      </c>
      <c r="AV165" s="13" t="s">
        <v>1212</v>
      </c>
      <c r="AW165" s="13">
        <v>16.0</v>
      </c>
      <c r="AX165" s="13">
        <v>-1.0</v>
      </c>
      <c r="AY165" s="13">
        <v>0.0</v>
      </c>
      <c r="AZ165" s="13" t="s">
        <v>1213</v>
      </c>
      <c r="BA165" s="13" t="s">
        <v>1214</v>
      </c>
      <c r="BB165" s="13"/>
      <c r="BC165" s="13"/>
      <c r="BD165" s="13" t="s">
        <v>188</v>
      </c>
      <c r="BE165" s="13"/>
      <c r="BF165" s="13" t="s">
        <v>1215</v>
      </c>
      <c r="BG165" s="13" t="s">
        <v>169</v>
      </c>
      <c r="BH165" s="13" t="s">
        <v>79</v>
      </c>
      <c r="BI165" s="13" t="b">
        <v>0</v>
      </c>
      <c r="BJ165" s="13">
        <v>0.0</v>
      </c>
      <c r="BK165" s="13">
        <v>0.0</v>
      </c>
    </row>
    <row r="166" ht="14.25" customHeight="1">
      <c r="A166" s="13">
        <v>164.0</v>
      </c>
      <c r="B166" s="13" t="s">
        <v>48</v>
      </c>
      <c r="C166" s="13">
        <v>2.0</v>
      </c>
      <c r="D166" s="14">
        <v>0.0</v>
      </c>
      <c r="E166" s="13" t="s">
        <v>1216</v>
      </c>
      <c r="F166" s="15"/>
      <c r="G166" s="16" t="s">
        <v>1217</v>
      </c>
      <c r="H166" s="13">
        <v>12.0</v>
      </c>
      <c r="I166" s="13">
        <v>0.9</v>
      </c>
      <c r="J166" s="13" t="s">
        <v>1218</v>
      </c>
      <c r="K166" s="13">
        <f t="shared" si="3"/>
        <v>0</v>
      </c>
      <c r="L166" s="13">
        <f t="shared" si="4"/>
        <v>3</v>
      </c>
      <c r="M166" s="13">
        <f t="shared" ref="M166:AA166" si="331">IFERROR(VALUE(RIGHT(LEFT($J166,FIND(M$1,$J166,1)+LEN(M$1)),1)),0)</f>
        <v>0</v>
      </c>
      <c r="N166" s="13">
        <f t="shared" si="331"/>
        <v>0</v>
      </c>
      <c r="O166" s="13">
        <f t="shared" si="331"/>
        <v>0</v>
      </c>
      <c r="P166" s="13">
        <f t="shared" si="331"/>
        <v>0</v>
      </c>
      <c r="Q166" s="13">
        <f t="shared" si="331"/>
        <v>0</v>
      </c>
      <c r="R166" s="13">
        <f t="shared" si="331"/>
        <v>0</v>
      </c>
      <c r="S166" s="13">
        <f t="shared" si="331"/>
        <v>0</v>
      </c>
      <c r="T166" s="13">
        <f t="shared" si="331"/>
        <v>0</v>
      </c>
      <c r="U166" s="13">
        <f t="shared" si="331"/>
        <v>0</v>
      </c>
      <c r="V166" s="13">
        <f t="shared" si="331"/>
        <v>0</v>
      </c>
      <c r="W166" s="13">
        <f t="shared" si="331"/>
        <v>0</v>
      </c>
      <c r="X166" s="13">
        <f t="shared" si="331"/>
        <v>0</v>
      </c>
      <c r="Y166" s="13">
        <f t="shared" si="331"/>
        <v>0</v>
      </c>
      <c r="Z166" s="13">
        <f t="shared" si="331"/>
        <v>0</v>
      </c>
      <c r="AA166" s="13">
        <f t="shared" si="331"/>
        <v>0</v>
      </c>
      <c r="AB166" s="13">
        <f t="shared" ref="AB166:AP166" si="332">IFERROR(VALUE(RIGHT(LEFT($J166,FIND(AB$1,$J166,IF(M166=0,1,FIND(AB$1,$J166,1)+1))+LEN(AB$1)),1)),0)</f>
        <v>0</v>
      </c>
      <c r="AC166" s="13">
        <f t="shared" si="332"/>
        <v>0</v>
      </c>
      <c r="AD166" s="13">
        <f t="shared" si="332"/>
        <v>1</v>
      </c>
      <c r="AE166" s="13">
        <f t="shared" si="332"/>
        <v>0</v>
      </c>
      <c r="AF166" s="13">
        <f t="shared" si="332"/>
        <v>1</v>
      </c>
      <c r="AG166" s="13">
        <f t="shared" si="332"/>
        <v>0</v>
      </c>
      <c r="AH166" s="13">
        <f t="shared" si="332"/>
        <v>0</v>
      </c>
      <c r="AI166" s="13">
        <f t="shared" si="332"/>
        <v>0</v>
      </c>
      <c r="AJ166" s="13">
        <f t="shared" si="332"/>
        <v>0</v>
      </c>
      <c r="AK166" s="13">
        <f t="shared" si="332"/>
        <v>0</v>
      </c>
      <c r="AL166" s="13">
        <f t="shared" si="332"/>
        <v>1</v>
      </c>
      <c r="AM166" s="13">
        <f t="shared" si="332"/>
        <v>0</v>
      </c>
      <c r="AN166" s="13">
        <f t="shared" si="332"/>
        <v>0</v>
      </c>
      <c r="AO166" s="13">
        <f t="shared" si="332"/>
        <v>0</v>
      </c>
      <c r="AP166" s="13">
        <f t="shared" si="332"/>
        <v>0</v>
      </c>
      <c r="AQ166" s="13"/>
      <c r="AR166" s="13" t="s">
        <v>1219</v>
      </c>
      <c r="AS166" s="13" t="s">
        <v>1220</v>
      </c>
      <c r="AT166" s="13" t="s">
        <v>1221</v>
      </c>
      <c r="AU166" s="13" t="s">
        <v>143</v>
      </c>
      <c r="AV166" s="13" t="s">
        <v>1222</v>
      </c>
      <c r="AW166" s="13">
        <v>12.0</v>
      </c>
      <c r="AX166" s="13">
        <v>-1.0</v>
      </c>
      <c r="AY166" s="13">
        <v>0.0</v>
      </c>
      <c r="AZ166" s="13" t="s">
        <v>1223</v>
      </c>
      <c r="BA166" s="13" t="s">
        <v>1224</v>
      </c>
      <c r="BB166" s="13"/>
      <c r="BC166" s="13"/>
      <c r="BD166" s="13" t="s">
        <v>167</v>
      </c>
      <c r="BE166" s="13"/>
      <c r="BF166" s="13" t="s">
        <v>688</v>
      </c>
      <c r="BG166" s="13" t="s">
        <v>169</v>
      </c>
      <c r="BH166" s="13" t="s">
        <v>79</v>
      </c>
      <c r="BI166" s="13" t="b">
        <v>0</v>
      </c>
      <c r="BJ166" s="13">
        <v>0.0</v>
      </c>
      <c r="BK166" s="13">
        <v>0.0</v>
      </c>
    </row>
    <row r="167" ht="14.25" customHeight="1">
      <c r="A167" s="13">
        <v>165.0</v>
      </c>
      <c r="B167" s="13" t="s">
        <v>48</v>
      </c>
      <c r="C167" s="13">
        <v>2.0</v>
      </c>
      <c r="D167" s="14">
        <v>0.0</v>
      </c>
      <c r="E167" s="13" t="s">
        <v>1225</v>
      </c>
      <c r="F167" s="15" t="s">
        <v>1226</v>
      </c>
      <c r="G167" s="16" t="s">
        <v>1227</v>
      </c>
      <c r="H167" s="13">
        <v>15.0</v>
      </c>
      <c r="I167" s="13">
        <v>0.9</v>
      </c>
      <c r="J167" s="13" t="s">
        <v>1228</v>
      </c>
      <c r="K167" s="13">
        <f t="shared" si="3"/>
        <v>0</v>
      </c>
      <c r="L167" s="13">
        <f t="shared" si="4"/>
        <v>3</v>
      </c>
      <c r="M167" s="13">
        <f t="shared" ref="M167:AA167" si="333">IFERROR(VALUE(RIGHT(LEFT($J167,FIND(M$1,$J167,1)+LEN(M$1)),1)),0)</f>
        <v>0</v>
      </c>
      <c r="N167" s="13">
        <f t="shared" si="333"/>
        <v>0</v>
      </c>
      <c r="O167" s="13">
        <f t="shared" si="333"/>
        <v>0</v>
      </c>
      <c r="P167" s="13">
        <f t="shared" si="333"/>
        <v>0</v>
      </c>
      <c r="Q167" s="13">
        <f t="shared" si="333"/>
        <v>0</v>
      </c>
      <c r="R167" s="13">
        <f t="shared" si="333"/>
        <v>0</v>
      </c>
      <c r="S167" s="13">
        <f t="shared" si="333"/>
        <v>0</v>
      </c>
      <c r="T167" s="13">
        <f t="shared" si="333"/>
        <v>0</v>
      </c>
      <c r="U167" s="13">
        <f t="shared" si="333"/>
        <v>0</v>
      </c>
      <c r="V167" s="13">
        <f t="shared" si="333"/>
        <v>0</v>
      </c>
      <c r="W167" s="13">
        <f t="shared" si="333"/>
        <v>0</v>
      </c>
      <c r="X167" s="13">
        <f t="shared" si="333"/>
        <v>0</v>
      </c>
      <c r="Y167" s="13">
        <f t="shared" si="333"/>
        <v>0</v>
      </c>
      <c r="Z167" s="13">
        <f t="shared" si="333"/>
        <v>0</v>
      </c>
      <c r="AA167" s="13">
        <f t="shared" si="333"/>
        <v>0</v>
      </c>
      <c r="AB167" s="13">
        <f t="shared" ref="AB167:AP167" si="334">IFERROR(VALUE(RIGHT(LEFT($J167,FIND(AB$1,$J167,IF(M167=0,1,FIND(AB$1,$J167,1)+1))+LEN(AB$1)),1)),0)</f>
        <v>1</v>
      </c>
      <c r="AC167" s="13">
        <f t="shared" si="334"/>
        <v>0</v>
      </c>
      <c r="AD167" s="13">
        <f t="shared" si="334"/>
        <v>0</v>
      </c>
      <c r="AE167" s="13">
        <f t="shared" si="334"/>
        <v>0</v>
      </c>
      <c r="AF167" s="13">
        <f t="shared" si="334"/>
        <v>1</v>
      </c>
      <c r="AG167" s="13">
        <f t="shared" si="334"/>
        <v>0</v>
      </c>
      <c r="AH167" s="13">
        <f t="shared" si="334"/>
        <v>0</v>
      </c>
      <c r="AI167" s="13">
        <f t="shared" si="334"/>
        <v>0</v>
      </c>
      <c r="AJ167" s="13">
        <f t="shared" si="334"/>
        <v>0</v>
      </c>
      <c r="AK167" s="13">
        <f t="shared" si="334"/>
        <v>0</v>
      </c>
      <c r="AL167" s="13">
        <f t="shared" si="334"/>
        <v>1</v>
      </c>
      <c r="AM167" s="13">
        <f t="shared" si="334"/>
        <v>0</v>
      </c>
      <c r="AN167" s="13">
        <f t="shared" si="334"/>
        <v>0</v>
      </c>
      <c r="AO167" s="13">
        <f t="shared" si="334"/>
        <v>0</v>
      </c>
      <c r="AP167" s="13">
        <f t="shared" si="334"/>
        <v>0</v>
      </c>
      <c r="AQ167" s="13"/>
      <c r="AR167" s="13" t="s">
        <v>1229</v>
      </c>
      <c r="AS167" s="13" t="s">
        <v>1230</v>
      </c>
      <c r="AT167" s="13" t="s">
        <v>162</v>
      </c>
      <c r="AU167" s="13" t="s">
        <v>236</v>
      </c>
      <c r="AV167" s="13" t="s">
        <v>1152</v>
      </c>
      <c r="AW167" s="13">
        <v>13.0</v>
      </c>
      <c r="AX167" s="13">
        <v>-1.0</v>
      </c>
      <c r="AY167" s="13">
        <v>0.0</v>
      </c>
      <c r="AZ167" s="13" t="s">
        <v>1231</v>
      </c>
      <c r="BA167" s="13" t="s">
        <v>1232</v>
      </c>
      <c r="BB167" s="13"/>
      <c r="BC167" s="13"/>
      <c r="BD167" s="13" t="s">
        <v>167</v>
      </c>
      <c r="BE167" s="13"/>
      <c r="BF167" s="13" t="s">
        <v>764</v>
      </c>
      <c r="BG167" s="13" t="s">
        <v>169</v>
      </c>
      <c r="BH167" s="13" t="s">
        <v>241</v>
      </c>
      <c r="BI167" s="13" t="b">
        <v>0</v>
      </c>
      <c r="BJ167" s="13">
        <v>0.0</v>
      </c>
      <c r="BK167" s="13">
        <v>0.0</v>
      </c>
    </row>
    <row r="168" ht="14.25" customHeight="1">
      <c r="A168" s="13">
        <v>166.0</v>
      </c>
      <c r="B168" s="13" t="s">
        <v>48</v>
      </c>
      <c r="C168" s="13">
        <v>2.0</v>
      </c>
      <c r="D168" s="14">
        <v>0.0</v>
      </c>
      <c r="E168" s="13" t="s">
        <v>1233</v>
      </c>
      <c r="F168" s="15"/>
      <c r="G168" s="16" t="s">
        <v>1234</v>
      </c>
      <c r="H168" s="13">
        <v>14.0</v>
      </c>
      <c r="I168" s="13">
        <v>1.0</v>
      </c>
      <c r="J168" s="13" t="s">
        <v>1235</v>
      </c>
      <c r="K168" s="13">
        <f t="shared" si="3"/>
        <v>0</v>
      </c>
      <c r="L168" s="13">
        <f t="shared" si="4"/>
        <v>3</v>
      </c>
      <c r="M168" s="13">
        <f t="shared" ref="M168:AA168" si="335">IFERROR(VALUE(RIGHT(LEFT($J168,FIND(M$1,$J168,1)+LEN(M$1)),1)),0)</f>
        <v>0</v>
      </c>
      <c r="N168" s="13">
        <f t="shared" si="335"/>
        <v>0</v>
      </c>
      <c r="O168" s="13">
        <f t="shared" si="335"/>
        <v>0</v>
      </c>
      <c r="P168" s="13">
        <f t="shared" si="335"/>
        <v>0</v>
      </c>
      <c r="Q168" s="13">
        <f t="shared" si="335"/>
        <v>0</v>
      </c>
      <c r="R168" s="13">
        <f t="shared" si="335"/>
        <v>0</v>
      </c>
      <c r="S168" s="13">
        <f t="shared" si="335"/>
        <v>0</v>
      </c>
      <c r="T168" s="13">
        <f t="shared" si="335"/>
        <v>0</v>
      </c>
      <c r="U168" s="13">
        <f t="shared" si="335"/>
        <v>0</v>
      </c>
      <c r="V168" s="13">
        <f t="shared" si="335"/>
        <v>0</v>
      </c>
      <c r="W168" s="13">
        <f t="shared" si="335"/>
        <v>0</v>
      </c>
      <c r="X168" s="13">
        <f t="shared" si="335"/>
        <v>0</v>
      </c>
      <c r="Y168" s="13">
        <f t="shared" si="335"/>
        <v>0</v>
      </c>
      <c r="Z168" s="13">
        <f t="shared" si="335"/>
        <v>0</v>
      </c>
      <c r="AA168" s="13">
        <f t="shared" si="335"/>
        <v>0</v>
      </c>
      <c r="AB168" s="13">
        <f t="shared" ref="AB168:AP168" si="336">IFERROR(VALUE(RIGHT(LEFT($J168,FIND(AB$1,$J168,IF(M168=0,1,FIND(AB$1,$J168,1)+1))+LEN(AB$1)),1)),0)</f>
        <v>0</v>
      </c>
      <c r="AC168" s="13">
        <f t="shared" si="336"/>
        <v>0</v>
      </c>
      <c r="AD168" s="13">
        <f t="shared" si="336"/>
        <v>0</v>
      </c>
      <c r="AE168" s="13">
        <f t="shared" si="336"/>
        <v>0</v>
      </c>
      <c r="AF168" s="13">
        <f t="shared" si="336"/>
        <v>0</v>
      </c>
      <c r="AG168" s="13">
        <f t="shared" si="336"/>
        <v>1</v>
      </c>
      <c r="AH168" s="13">
        <f t="shared" si="336"/>
        <v>1</v>
      </c>
      <c r="AI168" s="13">
        <f t="shared" si="336"/>
        <v>0</v>
      </c>
      <c r="AJ168" s="13">
        <f t="shared" si="336"/>
        <v>0</v>
      </c>
      <c r="AK168" s="13">
        <f t="shared" si="336"/>
        <v>0</v>
      </c>
      <c r="AL168" s="13">
        <f t="shared" si="336"/>
        <v>1</v>
      </c>
      <c r="AM168" s="13">
        <f t="shared" si="336"/>
        <v>0</v>
      </c>
      <c r="AN168" s="13">
        <f t="shared" si="336"/>
        <v>0</v>
      </c>
      <c r="AO168" s="13">
        <f t="shared" si="336"/>
        <v>0</v>
      </c>
      <c r="AP168" s="13">
        <f t="shared" si="336"/>
        <v>0</v>
      </c>
      <c r="AQ168" s="13"/>
      <c r="AR168" s="13" t="s">
        <v>1236</v>
      </c>
      <c r="AS168" s="13" t="s">
        <v>1237</v>
      </c>
      <c r="AT168" s="13" t="s">
        <v>129</v>
      </c>
      <c r="AU168" s="13" t="s">
        <v>143</v>
      </c>
      <c r="AV168" s="13" t="s">
        <v>1238</v>
      </c>
      <c r="AW168" s="13">
        <v>16.0</v>
      </c>
      <c r="AX168" s="13">
        <v>-1.0</v>
      </c>
      <c r="AY168" s="13">
        <v>0.0</v>
      </c>
      <c r="AZ168" s="13" t="s">
        <v>1239</v>
      </c>
      <c r="BA168" s="13" t="s">
        <v>1240</v>
      </c>
      <c r="BB168" s="13"/>
      <c r="BC168" s="13"/>
      <c r="BD168" s="13" t="s">
        <v>188</v>
      </c>
      <c r="BE168" s="13"/>
      <c r="BF168" s="13" t="s">
        <v>1241</v>
      </c>
      <c r="BG168" s="13" t="s">
        <v>169</v>
      </c>
      <c r="BH168" s="13" t="s">
        <v>79</v>
      </c>
      <c r="BI168" s="13" t="b">
        <v>0</v>
      </c>
      <c r="BJ168" s="13">
        <v>0.0</v>
      </c>
      <c r="BK168" s="13">
        <v>0.0</v>
      </c>
    </row>
    <row r="169" ht="14.25" customHeight="1">
      <c r="A169" s="13">
        <v>167.0</v>
      </c>
      <c r="B169" s="13" t="s">
        <v>49</v>
      </c>
      <c r="C169" s="13">
        <v>2.0</v>
      </c>
      <c r="D169" s="14">
        <v>0.0</v>
      </c>
      <c r="E169" s="13" t="s">
        <v>1242</v>
      </c>
      <c r="F169" s="15" t="s">
        <v>1243</v>
      </c>
      <c r="G169" s="16" t="s">
        <v>1244</v>
      </c>
      <c r="H169" s="13">
        <v>15.0</v>
      </c>
      <c r="I169" s="13">
        <v>1.1</v>
      </c>
      <c r="J169" s="13" t="s">
        <v>1245</v>
      </c>
      <c r="K169" s="13">
        <f t="shared" si="3"/>
        <v>0</v>
      </c>
      <c r="L169" s="13">
        <f t="shared" si="4"/>
        <v>3</v>
      </c>
      <c r="M169" s="13">
        <f t="shared" ref="M169:AA169" si="337">IFERROR(VALUE(RIGHT(LEFT($J169,FIND(M$1,$J169,1)+LEN(M$1)),1)),0)</f>
        <v>0</v>
      </c>
      <c r="N169" s="13">
        <f t="shared" si="337"/>
        <v>0</v>
      </c>
      <c r="O169" s="13">
        <f t="shared" si="337"/>
        <v>0</v>
      </c>
      <c r="P169" s="13">
        <f t="shared" si="337"/>
        <v>0</v>
      </c>
      <c r="Q169" s="13">
        <f t="shared" si="337"/>
        <v>0</v>
      </c>
      <c r="R169" s="13">
        <f t="shared" si="337"/>
        <v>0</v>
      </c>
      <c r="S169" s="13">
        <f t="shared" si="337"/>
        <v>0</v>
      </c>
      <c r="T169" s="13">
        <f t="shared" si="337"/>
        <v>0</v>
      </c>
      <c r="U169" s="13">
        <f t="shared" si="337"/>
        <v>0</v>
      </c>
      <c r="V169" s="13">
        <f t="shared" si="337"/>
        <v>0</v>
      </c>
      <c r="W169" s="13">
        <f t="shared" si="337"/>
        <v>0</v>
      </c>
      <c r="X169" s="13">
        <f t="shared" si="337"/>
        <v>0</v>
      </c>
      <c r="Y169" s="13">
        <f t="shared" si="337"/>
        <v>0</v>
      </c>
      <c r="Z169" s="13">
        <f t="shared" si="337"/>
        <v>0</v>
      </c>
      <c r="AA169" s="13">
        <f t="shared" si="337"/>
        <v>0</v>
      </c>
      <c r="AB169" s="13">
        <f t="shared" ref="AB169:AP169" si="338">IFERROR(VALUE(RIGHT(LEFT($J169,FIND(AB$1,$J169,IF(M169=0,1,FIND(AB$1,$J169,1)+1))+LEN(AB$1)),1)),0)</f>
        <v>1</v>
      </c>
      <c r="AC169" s="13">
        <f t="shared" si="338"/>
        <v>1</v>
      </c>
      <c r="AD169" s="13">
        <f t="shared" si="338"/>
        <v>0</v>
      </c>
      <c r="AE169" s="13">
        <f t="shared" si="338"/>
        <v>0</v>
      </c>
      <c r="AF169" s="13">
        <f t="shared" si="338"/>
        <v>0</v>
      </c>
      <c r="AG169" s="13">
        <f t="shared" si="338"/>
        <v>0</v>
      </c>
      <c r="AH169" s="13">
        <f t="shared" si="338"/>
        <v>0</v>
      </c>
      <c r="AI169" s="13">
        <f t="shared" si="338"/>
        <v>0</v>
      </c>
      <c r="AJ169" s="13">
        <f t="shared" si="338"/>
        <v>0</v>
      </c>
      <c r="AK169" s="13">
        <f t="shared" si="338"/>
        <v>0</v>
      </c>
      <c r="AL169" s="13">
        <f t="shared" si="338"/>
        <v>0</v>
      </c>
      <c r="AM169" s="13">
        <f t="shared" si="338"/>
        <v>1</v>
      </c>
      <c r="AN169" s="13">
        <f t="shared" si="338"/>
        <v>0</v>
      </c>
      <c r="AO169" s="13">
        <f t="shared" si="338"/>
        <v>0</v>
      </c>
      <c r="AP169" s="13">
        <f t="shared" si="338"/>
        <v>0</v>
      </c>
      <c r="AQ169" s="13"/>
      <c r="AR169" s="13" t="s">
        <v>1246</v>
      </c>
      <c r="AS169" s="13" t="s">
        <v>1247</v>
      </c>
      <c r="AT169" s="13" t="s">
        <v>129</v>
      </c>
      <c r="AU169" s="13" t="s">
        <v>143</v>
      </c>
      <c r="AV169" s="13" t="s">
        <v>1152</v>
      </c>
      <c r="AW169" s="13">
        <v>14.0</v>
      </c>
      <c r="AX169" s="13">
        <v>-1.0</v>
      </c>
      <c r="AY169" s="13">
        <v>0.0</v>
      </c>
      <c r="AZ169" s="13" t="s">
        <v>1248</v>
      </c>
      <c r="BA169" s="13" t="s">
        <v>1249</v>
      </c>
      <c r="BB169" s="13"/>
      <c r="BC169" s="13"/>
      <c r="BD169" s="13" t="s">
        <v>199</v>
      </c>
      <c r="BE169" s="13"/>
      <c r="BF169" s="13" t="s">
        <v>1250</v>
      </c>
      <c r="BG169" s="13" t="s">
        <v>201</v>
      </c>
      <c r="BH169" s="13" t="s">
        <v>79</v>
      </c>
      <c r="BI169" s="13" t="b">
        <v>0</v>
      </c>
      <c r="BJ169" s="13">
        <v>0.0</v>
      </c>
      <c r="BK169" s="13">
        <v>0.0</v>
      </c>
    </row>
    <row r="170" ht="14.25" customHeight="1">
      <c r="A170" s="13">
        <v>168.0</v>
      </c>
      <c r="B170" s="13" t="s">
        <v>49</v>
      </c>
      <c r="C170" s="13">
        <v>2.0</v>
      </c>
      <c r="D170" s="14">
        <v>0.0</v>
      </c>
      <c r="E170" s="13" t="s">
        <v>1251</v>
      </c>
      <c r="F170" s="15"/>
      <c r="G170" s="16" t="s">
        <v>1252</v>
      </c>
      <c r="H170" s="13">
        <v>16.0</v>
      </c>
      <c r="I170" s="13">
        <v>1.0</v>
      </c>
      <c r="J170" s="13" t="s">
        <v>1253</v>
      </c>
      <c r="K170" s="13">
        <f t="shared" si="3"/>
        <v>0</v>
      </c>
      <c r="L170" s="13">
        <f t="shared" si="4"/>
        <v>3</v>
      </c>
      <c r="M170" s="13">
        <f t="shared" ref="M170:AA170" si="339">IFERROR(VALUE(RIGHT(LEFT($J170,FIND(M$1,$J170,1)+LEN(M$1)),1)),0)</f>
        <v>0</v>
      </c>
      <c r="N170" s="13">
        <f t="shared" si="339"/>
        <v>0</v>
      </c>
      <c r="O170" s="13">
        <f t="shared" si="339"/>
        <v>0</v>
      </c>
      <c r="P170" s="13">
        <f t="shared" si="339"/>
        <v>0</v>
      </c>
      <c r="Q170" s="13">
        <f t="shared" si="339"/>
        <v>0</v>
      </c>
      <c r="R170" s="13">
        <f t="shared" si="339"/>
        <v>0</v>
      </c>
      <c r="S170" s="13">
        <f t="shared" si="339"/>
        <v>0</v>
      </c>
      <c r="T170" s="13">
        <f t="shared" si="339"/>
        <v>0</v>
      </c>
      <c r="U170" s="13">
        <f t="shared" si="339"/>
        <v>0</v>
      </c>
      <c r="V170" s="13">
        <f t="shared" si="339"/>
        <v>0</v>
      </c>
      <c r="W170" s="13">
        <f t="shared" si="339"/>
        <v>0</v>
      </c>
      <c r="X170" s="13">
        <f t="shared" si="339"/>
        <v>0</v>
      </c>
      <c r="Y170" s="13">
        <f t="shared" si="339"/>
        <v>0</v>
      </c>
      <c r="Z170" s="13">
        <f t="shared" si="339"/>
        <v>0</v>
      </c>
      <c r="AA170" s="13">
        <f t="shared" si="339"/>
        <v>0</v>
      </c>
      <c r="AB170" s="13">
        <f t="shared" ref="AB170:AP170" si="340">IFERROR(VALUE(RIGHT(LEFT($J170,FIND(AB$1,$J170,IF(M170=0,1,FIND(AB$1,$J170,1)+1))+LEN(AB$1)),1)),0)</f>
        <v>1</v>
      </c>
      <c r="AC170" s="13">
        <f t="shared" si="340"/>
        <v>0</v>
      </c>
      <c r="AD170" s="13">
        <f t="shared" si="340"/>
        <v>0</v>
      </c>
      <c r="AE170" s="13">
        <f t="shared" si="340"/>
        <v>0</v>
      </c>
      <c r="AF170" s="13">
        <f t="shared" si="340"/>
        <v>1</v>
      </c>
      <c r="AG170" s="13">
        <f t="shared" si="340"/>
        <v>0</v>
      </c>
      <c r="AH170" s="13">
        <f t="shared" si="340"/>
        <v>0</v>
      </c>
      <c r="AI170" s="13">
        <f t="shared" si="340"/>
        <v>0</v>
      </c>
      <c r="AJ170" s="13">
        <f t="shared" si="340"/>
        <v>0</v>
      </c>
      <c r="AK170" s="13">
        <f t="shared" si="340"/>
        <v>0</v>
      </c>
      <c r="AL170" s="13">
        <f t="shared" si="340"/>
        <v>0</v>
      </c>
      <c r="AM170" s="13">
        <f t="shared" si="340"/>
        <v>1</v>
      </c>
      <c r="AN170" s="13">
        <f t="shared" si="340"/>
        <v>0</v>
      </c>
      <c r="AO170" s="13">
        <f t="shared" si="340"/>
        <v>0</v>
      </c>
      <c r="AP170" s="13">
        <f t="shared" si="340"/>
        <v>0</v>
      </c>
      <c r="AQ170" s="13"/>
      <c r="AR170" s="13" t="s">
        <v>1254</v>
      </c>
      <c r="AS170" s="13" t="s">
        <v>1255</v>
      </c>
      <c r="AT170" s="13" t="s">
        <v>162</v>
      </c>
      <c r="AU170" s="13" t="s">
        <v>236</v>
      </c>
      <c r="AV170" s="13" t="s">
        <v>1256</v>
      </c>
      <c r="AW170" s="13">
        <v>16.0</v>
      </c>
      <c r="AX170" s="13">
        <v>-1.0</v>
      </c>
      <c r="AY170" s="13">
        <v>0.0</v>
      </c>
      <c r="AZ170" s="13" t="s">
        <v>292</v>
      </c>
      <c r="BA170" s="13" t="s">
        <v>806</v>
      </c>
      <c r="BB170" s="13"/>
      <c r="BC170" s="13"/>
      <c r="BD170" s="13" t="s">
        <v>199</v>
      </c>
      <c r="BE170" s="13"/>
      <c r="BF170" s="13" t="s">
        <v>1257</v>
      </c>
      <c r="BG170" s="13" t="s">
        <v>201</v>
      </c>
      <c r="BH170" s="13" t="s">
        <v>241</v>
      </c>
      <c r="BI170" s="13" t="b">
        <v>0</v>
      </c>
      <c r="BJ170" s="13">
        <v>0.0</v>
      </c>
      <c r="BK170" s="13">
        <v>0.0</v>
      </c>
    </row>
    <row r="171" ht="14.25" customHeight="1">
      <c r="A171" s="13">
        <v>169.0</v>
      </c>
      <c r="B171" s="13" t="s">
        <v>49</v>
      </c>
      <c r="C171" s="13">
        <v>2.0</v>
      </c>
      <c r="D171" s="14">
        <v>0.0</v>
      </c>
      <c r="E171" s="13" t="s">
        <v>1258</v>
      </c>
      <c r="F171" s="15"/>
      <c r="G171" s="16" t="s">
        <v>1259</v>
      </c>
      <c r="H171" s="13">
        <v>15.0</v>
      </c>
      <c r="I171" s="13">
        <v>1.1</v>
      </c>
      <c r="J171" s="13" t="s">
        <v>1260</v>
      </c>
      <c r="K171" s="13">
        <f t="shared" si="3"/>
        <v>0</v>
      </c>
      <c r="L171" s="13">
        <f t="shared" si="4"/>
        <v>3</v>
      </c>
      <c r="M171" s="13">
        <f t="shared" ref="M171:AA171" si="341">IFERROR(VALUE(RIGHT(LEFT($J171,FIND(M$1,$J171,1)+LEN(M$1)),1)),0)</f>
        <v>0</v>
      </c>
      <c r="N171" s="13">
        <f t="shared" si="341"/>
        <v>0</v>
      </c>
      <c r="O171" s="13">
        <f t="shared" si="341"/>
        <v>0</v>
      </c>
      <c r="P171" s="13">
        <f t="shared" si="341"/>
        <v>0</v>
      </c>
      <c r="Q171" s="13">
        <f t="shared" si="341"/>
        <v>0</v>
      </c>
      <c r="R171" s="13">
        <f t="shared" si="341"/>
        <v>0</v>
      </c>
      <c r="S171" s="13">
        <f t="shared" si="341"/>
        <v>0</v>
      </c>
      <c r="T171" s="13">
        <f t="shared" si="341"/>
        <v>0</v>
      </c>
      <c r="U171" s="13">
        <f t="shared" si="341"/>
        <v>0</v>
      </c>
      <c r="V171" s="13">
        <f t="shared" si="341"/>
        <v>0</v>
      </c>
      <c r="W171" s="13">
        <f t="shared" si="341"/>
        <v>0</v>
      </c>
      <c r="X171" s="13">
        <f t="shared" si="341"/>
        <v>0</v>
      </c>
      <c r="Y171" s="13">
        <f t="shared" si="341"/>
        <v>0</v>
      </c>
      <c r="Z171" s="13">
        <f t="shared" si="341"/>
        <v>0</v>
      </c>
      <c r="AA171" s="13">
        <f t="shared" si="341"/>
        <v>0</v>
      </c>
      <c r="AB171" s="13">
        <f t="shared" ref="AB171:AP171" si="342">IFERROR(VALUE(RIGHT(LEFT($J171,FIND(AB$1,$J171,IF(M171=0,1,FIND(AB$1,$J171,1)+1))+LEN(AB$1)),1)),0)</f>
        <v>0</v>
      </c>
      <c r="AC171" s="13">
        <f t="shared" si="342"/>
        <v>1</v>
      </c>
      <c r="AD171" s="13">
        <f t="shared" si="342"/>
        <v>0</v>
      </c>
      <c r="AE171" s="13">
        <f t="shared" si="342"/>
        <v>0</v>
      </c>
      <c r="AF171" s="13">
        <f t="shared" si="342"/>
        <v>0</v>
      </c>
      <c r="AG171" s="13">
        <f t="shared" si="342"/>
        <v>0</v>
      </c>
      <c r="AH171" s="13">
        <f t="shared" si="342"/>
        <v>0</v>
      </c>
      <c r="AI171" s="13">
        <f t="shared" si="342"/>
        <v>0</v>
      </c>
      <c r="AJ171" s="13">
        <f t="shared" si="342"/>
        <v>0</v>
      </c>
      <c r="AK171" s="13">
        <f t="shared" si="342"/>
        <v>0</v>
      </c>
      <c r="AL171" s="13">
        <f t="shared" si="342"/>
        <v>0</v>
      </c>
      <c r="AM171" s="13">
        <f t="shared" si="342"/>
        <v>2</v>
      </c>
      <c r="AN171" s="13">
        <f t="shared" si="342"/>
        <v>0</v>
      </c>
      <c r="AO171" s="13">
        <f t="shared" si="342"/>
        <v>0</v>
      </c>
      <c r="AP171" s="13">
        <f t="shared" si="342"/>
        <v>0</v>
      </c>
      <c r="AQ171" s="13"/>
      <c r="AR171" s="13" t="s">
        <v>1261</v>
      </c>
      <c r="AS171" s="13" t="s">
        <v>1262</v>
      </c>
      <c r="AT171" s="13" t="s">
        <v>1263</v>
      </c>
      <c r="AU171" s="13" t="s">
        <v>143</v>
      </c>
      <c r="AV171" s="13" t="s">
        <v>1264</v>
      </c>
      <c r="AW171" s="13">
        <v>15.0</v>
      </c>
      <c r="AX171" s="13">
        <v>-1.0</v>
      </c>
      <c r="AY171" s="13">
        <v>0.0</v>
      </c>
      <c r="AZ171" s="13" t="s">
        <v>1265</v>
      </c>
      <c r="BA171" s="13" t="s">
        <v>1266</v>
      </c>
      <c r="BB171" s="13"/>
      <c r="BC171" s="13"/>
      <c r="BD171" s="13" t="s">
        <v>664</v>
      </c>
      <c r="BE171" s="13"/>
      <c r="BF171" s="13" t="s">
        <v>1267</v>
      </c>
      <c r="BG171" s="13" t="s">
        <v>201</v>
      </c>
      <c r="BH171" s="13" t="s">
        <v>79</v>
      </c>
      <c r="BI171" s="13" t="b">
        <v>0</v>
      </c>
      <c r="BJ171" s="13">
        <v>0.0</v>
      </c>
      <c r="BK171" s="13">
        <v>0.0</v>
      </c>
    </row>
    <row r="172" ht="14.25" customHeight="1">
      <c r="A172" s="13">
        <v>170.0</v>
      </c>
      <c r="B172" s="13" t="s">
        <v>49</v>
      </c>
      <c r="C172" s="13">
        <v>2.0</v>
      </c>
      <c r="D172" s="14">
        <v>0.0</v>
      </c>
      <c r="E172" s="13" t="s">
        <v>1268</v>
      </c>
      <c r="F172" s="15"/>
      <c r="G172" s="16" t="s">
        <v>1269</v>
      </c>
      <c r="H172" s="13">
        <v>16.0</v>
      </c>
      <c r="I172" s="13">
        <v>1.0</v>
      </c>
      <c r="J172" s="13" t="s">
        <v>1270</v>
      </c>
      <c r="K172" s="13">
        <f t="shared" si="3"/>
        <v>0</v>
      </c>
      <c r="L172" s="13">
        <f t="shared" si="4"/>
        <v>3</v>
      </c>
      <c r="M172" s="13">
        <f t="shared" ref="M172:AA172" si="343">IFERROR(VALUE(RIGHT(LEFT($J172,FIND(M$1,$J172,1)+LEN(M$1)),1)),0)</f>
        <v>0</v>
      </c>
      <c r="N172" s="13">
        <f t="shared" si="343"/>
        <v>0</v>
      </c>
      <c r="O172" s="13">
        <f t="shared" si="343"/>
        <v>0</v>
      </c>
      <c r="P172" s="13">
        <f t="shared" si="343"/>
        <v>0</v>
      </c>
      <c r="Q172" s="13">
        <f t="shared" si="343"/>
        <v>0</v>
      </c>
      <c r="R172" s="13">
        <f t="shared" si="343"/>
        <v>0</v>
      </c>
      <c r="S172" s="13">
        <f t="shared" si="343"/>
        <v>0</v>
      </c>
      <c r="T172" s="13">
        <f t="shared" si="343"/>
        <v>0</v>
      </c>
      <c r="U172" s="13">
        <f t="shared" si="343"/>
        <v>0</v>
      </c>
      <c r="V172" s="13">
        <f t="shared" si="343"/>
        <v>0</v>
      </c>
      <c r="W172" s="13">
        <f t="shared" si="343"/>
        <v>0</v>
      </c>
      <c r="X172" s="13">
        <f t="shared" si="343"/>
        <v>0</v>
      </c>
      <c r="Y172" s="13">
        <f t="shared" si="343"/>
        <v>0</v>
      </c>
      <c r="Z172" s="13">
        <f t="shared" si="343"/>
        <v>0</v>
      </c>
      <c r="AA172" s="13">
        <f t="shared" si="343"/>
        <v>0</v>
      </c>
      <c r="AB172" s="13">
        <f t="shared" ref="AB172:AP172" si="344">IFERROR(VALUE(RIGHT(LEFT($J172,FIND(AB$1,$J172,IF(M172=0,1,FIND(AB$1,$J172,1)+1))+LEN(AB$1)),1)),0)</f>
        <v>1</v>
      </c>
      <c r="AC172" s="13">
        <f t="shared" si="344"/>
        <v>0</v>
      </c>
      <c r="AD172" s="13">
        <f t="shared" si="344"/>
        <v>0</v>
      </c>
      <c r="AE172" s="13">
        <f t="shared" si="344"/>
        <v>0</v>
      </c>
      <c r="AF172" s="13">
        <f t="shared" si="344"/>
        <v>0</v>
      </c>
      <c r="AG172" s="13">
        <f t="shared" si="344"/>
        <v>0</v>
      </c>
      <c r="AH172" s="13">
        <f t="shared" si="344"/>
        <v>0</v>
      </c>
      <c r="AI172" s="13">
        <f t="shared" si="344"/>
        <v>0</v>
      </c>
      <c r="AJ172" s="13">
        <f t="shared" si="344"/>
        <v>0</v>
      </c>
      <c r="AK172" s="13">
        <f t="shared" si="344"/>
        <v>0</v>
      </c>
      <c r="AL172" s="13">
        <f t="shared" si="344"/>
        <v>0</v>
      </c>
      <c r="AM172" s="13">
        <f t="shared" si="344"/>
        <v>2</v>
      </c>
      <c r="AN172" s="13">
        <f t="shared" si="344"/>
        <v>0</v>
      </c>
      <c r="AO172" s="13">
        <f t="shared" si="344"/>
        <v>0</v>
      </c>
      <c r="AP172" s="13">
        <f t="shared" si="344"/>
        <v>0</v>
      </c>
      <c r="AQ172" s="13"/>
      <c r="AR172" s="13" t="s">
        <v>1271</v>
      </c>
      <c r="AS172" s="13" t="s">
        <v>1272</v>
      </c>
      <c r="AT172" s="13" t="s">
        <v>162</v>
      </c>
      <c r="AU172" s="13" t="s">
        <v>163</v>
      </c>
      <c r="AV172" s="13" t="s">
        <v>1273</v>
      </c>
      <c r="AW172" s="13">
        <v>14.0</v>
      </c>
      <c r="AX172" s="13">
        <v>-1.0</v>
      </c>
      <c r="AY172" s="13">
        <v>0.0</v>
      </c>
      <c r="AZ172" s="13" t="s">
        <v>1274</v>
      </c>
      <c r="BA172" s="13" t="s">
        <v>796</v>
      </c>
      <c r="BB172" s="13"/>
      <c r="BC172" s="13"/>
      <c r="BD172" s="13" t="s">
        <v>199</v>
      </c>
      <c r="BE172" s="13"/>
      <c r="BF172" s="13" t="s">
        <v>1275</v>
      </c>
      <c r="BG172" s="13" t="s">
        <v>201</v>
      </c>
      <c r="BH172" s="13" t="s">
        <v>79</v>
      </c>
      <c r="BI172" s="13" t="b">
        <v>0</v>
      </c>
      <c r="BJ172" s="13">
        <v>0.0</v>
      </c>
      <c r="BK172" s="13">
        <v>0.0</v>
      </c>
    </row>
    <row r="173" ht="14.25" customHeight="1">
      <c r="A173" s="13">
        <v>171.0</v>
      </c>
      <c r="B173" s="13" t="s">
        <v>49</v>
      </c>
      <c r="C173" s="13">
        <v>2.0</v>
      </c>
      <c r="D173" s="14">
        <v>0.0</v>
      </c>
      <c r="E173" s="13" t="s">
        <v>1276</v>
      </c>
      <c r="F173" s="15"/>
      <c r="G173" s="16" t="s">
        <v>1277</v>
      </c>
      <c r="H173" s="13">
        <v>15.0</v>
      </c>
      <c r="I173" s="13">
        <v>1.2</v>
      </c>
      <c r="J173" s="13" t="s">
        <v>1278</v>
      </c>
      <c r="K173" s="13">
        <f t="shared" si="3"/>
        <v>0</v>
      </c>
      <c r="L173" s="13">
        <f t="shared" si="4"/>
        <v>3</v>
      </c>
      <c r="M173" s="13">
        <f t="shared" ref="M173:AA173" si="345">IFERROR(VALUE(RIGHT(LEFT($J173,FIND(M$1,$J173,1)+LEN(M$1)),1)),0)</f>
        <v>0</v>
      </c>
      <c r="N173" s="13">
        <f t="shared" si="345"/>
        <v>0</v>
      </c>
      <c r="O173" s="13">
        <f t="shared" si="345"/>
        <v>0</v>
      </c>
      <c r="P173" s="13">
        <f t="shared" si="345"/>
        <v>0</v>
      </c>
      <c r="Q173" s="13">
        <f t="shared" si="345"/>
        <v>0</v>
      </c>
      <c r="R173" s="13">
        <f t="shared" si="345"/>
        <v>0</v>
      </c>
      <c r="S173" s="13">
        <f t="shared" si="345"/>
        <v>0</v>
      </c>
      <c r="T173" s="13">
        <f t="shared" si="345"/>
        <v>0</v>
      </c>
      <c r="U173" s="13">
        <f t="shared" si="345"/>
        <v>0</v>
      </c>
      <c r="V173" s="13">
        <f t="shared" si="345"/>
        <v>0</v>
      </c>
      <c r="W173" s="13">
        <f t="shared" si="345"/>
        <v>0</v>
      </c>
      <c r="X173" s="13">
        <f t="shared" si="345"/>
        <v>0</v>
      </c>
      <c r="Y173" s="13">
        <f t="shared" si="345"/>
        <v>0</v>
      </c>
      <c r="Z173" s="13">
        <f t="shared" si="345"/>
        <v>0</v>
      </c>
      <c r="AA173" s="13">
        <f t="shared" si="345"/>
        <v>0</v>
      </c>
      <c r="AB173" s="13">
        <f t="shared" ref="AB173:AP173" si="346">IFERROR(VALUE(RIGHT(LEFT($J173,FIND(AB$1,$J173,IF(M173=0,1,FIND(AB$1,$J173,1)+1))+LEN(AB$1)),1)),0)</f>
        <v>0</v>
      </c>
      <c r="AC173" s="13">
        <f t="shared" si="346"/>
        <v>0</v>
      </c>
      <c r="AD173" s="13">
        <f t="shared" si="346"/>
        <v>1</v>
      </c>
      <c r="AE173" s="13">
        <f t="shared" si="346"/>
        <v>0</v>
      </c>
      <c r="AF173" s="13">
        <f t="shared" si="346"/>
        <v>0</v>
      </c>
      <c r="AG173" s="13">
        <f t="shared" si="346"/>
        <v>0</v>
      </c>
      <c r="AH173" s="13">
        <f t="shared" si="346"/>
        <v>1</v>
      </c>
      <c r="AI173" s="13">
        <f t="shared" si="346"/>
        <v>0</v>
      </c>
      <c r="AJ173" s="13">
        <f t="shared" si="346"/>
        <v>0</v>
      </c>
      <c r="AK173" s="13">
        <f t="shared" si="346"/>
        <v>0</v>
      </c>
      <c r="AL173" s="13">
        <f t="shared" si="346"/>
        <v>0</v>
      </c>
      <c r="AM173" s="13">
        <f t="shared" si="346"/>
        <v>1</v>
      </c>
      <c r="AN173" s="13">
        <f t="shared" si="346"/>
        <v>0</v>
      </c>
      <c r="AO173" s="13">
        <f t="shared" si="346"/>
        <v>0</v>
      </c>
      <c r="AP173" s="13">
        <f t="shared" si="346"/>
        <v>0</v>
      </c>
      <c r="AQ173" s="13"/>
      <c r="AR173" s="13" t="s">
        <v>1279</v>
      </c>
      <c r="AS173" s="13" t="s">
        <v>1280</v>
      </c>
      <c r="AT173" s="13" t="s">
        <v>573</v>
      </c>
      <c r="AU173" s="13" t="s">
        <v>803</v>
      </c>
      <c r="AV173" s="13" t="s">
        <v>1281</v>
      </c>
      <c r="AW173" s="13">
        <v>16.0</v>
      </c>
      <c r="AX173" s="13">
        <v>-1.0</v>
      </c>
      <c r="AY173" s="13">
        <v>0.0</v>
      </c>
      <c r="AZ173" s="13" t="s">
        <v>1282</v>
      </c>
      <c r="BA173" s="13" t="s">
        <v>1283</v>
      </c>
      <c r="BB173" s="13"/>
      <c r="BC173" s="13"/>
      <c r="BD173" s="13" t="s">
        <v>664</v>
      </c>
      <c r="BE173" s="13"/>
      <c r="BF173" s="13" t="s">
        <v>1284</v>
      </c>
      <c r="BG173" s="13" t="s">
        <v>201</v>
      </c>
      <c r="BH173" s="13" t="s">
        <v>79</v>
      </c>
      <c r="BI173" s="13" t="b">
        <v>0</v>
      </c>
      <c r="BJ173" s="13">
        <v>0.0</v>
      </c>
      <c r="BK173" s="13">
        <v>0.0</v>
      </c>
    </row>
    <row r="174" ht="14.25" customHeight="1">
      <c r="A174" s="13">
        <v>172.0</v>
      </c>
      <c r="B174" s="13" t="s">
        <v>49</v>
      </c>
      <c r="C174" s="13">
        <v>2.0</v>
      </c>
      <c r="D174" s="14">
        <v>0.0</v>
      </c>
      <c r="E174" s="13" t="s">
        <v>1285</v>
      </c>
      <c r="F174" s="15"/>
      <c r="G174" s="16" t="s">
        <v>1286</v>
      </c>
      <c r="H174" s="13">
        <v>15.0</v>
      </c>
      <c r="I174" s="13">
        <v>1.0</v>
      </c>
      <c r="J174" s="13" t="s">
        <v>1287</v>
      </c>
      <c r="K174" s="13">
        <f t="shared" si="3"/>
        <v>0</v>
      </c>
      <c r="L174" s="13">
        <f t="shared" si="4"/>
        <v>3</v>
      </c>
      <c r="M174" s="13">
        <f t="shared" ref="M174:AA174" si="347">IFERROR(VALUE(RIGHT(LEFT($J174,FIND(M$1,$J174,1)+LEN(M$1)),1)),0)</f>
        <v>0</v>
      </c>
      <c r="N174" s="13">
        <f t="shared" si="347"/>
        <v>0</v>
      </c>
      <c r="O174" s="13">
        <f t="shared" si="347"/>
        <v>0</v>
      </c>
      <c r="P174" s="13">
        <f t="shared" si="347"/>
        <v>0</v>
      </c>
      <c r="Q174" s="13">
        <f t="shared" si="347"/>
        <v>0</v>
      </c>
      <c r="R174" s="13">
        <f t="shared" si="347"/>
        <v>0</v>
      </c>
      <c r="S174" s="13">
        <f t="shared" si="347"/>
        <v>0</v>
      </c>
      <c r="T174" s="13">
        <f t="shared" si="347"/>
        <v>0</v>
      </c>
      <c r="U174" s="13">
        <f t="shared" si="347"/>
        <v>0</v>
      </c>
      <c r="V174" s="13">
        <f t="shared" si="347"/>
        <v>0</v>
      </c>
      <c r="W174" s="13">
        <f t="shared" si="347"/>
        <v>0</v>
      </c>
      <c r="X174" s="13">
        <f t="shared" si="347"/>
        <v>0</v>
      </c>
      <c r="Y174" s="13">
        <f t="shared" si="347"/>
        <v>0</v>
      </c>
      <c r="Z174" s="13">
        <f t="shared" si="347"/>
        <v>0</v>
      </c>
      <c r="AA174" s="13">
        <f t="shared" si="347"/>
        <v>0</v>
      </c>
      <c r="AB174" s="13">
        <f t="shared" ref="AB174:AP174" si="348">IFERROR(VALUE(RIGHT(LEFT($J174,FIND(AB$1,$J174,IF(M174=0,1,FIND(AB$1,$J174,1)+1))+LEN(AB$1)),1)),0)</f>
        <v>0</v>
      </c>
      <c r="AC174" s="13">
        <f t="shared" si="348"/>
        <v>0</v>
      </c>
      <c r="AD174" s="13">
        <f t="shared" si="348"/>
        <v>0</v>
      </c>
      <c r="AE174" s="13">
        <f t="shared" si="348"/>
        <v>1</v>
      </c>
      <c r="AF174" s="13">
        <f t="shared" si="348"/>
        <v>0</v>
      </c>
      <c r="AG174" s="13">
        <f t="shared" si="348"/>
        <v>1</v>
      </c>
      <c r="AH174" s="13">
        <f t="shared" si="348"/>
        <v>0</v>
      </c>
      <c r="AI174" s="13">
        <f t="shared" si="348"/>
        <v>0</v>
      </c>
      <c r="AJ174" s="13">
        <f t="shared" si="348"/>
        <v>0</v>
      </c>
      <c r="AK174" s="13">
        <f t="shared" si="348"/>
        <v>0</v>
      </c>
      <c r="AL174" s="13">
        <f t="shared" si="348"/>
        <v>0</v>
      </c>
      <c r="AM174" s="13">
        <f t="shared" si="348"/>
        <v>1</v>
      </c>
      <c r="AN174" s="13">
        <f t="shared" si="348"/>
        <v>0</v>
      </c>
      <c r="AO174" s="13">
        <f t="shared" si="348"/>
        <v>0</v>
      </c>
      <c r="AP174" s="13">
        <f t="shared" si="348"/>
        <v>0</v>
      </c>
      <c r="AQ174" s="13"/>
      <c r="AR174" s="13" t="s">
        <v>1288</v>
      </c>
      <c r="AS174" s="13" t="s">
        <v>1289</v>
      </c>
      <c r="AT174" s="13" t="s">
        <v>162</v>
      </c>
      <c r="AU174" s="13" t="s">
        <v>195</v>
      </c>
      <c r="AV174" s="13" t="s">
        <v>1290</v>
      </c>
      <c r="AW174" s="13">
        <v>15.0</v>
      </c>
      <c r="AX174" s="13">
        <v>-1.0</v>
      </c>
      <c r="AY174" s="13">
        <v>0.0</v>
      </c>
      <c r="AZ174" s="13" t="s">
        <v>624</v>
      </c>
      <c r="BA174" s="13" t="s">
        <v>601</v>
      </c>
      <c r="BB174" s="13"/>
      <c r="BC174" s="13"/>
      <c r="BD174" s="13" t="s">
        <v>220</v>
      </c>
      <c r="BE174" s="13"/>
      <c r="BF174" s="13" t="s">
        <v>1291</v>
      </c>
      <c r="BG174" s="13" t="s">
        <v>201</v>
      </c>
      <c r="BH174" s="13" t="s">
        <v>79</v>
      </c>
      <c r="BI174" s="13" t="b">
        <v>0</v>
      </c>
      <c r="BJ174" s="13">
        <v>0.0</v>
      </c>
      <c r="BK174" s="13">
        <v>0.0</v>
      </c>
    </row>
    <row r="175" ht="14.25" customHeight="1">
      <c r="A175" s="13">
        <v>173.0</v>
      </c>
      <c r="B175" s="13" t="s">
        <v>49</v>
      </c>
      <c r="C175" s="13">
        <v>2.0</v>
      </c>
      <c r="D175" s="14">
        <v>0.0</v>
      </c>
      <c r="E175" s="13" t="s">
        <v>1292</v>
      </c>
      <c r="F175" s="15" t="s">
        <v>931</v>
      </c>
      <c r="G175" s="16" t="s">
        <v>1293</v>
      </c>
      <c r="H175" s="13">
        <v>14.0</v>
      </c>
      <c r="I175" s="13">
        <v>0.9</v>
      </c>
      <c r="J175" s="13" t="s">
        <v>1294</v>
      </c>
      <c r="K175" s="13">
        <f t="shared" si="3"/>
        <v>0</v>
      </c>
      <c r="L175" s="13">
        <f t="shared" si="4"/>
        <v>3</v>
      </c>
      <c r="M175" s="13">
        <f t="shared" ref="M175:AA175" si="349">IFERROR(VALUE(RIGHT(LEFT($J175,FIND(M$1,$J175,1)+LEN(M$1)),1)),0)</f>
        <v>0</v>
      </c>
      <c r="N175" s="13">
        <f t="shared" si="349"/>
        <v>0</v>
      </c>
      <c r="O175" s="13">
        <f t="shared" si="349"/>
        <v>0</v>
      </c>
      <c r="P175" s="13">
        <f t="shared" si="349"/>
        <v>0</v>
      </c>
      <c r="Q175" s="13">
        <f t="shared" si="349"/>
        <v>0</v>
      </c>
      <c r="R175" s="13">
        <f t="shared" si="349"/>
        <v>0</v>
      </c>
      <c r="S175" s="13">
        <f t="shared" si="349"/>
        <v>0</v>
      </c>
      <c r="T175" s="13">
        <f t="shared" si="349"/>
        <v>0</v>
      </c>
      <c r="U175" s="13">
        <f t="shared" si="349"/>
        <v>0</v>
      </c>
      <c r="V175" s="13">
        <f t="shared" si="349"/>
        <v>0</v>
      </c>
      <c r="W175" s="13">
        <f t="shared" si="349"/>
        <v>0</v>
      </c>
      <c r="X175" s="13">
        <f t="shared" si="349"/>
        <v>0</v>
      </c>
      <c r="Y175" s="13">
        <f t="shared" si="349"/>
        <v>0</v>
      </c>
      <c r="Z175" s="13">
        <f t="shared" si="349"/>
        <v>0</v>
      </c>
      <c r="AA175" s="13">
        <f t="shared" si="349"/>
        <v>0</v>
      </c>
      <c r="AB175" s="13">
        <f t="shared" ref="AB175:AP175" si="350">IFERROR(VALUE(RIGHT(LEFT($J175,FIND(AB$1,$J175,IF(M175=0,1,FIND(AB$1,$J175,1)+1))+LEN(AB$1)),1)),0)</f>
        <v>0</v>
      </c>
      <c r="AC175" s="13">
        <f t="shared" si="350"/>
        <v>0</v>
      </c>
      <c r="AD175" s="13">
        <f t="shared" si="350"/>
        <v>0</v>
      </c>
      <c r="AE175" s="13">
        <f t="shared" si="350"/>
        <v>0</v>
      </c>
      <c r="AF175" s="13">
        <f t="shared" si="350"/>
        <v>1</v>
      </c>
      <c r="AG175" s="13">
        <f t="shared" si="350"/>
        <v>0</v>
      </c>
      <c r="AH175" s="13">
        <f t="shared" si="350"/>
        <v>0</v>
      </c>
      <c r="AI175" s="13">
        <f t="shared" si="350"/>
        <v>0</v>
      </c>
      <c r="AJ175" s="13">
        <f t="shared" si="350"/>
        <v>1</v>
      </c>
      <c r="AK175" s="13">
        <f t="shared" si="350"/>
        <v>0</v>
      </c>
      <c r="AL175" s="13">
        <f t="shared" si="350"/>
        <v>0</v>
      </c>
      <c r="AM175" s="13">
        <f t="shared" si="350"/>
        <v>1</v>
      </c>
      <c r="AN175" s="13">
        <f t="shared" si="350"/>
        <v>0</v>
      </c>
      <c r="AO175" s="13">
        <f t="shared" si="350"/>
        <v>0</v>
      </c>
      <c r="AP175" s="13">
        <f t="shared" si="350"/>
        <v>0</v>
      </c>
      <c r="AQ175" s="13"/>
      <c r="AR175" s="13" t="s">
        <v>1295</v>
      </c>
      <c r="AS175" s="13" t="s">
        <v>1296</v>
      </c>
      <c r="AT175" s="13" t="s">
        <v>162</v>
      </c>
      <c r="AU175" s="13" t="s">
        <v>1297</v>
      </c>
      <c r="AV175" s="13" t="s">
        <v>1298</v>
      </c>
      <c r="AW175" s="13">
        <v>12.0</v>
      </c>
      <c r="AX175" s="13">
        <v>-1.0</v>
      </c>
      <c r="AY175" s="13">
        <v>0.0</v>
      </c>
      <c r="AZ175" s="13" t="s">
        <v>1299</v>
      </c>
      <c r="BA175" s="13" t="s">
        <v>1300</v>
      </c>
      <c r="BB175" s="13"/>
      <c r="BC175" s="13"/>
      <c r="BD175" s="13" t="s">
        <v>199</v>
      </c>
      <c r="BE175" s="13"/>
      <c r="BF175" s="13" t="s">
        <v>1301</v>
      </c>
      <c r="BG175" s="13" t="s">
        <v>201</v>
      </c>
      <c r="BH175" s="13" t="s">
        <v>79</v>
      </c>
      <c r="BI175" s="13" t="b">
        <v>0</v>
      </c>
      <c r="BJ175" s="13">
        <v>0.0</v>
      </c>
      <c r="BK175" s="13">
        <v>0.0</v>
      </c>
    </row>
    <row r="176" ht="14.25" customHeight="1">
      <c r="A176" s="13">
        <v>174.0</v>
      </c>
      <c r="B176" s="13" t="s">
        <v>49</v>
      </c>
      <c r="C176" s="13">
        <v>2.0</v>
      </c>
      <c r="D176" s="14">
        <v>0.0</v>
      </c>
      <c r="E176" s="13" t="s">
        <v>1302</v>
      </c>
      <c r="F176" s="15" t="s">
        <v>455</v>
      </c>
      <c r="G176" s="16" t="s">
        <v>1303</v>
      </c>
      <c r="H176" s="13">
        <v>15.0</v>
      </c>
      <c r="I176" s="13">
        <v>1.0</v>
      </c>
      <c r="J176" s="13" t="s">
        <v>1304</v>
      </c>
      <c r="K176" s="13">
        <f t="shared" si="3"/>
        <v>0</v>
      </c>
      <c r="L176" s="13">
        <f t="shared" si="4"/>
        <v>3</v>
      </c>
      <c r="M176" s="13">
        <f t="shared" ref="M176:AA176" si="351">IFERROR(VALUE(RIGHT(LEFT($J176,FIND(M$1,$J176,1)+LEN(M$1)),1)),0)</f>
        <v>0</v>
      </c>
      <c r="N176" s="13">
        <f t="shared" si="351"/>
        <v>0</v>
      </c>
      <c r="O176" s="13">
        <f t="shared" si="351"/>
        <v>0</v>
      </c>
      <c r="P176" s="13">
        <f t="shared" si="351"/>
        <v>0</v>
      </c>
      <c r="Q176" s="13">
        <f t="shared" si="351"/>
        <v>0</v>
      </c>
      <c r="R176" s="13">
        <f t="shared" si="351"/>
        <v>0</v>
      </c>
      <c r="S176" s="13">
        <f t="shared" si="351"/>
        <v>0</v>
      </c>
      <c r="T176" s="13">
        <f t="shared" si="351"/>
        <v>0</v>
      </c>
      <c r="U176" s="13">
        <f t="shared" si="351"/>
        <v>0</v>
      </c>
      <c r="V176" s="13">
        <f t="shared" si="351"/>
        <v>0</v>
      </c>
      <c r="W176" s="13">
        <f t="shared" si="351"/>
        <v>0</v>
      </c>
      <c r="X176" s="13">
        <f t="shared" si="351"/>
        <v>0</v>
      </c>
      <c r="Y176" s="13">
        <f t="shared" si="351"/>
        <v>0</v>
      </c>
      <c r="Z176" s="13">
        <f t="shared" si="351"/>
        <v>0</v>
      </c>
      <c r="AA176" s="13">
        <f t="shared" si="351"/>
        <v>0</v>
      </c>
      <c r="AB176" s="13">
        <f t="shared" ref="AB176:AP176" si="352">IFERROR(VALUE(RIGHT(LEFT($J176,FIND(AB$1,$J176,IF(M176=0,1,FIND(AB$1,$J176,1)+1))+LEN(AB$1)),1)),0)</f>
        <v>1</v>
      </c>
      <c r="AC176" s="13">
        <f t="shared" si="352"/>
        <v>0</v>
      </c>
      <c r="AD176" s="13">
        <f t="shared" si="352"/>
        <v>0</v>
      </c>
      <c r="AE176" s="13">
        <f t="shared" si="352"/>
        <v>0</v>
      </c>
      <c r="AF176" s="13">
        <f t="shared" si="352"/>
        <v>0</v>
      </c>
      <c r="AG176" s="13">
        <f t="shared" si="352"/>
        <v>1</v>
      </c>
      <c r="AH176" s="13">
        <f t="shared" si="352"/>
        <v>0</v>
      </c>
      <c r="AI176" s="13">
        <f t="shared" si="352"/>
        <v>0</v>
      </c>
      <c r="AJ176" s="13">
        <f t="shared" si="352"/>
        <v>0</v>
      </c>
      <c r="AK176" s="13">
        <f t="shared" si="352"/>
        <v>0</v>
      </c>
      <c r="AL176" s="13">
        <f t="shared" si="352"/>
        <v>0</v>
      </c>
      <c r="AM176" s="13">
        <f t="shared" si="352"/>
        <v>1</v>
      </c>
      <c r="AN176" s="13">
        <f t="shared" si="352"/>
        <v>0</v>
      </c>
      <c r="AO176" s="13">
        <f t="shared" si="352"/>
        <v>0</v>
      </c>
      <c r="AP176" s="13">
        <f t="shared" si="352"/>
        <v>0</v>
      </c>
      <c r="AQ176" s="13"/>
      <c r="AR176" s="13" t="s">
        <v>1305</v>
      </c>
      <c r="AS176" s="13" t="s">
        <v>1306</v>
      </c>
      <c r="AT176" s="13" t="s">
        <v>162</v>
      </c>
      <c r="AU176" s="13" t="s">
        <v>195</v>
      </c>
      <c r="AV176" s="13" t="s">
        <v>1307</v>
      </c>
      <c r="AW176" s="13">
        <v>15.0</v>
      </c>
      <c r="AX176" s="13">
        <v>-1.0</v>
      </c>
      <c r="AY176" s="13">
        <v>0.0</v>
      </c>
      <c r="AZ176" s="13" t="s">
        <v>1308</v>
      </c>
      <c r="BA176" s="13" t="s">
        <v>1309</v>
      </c>
      <c r="BB176" s="13"/>
      <c r="BC176" s="13"/>
      <c r="BD176" s="13" t="s">
        <v>664</v>
      </c>
      <c r="BE176" s="13"/>
      <c r="BF176" s="13" t="s">
        <v>849</v>
      </c>
      <c r="BG176" s="13" t="s">
        <v>201</v>
      </c>
      <c r="BH176" s="13" t="s">
        <v>79</v>
      </c>
      <c r="BI176" s="13" t="b">
        <v>0</v>
      </c>
      <c r="BJ176" s="13">
        <v>0.0</v>
      </c>
      <c r="BK176" s="13">
        <v>0.0</v>
      </c>
    </row>
    <row r="177" ht="14.25" customHeight="1">
      <c r="A177" s="13">
        <v>175.0</v>
      </c>
      <c r="B177" s="13" t="s">
        <v>49</v>
      </c>
      <c r="C177" s="13">
        <v>2.0</v>
      </c>
      <c r="D177" s="14">
        <v>0.0</v>
      </c>
      <c r="E177" s="13" t="s">
        <v>1310</v>
      </c>
      <c r="F177" s="15"/>
      <c r="G177" s="16" t="s">
        <v>1311</v>
      </c>
      <c r="H177" s="13">
        <v>14.0</v>
      </c>
      <c r="I177" s="13">
        <v>0.9</v>
      </c>
      <c r="J177" s="13" t="s">
        <v>1253</v>
      </c>
      <c r="K177" s="13">
        <f t="shared" si="3"/>
        <v>0</v>
      </c>
      <c r="L177" s="13">
        <f t="shared" si="4"/>
        <v>3</v>
      </c>
      <c r="M177" s="13">
        <f t="shared" ref="M177:AA177" si="353">IFERROR(VALUE(RIGHT(LEFT($J177,FIND(M$1,$J177,1)+LEN(M$1)),1)),0)</f>
        <v>0</v>
      </c>
      <c r="N177" s="13">
        <f t="shared" si="353"/>
        <v>0</v>
      </c>
      <c r="O177" s="13">
        <f t="shared" si="353"/>
        <v>0</v>
      </c>
      <c r="P177" s="13">
        <f t="shared" si="353"/>
        <v>0</v>
      </c>
      <c r="Q177" s="13">
        <f t="shared" si="353"/>
        <v>0</v>
      </c>
      <c r="R177" s="13">
        <f t="shared" si="353"/>
        <v>0</v>
      </c>
      <c r="S177" s="13">
        <f t="shared" si="353"/>
        <v>0</v>
      </c>
      <c r="T177" s="13">
        <f t="shared" si="353"/>
        <v>0</v>
      </c>
      <c r="U177" s="13">
        <f t="shared" si="353"/>
        <v>0</v>
      </c>
      <c r="V177" s="13">
        <f t="shared" si="353"/>
        <v>0</v>
      </c>
      <c r="W177" s="13">
        <f t="shared" si="353"/>
        <v>0</v>
      </c>
      <c r="X177" s="13">
        <f t="shared" si="353"/>
        <v>0</v>
      </c>
      <c r="Y177" s="13">
        <f t="shared" si="353"/>
        <v>0</v>
      </c>
      <c r="Z177" s="13">
        <f t="shared" si="353"/>
        <v>0</v>
      </c>
      <c r="AA177" s="13">
        <f t="shared" si="353"/>
        <v>0</v>
      </c>
      <c r="AB177" s="13">
        <f t="shared" ref="AB177:AP177" si="354">IFERROR(VALUE(RIGHT(LEFT($J177,FIND(AB$1,$J177,IF(M177=0,1,FIND(AB$1,$J177,1)+1))+LEN(AB$1)),1)),0)</f>
        <v>1</v>
      </c>
      <c r="AC177" s="13">
        <f t="shared" si="354"/>
        <v>0</v>
      </c>
      <c r="AD177" s="13">
        <f t="shared" si="354"/>
        <v>0</v>
      </c>
      <c r="AE177" s="13">
        <f t="shared" si="354"/>
        <v>0</v>
      </c>
      <c r="AF177" s="13">
        <f t="shared" si="354"/>
        <v>1</v>
      </c>
      <c r="AG177" s="13">
        <f t="shared" si="354"/>
        <v>0</v>
      </c>
      <c r="AH177" s="13">
        <f t="shared" si="354"/>
        <v>0</v>
      </c>
      <c r="AI177" s="13">
        <f t="shared" si="354"/>
        <v>0</v>
      </c>
      <c r="AJ177" s="13">
        <f t="shared" si="354"/>
        <v>0</v>
      </c>
      <c r="AK177" s="13">
        <f t="shared" si="354"/>
        <v>0</v>
      </c>
      <c r="AL177" s="13">
        <f t="shared" si="354"/>
        <v>0</v>
      </c>
      <c r="AM177" s="13">
        <f t="shared" si="354"/>
        <v>1</v>
      </c>
      <c r="AN177" s="13">
        <f t="shared" si="354"/>
        <v>0</v>
      </c>
      <c r="AO177" s="13">
        <f t="shared" si="354"/>
        <v>0</v>
      </c>
      <c r="AP177" s="13">
        <f t="shared" si="354"/>
        <v>0</v>
      </c>
      <c r="AQ177" s="13"/>
      <c r="AR177" s="13" t="s">
        <v>1312</v>
      </c>
      <c r="AS177" s="13" t="s">
        <v>1313</v>
      </c>
      <c r="AT177" s="13" t="s">
        <v>162</v>
      </c>
      <c r="AU177" s="13" t="s">
        <v>616</v>
      </c>
      <c r="AV177" s="13" t="s">
        <v>1212</v>
      </c>
      <c r="AW177" s="13">
        <v>16.0</v>
      </c>
      <c r="AX177" s="13">
        <v>-1.0</v>
      </c>
      <c r="AY177" s="13">
        <v>0.0</v>
      </c>
      <c r="AZ177" s="13" t="s">
        <v>304</v>
      </c>
      <c r="BA177" s="13" t="s">
        <v>483</v>
      </c>
      <c r="BB177" s="13"/>
      <c r="BC177" s="13"/>
      <c r="BD177" s="13" t="s">
        <v>220</v>
      </c>
      <c r="BE177" s="13"/>
      <c r="BF177" s="13" t="s">
        <v>1314</v>
      </c>
      <c r="BG177" s="13" t="s">
        <v>201</v>
      </c>
      <c r="BH177" s="13" t="s">
        <v>79</v>
      </c>
      <c r="BI177" s="13" t="b">
        <v>0</v>
      </c>
      <c r="BJ177" s="13">
        <v>0.0</v>
      </c>
      <c r="BK177" s="13">
        <v>0.0</v>
      </c>
    </row>
    <row r="178" ht="14.25" customHeight="1">
      <c r="A178" s="13">
        <v>176.0</v>
      </c>
      <c r="B178" s="13" t="s">
        <v>49</v>
      </c>
      <c r="C178" s="13">
        <v>2.0</v>
      </c>
      <c r="D178" s="14">
        <v>0.0</v>
      </c>
      <c r="E178" s="13" t="s">
        <v>1315</v>
      </c>
      <c r="F178" s="15" t="s">
        <v>418</v>
      </c>
      <c r="G178" s="16" t="s">
        <v>1316</v>
      </c>
      <c r="H178" s="13">
        <v>15.0</v>
      </c>
      <c r="I178" s="13">
        <v>0.9</v>
      </c>
      <c r="J178" s="13" t="s">
        <v>1317</v>
      </c>
      <c r="K178" s="13">
        <f t="shared" si="3"/>
        <v>0</v>
      </c>
      <c r="L178" s="13">
        <f t="shared" si="4"/>
        <v>3</v>
      </c>
      <c r="M178" s="13">
        <f t="shared" ref="M178:AA178" si="355">IFERROR(VALUE(RIGHT(LEFT($J178,FIND(M$1,$J178,1)+LEN(M$1)),1)),0)</f>
        <v>0</v>
      </c>
      <c r="N178" s="13">
        <f t="shared" si="355"/>
        <v>0</v>
      </c>
      <c r="O178" s="13">
        <f t="shared" si="355"/>
        <v>0</v>
      </c>
      <c r="P178" s="13">
        <f t="shared" si="355"/>
        <v>0</v>
      </c>
      <c r="Q178" s="13">
        <f t="shared" si="355"/>
        <v>0</v>
      </c>
      <c r="R178" s="13">
        <f t="shared" si="355"/>
        <v>0</v>
      </c>
      <c r="S178" s="13">
        <f t="shared" si="355"/>
        <v>0</v>
      </c>
      <c r="T178" s="13">
        <f t="shared" si="355"/>
        <v>0</v>
      </c>
      <c r="U178" s="13">
        <f t="shared" si="355"/>
        <v>0</v>
      </c>
      <c r="V178" s="13">
        <f t="shared" si="355"/>
        <v>0</v>
      </c>
      <c r="W178" s="13">
        <f t="shared" si="355"/>
        <v>0</v>
      </c>
      <c r="X178" s="13">
        <f t="shared" si="355"/>
        <v>0</v>
      </c>
      <c r="Y178" s="13">
        <f t="shared" si="355"/>
        <v>0</v>
      </c>
      <c r="Z178" s="13">
        <f t="shared" si="355"/>
        <v>0</v>
      </c>
      <c r="AA178" s="13">
        <f t="shared" si="355"/>
        <v>0</v>
      </c>
      <c r="AB178" s="13">
        <f t="shared" ref="AB178:AP178" si="356">IFERROR(VALUE(RIGHT(LEFT($J178,FIND(AB$1,$J178,IF(M178=0,1,FIND(AB$1,$J178,1)+1))+LEN(AB$1)),1)),0)</f>
        <v>0</v>
      </c>
      <c r="AC178" s="13">
        <f t="shared" si="356"/>
        <v>0</v>
      </c>
      <c r="AD178" s="13">
        <f t="shared" si="356"/>
        <v>0</v>
      </c>
      <c r="AE178" s="13">
        <f t="shared" si="356"/>
        <v>1</v>
      </c>
      <c r="AF178" s="13">
        <f t="shared" si="356"/>
        <v>1</v>
      </c>
      <c r="AG178" s="13">
        <f t="shared" si="356"/>
        <v>0</v>
      </c>
      <c r="AH178" s="13">
        <f t="shared" si="356"/>
        <v>0</v>
      </c>
      <c r="AI178" s="13">
        <f t="shared" si="356"/>
        <v>0</v>
      </c>
      <c r="AJ178" s="13">
        <f t="shared" si="356"/>
        <v>0</v>
      </c>
      <c r="AK178" s="13">
        <f t="shared" si="356"/>
        <v>0</v>
      </c>
      <c r="AL178" s="13">
        <f t="shared" si="356"/>
        <v>0</v>
      </c>
      <c r="AM178" s="13">
        <f t="shared" si="356"/>
        <v>1</v>
      </c>
      <c r="AN178" s="13">
        <f t="shared" si="356"/>
        <v>0</v>
      </c>
      <c r="AO178" s="13">
        <f t="shared" si="356"/>
        <v>0</v>
      </c>
      <c r="AP178" s="13">
        <f t="shared" si="356"/>
        <v>0</v>
      </c>
      <c r="AQ178" s="13"/>
      <c r="AR178" s="13" t="s">
        <v>669</v>
      </c>
      <c r="AS178" s="13" t="s">
        <v>1318</v>
      </c>
      <c r="AT178" s="13" t="s">
        <v>1319</v>
      </c>
      <c r="AU178" s="13" t="s">
        <v>803</v>
      </c>
      <c r="AV178" s="13" t="s">
        <v>1320</v>
      </c>
      <c r="AW178" s="13">
        <v>13.0</v>
      </c>
      <c r="AX178" s="13">
        <v>-1.0</v>
      </c>
      <c r="AY178" s="13">
        <v>0.0</v>
      </c>
      <c r="AZ178" s="13" t="s">
        <v>757</v>
      </c>
      <c r="BA178" s="13" t="s">
        <v>707</v>
      </c>
      <c r="BB178" s="13"/>
      <c r="BC178" s="13"/>
      <c r="BD178" s="13" t="s">
        <v>664</v>
      </c>
      <c r="BE178" s="13"/>
      <c r="BF178" s="13" t="s">
        <v>783</v>
      </c>
      <c r="BG178" s="13" t="s">
        <v>201</v>
      </c>
      <c r="BH178" s="13" t="s">
        <v>79</v>
      </c>
      <c r="BI178" s="13" t="b">
        <v>0</v>
      </c>
      <c r="BJ178" s="13">
        <v>0.0</v>
      </c>
      <c r="BK178" s="13">
        <v>0.0</v>
      </c>
    </row>
    <row r="179" ht="14.25" customHeight="1">
      <c r="A179" s="13">
        <v>177.0</v>
      </c>
      <c r="B179" s="13" t="s">
        <v>50</v>
      </c>
      <c r="C179" s="13">
        <v>2.0</v>
      </c>
      <c r="D179" s="14">
        <v>0.0</v>
      </c>
      <c r="E179" s="13" t="s">
        <v>1321</v>
      </c>
      <c r="F179" s="15"/>
      <c r="G179" s="16" t="s">
        <v>1322</v>
      </c>
      <c r="H179" s="13">
        <v>15.0</v>
      </c>
      <c r="I179" s="13">
        <v>1.0</v>
      </c>
      <c r="J179" s="13" t="s">
        <v>1323</v>
      </c>
      <c r="K179" s="13">
        <f t="shared" si="3"/>
        <v>0</v>
      </c>
      <c r="L179" s="13">
        <f t="shared" si="4"/>
        <v>3</v>
      </c>
      <c r="M179" s="13">
        <f t="shared" ref="M179:AA179" si="357">IFERROR(VALUE(RIGHT(LEFT($J179,FIND(M$1,$J179,1)+LEN(M$1)),1)),0)</f>
        <v>0</v>
      </c>
      <c r="N179" s="13">
        <f t="shared" si="357"/>
        <v>0</v>
      </c>
      <c r="O179" s="13">
        <f t="shared" si="357"/>
        <v>0</v>
      </c>
      <c r="P179" s="13">
        <f t="shared" si="357"/>
        <v>0</v>
      </c>
      <c r="Q179" s="13">
        <f t="shared" si="357"/>
        <v>0</v>
      </c>
      <c r="R179" s="13">
        <f t="shared" si="357"/>
        <v>0</v>
      </c>
      <c r="S179" s="13">
        <f t="shared" si="357"/>
        <v>0</v>
      </c>
      <c r="T179" s="13">
        <f t="shared" si="357"/>
        <v>0</v>
      </c>
      <c r="U179" s="13">
        <f t="shared" si="357"/>
        <v>0</v>
      </c>
      <c r="V179" s="13">
        <f t="shared" si="357"/>
        <v>0</v>
      </c>
      <c r="W179" s="13">
        <f t="shared" si="357"/>
        <v>0</v>
      </c>
      <c r="X179" s="13">
        <f t="shared" si="357"/>
        <v>0</v>
      </c>
      <c r="Y179" s="13">
        <f t="shared" si="357"/>
        <v>0</v>
      </c>
      <c r="Z179" s="13">
        <f t="shared" si="357"/>
        <v>0</v>
      </c>
      <c r="AA179" s="13">
        <f t="shared" si="357"/>
        <v>0</v>
      </c>
      <c r="AB179" s="13">
        <f t="shared" ref="AB179:AP179" si="358">IFERROR(VALUE(RIGHT(LEFT($J179,FIND(AB$1,$J179,IF(M179=0,1,FIND(AB$1,$J179,1)+1))+LEN(AB$1)),1)),0)</f>
        <v>1</v>
      </c>
      <c r="AC179" s="13">
        <f t="shared" si="358"/>
        <v>0</v>
      </c>
      <c r="AD179" s="13">
        <f t="shared" si="358"/>
        <v>0</v>
      </c>
      <c r="AE179" s="13">
        <f t="shared" si="358"/>
        <v>0</v>
      </c>
      <c r="AF179" s="13">
        <f t="shared" si="358"/>
        <v>0</v>
      </c>
      <c r="AG179" s="13">
        <f t="shared" si="358"/>
        <v>0</v>
      </c>
      <c r="AH179" s="13">
        <f t="shared" si="358"/>
        <v>0</v>
      </c>
      <c r="AI179" s="13">
        <f t="shared" si="358"/>
        <v>0</v>
      </c>
      <c r="AJ179" s="13">
        <f t="shared" si="358"/>
        <v>0</v>
      </c>
      <c r="AK179" s="13">
        <f t="shared" si="358"/>
        <v>0</v>
      </c>
      <c r="AL179" s="13">
        <f t="shared" si="358"/>
        <v>0</v>
      </c>
      <c r="AM179" s="13">
        <f t="shared" si="358"/>
        <v>0</v>
      </c>
      <c r="AN179" s="13">
        <f t="shared" si="358"/>
        <v>2</v>
      </c>
      <c r="AO179" s="13">
        <f t="shared" si="358"/>
        <v>0</v>
      </c>
      <c r="AP179" s="13">
        <f t="shared" si="358"/>
        <v>0</v>
      </c>
      <c r="AQ179" s="13"/>
      <c r="AR179" s="13" t="s">
        <v>1324</v>
      </c>
      <c r="AS179" s="13" t="s">
        <v>1325</v>
      </c>
      <c r="AT179" s="13" t="s">
        <v>162</v>
      </c>
      <c r="AU179" s="13" t="s">
        <v>1211</v>
      </c>
      <c r="AV179" s="13" t="s">
        <v>1326</v>
      </c>
      <c r="AW179" s="13">
        <v>14.0</v>
      </c>
      <c r="AX179" s="13">
        <v>-1.0</v>
      </c>
      <c r="AY179" s="13">
        <v>0.0</v>
      </c>
      <c r="AZ179" s="13" t="s">
        <v>1327</v>
      </c>
      <c r="BA179" s="13" t="s">
        <v>1328</v>
      </c>
      <c r="BB179" s="13"/>
      <c r="BC179" s="13"/>
      <c r="BD179" s="13" t="s">
        <v>715</v>
      </c>
      <c r="BE179" s="13"/>
      <c r="BF179" s="13" t="s">
        <v>1329</v>
      </c>
      <c r="BG179" s="13" t="s">
        <v>50</v>
      </c>
      <c r="BH179" s="13" t="s">
        <v>79</v>
      </c>
      <c r="BI179" s="13" t="b">
        <v>0</v>
      </c>
      <c r="BJ179" s="13">
        <v>0.0</v>
      </c>
      <c r="BK179" s="13">
        <v>0.0</v>
      </c>
    </row>
    <row r="180" ht="14.25" customHeight="1">
      <c r="A180" s="13">
        <v>178.0</v>
      </c>
      <c r="B180" s="13" t="s">
        <v>50</v>
      </c>
      <c r="C180" s="13">
        <v>2.0</v>
      </c>
      <c r="D180" s="14">
        <v>0.0</v>
      </c>
      <c r="E180" s="13" t="s">
        <v>1330</v>
      </c>
      <c r="F180" s="15"/>
      <c r="G180" s="16" t="s">
        <v>1331</v>
      </c>
      <c r="H180" s="13">
        <v>15.0</v>
      </c>
      <c r="I180" s="13">
        <v>1.1</v>
      </c>
      <c r="J180" s="13" t="s">
        <v>1332</v>
      </c>
      <c r="K180" s="13">
        <f t="shared" si="3"/>
        <v>0</v>
      </c>
      <c r="L180" s="13">
        <f t="shared" si="4"/>
        <v>3</v>
      </c>
      <c r="M180" s="13">
        <f t="shared" ref="M180:AA180" si="359">IFERROR(VALUE(RIGHT(LEFT($J180,FIND(M$1,$J180,1)+LEN(M$1)),1)),0)</f>
        <v>0</v>
      </c>
      <c r="N180" s="13">
        <f t="shared" si="359"/>
        <v>0</v>
      </c>
      <c r="O180" s="13">
        <f t="shared" si="359"/>
        <v>0</v>
      </c>
      <c r="P180" s="13">
        <f t="shared" si="359"/>
        <v>0</v>
      </c>
      <c r="Q180" s="13">
        <f t="shared" si="359"/>
        <v>0</v>
      </c>
      <c r="R180" s="13">
        <f t="shared" si="359"/>
        <v>0</v>
      </c>
      <c r="S180" s="13">
        <f t="shared" si="359"/>
        <v>0</v>
      </c>
      <c r="T180" s="13">
        <f t="shared" si="359"/>
        <v>0</v>
      </c>
      <c r="U180" s="13">
        <f t="shared" si="359"/>
        <v>0</v>
      </c>
      <c r="V180" s="13">
        <f t="shared" si="359"/>
        <v>0</v>
      </c>
      <c r="W180" s="13">
        <f t="shared" si="359"/>
        <v>0</v>
      </c>
      <c r="X180" s="13">
        <f t="shared" si="359"/>
        <v>0</v>
      </c>
      <c r="Y180" s="13">
        <f t="shared" si="359"/>
        <v>0</v>
      </c>
      <c r="Z180" s="13">
        <f t="shared" si="359"/>
        <v>0</v>
      </c>
      <c r="AA180" s="13">
        <f t="shared" si="359"/>
        <v>0</v>
      </c>
      <c r="AB180" s="13">
        <f t="shared" ref="AB180:AP180" si="360">IFERROR(VALUE(RIGHT(LEFT($J180,FIND(AB$1,$J180,IF(M180=0,1,FIND(AB$1,$J180,1)+1))+LEN(AB$1)),1)),0)</f>
        <v>0</v>
      </c>
      <c r="AC180" s="13">
        <f t="shared" si="360"/>
        <v>1</v>
      </c>
      <c r="AD180" s="13">
        <f t="shared" si="360"/>
        <v>0</v>
      </c>
      <c r="AE180" s="13">
        <f t="shared" si="360"/>
        <v>0</v>
      </c>
      <c r="AF180" s="13">
        <f t="shared" si="360"/>
        <v>0</v>
      </c>
      <c r="AG180" s="13">
        <f t="shared" si="360"/>
        <v>1</v>
      </c>
      <c r="AH180" s="13">
        <f t="shared" si="360"/>
        <v>0</v>
      </c>
      <c r="AI180" s="13">
        <f t="shared" si="360"/>
        <v>0</v>
      </c>
      <c r="AJ180" s="13">
        <f t="shared" si="360"/>
        <v>0</v>
      </c>
      <c r="AK180" s="13">
        <f t="shared" si="360"/>
        <v>0</v>
      </c>
      <c r="AL180" s="13">
        <f t="shared" si="360"/>
        <v>0</v>
      </c>
      <c r="AM180" s="13">
        <f t="shared" si="360"/>
        <v>0</v>
      </c>
      <c r="AN180" s="13">
        <f t="shared" si="360"/>
        <v>1</v>
      </c>
      <c r="AO180" s="13">
        <f t="shared" si="360"/>
        <v>0</v>
      </c>
      <c r="AP180" s="13">
        <f t="shared" si="360"/>
        <v>0</v>
      </c>
      <c r="AQ180" s="13"/>
      <c r="AR180" s="13" t="s">
        <v>1333</v>
      </c>
      <c r="AS180" s="13" t="s">
        <v>1334</v>
      </c>
      <c r="AT180" s="13" t="s">
        <v>162</v>
      </c>
      <c r="AU180" s="13" t="s">
        <v>195</v>
      </c>
      <c r="AV180" s="13" t="s">
        <v>1335</v>
      </c>
      <c r="AW180" s="13">
        <v>15.0</v>
      </c>
      <c r="AX180" s="13">
        <v>-1.0</v>
      </c>
      <c r="AY180" s="13">
        <v>0.0</v>
      </c>
      <c r="AZ180" s="13" t="s">
        <v>249</v>
      </c>
      <c r="BA180" s="13" t="s">
        <v>132</v>
      </c>
      <c r="BB180" s="13"/>
      <c r="BC180" s="13"/>
      <c r="BD180" s="13" t="s">
        <v>715</v>
      </c>
      <c r="BE180" s="13"/>
      <c r="BF180" s="13" t="s">
        <v>1257</v>
      </c>
      <c r="BG180" s="13" t="s">
        <v>50</v>
      </c>
      <c r="BH180" s="13" t="s">
        <v>241</v>
      </c>
      <c r="BI180" s="13" t="b">
        <v>0</v>
      </c>
      <c r="BJ180" s="13">
        <v>0.0</v>
      </c>
      <c r="BK180" s="13">
        <v>0.0</v>
      </c>
    </row>
    <row r="181" ht="14.25" customHeight="1">
      <c r="A181" s="13">
        <v>179.0</v>
      </c>
      <c r="B181" s="13" t="s">
        <v>50</v>
      </c>
      <c r="C181" s="13">
        <v>2.0</v>
      </c>
      <c r="D181" s="14">
        <v>0.0</v>
      </c>
      <c r="E181" s="13" t="s">
        <v>1336</v>
      </c>
      <c r="F181" s="15"/>
      <c r="G181" s="16" t="s">
        <v>1337</v>
      </c>
      <c r="H181" s="13">
        <v>16.0</v>
      </c>
      <c r="I181" s="13">
        <v>1.0</v>
      </c>
      <c r="J181" s="13" t="s">
        <v>1338</v>
      </c>
      <c r="K181" s="13">
        <f t="shared" si="3"/>
        <v>0</v>
      </c>
      <c r="L181" s="13">
        <f t="shared" si="4"/>
        <v>3</v>
      </c>
      <c r="M181" s="13">
        <f t="shared" ref="M181:AA181" si="361">IFERROR(VALUE(RIGHT(LEFT($J181,FIND(M$1,$J181,1)+LEN(M$1)),1)),0)</f>
        <v>0</v>
      </c>
      <c r="N181" s="13">
        <f t="shared" si="361"/>
        <v>0</v>
      </c>
      <c r="O181" s="13">
        <f t="shared" si="361"/>
        <v>0</v>
      </c>
      <c r="P181" s="13">
        <f t="shared" si="361"/>
        <v>0</v>
      </c>
      <c r="Q181" s="13">
        <f t="shared" si="361"/>
        <v>0</v>
      </c>
      <c r="R181" s="13">
        <f t="shared" si="361"/>
        <v>0</v>
      </c>
      <c r="S181" s="13">
        <f t="shared" si="361"/>
        <v>0</v>
      </c>
      <c r="T181" s="13">
        <f t="shared" si="361"/>
        <v>0</v>
      </c>
      <c r="U181" s="13">
        <f t="shared" si="361"/>
        <v>0</v>
      </c>
      <c r="V181" s="13">
        <f t="shared" si="361"/>
        <v>0</v>
      </c>
      <c r="W181" s="13">
        <f t="shared" si="361"/>
        <v>0</v>
      </c>
      <c r="X181" s="13">
        <f t="shared" si="361"/>
        <v>0</v>
      </c>
      <c r="Y181" s="13">
        <f t="shared" si="361"/>
        <v>0</v>
      </c>
      <c r="Z181" s="13">
        <f t="shared" si="361"/>
        <v>0</v>
      </c>
      <c r="AA181" s="13">
        <f t="shared" si="361"/>
        <v>0</v>
      </c>
      <c r="AB181" s="13">
        <f t="shared" ref="AB181:AP181" si="362">IFERROR(VALUE(RIGHT(LEFT($J181,FIND(AB$1,$J181,IF(M181=0,1,FIND(AB$1,$J181,1)+1))+LEN(AB$1)),1)),0)</f>
        <v>0</v>
      </c>
      <c r="AC181" s="13">
        <f t="shared" si="362"/>
        <v>0</v>
      </c>
      <c r="AD181" s="13">
        <f t="shared" si="362"/>
        <v>0</v>
      </c>
      <c r="AE181" s="13">
        <f t="shared" si="362"/>
        <v>0</v>
      </c>
      <c r="AF181" s="13">
        <f t="shared" si="362"/>
        <v>1</v>
      </c>
      <c r="AG181" s="13">
        <f t="shared" si="362"/>
        <v>0</v>
      </c>
      <c r="AH181" s="13">
        <f t="shared" si="362"/>
        <v>0</v>
      </c>
      <c r="AI181" s="13">
        <f t="shared" si="362"/>
        <v>0</v>
      </c>
      <c r="AJ181" s="13">
        <f t="shared" si="362"/>
        <v>0</v>
      </c>
      <c r="AK181" s="13">
        <f t="shared" si="362"/>
        <v>0</v>
      </c>
      <c r="AL181" s="13">
        <f t="shared" si="362"/>
        <v>0</v>
      </c>
      <c r="AM181" s="13">
        <f t="shared" si="362"/>
        <v>0</v>
      </c>
      <c r="AN181" s="13">
        <f t="shared" si="362"/>
        <v>2</v>
      </c>
      <c r="AO181" s="13">
        <f t="shared" si="362"/>
        <v>0</v>
      </c>
      <c r="AP181" s="13">
        <f t="shared" si="362"/>
        <v>0</v>
      </c>
      <c r="AQ181" s="13"/>
      <c r="AR181" s="13" t="s">
        <v>1339</v>
      </c>
      <c r="AS181" s="13" t="s">
        <v>1340</v>
      </c>
      <c r="AT181" s="13" t="s">
        <v>162</v>
      </c>
      <c r="AU181" s="13" t="s">
        <v>236</v>
      </c>
      <c r="AV181" s="13" t="s">
        <v>1341</v>
      </c>
      <c r="AW181" s="13">
        <v>16.0</v>
      </c>
      <c r="AX181" s="13">
        <v>-1.0</v>
      </c>
      <c r="AY181" s="13">
        <v>0.0</v>
      </c>
      <c r="AZ181" s="13" t="s">
        <v>1342</v>
      </c>
      <c r="BA181" s="13" t="s">
        <v>1343</v>
      </c>
      <c r="BB181" s="13"/>
      <c r="BC181" s="13"/>
      <c r="BD181" s="13" t="s">
        <v>230</v>
      </c>
      <c r="BE181" s="13"/>
      <c r="BF181" s="13" t="s">
        <v>1344</v>
      </c>
      <c r="BG181" s="13" t="s">
        <v>50</v>
      </c>
      <c r="BH181" s="13" t="s">
        <v>241</v>
      </c>
      <c r="BI181" s="13" t="b">
        <v>0</v>
      </c>
      <c r="BJ181" s="13">
        <v>0.0</v>
      </c>
      <c r="BK181" s="13">
        <v>0.0</v>
      </c>
    </row>
    <row r="182" ht="14.25" customHeight="1">
      <c r="A182" s="13">
        <v>180.0</v>
      </c>
      <c r="B182" s="13" t="s">
        <v>50</v>
      </c>
      <c r="C182" s="13">
        <v>2.0</v>
      </c>
      <c r="D182" s="14">
        <v>0.0</v>
      </c>
      <c r="E182" s="13" t="s">
        <v>1345</v>
      </c>
      <c r="F182" s="15" t="s">
        <v>505</v>
      </c>
      <c r="G182" s="16" t="s">
        <v>1346</v>
      </c>
      <c r="H182" s="13">
        <v>15.0</v>
      </c>
      <c r="I182" s="13">
        <v>0.9</v>
      </c>
      <c r="J182" s="13" t="s">
        <v>1347</v>
      </c>
      <c r="K182" s="13">
        <f t="shared" si="3"/>
        <v>0</v>
      </c>
      <c r="L182" s="13">
        <f t="shared" si="4"/>
        <v>3</v>
      </c>
      <c r="M182" s="13">
        <f t="shared" ref="M182:AA182" si="363">IFERROR(VALUE(RIGHT(LEFT($J182,FIND(M$1,$J182,1)+LEN(M$1)),1)),0)</f>
        <v>0</v>
      </c>
      <c r="N182" s="13">
        <f t="shared" si="363"/>
        <v>0</v>
      </c>
      <c r="O182" s="13">
        <f t="shared" si="363"/>
        <v>0</v>
      </c>
      <c r="P182" s="13">
        <f t="shared" si="363"/>
        <v>0</v>
      </c>
      <c r="Q182" s="13">
        <f t="shared" si="363"/>
        <v>0</v>
      </c>
      <c r="R182" s="13">
        <f t="shared" si="363"/>
        <v>0</v>
      </c>
      <c r="S182" s="13">
        <f t="shared" si="363"/>
        <v>0</v>
      </c>
      <c r="T182" s="13">
        <f t="shared" si="363"/>
        <v>0</v>
      </c>
      <c r="U182" s="13">
        <f t="shared" si="363"/>
        <v>0</v>
      </c>
      <c r="V182" s="13">
        <f t="shared" si="363"/>
        <v>0</v>
      </c>
      <c r="W182" s="13">
        <f t="shared" si="363"/>
        <v>0</v>
      </c>
      <c r="X182" s="13">
        <f t="shared" si="363"/>
        <v>0</v>
      </c>
      <c r="Y182" s="13">
        <f t="shared" si="363"/>
        <v>0</v>
      </c>
      <c r="Z182" s="13">
        <f t="shared" si="363"/>
        <v>0</v>
      </c>
      <c r="AA182" s="13">
        <f t="shared" si="363"/>
        <v>0</v>
      </c>
      <c r="AB182" s="13">
        <f t="shared" ref="AB182:AP182" si="364">IFERROR(VALUE(RIGHT(LEFT($J182,FIND(AB$1,$J182,IF(M182=0,1,FIND(AB$1,$J182,1)+1))+LEN(AB$1)),1)),0)</f>
        <v>0</v>
      </c>
      <c r="AC182" s="13">
        <f t="shared" si="364"/>
        <v>1</v>
      </c>
      <c r="AD182" s="13">
        <f t="shared" si="364"/>
        <v>1</v>
      </c>
      <c r="AE182" s="13">
        <f t="shared" si="364"/>
        <v>0</v>
      </c>
      <c r="AF182" s="13">
        <f t="shared" si="364"/>
        <v>0</v>
      </c>
      <c r="AG182" s="13">
        <f t="shared" si="364"/>
        <v>0</v>
      </c>
      <c r="AH182" s="13">
        <f t="shared" si="364"/>
        <v>0</v>
      </c>
      <c r="AI182" s="13">
        <f t="shared" si="364"/>
        <v>0</v>
      </c>
      <c r="AJ182" s="13">
        <f t="shared" si="364"/>
        <v>0</v>
      </c>
      <c r="AK182" s="13">
        <f t="shared" si="364"/>
        <v>0</v>
      </c>
      <c r="AL182" s="13">
        <f t="shared" si="364"/>
        <v>0</v>
      </c>
      <c r="AM182" s="13">
        <f t="shared" si="364"/>
        <v>0</v>
      </c>
      <c r="AN182" s="13">
        <f t="shared" si="364"/>
        <v>1</v>
      </c>
      <c r="AO182" s="13">
        <f t="shared" si="364"/>
        <v>0</v>
      </c>
      <c r="AP182" s="13">
        <f t="shared" si="364"/>
        <v>0</v>
      </c>
      <c r="AQ182" s="13"/>
      <c r="AR182" s="13" t="s">
        <v>1348</v>
      </c>
      <c r="AS182" s="13" t="s">
        <v>1349</v>
      </c>
      <c r="AT182" s="13" t="s">
        <v>1350</v>
      </c>
      <c r="AU182" s="13" t="s">
        <v>130</v>
      </c>
      <c r="AV182" s="13" t="s">
        <v>1351</v>
      </c>
      <c r="AW182" s="13">
        <v>13.0</v>
      </c>
      <c r="AX182" s="13">
        <v>-1.0</v>
      </c>
      <c r="AY182" s="13">
        <v>0.0</v>
      </c>
      <c r="AZ182" s="13" t="s">
        <v>1352</v>
      </c>
      <c r="BA182" s="13" t="s">
        <v>1353</v>
      </c>
      <c r="BB182" s="13"/>
      <c r="BC182" s="13"/>
      <c r="BD182" s="13" t="s">
        <v>239</v>
      </c>
      <c r="BE182" s="13"/>
      <c r="BF182" s="13" t="s">
        <v>1354</v>
      </c>
      <c r="BG182" s="13" t="s">
        <v>50</v>
      </c>
      <c r="BH182" s="13" t="s">
        <v>79</v>
      </c>
      <c r="BI182" s="13" t="b">
        <v>0</v>
      </c>
      <c r="BJ182" s="13">
        <v>0.0</v>
      </c>
      <c r="BK182" s="13">
        <v>0.0</v>
      </c>
    </row>
    <row r="183" ht="14.25" customHeight="1">
      <c r="A183" s="13">
        <v>181.0</v>
      </c>
      <c r="B183" s="13" t="s">
        <v>50</v>
      </c>
      <c r="C183" s="13">
        <v>2.0</v>
      </c>
      <c r="D183" s="14">
        <v>0.0</v>
      </c>
      <c r="E183" s="13" t="s">
        <v>1355</v>
      </c>
      <c r="F183" s="15" t="s">
        <v>1356</v>
      </c>
      <c r="G183" s="16" t="s">
        <v>1357</v>
      </c>
      <c r="H183" s="13">
        <v>15.0</v>
      </c>
      <c r="I183" s="13">
        <v>1.0</v>
      </c>
      <c r="J183" s="13" t="s">
        <v>1358</v>
      </c>
      <c r="K183" s="13">
        <f t="shared" si="3"/>
        <v>0</v>
      </c>
      <c r="L183" s="13">
        <f t="shared" si="4"/>
        <v>3</v>
      </c>
      <c r="M183" s="13">
        <f t="shared" ref="M183:AA183" si="365">IFERROR(VALUE(RIGHT(LEFT($J183,FIND(M$1,$J183,1)+LEN(M$1)),1)),0)</f>
        <v>0</v>
      </c>
      <c r="N183" s="13">
        <f t="shared" si="365"/>
        <v>0</v>
      </c>
      <c r="O183" s="13">
        <f t="shared" si="365"/>
        <v>0</v>
      </c>
      <c r="P183" s="13">
        <f t="shared" si="365"/>
        <v>0</v>
      </c>
      <c r="Q183" s="13">
        <f t="shared" si="365"/>
        <v>0</v>
      </c>
      <c r="R183" s="13">
        <f t="shared" si="365"/>
        <v>0</v>
      </c>
      <c r="S183" s="13">
        <f t="shared" si="365"/>
        <v>0</v>
      </c>
      <c r="T183" s="13">
        <f t="shared" si="365"/>
        <v>0</v>
      </c>
      <c r="U183" s="13">
        <f t="shared" si="365"/>
        <v>0</v>
      </c>
      <c r="V183" s="13">
        <f t="shared" si="365"/>
        <v>0</v>
      </c>
      <c r="W183" s="13">
        <f t="shared" si="365"/>
        <v>0</v>
      </c>
      <c r="X183" s="13">
        <f t="shared" si="365"/>
        <v>0</v>
      </c>
      <c r="Y183" s="13">
        <f t="shared" si="365"/>
        <v>0</v>
      </c>
      <c r="Z183" s="13">
        <f t="shared" si="365"/>
        <v>0</v>
      </c>
      <c r="AA183" s="13">
        <f t="shared" si="365"/>
        <v>0</v>
      </c>
      <c r="AB183" s="13">
        <f t="shared" ref="AB183:AP183" si="366">IFERROR(VALUE(RIGHT(LEFT($J183,FIND(AB$1,$J183,IF(M183=0,1,FIND(AB$1,$J183,1)+1))+LEN(AB$1)),1)),0)</f>
        <v>0</v>
      </c>
      <c r="AC183" s="13">
        <f t="shared" si="366"/>
        <v>0</v>
      </c>
      <c r="AD183" s="13">
        <f t="shared" si="366"/>
        <v>0</v>
      </c>
      <c r="AE183" s="13">
        <f t="shared" si="366"/>
        <v>0</v>
      </c>
      <c r="AF183" s="13">
        <f t="shared" si="366"/>
        <v>0</v>
      </c>
      <c r="AG183" s="13">
        <f t="shared" si="366"/>
        <v>1</v>
      </c>
      <c r="AH183" s="13">
        <f t="shared" si="366"/>
        <v>0</v>
      </c>
      <c r="AI183" s="13">
        <f t="shared" si="366"/>
        <v>0</v>
      </c>
      <c r="AJ183" s="13">
        <f t="shared" si="366"/>
        <v>0</v>
      </c>
      <c r="AK183" s="13">
        <f t="shared" si="366"/>
        <v>0</v>
      </c>
      <c r="AL183" s="13">
        <f t="shared" si="366"/>
        <v>0</v>
      </c>
      <c r="AM183" s="13">
        <f t="shared" si="366"/>
        <v>0</v>
      </c>
      <c r="AN183" s="13">
        <f t="shared" si="366"/>
        <v>2</v>
      </c>
      <c r="AO183" s="13">
        <f t="shared" si="366"/>
        <v>0</v>
      </c>
      <c r="AP183" s="13">
        <f t="shared" si="366"/>
        <v>0</v>
      </c>
      <c r="AQ183" s="13"/>
      <c r="AR183" s="13" t="s">
        <v>1359</v>
      </c>
      <c r="AS183" s="13" t="s">
        <v>1360</v>
      </c>
      <c r="AT183" s="13" t="s">
        <v>175</v>
      </c>
      <c r="AU183" s="13" t="s">
        <v>143</v>
      </c>
      <c r="AV183" s="13" t="s">
        <v>1361</v>
      </c>
      <c r="AW183" s="13">
        <v>15.0</v>
      </c>
      <c r="AX183" s="13">
        <v>-1.0</v>
      </c>
      <c r="AY183" s="13">
        <v>0.0</v>
      </c>
      <c r="AZ183" s="13" t="s">
        <v>1362</v>
      </c>
      <c r="BA183" s="13" t="s">
        <v>1363</v>
      </c>
      <c r="BB183" s="13"/>
      <c r="BC183" s="13"/>
      <c r="BD183" s="13" t="s">
        <v>715</v>
      </c>
      <c r="BE183" s="13"/>
      <c r="BF183" s="13" t="s">
        <v>1364</v>
      </c>
      <c r="BG183" s="13" t="s">
        <v>50</v>
      </c>
      <c r="BH183" s="13" t="s">
        <v>241</v>
      </c>
      <c r="BI183" s="13" t="b">
        <v>0</v>
      </c>
      <c r="BJ183" s="13">
        <v>0.0</v>
      </c>
      <c r="BK183" s="13">
        <v>0.0</v>
      </c>
    </row>
    <row r="184" ht="14.25" customHeight="1">
      <c r="A184" s="13">
        <v>182.0</v>
      </c>
      <c r="B184" s="13" t="s">
        <v>50</v>
      </c>
      <c r="C184" s="13">
        <v>2.0</v>
      </c>
      <c r="D184" s="14">
        <v>0.0</v>
      </c>
      <c r="E184" s="13" t="s">
        <v>1365</v>
      </c>
      <c r="F184" s="15" t="s">
        <v>413</v>
      </c>
      <c r="G184" s="16" t="s">
        <v>1366</v>
      </c>
      <c r="H184" s="13">
        <v>15.0</v>
      </c>
      <c r="I184" s="13">
        <v>1.0</v>
      </c>
      <c r="J184" s="13" t="s">
        <v>1367</v>
      </c>
      <c r="K184" s="13">
        <f t="shared" si="3"/>
        <v>0</v>
      </c>
      <c r="L184" s="13">
        <f t="shared" si="4"/>
        <v>3</v>
      </c>
      <c r="M184" s="13">
        <f t="shared" ref="M184:AA184" si="367">IFERROR(VALUE(RIGHT(LEFT($J184,FIND(M$1,$J184,1)+LEN(M$1)),1)),0)</f>
        <v>0</v>
      </c>
      <c r="N184" s="13">
        <f t="shared" si="367"/>
        <v>0</v>
      </c>
      <c r="O184" s="13">
        <f t="shared" si="367"/>
        <v>0</v>
      </c>
      <c r="P184" s="13">
        <f t="shared" si="367"/>
        <v>0</v>
      </c>
      <c r="Q184" s="13">
        <f t="shared" si="367"/>
        <v>0</v>
      </c>
      <c r="R184" s="13">
        <f t="shared" si="367"/>
        <v>0</v>
      </c>
      <c r="S184" s="13">
        <f t="shared" si="367"/>
        <v>0</v>
      </c>
      <c r="T184" s="13">
        <f t="shared" si="367"/>
        <v>0</v>
      </c>
      <c r="U184" s="13">
        <f t="shared" si="367"/>
        <v>0</v>
      </c>
      <c r="V184" s="13">
        <f t="shared" si="367"/>
        <v>0</v>
      </c>
      <c r="W184" s="13">
        <f t="shared" si="367"/>
        <v>0</v>
      </c>
      <c r="X184" s="13">
        <f t="shared" si="367"/>
        <v>0</v>
      </c>
      <c r="Y184" s="13">
        <f t="shared" si="367"/>
        <v>0</v>
      </c>
      <c r="Z184" s="13">
        <f t="shared" si="367"/>
        <v>0</v>
      </c>
      <c r="AA184" s="13">
        <f t="shared" si="367"/>
        <v>0</v>
      </c>
      <c r="AB184" s="13">
        <f t="shared" ref="AB184:AP184" si="368">IFERROR(VALUE(RIGHT(LEFT($J184,FIND(AB$1,$J184,IF(M184=0,1,FIND(AB$1,$J184,1)+1))+LEN(AB$1)),1)),0)</f>
        <v>1</v>
      </c>
      <c r="AC184" s="13">
        <f t="shared" si="368"/>
        <v>1</v>
      </c>
      <c r="AD184" s="13">
        <f t="shared" si="368"/>
        <v>0</v>
      </c>
      <c r="AE184" s="13">
        <f t="shared" si="368"/>
        <v>0</v>
      </c>
      <c r="AF184" s="13">
        <f t="shared" si="368"/>
        <v>0</v>
      </c>
      <c r="AG184" s="13">
        <f t="shared" si="368"/>
        <v>0</v>
      </c>
      <c r="AH184" s="13">
        <f t="shared" si="368"/>
        <v>0</v>
      </c>
      <c r="AI184" s="13">
        <f t="shared" si="368"/>
        <v>0</v>
      </c>
      <c r="AJ184" s="13">
        <f t="shared" si="368"/>
        <v>0</v>
      </c>
      <c r="AK184" s="13">
        <f t="shared" si="368"/>
        <v>0</v>
      </c>
      <c r="AL184" s="13">
        <f t="shared" si="368"/>
        <v>0</v>
      </c>
      <c r="AM184" s="13">
        <f t="shared" si="368"/>
        <v>0</v>
      </c>
      <c r="AN184" s="13">
        <f t="shared" si="368"/>
        <v>1</v>
      </c>
      <c r="AO184" s="13">
        <f t="shared" si="368"/>
        <v>0</v>
      </c>
      <c r="AP184" s="13">
        <f t="shared" si="368"/>
        <v>0</v>
      </c>
      <c r="AQ184" s="13"/>
      <c r="AR184" s="13" t="s">
        <v>1348</v>
      </c>
      <c r="AS184" s="13" t="s">
        <v>1368</v>
      </c>
      <c r="AT184" s="13" t="s">
        <v>129</v>
      </c>
      <c r="AU184" s="13" t="s">
        <v>143</v>
      </c>
      <c r="AV184" s="13" t="s">
        <v>1335</v>
      </c>
      <c r="AW184" s="13">
        <v>14.0</v>
      </c>
      <c r="AX184" s="13">
        <v>-1.0</v>
      </c>
      <c r="AY184" s="13">
        <v>0.0</v>
      </c>
      <c r="AZ184" s="13" t="s">
        <v>1369</v>
      </c>
      <c r="BA184" s="13" t="s">
        <v>1370</v>
      </c>
      <c r="BB184" s="13"/>
      <c r="BC184" s="13"/>
      <c r="BD184" s="13" t="s">
        <v>715</v>
      </c>
      <c r="BE184" s="13"/>
      <c r="BF184" s="13" t="s">
        <v>700</v>
      </c>
      <c r="BG184" s="13" t="s">
        <v>50</v>
      </c>
      <c r="BH184" s="13" t="s">
        <v>79</v>
      </c>
      <c r="BI184" s="13" t="b">
        <v>0</v>
      </c>
      <c r="BJ184" s="13">
        <v>0.0</v>
      </c>
      <c r="BK184" s="13">
        <v>0.0</v>
      </c>
    </row>
    <row r="185" ht="14.25" customHeight="1">
      <c r="A185" s="13">
        <v>183.0</v>
      </c>
      <c r="B185" s="13" t="s">
        <v>50</v>
      </c>
      <c r="C185" s="13">
        <v>2.0</v>
      </c>
      <c r="D185" s="14">
        <v>0.0</v>
      </c>
      <c r="E185" s="13" t="s">
        <v>1371</v>
      </c>
      <c r="F185" s="15"/>
      <c r="G185" s="16" t="s">
        <v>1372</v>
      </c>
      <c r="H185" s="13">
        <v>15.0</v>
      </c>
      <c r="I185" s="13">
        <v>0.9</v>
      </c>
      <c r="J185" s="13" t="s">
        <v>1323</v>
      </c>
      <c r="K185" s="13">
        <f t="shared" si="3"/>
        <v>0</v>
      </c>
      <c r="L185" s="13">
        <f t="shared" si="4"/>
        <v>3</v>
      </c>
      <c r="M185" s="13">
        <f t="shared" ref="M185:AA185" si="369">IFERROR(VALUE(RIGHT(LEFT($J185,FIND(M$1,$J185,1)+LEN(M$1)),1)),0)</f>
        <v>0</v>
      </c>
      <c r="N185" s="13">
        <f t="shared" si="369"/>
        <v>0</v>
      </c>
      <c r="O185" s="13">
        <f t="shared" si="369"/>
        <v>0</v>
      </c>
      <c r="P185" s="13">
        <f t="shared" si="369"/>
        <v>0</v>
      </c>
      <c r="Q185" s="13">
        <f t="shared" si="369"/>
        <v>0</v>
      </c>
      <c r="R185" s="13">
        <f t="shared" si="369"/>
        <v>0</v>
      </c>
      <c r="S185" s="13">
        <f t="shared" si="369"/>
        <v>0</v>
      </c>
      <c r="T185" s="13">
        <f t="shared" si="369"/>
        <v>0</v>
      </c>
      <c r="U185" s="13">
        <f t="shared" si="369"/>
        <v>0</v>
      </c>
      <c r="V185" s="13">
        <f t="shared" si="369"/>
        <v>0</v>
      </c>
      <c r="W185" s="13">
        <f t="shared" si="369"/>
        <v>0</v>
      </c>
      <c r="X185" s="13">
        <f t="shared" si="369"/>
        <v>0</v>
      </c>
      <c r="Y185" s="13">
        <f t="shared" si="369"/>
        <v>0</v>
      </c>
      <c r="Z185" s="13">
        <f t="shared" si="369"/>
        <v>0</v>
      </c>
      <c r="AA185" s="13">
        <f t="shared" si="369"/>
        <v>0</v>
      </c>
      <c r="AB185" s="13">
        <f t="shared" ref="AB185:AP185" si="370">IFERROR(VALUE(RIGHT(LEFT($J185,FIND(AB$1,$J185,IF(M185=0,1,FIND(AB$1,$J185,1)+1))+LEN(AB$1)),1)),0)</f>
        <v>1</v>
      </c>
      <c r="AC185" s="13">
        <f t="shared" si="370"/>
        <v>0</v>
      </c>
      <c r="AD185" s="13">
        <f t="shared" si="370"/>
        <v>0</v>
      </c>
      <c r="AE185" s="13">
        <f t="shared" si="370"/>
        <v>0</v>
      </c>
      <c r="AF185" s="13">
        <f t="shared" si="370"/>
        <v>0</v>
      </c>
      <c r="AG185" s="13">
        <f t="shared" si="370"/>
        <v>0</v>
      </c>
      <c r="AH185" s="13">
        <f t="shared" si="370"/>
        <v>0</v>
      </c>
      <c r="AI185" s="13">
        <f t="shared" si="370"/>
        <v>0</v>
      </c>
      <c r="AJ185" s="13">
        <f t="shared" si="370"/>
        <v>0</v>
      </c>
      <c r="AK185" s="13">
        <f t="shared" si="370"/>
        <v>0</v>
      </c>
      <c r="AL185" s="13">
        <f t="shared" si="370"/>
        <v>0</v>
      </c>
      <c r="AM185" s="13">
        <f t="shared" si="370"/>
        <v>0</v>
      </c>
      <c r="AN185" s="13">
        <f t="shared" si="370"/>
        <v>2</v>
      </c>
      <c r="AO185" s="13">
        <f t="shared" si="370"/>
        <v>0</v>
      </c>
      <c r="AP185" s="13">
        <f t="shared" si="370"/>
        <v>0</v>
      </c>
      <c r="AQ185" s="13"/>
      <c r="AR185" s="13" t="s">
        <v>1373</v>
      </c>
      <c r="AS185" s="13" t="s">
        <v>1374</v>
      </c>
      <c r="AT185" s="13" t="s">
        <v>573</v>
      </c>
      <c r="AU185" s="13" t="s">
        <v>143</v>
      </c>
      <c r="AV185" s="13" t="s">
        <v>1375</v>
      </c>
      <c r="AW185" s="13">
        <v>16.0</v>
      </c>
      <c r="AX185" s="13">
        <v>-1.0</v>
      </c>
      <c r="AY185" s="13">
        <v>0.0</v>
      </c>
      <c r="AZ185" s="13" t="s">
        <v>1376</v>
      </c>
      <c r="BA185" s="13" t="s">
        <v>1377</v>
      </c>
      <c r="BB185" s="13"/>
      <c r="BC185" s="13"/>
      <c r="BD185" s="13" t="s">
        <v>230</v>
      </c>
      <c r="BE185" s="13"/>
      <c r="BF185" s="13" t="s">
        <v>1378</v>
      </c>
      <c r="BG185" s="13" t="s">
        <v>50</v>
      </c>
      <c r="BH185" s="13" t="s">
        <v>79</v>
      </c>
      <c r="BI185" s="13" t="b">
        <v>0</v>
      </c>
      <c r="BJ185" s="13">
        <v>0.0</v>
      </c>
      <c r="BK185" s="13">
        <v>0.0</v>
      </c>
    </row>
    <row r="186" ht="14.25" customHeight="1">
      <c r="A186" s="13">
        <v>184.0</v>
      </c>
      <c r="B186" s="13" t="s">
        <v>50</v>
      </c>
      <c r="C186" s="13">
        <v>2.0</v>
      </c>
      <c r="D186" s="14">
        <v>0.0</v>
      </c>
      <c r="E186" s="13" t="s">
        <v>1379</v>
      </c>
      <c r="F186" s="15"/>
      <c r="G186" s="16" t="s">
        <v>1380</v>
      </c>
      <c r="H186" s="13">
        <v>14.0</v>
      </c>
      <c r="I186" s="13">
        <v>1.1</v>
      </c>
      <c r="J186" s="13" t="s">
        <v>1381</v>
      </c>
      <c r="K186" s="13">
        <f t="shared" si="3"/>
        <v>0</v>
      </c>
      <c r="L186" s="13">
        <f t="shared" si="4"/>
        <v>3</v>
      </c>
      <c r="M186" s="13">
        <f t="shared" ref="M186:AA186" si="371">IFERROR(VALUE(RIGHT(LEFT($J186,FIND(M$1,$J186,1)+LEN(M$1)),1)),0)</f>
        <v>0</v>
      </c>
      <c r="N186" s="13">
        <f t="shared" si="371"/>
        <v>0</v>
      </c>
      <c r="O186" s="13">
        <f t="shared" si="371"/>
        <v>0</v>
      </c>
      <c r="P186" s="13">
        <f t="shared" si="371"/>
        <v>0</v>
      </c>
      <c r="Q186" s="13">
        <f t="shared" si="371"/>
        <v>0</v>
      </c>
      <c r="R186" s="13">
        <f t="shared" si="371"/>
        <v>0</v>
      </c>
      <c r="S186" s="13">
        <f t="shared" si="371"/>
        <v>0</v>
      </c>
      <c r="T186" s="13">
        <f t="shared" si="371"/>
        <v>0</v>
      </c>
      <c r="U186" s="13">
        <f t="shared" si="371"/>
        <v>0</v>
      </c>
      <c r="V186" s="13">
        <f t="shared" si="371"/>
        <v>0</v>
      </c>
      <c r="W186" s="13">
        <f t="shared" si="371"/>
        <v>0</v>
      </c>
      <c r="X186" s="13">
        <f t="shared" si="371"/>
        <v>0</v>
      </c>
      <c r="Y186" s="13">
        <f t="shared" si="371"/>
        <v>0</v>
      </c>
      <c r="Z186" s="13">
        <f t="shared" si="371"/>
        <v>0</v>
      </c>
      <c r="AA186" s="13">
        <f t="shared" si="371"/>
        <v>0</v>
      </c>
      <c r="AB186" s="13">
        <f t="shared" ref="AB186:AP186" si="372">IFERROR(VALUE(RIGHT(LEFT($J186,FIND(AB$1,$J186,IF(M186=0,1,FIND(AB$1,$J186,1)+1))+LEN(AB$1)),1)),0)</f>
        <v>0</v>
      </c>
      <c r="AC186" s="13">
        <f t="shared" si="372"/>
        <v>0</v>
      </c>
      <c r="AD186" s="13">
        <f t="shared" si="372"/>
        <v>0</v>
      </c>
      <c r="AE186" s="13">
        <f t="shared" si="372"/>
        <v>0</v>
      </c>
      <c r="AF186" s="13">
        <f t="shared" si="372"/>
        <v>1</v>
      </c>
      <c r="AG186" s="13">
        <f t="shared" si="372"/>
        <v>0</v>
      </c>
      <c r="AH186" s="13">
        <f t="shared" si="372"/>
        <v>0</v>
      </c>
      <c r="AI186" s="13">
        <f t="shared" si="372"/>
        <v>0</v>
      </c>
      <c r="AJ186" s="13">
        <f t="shared" si="372"/>
        <v>1</v>
      </c>
      <c r="AK186" s="13">
        <f t="shared" si="372"/>
        <v>0</v>
      </c>
      <c r="AL186" s="13">
        <f t="shared" si="372"/>
        <v>0</v>
      </c>
      <c r="AM186" s="13">
        <f t="shared" si="372"/>
        <v>0</v>
      </c>
      <c r="AN186" s="13">
        <f t="shared" si="372"/>
        <v>1</v>
      </c>
      <c r="AO186" s="13">
        <f t="shared" si="372"/>
        <v>0</v>
      </c>
      <c r="AP186" s="13">
        <f t="shared" si="372"/>
        <v>0</v>
      </c>
      <c r="AQ186" s="13"/>
      <c r="AR186" s="13" t="s">
        <v>1382</v>
      </c>
      <c r="AS186" s="13" t="s">
        <v>1383</v>
      </c>
      <c r="AT186" s="13" t="s">
        <v>573</v>
      </c>
      <c r="AU186" s="13" t="s">
        <v>269</v>
      </c>
      <c r="AV186" s="13" t="s">
        <v>1384</v>
      </c>
      <c r="AW186" s="13">
        <v>13.0</v>
      </c>
      <c r="AX186" s="13">
        <v>-1.0</v>
      </c>
      <c r="AY186" s="13">
        <v>0.0</v>
      </c>
      <c r="AZ186" s="13" t="s">
        <v>770</v>
      </c>
      <c r="BA186" s="13" t="s">
        <v>687</v>
      </c>
      <c r="BB186" s="13"/>
      <c r="BC186" s="13"/>
      <c r="BD186" s="13" t="s">
        <v>239</v>
      </c>
      <c r="BE186" s="13"/>
      <c r="BF186" s="13" t="s">
        <v>521</v>
      </c>
      <c r="BG186" s="13" t="s">
        <v>50</v>
      </c>
      <c r="BH186" s="13" t="s">
        <v>79</v>
      </c>
      <c r="BI186" s="13" t="b">
        <v>0</v>
      </c>
      <c r="BJ186" s="13">
        <v>0.0</v>
      </c>
      <c r="BK186" s="13">
        <v>0.0</v>
      </c>
    </row>
    <row r="187" ht="14.25" customHeight="1">
      <c r="A187" s="13">
        <v>185.0</v>
      </c>
      <c r="B187" s="13" t="s">
        <v>50</v>
      </c>
      <c r="C187" s="13">
        <v>2.0</v>
      </c>
      <c r="D187" s="14">
        <v>0.0</v>
      </c>
      <c r="E187" s="13" t="s">
        <v>1385</v>
      </c>
      <c r="F187" s="15"/>
      <c r="G187" s="16" t="s">
        <v>1386</v>
      </c>
      <c r="H187" s="13">
        <v>16.0</v>
      </c>
      <c r="I187" s="13">
        <v>0.9</v>
      </c>
      <c r="J187" s="13" t="s">
        <v>1387</v>
      </c>
      <c r="K187" s="13">
        <f t="shared" si="3"/>
        <v>0</v>
      </c>
      <c r="L187" s="13">
        <f t="shared" si="4"/>
        <v>3</v>
      </c>
      <c r="M187" s="13">
        <f t="shared" ref="M187:AA187" si="373">IFERROR(VALUE(RIGHT(LEFT($J187,FIND(M$1,$J187,1)+LEN(M$1)),1)),0)</f>
        <v>0</v>
      </c>
      <c r="N187" s="13">
        <f t="shared" si="373"/>
        <v>0</v>
      </c>
      <c r="O187" s="13">
        <f t="shared" si="373"/>
        <v>0</v>
      </c>
      <c r="P187" s="13">
        <f t="shared" si="373"/>
        <v>0</v>
      </c>
      <c r="Q187" s="13">
        <f t="shared" si="373"/>
        <v>0</v>
      </c>
      <c r="R187" s="13">
        <f t="shared" si="373"/>
        <v>0</v>
      </c>
      <c r="S187" s="13">
        <f t="shared" si="373"/>
        <v>0</v>
      </c>
      <c r="T187" s="13">
        <f t="shared" si="373"/>
        <v>0</v>
      </c>
      <c r="U187" s="13">
        <f t="shared" si="373"/>
        <v>0</v>
      </c>
      <c r="V187" s="13">
        <f t="shared" si="373"/>
        <v>0</v>
      </c>
      <c r="W187" s="13">
        <f t="shared" si="373"/>
        <v>0</v>
      </c>
      <c r="X187" s="13">
        <f t="shared" si="373"/>
        <v>0</v>
      </c>
      <c r="Y187" s="13">
        <f t="shared" si="373"/>
        <v>0</v>
      </c>
      <c r="Z187" s="13">
        <f t="shared" si="373"/>
        <v>0</v>
      </c>
      <c r="AA187" s="13">
        <f t="shared" si="373"/>
        <v>0</v>
      </c>
      <c r="AB187" s="13">
        <f t="shared" ref="AB187:AP187" si="374">IFERROR(VALUE(RIGHT(LEFT($J187,FIND(AB$1,$J187,IF(M187=0,1,FIND(AB$1,$J187,1)+1))+LEN(AB$1)),1)),0)</f>
        <v>0</v>
      </c>
      <c r="AC187" s="13">
        <f t="shared" si="374"/>
        <v>0</v>
      </c>
      <c r="AD187" s="13">
        <f t="shared" si="374"/>
        <v>0</v>
      </c>
      <c r="AE187" s="13">
        <f t="shared" si="374"/>
        <v>1</v>
      </c>
      <c r="AF187" s="13">
        <f t="shared" si="374"/>
        <v>0</v>
      </c>
      <c r="AG187" s="13">
        <f t="shared" si="374"/>
        <v>0</v>
      </c>
      <c r="AH187" s="13">
        <f t="shared" si="374"/>
        <v>0</v>
      </c>
      <c r="AI187" s="13">
        <f t="shared" si="374"/>
        <v>0</v>
      </c>
      <c r="AJ187" s="13">
        <f t="shared" si="374"/>
        <v>0</v>
      </c>
      <c r="AK187" s="13">
        <f t="shared" si="374"/>
        <v>0</v>
      </c>
      <c r="AL187" s="13">
        <f t="shared" si="374"/>
        <v>0</v>
      </c>
      <c r="AM187" s="13">
        <f t="shared" si="374"/>
        <v>0</v>
      </c>
      <c r="AN187" s="13">
        <f t="shared" si="374"/>
        <v>2</v>
      </c>
      <c r="AO187" s="13">
        <f t="shared" si="374"/>
        <v>0</v>
      </c>
      <c r="AP187" s="13">
        <f t="shared" si="374"/>
        <v>0</v>
      </c>
      <c r="AQ187" s="13"/>
      <c r="AR187" s="13" t="s">
        <v>1388</v>
      </c>
      <c r="AS187" s="13" t="s">
        <v>1389</v>
      </c>
      <c r="AT187" s="13" t="s">
        <v>162</v>
      </c>
      <c r="AU187" s="13" t="s">
        <v>163</v>
      </c>
      <c r="AV187" s="13" t="s">
        <v>1159</v>
      </c>
      <c r="AW187" s="13">
        <v>16.0</v>
      </c>
      <c r="AX187" s="13">
        <v>-1.0</v>
      </c>
      <c r="AY187" s="13">
        <v>0.0</v>
      </c>
      <c r="AZ187" s="13" t="s">
        <v>1390</v>
      </c>
      <c r="BA187" s="13" t="s">
        <v>1391</v>
      </c>
      <c r="BB187" s="13"/>
      <c r="BC187" s="13"/>
      <c r="BD187" s="13" t="s">
        <v>239</v>
      </c>
      <c r="BE187" s="13"/>
      <c r="BF187" s="13" t="s">
        <v>1392</v>
      </c>
      <c r="BG187" s="13" t="s">
        <v>50</v>
      </c>
      <c r="BH187" s="13" t="s">
        <v>79</v>
      </c>
      <c r="BI187" s="13" t="b">
        <v>0</v>
      </c>
      <c r="BJ187" s="13">
        <v>0.0</v>
      </c>
      <c r="BK187" s="13">
        <v>0.0</v>
      </c>
    </row>
    <row r="188" ht="14.25" customHeight="1">
      <c r="A188" s="13">
        <v>186.0</v>
      </c>
      <c r="B188" s="13" t="s">
        <v>50</v>
      </c>
      <c r="C188" s="13">
        <v>2.0</v>
      </c>
      <c r="D188" s="14">
        <v>0.0</v>
      </c>
      <c r="E188" s="13" t="s">
        <v>1393</v>
      </c>
      <c r="F188" s="15"/>
      <c r="G188" s="16" t="s">
        <v>1394</v>
      </c>
      <c r="H188" s="13">
        <v>14.0</v>
      </c>
      <c r="I188" s="13">
        <v>1.2</v>
      </c>
      <c r="J188" s="13" t="s">
        <v>1395</v>
      </c>
      <c r="K188" s="13">
        <f t="shared" si="3"/>
        <v>0</v>
      </c>
      <c r="L188" s="13">
        <f t="shared" si="4"/>
        <v>3</v>
      </c>
      <c r="M188" s="13">
        <f t="shared" ref="M188:AA188" si="375">IFERROR(VALUE(RIGHT(LEFT($J188,FIND(M$1,$J188,1)+LEN(M$1)),1)),0)</f>
        <v>0</v>
      </c>
      <c r="N188" s="13">
        <f t="shared" si="375"/>
        <v>0</v>
      </c>
      <c r="O188" s="13">
        <f t="shared" si="375"/>
        <v>0</v>
      </c>
      <c r="P188" s="13">
        <f t="shared" si="375"/>
        <v>0</v>
      </c>
      <c r="Q188" s="13">
        <f t="shared" si="375"/>
        <v>0</v>
      </c>
      <c r="R188" s="13">
        <f t="shared" si="375"/>
        <v>0</v>
      </c>
      <c r="S188" s="13">
        <f t="shared" si="375"/>
        <v>0</v>
      </c>
      <c r="T188" s="13">
        <f t="shared" si="375"/>
        <v>0</v>
      </c>
      <c r="U188" s="13">
        <f t="shared" si="375"/>
        <v>0</v>
      </c>
      <c r="V188" s="13">
        <f t="shared" si="375"/>
        <v>0</v>
      </c>
      <c r="W188" s="13">
        <f t="shared" si="375"/>
        <v>0</v>
      </c>
      <c r="X188" s="13">
        <f t="shared" si="375"/>
        <v>0</v>
      </c>
      <c r="Y188" s="13">
        <f t="shared" si="375"/>
        <v>0</v>
      </c>
      <c r="Z188" s="13">
        <f t="shared" si="375"/>
        <v>0</v>
      </c>
      <c r="AA188" s="13">
        <f t="shared" si="375"/>
        <v>0</v>
      </c>
      <c r="AB188" s="13">
        <f t="shared" ref="AB188:AP188" si="376">IFERROR(VALUE(RIGHT(LEFT($J188,FIND(AB$1,$J188,IF(M188=0,1,FIND(AB$1,$J188,1)+1))+LEN(AB$1)),1)),0)</f>
        <v>0</v>
      </c>
      <c r="AC188" s="13">
        <f t="shared" si="376"/>
        <v>0</v>
      </c>
      <c r="AD188" s="13">
        <f t="shared" si="376"/>
        <v>1</v>
      </c>
      <c r="AE188" s="13">
        <f t="shared" si="376"/>
        <v>0</v>
      </c>
      <c r="AF188" s="13">
        <f t="shared" si="376"/>
        <v>0</v>
      </c>
      <c r="AG188" s="13">
        <f t="shared" si="376"/>
        <v>0</v>
      </c>
      <c r="AH188" s="13">
        <f t="shared" si="376"/>
        <v>0</v>
      </c>
      <c r="AI188" s="13">
        <f t="shared" si="376"/>
        <v>1</v>
      </c>
      <c r="AJ188" s="13">
        <f t="shared" si="376"/>
        <v>0</v>
      </c>
      <c r="AK188" s="13">
        <f t="shared" si="376"/>
        <v>0</v>
      </c>
      <c r="AL188" s="13">
        <f t="shared" si="376"/>
        <v>0</v>
      </c>
      <c r="AM188" s="13">
        <f t="shared" si="376"/>
        <v>0</v>
      </c>
      <c r="AN188" s="13">
        <f t="shared" si="376"/>
        <v>1</v>
      </c>
      <c r="AO188" s="13">
        <f t="shared" si="376"/>
        <v>0</v>
      </c>
      <c r="AP188" s="13">
        <f t="shared" si="376"/>
        <v>0</v>
      </c>
      <c r="AQ188" s="13"/>
      <c r="AR188" s="13" t="s">
        <v>1396</v>
      </c>
      <c r="AS188" s="13" t="s">
        <v>1397</v>
      </c>
      <c r="AT188" s="13" t="s">
        <v>1398</v>
      </c>
      <c r="AU188" s="13" t="s">
        <v>803</v>
      </c>
      <c r="AV188" s="13" t="s">
        <v>1399</v>
      </c>
      <c r="AW188" s="13">
        <v>13.0</v>
      </c>
      <c r="AX188" s="13">
        <v>-1.0</v>
      </c>
      <c r="AY188" s="13">
        <v>0.0</v>
      </c>
      <c r="AZ188" s="13" t="s">
        <v>624</v>
      </c>
      <c r="BA188" s="13" t="s">
        <v>601</v>
      </c>
      <c r="BB188" s="13"/>
      <c r="BC188" s="13"/>
      <c r="BD188" s="13" t="s">
        <v>715</v>
      </c>
      <c r="BE188" s="13"/>
      <c r="BF188" s="13" t="s">
        <v>1400</v>
      </c>
      <c r="BG188" s="13" t="s">
        <v>50</v>
      </c>
      <c r="BH188" s="13" t="s">
        <v>79</v>
      </c>
      <c r="BI188" s="13" t="b">
        <v>0</v>
      </c>
      <c r="BJ188" s="13">
        <v>0.0</v>
      </c>
      <c r="BK188" s="13">
        <v>0.0</v>
      </c>
    </row>
    <row r="189" ht="14.25" customHeight="1">
      <c r="A189" s="13">
        <v>187.0</v>
      </c>
      <c r="B189" s="13" t="s">
        <v>51</v>
      </c>
      <c r="C189" s="13">
        <v>2.0</v>
      </c>
      <c r="D189" s="14">
        <v>0.0</v>
      </c>
      <c r="E189" s="13" t="s">
        <v>1401</v>
      </c>
      <c r="F189" s="15" t="s">
        <v>334</v>
      </c>
      <c r="G189" s="16" t="s">
        <v>1402</v>
      </c>
      <c r="H189" s="13">
        <v>15.0</v>
      </c>
      <c r="I189" s="13">
        <v>1.0</v>
      </c>
      <c r="J189" s="13" t="s">
        <v>1403</v>
      </c>
      <c r="K189" s="13">
        <f t="shared" si="3"/>
        <v>0</v>
      </c>
      <c r="L189" s="13">
        <f t="shared" si="4"/>
        <v>3</v>
      </c>
      <c r="M189" s="13">
        <f t="shared" ref="M189:AA189" si="377">IFERROR(VALUE(RIGHT(LEFT($J189,FIND(M$1,$J189,1)+LEN(M$1)),1)),0)</f>
        <v>0</v>
      </c>
      <c r="N189" s="13">
        <f t="shared" si="377"/>
        <v>0</v>
      </c>
      <c r="O189" s="13">
        <f t="shared" si="377"/>
        <v>0</v>
      </c>
      <c r="P189" s="13">
        <f t="shared" si="377"/>
        <v>0</v>
      </c>
      <c r="Q189" s="13">
        <f t="shared" si="377"/>
        <v>0</v>
      </c>
      <c r="R189" s="13">
        <f t="shared" si="377"/>
        <v>0</v>
      </c>
      <c r="S189" s="13">
        <f t="shared" si="377"/>
        <v>0</v>
      </c>
      <c r="T189" s="13">
        <f t="shared" si="377"/>
        <v>0</v>
      </c>
      <c r="U189" s="13">
        <f t="shared" si="377"/>
        <v>0</v>
      </c>
      <c r="V189" s="13">
        <f t="shared" si="377"/>
        <v>0</v>
      </c>
      <c r="W189" s="13">
        <f t="shared" si="377"/>
        <v>0</v>
      </c>
      <c r="X189" s="13">
        <f t="shared" si="377"/>
        <v>0</v>
      </c>
      <c r="Y189" s="13">
        <f t="shared" si="377"/>
        <v>0</v>
      </c>
      <c r="Z189" s="13">
        <f t="shared" si="377"/>
        <v>0</v>
      </c>
      <c r="AA189" s="13">
        <f t="shared" si="377"/>
        <v>0</v>
      </c>
      <c r="AB189" s="13">
        <f t="shared" ref="AB189:AP189" si="378">IFERROR(VALUE(RIGHT(LEFT($J189,FIND(AB$1,$J189,IF(M189=0,1,FIND(AB$1,$J189,1)+1))+LEN(AB$1)),1)),0)</f>
        <v>0</v>
      </c>
      <c r="AC189" s="13">
        <f t="shared" si="378"/>
        <v>1</v>
      </c>
      <c r="AD189" s="13">
        <f t="shared" si="378"/>
        <v>0</v>
      </c>
      <c r="AE189" s="13">
        <f t="shared" si="378"/>
        <v>0</v>
      </c>
      <c r="AF189" s="13">
        <f t="shared" si="378"/>
        <v>0</v>
      </c>
      <c r="AG189" s="13">
        <f t="shared" si="378"/>
        <v>1</v>
      </c>
      <c r="AH189" s="13">
        <f t="shared" si="378"/>
        <v>0</v>
      </c>
      <c r="AI189" s="13">
        <f t="shared" si="378"/>
        <v>0</v>
      </c>
      <c r="AJ189" s="13">
        <f t="shared" si="378"/>
        <v>0</v>
      </c>
      <c r="AK189" s="13">
        <f t="shared" si="378"/>
        <v>0</v>
      </c>
      <c r="AL189" s="13">
        <f t="shared" si="378"/>
        <v>0</v>
      </c>
      <c r="AM189" s="13">
        <f t="shared" si="378"/>
        <v>0</v>
      </c>
      <c r="AN189" s="13">
        <f t="shared" si="378"/>
        <v>0</v>
      </c>
      <c r="AO189" s="13">
        <f t="shared" si="378"/>
        <v>1</v>
      </c>
      <c r="AP189" s="13">
        <f t="shared" si="378"/>
        <v>0</v>
      </c>
      <c r="AQ189" s="13"/>
      <c r="AR189" s="13" t="s">
        <v>1404</v>
      </c>
      <c r="AS189" s="13" t="s">
        <v>1405</v>
      </c>
      <c r="AT189" s="13" t="s">
        <v>129</v>
      </c>
      <c r="AU189" s="13" t="s">
        <v>143</v>
      </c>
      <c r="AV189" s="13" t="s">
        <v>1406</v>
      </c>
      <c r="AW189" s="13">
        <v>14.0</v>
      </c>
      <c r="AX189" s="13">
        <v>-1.0</v>
      </c>
      <c r="AY189" s="13">
        <v>0.0</v>
      </c>
      <c r="AZ189" s="13" t="s">
        <v>316</v>
      </c>
      <c r="BA189" s="13" t="s">
        <v>663</v>
      </c>
      <c r="BB189" s="13"/>
      <c r="BC189" s="13"/>
      <c r="BD189" s="13" t="s">
        <v>831</v>
      </c>
      <c r="BE189" s="13"/>
      <c r="BF189" s="13" t="s">
        <v>1407</v>
      </c>
      <c r="BG189" s="13" t="s">
        <v>833</v>
      </c>
      <c r="BH189" s="13" t="s">
        <v>79</v>
      </c>
      <c r="BI189" s="13" t="b">
        <v>0</v>
      </c>
      <c r="BJ189" s="13">
        <v>0.0</v>
      </c>
      <c r="BK189" s="13">
        <v>0.0</v>
      </c>
    </row>
    <row r="190" ht="14.25" customHeight="1">
      <c r="A190" s="13">
        <v>188.0</v>
      </c>
      <c r="B190" s="13" t="s">
        <v>51</v>
      </c>
      <c r="C190" s="13">
        <v>2.0</v>
      </c>
      <c r="D190" s="14">
        <v>0.0</v>
      </c>
      <c r="E190" s="13" t="s">
        <v>1408</v>
      </c>
      <c r="F190" s="15" t="s">
        <v>433</v>
      </c>
      <c r="G190" s="16" t="s">
        <v>1409</v>
      </c>
      <c r="H190" s="13">
        <v>15.0</v>
      </c>
      <c r="I190" s="13">
        <v>1.1</v>
      </c>
      <c r="J190" s="13" t="s">
        <v>820</v>
      </c>
      <c r="K190" s="13">
        <f t="shared" si="3"/>
        <v>0</v>
      </c>
      <c r="L190" s="13">
        <f t="shared" si="4"/>
        <v>3</v>
      </c>
      <c r="M190" s="13">
        <f t="shared" ref="M190:AA190" si="379">IFERROR(VALUE(RIGHT(LEFT($J190,FIND(M$1,$J190,1)+LEN(M$1)),1)),0)</f>
        <v>0</v>
      </c>
      <c r="N190" s="13">
        <f t="shared" si="379"/>
        <v>0</v>
      </c>
      <c r="O190" s="13">
        <f t="shared" si="379"/>
        <v>0</v>
      </c>
      <c r="P190" s="13">
        <f t="shared" si="379"/>
        <v>0</v>
      </c>
      <c r="Q190" s="13">
        <f t="shared" si="379"/>
        <v>0</v>
      </c>
      <c r="R190" s="13">
        <f t="shared" si="379"/>
        <v>0</v>
      </c>
      <c r="S190" s="13">
        <f t="shared" si="379"/>
        <v>0</v>
      </c>
      <c r="T190" s="13">
        <f t="shared" si="379"/>
        <v>0</v>
      </c>
      <c r="U190" s="13">
        <f t="shared" si="379"/>
        <v>0</v>
      </c>
      <c r="V190" s="13">
        <f t="shared" si="379"/>
        <v>0</v>
      </c>
      <c r="W190" s="13">
        <f t="shared" si="379"/>
        <v>0</v>
      </c>
      <c r="X190" s="13">
        <f t="shared" si="379"/>
        <v>0</v>
      </c>
      <c r="Y190" s="13">
        <f t="shared" si="379"/>
        <v>0</v>
      </c>
      <c r="Z190" s="13">
        <f t="shared" si="379"/>
        <v>0</v>
      </c>
      <c r="AA190" s="13">
        <f t="shared" si="379"/>
        <v>0</v>
      </c>
      <c r="AB190" s="13">
        <f t="shared" ref="AB190:AP190" si="380">IFERROR(VALUE(RIGHT(LEFT($J190,FIND(AB$1,$J190,IF(M190=0,1,FIND(AB$1,$J190,1)+1))+LEN(AB$1)),1)),0)</f>
        <v>0</v>
      </c>
      <c r="AC190" s="13">
        <f t="shared" si="380"/>
        <v>1</v>
      </c>
      <c r="AD190" s="13">
        <f t="shared" si="380"/>
        <v>0</v>
      </c>
      <c r="AE190" s="13">
        <f t="shared" si="380"/>
        <v>0</v>
      </c>
      <c r="AF190" s="13">
        <f t="shared" si="380"/>
        <v>0</v>
      </c>
      <c r="AG190" s="13">
        <f t="shared" si="380"/>
        <v>0</v>
      </c>
      <c r="AH190" s="13">
        <f t="shared" si="380"/>
        <v>0</v>
      </c>
      <c r="AI190" s="13">
        <f t="shared" si="380"/>
        <v>0</v>
      </c>
      <c r="AJ190" s="13">
        <f t="shared" si="380"/>
        <v>0</v>
      </c>
      <c r="AK190" s="13">
        <f t="shared" si="380"/>
        <v>0</v>
      </c>
      <c r="AL190" s="13">
        <f t="shared" si="380"/>
        <v>0</v>
      </c>
      <c r="AM190" s="13">
        <f t="shared" si="380"/>
        <v>0</v>
      </c>
      <c r="AN190" s="13">
        <f t="shared" si="380"/>
        <v>0</v>
      </c>
      <c r="AO190" s="13">
        <f t="shared" si="380"/>
        <v>2</v>
      </c>
      <c r="AP190" s="13">
        <f t="shared" si="380"/>
        <v>0</v>
      </c>
      <c r="AQ190" s="13"/>
      <c r="AR190" s="13" t="s">
        <v>828</v>
      </c>
      <c r="AS190" s="13" t="s">
        <v>1410</v>
      </c>
      <c r="AT190" s="13" t="s">
        <v>1263</v>
      </c>
      <c r="AU190" s="13" t="s">
        <v>143</v>
      </c>
      <c r="AV190" s="13" t="s">
        <v>1411</v>
      </c>
      <c r="AW190" s="13">
        <v>15.0</v>
      </c>
      <c r="AX190" s="13">
        <v>-1.0</v>
      </c>
      <c r="AY190" s="13">
        <v>0.0</v>
      </c>
      <c r="AZ190" s="13" t="s">
        <v>1412</v>
      </c>
      <c r="BA190" s="13" t="s">
        <v>281</v>
      </c>
      <c r="BB190" s="13"/>
      <c r="BC190" s="13"/>
      <c r="BD190" s="13" t="s">
        <v>282</v>
      </c>
      <c r="BE190" s="13"/>
      <c r="BF190" s="13" t="s">
        <v>1413</v>
      </c>
      <c r="BG190" s="13" t="s">
        <v>284</v>
      </c>
      <c r="BH190" s="13" t="s">
        <v>79</v>
      </c>
      <c r="BI190" s="13" t="b">
        <v>0</v>
      </c>
      <c r="BJ190" s="13">
        <v>0.0</v>
      </c>
      <c r="BK190" s="13">
        <v>0.0</v>
      </c>
    </row>
    <row r="191" ht="14.25" customHeight="1">
      <c r="A191" s="13">
        <v>189.0</v>
      </c>
      <c r="B191" s="13" t="s">
        <v>51</v>
      </c>
      <c r="C191" s="13">
        <v>2.0</v>
      </c>
      <c r="D191" s="14">
        <v>0.0</v>
      </c>
      <c r="E191" s="13" t="s">
        <v>1414</v>
      </c>
      <c r="F191" s="15"/>
      <c r="G191" s="16" t="s">
        <v>1415</v>
      </c>
      <c r="H191" s="13">
        <v>15.0</v>
      </c>
      <c r="I191" s="13">
        <v>1.0</v>
      </c>
      <c r="J191" s="13" t="s">
        <v>1416</v>
      </c>
      <c r="K191" s="13">
        <f t="shared" si="3"/>
        <v>0</v>
      </c>
      <c r="L191" s="13">
        <f t="shared" si="4"/>
        <v>3</v>
      </c>
      <c r="M191" s="13">
        <f t="shared" ref="M191:AA191" si="381">IFERROR(VALUE(RIGHT(LEFT($J191,FIND(M$1,$J191,1)+LEN(M$1)),1)),0)</f>
        <v>0</v>
      </c>
      <c r="N191" s="13">
        <f t="shared" si="381"/>
        <v>0</v>
      </c>
      <c r="O191" s="13">
        <f t="shared" si="381"/>
        <v>0</v>
      </c>
      <c r="P191" s="13">
        <f t="shared" si="381"/>
        <v>0</v>
      </c>
      <c r="Q191" s="13">
        <f t="shared" si="381"/>
        <v>0</v>
      </c>
      <c r="R191" s="13">
        <f t="shared" si="381"/>
        <v>0</v>
      </c>
      <c r="S191" s="13">
        <f t="shared" si="381"/>
        <v>0</v>
      </c>
      <c r="T191" s="13">
        <f t="shared" si="381"/>
        <v>0</v>
      </c>
      <c r="U191" s="13">
        <f t="shared" si="381"/>
        <v>0</v>
      </c>
      <c r="V191" s="13">
        <f t="shared" si="381"/>
        <v>0</v>
      </c>
      <c r="W191" s="13">
        <f t="shared" si="381"/>
        <v>0</v>
      </c>
      <c r="X191" s="13">
        <f t="shared" si="381"/>
        <v>0</v>
      </c>
      <c r="Y191" s="13">
        <f t="shared" si="381"/>
        <v>0</v>
      </c>
      <c r="Z191" s="13">
        <f t="shared" si="381"/>
        <v>0</v>
      </c>
      <c r="AA191" s="13">
        <f t="shared" si="381"/>
        <v>0</v>
      </c>
      <c r="AB191" s="13">
        <f t="shared" ref="AB191:AP191" si="382">IFERROR(VALUE(RIGHT(LEFT($J191,FIND(AB$1,$J191,IF(M191=0,1,FIND(AB$1,$J191,1)+1))+LEN(AB$1)),1)),0)</f>
        <v>1</v>
      </c>
      <c r="AC191" s="13">
        <f t="shared" si="382"/>
        <v>0</v>
      </c>
      <c r="AD191" s="13">
        <f t="shared" si="382"/>
        <v>0</v>
      </c>
      <c r="AE191" s="13">
        <f t="shared" si="382"/>
        <v>0</v>
      </c>
      <c r="AF191" s="13">
        <f t="shared" si="382"/>
        <v>0</v>
      </c>
      <c r="AG191" s="13">
        <f t="shared" si="382"/>
        <v>1</v>
      </c>
      <c r="AH191" s="13">
        <f t="shared" si="382"/>
        <v>0</v>
      </c>
      <c r="AI191" s="13">
        <f t="shared" si="382"/>
        <v>0</v>
      </c>
      <c r="AJ191" s="13">
        <f t="shared" si="382"/>
        <v>0</v>
      </c>
      <c r="AK191" s="13">
        <f t="shared" si="382"/>
        <v>0</v>
      </c>
      <c r="AL191" s="13">
        <f t="shared" si="382"/>
        <v>0</v>
      </c>
      <c r="AM191" s="13">
        <f t="shared" si="382"/>
        <v>0</v>
      </c>
      <c r="AN191" s="13">
        <f t="shared" si="382"/>
        <v>0</v>
      </c>
      <c r="AO191" s="13">
        <f t="shared" si="382"/>
        <v>1</v>
      </c>
      <c r="AP191" s="13">
        <f t="shared" si="382"/>
        <v>0</v>
      </c>
      <c r="AQ191" s="13"/>
      <c r="AR191" s="13" t="s">
        <v>1417</v>
      </c>
      <c r="AS191" s="13" t="s">
        <v>1418</v>
      </c>
      <c r="AT191" s="13" t="s">
        <v>162</v>
      </c>
      <c r="AU191" s="13" t="s">
        <v>236</v>
      </c>
      <c r="AV191" s="13" t="s">
        <v>1202</v>
      </c>
      <c r="AW191" s="13">
        <v>16.0</v>
      </c>
      <c r="AX191" s="13">
        <v>-1.0</v>
      </c>
      <c r="AY191" s="13">
        <v>0.0</v>
      </c>
      <c r="AZ191" s="13" t="s">
        <v>1419</v>
      </c>
      <c r="BA191" s="13" t="s">
        <v>229</v>
      </c>
      <c r="BB191" s="13"/>
      <c r="BC191" s="13"/>
      <c r="BD191" s="13" t="s">
        <v>776</v>
      </c>
      <c r="BE191" s="13"/>
      <c r="BF191" s="13" t="s">
        <v>1420</v>
      </c>
      <c r="BG191" s="13" t="s">
        <v>263</v>
      </c>
      <c r="BH191" s="13" t="s">
        <v>79</v>
      </c>
      <c r="BI191" s="13" t="b">
        <v>0</v>
      </c>
      <c r="BJ191" s="13">
        <v>0.0</v>
      </c>
      <c r="BK191" s="13">
        <v>0.0</v>
      </c>
    </row>
    <row r="192" ht="14.25" customHeight="1">
      <c r="A192" s="13">
        <v>190.0</v>
      </c>
      <c r="B192" s="13" t="s">
        <v>51</v>
      </c>
      <c r="C192" s="13">
        <v>2.0</v>
      </c>
      <c r="D192" s="14">
        <v>0.0</v>
      </c>
      <c r="E192" s="13" t="s">
        <v>1421</v>
      </c>
      <c r="F192" s="15"/>
      <c r="G192" s="16" t="s">
        <v>1422</v>
      </c>
      <c r="H192" s="13">
        <v>16.0</v>
      </c>
      <c r="I192" s="13">
        <v>1.1</v>
      </c>
      <c r="J192" s="13" t="s">
        <v>1423</v>
      </c>
      <c r="K192" s="13">
        <f t="shared" si="3"/>
        <v>0</v>
      </c>
      <c r="L192" s="13">
        <f t="shared" si="4"/>
        <v>3</v>
      </c>
      <c r="M192" s="13">
        <f t="shared" ref="M192:AA192" si="383">IFERROR(VALUE(RIGHT(LEFT($J192,FIND(M$1,$J192,1)+LEN(M$1)),1)),0)</f>
        <v>0</v>
      </c>
      <c r="N192" s="13">
        <f t="shared" si="383"/>
        <v>0</v>
      </c>
      <c r="O192" s="13">
        <f t="shared" si="383"/>
        <v>0</v>
      </c>
      <c r="P192" s="13">
        <f t="shared" si="383"/>
        <v>0</v>
      </c>
      <c r="Q192" s="13">
        <f t="shared" si="383"/>
        <v>0</v>
      </c>
      <c r="R192" s="13">
        <f t="shared" si="383"/>
        <v>0</v>
      </c>
      <c r="S192" s="13">
        <f t="shared" si="383"/>
        <v>0</v>
      </c>
      <c r="T192" s="13">
        <f t="shared" si="383"/>
        <v>0</v>
      </c>
      <c r="U192" s="13">
        <f t="shared" si="383"/>
        <v>0</v>
      </c>
      <c r="V192" s="13">
        <f t="shared" si="383"/>
        <v>0</v>
      </c>
      <c r="W192" s="13">
        <f t="shared" si="383"/>
        <v>0</v>
      </c>
      <c r="X192" s="13">
        <f t="shared" si="383"/>
        <v>0</v>
      </c>
      <c r="Y192" s="13">
        <f t="shared" si="383"/>
        <v>0</v>
      </c>
      <c r="Z192" s="13">
        <f t="shared" si="383"/>
        <v>0</v>
      </c>
      <c r="AA192" s="13">
        <f t="shared" si="383"/>
        <v>0</v>
      </c>
      <c r="AB192" s="13">
        <f t="shared" ref="AB192:AP192" si="384">IFERROR(VALUE(RIGHT(LEFT($J192,FIND(AB$1,$J192,IF(M192=0,1,FIND(AB$1,$J192,1)+1))+LEN(AB$1)),1)),0)</f>
        <v>0</v>
      </c>
      <c r="AC192" s="13">
        <f t="shared" si="384"/>
        <v>0</v>
      </c>
      <c r="AD192" s="13">
        <f t="shared" si="384"/>
        <v>1</v>
      </c>
      <c r="AE192" s="13">
        <f t="shared" si="384"/>
        <v>1</v>
      </c>
      <c r="AF192" s="13">
        <f t="shared" si="384"/>
        <v>0</v>
      </c>
      <c r="AG192" s="13">
        <f t="shared" si="384"/>
        <v>0</v>
      </c>
      <c r="AH192" s="13">
        <f t="shared" si="384"/>
        <v>0</v>
      </c>
      <c r="AI192" s="13">
        <f t="shared" si="384"/>
        <v>0</v>
      </c>
      <c r="AJ192" s="13">
        <f t="shared" si="384"/>
        <v>0</v>
      </c>
      <c r="AK192" s="13">
        <f t="shared" si="384"/>
        <v>0</v>
      </c>
      <c r="AL192" s="13">
        <f t="shared" si="384"/>
        <v>0</v>
      </c>
      <c r="AM192" s="13">
        <f t="shared" si="384"/>
        <v>0</v>
      </c>
      <c r="AN192" s="13">
        <f t="shared" si="384"/>
        <v>0</v>
      </c>
      <c r="AO192" s="13">
        <f t="shared" si="384"/>
        <v>1</v>
      </c>
      <c r="AP192" s="13">
        <f t="shared" si="384"/>
        <v>0</v>
      </c>
      <c r="AQ192" s="13"/>
      <c r="AR192" s="13" t="s">
        <v>815</v>
      </c>
      <c r="AS192" s="13" t="s">
        <v>1424</v>
      </c>
      <c r="AT192" s="13" t="s">
        <v>162</v>
      </c>
      <c r="AU192" s="13" t="s">
        <v>727</v>
      </c>
      <c r="AV192" s="13" t="s">
        <v>1425</v>
      </c>
      <c r="AW192" s="13">
        <v>16.0</v>
      </c>
      <c r="AX192" s="13">
        <v>-1.0</v>
      </c>
      <c r="AY192" s="13">
        <v>0.0</v>
      </c>
      <c r="AZ192" s="13" t="s">
        <v>1426</v>
      </c>
      <c r="BA192" s="13" t="s">
        <v>1427</v>
      </c>
      <c r="BB192" s="13"/>
      <c r="BC192" s="13"/>
      <c r="BD192" s="13" t="s">
        <v>261</v>
      </c>
      <c r="BE192" s="13"/>
      <c r="BF192" s="13" t="s">
        <v>1428</v>
      </c>
      <c r="BG192" s="13" t="s">
        <v>263</v>
      </c>
      <c r="BH192" s="13" t="s">
        <v>79</v>
      </c>
      <c r="BI192" s="13" t="b">
        <v>0</v>
      </c>
      <c r="BJ192" s="13">
        <v>0.0</v>
      </c>
      <c r="BK192" s="13">
        <v>0.0</v>
      </c>
    </row>
    <row r="193" ht="14.25" customHeight="1">
      <c r="A193" s="13">
        <v>191.0</v>
      </c>
      <c r="B193" s="13" t="s">
        <v>51</v>
      </c>
      <c r="C193" s="13">
        <v>2.0</v>
      </c>
      <c r="D193" s="14">
        <v>0.0</v>
      </c>
      <c r="E193" s="13" t="s">
        <v>1429</v>
      </c>
      <c r="F193" s="15" t="s">
        <v>455</v>
      </c>
      <c r="G193" s="16" t="s">
        <v>1430</v>
      </c>
      <c r="H193" s="13">
        <v>15.0</v>
      </c>
      <c r="I193" s="13">
        <v>0.9</v>
      </c>
      <c r="J193" s="13" t="s">
        <v>1431</v>
      </c>
      <c r="K193" s="13">
        <f t="shared" si="3"/>
        <v>0</v>
      </c>
      <c r="L193" s="13">
        <f t="shared" si="4"/>
        <v>3</v>
      </c>
      <c r="M193" s="13">
        <f t="shared" ref="M193:AA193" si="385">IFERROR(VALUE(RIGHT(LEFT($J193,FIND(M$1,$J193,1)+LEN(M$1)),1)),0)</f>
        <v>0</v>
      </c>
      <c r="N193" s="13">
        <f t="shared" si="385"/>
        <v>0</v>
      </c>
      <c r="O193" s="13">
        <f t="shared" si="385"/>
        <v>0</v>
      </c>
      <c r="P193" s="13">
        <f t="shared" si="385"/>
        <v>0</v>
      </c>
      <c r="Q193" s="13">
        <f t="shared" si="385"/>
        <v>0</v>
      </c>
      <c r="R193" s="13">
        <f t="shared" si="385"/>
        <v>0</v>
      </c>
      <c r="S193" s="13">
        <f t="shared" si="385"/>
        <v>0</v>
      </c>
      <c r="T193" s="13">
        <f t="shared" si="385"/>
        <v>0</v>
      </c>
      <c r="U193" s="13">
        <f t="shared" si="385"/>
        <v>0</v>
      </c>
      <c r="V193" s="13">
        <f t="shared" si="385"/>
        <v>0</v>
      </c>
      <c r="W193" s="13">
        <f t="shared" si="385"/>
        <v>0</v>
      </c>
      <c r="X193" s="13">
        <f t="shared" si="385"/>
        <v>0</v>
      </c>
      <c r="Y193" s="13">
        <f t="shared" si="385"/>
        <v>0</v>
      </c>
      <c r="Z193" s="13">
        <f t="shared" si="385"/>
        <v>0</v>
      </c>
      <c r="AA193" s="13">
        <f t="shared" si="385"/>
        <v>0</v>
      </c>
      <c r="AB193" s="13">
        <f t="shared" ref="AB193:AP193" si="386">IFERROR(VALUE(RIGHT(LEFT($J193,FIND(AB$1,$J193,IF(M193=0,1,FIND(AB$1,$J193,1)+1))+LEN(AB$1)),1)),0)</f>
        <v>1</v>
      </c>
      <c r="AC193" s="13">
        <f t="shared" si="386"/>
        <v>0</v>
      </c>
      <c r="AD193" s="13">
        <f t="shared" si="386"/>
        <v>0</v>
      </c>
      <c r="AE193" s="13">
        <f t="shared" si="386"/>
        <v>0</v>
      </c>
      <c r="AF193" s="13">
        <f t="shared" si="386"/>
        <v>1</v>
      </c>
      <c r="AG193" s="13">
        <f t="shared" si="386"/>
        <v>0</v>
      </c>
      <c r="AH193" s="13">
        <f t="shared" si="386"/>
        <v>0</v>
      </c>
      <c r="AI193" s="13">
        <f t="shared" si="386"/>
        <v>0</v>
      </c>
      <c r="AJ193" s="13">
        <f t="shared" si="386"/>
        <v>0</v>
      </c>
      <c r="AK193" s="13">
        <f t="shared" si="386"/>
        <v>0</v>
      </c>
      <c r="AL193" s="13">
        <f t="shared" si="386"/>
        <v>0</v>
      </c>
      <c r="AM193" s="13">
        <f t="shared" si="386"/>
        <v>0</v>
      </c>
      <c r="AN193" s="13">
        <f t="shared" si="386"/>
        <v>0</v>
      </c>
      <c r="AO193" s="13">
        <f t="shared" si="386"/>
        <v>1</v>
      </c>
      <c r="AP193" s="13">
        <f t="shared" si="386"/>
        <v>0</v>
      </c>
      <c r="AQ193" s="13"/>
      <c r="AR193" s="13" t="s">
        <v>1432</v>
      </c>
      <c r="AS193" s="13" t="s">
        <v>1433</v>
      </c>
      <c r="AT193" s="13" t="s">
        <v>573</v>
      </c>
      <c r="AU193" s="13" t="s">
        <v>803</v>
      </c>
      <c r="AV193" s="13" t="s">
        <v>1434</v>
      </c>
      <c r="AW193" s="13">
        <v>17.0</v>
      </c>
      <c r="AX193" s="13">
        <v>-1.0</v>
      </c>
      <c r="AY193" s="13">
        <v>0.0</v>
      </c>
      <c r="AZ193" s="13" t="s">
        <v>1435</v>
      </c>
      <c r="BA193" s="13" t="s">
        <v>1436</v>
      </c>
      <c r="BB193" s="13"/>
      <c r="BC193" s="13"/>
      <c r="BD193" s="13" t="s">
        <v>664</v>
      </c>
      <c r="BE193" s="13"/>
      <c r="BF193" s="13" t="s">
        <v>1437</v>
      </c>
      <c r="BG193" s="13" t="s">
        <v>201</v>
      </c>
      <c r="BH193" s="13" t="s">
        <v>79</v>
      </c>
      <c r="BI193" s="13" t="b">
        <v>0</v>
      </c>
      <c r="BJ193" s="13">
        <v>0.0</v>
      </c>
      <c r="BK193" s="13">
        <v>0.0</v>
      </c>
    </row>
    <row r="194" ht="14.25" customHeight="1">
      <c r="A194" s="13">
        <v>192.0</v>
      </c>
      <c r="B194" s="13" t="s">
        <v>51</v>
      </c>
      <c r="C194" s="13">
        <v>2.0</v>
      </c>
      <c r="D194" s="14">
        <v>0.0</v>
      </c>
      <c r="E194" s="13" t="s">
        <v>1438</v>
      </c>
      <c r="F194" s="15"/>
      <c r="G194" s="16" t="s">
        <v>1439</v>
      </c>
      <c r="H194" s="13">
        <v>14.0</v>
      </c>
      <c r="I194" s="13">
        <v>1.1</v>
      </c>
      <c r="J194" s="13" t="s">
        <v>1440</v>
      </c>
      <c r="K194" s="13">
        <f t="shared" si="3"/>
        <v>0</v>
      </c>
      <c r="L194" s="13">
        <f t="shared" si="4"/>
        <v>3</v>
      </c>
      <c r="M194" s="13">
        <f t="shared" ref="M194:AA194" si="387">IFERROR(VALUE(RIGHT(LEFT($J194,FIND(M$1,$J194,1)+LEN(M$1)),1)),0)</f>
        <v>0</v>
      </c>
      <c r="N194" s="13">
        <f t="shared" si="387"/>
        <v>0</v>
      </c>
      <c r="O194" s="13">
        <f t="shared" si="387"/>
        <v>0</v>
      </c>
      <c r="P194" s="13">
        <f t="shared" si="387"/>
        <v>0</v>
      </c>
      <c r="Q194" s="13">
        <f t="shared" si="387"/>
        <v>0</v>
      </c>
      <c r="R194" s="13">
        <f t="shared" si="387"/>
        <v>0</v>
      </c>
      <c r="S194" s="13">
        <f t="shared" si="387"/>
        <v>0</v>
      </c>
      <c r="T194" s="13">
        <f t="shared" si="387"/>
        <v>0</v>
      </c>
      <c r="U194" s="13">
        <f t="shared" si="387"/>
        <v>0</v>
      </c>
      <c r="V194" s="13">
        <f t="shared" si="387"/>
        <v>0</v>
      </c>
      <c r="W194" s="13">
        <f t="shared" si="387"/>
        <v>0</v>
      </c>
      <c r="X194" s="13">
        <f t="shared" si="387"/>
        <v>0</v>
      </c>
      <c r="Y194" s="13">
        <f t="shared" si="387"/>
        <v>0</v>
      </c>
      <c r="Z194" s="13">
        <f t="shared" si="387"/>
        <v>0</v>
      </c>
      <c r="AA194" s="13">
        <f t="shared" si="387"/>
        <v>0</v>
      </c>
      <c r="AB194" s="13">
        <f t="shared" ref="AB194:AP194" si="388">IFERROR(VALUE(RIGHT(LEFT($J194,FIND(AB$1,$J194,IF(M194=0,1,FIND(AB$1,$J194,1)+1))+LEN(AB$1)),1)),0)</f>
        <v>0</v>
      </c>
      <c r="AC194" s="13">
        <f t="shared" si="388"/>
        <v>0</v>
      </c>
      <c r="AD194" s="13">
        <f t="shared" si="388"/>
        <v>0</v>
      </c>
      <c r="AE194" s="13">
        <f t="shared" si="388"/>
        <v>1</v>
      </c>
      <c r="AF194" s="13">
        <f t="shared" si="388"/>
        <v>0</v>
      </c>
      <c r="AG194" s="13">
        <f t="shared" si="388"/>
        <v>0</v>
      </c>
      <c r="AH194" s="13">
        <f t="shared" si="388"/>
        <v>0</v>
      </c>
      <c r="AI194" s="13">
        <f t="shared" si="388"/>
        <v>0</v>
      </c>
      <c r="AJ194" s="13">
        <f t="shared" si="388"/>
        <v>1</v>
      </c>
      <c r="AK194" s="13">
        <f t="shared" si="388"/>
        <v>0</v>
      </c>
      <c r="AL194" s="13">
        <f t="shared" si="388"/>
        <v>0</v>
      </c>
      <c r="AM194" s="13">
        <f t="shared" si="388"/>
        <v>0</v>
      </c>
      <c r="AN194" s="13">
        <f t="shared" si="388"/>
        <v>0</v>
      </c>
      <c r="AO194" s="13">
        <f t="shared" si="388"/>
        <v>1</v>
      </c>
      <c r="AP194" s="13">
        <f t="shared" si="388"/>
        <v>0</v>
      </c>
      <c r="AQ194" s="13"/>
      <c r="AR194" s="13" t="s">
        <v>1441</v>
      </c>
      <c r="AS194" s="13" t="s">
        <v>1442</v>
      </c>
      <c r="AT194" s="13" t="s">
        <v>162</v>
      </c>
      <c r="AU194" s="13" t="s">
        <v>236</v>
      </c>
      <c r="AV194" s="13" t="s">
        <v>1443</v>
      </c>
      <c r="AW194" s="13">
        <v>13.0</v>
      </c>
      <c r="AX194" s="13">
        <v>-1.0</v>
      </c>
      <c r="AY194" s="13">
        <v>0.0</v>
      </c>
      <c r="AZ194" s="13" t="s">
        <v>1265</v>
      </c>
      <c r="BA194" s="13" t="s">
        <v>1444</v>
      </c>
      <c r="BB194" s="13"/>
      <c r="BC194" s="13"/>
      <c r="BD194" s="13" t="s">
        <v>810</v>
      </c>
      <c r="BE194" s="13"/>
      <c r="BF194" s="13" t="s">
        <v>1175</v>
      </c>
      <c r="BG194" s="13" t="s">
        <v>284</v>
      </c>
      <c r="BH194" s="13" t="s">
        <v>79</v>
      </c>
      <c r="BI194" s="13" t="b">
        <v>0</v>
      </c>
      <c r="BJ194" s="13">
        <v>0.0</v>
      </c>
      <c r="BK194" s="13">
        <v>0.0</v>
      </c>
    </row>
    <row r="195" ht="14.25" customHeight="1">
      <c r="A195" s="13">
        <v>193.0</v>
      </c>
      <c r="B195" s="13" t="s">
        <v>51</v>
      </c>
      <c r="C195" s="13">
        <v>2.0</v>
      </c>
      <c r="D195" s="14">
        <v>0.0</v>
      </c>
      <c r="E195" s="13" t="s">
        <v>1445</v>
      </c>
      <c r="F195" s="15"/>
      <c r="G195" s="16" t="s">
        <v>1446</v>
      </c>
      <c r="H195" s="13">
        <v>10.0</v>
      </c>
      <c r="I195" s="13">
        <v>0.8</v>
      </c>
      <c r="J195" s="13" t="s">
        <v>1447</v>
      </c>
      <c r="K195" s="13">
        <f t="shared" si="3"/>
        <v>0</v>
      </c>
      <c r="L195" s="13">
        <f t="shared" si="4"/>
        <v>3</v>
      </c>
      <c r="M195" s="13">
        <f t="shared" ref="M195:AA195" si="389">IFERROR(VALUE(RIGHT(LEFT($J195,FIND(M$1,$J195,1)+LEN(M$1)),1)),0)</f>
        <v>0</v>
      </c>
      <c r="N195" s="13">
        <f t="shared" si="389"/>
        <v>0</v>
      </c>
      <c r="O195" s="13">
        <f t="shared" si="389"/>
        <v>0</v>
      </c>
      <c r="P195" s="13">
        <f t="shared" si="389"/>
        <v>0</v>
      </c>
      <c r="Q195" s="13">
        <f t="shared" si="389"/>
        <v>0</v>
      </c>
      <c r="R195" s="13">
        <f t="shared" si="389"/>
        <v>0</v>
      </c>
      <c r="S195" s="13">
        <f t="shared" si="389"/>
        <v>0</v>
      </c>
      <c r="T195" s="13">
        <f t="shared" si="389"/>
        <v>0</v>
      </c>
      <c r="U195" s="13">
        <f t="shared" si="389"/>
        <v>0</v>
      </c>
      <c r="V195" s="13">
        <f t="shared" si="389"/>
        <v>0</v>
      </c>
      <c r="W195" s="13">
        <f t="shared" si="389"/>
        <v>0</v>
      </c>
      <c r="X195" s="13">
        <f t="shared" si="389"/>
        <v>0</v>
      </c>
      <c r="Y195" s="13">
        <f t="shared" si="389"/>
        <v>0</v>
      </c>
      <c r="Z195" s="13">
        <f t="shared" si="389"/>
        <v>0</v>
      </c>
      <c r="AA195" s="13">
        <f t="shared" si="389"/>
        <v>0</v>
      </c>
      <c r="AB195" s="13">
        <f t="shared" ref="AB195:AP195" si="390">IFERROR(VALUE(RIGHT(LEFT($J195,FIND(AB$1,$J195,IF(M195=0,1,FIND(AB$1,$J195,1)+1))+LEN(AB$1)),1)),0)</f>
        <v>0</v>
      </c>
      <c r="AC195" s="13">
        <f t="shared" si="390"/>
        <v>0</v>
      </c>
      <c r="AD195" s="13">
        <f t="shared" si="390"/>
        <v>0</v>
      </c>
      <c r="AE195" s="13">
        <f t="shared" si="390"/>
        <v>1</v>
      </c>
      <c r="AF195" s="13">
        <f t="shared" si="390"/>
        <v>0</v>
      </c>
      <c r="AG195" s="13">
        <f t="shared" si="390"/>
        <v>0</v>
      </c>
      <c r="AH195" s="13">
        <f t="shared" si="390"/>
        <v>0</v>
      </c>
      <c r="AI195" s="13">
        <f t="shared" si="390"/>
        <v>0</v>
      </c>
      <c r="AJ195" s="13">
        <f t="shared" si="390"/>
        <v>0</v>
      </c>
      <c r="AK195" s="13">
        <f t="shared" si="390"/>
        <v>0</v>
      </c>
      <c r="AL195" s="13">
        <f t="shared" si="390"/>
        <v>0</v>
      </c>
      <c r="AM195" s="13">
        <f t="shared" si="390"/>
        <v>0</v>
      </c>
      <c r="AN195" s="13">
        <f t="shared" si="390"/>
        <v>0</v>
      </c>
      <c r="AO195" s="13">
        <f t="shared" si="390"/>
        <v>2</v>
      </c>
      <c r="AP195" s="13">
        <f t="shared" si="390"/>
        <v>0</v>
      </c>
      <c r="AQ195" s="13"/>
      <c r="AR195" s="13" t="s">
        <v>1448</v>
      </c>
      <c r="AS195" s="13" t="s">
        <v>1449</v>
      </c>
      <c r="AT195" s="13" t="s">
        <v>162</v>
      </c>
      <c r="AU195" s="13" t="s">
        <v>1297</v>
      </c>
      <c r="AV195" s="13" t="s">
        <v>1450</v>
      </c>
      <c r="AW195" s="13">
        <v>8.0</v>
      </c>
      <c r="AX195" s="13">
        <v>-1.0</v>
      </c>
      <c r="AY195" s="13">
        <v>0.0</v>
      </c>
      <c r="AZ195" s="13" t="s">
        <v>1451</v>
      </c>
      <c r="BA195" s="13" t="s">
        <v>1452</v>
      </c>
      <c r="BB195" s="13"/>
      <c r="BC195" s="13"/>
      <c r="BD195" s="13" t="s">
        <v>230</v>
      </c>
      <c r="BE195" s="13"/>
      <c r="BF195" s="13" t="s">
        <v>1453</v>
      </c>
      <c r="BG195" s="13" t="s">
        <v>50</v>
      </c>
      <c r="BH195" s="13" t="s">
        <v>241</v>
      </c>
      <c r="BI195" s="13" t="b">
        <v>0</v>
      </c>
      <c r="BJ195" s="13">
        <v>0.0</v>
      </c>
      <c r="BK195" s="13">
        <v>0.0</v>
      </c>
    </row>
    <row r="196" ht="14.25" customHeight="1">
      <c r="A196" s="13">
        <v>194.0</v>
      </c>
      <c r="B196" s="13" t="s">
        <v>51</v>
      </c>
      <c r="C196" s="13">
        <v>2.0</v>
      </c>
      <c r="D196" s="14">
        <v>0.0</v>
      </c>
      <c r="E196" s="13" t="s">
        <v>1454</v>
      </c>
      <c r="F196" s="15"/>
      <c r="G196" s="16" t="s">
        <v>1455</v>
      </c>
      <c r="H196" s="13">
        <v>14.0</v>
      </c>
      <c r="I196" s="13">
        <v>0.9</v>
      </c>
      <c r="J196" s="13" t="s">
        <v>1456</v>
      </c>
      <c r="K196" s="13">
        <f t="shared" si="3"/>
        <v>0</v>
      </c>
      <c r="L196" s="13">
        <f t="shared" si="4"/>
        <v>3</v>
      </c>
      <c r="M196" s="13">
        <f t="shared" ref="M196:AA196" si="391">IFERROR(VALUE(RIGHT(LEFT($J196,FIND(M$1,$J196,1)+LEN(M$1)),1)),0)</f>
        <v>0</v>
      </c>
      <c r="N196" s="13">
        <f t="shared" si="391"/>
        <v>0</v>
      </c>
      <c r="O196" s="13">
        <f t="shared" si="391"/>
        <v>0</v>
      </c>
      <c r="P196" s="13">
        <f t="shared" si="391"/>
        <v>0</v>
      </c>
      <c r="Q196" s="13">
        <f t="shared" si="391"/>
        <v>0</v>
      </c>
      <c r="R196" s="13">
        <f t="shared" si="391"/>
        <v>0</v>
      </c>
      <c r="S196" s="13">
        <f t="shared" si="391"/>
        <v>0</v>
      </c>
      <c r="T196" s="13">
        <f t="shared" si="391"/>
        <v>0</v>
      </c>
      <c r="U196" s="13">
        <f t="shared" si="391"/>
        <v>0</v>
      </c>
      <c r="V196" s="13">
        <f t="shared" si="391"/>
        <v>0</v>
      </c>
      <c r="W196" s="13">
        <f t="shared" si="391"/>
        <v>0</v>
      </c>
      <c r="X196" s="13">
        <f t="shared" si="391"/>
        <v>0</v>
      </c>
      <c r="Y196" s="13">
        <f t="shared" si="391"/>
        <v>0</v>
      </c>
      <c r="Z196" s="13">
        <f t="shared" si="391"/>
        <v>0</v>
      </c>
      <c r="AA196" s="13">
        <f t="shared" si="391"/>
        <v>0</v>
      </c>
      <c r="AB196" s="13">
        <f t="shared" ref="AB196:AP196" si="392">IFERROR(VALUE(RIGHT(LEFT($J196,FIND(AB$1,$J196,IF(M196=0,1,FIND(AB$1,$J196,1)+1))+LEN(AB$1)),1)),0)</f>
        <v>0</v>
      </c>
      <c r="AC196" s="13">
        <f t="shared" si="392"/>
        <v>0</v>
      </c>
      <c r="AD196" s="13">
        <f t="shared" si="392"/>
        <v>1</v>
      </c>
      <c r="AE196" s="13">
        <f t="shared" si="392"/>
        <v>0</v>
      </c>
      <c r="AF196" s="13">
        <f t="shared" si="392"/>
        <v>0</v>
      </c>
      <c r="AG196" s="13">
        <f t="shared" si="392"/>
        <v>0</v>
      </c>
      <c r="AH196" s="13">
        <f t="shared" si="392"/>
        <v>0</v>
      </c>
      <c r="AI196" s="13">
        <f t="shared" si="392"/>
        <v>0</v>
      </c>
      <c r="AJ196" s="13">
        <f t="shared" si="392"/>
        <v>0</v>
      </c>
      <c r="AK196" s="13">
        <f t="shared" si="392"/>
        <v>0</v>
      </c>
      <c r="AL196" s="13">
        <f t="shared" si="392"/>
        <v>0</v>
      </c>
      <c r="AM196" s="13">
        <f t="shared" si="392"/>
        <v>0</v>
      </c>
      <c r="AN196" s="13">
        <f t="shared" si="392"/>
        <v>0</v>
      </c>
      <c r="AO196" s="13">
        <f t="shared" si="392"/>
        <v>2</v>
      </c>
      <c r="AP196" s="13">
        <f t="shared" si="392"/>
        <v>0</v>
      </c>
      <c r="AQ196" s="13"/>
      <c r="AR196" s="13" t="s">
        <v>1457</v>
      </c>
      <c r="AS196" s="13" t="s">
        <v>1458</v>
      </c>
      <c r="AT196" s="13" t="s">
        <v>1221</v>
      </c>
      <c r="AU196" s="13" t="s">
        <v>269</v>
      </c>
      <c r="AV196" s="13" t="s">
        <v>593</v>
      </c>
      <c r="AW196" s="13">
        <v>15.0</v>
      </c>
      <c r="AX196" s="13">
        <v>-1.0</v>
      </c>
      <c r="AY196" s="13">
        <v>0.0</v>
      </c>
      <c r="AZ196" s="13" t="s">
        <v>1459</v>
      </c>
      <c r="BA196" s="13" t="s">
        <v>1460</v>
      </c>
      <c r="BB196" s="13"/>
      <c r="BC196" s="13"/>
      <c r="BD196" s="13" t="s">
        <v>664</v>
      </c>
      <c r="BE196" s="13"/>
      <c r="BF196" s="13" t="s">
        <v>1461</v>
      </c>
      <c r="BG196" s="13" t="s">
        <v>201</v>
      </c>
      <c r="BH196" s="13" t="s">
        <v>79</v>
      </c>
      <c r="BI196" s="13" t="b">
        <v>0</v>
      </c>
      <c r="BJ196" s="13">
        <v>0.0</v>
      </c>
      <c r="BK196" s="13">
        <v>0.0</v>
      </c>
    </row>
    <row r="197" ht="14.25" customHeight="1">
      <c r="A197" s="13">
        <v>195.0</v>
      </c>
      <c r="B197" s="13" t="s">
        <v>51</v>
      </c>
      <c r="C197" s="13">
        <v>2.0</v>
      </c>
      <c r="D197" s="14">
        <v>0.0</v>
      </c>
      <c r="E197" s="13" t="s">
        <v>1462</v>
      </c>
      <c r="F197" s="15" t="s">
        <v>377</v>
      </c>
      <c r="G197" s="16" t="s">
        <v>1463</v>
      </c>
      <c r="H197" s="13">
        <v>15.0</v>
      </c>
      <c r="I197" s="13">
        <v>1.0</v>
      </c>
      <c r="J197" s="13" t="s">
        <v>1464</v>
      </c>
      <c r="K197" s="13">
        <f t="shared" si="3"/>
        <v>0</v>
      </c>
      <c r="L197" s="13">
        <f t="shared" si="4"/>
        <v>3</v>
      </c>
      <c r="M197" s="13">
        <f t="shared" ref="M197:AA197" si="393">IFERROR(VALUE(RIGHT(LEFT($J197,FIND(M$1,$J197,1)+LEN(M$1)),1)),0)</f>
        <v>0</v>
      </c>
      <c r="N197" s="13">
        <f t="shared" si="393"/>
        <v>0</v>
      </c>
      <c r="O197" s="13">
        <f t="shared" si="393"/>
        <v>0</v>
      </c>
      <c r="P197" s="13">
        <f t="shared" si="393"/>
        <v>0</v>
      </c>
      <c r="Q197" s="13">
        <f t="shared" si="393"/>
        <v>0</v>
      </c>
      <c r="R197" s="13">
        <f t="shared" si="393"/>
        <v>0</v>
      </c>
      <c r="S197" s="13">
        <f t="shared" si="393"/>
        <v>0</v>
      </c>
      <c r="T197" s="13">
        <f t="shared" si="393"/>
        <v>0</v>
      </c>
      <c r="U197" s="13">
        <f t="shared" si="393"/>
        <v>0</v>
      </c>
      <c r="V197" s="13">
        <f t="shared" si="393"/>
        <v>0</v>
      </c>
      <c r="W197" s="13">
        <f t="shared" si="393"/>
        <v>0</v>
      </c>
      <c r="X197" s="13">
        <f t="shared" si="393"/>
        <v>0</v>
      </c>
      <c r="Y197" s="13">
        <f t="shared" si="393"/>
        <v>0</v>
      </c>
      <c r="Z197" s="13">
        <f t="shared" si="393"/>
        <v>0</v>
      </c>
      <c r="AA197" s="13">
        <f t="shared" si="393"/>
        <v>0</v>
      </c>
      <c r="AB197" s="13">
        <f t="shared" ref="AB197:AP197" si="394">IFERROR(VALUE(RIGHT(LEFT($J197,FIND(AB$1,$J197,IF(M197=0,1,FIND(AB$1,$J197,1)+1))+LEN(AB$1)),1)),0)</f>
        <v>0</v>
      </c>
      <c r="AC197" s="13">
        <f t="shared" si="394"/>
        <v>0</v>
      </c>
      <c r="AD197" s="13">
        <f t="shared" si="394"/>
        <v>1</v>
      </c>
      <c r="AE197" s="13">
        <f t="shared" si="394"/>
        <v>0</v>
      </c>
      <c r="AF197" s="13">
        <f t="shared" si="394"/>
        <v>0</v>
      </c>
      <c r="AG197" s="13">
        <f t="shared" si="394"/>
        <v>0</v>
      </c>
      <c r="AH197" s="13">
        <f t="shared" si="394"/>
        <v>0</v>
      </c>
      <c r="AI197" s="13">
        <f t="shared" si="394"/>
        <v>1</v>
      </c>
      <c r="AJ197" s="13">
        <f t="shared" si="394"/>
        <v>0</v>
      </c>
      <c r="AK197" s="13">
        <f t="shared" si="394"/>
        <v>0</v>
      </c>
      <c r="AL197" s="13">
        <f t="shared" si="394"/>
        <v>0</v>
      </c>
      <c r="AM197" s="13">
        <f t="shared" si="394"/>
        <v>0</v>
      </c>
      <c r="AN197" s="13">
        <f t="shared" si="394"/>
        <v>0</v>
      </c>
      <c r="AO197" s="13">
        <f t="shared" si="394"/>
        <v>1</v>
      </c>
      <c r="AP197" s="13">
        <f t="shared" si="394"/>
        <v>0</v>
      </c>
      <c r="AQ197" s="13"/>
      <c r="AR197" s="13" t="s">
        <v>1465</v>
      </c>
      <c r="AS197" s="13" t="s">
        <v>1466</v>
      </c>
      <c r="AT197" s="13" t="s">
        <v>1263</v>
      </c>
      <c r="AU197" s="13" t="s">
        <v>269</v>
      </c>
      <c r="AV197" s="13" t="s">
        <v>1173</v>
      </c>
      <c r="AW197" s="13">
        <v>14.0</v>
      </c>
      <c r="AX197" s="13">
        <v>-1.0</v>
      </c>
      <c r="AY197" s="13">
        <v>0.0</v>
      </c>
      <c r="AZ197" s="13" t="s">
        <v>1467</v>
      </c>
      <c r="BA197" s="13" t="s">
        <v>1468</v>
      </c>
      <c r="BB197" s="13"/>
      <c r="BC197" s="13"/>
      <c r="BD197" s="13" t="s">
        <v>776</v>
      </c>
      <c r="BE197" s="13"/>
      <c r="BF197" s="13" t="s">
        <v>1469</v>
      </c>
      <c r="BG197" s="13" t="s">
        <v>263</v>
      </c>
      <c r="BH197" s="13" t="s">
        <v>79</v>
      </c>
      <c r="BI197" s="13" t="b">
        <v>0</v>
      </c>
      <c r="BJ197" s="13">
        <v>0.0</v>
      </c>
      <c r="BK197" s="13">
        <v>0.0</v>
      </c>
    </row>
    <row r="198" ht="14.25" customHeight="1">
      <c r="A198" s="13">
        <v>196.0</v>
      </c>
      <c r="B198" s="13" t="s">
        <v>51</v>
      </c>
      <c r="C198" s="13">
        <v>2.0</v>
      </c>
      <c r="D198" s="14">
        <v>0.0</v>
      </c>
      <c r="E198" s="13" t="s">
        <v>1470</v>
      </c>
      <c r="F198" s="15" t="s">
        <v>1471</v>
      </c>
      <c r="G198" s="16" t="s">
        <v>1472</v>
      </c>
      <c r="H198" s="13">
        <v>16.0</v>
      </c>
      <c r="I198" s="13">
        <v>1.0</v>
      </c>
      <c r="J198" s="13" t="s">
        <v>1473</v>
      </c>
      <c r="K198" s="13">
        <f t="shared" si="3"/>
        <v>0</v>
      </c>
      <c r="L198" s="13">
        <f t="shared" si="4"/>
        <v>3</v>
      </c>
      <c r="M198" s="13">
        <f t="shared" ref="M198:AA198" si="395">IFERROR(VALUE(RIGHT(LEFT($J198,FIND(M$1,$J198,1)+LEN(M$1)),1)),0)</f>
        <v>0</v>
      </c>
      <c r="N198" s="13">
        <f t="shared" si="395"/>
        <v>0</v>
      </c>
      <c r="O198" s="13">
        <f t="shared" si="395"/>
        <v>0</v>
      </c>
      <c r="P198" s="13">
        <f t="shared" si="395"/>
        <v>0</v>
      </c>
      <c r="Q198" s="13">
        <f t="shared" si="395"/>
        <v>0</v>
      </c>
      <c r="R198" s="13">
        <f t="shared" si="395"/>
        <v>0</v>
      </c>
      <c r="S198" s="13">
        <f t="shared" si="395"/>
        <v>0</v>
      </c>
      <c r="T198" s="13">
        <f t="shared" si="395"/>
        <v>0</v>
      </c>
      <c r="U198" s="13">
        <f t="shared" si="395"/>
        <v>0</v>
      </c>
      <c r="V198" s="13">
        <f t="shared" si="395"/>
        <v>0</v>
      </c>
      <c r="W198" s="13">
        <f t="shared" si="395"/>
        <v>0</v>
      </c>
      <c r="X198" s="13">
        <f t="shared" si="395"/>
        <v>0</v>
      </c>
      <c r="Y198" s="13">
        <f t="shared" si="395"/>
        <v>0</v>
      </c>
      <c r="Z198" s="13">
        <f t="shared" si="395"/>
        <v>0</v>
      </c>
      <c r="AA198" s="13">
        <f t="shared" si="395"/>
        <v>0</v>
      </c>
      <c r="AB198" s="13">
        <f t="shared" ref="AB198:AP198" si="396">IFERROR(VALUE(RIGHT(LEFT($J198,FIND(AB$1,$J198,IF(M198=0,1,FIND(AB$1,$J198,1)+1))+LEN(AB$1)),1)),0)</f>
        <v>0</v>
      </c>
      <c r="AC198" s="13">
        <f t="shared" si="396"/>
        <v>0</v>
      </c>
      <c r="AD198" s="13">
        <f t="shared" si="396"/>
        <v>0</v>
      </c>
      <c r="AE198" s="13">
        <f t="shared" si="396"/>
        <v>0</v>
      </c>
      <c r="AF198" s="13">
        <f t="shared" si="396"/>
        <v>1</v>
      </c>
      <c r="AG198" s="13">
        <f t="shared" si="396"/>
        <v>0</v>
      </c>
      <c r="AH198" s="13">
        <f t="shared" si="396"/>
        <v>0</v>
      </c>
      <c r="AI198" s="13">
        <f t="shared" si="396"/>
        <v>0</v>
      </c>
      <c r="AJ198" s="13">
        <f t="shared" si="396"/>
        <v>0</v>
      </c>
      <c r="AK198" s="13">
        <f t="shared" si="396"/>
        <v>0</v>
      </c>
      <c r="AL198" s="13">
        <f t="shared" si="396"/>
        <v>0</v>
      </c>
      <c r="AM198" s="13">
        <f t="shared" si="396"/>
        <v>0</v>
      </c>
      <c r="AN198" s="13">
        <f t="shared" si="396"/>
        <v>0</v>
      </c>
      <c r="AO198" s="13">
        <f t="shared" si="396"/>
        <v>2</v>
      </c>
      <c r="AP198" s="13">
        <f t="shared" si="396"/>
        <v>0</v>
      </c>
      <c r="AQ198" s="13"/>
      <c r="AR198" s="13" t="s">
        <v>1474</v>
      </c>
      <c r="AS198" s="13" t="s">
        <v>1475</v>
      </c>
      <c r="AT198" s="13" t="s">
        <v>162</v>
      </c>
      <c r="AU198" s="13" t="s">
        <v>163</v>
      </c>
      <c r="AV198" s="13" t="s">
        <v>1341</v>
      </c>
      <c r="AW198" s="13">
        <v>15.0</v>
      </c>
      <c r="AX198" s="13">
        <v>-1.0</v>
      </c>
      <c r="AY198" s="13">
        <v>0.0</v>
      </c>
      <c r="AZ198" s="13" t="s">
        <v>292</v>
      </c>
      <c r="BA198" s="13" t="s">
        <v>806</v>
      </c>
      <c r="BB198" s="13"/>
      <c r="BC198" s="13"/>
      <c r="BD198" s="13" t="s">
        <v>261</v>
      </c>
      <c r="BE198" s="13"/>
      <c r="BF198" s="13" t="s">
        <v>1344</v>
      </c>
      <c r="BG198" s="13" t="s">
        <v>263</v>
      </c>
      <c r="BH198" s="13" t="s">
        <v>79</v>
      </c>
      <c r="BI198" s="13" t="b">
        <v>0</v>
      </c>
      <c r="BJ198" s="13">
        <v>0.0</v>
      </c>
      <c r="BK198" s="13">
        <v>0.0</v>
      </c>
    </row>
    <row r="199" ht="14.25" customHeight="1">
      <c r="A199" s="13">
        <v>197.0</v>
      </c>
      <c r="B199" s="13" t="s">
        <v>52</v>
      </c>
      <c r="C199" s="13">
        <v>2.0</v>
      </c>
      <c r="D199" s="14">
        <v>0.0</v>
      </c>
      <c r="E199" s="13" t="s">
        <v>1476</v>
      </c>
      <c r="F199" s="15"/>
      <c r="G199" s="16" t="s">
        <v>1477</v>
      </c>
      <c r="H199" s="13">
        <v>15.0</v>
      </c>
      <c r="I199" s="13">
        <v>1.2</v>
      </c>
      <c r="J199" s="13" t="s">
        <v>1478</v>
      </c>
      <c r="K199" s="13">
        <f t="shared" si="3"/>
        <v>0</v>
      </c>
      <c r="L199" s="13">
        <f t="shared" si="4"/>
        <v>3</v>
      </c>
      <c r="M199" s="13">
        <f t="shared" ref="M199:AA199" si="397">IFERROR(VALUE(RIGHT(LEFT($J199,FIND(M$1,$J199,1)+LEN(M$1)),1)),0)</f>
        <v>0</v>
      </c>
      <c r="N199" s="13">
        <f t="shared" si="397"/>
        <v>0</v>
      </c>
      <c r="O199" s="13">
        <f t="shared" si="397"/>
        <v>0</v>
      </c>
      <c r="P199" s="13">
        <f t="shared" si="397"/>
        <v>0</v>
      </c>
      <c r="Q199" s="13">
        <f t="shared" si="397"/>
        <v>0</v>
      </c>
      <c r="R199" s="13">
        <f t="shared" si="397"/>
        <v>0</v>
      </c>
      <c r="S199" s="13">
        <f t="shared" si="397"/>
        <v>0</v>
      </c>
      <c r="T199" s="13">
        <f t="shared" si="397"/>
        <v>0</v>
      </c>
      <c r="U199" s="13">
        <f t="shared" si="397"/>
        <v>0</v>
      </c>
      <c r="V199" s="13">
        <f t="shared" si="397"/>
        <v>0</v>
      </c>
      <c r="W199" s="13">
        <f t="shared" si="397"/>
        <v>0</v>
      </c>
      <c r="X199" s="13">
        <f t="shared" si="397"/>
        <v>0</v>
      </c>
      <c r="Y199" s="13">
        <f t="shared" si="397"/>
        <v>0</v>
      </c>
      <c r="Z199" s="13">
        <f t="shared" si="397"/>
        <v>0</v>
      </c>
      <c r="AA199" s="13">
        <f t="shared" si="397"/>
        <v>0</v>
      </c>
      <c r="AB199" s="13">
        <f t="shared" ref="AB199:AP199" si="398">IFERROR(VALUE(RIGHT(LEFT($J199,FIND(AB$1,$J199,IF(M199=0,1,FIND(AB$1,$J199,1)+1))+LEN(AB$1)),1)),0)</f>
        <v>0</v>
      </c>
      <c r="AC199" s="13">
        <f t="shared" si="398"/>
        <v>0</v>
      </c>
      <c r="AD199" s="13">
        <f t="shared" si="398"/>
        <v>1</v>
      </c>
      <c r="AE199" s="13">
        <f t="shared" si="398"/>
        <v>0</v>
      </c>
      <c r="AF199" s="13">
        <f t="shared" si="398"/>
        <v>0</v>
      </c>
      <c r="AG199" s="13">
        <f t="shared" si="398"/>
        <v>0</v>
      </c>
      <c r="AH199" s="13">
        <f t="shared" si="398"/>
        <v>1</v>
      </c>
      <c r="AI199" s="13">
        <f t="shared" si="398"/>
        <v>0</v>
      </c>
      <c r="AJ199" s="13">
        <f t="shared" si="398"/>
        <v>0</v>
      </c>
      <c r="AK199" s="13">
        <f t="shared" si="398"/>
        <v>0</v>
      </c>
      <c r="AL199" s="13">
        <f t="shared" si="398"/>
        <v>0</v>
      </c>
      <c r="AM199" s="13">
        <f t="shared" si="398"/>
        <v>0</v>
      </c>
      <c r="AN199" s="13">
        <f t="shared" si="398"/>
        <v>0</v>
      </c>
      <c r="AO199" s="13">
        <f t="shared" si="398"/>
        <v>0</v>
      </c>
      <c r="AP199" s="13">
        <f t="shared" si="398"/>
        <v>1</v>
      </c>
      <c r="AQ199" s="13"/>
      <c r="AR199" s="13" t="s">
        <v>1479</v>
      </c>
      <c r="AS199" s="13" t="s">
        <v>1480</v>
      </c>
      <c r="AT199" s="13" t="s">
        <v>854</v>
      </c>
      <c r="AU199" s="13" t="s">
        <v>130</v>
      </c>
      <c r="AV199" s="13" t="s">
        <v>1173</v>
      </c>
      <c r="AW199" s="13">
        <v>15.0</v>
      </c>
      <c r="AX199" s="13">
        <v>-1.0</v>
      </c>
      <c r="AY199" s="13">
        <v>0.0</v>
      </c>
      <c r="AZ199" s="13" t="s">
        <v>1481</v>
      </c>
      <c r="BA199" s="13" t="s">
        <v>1482</v>
      </c>
      <c r="BB199" s="13"/>
      <c r="BC199" s="13"/>
      <c r="BD199" s="13" t="s">
        <v>306</v>
      </c>
      <c r="BE199" s="13">
        <v>2.0</v>
      </c>
      <c r="BF199" s="13" t="s">
        <v>567</v>
      </c>
      <c r="BG199" s="13"/>
      <c r="BH199" s="13" t="s">
        <v>79</v>
      </c>
      <c r="BI199" s="13" t="b">
        <v>0</v>
      </c>
      <c r="BJ199" s="13">
        <v>0.0</v>
      </c>
      <c r="BK199" s="13">
        <v>0.0</v>
      </c>
    </row>
    <row r="200" ht="14.25" customHeight="1">
      <c r="A200" s="13">
        <v>198.0</v>
      </c>
      <c r="B200" s="13" t="s">
        <v>52</v>
      </c>
      <c r="C200" s="13">
        <v>2.0</v>
      </c>
      <c r="D200" s="14">
        <v>0.0</v>
      </c>
      <c r="E200" s="13" t="s">
        <v>1483</v>
      </c>
      <c r="F200" s="15" t="s">
        <v>1484</v>
      </c>
      <c r="G200" s="16" t="s">
        <v>1485</v>
      </c>
      <c r="H200" s="13">
        <v>16.0</v>
      </c>
      <c r="I200" s="13">
        <v>0.9</v>
      </c>
      <c r="J200" s="13" t="s">
        <v>1486</v>
      </c>
      <c r="K200" s="13">
        <f t="shared" si="3"/>
        <v>0</v>
      </c>
      <c r="L200" s="13">
        <f t="shared" si="4"/>
        <v>3</v>
      </c>
      <c r="M200" s="13">
        <f t="shared" ref="M200:AA200" si="399">IFERROR(VALUE(RIGHT(LEFT($J200,FIND(M$1,$J200,1)+LEN(M$1)),1)),0)</f>
        <v>0</v>
      </c>
      <c r="N200" s="13">
        <f t="shared" si="399"/>
        <v>0</v>
      </c>
      <c r="O200" s="13">
        <f t="shared" si="399"/>
        <v>0</v>
      </c>
      <c r="P200" s="13">
        <f t="shared" si="399"/>
        <v>0</v>
      </c>
      <c r="Q200" s="13">
        <f t="shared" si="399"/>
        <v>0</v>
      </c>
      <c r="R200" s="13">
        <f t="shared" si="399"/>
        <v>0</v>
      </c>
      <c r="S200" s="13">
        <f t="shared" si="399"/>
        <v>0</v>
      </c>
      <c r="T200" s="13">
        <f t="shared" si="399"/>
        <v>0</v>
      </c>
      <c r="U200" s="13">
        <f t="shared" si="399"/>
        <v>0</v>
      </c>
      <c r="V200" s="13">
        <f t="shared" si="399"/>
        <v>0</v>
      </c>
      <c r="W200" s="13">
        <f t="shared" si="399"/>
        <v>0</v>
      </c>
      <c r="X200" s="13">
        <f t="shared" si="399"/>
        <v>0</v>
      </c>
      <c r="Y200" s="13">
        <f t="shared" si="399"/>
        <v>0</v>
      </c>
      <c r="Z200" s="13">
        <f t="shared" si="399"/>
        <v>0</v>
      </c>
      <c r="AA200" s="13">
        <f t="shared" si="399"/>
        <v>0</v>
      </c>
      <c r="AB200" s="13">
        <f t="shared" ref="AB200:AP200" si="400">IFERROR(VALUE(RIGHT(LEFT($J200,FIND(AB$1,$J200,IF(M200=0,1,FIND(AB$1,$J200,1)+1))+LEN(AB$1)),1)),0)</f>
        <v>0</v>
      </c>
      <c r="AC200" s="13">
        <f t="shared" si="400"/>
        <v>0</v>
      </c>
      <c r="AD200" s="13">
        <f t="shared" si="400"/>
        <v>0</v>
      </c>
      <c r="AE200" s="13">
        <f t="shared" si="400"/>
        <v>1</v>
      </c>
      <c r="AF200" s="13">
        <f t="shared" si="400"/>
        <v>0</v>
      </c>
      <c r="AG200" s="13">
        <f t="shared" si="400"/>
        <v>0</v>
      </c>
      <c r="AH200" s="13">
        <f t="shared" si="400"/>
        <v>0</v>
      </c>
      <c r="AI200" s="13">
        <f t="shared" si="400"/>
        <v>0</v>
      </c>
      <c r="AJ200" s="13">
        <f t="shared" si="400"/>
        <v>0</v>
      </c>
      <c r="AK200" s="13">
        <f t="shared" si="400"/>
        <v>0</v>
      </c>
      <c r="AL200" s="13">
        <f t="shared" si="400"/>
        <v>0</v>
      </c>
      <c r="AM200" s="13">
        <f t="shared" si="400"/>
        <v>0</v>
      </c>
      <c r="AN200" s="13">
        <f t="shared" si="400"/>
        <v>0</v>
      </c>
      <c r="AO200" s="13">
        <f t="shared" si="400"/>
        <v>0</v>
      </c>
      <c r="AP200" s="13">
        <f t="shared" si="400"/>
        <v>2</v>
      </c>
      <c r="AQ200" s="13"/>
      <c r="AR200" s="13" t="s">
        <v>1487</v>
      </c>
      <c r="AS200" s="13" t="s">
        <v>1488</v>
      </c>
      <c r="AT200" s="13" t="s">
        <v>290</v>
      </c>
      <c r="AU200" s="13" t="s">
        <v>130</v>
      </c>
      <c r="AV200" s="13" t="s">
        <v>1489</v>
      </c>
      <c r="AW200" s="13">
        <v>14.0</v>
      </c>
      <c r="AX200" s="13">
        <v>-1.0</v>
      </c>
      <c r="AY200" s="13">
        <v>0.0</v>
      </c>
      <c r="AZ200" s="13" t="s">
        <v>1490</v>
      </c>
      <c r="BA200" s="13" t="s">
        <v>554</v>
      </c>
      <c r="BB200" s="13"/>
      <c r="BC200" s="13"/>
      <c r="BD200" s="13" t="s">
        <v>306</v>
      </c>
      <c r="BE200" s="13" t="s">
        <v>1491</v>
      </c>
      <c r="BF200" s="13" t="s">
        <v>866</v>
      </c>
      <c r="BG200" s="13"/>
      <c r="BH200" s="13" t="s">
        <v>79</v>
      </c>
      <c r="BI200" s="13" t="b">
        <v>0</v>
      </c>
      <c r="BJ200" s="13">
        <v>0.0</v>
      </c>
      <c r="BK200" s="13">
        <v>0.0</v>
      </c>
    </row>
    <row r="201" ht="14.25" customHeight="1">
      <c r="A201" s="13">
        <v>199.0</v>
      </c>
      <c r="B201" s="13" t="s">
        <v>52</v>
      </c>
      <c r="C201" s="13">
        <v>2.0</v>
      </c>
      <c r="D201" s="14">
        <v>0.0</v>
      </c>
      <c r="E201" s="13" t="s">
        <v>1492</v>
      </c>
      <c r="F201" s="15" t="s">
        <v>1493</v>
      </c>
      <c r="G201" s="16" t="s">
        <v>1494</v>
      </c>
      <c r="H201" s="13">
        <v>14.0</v>
      </c>
      <c r="I201" s="13">
        <v>1.1</v>
      </c>
      <c r="J201" s="13" t="s">
        <v>1495</v>
      </c>
      <c r="K201" s="13">
        <f t="shared" si="3"/>
        <v>0</v>
      </c>
      <c r="L201" s="13">
        <f t="shared" si="4"/>
        <v>3</v>
      </c>
      <c r="M201" s="13">
        <f t="shared" ref="M201:AA201" si="401">IFERROR(VALUE(RIGHT(LEFT($J201,FIND(M$1,$J201,1)+LEN(M$1)),1)),0)</f>
        <v>0</v>
      </c>
      <c r="N201" s="13">
        <f t="shared" si="401"/>
        <v>0</v>
      </c>
      <c r="O201" s="13">
        <f t="shared" si="401"/>
        <v>0</v>
      </c>
      <c r="P201" s="13">
        <f t="shared" si="401"/>
        <v>0</v>
      </c>
      <c r="Q201" s="13">
        <f t="shared" si="401"/>
        <v>0</v>
      </c>
      <c r="R201" s="13">
        <f t="shared" si="401"/>
        <v>0</v>
      </c>
      <c r="S201" s="13">
        <f t="shared" si="401"/>
        <v>0</v>
      </c>
      <c r="T201" s="13">
        <f t="shared" si="401"/>
        <v>0</v>
      </c>
      <c r="U201" s="13">
        <f t="shared" si="401"/>
        <v>0</v>
      </c>
      <c r="V201" s="13">
        <f t="shared" si="401"/>
        <v>0</v>
      </c>
      <c r="W201" s="13">
        <f t="shared" si="401"/>
        <v>0</v>
      </c>
      <c r="X201" s="13">
        <f t="shared" si="401"/>
        <v>0</v>
      </c>
      <c r="Y201" s="13">
        <f t="shared" si="401"/>
        <v>0</v>
      </c>
      <c r="Z201" s="13">
        <f t="shared" si="401"/>
        <v>0</v>
      </c>
      <c r="AA201" s="13">
        <f t="shared" si="401"/>
        <v>0</v>
      </c>
      <c r="AB201" s="13">
        <f t="shared" ref="AB201:AP201" si="402">IFERROR(VALUE(RIGHT(LEFT($J201,FIND(AB$1,$J201,IF(M201=0,1,FIND(AB$1,$J201,1)+1))+LEN(AB$1)),1)),0)</f>
        <v>0</v>
      </c>
      <c r="AC201" s="13">
        <f t="shared" si="402"/>
        <v>1</v>
      </c>
      <c r="AD201" s="13">
        <f t="shared" si="402"/>
        <v>0</v>
      </c>
      <c r="AE201" s="13">
        <f t="shared" si="402"/>
        <v>0</v>
      </c>
      <c r="AF201" s="13">
        <f t="shared" si="402"/>
        <v>0</v>
      </c>
      <c r="AG201" s="13">
        <f t="shared" si="402"/>
        <v>1</v>
      </c>
      <c r="AH201" s="13">
        <f t="shared" si="402"/>
        <v>0</v>
      </c>
      <c r="AI201" s="13">
        <f t="shared" si="402"/>
        <v>0</v>
      </c>
      <c r="AJ201" s="13">
        <f t="shared" si="402"/>
        <v>0</v>
      </c>
      <c r="AK201" s="13">
        <f t="shared" si="402"/>
        <v>0</v>
      </c>
      <c r="AL201" s="13">
        <f t="shared" si="402"/>
        <v>0</v>
      </c>
      <c r="AM201" s="13">
        <f t="shared" si="402"/>
        <v>0</v>
      </c>
      <c r="AN201" s="13">
        <f t="shared" si="402"/>
        <v>0</v>
      </c>
      <c r="AO201" s="13">
        <f t="shared" si="402"/>
        <v>0</v>
      </c>
      <c r="AP201" s="13">
        <f t="shared" si="402"/>
        <v>1</v>
      </c>
      <c r="AQ201" s="13"/>
      <c r="AR201" s="13" t="s">
        <v>861</v>
      </c>
      <c r="AS201" s="13" t="s">
        <v>1496</v>
      </c>
      <c r="AT201" s="13" t="s">
        <v>302</v>
      </c>
      <c r="AU201" s="13" t="s">
        <v>130</v>
      </c>
      <c r="AV201" s="13" t="s">
        <v>1497</v>
      </c>
      <c r="AW201" s="13">
        <v>13.0</v>
      </c>
      <c r="AX201" s="13">
        <v>-1.0</v>
      </c>
      <c r="AY201" s="13">
        <v>0.0</v>
      </c>
      <c r="AZ201" s="13" t="s">
        <v>1498</v>
      </c>
      <c r="BA201" s="13" t="s">
        <v>648</v>
      </c>
      <c r="BB201" s="13"/>
      <c r="BC201" s="13"/>
      <c r="BD201" s="13" t="s">
        <v>306</v>
      </c>
      <c r="BE201" s="13" t="s">
        <v>1499</v>
      </c>
      <c r="BF201" s="13" t="s">
        <v>512</v>
      </c>
      <c r="BG201" s="13"/>
      <c r="BH201" s="13" t="s">
        <v>79</v>
      </c>
      <c r="BI201" s="13" t="b">
        <v>0</v>
      </c>
      <c r="BJ201" s="13">
        <v>0.0</v>
      </c>
      <c r="BK201" s="13">
        <v>0.0</v>
      </c>
    </row>
    <row r="202" ht="14.25" customHeight="1">
      <c r="A202" s="13">
        <v>200.0</v>
      </c>
      <c r="B202" s="13" t="s">
        <v>52</v>
      </c>
      <c r="C202" s="13">
        <v>2.0</v>
      </c>
      <c r="D202" s="14">
        <v>0.0</v>
      </c>
      <c r="E202" s="13" t="s">
        <v>1500</v>
      </c>
      <c r="F202" s="15"/>
      <c r="G202" s="16" t="s">
        <v>1501</v>
      </c>
      <c r="H202" s="13">
        <v>11.0</v>
      </c>
      <c r="I202" s="13">
        <v>1.1</v>
      </c>
      <c r="J202" s="13" t="s">
        <v>1502</v>
      </c>
      <c r="K202" s="13">
        <f t="shared" si="3"/>
        <v>0</v>
      </c>
      <c r="L202" s="13">
        <f t="shared" si="4"/>
        <v>3</v>
      </c>
      <c r="M202" s="13">
        <f t="shared" ref="M202:AA202" si="403">IFERROR(VALUE(RIGHT(LEFT($J202,FIND(M$1,$J202,1)+LEN(M$1)),1)),0)</f>
        <v>0</v>
      </c>
      <c r="N202" s="13">
        <f t="shared" si="403"/>
        <v>0</v>
      </c>
      <c r="O202" s="13">
        <f t="shared" si="403"/>
        <v>0</v>
      </c>
      <c r="P202" s="13">
        <f t="shared" si="403"/>
        <v>0</v>
      </c>
      <c r="Q202" s="13">
        <f t="shared" si="403"/>
        <v>0</v>
      </c>
      <c r="R202" s="13">
        <f t="shared" si="403"/>
        <v>0</v>
      </c>
      <c r="S202" s="13">
        <f t="shared" si="403"/>
        <v>0</v>
      </c>
      <c r="T202" s="13">
        <f t="shared" si="403"/>
        <v>0</v>
      </c>
      <c r="U202" s="13">
        <f t="shared" si="403"/>
        <v>0</v>
      </c>
      <c r="V202" s="13">
        <f t="shared" si="403"/>
        <v>0</v>
      </c>
      <c r="W202" s="13">
        <f t="shared" si="403"/>
        <v>0</v>
      </c>
      <c r="X202" s="13">
        <f t="shared" si="403"/>
        <v>0</v>
      </c>
      <c r="Y202" s="13">
        <f t="shared" si="403"/>
        <v>0</v>
      </c>
      <c r="Z202" s="13">
        <f t="shared" si="403"/>
        <v>0</v>
      </c>
      <c r="AA202" s="13">
        <f t="shared" si="403"/>
        <v>0</v>
      </c>
      <c r="AB202" s="13">
        <f t="shared" ref="AB202:AP202" si="404">IFERROR(VALUE(RIGHT(LEFT($J202,FIND(AB$1,$J202,IF(M202=0,1,FIND(AB$1,$J202,1)+1))+LEN(AB$1)),1)),0)</f>
        <v>0</v>
      </c>
      <c r="AC202" s="13">
        <f t="shared" si="404"/>
        <v>1</v>
      </c>
      <c r="AD202" s="13">
        <f t="shared" si="404"/>
        <v>0</v>
      </c>
      <c r="AE202" s="13">
        <f t="shared" si="404"/>
        <v>0</v>
      </c>
      <c r="AF202" s="13">
        <f t="shared" si="404"/>
        <v>0</v>
      </c>
      <c r="AG202" s="13">
        <f t="shared" si="404"/>
        <v>0</v>
      </c>
      <c r="AH202" s="13">
        <f t="shared" si="404"/>
        <v>0</v>
      </c>
      <c r="AI202" s="13">
        <f t="shared" si="404"/>
        <v>0</v>
      </c>
      <c r="AJ202" s="13">
        <f t="shared" si="404"/>
        <v>0</v>
      </c>
      <c r="AK202" s="13">
        <f t="shared" si="404"/>
        <v>0</v>
      </c>
      <c r="AL202" s="13">
        <f t="shared" si="404"/>
        <v>0</v>
      </c>
      <c r="AM202" s="13">
        <f t="shared" si="404"/>
        <v>0</v>
      </c>
      <c r="AN202" s="13">
        <f t="shared" si="404"/>
        <v>0</v>
      </c>
      <c r="AO202" s="13">
        <f t="shared" si="404"/>
        <v>0</v>
      </c>
      <c r="AP202" s="13">
        <f t="shared" si="404"/>
        <v>2</v>
      </c>
      <c r="AQ202" s="13"/>
      <c r="AR202" s="13" t="s">
        <v>1503</v>
      </c>
      <c r="AS202" s="13" t="s">
        <v>1504</v>
      </c>
      <c r="AT202" s="13" t="s">
        <v>162</v>
      </c>
      <c r="AU202" s="13" t="s">
        <v>1211</v>
      </c>
      <c r="AV202" s="13" t="s">
        <v>1505</v>
      </c>
      <c r="AW202" s="13">
        <v>11.0</v>
      </c>
      <c r="AX202" s="13">
        <v>-1.0</v>
      </c>
      <c r="AY202" s="13">
        <v>0.0</v>
      </c>
      <c r="AZ202" s="13" t="s">
        <v>1506</v>
      </c>
      <c r="BA202" s="13" t="s">
        <v>898</v>
      </c>
      <c r="BB202" s="13"/>
      <c r="BC202" s="13"/>
      <c r="BD202" s="13" t="s">
        <v>294</v>
      </c>
      <c r="BE202" s="13">
        <v>10.0</v>
      </c>
      <c r="BF202" s="13" t="s">
        <v>1507</v>
      </c>
      <c r="BG202" s="13"/>
      <c r="BH202" s="13" t="s">
        <v>241</v>
      </c>
      <c r="BI202" s="13" t="b">
        <v>0</v>
      </c>
      <c r="BJ202" s="13">
        <v>0.0</v>
      </c>
      <c r="BK202" s="13">
        <v>0.0</v>
      </c>
    </row>
    <row r="203" ht="14.25" customHeight="1">
      <c r="A203" s="13">
        <v>201.0</v>
      </c>
      <c r="B203" s="13" t="s">
        <v>52</v>
      </c>
      <c r="C203" s="13">
        <v>2.0</v>
      </c>
      <c r="D203" s="14">
        <v>0.0</v>
      </c>
      <c r="E203" s="13" t="s">
        <v>1508</v>
      </c>
      <c r="F203" s="15"/>
      <c r="G203" s="16" t="s">
        <v>1509</v>
      </c>
      <c r="H203" s="13">
        <v>16.0</v>
      </c>
      <c r="I203" s="13">
        <v>0.9</v>
      </c>
      <c r="J203" s="13" t="s">
        <v>1510</v>
      </c>
      <c r="K203" s="13">
        <f t="shared" si="3"/>
        <v>0</v>
      </c>
      <c r="L203" s="13">
        <f t="shared" si="4"/>
        <v>3</v>
      </c>
      <c r="M203" s="13">
        <f t="shared" ref="M203:AA203" si="405">IFERROR(VALUE(RIGHT(LEFT($J203,FIND(M$1,$J203,1)+LEN(M$1)),1)),0)</f>
        <v>0</v>
      </c>
      <c r="N203" s="13">
        <f t="shared" si="405"/>
        <v>0</v>
      </c>
      <c r="O203" s="13">
        <f t="shared" si="405"/>
        <v>0</v>
      </c>
      <c r="P203" s="13">
        <f t="shared" si="405"/>
        <v>0</v>
      </c>
      <c r="Q203" s="13">
        <f t="shared" si="405"/>
        <v>0</v>
      </c>
      <c r="R203" s="13">
        <f t="shared" si="405"/>
        <v>0</v>
      </c>
      <c r="S203" s="13">
        <f t="shared" si="405"/>
        <v>0</v>
      </c>
      <c r="T203" s="13">
        <f t="shared" si="405"/>
        <v>0</v>
      </c>
      <c r="U203" s="13">
        <f t="shared" si="405"/>
        <v>0</v>
      </c>
      <c r="V203" s="13">
        <f t="shared" si="405"/>
        <v>0</v>
      </c>
      <c r="W203" s="13">
        <f t="shared" si="405"/>
        <v>0</v>
      </c>
      <c r="X203" s="13">
        <f t="shared" si="405"/>
        <v>0</v>
      </c>
      <c r="Y203" s="13">
        <f t="shared" si="405"/>
        <v>0</v>
      </c>
      <c r="Z203" s="13">
        <f t="shared" si="405"/>
        <v>0</v>
      </c>
      <c r="AA203" s="13">
        <f t="shared" si="405"/>
        <v>0</v>
      </c>
      <c r="AB203" s="13">
        <f t="shared" ref="AB203:AP203" si="406">IFERROR(VALUE(RIGHT(LEFT($J203,FIND(AB$1,$J203,IF(M203=0,1,FIND(AB$1,$J203,1)+1))+LEN(AB$1)),1)),0)</f>
        <v>1</v>
      </c>
      <c r="AC203" s="13">
        <f t="shared" si="406"/>
        <v>0</v>
      </c>
      <c r="AD203" s="13">
        <f t="shared" si="406"/>
        <v>0</v>
      </c>
      <c r="AE203" s="13">
        <f t="shared" si="406"/>
        <v>0</v>
      </c>
      <c r="AF203" s="13">
        <f t="shared" si="406"/>
        <v>1</v>
      </c>
      <c r="AG203" s="13">
        <f t="shared" si="406"/>
        <v>0</v>
      </c>
      <c r="AH203" s="13">
        <f t="shared" si="406"/>
        <v>0</v>
      </c>
      <c r="AI203" s="13">
        <f t="shared" si="406"/>
        <v>0</v>
      </c>
      <c r="AJ203" s="13">
        <f t="shared" si="406"/>
        <v>0</v>
      </c>
      <c r="AK203" s="13">
        <f t="shared" si="406"/>
        <v>0</v>
      </c>
      <c r="AL203" s="13">
        <f t="shared" si="406"/>
        <v>0</v>
      </c>
      <c r="AM203" s="13">
        <f t="shared" si="406"/>
        <v>0</v>
      </c>
      <c r="AN203" s="13">
        <f t="shared" si="406"/>
        <v>0</v>
      </c>
      <c r="AO203" s="13">
        <f t="shared" si="406"/>
        <v>0</v>
      </c>
      <c r="AP203" s="13">
        <f t="shared" si="406"/>
        <v>1</v>
      </c>
      <c r="AQ203" s="13"/>
      <c r="AR203" s="13" t="s">
        <v>1511</v>
      </c>
      <c r="AS203" s="13" t="s">
        <v>1512</v>
      </c>
      <c r="AT203" s="13" t="s">
        <v>129</v>
      </c>
      <c r="AU203" s="13" t="s">
        <v>143</v>
      </c>
      <c r="AV203" s="13" t="s">
        <v>1341</v>
      </c>
      <c r="AW203" s="13">
        <v>16.0</v>
      </c>
      <c r="AX203" s="13">
        <v>-1.0</v>
      </c>
      <c r="AY203" s="13">
        <v>0.0</v>
      </c>
      <c r="AZ203" s="13" t="s">
        <v>1513</v>
      </c>
      <c r="BA203" s="13" t="s">
        <v>1514</v>
      </c>
      <c r="BB203" s="13"/>
      <c r="BC203" s="13"/>
      <c r="BD203" s="13" t="s">
        <v>294</v>
      </c>
      <c r="BE203" s="13" t="s">
        <v>1515</v>
      </c>
      <c r="BF203" s="13" t="s">
        <v>1516</v>
      </c>
      <c r="BG203" s="13"/>
      <c r="BH203" s="13" t="s">
        <v>79</v>
      </c>
      <c r="BI203" s="13" t="b">
        <v>0</v>
      </c>
      <c r="BJ203" s="13">
        <v>0.0</v>
      </c>
      <c r="BK203" s="13">
        <v>0.0</v>
      </c>
    </row>
    <row r="204" ht="14.25" customHeight="1">
      <c r="A204" s="13">
        <v>202.0</v>
      </c>
      <c r="B204" s="13" t="s">
        <v>52</v>
      </c>
      <c r="C204" s="13">
        <v>2.0</v>
      </c>
      <c r="D204" s="14">
        <v>0.0</v>
      </c>
      <c r="E204" s="13" t="s">
        <v>1517</v>
      </c>
      <c r="F204" s="15" t="s">
        <v>1518</v>
      </c>
      <c r="G204" s="16" t="s">
        <v>1519</v>
      </c>
      <c r="H204" s="13">
        <v>13.0</v>
      </c>
      <c r="I204" s="13">
        <v>1.0</v>
      </c>
      <c r="J204" s="13" t="s">
        <v>1520</v>
      </c>
      <c r="K204" s="13">
        <f t="shared" si="3"/>
        <v>0</v>
      </c>
      <c r="L204" s="13">
        <f t="shared" si="4"/>
        <v>3</v>
      </c>
      <c r="M204" s="13">
        <f t="shared" ref="M204:AA204" si="407">IFERROR(VALUE(RIGHT(LEFT($J204,FIND(M$1,$J204,1)+LEN(M$1)),1)),0)</f>
        <v>0</v>
      </c>
      <c r="N204" s="13">
        <f t="shared" si="407"/>
        <v>0</v>
      </c>
      <c r="O204" s="13">
        <f t="shared" si="407"/>
        <v>0</v>
      </c>
      <c r="P204" s="13">
        <f t="shared" si="407"/>
        <v>0</v>
      </c>
      <c r="Q204" s="13">
        <f t="shared" si="407"/>
        <v>0</v>
      </c>
      <c r="R204" s="13">
        <f t="shared" si="407"/>
        <v>0</v>
      </c>
      <c r="S204" s="13">
        <f t="shared" si="407"/>
        <v>0</v>
      </c>
      <c r="T204" s="13">
        <f t="shared" si="407"/>
        <v>0</v>
      </c>
      <c r="U204" s="13">
        <f t="shared" si="407"/>
        <v>0</v>
      </c>
      <c r="V204" s="13">
        <f t="shared" si="407"/>
        <v>0</v>
      </c>
      <c r="W204" s="13">
        <f t="shared" si="407"/>
        <v>0</v>
      </c>
      <c r="X204" s="13">
        <f t="shared" si="407"/>
        <v>0</v>
      </c>
      <c r="Y204" s="13">
        <f t="shared" si="407"/>
        <v>0</v>
      </c>
      <c r="Z204" s="13">
        <f t="shared" si="407"/>
        <v>0</v>
      </c>
      <c r="AA204" s="13">
        <f t="shared" si="407"/>
        <v>0</v>
      </c>
      <c r="AB204" s="13">
        <f t="shared" ref="AB204:AP204" si="408">IFERROR(VALUE(RIGHT(LEFT($J204,FIND(AB$1,$J204,IF(M204=0,1,FIND(AB$1,$J204,1)+1))+LEN(AB$1)),1)),0)</f>
        <v>1</v>
      </c>
      <c r="AC204" s="13">
        <f t="shared" si="408"/>
        <v>0</v>
      </c>
      <c r="AD204" s="13">
        <f t="shared" si="408"/>
        <v>0</v>
      </c>
      <c r="AE204" s="13">
        <f t="shared" si="408"/>
        <v>0</v>
      </c>
      <c r="AF204" s="13">
        <f t="shared" si="408"/>
        <v>0</v>
      </c>
      <c r="AG204" s="13">
        <f t="shared" si="408"/>
        <v>1</v>
      </c>
      <c r="AH204" s="13">
        <f t="shared" si="408"/>
        <v>0</v>
      </c>
      <c r="AI204" s="13">
        <f t="shared" si="408"/>
        <v>0</v>
      </c>
      <c r="AJ204" s="13">
        <f t="shared" si="408"/>
        <v>0</v>
      </c>
      <c r="AK204" s="13">
        <f t="shared" si="408"/>
        <v>0</v>
      </c>
      <c r="AL204" s="13">
        <f t="shared" si="408"/>
        <v>0</v>
      </c>
      <c r="AM204" s="13">
        <f t="shared" si="408"/>
        <v>0</v>
      </c>
      <c r="AN204" s="13">
        <f t="shared" si="408"/>
        <v>0</v>
      </c>
      <c r="AO204" s="13">
        <f t="shared" si="408"/>
        <v>0</v>
      </c>
      <c r="AP204" s="13">
        <f t="shared" si="408"/>
        <v>1</v>
      </c>
      <c r="AQ204" s="13"/>
      <c r="AR204" s="13" t="s">
        <v>1521</v>
      </c>
      <c r="AS204" s="13" t="s">
        <v>1522</v>
      </c>
      <c r="AT204" s="13" t="s">
        <v>162</v>
      </c>
      <c r="AU204" s="13" t="s">
        <v>1523</v>
      </c>
      <c r="AV204" s="13" t="s">
        <v>1524</v>
      </c>
      <c r="AW204" s="13">
        <v>12.0</v>
      </c>
      <c r="AX204" s="13">
        <v>-1.0</v>
      </c>
      <c r="AY204" s="13">
        <v>0.0</v>
      </c>
      <c r="AZ204" s="13" t="s">
        <v>1213</v>
      </c>
      <c r="BA204" s="13" t="s">
        <v>580</v>
      </c>
      <c r="BB204" s="13"/>
      <c r="BC204" s="13"/>
      <c r="BD204" s="13" t="s">
        <v>294</v>
      </c>
      <c r="BE204" s="13" t="s">
        <v>1525</v>
      </c>
      <c r="BF204" s="13" t="s">
        <v>618</v>
      </c>
      <c r="BG204" s="13"/>
      <c r="BH204" s="13" t="s">
        <v>79</v>
      </c>
      <c r="BI204" s="13" t="b">
        <v>0</v>
      </c>
      <c r="BJ204" s="13">
        <v>0.0</v>
      </c>
      <c r="BK204" s="13">
        <v>0.0</v>
      </c>
    </row>
    <row r="205" ht="14.25" customHeight="1">
      <c r="A205" s="13">
        <v>203.0</v>
      </c>
      <c r="B205" s="13" t="s">
        <v>52</v>
      </c>
      <c r="C205" s="13">
        <v>2.0</v>
      </c>
      <c r="D205" s="14">
        <v>0.0</v>
      </c>
      <c r="E205" s="13" t="s">
        <v>1526</v>
      </c>
      <c r="F205" s="15"/>
      <c r="G205" s="16" t="s">
        <v>1527</v>
      </c>
      <c r="H205" s="13">
        <v>10.0</v>
      </c>
      <c r="I205" s="13">
        <v>0.9</v>
      </c>
      <c r="J205" s="13" t="s">
        <v>1528</v>
      </c>
      <c r="K205" s="13">
        <f t="shared" si="3"/>
        <v>0</v>
      </c>
      <c r="L205" s="13">
        <f t="shared" si="4"/>
        <v>3</v>
      </c>
      <c r="M205" s="13">
        <f t="shared" ref="M205:AA205" si="409">IFERROR(VALUE(RIGHT(LEFT($J205,FIND(M$1,$J205,1)+LEN(M$1)),1)),0)</f>
        <v>0</v>
      </c>
      <c r="N205" s="13">
        <f t="shared" si="409"/>
        <v>0</v>
      </c>
      <c r="O205" s="13">
        <f t="shared" si="409"/>
        <v>0</v>
      </c>
      <c r="P205" s="13">
        <f t="shared" si="409"/>
        <v>0</v>
      </c>
      <c r="Q205" s="13">
        <f t="shared" si="409"/>
        <v>0</v>
      </c>
      <c r="R205" s="13">
        <f t="shared" si="409"/>
        <v>0</v>
      </c>
      <c r="S205" s="13">
        <f t="shared" si="409"/>
        <v>0</v>
      </c>
      <c r="T205" s="13">
        <f t="shared" si="409"/>
        <v>0</v>
      </c>
      <c r="U205" s="13">
        <f t="shared" si="409"/>
        <v>0</v>
      </c>
      <c r="V205" s="13">
        <f t="shared" si="409"/>
        <v>0</v>
      </c>
      <c r="W205" s="13">
        <f t="shared" si="409"/>
        <v>0</v>
      </c>
      <c r="X205" s="13">
        <f t="shared" si="409"/>
        <v>0</v>
      </c>
      <c r="Y205" s="13">
        <f t="shared" si="409"/>
        <v>0</v>
      </c>
      <c r="Z205" s="13">
        <f t="shared" si="409"/>
        <v>0</v>
      </c>
      <c r="AA205" s="13">
        <f t="shared" si="409"/>
        <v>0</v>
      </c>
      <c r="AB205" s="13">
        <f t="shared" ref="AB205:AP205" si="410">IFERROR(VALUE(RIGHT(LEFT($J205,FIND(AB$1,$J205,IF(M205=0,1,FIND(AB$1,$J205,1)+1))+LEN(AB$1)),1)),0)</f>
        <v>0</v>
      </c>
      <c r="AC205" s="13">
        <f t="shared" si="410"/>
        <v>0</v>
      </c>
      <c r="AD205" s="13">
        <f t="shared" si="410"/>
        <v>0</v>
      </c>
      <c r="AE205" s="13">
        <f t="shared" si="410"/>
        <v>0</v>
      </c>
      <c r="AF205" s="13">
        <f t="shared" si="410"/>
        <v>0</v>
      </c>
      <c r="AG205" s="13">
        <f t="shared" si="410"/>
        <v>1</v>
      </c>
      <c r="AH205" s="13">
        <f t="shared" si="410"/>
        <v>0</v>
      </c>
      <c r="AI205" s="13">
        <f t="shared" si="410"/>
        <v>0</v>
      </c>
      <c r="AJ205" s="13">
        <f t="shared" si="410"/>
        <v>0</v>
      </c>
      <c r="AK205" s="13">
        <f t="shared" si="410"/>
        <v>0</v>
      </c>
      <c r="AL205" s="13">
        <f t="shared" si="410"/>
        <v>0</v>
      </c>
      <c r="AM205" s="13">
        <f t="shared" si="410"/>
        <v>0</v>
      </c>
      <c r="AN205" s="13">
        <f t="shared" si="410"/>
        <v>0</v>
      </c>
      <c r="AO205" s="13">
        <f t="shared" si="410"/>
        <v>0</v>
      </c>
      <c r="AP205" s="13">
        <f t="shared" si="410"/>
        <v>2</v>
      </c>
      <c r="AQ205" s="13"/>
      <c r="AR205" s="13" t="s">
        <v>300</v>
      </c>
      <c r="AS205" s="13" t="s">
        <v>1529</v>
      </c>
      <c r="AT205" s="13" t="s">
        <v>854</v>
      </c>
      <c r="AU205" s="13" t="s">
        <v>803</v>
      </c>
      <c r="AV205" s="13" t="s">
        <v>1530</v>
      </c>
      <c r="AW205" s="13">
        <v>13.0</v>
      </c>
      <c r="AX205" s="13">
        <v>-1.0</v>
      </c>
      <c r="AY205" s="13">
        <v>0.0</v>
      </c>
      <c r="AZ205" s="13" t="s">
        <v>1531</v>
      </c>
      <c r="BA205" s="13" t="s">
        <v>1532</v>
      </c>
      <c r="BB205" s="13"/>
      <c r="BC205" s="13"/>
      <c r="BD205" s="13" t="s">
        <v>294</v>
      </c>
      <c r="BE205" s="13">
        <v>8.0</v>
      </c>
      <c r="BF205" s="13" t="s">
        <v>900</v>
      </c>
      <c r="BG205" s="13"/>
      <c r="BH205" s="13" t="s">
        <v>241</v>
      </c>
      <c r="BI205" s="13" t="b">
        <v>0</v>
      </c>
      <c r="BJ205" s="13">
        <v>0.0</v>
      </c>
      <c r="BK205" s="13">
        <v>0.0</v>
      </c>
    </row>
    <row r="206" ht="14.25" customHeight="1">
      <c r="A206" s="13">
        <v>204.0</v>
      </c>
      <c r="B206" s="13" t="s">
        <v>52</v>
      </c>
      <c r="C206" s="13">
        <v>2.0</v>
      </c>
      <c r="D206" s="14">
        <v>0.0</v>
      </c>
      <c r="E206" s="13" t="s">
        <v>1533</v>
      </c>
      <c r="F206" s="15"/>
      <c r="G206" s="16" t="s">
        <v>1534</v>
      </c>
      <c r="H206" s="13">
        <v>12.0</v>
      </c>
      <c r="I206" s="13">
        <v>1.0</v>
      </c>
      <c r="J206" s="13" t="s">
        <v>1535</v>
      </c>
      <c r="K206" s="13">
        <f t="shared" si="3"/>
        <v>0</v>
      </c>
      <c r="L206" s="13">
        <f t="shared" si="4"/>
        <v>3</v>
      </c>
      <c r="M206" s="13">
        <f t="shared" ref="M206:AA206" si="411">IFERROR(VALUE(RIGHT(LEFT($J206,FIND(M$1,$J206,1)+LEN(M$1)),1)),0)</f>
        <v>0</v>
      </c>
      <c r="N206" s="13">
        <f t="shared" si="411"/>
        <v>0</v>
      </c>
      <c r="O206" s="13">
        <f t="shared" si="411"/>
        <v>0</v>
      </c>
      <c r="P206" s="13">
        <f t="shared" si="411"/>
        <v>0</v>
      </c>
      <c r="Q206" s="13">
        <f t="shared" si="411"/>
        <v>0</v>
      </c>
      <c r="R206" s="13">
        <f t="shared" si="411"/>
        <v>0</v>
      </c>
      <c r="S206" s="13">
        <f t="shared" si="411"/>
        <v>0</v>
      </c>
      <c r="T206" s="13">
        <f t="shared" si="411"/>
        <v>0</v>
      </c>
      <c r="U206" s="13">
        <f t="shared" si="411"/>
        <v>0</v>
      </c>
      <c r="V206" s="13">
        <f t="shared" si="411"/>
        <v>0</v>
      </c>
      <c r="W206" s="13">
        <f t="shared" si="411"/>
        <v>0</v>
      </c>
      <c r="X206" s="13">
        <f t="shared" si="411"/>
        <v>0</v>
      </c>
      <c r="Y206" s="13">
        <f t="shared" si="411"/>
        <v>0</v>
      </c>
      <c r="Z206" s="13">
        <f t="shared" si="411"/>
        <v>0</v>
      </c>
      <c r="AA206" s="13">
        <f t="shared" si="411"/>
        <v>0</v>
      </c>
      <c r="AB206" s="13">
        <f t="shared" ref="AB206:AP206" si="412">IFERROR(VALUE(RIGHT(LEFT($J206,FIND(AB$1,$J206,IF(M206=0,1,FIND(AB$1,$J206,1)+1))+LEN(AB$1)),1)),0)</f>
        <v>0</v>
      </c>
      <c r="AC206" s="13">
        <f t="shared" si="412"/>
        <v>1</v>
      </c>
      <c r="AD206" s="13">
        <f t="shared" si="412"/>
        <v>0</v>
      </c>
      <c r="AE206" s="13">
        <f t="shared" si="412"/>
        <v>0</v>
      </c>
      <c r="AF206" s="13">
        <f t="shared" si="412"/>
        <v>0</v>
      </c>
      <c r="AG206" s="13">
        <f t="shared" si="412"/>
        <v>0</v>
      </c>
      <c r="AH206" s="13">
        <f t="shared" si="412"/>
        <v>0</v>
      </c>
      <c r="AI206" s="13">
        <f t="shared" si="412"/>
        <v>1</v>
      </c>
      <c r="AJ206" s="13">
        <f t="shared" si="412"/>
        <v>0</v>
      </c>
      <c r="AK206" s="13">
        <f t="shared" si="412"/>
        <v>0</v>
      </c>
      <c r="AL206" s="13">
        <f t="shared" si="412"/>
        <v>0</v>
      </c>
      <c r="AM206" s="13">
        <f t="shared" si="412"/>
        <v>0</v>
      </c>
      <c r="AN206" s="13">
        <f t="shared" si="412"/>
        <v>0</v>
      </c>
      <c r="AO206" s="13">
        <f t="shared" si="412"/>
        <v>0</v>
      </c>
      <c r="AP206" s="13">
        <f t="shared" si="412"/>
        <v>1</v>
      </c>
      <c r="AQ206" s="13"/>
      <c r="AR206" s="13" t="s">
        <v>1536</v>
      </c>
      <c r="AS206" s="13" t="s">
        <v>1537</v>
      </c>
      <c r="AT206" s="13" t="s">
        <v>162</v>
      </c>
      <c r="AU206" s="13" t="s">
        <v>1297</v>
      </c>
      <c r="AV206" s="13" t="s">
        <v>1538</v>
      </c>
      <c r="AW206" s="13">
        <v>14.0</v>
      </c>
      <c r="AX206" s="13">
        <v>-1.0</v>
      </c>
      <c r="AY206" s="13">
        <v>0.0</v>
      </c>
      <c r="AZ206" s="13" t="s">
        <v>1419</v>
      </c>
      <c r="BA206" s="13" t="s">
        <v>1539</v>
      </c>
      <c r="BB206" s="13"/>
      <c r="BC206" s="13"/>
      <c r="BD206" s="13" t="s">
        <v>306</v>
      </c>
      <c r="BE206" s="13" t="s">
        <v>1540</v>
      </c>
      <c r="BF206" s="13" t="s">
        <v>790</v>
      </c>
      <c r="BG206" s="13"/>
      <c r="BH206" s="13" t="s">
        <v>241</v>
      </c>
      <c r="BI206" s="13" t="b">
        <v>0</v>
      </c>
      <c r="BJ206" s="13">
        <v>0.0</v>
      </c>
      <c r="BK206" s="13">
        <v>0.0</v>
      </c>
    </row>
    <row r="207" ht="14.25" customHeight="1">
      <c r="A207" s="13">
        <v>205.0</v>
      </c>
      <c r="B207" s="13" t="s">
        <v>52</v>
      </c>
      <c r="C207" s="13">
        <v>2.0</v>
      </c>
      <c r="D207" s="14">
        <v>0.0</v>
      </c>
      <c r="E207" s="13" t="s">
        <v>1541</v>
      </c>
      <c r="F207" s="15"/>
      <c r="G207" s="16" t="s">
        <v>1542</v>
      </c>
      <c r="H207" s="13">
        <v>14.0</v>
      </c>
      <c r="I207" s="13">
        <v>1.0</v>
      </c>
      <c r="J207" s="13" t="s">
        <v>1543</v>
      </c>
      <c r="K207" s="13">
        <f t="shared" si="3"/>
        <v>0</v>
      </c>
      <c r="L207" s="13">
        <f t="shared" si="4"/>
        <v>3</v>
      </c>
      <c r="M207" s="13">
        <f t="shared" ref="M207:AA207" si="413">IFERROR(VALUE(RIGHT(LEFT($J207,FIND(M$1,$J207,1)+LEN(M$1)),1)),0)</f>
        <v>0</v>
      </c>
      <c r="N207" s="13">
        <f t="shared" si="413"/>
        <v>0</v>
      </c>
      <c r="O207" s="13">
        <f t="shared" si="413"/>
        <v>0</v>
      </c>
      <c r="P207" s="13">
        <f t="shared" si="413"/>
        <v>0</v>
      </c>
      <c r="Q207" s="13">
        <f t="shared" si="413"/>
        <v>0</v>
      </c>
      <c r="R207" s="13">
        <f t="shared" si="413"/>
        <v>0</v>
      </c>
      <c r="S207" s="13">
        <f t="shared" si="413"/>
        <v>0</v>
      </c>
      <c r="T207" s="13">
        <f t="shared" si="413"/>
        <v>0</v>
      </c>
      <c r="U207" s="13">
        <f t="shared" si="413"/>
        <v>0</v>
      </c>
      <c r="V207" s="13">
        <f t="shared" si="413"/>
        <v>0</v>
      </c>
      <c r="W207" s="13">
        <f t="shared" si="413"/>
        <v>0</v>
      </c>
      <c r="X207" s="13">
        <f t="shared" si="413"/>
        <v>0</v>
      </c>
      <c r="Y207" s="13">
        <f t="shared" si="413"/>
        <v>0</v>
      </c>
      <c r="Z207" s="13">
        <f t="shared" si="413"/>
        <v>0</v>
      </c>
      <c r="AA207" s="13">
        <f t="shared" si="413"/>
        <v>0</v>
      </c>
      <c r="AB207" s="13">
        <f t="shared" ref="AB207:AP207" si="414">IFERROR(VALUE(RIGHT(LEFT($J207,FIND(AB$1,$J207,IF(M207=0,1,FIND(AB$1,$J207,1)+1))+LEN(AB$1)),1)),0)</f>
        <v>0</v>
      </c>
      <c r="AC207" s="13">
        <f t="shared" si="414"/>
        <v>0</v>
      </c>
      <c r="AD207" s="13">
        <f t="shared" si="414"/>
        <v>1</v>
      </c>
      <c r="AE207" s="13">
        <f t="shared" si="414"/>
        <v>0</v>
      </c>
      <c r="AF207" s="13">
        <f t="shared" si="414"/>
        <v>0</v>
      </c>
      <c r="AG207" s="13">
        <f t="shared" si="414"/>
        <v>0</v>
      </c>
      <c r="AH207" s="13">
        <f t="shared" si="414"/>
        <v>0</v>
      </c>
      <c r="AI207" s="13">
        <f t="shared" si="414"/>
        <v>0</v>
      </c>
      <c r="AJ207" s="13">
        <f t="shared" si="414"/>
        <v>0</v>
      </c>
      <c r="AK207" s="13">
        <f t="shared" si="414"/>
        <v>0</v>
      </c>
      <c r="AL207" s="13">
        <f t="shared" si="414"/>
        <v>0</v>
      </c>
      <c r="AM207" s="13">
        <f t="shared" si="414"/>
        <v>0</v>
      </c>
      <c r="AN207" s="13">
        <f t="shared" si="414"/>
        <v>0</v>
      </c>
      <c r="AO207" s="13">
        <f t="shared" si="414"/>
        <v>0</v>
      </c>
      <c r="AP207" s="13">
        <f t="shared" si="414"/>
        <v>2</v>
      </c>
      <c r="AQ207" s="13"/>
      <c r="AR207" s="13" t="s">
        <v>1544</v>
      </c>
      <c r="AS207" s="13" t="s">
        <v>1545</v>
      </c>
      <c r="AT207" s="13" t="s">
        <v>162</v>
      </c>
      <c r="AU207" s="13" t="s">
        <v>195</v>
      </c>
      <c r="AV207" s="13" t="s">
        <v>1546</v>
      </c>
      <c r="AW207" s="13">
        <v>14.0</v>
      </c>
      <c r="AX207" s="13">
        <v>-1.0</v>
      </c>
      <c r="AY207" s="13">
        <v>0.0</v>
      </c>
      <c r="AZ207" s="13" t="s">
        <v>1547</v>
      </c>
      <c r="BA207" s="13" t="s">
        <v>1548</v>
      </c>
      <c r="BB207" s="13"/>
      <c r="BC207" s="13"/>
      <c r="BD207" s="13" t="s">
        <v>306</v>
      </c>
      <c r="BE207" s="13">
        <v>9.0</v>
      </c>
      <c r="BF207" s="13" t="s">
        <v>610</v>
      </c>
      <c r="BG207" s="13"/>
      <c r="BH207" s="13" t="s">
        <v>241</v>
      </c>
      <c r="BI207" s="13" t="b">
        <v>0</v>
      </c>
      <c r="BJ207" s="13">
        <v>0.0</v>
      </c>
      <c r="BK207" s="13">
        <v>0.0</v>
      </c>
    </row>
    <row r="208" ht="14.25" customHeight="1">
      <c r="A208" s="13">
        <v>206.0</v>
      </c>
      <c r="B208" s="13" t="s">
        <v>52</v>
      </c>
      <c r="C208" s="13">
        <v>2.0</v>
      </c>
      <c r="D208" s="14">
        <v>0.0</v>
      </c>
      <c r="E208" s="13" t="s">
        <v>1549</v>
      </c>
      <c r="F208" s="15"/>
      <c r="G208" s="16" t="s">
        <v>1550</v>
      </c>
      <c r="H208" s="13">
        <v>15.0</v>
      </c>
      <c r="I208" s="13">
        <v>1.0</v>
      </c>
      <c r="J208" s="13" t="s">
        <v>1551</v>
      </c>
      <c r="K208" s="13">
        <f t="shared" si="3"/>
        <v>0</v>
      </c>
      <c r="L208" s="13">
        <f t="shared" si="4"/>
        <v>3</v>
      </c>
      <c r="M208" s="13">
        <f t="shared" ref="M208:AA208" si="415">IFERROR(VALUE(RIGHT(LEFT($J208,FIND(M$1,$J208,1)+LEN(M$1)),1)),0)</f>
        <v>0</v>
      </c>
      <c r="N208" s="13">
        <f t="shared" si="415"/>
        <v>0</v>
      </c>
      <c r="O208" s="13">
        <f t="shared" si="415"/>
        <v>0</v>
      </c>
      <c r="P208" s="13">
        <f t="shared" si="415"/>
        <v>0</v>
      </c>
      <c r="Q208" s="13">
        <f t="shared" si="415"/>
        <v>0</v>
      </c>
      <c r="R208" s="13">
        <f t="shared" si="415"/>
        <v>0</v>
      </c>
      <c r="S208" s="13">
        <f t="shared" si="415"/>
        <v>0</v>
      </c>
      <c r="T208" s="13">
        <f t="shared" si="415"/>
        <v>0</v>
      </c>
      <c r="U208" s="13">
        <f t="shared" si="415"/>
        <v>0</v>
      </c>
      <c r="V208" s="13">
        <f t="shared" si="415"/>
        <v>0</v>
      </c>
      <c r="W208" s="13">
        <f t="shared" si="415"/>
        <v>0</v>
      </c>
      <c r="X208" s="13">
        <f t="shared" si="415"/>
        <v>0</v>
      </c>
      <c r="Y208" s="13">
        <f t="shared" si="415"/>
        <v>0</v>
      </c>
      <c r="Z208" s="13">
        <f t="shared" si="415"/>
        <v>0</v>
      </c>
      <c r="AA208" s="13">
        <f t="shared" si="415"/>
        <v>0</v>
      </c>
      <c r="AB208" s="13">
        <f t="shared" ref="AB208:AP208" si="416">IFERROR(VALUE(RIGHT(LEFT($J208,FIND(AB$1,$J208,IF(M208=0,1,FIND(AB$1,$J208,1)+1))+LEN(AB$1)),1)),0)</f>
        <v>0</v>
      </c>
      <c r="AC208" s="13">
        <f t="shared" si="416"/>
        <v>0</v>
      </c>
      <c r="AD208" s="13">
        <f t="shared" si="416"/>
        <v>0</v>
      </c>
      <c r="AE208" s="13">
        <f t="shared" si="416"/>
        <v>1</v>
      </c>
      <c r="AF208" s="13">
        <f t="shared" si="416"/>
        <v>1</v>
      </c>
      <c r="AG208" s="13">
        <f t="shared" si="416"/>
        <v>0</v>
      </c>
      <c r="AH208" s="13">
        <f t="shared" si="416"/>
        <v>0</v>
      </c>
      <c r="AI208" s="13">
        <f t="shared" si="416"/>
        <v>0</v>
      </c>
      <c r="AJ208" s="13">
        <f t="shared" si="416"/>
        <v>0</v>
      </c>
      <c r="AK208" s="13">
        <f t="shared" si="416"/>
        <v>0</v>
      </c>
      <c r="AL208" s="13">
        <f t="shared" si="416"/>
        <v>0</v>
      </c>
      <c r="AM208" s="13">
        <f t="shared" si="416"/>
        <v>0</v>
      </c>
      <c r="AN208" s="13">
        <f t="shared" si="416"/>
        <v>0</v>
      </c>
      <c r="AO208" s="13">
        <f t="shared" si="416"/>
        <v>0</v>
      </c>
      <c r="AP208" s="13">
        <f t="shared" si="416"/>
        <v>1</v>
      </c>
      <c r="AQ208" s="13"/>
      <c r="AR208" s="13" t="s">
        <v>1552</v>
      </c>
      <c r="AS208" s="13" t="s">
        <v>1553</v>
      </c>
      <c r="AT208" s="13" t="s">
        <v>1554</v>
      </c>
      <c r="AU208" s="13" t="s">
        <v>143</v>
      </c>
      <c r="AV208" s="13" t="s">
        <v>1173</v>
      </c>
      <c r="AW208" s="13">
        <v>16.0</v>
      </c>
      <c r="AX208" s="13">
        <v>-1.0</v>
      </c>
      <c r="AY208" s="13">
        <v>0.0</v>
      </c>
      <c r="AZ208" s="13" t="s">
        <v>1555</v>
      </c>
      <c r="BA208" s="13" t="s">
        <v>1436</v>
      </c>
      <c r="BB208" s="13"/>
      <c r="BC208" s="13"/>
      <c r="BD208" s="13" t="s">
        <v>294</v>
      </c>
      <c r="BE208" s="13" t="s">
        <v>1556</v>
      </c>
      <c r="BF208" s="13" t="s">
        <v>626</v>
      </c>
      <c r="BG208" s="13"/>
      <c r="BH208" s="13" t="s">
        <v>79</v>
      </c>
      <c r="BI208" s="13" t="b">
        <v>0</v>
      </c>
      <c r="BJ208" s="13">
        <v>0.0</v>
      </c>
      <c r="BK208" s="13">
        <v>0.0</v>
      </c>
    </row>
    <row r="209" ht="14.25" customHeight="1">
      <c r="A209" s="13">
        <v>207.0</v>
      </c>
      <c r="B209" s="13" t="s">
        <v>44</v>
      </c>
      <c r="C209" s="13">
        <v>3.0</v>
      </c>
      <c r="D209" s="14">
        <v>0.0</v>
      </c>
      <c r="E209" s="13" t="s">
        <v>1557</v>
      </c>
      <c r="F209" s="15" t="s">
        <v>372</v>
      </c>
      <c r="G209" s="16" t="s">
        <v>1558</v>
      </c>
      <c r="H209" s="13"/>
      <c r="I209" s="13">
        <v>1.1</v>
      </c>
      <c r="J209" s="13" t="s">
        <v>1559</v>
      </c>
      <c r="K209" s="13">
        <f t="shared" si="3"/>
        <v>1</v>
      </c>
      <c r="L209" s="13">
        <f t="shared" si="4"/>
        <v>2</v>
      </c>
      <c r="M209" s="13">
        <f t="shared" ref="M209:AA209" si="417">IFERROR(VALUE(RIGHT(LEFT($J209,FIND(M$1,$J209,1)+LEN(M$1)),1)),0)</f>
        <v>0</v>
      </c>
      <c r="N209" s="13">
        <f t="shared" si="417"/>
        <v>0</v>
      </c>
      <c r="O209" s="13">
        <f t="shared" si="417"/>
        <v>0</v>
      </c>
      <c r="P209" s="13">
        <f t="shared" si="417"/>
        <v>0</v>
      </c>
      <c r="Q209" s="13">
        <f t="shared" si="417"/>
        <v>0</v>
      </c>
      <c r="R209" s="13">
        <f t="shared" si="417"/>
        <v>1</v>
      </c>
      <c r="S209" s="13">
        <f t="shared" si="417"/>
        <v>0</v>
      </c>
      <c r="T209" s="13">
        <f t="shared" si="417"/>
        <v>0</v>
      </c>
      <c r="U209" s="13">
        <f t="shared" si="417"/>
        <v>0</v>
      </c>
      <c r="V209" s="13">
        <f t="shared" si="417"/>
        <v>0</v>
      </c>
      <c r="W209" s="13">
        <f t="shared" si="417"/>
        <v>0</v>
      </c>
      <c r="X209" s="13">
        <f t="shared" si="417"/>
        <v>0</v>
      </c>
      <c r="Y209" s="13">
        <f t="shared" si="417"/>
        <v>0</v>
      </c>
      <c r="Z209" s="13">
        <f t="shared" si="417"/>
        <v>0</v>
      </c>
      <c r="AA209" s="13">
        <f t="shared" si="417"/>
        <v>0</v>
      </c>
      <c r="AB209" s="13">
        <f t="shared" ref="AB209:AP209" si="418">IFERROR(VALUE(RIGHT(LEFT($J209,FIND(AB$1,$J209,IF(M209=0,1,FIND(AB$1,$J209,1)+1))+LEN(AB$1)),1)),0)</f>
        <v>0</v>
      </c>
      <c r="AC209" s="13">
        <f t="shared" si="418"/>
        <v>0</v>
      </c>
      <c r="AD209" s="13">
        <f t="shared" si="418"/>
        <v>0</v>
      </c>
      <c r="AE209" s="13">
        <f t="shared" si="418"/>
        <v>0</v>
      </c>
      <c r="AF209" s="13">
        <f t="shared" si="418"/>
        <v>1</v>
      </c>
      <c r="AG209" s="13">
        <f t="shared" si="418"/>
        <v>0</v>
      </c>
      <c r="AH209" s="13">
        <f t="shared" si="418"/>
        <v>1</v>
      </c>
      <c r="AI209" s="13">
        <f t="shared" si="418"/>
        <v>0</v>
      </c>
      <c r="AJ209" s="13">
        <f t="shared" si="418"/>
        <v>0</v>
      </c>
      <c r="AK209" s="13">
        <f t="shared" si="418"/>
        <v>0</v>
      </c>
      <c r="AL209" s="13">
        <f t="shared" si="418"/>
        <v>0</v>
      </c>
      <c r="AM209" s="13">
        <f t="shared" si="418"/>
        <v>0</v>
      </c>
      <c r="AN209" s="13">
        <f t="shared" si="418"/>
        <v>0</v>
      </c>
      <c r="AO209" s="13">
        <f t="shared" si="418"/>
        <v>0</v>
      </c>
      <c r="AP209" s="13">
        <f t="shared" si="418"/>
        <v>0</v>
      </c>
      <c r="AQ209" s="13" t="s">
        <v>1560</v>
      </c>
      <c r="AR209" s="13"/>
      <c r="AS209" s="13" t="s">
        <v>1561</v>
      </c>
      <c r="AT209" s="13"/>
      <c r="AU209" s="13"/>
      <c r="AV209" s="13"/>
      <c r="AW209" s="13">
        <v>0.0</v>
      </c>
      <c r="AX209" s="13">
        <v>-1.0</v>
      </c>
      <c r="AY209" s="13">
        <v>0.0</v>
      </c>
      <c r="AZ209" s="13"/>
      <c r="BA209" s="13"/>
      <c r="BB209" s="13"/>
      <c r="BC209" s="13"/>
      <c r="BD209" s="13"/>
      <c r="BE209" s="13"/>
      <c r="BF209" s="13"/>
      <c r="BG209" s="13"/>
      <c r="BH209" s="13" t="s">
        <v>79</v>
      </c>
      <c r="BI209" s="13" t="b">
        <v>0</v>
      </c>
      <c r="BJ209" s="13">
        <v>0.0</v>
      </c>
      <c r="BK209" s="13">
        <v>0.0</v>
      </c>
    </row>
    <row r="210" ht="14.25" customHeight="1">
      <c r="A210" s="13">
        <v>208.0</v>
      </c>
      <c r="B210" s="13" t="s">
        <v>44</v>
      </c>
      <c r="C210" s="13">
        <v>3.0</v>
      </c>
      <c r="D210" s="14">
        <v>0.0</v>
      </c>
      <c r="E210" s="13" t="s">
        <v>1562</v>
      </c>
      <c r="F210" s="15"/>
      <c r="G210" s="16" t="s">
        <v>1563</v>
      </c>
      <c r="H210" s="13"/>
      <c r="I210" s="13">
        <v>0.9</v>
      </c>
      <c r="J210" s="13" t="s">
        <v>1564</v>
      </c>
      <c r="K210" s="13">
        <f t="shared" si="3"/>
        <v>1</v>
      </c>
      <c r="L210" s="13">
        <f t="shared" si="4"/>
        <v>2</v>
      </c>
      <c r="M210" s="13">
        <f t="shared" ref="M210:AA210" si="419">IFERROR(VALUE(RIGHT(LEFT($J210,FIND(M$1,$J210,1)+LEN(M$1)),1)),0)</f>
        <v>0</v>
      </c>
      <c r="N210" s="13">
        <f t="shared" si="419"/>
        <v>0</v>
      </c>
      <c r="O210" s="13">
        <f t="shared" si="419"/>
        <v>0</v>
      </c>
      <c r="P210" s="13">
        <f t="shared" si="419"/>
        <v>0</v>
      </c>
      <c r="Q210" s="13">
        <f t="shared" si="419"/>
        <v>0</v>
      </c>
      <c r="R210" s="13">
        <f t="shared" si="419"/>
        <v>0</v>
      </c>
      <c r="S210" s="13">
        <f t="shared" si="419"/>
        <v>1</v>
      </c>
      <c r="T210" s="13">
        <f t="shared" si="419"/>
        <v>0</v>
      </c>
      <c r="U210" s="13">
        <f t="shared" si="419"/>
        <v>0</v>
      </c>
      <c r="V210" s="13">
        <f t="shared" si="419"/>
        <v>0</v>
      </c>
      <c r="W210" s="13">
        <f t="shared" si="419"/>
        <v>0</v>
      </c>
      <c r="X210" s="13">
        <f t="shared" si="419"/>
        <v>0</v>
      </c>
      <c r="Y210" s="13">
        <f t="shared" si="419"/>
        <v>0</v>
      </c>
      <c r="Z210" s="13">
        <f t="shared" si="419"/>
        <v>0</v>
      </c>
      <c r="AA210" s="13">
        <f t="shared" si="419"/>
        <v>0</v>
      </c>
      <c r="AB210" s="13">
        <f t="shared" ref="AB210:AP210" si="420">IFERROR(VALUE(RIGHT(LEFT($J210,FIND(AB$1,$J210,IF(M210=0,1,FIND(AB$1,$J210,1)+1))+LEN(AB$1)),1)),0)</f>
        <v>1</v>
      </c>
      <c r="AC210" s="13">
        <f t="shared" si="420"/>
        <v>0</v>
      </c>
      <c r="AD210" s="13">
        <f t="shared" si="420"/>
        <v>0</v>
      </c>
      <c r="AE210" s="13">
        <f t="shared" si="420"/>
        <v>0</v>
      </c>
      <c r="AF210" s="13">
        <f t="shared" si="420"/>
        <v>0</v>
      </c>
      <c r="AG210" s="13">
        <f t="shared" si="420"/>
        <v>0</v>
      </c>
      <c r="AH210" s="13">
        <f t="shared" si="420"/>
        <v>1</v>
      </c>
      <c r="AI210" s="13">
        <f t="shared" si="420"/>
        <v>0</v>
      </c>
      <c r="AJ210" s="13">
        <f t="shared" si="420"/>
        <v>0</v>
      </c>
      <c r="AK210" s="13">
        <f t="shared" si="420"/>
        <v>0</v>
      </c>
      <c r="AL210" s="13">
        <f t="shared" si="420"/>
        <v>0</v>
      </c>
      <c r="AM210" s="13">
        <f t="shared" si="420"/>
        <v>0</v>
      </c>
      <c r="AN210" s="13">
        <f t="shared" si="420"/>
        <v>0</v>
      </c>
      <c r="AO210" s="13">
        <f t="shared" si="420"/>
        <v>0</v>
      </c>
      <c r="AP210" s="13">
        <f t="shared" si="420"/>
        <v>0</v>
      </c>
      <c r="AQ210" s="13" t="s">
        <v>1565</v>
      </c>
      <c r="AR210" s="13"/>
      <c r="AS210" s="13" t="s">
        <v>1566</v>
      </c>
      <c r="AT210" s="13"/>
      <c r="AU210" s="13"/>
      <c r="AV210" s="13"/>
      <c r="AW210" s="13">
        <v>0.0</v>
      </c>
      <c r="AX210" s="13">
        <v>-1.0</v>
      </c>
      <c r="AY210" s="13">
        <v>0.0</v>
      </c>
      <c r="AZ210" s="13"/>
      <c r="BA210" s="13"/>
      <c r="BB210" s="13"/>
      <c r="BC210" s="13"/>
      <c r="BD210" s="13"/>
      <c r="BE210" s="13"/>
      <c r="BF210" s="13"/>
      <c r="BG210" s="13"/>
      <c r="BH210" s="13" t="s">
        <v>79</v>
      </c>
      <c r="BI210" s="13" t="b">
        <v>0</v>
      </c>
      <c r="BJ210" s="13">
        <v>0.0</v>
      </c>
      <c r="BK210" s="13">
        <v>0.0</v>
      </c>
    </row>
    <row r="211" ht="14.25" customHeight="1">
      <c r="A211" s="13">
        <v>209.0</v>
      </c>
      <c r="B211" s="13" t="s">
        <v>44</v>
      </c>
      <c r="C211" s="13">
        <v>3.0</v>
      </c>
      <c r="D211" s="14">
        <v>0.0</v>
      </c>
      <c r="E211" s="13" t="s">
        <v>1567</v>
      </c>
      <c r="F211" s="15" t="s">
        <v>1009</v>
      </c>
      <c r="G211" s="16" t="s">
        <v>1568</v>
      </c>
      <c r="H211" s="13"/>
      <c r="I211" s="13">
        <v>0.9</v>
      </c>
      <c r="J211" s="13" t="s">
        <v>1569</v>
      </c>
      <c r="K211" s="13">
        <f t="shared" si="3"/>
        <v>1</v>
      </c>
      <c r="L211" s="13">
        <f t="shared" si="4"/>
        <v>2</v>
      </c>
      <c r="M211" s="13">
        <f t="shared" ref="M211:AA211" si="421">IFERROR(VALUE(RIGHT(LEFT($J211,FIND(M$1,$J211,1)+LEN(M$1)),1)),0)</f>
        <v>0</v>
      </c>
      <c r="N211" s="13">
        <f t="shared" si="421"/>
        <v>0</v>
      </c>
      <c r="O211" s="13">
        <f t="shared" si="421"/>
        <v>1</v>
      </c>
      <c r="P211" s="13">
        <f t="shared" si="421"/>
        <v>0</v>
      </c>
      <c r="Q211" s="13">
        <f t="shared" si="421"/>
        <v>0</v>
      </c>
      <c r="R211" s="13">
        <f t="shared" si="421"/>
        <v>0</v>
      </c>
      <c r="S211" s="13">
        <f t="shared" si="421"/>
        <v>0</v>
      </c>
      <c r="T211" s="13">
        <f t="shared" si="421"/>
        <v>0</v>
      </c>
      <c r="U211" s="13">
        <f t="shared" si="421"/>
        <v>0</v>
      </c>
      <c r="V211" s="13">
        <f t="shared" si="421"/>
        <v>0</v>
      </c>
      <c r="W211" s="13">
        <f t="shared" si="421"/>
        <v>0</v>
      </c>
      <c r="X211" s="13">
        <f t="shared" si="421"/>
        <v>0</v>
      </c>
      <c r="Y211" s="13">
        <f t="shared" si="421"/>
        <v>0</v>
      </c>
      <c r="Z211" s="13">
        <f t="shared" si="421"/>
        <v>0</v>
      </c>
      <c r="AA211" s="13">
        <f t="shared" si="421"/>
        <v>0</v>
      </c>
      <c r="AB211" s="13">
        <f t="shared" ref="AB211:AP211" si="422">IFERROR(VALUE(RIGHT(LEFT($J211,FIND(AB$1,$J211,IF(M211=0,1,FIND(AB$1,$J211,1)+1))+LEN(AB$1)),1)),0)</f>
        <v>0</v>
      </c>
      <c r="AC211" s="13">
        <f t="shared" si="422"/>
        <v>0</v>
      </c>
      <c r="AD211" s="13">
        <f t="shared" si="422"/>
        <v>0</v>
      </c>
      <c r="AE211" s="13">
        <f t="shared" si="422"/>
        <v>1</v>
      </c>
      <c r="AF211" s="13">
        <f t="shared" si="422"/>
        <v>0</v>
      </c>
      <c r="AG211" s="13">
        <f t="shared" si="422"/>
        <v>0</v>
      </c>
      <c r="AH211" s="13">
        <f t="shared" si="422"/>
        <v>1</v>
      </c>
      <c r="AI211" s="13">
        <f t="shared" si="422"/>
        <v>0</v>
      </c>
      <c r="AJ211" s="13">
        <f t="shared" si="422"/>
        <v>0</v>
      </c>
      <c r="AK211" s="13">
        <f t="shared" si="422"/>
        <v>0</v>
      </c>
      <c r="AL211" s="13">
        <f t="shared" si="422"/>
        <v>0</v>
      </c>
      <c r="AM211" s="13">
        <f t="shared" si="422"/>
        <v>0</v>
      </c>
      <c r="AN211" s="13">
        <f t="shared" si="422"/>
        <v>0</v>
      </c>
      <c r="AO211" s="13">
        <f t="shared" si="422"/>
        <v>0</v>
      </c>
      <c r="AP211" s="13">
        <f t="shared" si="422"/>
        <v>0</v>
      </c>
      <c r="AQ211" s="13" t="s">
        <v>1570</v>
      </c>
      <c r="AR211" s="13"/>
      <c r="AS211" s="13" t="s">
        <v>1571</v>
      </c>
      <c r="AT211" s="13"/>
      <c r="AU211" s="13"/>
      <c r="AV211" s="13"/>
      <c r="AW211" s="13">
        <v>0.0</v>
      </c>
      <c r="AX211" s="13">
        <v>-1.0</v>
      </c>
      <c r="AY211" s="13">
        <v>0.0</v>
      </c>
      <c r="AZ211" s="13"/>
      <c r="BA211" s="13"/>
      <c r="BB211" s="13"/>
      <c r="BC211" s="13"/>
      <c r="BD211" s="13"/>
      <c r="BE211" s="13"/>
      <c r="BF211" s="13"/>
      <c r="BG211" s="13"/>
      <c r="BH211" s="13" t="s">
        <v>79</v>
      </c>
      <c r="BI211" s="13" t="b">
        <v>0</v>
      </c>
      <c r="BJ211" s="13">
        <v>0.0</v>
      </c>
      <c r="BK211" s="13">
        <v>0.0</v>
      </c>
    </row>
    <row r="212" ht="14.25" customHeight="1">
      <c r="A212" s="13">
        <v>210.0</v>
      </c>
      <c r="B212" s="13" t="s">
        <v>44</v>
      </c>
      <c r="C212" s="13">
        <v>3.0</v>
      </c>
      <c r="D212" s="14">
        <v>0.0</v>
      </c>
      <c r="E212" s="13" t="s">
        <v>1572</v>
      </c>
      <c r="F212" s="15" t="s">
        <v>523</v>
      </c>
      <c r="G212" s="16" t="s">
        <v>1573</v>
      </c>
      <c r="H212" s="13"/>
      <c r="I212" s="13">
        <v>1.0</v>
      </c>
      <c r="J212" s="13" t="s">
        <v>1574</v>
      </c>
      <c r="K212" s="13">
        <f t="shared" si="3"/>
        <v>1</v>
      </c>
      <c r="L212" s="13">
        <f t="shared" si="4"/>
        <v>2</v>
      </c>
      <c r="M212" s="13">
        <f t="shared" ref="M212:AA212" si="423">IFERROR(VALUE(RIGHT(LEFT($J212,FIND(M$1,$J212,1)+LEN(M$1)),1)),0)</f>
        <v>0</v>
      </c>
      <c r="N212" s="13">
        <f t="shared" si="423"/>
        <v>0</v>
      </c>
      <c r="O212" s="13">
        <f t="shared" si="423"/>
        <v>0</v>
      </c>
      <c r="P212" s="13">
        <f t="shared" si="423"/>
        <v>0</v>
      </c>
      <c r="Q212" s="13">
        <f t="shared" si="423"/>
        <v>0</v>
      </c>
      <c r="R212" s="13">
        <f t="shared" si="423"/>
        <v>0</v>
      </c>
      <c r="S212" s="13">
        <f t="shared" si="423"/>
        <v>1</v>
      </c>
      <c r="T212" s="13">
        <f t="shared" si="423"/>
        <v>0</v>
      </c>
      <c r="U212" s="13">
        <f t="shared" si="423"/>
        <v>0</v>
      </c>
      <c r="V212" s="13">
        <f t="shared" si="423"/>
        <v>0</v>
      </c>
      <c r="W212" s="13">
        <f t="shared" si="423"/>
        <v>0</v>
      </c>
      <c r="X212" s="13">
        <f t="shared" si="423"/>
        <v>0</v>
      </c>
      <c r="Y212" s="13">
        <f t="shared" si="423"/>
        <v>0</v>
      </c>
      <c r="Z212" s="13">
        <f t="shared" si="423"/>
        <v>0</v>
      </c>
      <c r="AA212" s="13">
        <f t="shared" si="423"/>
        <v>0</v>
      </c>
      <c r="AB212" s="13">
        <f t="shared" ref="AB212:AP212" si="424">IFERROR(VALUE(RIGHT(LEFT($J212,FIND(AB$1,$J212,IF(M212=0,1,FIND(AB$1,$J212,1)+1))+LEN(AB$1)),1)),0)</f>
        <v>0</v>
      </c>
      <c r="AC212" s="13">
        <f t="shared" si="424"/>
        <v>0</v>
      </c>
      <c r="AD212" s="13">
        <f t="shared" si="424"/>
        <v>0</v>
      </c>
      <c r="AE212" s="13">
        <f t="shared" si="424"/>
        <v>0</v>
      </c>
      <c r="AF212" s="13">
        <f t="shared" si="424"/>
        <v>0</v>
      </c>
      <c r="AG212" s="13">
        <f t="shared" si="424"/>
        <v>1</v>
      </c>
      <c r="AH212" s="13">
        <f t="shared" si="424"/>
        <v>1</v>
      </c>
      <c r="AI212" s="13">
        <f t="shared" si="424"/>
        <v>0</v>
      </c>
      <c r="AJ212" s="13">
        <f t="shared" si="424"/>
        <v>0</v>
      </c>
      <c r="AK212" s="13">
        <f t="shared" si="424"/>
        <v>0</v>
      </c>
      <c r="AL212" s="13">
        <f t="shared" si="424"/>
        <v>0</v>
      </c>
      <c r="AM212" s="13">
        <f t="shared" si="424"/>
        <v>0</v>
      </c>
      <c r="AN212" s="13">
        <f t="shared" si="424"/>
        <v>0</v>
      </c>
      <c r="AO212" s="13">
        <f t="shared" si="424"/>
        <v>0</v>
      </c>
      <c r="AP212" s="13">
        <f t="shared" si="424"/>
        <v>0</v>
      </c>
      <c r="AQ212" s="13" t="s">
        <v>1575</v>
      </c>
      <c r="AR212" s="13"/>
      <c r="AS212" s="13" t="s">
        <v>1576</v>
      </c>
      <c r="AT212" s="13"/>
      <c r="AU212" s="13"/>
      <c r="AV212" s="13"/>
      <c r="AW212" s="13">
        <v>0.0</v>
      </c>
      <c r="AX212" s="13">
        <v>-1.0</v>
      </c>
      <c r="AY212" s="13">
        <v>0.0</v>
      </c>
      <c r="AZ212" s="13"/>
      <c r="BA212" s="13"/>
      <c r="BB212" s="13"/>
      <c r="BC212" s="13"/>
      <c r="BD212" s="13"/>
      <c r="BE212" s="13"/>
      <c r="BF212" s="13"/>
      <c r="BG212" s="13"/>
      <c r="BH212" s="13" t="s">
        <v>79</v>
      </c>
      <c r="BI212" s="13" t="b">
        <v>0</v>
      </c>
      <c r="BJ212" s="13">
        <v>0.0</v>
      </c>
      <c r="BK212" s="13">
        <v>0.0</v>
      </c>
    </row>
    <row r="213" ht="14.25" customHeight="1">
      <c r="A213" s="13">
        <v>211.0</v>
      </c>
      <c r="B213" s="13" t="s">
        <v>44</v>
      </c>
      <c r="C213" s="13">
        <v>3.0</v>
      </c>
      <c r="D213" s="14">
        <v>0.0</v>
      </c>
      <c r="E213" s="13" t="s">
        <v>1577</v>
      </c>
      <c r="F213" s="15"/>
      <c r="G213" s="16" t="s">
        <v>1578</v>
      </c>
      <c r="H213" s="13"/>
      <c r="I213" s="13">
        <v>1.2</v>
      </c>
      <c r="J213" s="13" t="s">
        <v>1579</v>
      </c>
      <c r="K213" s="13">
        <f t="shared" si="3"/>
        <v>1</v>
      </c>
      <c r="L213" s="13">
        <f t="shared" si="4"/>
        <v>2</v>
      </c>
      <c r="M213" s="13">
        <f t="shared" ref="M213:AA213" si="425">IFERROR(VALUE(RIGHT(LEFT($J213,FIND(M$1,$J213,1)+LEN(M$1)),1)),0)</f>
        <v>0</v>
      </c>
      <c r="N213" s="13">
        <f t="shared" si="425"/>
        <v>0</v>
      </c>
      <c r="O213" s="13">
        <f t="shared" si="425"/>
        <v>0</v>
      </c>
      <c r="P213" s="13">
        <f t="shared" si="425"/>
        <v>0</v>
      </c>
      <c r="Q213" s="13">
        <f t="shared" si="425"/>
        <v>0</v>
      </c>
      <c r="R213" s="13">
        <f t="shared" si="425"/>
        <v>0</v>
      </c>
      <c r="S213" s="13">
        <f t="shared" si="425"/>
        <v>1</v>
      </c>
      <c r="T213" s="13">
        <f t="shared" si="425"/>
        <v>0</v>
      </c>
      <c r="U213" s="13">
        <f t="shared" si="425"/>
        <v>0</v>
      </c>
      <c r="V213" s="13">
        <f t="shared" si="425"/>
        <v>0</v>
      </c>
      <c r="W213" s="13">
        <f t="shared" si="425"/>
        <v>0</v>
      </c>
      <c r="X213" s="13">
        <f t="shared" si="425"/>
        <v>0</v>
      </c>
      <c r="Y213" s="13">
        <f t="shared" si="425"/>
        <v>0</v>
      </c>
      <c r="Z213" s="13">
        <f t="shared" si="425"/>
        <v>0</v>
      </c>
      <c r="AA213" s="13">
        <f t="shared" si="425"/>
        <v>0</v>
      </c>
      <c r="AB213" s="13">
        <f t="shared" ref="AB213:AP213" si="426">IFERROR(VALUE(RIGHT(LEFT($J213,FIND(AB$1,$J213,IF(M213=0,1,FIND(AB$1,$J213,1)+1))+LEN(AB$1)),1)),0)</f>
        <v>0</v>
      </c>
      <c r="AC213" s="13">
        <f t="shared" si="426"/>
        <v>0</v>
      </c>
      <c r="AD213" s="13">
        <f t="shared" si="426"/>
        <v>1</v>
      </c>
      <c r="AE213" s="13">
        <f t="shared" si="426"/>
        <v>0</v>
      </c>
      <c r="AF213" s="13">
        <f t="shared" si="426"/>
        <v>0</v>
      </c>
      <c r="AG213" s="13">
        <f t="shared" si="426"/>
        <v>0</v>
      </c>
      <c r="AH213" s="13">
        <f t="shared" si="426"/>
        <v>1</v>
      </c>
      <c r="AI213" s="13">
        <f t="shared" si="426"/>
        <v>0</v>
      </c>
      <c r="AJ213" s="13">
        <f t="shared" si="426"/>
        <v>0</v>
      </c>
      <c r="AK213" s="13">
        <f t="shared" si="426"/>
        <v>0</v>
      </c>
      <c r="AL213" s="13">
        <f t="shared" si="426"/>
        <v>0</v>
      </c>
      <c r="AM213" s="13">
        <f t="shared" si="426"/>
        <v>0</v>
      </c>
      <c r="AN213" s="13">
        <f t="shared" si="426"/>
        <v>0</v>
      </c>
      <c r="AO213" s="13">
        <f t="shared" si="426"/>
        <v>0</v>
      </c>
      <c r="AP213" s="13">
        <f t="shared" si="426"/>
        <v>0</v>
      </c>
      <c r="AQ213" s="13" t="s">
        <v>1580</v>
      </c>
      <c r="AR213" s="13"/>
      <c r="AS213" s="13" t="s">
        <v>1581</v>
      </c>
      <c r="AT213" s="13"/>
      <c r="AU213" s="13"/>
      <c r="AV213" s="13"/>
      <c r="AW213" s="13">
        <v>0.0</v>
      </c>
      <c r="AX213" s="13">
        <v>-1.0</v>
      </c>
      <c r="AY213" s="13">
        <v>0.0</v>
      </c>
      <c r="AZ213" s="13"/>
      <c r="BA213" s="13"/>
      <c r="BB213" s="13"/>
      <c r="BC213" s="13"/>
      <c r="BD213" s="13"/>
      <c r="BE213" s="13"/>
      <c r="BF213" s="13"/>
      <c r="BG213" s="13"/>
      <c r="BH213" s="13" t="s">
        <v>79</v>
      </c>
      <c r="BI213" s="13" t="b">
        <v>0</v>
      </c>
      <c r="BJ213" s="13">
        <v>0.0</v>
      </c>
      <c r="BK213" s="13">
        <v>0.0</v>
      </c>
    </row>
    <row r="214" ht="14.25" customHeight="1">
      <c r="A214" s="13">
        <v>212.0</v>
      </c>
      <c r="B214" s="13" t="s">
        <v>45</v>
      </c>
      <c r="C214" s="13">
        <v>3.0</v>
      </c>
      <c r="D214" s="14">
        <v>0.0</v>
      </c>
      <c r="E214" s="13" t="s">
        <v>1582</v>
      </c>
      <c r="F214" s="15"/>
      <c r="G214" s="16" t="s">
        <v>1583</v>
      </c>
      <c r="H214" s="13"/>
      <c r="I214" s="13">
        <v>0.9</v>
      </c>
      <c r="J214" s="13" t="s">
        <v>1584</v>
      </c>
      <c r="K214" s="13">
        <f t="shared" si="3"/>
        <v>1</v>
      </c>
      <c r="L214" s="13">
        <f t="shared" si="4"/>
        <v>2</v>
      </c>
      <c r="M214" s="13">
        <f t="shared" ref="M214:AA214" si="427">IFERROR(VALUE(RIGHT(LEFT($J214,FIND(M$1,$J214,1)+LEN(M$1)),1)),0)</f>
        <v>0</v>
      </c>
      <c r="N214" s="13">
        <f t="shared" si="427"/>
        <v>0</v>
      </c>
      <c r="O214" s="13">
        <f t="shared" si="427"/>
        <v>0</v>
      </c>
      <c r="P214" s="13">
        <f t="shared" si="427"/>
        <v>0</v>
      </c>
      <c r="Q214" s="13">
        <f t="shared" si="427"/>
        <v>0</v>
      </c>
      <c r="R214" s="13">
        <f t="shared" si="427"/>
        <v>0</v>
      </c>
      <c r="S214" s="13">
        <f t="shared" si="427"/>
        <v>0</v>
      </c>
      <c r="T214" s="13">
        <f t="shared" si="427"/>
        <v>1</v>
      </c>
      <c r="U214" s="13">
        <f t="shared" si="427"/>
        <v>0</v>
      </c>
      <c r="V214" s="13">
        <f t="shared" si="427"/>
        <v>0</v>
      </c>
      <c r="W214" s="13">
        <f t="shared" si="427"/>
        <v>0</v>
      </c>
      <c r="X214" s="13">
        <f t="shared" si="427"/>
        <v>0</v>
      </c>
      <c r="Y214" s="13">
        <f t="shared" si="427"/>
        <v>0</v>
      </c>
      <c r="Z214" s="13">
        <f t="shared" si="427"/>
        <v>0</v>
      </c>
      <c r="AA214" s="13">
        <f t="shared" si="427"/>
        <v>0</v>
      </c>
      <c r="AB214" s="13">
        <f t="shared" ref="AB214:AP214" si="428">IFERROR(VALUE(RIGHT(LEFT($J214,FIND(AB$1,$J214,IF(M214=0,1,FIND(AB$1,$J214,1)+1))+LEN(AB$1)),1)),0)</f>
        <v>0</v>
      </c>
      <c r="AC214" s="13">
        <f t="shared" si="428"/>
        <v>1</v>
      </c>
      <c r="AD214" s="13">
        <f t="shared" si="428"/>
        <v>0</v>
      </c>
      <c r="AE214" s="13">
        <f t="shared" si="428"/>
        <v>0</v>
      </c>
      <c r="AF214" s="13">
        <f t="shared" si="428"/>
        <v>0</v>
      </c>
      <c r="AG214" s="13">
        <f t="shared" si="428"/>
        <v>0</v>
      </c>
      <c r="AH214" s="13">
        <f t="shared" si="428"/>
        <v>0</v>
      </c>
      <c r="AI214" s="13">
        <f t="shared" si="428"/>
        <v>1</v>
      </c>
      <c r="AJ214" s="13">
        <f t="shared" si="428"/>
        <v>0</v>
      </c>
      <c r="AK214" s="13">
        <f t="shared" si="428"/>
        <v>0</v>
      </c>
      <c r="AL214" s="13">
        <f t="shared" si="428"/>
        <v>0</v>
      </c>
      <c r="AM214" s="13">
        <f t="shared" si="428"/>
        <v>0</v>
      </c>
      <c r="AN214" s="13">
        <f t="shared" si="428"/>
        <v>0</v>
      </c>
      <c r="AO214" s="13">
        <f t="shared" si="428"/>
        <v>0</v>
      </c>
      <c r="AP214" s="13">
        <f t="shared" si="428"/>
        <v>0</v>
      </c>
      <c r="AQ214" s="13" t="s">
        <v>1585</v>
      </c>
      <c r="AR214" s="13"/>
      <c r="AS214" s="13" t="s">
        <v>1586</v>
      </c>
      <c r="AT214" s="13"/>
      <c r="AU214" s="13"/>
      <c r="AV214" s="13"/>
      <c r="AW214" s="13">
        <v>0.0</v>
      </c>
      <c r="AX214" s="13">
        <v>-1.0</v>
      </c>
      <c r="AY214" s="13">
        <v>0.0</v>
      </c>
      <c r="AZ214" s="13"/>
      <c r="BA214" s="13"/>
      <c r="BB214" s="13"/>
      <c r="BC214" s="13"/>
      <c r="BD214" s="13"/>
      <c r="BE214" s="13"/>
      <c r="BF214" s="13"/>
      <c r="BG214" s="13"/>
      <c r="BH214" s="13" t="s">
        <v>79</v>
      </c>
      <c r="BI214" s="13" t="b">
        <v>0</v>
      </c>
      <c r="BJ214" s="13">
        <v>0.0</v>
      </c>
      <c r="BK214" s="13">
        <v>0.0</v>
      </c>
    </row>
    <row r="215" ht="14.25" customHeight="1">
      <c r="A215" s="13">
        <v>213.0</v>
      </c>
      <c r="B215" s="13" t="s">
        <v>45</v>
      </c>
      <c r="C215" s="13">
        <v>3.0</v>
      </c>
      <c r="D215" s="14">
        <v>0.0</v>
      </c>
      <c r="E215" s="13" t="s">
        <v>1587</v>
      </c>
      <c r="F215" s="15"/>
      <c r="G215" s="16" t="s">
        <v>1588</v>
      </c>
      <c r="H215" s="13"/>
      <c r="I215" s="13">
        <v>1.1</v>
      </c>
      <c r="J215" s="13" t="s">
        <v>1589</v>
      </c>
      <c r="K215" s="13">
        <f t="shared" si="3"/>
        <v>1</v>
      </c>
      <c r="L215" s="13">
        <f t="shared" si="4"/>
        <v>2</v>
      </c>
      <c r="M215" s="13">
        <f t="shared" ref="M215:AA215" si="429">IFERROR(VALUE(RIGHT(LEFT($J215,FIND(M$1,$J215,1)+LEN(M$1)),1)),0)</f>
        <v>0</v>
      </c>
      <c r="N215" s="13">
        <f t="shared" si="429"/>
        <v>0</v>
      </c>
      <c r="O215" s="13">
        <f t="shared" si="429"/>
        <v>0</v>
      </c>
      <c r="P215" s="13">
        <f t="shared" si="429"/>
        <v>1</v>
      </c>
      <c r="Q215" s="13">
        <f t="shared" si="429"/>
        <v>0</v>
      </c>
      <c r="R215" s="13">
        <f t="shared" si="429"/>
        <v>0</v>
      </c>
      <c r="S215" s="13">
        <f t="shared" si="429"/>
        <v>0</v>
      </c>
      <c r="T215" s="13">
        <f t="shared" si="429"/>
        <v>0</v>
      </c>
      <c r="U215" s="13">
        <f t="shared" si="429"/>
        <v>0</v>
      </c>
      <c r="V215" s="13">
        <f t="shared" si="429"/>
        <v>0</v>
      </c>
      <c r="W215" s="13">
        <f t="shared" si="429"/>
        <v>0</v>
      </c>
      <c r="X215" s="13">
        <f t="shared" si="429"/>
        <v>0</v>
      </c>
      <c r="Y215" s="13">
        <f t="shared" si="429"/>
        <v>0</v>
      </c>
      <c r="Z215" s="13">
        <f t="shared" si="429"/>
        <v>0</v>
      </c>
      <c r="AA215" s="13">
        <f t="shared" si="429"/>
        <v>0</v>
      </c>
      <c r="AB215" s="13">
        <f t="shared" ref="AB215:AP215" si="430">IFERROR(VALUE(RIGHT(LEFT($J215,FIND(AB$1,$J215,IF(M215=0,1,FIND(AB$1,$J215,1)+1))+LEN(AB$1)),1)),0)</f>
        <v>0</v>
      </c>
      <c r="AC215" s="13">
        <f t="shared" si="430"/>
        <v>0</v>
      </c>
      <c r="AD215" s="13">
        <f t="shared" si="430"/>
        <v>1</v>
      </c>
      <c r="AE215" s="13">
        <f t="shared" si="430"/>
        <v>0</v>
      </c>
      <c r="AF215" s="13">
        <f t="shared" si="430"/>
        <v>0</v>
      </c>
      <c r="AG215" s="13">
        <f t="shared" si="430"/>
        <v>0</v>
      </c>
      <c r="AH215" s="13">
        <f t="shared" si="430"/>
        <v>0</v>
      </c>
      <c r="AI215" s="13">
        <f t="shared" si="430"/>
        <v>1</v>
      </c>
      <c r="AJ215" s="13">
        <f t="shared" si="430"/>
        <v>0</v>
      </c>
      <c r="AK215" s="13">
        <f t="shared" si="430"/>
        <v>0</v>
      </c>
      <c r="AL215" s="13">
        <f t="shared" si="430"/>
        <v>0</v>
      </c>
      <c r="AM215" s="13">
        <f t="shared" si="430"/>
        <v>0</v>
      </c>
      <c r="AN215" s="13">
        <f t="shared" si="430"/>
        <v>0</v>
      </c>
      <c r="AO215" s="13">
        <f t="shared" si="430"/>
        <v>0</v>
      </c>
      <c r="AP215" s="13">
        <f t="shared" si="430"/>
        <v>0</v>
      </c>
      <c r="AQ215" s="13" t="s">
        <v>1590</v>
      </c>
      <c r="AR215" s="13"/>
      <c r="AS215" s="13" t="s">
        <v>1591</v>
      </c>
      <c r="AT215" s="13"/>
      <c r="AU215" s="13"/>
      <c r="AV215" s="13"/>
      <c r="AW215" s="13">
        <v>0.0</v>
      </c>
      <c r="AX215" s="13">
        <v>-1.0</v>
      </c>
      <c r="AY215" s="13">
        <v>0.0</v>
      </c>
      <c r="AZ215" s="13"/>
      <c r="BA215" s="13"/>
      <c r="BB215" s="13"/>
      <c r="BC215" s="13"/>
      <c r="BD215" s="13"/>
      <c r="BE215" s="13"/>
      <c r="BF215" s="13"/>
      <c r="BG215" s="13"/>
      <c r="BH215" s="13" t="s">
        <v>79</v>
      </c>
      <c r="BI215" s="13" t="b">
        <v>0</v>
      </c>
      <c r="BJ215" s="13">
        <v>0.0</v>
      </c>
      <c r="BK215" s="13">
        <v>0.0</v>
      </c>
    </row>
    <row r="216" ht="14.25" customHeight="1">
      <c r="A216" s="13">
        <v>214.0</v>
      </c>
      <c r="B216" s="13" t="s">
        <v>45</v>
      </c>
      <c r="C216" s="13">
        <v>3.0</v>
      </c>
      <c r="D216" s="14">
        <v>0.0</v>
      </c>
      <c r="E216" s="13" t="s">
        <v>1592</v>
      </c>
      <c r="F216" s="15" t="s">
        <v>710</v>
      </c>
      <c r="G216" s="16" t="s">
        <v>1593</v>
      </c>
      <c r="H216" s="13"/>
      <c r="I216" s="13">
        <v>1.0</v>
      </c>
      <c r="J216" s="13" t="s">
        <v>1594</v>
      </c>
      <c r="K216" s="13">
        <f t="shared" si="3"/>
        <v>1</v>
      </c>
      <c r="L216" s="13">
        <f t="shared" si="4"/>
        <v>2</v>
      </c>
      <c r="M216" s="13">
        <f t="shared" ref="M216:AA216" si="431">IFERROR(VALUE(RIGHT(LEFT($J216,FIND(M$1,$J216,1)+LEN(M$1)),1)),0)</f>
        <v>0</v>
      </c>
      <c r="N216" s="13">
        <f t="shared" si="431"/>
        <v>0</v>
      </c>
      <c r="O216" s="13">
        <f t="shared" si="431"/>
        <v>0</v>
      </c>
      <c r="P216" s="13">
        <f t="shared" si="431"/>
        <v>0</v>
      </c>
      <c r="Q216" s="13">
        <f t="shared" si="431"/>
        <v>0</v>
      </c>
      <c r="R216" s="13">
        <f t="shared" si="431"/>
        <v>0</v>
      </c>
      <c r="S216" s="13">
        <f t="shared" si="431"/>
        <v>0</v>
      </c>
      <c r="T216" s="13">
        <f t="shared" si="431"/>
        <v>1</v>
      </c>
      <c r="U216" s="13">
        <f t="shared" si="431"/>
        <v>0</v>
      </c>
      <c r="V216" s="13">
        <f t="shared" si="431"/>
        <v>0</v>
      </c>
      <c r="W216" s="13">
        <f t="shared" si="431"/>
        <v>0</v>
      </c>
      <c r="X216" s="13">
        <f t="shared" si="431"/>
        <v>0</v>
      </c>
      <c r="Y216" s="13">
        <f t="shared" si="431"/>
        <v>0</v>
      </c>
      <c r="Z216" s="13">
        <f t="shared" si="431"/>
        <v>0</v>
      </c>
      <c r="AA216" s="13">
        <f t="shared" si="431"/>
        <v>0</v>
      </c>
      <c r="AB216" s="13">
        <f t="shared" ref="AB216:AP216" si="432">IFERROR(VALUE(RIGHT(LEFT($J216,FIND(AB$1,$J216,IF(M216=0,1,FIND(AB$1,$J216,1)+1))+LEN(AB$1)),1)),0)</f>
        <v>1</v>
      </c>
      <c r="AC216" s="13">
        <f t="shared" si="432"/>
        <v>0</v>
      </c>
      <c r="AD216" s="13">
        <f t="shared" si="432"/>
        <v>0</v>
      </c>
      <c r="AE216" s="13">
        <f t="shared" si="432"/>
        <v>0</v>
      </c>
      <c r="AF216" s="13">
        <f t="shared" si="432"/>
        <v>0</v>
      </c>
      <c r="AG216" s="13">
        <f t="shared" si="432"/>
        <v>0</v>
      </c>
      <c r="AH216" s="13">
        <f t="shared" si="432"/>
        <v>0</v>
      </c>
      <c r="AI216" s="13">
        <f t="shared" si="432"/>
        <v>1</v>
      </c>
      <c r="AJ216" s="13">
        <f t="shared" si="432"/>
        <v>0</v>
      </c>
      <c r="AK216" s="13">
        <f t="shared" si="432"/>
        <v>0</v>
      </c>
      <c r="AL216" s="13">
        <f t="shared" si="432"/>
        <v>0</v>
      </c>
      <c r="AM216" s="13">
        <f t="shared" si="432"/>
        <v>0</v>
      </c>
      <c r="AN216" s="13">
        <f t="shared" si="432"/>
        <v>0</v>
      </c>
      <c r="AO216" s="13">
        <f t="shared" si="432"/>
        <v>0</v>
      </c>
      <c r="AP216" s="13">
        <f t="shared" si="432"/>
        <v>0</v>
      </c>
      <c r="AQ216" s="13" t="s">
        <v>1595</v>
      </c>
      <c r="AR216" s="13"/>
      <c r="AS216" s="13" t="s">
        <v>1596</v>
      </c>
      <c r="AT216" s="13"/>
      <c r="AU216" s="13"/>
      <c r="AV216" s="13"/>
      <c r="AW216" s="13">
        <v>0.0</v>
      </c>
      <c r="AX216" s="13">
        <v>-1.0</v>
      </c>
      <c r="AY216" s="13">
        <v>0.0</v>
      </c>
      <c r="AZ216" s="13"/>
      <c r="BA216" s="13"/>
      <c r="BB216" s="13"/>
      <c r="BC216" s="13"/>
      <c r="BD216" s="13"/>
      <c r="BE216" s="13"/>
      <c r="BF216" s="13"/>
      <c r="BG216" s="13"/>
      <c r="BH216" s="13" t="s">
        <v>79</v>
      </c>
      <c r="BI216" s="13" t="b">
        <v>0</v>
      </c>
      <c r="BJ216" s="13">
        <v>0.0</v>
      </c>
      <c r="BK216" s="13">
        <v>0.0</v>
      </c>
    </row>
    <row r="217" ht="14.25" customHeight="1">
      <c r="A217" s="13">
        <v>215.0</v>
      </c>
      <c r="B217" s="13" t="s">
        <v>45</v>
      </c>
      <c r="C217" s="13">
        <v>3.0</v>
      </c>
      <c r="D217" s="14">
        <v>0.0</v>
      </c>
      <c r="E217" s="13" t="s">
        <v>1597</v>
      </c>
      <c r="F217" s="15"/>
      <c r="G217" s="16" t="s">
        <v>1598</v>
      </c>
      <c r="H217" s="13"/>
      <c r="I217" s="13">
        <v>0.9</v>
      </c>
      <c r="J217" s="13" t="s">
        <v>1599</v>
      </c>
      <c r="K217" s="13">
        <f t="shared" si="3"/>
        <v>1</v>
      </c>
      <c r="L217" s="13">
        <f t="shared" si="4"/>
        <v>2</v>
      </c>
      <c r="M217" s="13">
        <f t="shared" ref="M217:AA217" si="433">IFERROR(VALUE(RIGHT(LEFT($J217,FIND(M$1,$J217,1)+LEN(M$1)),1)),0)</f>
        <v>0</v>
      </c>
      <c r="N217" s="13">
        <f t="shared" si="433"/>
        <v>0</v>
      </c>
      <c r="O217" s="13">
        <f t="shared" si="433"/>
        <v>0</v>
      </c>
      <c r="P217" s="13">
        <f t="shared" si="433"/>
        <v>0</v>
      </c>
      <c r="Q217" s="13">
        <f t="shared" si="433"/>
        <v>0</v>
      </c>
      <c r="R217" s="13">
        <f t="shared" si="433"/>
        <v>0</v>
      </c>
      <c r="S217" s="13">
        <f t="shared" si="433"/>
        <v>0</v>
      </c>
      <c r="T217" s="13">
        <f t="shared" si="433"/>
        <v>1</v>
      </c>
      <c r="U217" s="13">
        <f t="shared" si="433"/>
        <v>0</v>
      </c>
      <c r="V217" s="13">
        <f t="shared" si="433"/>
        <v>0</v>
      </c>
      <c r="W217" s="13">
        <f t="shared" si="433"/>
        <v>0</v>
      </c>
      <c r="X217" s="13">
        <f t="shared" si="433"/>
        <v>0</v>
      </c>
      <c r="Y217" s="13">
        <f t="shared" si="433"/>
        <v>0</v>
      </c>
      <c r="Z217" s="13">
        <f t="shared" si="433"/>
        <v>0</v>
      </c>
      <c r="AA217" s="13">
        <f t="shared" si="433"/>
        <v>0</v>
      </c>
      <c r="AB217" s="13">
        <f t="shared" ref="AB217:AP217" si="434">IFERROR(VALUE(RIGHT(LEFT($J217,FIND(AB$1,$J217,IF(M217=0,1,FIND(AB$1,$J217,1)+1))+LEN(AB$1)),1)),0)</f>
        <v>0</v>
      </c>
      <c r="AC217" s="13">
        <f t="shared" si="434"/>
        <v>0</v>
      </c>
      <c r="AD217" s="13">
        <f t="shared" si="434"/>
        <v>0</v>
      </c>
      <c r="AE217" s="13">
        <f t="shared" si="434"/>
        <v>1</v>
      </c>
      <c r="AF217" s="13">
        <f t="shared" si="434"/>
        <v>0</v>
      </c>
      <c r="AG217" s="13">
        <f t="shared" si="434"/>
        <v>0</v>
      </c>
      <c r="AH217" s="13">
        <f t="shared" si="434"/>
        <v>0</v>
      </c>
      <c r="AI217" s="13">
        <f t="shared" si="434"/>
        <v>1</v>
      </c>
      <c r="AJ217" s="13">
        <f t="shared" si="434"/>
        <v>0</v>
      </c>
      <c r="AK217" s="13">
        <f t="shared" si="434"/>
        <v>0</v>
      </c>
      <c r="AL217" s="13">
        <f t="shared" si="434"/>
        <v>0</v>
      </c>
      <c r="AM217" s="13">
        <f t="shared" si="434"/>
        <v>0</v>
      </c>
      <c r="AN217" s="13">
        <f t="shared" si="434"/>
        <v>0</v>
      </c>
      <c r="AO217" s="13">
        <f t="shared" si="434"/>
        <v>0</v>
      </c>
      <c r="AP217" s="13">
        <f t="shared" si="434"/>
        <v>0</v>
      </c>
      <c r="AQ217" s="13" t="s">
        <v>1600</v>
      </c>
      <c r="AR217" s="13"/>
      <c r="AS217" s="13" t="s">
        <v>1601</v>
      </c>
      <c r="AT217" s="13"/>
      <c r="AU217" s="13"/>
      <c r="AV217" s="13"/>
      <c r="AW217" s="13">
        <v>0.0</v>
      </c>
      <c r="AX217" s="13">
        <v>-1.0</v>
      </c>
      <c r="AY217" s="13">
        <v>0.0</v>
      </c>
      <c r="AZ217" s="13"/>
      <c r="BA217" s="13"/>
      <c r="BB217" s="13"/>
      <c r="BC217" s="13"/>
      <c r="BD217" s="13"/>
      <c r="BE217" s="13"/>
      <c r="BF217" s="13"/>
      <c r="BG217" s="13"/>
      <c r="BH217" s="13" t="s">
        <v>79</v>
      </c>
      <c r="BI217" s="13" t="b">
        <v>0</v>
      </c>
      <c r="BJ217" s="13">
        <v>0.0</v>
      </c>
      <c r="BK217" s="13">
        <v>0.0</v>
      </c>
    </row>
    <row r="218" ht="14.25" customHeight="1">
      <c r="A218" s="13">
        <v>216.0</v>
      </c>
      <c r="B218" s="13" t="s">
        <v>45</v>
      </c>
      <c r="C218" s="13">
        <v>3.0</v>
      </c>
      <c r="D218" s="14">
        <v>0.0</v>
      </c>
      <c r="E218" s="13" t="s">
        <v>1602</v>
      </c>
      <c r="F218" s="15" t="s">
        <v>455</v>
      </c>
      <c r="G218" s="16" t="s">
        <v>1603</v>
      </c>
      <c r="H218" s="13"/>
      <c r="I218" s="13">
        <v>1.2</v>
      </c>
      <c r="J218" s="13" t="s">
        <v>1604</v>
      </c>
      <c r="K218" s="13">
        <f t="shared" si="3"/>
        <v>1</v>
      </c>
      <c r="L218" s="13">
        <f t="shared" si="4"/>
        <v>2</v>
      </c>
      <c r="M218" s="13">
        <f t="shared" ref="M218:AA218" si="435">IFERROR(VALUE(RIGHT(LEFT($J218,FIND(M$1,$J218,1)+LEN(M$1)),1)),0)</f>
        <v>0</v>
      </c>
      <c r="N218" s="13">
        <f t="shared" si="435"/>
        <v>1</v>
      </c>
      <c r="O218" s="13">
        <f t="shared" si="435"/>
        <v>0</v>
      </c>
      <c r="P218" s="13">
        <f t="shared" si="435"/>
        <v>0</v>
      </c>
      <c r="Q218" s="13">
        <f t="shared" si="435"/>
        <v>0</v>
      </c>
      <c r="R218" s="13">
        <f t="shared" si="435"/>
        <v>0</v>
      </c>
      <c r="S218" s="13">
        <f t="shared" si="435"/>
        <v>0</v>
      </c>
      <c r="T218" s="13">
        <f t="shared" si="435"/>
        <v>0</v>
      </c>
      <c r="U218" s="13">
        <f t="shared" si="435"/>
        <v>0</v>
      </c>
      <c r="V218" s="13">
        <f t="shared" si="435"/>
        <v>0</v>
      </c>
      <c r="W218" s="13">
        <f t="shared" si="435"/>
        <v>0</v>
      </c>
      <c r="X218" s="13">
        <f t="shared" si="435"/>
        <v>0</v>
      </c>
      <c r="Y218" s="13">
        <f t="shared" si="435"/>
        <v>0</v>
      </c>
      <c r="Z218" s="13">
        <f t="shared" si="435"/>
        <v>0</v>
      </c>
      <c r="AA218" s="13">
        <f t="shared" si="435"/>
        <v>0</v>
      </c>
      <c r="AB218" s="13">
        <f t="shared" ref="AB218:AP218" si="436">IFERROR(VALUE(RIGHT(LEFT($J218,FIND(AB$1,$J218,IF(M218=0,1,FIND(AB$1,$J218,1)+1))+LEN(AB$1)),1)),0)</f>
        <v>0</v>
      </c>
      <c r="AC218" s="13">
        <f t="shared" si="436"/>
        <v>0</v>
      </c>
      <c r="AD218" s="13">
        <f t="shared" si="436"/>
        <v>0</v>
      </c>
      <c r="AE218" s="13">
        <f t="shared" si="436"/>
        <v>0</v>
      </c>
      <c r="AF218" s="13">
        <f t="shared" si="436"/>
        <v>1</v>
      </c>
      <c r="AG218" s="13">
        <f t="shared" si="436"/>
        <v>0</v>
      </c>
      <c r="AH218" s="13">
        <f t="shared" si="436"/>
        <v>0</v>
      </c>
      <c r="AI218" s="13">
        <f t="shared" si="436"/>
        <v>1</v>
      </c>
      <c r="AJ218" s="13">
        <f t="shared" si="436"/>
        <v>0</v>
      </c>
      <c r="AK218" s="13">
        <f t="shared" si="436"/>
        <v>0</v>
      </c>
      <c r="AL218" s="13">
        <f t="shared" si="436"/>
        <v>0</v>
      </c>
      <c r="AM218" s="13">
        <f t="shared" si="436"/>
        <v>0</v>
      </c>
      <c r="AN218" s="13">
        <f t="shared" si="436"/>
        <v>0</v>
      </c>
      <c r="AO218" s="13">
        <f t="shared" si="436"/>
        <v>0</v>
      </c>
      <c r="AP218" s="13">
        <f t="shared" si="436"/>
        <v>0</v>
      </c>
      <c r="AQ218" s="13" t="s">
        <v>1605</v>
      </c>
      <c r="AR218" s="13"/>
      <c r="AS218" s="13" t="s">
        <v>1606</v>
      </c>
      <c r="AT218" s="13"/>
      <c r="AU218" s="13"/>
      <c r="AV218" s="13"/>
      <c r="AW218" s="13">
        <v>0.0</v>
      </c>
      <c r="AX218" s="13">
        <v>-1.0</v>
      </c>
      <c r="AY218" s="13">
        <v>0.0</v>
      </c>
      <c r="AZ218" s="13"/>
      <c r="BA218" s="13"/>
      <c r="BB218" s="13"/>
      <c r="BC218" s="13"/>
      <c r="BD218" s="13"/>
      <c r="BE218" s="13"/>
      <c r="BF218" s="13"/>
      <c r="BG218" s="13"/>
      <c r="BH218" s="13" t="s">
        <v>79</v>
      </c>
      <c r="BI218" s="13" t="b">
        <v>0</v>
      </c>
      <c r="BJ218" s="13">
        <v>0.0</v>
      </c>
      <c r="BK218" s="13">
        <v>0.0</v>
      </c>
    </row>
    <row r="219" ht="14.25" customHeight="1">
      <c r="A219" s="13">
        <v>217.0</v>
      </c>
      <c r="B219" s="13" t="s">
        <v>46</v>
      </c>
      <c r="C219" s="13">
        <v>3.0</v>
      </c>
      <c r="D219" s="14">
        <v>0.0</v>
      </c>
      <c r="E219" s="13" t="s">
        <v>1607</v>
      </c>
      <c r="F219" s="15" t="s">
        <v>413</v>
      </c>
      <c r="G219" s="16" t="s">
        <v>1608</v>
      </c>
      <c r="H219" s="13"/>
      <c r="I219" s="13">
        <v>1.2</v>
      </c>
      <c r="J219" s="13" t="s">
        <v>1609</v>
      </c>
      <c r="K219" s="13">
        <f t="shared" si="3"/>
        <v>1</v>
      </c>
      <c r="L219" s="13">
        <f t="shared" si="4"/>
        <v>2</v>
      </c>
      <c r="M219" s="13">
        <f t="shared" ref="M219:AA219" si="437">IFERROR(VALUE(RIGHT(LEFT($J219,FIND(M$1,$J219,1)+LEN(M$1)),1)),0)</f>
        <v>0</v>
      </c>
      <c r="N219" s="13">
        <f t="shared" si="437"/>
        <v>0</v>
      </c>
      <c r="O219" s="13">
        <f t="shared" si="437"/>
        <v>0</v>
      </c>
      <c r="P219" s="13">
        <f t="shared" si="437"/>
        <v>0</v>
      </c>
      <c r="Q219" s="13">
        <f t="shared" si="437"/>
        <v>0</v>
      </c>
      <c r="R219" s="13">
        <f t="shared" si="437"/>
        <v>0</v>
      </c>
      <c r="S219" s="13">
        <f t="shared" si="437"/>
        <v>0</v>
      </c>
      <c r="T219" s="13">
        <f t="shared" si="437"/>
        <v>0</v>
      </c>
      <c r="U219" s="13">
        <f t="shared" si="437"/>
        <v>1</v>
      </c>
      <c r="V219" s="13">
        <f t="shared" si="437"/>
        <v>0</v>
      </c>
      <c r="W219" s="13">
        <f t="shared" si="437"/>
        <v>0</v>
      </c>
      <c r="X219" s="13">
        <f t="shared" si="437"/>
        <v>0</v>
      </c>
      <c r="Y219" s="13">
        <f t="shared" si="437"/>
        <v>0</v>
      </c>
      <c r="Z219" s="13">
        <f t="shared" si="437"/>
        <v>0</v>
      </c>
      <c r="AA219" s="13">
        <f t="shared" si="437"/>
        <v>0</v>
      </c>
      <c r="AB219" s="13">
        <f t="shared" ref="AB219:AP219" si="438">IFERROR(VALUE(RIGHT(LEFT($J219,FIND(AB$1,$J219,IF(M219=0,1,FIND(AB$1,$J219,1)+1))+LEN(AB$1)),1)),0)</f>
        <v>1</v>
      </c>
      <c r="AC219" s="13">
        <f t="shared" si="438"/>
        <v>0</v>
      </c>
      <c r="AD219" s="13">
        <f t="shared" si="438"/>
        <v>0</v>
      </c>
      <c r="AE219" s="13">
        <f t="shared" si="438"/>
        <v>0</v>
      </c>
      <c r="AF219" s="13">
        <f t="shared" si="438"/>
        <v>0</v>
      </c>
      <c r="AG219" s="13">
        <f t="shared" si="438"/>
        <v>0</v>
      </c>
      <c r="AH219" s="13">
        <f t="shared" si="438"/>
        <v>0</v>
      </c>
      <c r="AI219" s="13">
        <f t="shared" si="438"/>
        <v>0</v>
      </c>
      <c r="AJ219" s="13">
        <f t="shared" si="438"/>
        <v>1</v>
      </c>
      <c r="AK219" s="13">
        <f t="shared" si="438"/>
        <v>0</v>
      </c>
      <c r="AL219" s="13">
        <f t="shared" si="438"/>
        <v>0</v>
      </c>
      <c r="AM219" s="13">
        <f t="shared" si="438"/>
        <v>0</v>
      </c>
      <c r="AN219" s="13">
        <f t="shared" si="438"/>
        <v>0</v>
      </c>
      <c r="AO219" s="13">
        <f t="shared" si="438"/>
        <v>0</v>
      </c>
      <c r="AP219" s="13">
        <f t="shared" si="438"/>
        <v>0</v>
      </c>
      <c r="AQ219" s="13" t="s">
        <v>1610</v>
      </c>
      <c r="AR219" s="13"/>
      <c r="AS219" s="13" t="s">
        <v>1611</v>
      </c>
      <c r="AT219" s="13"/>
      <c r="AU219" s="13"/>
      <c r="AV219" s="13"/>
      <c r="AW219" s="13">
        <v>0.0</v>
      </c>
      <c r="AX219" s="13">
        <v>-1.0</v>
      </c>
      <c r="AY219" s="13">
        <v>0.0</v>
      </c>
      <c r="AZ219" s="13"/>
      <c r="BA219" s="13"/>
      <c r="BB219" s="13"/>
      <c r="BC219" s="13"/>
      <c r="BD219" s="13"/>
      <c r="BE219" s="13"/>
      <c r="BF219" s="13"/>
      <c r="BG219" s="13"/>
      <c r="BH219" s="13" t="s">
        <v>79</v>
      </c>
      <c r="BI219" s="13" t="b">
        <v>0</v>
      </c>
      <c r="BJ219" s="13">
        <v>0.0</v>
      </c>
      <c r="BK219" s="13">
        <v>0.0</v>
      </c>
    </row>
    <row r="220" ht="14.25" customHeight="1">
      <c r="A220" s="13">
        <v>218.0</v>
      </c>
      <c r="B220" s="13" t="s">
        <v>46</v>
      </c>
      <c r="C220" s="13">
        <v>3.0</v>
      </c>
      <c r="D220" s="14">
        <v>0.0</v>
      </c>
      <c r="E220" s="13" t="s">
        <v>1612</v>
      </c>
      <c r="F220" s="15" t="s">
        <v>433</v>
      </c>
      <c r="G220" s="16" t="s">
        <v>1613</v>
      </c>
      <c r="H220" s="13"/>
      <c r="I220" s="13">
        <v>1.0</v>
      </c>
      <c r="J220" s="13" t="s">
        <v>1614</v>
      </c>
      <c r="K220" s="13">
        <f t="shared" si="3"/>
        <v>1</v>
      </c>
      <c r="L220" s="13">
        <f t="shared" si="4"/>
        <v>2</v>
      </c>
      <c r="M220" s="13">
        <f t="shared" ref="M220:AA220" si="439">IFERROR(VALUE(RIGHT(LEFT($J220,FIND(M$1,$J220,1)+LEN(M$1)),1)),0)</f>
        <v>0</v>
      </c>
      <c r="N220" s="13">
        <f t="shared" si="439"/>
        <v>0</v>
      </c>
      <c r="O220" s="13">
        <f t="shared" si="439"/>
        <v>0</v>
      </c>
      <c r="P220" s="13">
        <f t="shared" si="439"/>
        <v>0</v>
      </c>
      <c r="Q220" s="13">
        <f t="shared" si="439"/>
        <v>1</v>
      </c>
      <c r="R220" s="13">
        <f t="shared" si="439"/>
        <v>0</v>
      </c>
      <c r="S220" s="13">
        <f t="shared" si="439"/>
        <v>0</v>
      </c>
      <c r="T220" s="13">
        <f t="shared" si="439"/>
        <v>0</v>
      </c>
      <c r="U220" s="13">
        <f t="shared" si="439"/>
        <v>0</v>
      </c>
      <c r="V220" s="13">
        <f t="shared" si="439"/>
        <v>0</v>
      </c>
      <c r="W220" s="13">
        <f t="shared" si="439"/>
        <v>0</v>
      </c>
      <c r="X220" s="13">
        <f t="shared" si="439"/>
        <v>0</v>
      </c>
      <c r="Y220" s="13">
        <f t="shared" si="439"/>
        <v>0</v>
      </c>
      <c r="Z220" s="13">
        <f t="shared" si="439"/>
        <v>0</v>
      </c>
      <c r="AA220" s="13">
        <f t="shared" si="439"/>
        <v>0</v>
      </c>
      <c r="AB220" s="13">
        <f t="shared" ref="AB220:AP220" si="440">IFERROR(VALUE(RIGHT(LEFT($J220,FIND(AB$1,$J220,IF(M220=0,1,FIND(AB$1,$J220,1)+1))+LEN(AB$1)),1)),0)</f>
        <v>0</v>
      </c>
      <c r="AC220" s="13">
        <f t="shared" si="440"/>
        <v>0</v>
      </c>
      <c r="AD220" s="13">
        <f t="shared" si="440"/>
        <v>0</v>
      </c>
      <c r="AE220" s="13">
        <f t="shared" si="440"/>
        <v>0</v>
      </c>
      <c r="AF220" s="13">
        <f t="shared" si="440"/>
        <v>0</v>
      </c>
      <c r="AG220" s="13">
        <f t="shared" si="440"/>
        <v>1</v>
      </c>
      <c r="AH220" s="13">
        <f t="shared" si="440"/>
        <v>0</v>
      </c>
      <c r="AI220" s="13">
        <f t="shared" si="440"/>
        <v>0</v>
      </c>
      <c r="AJ220" s="13">
        <f t="shared" si="440"/>
        <v>1</v>
      </c>
      <c r="AK220" s="13">
        <f t="shared" si="440"/>
        <v>0</v>
      </c>
      <c r="AL220" s="13">
        <f t="shared" si="440"/>
        <v>0</v>
      </c>
      <c r="AM220" s="13">
        <f t="shared" si="440"/>
        <v>0</v>
      </c>
      <c r="AN220" s="13">
        <f t="shared" si="440"/>
        <v>0</v>
      </c>
      <c r="AO220" s="13">
        <f t="shared" si="440"/>
        <v>0</v>
      </c>
      <c r="AP220" s="13">
        <f t="shared" si="440"/>
        <v>0</v>
      </c>
      <c r="AQ220" s="13" t="s">
        <v>1615</v>
      </c>
      <c r="AR220" s="13"/>
      <c r="AS220" s="13" t="s">
        <v>1616</v>
      </c>
      <c r="AT220" s="13"/>
      <c r="AU220" s="13"/>
      <c r="AV220" s="13"/>
      <c r="AW220" s="13">
        <v>0.0</v>
      </c>
      <c r="AX220" s="13">
        <v>-1.0</v>
      </c>
      <c r="AY220" s="13">
        <v>0.0</v>
      </c>
      <c r="AZ220" s="13"/>
      <c r="BA220" s="13"/>
      <c r="BB220" s="13"/>
      <c r="BC220" s="13"/>
      <c r="BD220" s="13"/>
      <c r="BE220" s="13"/>
      <c r="BF220" s="13"/>
      <c r="BG220" s="13"/>
      <c r="BH220" s="13" t="s">
        <v>79</v>
      </c>
      <c r="BI220" s="13" t="b">
        <v>0</v>
      </c>
      <c r="BJ220" s="13">
        <v>0.0</v>
      </c>
      <c r="BK220" s="13">
        <v>0.0</v>
      </c>
    </row>
    <row r="221" ht="14.25" customHeight="1">
      <c r="A221" s="13">
        <v>219.0</v>
      </c>
      <c r="B221" s="13" t="s">
        <v>46</v>
      </c>
      <c r="C221" s="13">
        <v>3.0</v>
      </c>
      <c r="D221" s="14">
        <v>0.0</v>
      </c>
      <c r="E221" s="13" t="s">
        <v>1617</v>
      </c>
      <c r="F221" s="15" t="s">
        <v>377</v>
      </c>
      <c r="G221" s="16" t="s">
        <v>1618</v>
      </c>
      <c r="H221" s="13"/>
      <c r="I221" s="13">
        <v>0.9</v>
      </c>
      <c r="J221" s="13" t="s">
        <v>1619</v>
      </c>
      <c r="K221" s="13">
        <f t="shared" si="3"/>
        <v>1</v>
      </c>
      <c r="L221" s="13">
        <f t="shared" si="4"/>
        <v>2</v>
      </c>
      <c r="M221" s="13">
        <f t="shared" ref="M221:AA221" si="441">IFERROR(VALUE(RIGHT(LEFT($J221,FIND(M$1,$J221,1)+LEN(M$1)),1)),0)</f>
        <v>0</v>
      </c>
      <c r="N221" s="13">
        <f t="shared" si="441"/>
        <v>0</v>
      </c>
      <c r="O221" s="13">
        <f t="shared" si="441"/>
        <v>0</v>
      </c>
      <c r="P221" s="13">
        <f t="shared" si="441"/>
        <v>0</v>
      </c>
      <c r="Q221" s="13">
        <f t="shared" si="441"/>
        <v>0</v>
      </c>
      <c r="R221" s="13">
        <f t="shared" si="441"/>
        <v>0</v>
      </c>
      <c r="S221" s="13">
        <f t="shared" si="441"/>
        <v>0</v>
      </c>
      <c r="T221" s="13">
        <f t="shared" si="441"/>
        <v>0</v>
      </c>
      <c r="U221" s="13">
        <f t="shared" si="441"/>
        <v>1</v>
      </c>
      <c r="V221" s="13">
        <f t="shared" si="441"/>
        <v>0</v>
      </c>
      <c r="W221" s="13">
        <f t="shared" si="441"/>
        <v>0</v>
      </c>
      <c r="X221" s="13">
        <f t="shared" si="441"/>
        <v>0</v>
      </c>
      <c r="Y221" s="13">
        <f t="shared" si="441"/>
        <v>0</v>
      </c>
      <c r="Z221" s="13">
        <f t="shared" si="441"/>
        <v>0</v>
      </c>
      <c r="AA221" s="13">
        <f t="shared" si="441"/>
        <v>0</v>
      </c>
      <c r="AB221" s="13">
        <f t="shared" ref="AB221:AP221" si="442">IFERROR(VALUE(RIGHT(LEFT($J221,FIND(AB$1,$J221,IF(M221=0,1,FIND(AB$1,$J221,1)+1))+LEN(AB$1)),1)),0)</f>
        <v>0</v>
      </c>
      <c r="AC221" s="13">
        <f t="shared" si="442"/>
        <v>0</v>
      </c>
      <c r="AD221" s="13">
        <f t="shared" si="442"/>
        <v>0</v>
      </c>
      <c r="AE221" s="13">
        <f t="shared" si="442"/>
        <v>1</v>
      </c>
      <c r="AF221" s="13">
        <f t="shared" si="442"/>
        <v>0</v>
      </c>
      <c r="AG221" s="13">
        <f t="shared" si="442"/>
        <v>0</v>
      </c>
      <c r="AH221" s="13">
        <f t="shared" si="442"/>
        <v>0</v>
      </c>
      <c r="AI221" s="13">
        <f t="shared" si="442"/>
        <v>0</v>
      </c>
      <c r="AJ221" s="13">
        <f t="shared" si="442"/>
        <v>1</v>
      </c>
      <c r="AK221" s="13">
        <f t="shared" si="442"/>
        <v>0</v>
      </c>
      <c r="AL221" s="13">
        <f t="shared" si="442"/>
        <v>0</v>
      </c>
      <c r="AM221" s="13">
        <f t="shared" si="442"/>
        <v>0</v>
      </c>
      <c r="AN221" s="13">
        <f t="shared" si="442"/>
        <v>0</v>
      </c>
      <c r="AO221" s="13">
        <f t="shared" si="442"/>
        <v>0</v>
      </c>
      <c r="AP221" s="13">
        <f t="shared" si="442"/>
        <v>0</v>
      </c>
      <c r="AQ221" s="13" t="s">
        <v>1620</v>
      </c>
      <c r="AR221" s="13"/>
      <c r="AS221" s="13" t="s">
        <v>1621</v>
      </c>
      <c r="AT221" s="13"/>
      <c r="AU221" s="13"/>
      <c r="AV221" s="13"/>
      <c r="AW221" s="13">
        <v>0.0</v>
      </c>
      <c r="AX221" s="13">
        <v>-1.0</v>
      </c>
      <c r="AY221" s="13">
        <v>0.0</v>
      </c>
      <c r="AZ221" s="13"/>
      <c r="BA221" s="13"/>
      <c r="BB221" s="13"/>
      <c r="BC221" s="13"/>
      <c r="BD221" s="13"/>
      <c r="BE221" s="13"/>
      <c r="BF221" s="13"/>
      <c r="BG221" s="13"/>
      <c r="BH221" s="13" t="s">
        <v>79</v>
      </c>
      <c r="BI221" s="13" t="b">
        <v>0</v>
      </c>
      <c r="BJ221" s="13">
        <v>0.0</v>
      </c>
      <c r="BK221" s="13">
        <v>0.0</v>
      </c>
    </row>
    <row r="222" ht="14.25" customHeight="1">
      <c r="A222" s="13">
        <v>220.0</v>
      </c>
      <c r="B222" s="13" t="s">
        <v>46</v>
      </c>
      <c r="C222" s="13">
        <v>3.0</v>
      </c>
      <c r="D222" s="14">
        <v>0.0</v>
      </c>
      <c r="E222" s="13" t="s">
        <v>1622</v>
      </c>
      <c r="F222" s="15"/>
      <c r="G222" s="16" t="s">
        <v>1623</v>
      </c>
      <c r="H222" s="13"/>
      <c r="I222" s="13">
        <v>1.1</v>
      </c>
      <c r="J222" s="13" t="s">
        <v>1624</v>
      </c>
      <c r="K222" s="13">
        <f t="shared" si="3"/>
        <v>1</v>
      </c>
      <c r="L222" s="13">
        <f t="shared" si="4"/>
        <v>2</v>
      </c>
      <c r="M222" s="13">
        <f t="shared" ref="M222:AA222" si="443">IFERROR(VALUE(RIGHT(LEFT($J222,FIND(M$1,$J222,1)+LEN(M$1)),1)),0)</f>
        <v>0</v>
      </c>
      <c r="N222" s="13">
        <f t="shared" si="443"/>
        <v>0</v>
      </c>
      <c r="O222" s="13">
        <f t="shared" si="443"/>
        <v>0</v>
      </c>
      <c r="P222" s="13">
        <f t="shared" si="443"/>
        <v>0</v>
      </c>
      <c r="Q222" s="13">
        <f t="shared" si="443"/>
        <v>0</v>
      </c>
      <c r="R222" s="13">
        <f t="shared" si="443"/>
        <v>0</v>
      </c>
      <c r="S222" s="13">
        <f t="shared" si="443"/>
        <v>0</v>
      </c>
      <c r="T222" s="13">
        <f t="shared" si="443"/>
        <v>0</v>
      </c>
      <c r="U222" s="13">
        <f t="shared" si="443"/>
        <v>1</v>
      </c>
      <c r="V222" s="13">
        <f t="shared" si="443"/>
        <v>0</v>
      </c>
      <c r="W222" s="13">
        <f t="shared" si="443"/>
        <v>0</v>
      </c>
      <c r="X222" s="13">
        <f t="shared" si="443"/>
        <v>0</v>
      </c>
      <c r="Y222" s="13">
        <f t="shared" si="443"/>
        <v>0</v>
      </c>
      <c r="Z222" s="13">
        <f t="shared" si="443"/>
        <v>0</v>
      </c>
      <c r="AA222" s="13">
        <f t="shared" si="443"/>
        <v>0</v>
      </c>
      <c r="AB222" s="13">
        <f t="shared" ref="AB222:AP222" si="444">IFERROR(VALUE(RIGHT(LEFT($J222,FIND(AB$1,$J222,IF(M222=0,1,FIND(AB$1,$J222,1)+1))+LEN(AB$1)),1)),0)</f>
        <v>0</v>
      </c>
      <c r="AC222" s="13">
        <f t="shared" si="444"/>
        <v>0</v>
      </c>
      <c r="AD222" s="13">
        <f t="shared" si="444"/>
        <v>0</v>
      </c>
      <c r="AE222" s="13">
        <f t="shared" si="444"/>
        <v>0</v>
      </c>
      <c r="AF222" s="13">
        <f t="shared" si="444"/>
        <v>1</v>
      </c>
      <c r="AG222" s="13">
        <f t="shared" si="444"/>
        <v>0</v>
      </c>
      <c r="AH222" s="13">
        <f t="shared" si="444"/>
        <v>0</v>
      </c>
      <c r="AI222" s="13">
        <f t="shared" si="444"/>
        <v>0</v>
      </c>
      <c r="AJ222" s="13">
        <f t="shared" si="444"/>
        <v>1</v>
      </c>
      <c r="AK222" s="13">
        <f t="shared" si="444"/>
        <v>0</v>
      </c>
      <c r="AL222" s="13">
        <f t="shared" si="444"/>
        <v>0</v>
      </c>
      <c r="AM222" s="13">
        <f t="shared" si="444"/>
        <v>0</v>
      </c>
      <c r="AN222" s="13">
        <f t="shared" si="444"/>
        <v>0</v>
      </c>
      <c r="AO222" s="13">
        <f t="shared" si="444"/>
        <v>0</v>
      </c>
      <c r="AP222" s="13">
        <f t="shared" si="444"/>
        <v>0</v>
      </c>
      <c r="AQ222" s="13" t="s">
        <v>1625</v>
      </c>
      <c r="AR222" s="13"/>
      <c r="AS222" s="13" t="s">
        <v>1626</v>
      </c>
      <c r="AT222" s="13"/>
      <c r="AU222" s="13"/>
      <c r="AV222" s="13"/>
      <c r="AW222" s="13">
        <v>0.0</v>
      </c>
      <c r="AX222" s="13">
        <v>-1.0</v>
      </c>
      <c r="AY222" s="13">
        <v>0.0</v>
      </c>
      <c r="AZ222" s="13"/>
      <c r="BA222" s="13"/>
      <c r="BB222" s="13"/>
      <c r="BC222" s="13"/>
      <c r="BD222" s="13"/>
      <c r="BE222" s="13"/>
      <c r="BF222" s="13"/>
      <c r="BG222" s="13"/>
      <c r="BH222" s="13" t="s">
        <v>79</v>
      </c>
      <c r="BI222" s="13" t="b">
        <v>0</v>
      </c>
      <c r="BJ222" s="13">
        <v>0.0</v>
      </c>
      <c r="BK222" s="13">
        <v>0.0</v>
      </c>
    </row>
    <row r="223" ht="14.25" customHeight="1">
      <c r="A223" s="13">
        <v>221.0</v>
      </c>
      <c r="B223" s="13" t="s">
        <v>46</v>
      </c>
      <c r="C223" s="13">
        <v>3.0</v>
      </c>
      <c r="D223" s="14">
        <v>0.0</v>
      </c>
      <c r="E223" s="13" t="s">
        <v>1627</v>
      </c>
      <c r="F223" s="15"/>
      <c r="G223" s="16" t="s">
        <v>1628</v>
      </c>
      <c r="H223" s="13"/>
      <c r="I223" s="13">
        <v>0.9</v>
      </c>
      <c r="J223" s="13" t="s">
        <v>1629</v>
      </c>
      <c r="K223" s="13">
        <f t="shared" si="3"/>
        <v>1</v>
      </c>
      <c r="L223" s="13">
        <f t="shared" si="4"/>
        <v>2</v>
      </c>
      <c r="M223" s="13">
        <f t="shared" ref="M223:AA223" si="445">IFERROR(VALUE(RIGHT(LEFT($J223,FIND(M$1,$J223,1)+LEN(M$1)),1)),0)</f>
        <v>1</v>
      </c>
      <c r="N223" s="13">
        <f t="shared" si="445"/>
        <v>0</v>
      </c>
      <c r="O223" s="13">
        <f t="shared" si="445"/>
        <v>0</v>
      </c>
      <c r="P223" s="13">
        <f t="shared" si="445"/>
        <v>0</v>
      </c>
      <c r="Q223" s="13">
        <f t="shared" si="445"/>
        <v>0</v>
      </c>
      <c r="R223" s="13">
        <f t="shared" si="445"/>
        <v>0</v>
      </c>
      <c r="S223" s="13">
        <f t="shared" si="445"/>
        <v>0</v>
      </c>
      <c r="T223" s="13">
        <f t="shared" si="445"/>
        <v>0</v>
      </c>
      <c r="U223" s="13">
        <f t="shared" si="445"/>
        <v>0</v>
      </c>
      <c r="V223" s="13">
        <f t="shared" si="445"/>
        <v>0</v>
      </c>
      <c r="W223" s="13">
        <f t="shared" si="445"/>
        <v>0</v>
      </c>
      <c r="X223" s="13">
        <f t="shared" si="445"/>
        <v>0</v>
      </c>
      <c r="Y223" s="13">
        <f t="shared" si="445"/>
        <v>0</v>
      </c>
      <c r="Z223" s="13">
        <f t="shared" si="445"/>
        <v>0</v>
      </c>
      <c r="AA223" s="13">
        <f t="shared" si="445"/>
        <v>0</v>
      </c>
      <c r="AB223" s="13">
        <f t="shared" ref="AB223:AP223" si="446">IFERROR(VALUE(RIGHT(LEFT($J223,FIND(AB$1,$J223,IF(M223=0,1,FIND(AB$1,$J223,1)+1))+LEN(AB$1)),1)),0)</f>
        <v>0</v>
      </c>
      <c r="AC223" s="13">
        <f t="shared" si="446"/>
        <v>1</v>
      </c>
      <c r="AD223" s="13">
        <f t="shared" si="446"/>
        <v>0</v>
      </c>
      <c r="AE223" s="13">
        <f t="shared" si="446"/>
        <v>0</v>
      </c>
      <c r="AF223" s="13">
        <f t="shared" si="446"/>
        <v>0</v>
      </c>
      <c r="AG223" s="13">
        <f t="shared" si="446"/>
        <v>0</v>
      </c>
      <c r="AH223" s="13">
        <f t="shared" si="446"/>
        <v>0</v>
      </c>
      <c r="AI223" s="13">
        <f t="shared" si="446"/>
        <v>0</v>
      </c>
      <c r="AJ223" s="13">
        <f t="shared" si="446"/>
        <v>1</v>
      </c>
      <c r="AK223" s="13">
        <f t="shared" si="446"/>
        <v>0</v>
      </c>
      <c r="AL223" s="13">
        <f t="shared" si="446"/>
        <v>0</v>
      </c>
      <c r="AM223" s="13">
        <f t="shared" si="446"/>
        <v>0</v>
      </c>
      <c r="AN223" s="13">
        <f t="shared" si="446"/>
        <v>0</v>
      </c>
      <c r="AO223" s="13">
        <f t="shared" si="446"/>
        <v>0</v>
      </c>
      <c r="AP223" s="13">
        <f t="shared" si="446"/>
        <v>0</v>
      </c>
      <c r="AQ223" s="13" t="s">
        <v>1630</v>
      </c>
      <c r="AR223" s="13"/>
      <c r="AS223" s="13" t="s">
        <v>1631</v>
      </c>
      <c r="AT223" s="13"/>
      <c r="AU223" s="13"/>
      <c r="AV223" s="13"/>
      <c r="AW223" s="13">
        <v>0.0</v>
      </c>
      <c r="AX223" s="13">
        <v>-1.0</v>
      </c>
      <c r="AY223" s="13">
        <v>0.0</v>
      </c>
      <c r="AZ223" s="13"/>
      <c r="BA223" s="13"/>
      <c r="BB223" s="13"/>
      <c r="BC223" s="13"/>
      <c r="BD223" s="13"/>
      <c r="BE223" s="13"/>
      <c r="BF223" s="13"/>
      <c r="BG223" s="13"/>
      <c r="BH223" s="13" t="s">
        <v>79</v>
      </c>
      <c r="BI223" s="13" t="b">
        <v>0</v>
      </c>
      <c r="BJ223" s="13">
        <v>0.0</v>
      </c>
      <c r="BK223" s="13">
        <v>0.0</v>
      </c>
    </row>
    <row r="224" ht="14.25" customHeight="1">
      <c r="A224" s="13">
        <v>222.0</v>
      </c>
      <c r="B224" s="13" t="s">
        <v>47</v>
      </c>
      <c r="C224" s="13">
        <v>3.0</v>
      </c>
      <c r="D224" s="14">
        <v>0.0</v>
      </c>
      <c r="E224" s="13" t="s">
        <v>1632</v>
      </c>
      <c r="F224" s="15"/>
      <c r="G224" s="16" t="s">
        <v>1633</v>
      </c>
      <c r="H224" s="13">
        <v>17.0</v>
      </c>
      <c r="I224" s="13">
        <v>0.9</v>
      </c>
      <c r="J224" s="13" t="s">
        <v>1634</v>
      </c>
      <c r="K224" s="13">
        <f t="shared" si="3"/>
        <v>1</v>
      </c>
      <c r="L224" s="13">
        <f t="shared" si="4"/>
        <v>2</v>
      </c>
      <c r="M224" s="13">
        <f t="shared" ref="M224:AA224" si="447">IFERROR(VALUE(RIGHT(LEFT($J224,FIND(M$1,$J224,1)+LEN(M$1)),1)),0)</f>
        <v>0</v>
      </c>
      <c r="N224" s="13">
        <f t="shared" si="447"/>
        <v>0</v>
      </c>
      <c r="O224" s="13">
        <f t="shared" si="447"/>
        <v>0</v>
      </c>
      <c r="P224" s="13">
        <f t="shared" si="447"/>
        <v>0</v>
      </c>
      <c r="Q224" s="13">
        <f t="shared" si="447"/>
        <v>0</v>
      </c>
      <c r="R224" s="13">
        <f t="shared" si="447"/>
        <v>0</v>
      </c>
      <c r="S224" s="13">
        <f t="shared" si="447"/>
        <v>0</v>
      </c>
      <c r="T224" s="13">
        <f t="shared" si="447"/>
        <v>0</v>
      </c>
      <c r="U224" s="13">
        <f t="shared" si="447"/>
        <v>0</v>
      </c>
      <c r="V224" s="13">
        <f t="shared" si="447"/>
        <v>1</v>
      </c>
      <c r="W224" s="13">
        <f t="shared" si="447"/>
        <v>0</v>
      </c>
      <c r="X224" s="13">
        <f t="shared" si="447"/>
        <v>0</v>
      </c>
      <c r="Y224" s="13">
        <f t="shared" si="447"/>
        <v>0</v>
      </c>
      <c r="Z224" s="13">
        <f t="shared" si="447"/>
        <v>0</v>
      </c>
      <c r="AA224" s="13">
        <f t="shared" si="447"/>
        <v>0</v>
      </c>
      <c r="AB224" s="13">
        <f t="shared" ref="AB224:AP224" si="448">IFERROR(VALUE(RIGHT(LEFT($J224,FIND(AB$1,$J224,IF(M224=0,1,FIND(AB$1,$J224,1)+1))+LEN(AB$1)),1)),0)</f>
        <v>1</v>
      </c>
      <c r="AC224" s="13">
        <f t="shared" si="448"/>
        <v>0</v>
      </c>
      <c r="AD224" s="13">
        <f t="shared" si="448"/>
        <v>0</v>
      </c>
      <c r="AE224" s="13">
        <f t="shared" si="448"/>
        <v>0</v>
      </c>
      <c r="AF224" s="13">
        <f t="shared" si="448"/>
        <v>0</v>
      </c>
      <c r="AG224" s="13">
        <f t="shared" si="448"/>
        <v>0</v>
      </c>
      <c r="AH224" s="13">
        <f t="shared" si="448"/>
        <v>0</v>
      </c>
      <c r="AI224" s="13">
        <f t="shared" si="448"/>
        <v>0</v>
      </c>
      <c r="AJ224" s="13">
        <f t="shared" si="448"/>
        <v>0</v>
      </c>
      <c r="AK224" s="13">
        <f t="shared" si="448"/>
        <v>1</v>
      </c>
      <c r="AL224" s="13">
        <f t="shared" si="448"/>
        <v>0</v>
      </c>
      <c r="AM224" s="13">
        <f t="shared" si="448"/>
        <v>0</v>
      </c>
      <c r="AN224" s="13">
        <f t="shared" si="448"/>
        <v>0</v>
      </c>
      <c r="AO224" s="13">
        <f t="shared" si="448"/>
        <v>0</v>
      </c>
      <c r="AP224" s="13">
        <f t="shared" si="448"/>
        <v>0</v>
      </c>
      <c r="AQ224" s="13"/>
      <c r="AR224" s="13" t="s">
        <v>1635</v>
      </c>
      <c r="AS224" s="13" t="s">
        <v>1636</v>
      </c>
      <c r="AT224" s="13" t="s">
        <v>162</v>
      </c>
      <c r="AU224" s="13" t="s">
        <v>195</v>
      </c>
      <c r="AV224" s="13" t="s">
        <v>1637</v>
      </c>
      <c r="AW224" s="13">
        <v>19.0</v>
      </c>
      <c r="AX224" s="13">
        <v>-1.0</v>
      </c>
      <c r="AY224" s="13">
        <v>0.0</v>
      </c>
      <c r="AZ224" s="13" t="s">
        <v>1638</v>
      </c>
      <c r="BA224" s="13" t="s">
        <v>1639</v>
      </c>
      <c r="BB224" s="13"/>
      <c r="BC224" s="13"/>
      <c r="BD224" s="13" t="s">
        <v>484</v>
      </c>
      <c r="BE224" s="13"/>
      <c r="BF224" s="13" t="s">
        <v>1640</v>
      </c>
      <c r="BG224" s="13" t="s">
        <v>136</v>
      </c>
      <c r="BH224" s="13" t="s">
        <v>79</v>
      </c>
      <c r="BI224" s="13" t="b">
        <v>0</v>
      </c>
      <c r="BJ224" s="13">
        <v>0.0</v>
      </c>
      <c r="BK224" s="13">
        <v>0.0</v>
      </c>
    </row>
    <row r="225" ht="14.25" customHeight="1">
      <c r="A225" s="13">
        <v>223.0</v>
      </c>
      <c r="B225" s="13" t="s">
        <v>47</v>
      </c>
      <c r="C225" s="13">
        <v>3.0</v>
      </c>
      <c r="D225" s="14">
        <v>0.0</v>
      </c>
      <c r="E225" s="13" t="s">
        <v>1641</v>
      </c>
      <c r="F225" s="15" t="s">
        <v>372</v>
      </c>
      <c r="G225" s="16" t="s">
        <v>1642</v>
      </c>
      <c r="H225" s="13">
        <v>15.0</v>
      </c>
      <c r="I225" s="13">
        <v>1.1</v>
      </c>
      <c r="J225" s="13" t="s">
        <v>1643</v>
      </c>
      <c r="K225" s="13">
        <f t="shared" si="3"/>
        <v>1</v>
      </c>
      <c r="L225" s="13">
        <f t="shared" si="4"/>
        <v>2</v>
      </c>
      <c r="M225" s="13">
        <f t="shared" ref="M225:AA225" si="449">IFERROR(VALUE(RIGHT(LEFT($J225,FIND(M$1,$J225,1)+LEN(M$1)),1)),0)</f>
        <v>0</v>
      </c>
      <c r="N225" s="13">
        <f t="shared" si="449"/>
        <v>0</v>
      </c>
      <c r="O225" s="13">
        <f t="shared" si="449"/>
        <v>0</v>
      </c>
      <c r="P225" s="13">
        <f t="shared" si="449"/>
        <v>0</v>
      </c>
      <c r="Q225" s="13">
        <f t="shared" si="449"/>
        <v>0</v>
      </c>
      <c r="R225" s="13">
        <f t="shared" si="449"/>
        <v>1</v>
      </c>
      <c r="S225" s="13">
        <f t="shared" si="449"/>
        <v>0</v>
      </c>
      <c r="T225" s="13">
        <f t="shared" si="449"/>
        <v>0</v>
      </c>
      <c r="U225" s="13">
        <f t="shared" si="449"/>
        <v>0</v>
      </c>
      <c r="V225" s="13">
        <f t="shared" si="449"/>
        <v>0</v>
      </c>
      <c r="W225" s="13">
        <f t="shared" si="449"/>
        <v>0</v>
      </c>
      <c r="X225" s="13">
        <f t="shared" si="449"/>
        <v>0</v>
      </c>
      <c r="Y225" s="13">
        <f t="shared" si="449"/>
        <v>0</v>
      </c>
      <c r="Z225" s="13">
        <f t="shared" si="449"/>
        <v>0</v>
      </c>
      <c r="AA225" s="13">
        <f t="shared" si="449"/>
        <v>0</v>
      </c>
      <c r="AB225" s="13">
        <f t="shared" ref="AB225:AP225" si="450">IFERROR(VALUE(RIGHT(LEFT($J225,FIND(AB$1,$J225,IF(M225=0,1,FIND(AB$1,$J225,1)+1))+LEN(AB$1)),1)),0)</f>
        <v>0</v>
      </c>
      <c r="AC225" s="13">
        <f t="shared" si="450"/>
        <v>0</v>
      </c>
      <c r="AD225" s="13">
        <f t="shared" si="450"/>
        <v>0</v>
      </c>
      <c r="AE225" s="13">
        <f t="shared" si="450"/>
        <v>0</v>
      </c>
      <c r="AF225" s="13">
        <f t="shared" si="450"/>
        <v>0</v>
      </c>
      <c r="AG225" s="13">
        <f t="shared" si="450"/>
        <v>1</v>
      </c>
      <c r="AH225" s="13">
        <f t="shared" si="450"/>
        <v>0</v>
      </c>
      <c r="AI225" s="13">
        <f t="shared" si="450"/>
        <v>0</v>
      </c>
      <c r="AJ225" s="13">
        <f t="shared" si="450"/>
        <v>0</v>
      </c>
      <c r="AK225" s="13">
        <f t="shared" si="450"/>
        <v>1</v>
      </c>
      <c r="AL225" s="13">
        <f t="shared" si="450"/>
        <v>0</v>
      </c>
      <c r="AM225" s="13">
        <f t="shared" si="450"/>
        <v>0</v>
      </c>
      <c r="AN225" s="13">
        <f t="shared" si="450"/>
        <v>0</v>
      </c>
      <c r="AO225" s="13">
        <f t="shared" si="450"/>
        <v>0</v>
      </c>
      <c r="AP225" s="13">
        <f t="shared" si="450"/>
        <v>0</v>
      </c>
      <c r="AQ225" s="13"/>
      <c r="AR225" s="13" t="s">
        <v>1644</v>
      </c>
      <c r="AS225" s="13" t="s">
        <v>1645</v>
      </c>
      <c r="AT225" s="13" t="s">
        <v>573</v>
      </c>
      <c r="AU225" s="13" t="s">
        <v>143</v>
      </c>
      <c r="AV225" s="13" t="s">
        <v>1646</v>
      </c>
      <c r="AW225" s="13">
        <v>18.0</v>
      </c>
      <c r="AX225" s="13">
        <v>-1.0</v>
      </c>
      <c r="AY225" s="13">
        <v>0.0</v>
      </c>
      <c r="AZ225" s="13" t="s">
        <v>1647</v>
      </c>
      <c r="BA225" s="13" t="s">
        <v>1648</v>
      </c>
      <c r="BB225" s="13"/>
      <c r="BC225" s="13"/>
      <c r="BD225" s="13" t="s">
        <v>1113</v>
      </c>
      <c r="BE225" s="13"/>
      <c r="BF225" s="13" t="s">
        <v>1649</v>
      </c>
      <c r="BG225" s="13" t="s">
        <v>136</v>
      </c>
      <c r="BH225" s="13" t="s">
        <v>79</v>
      </c>
      <c r="BI225" s="13" t="b">
        <v>0</v>
      </c>
      <c r="BJ225" s="13">
        <v>0.0</v>
      </c>
      <c r="BK225" s="13">
        <v>0.0</v>
      </c>
    </row>
    <row r="226" ht="14.25" customHeight="1">
      <c r="A226" s="13">
        <v>224.0</v>
      </c>
      <c r="B226" s="13" t="s">
        <v>47</v>
      </c>
      <c r="C226" s="13">
        <v>3.0</v>
      </c>
      <c r="D226" s="14">
        <v>0.0</v>
      </c>
      <c r="E226" s="13" t="s">
        <v>1650</v>
      </c>
      <c r="F226" s="15"/>
      <c r="G226" s="16" t="s">
        <v>1651</v>
      </c>
      <c r="H226" s="13">
        <v>19.0</v>
      </c>
      <c r="I226" s="13">
        <v>1.2</v>
      </c>
      <c r="J226" s="13" t="s">
        <v>1652</v>
      </c>
      <c r="K226" s="13">
        <f t="shared" si="3"/>
        <v>1</v>
      </c>
      <c r="L226" s="13">
        <f t="shared" si="4"/>
        <v>2</v>
      </c>
      <c r="M226" s="13">
        <f t="shared" ref="M226:AA226" si="451">IFERROR(VALUE(RIGHT(LEFT($J226,FIND(M$1,$J226,1)+LEN(M$1)),1)),0)</f>
        <v>0</v>
      </c>
      <c r="N226" s="13">
        <f t="shared" si="451"/>
        <v>0</v>
      </c>
      <c r="O226" s="13">
        <f t="shared" si="451"/>
        <v>0</v>
      </c>
      <c r="P226" s="13">
        <f t="shared" si="451"/>
        <v>0</v>
      </c>
      <c r="Q226" s="13">
        <f t="shared" si="451"/>
        <v>0</v>
      </c>
      <c r="R226" s="13">
        <f t="shared" si="451"/>
        <v>0</v>
      </c>
      <c r="S226" s="13">
        <f t="shared" si="451"/>
        <v>0</v>
      </c>
      <c r="T226" s="13">
        <f t="shared" si="451"/>
        <v>0</v>
      </c>
      <c r="U226" s="13">
        <f t="shared" si="451"/>
        <v>0</v>
      </c>
      <c r="V226" s="13">
        <f t="shared" si="451"/>
        <v>1</v>
      </c>
      <c r="W226" s="13">
        <f t="shared" si="451"/>
        <v>0</v>
      </c>
      <c r="X226" s="13">
        <f t="shared" si="451"/>
        <v>0</v>
      </c>
      <c r="Y226" s="13">
        <f t="shared" si="451"/>
        <v>0</v>
      </c>
      <c r="Z226" s="13">
        <f t="shared" si="451"/>
        <v>0</v>
      </c>
      <c r="AA226" s="13">
        <f t="shared" si="451"/>
        <v>0</v>
      </c>
      <c r="AB226" s="13">
        <f t="shared" ref="AB226:AP226" si="452">IFERROR(VALUE(RIGHT(LEFT($J226,FIND(AB$1,$J226,IF(M226=0,1,FIND(AB$1,$J226,1)+1))+LEN(AB$1)),1)),0)</f>
        <v>0</v>
      </c>
      <c r="AC226" s="13">
        <f t="shared" si="452"/>
        <v>0</v>
      </c>
      <c r="AD226" s="13">
        <f t="shared" si="452"/>
        <v>0</v>
      </c>
      <c r="AE226" s="13">
        <f t="shared" si="452"/>
        <v>1</v>
      </c>
      <c r="AF226" s="13">
        <f t="shared" si="452"/>
        <v>0</v>
      </c>
      <c r="AG226" s="13">
        <f t="shared" si="452"/>
        <v>0</v>
      </c>
      <c r="AH226" s="13">
        <f t="shared" si="452"/>
        <v>0</v>
      </c>
      <c r="AI226" s="13">
        <f t="shared" si="452"/>
        <v>0</v>
      </c>
      <c r="AJ226" s="13">
        <f t="shared" si="452"/>
        <v>0</v>
      </c>
      <c r="AK226" s="13">
        <f t="shared" si="452"/>
        <v>1</v>
      </c>
      <c r="AL226" s="13">
        <f t="shared" si="452"/>
        <v>0</v>
      </c>
      <c r="AM226" s="13">
        <f t="shared" si="452"/>
        <v>0</v>
      </c>
      <c r="AN226" s="13">
        <f t="shared" si="452"/>
        <v>0</v>
      </c>
      <c r="AO226" s="13">
        <f t="shared" si="452"/>
        <v>0</v>
      </c>
      <c r="AP226" s="13">
        <f t="shared" si="452"/>
        <v>0</v>
      </c>
      <c r="AQ226" s="13"/>
      <c r="AR226" s="13" t="s">
        <v>1653</v>
      </c>
      <c r="AS226" s="13" t="s">
        <v>1654</v>
      </c>
      <c r="AT226" s="13" t="s">
        <v>162</v>
      </c>
      <c r="AU226" s="13" t="s">
        <v>236</v>
      </c>
      <c r="AV226" s="13" t="s">
        <v>1655</v>
      </c>
      <c r="AW226" s="13">
        <v>20.0</v>
      </c>
      <c r="AX226" s="13">
        <v>-1.0</v>
      </c>
      <c r="AY226" s="13">
        <v>0.0</v>
      </c>
      <c r="AZ226" s="13" t="s">
        <v>1656</v>
      </c>
      <c r="BA226" s="13" t="s">
        <v>1657</v>
      </c>
      <c r="BB226" s="13"/>
      <c r="BC226" s="13"/>
      <c r="BD226" s="13" t="s">
        <v>134</v>
      </c>
      <c r="BE226" s="13"/>
      <c r="BF226" s="13" t="s">
        <v>1658</v>
      </c>
      <c r="BG226" s="13" t="s">
        <v>136</v>
      </c>
      <c r="BH226" s="13" t="s">
        <v>79</v>
      </c>
      <c r="BI226" s="13" t="b">
        <v>0</v>
      </c>
      <c r="BJ226" s="13">
        <v>0.0</v>
      </c>
      <c r="BK226" s="13">
        <v>0.0</v>
      </c>
    </row>
    <row r="227" ht="14.25" customHeight="1">
      <c r="A227" s="13">
        <v>225.0</v>
      </c>
      <c r="B227" s="13" t="s">
        <v>47</v>
      </c>
      <c r="C227" s="13">
        <v>3.0</v>
      </c>
      <c r="D227" s="14">
        <v>0.0</v>
      </c>
      <c r="E227" s="13" t="s">
        <v>1659</v>
      </c>
      <c r="F227" s="15" t="s">
        <v>523</v>
      </c>
      <c r="G227" s="16" t="s">
        <v>1660</v>
      </c>
      <c r="H227" s="13">
        <v>20.0</v>
      </c>
      <c r="I227" s="13">
        <v>0.9</v>
      </c>
      <c r="J227" s="13" t="s">
        <v>1661</v>
      </c>
      <c r="K227" s="13">
        <f t="shared" si="3"/>
        <v>1</v>
      </c>
      <c r="L227" s="13">
        <f t="shared" si="4"/>
        <v>2</v>
      </c>
      <c r="M227" s="13">
        <f t="shared" ref="M227:AA227" si="453">IFERROR(VALUE(RIGHT(LEFT($J227,FIND(M$1,$J227,1)+LEN(M$1)),1)),0)</f>
        <v>1</v>
      </c>
      <c r="N227" s="13">
        <f t="shared" si="453"/>
        <v>0</v>
      </c>
      <c r="O227" s="13">
        <f t="shared" si="453"/>
        <v>0</v>
      </c>
      <c r="P227" s="13">
        <f t="shared" si="453"/>
        <v>0</v>
      </c>
      <c r="Q227" s="13">
        <f t="shared" si="453"/>
        <v>0</v>
      </c>
      <c r="R227" s="13">
        <f t="shared" si="453"/>
        <v>0</v>
      </c>
      <c r="S227" s="13">
        <f t="shared" si="453"/>
        <v>0</v>
      </c>
      <c r="T227" s="13">
        <f t="shared" si="453"/>
        <v>0</v>
      </c>
      <c r="U227" s="13">
        <f t="shared" si="453"/>
        <v>0</v>
      </c>
      <c r="V227" s="13">
        <f t="shared" si="453"/>
        <v>0</v>
      </c>
      <c r="W227" s="13">
        <f t="shared" si="453"/>
        <v>0</v>
      </c>
      <c r="X227" s="13">
        <f t="shared" si="453"/>
        <v>0</v>
      </c>
      <c r="Y227" s="13">
        <f t="shared" si="453"/>
        <v>0</v>
      </c>
      <c r="Z227" s="13">
        <f t="shared" si="453"/>
        <v>0</v>
      </c>
      <c r="AA227" s="13">
        <f t="shared" si="453"/>
        <v>0</v>
      </c>
      <c r="AB227" s="13">
        <f t="shared" ref="AB227:AP227" si="454">IFERROR(VALUE(RIGHT(LEFT($J227,FIND(AB$1,$J227,IF(M227=0,1,FIND(AB$1,$J227,1)+1))+LEN(AB$1)),1)),0)</f>
        <v>0</v>
      </c>
      <c r="AC227" s="13">
        <f t="shared" si="454"/>
        <v>0</v>
      </c>
      <c r="AD227" s="13">
        <f t="shared" si="454"/>
        <v>0</v>
      </c>
      <c r="AE227" s="13">
        <f t="shared" si="454"/>
        <v>0</v>
      </c>
      <c r="AF227" s="13">
        <f t="shared" si="454"/>
        <v>1</v>
      </c>
      <c r="AG227" s="13">
        <f t="shared" si="454"/>
        <v>0</v>
      </c>
      <c r="AH227" s="13">
        <f t="shared" si="454"/>
        <v>0</v>
      </c>
      <c r="AI227" s="13">
        <f t="shared" si="454"/>
        <v>0</v>
      </c>
      <c r="AJ227" s="13">
        <f t="shared" si="454"/>
        <v>0</v>
      </c>
      <c r="AK227" s="13">
        <f t="shared" si="454"/>
        <v>1</v>
      </c>
      <c r="AL227" s="13">
        <f t="shared" si="454"/>
        <v>0</v>
      </c>
      <c r="AM227" s="13">
        <f t="shared" si="454"/>
        <v>0</v>
      </c>
      <c r="AN227" s="13">
        <f t="shared" si="454"/>
        <v>0</v>
      </c>
      <c r="AO227" s="13">
        <f t="shared" si="454"/>
        <v>0</v>
      </c>
      <c r="AP227" s="13">
        <f t="shared" si="454"/>
        <v>0</v>
      </c>
      <c r="AQ227" s="13"/>
      <c r="AR227" s="13" t="s">
        <v>1662</v>
      </c>
      <c r="AS227" s="13" t="s">
        <v>1663</v>
      </c>
      <c r="AT227" s="13" t="s">
        <v>162</v>
      </c>
      <c r="AU227" s="13" t="s">
        <v>163</v>
      </c>
      <c r="AV227" s="13" t="s">
        <v>1664</v>
      </c>
      <c r="AW227" s="13">
        <v>22.0</v>
      </c>
      <c r="AX227" s="13">
        <v>-1.0</v>
      </c>
      <c r="AY227" s="13">
        <v>0.0</v>
      </c>
      <c r="AZ227" s="13" t="s">
        <v>1665</v>
      </c>
      <c r="BA227" s="13" t="s">
        <v>1666</v>
      </c>
      <c r="BB227" s="13"/>
      <c r="BC227" s="13"/>
      <c r="BD227" s="13" t="s">
        <v>134</v>
      </c>
      <c r="BE227" s="13"/>
      <c r="BF227" s="13" t="s">
        <v>1667</v>
      </c>
      <c r="BG227" s="13" t="s">
        <v>136</v>
      </c>
      <c r="BH227" s="13" t="s">
        <v>79</v>
      </c>
      <c r="BI227" s="13" t="b">
        <v>0</v>
      </c>
      <c r="BJ227" s="13">
        <v>0.0</v>
      </c>
      <c r="BK227" s="13">
        <v>0.0</v>
      </c>
    </row>
    <row r="228" ht="14.25" customHeight="1">
      <c r="A228" s="13">
        <v>226.0</v>
      </c>
      <c r="B228" s="13" t="s">
        <v>47</v>
      </c>
      <c r="C228" s="13">
        <v>3.0</v>
      </c>
      <c r="D228" s="14">
        <v>0.0</v>
      </c>
      <c r="E228" s="13" t="s">
        <v>1668</v>
      </c>
      <c r="F228" s="15"/>
      <c r="G228" s="16" t="s">
        <v>1669</v>
      </c>
      <c r="H228" s="13">
        <v>18.0</v>
      </c>
      <c r="I228" s="13">
        <v>1.0</v>
      </c>
      <c r="J228" s="13" t="s">
        <v>1670</v>
      </c>
      <c r="K228" s="13">
        <f t="shared" si="3"/>
        <v>1</v>
      </c>
      <c r="L228" s="13">
        <f t="shared" si="4"/>
        <v>2</v>
      </c>
      <c r="M228" s="13">
        <f t="shared" ref="M228:AA228" si="455">IFERROR(VALUE(RIGHT(LEFT($J228,FIND(M$1,$J228,1)+LEN(M$1)),1)),0)</f>
        <v>0</v>
      </c>
      <c r="N228" s="13">
        <f t="shared" si="455"/>
        <v>0</v>
      </c>
      <c r="O228" s="13">
        <f t="shared" si="455"/>
        <v>0</v>
      </c>
      <c r="P228" s="13">
        <f t="shared" si="455"/>
        <v>0</v>
      </c>
      <c r="Q228" s="13">
        <f t="shared" si="455"/>
        <v>0</v>
      </c>
      <c r="R228" s="13">
        <f t="shared" si="455"/>
        <v>0</v>
      </c>
      <c r="S228" s="13">
        <f t="shared" si="455"/>
        <v>0</v>
      </c>
      <c r="T228" s="13">
        <f t="shared" si="455"/>
        <v>0</v>
      </c>
      <c r="U228" s="13">
        <f t="shared" si="455"/>
        <v>0</v>
      </c>
      <c r="V228" s="13">
        <f t="shared" si="455"/>
        <v>1</v>
      </c>
      <c r="W228" s="13">
        <f t="shared" si="455"/>
        <v>0</v>
      </c>
      <c r="X228" s="13">
        <f t="shared" si="455"/>
        <v>0</v>
      </c>
      <c r="Y228" s="13">
        <f t="shared" si="455"/>
        <v>0</v>
      </c>
      <c r="Z228" s="13">
        <f t="shared" si="455"/>
        <v>0</v>
      </c>
      <c r="AA228" s="13">
        <f t="shared" si="455"/>
        <v>0</v>
      </c>
      <c r="AB228" s="13">
        <f t="shared" ref="AB228:AP228" si="456">IFERROR(VALUE(RIGHT(LEFT($J228,FIND(AB$1,$J228,IF(M228=0,1,FIND(AB$1,$J228,1)+1))+LEN(AB$1)),1)),0)</f>
        <v>0</v>
      </c>
      <c r="AC228" s="13">
        <f t="shared" si="456"/>
        <v>1</v>
      </c>
      <c r="AD228" s="13">
        <f t="shared" si="456"/>
        <v>0</v>
      </c>
      <c r="AE228" s="13">
        <f t="shared" si="456"/>
        <v>0</v>
      </c>
      <c r="AF228" s="13">
        <f t="shared" si="456"/>
        <v>0</v>
      </c>
      <c r="AG228" s="13">
        <f t="shared" si="456"/>
        <v>0</v>
      </c>
      <c r="AH228" s="13">
        <f t="shared" si="456"/>
        <v>0</v>
      </c>
      <c r="AI228" s="13">
        <f t="shared" si="456"/>
        <v>0</v>
      </c>
      <c r="AJ228" s="13">
        <f t="shared" si="456"/>
        <v>0</v>
      </c>
      <c r="AK228" s="13">
        <f t="shared" si="456"/>
        <v>1</v>
      </c>
      <c r="AL228" s="13">
        <f t="shared" si="456"/>
        <v>0</v>
      </c>
      <c r="AM228" s="13">
        <f t="shared" si="456"/>
        <v>0</v>
      </c>
      <c r="AN228" s="13">
        <f t="shared" si="456"/>
        <v>0</v>
      </c>
      <c r="AO228" s="13">
        <f t="shared" si="456"/>
        <v>0</v>
      </c>
      <c r="AP228" s="13">
        <f t="shared" si="456"/>
        <v>0</v>
      </c>
      <c r="AQ228" s="13"/>
      <c r="AR228" s="13" t="s">
        <v>1671</v>
      </c>
      <c r="AS228" s="13" t="s">
        <v>1672</v>
      </c>
      <c r="AT228" s="13" t="s">
        <v>129</v>
      </c>
      <c r="AU228" s="13" t="s">
        <v>143</v>
      </c>
      <c r="AV228" s="13" t="s">
        <v>1673</v>
      </c>
      <c r="AW228" s="13">
        <v>21.0</v>
      </c>
      <c r="AX228" s="13">
        <v>-1.0</v>
      </c>
      <c r="AY228" s="13">
        <v>0.0</v>
      </c>
      <c r="AZ228" s="13" t="s">
        <v>1674</v>
      </c>
      <c r="BA228" s="13" t="s">
        <v>1266</v>
      </c>
      <c r="BB228" s="13"/>
      <c r="BC228" s="13"/>
      <c r="BD228" s="13" t="s">
        <v>1113</v>
      </c>
      <c r="BE228" s="13"/>
      <c r="BF228" s="13" t="s">
        <v>1114</v>
      </c>
      <c r="BG228" s="13" t="s">
        <v>136</v>
      </c>
      <c r="BH228" s="13" t="s">
        <v>79</v>
      </c>
      <c r="BI228" s="13" t="b">
        <v>0</v>
      </c>
      <c r="BJ228" s="13">
        <v>0.0</v>
      </c>
      <c r="BK228" s="13">
        <v>0.0</v>
      </c>
    </row>
    <row r="229" ht="14.25" customHeight="1">
      <c r="A229" s="13">
        <v>227.0</v>
      </c>
      <c r="B229" s="13" t="s">
        <v>48</v>
      </c>
      <c r="C229" s="13">
        <v>3.0</v>
      </c>
      <c r="D229" s="14">
        <v>0.0</v>
      </c>
      <c r="E229" s="13" t="s">
        <v>1675</v>
      </c>
      <c r="F229" s="15" t="s">
        <v>334</v>
      </c>
      <c r="G229" s="16" t="s">
        <v>1676</v>
      </c>
      <c r="H229" s="13">
        <v>17.0</v>
      </c>
      <c r="I229" s="13">
        <v>1.1</v>
      </c>
      <c r="J229" s="13" t="s">
        <v>1677</v>
      </c>
      <c r="K229" s="13">
        <f t="shared" si="3"/>
        <v>1</v>
      </c>
      <c r="L229" s="13">
        <f t="shared" si="4"/>
        <v>2</v>
      </c>
      <c r="M229" s="13">
        <f t="shared" ref="M229:AA229" si="457">IFERROR(VALUE(RIGHT(LEFT($J229,FIND(M$1,$J229,1)+LEN(M$1)),1)),0)</f>
        <v>0</v>
      </c>
      <c r="N229" s="13">
        <f t="shared" si="457"/>
        <v>0</v>
      </c>
      <c r="O229" s="13">
        <f t="shared" si="457"/>
        <v>0</v>
      </c>
      <c r="P229" s="13">
        <f t="shared" si="457"/>
        <v>0</v>
      </c>
      <c r="Q229" s="13">
        <f t="shared" si="457"/>
        <v>0</v>
      </c>
      <c r="R229" s="13">
        <f t="shared" si="457"/>
        <v>0</v>
      </c>
      <c r="S229" s="13">
        <f t="shared" si="457"/>
        <v>0</v>
      </c>
      <c r="T229" s="13">
        <f t="shared" si="457"/>
        <v>0</v>
      </c>
      <c r="U229" s="13">
        <f t="shared" si="457"/>
        <v>0</v>
      </c>
      <c r="V229" s="13">
        <f t="shared" si="457"/>
        <v>0</v>
      </c>
      <c r="W229" s="13">
        <f t="shared" si="457"/>
        <v>1</v>
      </c>
      <c r="X229" s="13">
        <f t="shared" si="457"/>
        <v>0</v>
      </c>
      <c r="Y229" s="13">
        <f t="shared" si="457"/>
        <v>0</v>
      </c>
      <c r="Z229" s="13">
        <f t="shared" si="457"/>
        <v>0</v>
      </c>
      <c r="AA229" s="13">
        <f t="shared" si="457"/>
        <v>0</v>
      </c>
      <c r="AB229" s="13">
        <f t="shared" ref="AB229:AP229" si="458">IFERROR(VALUE(RIGHT(LEFT($J229,FIND(AB$1,$J229,IF(M229=0,1,FIND(AB$1,$J229,1)+1))+LEN(AB$1)),1)),0)</f>
        <v>1</v>
      </c>
      <c r="AC229" s="13">
        <f t="shared" si="458"/>
        <v>0</v>
      </c>
      <c r="AD229" s="13">
        <f t="shared" si="458"/>
        <v>0</v>
      </c>
      <c r="AE229" s="13">
        <f t="shared" si="458"/>
        <v>0</v>
      </c>
      <c r="AF229" s="13">
        <f t="shared" si="458"/>
        <v>0</v>
      </c>
      <c r="AG229" s="13">
        <f t="shared" si="458"/>
        <v>0</v>
      </c>
      <c r="AH229" s="13">
        <f t="shared" si="458"/>
        <v>0</v>
      </c>
      <c r="AI229" s="13">
        <f t="shared" si="458"/>
        <v>0</v>
      </c>
      <c r="AJ229" s="13">
        <f t="shared" si="458"/>
        <v>0</v>
      </c>
      <c r="AK229" s="13">
        <f t="shared" si="458"/>
        <v>0</v>
      </c>
      <c r="AL229" s="13">
        <f t="shared" si="458"/>
        <v>1</v>
      </c>
      <c r="AM229" s="13">
        <f t="shared" si="458"/>
        <v>0</v>
      </c>
      <c r="AN229" s="13">
        <f t="shared" si="458"/>
        <v>0</v>
      </c>
      <c r="AO229" s="13">
        <f t="shared" si="458"/>
        <v>0</v>
      </c>
      <c r="AP229" s="13">
        <f t="shared" si="458"/>
        <v>0</v>
      </c>
      <c r="AQ229" s="13"/>
      <c r="AR229" s="13" t="s">
        <v>1678</v>
      </c>
      <c r="AS229" s="13" t="s">
        <v>1679</v>
      </c>
      <c r="AT229" s="13" t="s">
        <v>162</v>
      </c>
      <c r="AU229" s="13" t="s">
        <v>1680</v>
      </c>
      <c r="AV229" s="13" t="s">
        <v>1681</v>
      </c>
      <c r="AW229" s="13">
        <v>21.0</v>
      </c>
      <c r="AX229" s="13">
        <v>-1.0</v>
      </c>
      <c r="AY229" s="13">
        <v>0.0</v>
      </c>
      <c r="AZ229" s="13" t="s">
        <v>1682</v>
      </c>
      <c r="BA229" s="13" t="s">
        <v>1683</v>
      </c>
      <c r="BB229" s="13"/>
      <c r="BC229" s="13"/>
      <c r="BD229" s="13" t="s">
        <v>188</v>
      </c>
      <c r="BE229" s="13"/>
      <c r="BF229" s="13" t="s">
        <v>1684</v>
      </c>
      <c r="BG229" s="13" t="s">
        <v>169</v>
      </c>
      <c r="BH229" s="13" t="s">
        <v>241</v>
      </c>
      <c r="BI229" s="13" t="b">
        <v>0</v>
      </c>
      <c r="BJ229" s="13">
        <v>0.0</v>
      </c>
      <c r="BK229" s="13">
        <v>0.0</v>
      </c>
    </row>
    <row r="230" ht="14.25" customHeight="1">
      <c r="A230" s="13">
        <v>228.0</v>
      </c>
      <c r="B230" s="13" t="s">
        <v>48</v>
      </c>
      <c r="C230" s="13">
        <v>3.0</v>
      </c>
      <c r="D230" s="14">
        <v>0.0</v>
      </c>
      <c r="E230" s="13" t="s">
        <v>1685</v>
      </c>
      <c r="F230" s="15"/>
      <c r="G230" s="16" t="s">
        <v>1686</v>
      </c>
      <c r="H230" s="13">
        <v>16.0</v>
      </c>
      <c r="I230" s="13">
        <v>1.2</v>
      </c>
      <c r="J230" s="13" t="s">
        <v>1687</v>
      </c>
      <c r="K230" s="13">
        <f t="shared" si="3"/>
        <v>1</v>
      </c>
      <c r="L230" s="13">
        <f t="shared" si="4"/>
        <v>2</v>
      </c>
      <c r="M230" s="13">
        <f t="shared" ref="M230:AA230" si="459">IFERROR(VALUE(RIGHT(LEFT($J230,FIND(M$1,$J230,1)+LEN(M$1)),1)),0)</f>
        <v>0</v>
      </c>
      <c r="N230" s="13">
        <f t="shared" si="459"/>
        <v>1</v>
      </c>
      <c r="O230" s="13">
        <f t="shared" si="459"/>
        <v>0</v>
      </c>
      <c r="P230" s="13">
        <f t="shared" si="459"/>
        <v>0</v>
      </c>
      <c r="Q230" s="13">
        <f t="shared" si="459"/>
        <v>0</v>
      </c>
      <c r="R230" s="13">
        <f t="shared" si="459"/>
        <v>0</v>
      </c>
      <c r="S230" s="13">
        <f t="shared" si="459"/>
        <v>0</v>
      </c>
      <c r="T230" s="13">
        <f t="shared" si="459"/>
        <v>0</v>
      </c>
      <c r="U230" s="13">
        <f t="shared" si="459"/>
        <v>0</v>
      </c>
      <c r="V230" s="13">
        <f t="shared" si="459"/>
        <v>0</v>
      </c>
      <c r="W230" s="13">
        <f t="shared" si="459"/>
        <v>0</v>
      </c>
      <c r="X230" s="13">
        <f t="shared" si="459"/>
        <v>0</v>
      </c>
      <c r="Y230" s="13">
        <f t="shared" si="459"/>
        <v>0</v>
      </c>
      <c r="Z230" s="13">
        <f t="shared" si="459"/>
        <v>0</v>
      </c>
      <c r="AA230" s="13">
        <f t="shared" si="459"/>
        <v>0</v>
      </c>
      <c r="AB230" s="13">
        <f t="shared" ref="AB230:AP230" si="460">IFERROR(VALUE(RIGHT(LEFT($J230,FIND(AB$1,$J230,IF(M230=0,1,FIND(AB$1,$J230,1)+1))+LEN(AB$1)),1)),0)</f>
        <v>0</v>
      </c>
      <c r="AC230" s="13">
        <f t="shared" si="460"/>
        <v>0</v>
      </c>
      <c r="AD230" s="13">
        <f t="shared" si="460"/>
        <v>1</v>
      </c>
      <c r="AE230" s="13">
        <f t="shared" si="460"/>
        <v>0</v>
      </c>
      <c r="AF230" s="13">
        <f t="shared" si="460"/>
        <v>0</v>
      </c>
      <c r="AG230" s="13">
        <f t="shared" si="460"/>
        <v>0</v>
      </c>
      <c r="AH230" s="13">
        <f t="shared" si="460"/>
        <v>0</v>
      </c>
      <c r="AI230" s="13">
        <f t="shared" si="460"/>
        <v>0</v>
      </c>
      <c r="AJ230" s="13">
        <f t="shared" si="460"/>
        <v>0</v>
      </c>
      <c r="AK230" s="13">
        <f t="shared" si="460"/>
        <v>0</v>
      </c>
      <c r="AL230" s="13">
        <f t="shared" si="460"/>
        <v>1</v>
      </c>
      <c r="AM230" s="13">
        <f t="shared" si="460"/>
        <v>0</v>
      </c>
      <c r="AN230" s="13">
        <f t="shared" si="460"/>
        <v>0</v>
      </c>
      <c r="AO230" s="13">
        <f t="shared" si="460"/>
        <v>0</v>
      </c>
      <c r="AP230" s="13">
        <f t="shared" si="460"/>
        <v>0</v>
      </c>
      <c r="AQ230" s="13"/>
      <c r="AR230" s="13" t="s">
        <v>1688</v>
      </c>
      <c r="AS230" s="13" t="s">
        <v>1689</v>
      </c>
      <c r="AT230" s="13" t="s">
        <v>1221</v>
      </c>
      <c r="AU230" s="13" t="s">
        <v>143</v>
      </c>
      <c r="AV230" s="13" t="s">
        <v>1690</v>
      </c>
      <c r="AW230" s="13">
        <v>18.0</v>
      </c>
      <c r="AX230" s="13">
        <v>-1.0</v>
      </c>
      <c r="AY230" s="13">
        <v>0.0</v>
      </c>
      <c r="AZ230" s="13" t="s">
        <v>1144</v>
      </c>
      <c r="BA230" s="13" t="s">
        <v>178</v>
      </c>
      <c r="BB230" s="13"/>
      <c r="BC230" s="13"/>
      <c r="BD230" s="13" t="s">
        <v>179</v>
      </c>
      <c r="BE230" s="13"/>
      <c r="BF230" s="13" t="s">
        <v>1691</v>
      </c>
      <c r="BG230" s="13" t="s">
        <v>169</v>
      </c>
      <c r="BH230" s="13" t="s">
        <v>79</v>
      </c>
      <c r="BI230" s="13" t="b">
        <v>0</v>
      </c>
      <c r="BJ230" s="13">
        <v>0.0</v>
      </c>
      <c r="BK230" s="13">
        <v>0.0</v>
      </c>
    </row>
    <row r="231" ht="14.25" customHeight="1">
      <c r="A231" s="13">
        <v>229.0</v>
      </c>
      <c r="B231" s="13" t="s">
        <v>48</v>
      </c>
      <c r="C231" s="13">
        <v>3.0</v>
      </c>
      <c r="D231" s="14">
        <v>0.0</v>
      </c>
      <c r="E231" s="13" t="s">
        <v>1692</v>
      </c>
      <c r="F231" s="15"/>
      <c r="G231" s="16" t="s">
        <v>1693</v>
      </c>
      <c r="H231" s="13">
        <v>19.0</v>
      </c>
      <c r="I231" s="13">
        <v>0.9</v>
      </c>
      <c r="J231" s="13" t="s">
        <v>1694</v>
      </c>
      <c r="K231" s="13">
        <f t="shared" si="3"/>
        <v>1</v>
      </c>
      <c r="L231" s="13">
        <f t="shared" si="4"/>
        <v>2</v>
      </c>
      <c r="M231" s="13">
        <f t="shared" ref="M231:AA231" si="461">IFERROR(VALUE(RIGHT(LEFT($J231,FIND(M$1,$J231,1)+LEN(M$1)),1)),0)</f>
        <v>0</v>
      </c>
      <c r="N231" s="13">
        <f t="shared" si="461"/>
        <v>0</v>
      </c>
      <c r="O231" s="13">
        <f t="shared" si="461"/>
        <v>0</v>
      </c>
      <c r="P231" s="13">
        <f t="shared" si="461"/>
        <v>0</v>
      </c>
      <c r="Q231" s="13">
        <f t="shared" si="461"/>
        <v>0</v>
      </c>
      <c r="R231" s="13">
        <f t="shared" si="461"/>
        <v>1</v>
      </c>
      <c r="S231" s="13">
        <f t="shared" si="461"/>
        <v>0</v>
      </c>
      <c r="T231" s="13">
        <f t="shared" si="461"/>
        <v>0</v>
      </c>
      <c r="U231" s="13">
        <f t="shared" si="461"/>
        <v>0</v>
      </c>
      <c r="V231" s="13">
        <f t="shared" si="461"/>
        <v>0</v>
      </c>
      <c r="W231" s="13">
        <f t="shared" si="461"/>
        <v>0</v>
      </c>
      <c r="X231" s="13">
        <f t="shared" si="461"/>
        <v>0</v>
      </c>
      <c r="Y231" s="13">
        <f t="shared" si="461"/>
        <v>0</v>
      </c>
      <c r="Z231" s="13">
        <f t="shared" si="461"/>
        <v>0</v>
      </c>
      <c r="AA231" s="13">
        <f t="shared" si="461"/>
        <v>0</v>
      </c>
      <c r="AB231" s="13">
        <f t="shared" ref="AB231:AP231" si="462">IFERROR(VALUE(RIGHT(LEFT($J231,FIND(AB$1,$J231,IF(M231=0,1,FIND(AB$1,$J231,1)+1))+LEN(AB$1)),1)),0)</f>
        <v>0</v>
      </c>
      <c r="AC231" s="13">
        <f t="shared" si="462"/>
        <v>0</v>
      </c>
      <c r="AD231" s="13">
        <f t="shared" si="462"/>
        <v>0</v>
      </c>
      <c r="AE231" s="13">
        <f t="shared" si="462"/>
        <v>0</v>
      </c>
      <c r="AF231" s="13">
        <f t="shared" si="462"/>
        <v>1</v>
      </c>
      <c r="AG231" s="13">
        <f t="shared" si="462"/>
        <v>0</v>
      </c>
      <c r="AH231" s="13">
        <f t="shared" si="462"/>
        <v>0</v>
      </c>
      <c r="AI231" s="13">
        <f t="shared" si="462"/>
        <v>0</v>
      </c>
      <c r="AJ231" s="13">
        <f t="shared" si="462"/>
        <v>0</v>
      </c>
      <c r="AK231" s="13">
        <f t="shared" si="462"/>
        <v>0</v>
      </c>
      <c r="AL231" s="13">
        <f t="shared" si="462"/>
        <v>1</v>
      </c>
      <c r="AM231" s="13">
        <f t="shared" si="462"/>
        <v>0</v>
      </c>
      <c r="AN231" s="13">
        <f t="shared" si="462"/>
        <v>0</v>
      </c>
      <c r="AO231" s="13">
        <f t="shared" si="462"/>
        <v>0</v>
      </c>
      <c r="AP231" s="13">
        <f t="shared" si="462"/>
        <v>0</v>
      </c>
      <c r="AQ231" s="13"/>
      <c r="AR231" s="13" t="s">
        <v>1695</v>
      </c>
      <c r="AS231" s="13" t="s">
        <v>1696</v>
      </c>
      <c r="AT231" s="13" t="s">
        <v>162</v>
      </c>
      <c r="AU231" s="13" t="s">
        <v>236</v>
      </c>
      <c r="AV231" s="13" t="s">
        <v>1697</v>
      </c>
      <c r="AW231" s="13">
        <v>22.0</v>
      </c>
      <c r="AX231" s="13">
        <v>-1.0</v>
      </c>
      <c r="AY231" s="13">
        <v>0.0</v>
      </c>
      <c r="AZ231" s="13" t="s">
        <v>1698</v>
      </c>
      <c r="BA231" s="13" t="s">
        <v>1699</v>
      </c>
      <c r="BB231" s="13"/>
      <c r="BC231" s="13"/>
      <c r="BD231" s="13" t="s">
        <v>167</v>
      </c>
      <c r="BE231" s="13"/>
      <c r="BF231" s="13" t="s">
        <v>1153</v>
      </c>
      <c r="BG231" s="13" t="s">
        <v>169</v>
      </c>
      <c r="BH231" s="13" t="s">
        <v>79</v>
      </c>
      <c r="BI231" s="13" t="b">
        <v>0</v>
      </c>
      <c r="BJ231" s="13">
        <v>0.0</v>
      </c>
      <c r="BK231" s="13">
        <v>0.0</v>
      </c>
    </row>
    <row r="232" ht="14.25" customHeight="1">
      <c r="A232" s="13">
        <v>230.0</v>
      </c>
      <c r="B232" s="13" t="s">
        <v>48</v>
      </c>
      <c r="C232" s="13">
        <v>3.0</v>
      </c>
      <c r="D232" s="14">
        <v>0.0</v>
      </c>
      <c r="E232" s="13" t="s">
        <v>1700</v>
      </c>
      <c r="F232" s="15" t="s">
        <v>514</v>
      </c>
      <c r="G232" s="16" t="s">
        <v>1701</v>
      </c>
      <c r="H232" s="13">
        <v>18.0</v>
      </c>
      <c r="I232" s="13">
        <v>1.0</v>
      </c>
      <c r="J232" s="13" t="s">
        <v>1702</v>
      </c>
      <c r="K232" s="13">
        <f t="shared" si="3"/>
        <v>1</v>
      </c>
      <c r="L232" s="13">
        <f t="shared" si="4"/>
        <v>2</v>
      </c>
      <c r="M232" s="13">
        <f t="shared" ref="M232:AA232" si="463">IFERROR(VALUE(RIGHT(LEFT($J232,FIND(M$1,$J232,1)+LEN(M$1)),1)),0)</f>
        <v>0</v>
      </c>
      <c r="N232" s="13">
        <f t="shared" si="463"/>
        <v>0</v>
      </c>
      <c r="O232" s="13">
        <f t="shared" si="463"/>
        <v>0</v>
      </c>
      <c r="P232" s="13">
        <f t="shared" si="463"/>
        <v>0</v>
      </c>
      <c r="Q232" s="13">
        <f t="shared" si="463"/>
        <v>0</v>
      </c>
      <c r="R232" s="13">
        <f t="shared" si="463"/>
        <v>0</v>
      </c>
      <c r="S232" s="13">
        <f t="shared" si="463"/>
        <v>0</v>
      </c>
      <c r="T232" s="13">
        <f t="shared" si="463"/>
        <v>0</v>
      </c>
      <c r="U232" s="13">
        <f t="shared" si="463"/>
        <v>0</v>
      </c>
      <c r="V232" s="13">
        <f t="shared" si="463"/>
        <v>0</v>
      </c>
      <c r="W232" s="13">
        <f t="shared" si="463"/>
        <v>1</v>
      </c>
      <c r="X232" s="13">
        <f t="shared" si="463"/>
        <v>0</v>
      </c>
      <c r="Y232" s="13">
        <f t="shared" si="463"/>
        <v>0</v>
      </c>
      <c r="Z232" s="13">
        <f t="shared" si="463"/>
        <v>0</v>
      </c>
      <c r="AA232" s="13">
        <f t="shared" si="463"/>
        <v>0</v>
      </c>
      <c r="AB232" s="13">
        <f t="shared" ref="AB232:AP232" si="464">IFERROR(VALUE(RIGHT(LEFT($J232,FIND(AB$1,$J232,IF(M232=0,1,FIND(AB$1,$J232,1)+1))+LEN(AB$1)),1)),0)</f>
        <v>0</v>
      </c>
      <c r="AC232" s="13">
        <f t="shared" si="464"/>
        <v>0</v>
      </c>
      <c r="AD232" s="13">
        <f t="shared" si="464"/>
        <v>0</v>
      </c>
      <c r="AE232" s="13">
        <f t="shared" si="464"/>
        <v>0</v>
      </c>
      <c r="AF232" s="13">
        <f t="shared" si="464"/>
        <v>0</v>
      </c>
      <c r="AG232" s="13">
        <f t="shared" si="464"/>
        <v>1</v>
      </c>
      <c r="AH232" s="13">
        <f t="shared" si="464"/>
        <v>0</v>
      </c>
      <c r="AI232" s="13">
        <f t="shared" si="464"/>
        <v>0</v>
      </c>
      <c r="AJ232" s="13">
        <f t="shared" si="464"/>
        <v>0</v>
      </c>
      <c r="AK232" s="13">
        <f t="shared" si="464"/>
        <v>0</v>
      </c>
      <c r="AL232" s="13">
        <f t="shared" si="464"/>
        <v>1</v>
      </c>
      <c r="AM232" s="13">
        <f t="shared" si="464"/>
        <v>0</v>
      </c>
      <c r="AN232" s="13">
        <f t="shared" si="464"/>
        <v>0</v>
      </c>
      <c r="AO232" s="13">
        <f t="shared" si="464"/>
        <v>0</v>
      </c>
      <c r="AP232" s="13">
        <f t="shared" si="464"/>
        <v>0</v>
      </c>
      <c r="AQ232" s="13"/>
      <c r="AR232" s="13" t="s">
        <v>1703</v>
      </c>
      <c r="AS232" s="13" t="s">
        <v>1704</v>
      </c>
      <c r="AT232" s="13" t="s">
        <v>162</v>
      </c>
      <c r="AU232" s="13" t="s">
        <v>616</v>
      </c>
      <c r="AV232" s="13" t="s">
        <v>1705</v>
      </c>
      <c r="AW232" s="13">
        <v>20.0</v>
      </c>
      <c r="AX232" s="13">
        <v>-1.0</v>
      </c>
      <c r="AY232" s="13">
        <v>0.0</v>
      </c>
      <c r="AZ232" s="13" t="s">
        <v>1706</v>
      </c>
      <c r="BA232" s="13" t="s">
        <v>1707</v>
      </c>
      <c r="BB232" s="13"/>
      <c r="BC232" s="13"/>
      <c r="BD232" s="13" t="s">
        <v>188</v>
      </c>
      <c r="BE232" s="13"/>
      <c r="BF232" s="13" t="s">
        <v>1708</v>
      </c>
      <c r="BG232" s="13" t="s">
        <v>169</v>
      </c>
      <c r="BH232" s="13" t="s">
        <v>79</v>
      </c>
      <c r="BI232" s="13" t="b">
        <v>0</v>
      </c>
      <c r="BJ232" s="13">
        <v>0.0</v>
      </c>
      <c r="BK232" s="13">
        <v>0.0</v>
      </c>
    </row>
    <row r="233" ht="14.25" customHeight="1">
      <c r="A233" s="13">
        <v>231.0</v>
      </c>
      <c r="B233" s="13" t="s">
        <v>48</v>
      </c>
      <c r="C233" s="13">
        <v>3.0</v>
      </c>
      <c r="D233" s="14">
        <v>0.0</v>
      </c>
      <c r="E233" s="13" t="s">
        <v>1709</v>
      </c>
      <c r="F233" s="15" t="s">
        <v>433</v>
      </c>
      <c r="G233" s="16" t="s">
        <v>1710</v>
      </c>
      <c r="H233" s="13">
        <v>18.0</v>
      </c>
      <c r="I233" s="13">
        <v>0.9</v>
      </c>
      <c r="J233" s="13" t="s">
        <v>1711</v>
      </c>
      <c r="K233" s="13">
        <f t="shared" si="3"/>
        <v>1</v>
      </c>
      <c r="L233" s="13">
        <f t="shared" si="4"/>
        <v>2</v>
      </c>
      <c r="M233" s="13">
        <f t="shared" ref="M233:AA233" si="465">IFERROR(VALUE(RIGHT(LEFT($J233,FIND(M$1,$J233,1)+LEN(M$1)),1)),0)</f>
        <v>0</v>
      </c>
      <c r="N233" s="13">
        <f t="shared" si="465"/>
        <v>0</v>
      </c>
      <c r="O233" s="13">
        <f t="shared" si="465"/>
        <v>0</v>
      </c>
      <c r="P233" s="13">
        <f t="shared" si="465"/>
        <v>0</v>
      </c>
      <c r="Q233" s="13">
        <f t="shared" si="465"/>
        <v>0</v>
      </c>
      <c r="R233" s="13">
        <f t="shared" si="465"/>
        <v>0</v>
      </c>
      <c r="S233" s="13">
        <f t="shared" si="465"/>
        <v>0</v>
      </c>
      <c r="T233" s="13">
        <f t="shared" si="465"/>
        <v>0</v>
      </c>
      <c r="U233" s="13">
        <f t="shared" si="465"/>
        <v>0</v>
      </c>
      <c r="V233" s="13">
        <f t="shared" si="465"/>
        <v>0</v>
      </c>
      <c r="W233" s="13">
        <f t="shared" si="465"/>
        <v>1</v>
      </c>
      <c r="X233" s="13">
        <f t="shared" si="465"/>
        <v>0</v>
      </c>
      <c r="Y233" s="13">
        <f t="shared" si="465"/>
        <v>0</v>
      </c>
      <c r="Z233" s="13">
        <f t="shared" si="465"/>
        <v>0</v>
      </c>
      <c r="AA233" s="13">
        <f t="shared" si="465"/>
        <v>0</v>
      </c>
      <c r="AB233" s="13">
        <f t="shared" ref="AB233:AP233" si="466">IFERROR(VALUE(RIGHT(LEFT($J233,FIND(AB$1,$J233,IF(M233=0,1,FIND(AB$1,$J233,1)+1))+LEN(AB$1)),1)),0)</f>
        <v>0</v>
      </c>
      <c r="AC233" s="13">
        <f t="shared" si="466"/>
        <v>1</v>
      </c>
      <c r="AD233" s="13">
        <f t="shared" si="466"/>
        <v>0</v>
      </c>
      <c r="AE233" s="13">
        <f t="shared" si="466"/>
        <v>0</v>
      </c>
      <c r="AF233" s="13">
        <f t="shared" si="466"/>
        <v>0</v>
      </c>
      <c r="AG233" s="13">
        <f t="shared" si="466"/>
        <v>0</v>
      </c>
      <c r="AH233" s="13">
        <f t="shared" si="466"/>
        <v>0</v>
      </c>
      <c r="AI233" s="13">
        <f t="shared" si="466"/>
        <v>0</v>
      </c>
      <c r="AJ233" s="13">
        <f t="shared" si="466"/>
        <v>0</v>
      </c>
      <c r="AK233" s="13">
        <f t="shared" si="466"/>
        <v>0</v>
      </c>
      <c r="AL233" s="13">
        <f t="shared" si="466"/>
        <v>1</v>
      </c>
      <c r="AM233" s="13">
        <f t="shared" si="466"/>
        <v>0</v>
      </c>
      <c r="AN233" s="13">
        <f t="shared" si="466"/>
        <v>0</v>
      </c>
      <c r="AO233" s="13">
        <f t="shared" si="466"/>
        <v>0</v>
      </c>
      <c r="AP233" s="13">
        <f t="shared" si="466"/>
        <v>0</v>
      </c>
      <c r="AQ233" s="13"/>
      <c r="AR233" s="13" t="s">
        <v>1712</v>
      </c>
      <c r="AS233" s="13" t="s">
        <v>1713</v>
      </c>
      <c r="AT233" s="13" t="s">
        <v>175</v>
      </c>
      <c r="AU233" s="13" t="s">
        <v>143</v>
      </c>
      <c r="AV233" s="13" t="s">
        <v>1714</v>
      </c>
      <c r="AW233" s="13">
        <v>19.0</v>
      </c>
      <c r="AX233" s="13">
        <v>-1.0</v>
      </c>
      <c r="AY233" s="13">
        <v>0.0</v>
      </c>
      <c r="AZ233" s="13" t="s">
        <v>1715</v>
      </c>
      <c r="BA233" s="13" t="s">
        <v>1716</v>
      </c>
      <c r="BB233" s="13"/>
      <c r="BC233" s="13"/>
      <c r="BD233" s="13" t="s">
        <v>179</v>
      </c>
      <c r="BE233" s="13"/>
      <c r="BF233" s="13" t="s">
        <v>1717</v>
      </c>
      <c r="BG233" s="13" t="s">
        <v>169</v>
      </c>
      <c r="BH233" s="13" t="s">
        <v>79</v>
      </c>
      <c r="BI233" s="13" t="b">
        <v>0</v>
      </c>
      <c r="BJ233" s="13">
        <v>0.0</v>
      </c>
      <c r="BK233" s="13">
        <v>0.0</v>
      </c>
    </row>
    <row r="234" ht="14.25" customHeight="1">
      <c r="A234" s="13">
        <v>232.0</v>
      </c>
      <c r="B234" s="13" t="s">
        <v>49</v>
      </c>
      <c r="C234" s="13">
        <v>3.0</v>
      </c>
      <c r="D234" s="14">
        <v>0.0</v>
      </c>
      <c r="E234" s="13" t="s">
        <v>1718</v>
      </c>
      <c r="F234" s="15"/>
      <c r="G234" s="16" t="s">
        <v>1719</v>
      </c>
      <c r="H234" s="13">
        <v>18.0</v>
      </c>
      <c r="I234" s="13">
        <v>1.2</v>
      </c>
      <c r="J234" s="13" t="s">
        <v>1720</v>
      </c>
      <c r="K234" s="13">
        <f t="shared" si="3"/>
        <v>1</v>
      </c>
      <c r="L234" s="13">
        <f t="shared" si="4"/>
        <v>2</v>
      </c>
      <c r="M234" s="13">
        <f t="shared" ref="M234:AA234" si="467">IFERROR(VALUE(RIGHT(LEFT($J234,FIND(M$1,$J234,1)+LEN(M$1)),1)),0)</f>
        <v>0</v>
      </c>
      <c r="N234" s="13">
        <f t="shared" si="467"/>
        <v>0</v>
      </c>
      <c r="O234" s="13">
        <f t="shared" si="467"/>
        <v>0</v>
      </c>
      <c r="P234" s="13">
        <f t="shared" si="467"/>
        <v>0</v>
      </c>
      <c r="Q234" s="13">
        <f t="shared" si="467"/>
        <v>0</v>
      </c>
      <c r="R234" s="13">
        <f t="shared" si="467"/>
        <v>0</v>
      </c>
      <c r="S234" s="13">
        <f t="shared" si="467"/>
        <v>0</v>
      </c>
      <c r="T234" s="13">
        <f t="shared" si="467"/>
        <v>0</v>
      </c>
      <c r="U234" s="13">
        <f t="shared" si="467"/>
        <v>0</v>
      </c>
      <c r="V234" s="13">
        <f t="shared" si="467"/>
        <v>0</v>
      </c>
      <c r="W234" s="13">
        <f t="shared" si="467"/>
        <v>0</v>
      </c>
      <c r="X234" s="13">
        <f t="shared" si="467"/>
        <v>1</v>
      </c>
      <c r="Y234" s="13">
        <f t="shared" si="467"/>
        <v>0</v>
      </c>
      <c r="Z234" s="13">
        <f t="shared" si="467"/>
        <v>0</v>
      </c>
      <c r="AA234" s="13">
        <f t="shared" si="467"/>
        <v>0</v>
      </c>
      <c r="AB234" s="13">
        <f t="shared" ref="AB234:AP234" si="468">IFERROR(VALUE(RIGHT(LEFT($J234,FIND(AB$1,$J234,IF(M234=0,1,FIND(AB$1,$J234,1)+1))+LEN(AB$1)),1)),0)</f>
        <v>0</v>
      </c>
      <c r="AC234" s="13">
        <f t="shared" si="468"/>
        <v>0</v>
      </c>
      <c r="AD234" s="13">
        <f t="shared" si="468"/>
        <v>1</v>
      </c>
      <c r="AE234" s="13">
        <f t="shared" si="468"/>
        <v>0</v>
      </c>
      <c r="AF234" s="13">
        <f t="shared" si="468"/>
        <v>0</v>
      </c>
      <c r="AG234" s="13">
        <f t="shared" si="468"/>
        <v>0</v>
      </c>
      <c r="AH234" s="13">
        <f t="shared" si="468"/>
        <v>0</v>
      </c>
      <c r="AI234" s="13">
        <f t="shared" si="468"/>
        <v>0</v>
      </c>
      <c r="AJ234" s="13">
        <f t="shared" si="468"/>
        <v>0</v>
      </c>
      <c r="AK234" s="13">
        <f t="shared" si="468"/>
        <v>0</v>
      </c>
      <c r="AL234" s="13">
        <f t="shared" si="468"/>
        <v>0</v>
      </c>
      <c r="AM234" s="13">
        <f t="shared" si="468"/>
        <v>1</v>
      </c>
      <c r="AN234" s="13">
        <f t="shared" si="468"/>
        <v>0</v>
      </c>
      <c r="AO234" s="13">
        <f t="shared" si="468"/>
        <v>0</v>
      </c>
      <c r="AP234" s="13">
        <f t="shared" si="468"/>
        <v>0</v>
      </c>
      <c r="AQ234" s="13"/>
      <c r="AR234" s="13" t="s">
        <v>1721</v>
      </c>
      <c r="AS234" s="13" t="s">
        <v>1722</v>
      </c>
      <c r="AT234" s="13" t="s">
        <v>1221</v>
      </c>
      <c r="AU234" s="13" t="s">
        <v>803</v>
      </c>
      <c r="AV234" s="13" t="s">
        <v>1723</v>
      </c>
      <c r="AW234" s="13">
        <v>21.0</v>
      </c>
      <c r="AX234" s="13">
        <v>-1.0</v>
      </c>
      <c r="AY234" s="13">
        <v>0.0</v>
      </c>
      <c r="AZ234" s="13" t="s">
        <v>1724</v>
      </c>
      <c r="BA234" s="13" t="s">
        <v>1725</v>
      </c>
      <c r="BB234" s="13"/>
      <c r="BC234" s="13"/>
      <c r="BD234" s="13" t="s">
        <v>220</v>
      </c>
      <c r="BE234" s="13"/>
      <c r="BF234" s="13" t="s">
        <v>1726</v>
      </c>
      <c r="BG234" s="13" t="s">
        <v>201</v>
      </c>
      <c r="BH234" s="13" t="s">
        <v>79</v>
      </c>
      <c r="BI234" s="13" t="b">
        <v>0</v>
      </c>
      <c r="BJ234" s="13">
        <v>0.0</v>
      </c>
      <c r="BK234" s="13">
        <v>0.0</v>
      </c>
    </row>
    <row r="235" ht="14.25" customHeight="1">
      <c r="A235" s="13">
        <v>233.0</v>
      </c>
      <c r="B235" s="13" t="s">
        <v>49</v>
      </c>
      <c r="C235" s="13">
        <v>3.0</v>
      </c>
      <c r="D235" s="14">
        <v>0.0</v>
      </c>
      <c r="E235" s="13" t="s">
        <v>1727</v>
      </c>
      <c r="F235" s="15"/>
      <c r="G235" s="16" t="s">
        <v>1728</v>
      </c>
      <c r="H235" s="13">
        <v>17.0</v>
      </c>
      <c r="I235" s="13">
        <v>0.9</v>
      </c>
      <c r="J235" s="13" t="s">
        <v>1729</v>
      </c>
      <c r="K235" s="13">
        <f t="shared" si="3"/>
        <v>1</v>
      </c>
      <c r="L235" s="13">
        <f t="shared" si="4"/>
        <v>2</v>
      </c>
      <c r="M235" s="13">
        <f t="shared" ref="M235:AA235" si="469">IFERROR(VALUE(RIGHT(LEFT($J235,FIND(M$1,$J235,1)+LEN(M$1)),1)),0)</f>
        <v>1</v>
      </c>
      <c r="N235" s="13">
        <f t="shared" si="469"/>
        <v>0</v>
      </c>
      <c r="O235" s="13">
        <f t="shared" si="469"/>
        <v>0</v>
      </c>
      <c r="P235" s="13">
        <f t="shared" si="469"/>
        <v>0</v>
      </c>
      <c r="Q235" s="13">
        <f t="shared" si="469"/>
        <v>0</v>
      </c>
      <c r="R235" s="13">
        <f t="shared" si="469"/>
        <v>0</v>
      </c>
      <c r="S235" s="13">
        <f t="shared" si="469"/>
        <v>0</v>
      </c>
      <c r="T235" s="13">
        <f t="shared" si="469"/>
        <v>0</v>
      </c>
      <c r="U235" s="13">
        <f t="shared" si="469"/>
        <v>0</v>
      </c>
      <c r="V235" s="13">
        <f t="shared" si="469"/>
        <v>0</v>
      </c>
      <c r="W235" s="13">
        <f t="shared" si="469"/>
        <v>0</v>
      </c>
      <c r="X235" s="13">
        <f t="shared" si="469"/>
        <v>0</v>
      </c>
      <c r="Y235" s="13">
        <f t="shared" si="469"/>
        <v>0</v>
      </c>
      <c r="Z235" s="13">
        <f t="shared" si="469"/>
        <v>0</v>
      </c>
      <c r="AA235" s="13">
        <f t="shared" si="469"/>
        <v>0</v>
      </c>
      <c r="AB235" s="13">
        <f t="shared" ref="AB235:AP235" si="470">IFERROR(VALUE(RIGHT(LEFT($J235,FIND(AB$1,$J235,IF(M235=0,1,FIND(AB$1,$J235,1)+1))+LEN(AB$1)),1)),0)</f>
        <v>0</v>
      </c>
      <c r="AC235" s="13">
        <f t="shared" si="470"/>
        <v>1</v>
      </c>
      <c r="AD235" s="13">
        <f t="shared" si="470"/>
        <v>0</v>
      </c>
      <c r="AE235" s="13">
        <f t="shared" si="470"/>
        <v>0</v>
      </c>
      <c r="AF235" s="13">
        <f t="shared" si="470"/>
        <v>0</v>
      </c>
      <c r="AG235" s="13">
        <f t="shared" si="470"/>
        <v>0</v>
      </c>
      <c r="AH235" s="13">
        <f t="shared" si="470"/>
        <v>0</v>
      </c>
      <c r="AI235" s="13">
        <f t="shared" si="470"/>
        <v>0</v>
      </c>
      <c r="AJ235" s="13">
        <f t="shared" si="470"/>
        <v>0</v>
      </c>
      <c r="AK235" s="13">
        <f t="shared" si="470"/>
        <v>0</v>
      </c>
      <c r="AL235" s="13">
        <f t="shared" si="470"/>
        <v>0</v>
      </c>
      <c r="AM235" s="13">
        <f t="shared" si="470"/>
        <v>1</v>
      </c>
      <c r="AN235" s="13">
        <f t="shared" si="470"/>
        <v>0</v>
      </c>
      <c r="AO235" s="13">
        <f t="shared" si="470"/>
        <v>0</v>
      </c>
      <c r="AP235" s="13">
        <f t="shared" si="470"/>
        <v>0</v>
      </c>
      <c r="AQ235" s="13"/>
      <c r="AR235" s="13" t="s">
        <v>1730</v>
      </c>
      <c r="AS235" s="13" t="s">
        <v>1731</v>
      </c>
      <c r="AT235" s="13" t="s">
        <v>573</v>
      </c>
      <c r="AU235" s="13" t="s">
        <v>143</v>
      </c>
      <c r="AV235" s="13" t="s">
        <v>1732</v>
      </c>
      <c r="AW235" s="13">
        <v>19.0</v>
      </c>
      <c r="AX235" s="13">
        <v>-1.0</v>
      </c>
      <c r="AY235" s="13">
        <v>0.0</v>
      </c>
      <c r="AZ235" s="13" t="s">
        <v>1733</v>
      </c>
      <c r="BA235" s="13" t="s">
        <v>1352</v>
      </c>
      <c r="BB235" s="13"/>
      <c r="BC235" s="13"/>
      <c r="BD235" s="13" t="s">
        <v>664</v>
      </c>
      <c r="BE235" s="13"/>
      <c r="BF235" s="13" t="s">
        <v>1734</v>
      </c>
      <c r="BG235" s="13" t="s">
        <v>201</v>
      </c>
      <c r="BH235" s="13" t="s">
        <v>79</v>
      </c>
      <c r="BI235" s="13" t="b">
        <v>0</v>
      </c>
      <c r="BJ235" s="13">
        <v>0.0</v>
      </c>
      <c r="BK235" s="13">
        <v>0.0</v>
      </c>
    </row>
    <row r="236" ht="14.25" customHeight="1">
      <c r="A236" s="13">
        <v>234.0</v>
      </c>
      <c r="B236" s="13" t="s">
        <v>49</v>
      </c>
      <c r="C236" s="13">
        <v>3.0</v>
      </c>
      <c r="D236" s="14">
        <v>0.0</v>
      </c>
      <c r="E236" s="13" t="s">
        <v>1735</v>
      </c>
      <c r="F236" s="15" t="s">
        <v>942</v>
      </c>
      <c r="G236" s="16" t="s">
        <v>1736</v>
      </c>
      <c r="H236" s="13">
        <v>16.0</v>
      </c>
      <c r="I236" s="13">
        <v>1.1</v>
      </c>
      <c r="J236" s="13" t="s">
        <v>1737</v>
      </c>
      <c r="K236" s="13">
        <f t="shared" si="3"/>
        <v>1</v>
      </c>
      <c r="L236" s="13">
        <f t="shared" si="4"/>
        <v>2</v>
      </c>
      <c r="M236" s="13">
        <f t="shared" ref="M236:AA236" si="471">IFERROR(VALUE(RIGHT(LEFT($J236,FIND(M$1,$J236,1)+LEN(M$1)),1)),0)</f>
        <v>0</v>
      </c>
      <c r="N236" s="13">
        <f t="shared" si="471"/>
        <v>0</v>
      </c>
      <c r="O236" s="13">
        <f t="shared" si="471"/>
        <v>0</v>
      </c>
      <c r="P236" s="13">
        <f t="shared" si="471"/>
        <v>0</v>
      </c>
      <c r="Q236" s="13">
        <f t="shared" si="471"/>
        <v>0</v>
      </c>
      <c r="R236" s="13">
        <f t="shared" si="471"/>
        <v>0</v>
      </c>
      <c r="S236" s="13">
        <f t="shared" si="471"/>
        <v>0</v>
      </c>
      <c r="T236" s="13">
        <f t="shared" si="471"/>
        <v>0</v>
      </c>
      <c r="U236" s="13">
        <f t="shared" si="471"/>
        <v>0</v>
      </c>
      <c r="V236" s="13">
        <f t="shared" si="471"/>
        <v>0</v>
      </c>
      <c r="W236" s="13">
        <f t="shared" si="471"/>
        <v>0</v>
      </c>
      <c r="X236" s="13">
        <f t="shared" si="471"/>
        <v>1</v>
      </c>
      <c r="Y236" s="13">
        <f t="shared" si="471"/>
        <v>0</v>
      </c>
      <c r="Z236" s="13">
        <f t="shared" si="471"/>
        <v>0</v>
      </c>
      <c r="AA236" s="13">
        <f t="shared" si="471"/>
        <v>0</v>
      </c>
      <c r="AB236" s="13">
        <f t="shared" ref="AB236:AP236" si="472">IFERROR(VALUE(RIGHT(LEFT($J236,FIND(AB$1,$J236,IF(M236=0,1,FIND(AB$1,$J236,1)+1))+LEN(AB$1)),1)),0)</f>
        <v>0</v>
      </c>
      <c r="AC236" s="13">
        <f t="shared" si="472"/>
        <v>0</v>
      </c>
      <c r="AD236" s="13">
        <f t="shared" si="472"/>
        <v>0</v>
      </c>
      <c r="AE236" s="13">
        <f t="shared" si="472"/>
        <v>0</v>
      </c>
      <c r="AF236" s="13">
        <f t="shared" si="472"/>
        <v>1</v>
      </c>
      <c r="AG236" s="13">
        <f t="shared" si="472"/>
        <v>0</v>
      </c>
      <c r="AH236" s="13">
        <f t="shared" si="472"/>
        <v>0</v>
      </c>
      <c r="AI236" s="13">
        <f t="shared" si="472"/>
        <v>0</v>
      </c>
      <c r="AJ236" s="13">
        <f t="shared" si="472"/>
        <v>0</v>
      </c>
      <c r="AK236" s="13">
        <f t="shared" si="472"/>
        <v>0</v>
      </c>
      <c r="AL236" s="13">
        <f t="shared" si="472"/>
        <v>0</v>
      </c>
      <c r="AM236" s="13">
        <f t="shared" si="472"/>
        <v>1</v>
      </c>
      <c r="AN236" s="13">
        <f t="shared" si="472"/>
        <v>0</v>
      </c>
      <c r="AO236" s="13">
        <f t="shared" si="472"/>
        <v>0</v>
      </c>
      <c r="AP236" s="13">
        <f t="shared" si="472"/>
        <v>0</v>
      </c>
      <c r="AQ236" s="13"/>
      <c r="AR236" s="13" t="s">
        <v>1738</v>
      </c>
      <c r="AS236" s="13" t="s">
        <v>1739</v>
      </c>
      <c r="AT236" s="13" t="s">
        <v>162</v>
      </c>
      <c r="AU236" s="13" t="s">
        <v>1297</v>
      </c>
      <c r="AV236" s="13" t="s">
        <v>1740</v>
      </c>
      <c r="AW236" s="13">
        <v>18.0</v>
      </c>
      <c r="AX236" s="13">
        <v>-1.0</v>
      </c>
      <c r="AY236" s="13">
        <v>0.0</v>
      </c>
      <c r="AZ236" s="13" t="s">
        <v>1741</v>
      </c>
      <c r="BA236" s="13" t="s">
        <v>1742</v>
      </c>
      <c r="BB236" s="13"/>
      <c r="BC236" s="13"/>
      <c r="BD236" s="13" t="s">
        <v>664</v>
      </c>
      <c r="BE236" s="13"/>
      <c r="BF236" s="13" t="s">
        <v>1743</v>
      </c>
      <c r="BG236" s="13" t="s">
        <v>201</v>
      </c>
      <c r="BH236" s="13" t="s">
        <v>79</v>
      </c>
      <c r="BI236" s="13" t="b">
        <v>0</v>
      </c>
      <c r="BJ236" s="13">
        <v>0.0</v>
      </c>
      <c r="BK236" s="13">
        <v>0.0</v>
      </c>
    </row>
    <row r="237" ht="14.25" customHeight="1">
      <c r="A237" s="13">
        <v>235.0</v>
      </c>
      <c r="B237" s="13" t="s">
        <v>49</v>
      </c>
      <c r="C237" s="13">
        <v>3.0</v>
      </c>
      <c r="D237" s="14">
        <v>0.0</v>
      </c>
      <c r="E237" s="13" t="s">
        <v>1744</v>
      </c>
      <c r="F237" s="15"/>
      <c r="G237" s="16" t="s">
        <v>1745</v>
      </c>
      <c r="H237" s="13">
        <v>19.0</v>
      </c>
      <c r="I237" s="13">
        <v>0.9</v>
      </c>
      <c r="J237" s="13" t="s">
        <v>1746</v>
      </c>
      <c r="K237" s="13">
        <f t="shared" si="3"/>
        <v>1</v>
      </c>
      <c r="L237" s="13">
        <f t="shared" si="4"/>
        <v>2</v>
      </c>
      <c r="M237" s="13">
        <f t="shared" ref="M237:AA237" si="473">IFERROR(VALUE(RIGHT(LEFT($J237,FIND(M$1,$J237,1)+LEN(M$1)),1)),0)</f>
        <v>0</v>
      </c>
      <c r="N237" s="13">
        <f t="shared" si="473"/>
        <v>0</v>
      </c>
      <c r="O237" s="13">
        <f t="shared" si="473"/>
        <v>0</v>
      </c>
      <c r="P237" s="13">
        <f t="shared" si="473"/>
        <v>0</v>
      </c>
      <c r="Q237" s="13">
        <f t="shared" si="473"/>
        <v>1</v>
      </c>
      <c r="R237" s="13">
        <f t="shared" si="473"/>
        <v>0</v>
      </c>
      <c r="S237" s="13">
        <f t="shared" si="473"/>
        <v>0</v>
      </c>
      <c r="T237" s="13">
        <f t="shared" si="473"/>
        <v>0</v>
      </c>
      <c r="U237" s="13">
        <f t="shared" si="473"/>
        <v>0</v>
      </c>
      <c r="V237" s="13">
        <f t="shared" si="473"/>
        <v>0</v>
      </c>
      <c r="W237" s="13">
        <f t="shared" si="473"/>
        <v>0</v>
      </c>
      <c r="X237" s="13">
        <f t="shared" si="473"/>
        <v>0</v>
      </c>
      <c r="Y237" s="13">
        <f t="shared" si="473"/>
        <v>0</v>
      </c>
      <c r="Z237" s="13">
        <f t="shared" si="473"/>
        <v>0</v>
      </c>
      <c r="AA237" s="13">
        <f t="shared" si="473"/>
        <v>0</v>
      </c>
      <c r="AB237" s="13">
        <f t="shared" ref="AB237:AP237" si="474">IFERROR(VALUE(RIGHT(LEFT($J237,FIND(AB$1,$J237,IF(M237=0,1,FIND(AB$1,$J237,1)+1))+LEN(AB$1)),1)),0)</f>
        <v>0</v>
      </c>
      <c r="AC237" s="13">
        <f t="shared" si="474"/>
        <v>0</v>
      </c>
      <c r="AD237" s="13">
        <f t="shared" si="474"/>
        <v>0</v>
      </c>
      <c r="AE237" s="13">
        <f t="shared" si="474"/>
        <v>1</v>
      </c>
      <c r="AF237" s="13">
        <f t="shared" si="474"/>
        <v>0</v>
      </c>
      <c r="AG237" s="13">
        <f t="shared" si="474"/>
        <v>0</v>
      </c>
      <c r="AH237" s="13">
        <f t="shared" si="474"/>
        <v>0</v>
      </c>
      <c r="AI237" s="13">
        <f t="shared" si="474"/>
        <v>0</v>
      </c>
      <c r="AJ237" s="13">
        <f t="shared" si="474"/>
        <v>0</v>
      </c>
      <c r="AK237" s="13">
        <f t="shared" si="474"/>
        <v>0</v>
      </c>
      <c r="AL237" s="13">
        <f t="shared" si="474"/>
        <v>0</v>
      </c>
      <c r="AM237" s="13">
        <f t="shared" si="474"/>
        <v>1</v>
      </c>
      <c r="AN237" s="13">
        <f t="shared" si="474"/>
        <v>0</v>
      </c>
      <c r="AO237" s="13">
        <f t="shared" si="474"/>
        <v>0</v>
      </c>
      <c r="AP237" s="13">
        <f t="shared" si="474"/>
        <v>0</v>
      </c>
      <c r="AQ237" s="13"/>
      <c r="AR237" s="13" t="s">
        <v>1747</v>
      </c>
      <c r="AS237" s="13" t="s">
        <v>1748</v>
      </c>
      <c r="AT237" s="13" t="s">
        <v>162</v>
      </c>
      <c r="AU237" s="13" t="s">
        <v>686</v>
      </c>
      <c r="AV237" s="13" t="s">
        <v>1749</v>
      </c>
      <c r="AW237" s="13">
        <v>16.0</v>
      </c>
      <c r="AX237" s="13">
        <v>-1.0</v>
      </c>
      <c r="AY237" s="13">
        <v>0.0</v>
      </c>
      <c r="AZ237" s="13" t="s">
        <v>1426</v>
      </c>
      <c r="BA237" s="13" t="s">
        <v>1750</v>
      </c>
      <c r="BB237" s="13"/>
      <c r="BC237" s="13"/>
      <c r="BD237" s="13" t="s">
        <v>199</v>
      </c>
      <c r="BE237" s="13"/>
      <c r="BF237" s="13" t="s">
        <v>1751</v>
      </c>
      <c r="BG237" s="13" t="s">
        <v>201</v>
      </c>
      <c r="BH237" s="13" t="s">
        <v>79</v>
      </c>
      <c r="BI237" s="13" t="b">
        <v>0</v>
      </c>
      <c r="BJ237" s="13">
        <v>0.0</v>
      </c>
      <c r="BK237" s="13">
        <v>0.0</v>
      </c>
    </row>
    <row r="238" ht="14.25" customHeight="1">
      <c r="A238" s="13">
        <v>236.0</v>
      </c>
      <c r="B238" s="13" t="s">
        <v>49</v>
      </c>
      <c r="C238" s="13">
        <v>3.0</v>
      </c>
      <c r="D238" s="14">
        <v>0.0</v>
      </c>
      <c r="E238" s="13" t="s">
        <v>1752</v>
      </c>
      <c r="F238" s="15"/>
      <c r="G238" s="16" t="s">
        <v>1753</v>
      </c>
      <c r="H238" s="13">
        <v>20.0</v>
      </c>
      <c r="I238" s="13">
        <v>1.0</v>
      </c>
      <c r="J238" s="13" t="s">
        <v>1754</v>
      </c>
      <c r="K238" s="13">
        <f t="shared" si="3"/>
        <v>1</v>
      </c>
      <c r="L238" s="13">
        <f t="shared" si="4"/>
        <v>2</v>
      </c>
      <c r="M238" s="13">
        <f t="shared" ref="M238:AA238" si="475">IFERROR(VALUE(RIGHT(LEFT($J238,FIND(M$1,$J238,1)+LEN(M$1)),1)),0)</f>
        <v>0</v>
      </c>
      <c r="N238" s="13">
        <f t="shared" si="475"/>
        <v>0</v>
      </c>
      <c r="O238" s="13">
        <f t="shared" si="475"/>
        <v>0</v>
      </c>
      <c r="P238" s="13">
        <f t="shared" si="475"/>
        <v>0</v>
      </c>
      <c r="Q238" s="13">
        <f t="shared" si="475"/>
        <v>0</v>
      </c>
      <c r="R238" s="13">
        <f t="shared" si="475"/>
        <v>0</v>
      </c>
      <c r="S238" s="13">
        <f t="shared" si="475"/>
        <v>0</v>
      </c>
      <c r="T238" s="13">
        <f t="shared" si="475"/>
        <v>0</v>
      </c>
      <c r="U238" s="13">
        <f t="shared" si="475"/>
        <v>0</v>
      </c>
      <c r="V238" s="13">
        <f t="shared" si="475"/>
        <v>0</v>
      </c>
      <c r="W238" s="13">
        <f t="shared" si="475"/>
        <v>0</v>
      </c>
      <c r="X238" s="13">
        <f t="shared" si="475"/>
        <v>1</v>
      </c>
      <c r="Y238" s="13">
        <f t="shared" si="475"/>
        <v>0</v>
      </c>
      <c r="Z238" s="13">
        <f t="shared" si="475"/>
        <v>0</v>
      </c>
      <c r="AA238" s="13">
        <f t="shared" si="475"/>
        <v>0</v>
      </c>
      <c r="AB238" s="13">
        <f t="shared" ref="AB238:AP238" si="476">IFERROR(VALUE(RIGHT(LEFT($J238,FIND(AB$1,$J238,IF(M238=0,1,FIND(AB$1,$J238,1)+1))+LEN(AB$1)),1)),0)</f>
        <v>1</v>
      </c>
      <c r="AC238" s="13">
        <f t="shared" si="476"/>
        <v>0</v>
      </c>
      <c r="AD238" s="13">
        <f t="shared" si="476"/>
        <v>0</v>
      </c>
      <c r="AE238" s="13">
        <f t="shared" si="476"/>
        <v>0</v>
      </c>
      <c r="AF238" s="13">
        <f t="shared" si="476"/>
        <v>0</v>
      </c>
      <c r="AG238" s="13">
        <f t="shared" si="476"/>
        <v>0</v>
      </c>
      <c r="AH238" s="13">
        <f t="shared" si="476"/>
        <v>0</v>
      </c>
      <c r="AI238" s="13">
        <f t="shared" si="476"/>
        <v>0</v>
      </c>
      <c r="AJ238" s="13">
        <f t="shared" si="476"/>
        <v>0</v>
      </c>
      <c r="AK238" s="13">
        <f t="shared" si="476"/>
        <v>0</v>
      </c>
      <c r="AL238" s="13">
        <f t="shared" si="476"/>
        <v>0</v>
      </c>
      <c r="AM238" s="13">
        <f t="shared" si="476"/>
        <v>1</v>
      </c>
      <c r="AN238" s="13">
        <f t="shared" si="476"/>
        <v>0</v>
      </c>
      <c r="AO238" s="13">
        <f t="shared" si="476"/>
        <v>0</v>
      </c>
      <c r="AP238" s="13">
        <f t="shared" si="476"/>
        <v>0</v>
      </c>
      <c r="AQ238" s="13"/>
      <c r="AR238" s="13" t="s">
        <v>1755</v>
      </c>
      <c r="AS238" s="13" t="s">
        <v>1756</v>
      </c>
      <c r="AT238" s="13" t="s">
        <v>162</v>
      </c>
      <c r="AU238" s="13" t="s">
        <v>236</v>
      </c>
      <c r="AV238" s="13" t="s">
        <v>1757</v>
      </c>
      <c r="AW238" s="13">
        <v>22.0</v>
      </c>
      <c r="AX238" s="13">
        <v>-1.0</v>
      </c>
      <c r="AY238" s="13">
        <v>0.0</v>
      </c>
      <c r="AZ238" s="13" t="s">
        <v>1390</v>
      </c>
      <c r="BA238" s="13" t="s">
        <v>1758</v>
      </c>
      <c r="BB238" s="13"/>
      <c r="BC238" s="13"/>
      <c r="BD238" s="13" t="s">
        <v>199</v>
      </c>
      <c r="BE238" s="13"/>
      <c r="BF238" s="13" t="s">
        <v>1759</v>
      </c>
      <c r="BG238" s="13" t="s">
        <v>201</v>
      </c>
      <c r="BH238" s="13" t="s">
        <v>241</v>
      </c>
      <c r="BI238" s="13" t="b">
        <v>0</v>
      </c>
      <c r="BJ238" s="13">
        <v>0.0</v>
      </c>
      <c r="BK238" s="13">
        <v>0.0</v>
      </c>
    </row>
    <row r="239" ht="14.25" customHeight="1">
      <c r="A239" s="13">
        <v>237.0</v>
      </c>
      <c r="B239" s="13" t="s">
        <v>50</v>
      </c>
      <c r="C239" s="13">
        <v>3.0</v>
      </c>
      <c r="D239" s="14">
        <v>0.0</v>
      </c>
      <c r="E239" s="13" t="s">
        <v>1760</v>
      </c>
      <c r="F239" s="15"/>
      <c r="G239" s="16" t="s">
        <v>1761</v>
      </c>
      <c r="H239" s="13">
        <v>17.0</v>
      </c>
      <c r="I239" s="13">
        <v>0.9</v>
      </c>
      <c r="J239" s="13" t="s">
        <v>1762</v>
      </c>
      <c r="K239" s="13">
        <f t="shared" si="3"/>
        <v>1</v>
      </c>
      <c r="L239" s="13">
        <f t="shared" si="4"/>
        <v>2</v>
      </c>
      <c r="M239" s="13">
        <f t="shared" ref="M239:AA239" si="477">IFERROR(VALUE(RIGHT(LEFT($J239,FIND(M$1,$J239,1)+LEN(M$1)),1)),0)</f>
        <v>0</v>
      </c>
      <c r="N239" s="13">
        <f t="shared" si="477"/>
        <v>0</v>
      </c>
      <c r="O239" s="13">
        <f t="shared" si="477"/>
        <v>0</v>
      </c>
      <c r="P239" s="13">
        <f t="shared" si="477"/>
        <v>0</v>
      </c>
      <c r="Q239" s="13">
        <f t="shared" si="477"/>
        <v>0</v>
      </c>
      <c r="R239" s="13">
        <f t="shared" si="477"/>
        <v>0</v>
      </c>
      <c r="S239" s="13">
        <f t="shared" si="477"/>
        <v>0</v>
      </c>
      <c r="T239" s="13">
        <f t="shared" si="477"/>
        <v>0</v>
      </c>
      <c r="U239" s="13">
        <f t="shared" si="477"/>
        <v>0</v>
      </c>
      <c r="V239" s="13">
        <f t="shared" si="477"/>
        <v>0</v>
      </c>
      <c r="W239" s="13">
        <f t="shared" si="477"/>
        <v>0</v>
      </c>
      <c r="X239" s="13">
        <f t="shared" si="477"/>
        <v>0</v>
      </c>
      <c r="Y239" s="13">
        <f t="shared" si="477"/>
        <v>1</v>
      </c>
      <c r="Z239" s="13">
        <f t="shared" si="477"/>
        <v>0</v>
      </c>
      <c r="AA239" s="13">
        <f t="shared" si="477"/>
        <v>0</v>
      </c>
      <c r="AB239" s="13">
        <f t="shared" ref="AB239:AP239" si="478">IFERROR(VALUE(RIGHT(LEFT($J239,FIND(AB$1,$J239,IF(M239=0,1,FIND(AB$1,$J239,1)+1))+LEN(AB$1)),1)),0)</f>
        <v>0</v>
      </c>
      <c r="AC239" s="13">
        <f t="shared" si="478"/>
        <v>0</v>
      </c>
      <c r="AD239" s="13">
        <f t="shared" si="478"/>
        <v>1</v>
      </c>
      <c r="AE239" s="13">
        <f t="shared" si="478"/>
        <v>0</v>
      </c>
      <c r="AF239" s="13">
        <f t="shared" si="478"/>
        <v>0</v>
      </c>
      <c r="AG239" s="13">
        <f t="shared" si="478"/>
        <v>0</v>
      </c>
      <c r="AH239" s="13">
        <f t="shared" si="478"/>
        <v>0</v>
      </c>
      <c r="AI239" s="13">
        <f t="shared" si="478"/>
        <v>0</v>
      </c>
      <c r="AJ239" s="13">
        <f t="shared" si="478"/>
        <v>0</v>
      </c>
      <c r="AK239" s="13">
        <f t="shared" si="478"/>
        <v>0</v>
      </c>
      <c r="AL239" s="13">
        <f t="shared" si="478"/>
        <v>0</v>
      </c>
      <c r="AM239" s="13">
        <f t="shared" si="478"/>
        <v>0</v>
      </c>
      <c r="AN239" s="13">
        <f t="shared" si="478"/>
        <v>1</v>
      </c>
      <c r="AO239" s="13">
        <f t="shared" si="478"/>
        <v>0</v>
      </c>
      <c r="AP239" s="13">
        <f t="shared" si="478"/>
        <v>0</v>
      </c>
      <c r="AQ239" s="13"/>
      <c r="AR239" s="13" t="s">
        <v>1763</v>
      </c>
      <c r="AS239" s="13" t="s">
        <v>1764</v>
      </c>
      <c r="AT239" s="13" t="s">
        <v>162</v>
      </c>
      <c r="AU239" s="13" t="s">
        <v>1523</v>
      </c>
      <c r="AV239" s="13" t="s">
        <v>1765</v>
      </c>
      <c r="AW239" s="13">
        <v>18.0</v>
      </c>
      <c r="AX239" s="13">
        <v>-1.0</v>
      </c>
      <c r="AY239" s="13">
        <v>0.0</v>
      </c>
      <c r="AZ239" s="13" t="s">
        <v>1766</v>
      </c>
      <c r="BA239" s="13" t="s">
        <v>1767</v>
      </c>
      <c r="BB239" s="13"/>
      <c r="BC239" s="13"/>
      <c r="BD239" s="13" t="s">
        <v>239</v>
      </c>
      <c r="BE239" s="13"/>
      <c r="BF239" s="13" t="s">
        <v>1768</v>
      </c>
      <c r="BG239" s="13" t="s">
        <v>50</v>
      </c>
      <c r="BH239" s="13" t="s">
        <v>79</v>
      </c>
      <c r="BI239" s="13" t="b">
        <v>0</v>
      </c>
      <c r="BJ239" s="13">
        <v>0.0</v>
      </c>
      <c r="BK239" s="13">
        <v>0.0</v>
      </c>
    </row>
    <row r="240" ht="14.25" customHeight="1">
      <c r="A240" s="13">
        <v>238.0</v>
      </c>
      <c r="B240" s="13" t="s">
        <v>50</v>
      </c>
      <c r="C240" s="13">
        <v>3.0</v>
      </c>
      <c r="D240" s="14">
        <v>0.0</v>
      </c>
      <c r="E240" s="13" t="s">
        <v>1769</v>
      </c>
      <c r="F240" s="15"/>
      <c r="G240" s="16" t="s">
        <v>1770</v>
      </c>
      <c r="H240" s="13">
        <v>18.0</v>
      </c>
      <c r="I240" s="13">
        <v>1.0</v>
      </c>
      <c r="J240" s="13" t="s">
        <v>1771</v>
      </c>
      <c r="K240" s="13">
        <f t="shared" si="3"/>
        <v>1</v>
      </c>
      <c r="L240" s="13">
        <f t="shared" si="4"/>
        <v>2</v>
      </c>
      <c r="M240" s="13">
        <f t="shared" ref="M240:AA240" si="479">IFERROR(VALUE(RIGHT(LEFT($J240,FIND(M$1,$J240,1)+LEN(M$1)),1)),0)</f>
        <v>0</v>
      </c>
      <c r="N240" s="13">
        <f t="shared" si="479"/>
        <v>0</v>
      </c>
      <c r="O240" s="13">
        <f t="shared" si="479"/>
        <v>0</v>
      </c>
      <c r="P240" s="13">
        <f t="shared" si="479"/>
        <v>1</v>
      </c>
      <c r="Q240" s="13">
        <f t="shared" si="479"/>
        <v>0</v>
      </c>
      <c r="R240" s="13">
        <f t="shared" si="479"/>
        <v>0</v>
      </c>
      <c r="S240" s="13">
        <f t="shared" si="479"/>
        <v>0</v>
      </c>
      <c r="T240" s="13">
        <f t="shared" si="479"/>
        <v>0</v>
      </c>
      <c r="U240" s="13">
        <f t="shared" si="479"/>
        <v>0</v>
      </c>
      <c r="V240" s="13">
        <f t="shared" si="479"/>
        <v>0</v>
      </c>
      <c r="W240" s="13">
        <f t="shared" si="479"/>
        <v>0</v>
      </c>
      <c r="X240" s="13">
        <f t="shared" si="479"/>
        <v>0</v>
      </c>
      <c r="Y240" s="13">
        <f t="shared" si="479"/>
        <v>0</v>
      </c>
      <c r="Z240" s="13">
        <f t="shared" si="479"/>
        <v>0</v>
      </c>
      <c r="AA240" s="13">
        <f t="shared" si="479"/>
        <v>0</v>
      </c>
      <c r="AB240" s="13">
        <f t="shared" ref="AB240:AP240" si="480">IFERROR(VALUE(RIGHT(LEFT($J240,FIND(AB$1,$J240,IF(M240=0,1,FIND(AB$1,$J240,1)+1))+LEN(AB$1)),1)),0)</f>
        <v>0</v>
      </c>
      <c r="AC240" s="13">
        <f t="shared" si="480"/>
        <v>0</v>
      </c>
      <c r="AD240" s="13">
        <f t="shared" si="480"/>
        <v>0</v>
      </c>
      <c r="AE240" s="13">
        <f t="shared" si="480"/>
        <v>0</v>
      </c>
      <c r="AF240" s="13">
        <f t="shared" si="480"/>
        <v>0</v>
      </c>
      <c r="AG240" s="13">
        <f t="shared" si="480"/>
        <v>1</v>
      </c>
      <c r="AH240" s="13">
        <f t="shared" si="480"/>
        <v>0</v>
      </c>
      <c r="AI240" s="13">
        <f t="shared" si="480"/>
        <v>0</v>
      </c>
      <c r="AJ240" s="13">
        <f t="shared" si="480"/>
        <v>0</v>
      </c>
      <c r="AK240" s="13">
        <f t="shared" si="480"/>
        <v>0</v>
      </c>
      <c r="AL240" s="13">
        <f t="shared" si="480"/>
        <v>0</v>
      </c>
      <c r="AM240" s="13">
        <f t="shared" si="480"/>
        <v>0</v>
      </c>
      <c r="AN240" s="13">
        <f t="shared" si="480"/>
        <v>1</v>
      </c>
      <c r="AO240" s="13">
        <f t="shared" si="480"/>
        <v>0</v>
      </c>
      <c r="AP240" s="13">
        <f t="shared" si="480"/>
        <v>0</v>
      </c>
      <c r="AQ240" s="13"/>
      <c r="AR240" s="13" t="s">
        <v>1772</v>
      </c>
      <c r="AS240" s="13" t="s">
        <v>1773</v>
      </c>
      <c r="AT240" s="13" t="s">
        <v>162</v>
      </c>
      <c r="AU240" s="13" t="s">
        <v>1211</v>
      </c>
      <c r="AV240" s="13" t="s">
        <v>1774</v>
      </c>
      <c r="AW240" s="13">
        <v>20.0</v>
      </c>
      <c r="AX240" s="13">
        <v>-1.0</v>
      </c>
      <c r="AY240" s="13">
        <v>0.0</v>
      </c>
      <c r="AZ240" s="13" t="s">
        <v>1775</v>
      </c>
      <c r="BA240" s="13" t="s">
        <v>1776</v>
      </c>
      <c r="BB240" s="13"/>
      <c r="BC240" s="13"/>
      <c r="BD240" s="13" t="s">
        <v>715</v>
      </c>
      <c r="BE240" s="13"/>
      <c r="BF240" s="13" t="s">
        <v>1777</v>
      </c>
      <c r="BG240" s="13" t="s">
        <v>50</v>
      </c>
      <c r="BH240" s="13" t="s">
        <v>79</v>
      </c>
      <c r="BI240" s="13" t="b">
        <v>0</v>
      </c>
      <c r="BJ240" s="13">
        <v>0.0</v>
      </c>
      <c r="BK240" s="13">
        <v>0.0</v>
      </c>
    </row>
    <row r="241" ht="14.25" customHeight="1">
      <c r="A241" s="13">
        <v>239.0</v>
      </c>
      <c r="B241" s="13" t="s">
        <v>50</v>
      </c>
      <c r="C241" s="13">
        <v>3.0</v>
      </c>
      <c r="D241" s="14">
        <v>0.0</v>
      </c>
      <c r="E241" s="13" t="s">
        <v>1778</v>
      </c>
      <c r="F241" s="15" t="s">
        <v>413</v>
      </c>
      <c r="G241" s="16" t="s">
        <v>1779</v>
      </c>
      <c r="H241" s="13">
        <v>20.0</v>
      </c>
      <c r="I241" s="13">
        <v>1.2</v>
      </c>
      <c r="J241" s="13" t="s">
        <v>1780</v>
      </c>
      <c r="K241" s="13">
        <f t="shared" si="3"/>
        <v>1</v>
      </c>
      <c r="L241" s="13">
        <f t="shared" si="4"/>
        <v>2</v>
      </c>
      <c r="M241" s="13">
        <f t="shared" ref="M241:AA241" si="481">IFERROR(VALUE(RIGHT(LEFT($J241,FIND(M$1,$J241,1)+LEN(M$1)),1)),0)</f>
        <v>0</v>
      </c>
      <c r="N241" s="13">
        <f t="shared" si="481"/>
        <v>0</v>
      </c>
      <c r="O241" s="13">
        <f t="shared" si="481"/>
        <v>0</v>
      </c>
      <c r="P241" s="13">
        <f t="shared" si="481"/>
        <v>0</v>
      </c>
      <c r="Q241" s="13">
        <f t="shared" si="481"/>
        <v>1</v>
      </c>
      <c r="R241" s="13">
        <f t="shared" si="481"/>
        <v>0</v>
      </c>
      <c r="S241" s="13">
        <f t="shared" si="481"/>
        <v>0</v>
      </c>
      <c r="T241" s="13">
        <f t="shared" si="481"/>
        <v>0</v>
      </c>
      <c r="U241" s="13">
        <f t="shared" si="481"/>
        <v>0</v>
      </c>
      <c r="V241" s="13">
        <f t="shared" si="481"/>
        <v>0</v>
      </c>
      <c r="W241" s="13">
        <f t="shared" si="481"/>
        <v>0</v>
      </c>
      <c r="X241" s="13">
        <f t="shared" si="481"/>
        <v>0</v>
      </c>
      <c r="Y241" s="13">
        <f t="shared" si="481"/>
        <v>0</v>
      </c>
      <c r="Z241" s="13">
        <f t="shared" si="481"/>
        <v>0</v>
      </c>
      <c r="AA241" s="13">
        <f t="shared" si="481"/>
        <v>0</v>
      </c>
      <c r="AB241" s="13">
        <f t="shared" ref="AB241:AP241" si="482">IFERROR(VALUE(RIGHT(LEFT($J241,FIND(AB$1,$J241,IF(M241=0,1,FIND(AB$1,$J241,1)+1))+LEN(AB$1)),1)),0)</f>
        <v>1</v>
      </c>
      <c r="AC241" s="13">
        <f t="shared" si="482"/>
        <v>0</v>
      </c>
      <c r="AD241" s="13">
        <f t="shared" si="482"/>
        <v>0</v>
      </c>
      <c r="AE241" s="13">
        <f t="shared" si="482"/>
        <v>0</v>
      </c>
      <c r="AF241" s="13">
        <f t="shared" si="482"/>
        <v>0</v>
      </c>
      <c r="AG241" s="13">
        <f t="shared" si="482"/>
        <v>0</v>
      </c>
      <c r="AH241" s="13">
        <f t="shared" si="482"/>
        <v>0</v>
      </c>
      <c r="AI241" s="13">
        <f t="shared" si="482"/>
        <v>0</v>
      </c>
      <c r="AJ241" s="13">
        <f t="shared" si="482"/>
        <v>0</v>
      </c>
      <c r="AK241" s="13">
        <f t="shared" si="482"/>
        <v>0</v>
      </c>
      <c r="AL241" s="13">
        <f t="shared" si="482"/>
        <v>0</v>
      </c>
      <c r="AM241" s="13">
        <f t="shared" si="482"/>
        <v>0</v>
      </c>
      <c r="AN241" s="13">
        <f t="shared" si="482"/>
        <v>1</v>
      </c>
      <c r="AO241" s="13">
        <f t="shared" si="482"/>
        <v>0</v>
      </c>
      <c r="AP241" s="13">
        <f t="shared" si="482"/>
        <v>0</v>
      </c>
      <c r="AQ241" s="13"/>
      <c r="AR241" s="13" t="s">
        <v>1781</v>
      </c>
      <c r="AS241" s="13" t="s">
        <v>1782</v>
      </c>
      <c r="AT241" s="13" t="s">
        <v>162</v>
      </c>
      <c r="AU241" s="13" t="s">
        <v>236</v>
      </c>
      <c r="AV241" s="13" t="s">
        <v>1783</v>
      </c>
      <c r="AW241" s="13">
        <v>22.0</v>
      </c>
      <c r="AX241" s="13">
        <v>-1.0</v>
      </c>
      <c r="AY241" s="13">
        <v>0.0</v>
      </c>
      <c r="AZ241" s="13" t="s">
        <v>1784</v>
      </c>
      <c r="BA241" s="13" t="s">
        <v>1785</v>
      </c>
      <c r="BB241" s="13"/>
      <c r="BC241" s="13"/>
      <c r="BD241" s="13" t="s">
        <v>239</v>
      </c>
      <c r="BE241" s="13"/>
      <c r="BF241" s="13" t="s">
        <v>1329</v>
      </c>
      <c r="BG241" s="13" t="s">
        <v>50</v>
      </c>
      <c r="BH241" s="13" t="s">
        <v>79</v>
      </c>
      <c r="BI241" s="13" t="b">
        <v>0</v>
      </c>
      <c r="BJ241" s="13">
        <v>0.0</v>
      </c>
      <c r="BK241" s="13">
        <v>0.0</v>
      </c>
    </row>
    <row r="242" ht="14.25" customHeight="1">
      <c r="A242" s="13">
        <v>240.0</v>
      </c>
      <c r="B242" s="13" t="s">
        <v>50</v>
      </c>
      <c r="C242" s="13">
        <v>3.0</v>
      </c>
      <c r="D242" s="14">
        <v>0.0</v>
      </c>
      <c r="E242" s="13" t="s">
        <v>1786</v>
      </c>
      <c r="F242" s="15"/>
      <c r="G242" s="16" t="s">
        <v>1787</v>
      </c>
      <c r="H242" s="13">
        <v>16.0</v>
      </c>
      <c r="I242" s="13">
        <v>0.9</v>
      </c>
      <c r="J242" s="13" t="s">
        <v>1788</v>
      </c>
      <c r="K242" s="13">
        <f t="shared" si="3"/>
        <v>1</v>
      </c>
      <c r="L242" s="13">
        <f t="shared" si="4"/>
        <v>2</v>
      </c>
      <c r="M242" s="13">
        <f t="shared" ref="M242:AA242" si="483">IFERROR(VALUE(RIGHT(LEFT($J242,FIND(M$1,$J242,1)+LEN(M$1)),1)),0)</f>
        <v>0</v>
      </c>
      <c r="N242" s="13">
        <f t="shared" si="483"/>
        <v>0</v>
      </c>
      <c r="O242" s="13">
        <f t="shared" si="483"/>
        <v>0</v>
      </c>
      <c r="P242" s="13">
        <f t="shared" si="483"/>
        <v>0</v>
      </c>
      <c r="Q242" s="13">
        <f t="shared" si="483"/>
        <v>0</v>
      </c>
      <c r="R242" s="13">
        <f t="shared" si="483"/>
        <v>0</v>
      </c>
      <c r="S242" s="13">
        <f t="shared" si="483"/>
        <v>0</v>
      </c>
      <c r="T242" s="13">
        <f t="shared" si="483"/>
        <v>0</v>
      </c>
      <c r="U242" s="13">
        <f t="shared" si="483"/>
        <v>0</v>
      </c>
      <c r="V242" s="13">
        <f t="shared" si="483"/>
        <v>0</v>
      </c>
      <c r="W242" s="13">
        <f t="shared" si="483"/>
        <v>0</v>
      </c>
      <c r="X242" s="13">
        <f t="shared" si="483"/>
        <v>0</v>
      </c>
      <c r="Y242" s="13">
        <f t="shared" si="483"/>
        <v>1</v>
      </c>
      <c r="Z242" s="13">
        <f t="shared" si="483"/>
        <v>0</v>
      </c>
      <c r="AA242" s="13">
        <f t="shared" si="483"/>
        <v>0</v>
      </c>
      <c r="AB242" s="13">
        <f t="shared" ref="AB242:AP242" si="484">IFERROR(VALUE(RIGHT(LEFT($J242,FIND(AB$1,$J242,IF(M242=0,1,FIND(AB$1,$J242,1)+1))+LEN(AB$1)),1)),0)</f>
        <v>0</v>
      </c>
      <c r="AC242" s="13">
        <f t="shared" si="484"/>
        <v>0</v>
      </c>
      <c r="AD242" s="13">
        <f t="shared" si="484"/>
        <v>0</v>
      </c>
      <c r="AE242" s="13">
        <f t="shared" si="484"/>
        <v>1</v>
      </c>
      <c r="AF242" s="13">
        <f t="shared" si="484"/>
        <v>0</v>
      </c>
      <c r="AG242" s="13">
        <f t="shared" si="484"/>
        <v>0</v>
      </c>
      <c r="AH242" s="13">
        <f t="shared" si="484"/>
        <v>0</v>
      </c>
      <c r="AI242" s="13">
        <f t="shared" si="484"/>
        <v>0</v>
      </c>
      <c r="AJ242" s="13">
        <f t="shared" si="484"/>
        <v>0</v>
      </c>
      <c r="AK242" s="13">
        <f t="shared" si="484"/>
        <v>0</v>
      </c>
      <c r="AL242" s="13">
        <f t="shared" si="484"/>
        <v>0</v>
      </c>
      <c r="AM242" s="13">
        <f t="shared" si="484"/>
        <v>0</v>
      </c>
      <c r="AN242" s="13">
        <f t="shared" si="484"/>
        <v>1</v>
      </c>
      <c r="AO242" s="13">
        <f t="shared" si="484"/>
        <v>0</v>
      </c>
      <c r="AP242" s="13">
        <f t="shared" si="484"/>
        <v>0</v>
      </c>
      <c r="AQ242" s="13"/>
      <c r="AR242" s="13" t="s">
        <v>1789</v>
      </c>
      <c r="AS242" s="13" t="s">
        <v>1790</v>
      </c>
      <c r="AT242" s="13" t="s">
        <v>315</v>
      </c>
      <c r="AU242" s="13" t="s">
        <v>143</v>
      </c>
      <c r="AV242" s="13" t="s">
        <v>1791</v>
      </c>
      <c r="AW242" s="13">
        <v>21.0</v>
      </c>
      <c r="AX242" s="13">
        <v>-1.0</v>
      </c>
      <c r="AY242" s="13">
        <v>0.0</v>
      </c>
      <c r="AZ242" s="13" t="s">
        <v>1792</v>
      </c>
      <c r="BA242" s="13" t="s">
        <v>1793</v>
      </c>
      <c r="BB242" s="13"/>
      <c r="BC242" s="13"/>
      <c r="BD242" s="13" t="s">
        <v>230</v>
      </c>
      <c r="BE242" s="13"/>
      <c r="BF242" s="13" t="s">
        <v>1794</v>
      </c>
      <c r="BG242" s="13" t="s">
        <v>50</v>
      </c>
      <c r="BH242" s="13" t="s">
        <v>241</v>
      </c>
      <c r="BI242" s="13" t="b">
        <v>0</v>
      </c>
      <c r="BJ242" s="13">
        <v>0.0</v>
      </c>
      <c r="BK242" s="13">
        <v>0.0</v>
      </c>
    </row>
    <row r="243" ht="14.25" customHeight="1">
      <c r="A243" s="13">
        <v>241.0</v>
      </c>
      <c r="B243" s="13" t="s">
        <v>50</v>
      </c>
      <c r="C243" s="13">
        <v>3.0</v>
      </c>
      <c r="D243" s="14">
        <v>0.0</v>
      </c>
      <c r="E243" s="13" t="s">
        <v>1795</v>
      </c>
      <c r="F243" s="15" t="s">
        <v>372</v>
      </c>
      <c r="G243" s="16" t="s">
        <v>1796</v>
      </c>
      <c r="H243" s="13">
        <v>19.0</v>
      </c>
      <c r="I243" s="13">
        <v>1.1</v>
      </c>
      <c r="J243" s="13" t="s">
        <v>1797</v>
      </c>
      <c r="K243" s="13">
        <f t="shared" si="3"/>
        <v>1</v>
      </c>
      <c r="L243" s="13">
        <f t="shared" si="4"/>
        <v>2</v>
      </c>
      <c r="M243" s="13">
        <f t="shared" ref="M243:AA243" si="485">IFERROR(VALUE(RIGHT(LEFT($J243,FIND(M$1,$J243,1)+LEN(M$1)),1)),0)</f>
        <v>0</v>
      </c>
      <c r="N243" s="13">
        <f t="shared" si="485"/>
        <v>0</v>
      </c>
      <c r="O243" s="13">
        <f t="shared" si="485"/>
        <v>0</v>
      </c>
      <c r="P243" s="13">
        <f t="shared" si="485"/>
        <v>0</v>
      </c>
      <c r="Q243" s="13">
        <f t="shared" si="485"/>
        <v>0</v>
      </c>
      <c r="R243" s="13">
        <f t="shared" si="485"/>
        <v>0</v>
      </c>
      <c r="S243" s="13">
        <f t="shared" si="485"/>
        <v>0</v>
      </c>
      <c r="T243" s="13">
        <f t="shared" si="485"/>
        <v>0</v>
      </c>
      <c r="U243" s="13">
        <f t="shared" si="485"/>
        <v>0</v>
      </c>
      <c r="V243" s="13">
        <f t="shared" si="485"/>
        <v>0</v>
      </c>
      <c r="W243" s="13">
        <f t="shared" si="485"/>
        <v>0</v>
      </c>
      <c r="X243" s="13">
        <f t="shared" si="485"/>
        <v>0</v>
      </c>
      <c r="Y243" s="13">
        <f t="shared" si="485"/>
        <v>1</v>
      </c>
      <c r="Z243" s="13">
        <f t="shared" si="485"/>
        <v>0</v>
      </c>
      <c r="AA243" s="13">
        <f t="shared" si="485"/>
        <v>0</v>
      </c>
      <c r="AB243" s="13">
        <f t="shared" ref="AB243:AP243" si="486">IFERROR(VALUE(RIGHT(LEFT($J243,FIND(AB$1,$J243,IF(M243=0,1,FIND(AB$1,$J243,1)+1))+LEN(AB$1)),1)),0)</f>
        <v>0</v>
      </c>
      <c r="AC243" s="13">
        <f t="shared" si="486"/>
        <v>0</v>
      </c>
      <c r="AD243" s="13">
        <f t="shared" si="486"/>
        <v>0</v>
      </c>
      <c r="AE243" s="13">
        <f t="shared" si="486"/>
        <v>0</v>
      </c>
      <c r="AF243" s="13">
        <f t="shared" si="486"/>
        <v>1</v>
      </c>
      <c r="AG243" s="13">
        <f t="shared" si="486"/>
        <v>0</v>
      </c>
      <c r="AH243" s="13">
        <f t="shared" si="486"/>
        <v>0</v>
      </c>
      <c r="AI243" s="13">
        <f t="shared" si="486"/>
        <v>0</v>
      </c>
      <c r="AJ243" s="13">
        <f t="shared" si="486"/>
        <v>0</v>
      </c>
      <c r="AK243" s="13">
        <f t="shared" si="486"/>
        <v>0</v>
      </c>
      <c r="AL243" s="13">
        <f t="shared" si="486"/>
        <v>0</v>
      </c>
      <c r="AM243" s="13">
        <f t="shared" si="486"/>
        <v>0</v>
      </c>
      <c r="AN243" s="13">
        <f t="shared" si="486"/>
        <v>1</v>
      </c>
      <c r="AO243" s="13">
        <f t="shared" si="486"/>
        <v>0</v>
      </c>
      <c r="AP243" s="13">
        <f t="shared" si="486"/>
        <v>0</v>
      </c>
      <c r="AQ243" s="13"/>
      <c r="AR243" s="13" t="s">
        <v>1798</v>
      </c>
      <c r="AS243" s="13" t="s">
        <v>1799</v>
      </c>
      <c r="AT243" s="13" t="s">
        <v>162</v>
      </c>
      <c r="AU243" s="13" t="s">
        <v>1800</v>
      </c>
      <c r="AV243" s="13" t="s">
        <v>1801</v>
      </c>
      <c r="AW243" s="13">
        <v>19.0</v>
      </c>
      <c r="AX243" s="13">
        <v>-1.0</v>
      </c>
      <c r="AY243" s="13">
        <v>0.0</v>
      </c>
      <c r="AZ243" s="13" t="s">
        <v>1802</v>
      </c>
      <c r="BA243" s="13" t="s">
        <v>1803</v>
      </c>
      <c r="BB243" s="13"/>
      <c r="BC243" s="13"/>
      <c r="BD243" s="13" t="s">
        <v>239</v>
      </c>
      <c r="BE243" s="13"/>
      <c r="BF243" s="13" t="s">
        <v>1804</v>
      </c>
      <c r="BG243" s="13" t="s">
        <v>50</v>
      </c>
      <c r="BH243" s="13" t="s">
        <v>241</v>
      </c>
      <c r="BI243" s="13" t="b">
        <v>0</v>
      </c>
      <c r="BJ243" s="13">
        <v>0.0</v>
      </c>
      <c r="BK243" s="13">
        <v>0.0</v>
      </c>
    </row>
    <row r="244" ht="14.25" customHeight="1">
      <c r="A244" s="13">
        <v>242.0</v>
      </c>
      <c r="B244" s="13" t="s">
        <v>51</v>
      </c>
      <c r="C244" s="13">
        <v>3.0</v>
      </c>
      <c r="D244" s="14">
        <v>0.0</v>
      </c>
      <c r="E244" s="13" t="s">
        <v>1805</v>
      </c>
      <c r="F244" s="15"/>
      <c r="G244" s="16" t="s">
        <v>1806</v>
      </c>
      <c r="H244" s="13">
        <v>17.0</v>
      </c>
      <c r="I244" s="13">
        <v>0.9</v>
      </c>
      <c r="J244" s="13" t="s">
        <v>1807</v>
      </c>
      <c r="K244" s="13">
        <f t="shared" si="3"/>
        <v>1</v>
      </c>
      <c r="L244" s="13">
        <f t="shared" si="4"/>
        <v>2</v>
      </c>
      <c r="M244" s="13">
        <f t="shared" ref="M244:AA244" si="487">IFERROR(VALUE(RIGHT(LEFT($J244,FIND(M$1,$J244,1)+LEN(M$1)),1)),0)</f>
        <v>0</v>
      </c>
      <c r="N244" s="13">
        <f t="shared" si="487"/>
        <v>0</v>
      </c>
      <c r="O244" s="13">
        <f t="shared" si="487"/>
        <v>0</v>
      </c>
      <c r="P244" s="13">
        <f t="shared" si="487"/>
        <v>1</v>
      </c>
      <c r="Q244" s="13">
        <f t="shared" si="487"/>
        <v>0</v>
      </c>
      <c r="R244" s="13">
        <f t="shared" si="487"/>
        <v>0</v>
      </c>
      <c r="S244" s="13">
        <f t="shared" si="487"/>
        <v>0</v>
      </c>
      <c r="T244" s="13">
        <f t="shared" si="487"/>
        <v>0</v>
      </c>
      <c r="U244" s="13">
        <f t="shared" si="487"/>
        <v>0</v>
      </c>
      <c r="V244" s="13">
        <f t="shared" si="487"/>
        <v>0</v>
      </c>
      <c r="W244" s="13">
        <f t="shared" si="487"/>
        <v>0</v>
      </c>
      <c r="X244" s="13">
        <f t="shared" si="487"/>
        <v>0</v>
      </c>
      <c r="Y244" s="13">
        <f t="shared" si="487"/>
        <v>0</v>
      </c>
      <c r="Z244" s="13">
        <f t="shared" si="487"/>
        <v>0</v>
      </c>
      <c r="AA244" s="13">
        <f t="shared" si="487"/>
        <v>0</v>
      </c>
      <c r="AB244" s="13">
        <f t="shared" ref="AB244:AP244" si="488">IFERROR(VALUE(RIGHT(LEFT($J244,FIND(AB$1,$J244,IF(M244=0,1,FIND(AB$1,$J244,1)+1))+LEN(AB$1)),1)),0)</f>
        <v>0</v>
      </c>
      <c r="AC244" s="13">
        <f t="shared" si="488"/>
        <v>0</v>
      </c>
      <c r="AD244" s="13">
        <f t="shared" si="488"/>
        <v>0</v>
      </c>
      <c r="AE244" s="13">
        <f t="shared" si="488"/>
        <v>0</v>
      </c>
      <c r="AF244" s="13">
        <f t="shared" si="488"/>
        <v>0</v>
      </c>
      <c r="AG244" s="13">
        <f t="shared" si="488"/>
        <v>1</v>
      </c>
      <c r="AH244" s="13">
        <f t="shared" si="488"/>
        <v>0</v>
      </c>
      <c r="AI244" s="13">
        <f t="shared" si="488"/>
        <v>0</v>
      </c>
      <c r="AJ244" s="13">
        <f t="shared" si="488"/>
        <v>0</v>
      </c>
      <c r="AK244" s="13">
        <f t="shared" si="488"/>
        <v>0</v>
      </c>
      <c r="AL244" s="13">
        <f t="shared" si="488"/>
        <v>0</v>
      </c>
      <c r="AM244" s="13">
        <f t="shared" si="488"/>
        <v>0</v>
      </c>
      <c r="AN244" s="13">
        <f t="shared" si="488"/>
        <v>0</v>
      </c>
      <c r="AO244" s="13">
        <f t="shared" si="488"/>
        <v>1</v>
      </c>
      <c r="AP244" s="13">
        <f t="shared" si="488"/>
        <v>0</v>
      </c>
      <c r="AQ244" s="13"/>
      <c r="AR244" s="13" t="s">
        <v>1808</v>
      </c>
      <c r="AS244" s="13" t="s">
        <v>1809</v>
      </c>
      <c r="AT244" s="13" t="s">
        <v>1810</v>
      </c>
      <c r="AU244" s="13" t="s">
        <v>269</v>
      </c>
      <c r="AV244" s="13" t="s">
        <v>1811</v>
      </c>
      <c r="AW244" s="13">
        <v>22.0</v>
      </c>
      <c r="AX244" s="13">
        <v>-1.0</v>
      </c>
      <c r="AY244" s="13">
        <v>0.0</v>
      </c>
      <c r="AZ244" s="13" t="s">
        <v>1812</v>
      </c>
      <c r="BA244" s="13" t="s">
        <v>1813</v>
      </c>
      <c r="BB244" s="13"/>
      <c r="BC244" s="13"/>
      <c r="BD244" s="13" t="s">
        <v>776</v>
      </c>
      <c r="BE244" s="13"/>
      <c r="BF244" s="13" t="s">
        <v>1814</v>
      </c>
      <c r="BG244" s="13" t="s">
        <v>263</v>
      </c>
      <c r="BH244" s="13" t="s">
        <v>79</v>
      </c>
      <c r="BI244" s="13" t="b">
        <v>0</v>
      </c>
      <c r="BJ244" s="13">
        <v>0.0</v>
      </c>
      <c r="BK244" s="13">
        <v>0.0</v>
      </c>
    </row>
    <row r="245" ht="14.25" customHeight="1">
      <c r="A245" s="13">
        <v>243.0</v>
      </c>
      <c r="B245" s="13" t="s">
        <v>51</v>
      </c>
      <c r="C245" s="13">
        <v>3.0</v>
      </c>
      <c r="D245" s="14">
        <v>0.0</v>
      </c>
      <c r="E245" s="13" t="s">
        <v>1815</v>
      </c>
      <c r="F245" s="15"/>
      <c r="G245" s="16" t="s">
        <v>1816</v>
      </c>
      <c r="H245" s="13">
        <v>18.0</v>
      </c>
      <c r="I245" s="13">
        <v>1.0</v>
      </c>
      <c r="J245" s="13" t="s">
        <v>1817</v>
      </c>
      <c r="K245" s="13">
        <f t="shared" si="3"/>
        <v>1</v>
      </c>
      <c r="L245" s="13">
        <f t="shared" si="4"/>
        <v>2</v>
      </c>
      <c r="M245" s="13">
        <f t="shared" ref="M245:AA245" si="489">IFERROR(VALUE(RIGHT(LEFT($J245,FIND(M$1,$J245,1)+LEN(M$1)),1)),0)</f>
        <v>0</v>
      </c>
      <c r="N245" s="13">
        <f t="shared" si="489"/>
        <v>0</v>
      </c>
      <c r="O245" s="13">
        <f t="shared" si="489"/>
        <v>1</v>
      </c>
      <c r="P245" s="13">
        <f t="shared" si="489"/>
        <v>0</v>
      </c>
      <c r="Q245" s="13">
        <f t="shared" si="489"/>
        <v>0</v>
      </c>
      <c r="R245" s="13">
        <f t="shared" si="489"/>
        <v>0</v>
      </c>
      <c r="S245" s="13">
        <f t="shared" si="489"/>
        <v>0</v>
      </c>
      <c r="T245" s="13">
        <f t="shared" si="489"/>
        <v>0</v>
      </c>
      <c r="U245" s="13">
        <f t="shared" si="489"/>
        <v>0</v>
      </c>
      <c r="V245" s="13">
        <f t="shared" si="489"/>
        <v>0</v>
      </c>
      <c r="W245" s="13">
        <f t="shared" si="489"/>
        <v>0</v>
      </c>
      <c r="X245" s="13">
        <f t="shared" si="489"/>
        <v>0</v>
      </c>
      <c r="Y245" s="13">
        <f t="shared" si="489"/>
        <v>0</v>
      </c>
      <c r="Z245" s="13">
        <f t="shared" si="489"/>
        <v>0</v>
      </c>
      <c r="AA245" s="13">
        <f t="shared" si="489"/>
        <v>0</v>
      </c>
      <c r="AB245" s="13">
        <f t="shared" ref="AB245:AP245" si="490">IFERROR(VALUE(RIGHT(LEFT($J245,FIND(AB$1,$J245,IF(M245=0,1,FIND(AB$1,$J245,1)+1))+LEN(AB$1)),1)),0)</f>
        <v>0</v>
      </c>
      <c r="AC245" s="13">
        <f t="shared" si="490"/>
        <v>1</v>
      </c>
      <c r="AD245" s="13">
        <f t="shared" si="490"/>
        <v>0</v>
      </c>
      <c r="AE245" s="13">
        <f t="shared" si="490"/>
        <v>0</v>
      </c>
      <c r="AF245" s="13">
        <f t="shared" si="490"/>
        <v>0</v>
      </c>
      <c r="AG245" s="13">
        <f t="shared" si="490"/>
        <v>0</v>
      </c>
      <c r="AH245" s="13">
        <f t="shared" si="490"/>
        <v>0</v>
      </c>
      <c r="AI245" s="13">
        <f t="shared" si="490"/>
        <v>0</v>
      </c>
      <c r="AJ245" s="13">
        <f t="shared" si="490"/>
        <v>0</v>
      </c>
      <c r="AK245" s="13">
        <f t="shared" si="490"/>
        <v>0</v>
      </c>
      <c r="AL245" s="13">
        <f t="shared" si="490"/>
        <v>0</v>
      </c>
      <c r="AM245" s="13">
        <f t="shared" si="490"/>
        <v>0</v>
      </c>
      <c r="AN245" s="13">
        <f t="shared" si="490"/>
        <v>0</v>
      </c>
      <c r="AO245" s="13">
        <f t="shared" si="490"/>
        <v>1</v>
      </c>
      <c r="AP245" s="13">
        <f t="shared" si="490"/>
        <v>0</v>
      </c>
      <c r="AQ245" s="13"/>
      <c r="AR245" s="13" t="s">
        <v>1818</v>
      </c>
      <c r="AS245" s="13" t="s">
        <v>1819</v>
      </c>
      <c r="AT245" s="13" t="s">
        <v>1263</v>
      </c>
      <c r="AU245" s="13" t="s">
        <v>143</v>
      </c>
      <c r="AV245" s="13" t="s">
        <v>1820</v>
      </c>
      <c r="AW245" s="13">
        <v>19.0</v>
      </c>
      <c r="AX245" s="13">
        <v>-1.0</v>
      </c>
      <c r="AY245" s="13">
        <v>0.0</v>
      </c>
      <c r="AZ245" s="13" t="s">
        <v>1821</v>
      </c>
      <c r="BA245" s="13" t="s">
        <v>178</v>
      </c>
      <c r="BB245" s="13"/>
      <c r="BC245" s="13"/>
      <c r="BD245" s="13" t="s">
        <v>1822</v>
      </c>
      <c r="BE245" s="13"/>
      <c r="BF245" s="13" t="s">
        <v>1146</v>
      </c>
      <c r="BG245" s="13" t="s">
        <v>1823</v>
      </c>
      <c r="BH245" s="13" t="s">
        <v>241</v>
      </c>
      <c r="BI245" s="13" t="b">
        <v>0</v>
      </c>
      <c r="BJ245" s="13">
        <v>0.0</v>
      </c>
      <c r="BK245" s="13">
        <v>0.0</v>
      </c>
    </row>
    <row r="246" ht="14.25" customHeight="1">
      <c r="A246" s="13">
        <v>244.0</v>
      </c>
      <c r="B246" s="13" t="s">
        <v>51</v>
      </c>
      <c r="C246" s="13">
        <v>3.0</v>
      </c>
      <c r="D246" s="14">
        <v>0.0</v>
      </c>
      <c r="E246" s="13" t="s">
        <v>1824</v>
      </c>
      <c r="F246" s="15" t="s">
        <v>433</v>
      </c>
      <c r="G246" s="16" t="s">
        <v>1825</v>
      </c>
      <c r="H246" s="13">
        <v>16.0</v>
      </c>
      <c r="I246" s="13">
        <v>1.2</v>
      </c>
      <c r="J246" s="13" t="s">
        <v>1826</v>
      </c>
      <c r="K246" s="13">
        <f t="shared" si="3"/>
        <v>1</v>
      </c>
      <c r="L246" s="13">
        <f t="shared" si="4"/>
        <v>2</v>
      </c>
      <c r="M246" s="13">
        <f t="shared" ref="M246:AA246" si="491">IFERROR(VALUE(RIGHT(LEFT($J246,FIND(M$1,$J246,1)+LEN(M$1)),1)),0)</f>
        <v>0</v>
      </c>
      <c r="N246" s="13">
        <f t="shared" si="491"/>
        <v>0</v>
      </c>
      <c r="O246" s="13">
        <f t="shared" si="491"/>
        <v>0</v>
      </c>
      <c r="P246" s="13">
        <f t="shared" si="491"/>
        <v>0</v>
      </c>
      <c r="Q246" s="13">
        <f t="shared" si="491"/>
        <v>0</v>
      </c>
      <c r="R246" s="13">
        <f t="shared" si="491"/>
        <v>0</v>
      </c>
      <c r="S246" s="13">
        <f t="shared" si="491"/>
        <v>0</v>
      </c>
      <c r="T246" s="13">
        <f t="shared" si="491"/>
        <v>0</v>
      </c>
      <c r="U246" s="13">
        <f t="shared" si="491"/>
        <v>0</v>
      </c>
      <c r="V246" s="13">
        <f t="shared" si="491"/>
        <v>0</v>
      </c>
      <c r="W246" s="13">
        <f t="shared" si="491"/>
        <v>0</v>
      </c>
      <c r="X246" s="13">
        <f t="shared" si="491"/>
        <v>0</v>
      </c>
      <c r="Y246" s="13">
        <f t="shared" si="491"/>
        <v>0</v>
      </c>
      <c r="Z246" s="13">
        <f t="shared" si="491"/>
        <v>1</v>
      </c>
      <c r="AA246" s="13">
        <f t="shared" si="491"/>
        <v>0</v>
      </c>
      <c r="AB246" s="13">
        <f t="shared" ref="AB246:AP246" si="492">IFERROR(VALUE(RIGHT(LEFT($J246,FIND(AB$1,$J246,IF(M246=0,1,FIND(AB$1,$J246,1)+1))+LEN(AB$1)),1)),0)</f>
        <v>0</v>
      </c>
      <c r="AC246" s="13">
        <f t="shared" si="492"/>
        <v>0</v>
      </c>
      <c r="AD246" s="13">
        <f t="shared" si="492"/>
        <v>1</v>
      </c>
      <c r="AE246" s="13">
        <f t="shared" si="492"/>
        <v>0</v>
      </c>
      <c r="AF246" s="13">
        <f t="shared" si="492"/>
        <v>0</v>
      </c>
      <c r="AG246" s="13">
        <f t="shared" si="492"/>
        <v>0</v>
      </c>
      <c r="AH246" s="13">
        <f t="shared" si="492"/>
        <v>0</v>
      </c>
      <c r="AI246" s="13">
        <f t="shared" si="492"/>
        <v>0</v>
      </c>
      <c r="AJ246" s="13">
        <f t="shared" si="492"/>
        <v>0</v>
      </c>
      <c r="AK246" s="13">
        <f t="shared" si="492"/>
        <v>0</v>
      </c>
      <c r="AL246" s="13">
        <f t="shared" si="492"/>
        <v>0</v>
      </c>
      <c r="AM246" s="13">
        <f t="shared" si="492"/>
        <v>0</v>
      </c>
      <c r="AN246" s="13">
        <f t="shared" si="492"/>
        <v>0</v>
      </c>
      <c r="AO246" s="13">
        <f t="shared" si="492"/>
        <v>1</v>
      </c>
      <c r="AP246" s="13">
        <f t="shared" si="492"/>
        <v>0</v>
      </c>
      <c r="AQ246" s="13"/>
      <c r="AR246" s="13" t="s">
        <v>1827</v>
      </c>
      <c r="AS246" s="13" t="s">
        <v>1828</v>
      </c>
      <c r="AT246" s="13" t="s">
        <v>1221</v>
      </c>
      <c r="AU246" s="13" t="s">
        <v>143</v>
      </c>
      <c r="AV246" s="13" t="s">
        <v>1829</v>
      </c>
      <c r="AW246" s="13">
        <v>18.0</v>
      </c>
      <c r="AX246" s="13">
        <v>-1.0</v>
      </c>
      <c r="AY246" s="13">
        <v>0.0</v>
      </c>
      <c r="AZ246" s="13" t="s">
        <v>1830</v>
      </c>
      <c r="BA246" s="13" t="s">
        <v>1831</v>
      </c>
      <c r="BB246" s="13"/>
      <c r="BC246" s="13"/>
      <c r="BD246" s="13" t="s">
        <v>1832</v>
      </c>
      <c r="BE246" s="13"/>
      <c r="BF246" s="13" t="s">
        <v>1153</v>
      </c>
      <c r="BG246" s="13" t="s">
        <v>1833</v>
      </c>
      <c r="BH246" s="13" t="s">
        <v>241</v>
      </c>
      <c r="BI246" s="13" t="b">
        <v>0</v>
      </c>
      <c r="BJ246" s="13">
        <v>0.0</v>
      </c>
      <c r="BK246" s="13">
        <v>0.0</v>
      </c>
    </row>
    <row r="247" ht="14.25" customHeight="1">
      <c r="A247" s="13">
        <v>245.0</v>
      </c>
      <c r="B247" s="13" t="s">
        <v>51</v>
      </c>
      <c r="C247" s="13">
        <v>3.0</v>
      </c>
      <c r="D247" s="14">
        <v>0.0</v>
      </c>
      <c r="E247" s="13" t="s">
        <v>1834</v>
      </c>
      <c r="F247" s="15"/>
      <c r="G247" s="16" t="s">
        <v>1835</v>
      </c>
      <c r="H247" s="13">
        <v>17.0</v>
      </c>
      <c r="I247" s="13">
        <v>1.1</v>
      </c>
      <c r="J247" s="13" t="s">
        <v>1836</v>
      </c>
      <c r="K247" s="13">
        <f t="shared" si="3"/>
        <v>1</v>
      </c>
      <c r="L247" s="13">
        <f t="shared" si="4"/>
        <v>2</v>
      </c>
      <c r="M247" s="13">
        <f t="shared" ref="M247:AA247" si="493">IFERROR(VALUE(RIGHT(LEFT($J247,FIND(M$1,$J247,1)+LEN(M$1)),1)),0)</f>
        <v>0</v>
      </c>
      <c r="N247" s="13">
        <f t="shared" si="493"/>
        <v>0</v>
      </c>
      <c r="O247" s="13">
        <f t="shared" si="493"/>
        <v>0</v>
      </c>
      <c r="P247" s="13">
        <f t="shared" si="493"/>
        <v>0</v>
      </c>
      <c r="Q247" s="13">
        <f t="shared" si="493"/>
        <v>0</v>
      </c>
      <c r="R247" s="13">
        <f t="shared" si="493"/>
        <v>0</v>
      </c>
      <c r="S247" s="13">
        <f t="shared" si="493"/>
        <v>0</v>
      </c>
      <c r="T247" s="13">
        <f t="shared" si="493"/>
        <v>0</v>
      </c>
      <c r="U247" s="13">
        <f t="shared" si="493"/>
        <v>0</v>
      </c>
      <c r="V247" s="13">
        <f t="shared" si="493"/>
        <v>0</v>
      </c>
      <c r="W247" s="13">
        <f t="shared" si="493"/>
        <v>0</v>
      </c>
      <c r="X247" s="13">
        <f t="shared" si="493"/>
        <v>0</v>
      </c>
      <c r="Y247" s="13">
        <f t="shared" si="493"/>
        <v>0</v>
      </c>
      <c r="Z247" s="13">
        <f t="shared" si="493"/>
        <v>1</v>
      </c>
      <c r="AA247" s="13">
        <f t="shared" si="493"/>
        <v>0</v>
      </c>
      <c r="AB247" s="13">
        <f t="shared" ref="AB247:AP247" si="494">IFERROR(VALUE(RIGHT(LEFT($J247,FIND(AB$1,$J247,IF(M247=0,1,FIND(AB$1,$J247,1)+1))+LEN(AB$1)),1)),0)</f>
        <v>0</v>
      </c>
      <c r="AC247" s="13">
        <f t="shared" si="494"/>
        <v>0</v>
      </c>
      <c r="AD247" s="13">
        <f t="shared" si="494"/>
        <v>0</v>
      </c>
      <c r="AE247" s="13">
        <f t="shared" si="494"/>
        <v>1</v>
      </c>
      <c r="AF247" s="13">
        <f t="shared" si="494"/>
        <v>0</v>
      </c>
      <c r="AG247" s="13">
        <f t="shared" si="494"/>
        <v>0</v>
      </c>
      <c r="AH247" s="13">
        <f t="shared" si="494"/>
        <v>0</v>
      </c>
      <c r="AI247" s="13">
        <f t="shared" si="494"/>
        <v>0</v>
      </c>
      <c r="AJ247" s="13">
        <f t="shared" si="494"/>
        <v>0</v>
      </c>
      <c r="AK247" s="13">
        <f t="shared" si="494"/>
        <v>0</v>
      </c>
      <c r="AL247" s="13">
        <f t="shared" si="494"/>
        <v>0</v>
      </c>
      <c r="AM247" s="13">
        <f t="shared" si="494"/>
        <v>0</v>
      </c>
      <c r="AN247" s="13">
        <f t="shared" si="494"/>
        <v>0</v>
      </c>
      <c r="AO247" s="13">
        <f t="shared" si="494"/>
        <v>1</v>
      </c>
      <c r="AP247" s="13">
        <f t="shared" si="494"/>
        <v>0</v>
      </c>
      <c r="AQ247" s="13"/>
      <c r="AR247" s="13" t="s">
        <v>1837</v>
      </c>
      <c r="AS247" s="13" t="s">
        <v>1838</v>
      </c>
      <c r="AT247" s="13" t="s">
        <v>854</v>
      </c>
      <c r="AU247" s="13" t="s">
        <v>130</v>
      </c>
      <c r="AV247" s="13" t="s">
        <v>1839</v>
      </c>
      <c r="AW247" s="13">
        <v>20.0</v>
      </c>
      <c r="AX247" s="13">
        <v>-1.0</v>
      </c>
      <c r="AY247" s="13">
        <v>0.0</v>
      </c>
      <c r="AZ247" s="13" t="s">
        <v>1840</v>
      </c>
      <c r="BA247" s="13" t="s">
        <v>1841</v>
      </c>
      <c r="BB247" s="13"/>
      <c r="BC247" s="13"/>
      <c r="BD247" s="13" t="s">
        <v>282</v>
      </c>
      <c r="BE247" s="13"/>
      <c r="BF247" s="13" t="s">
        <v>1842</v>
      </c>
      <c r="BG247" s="13" t="s">
        <v>284</v>
      </c>
      <c r="BH247" s="13" t="s">
        <v>79</v>
      </c>
      <c r="BI247" s="13" t="b">
        <v>0</v>
      </c>
      <c r="BJ247" s="13">
        <v>0.0</v>
      </c>
      <c r="BK247" s="13">
        <v>0.0</v>
      </c>
    </row>
    <row r="248" ht="14.25" customHeight="1">
      <c r="A248" s="13">
        <v>246.0</v>
      </c>
      <c r="B248" s="13" t="s">
        <v>51</v>
      </c>
      <c r="C248" s="13">
        <v>3.0</v>
      </c>
      <c r="D248" s="14">
        <v>0.0</v>
      </c>
      <c r="E248" s="13" t="s">
        <v>1843</v>
      </c>
      <c r="F248" s="15" t="s">
        <v>334</v>
      </c>
      <c r="G248" s="16" t="s">
        <v>1844</v>
      </c>
      <c r="H248" s="13">
        <v>19.0</v>
      </c>
      <c r="I248" s="13">
        <v>0.9</v>
      </c>
      <c r="J248" s="13" t="s">
        <v>1845</v>
      </c>
      <c r="K248" s="13">
        <f t="shared" si="3"/>
        <v>1</v>
      </c>
      <c r="L248" s="13">
        <f t="shared" si="4"/>
        <v>2</v>
      </c>
      <c r="M248" s="13">
        <f t="shared" ref="M248:AA248" si="495">IFERROR(VALUE(RIGHT(LEFT($J248,FIND(M$1,$J248,1)+LEN(M$1)),1)),0)</f>
        <v>0</v>
      </c>
      <c r="N248" s="13">
        <f t="shared" si="495"/>
        <v>0</v>
      </c>
      <c r="O248" s="13">
        <f t="shared" si="495"/>
        <v>0</v>
      </c>
      <c r="P248" s="13">
        <f t="shared" si="495"/>
        <v>0</v>
      </c>
      <c r="Q248" s="13">
        <f t="shared" si="495"/>
        <v>0</v>
      </c>
      <c r="R248" s="13">
        <f t="shared" si="495"/>
        <v>0</v>
      </c>
      <c r="S248" s="13">
        <f t="shared" si="495"/>
        <v>0</v>
      </c>
      <c r="T248" s="13">
        <f t="shared" si="495"/>
        <v>0</v>
      </c>
      <c r="U248" s="13">
        <f t="shared" si="495"/>
        <v>0</v>
      </c>
      <c r="V248" s="13">
        <f t="shared" si="495"/>
        <v>0</v>
      </c>
      <c r="W248" s="13">
        <f t="shared" si="495"/>
        <v>0</v>
      </c>
      <c r="X248" s="13">
        <f t="shared" si="495"/>
        <v>0</v>
      </c>
      <c r="Y248" s="13">
        <f t="shared" si="495"/>
        <v>0</v>
      </c>
      <c r="Z248" s="13">
        <f t="shared" si="495"/>
        <v>1</v>
      </c>
      <c r="AA248" s="13">
        <f t="shared" si="495"/>
        <v>0</v>
      </c>
      <c r="AB248" s="13">
        <f t="shared" ref="AB248:AP248" si="496">IFERROR(VALUE(RIGHT(LEFT($J248,FIND(AB$1,$J248,IF(M248=0,1,FIND(AB$1,$J248,1)+1))+LEN(AB$1)),1)),0)</f>
        <v>0</v>
      </c>
      <c r="AC248" s="13">
        <f t="shared" si="496"/>
        <v>0</v>
      </c>
      <c r="AD248" s="13">
        <f t="shared" si="496"/>
        <v>0</v>
      </c>
      <c r="AE248" s="13">
        <f t="shared" si="496"/>
        <v>0</v>
      </c>
      <c r="AF248" s="13">
        <f t="shared" si="496"/>
        <v>1</v>
      </c>
      <c r="AG248" s="13">
        <f t="shared" si="496"/>
        <v>0</v>
      </c>
      <c r="AH248" s="13">
        <f t="shared" si="496"/>
        <v>0</v>
      </c>
      <c r="AI248" s="13">
        <f t="shared" si="496"/>
        <v>0</v>
      </c>
      <c r="AJ248" s="13">
        <f t="shared" si="496"/>
        <v>0</v>
      </c>
      <c r="AK248" s="13">
        <f t="shared" si="496"/>
        <v>0</v>
      </c>
      <c r="AL248" s="13">
        <f t="shared" si="496"/>
        <v>0</v>
      </c>
      <c r="AM248" s="13">
        <f t="shared" si="496"/>
        <v>0</v>
      </c>
      <c r="AN248" s="13">
        <f t="shared" si="496"/>
        <v>0</v>
      </c>
      <c r="AO248" s="13">
        <f t="shared" si="496"/>
        <v>1</v>
      </c>
      <c r="AP248" s="13">
        <f t="shared" si="496"/>
        <v>0</v>
      </c>
      <c r="AQ248" s="13"/>
      <c r="AR248" s="13" t="s">
        <v>1846</v>
      </c>
      <c r="AS248" s="13" t="s">
        <v>1847</v>
      </c>
      <c r="AT248" s="13" t="s">
        <v>1221</v>
      </c>
      <c r="AU248" s="13" t="s">
        <v>803</v>
      </c>
      <c r="AV248" s="13" t="s">
        <v>1848</v>
      </c>
      <c r="AW248" s="13">
        <v>21.0</v>
      </c>
      <c r="AX248" s="13">
        <v>-1.0</v>
      </c>
      <c r="AY248" s="13">
        <v>0.0</v>
      </c>
      <c r="AZ248" s="13" t="s">
        <v>1849</v>
      </c>
      <c r="BA248" s="13" t="s">
        <v>1850</v>
      </c>
      <c r="BB248" s="13"/>
      <c r="BC248" s="13"/>
      <c r="BD248" s="13" t="s">
        <v>199</v>
      </c>
      <c r="BE248" s="13"/>
      <c r="BF248" s="13" t="s">
        <v>1437</v>
      </c>
      <c r="BG248" s="13" t="s">
        <v>201</v>
      </c>
      <c r="BH248" s="13" t="s">
        <v>79</v>
      </c>
      <c r="BI248" s="13" t="b">
        <v>0</v>
      </c>
      <c r="BJ248" s="13">
        <v>0.0</v>
      </c>
      <c r="BK248" s="13">
        <v>0.0</v>
      </c>
    </row>
    <row r="249" ht="14.25" customHeight="1">
      <c r="A249" s="13">
        <v>247.0</v>
      </c>
      <c r="B249" s="13" t="s">
        <v>52</v>
      </c>
      <c r="C249" s="13">
        <v>3.0</v>
      </c>
      <c r="D249" s="14">
        <v>0.0</v>
      </c>
      <c r="E249" s="13" t="s">
        <v>1851</v>
      </c>
      <c r="F249" s="15" t="s">
        <v>1009</v>
      </c>
      <c r="G249" s="16" t="s">
        <v>1852</v>
      </c>
      <c r="H249" s="13">
        <v>19.0</v>
      </c>
      <c r="I249" s="13">
        <v>1.1</v>
      </c>
      <c r="J249" s="13" t="s">
        <v>1853</v>
      </c>
      <c r="K249" s="13">
        <f t="shared" si="3"/>
        <v>1</v>
      </c>
      <c r="L249" s="13">
        <f t="shared" si="4"/>
        <v>2</v>
      </c>
      <c r="M249" s="13">
        <f t="shared" ref="M249:AA249" si="497">IFERROR(VALUE(RIGHT(LEFT($J249,FIND(M$1,$J249,1)+LEN(M$1)),1)),0)</f>
        <v>0</v>
      </c>
      <c r="N249" s="13">
        <f t="shared" si="497"/>
        <v>0</v>
      </c>
      <c r="O249" s="13">
        <f t="shared" si="497"/>
        <v>0</v>
      </c>
      <c r="P249" s="13">
        <f t="shared" si="497"/>
        <v>0</v>
      </c>
      <c r="Q249" s="13">
        <f t="shared" si="497"/>
        <v>0</v>
      </c>
      <c r="R249" s="13">
        <f t="shared" si="497"/>
        <v>0</v>
      </c>
      <c r="S249" s="13">
        <f t="shared" si="497"/>
        <v>0</v>
      </c>
      <c r="T249" s="13">
        <f t="shared" si="497"/>
        <v>0</v>
      </c>
      <c r="U249" s="13">
        <f t="shared" si="497"/>
        <v>0</v>
      </c>
      <c r="V249" s="13">
        <f t="shared" si="497"/>
        <v>0</v>
      </c>
      <c r="W249" s="13">
        <f t="shared" si="497"/>
        <v>0</v>
      </c>
      <c r="X249" s="13">
        <f t="shared" si="497"/>
        <v>0</v>
      </c>
      <c r="Y249" s="13">
        <f t="shared" si="497"/>
        <v>0</v>
      </c>
      <c r="Z249" s="13">
        <f t="shared" si="497"/>
        <v>0</v>
      </c>
      <c r="AA249" s="13">
        <f t="shared" si="497"/>
        <v>1</v>
      </c>
      <c r="AB249" s="13">
        <f t="shared" ref="AB249:AP249" si="498">IFERROR(VALUE(RIGHT(LEFT($J249,FIND(AB$1,$J249,IF(M249=0,1,FIND(AB$1,$J249,1)+1))+LEN(AB$1)),1)),0)</f>
        <v>1</v>
      </c>
      <c r="AC249" s="13">
        <f t="shared" si="498"/>
        <v>0</v>
      </c>
      <c r="AD249" s="13">
        <f t="shared" si="498"/>
        <v>0</v>
      </c>
      <c r="AE249" s="13">
        <f t="shared" si="498"/>
        <v>0</v>
      </c>
      <c r="AF249" s="13">
        <f t="shared" si="498"/>
        <v>0</v>
      </c>
      <c r="AG249" s="13">
        <f t="shared" si="498"/>
        <v>0</v>
      </c>
      <c r="AH249" s="13">
        <f t="shared" si="498"/>
        <v>0</v>
      </c>
      <c r="AI249" s="13">
        <f t="shared" si="498"/>
        <v>0</v>
      </c>
      <c r="AJ249" s="13">
        <f t="shared" si="498"/>
        <v>0</v>
      </c>
      <c r="AK249" s="13">
        <f t="shared" si="498"/>
        <v>0</v>
      </c>
      <c r="AL249" s="13">
        <f t="shared" si="498"/>
        <v>0</v>
      </c>
      <c r="AM249" s="13">
        <f t="shared" si="498"/>
        <v>0</v>
      </c>
      <c r="AN249" s="13">
        <f t="shared" si="498"/>
        <v>0</v>
      </c>
      <c r="AO249" s="13">
        <f t="shared" si="498"/>
        <v>0</v>
      </c>
      <c r="AP249" s="13">
        <f t="shared" si="498"/>
        <v>1</v>
      </c>
      <c r="AQ249" s="13"/>
      <c r="AR249" s="13" t="s">
        <v>1854</v>
      </c>
      <c r="AS249" s="13" t="s">
        <v>1855</v>
      </c>
      <c r="AT249" s="13" t="s">
        <v>162</v>
      </c>
      <c r="AU249" s="13" t="s">
        <v>236</v>
      </c>
      <c r="AV249" s="13" t="s">
        <v>1856</v>
      </c>
      <c r="AW249" s="13">
        <v>22.0</v>
      </c>
      <c r="AX249" s="13">
        <v>-1.0</v>
      </c>
      <c r="AY249" s="13">
        <v>0.0</v>
      </c>
      <c r="AZ249" s="13" t="s">
        <v>1857</v>
      </c>
      <c r="BA249" s="13" t="s">
        <v>1858</v>
      </c>
      <c r="BB249" s="13"/>
      <c r="BC249" s="13"/>
      <c r="BD249" s="13" t="s">
        <v>294</v>
      </c>
      <c r="BE249" s="13" t="s">
        <v>1859</v>
      </c>
      <c r="BF249" s="13" t="s">
        <v>1860</v>
      </c>
      <c r="BG249" s="13"/>
      <c r="BH249" s="13" t="s">
        <v>241</v>
      </c>
      <c r="BI249" s="13" t="b">
        <v>0</v>
      </c>
      <c r="BJ249" s="13">
        <v>0.0</v>
      </c>
      <c r="BK249" s="13">
        <v>0.0</v>
      </c>
    </row>
    <row r="250" ht="14.25" customHeight="1">
      <c r="A250" s="13">
        <v>248.0</v>
      </c>
      <c r="B250" s="13" t="s">
        <v>52</v>
      </c>
      <c r="C250" s="13">
        <v>3.0</v>
      </c>
      <c r="D250" s="14">
        <v>0.0</v>
      </c>
      <c r="E250" s="13" t="s">
        <v>1861</v>
      </c>
      <c r="F250" s="15"/>
      <c r="G250" s="16" t="s">
        <v>1862</v>
      </c>
      <c r="H250" s="13">
        <v>15.0</v>
      </c>
      <c r="I250" s="13">
        <v>1.0</v>
      </c>
      <c r="J250" s="13" t="s">
        <v>1863</v>
      </c>
      <c r="K250" s="13">
        <f t="shared" si="3"/>
        <v>1</v>
      </c>
      <c r="L250" s="13">
        <f t="shared" si="4"/>
        <v>2</v>
      </c>
      <c r="M250" s="13">
        <f t="shared" ref="M250:AA250" si="499">IFERROR(VALUE(RIGHT(LEFT($J250,FIND(M$1,$J250,1)+LEN(M$1)),1)),0)</f>
        <v>0</v>
      </c>
      <c r="N250" s="13">
        <f t="shared" si="499"/>
        <v>0</v>
      </c>
      <c r="O250" s="13">
        <f t="shared" si="499"/>
        <v>0</v>
      </c>
      <c r="P250" s="13">
        <f t="shared" si="499"/>
        <v>0</v>
      </c>
      <c r="Q250" s="13">
        <f t="shared" si="499"/>
        <v>0</v>
      </c>
      <c r="R250" s="13">
        <f t="shared" si="499"/>
        <v>0</v>
      </c>
      <c r="S250" s="13">
        <f t="shared" si="499"/>
        <v>0</v>
      </c>
      <c r="T250" s="13">
        <f t="shared" si="499"/>
        <v>0</v>
      </c>
      <c r="U250" s="13">
        <f t="shared" si="499"/>
        <v>0</v>
      </c>
      <c r="V250" s="13">
        <f t="shared" si="499"/>
        <v>0</v>
      </c>
      <c r="W250" s="13">
        <f t="shared" si="499"/>
        <v>0</v>
      </c>
      <c r="X250" s="13">
        <f t="shared" si="499"/>
        <v>0</v>
      </c>
      <c r="Y250" s="13">
        <f t="shared" si="499"/>
        <v>0</v>
      </c>
      <c r="Z250" s="13">
        <f t="shared" si="499"/>
        <v>0</v>
      </c>
      <c r="AA250" s="13">
        <f t="shared" si="499"/>
        <v>1</v>
      </c>
      <c r="AB250" s="13">
        <f t="shared" ref="AB250:AP250" si="500">IFERROR(VALUE(RIGHT(LEFT($J250,FIND(AB$1,$J250,IF(M250=0,1,FIND(AB$1,$J250,1)+1))+LEN(AB$1)),1)),0)</f>
        <v>0</v>
      </c>
      <c r="AC250" s="13">
        <f t="shared" si="500"/>
        <v>0</v>
      </c>
      <c r="AD250" s="13">
        <f t="shared" si="500"/>
        <v>1</v>
      </c>
      <c r="AE250" s="13">
        <f t="shared" si="500"/>
        <v>0</v>
      </c>
      <c r="AF250" s="13">
        <f t="shared" si="500"/>
        <v>0</v>
      </c>
      <c r="AG250" s="13">
        <f t="shared" si="500"/>
        <v>0</v>
      </c>
      <c r="AH250" s="13">
        <f t="shared" si="500"/>
        <v>0</v>
      </c>
      <c r="AI250" s="13">
        <f t="shared" si="500"/>
        <v>0</v>
      </c>
      <c r="AJ250" s="13">
        <f t="shared" si="500"/>
        <v>0</v>
      </c>
      <c r="AK250" s="13">
        <f t="shared" si="500"/>
        <v>0</v>
      </c>
      <c r="AL250" s="13">
        <f t="shared" si="500"/>
        <v>0</v>
      </c>
      <c r="AM250" s="13">
        <f t="shared" si="500"/>
        <v>0</v>
      </c>
      <c r="AN250" s="13">
        <f t="shared" si="500"/>
        <v>0</v>
      </c>
      <c r="AO250" s="13">
        <f t="shared" si="500"/>
        <v>0</v>
      </c>
      <c r="AP250" s="13">
        <f t="shared" si="500"/>
        <v>1</v>
      </c>
      <c r="AQ250" s="13"/>
      <c r="AR250" s="13" t="s">
        <v>1864</v>
      </c>
      <c r="AS250" s="13" t="s">
        <v>1865</v>
      </c>
      <c r="AT250" s="13" t="s">
        <v>863</v>
      </c>
      <c r="AU250" s="13" t="s">
        <v>803</v>
      </c>
      <c r="AV250" s="13" t="s">
        <v>1866</v>
      </c>
      <c r="AW250" s="13">
        <v>18.0</v>
      </c>
      <c r="AX250" s="13">
        <v>-1.0</v>
      </c>
      <c r="AY250" s="13">
        <v>0.0</v>
      </c>
      <c r="AZ250" s="13" t="s">
        <v>1867</v>
      </c>
      <c r="BA250" s="13" t="s">
        <v>1868</v>
      </c>
      <c r="BB250" s="13"/>
      <c r="BC250" s="13"/>
      <c r="BD250" s="13" t="s">
        <v>306</v>
      </c>
      <c r="BE250" s="13" t="s">
        <v>1869</v>
      </c>
      <c r="BF250" s="13" t="s">
        <v>1870</v>
      </c>
      <c r="BG250" s="13"/>
      <c r="BH250" s="13" t="s">
        <v>79</v>
      </c>
      <c r="BI250" s="13" t="b">
        <v>0</v>
      </c>
      <c r="BJ250" s="13">
        <v>0.0</v>
      </c>
      <c r="BK250" s="13">
        <v>0.0</v>
      </c>
    </row>
    <row r="251" ht="14.25" customHeight="1">
      <c r="A251" s="13">
        <v>249.0</v>
      </c>
      <c r="B251" s="13" t="s">
        <v>52</v>
      </c>
      <c r="C251" s="13">
        <v>3.0</v>
      </c>
      <c r="D251" s="14">
        <v>0.0</v>
      </c>
      <c r="E251" s="13" t="s">
        <v>1871</v>
      </c>
      <c r="F251" s="15"/>
      <c r="G251" s="16" t="s">
        <v>1872</v>
      </c>
      <c r="H251" s="13">
        <v>16.0</v>
      </c>
      <c r="I251" s="13">
        <v>0.9</v>
      </c>
      <c r="J251" s="13" t="s">
        <v>1873</v>
      </c>
      <c r="K251" s="13">
        <f t="shared" si="3"/>
        <v>1</v>
      </c>
      <c r="L251" s="13">
        <f t="shared" si="4"/>
        <v>2</v>
      </c>
      <c r="M251" s="13">
        <f t="shared" ref="M251:AA251" si="501">IFERROR(VALUE(RIGHT(LEFT($J251,FIND(M$1,$J251,1)+LEN(M$1)),1)),0)</f>
        <v>0</v>
      </c>
      <c r="N251" s="13">
        <f t="shared" si="501"/>
        <v>1</v>
      </c>
      <c r="O251" s="13">
        <f t="shared" si="501"/>
        <v>0</v>
      </c>
      <c r="P251" s="13">
        <f t="shared" si="501"/>
        <v>0</v>
      </c>
      <c r="Q251" s="13">
        <f t="shared" si="501"/>
        <v>0</v>
      </c>
      <c r="R251" s="13">
        <f t="shared" si="501"/>
        <v>0</v>
      </c>
      <c r="S251" s="13">
        <f t="shared" si="501"/>
        <v>0</v>
      </c>
      <c r="T251" s="13">
        <f t="shared" si="501"/>
        <v>0</v>
      </c>
      <c r="U251" s="13">
        <f t="shared" si="501"/>
        <v>0</v>
      </c>
      <c r="V251" s="13">
        <f t="shared" si="501"/>
        <v>0</v>
      </c>
      <c r="W251" s="13">
        <f t="shared" si="501"/>
        <v>0</v>
      </c>
      <c r="X251" s="13">
        <f t="shared" si="501"/>
        <v>0</v>
      </c>
      <c r="Y251" s="13">
        <f t="shared" si="501"/>
        <v>0</v>
      </c>
      <c r="Z251" s="13">
        <f t="shared" si="501"/>
        <v>0</v>
      </c>
      <c r="AA251" s="13">
        <f t="shared" si="501"/>
        <v>0</v>
      </c>
      <c r="AB251" s="13">
        <f t="shared" ref="AB251:AP251" si="502">IFERROR(VALUE(RIGHT(LEFT($J251,FIND(AB$1,$J251,IF(M251=0,1,FIND(AB$1,$J251,1)+1))+LEN(AB$1)),1)),0)</f>
        <v>0</v>
      </c>
      <c r="AC251" s="13">
        <f t="shared" si="502"/>
        <v>0</v>
      </c>
      <c r="AD251" s="13">
        <f t="shared" si="502"/>
        <v>0</v>
      </c>
      <c r="AE251" s="13">
        <f t="shared" si="502"/>
        <v>0</v>
      </c>
      <c r="AF251" s="13">
        <f t="shared" si="502"/>
        <v>0</v>
      </c>
      <c r="AG251" s="13">
        <f t="shared" si="502"/>
        <v>1</v>
      </c>
      <c r="AH251" s="13">
        <f t="shared" si="502"/>
        <v>0</v>
      </c>
      <c r="AI251" s="13">
        <f t="shared" si="502"/>
        <v>0</v>
      </c>
      <c r="AJ251" s="13">
        <f t="shared" si="502"/>
        <v>0</v>
      </c>
      <c r="AK251" s="13">
        <f t="shared" si="502"/>
        <v>0</v>
      </c>
      <c r="AL251" s="13">
        <f t="shared" si="502"/>
        <v>0</v>
      </c>
      <c r="AM251" s="13">
        <f t="shared" si="502"/>
        <v>0</v>
      </c>
      <c r="AN251" s="13">
        <f t="shared" si="502"/>
        <v>0</v>
      </c>
      <c r="AO251" s="13">
        <f t="shared" si="502"/>
        <v>0</v>
      </c>
      <c r="AP251" s="13">
        <f t="shared" si="502"/>
        <v>1</v>
      </c>
      <c r="AQ251" s="13"/>
      <c r="AR251" s="13" t="s">
        <v>1874</v>
      </c>
      <c r="AS251" s="13" t="s">
        <v>1875</v>
      </c>
      <c r="AT251" s="13" t="s">
        <v>1876</v>
      </c>
      <c r="AU251" s="13" t="s">
        <v>130</v>
      </c>
      <c r="AV251" s="13" t="s">
        <v>1877</v>
      </c>
      <c r="AW251" s="13">
        <v>19.0</v>
      </c>
      <c r="AX251" s="13">
        <v>-1.0</v>
      </c>
      <c r="AY251" s="13">
        <v>0.0</v>
      </c>
      <c r="AZ251" s="13" t="s">
        <v>1878</v>
      </c>
      <c r="BA251" s="13" t="s">
        <v>1879</v>
      </c>
      <c r="BB251" s="13"/>
      <c r="BC251" s="13"/>
      <c r="BD251" s="13" t="s">
        <v>306</v>
      </c>
      <c r="BE251" s="13" t="s">
        <v>1880</v>
      </c>
      <c r="BF251" s="13" t="s">
        <v>1881</v>
      </c>
      <c r="BG251" s="13"/>
      <c r="BH251" s="13" t="s">
        <v>79</v>
      </c>
      <c r="BI251" s="13" t="b">
        <v>0</v>
      </c>
      <c r="BJ251" s="13">
        <v>0.0</v>
      </c>
      <c r="BK251" s="13">
        <v>0.0</v>
      </c>
    </row>
    <row r="252" ht="14.25" customHeight="1">
      <c r="A252" s="13">
        <v>250.0</v>
      </c>
      <c r="B252" s="13" t="s">
        <v>52</v>
      </c>
      <c r="C252" s="13">
        <v>3.0</v>
      </c>
      <c r="D252" s="14">
        <v>0.0</v>
      </c>
      <c r="E252" s="13" t="s">
        <v>1882</v>
      </c>
      <c r="F252" s="15" t="s">
        <v>505</v>
      </c>
      <c r="G252" s="16" t="s">
        <v>1883</v>
      </c>
      <c r="H252" s="13">
        <v>18.0</v>
      </c>
      <c r="I252" s="13">
        <v>1.2</v>
      </c>
      <c r="J252" s="13" t="s">
        <v>1884</v>
      </c>
      <c r="K252" s="13">
        <f t="shared" si="3"/>
        <v>1</v>
      </c>
      <c r="L252" s="13">
        <f t="shared" si="4"/>
        <v>2</v>
      </c>
      <c r="M252" s="13">
        <f t="shared" ref="M252:AA252" si="503">IFERROR(VALUE(RIGHT(LEFT($J252,FIND(M$1,$J252,1)+LEN(M$1)),1)),0)</f>
        <v>0</v>
      </c>
      <c r="N252" s="13">
        <f t="shared" si="503"/>
        <v>0</v>
      </c>
      <c r="O252" s="13">
        <f t="shared" si="503"/>
        <v>0</v>
      </c>
      <c r="P252" s="13">
        <f t="shared" si="503"/>
        <v>0</v>
      </c>
      <c r="Q252" s="13">
        <f t="shared" si="503"/>
        <v>0</v>
      </c>
      <c r="R252" s="13">
        <f t="shared" si="503"/>
        <v>0</v>
      </c>
      <c r="S252" s="13">
        <f t="shared" si="503"/>
        <v>0</v>
      </c>
      <c r="T252" s="13">
        <f t="shared" si="503"/>
        <v>0</v>
      </c>
      <c r="U252" s="13">
        <f t="shared" si="503"/>
        <v>0</v>
      </c>
      <c r="V252" s="13">
        <f t="shared" si="503"/>
        <v>0</v>
      </c>
      <c r="W252" s="13">
        <f t="shared" si="503"/>
        <v>0</v>
      </c>
      <c r="X252" s="13">
        <f t="shared" si="503"/>
        <v>0</v>
      </c>
      <c r="Y252" s="13">
        <f t="shared" si="503"/>
        <v>0</v>
      </c>
      <c r="Z252" s="13">
        <f t="shared" si="503"/>
        <v>0</v>
      </c>
      <c r="AA252" s="13">
        <f t="shared" si="503"/>
        <v>1</v>
      </c>
      <c r="AB252" s="13">
        <f t="shared" ref="AB252:AP252" si="504">IFERROR(VALUE(RIGHT(LEFT($J252,FIND(AB$1,$J252,IF(M252=0,1,FIND(AB$1,$J252,1)+1))+LEN(AB$1)),1)),0)</f>
        <v>0</v>
      </c>
      <c r="AC252" s="13">
        <f t="shared" si="504"/>
        <v>1</v>
      </c>
      <c r="AD252" s="13">
        <f t="shared" si="504"/>
        <v>0</v>
      </c>
      <c r="AE252" s="13">
        <f t="shared" si="504"/>
        <v>0</v>
      </c>
      <c r="AF252" s="13">
        <f t="shared" si="504"/>
        <v>0</v>
      </c>
      <c r="AG252" s="13">
        <f t="shared" si="504"/>
        <v>0</v>
      </c>
      <c r="AH252" s="13">
        <f t="shared" si="504"/>
        <v>0</v>
      </c>
      <c r="AI252" s="13">
        <f t="shared" si="504"/>
        <v>0</v>
      </c>
      <c r="AJ252" s="13">
        <f t="shared" si="504"/>
        <v>0</v>
      </c>
      <c r="AK252" s="13">
        <f t="shared" si="504"/>
        <v>0</v>
      </c>
      <c r="AL252" s="13">
        <f t="shared" si="504"/>
        <v>0</v>
      </c>
      <c r="AM252" s="13">
        <f t="shared" si="504"/>
        <v>0</v>
      </c>
      <c r="AN252" s="13">
        <f t="shared" si="504"/>
        <v>0</v>
      </c>
      <c r="AO252" s="13">
        <f t="shared" si="504"/>
        <v>0</v>
      </c>
      <c r="AP252" s="13">
        <f t="shared" si="504"/>
        <v>1</v>
      </c>
      <c r="AQ252" s="13"/>
      <c r="AR252" s="13" t="s">
        <v>1885</v>
      </c>
      <c r="AS252" s="13" t="s">
        <v>1886</v>
      </c>
      <c r="AT252" s="13" t="s">
        <v>863</v>
      </c>
      <c r="AU252" s="13" t="s">
        <v>130</v>
      </c>
      <c r="AV252" s="13" t="s">
        <v>1887</v>
      </c>
      <c r="AW252" s="13">
        <v>20.0</v>
      </c>
      <c r="AX252" s="13">
        <v>-1.0</v>
      </c>
      <c r="AY252" s="13">
        <v>0.0</v>
      </c>
      <c r="AZ252" s="13" t="s">
        <v>1888</v>
      </c>
      <c r="BA252" s="13" t="s">
        <v>1889</v>
      </c>
      <c r="BB252" s="13"/>
      <c r="BC252" s="13"/>
      <c r="BD252" s="13" t="s">
        <v>306</v>
      </c>
      <c r="BE252" s="13" t="s">
        <v>1890</v>
      </c>
      <c r="BF252" s="13" t="s">
        <v>1777</v>
      </c>
      <c r="BG252" s="13"/>
      <c r="BH252" s="13" t="s">
        <v>79</v>
      </c>
      <c r="BI252" s="13" t="b">
        <v>0</v>
      </c>
      <c r="BJ252" s="13">
        <v>0.0</v>
      </c>
      <c r="BK252" s="13">
        <v>0.0</v>
      </c>
    </row>
    <row r="253" ht="14.25" customHeight="1">
      <c r="A253" s="13">
        <v>251.0</v>
      </c>
      <c r="B253" s="13" t="s">
        <v>52</v>
      </c>
      <c r="C253" s="13">
        <v>3.0</v>
      </c>
      <c r="D253" s="14">
        <v>0.0</v>
      </c>
      <c r="E253" s="13" t="s">
        <v>1891</v>
      </c>
      <c r="F253" s="15"/>
      <c r="G253" s="16" t="s">
        <v>1892</v>
      </c>
      <c r="H253" s="13">
        <v>10.0</v>
      </c>
      <c r="I253" s="13">
        <v>0.9</v>
      </c>
      <c r="J253" s="13" t="s">
        <v>1893</v>
      </c>
      <c r="K253" s="13">
        <f t="shared" si="3"/>
        <v>1</v>
      </c>
      <c r="L253" s="13">
        <f t="shared" si="4"/>
        <v>2</v>
      </c>
      <c r="M253" s="13">
        <f t="shared" ref="M253:AA253" si="505">IFERROR(VALUE(RIGHT(LEFT($J253,FIND(M$1,$J253,1)+LEN(M$1)),1)),0)</f>
        <v>0</v>
      </c>
      <c r="N253" s="13">
        <f t="shared" si="505"/>
        <v>0</v>
      </c>
      <c r="O253" s="13">
        <f t="shared" si="505"/>
        <v>1</v>
      </c>
      <c r="P253" s="13">
        <f t="shared" si="505"/>
        <v>0</v>
      </c>
      <c r="Q253" s="13">
        <f t="shared" si="505"/>
        <v>0</v>
      </c>
      <c r="R253" s="13">
        <f t="shared" si="505"/>
        <v>0</v>
      </c>
      <c r="S253" s="13">
        <f t="shared" si="505"/>
        <v>0</v>
      </c>
      <c r="T253" s="13">
        <f t="shared" si="505"/>
        <v>0</v>
      </c>
      <c r="U253" s="13">
        <f t="shared" si="505"/>
        <v>0</v>
      </c>
      <c r="V253" s="13">
        <f t="shared" si="505"/>
        <v>0</v>
      </c>
      <c r="W253" s="13">
        <f t="shared" si="505"/>
        <v>0</v>
      </c>
      <c r="X253" s="13">
        <f t="shared" si="505"/>
        <v>0</v>
      </c>
      <c r="Y253" s="13">
        <f t="shared" si="505"/>
        <v>0</v>
      </c>
      <c r="Z253" s="13">
        <f t="shared" si="505"/>
        <v>0</v>
      </c>
      <c r="AA253" s="13">
        <f t="shared" si="505"/>
        <v>0</v>
      </c>
      <c r="AB253" s="13">
        <f t="shared" ref="AB253:AP253" si="506">IFERROR(VALUE(RIGHT(LEFT($J253,FIND(AB$1,$J253,IF(M253=0,1,FIND(AB$1,$J253,1)+1))+LEN(AB$1)),1)),0)</f>
        <v>0</v>
      </c>
      <c r="AC253" s="13">
        <f t="shared" si="506"/>
        <v>0</v>
      </c>
      <c r="AD253" s="13">
        <f t="shared" si="506"/>
        <v>0</v>
      </c>
      <c r="AE253" s="13">
        <f t="shared" si="506"/>
        <v>1</v>
      </c>
      <c r="AF253" s="13">
        <f t="shared" si="506"/>
        <v>0</v>
      </c>
      <c r="AG253" s="13">
        <f t="shared" si="506"/>
        <v>0</v>
      </c>
      <c r="AH253" s="13">
        <f t="shared" si="506"/>
        <v>0</v>
      </c>
      <c r="AI253" s="13">
        <f t="shared" si="506"/>
        <v>0</v>
      </c>
      <c r="AJ253" s="13">
        <f t="shared" si="506"/>
        <v>0</v>
      </c>
      <c r="AK253" s="13">
        <f t="shared" si="506"/>
        <v>0</v>
      </c>
      <c r="AL253" s="13">
        <f t="shared" si="506"/>
        <v>0</v>
      </c>
      <c r="AM253" s="13">
        <f t="shared" si="506"/>
        <v>0</v>
      </c>
      <c r="AN253" s="13">
        <f t="shared" si="506"/>
        <v>0</v>
      </c>
      <c r="AO253" s="13">
        <f t="shared" si="506"/>
        <v>0</v>
      </c>
      <c r="AP253" s="13">
        <f t="shared" si="506"/>
        <v>1</v>
      </c>
      <c r="AQ253" s="13"/>
      <c r="AR253" s="13" t="s">
        <v>1894</v>
      </c>
      <c r="AS253" s="13" t="s">
        <v>1895</v>
      </c>
      <c r="AT253" s="13" t="s">
        <v>162</v>
      </c>
      <c r="AU253" s="13" t="s">
        <v>1297</v>
      </c>
      <c r="AV253" s="13" t="s">
        <v>1896</v>
      </c>
      <c r="AW253" s="13">
        <v>17.0</v>
      </c>
      <c r="AX253" s="13">
        <v>-1.0</v>
      </c>
      <c r="AY253" s="13">
        <v>0.0</v>
      </c>
      <c r="AZ253" s="13" t="s">
        <v>1897</v>
      </c>
      <c r="BA253" s="13" t="s">
        <v>1898</v>
      </c>
      <c r="BB253" s="13"/>
      <c r="BC253" s="13"/>
      <c r="BD253" s="13" t="s">
        <v>294</v>
      </c>
      <c r="BE253" s="13" t="s">
        <v>1899</v>
      </c>
      <c r="BF253" s="13" t="s">
        <v>1900</v>
      </c>
      <c r="BG253" s="13"/>
      <c r="BH253" s="13" t="s">
        <v>241</v>
      </c>
      <c r="BI253" s="13" t="b">
        <v>0</v>
      </c>
      <c r="BJ253" s="13">
        <v>0.0</v>
      </c>
      <c r="BK253" s="13">
        <v>0.0</v>
      </c>
    </row>
    <row r="254" ht="14.25" customHeight="1">
      <c r="A254" s="13">
        <v>252.0</v>
      </c>
      <c r="B254" s="13" t="s">
        <v>44</v>
      </c>
      <c r="C254" s="13">
        <v>4.0</v>
      </c>
      <c r="D254" s="14">
        <v>0.0</v>
      </c>
      <c r="E254" s="13" t="s">
        <v>1901</v>
      </c>
      <c r="F254" s="15"/>
      <c r="G254" s="16" t="s">
        <v>1902</v>
      </c>
      <c r="H254" s="13"/>
      <c r="I254" s="13">
        <v>1.1</v>
      </c>
      <c r="J254" s="13" t="s">
        <v>1903</v>
      </c>
      <c r="K254" s="13">
        <f t="shared" si="3"/>
        <v>2</v>
      </c>
      <c r="L254" s="13">
        <f t="shared" si="4"/>
        <v>2</v>
      </c>
      <c r="M254" s="13">
        <f t="shared" ref="M254:AA254" si="507">IFERROR(VALUE(RIGHT(LEFT($J254,FIND(M$1,$J254,1)+LEN(M$1)),1)),0)</f>
        <v>0</v>
      </c>
      <c r="N254" s="13">
        <f t="shared" si="507"/>
        <v>0</v>
      </c>
      <c r="O254" s="13">
        <f t="shared" si="507"/>
        <v>0</v>
      </c>
      <c r="P254" s="13">
        <f t="shared" si="507"/>
        <v>0</v>
      </c>
      <c r="Q254" s="13">
        <f t="shared" si="507"/>
        <v>0</v>
      </c>
      <c r="R254" s="13">
        <f t="shared" si="507"/>
        <v>0</v>
      </c>
      <c r="S254" s="13">
        <f t="shared" si="507"/>
        <v>2</v>
      </c>
      <c r="T254" s="13">
        <f t="shared" si="507"/>
        <v>0</v>
      </c>
      <c r="U254" s="13">
        <f t="shared" si="507"/>
        <v>0</v>
      </c>
      <c r="V254" s="13">
        <f t="shared" si="507"/>
        <v>0</v>
      </c>
      <c r="W254" s="13">
        <f t="shared" si="507"/>
        <v>0</v>
      </c>
      <c r="X254" s="13">
        <f t="shared" si="507"/>
        <v>0</v>
      </c>
      <c r="Y254" s="13">
        <f t="shared" si="507"/>
        <v>0</v>
      </c>
      <c r="Z254" s="13">
        <f t="shared" si="507"/>
        <v>0</v>
      </c>
      <c r="AA254" s="13">
        <f t="shared" si="507"/>
        <v>0</v>
      </c>
      <c r="AB254" s="13">
        <f t="shared" ref="AB254:AP254" si="508">IFERROR(VALUE(RIGHT(LEFT($J254,FIND(AB$1,$J254,IF(M254=0,1,FIND(AB$1,$J254,1)+1))+LEN(AB$1)),1)),0)</f>
        <v>0</v>
      </c>
      <c r="AC254" s="13">
        <f t="shared" si="508"/>
        <v>0</v>
      </c>
      <c r="AD254" s="13">
        <f t="shared" si="508"/>
        <v>1</v>
      </c>
      <c r="AE254" s="13">
        <f t="shared" si="508"/>
        <v>0</v>
      </c>
      <c r="AF254" s="13">
        <f t="shared" si="508"/>
        <v>0</v>
      </c>
      <c r="AG254" s="13">
        <f t="shared" si="508"/>
        <v>0</v>
      </c>
      <c r="AH254" s="13">
        <f t="shared" si="508"/>
        <v>1</v>
      </c>
      <c r="AI254" s="13">
        <f t="shared" si="508"/>
        <v>0</v>
      </c>
      <c r="AJ254" s="13">
        <f t="shared" si="508"/>
        <v>0</v>
      </c>
      <c r="AK254" s="13">
        <f t="shared" si="508"/>
        <v>0</v>
      </c>
      <c r="AL254" s="13">
        <f t="shared" si="508"/>
        <v>0</v>
      </c>
      <c r="AM254" s="13">
        <f t="shared" si="508"/>
        <v>0</v>
      </c>
      <c r="AN254" s="13">
        <f t="shared" si="508"/>
        <v>0</v>
      </c>
      <c r="AO254" s="13">
        <f t="shared" si="508"/>
        <v>0</v>
      </c>
      <c r="AP254" s="13">
        <f t="shared" si="508"/>
        <v>0</v>
      </c>
      <c r="AQ254" s="13" t="s">
        <v>1904</v>
      </c>
      <c r="AR254" s="13"/>
      <c r="AS254" s="13" t="s">
        <v>1905</v>
      </c>
      <c r="AT254" s="13"/>
      <c r="AU254" s="13"/>
      <c r="AV254" s="13"/>
      <c r="AW254" s="13">
        <v>0.0</v>
      </c>
      <c r="AX254" s="13">
        <v>-1.0</v>
      </c>
      <c r="AY254" s="13">
        <v>0.0</v>
      </c>
      <c r="AZ254" s="13"/>
      <c r="BA254" s="13"/>
      <c r="BB254" s="13"/>
      <c r="BC254" s="13"/>
      <c r="BD254" s="13"/>
      <c r="BE254" s="13"/>
      <c r="BF254" s="13"/>
      <c r="BG254" s="13"/>
      <c r="BH254" s="13" t="s">
        <v>79</v>
      </c>
      <c r="BI254" s="13" t="b">
        <v>0</v>
      </c>
      <c r="BJ254" s="13">
        <v>0.0</v>
      </c>
      <c r="BK254" s="13">
        <v>0.0</v>
      </c>
    </row>
    <row r="255" ht="14.25" customHeight="1">
      <c r="A255" s="13">
        <v>253.0</v>
      </c>
      <c r="B255" s="13" t="s">
        <v>44</v>
      </c>
      <c r="C255" s="13">
        <v>4.0</v>
      </c>
      <c r="D255" s="14">
        <v>0.0</v>
      </c>
      <c r="E255" s="13" t="s">
        <v>1906</v>
      </c>
      <c r="F255" s="15"/>
      <c r="G255" s="16" t="s">
        <v>1907</v>
      </c>
      <c r="H255" s="13"/>
      <c r="I255" s="13">
        <v>1.0</v>
      </c>
      <c r="J255" s="13" t="s">
        <v>1908</v>
      </c>
      <c r="K255" s="13">
        <f t="shared" si="3"/>
        <v>3</v>
      </c>
      <c r="L255" s="13">
        <f t="shared" si="4"/>
        <v>0</v>
      </c>
      <c r="M255" s="13">
        <f t="shared" ref="M255:AA255" si="509">IFERROR(VALUE(RIGHT(LEFT($J255,FIND(M$1,$J255,1)+LEN(M$1)),1)),0)</f>
        <v>1</v>
      </c>
      <c r="N255" s="13">
        <f t="shared" si="509"/>
        <v>0</v>
      </c>
      <c r="O255" s="13">
        <f t="shared" si="509"/>
        <v>0</v>
      </c>
      <c r="P255" s="13">
        <f t="shared" si="509"/>
        <v>0</v>
      </c>
      <c r="Q255" s="13">
        <f t="shared" si="509"/>
        <v>0</v>
      </c>
      <c r="R255" s="13">
        <f t="shared" si="509"/>
        <v>1</v>
      </c>
      <c r="S255" s="13">
        <f t="shared" si="509"/>
        <v>1</v>
      </c>
      <c r="T255" s="13">
        <f t="shared" si="509"/>
        <v>0</v>
      </c>
      <c r="U255" s="13">
        <f t="shared" si="509"/>
        <v>0</v>
      </c>
      <c r="V255" s="13">
        <f t="shared" si="509"/>
        <v>0</v>
      </c>
      <c r="W255" s="13">
        <f t="shared" si="509"/>
        <v>0</v>
      </c>
      <c r="X255" s="13">
        <f t="shared" si="509"/>
        <v>0</v>
      </c>
      <c r="Y255" s="13">
        <f t="shared" si="509"/>
        <v>0</v>
      </c>
      <c r="Z255" s="13">
        <f t="shared" si="509"/>
        <v>0</v>
      </c>
      <c r="AA255" s="13">
        <f t="shared" si="509"/>
        <v>0</v>
      </c>
      <c r="AB255" s="13">
        <f t="shared" ref="AB255:AP255" si="510">IFERROR(VALUE(RIGHT(LEFT($J255,FIND(AB$1,$J255,IF(M255=0,1,FIND(AB$1,$J255,1)+1))+LEN(AB$1)),1)),0)</f>
        <v>0</v>
      </c>
      <c r="AC255" s="13">
        <f t="shared" si="510"/>
        <v>0</v>
      </c>
      <c r="AD255" s="13">
        <f t="shared" si="510"/>
        <v>0</v>
      </c>
      <c r="AE255" s="13">
        <f t="shared" si="510"/>
        <v>0</v>
      </c>
      <c r="AF255" s="13">
        <f t="shared" si="510"/>
        <v>0</v>
      </c>
      <c r="AG255" s="13">
        <f t="shared" si="510"/>
        <v>0</v>
      </c>
      <c r="AH255" s="13">
        <f t="shared" si="510"/>
        <v>0</v>
      </c>
      <c r="AI255" s="13">
        <f t="shared" si="510"/>
        <v>0</v>
      </c>
      <c r="AJ255" s="13">
        <f t="shared" si="510"/>
        <v>0</v>
      </c>
      <c r="AK255" s="13">
        <f t="shared" si="510"/>
        <v>0</v>
      </c>
      <c r="AL255" s="13">
        <f t="shared" si="510"/>
        <v>0</v>
      </c>
      <c r="AM255" s="13">
        <f t="shared" si="510"/>
        <v>0</v>
      </c>
      <c r="AN255" s="13">
        <f t="shared" si="510"/>
        <v>0</v>
      </c>
      <c r="AO255" s="13">
        <f t="shared" si="510"/>
        <v>0</v>
      </c>
      <c r="AP255" s="13">
        <f t="shared" si="510"/>
        <v>0</v>
      </c>
      <c r="AQ255" s="13" t="s">
        <v>1909</v>
      </c>
      <c r="AR255" s="13"/>
      <c r="AS255" s="13" t="s">
        <v>1910</v>
      </c>
      <c r="AT255" s="13"/>
      <c r="AU255" s="13"/>
      <c r="AV255" s="13"/>
      <c r="AW255" s="13">
        <v>0.0</v>
      </c>
      <c r="AX255" s="13">
        <v>-1.0</v>
      </c>
      <c r="AY255" s="13">
        <v>0.0</v>
      </c>
      <c r="AZ255" s="13"/>
      <c r="BA255" s="13"/>
      <c r="BB255" s="13"/>
      <c r="BC255" s="13"/>
      <c r="BD255" s="13"/>
      <c r="BE255" s="13"/>
      <c r="BF255" s="13"/>
      <c r="BG255" s="13"/>
      <c r="BH255" s="13" t="s">
        <v>79</v>
      </c>
      <c r="BI255" s="13" t="b">
        <v>0</v>
      </c>
      <c r="BJ255" s="13">
        <v>0.0</v>
      </c>
      <c r="BK255" s="13">
        <v>0.0</v>
      </c>
    </row>
    <row r="256" ht="14.25" customHeight="1">
      <c r="A256" s="13">
        <v>254.0</v>
      </c>
      <c r="B256" s="13" t="s">
        <v>44</v>
      </c>
      <c r="C256" s="13">
        <v>4.0</v>
      </c>
      <c r="D256" s="14">
        <v>0.0</v>
      </c>
      <c r="E256" s="13" t="s">
        <v>1911</v>
      </c>
      <c r="F256" s="15"/>
      <c r="G256" s="16" t="s">
        <v>1912</v>
      </c>
      <c r="H256" s="13"/>
      <c r="I256" s="13">
        <v>0.9</v>
      </c>
      <c r="J256" s="13" t="s">
        <v>1913</v>
      </c>
      <c r="K256" s="13">
        <f t="shared" si="3"/>
        <v>2</v>
      </c>
      <c r="L256" s="13">
        <f t="shared" si="4"/>
        <v>2</v>
      </c>
      <c r="M256" s="13">
        <f t="shared" ref="M256:AA256" si="511">IFERROR(VALUE(RIGHT(LEFT($J256,FIND(M$1,$J256,1)+LEN(M$1)),1)),0)</f>
        <v>0</v>
      </c>
      <c r="N256" s="13">
        <f t="shared" si="511"/>
        <v>1</v>
      </c>
      <c r="O256" s="13">
        <f t="shared" si="511"/>
        <v>0</v>
      </c>
      <c r="P256" s="13">
        <f t="shared" si="511"/>
        <v>0</v>
      </c>
      <c r="Q256" s="13">
        <f t="shared" si="511"/>
        <v>0</v>
      </c>
      <c r="R256" s="13">
        <f t="shared" si="511"/>
        <v>0</v>
      </c>
      <c r="S256" s="13">
        <f t="shared" si="511"/>
        <v>1</v>
      </c>
      <c r="T256" s="13">
        <f t="shared" si="511"/>
        <v>0</v>
      </c>
      <c r="U256" s="13">
        <f t="shared" si="511"/>
        <v>0</v>
      </c>
      <c r="V256" s="13">
        <f t="shared" si="511"/>
        <v>0</v>
      </c>
      <c r="W256" s="13">
        <f t="shared" si="511"/>
        <v>0</v>
      </c>
      <c r="X256" s="13">
        <f t="shared" si="511"/>
        <v>0</v>
      </c>
      <c r="Y256" s="13">
        <f t="shared" si="511"/>
        <v>0</v>
      </c>
      <c r="Z256" s="13">
        <f t="shared" si="511"/>
        <v>0</v>
      </c>
      <c r="AA256" s="13">
        <f t="shared" si="511"/>
        <v>0</v>
      </c>
      <c r="AB256" s="13">
        <f t="shared" ref="AB256:AP256" si="512">IFERROR(VALUE(RIGHT(LEFT($J256,FIND(AB$1,$J256,IF(M256=0,1,FIND(AB$1,$J256,1)+1))+LEN(AB$1)),1)),0)</f>
        <v>0</v>
      </c>
      <c r="AC256" s="13">
        <f t="shared" si="512"/>
        <v>0</v>
      </c>
      <c r="AD256" s="13">
        <f t="shared" si="512"/>
        <v>0</v>
      </c>
      <c r="AE256" s="13">
        <f t="shared" si="512"/>
        <v>0</v>
      </c>
      <c r="AF256" s="13">
        <f t="shared" si="512"/>
        <v>0</v>
      </c>
      <c r="AG256" s="13">
        <f t="shared" si="512"/>
        <v>1</v>
      </c>
      <c r="AH256" s="13">
        <f t="shared" si="512"/>
        <v>1</v>
      </c>
      <c r="AI256" s="13">
        <f t="shared" si="512"/>
        <v>0</v>
      </c>
      <c r="AJ256" s="13">
        <f t="shared" si="512"/>
        <v>0</v>
      </c>
      <c r="AK256" s="13">
        <f t="shared" si="512"/>
        <v>0</v>
      </c>
      <c r="AL256" s="13">
        <f t="shared" si="512"/>
        <v>0</v>
      </c>
      <c r="AM256" s="13">
        <f t="shared" si="512"/>
        <v>0</v>
      </c>
      <c r="AN256" s="13">
        <f t="shared" si="512"/>
        <v>0</v>
      </c>
      <c r="AO256" s="13">
        <f t="shared" si="512"/>
        <v>0</v>
      </c>
      <c r="AP256" s="13">
        <f t="shared" si="512"/>
        <v>0</v>
      </c>
      <c r="AQ256" s="13" t="s">
        <v>1914</v>
      </c>
      <c r="AR256" s="13"/>
      <c r="AS256" s="13" t="s">
        <v>1915</v>
      </c>
      <c r="AT256" s="13"/>
      <c r="AU256" s="13"/>
      <c r="AV256" s="13"/>
      <c r="AW256" s="13">
        <v>0.0</v>
      </c>
      <c r="AX256" s="13">
        <v>-1.0</v>
      </c>
      <c r="AY256" s="13">
        <v>0.0</v>
      </c>
      <c r="AZ256" s="13"/>
      <c r="BA256" s="13"/>
      <c r="BB256" s="13"/>
      <c r="BC256" s="13"/>
      <c r="BD256" s="13"/>
      <c r="BE256" s="13"/>
      <c r="BF256" s="13"/>
      <c r="BG256" s="13"/>
      <c r="BH256" s="13" t="s">
        <v>79</v>
      </c>
      <c r="BI256" s="13" t="b">
        <v>0</v>
      </c>
      <c r="BJ256" s="13">
        <v>0.0</v>
      </c>
      <c r="BK256" s="13">
        <v>0.0</v>
      </c>
    </row>
    <row r="257" ht="14.25" customHeight="1">
      <c r="A257" s="13">
        <v>255.0</v>
      </c>
      <c r="B257" s="13" t="s">
        <v>45</v>
      </c>
      <c r="C257" s="13">
        <v>4.0</v>
      </c>
      <c r="D257" s="14">
        <v>0.0</v>
      </c>
      <c r="E257" s="13" t="s">
        <v>1916</v>
      </c>
      <c r="F257" s="15"/>
      <c r="G257" s="16" t="s">
        <v>1917</v>
      </c>
      <c r="H257" s="13"/>
      <c r="I257" s="13">
        <v>1.0</v>
      </c>
      <c r="J257" s="13" t="s">
        <v>1918</v>
      </c>
      <c r="K257" s="13">
        <f t="shared" si="3"/>
        <v>2</v>
      </c>
      <c r="L257" s="13">
        <f t="shared" si="4"/>
        <v>2</v>
      </c>
      <c r="M257" s="13">
        <f t="shared" ref="M257:AA257" si="513">IFERROR(VALUE(RIGHT(LEFT($J257,FIND(M$1,$J257,1)+LEN(M$1)),1)),0)</f>
        <v>0</v>
      </c>
      <c r="N257" s="13">
        <f t="shared" si="513"/>
        <v>0</v>
      </c>
      <c r="O257" s="13">
        <f t="shared" si="513"/>
        <v>0</v>
      </c>
      <c r="P257" s="13">
        <f t="shared" si="513"/>
        <v>0</v>
      </c>
      <c r="Q257" s="13">
        <f t="shared" si="513"/>
        <v>0</v>
      </c>
      <c r="R257" s="13">
        <f t="shared" si="513"/>
        <v>0</v>
      </c>
      <c r="S257" s="13">
        <f t="shared" si="513"/>
        <v>0</v>
      </c>
      <c r="T257" s="13">
        <f t="shared" si="513"/>
        <v>2</v>
      </c>
      <c r="U257" s="13">
        <f t="shared" si="513"/>
        <v>0</v>
      </c>
      <c r="V257" s="13">
        <f t="shared" si="513"/>
        <v>0</v>
      </c>
      <c r="W257" s="13">
        <f t="shared" si="513"/>
        <v>0</v>
      </c>
      <c r="X257" s="13">
        <f t="shared" si="513"/>
        <v>0</v>
      </c>
      <c r="Y257" s="13">
        <f t="shared" si="513"/>
        <v>0</v>
      </c>
      <c r="Z257" s="13">
        <f t="shared" si="513"/>
        <v>0</v>
      </c>
      <c r="AA257" s="13">
        <f t="shared" si="513"/>
        <v>0</v>
      </c>
      <c r="AB257" s="13">
        <f t="shared" ref="AB257:AP257" si="514">IFERROR(VALUE(RIGHT(LEFT($J257,FIND(AB$1,$J257,IF(M257=0,1,FIND(AB$1,$J257,1)+1))+LEN(AB$1)),1)),0)</f>
        <v>0</v>
      </c>
      <c r="AC257" s="13">
        <f t="shared" si="514"/>
        <v>1</v>
      </c>
      <c r="AD257" s="13">
        <f t="shared" si="514"/>
        <v>0</v>
      </c>
      <c r="AE257" s="13">
        <f t="shared" si="514"/>
        <v>0</v>
      </c>
      <c r="AF257" s="13">
        <f t="shared" si="514"/>
        <v>0</v>
      </c>
      <c r="AG257" s="13">
        <f t="shared" si="514"/>
        <v>0</v>
      </c>
      <c r="AH257" s="13">
        <f t="shared" si="514"/>
        <v>0</v>
      </c>
      <c r="AI257" s="13">
        <f t="shared" si="514"/>
        <v>1</v>
      </c>
      <c r="AJ257" s="13">
        <f t="shared" si="514"/>
        <v>0</v>
      </c>
      <c r="AK257" s="13">
        <f t="shared" si="514"/>
        <v>0</v>
      </c>
      <c r="AL257" s="13">
        <f t="shared" si="514"/>
        <v>0</v>
      </c>
      <c r="AM257" s="13">
        <f t="shared" si="514"/>
        <v>0</v>
      </c>
      <c r="AN257" s="13">
        <f t="shared" si="514"/>
        <v>0</v>
      </c>
      <c r="AO257" s="13">
        <f t="shared" si="514"/>
        <v>0</v>
      </c>
      <c r="AP257" s="13">
        <f t="shared" si="514"/>
        <v>0</v>
      </c>
      <c r="AQ257" s="13" t="s">
        <v>1919</v>
      </c>
      <c r="AR257" s="13"/>
      <c r="AS257" s="13" t="s">
        <v>1920</v>
      </c>
      <c r="AT257" s="13"/>
      <c r="AU257" s="13"/>
      <c r="AV257" s="13"/>
      <c r="AW257" s="13">
        <v>0.0</v>
      </c>
      <c r="AX257" s="13">
        <v>-1.0</v>
      </c>
      <c r="AY257" s="13">
        <v>0.0</v>
      </c>
      <c r="AZ257" s="13"/>
      <c r="BA257" s="13"/>
      <c r="BB257" s="13"/>
      <c r="BC257" s="13"/>
      <c r="BD257" s="13"/>
      <c r="BE257" s="13"/>
      <c r="BF257" s="13"/>
      <c r="BG257" s="13"/>
      <c r="BH257" s="13" t="s">
        <v>79</v>
      </c>
      <c r="BI257" s="13" t="b">
        <v>0</v>
      </c>
      <c r="BJ257" s="13">
        <v>0.0</v>
      </c>
      <c r="BK257" s="13">
        <v>0.0</v>
      </c>
    </row>
    <row r="258" ht="14.25" customHeight="1">
      <c r="A258" s="13">
        <v>256.0</v>
      </c>
      <c r="B258" s="13" t="s">
        <v>45</v>
      </c>
      <c r="C258" s="13">
        <v>4.0</v>
      </c>
      <c r="D258" s="14">
        <v>0.0</v>
      </c>
      <c r="E258" s="13" t="s">
        <v>1921</v>
      </c>
      <c r="F258" s="15"/>
      <c r="G258" s="16" t="s">
        <v>1922</v>
      </c>
      <c r="H258" s="13"/>
      <c r="I258" s="13">
        <v>1.1</v>
      </c>
      <c r="J258" s="13" t="s">
        <v>1923</v>
      </c>
      <c r="K258" s="13">
        <f t="shared" si="3"/>
        <v>2</v>
      </c>
      <c r="L258" s="13">
        <f t="shared" si="4"/>
        <v>2</v>
      </c>
      <c r="M258" s="13">
        <f t="shared" ref="M258:AA258" si="515">IFERROR(VALUE(RIGHT(LEFT($J258,FIND(M$1,$J258,1)+LEN(M$1)),1)),0)</f>
        <v>1</v>
      </c>
      <c r="N258" s="13">
        <f t="shared" si="515"/>
        <v>0</v>
      </c>
      <c r="O258" s="13">
        <f t="shared" si="515"/>
        <v>0</v>
      </c>
      <c r="P258" s="13">
        <f t="shared" si="515"/>
        <v>0</v>
      </c>
      <c r="Q258" s="13">
        <f t="shared" si="515"/>
        <v>0</v>
      </c>
      <c r="R258" s="13">
        <f t="shared" si="515"/>
        <v>0</v>
      </c>
      <c r="S258" s="13">
        <f t="shared" si="515"/>
        <v>0</v>
      </c>
      <c r="T258" s="13">
        <f t="shared" si="515"/>
        <v>1</v>
      </c>
      <c r="U258" s="13">
        <f t="shared" si="515"/>
        <v>0</v>
      </c>
      <c r="V258" s="13">
        <f t="shared" si="515"/>
        <v>0</v>
      </c>
      <c r="W258" s="13">
        <f t="shared" si="515"/>
        <v>0</v>
      </c>
      <c r="X258" s="13">
        <f t="shared" si="515"/>
        <v>0</v>
      </c>
      <c r="Y258" s="13">
        <f t="shared" si="515"/>
        <v>0</v>
      </c>
      <c r="Z258" s="13">
        <f t="shared" si="515"/>
        <v>0</v>
      </c>
      <c r="AA258" s="13">
        <f t="shared" si="515"/>
        <v>0</v>
      </c>
      <c r="AB258" s="13">
        <f t="shared" ref="AB258:AP258" si="516">IFERROR(VALUE(RIGHT(LEFT($J258,FIND(AB$1,$J258,IF(M258=0,1,FIND(AB$1,$J258,1)+1))+LEN(AB$1)),1)),0)</f>
        <v>0</v>
      </c>
      <c r="AC258" s="13">
        <f t="shared" si="516"/>
        <v>0</v>
      </c>
      <c r="AD258" s="13">
        <f t="shared" si="516"/>
        <v>0</v>
      </c>
      <c r="AE258" s="13">
        <f t="shared" si="516"/>
        <v>1</v>
      </c>
      <c r="AF258" s="13">
        <f t="shared" si="516"/>
        <v>0</v>
      </c>
      <c r="AG258" s="13">
        <f t="shared" si="516"/>
        <v>0</v>
      </c>
      <c r="AH258" s="13">
        <f t="shared" si="516"/>
        <v>0</v>
      </c>
      <c r="AI258" s="13">
        <f t="shared" si="516"/>
        <v>1</v>
      </c>
      <c r="AJ258" s="13">
        <f t="shared" si="516"/>
        <v>0</v>
      </c>
      <c r="AK258" s="13">
        <f t="shared" si="516"/>
        <v>0</v>
      </c>
      <c r="AL258" s="13">
        <f t="shared" si="516"/>
        <v>0</v>
      </c>
      <c r="AM258" s="13">
        <f t="shared" si="516"/>
        <v>0</v>
      </c>
      <c r="AN258" s="13">
        <f t="shared" si="516"/>
        <v>0</v>
      </c>
      <c r="AO258" s="13">
        <f t="shared" si="516"/>
        <v>0</v>
      </c>
      <c r="AP258" s="13">
        <f t="shared" si="516"/>
        <v>0</v>
      </c>
      <c r="AQ258" s="13" t="s">
        <v>1924</v>
      </c>
      <c r="AR258" s="13"/>
      <c r="AS258" s="13" t="s">
        <v>1925</v>
      </c>
      <c r="AT258" s="13"/>
      <c r="AU258" s="13"/>
      <c r="AV258" s="13"/>
      <c r="AW258" s="13">
        <v>0.0</v>
      </c>
      <c r="AX258" s="13">
        <v>-1.0</v>
      </c>
      <c r="AY258" s="13">
        <v>0.0</v>
      </c>
      <c r="AZ258" s="13"/>
      <c r="BA258" s="13"/>
      <c r="BB258" s="13"/>
      <c r="BC258" s="13"/>
      <c r="BD258" s="13"/>
      <c r="BE258" s="13"/>
      <c r="BF258" s="13"/>
      <c r="BG258" s="13"/>
      <c r="BH258" s="13" t="s">
        <v>79</v>
      </c>
      <c r="BI258" s="13" t="b">
        <v>0</v>
      </c>
      <c r="BJ258" s="13">
        <v>0.0</v>
      </c>
      <c r="BK258" s="13">
        <v>0.0</v>
      </c>
    </row>
    <row r="259" ht="14.25" customHeight="1">
      <c r="A259" s="13">
        <v>257.0</v>
      </c>
      <c r="B259" s="13" t="s">
        <v>45</v>
      </c>
      <c r="C259" s="13">
        <v>4.0</v>
      </c>
      <c r="D259" s="14">
        <v>0.0</v>
      </c>
      <c r="E259" s="13" t="s">
        <v>1926</v>
      </c>
      <c r="F259" s="15"/>
      <c r="G259" s="16" t="s">
        <v>1927</v>
      </c>
      <c r="H259" s="13"/>
      <c r="I259" s="13">
        <v>0.9</v>
      </c>
      <c r="J259" s="13" t="s">
        <v>1928</v>
      </c>
      <c r="K259" s="13">
        <f t="shared" si="3"/>
        <v>2</v>
      </c>
      <c r="L259" s="13">
        <f t="shared" si="4"/>
        <v>2</v>
      </c>
      <c r="M259" s="13">
        <f t="shared" ref="M259:AA259" si="517">IFERROR(VALUE(RIGHT(LEFT($J259,FIND(M$1,$J259,1)+LEN(M$1)),1)),0)</f>
        <v>0</v>
      </c>
      <c r="N259" s="13">
        <f t="shared" si="517"/>
        <v>0</v>
      </c>
      <c r="O259" s="13">
        <f t="shared" si="517"/>
        <v>0</v>
      </c>
      <c r="P259" s="13">
        <f t="shared" si="517"/>
        <v>1</v>
      </c>
      <c r="Q259" s="13">
        <f t="shared" si="517"/>
        <v>0</v>
      </c>
      <c r="R259" s="13">
        <f t="shared" si="517"/>
        <v>0</v>
      </c>
      <c r="S259" s="13">
        <f t="shared" si="517"/>
        <v>0</v>
      </c>
      <c r="T259" s="13">
        <f t="shared" si="517"/>
        <v>1</v>
      </c>
      <c r="U259" s="13">
        <f t="shared" si="517"/>
        <v>0</v>
      </c>
      <c r="V259" s="13">
        <f t="shared" si="517"/>
        <v>0</v>
      </c>
      <c r="W259" s="13">
        <f t="shared" si="517"/>
        <v>0</v>
      </c>
      <c r="X259" s="13">
        <f t="shared" si="517"/>
        <v>0</v>
      </c>
      <c r="Y259" s="13">
        <f t="shared" si="517"/>
        <v>0</v>
      </c>
      <c r="Z259" s="13">
        <f t="shared" si="517"/>
        <v>0</v>
      </c>
      <c r="AA259" s="13">
        <f t="shared" si="517"/>
        <v>0</v>
      </c>
      <c r="AB259" s="13">
        <f t="shared" ref="AB259:AP259" si="518">IFERROR(VALUE(RIGHT(LEFT($J259,FIND(AB$1,$J259,IF(M259=0,1,FIND(AB$1,$J259,1)+1))+LEN(AB$1)),1)),0)</f>
        <v>0</v>
      </c>
      <c r="AC259" s="13">
        <f t="shared" si="518"/>
        <v>1</v>
      </c>
      <c r="AD259" s="13">
        <f t="shared" si="518"/>
        <v>0</v>
      </c>
      <c r="AE259" s="13">
        <f t="shared" si="518"/>
        <v>0</v>
      </c>
      <c r="AF259" s="13">
        <f t="shared" si="518"/>
        <v>0</v>
      </c>
      <c r="AG259" s="13">
        <f t="shared" si="518"/>
        <v>0</v>
      </c>
      <c r="AH259" s="13">
        <f t="shared" si="518"/>
        <v>0</v>
      </c>
      <c r="AI259" s="13">
        <f t="shared" si="518"/>
        <v>1</v>
      </c>
      <c r="AJ259" s="13">
        <f t="shared" si="518"/>
        <v>0</v>
      </c>
      <c r="AK259" s="13">
        <f t="shared" si="518"/>
        <v>0</v>
      </c>
      <c r="AL259" s="13">
        <f t="shared" si="518"/>
        <v>0</v>
      </c>
      <c r="AM259" s="13">
        <f t="shared" si="518"/>
        <v>0</v>
      </c>
      <c r="AN259" s="13">
        <f t="shared" si="518"/>
        <v>0</v>
      </c>
      <c r="AO259" s="13">
        <f t="shared" si="518"/>
        <v>0</v>
      </c>
      <c r="AP259" s="13">
        <f t="shared" si="518"/>
        <v>0</v>
      </c>
      <c r="AQ259" s="13" t="s">
        <v>1929</v>
      </c>
      <c r="AR259" s="13"/>
      <c r="AS259" s="13" t="s">
        <v>1930</v>
      </c>
      <c r="AT259" s="13"/>
      <c r="AU259" s="13"/>
      <c r="AV259" s="13"/>
      <c r="AW259" s="13">
        <v>0.0</v>
      </c>
      <c r="AX259" s="13">
        <v>-1.0</v>
      </c>
      <c r="AY259" s="13">
        <v>0.0</v>
      </c>
      <c r="AZ259" s="13"/>
      <c r="BA259" s="13"/>
      <c r="BB259" s="13"/>
      <c r="BC259" s="13"/>
      <c r="BD259" s="13"/>
      <c r="BE259" s="13"/>
      <c r="BF259" s="13"/>
      <c r="BG259" s="13"/>
      <c r="BH259" s="13" t="s">
        <v>79</v>
      </c>
      <c r="BI259" s="13" t="b">
        <v>0</v>
      </c>
      <c r="BJ259" s="13">
        <v>0.0</v>
      </c>
      <c r="BK259" s="13">
        <v>0.0</v>
      </c>
    </row>
    <row r="260" ht="14.25" customHeight="1">
      <c r="A260" s="13">
        <v>258.0</v>
      </c>
      <c r="B260" s="13" t="s">
        <v>46</v>
      </c>
      <c r="C260" s="13">
        <v>4.0</v>
      </c>
      <c r="D260" s="14">
        <v>0.0</v>
      </c>
      <c r="E260" s="13" t="s">
        <v>1931</v>
      </c>
      <c r="F260" s="15"/>
      <c r="G260" s="16" t="s">
        <v>1932</v>
      </c>
      <c r="H260" s="13"/>
      <c r="I260" s="13">
        <v>0.9</v>
      </c>
      <c r="J260" s="13" t="s">
        <v>1933</v>
      </c>
      <c r="K260" s="13">
        <f t="shared" si="3"/>
        <v>2</v>
      </c>
      <c r="L260" s="13">
        <f t="shared" si="4"/>
        <v>2</v>
      </c>
      <c r="M260" s="13">
        <f t="shared" ref="M260:AA260" si="519">IFERROR(VALUE(RIGHT(LEFT($J260,FIND(M$1,$J260,1)+LEN(M$1)),1)),0)</f>
        <v>0</v>
      </c>
      <c r="N260" s="13">
        <f t="shared" si="519"/>
        <v>0</v>
      </c>
      <c r="O260" s="13">
        <f t="shared" si="519"/>
        <v>0</v>
      </c>
      <c r="P260" s="13">
        <f t="shared" si="519"/>
        <v>0</v>
      </c>
      <c r="Q260" s="13">
        <f t="shared" si="519"/>
        <v>1</v>
      </c>
      <c r="R260" s="13">
        <f t="shared" si="519"/>
        <v>0</v>
      </c>
      <c r="S260" s="13">
        <f t="shared" si="519"/>
        <v>0</v>
      </c>
      <c r="T260" s="13">
        <f t="shared" si="519"/>
        <v>0</v>
      </c>
      <c r="U260" s="13">
        <f t="shared" si="519"/>
        <v>1</v>
      </c>
      <c r="V260" s="13">
        <f t="shared" si="519"/>
        <v>0</v>
      </c>
      <c r="W260" s="13">
        <f t="shared" si="519"/>
        <v>0</v>
      </c>
      <c r="X260" s="13">
        <f t="shared" si="519"/>
        <v>0</v>
      </c>
      <c r="Y260" s="13">
        <f t="shared" si="519"/>
        <v>0</v>
      </c>
      <c r="Z260" s="13">
        <f t="shared" si="519"/>
        <v>0</v>
      </c>
      <c r="AA260" s="13">
        <f t="shared" si="519"/>
        <v>0</v>
      </c>
      <c r="AB260" s="13">
        <f t="shared" ref="AB260:AP260" si="520">IFERROR(VALUE(RIGHT(LEFT($J260,FIND(AB$1,$J260,IF(M260=0,1,FIND(AB$1,$J260,1)+1))+LEN(AB$1)),1)),0)</f>
        <v>0</v>
      </c>
      <c r="AC260" s="13">
        <f t="shared" si="520"/>
        <v>0</v>
      </c>
      <c r="AD260" s="13">
        <f t="shared" si="520"/>
        <v>0</v>
      </c>
      <c r="AE260" s="13">
        <f t="shared" si="520"/>
        <v>0</v>
      </c>
      <c r="AF260" s="13">
        <f t="shared" si="520"/>
        <v>1</v>
      </c>
      <c r="AG260" s="13">
        <f t="shared" si="520"/>
        <v>0</v>
      </c>
      <c r="AH260" s="13">
        <f t="shared" si="520"/>
        <v>0</v>
      </c>
      <c r="AI260" s="13">
        <f t="shared" si="520"/>
        <v>0</v>
      </c>
      <c r="AJ260" s="13">
        <f t="shared" si="520"/>
        <v>1</v>
      </c>
      <c r="AK260" s="13">
        <f t="shared" si="520"/>
        <v>0</v>
      </c>
      <c r="AL260" s="13">
        <f t="shared" si="520"/>
        <v>0</v>
      </c>
      <c r="AM260" s="13">
        <f t="shared" si="520"/>
        <v>0</v>
      </c>
      <c r="AN260" s="13">
        <f t="shared" si="520"/>
        <v>0</v>
      </c>
      <c r="AO260" s="13">
        <f t="shared" si="520"/>
        <v>0</v>
      </c>
      <c r="AP260" s="13">
        <f t="shared" si="520"/>
        <v>0</v>
      </c>
      <c r="AQ260" s="13" t="s">
        <v>1934</v>
      </c>
      <c r="AR260" s="13"/>
      <c r="AS260" s="13" t="s">
        <v>1935</v>
      </c>
      <c r="AT260" s="13"/>
      <c r="AU260" s="13"/>
      <c r="AV260" s="13"/>
      <c r="AW260" s="13">
        <v>0.0</v>
      </c>
      <c r="AX260" s="13">
        <v>-1.0</v>
      </c>
      <c r="AY260" s="13">
        <v>0.0</v>
      </c>
      <c r="AZ260" s="13"/>
      <c r="BA260" s="13"/>
      <c r="BB260" s="13"/>
      <c r="BC260" s="13"/>
      <c r="BD260" s="13"/>
      <c r="BE260" s="13"/>
      <c r="BF260" s="13"/>
      <c r="BG260" s="13"/>
      <c r="BH260" s="13" t="s">
        <v>79</v>
      </c>
      <c r="BI260" s="13" t="b">
        <v>0</v>
      </c>
      <c r="BJ260" s="13">
        <v>0.0</v>
      </c>
      <c r="BK260" s="13">
        <v>0.0</v>
      </c>
    </row>
    <row r="261" ht="14.25" customHeight="1">
      <c r="A261" s="13">
        <v>259.0</v>
      </c>
      <c r="B261" s="13" t="s">
        <v>46</v>
      </c>
      <c r="C261" s="13">
        <v>4.0</v>
      </c>
      <c r="D261" s="14">
        <v>0.0</v>
      </c>
      <c r="E261" s="13" t="s">
        <v>1936</v>
      </c>
      <c r="F261" s="15"/>
      <c r="G261" s="16" t="s">
        <v>1937</v>
      </c>
      <c r="H261" s="13"/>
      <c r="I261" s="13">
        <v>1.0</v>
      </c>
      <c r="J261" s="13" t="s">
        <v>1938</v>
      </c>
      <c r="K261" s="13">
        <f t="shared" si="3"/>
        <v>3</v>
      </c>
      <c r="L261" s="13">
        <f t="shared" si="4"/>
        <v>0</v>
      </c>
      <c r="M261" s="13">
        <f t="shared" ref="M261:AA261" si="521">IFERROR(VALUE(RIGHT(LEFT($J261,FIND(M$1,$J261,1)+LEN(M$1)),1)),0)</f>
        <v>0</v>
      </c>
      <c r="N261" s="13">
        <f t="shared" si="521"/>
        <v>0</v>
      </c>
      <c r="O261" s="13">
        <f t="shared" si="521"/>
        <v>1</v>
      </c>
      <c r="P261" s="13">
        <f t="shared" si="521"/>
        <v>1</v>
      </c>
      <c r="Q261" s="13">
        <f t="shared" si="521"/>
        <v>0</v>
      </c>
      <c r="R261" s="13">
        <f t="shared" si="521"/>
        <v>0</v>
      </c>
      <c r="S261" s="13">
        <f t="shared" si="521"/>
        <v>0</v>
      </c>
      <c r="T261" s="13">
        <f t="shared" si="521"/>
        <v>0</v>
      </c>
      <c r="U261" s="13">
        <f t="shared" si="521"/>
        <v>1</v>
      </c>
      <c r="V261" s="13">
        <f t="shared" si="521"/>
        <v>0</v>
      </c>
      <c r="W261" s="13">
        <f t="shared" si="521"/>
        <v>0</v>
      </c>
      <c r="X261" s="13">
        <f t="shared" si="521"/>
        <v>0</v>
      </c>
      <c r="Y261" s="13">
        <f t="shared" si="521"/>
        <v>0</v>
      </c>
      <c r="Z261" s="13">
        <f t="shared" si="521"/>
        <v>0</v>
      </c>
      <c r="AA261" s="13">
        <f t="shared" si="521"/>
        <v>0</v>
      </c>
      <c r="AB261" s="13">
        <f t="shared" ref="AB261:AP261" si="522">IFERROR(VALUE(RIGHT(LEFT($J261,FIND(AB$1,$J261,IF(M261=0,1,FIND(AB$1,$J261,1)+1))+LEN(AB$1)),1)),0)</f>
        <v>0</v>
      </c>
      <c r="AC261" s="13">
        <f t="shared" si="522"/>
        <v>0</v>
      </c>
      <c r="AD261" s="13">
        <f t="shared" si="522"/>
        <v>0</v>
      </c>
      <c r="AE261" s="13">
        <f t="shared" si="522"/>
        <v>0</v>
      </c>
      <c r="AF261" s="13">
        <f t="shared" si="522"/>
        <v>0</v>
      </c>
      <c r="AG261" s="13">
        <f t="shared" si="522"/>
        <v>0</v>
      </c>
      <c r="AH261" s="13">
        <f t="shared" si="522"/>
        <v>0</v>
      </c>
      <c r="AI261" s="13">
        <f t="shared" si="522"/>
        <v>0</v>
      </c>
      <c r="AJ261" s="13">
        <f t="shared" si="522"/>
        <v>0</v>
      </c>
      <c r="AK261" s="13">
        <f t="shared" si="522"/>
        <v>0</v>
      </c>
      <c r="AL261" s="13">
        <f t="shared" si="522"/>
        <v>0</v>
      </c>
      <c r="AM261" s="13">
        <f t="shared" si="522"/>
        <v>0</v>
      </c>
      <c r="AN261" s="13">
        <f t="shared" si="522"/>
        <v>0</v>
      </c>
      <c r="AO261" s="13">
        <f t="shared" si="522"/>
        <v>0</v>
      </c>
      <c r="AP261" s="13">
        <f t="shared" si="522"/>
        <v>0</v>
      </c>
      <c r="AQ261" s="13" t="s">
        <v>1939</v>
      </c>
      <c r="AR261" s="13"/>
      <c r="AS261" s="13" t="s">
        <v>1940</v>
      </c>
      <c r="AT261" s="13"/>
      <c r="AU261" s="13"/>
      <c r="AV261" s="13"/>
      <c r="AW261" s="13">
        <v>0.0</v>
      </c>
      <c r="AX261" s="13">
        <v>-1.0</v>
      </c>
      <c r="AY261" s="13">
        <v>0.0</v>
      </c>
      <c r="AZ261" s="13"/>
      <c r="BA261" s="13"/>
      <c r="BB261" s="13"/>
      <c r="BC261" s="13"/>
      <c r="BD261" s="13"/>
      <c r="BE261" s="13"/>
      <c r="BF261" s="13"/>
      <c r="BG261" s="13"/>
      <c r="BH261" s="13" t="s">
        <v>79</v>
      </c>
      <c r="BI261" s="13" t="b">
        <v>0</v>
      </c>
      <c r="BJ261" s="13">
        <v>0.0</v>
      </c>
      <c r="BK261" s="13">
        <v>0.0</v>
      </c>
    </row>
    <row r="262" ht="14.25" customHeight="1">
      <c r="A262" s="13">
        <v>260.0</v>
      </c>
      <c r="B262" s="13" t="s">
        <v>46</v>
      </c>
      <c r="C262" s="13">
        <v>4.0</v>
      </c>
      <c r="D262" s="14">
        <v>0.0</v>
      </c>
      <c r="E262" s="13" t="s">
        <v>1941</v>
      </c>
      <c r="F262" s="15"/>
      <c r="G262" s="16" t="s">
        <v>1942</v>
      </c>
      <c r="H262" s="13"/>
      <c r="I262" s="13">
        <v>1.1</v>
      </c>
      <c r="J262" s="13" t="s">
        <v>1943</v>
      </c>
      <c r="K262" s="13">
        <f t="shared" si="3"/>
        <v>2</v>
      </c>
      <c r="L262" s="13">
        <f t="shared" si="4"/>
        <v>2</v>
      </c>
      <c r="M262" s="13">
        <f t="shared" ref="M262:AA262" si="523">IFERROR(VALUE(RIGHT(LEFT($J262,FIND(M$1,$J262,1)+LEN(M$1)),1)),0)</f>
        <v>0</v>
      </c>
      <c r="N262" s="13">
        <f t="shared" si="523"/>
        <v>0</v>
      </c>
      <c r="O262" s="13">
        <f t="shared" si="523"/>
        <v>0</v>
      </c>
      <c r="P262" s="13">
        <f t="shared" si="523"/>
        <v>0</v>
      </c>
      <c r="Q262" s="13">
        <f t="shared" si="523"/>
        <v>0</v>
      </c>
      <c r="R262" s="13">
        <f t="shared" si="523"/>
        <v>0</v>
      </c>
      <c r="S262" s="13">
        <f t="shared" si="523"/>
        <v>0</v>
      </c>
      <c r="T262" s="13">
        <f t="shared" si="523"/>
        <v>0</v>
      </c>
      <c r="U262" s="13">
        <f t="shared" si="523"/>
        <v>2</v>
      </c>
      <c r="V262" s="13">
        <f t="shared" si="523"/>
        <v>0</v>
      </c>
      <c r="W262" s="13">
        <f t="shared" si="523"/>
        <v>0</v>
      </c>
      <c r="X262" s="13">
        <f t="shared" si="523"/>
        <v>0</v>
      </c>
      <c r="Y262" s="13">
        <f t="shared" si="523"/>
        <v>0</v>
      </c>
      <c r="Z262" s="13">
        <f t="shared" si="523"/>
        <v>0</v>
      </c>
      <c r="AA262" s="13">
        <f t="shared" si="523"/>
        <v>0</v>
      </c>
      <c r="AB262" s="13">
        <f t="shared" ref="AB262:AP262" si="524">IFERROR(VALUE(RIGHT(LEFT($J262,FIND(AB$1,$J262,IF(M262=0,1,FIND(AB$1,$J262,1)+1))+LEN(AB$1)),1)),0)</f>
        <v>0</v>
      </c>
      <c r="AC262" s="13">
        <f t="shared" si="524"/>
        <v>0</v>
      </c>
      <c r="AD262" s="13">
        <f t="shared" si="524"/>
        <v>1</v>
      </c>
      <c r="AE262" s="13">
        <f t="shared" si="524"/>
        <v>0</v>
      </c>
      <c r="AF262" s="13">
        <f t="shared" si="524"/>
        <v>0</v>
      </c>
      <c r="AG262" s="13">
        <f t="shared" si="524"/>
        <v>0</v>
      </c>
      <c r="AH262" s="13">
        <f t="shared" si="524"/>
        <v>0</v>
      </c>
      <c r="AI262" s="13">
        <f t="shared" si="524"/>
        <v>0</v>
      </c>
      <c r="AJ262" s="13">
        <f t="shared" si="524"/>
        <v>1</v>
      </c>
      <c r="AK262" s="13">
        <f t="shared" si="524"/>
        <v>0</v>
      </c>
      <c r="AL262" s="13">
        <f t="shared" si="524"/>
        <v>0</v>
      </c>
      <c r="AM262" s="13">
        <f t="shared" si="524"/>
        <v>0</v>
      </c>
      <c r="AN262" s="13">
        <f t="shared" si="524"/>
        <v>0</v>
      </c>
      <c r="AO262" s="13">
        <f t="shared" si="524"/>
        <v>0</v>
      </c>
      <c r="AP262" s="13">
        <f t="shared" si="524"/>
        <v>0</v>
      </c>
      <c r="AQ262" s="13" t="s">
        <v>1944</v>
      </c>
      <c r="AR262" s="13"/>
      <c r="AS262" s="13" t="s">
        <v>1945</v>
      </c>
      <c r="AT262" s="13"/>
      <c r="AU262" s="13"/>
      <c r="AV262" s="13"/>
      <c r="AW262" s="13">
        <v>0.0</v>
      </c>
      <c r="AX262" s="13">
        <v>-1.0</v>
      </c>
      <c r="AY262" s="13">
        <v>0.0</v>
      </c>
      <c r="AZ262" s="13"/>
      <c r="BA262" s="13"/>
      <c r="BB262" s="13"/>
      <c r="BC262" s="13"/>
      <c r="BD262" s="13"/>
      <c r="BE262" s="13"/>
      <c r="BF262" s="13"/>
      <c r="BG262" s="13"/>
      <c r="BH262" s="13" t="s">
        <v>79</v>
      </c>
      <c r="BI262" s="13" t="b">
        <v>0</v>
      </c>
      <c r="BJ262" s="13">
        <v>0.0</v>
      </c>
      <c r="BK262" s="13">
        <v>0.0</v>
      </c>
    </row>
    <row r="263" ht="14.25" customHeight="1">
      <c r="A263" s="13">
        <v>261.0</v>
      </c>
      <c r="B263" s="13" t="s">
        <v>47</v>
      </c>
      <c r="C263" s="13">
        <v>4.0</v>
      </c>
      <c r="D263" s="14">
        <v>0.0</v>
      </c>
      <c r="E263" s="13" t="s">
        <v>1946</v>
      </c>
      <c r="F263" s="15"/>
      <c r="G263" s="16" t="s">
        <v>1947</v>
      </c>
      <c r="H263" s="13">
        <v>20.0</v>
      </c>
      <c r="I263" s="13">
        <v>0.9</v>
      </c>
      <c r="J263" s="13" t="s">
        <v>1948</v>
      </c>
      <c r="K263" s="13">
        <f t="shared" si="3"/>
        <v>2</v>
      </c>
      <c r="L263" s="13">
        <f t="shared" si="4"/>
        <v>2</v>
      </c>
      <c r="M263" s="13">
        <f t="shared" ref="M263:AA263" si="525">IFERROR(VALUE(RIGHT(LEFT($J263,FIND(M$1,$J263,1)+LEN(M$1)),1)),0)</f>
        <v>0</v>
      </c>
      <c r="N263" s="13">
        <f t="shared" si="525"/>
        <v>0</v>
      </c>
      <c r="O263" s="13">
        <f t="shared" si="525"/>
        <v>0</v>
      </c>
      <c r="P263" s="13">
        <f t="shared" si="525"/>
        <v>0</v>
      </c>
      <c r="Q263" s="13">
        <f t="shared" si="525"/>
        <v>0</v>
      </c>
      <c r="R263" s="13">
        <f t="shared" si="525"/>
        <v>1</v>
      </c>
      <c r="S263" s="13">
        <f t="shared" si="525"/>
        <v>0</v>
      </c>
      <c r="T263" s="13">
        <f t="shared" si="525"/>
        <v>0</v>
      </c>
      <c r="U263" s="13">
        <f t="shared" si="525"/>
        <v>0</v>
      </c>
      <c r="V263" s="13">
        <f t="shared" si="525"/>
        <v>1</v>
      </c>
      <c r="W263" s="13">
        <f t="shared" si="525"/>
        <v>0</v>
      </c>
      <c r="X263" s="13">
        <f t="shared" si="525"/>
        <v>0</v>
      </c>
      <c r="Y263" s="13">
        <f t="shared" si="525"/>
        <v>0</v>
      </c>
      <c r="Z263" s="13">
        <f t="shared" si="525"/>
        <v>0</v>
      </c>
      <c r="AA263" s="13">
        <f t="shared" si="525"/>
        <v>0</v>
      </c>
      <c r="AB263" s="13">
        <f t="shared" ref="AB263:AP263" si="526">IFERROR(VALUE(RIGHT(LEFT($J263,FIND(AB$1,$J263,IF(M263=0,1,FIND(AB$1,$J263,1)+1))+LEN(AB$1)),1)),0)</f>
        <v>0</v>
      </c>
      <c r="AC263" s="13">
        <f t="shared" si="526"/>
        <v>0</v>
      </c>
      <c r="AD263" s="13">
        <f t="shared" si="526"/>
        <v>0</v>
      </c>
      <c r="AE263" s="13">
        <f t="shared" si="526"/>
        <v>0</v>
      </c>
      <c r="AF263" s="13">
        <f t="shared" si="526"/>
        <v>0</v>
      </c>
      <c r="AG263" s="13">
        <f t="shared" si="526"/>
        <v>0</v>
      </c>
      <c r="AH263" s="13">
        <f t="shared" si="526"/>
        <v>0</v>
      </c>
      <c r="AI263" s="13">
        <f t="shared" si="526"/>
        <v>0</v>
      </c>
      <c r="AJ263" s="13">
        <f t="shared" si="526"/>
        <v>0</v>
      </c>
      <c r="AK263" s="13">
        <f t="shared" si="526"/>
        <v>2</v>
      </c>
      <c r="AL263" s="13">
        <f t="shared" si="526"/>
        <v>0</v>
      </c>
      <c r="AM263" s="13">
        <f t="shared" si="526"/>
        <v>0</v>
      </c>
      <c r="AN263" s="13">
        <f t="shared" si="526"/>
        <v>0</v>
      </c>
      <c r="AO263" s="13">
        <f t="shared" si="526"/>
        <v>0</v>
      </c>
      <c r="AP263" s="13">
        <f t="shared" si="526"/>
        <v>0</v>
      </c>
      <c r="AQ263" s="13"/>
      <c r="AR263" s="13" t="s">
        <v>1949</v>
      </c>
      <c r="AS263" s="13" t="s">
        <v>1950</v>
      </c>
      <c r="AT263" s="13" t="s">
        <v>162</v>
      </c>
      <c r="AU263" s="13" t="s">
        <v>616</v>
      </c>
      <c r="AV263" s="13" t="s">
        <v>1951</v>
      </c>
      <c r="AW263" s="13">
        <v>25.0</v>
      </c>
      <c r="AX263" s="13">
        <v>-1.0</v>
      </c>
      <c r="AY263" s="13">
        <v>0.0</v>
      </c>
      <c r="AZ263" s="13" t="s">
        <v>1952</v>
      </c>
      <c r="BA263" s="13" t="s">
        <v>1953</v>
      </c>
      <c r="BB263" s="13"/>
      <c r="BC263" s="13"/>
      <c r="BD263" s="13" t="s">
        <v>1113</v>
      </c>
      <c r="BE263" s="13"/>
      <c r="BF263" s="13" t="s">
        <v>1954</v>
      </c>
      <c r="BG263" s="13" t="s">
        <v>136</v>
      </c>
      <c r="BH263" s="13" t="s">
        <v>79</v>
      </c>
      <c r="BI263" s="13" t="b">
        <v>0</v>
      </c>
      <c r="BJ263" s="13">
        <v>0.0</v>
      </c>
      <c r="BK263" s="13">
        <v>0.0</v>
      </c>
    </row>
    <row r="264" ht="14.25" customHeight="1">
      <c r="A264" s="13">
        <v>262.0</v>
      </c>
      <c r="B264" s="13" t="s">
        <v>47</v>
      </c>
      <c r="C264" s="13">
        <v>4.0</v>
      </c>
      <c r="D264" s="14">
        <v>0.0</v>
      </c>
      <c r="E264" s="13" t="s">
        <v>1955</v>
      </c>
      <c r="F264" s="15"/>
      <c r="G264" s="16" t="s">
        <v>1956</v>
      </c>
      <c r="H264" s="13">
        <v>22.0</v>
      </c>
      <c r="I264" s="13">
        <v>1.1</v>
      </c>
      <c r="J264" s="13" t="s">
        <v>1957</v>
      </c>
      <c r="K264" s="13">
        <f t="shared" si="3"/>
        <v>2</v>
      </c>
      <c r="L264" s="13">
        <f t="shared" si="4"/>
        <v>2</v>
      </c>
      <c r="M264" s="13">
        <f t="shared" ref="M264:AA264" si="527">IFERROR(VALUE(RIGHT(LEFT($J264,FIND(M$1,$J264,1)+LEN(M$1)),1)),0)</f>
        <v>0</v>
      </c>
      <c r="N264" s="13">
        <f t="shared" si="527"/>
        <v>0</v>
      </c>
      <c r="O264" s="13">
        <f t="shared" si="527"/>
        <v>0</v>
      </c>
      <c r="P264" s="13">
        <f t="shared" si="527"/>
        <v>0</v>
      </c>
      <c r="Q264" s="13">
        <f t="shared" si="527"/>
        <v>0</v>
      </c>
      <c r="R264" s="13">
        <f t="shared" si="527"/>
        <v>0</v>
      </c>
      <c r="S264" s="13">
        <f t="shared" si="527"/>
        <v>0</v>
      </c>
      <c r="T264" s="13">
        <f t="shared" si="527"/>
        <v>0</v>
      </c>
      <c r="U264" s="13">
        <f t="shared" si="527"/>
        <v>0</v>
      </c>
      <c r="V264" s="13">
        <f t="shared" si="527"/>
        <v>2</v>
      </c>
      <c r="W264" s="13">
        <f t="shared" si="527"/>
        <v>0</v>
      </c>
      <c r="X264" s="13">
        <f t="shared" si="527"/>
        <v>0</v>
      </c>
      <c r="Y264" s="13">
        <f t="shared" si="527"/>
        <v>0</v>
      </c>
      <c r="Z264" s="13">
        <f t="shared" si="527"/>
        <v>0</v>
      </c>
      <c r="AA264" s="13">
        <f t="shared" si="527"/>
        <v>0</v>
      </c>
      <c r="AB264" s="13">
        <f t="shared" ref="AB264:AP264" si="528">IFERROR(VALUE(RIGHT(LEFT($J264,FIND(AB$1,$J264,IF(M264=0,1,FIND(AB$1,$J264,1)+1))+LEN(AB$1)),1)),0)</f>
        <v>1</v>
      </c>
      <c r="AC264" s="13">
        <f t="shared" si="528"/>
        <v>0</v>
      </c>
      <c r="AD264" s="13">
        <f t="shared" si="528"/>
        <v>0</v>
      </c>
      <c r="AE264" s="13">
        <f t="shared" si="528"/>
        <v>0</v>
      </c>
      <c r="AF264" s="13">
        <f t="shared" si="528"/>
        <v>0</v>
      </c>
      <c r="AG264" s="13">
        <f t="shared" si="528"/>
        <v>0</v>
      </c>
      <c r="AH264" s="13">
        <f t="shared" si="528"/>
        <v>0</v>
      </c>
      <c r="AI264" s="13">
        <f t="shared" si="528"/>
        <v>0</v>
      </c>
      <c r="AJ264" s="13">
        <f t="shared" si="528"/>
        <v>0</v>
      </c>
      <c r="AK264" s="13">
        <f t="shared" si="528"/>
        <v>1</v>
      </c>
      <c r="AL264" s="13">
        <f t="shared" si="528"/>
        <v>0</v>
      </c>
      <c r="AM264" s="13">
        <f t="shared" si="528"/>
        <v>0</v>
      </c>
      <c r="AN264" s="13">
        <f t="shared" si="528"/>
        <v>0</v>
      </c>
      <c r="AO264" s="13">
        <f t="shared" si="528"/>
        <v>0</v>
      </c>
      <c r="AP264" s="13">
        <f t="shared" si="528"/>
        <v>0</v>
      </c>
      <c r="AQ264" s="13"/>
      <c r="AR264" s="13" t="s">
        <v>1958</v>
      </c>
      <c r="AS264" s="13" t="s">
        <v>1959</v>
      </c>
      <c r="AT264" s="13" t="s">
        <v>162</v>
      </c>
      <c r="AU264" s="13" t="s">
        <v>1297</v>
      </c>
      <c r="AV264" s="13" t="s">
        <v>1960</v>
      </c>
      <c r="AW264" s="13">
        <v>27.0</v>
      </c>
      <c r="AX264" s="13">
        <v>-1.0</v>
      </c>
      <c r="AY264" s="13">
        <v>0.0</v>
      </c>
      <c r="AZ264" s="13" t="s">
        <v>1961</v>
      </c>
      <c r="BA264" s="13" t="s">
        <v>1962</v>
      </c>
      <c r="BB264" s="13"/>
      <c r="BC264" s="13"/>
      <c r="BD264" s="13" t="s">
        <v>484</v>
      </c>
      <c r="BE264" s="13"/>
      <c r="BF264" s="13" t="s">
        <v>1963</v>
      </c>
      <c r="BG264" s="13" t="s">
        <v>136</v>
      </c>
      <c r="BH264" s="13" t="s">
        <v>241</v>
      </c>
      <c r="BI264" s="13" t="b">
        <v>0</v>
      </c>
      <c r="BJ264" s="13">
        <v>0.0</v>
      </c>
      <c r="BK264" s="13">
        <v>0.0</v>
      </c>
    </row>
    <row r="265" ht="14.25" customHeight="1">
      <c r="A265" s="13">
        <v>263.0</v>
      </c>
      <c r="B265" s="13" t="s">
        <v>47</v>
      </c>
      <c r="C265" s="13">
        <v>4.0</v>
      </c>
      <c r="D265" s="14">
        <v>0.0</v>
      </c>
      <c r="E265" s="13" t="s">
        <v>1964</v>
      </c>
      <c r="F265" s="15"/>
      <c r="G265" s="16" t="s">
        <v>1965</v>
      </c>
      <c r="H265" s="13">
        <v>21.0</v>
      </c>
      <c r="I265" s="13">
        <v>1.0</v>
      </c>
      <c r="J265" s="13" t="s">
        <v>1966</v>
      </c>
      <c r="K265" s="13">
        <f t="shared" si="3"/>
        <v>2</v>
      </c>
      <c r="L265" s="13">
        <f t="shared" si="4"/>
        <v>2</v>
      </c>
      <c r="M265" s="13">
        <f t="shared" ref="M265:AA265" si="529">IFERROR(VALUE(RIGHT(LEFT($J265,FIND(M$1,$J265,1)+LEN(M$1)),1)),0)</f>
        <v>1</v>
      </c>
      <c r="N265" s="13">
        <f t="shared" si="529"/>
        <v>0</v>
      </c>
      <c r="O265" s="13">
        <f t="shared" si="529"/>
        <v>0</v>
      </c>
      <c r="P265" s="13">
        <f t="shared" si="529"/>
        <v>0</v>
      </c>
      <c r="Q265" s="13">
        <f t="shared" si="529"/>
        <v>0</v>
      </c>
      <c r="R265" s="13">
        <f t="shared" si="529"/>
        <v>0</v>
      </c>
      <c r="S265" s="13">
        <f t="shared" si="529"/>
        <v>0</v>
      </c>
      <c r="T265" s="13">
        <f t="shared" si="529"/>
        <v>0</v>
      </c>
      <c r="U265" s="13">
        <f t="shared" si="529"/>
        <v>0</v>
      </c>
      <c r="V265" s="13">
        <f t="shared" si="529"/>
        <v>1</v>
      </c>
      <c r="W265" s="13">
        <f t="shared" si="529"/>
        <v>0</v>
      </c>
      <c r="X265" s="13">
        <f t="shared" si="529"/>
        <v>0</v>
      </c>
      <c r="Y265" s="13">
        <f t="shared" si="529"/>
        <v>0</v>
      </c>
      <c r="Z265" s="13">
        <f t="shared" si="529"/>
        <v>0</v>
      </c>
      <c r="AA265" s="13">
        <f t="shared" si="529"/>
        <v>0</v>
      </c>
      <c r="AB265" s="13">
        <f t="shared" ref="AB265:AP265" si="530">IFERROR(VALUE(RIGHT(LEFT($J265,FIND(AB$1,$J265,IF(M265=0,1,FIND(AB$1,$J265,1)+1))+LEN(AB$1)),1)),0)</f>
        <v>0</v>
      </c>
      <c r="AC265" s="13">
        <f t="shared" si="530"/>
        <v>0</v>
      </c>
      <c r="AD265" s="13">
        <f t="shared" si="530"/>
        <v>0</v>
      </c>
      <c r="AE265" s="13">
        <f t="shared" si="530"/>
        <v>0</v>
      </c>
      <c r="AF265" s="13">
        <f t="shared" si="530"/>
        <v>0</v>
      </c>
      <c r="AG265" s="13">
        <f t="shared" si="530"/>
        <v>1</v>
      </c>
      <c r="AH265" s="13">
        <f t="shared" si="530"/>
        <v>0</v>
      </c>
      <c r="AI265" s="13">
        <f t="shared" si="530"/>
        <v>0</v>
      </c>
      <c r="AJ265" s="13">
        <f t="shared" si="530"/>
        <v>0</v>
      </c>
      <c r="AK265" s="13">
        <f t="shared" si="530"/>
        <v>1</v>
      </c>
      <c r="AL265" s="13">
        <f t="shared" si="530"/>
        <v>0</v>
      </c>
      <c r="AM265" s="13">
        <f t="shared" si="530"/>
        <v>0</v>
      </c>
      <c r="AN265" s="13">
        <f t="shared" si="530"/>
        <v>0</v>
      </c>
      <c r="AO265" s="13">
        <f t="shared" si="530"/>
        <v>0</v>
      </c>
      <c r="AP265" s="13">
        <f t="shared" si="530"/>
        <v>0</v>
      </c>
      <c r="AQ265" s="13"/>
      <c r="AR265" s="13" t="s">
        <v>1967</v>
      </c>
      <c r="AS265" s="13" t="s">
        <v>1968</v>
      </c>
      <c r="AT265" s="13" t="s">
        <v>315</v>
      </c>
      <c r="AU265" s="13" t="s">
        <v>803</v>
      </c>
      <c r="AV265" s="13" t="s">
        <v>1969</v>
      </c>
      <c r="AW265" s="13">
        <v>23.0</v>
      </c>
      <c r="AX265" s="13">
        <v>-1.0</v>
      </c>
      <c r="AY265" s="13">
        <v>0.0</v>
      </c>
      <c r="AZ265" s="13" t="s">
        <v>1970</v>
      </c>
      <c r="BA265" s="13" t="s">
        <v>1971</v>
      </c>
      <c r="BB265" s="13"/>
      <c r="BC265" s="13"/>
      <c r="BD265" s="13" t="s">
        <v>134</v>
      </c>
      <c r="BE265" s="13"/>
      <c r="BF265" s="13" t="s">
        <v>1420</v>
      </c>
      <c r="BG265" s="13" t="s">
        <v>136</v>
      </c>
      <c r="BH265" s="13" t="s">
        <v>79</v>
      </c>
      <c r="BI265" s="13" t="b">
        <v>0</v>
      </c>
      <c r="BJ265" s="13">
        <v>0.0</v>
      </c>
      <c r="BK265" s="13">
        <v>0.0</v>
      </c>
    </row>
    <row r="266" ht="14.25" customHeight="1">
      <c r="A266" s="13">
        <v>264.0</v>
      </c>
      <c r="B266" s="13" t="s">
        <v>48</v>
      </c>
      <c r="C266" s="13">
        <v>4.0</v>
      </c>
      <c r="D266" s="14">
        <v>0.0</v>
      </c>
      <c r="E266" s="13" t="s">
        <v>1972</v>
      </c>
      <c r="F266" s="15"/>
      <c r="G266" s="16" t="s">
        <v>1973</v>
      </c>
      <c r="H266" s="13">
        <v>22.0</v>
      </c>
      <c r="I266" s="13">
        <v>1.1</v>
      </c>
      <c r="J266" s="13" t="s">
        <v>1974</v>
      </c>
      <c r="K266" s="13">
        <f t="shared" si="3"/>
        <v>2</v>
      </c>
      <c r="L266" s="13">
        <f t="shared" si="4"/>
        <v>2</v>
      </c>
      <c r="M266" s="13">
        <f t="shared" ref="M266:AA266" si="531">IFERROR(VALUE(RIGHT(LEFT($J266,FIND(M$1,$J266,1)+LEN(M$1)),1)),0)</f>
        <v>0</v>
      </c>
      <c r="N266" s="13">
        <f t="shared" si="531"/>
        <v>1</v>
      </c>
      <c r="O266" s="13">
        <f t="shared" si="531"/>
        <v>0</v>
      </c>
      <c r="P266" s="13">
        <f t="shared" si="531"/>
        <v>0</v>
      </c>
      <c r="Q266" s="13">
        <f t="shared" si="531"/>
        <v>0</v>
      </c>
      <c r="R266" s="13">
        <f t="shared" si="531"/>
        <v>0</v>
      </c>
      <c r="S266" s="13">
        <f t="shared" si="531"/>
        <v>0</v>
      </c>
      <c r="T266" s="13">
        <f t="shared" si="531"/>
        <v>0</v>
      </c>
      <c r="U266" s="13">
        <f t="shared" si="531"/>
        <v>0</v>
      </c>
      <c r="V266" s="13">
        <f t="shared" si="531"/>
        <v>0</v>
      </c>
      <c r="W266" s="13">
        <f t="shared" si="531"/>
        <v>1</v>
      </c>
      <c r="X266" s="13">
        <f t="shared" si="531"/>
        <v>0</v>
      </c>
      <c r="Y266" s="13">
        <f t="shared" si="531"/>
        <v>0</v>
      </c>
      <c r="Z266" s="13">
        <f t="shared" si="531"/>
        <v>0</v>
      </c>
      <c r="AA266" s="13">
        <f t="shared" si="531"/>
        <v>0</v>
      </c>
      <c r="AB266" s="13">
        <f t="shared" ref="AB266:AP266" si="532">IFERROR(VALUE(RIGHT(LEFT($J266,FIND(AB$1,$J266,IF(M266=0,1,FIND(AB$1,$J266,1)+1))+LEN(AB$1)),1)),0)</f>
        <v>0</v>
      </c>
      <c r="AC266" s="13">
        <f t="shared" si="532"/>
        <v>0</v>
      </c>
      <c r="AD266" s="13">
        <f t="shared" si="532"/>
        <v>0</v>
      </c>
      <c r="AE266" s="13">
        <f t="shared" si="532"/>
        <v>0</v>
      </c>
      <c r="AF266" s="13">
        <f t="shared" si="532"/>
        <v>0</v>
      </c>
      <c r="AG266" s="13">
        <f t="shared" si="532"/>
        <v>0</v>
      </c>
      <c r="AH266" s="13">
        <f t="shared" si="532"/>
        <v>0</v>
      </c>
      <c r="AI266" s="13">
        <f t="shared" si="532"/>
        <v>0</v>
      </c>
      <c r="AJ266" s="13">
        <f t="shared" si="532"/>
        <v>0</v>
      </c>
      <c r="AK266" s="13">
        <f t="shared" si="532"/>
        <v>0</v>
      </c>
      <c r="AL266" s="13">
        <f t="shared" si="532"/>
        <v>2</v>
      </c>
      <c r="AM266" s="13">
        <f t="shared" si="532"/>
        <v>0</v>
      </c>
      <c r="AN266" s="13">
        <f t="shared" si="532"/>
        <v>0</v>
      </c>
      <c r="AO266" s="13">
        <f t="shared" si="532"/>
        <v>0</v>
      </c>
      <c r="AP266" s="13">
        <f t="shared" si="532"/>
        <v>0</v>
      </c>
      <c r="AQ266" s="13"/>
      <c r="AR266" s="13" t="s">
        <v>1975</v>
      </c>
      <c r="AS266" s="13" t="s">
        <v>1976</v>
      </c>
      <c r="AT266" s="13" t="s">
        <v>1221</v>
      </c>
      <c r="AU266" s="13" t="s">
        <v>143</v>
      </c>
      <c r="AV266" s="13" t="s">
        <v>1977</v>
      </c>
      <c r="AW266" s="13">
        <v>27.0</v>
      </c>
      <c r="AX266" s="13">
        <v>-1.0</v>
      </c>
      <c r="AY266" s="13">
        <v>0.0</v>
      </c>
      <c r="AZ266" s="13" t="s">
        <v>1978</v>
      </c>
      <c r="BA266" s="13" t="s">
        <v>1716</v>
      </c>
      <c r="BB266" s="13"/>
      <c r="BC266" s="13"/>
      <c r="BD266" s="13" t="s">
        <v>167</v>
      </c>
      <c r="BE266" s="13"/>
      <c r="BF266" s="13" t="s">
        <v>1979</v>
      </c>
      <c r="BG266" s="13" t="s">
        <v>169</v>
      </c>
      <c r="BH266" s="13" t="s">
        <v>241</v>
      </c>
      <c r="BI266" s="13" t="b">
        <v>0</v>
      </c>
      <c r="BJ266" s="13">
        <v>0.0</v>
      </c>
      <c r="BK266" s="13">
        <v>0.0</v>
      </c>
    </row>
    <row r="267" ht="14.25" customHeight="1">
      <c r="A267" s="13">
        <v>265.0</v>
      </c>
      <c r="B267" s="13" t="s">
        <v>48</v>
      </c>
      <c r="C267" s="13">
        <v>4.0</v>
      </c>
      <c r="D267" s="14">
        <v>0.0</v>
      </c>
      <c r="E267" s="13" t="s">
        <v>1980</v>
      </c>
      <c r="F267" s="15"/>
      <c r="G267" s="16" t="s">
        <v>1981</v>
      </c>
      <c r="H267" s="13">
        <v>21.0</v>
      </c>
      <c r="I267" s="13">
        <v>0.9</v>
      </c>
      <c r="J267" s="13" t="s">
        <v>1982</v>
      </c>
      <c r="K267" s="13">
        <f t="shared" si="3"/>
        <v>2</v>
      </c>
      <c r="L267" s="13">
        <f t="shared" si="4"/>
        <v>2</v>
      </c>
      <c r="M267" s="13">
        <f t="shared" ref="M267:AA267" si="533">IFERROR(VALUE(RIGHT(LEFT($J267,FIND(M$1,$J267,1)+LEN(M$1)),1)),0)</f>
        <v>0</v>
      </c>
      <c r="N267" s="13">
        <f t="shared" si="533"/>
        <v>0</v>
      </c>
      <c r="O267" s="13">
        <f t="shared" si="533"/>
        <v>0</v>
      </c>
      <c r="P267" s="13">
        <f t="shared" si="533"/>
        <v>0</v>
      </c>
      <c r="Q267" s="13">
        <f t="shared" si="533"/>
        <v>0</v>
      </c>
      <c r="R267" s="13">
        <f t="shared" si="533"/>
        <v>0</v>
      </c>
      <c r="S267" s="13">
        <f t="shared" si="533"/>
        <v>0</v>
      </c>
      <c r="T267" s="13">
        <f t="shared" si="533"/>
        <v>0</v>
      </c>
      <c r="U267" s="13">
        <f t="shared" si="533"/>
        <v>0</v>
      </c>
      <c r="V267" s="13">
        <f t="shared" si="533"/>
        <v>0</v>
      </c>
      <c r="W267" s="13">
        <f t="shared" si="533"/>
        <v>2</v>
      </c>
      <c r="X267" s="13">
        <f t="shared" si="533"/>
        <v>0</v>
      </c>
      <c r="Y267" s="13">
        <f t="shared" si="533"/>
        <v>0</v>
      </c>
      <c r="Z267" s="13">
        <f t="shared" si="533"/>
        <v>0</v>
      </c>
      <c r="AA267" s="13">
        <f t="shared" si="533"/>
        <v>0</v>
      </c>
      <c r="AB267" s="13">
        <f t="shared" ref="AB267:AP267" si="534">IFERROR(VALUE(RIGHT(LEFT($J267,FIND(AB$1,$J267,IF(M267=0,1,FIND(AB$1,$J267,1)+1))+LEN(AB$1)),1)),0)</f>
        <v>0</v>
      </c>
      <c r="AC267" s="13">
        <f t="shared" si="534"/>
        <v>0</v>
      </c>
      <c r="AD267" s="13">
        <f t="shared" si="534"/>
        <v>0</v>
      </c>
      <c r="AE267" s="13">
        <f t="shared" si="534"/>
        <v>0</v>
      </c>
      <c r="AF267" s="13">
        <f t="shared" si="534"/>
        <v>0</v>
      </c>
      <c r="AG267" s="13">
        <f t="shared" si="534"/>
        <v>1</v>
      </c>
      <c r="AH267" s="13">
        <f t="shared" si="534"/>
        <v>0</v>
      </c>
      <c r="AI267" s="13">
        <f t="shared" si="534"/>
        <v>0</v>
      </c>
      <c r="AJ267" s="13">
        <f t="shared" si="534"/>
        <v>0</v>
      </c>
      <c r="AK267" s="13">
        <f t="shared" si="534"/>
        <v>0</v>
      </c>
      <c r="AL267" s="13">
        <f t="shared" si="534"/>
        <v>1</v>
      </c>
      <c r="AM267" s="13">
        <f t="shared" si="534"/>
        <v>0</v>
      </c>
      <c r="AN267" s="13">
        <f t="shared" si="534"/>
        <v>0</v>
      </c>
      <c r="AO267" s="13">
        <f t="shared" si="534"/>
        <v>0</v>
      </c>
      <c r="AP267" s="13">
        <f t="shared" si="534"/>
        <v>0</v>
      </c>
      <c r="AQ267" s="13"/>
      <c r="AR267" s="13" t="s">
        <v>1983</v>
      </c>
      <c r="AS267" s="13" t="s">
        <v>1984</v>
      </c>
      <c r="AT267" s="13" t="s">
        <v>162</v>
      </c>
      <c r="AU267" s="13" t="s">
        <v>1680</v>
      </c>
      <c r="AV267" s="13" t="s">
        <v>1985</v>
      </c>
      <c r="AW267" s="13">
        <v>26.0</v>
      </c>
      <c r="AX267" s="13">
        <v>-1.0</v>
      </c>
      <c r="AY267" s="13">
        <v>0.0</v>
      </c>
      <c r="AZ267" s="13" t="s">
        <v>1986</v>
      </c>
      <c r="BA267" s="13" t="s">
        <v>1987</v>
      </c>
      <c r="BB267" s="13"/>
      <c r="BC267" s="13"/>
      <c r="BD267" s="13" t="s">
        <v>188</v>
      </c>
      <c r="BE267" s="13"/>
      <c r="BF267" s="13" t="s">
        <v>1988</v>
      </c>
      <c r="BG267" s="13" t="s">
        <v>169</v>
      </c>
      <c r="BH267" s="13" t="s">
        <v>241</v>
      </c>
      <c r="BI267" s="13" t="b">
        <v>0</v>
      </c>
      <c r="BJ267" s="13">
        <v>0.0</v>
      </c>
      <c r="BK267" s="13">
        <v>0.0</v>
      </c>
    </row>
    <row r="268" ht="14.25" customHeight="1">
      <c r="A268" s="13">
        <v>266.0</v>
      </c>
      <c r="B268" s="13" t="s">
        <v>48</v>
      </c>
      <c r="C268" s="13">
        <v>4.0</v>
      </c>
      <c r="D268" s="14">
        <v>0.0</v>
      </c>
      <c r="E268" s="13" t="s">
        <v>1989</v>
      </c>
      <c r="F268" s="15"/>
      <c r="G268" s="16" t="s">
        <v>1990</v>
      </c>
      <c r="H268" s="13">
        <v>20.0</v>
      </c>
      <c r="I268" s="13">
        <v>1.0</v>
      </c>
      <c r="J268" s="13" t="s">
        <v>1991</v>
      </c>
      <c r="K268" s="13">
        <f t="shared" si="3"/>
        <v>2</v>
      </c>
      <c r="L268" s="13">
        <f t="shared" si="4"/>
        <v>2</v>
      </c>
      <c r="M268" s="13">
        <f t="shared" ref="M268:AA268" si="535">IFERROR(VALUE(RIGHT(LEFT($J268,FIND(M$1,$J268,1)+LEN(M$1)),1)),0)</f>
        <v>0</v>
      </c>
      <c r="N268" s="13">
        <f t="shared" si="535"/>
        <v>0</v>
      </c>
      <c r="O268" s="13">
        <f t="shared" si="535"/>
        <v>0</v>
      </c>
      <c r="P268" s="13">
        <f t="shared" si="535"/>
        <v>0</v>
      </c>
      <c r="Q268" s="13">
        <f t="shared" si="535"/>
        <v>0</v>
      </c>
      <c r="R268" s="13">
        <f t="shared" si="535"/>
        <v>1</v>
      </c>
      <c r="S268" s="13">
        <f t="shared" si="535"/>
        <v>0</v>
      </c>
      <c r="T268" s="13">
        <f t="shared" si="535"/>
        <v>0</v>
      </c>
      <c r="U268" s="13">
        <f t="shared" si="535"/>
        <v>0</v>
      </c>
      <c r="V268" s="13">
        <f t="shared" si="535"/>
        <v>0</v>
      </c>
      <c r="W268" s="13">
        <f t="shared" si="535"/>
        <v>1</v>
      </c>
      <c r="X268" s="13">
        <f t="shared" si="535"/>
        <v>0</v>
      </c>
      <c r="Y268" s="13">
        <f t="shared" si="535"/>
        <v>0</v>
      </c>
      <c r="Z268" s="13">
        <f t="shared" si="535"/>
        <v>0</v>
      </c>
      <c r="AA268" s="13">
        <f t="shared" si="535"/>
        <v>0</v>
      </c>
      <c r="AB268" s="13">
        <f t="shared" ref="AB268:AP268" si="536">IFERROR(VALUE(RIGHT(LEFT($J268,FIND(AB$1,$J268,IF(M268=0,1,FIND(AB$1,$J268,1)+1))+LEN(AB$1)),1)),0)</f>
        <v>0</v>
      </c>
      <c r="AC268" s="13">
        <f t="shared" si="536"/>
        <v>1</v>
      </c>
      <c r="AD268" s="13">
        <f t="shared" si="536"/>
        <v>0</v>
      </c>
      <c r="AE268" s="13">
        <f t="shared" si="536"/>
        <v>0</v>
      </c>
      <c r="AF268" s="13">
        <f t="shared" si="536"/>
        <v>0</v>
      </c>
      <c r="AG268" s="13">
        <f t="shared" si="536"/>
        <v>0</v>
      </c>
      <c r="AH268" s="13">
        <f t="shared" si="536"/>
        <v>0</v>
      </c>
      <c r="AI268" s="13">
        <f t="shared" si="536"/>
        <v>0</v>
      </c>
      <c r="AJ268" s="13">
        <f t="shared" si="536"/>
        <v>0</v>
      </c>
      <c r="AK268" s="13">
        <f t="shared" si="536"/>
        <v>0</v>
      </c>
      <c r="AL268" s="13">
        <f t="shared" si="536"/>
        <v>1</v>
      </c>
      <c r="AM268" s="13">
        <f t="shared" si="536"/>
        <v>0</v>
      </c>
      <c r="AN268" s="13">
        <f t="shared" si="536"/>
        <v>0</v>
      </c>
      <c r="AO268" s="13">
        <f t="shared" si="536"/>
        <v>0</v>
      </c>
      <c r="AP268" s="13">
        <f t="shared" si="536"/>
        <v>0</v>
      </c>
      <c r="AQ268" s="13"/>
      <c r="AR268" s="13" t="s">
        <v>1992</v>
      </c>
      <c r="AS268" s="13" t="s">
        <v>1993</v>
      </c>
      <c r="AT268" s="13" t="s">
        <v>1994</v>
      </c>
      <c r="AU268" s="13" t="s">
        <v>269</v>
      </c>
      <c r="AV268" s="13" t="s">
        <v>1995</v>
      </c>
      <c r="AW268" s="13">
        <v>24.0</v>
      </c>
      <c r="AX268" s="13">
        <v>-1.0</v>
      </c>
      <c r="AY268" s="13">
        <v>0.0</v>
      </c>
      <c r="AZ268" s="13" t="s">
        <v>1996</v>
      </c>
      <c r="BA268" s="13" t="s">
        <v>1997</v>
      </c>
      <c r="BB268" s="13"/>
      <c r="BC268" s="13"/>
      <c r="BD268" s="13" t="s">
        <v>179</v>
      </c>
      <c r="BE268" s="13"/>
      <c r="BF268" s="13" t="s">
        <v>1998</v>
      </c>
      <c r="BG268" s="13" t="s">
        <v>169</v>
      </c>
      <c r="BH268" s="13" t="s">
        <v>79</v>
      </c>
      <c r="BI268" s="13" t="b">
        <v>0</v>
      </c>
      <c r="BJ268" s="13">
        <v>0.0</v>
      </c>
      <c r="BK268" s="13">
        <v>0.0</v>
      </c>
    </row>
    <row r="269" ht="14.25" customHeight="1">
      <c r="A269" s="13">
        <v>267.0</v>
      </c>
      <c r="B269" s="13" t="s">
        <v>49</v>
      </c>
      <c r="C269" s="13">
        <v>4.0</v>
      </c>
      <c r="D269" s="14">
        <v>0.0</v>
      </c>
      <c r="E269" s="13" t="s">
        <v>1999</v>
      </c>
      <c r="F269" s="15"/>
      <c r="G269" s="16" t="s">
        <v>2000</v>
      </c>
      <c r="H269" s="13">
        <v>22.0</v>
      </c>
      <c r="I269" s="13">
        <v>1.1</v>
      </c>
      <c r="J269" s="13" t="s">
        <v>2001</v>
      </c>
      <c r="K269" s="13">
        <f t="shared" si="3"/>
        <v>2</v>
      </c>
      <c r="L269" s="13">
        <f t="shared" si="4"/>
        <v>2</v>
      </c>
      <c r="M269" s="13">
        <f t="shared" ref="M269:AA269" si="537">IFERROR(VALUE(RIGHT(LEFT($J269,FIND(M$1,$J269,1)+LEN(M$1)),1)),0)</f>
        <v>0</v>
      </c>
      <c r="N269" s="13">
        <f t="shared" si="537"/>
        <v>0</v>
      </c>
      <c r="O269" s="13">
        <f t="shared" si="537"/>
        <v>0</v>
      </c>
      <c r="P269" s="13">
        <f t="shared" si="537"/>
        <v>0</v>
      </c>
      <c r="Q269" s="13">
        <f t="shared" si="537"/>
        <v>0</v>
      </c>
      <c r="R269" s="13">
        <f t="shared" si="537"/>
        <v>0</v>
      </c>
      <c r="S269" s="13">
        <f t="shared" si="537"/>
        <v>0</v>
      </c>
      <c r="T269" s="13">
        <f t="shared" si="537"/>
        <v>0</v>
      </c>
      <c r="U269" s="13">
        <f t="shared" si="537"/>
        <v>0</v>
      </c>
      <c r="V269" s="13">
        <f t="shared" si="537"/>
        <v>0</v>
      </c>
      <c r="W269" s="13">
        <f t="shared" si="537"/>
        <v>0</v>
      </c>
      <c r="X269" s="13">
        <f t="shared" si="537"/>
        <v>2</v>
      </c>
      <c r="Y269" s="13">
        <f t="shared" si="537"/>
        <v>0</v>
      </c>
      <c r="Z269" s="13">
        <f t="shared" si="537"/>
        <v>0</v>
      </c>
      <c r="AA269" s="13">
        <f t="shared" si="537"/>
        <v>0</v>
      </c>
      <c r="AB269" s="13">
        <f t="shared" ref="AB269:AP269" si="538">IFERROR(VALUE(RIGHT(LEFT($J269,FIND(AB$1,$J269,IF(M269=0,1,FIND(AB$1,$J269,1)+1))+LEN(AB$1)),1)),0)</f>
        <v>0</v>
      </c>
      <c r="AC269" s="13">
        <f t="shared" si="538"/>
        <v>0</v>
      </c>
      <c r="AD269" s="13">
        <f t="shared" si="538"/>
        <v>0</v>
      </c>
      <c r="AE269" s="13">
        <f t="shared" si="538"/>
        <v>0</v>
      </c>
      <c r="AF269" s="13">
        <f t="shared" si="538"/>
        <v>1</v>
      </c>
      <c r="AG269" s="13">
        <f t="shared" si="538"/>
        <v>0</v>
      </c>
      <c r="AH269" s="13">
        <f t="shared" si="538"/>
        <v>0</v>
      </c>
      <c r="AI269" s="13">
        <f t="shared" si="538"/>
        <v>0</v>
      </c>
      <c r="AJ269" s="13">
        <f t="shared" si="538"/>
        <v>0</v>
      </c>
      <c r="AK269" s="13">
        <f t="shared" si="538"/>
        <v>0</v>
      </c>
      <c r="AL269" s="13">
        <f t="shared" si="538"/>
        <v>0</v>
      </c>
      <c r="AM269" s="13">
        <f t="shared" si="538"/>
        <v>1</v>
      </c>
      <c r="AN269" s="13">
        <f t="shared" si="538"/>
        <v>0</v>
      </c>
      <c r="AO269" s="13">
        <f t="shared" si="538"/>
        <v>0</v>
      </c>
      <c r="AP269" s="13">
        <f t="shared" si="538"/>
        <v>0</v>
      </c>
      <c r="AQ269" s="13"/>
      <c r="AR269" s="13" t="s">
        <v>2002</v>
      </c>
      <c r="AS269" s="13" t="s">
        <v>2003</v>
      </c>
      <c r="AT269" s="13" t="s">
        <v>175</v>
      </c>
      <c r="AU269" s="13" t="s">
        <v>1398</v>
      </c>
      <c r="AV269" s="13" t="s">
        <v>2004</v>
      </c>
      <c r="AW269" s="13">
        <v>28.0</v>
      </c>
      <c r="AX269" s="13">
        <v>-1.0</v>
      </c>
      <c r="AY269" s="13">
        <v>0.0</v>
      </c>
      <c r="AZ269" s="13" t="s">
        <v>2005</v>
      </c>
      <c r="BA269" s="13" t="s">
        <v>2006</v>
      </c>
      <c r="BB269" s="13"/>
      <c r="BC269" s="13"/>
      <c r="BD269" s="13" t="s">
        <v>199</v>
      </c>
      <c r="BE269" s="13"/>
      <c r="BF269" s="13" t="s">
        <v>2007</v>
      </c>
      <c r="BG269" s="13" t="s">
        <v>201</v>
      </c>
      <c r="BH269" s="13" t="s">
        <v>241</v>
      </c>
      <c r="BI269" s="13" t="b">
        <v>0</v>
      </c>
      <c r="BJ269" s="13">
        <v>0.0</v>
      </c>
      <c r="BK269" s="13">
        <v>0.0</v>
      </c>
    </row>
    <row r="270" ht="14.25" customHeight="1">
      <c r="A270" s="13">
        <v>268.0</v>
      </c>
      <c r="B270" s="13" t="s">
        <v>49</v>
      </c>
      <c r="C270" s="13">
        <v>4.0</v>
      </c>
      <c r="D270" s="14">
        <v>0.0</v>
      </c>
      <c r="E270" s="13" t="s">
        <v>2008</v>
      </c>
      <c r="F270" s="15"/>
      <c r="G270" s="16" t="s">
        <v>2009</v>
      </c>
      <c r="H270" s="13">
        <v>19.0</v>
      </c>
      <c r="I270" s="13">
        <v>0.9</v>
      </c>
      <c r="J270" s="13" t="s">
        <v>2010</v>
      </c>
      <c r="K270" s="13">
        <f t="shared" si="3"/>
        <v>2</v>
      </c>
      <c r="L270" s="13">
        <f t="shared" si="4"/>
        <v>2</v>
      </c>
      <c r="M270" s="13">
        <f t="shared" ref="M270:AA270" si="539">IFERROR(VALUE(RIGHT(LEFT($J270,FIND(M$1,$J270,1)+LEN(M$1)),1)),0)</f>
        <v>0</v>
      </c>
      <c r="N270" s="13">
        <f t="shared" si="539"/>
        <v>0</v>
      </c>
      <c r="O270" s="13">
        <f t="shared" si="539"/>
        <v>0</v>
      </c>
      <c r="P270" s="13">
        <f t="shared" si="539"/>
        <v>0</v>
      </c>
      <c r="Q270" s="13">
        <f t="shared" si="539"/>
        <v>1</v>
      </c>
      <c r="R270" s="13">
        <f t="shared" si="539"/>
        <v>0</v>
      </c>
      <c r="S270" s="13">
        <f t="shared" si="539"/>
        <v>0</v>
      </c>
      <c r="T270" s="13">
        <f t="shared" si="539"/>
        <v>0</v>
      </c>
      <c r="U270" s="13">
        <f t="shared" si="539"/>
        <v>0</v>
      </c>
      <c r="V270" s="13">
        <f t="shared" si="539"/>
        <v>0</v>
      </c>
      <c r="W270" s="13">
        <f t="shared" si="539"/>
        <v>0</v>
      </c>
      <c r="X270" s="13">
        <f t="shared" si="539"/>
        <v>1</v>
      </c>
      <c r="Y270" s="13">
        <f t="shared" si="539"/>
        <v>0</v>
      </c>
      <c r="Z270" s="13">
        <f t="shared" si="539"/>
        <v>0</v>
      </c>
      <c r="AA270" s="13">
        <f t="shared" si="539"/>
        <v>0</v>
      </c>
      <c r="AB270" s="13">
        <f t="shared" ref="AB270:AP270" si="540">IFERROR(VALUE(RIGHT(LEFT($J270,FIND(AB$1,$J270,IF(M270=0,1,FIND(AB$1,$J270,1)+1))+LEN(AB$1)),1)),0)</f>
        <v>1</v>
      </c>
      <c r="AC270" s="13">
        <f t="shared" si="540"/>
        <v>0</v>
      </c>
      <c r="AD270" s="13">
        <f t="shared" si="540"/>
        <v>0</v>
      </c>
      <c r="AE270" s="13">
        <f t="shared" si="540"/>
        <v>0</v>
      </c>
      <c r="AF270" s="13">
        <f t="shared" si="540"/>
        <v>0</v>
      </c>
      <c r="AG270" s="13">
        <f t="shared" si="540"/>
        <v>0</v>
      </c>
      <c r="AH270" s="13">
        <f t="shared" si="540"/>
        <v>0</v>
      </c>
      <c r="AI270" s="13">
        <f t="shared" si="540"/>
        <v>0</v>
      </c>
      <c r="AJ270" s="13">
        <f t="shared" si="540"/>
        <v>0</v>
      </c>
      <c r="AK270" s="13">
        <f t="shared" si="540"/>
        <v>0</v>
      </c>
      <c r="AL270" s="13">
        <f t="shared" si="540"/>
        <v>0</v>
      </c>
      <c r="AM270" s="13">
        <f t="shared" si="540"/>
        <v>1</v>
      </c>
      <c r="AN270" s="13">
        <f t="shared" si="540"/>
        <v>0</v>
      </c>
      <c r="AO270" s="13">
        <f t="shared" si="540"/>
        <v>0</v>
      </c>
      <c r="AP270" s="13">
        <f t="shared" si="540"/>
        <v>0</v>
      </c>
      <c r="AQ270" s="13"/>
      <c r="AR270" s="13" t="s">
        <v>2011</v>
      </c>
      <c r="AS270" s="13" t="s">
        <v>2012</v>
      </c>
      <c r="AT270" s="13" t="s">
        <v>162</v>
      </c>
      <c r="AU270" s="13" t="s">
        <v>1297</v>
      </c>
      <c r="AV270" s="13" t="s">
        <v>2013</v>
      </c>
      <c r="AW270" s="13">
        <v>22.0</v>
      </c>
      <c r="AX270" s="13">
        <v>-1.0</v>
      </c>
      <c r="AY270" s="13">
        <v>0.0</v>
      </c>
      <c r="AZ270" s="13" t="s">
        <v>2014</v>
      </c>
      <c r="BA270" s="13" t="s">
        <v>2015</v>
      </c>
      <c r="BB270" s="13"/>
      <c r="BC270" s="13"/>
      <c r="BD270" s="13" t="s">
        <v>664</v>
      </c>
      <c r="BE270" s="13"/>
      <c r="BF270" s="13" t="s">
        <v>2016</v>
      </c>
      <c r="BG270" s="13" t="s">
        <v>201</v>
      </c>
      <c r="BH270" s="13" t="s">
        <v>79</v>
      </c>
      <c r="BI270" s="13" t="b">
        <v>0</v>
      </c>
      <c r="BJ270" s="13">
        <v>0.0</v>
      </c>
      <c r="BK270" s="13">
        <v>0.0</v>
      </c>
    </row>
    <row r="271" ht="14.25" customHeight="1">
      <c r="A271" s="13">
        <v>269.0</v>
      </c>
      <c r="B271" s="13" t="s">
        <v>49</v>
      </c>
      <c r="C271" s="13">
        <v>4.0</v>
      </c>
      <c r="D271" s="14">
        <v>0.0</v>
      </c>
      <c r="E271" s="13" t="s">
        <v>2017</v>
      </c>
      <c r="F271" s="15"/>
      <c r="G271" s="16" t="s">
        <v>2018</v>
      </c>
      <c r="H271" s="13">
        <v>22.0</v>
      </c>
      <c r="I271" s="13">
        <v>1.0</v>
      </c>
      <c r="J271" s="13" t="s">
        <v>2019</v>
      </c>
      <c r="K271" s="13">
        <f t="shared" si="3"/>
        <v>2</v>
      </c>
      <c r="L271" s="13">
        <f t="shared" si="4"/>
        <v>2</v>
      </c>
      <c r="M271" s="13">
        <f t="shared" ref="M271:AA271" si="541">IFERROR(VALUE(RIGHT(LEFT($J271,FIND(M$1,$J271,1)+LEN(M$1)),1)),0)</f>
        <v>1</v>
      </c>
      <c r="N271" s="13">
        <f t="shared" si="541"/>
        <v>0</v>
      </c>
      <c r="O271" s="13">
        <f t="shared" si="541"/>
        <v>0</v>
      </c>
      <c r="P271" s="13">
        <f t="shared" si="541"/>
        <v>0</v>
      </c>
      <c r="Q271" s="13">
        <f t="shared" si="541"/>
        <v>0</v>
      </c>
      <c r="R271" s="13">
        <f t="shared" si="541"/>
        <v>0</v>
      </c>
      <c r="S271" s="13">
        <f t="shared" si="541"/>
        <v>0</v>
      </c>
      <c r="T271" s="13">
        <f t="shared" si="541"/>
        <v>0</v>
      </c>
      <c r="U271" s="13">
        <f t="shared" si="541"/>
        <v>0</v>
      </c>
      <c r="V271" s="13">
        <f t="shared" si="541"/>
        <v>0</v>
      </c>
      <c r="W271" s="13">
        <f t="shared" si="541"/>
        <v>0</v>
      </c>
      <c r="X271" s="13">
        <f t="shared" si="541"/>
        <v>1</v>
      </c>
      <c r="Y271" s="13">
        <f t="shared" si="541"/>
        <v>0</v>
      </c>
      <c r="Z271" s="13">
        <f t="shared" si="541"/>
        <v>0</v>
      </c>
      <c r="AA271" s="13">
        <f t="shared" si="541"/>
        <v>0</v>
      </c>
      <c r="AB271" s="13">
        <f t="shared" ref="AB271:AP271" si="542">IFERROR(VALUE(RIGHT(LEFT($J271,FIND(AB$1,$J271,IF(M271=0,1,FIND(AB$1,$J271,1)+1))+LEN(AB$1)),1)),0)</f>
        <v>0</v>
      </c>
      <c r="AC271" s="13">
        <f t="shared" si="542"/>
        <v>0</v>
      </c>
      <c r="AD271" s="13">
        <f t="shared" si="542"/>
        <v>0</v>
      </c>
      <c r="AE271" s="13">
        <f t="shared" si="542"/>
        <v>0</v>
      </c>
      <c r="AF271" s="13">
        <f t="shared" si="542"/>
        <v>0</v>
      </c>
      <c r="AG271" s="13">
        <f t="shared" si="542"/>
        <v>0</v>
      </c>
      <c r="AH271" s="13">
        <f t="shared" si="542"/>
        <v>0</v>
      </c>
      <c r="AI271" s="13">
        <f t="shared" si="542"/>
        <v>0</v>
      </c>
      <c r="AJ271" s="13">
        <f t="shared" si="542"/>
        <v>0</v>
      </c>
      <c r="AK271" s="13">
        <f t="shared" si="542"/>
        <v>0</v>
      </c>
      <c r="AL271" s="13">
        <f t="shared" si="542"/>
        <v>0</v>
      </c>
      <c r="AM271" s="13">
        <f t="shared" si="542"/>
        <v>2</v>
      </c>
      <c r="AN271" s="13">
        <f t="shared" si="542"/>
        <v>0</v>
      </c>
      <c r="AO271" s="13">
        <f t="shared" si="542"/>
        <v>0</v>
      </c>
      <c r="AP271" s="13">
        <f t="shared" si="542"/>
        <v>0</v>
      </c>
      <c r="AQ271" s="13"/>
      <c r="AR271" s="13" t="s">
        <v>2020</v>
      </c>
      <c r="AS271" s="13" t="s">
        <v>2021</v>
      </c>
      <c r="AT271" s="13" t="s">
        <v>573</v>
      </c>
      <c r="AU271" s="13" t="s">
        <v>143</v>
      </c>
      <c r="AV271" s="13" t="s">
        <v>2022</v>
      </c>
      <c r="AW271" s="13">
        <v>25.0</v>
      </c>
      <c r="AX271" s="13">
        <v>-1.0</v>
      </c>
      <c r="AY271" s="13">
        <v>0.0</v>
      </c>
      <c r="AZ271" s="13" t="s">
        <v>2023</v>
      </c>
      <c r="BA271" s="13" t="s">
        <v>1232</v>
      </c>
      <c r="BB271" s="13"/>
      <c r="BC271" s="13"/>
      <c r="BD271" s="13" t="s">
        <v>220</v>
      </c>
      <c r="BE271" s="13"/>
      <c r="BF271" s="13" t="s">
        <v>2024</v>
      </c>
      <c r="BG271" s="13" t="s">
        <v>201</v>
      </c>
      <c r="BH271" s="13" t="s">
        <v>79</v>
      </c>
      <c r="BI271" s="13" t="b">
        <v>0</v>
      </c>
      <c r="BJ271" s="13">
        <v>0.0</v>
      </c>
      <c r="BK271" s="13">
        <v>0.0</v>
      </c>
    </row>
    <row r="272" ht="14.25" customHeight="1">
      <c r="A272" s="13">
        <v>270.0</v>
      </c>
      <c r="B272" s="13" t="s">
        <v>50</v>
      </c>
      <c r="C272" s="13">
        <v>4.0</v>
      </c>
      <c r="D272" s="14">
        <v>0.0</v>
      </c>
      <c r="E272" s="13" t="s">
        <v>2025</v>
      </c>
      <c r="F272" s="15"/>
      <c r="G272" s="16" t="s">
        <v>2026</v>
      </c>
      <c r="H272" s="13">
        <v>23.0</v>
      </c>
      <c r="I272" s="13">
        <v>1.1</v>
      </c>
      <c r="J272" s="13" t="s">
        <v>2027</v>
      </c>
      <c r="K272" s="13">
        <f t="shared" si="3"/>
        <v>2</v>
      </c>
      <c r="L272" s="13">
        <f t="shared" si="4"/>
        <v>2</v>
      </c>
      <c r="M272" s="13">
        <f t="shared" ref="M272:AA272" si="543">IFERROR(VALUE(RIGHT(LEFT($J272,FIND(M$1,$J272,1)+LEN(M$1)),1)),0)</f>
        <v>0</v>
      </c>
      <c r="N272" s="13">
        <f t="shared" si="543"/>
        <v>0</v>
      </c>
      <c r="O272" s="13">
        <f t="shared" si="543"/>
        <v>0</v>
      </c>
      <c r="P272" s="13">
        <f t="shared" si="543"/>
        <v>1</v>
      </c>
      <c r="Q272" s="13">
        <f t="shared" si="543"/>
        <v>0</v>
      </c>
      <c r="R272" s="13">
        <f t="shared" si="543"/>
        <v>0</v>
      </c>
      <c r="S272" s="13">
        <f t="shared" si="543"/>
        <v>0</v>
      </c>
      <c r="T272" s="13">
        <f t="shared" si="543"/>
        <v>0</v>
      </c>
      <c r="U272" s="13">
        <f t="shared" si="543"/>
        <v>0</v>
      </c>
      <c r="V272" s="13">
        <f t="shared" si="543"/>
        <v>0</v>
      </c>
      <c r="W272" s="13">
        <f t="shared" si="543"/>
        <v>0</v>
      </c>
      <c r="X272" s="13">
        <f t="shared" si="543"/>
        <v>0</v>
      </c>
      <c r="Y272" s="13">
        <f t="shared" si="543"/>
        <v>1</v>
      </c>
      <c r="Z272" s="13">
        <f t="shared" si="543"/>
        <v>0</v>
      </c>
      <c r="AA272" s="13">
        <f t="shared" si="543"/>
        <v>0</v>
      </c>
      <c r="AB272" s="13">
        <f t="shared" ref="AB272:AP272" si="544">IFERROR(VALUE(RIGHT(LEFT($J272,FIND(AB$1,$J272,IF(M272=0,1,FIND(AB$1,$J272,1)+1))+LEN(AB$1)),1)),0)</f>
        <v>0</v>
      </c>
      <c r="AC272" s="13">
        <f t="shared" si="544"/>
        <v>0</v>
      </c>
      <c r="AD272" s="13">
        <f t="shared" si="544"/>
        <v>0</v>
      </c>
      <c r="AE272" s="13">
        <f t="shared" si="544"/>
        <v>0</v>
      </c>
      <c r="AF272" s="13">
        <f t="shared" si="544"/>
        <v>1</v>
      </c>
      <c r="AG272" s="13">
        <f t="shared" si="544"/>
        <v>0</v>
      </c>
      <c r="AH272" s="13">
        <f t="shared" si="544"/>
        <v>0</v>
      </c>
      <c r="AI272" s="13">
        <f t="shared" si="544"/>
        <v>0</v>
      </c>
      <c r="AJ272" s="13">
        <f t="shared" si="544"/>
        <v>0</v>
      </c>
      <c r="AK272" s="13">
        <f t="shared" si="544"/>
        <v>0</v>
      </c>
      <c r="AL272" s="13">
        <f t="shared" si="544"/>
        <v>0</v>
      </c>
      <c r="AM272" s="13">
        <f t="shared" si="544"/>
        <v>0</v>
      </c>
      <c r="AN272" s="13">
        <f t="shared" si="544"/>
        <v>1</v>
      </c>
      <c r="AO272" s="13">
        <f t="shared" si="544"/>
        <v>0</v>
      </c>
      <c r="AP272" s="13">
        <f t="shared" si="544"/>
        <v>0</v>
      </c>
      <c r="AQ272" s="13"/>
      <c r="AR272" s="13" t="s">
        <v>2028</v>
      </c>
      <c r="AS272" s="13" t="s">
        <v>2029</v>
      </c>
      <c r="AT272" s="13" t="s">
        <v>2030</v>
      </c>
      <c r="AU272" s="13" t="s">
        <v>803</v>
      </c>
      <c r="AV272" s="13" t="s">
        <v>2031</v>
      </c>
      <c r="AW272" s="13">
        <v>27.0</v>
      </c>
      <c r="AX272" s="13">
        <v>-1.0</v>
      </c>
      <c r="AY272" s="13">
        <v>0.0</v>
      </c>
      <c r="AZ272" s="13" t="s">
        <v>2032</v>
      </c>
      <c r="BA272" s="13" t="s">
        <v>2033</v>
      </c>
      <c r="BB272" s="13"/>
      <c r="BC272" s="13"/>
      <c r="BD272" s="13" t="s">
        <v>715</v>
      </c>
      <c r="BE272" s="13"/>
      <c r="BF272" s="13" t="s">
        <v>2034</v>
      </c>
      <c r="BG272" s="13" t="s">
        <v>50</v>
      </c>
      <c r="BH272" s="13" t="s">
        <v>79</v>
      </c>
      <c r="BI272" s="13" t="b">
        <v>0</v>
      </c>
      <c r="BJ272" s="13">
        <v>0.0</v>
      </c>
      <c r="BK272" s="13">
        <v>0.0</v>
      </c>
    </row>
    <row r="273" ht="14.25" customHeight="1">
      <c r="A273" s="13">
        <v>271.0</v>
      </c>
      <c r="B273" s="13" t="s">
        <v>50</v>
      </c>
      <c r="C273" s="13">
        <v>4.0</v>
      </c>
      <c r="D273" s="14">
        <v>0.0</v>
      </c>
      <c r="E273" s="13" t="s">
        <v>2035</v>
      </c>
      <c r="F273" s="15"/>
      <c r="G273" s="16" t="s">
        <v>2036</v>
      </c>
      <c r="H273" s="13">
        <v>21.0</v>
      </c>
      <c r="I273" s="13">
        <v>1.0</v>
      </c>
      <c r="J273" s="13" t="s">
        <v>2037</v>
      </c>
      <c r="K273" s="13">
        <f t="shared" si="3"/>
        <v>2</v>
      </c>
      <c r="L273" s="13">
        <f t="shared" si="4"/>
        <v>2</v>
      </c>
      <c r="M273" s="13">
        <f t="shared" ref="M273:AA273" si="545">IFERROR(VALUE(RIGHT(LEFT($J273,FIND(M$1,$J273,1)+LEN(M$1)),1)),0)</f>
        <v>0</v>
      </c>
      <c r="N273" s="13">
        <f t="shared" si="545"/>
        <v>0</v>
      </c>
      <c r="O273" s="13">
        <f t="shared" si="545"/>
        <v>0</v>
      </c>
      <c r="P273" s="13">
        <f t="shared" si="545"/>
        <v>0</v>
      </c>
      <c r="Q273" s="13">
        <f t="shared" si="545"/>
        <v>1</v>
      </c>
      <c r="R273" s="13">
        <f t="shared" si="545"/>
        <v>0</v>
      </c>
      <c r="S273" s="13">
        <f t="shared" si="545"/>
        <v>0</v>
      </c>
      <c r="T273" s="13">
        <f t="shared" si="545"/>
        <v>0</v>
      </c>
      <c r="U273" s="13">
        <f t="shared" si="545"/>
        <v>0</v>
      </c>
      <c r="V273" s="13">
        <f t="shared" si="545"/>
        <v>0</v>
      </c>
      <c r="W273" s="13">
        <f t="shared" si="545"/>
        <v>0</v>
      </c>
      <c r="X273" s="13">
        <f t="shared" si="545"/>
        <v>0</v>
      </c>
      <c r="Y273" s="13">
        <f t="shared" si="545"/>
        <v>1</v>
      </c>
      <c r="Z273" s="13">
        <f t="shared" si="545"/>
        <v>0</v>
      </c>
      <c r="AA273" s="13">
        <f t="shared" si="545"/>
        <v>0</v>
      </c>
      <c r="AB273" s="13">
        <f t="shared" ref="AB273:AP273" si="546">IFERROR(VALUE(RIGHT(LEFT($J273,FIND(AB$1,$J273,IF(M273=0,1,FIND(AB$1,$J273,1)+1))+LEN(AB$1)),1)),0)</f>
        <v>0</v>
      </c>
      <c r="AC273" s="13">
        <f t="shared" si="546"/>
        <v>0</v>
      </c>
      <c r="AD273" s="13">
        <f t="shared" si="546"/>
        <v>0</v>
      </c>
      <c r="AE273" s="13">
        <f t="shared" si="546"/>
        <v>0</v>
      </c>
      <c r="AF273" s="13">
        <f t="shared" si="546"/>
        <v>0</v>
      </c>
      <c r="AG273" s="13">
        <f t="shared" si="546"/>
        <v>0</v>
      </c>
      <c r="AH273" s="13">
        <f t="shared" si="546"/>
        <v>0</v>
      </c>
      <c r="AI273" s="13">
        <f t="shared" si="546"/>
        <v>0</v>
      </c>
      <c r="AJ273" s="13">
        <f t="shared" si="546"/>
        <v>0</v>
      </c>
      <c r="AK273" s="13">
        <f t="shared" si="546"/>
        <v>0</v>
      </c>
      <c r="AL273" s="13">
        <f t="shared" si="546"/>
        <v>0</v>
      </c>
      <c r="AM273" s="13">
        <f t="shared" si="546"/>
        <v>0</v>
      </c>
      <c r="AN273" s="13">
        <f t="shared" si="546"/>
        <v>2</v>
      </c>
      <c r="AO273" s="13">
        <f t="shared" si="546"/>
        <v>0</v>
      </c>
      <c r="AP273" s="13">
        <f t="shared" si="546"/>
        <v>0</v>
      </c>
      <c r="AQ273" s="13"/>
      <c r="AR273" s="13" t="s">
        <v>2038</v>
      </c>
      <c r="AS273" s="13" t="s">
        <v>2039</v>
      </c>
      <c r="AT273" s="13" t="s">
        <v>162</v>
      </c>
      <c r="AU273" s="13" t="s">
        <v>2040</v>
      </c>
      <c r="AV273" s="13" t="s">
        <v>2041</v>
      </c>
      <c r="AW273" s="13">
        <v>25.0</v>
      </c>
      <c r="AX273" s="13">
        <v>-1.0</v>
      </c>
      <c r="AY273" s="13">
        <v>0.0</v>
      </c>
      <c r="AZ273" s="13" t="s">
        <v>2042</v>
      </c>
      <c r="BA273" s="13" t="s">
        <v>2043</v>
      </c>
      <c r="BB273" s="13"/>
      <c r="BC273" s="13"/>
      <c r="BD273" s="13" t="s">
        <v>239</v>
      </c>
      <c r="BE273" s="13"/>
      <c r="BF273" s="13" t="s">
        <v>2044</v>
      </c>
      <c r="BG273" s="13" t="s">
        <v>50</v>
      </c>
      <c r="BH273" s="13" t="s">
        <v>79</v>
      </c>
      <c r="BI273" s="13" t="b">
        <v>0</v>
      </c>
      <c r="BJ273" s="13">
        <v>0.0</v>
      </c>
      <c r="BK273" s="13">
        <v>0.0</v>
      </c>
    </row>
    <row r="274" ht="14.25" customHeight="1">
      <c r="A274" s="13">
        <v>272.0</v>
      </c>
      <c r="B274" s="13" t="s">
        <v>50</v>
      </c>
      <c r="C274" s="13">
        <v>4.0</v>
      </c>
      <c r="D274" s="14">
        <v>0.0</v>
      </c>
      <c r="E274" s="13" t="s">
        <v>2045</v>
      </c>
      <c r="F274" s="15"/>
      <c r="G274" s="16" t="s">
        <v>2046</v>
      </c>
      <c r="H274" s="13">
        <v>20.0</v>
      </c>
      <c r="I274" s="13">
        <v>0.9</v>
      </c>
      <c r="J274" s="13" t="s">
        <v>2047</v>
      </c>
      <c r="K274" s="13">
        <f t="shared" si="3"/>
        <v>2</v>
      </c>
      <c r="L274" s="13">
        <f t="shared" si="4"/>
        <v>2</v>
      </c>
      <c r="M274" s="13">
        <f t="shared" ref="M274:AA274" si="547">IFERROR(VALUE(RIGHT(LEFT($J274,FIND(M$1,$J274,1)+LEN(M$1)),1)),0)</f>
        <v>0</v>
      </c>
      <c r="N274" s="13">
        <f t="shared" si="547"/>
        <v>0</v>
      </c>
      <c r="O274" s="13">
        <f t="shared" si="547"/>
        <v>0</v>
      </c>
      <c r="P274" s="13">
        <f t="shared" si="547"/>
        <v>0</v>
      </c>
      <c r="Q274" s="13">
        <f t="shared" si="547"/>
        <v>0</v>
      </c>
      <c r="R274" s="13">
        <f t="shared" si="547"/>
        <v>0</v>
      </c>
      <c r="S274" s="13">
        <f t="shared" si="547"/>
        <v>0</v>
      </c>
      <c r="T274" s="13">
        <f t="shared" si="547"/>
        <v>0</v>
      </c>
      <c r="U274" s="13">
        <f t="shared" si="547"/>
        <v>0</v>
      </c>
      <c r="V274" s="13">
        <f t="shared" si="547"/>
        <v>0</v>
      </c>
      <c r="W274" s="13">
        <f t="shared" si="547"/>
        <v>0</v>
      </c>
      <c r="X274" s="13">
        <f t="shared" si="547"/>
        <v>0</v>
      </c>
      <c r="Y274" s="13">
        <f t="shared" si="547"/>
        <v>2</v>
      </c>
      <c r="Z274" s="13">
        <f t="shared" si="547"/>
        <v>0</v>
      </c>
      <c r="AA274" s="13">
        <f t="shared" si="547"/>
        <v>0</v>
      </c>
      <c r="AB274" s="13">
        <f t="shared" ref="AB274:AP274" si="548">IFERROR(VALUE(RIGHT(LEFT($J274,FIND(AB$1,$J274,IF(M274=0,1,FIND(AB$1,$J274,1)+1))+LEN(AB$1)),1)),0)</f>
        <v>0</v>
      </c>
      <c r="AC274" s="13">
        <f t="shared" si="548"/>
        <v>0</v>
      </c>
      <c r="AD274" s="13">
        <f t="shared" si="548"/>
        <v>0</v>
      </c>
      <c r="AE274" s="13">
        <f t="shared" si="548"/>
        <v>1</v>
      </c>
      <c r="AF274" s="13">
        <f t="shared" si="548"/>
        <v>0</v>
      </c>
      <c r="AG274" s="13">
        <f t="shared" si="548"/>
        <v>0</v>
      </c>
      <c r="AH274" s="13">
        <f t="shared" si="548"/>
        <v>0</v>
      </c>
      <c r="AI274" s="13">
        <f t="shared" si="548"/>
        <v>0</v>
      </c>
      <c r="AJ274" s="13">
        <f t="shared" si="548"/>
        <v>0</v>
      </c>
      <c r="AK274" s="13">
        <f t="shared" si="548"/>
        <v>0</v>
      </c>
      <c r="AL274" s="13">
        <f t="shared" si="548"/>
        <v>0</v>
      </c>
      <c r="AM274" s="13">
        <f t="shared" si="548"/>
        <v>0</v>
      </c>
      <c r="AN274" s="13">
        <f t="shared" si="548"/>
        <v>1</v>
      </c>
      <c r="AO274" s="13">
        <f t="shared" si="548"/>
        <v>0</v>
      </c>
      <c r="AP274" s="13">
        <f t="shared" si="548"/>
        <v>0</v>
      </c>
      <c r="AQ274" s="13"/>
      <c r="AR274" s="13" t="s">
        <v>2048</v>
      </c>
      <c r="AS274" s="13" t="s">
        <v>2049</v>
      </c>
      <c r="AT274" s="13" t="s">
        <v>162</v>
      </c>
      <c r="AU274" s="13" t="s">
        <v>1523</v>
      </c>
      <c r="AV274" s="13" t="s">
        <v>2050</v>
      </c>
      <c r="AW274" s="13">
        <v>26.0</v>
      </c>
      <c r="AX274" s="13">
        <v>-1.0</v>
      </c>
      <c r="AY274" s="13">
        <v>0.0</v>
      </c>
      <c r="AZ274" s="13" t="s">
        <v>2051</v>
      </c>
      <c r="BA274" s="13" t="s">
        <v>1987</v>
      </c>
      <c r="BB274" s="13"/>
      <c r="BC274" s="13"/>
      <c r="BD274" s="13" t="s">
        <v>230</v>
      </c>
      <c r="BE274" s="13"/>
      <c r="BF274" s="13" t="s">
        <v>2052</v>
      </c>
      <c r="BG274" s="13" t="s">
        <v>50</v>
      </c>
      <c r="BH274" s="13" t="s">
        <v>79</v>
      </c>
      <c r="BI274" s="13" t="b">
        <v>0</v>
      </c>
      <c r="BJ274" s="13">
        <v>0.0</v>
      </c>
      <c r="BK274" s="13">
        <v>0.0</v>
      </c>
    </row>
    <row r="275" ht="14.25" customHeight="1">
      <c r="A275" s="13">
        <v>273.0</v>
      </c>
      <c r="B275" s="13" t="s">
        <v>51</v>
      </c>
      <c r="C275" s="13">
        <v>4.0</v>
      </c>
      <c r="D275" s="14">
        <v>0.0</v>
      </c>
      <c r="E275" s="13" t="s">
        <v>2053</v>
      </c>
      <c r="F275" s="15"/>
      <c r="G275" s="16" t="s">
        <v>2054</v>
      </c>
      <c r="H275" s="13">
        <v>18.0</v>
      </c>
      <c r="I275" s="13">
        <v>1.0</v>
      </c>
      <c r="J275" s="13" t="s">
        <v>2055</v>
      </c>
      <c r="K275" s="13">
        <f t="shared" si="3"/>
        <v>2</v>
      </c>
      <c r="L275" s="13">
        <f t="shared" si="4"/>
        <v>2</v>
      </c>
      <c r="M275" s="13">
        <f t="shared" ref="M275:AA275" si="549">IFERROR(VALUE(RIGHT(LEFT($J275,FIND(M$1,$J275,1)+LEN(M$1)),1)),0)</f>
        <v>0</v>
      </c>
      <c r="N275" s="13">
        <f t="shared" si="549"/>
        <v>0</v>
      </c>
      <c r="O275" s="13">
        <f t="shared" si="549"/>
        <v>0</v>
      </c>
      <c r="P275" s="13">
        <f t="shared" si="549"/>
        <v>0</v>
      </c>
      <c r="Q275" s="13">
        <f t="shared" si="549"/>
        <v>0</v>
      </c>
      <c r="R275" s="13">
        <f t="shared" si="549"/>
        <v>0</v>
      </c>
      <c r="S275" s="13">
        <f t="shared" si="549"/>
        <v>0</v>
      </c>
      <c r="T275" s="13">
        <f t="shared" si="549"/>
        <v>0</v>
      </c>
      <c r="U275" s="13">
        <f t="shared" si="549"/>
        <v>0</v>
      </c>
      <c r="V275" s="13">
        <f t="shared" si="549"/>
        <v>0</v>
      </c>
      <c r="W275" s="13">
        <f t="shared" si="549"/>
        <v>0</v>
      </c>
      <c r="X275" s="13">
        <f t="shared" si="549"/>
        <v>0</v>
      </c>
      <c r="Y275" s="13">
        <f t="shared" si="549"/>
        <v>0</v>
      </c>
      <c r="Z275" s="13">
        <f t="shared" si="549"/>
        <v>2</v>
      </c>
      <c r="AA275" s="13">
        <f t="shared" si="549"/>
        <v>0</v>
      </c>
      <c r="AB275" s="13">
        <f t="shared" ref="AB275:AP275" si="550">IFERROR(VALUE(RIGHT(LEFT($J275,FIND(AB$1,$J275,IF(M275=0,1,FIND(AB$1,$J275,1)+1))+LEN(AB$1)),1)),0)</f>
        <v>0</v>
      </c>
      <c r="AC275" s="13">
        <f t="shared" si="550"/>
        <v>0</v>
      </c>
      <c r="AD275" s="13">
        <f t="shared" si="550"/>
        <v>1</v>
      </c>
      <c r="AE275" s="13">
        <f t="shared" si="550"/>
        <v>0</v>
      </c>
      <c r="AF275" s="13">
        <f t="shared" si="550"/>
        <v>0</v>
      </c>
      <c r="AG275" s="13">
        <f t="shared" si="550"/>
        <v>0</v>
      </c>
      <c r="AH275" s="13">
        <f t="shared" si="550"/>
        <v>0</v>
      </c>
      <c r="AI275" s="13">
        <f t="shared" si="550"/>
        <v>0</v>
      </c>
      <c r="AJ275" s="13">
        <f t="shared" si="550"/>
        <v>0</v>
      </c>
      <c r="AK275" s="13">
        <f t="shared" si="550"/>
        <v>0</v>
      </c>
      <c r="AL275" s="13">
        <f t="shared" si="550"/>
        <v>0</v>
      </c>
      <c r="AM275" s="13">
        <f t="shared" si="550"/>
        <v>0</v>
      </c>
      <c r="AN275" s="13">
        <f t="shared" si="550"/>
        <v>0</v>
      </c>
      <c r="AO275" s="13">
        <f t="shared" si="550"/>
        <v>1</v>
      </c>
      <c r="AP275" s="13">
        <f t="shared" si="550"/>
        <v>0</v>
      </c>
      <c r="AQ275" s="13"/>
      <c r="AR275" s="13" t="s">
        <v>2056</v>
      </c>
      <c r="AS275" s="13" t="s">
        <v>2057</v>
      </c>
      <c r="AT275" s="13" t="s">
        <v>1554</v>
      </c>
      <c r="AU275" s="13" t="s">
        <v>143</v>
      </c>
      <c r="AV275" s="13" t="s">
        <v>2058</v>
      </c>
      <c r="AW275" s="13">
        <v>22.0</v>
      </c>
      <c r="AX275" s="13">
        <v>-1.0</v>
      </c>
      <c r="AY275" s="13">
        <v>0.0</v>
      </c>
      <c r="AZ275" s="13" t="s">
        <v>2059</v>
      </c>
      <c r="BA275" s="13" t="s">
        <v>2060</v>
      </c>
      <c r="BB275" s="13"/>
      <c r="BC275" s="13"/>
      <c r="BD275" s="13" t="s">
        <v>776</v>
      </c>
      <c r="BE275" s="13"/>
      <c r="BF275" s="13" t="s">
        <v>2061</v>
      </c>
      <c r="BG275" s="13" t="s">
        <v>263</v>
      </c>
      <c r="BH275" s="13" t="s">
        <v>79</v>
      </c>
      <c r="BI275" s="13" t="b">
        <v>0</v>
      </c>
      <c r="BJ275" s="13">
        <v>0.0</v>
      </c>
      <c r="BK275" s="13">
        <v>0.0</v>
      </c>
    </row>
    <row r="276" ht="14.25" customHeight="1">
      <c r="A276" s="13">
        <v>274.0</v>
      </c>
      <c r="B276" s="13" t="s">
        <v>51</v>
      </c>
      <c r="C276" s="13">
        <v>4.0</v>
      </c>
      <c r="D276" s="14">
        <v>0.0</v>
      </c>
      <c r="E276" s="13" t="s">
        <v>2062</v>
      </c>
      <c r="F276" s="15"/>
      <c r="G276" s="16" t="s">
        <v>2063</v>
      </c>
      <c r="H276" s="13">
        <v>23.0</v>
      </c>
      <c r="I276" s="13">
        <v>1.1</v>
      </c>
      <c r="J276" s="13" t="s">
        <v>2064</v>
      </c>
      <c r="K276" s="13">
        <f t="shared" si="3"/>
        <v>2</v>
      </c>
      <c r="L276" s="13">
        <f t="shared" si="4"/>
        <v>2</v>
      </c>
      <c r="M276" s="13">
        <f t="shared" ref="M276:AA276" si="551">IFERROR(VALUE(RIGHT(LEFT($J276,FIND(M$1,$J276,1)+LEN(M$1)),1)),0)</f>
        <v>0</v>
      </c>
      <c r="N276" s="13">
        <f t="shared" si="551"/>
        <v>0</v>
      </c>
      <c r="O276" s="13">
        <f t="shared" si="551"/>
        <v>1</v>
      </c>
      <c r="P276" s="13">
        <f t="shared" si="551"/>
        <v>0</v>
      </c>
      <c r="Q276" s="13">
        <f t="shared" si="551"/>
        <v>0</v>
      </c>
      <c r="R276" s="13">
        <f t="shared" si="551"/>
        <v>0</v>
      </c>
      <c r="S276" s="13">
        <f t="shared" si="551"/>
        <v>0</v>
      </c>
      <c r="T276" s="13">
        <f t="shared" si="551"/>
        <v>0</v>
      </c>
      <c r="U276" s="13">
        <f t="shared" si="551"/>
        <v>0</v>
      </c>
      <c r="V276" s="13">
        <f t="shared" si="551"/>
        <v>0</v>
      </c>
      <c r="W276" s="13">
        <f t="shared" si="551"/>
        <v>0</v>
      </c>
      <c r="X276" s="13">
        <f t="shared" si="551"/>
        <v>0</v>
      </c>
      <c r="Y276" s="13">
        <f t="shared" si="551"/>
        <v>0</v>
      </c>
      <c r="Z276" s="13">
        <f t="shared" si="551"/>
        <v>1</v>
      </c>
      <c r="AA276" s="13">
        <f t="shared" si="551"/>
        <v>0</v>
      </c>
      <c r="AB276" s="13">
        <f t="shared" ref="AB276:AP276" si="552">IFERROR(VALUE(RIGHT(LEFT($J276,FIND(AB$1,$J276,IF(M276=0,1,FIND(AB$1,$J276,1)+1))+LEN(AB$1)),1)),0)</f>
        <v>0</v>
      </c>
      <c r="AC276" s="13">
        <f t="shared" si="552"/>
        <v>0</v>
      </c>
      <c r="AD276" s="13">
        <f t="shared" si="552"/>
        <v>0</v>
      </c>
      <c r="AE276" s="13">
        <f t="shared" si="552"/>
        <v>1</v>
      </c>
      <c r="AF276" s="13">
        <f t="shared" si="552"/>
        <v>0</v>
      </c>
      <c r="AG276" s="13">
        <f t="shared" si="552"/>
        <v>0</v>
      </c>
      <c r="AH276" s="13">
        <f t="shared" si="552"/>
        <v>0</v>
      </c>
      <c r="AI276" s="13">
        <f t="shared" si="552"/>
        <v>0</v>
      </c>
      <c r="AJ276" s="13">
        <f t="shared" si="552"/>
        <v>0</v>
      </c>
      <c r="AK276" s="13">
        <f t="shared" si="552"/>
        <v>0</v>
      </c>
      <c r="AL276" s="13">
        <f t="shared" si="552"/>
        <v>0</v>
      </c>
      <c r="AM276" s="13">
        <f t="shared" si="552"/>
        <v>0</v>
      </c>
      <c r="AN276" s="13">
        <f t="shared" si="552"/>
        <v>0</v>
      </c>
      <c r="AO276" s="13">
        <f t="shared" si="552"/>
        <v>1</v>
      </c>
      <c r="AP276" s="13">
        <f t="shared" si="552"/>
        <v>0</v>
      </c>
      <c r="AQ276" s="13"/>
      <c r="AR276" s="13" t="s">
        <v>2065</v>
      </c>
      <c r="AS276" s="13" t="s">
        <v>2066</v>
      </c>
      <c r="AT276" s="13" t="s">
        <v>573</v>
      </c>
      <c r="AU276" s="13" t="s">
        <v>130</v>
      </c>
      <c r="AV276" s="13" t="s">
        <v>2067</v>
      </c>
      <c r="AW276" s="13">
        <v>28.0</v>
      </c>
      <c r="AX276" s="13">
        <v>-1.0</v>
      </c>
      <c r="AY276" s="13">
        <v>0.0</v>
      </c>
      <c r="AZ276" s="13" t="s">
        <v>2068</v>
      </c>
      <c r="BA276" s="13" t="s">
        <v>2069</v>
      </c>
      <c r="BB276" s="13"/>
      <c r="BC276" s="13"/>
      <c r="BD276" s="13" t="s">
        <v>230</v>
      </c>
      <c r="BE276" s="13"/>
      <c r="BF276" s="13" t="s">
        <v>2070</v>
      </c>
      <c r="BG276" s="13" t="s">
        <v>201</v>
      </c>
      <c r="BH276" s="13" t="s">
        <v>79</v>
      </c>
      <c r="BI276" s="13" t="b">
        <v>0</v>
      </c>
      <c r="BJ276" s="13">
        <v>0.0</v>
      </c>
      <c r="BK276" s="13">
        <v>0.0</v>
      </c>
    </row>
    <row r="277" ht="14.25" customHeight="1">
      <c r="A277" s="13">
        <v>275.0</v>
      </c>
      <c r="B277" s="13" t="s">
        <v>51</v>
      </c>
      <c r="C277" s="13">
        <v>4.0</v>
      </c>
      <c r="D277" s="14">
        <v>0.0</v>
      </c>
      <c r="E277" s="13" t="s">
        <v>2071</v>
      </c>
      <c r="F277" s="15"/>
      <c r="G277" s="16" t="s">
        <v>2072</v>
      </c>
      <c r="H277" s="13">
        <v>20.0</v>
      </c>
      <c r="I277" s="13">
        <v>0.9</v>
      </c>
      <c r="J277" s="13" t="s">
        <v>2073</v>
      </c>
      <c r="K277" s="13">
        <f t="shared" si="3"/>
        <v>2</v>
      </c>
      <c r="L277" s="13">
        <f t="shared" si="4"/>
        <v>2</v>
      </c>
      <c r="M277" s="13">
        <f t="shared" ref="M277:AA277" si="553">IFERROR(VALUE(RIGHT(LEFT($J277,FIND(M$1,$J277,1)+LEN(M$1)),1)),0)</f>
        <v>0</v>
      </c>
      <c r="N277" s="13">
        <f t="shared" si="553"/>
        <v>0</v>
      </c>
      <c r="O277" s="13">
        <f t="shared" si="553"/>
        <v>0</v>
      </c>
      <c r="P277" s="13">
        <f t="shared" si="553"/>
        <v>1</v>
      </c>
      <c r="Q277" s="13">
        <f t="shared" si="553"/>
        <v>0</v>
      </c>
      <c r="R277" s="13">
        <f t="shared" si="553"/>
        <v>0</v>
      </c>
      <c r="S277" s="13">
        <f t="shared" si="553"/>
        <v>0</v>
      </c>
      <c r="T277" s="13">
        <f t="shared" si="553"/>
        <v>0</v>
      </c>
      <c r="U277" s="13">
        <f t="shared" si="553"/>
        <v>0</v>
      </c>
      <c r="V277" s="13">
        <f t="shared" si="553"/>
        <v>0</v>
      </c>
      <c r="W277" s="13">
        <f t="shared" si="553"/>
        <v>0</v>
      </c>
      <c r="X277" s="13">
        <f t="shared" si="553"/>
        <v>0</v>
      </c>
      <c r="Y277" s="13">
        <f t="shared" si="553"/>
        <v>0</v>
      </c>
      <c r="Z277" s="13">
        <f t="shared" si="553"/>
        <v>1</v>
      </c>
      <c r="AA277" s="13">
        <f t="shared" si="553"/>
        <v>0</v>
      </c>
      <c r="AB277" s="13">
        <f t="shared" ref="AB277:AP277" si="554">IFERROR(VALUE(RIGHT(LEFT($J277,FIND(AB$1,$J277,IF(M277=0,1,FIND(AB$1,$J277,1)+1))+LEN(AB$1)),1)),0)</f>
        <v>0</v>
      </c>
      <c r="AC277" s="13">
        <f t="shared" si="554"/>
        <v>0</v>
      </c>
      <c r="AD277" s="13">
        <f t="shared" si="554"/>
        <v>0</v>
      </c>
      <c r="AE277" s="13">
        <f t="shared" si="554"/>
        <v>0</v>
      </c>
      <c r="AF277" s="13">
        <f t="shared" si="554"/>
        <v>0</v>
      </c>
      <c r="AG277" s="13">
        <f t="shared" si="554"/>
        <v>0</v>
      </c>
      <c r="AH277" s="13">
        <f t="shared" si="554"/>
        <v>0</v>
      </c>
      <c r="AI277" s="13">
        <f t="shared" si="554"/>
        <v>0</v>
      </c>
      <c r="AJ277" s="13">
        <f t="shared" si="554"/>
        <v>0</v>
      </c>
      <c r="AK277" s="13">
        <f t="shared" si="554"/>
        <v>0</v>
      </c>
      <c r="AL277" s="13">
        <f t="shared" si="554"/>
        <v>0</v>
      </c>
      <c r="AM277" s="13">
        <f t="shared" si="554"/>
        <v>0</v>
      </c>
      <c r="AN277" s="13">
        <f t="shared" si="554"/>
        <v>0</v>
      </c>
      <c r="AO277" s="13">
        <f t="shared" si="554"/>
        <v>2</v>
      </c>
      <c r="AP277" s="13">
        <f t="shared" si="554"/>
        <v>0</v>
      </c>
      <c r="AQ277" s="13"/>
      <c r="AR277" s="13" t="s">
        <v>2074</v>
      </c>
      <c r="AS277" s="13" t="s">
        <v>2075</v>
      </c>
      <c r="AT277" s="13" t="s">
        <v>1810</v>
      </c>
      <c r="AU277" s="13" t="s">
        <v>269</v>
      </c>
      <c r="AV277" s="13" t="s">
        <v>2076</v>
      </c>
      <c r="AW277" s="13">
        <v>24.0</v>
      </c>
      <c r="AX277" s="13">
        <v>-1.0</v>
      </c>
      <c r="AY277" s="13">
        <v>0.0</v>
      </c>
      <c r="AZ277" s="13" t="s">
        <v>2077</v>
      </c>
      <c r="BA277" s="13" t="s">
        <v>1657</v>
      </c>
      <c r="BB277" s="13"/>
      <c r="BC277" s="13"/>
      <c r="BD277" s="13" t="s">
        <v>789</v>
      </c>
      <c r="BE277" s="13"/>
      <c r="BF277" s="13" t="s">
        <v>2078</v>
      </c>
      <c r="BG277" s="13" t="s">
        <v>263</v>
      </c>
      <c r="BH277" s="13" t="s">
        <v>79</v>
      </c>
      <c r="BI277" s="13" t="b">
        <v>0</v>
      </c>
      <c r="BJ277" s="13">
        <v>0.0</v>
      </c>
      <c r="BK277" s="13">
        <v>0.0</v>
      </c>
    </row>
    <row r="278" ht="14.25" customHeight="1">
      <c r="A278" s="13">
        <v>276.0</v>
      </c>
      <c r="B278" s="13" t="s">
        <v>52</v>
      </c>
      <c r="C278" s="13">
        <v>4.0</v>
      </c>
      <c r="D278" s="14">
        <v>0.0</v>
      </c>
      <c r="E278" s="13" t="s">
        <v>2079</v>
      </c>
      <c r="F278" s="15"/>
      <c r="G278" s="16" t="s">
        <v>2080</v>
      </c>
      <c r="H278" s="13">
        <v>21.0</v>
      </c>
      <c r="I278" s="13">
        <v>1.1</v>
      </c>
      <c r="J278" s="13" t="s">
        <v>2081</v>
      </c>
      <c r="K278" s="13">
        <f t="shared" si="3"/>
        <v>2</v>
      </c>
      <c r="L278" s="13">
        <f t="shared" si="4"/>
        <v>2</v>
      </c>
      <c r="M278" s="13">
        <f t="shared" ref="M278:AA278" si="555">IFERROR(VALUE(RIGHT(LEFT($J278,FIND(M$1,$J278,1)+LEN(M$1)),1)),0)</f>
        <v>0</v>
      </c>
      <c r="N278" s="13">
        <f t="shared" si="555"/>
        <v>0</v>
      </c>
      <c r="O278" s="13">
        <f t="shared" si="555"/>
        <v>0</v>
      </c>
      <c r="P278" s="13">
        <f t="shared" si="555"/>
        <v>0</v>
      </c>
      <c r="Q278" s="13">
        <f t="shared" si="555"/>
        <v>0</v>
      </c>
      <c r="R278" s="13">
        <f t="shared" si="555"/>
        <v>0</v>
      </c>
      <c r="S278" s="13">
        <f t="shared" si="555"/>
        <v>0</v>
      </c>
      <c r="T278" s="13">
        <f t="shared" si="555"/>
        <v>0</v>
      </c>
      <c r="U278" s="13">
        <f t="shared" si="555"/>
        <v>0</v>
      </c>
      <c r="V278" s="13">
        <f t="shared" si="555"/>
        <v>0</v>
      </c>
      <c r="W278" s="13">
        <f t="shared" si="555"/>
        <v>0</v>
      </c>
      <c r="X278" s="13">
        <f t="shared" si="555"/>
        <v>0</v>
      </c>
      <c r="Y278" s="13">
        <f t="shared" si="555"/>
        <v>0</v>
      </c>
      <c r="Z278" s="13">
        <f t="shared" si="555"/>
        <v>0</v>
      </c>
      <c r="AA278" s="13">
        <f t="shared" si="555"/>
        <v>2</v>
      </c>
      <c r="AB278" s="13">
        <f t="shared" ref="AB278:AP278" si="556">IFERROR(VALUE(RIGHT(LEFT($J278,FIND(AB$1,$J278,IF(M278=0,1,FIND(AB$1,$J278,1)+1))+LEN(AB$1)),1)),0)</f>
        <v>0</v>
      </c>
      <c r="AC278" s="13">
        <f t="shared" si="556"/>
        <v>1</v>
      </c>
      <c r="AD278" s="13">
        <f t="shared" si="556"/>
        <v>0</v>
      </c>
      <c r="AE278" s="13">
        <f t="shared" si="556"/>
        <v>0</v>
      </c>
      <c r="AF278" s="13">
        <f t="shared" si="556"/>
        <v>0</v>
      </c>
      <c r="AG278" s="13">
        <f t="shared" si="556"/>
        <v>0</v>
      </c>
      <c r="AH278" s="13">
        <f t="shared" si="556"/>
        <v>0</v>
      </c>
      <c r="AI278" s="13">
        <f t="shared" si="556"/>
        <v>0</v>
      </c>
      <c r="AJ278" s="13">
        <f t="shared" si="556"/>
        <v>0</v>
      </c>
      <c r="AK278" s="13">
        <f t="shared" si="556"/>
        <v>0</v>
      </c>
      <c r="AL278" s="13">
        <f t="shared" si="556"/>
        <v>0</v>
      </c>
      <c r="AM278" s="13">
        <f t="shared" si="556"/>
        <v>0</v>
      </c>
      <c r="AN278" s="13">
        <f t="shared" si="556"/>
        <v>0</v>
      </c>
      <c r="AO278" s="13">
        <f t="shared" si="556"/>
        <v>0</v>
      </c>
      <c r="AP278" s="13">
        <f t="shared" si="556"/>
        <v>1</v>
      </c>
      <c r="AQ278" s="13"/>
      <c r="AR278" s="13" t="s">
        <v>2082</v>
      </c>
      <c r="AS278" s="13" t="s">
        <v>2083</v>
      </c>
      <c r="AT278" s="13" t="s">
        <v>2084</v>
      </c>
      <c r="AU278" s="13" t="s">
        <v>130</v>
      </c>
      <c r="AV278" s="13" t="s">
        <v>2085</v>
      </c>
      <c r="AW278" s="13">
        <v>24.0</v>
      </c>
      <c r="AX278" s="13">
        <v>-1.0</v>
      </c>
      <c r="AY278" s="13">
        <v>0.0</v>
      </c>
      <c r="AZ278" s="13" t="s">
        <v>2086</v>
      </c>
      <c r="BA278" s="13" t="s">
        <v>2087</v>
      </c>
      <c r="BB278" s="13"/>
      <c r="BC278" s="13"/>
      <c r="BD278" s="13" t="s">
        <v>294</v>
      </c>
      <c r="BE278" s="13" t="s">
        <v>2088</v>
      </c>
      <c r="BF278" s="13" t="s">
        <v>2089</v>
      </c>
      <c r="BG278" s="13"/>
      <c r="BH278" s="13" t="s">
        <v>79</v>
      </c>
      <c r="BI278" s="13" t="b">
        <v>0</v>
      </c>
      <c r="BJ278" s="13">
        <v>0.0</v>
      </c>
      <c r="BK278" s="13">
        <v>0.0</v>
      </c>
    </row>
    <row r="279" ht="14.25" customHeight="1">
      <c r="A279" s="13">
        <v>277.0</v>
      </c>
      <c r="B279" s="13" t="s">
        <v>52</v>
      </c>
      <c r="C279" s="13">
        <v>4.0</v>
      </c>
      <c r="D279" s="14">
        <v>0.0</v>
      </c>
      <c r="E279" s="13" t="s">
        <v>2090</v>
      </c>
      <c r="F279" s="15"/>
      <c r="G279" s="16" t="s">
        <v>2091</v>
      </c>
      <c r="H279" s="13">
        <v>16.0</v>
      </c>
      <c r="I279" s="13">
        <v>0.9</v>
      </c>
      <c r="J279" s="13" t="s">
        <v>2092</v>
      </c>
      <c r="K279" s="13">
        <f t="shared" si="3"/>
        <v>2</v>
      </c>
      <c r="L279" s="13">
        <f t="shared" si="4"/>
        <v>2</v>
      </c>
      <c r="M279" s="13">
        <f t="shared" ref="M279:AA279" si="557">IFERROR(VALUE(RIGHT(LEFT($J279,FIND(M$1,$J279,1)+LEN(M$1)),1)),0)</f>
        <v>0</v>
      </c>
      <c r="N279" s="13">
        <f t="shared" si="557"/>
        <v>1</v>
      </c>
      <c r="O279" s="13">
        <f t="shared" si="557"/>
        <v>0</v>
      </c>
      <c r="P279" s="13">
        <f t="shared" si="557"/>
        <v>0</v>
      </c>
      <c r="Q279" s="13">
        <f t="shared" si="557"/>
        <v>0</v>
      </c>
      <c r="R279" s="13">
        <f t="shared" si="557"/>
        <v>0</v>
      </c>
      <c r="S279" s="13">
        <f t="shared" si="557"/>
        <v>0</v>
      </c>
      <c r="T279" s="13">
        <f t="shared" si="557"/>
        <v>0</v>
      </c>
      <c r="U279" s="13">
        <f t="shared" si="557"/>
        <v>0</v>
      </c>
      <c r="V279" s="13">
        <f t="shared" si="557"/>
        <v>0</v>
      </c>
      <c r="W279" s="13">
        <f t="shared" si="557"/>
        <v>0</v>
      </c>
      <c r="X279" s="13">
        <f t="shared" si="557"/>
        <v>0</v>
      </c>
      <c r="Y279" s="13">
        <f t="shared" si="557"/>
        <v>0</v>
      </c>
      <c r="Z279" s="13">
        <f t="shared" si="557"/>
        <v>0</v>
      </c>
      <c r="AA279" s="13">
        <f t="shared" si="557"/>
        <v>1</v>
      </c>
      <c r="AB279" s="13">
        <f t="shared" ref="AB279:AP279" si="558">IFERROR(VALUE(RIGHT(LEFT($J279,FIND(AB$1,$J279,IF(M279=0,1,FIND(AB$1,$J279,1)+1))+LEN(AB$1)),1)),0)</f>
        <v>0</v>
      </c>
      <c r="AC279" s="13">
        <f t="shared" si="558"/>
        <v>0</v>
      </c>
      <c r="AD279" s="13">
        <f t="shared" si="558"/>
        <v>1</v>
      </c>
      <c r="AE279" s="13">
        <f t="shared" si="558"/>
        <v>0</v>
      </c>
      <c r="AF279" s="13">
        <f t="shared" si="558"/>
        <v>0</v>
      </c>
      <c r="AG279" s="13">
        <f t="shared" si="558"/>
        <v>0</v>
      </c>
      <c r="AH279" s="13">
        <f t="shared" si="558"/>
        <v>0</v>
      </c>
      <c r="AI279" s="13">
        <f t="shared" si="558"/>
        <v>0</v>
      </c>
      <c r="AJ279" s="13">
        <f t="shared" si="558"/>
        <v>0</v>
      </c>
      <c r="AK279" s="13">
        <f t="shared" si="558"/>
        <v>0</v>
      </c>
      <c r="AL279" s="13">
        <f t="shared" si="558"/>
        <v>0</v>
      </c>
      <c r="AM279" s="13">
        <f t="shared" si="558"/>
        <v>0</v>
      </c>
      <c r="AN279" s="13">
        <f t="shared" si="558"/>
        <v>0</v>
      </c>
      <c r="AO279" s="13">
        <f t="shared" si="558"/>
        <v>0</v>
      </c>
      <c r="AP279" s="13">
        <f t="shared" si="558"/>
        <v>1</v>
      </c>
      <c r="AQ279" s="13"/>
      <c r="AR279" s="13" t="s">
        <v>2093</v>
      </c>
      <c r="AS279" s="13" t="s">
        <v>2094</v>
      </c>
      <c r="AT279" s="13" t="s">
        <v>1876</v>
      </c>
      <c r="AU279" s="13" t="s">
        <v>130</v>
      </c>
      <c r="AV279" s="13" t="s">
        <v>2095</v>
      </c>
      <c r="AW279" s="13">
        <v>21.0</v>
      </c>
      <c r="AX279" s="13">
        <v>-1.0</v>
      </c>
      <c r="AY279" s="13">
        <v>0.0</v>
      </c>
      <c r="AZ279" s="13" t="s">
        <v>2096</v>
      </c>
      <c r="BA279" s="13" t="s">
        <v>2097</v>
      </c>
      <c r="BB279" s="13"/>
      <c r="BC279" s="13"/>
      <c r="BD279" s="13" t="s">
        <v>306</v>
      </c>
      <c r="BE279" s="13" t="s">
        <v>2098</v>
      </c>
      <c r="BF279" s="13" t="s">
        <v>2099</v>
      </c>
      <c r="BG279" s="13"/>
      <c r="BH279" s="13" t="s">
        <v>79</v>
      </c>
      <c r="BI279" s="13" t="b">
        <v>0</v>
      </c>
      <c r="BJ279" s="13">
        <v>0.0</v>
      </c>
      <c r="BK279" s="13">
        <v>0.0</v>
      </c>
    </row>
    <row r="280" ht="14.25" customHeight="1">
      <c r="A280" s="13">
        <v>278.0</v>
      </c>
      <c r="B280" s="13" t="s">
        <v>52</v>
      </c>
      <c r="C280" s="13">
        <v>4.0</v>
      </c>
      <c r="D280" s="14">
        <v>0.0</v>
      </c>
      <c r="E280" s="13" t="s">
        <v>2100</v>
      </c>
      <c r="F280" s="15"/>
      <c r="G280" s="16" t="s">
        <v>2101</v>
      </c>
      <c r="H280" s="13">
        <v>19.0</v>
      </c>
      <c r="I280" s="13">
        <v>1.0</v>
      </c>
      <c r="J280" s="13" t="s">
        <v>2102</v>
      </c>
      <c r="K280" s="13">
        <f t="shared" si="3"/>
        <v>2</v>
      </c>
      <c r="L280" s="13">
        <f t="shared" si="4"/>
        <v>2</v>
      </c>
      <c r="M280" s="13">
        <f t="shared" ref="M280:AA280" si="559">IFERROR(VALUE(RIGHT(LEFT($J280,FIND(M$1,$J280,1)+LEN(M$1)),1)),0)</f>
        <v>0</v>
      </c>
      <c r="N280" s="13">
        <f t="shared" si="559"/>
        <v>0</v>
      </c>
      <c r="O280" s="13">
        <f t="shared" si="559"/>
        <v>1</v>
      </c>
      <c r="P280" s="13">
        <f t="shared" si="559"/>
        <v>0</v>
      </c>
      <c r="Q280" s="13">
        <f t="shared" si="559"/>
        <v>0</v>
      </c>
      <c r="R280" s="13">
        <f t="shared" si="559"/>
        <v>0</v>
      </c>
      <c r="S280" s="13">
        <f t="shared" si="559"/>
        <v>0</v>
      </c>
      <c r="T280" s="13">
        <f t="shared" si="559"/>
        <v>0</v>
      </c>
      <c r="U280" s="13">
        <f t="shared" si="559"/>
        <v>0</v>
      </c>
      <c r="V280" s="13">
        <f t="shared" si="559"/>
        <v>0</v>
      </c>
      <c r="W280" s="13">
        <f t="shared" si="559"/>
        <v>0</v>
      </c>
      <c r="X280" s="13">
        <f t="shared" si="559"/>
        <v>0</v>
      </c>
      <c r="Y280" s="13">
        <f t="shared" si="559"/>
        <v>0</v>
      </c>
      <c r="Z280" s="13">
        <f t="shared" si="559"/>
        <v>0</v>
      </c>
      <c r="AA280" s="13">
        <f t="shared" si="559"/>
        <v>1</v>
      </c>
      <c r="AB280" s="13">
        <f t="shared" ref="AB280:AP280" si="560">IFERROR(VALUE(RIGHT(LEFT($J280,FIND(AB$1,$J280,IF(M280=0,1,FIND(AB$1,$J280,1)+1))+LEN(AB$1)),1)),0)</f>
        <v>0</v>
      </c>
      <c r="AC280" s="13">
        <f t="shared" si="560"/>
        <v>0</v>
      </c>
      <c r="AD280" s="13">
        <f t="shared" si="560"/>
        <v>0</v>
      </c>
      <c r="AE280" s="13">
        <f t="shared" si="560"/>
        <v>0</v>
      </c>
      <c r="AF280" s="13">
        <f t="shared" si="560"/>
        <v>0</v>
      </c>
      <c r="AG280" s="13">
        <f t="shared" si="560"/>
        <v>0</v>
      </c>
      <c r="AH280" s="13">
        <f t="shared" si="560"/>
        <v>0</v>
      </c>
      <c r="AI280" s="13">
        <f t="shared" si="560"/>
        <v>0</v>
      </c>
      <c r="AJ280" s="13">
        <f t="shared" si="560"/>
        <v>0</v>
      </c>
      <c r="AK280" s="13">
        <f t="shared" si="560"/>
        <v>0</v>
      </c>
      <c r="AL280" s="13">
        <f t="shared" si="560"/>
        <v>0</v>
      </c>
      <c r="AM280" s="13">
        <f t="shared" si="560"/>
        <v>0</v>
      </c>
      <c r="AN280" s="13">
        <f t="shared" si="560"/>
        <v>0</v>
      </c>
      <c r="AO280" s="13">
        <f t="shared" si="560"/>
        <v>0</v>
      </c>
      <c r="AP280" s="13">
        <f t="shared" si="560"/>
        <v>2</v>
      </c>
      <c r="AQ280" s="13"/>
      <c r="AR280" s="13" t="s">
        <v>2103</v>
      </c>
      <c r="AS280" s="13" t="s">
        <v>2104</v>
      </c>
      <c r="AT280" s="13" t="s">
        <v>863</v>
      </c>
      <c r="AU280" s="13" t="s">
        <v>130</v>
      </c>
      <c r="AV280" s="13" t="s">
        <v>2105</v>
      </c>
      <c r="AW280" s="13">
        <v>23.0</v>
      </c>
      <c r="AX280" s="13">
        <v>-1.0</v>
      </c>
      <c r="AY280" s="13">
        <v>0.0</v>
      </c>
      <c r="AZ280" s="13" t="s">
        <v>2106</v>
      </c>
      <c r="BA280" s="13" t="s">
        <v>2107</v>
      </c>
      <c r="BB280" s="13"/>
      <c r="BC280" s="13"/>
      <c r="BD280" s="13" t="s">
        <v>306</v>
      </c>
      <c r="BE280" s="13" t="s">
        <v>2108</v>
      </c>
      <c r="BF280" s="13" t="s">
        <v>2109</v>
      </c>
      <c r="BG280" s="13"/>
      <c r="BH280" s="13" t="s">
        <v>79</v>
      </c>
      <c r="BI280" s="13" t="b">
        <v>0</v>
      </c>
      <c r="BJ280" s="13">
        <v>0.0</v>
      </c>
      <c r="BK280" s="13">
        <v>0.0</v>
      </c>
    </row>
    <row r="281" ht="14.25" customHeight="1">
      <c r="A281" s="13">
        <v>279.0</v>
      </c>
      <c r="B281" s="13" t="s">
        <v>44</v>
      </c>
      <c r="C281" s="13">
        <v>5.0</v>
      </c>
      <c r="D281" s="14">
        <v>0.0</v>
      </c>
      <c r="E281" s="13" t="s">
        <v>2110</v>
      </c>
      <c r="F281" s="15"/>
      <c r="G281" s="16" t="s">
        <v>2111</v>
      </c>
      <c r="H281" s="13"/>
      <c r="I281" s="13">
        <v>1.1</v>
      </c>
      <c r="J281" s="13" t="s">
        <v>2112</v>
      </c>
      <c r="K281" s="13">
        <f t="shared" si="3"/>
        <v>3</v>
      </c>
      <c r="L281" s="13">
        <f t="shared" si="4"/>
        <v>2</v>
      </c>
      <c r="M281" s="13">
        <f t="shared" ref="M281:AA281" si="561">IFERROR(VALUE(RIGHT(LEFT($J281,FIND(M$1,$J281,1)+LEN(M$1)),1)),0)</f>
        <v>0</v>
      </c>
      <c r="N281" s="13">
        <f t="shared" si="561"/>
        <v>0</v>
      </c>
      <c r="O281" s="13">
        <f t="shared" si="561"/>
        <v>0</v>
      </c>
      <c r="P281" s="13">
        <f t="shared" si="561"/>
        <v>0</v>
      </c>
      <c r="Q281" s="13">
        <f t="shared" si="561"/>
        <v>0</v>
      </c>
      <c r="R281" s="13">
        <f t="shared" si="561"/>
        <v>0</v>
      </c>
      <c r="S281" s="13">
        <f t="shared" si="561"/>
        <v>2</v>
      </c>
      <c r="T281" s="13">
        <f t="shared" si="561"/>
        <v>0</v>
      </c>
      <c r="U281" s="13">
        <f t="shared" si="561"/>
        <v>1</v>
      </c>
      <c r="V281" s="13">
        <f t="shared" si="561"/>
        <v>0</v>
      </c>
      <c r="W281" s="13">
        <f t="shared" si="561"/>
        <v>0</v>
      </c>
      <c r="X281" s="13">
        <f t="shared" si="561"/>
        <v>0</v>
      </c>
      <c r="Y281" s="13">
        <f t="shared" si="561"/>
        <v>0</v>
      </c>
      <c r="Z281" s="13">
        <f t="shared" si="561"/>
        <v>0</v>
      </c>
      <c r="AA281" s="13">
        <f t="shared" si="561"/>
        <v>0</v>
      </c>
      <c r="AB281" s="13">
        <f t="shared" ref="AB281:AP281" si="562">IFERROR(VALUE(RIGHT(LEFT($J281,FIND(AB$1,$J281,IF(M281=0,1,FIND(AB$1,$J281,1)+1))+LEN(AB$1)),1)),0)</f>
        <v>0</v>
      </c>
      <c r="AC281" s="13">
        <f t="shared" si="562"/>
        <v>0</v>
      </c>
      <c r="AD281" s="13">
        <f t="shared" si="562"/>
        <v>1</v>
      </c>
      <c r="AE281" s="13">
        <f t="shared" si="562"/>
        <v>0</v>
      </c>
      <c r="AF281" s="13">
        <f t="shared" si="562"/>
        <v>0</v>
      </c>
      <c r="AG281" s="13">
        <f t="shared" si="562"/>
        <v>1</v>
      </c>
      <c r="AH281" s="13">
        <f t="shared" si="562"/>
        <v>0</v>
      </c>
      <c r="AI281" s="13">
        <f t="shared" si="562"/>
        <v>0</v>
      </c>
      <c r="AJ281" s="13">
        <f t="shared" si="562"/>
        <v>0</v>
      </c>
      <c r="AK281" s="13">
        <f t="shared" si="562"/>
        <v>0</v>
      </c>
      <c r="AL281" s="13">
        <f t="shared" si="562"/>
        <v>0</v>
      </c>
      <c r="AM281" s="13">
        <f t="shared" si="562"/>
        <v>0</v>
      </c>
      <c r="AN281" s="13">
        <f t="shared" si="562"/>
        <v>0</v>
      </c>
      <c r="AO281" s="13">
        <f t="shared" si="562"/>
        <v>0</v>
      </c>
      <c r="AP281" s="13">
        <f t="shared" si="562"/>
        <v>0</v>
      </c>
      <c r="AQ281" s="13" t="s">
        <v>2113</v>
      </c>
      <c r="AR281" s="13"/>
      <c r="AS281" s="13" t="s">
        <v>2114</v>
      </c>
      <c r="AT281" s="13"/>
      <c r="AU281" s="13"/>
      <c r="AV281" s="13"/>
      <c r="AW281" s="13">
        <v>0.0</v>
      </c>
      <c r="AX281" s="13">
        <v>-1.0</v>
      </c>
      <c r="AY281" s="13">
        <v>0.0</v>
      </c>
      <c r="AZ281" s="13"/>
      <c r="BA281" s="13"/>
      <c r="BB281" s="13"/>
      <c r="BC281" s="13"/>
      <c r="BD281" s="13"/>
      <c r="BE281" s="13"/>
      <c r="BF281" s="13"/>
      <c r="BG281" s="13"/>
      <c r="BH281" s="13" t="s">
        <v>79</v>
      </c>
      <c r="BI281" s="13" t="b">
        <v>0</v>
      </c>
      <c r="BJ281" s="13">
        <v>0.0</v>
      </c>
      <c r="BK281" s="13">
        <v>0.0</v>
      </c>
    </row>
    <row r="282" ht="14.25" customHeight="1">
      <c r="A282" s="13">
        <v>280.0</v>
      </c>
      <c r="B282" s="13" t="s">
        <v>45</v>
      </c>
      <c r="C282" s="13">
        <v>5.0</v>
      </c>
      <c r="D282" s="14">
        <v>0.0</v>
      </c>
      <c r="E282" s="13" t="s">
        <v>2115</v>
      </c>
      <c r="F282" s="15"/>
      <c r="G282" s="16" t="s">
        <v>2116</v>
      </c>
      <c r="H282" s="13"/>
      <c r="I282" s="13">
        <v>1.0</v>
      </c>
      <c r="J282" s="13" t="s">
        <v>2117</v>
      </c>
      <c r="K282" s="13">
        <f t="shared" si="3"/>
        <v>3</v>
      </c>
      <c r="L282" s="13">
        <f t="shared" si="4"/>
        <v>2</v>
      </c>
      <c r="M282" s="13">
        <f t="shared" ref="M282:AA282" si="563">IFERROR(VALUE(RIGHT(LEFT($J282,FIND(M$1,$J282,1)+LEN(M$1)),1)),0)</f>
        <v>0</v>
      </c>
      <c r="N282" s="13">
        <f t="shared" si="563"/>
        <v>0</v>
      </c>
      <c r="O282" s="13">
        <f t="shared" si="563"/>
        <v>0</v>
      </c>
      <c r="P282" s="13">
        <f t="shared" si="563"/>
        <v>0</v>
      </c>
      <c r="Q282" s="13">
        <f t="shared" si="563"/>
        <v>0</v>
      </c>
      <c r="R282" s="13">
        <f t="shared" si="563"/>
        <v>0</v>
      </c>
      <c r="S282" s="13">
        <f t="shared" si="563"/>
        <v>1</v>
      </c>
      <c r="T282" s="13">
        <f t="shared" si="563"/>
        <v>2</v>
      </c>
      <c r="U282" s="13">
        <f t="shared" si="563"/>
        <v>0</v>
      </c>
      <c r="V282" s="13">
        <f t="shared" si="563"/>
        <v>0</v>
      </c>
      <c r="W282" s="13">
        <f t="shared" si="563"/>
        <v>0</v>
      </c>
      <c r="X282" s="13">
        <f t="shared" si="563"/>
        <v>0</v>
      </c>
      <c r="Y282" s="13">
        <f t="shared" si="563"/>
        <v>0</v>
      </c>
      <c r="Z282" s="13">
        <f t="shared" si="563"/>
        <v>0</v>
      </c>
      <c r="AA282" s="13">
        <f t="shared" si="563"/>
        <v>0</v>
      </c>
      <c r="AB282" s="13">
        <f t="shared" ref="AB282:AP282" si="564">IFERROR(VALUE(RIGHT(LEFT($J282,FIND(AB$1,$J282,IF(M282=0,1,FIND(AB$1,$J282,1)+1))+LEN(AB$1)),1)),0)</f>
        <v>0</v>
      </c>
      <c r="AC282" s="13">
        <f t="shared" si="564"/>
        <v>1</v>
      </c>
      <c r="AD282" s="13">
        <f t="shared" si="564"/>
        <v>0</v>
      </c>
      <c r="AE282" s="13">
        <f t="shared" si="564"/>
        <v>1</v>
      </c>
      <c r="AF282" s="13">
        <f t="shared" si="564"/>
        <v>0</v>
      </c>
      <c r="AG282" s="13">
        <f t="shared" si="564"/>
        <v>0</v>
      </c>
      <c r="AH282" s="13">
        <f t="shared" si="564"/>
        <v>0</v>
      </c>
      <c r="AI282" s="13">
        <f t="shared" si="564"/>
        <v>0</v>
      </c>
      <c r="AJ282" s="13">
        <f t="shared" si="564"/>
        <v>0</v>
      </c>
      <c r="AK282" s="13">
        <f t="shared" si="564"/>
        <v>0</v>
      </c>
      <c r="AL282" s="13">
        <f t="shared" si="564"/>
        <v>0</v>
      </c>
      <c r="AM282" s="13">
        <f t="shared" si="564"/>
        <v>0</v>
      </c>
      <c r="AN282" s="13">
        <f t="shared" si="564"/>
        <v>0</v>
      </c>
      <c r="AO282" s="13">
        <f t="shared" si="564"/>
        <v>0</v>
      </c>
      <c r="AP282" s="13">
        <f t="shared" si="564"/>
        <v>0</v>
      </c>
      <c r="AQ282" s="13" t="s">
        <v>2118</v>
      </c>
      <c r="AR282" s="13"/>
      <c r="AS282" s="13" t="s">
        <v>2119</v>
      </c>
      <c r="AT282" s="13"/>
      <c r="AU282" s="13"/>
      <c r="AV282" s="13"/>
      <c r="AW282" s="13">
        <v>0.0</v>
      </c>
      <c r="AX282" s="13">
        <v>-1.0</v>
      </c>
      <c r="AY282" s="13">
        <v>0.0</v>
      </c>
      <c r="AZ282" s="13"/>
      <c r="BA282" s="13"/>
      <c r="BB282" s="13"/>
      <c r="BC282" s="13"/>
      <c r="BD282" s="13"/>
      <c r="BE282" s="13"/>
      <c r="BF282" s="13"/>
      <c r="BG282" s="13"/>
      <c r="BH282" s="13" t="s">
        <v>79</v>
      </c>
      <c r="BI282" s="13" t="b">
        <v>0</v>
      </c>
      <c r="BJ282" s="13">
        <v>0.0</v>
      </c>
      <c r="BK282" s="13">
        <v>0.0</v>
      </c>
    </row>
    <row r="283" ht="14.25" customHeight="1">
      <c r="A283" s="13">
        <v>281.0</v>
      </c>
      <c r="B283" s="13" t="s">
        <v>46</v>
      </c>
      <c r="C283" s="13">
        <v>5.0</v>
      </c>
      <c r="D283" s="14">
        <v>0.0</v>
      </c>
      <c r="E283" s="13" t="s">
        <v>2120</v>
      </c>
      <c r="F283" s="15"/>
      <c r="G283" s="16" t="s">
        <v>2121</v>
      </c>
      <c r="H283" s="13"/>
      <c r="I283" s="13">
        <v>1.0</v>
      </c>
      <c r="J283" s="13" t="s">
        <v>2122</v>
      </c>
      <c r="K283" s="13">
        <f t="shared" si="3"/>
        <v>3</v>
      </c>
      <c r="L283" s="13">
        <f t="shared" si="4"/>
        <v>2</v>
      </c>
      <c r="M283" s="13">
        <f t="shared" ref="M283:AA283" si="565">IFERROR(VALUE(RIGHT(LEFT($J283,FIND(M$1,$J283,1)+LEN(M$1)),1)),0)</f>
        <v>0</v>
      </c>
      <c r="N283" s="13">
        <f t="shared" si="565"/>
        <v>0</v>
      </c>
      <c r="O283" s="13">
        <f t="shared" si="565"/>
        <v>0</v>
      </c>
      <c r="P283" s="13">
        <f t="shared" si="565"/>
        <v>0</v>
      </c>
      <c r="Q283" s="13">
        <f t="shared" si="565"/>
        <v>0</v>
      </c>
      <c r="R283" s="13">
        <f t="shared" si="565"/>
        <v>0</v>
      </c>
      <c r="S283" s="13">
        <f t="shared" si="565"/>
        <v>0</v>
      </c>
      <c r="T283" s="13">
        <f t="shared" si="565"/>
        <v>1</v>
      </c>
      <c r="U283" s="13">
        <f t="shared" si="565"/>
        <v>2</v>
      </c>
      <c r="V283" s="13">
        <f t="shared" si="565"/>
        <v>0</v>
      </c>
      <c r="W283" s="13">
        <f t="shared" si="565"/>
        <v>0</v>
      </c>
      <c r="X283" s="13">
        <f t="shared" si="565"/>
        <v>0</v>
      </c>
      <c r="Y283" s="13">
        <f t="shared" si="565"/>
        <v>0</v>
      </c>
      <c r="Z283" s="13">
        <f t="shared" si="565"/>
        <v>0</v>
      </c>
      <c r="AA283" s="13">
        <f t="shared" si="565"/>
        <v>0</v>
      </c>
      <c r="AB283" s="13">
        <f t="shared" ref="AB283:AP283" si="566">IFERROR(VALUE(RIGHT(LEFT($J283,FIND(AB$1,$J283,IF(M283=0,1,FIND(AB$1,$J283,1)+1))+LEN(AB$1)),1)),0)</f>
        <v>1</v>
      </c>
      <c r="AC283" s="13">
        <f t="shared" si="566"/>
        <v>0</v>
      </c>
      <c r="AD283" s="13">
        <f t="shared" si="566"/>
        <v>0</v>
      </c>
      <c r="AE283" s="13">
        <f t="shared" si="566"/>
        <v>0</v>
      </c>
      <c r="AF283" s="13">
        <f t="shared" si="566"/>
        <v>1</v>
      </c>
      <c r="AG283" s="13">
        <f t="shared" si="566"/>
        <v>0</v>
      </c>
      <c r="AH283" s="13">
        <f t="shared" si="566"/>
        <v>0</v>
      </c>
      <c r="AI283" s="13">
        <f t="shared" si="566"/>
        <v>0</v>
      </c>
      <c r="AJ283" s="13">
        <f t="shared" si="566"/>
        <v>0</v>
      </c>
      <c r="AK283" s="13">
        <f t="shared" si="566"/>
        <v>0</v>
      </c>
      <c r="AL283" s="13">
        <f t="shared" si="566"/>
        <v>0</v>
      </c>
      <c r="AM283" s="13">
        <f t="shared" si="566"/>
        <v>0</v>
      </c>
      <c r="AN283" s="13">
        <f t="shared" si="566"/>
        <v>0</v>
      </c>
      <c r="AO283" s="13">
        <f t="shared" si="566"/>
        <v>0</v>
      </c>
      <c r="AP283" s="13">
        <f t="shared" si="566"/>
        <v>0</v>
      </c>
      <c r="AQ283" s="13" t="s">
        <v>2123</v>
      </c>
      <c r="AR283" s="13"/>
      <c r="AS283" s="13" t="s">
        <v>2124</v>
      </c>
      <c r="AT283" s="13"/>
      <c r="AU283" s="13"/>
      <c r="AV283" s="13"/>
      <c r="AW283" s="13">
        <v>0.0</v>
      </c>
      <c r="AX283" s="13">
        <v>-1.0</v>
      </c>
      <c r="AY283" s="13">
        <v>0.0</v>
      </c>
      <c r="AZ283" s="13"/>
      <c r="BA283" s="13"/>
      <c r="BB283" s="13"/>
      <c r="BC283" s="13"/>
      <c r="BD283" s="13"/>
      <c r="BE283" s="13"/>
      <c r="BF283" s="13"/>
      <c r="BG283" s="13"/>
      <c r="BH283" s="13" t="s">
        <v>79</v>
      </c>
      <c r="BI283" s="13" t="b">
        <v>0</v>
      </c>
      <c r="BJ283" s="13">
        <v>0.0</v>
      </c>
      <c r="BK283" s="13">
        <v>0.0</v>
      </c>
    </row>
    <row r="284" ht="14.25" customHeight="1">
      <c r="A284" s="13">
        <v>282.0</v>
      </c>
      <c r="B284" s="13" t="s">
        <v>47</v>
      </c>
      <c r="C284" s="13">
        <v>5.0</v>
      </c>
      <c r="D284" s="14">
        <v>0.0</v>
      </c>
      <c r="E284" s="13" t="s">
        <v>2125</v>
      </c>
      <c r="F284" s="15"/>
      <c r="G284" s="16" t="s">
        <v>2126</v>
      </c>
      <c r="H284" s="13">
        <v>24.0</v>
      </c>
      <c r="I284" s="13">
        <v>0.9</v>
      </c>
      <c r="J284" s="13" t="s">
        <v>2127</v>
      </c>
      <c r="K284" s="13">
        <f t="shared" si="3"/>
        <v>3</v>
      </c>
      <c r="L284" s="13">
        <f t="shared" si="4"/>
        <v>2</v>
      </c>
      <c r="M284" s="13">
        <f t="shared" ref="M284:AA284" si="567">IFERROR(VALUE(RIGHT(LEFT($J284,FIND(M$1,$J284,1)+LEN(M$1)),1)),0)</f>
        <v>0</v>
      </c>
      <c r="N284" s="13">
        <f t="shared" si="567"/>
        <v>0</v>
      </c>
      <c r="O284" s="13">
        <f t="shared" si="567"/>
        <v>0</v>
      </c>
      <c r="P284" s="13">
        <f t="shared" si="567"/>
        <v>0</v>
      </c>
      <c r="Q284" s="13">
        <f t="shared" si="567"/>
        <v>0</v>
      </c>
      <c r="R284" s="13">
        <f t="shared" si="567"/>
        <v>1</v>
      </c>
      <c r="S284" s="13">
        <f t="shared" si="567"/>
        <v>0</v>
      </c>
      <c r="T284" s="13">
        <f t="shared" si="567"/>
        <v>0</v>
      </c>
      <c r="U284" s="13">
        <f t="shared" si="567"/>
        <v>0</v>
      </c>
      <c r="V284" s="13">
        <f t="shared" si="567"/>
        <v>2</v>
      </c>
      <c r="W284" s="13">
        <f t="shared" si="567"/>
        <v>0</v>
      </c>
      <c r="X284" s="13">
        <f t="shared" si="567"/>
        <v>0</v>
      </c>
      <c r="Y284" s="13">
        <f t="shared" si="567"/>
        <v>0</v>
      </c>
      <c r="Z284" s="13">
        <f t="shared" si="567"/>
        <v>0</v>
      </c>
      <c r="AA284" s="13">
        <f t="shared" si="567"/>
        <v>0</v>
      </c>
      <c r="AB284" s="13">
        <f t="shared" ref="AB284:AP284" si="568">IFERROR(VALUE(RIGHT(LEFT($J284,FIND(AB$1,$J284,IF(M284=0,1,FIND(AB$1,$J284,1)+1))+LEN(AB$1)),1)),0)</f>
        <v>0</v>
      </c>
      <c r="AC284" s="13">
        <f t="shared" si="568"/>
        <v>0</v>
      </c>
      <c r="AD284" s="13">
        <f t="shared" si="568"/>
        <v>0</v>
      </c>
      <c r="AE284" s="13">
        <f t="shared" si="568"/>
        <v>0</v>
      </c>
      <c r="AF284" s="13">
        <f t="shared" si="568"/>
        <v>0</v>
      </c>
      <c r="AG284" s="13">
        <f t="shared" si="568"/>
        <v>2</v>
      </c>
      <c r="AH284" s="13">
        <f t="shared" si="568"/>
        <v>0</v>
      </c>
      <c r="AI284" s="13">
        <f t="shared" si="568"/>
        <v>0</v>
      </c>
      <c r="AJ284" s="13">
        <f t="shared" si="568"/>
        <v>0</v>
      </c>
      <c r="AK284" s="13">
        <f t="shared" si="568"/>
        <v>0</v>
      </c>
      <c r="AL284" s="13">
        <f t="shared" si="568"/>
        <v>0</v>
      </c>
      <c r="AM284" s="13">
        <f t="shared" si="568"/>
        <v>0</v>
      </c>
      <c r="AN284" s="13">
        <f t="shared" si="568"/>
        <v>0</v>
      </c>
      <c r="AO284" s="13">
        <f t="shared" si="568"/>
        <v>0</v>
      </c>
      <c r="AP284" s="13">
        <f t="shared" si="568"/>
        <v>0</v>
      </c>
      <c r="AQ284" s="13"/>
      <c r="AR284" s="13" t="s">
        <v>2128</v>
      </c>
      <c r="AS284" s="13" t="s">
        <v>2129</v>
      </c>
      <c r="AT284" s="13" t="s">
        <v>1554</v>
      </c>
      <c r="AU284" s="13" t="s">
        <v>803</v>
      </c>
      <c r="AV284" s="13" t="s">
        <v>2130</v>
      </c>
      <c r="AW284" s="13">
        <v>29.0</v>
      </c>
      <c r="AX284" s="13">
        <v>-1.0</v>
      </c>
      <c r="AY284" s="13">
        <v>0.0</v>
      </c>
      <c r="AZ284" s="13" t="s">
        <v>2131</v>
      </c>
      <c r="BA284" s="13" t="s">
        <v>2132</v>
      </c>
      <c r="BB284" s="13"/>
      <c r="BC284" s="13"/>
      <c r="BD284" s="13" t="s">
        <v>134</v>
      </c>
      <c r="BE284" s="13"/>
      <c r="BF284" s="13" t="s">
        <v>2133</v>
      </c>
      <c r="BG284" s="13" t="s">
        <v>136</v>
      </c>
      <c r="BH284" s="13" t="s">
        <v>79</v>
      </c>
      <c r="BI284" s="13" t="b">
        <v>0</v>
      </c>
      <c r="BJ284" s="13">
        <v>0.0</v>
      </c>
      <c r="BK284" s="13">
        <v>0.0</v>
      </c>
    </row>
    <row r="285" ht="14.25" customHeight="1">
      <c r="A285" s="13">
        <v>283.0</v>
      </c>
      <c r="B285" s="13" t="s">
        <v>48</v>
      </c>
      <c r="C285" s="13">
        <v>5.0</v>
      </c>
      <c r="D285" s="14">
        <v>0.0</v>
      </c>
      <c r="E285" s="13" t="s">
        <v>2134</v>
      </c>
      <c r="F285" s="15"/>
      <c r="G285" s="16" t="s">
        <v>2135</v>
      </c>
      <c r="H285" s="13">
        <v>25.0</v>
      </c>
      <c r="I285" s="13">
        <v>1.1</v>
      </c>
      <c r="J285" s="13" t="s">
        <v>2136</v>
      </c>
      <c r="K285" s="13">
        <f t="shared" si="3"/>
        <v>3</v>
      </c>
      <c r="L285" s="13">
        <f t="shared" si="4"/>
        <v>2</v>
      </c>
      <c r="M285" s="13">
        <f t="shared" ref="M285:AA285" si="569">IFERROR(VALUE(RIGHT(LEFT($J285,FIND(M$1,$J285,1)+LEN(M$1)),1)),0)</f>
        <v>0</v>
      </c>
      <c r="N285" s="13">
        <f t="shared" si="569"/>
        <v>1</v>
      </c>
      <c r="O285" s="13">
        <f t="shared" si="569"/>
        <v>0</v>
      </c>
      <c r="P285" s="13">
        <f t="shared" si="569"/>
        <v>0</v>
      </c>
      <c r="Q285" s="13">
        <f t="shared" si="569"/>
        <v>0</v>
      </c>
      <c r="R285" s="13">
        <f t="shared" si="569"/>
        <v>0</v>
      </c>
      <c r="S285" s="13">
        <f t="shared" si="569"/>
        <v>0</v>
      </c>
      <c r="T285" s="13">
        <f t="shared" si="569"/>
        <v>0</v>
      </c>
      <c r="U285" s="13">
        <f t="shared" si="569"/>
        <v>0</v>
      </c>
      <c r="V285" s="13">
        <f t="shared" si="569"/>
        <v>0</v>
      </c>
      <c r="W285" s="13">
        <f t="shared" si="569"/>
        <v>2</v>
      </c>
      <c r="X285" s="13">
        <f t="shared" si="569"/>
        <v>0</v>
      </c>
      <c r="Y285" s="13">
        <f t="shared" si="569"/>
        <v>0</v>
      </c>
      <c r="Z285" s="13">
        <f t="shared" si="569"/>
        <v>0</v>
      </c>
      <c r="AA285" s="13">
        <f t="shared" si="569"/>
        <v>0</v>
      </c>
      <c r="AB285" s="13">
        <f t="shared" ref="AB285:AP285" si="570">IFERROR(VALUE(RIGHT(LEFT($J285,FIND(AB$1,$J285,IF(M285=0,1,FIND(AB$1,$J285,1)+1))+LEN(AB$1)),1)),0)</f>
        <v>0</v>
      </c>
      <c r="AC285" s="13">
        <f t="shared" si="570"/>
        <v>2</v>
      </c>
      <c r="AD285" s="13">
        <f t="shared" si="570"/>
        <v>0</v>
      </c>
      <c r="AE285" s="13">
        <f t="shared" si="570"/>
        <v>0</v>
      </c>
      <c r="AF285" s="13">
        <f t="shared" si="570"/>
        <v>0</v>
      </c>
      <c r="AG285" s="13">
        <f t="shared" si="570"/>
        <v>0</v>
      </c>
      <c r="AH285" s="13">
        <f t="shared" si="570"/>
        <v>0</v>
      </c>
      <c r="AI285" s="13">
        <f t="shared" si="570"/>
        <v>0</v>
      </c>
      <c r="AJ285" s="13">
        <f t="shared" si="570"/>
        <v>0</v>
      </c>
      <c r="AK285" s="13">
        <f t="shared" si="570"/>
        <v>0</v>
      </c>
      <c r="AL285" s="13">
        <f t="shared" si="570"/>
        <v>0</v>
      </c>
      <c r="AM285" s="13">
        <f t="shared" si="570"/>
        <v>0</v>
      </c>
      <c r="AN285" s="13">
        <f t="shared" si="570"/>
        <v>0</v>
      </c>
      <c r="AO285" s="13">
        <f t="shared" si="570"/>
        <v>0</v>
      </c>
      <c r="AP285" s="13">
        <f t="shared" si="570"/>
        <v>0</v>
      </c>
      <c r="AQ285" s="13"/>
      <c r="AR285" s="13" t="s">
        <v>2137</v>
      </c>
      <c r="AS285" s="13" t="s">
        <v>2138</v>
      </c>
      <c r="AT285" s="13" t="s">
        <v>1221</v>
      </c>
      <c r="AU285" s="13" t="s">
        <v>143</v>
      </c>
      <c r="AV285" s="13" t="s">
        <v>2139</v>
      </c>
      <c r="AW285" s="13">
        <v>32.0</v>
      </c>
      <c r="AX285" s="13">
        <v>-1.0</v>
      </c>
      <c r="AY285" s="13">
        <v>0.0</v>
      </c>
      <c r="AZ285" s="13" t="s">
        <v>2140</v>
      </c>
      <c r="BA285" s="13" t="s">
        <v>2141</v>
      </c>
      <c r="BB285" s="13"/>
      <c r="BC285" s="13"/>
      <c r="BD285" s="13" t="s">
        <v>179</v>
      </c>
      <c r="BE285" s="13"/>
      <c r="BF285" s="13" t="s">
        <v>2142</v>
      </c>
      <c r="BG285" s="13" t="s">
        <v>169</v>
      </c>
      <c r="BH285" s="13" t="s">
        <v>79</v>
      </c>
      <c r="BI285" s="13" t="b">
        <v>0</v>
      </c>
      <c r="BJ285" s="13">
        <v>0.0</v>
      </c>
      <c r="BK285" s="13">
        <v>0.0</v>
      </c>
    </row>
    <row r="286" ht="14.25" customHeight="1">
      <c r="A286" s="13">
        <v>284.0</v>
      </c>
      <c r="B286" s="13" t="s">
        <v>49</v>
      </c>
      <c r="C286" s="13">
        <v>5.0</v>
      </c>
      <c r="D286" s="14">
        <v>0.0</v>
      </c>
      <c r="E286" s="13" t="s">
        <v>2143</v>
      </c>
      <c r="F286" s="15"/>
      <c r="G286" s="16" t="s">
        <v>2144</v>
      </c>
      <c r="H286" s="13">
        <v>26.0</v>
      </c>
      <c r="I286" s="13">
        <v>1.1</v>
      </c>
      <c r="J286" s="13" t="s">
        <v>2145</v>
      </c>
      <c r="K286" s="13">
        <f t="shared" si="3"/>
        <v>3</v>
      </c>
      <c r="L286" s="13">
        <f t="shared" si="4"/>
        <v>2</v>
      </c>
      <c r="M286" s="13">
        <f t="shared" ref="M286:AA286" si="571">IFERROR(VALUE(RIGHT(LEFT($J286,FIND(M$1,$J286,1)+LEN(M$1)),1)),0)</f>
        <v>1</v>
      </c>
      <c r="N286" s="13">
        <f t="shared" si="571"/>
        <v>0</v>
      </c>
      <c r="O286" s="13">
        <f t="shared" si="571"/>
        <v>0</v>
      </c>
      <c r="P286" s="13">
        <f t="shared" si="571"/>
        <v>0</v>
      </c>
      <c r="Q286" s="13">
        <f t="shared" si="571"/>
        <v>0</v>
      </c>
      <c r="R286" s="13">
        <f t="shared" si="571"/>
        <v>0</v>
      </c>
      <c r="S286" s="13">
        <f t="shared" si="571"/>
        <v>0</v>
      </c>
      <c r="T286" s="13">
        <f t="shared" si="571"/>
        <v>0</v>
      </c>
      <c r="U286" s="13">
        <f t="shared" si="571"/>
        <v>0</v>
      </c>
      <c r="V286" s="13">
        <f t="shared" si="571"/>
        <v>0</v>
      </c>
      <c r="W286" s="13">
        <f t="shared" si="571"/>
        <v>0</v>
      </c>
      <c r="X286" s="13">
        <f t="shared" si="571"/>
        <v>2</v>
      </c>
      <c r="Y286" s="13">
        <f t="shared" si="571"/>
        <v>0</v>
      </c>
      <c r="Z286" s="13">
        <f t="shared" si="571"/>
        <v>0</v>
      </c>
      <c r="AA286" s="13">
        <f t="shared" si="571"/>
        <v>0</v>
      </c>
      <c r="AB286" s="13">
        <f t="shared" ref="AB286:AP286" si="572">IFERROR(VALUE(RIGHT(LEFT($J286,FIND(AB$1,$J286,IF(M286=0,1,FIND(AB$1,$J286,1)+1))+LEN(AB$1)),1)),0)</f>
        <v>2</v>
      </c>
      <c r="AC286" s="13">
        <f t="shared" si="572"/>
        <v>0</v>
      </c>
      <c r="AD286" s="13">
        <f t="shared" si="572"/>
        <v>0</v>
      </c>
      <c r="AE286" s="13">
        <f t="shared" si="572"/>
        <v>0</v>
      </c>
      <c r="AF286" s="13">
        <f t="shared" si="572"/>
        <v>0</v>
      </c>
      <c r="AG286" s="13">
        <f t="shared" si="572"/>
        <v>0</v>
      </c>
      <c r="AH286" s="13">
        <f t="shared" si="572"/>
        <v>0</v>
      </c>
      <c r="AI286" s="13">
        <f t="shared" si="572"/>
        <v>0</v>
      </c>
      <c r="AJ286" s="13">
        <f t="shared" si="572"/>
        <v>0</v>
      </c>
      <c r="AK286" s="13">
        <f t="shared" si="572"/>
        <v>0</v>
      </c>
      <c r="AL286" s="13">
        <f t="shared" si="572"/>
        <v>0</v>
      </c>
      <c r="AM286" s="13">
        <f t="shared" si="572"/>
        <v>0</v>
      </c>
      <c r="AN286" s="13">
        <f t="shared" si="572"/>
        <v>0</v>
      </c>
      <c r="AO286" s="13">
        <f t="shared" si="572"/>
        <v>0</v>
      </c>
      <c r="AP286" s="13">
        <f t="shared" si="572"/>
        <v>0</v>
      </c>
      <c r="AQ286" s="13"/>
      <c r="AR286" s="13" t="s">
        <v>2146</v>
      </c>
      <c r="AS286" s="13" t="s">
        <v>2147</v>
      </c>
      <c r="AT286" s="13" t="s">
        <v>162</v>
      </c>
      <c r="AU286" s="13" t="s">
        <v>1523</v>
      </c>
      <c r="AV286" s="13" t="s">
        <v>2148</v>
      </c>
      <c r="AW286" s="13">
        <v>34.0</v>
      </c>
      <c r="AX286" s="13">
        <v>-1.0</v>
      </c>
      <c r="AY286" s="13">
        <v>0.0</v>
      </c>
      <c r="AZ286" s="13" t="s">
        <v>2149</v>
      </c>
      <c r="BA286" s="13" t="s">
        <v>2150</v>
      </c>
      <c r="BB286" s="13"/>
      <c r="BC286" s="13"/>
      <c r="BD286" s="13" t="s">
        <v>664</v>
      </c>
      <c r="BE286" s="13"/>
      <c r="BF286" s="13" t="s">
        <v>2151</v>
      </c>
      <c r="BG286" s="13" t="s">
        <v>201</v>
      </c>
      <c r="BH286" s="13" t="s">
        <v>241</v>
      </c>
      <c r="BI286" s="13" t="b">
        <v>0</v>
      </c>
      <c r="BJ286" s="13">
        <v>0.0</v>
      </c>
      <c r="BK286" s="13">
        <v>0.0</v>
      </c>
    </row>
    <row r="287" ht="14.25" customHeight="1">
      <c r="A287" s="13">
        <v>285.0</v>
      </c>
      <c r="B287" s="13" t="s">
        <v>50</v>
      </c>
      <c r="C287" s="13">
        <v>5.0</v>
      </c>
      <c r="D287" s="14">
        <v>0.0</v>
      </c>
      <c r="E287" s="13" t="s">
        <v>2152</v>
      </c>
      <c r="F287" s="15"/>
      <c r="G287" s="16" t="s">
        <v>2153</v>
      </c>
      <c r="H287" s="13">
        <v>23.0</v>
      </c>
      <c r="I287" s="13">
        <v>1.0</v>
      </c>
      <c r="J287" s="13" t="s">
        <v>2154</v>
      </c>
      <c r="K287" s="13">
        <f t="shared" si="3"/>
        <v>3</v>
      </c>
      <c r="L287" s="13">
        <f t="shared" si="4"/>
        <v>2</v>
      </c>
      <c r="M287" s="13">
        <f t="shared" ref="M287:AA287" si="573">IFERROR(VALUE(RIGHT(LEFT($J287,FIND(M$1,$J287,1)+LEN(M$1)),1)),0)</f>
        <v>0</v>
      </c>
      <c r="N287" s="13">
        <f t="shared" si="573"/>
        <v>0</v>
      </c>
      <c r="O287" s="13">
        <f t="shared" si="573"/>
        <v>0</v>
      </c>
      <c r="P287" s="13">
        <f t="shared" si="573"/>
        <v>0</v>
      </c>
      <c r="Q287" s="13">
        <f t="shared" si="573"/>
        <v>1</v>
      </c>
      <c r="R287" s="13">
        <f t="shared" si="573"/>
        <v>0</v>
      </c>
      <c r="S287" s="13">
        <f t="shared" si="573"/>
        <v>0</v>
      </c>
      <c r="T287" s="13">
        <f t="shared" si="573"/>
        <v>0</v>
      </c>
      <c r="U287" s="13">
        <f t="shared" si="573"/>
        <v>0</v>
      </c>
      <c r="V287" s="13">
        <f t="shared" si="573"/>
        <v>0</v>
      </c>
      <c r="W287" s="13">
        <f t="shared" si="573"/>
        <v>0</v>
      </c>
      <c r="X287" s="13">
        <f t="shared" si="573"/>
        <v>0</v>
      </c>
      <c r="Y287" s="13">
        <f t="shared" si="573"/>
        <v>2</v>
      </c>
      <c r="Z287" s="13">
        <f t="shared" si="573"/>
        <v>0</v>
      </c>
      <c r="AA287" s="13">
        <f t="shared" si="573"/>
        <v>0</v>
      </c>
      <c r="AB287" s="13">
        <f t="shared" ref="AB287:AP287" si="574">IFERROR(VALUE(RIGHT(LEFT($J287,FIND(AB$1,$J287,IF(M287=0,1,FIND(AB$1,$J287,1)+1))+LEN(AB$1)),1)),0)</f>
        <v>0</v>
      </c>
      <c r="AC287" s="13">
        <f t="shared" si="574"/>
        <v>0</v>
      </c>
      <c r="AD287" s="13">
        <f t="shared" si="574"/>
        <v>0</v>
      </c>
      <c r="AE287" s="13">
        <f t="shared" si="574"/>
        <v>0</v>
      </c>
      <c r="AF287" s="13">
        <f t="shared" si="574"/>
        <v>2</v>
      </c>
      <c r="AG287" s="13">
        <f t="shared" si="574"/>
        <v>0</v>
      </c>
      <c r="AH287" s="13">
        <f t="shared" si="574"/>
        <v>0</v>
      </c>
      <c r="AI287" s="13">
        <f t="shared" si="574"/>
        <v>0</v>
      </c>
      <c r="AJ287" s="13">
        <f t="shared" si="574"/>
        <v>0</v>
      </c>
      <c r="AK287" s="13">
        <f t="shared" si="574"/>
        <v>0</v>
      </c>
      <c r="AL287" s="13">
        <f t="shared" si="574"/>
        <v>0</v>
      </c>
      <c r="AM287" s="13">
        <f t="shared" si="574"/>
        <v>0</v>
      </c>
      <c r="AN287" s="13">
        <f t="shared" si="574"/>
        <v>0</v>
      </c>
      <c r="AO287" s="13">
        <f t="shared" si="574"/>
        <v>0</v>
      </c>
      <c r="AP287" s="13">
        <f t="shared" si="574"/>
        <v>0</v>
      </c>
      <c r="AQ287" s="13"/>
      <c r="AR287" s="13" t="s">
        <v>2155</v>
      </c>
      <c r="AS287" s="13" t="s">
        <v>2156</v>
      </c>
      <c r="AT287" s="13" t="s">
        <v>290</v>
      </c>
      <c r="AU287" s="13" t="s">
        <v>143</v>
      </c>
      <c r="AV287" s="13" t="s">
        <v>2157</v>
      </c>
      <c r="AW287" s="13">
        <v>31.0</v>
      </c>
      <c r="AX287" s="13">
        <v>-1.0</v>
      </c>
      <c r="AY287" s="13">
        <v>0.0</v>
      </c>
      <c r="AZ287" s="13" t="s">
        <v>2158</v>
      </c>
      <c r="BA287" s="13" t="s">
        <v>2159</v>
      </c>
      <c r="BB287" s="13"/>
      <c r="BC287" s="13"/>
      <c r="BD287" s="13" t="s">
        <v>715</v>
      </c>
      <c r="BE287" s="13"/>
      <c r="BF287" s="13" t="s">
        <v>1963</v>
      </c>
      <c r="BG287" s="13" t="s">
        <v>50</v>
      </c>
      <c r="BH287" s="13" t="s">
        <v>2160</v>
      </c>
      <c r="BI287" s="13" t="b">
        <v>0</v>
      </c>
      <c r="BJ287" s="13">
        <v>0.0</v>
      </c>
      <c r="BK287" s="13">
        <v>0.0</v>
      </c>
    </row>
    <row r="288" ht="14.25" customHeight="1">
      <c r="A288" s="13">
        <v>286.0</v>
      </c>
      <c r="B288" s="13" t="s">
        <v>51</v>
      </c>
      <c r="C288" s="13">
        <v>5.0</v>
      </c>
      <c r="D288" s="14">
        <v>0.0</v>
      </c>
      <c r="E288" s="13" t="s">
        <v>2161</v>
      </c>
      <c r="F288" s="15"/>
      <c r="G288" s="16" t="s">
        <v>2162</v>
      </c>
      <c r="H288" s="13">
        <v>20.0</v>
      </c>
      <c r="I288" s="13">
        <v>1.0</v>
      </c>
      <c r="J288" s="13" t="s">
        <v>2163</v>
      </c>
      <c r="K288" s="13">
        <f t="shared" si="3"/>
        <v>3</v>
      </c>
      <c r="L288" s="13">
        <f t="shared" si="4"/>
        <v>2</v>
      </c>
      <c r="M288" s="13">
        <f t="shared" ref="M288:AA288" si="575">IFERROR(VALUE(RIGHT(LEFT($J288,FIND(M$1,$J288,1)+LEN(M$1)),1)),0)</f>
        <v>0</v>
      </c>
      <c r="N288" s="13">
        <f t="shared" si="575"/>
        <v>0</v>
      </c>
      <c r="O288" s="13">
        <f t="shared" si="575"/>
        <v>0</v>
      </c>
      <c r="P288" s="13">
        <f t="shared" si="575"/>
        <v>1</v>
      </c>
      <c r="Q288" s="13">
        <f t="shared" si="575"/>
        <v>0</v>
      </c>
      <c r="R288" s="13">
        <f t="shared" si="575"/>
        <v>0</v>
      </c>
      <c r="S288" s="13">
        <f t="shared" si="575"/>
        <v>0</v>
      </c>
      <c r="T288" s="13">
        <f t="shared" si="575"/>
        <v>0</v>
      </c>
      <c r="U288" s="13">
        <f t="shared" si="575"/>
        <v>0</v>
      </c>
      <c r="V288" s="13">
        <f t="shared" si="575"/>
        <v>0</v>
      </c>
      <c r="W288" s="13">
        <f t="shared" si="575"/>
        <v>0</v>
      </c>
      <c r="X288" s="13">
        <f t="shared" si="575"/>
        <v>0</v>
      </c>
      <c r="Y288" s="13">
        <f t="shared" si="575"/>
        <v>0</v>
      </c>
      <c r="Z288" s="13">
        <f t="shared" si="575"/>
        <v>2</v>
      </c>
      <c r="AA288" s="13">
        <f t="shared" si="575"/>
        <v>0</v>
      </c>
      <c r="AB288" s="13">
        <f t="shared" ref="AB288:AP288" si="576">IFERROR(VALUE(RIGHT(LEFT($J288,FIND(AB$1,$J288,IF(M288=0,1,FIND(AB$1,$J288,1)+1))+LEN(AB$1)),1)),0)</f>
        <v>0</v>
      </c>
      <c r="AC288" s="13">
        <f t="shared" si="576"/>
        <v>0</v>
      </c>
      <c r="AD288" s="13">
        <f t="shared" si="576"/>
        <v>0</v>
      </c>
      <c r="AE288" s="13">
        <f t="shared" si="576"/>
        <v>2</v>
      </c>
      <c r="AF288" s="13">
        <f t="shared" si="576"/>
        <v>0</v>
      </c>
      <c r="AG288" s="13">
        <f t="shared" si="576"/>
        <v>0</v>
      </c>
      <c r="AH288" s="13">
        <f t="shared" si="576"/>
        <v>0</v>
      </c>
      <c r="AI288" s="13">
        <f t="shared" si="576"/>
        <v>0</v>
      </c>
      <c r="AJ288" s="13">
        <f t="shared" si="576"/>
        <v>0</v>
      </c>
      <c r="AK288" s="13">
        <f t="shared" si="576"/>
        <v>0</v>
      </c>
      <c r="AL288" s="13">
        <f t="shared" si="576"/>
        <v>0</v>
      </c>
      <c r="AM288" s="13">
        <f t="shared" si="576"/>
        <v>0</v>
      </c>
      <c r="AN288" s="13">
        <f t="shared" si="576"/>
        <v>0</v>
      </c>
      <c r="AO288" s="13">
        <f t="shared" si="576"/>
        <v>0</v>
      </c>
      <c r="AP288" s="13">
        <f t="shared" si="576"/>
        <v>0</v>
      </c>
      <c r="AQ288" s="13"/>
      <c r="AR288" s="13" t="s">
        <v>2164</v>
      </c>
      <c r="AS288" s="13" t="s">
        <v>2165</v>
      </c>
      <c r="AT288" s="13" t="s">
        <v>1350</v>
      </c>
      <c r="AU288" s="13" t="s">
        <v>143</v>
      </c>
      <c r="AV288" s="13" t="s">
        <v>2166</v>
      </c>
      <c r="AW288" s="13">
        <v>30.0</v>
      </c>
      <c r="AX288" s="13">
        <v>-1.0</v>
      </c>
      <c r="AY288" s="13">
        <v>0.0</v>
      </c>
      <c r="AZ288" s="13" t="s">
        <v>2167</v>
      </c>
      <c r="BA288" s="13" t="s">
        <v>2168</v>
      </c>
      <c r="BB288" s="13"/>
      <c r="BC288" s="13"/>
      <c r="BD288" s="13" t="s">
        <v>2169</v>
      </c>
      <c r="BE288" s="13"/>
      <c r="BF288" s="13" t="s">
        <v>2170</v>
      </c>
      <c r="BG288" s="13" t="s">
        <v>2171</v>
      </c>
      <c r="BH288" s="13" t="s">
        <v>241</v>
      </c>
      <c r="BI288" s="13" t="b">
        <v>0</v>
      </c>
      <c r="BJ288" s="13">
        <v>0.0</v>
      </c>
      <c r="BK288" s="13">
        <v>0.0</v>
      </c>
    </row>
    <row r="289" ht="14.25" customHeight="1">
      <c r="A289" s="13">
        <v>287.0</v>
      </c>
      <c r="B289" s="13" t="s">
        <v>52</v>
      </c>
      <c r="C289" s="13">
        <v>5.0</v>
      </c>
      <c r="D289" s="14">
        <v>0.0</v>
      </c>
      <c r="E289" s="13" t="s">
        <v>2172</v>
      </c>
      <c r="F289" s="15"/>
      <c r="G289" s="16" t="s">
        <v>2173</v>
      </c>
      <c r="H289" s="13">
        <v>22.0</v>
      </c>
      <c r="I289" s="13">
        <v>0.9</v>
      </c>
      <c r="J289" s="13" t="s">
        <v>2174</v>
      </c>
      <c r="K289" s="13">
        <f t="shared" si="3"/>
        <v>3</v>
      </c>
      <c r="L289" s="13">
        <f t="shared" si="4"/>
        <v>2</v>
      </c>
      <c r="M289" s="13">
        <f t="shared" ref="M289:AA289" si="577">IFERROR(VALUE(RIGHT(LEFT($J289,FIND(M$1,$J289,1)+LEN(M$1)),1)),0)</f>
        <v>0</v>
      </c>
      <c r="N289" s="13">
        <f t="shared" si="577"/>
        <v>0</v>
      </c>
      <c r="O289" s="13">
        <f t="shared" si="577"/>
        <v>1</v>
      </c>
      <c r="P289" s="13">
        <f t="shared" si="577"/>
        <v>0</v>
      </c>
      <c r="Q289" s="13">
        <f t="shared" si="577"/>
        <v>0</v>
      </c>
      <c r="R289" s="13">
        <f t="shared" si="577"/>
        <v>0</v>
      </c>
      <c r="S289" s="13">
        <f t="shared" si="577"/>
        <v>0</v>
      </c>
      <c r="T289" s="13">
        <f t="shared" si="577"/>
        <v>0</v>
      </c>
      <c r="U289" s="13">
        <f t="shared" si="577"/>
        <v>0</v>
      </c>
      <c r="V289" s="13">
        <f t="shared" si="577"/>
        <v>0</v>
      </c>
      <c r="W289" s="13">
        <f t="shared" si="577"/>
        <v>0</v>
      </c>
      <c r="X289" s="13">
        <f t="shared" si="577"/>
        <v>0</v>
      </c>
      <c r="Y289" s="13">
        <f t="shared" si="577"/>
        <v>0</v>
      </c>
      <c r="Z289" s="13">
        <f t="shared" si="577"/>
        <v>0</v>
      </c>
      <c r="AA289" s="13">
        <f t="shared" si="577"/>
        <v>2</v>
      </c>
      <c r="AB289" s="13">
        <f t="shared" ref="AB289:AP289" si="578">IFERROR(VALUE(RIGHT(LEFT($J289,FIND(AB$1,$J289,IF(M289=0,1,FIND(AB$1,$J289,1)+1))+LEN(AB$1)),1)),0)</f>
        <v>0</v>
      </c>
      <c r="AC289" s="13">
        <f t="shared" si="578"/>
        <v>0</v>
      </c>
      <c r="AD289" s="13">
        <f t="shared" si="578"/>
        <v>2</v>
      </c>
      <c r="AE289" s="13">
        <f t="shared" si="578"/>
        <v>0</v>
      </c>
      <c r="AF289" s="13">
        <f t="shared" si="578"/>
        <v>0</v>
      </c>
      <c r="AG289" s="13">
        <f t="shared" si="578"/>
        <v>0</v>
      </c>
      <c r="AH289" s="13">
        <f t="shared" si="578"/>
        <v>0</v>
      </c>
      <c r="AI289" s="13">
        <f t="shared" si="578"/>
        <v>0</v>
      </c>
      <c r="AJ289" s="13">
        <f t="shared" si="578"/>
        <v>0</v>
      </c>
      <c r="AK289" s="13">
        <f t="shared" si="578"/>
        <v>0</v>
      </c>
      <c r="AL289" s="13">
        <f t="shared" si="578"/>
        <v>0</v>
      </c>
      <c r="AM289" s="13">
        <f t="shared" si="578"/>
        <v>0</v>
      </c>
      <c r="AN289" s="13">
        <f t="shared" si="578"/>
        <v>0</v>
      </c>
      <c r="AO289" s="13">
        <f t="shared" si="578"/>
        <v>0</v>
      </c>
      <c r="AP289" s="13">
        <f t="shared" si="578"/>
        <v>0</v>
      </c>
      <c r="AQ289" s="13"/>
      <c r="AR289" s="13" t="s">
        <v>2175</v>
      </c>
      <c r="AS289" s="13" t="s">
        <v>2176</v>
      </c>
      <c r="AT289" s="13" t="s">
        <v>162</v>
      </c>
      <c r="AU289" s="13" t="s">
        <v>2177</v>
      </c>
      <c r="AV289" s="13" t="s">
        <v>2178</v>
      </c>
      <c r="AW289" s="13">
        <v>28.0</v>
      </c>
      <c r="AX289" s="13">
        <v>-1.0</v>
      </c>
      <c r="AY289" s="13">
        <v>0.0</v>
      </c>
      <c r="AZ289" s="13" t="s">
        <v>2179</v>
      </c>
      <c r="BA289" s="13" t="s">
        <v>2180</v>
      </c>
      <c r="BB289" s="13"/>
      <c r="BC289" s="13"/>
      <c r="BD289" s="13" t="s">
        <v>294</v>
      </c>
      <c r="BE289" s="13" t="s">
        <v>2181</v>
      </c>
      <c r="BF289" s="13" t="s">
        <v>2182</v>
      </c>
      <c r="BG289" s="13"/>
      <c r="BH289" s="13" t="s">
        <v>241</v>
      </c>
      <c r="BI289" s="13" t="b">
        <v>0</v>
      </c>
      <c r="BJ289" s="13">
        <v>0.0</v>
      </c>
      <c r="BK289" s="13">
        <v>0.0</v>
      </c>
    </row>
    <row r="290" ht="14.25" customHeight="1">
      <c r="A290" s="13">
        <v>288.0</v>
      </c>
      <c r="B290" s="13" t="s">
        <v>44</v>
      </c>
      <c r="C290" s="13">
        <v>0.0</v>
      </c>
      <c r="D290" s="14">
        <v>0.0</v>
      </c>
      <c r="E290" s="13" t="s">
        <v>2183</v>
      </c>
      <c r="F290" s="15" t="s">
        <v>329</v>
      </c>
      <c r="G290" s="16" t="s">
        <v>2184</v>
      </c>
      <c r="H290" s="13"/>
      <c r="I290" s="13">
        <v>0.9</v>
      </c>
      <c r="J290" s="13" t="s">
        <v>2185</v>
      </c>
      <c r="K290" s="13">
        <f t="shared" si="3"/>
        <v>0</v>
      </c>
      <c r="L290" s="13">
        <f t="shared" si="4"/>
        <v>1</v>
      </c>
      <c r="M290" s="13">
        <f t="shared" ref="M290:AA290" si="579">IFERROR(VALUE(RIGHT(LEFT($J290,FIND(M$1,$J290,1)+LEN(M$1)),1)),0)</f>
        <v>0</v>
      </c>
      <c r="N290" s="13">
        <f t="shared" si="579"/>
        <v>0</v>
      </c>
      <c r="O290" s="13">
        <f t="shared" si="579"/>
        <v>0</v>
      </c>
      <c r="P290" s="13">
        <f t="shared" si="579"/>
        <v>0</v>
      </c>
      <c r="Q290" s="13">
        <f t="shared" si="579"/>
        <v>0</v>
      </c>
      <c r="R290" s="13">
        <f t="shared" si="579"/>
        <v>0</v>
      </c>
      <c r="S290" s="13">
        <f t="shared" si="579"/>
        <v>0</v>
      </c>
      <c r="T290" s="13">
        <f t="shared" si="579"/>
        <v>0</v>
      </c>
      <c r="U290" s="13">
        <f t="shared" si="579"/>
        <v>0</v>
      </c>
      <c r="V290" s="13">
        <f t="shared" si="579"/>
        <v>0</v>
      </c>
      <c r="W290" s="13">
        <f t="shared" si="579"/>
        <v>0</v>
      </c>
      <c r="X290" s="13">
        <f t="shared" si="579"/>
        <v>0</v>
      </c>
      <c r="Y290" s="13">
        <f t="shared" si="579"/>
        <v>0</v>
      </c>
      <c r="Z290" s="13">
        <f t="shared" si="579"/>
        <v>0</v>
      </c>
      <c r="AA290" s="13">
        <f t="shared" si="579"/>
        <v>0</v>
      </c>
      <c r="AB290" s="13">
        <f t="shared" ref="AB290:AP290" si="580">IFERROR(VALUE(RIGHT(LEFT($J290,FIND(AB$1,$J290,IF(M290=0,1,FIND(AB$1,$J290,1)+1))+LEN(AB$1)),1)),0)</f>
        <v>0</v>
      </c>
      <c r="AC290" s="13">
        <f t="shared" si="580"/>
        <v>0</v>
      </c>
      <c r="AD290" s="13">
        <f t="shared" si="580"/>
        <v>0</v>
      </c>
      <c r="AE290" s="13">
        <f t="shared" si="580"/>
        <v>0</v>
      </c>
      <c r="AF290" s="13">
        <f t="shared" si="580"/>
        <v>0</v>
      </c>
      <c r="AG290" s="13">
        <f t="shared" si="580"/>
        <v>0</v>
      </c>
      <c r="AH290" s="13">
        <f t="shared" si="580"/>
        <v>1</v>
      </c>
      <c r="AI290" s="13">
        <f t="shared" si="580"/>
        <v>0</v>
      </c>
      <c r="AJ290" s="13">
        <f t="shared" si="580"/>
        <v>0</v>
      </c>
      <c r="AK290" s="13">
        <f t="shared" si="580"/>
        <v>0</v>
      </c>
      <c r="AL290" s="13">
        <f t="shared" si="580"/>
        <v>0</v>
      </c>
      <c r="AM290" s="13">
        <f t="shared" si="580"/>
        <v>0</v>
      </c>
      <c r="AN290" s="13">
        <f t="shared" si="580"/>
        <v>0</v>
      </c>
      <c r="AO290" s="13">
        <f t="shared" si="580"/>
        <v>0</v>
      </c>
      <c r="AP290" s="13">
        <f t="shared" si="580"/>
        <v>0</v>
      </c>
      <c r="AQ290" s="13" t="s">
        <v>2186</v>
      </c>
      <c r="AR290" s="13"/>
      <c r="AS290" s="13" t="s">
        <v>2187</v>
      </c>
      <c r="AT290" s="13"/>
      <c r="AU290" s="13"/>
      <c r="AV290" s="13"/>
      <c r="AW290" s="13">
        <v>0.0</v>
      </c>
      <c r="AX290" s="13">
        <v>0.0</v>
      </c>
      <c r="AY290" s="13">
        <v>0.0</v>
      </c>
      <c r="AZ290" s="13"/>
      <c r="BA290" s="13"/>
      <c r="BB290" s="13"/>
      <c r="BC290" s="13"/>
      <c r="BD290" s="13"/>
      <c r="BE290" s="13"/>
      <c r="BF290" s="13"/>
      <c r="BG290" s="13"/>
      <c r="BH290" s="13" t="s">
        <v>79</v>
      </c>
      <c r="BI290" s="13" t="b">
        <v>0</v>
      </c>
      <c r="BJ290" s="13">
        <v>0.0</v>
      </c>
      <c r="BK290" s="13">
        <v>0.0</v>
      </c>
    </row>
    <row r="291" ht="14.25" customHeight="1">
      <c r="A291" s="13">
        <v>289.0</v>
      </c>
      <c r="B291" s="13" t="s">
        <v>45</v>
      </c>
      <c r="C291" s="13">
        <v>0.0</v>
      </c>
      <c r="D291" s="14">
        <v>0.0</v>
      </c>
      <c r="E291" s="13" t="s">
        <v>2188</v>
      </c>
      <c r="F291" s="15" t="s">
        <v>329</v>
      </c>
      <c r="G291" s="16" t="s">
        <v>2189</v>
      </c>
      <c r="H291" s="13"/>
      <c r="I291" s="13">
        <v>1.0</v>
      </c>
      <c r="J291" s="13" t="s">
        <v>100</v>
      </c>
      <c r="K291" s="13">
        <f t="shared" si="3"/>
        <v>0</v>
      </c>
      <c r="L291" s="13">
        <f t="shared" si="4"/>
        <v>1</v>
      </c>
      <c r="M291" s="13">
        <f t="shared" ref="M291:AA291" si="581">IFERROR(VALUE(RIGHT(LEFT($J291,FIND(M$1,$J291,1)+LEN(M$1)),1)),0)</f>
        <v>0</v>
      </c>
      <c r="N291" s="13">
        <f t="shared" si="581"/>
        <v>0</v>
      </c>
      <c r="O291" s="13">
        <f t="shared" si="581"/>
        <v>0</v>
      </c>
      <c r="P291" s="13">
        <f t="shared" si="581"/>
        <v>0</v>
      </c>
      <c r="Q291" s="13">
        <f t="shared" si="581"/>
        <v>0</v>
      </c>
      <c r="R291" s="13">
        <f t="shared" si="581"/>
        <v>0</v>
      </c>
      <c r="S291" s="13">
        <f t="shared" si="581"/>
        <v>0</v>
      </c>
      <c r="T291" s="13">
        <f t="shared" si="581"/>
        <v>0</v>
      </c>
      <c r="U291" s="13">
        <f t="shared" si="581"/>
        <v>0</v>
      </c>
      <c r="V291" s="13">
        <f t="shared" si="581"/>
        <v>0</v>
      </c>
      <c r="W291" s="13">
        <f t="shared" si="581"/>
        <v>0</v>
      </c>
      <c r="X291" s="13">
        <f t="shared" si="581"/>
        <v>0</v>
      </c>
      <c r="Y291" s="13">
        <f t="shared" si="581"/>
        <v>0</v>
      </c>
      <c r="Z291" s="13">
        <f t="shared" si="581"/>
        <v>0</v>
      </c>
      <c r="AA291" s="13">
        <f t="shared" si="581"/>
        <v>0</v>
      </c>
      <c r="AB291" s="13">
        <f t="shared" ref="AB291:AP291" si="582">IFERROR(VALUE(RIGHT(LEFT($J291,FIND(AB$1,$J291,IF(M291=0,1,FIND(AB$1,$J291,1)+1))+LEN(AB$1)),1)),0)</f>
        <v>0</v>
      </c>
      <c r="AC291" s="13">
        <f t="shared" si="582"/>
        <v>0</v>
      </c>
      <c r="AD291" s="13">
        <f t="shared" si="582"/>
        <v>0</v>
      </c>
      <c r="AE291" s="13">
        <f t="shared" si="582"/>
        <v>0</v>
      </c>
      <c r="AF291" s="13">
        <f t="shared" si="582"/>
        <v>0</v>
      </c>
      <c r="AG291" s="13">
        <f t="shared" si="582"/>
        <v>0</v>
      </c>
      <c r="AH291" s="13">
        <f t="shared" si="582"/>
        <v>0</v>
      </c>
      <c r="AI291" s="13">
        <f t="shared" si="582"/>
        <v>1</v>
      </c>
      <c r="AJ291" s="13">
        <f t="shared" si="582"/>
        <v>0</v>
      </c>
      <c r="AK291" s="13">
        <f t="shared" si="582"/>
        <v>0</v>
      </c>
      <c r="AL291" s="13">
        <f t="shared" si="582"/>
        <v>0</v>
      </c>
      <c r="AM291" s="13">
        <f t="shared" si="582"/>
        <v>0</v>
      </c>
      <c r="AN291" s="13">
        <f t="shared" si="582"/>
        <v>0</v>
      </c>
      <c r="AO291" s="13">
        <f t="shared" si="582"/>
        <v>0</v>
      </c>
      <c r="AP291" s="13">
        <f t="shared" si="582"/>
        <v>0</v>
      </c>
      <c r="AQ291" s="13" t="s">
        <v>2190</v>
      </c>
      <c r="AR291" s="13"/>
      <c r="AS291" s="13" t="s">
        <v>2191</v>
      </c>
      <c r="AT291" s="13"/>
      <c r="AU291" s="13"/>
      <c r="AV291" s="13"/>
      <c r="AW291" s="13">
        <v>0.0</v>
      </c>
      <c r="AX291" s="13">
        <v>0.0</v>
      </c>
      <c r="AY291" s="13">
        <v>0.0</v>
      </c>
      <c r="AZ291" s="13"/>
      <c r="BA291" s="13"/>
      <c r="BB291" s="13"/>
      <c r="BC291" s="13"/>
      <c r="BD291" s="13"/>
      <c r="BE291" s="13"/>
      <c r="BF291" s="13"/>
      <c r="BG291" s="13"/>
      <c r="BH291" s="13" t="s">
        <v>79</v>
      </c>
      <c r="BI291" s="13" t="b">
        <v>0</v>
      </c>
      <c r="BJ291" s="13">
        <v>0.0</v>
      </c>
      <c r="BK291" s="13">
        <v>0.0</v>
      </c>
    </row>
    <row r="292" ht="14.25" customHeight="1">
      <c r="A292" s="13">
        <v>290.0</v>
      </c>
      <c r="B292" s="13" t="s">
        <v>46</v>
      </c>
      <c r="C292" s="13">
        <v>0.0</v>
      </c>
      <c r="D292" s="14">
        <v>0.0</v>
      </c>
      <c r="E292" s="13" t="s">
        <v>2192</v>
      </c>
      <c r="F292" s="15" t="s">
        <v>329</v>
      </c>
      <c r="G292" s="16" t="s">
        <v>2193</v>
      </c>
      <c r="H292" s="13"/>
      <c r="I292" s="13">
        <v>1.0</v>
      </c>
      <c r="J292" s="13" t="s">
        <v>111</v>
      </c>
      <c r="K292" s="13">
        <f t="shared" si="3"/>
        <v>0</v>
      </c>
      <c r="L292" s="13">
        <f t="shared" si="4"/>
        <v>1</v>
      </c>
      <c r="M292" s="13">
        <f t="shared" ref="M292:AA292" si="583">IFERROR(VALUE(RIGHT(LEFT($J292,FIND(M$1,$J292,1)+LEN(M$1)),1)),0)</f>
        <v>0</v>
      </c>
      <c r="N292" s="13">
        <f t="shared" si="583"/>
        <v>0</v>
      </c>
      <c r="O292" s="13">
        <f t="shared" si="583"/>
        <v>0</v>
      </c>
      <c r="P292" s="13">
        <f t="shared" si="583"/>
        <v>0</v>
      </c>
      <c r="Q292" s="13">
        <f t="shared" si="583"/>
        <v>0</v>
      </c>
      <c r="R292" s="13">
        <f t="shared" si="583"/>
        <v>0</v>
      </c>
      <c r="S292" s="13">
        <f t="shared" si="583"/>
        <v>0</v>
      </c>
      <c r="T292" s="13">
        <f t="shared" si="583"/>
        <v>0</v>
      </c>
      <c r="U292" s="13">
        <f t="shared" si="583"/>
        <v>0</v>
      </c>
      <c r="V292" s="13">
        <f t="shared" si="583"/>
        <v>0</v>
      </c>
      <c r="W292" s="13">
        <f t="shared" si="583"/>
        <v>0</v>
      </c>
      <c r="X292" s="13">
        <f t="shared" si="583"/>
        <v>0</v>
      </c>
      <c r="Y292" s="13">
        <f t="shared" si="583"/>
        <v>0</v>
      </c>
      <c r="Z292" s="13">
        <f t="shared" si="583"/>
        <v>0</v>
      </c>
      <c r="AA292" s="13">
        <f t="shared" si="583"/>
        <v>0</v>
      </c>
      <c r="AB292" s="13">
        <f t="shared" ref="AB292:AP292" si="584">IFERROR(VALUE(RIGHT(LEFT($J292,FIND(AB$1,$J292,IF(M292=0,1,FIND(AB$1,$J292,1)+1))+LEN(AB$1)),1)),0)</f>
        <v>0</v>
      </c>
      <c r="AC292" s="13">
        <f t="shared" si="584"/>
        <v>0</v>
      </c>
      <c r="AD292" s="13">
        <f t="shared" si="584"/>
        <v>0</v>
      </c>
      <c r="AE292" s="13">
        <f t="shared" si="584"/>
        <v>0</v>
      </c>
      <c r="AF292" s="13">
        <f t="shared" si="584"/>
        <v>0</v>
      </c>
      <c r="AG292" s="13">
        <f t="shared" si="584"/>
        <v>0</v>
      </c>
      <c r="AH292" s="13">
        <f t="shared" si="584"/>
        <v>0</v>
      </c>
      <c r="AI292" s="13">
        <f t="shared" si="584"/>
        <v>0</v>
      </c>
      <c r="AJ292" s="13">
        <f t="shared" si="584"/>
        <v>1</v>
      </c>
      <c r="AK292" s="13">
        <f t="shared" si="584"/>
        <v>0</v>
      </c>
      <c r="AL292" s="13">
        <f t="shared" si="584"/>
        <v>0</v>
      </c>
      <c r="AM292" s="13">
        <f t="shared" si="584"/>
        <v>0</v>
      </c>
      <c r="AN292" s="13">
        <f t="shared" si="584"/>
        <v>0</v>
      </c>
      <c r="AO292" s="13">
        <f t="shared" si="584"/>
        <v>0</v>
      </c>
      <c r="AP292" s="13">
        <f t="shared" si="584"/>
        <v>0</v>
      </c>
      <c r="AQ292" s="13" t="s">
        <v>2194</v>
      </c>
      <c r="AR292" s="13"/>
      <c r="AS292" s="13" t="s">
        <v>117</v>
      </c>
      <c r="AT292" s="13"/>
      <c r="AU292" s="13"/>
      <c r="AV292" s="13"/>
      <c r="AW292" s="13">
        <v>0.0</v>
      </c>
      <c r="AX292" s="13">
        <v>0.0</v>
      </c>
      <c r="AY292" s="13">
        <v>0.0</v>
      </c>
      <c r="AZ292" s="13"/>
      <c r="BA292" s="13"/>
      <c r="BB292" s="13"/>
      <c r="BC292" s="13"/>
      <c r="BD292" s="13"/>
      <c r="BE292" s="13"/>
      <c r="BF292" s="13"/>
      <c r="BG292" s="13"/>
      <c r="BH292" s="13" t="s">
        <v>79</v>
      </c>
      <c r="BI292" s="13" t="b">
        <v>0</v>
      </c>
      <c r="BJ292" s="13">
        <v>0.0</v>
      </c>
      <c r="BK292" s="13">
        <v>0.0</v>
      </c>
    </row>
    <row r="293" ht="14.25" customHeight="1">
      <c r="A293" s="13">
        <v>291.0</v>
      </c>
      <c r="B293" s="13" t="s">
        <v>52</v>
      </c>
      <c r="C293" s="13">
        <v>0.0</v>
      </c>
      <c r="D293" s="14">
        <v>0.0</v>
      </c>
      <c r="E293" s="13" t="s">
        <v>2195</v>
      </c>
      <c r="F293" s="15" t="s">
        <v>329</v>
      </c>
      <c r="G293" s="16" t="s">
        <v>2196</v>
      </c>
      <c r="H293" s="13">
        <v>3.0</v>
      </c>
      <c r="I293" s="13">
        <v>0.8</v>
      </c>
      <c r="J293" s="13" t="s">
        <v>288</v>
      </c>
      <c r="K293" s="13">
        <f t="shared" si="3"/>
        <v>0</v>
      </c>
      <c r="L293" s="13">
        <f t="shared" si="4"/>
        <v>1</v>
      </c>
      <c r="M293" s="13">
        <f t="shared" ref="M293:AA293" si="585">IFERROR(VALUE(RIGHT(LEFT($J293,FIND(M$1,$J293,1)+LEN(M$1)),1)),0)</f>
        <v>0</v>
      </c>
      <c r="N293" s="13">
        <f t="shared" si="585"/>
        <v>0</v>
      </c>
      <c r="O293" s="13">
        <f t="shared" si="585"/>
        <v>0</v>
      </c>
      <c r="P293" s="13">
        <f t="shared" si="585"/>
        <v>0</v>
      </c>
      <c r="Q293" s="13">
        <f t="shared" si="585"/>
        <v>0</v>
      </c>
      <c r="R293" s="13">
        <f t="shared" si="585"/>
        <v>0</v>
      </c>
      <c r="S293" s="13">
        <f t="shared" si="585"/>
        <v>0</v>
      </c>
      <c r="T293" s="13">
        <f t="shared" si="585"/>
        <v>0</v>
      </c>
      <c r="U293" s="13">
        <f t="shared" si="585"/>
        <v>0</v>
      </c>
      <c r="V293" s="13">
        <f t="shared" si="585"/>
        <v>0</v>
      </c>
      <c r="W293" s="13">
        <f t="shared" si="585"/>
        <v>0</v>
      </c>
      <c r="X293" s="13">
        <f t="shared" si="585"/>
        <v>0</v>
      </c>
      <c r="Y293" s="13">
        <f t="shared" si="585"/>
        <v>0</v>
      </c>
      <c r="Z293" s="13">
        <f t="shared" si="585"/>
        <v>0</v>
      </c>
      <c r="AA293" s="13">
        <f t="shared" si="585"/>
        <v>0</v>
      </c>
      <c r="AB293" s="13">
        <f t="shared" ref="AB293:AP293" si="586">IFERROR(VALUE(RIGHT(LEFT($J293,FIND(AB$1,$J293,IF(M293=0,1,FIND(AB$1,$J293,1)+1))+LEN(AB$1)),1)),0)</f>
        <v>0</v>
      </c>
      <c r="AC293" s="13">
        <f t="shared" si="586"/>
        <v>0</v>
      </c>
      <c r="AD293" s="13">
        <f t="shared" si="586"/>
        <v>0</v>
      </c>
      <c r="AE293" s="13">
        <f t="shared" si="586"/>
        <v>0</v>
      </c>
      <c r="AF293" s="13">
        <f t="shared" si="586"/>
        <v>0</v>
      </c>
      <c r="AG293" s="13">
        <f t="shared" si="586"/>
        <v>0</v>
      </c>
      <c r="AH293" s="13">
        <f t="shared" si="586"/>
        <v>0</v>
      </c>
      <c r="AI293" s="13">
        <f t="shared" si="586"/>
        <v>0</v>
      </c>
      <c r="AJ293" s="13">
        <f t="shared" si="586"/>
        <v>0</v>
      </c>
      <c r="AK293" s="13">
        <f t="shared" si="586"/>
        <v>0</v>
      </c>
      <c r="AL293" s="13">
        <f t="shared" si="586"/>
        <v>0</v>
      </c>
      <c r="AM293" s="13">
        <f t="shared" si="586"/>
        <v>0</v>
      </c>
      <c r="AN293" s="13">
        <f t="shared" si="586"/>
        <v>0</v>
      </c>
      <c r="AO293" s="13">
        <f t="shared" si="586"/>
        <v>0</v>
      </c>
      <c r="AP293" s="13">
        <f t="shared" si="586"/>
        <v>1</v>
      </c>
      <c r="AQ293" s="13"/>
      <c r="AR293" s="13" t="s">
        <v>1487</v>
      </c>
      <c r="AS293" s="13" t="s">
        <v>314</v>
      </c>
      <c r="AT293" s="13" t="s">
        <v>162</v>
      </c>
      <c r="AU293" s="13" t="s">
        <v>195</v>
      </c>
      <c r="AV293" s="13" t="s">
        <v>2197</v>
      </c>
      <c r="AW293" s="13">
        <v>3.0</v>
      </c>
      <c r="AX293" s="13">
        <v>0.0</v>
      </c>
      <c r="AY293" s="13">
        <v>0.0</v>
      </c>
      <c r="AZ293" s="13" t="s">
        <v>679</v>
      </c>
      <c r="BA293" s="13" t="s">
        <v>924</v>
      </c>
      <c r="BB293" s="13"/>
      <c r="BC293" s="13"/>
      <c r="BD293" s="13" t="s">
        <v>294</v>
      </c>
      <c r="BE293" s="13" t="s">
        <v>2198</v>
      </c>
      <c r="BF293" s="13" t="s">
        <v>2199</v>
      </c>
      <c r="BG293" s="13"/>
      <c r="BH293" s="13" t="s">
        <v>241</v>
      </c>
      <c r="BI293" s="13" t="b">
        <v>0</v>
      </c>
      <c r="BJ293" s="13">
        <v>0.0</v>
      </c>
      <c r="BK293" s="13">
        <v>0.0</v>
      </c>
    </row>
    <row r="294" ht="14.25" customHeight="1">
      <c r="A294" s="13">
        <v>292.0</v>
      </c>
      <c r="B294" s="13" t="s">
        <v>52</v>
      </c>
      <c r="C294" s="13">
        <v>0.0</v>
      </c>
      <c r="D294" s="14">
        <v>0.0</v>
      </c>
      <c r="E294" s="13" t="s">
        <v>2200</v>
      </c>
      <c r="F294" s="15" t="s">
        <v>329</v>
      </c>
      <c r="G294" s="16" t="s">
        <v>2201</v>
      </c>
      <c r="H294" s="13">
        <v>10.0</v>
      </c>
      <c r="I294" s="13">
        <v>1.1</v>
      </c>
      <c r="J294" s="13" t="s">
        <v>288</v>
      </c>
      <c r="K294" s="13">
        <f t="shared" si="3"/>
        <v>0</v>
      </c>
      <c r="L294" s="13">
        <f t="shared" si="4"/>
        <v>1</v>
      </c>
      <c r="M294" s="13">
        <f t="shared" ref="M294:AA294" si="587">IFERROR(VALUE(RIGHT(LEFT($J294,FIND(M$1,$J294,1)+LEN(M$1)),1)),0)</f>
        <v>0</v>
      </c>
      <c r="N294" s="13">
        <f t="shared" si="587"/>
        <v>0</v>
      </c>
      <c r="O294" s="13">
        <f t="shared" si="587"/>
        <v>0</v>
      </c>
      <c r="P294" s="13">
        <f t="shared" si="587"/>
        <v>0</v>
      </c>
      <c r="Q294" s="13">
        <f t="shared" si="587"/>
        <v>0</v>
      </c>
      <c r="R294" s="13">
        <f t="shared" si="587"/>
        <v>0</v>
      </c>
      <c r="S294" s="13">
        <f t="shared" si="587"/>
        <v>0</v>
      </c>
      <c r="T294" s="13">
        <f t="shared" si="587"/>
        <v>0</v>
      </c>
      <c r="U294" s="13">
        <f t="shared" si="587"/>
        <v>0</v>
      </c>
      <c r="V294" s="13">
        <f t="shared" si="587"/>
        <v>0</v>
      </c>
      <c r="W294" s="13">
        <f t="shared" si="587"/>
        <v>0</v>
      </c>
      <c r="X294" s="13">
        <f t="shared" si="587"/>
        <v>0</v>
      </c>
      <c r="Y294" s="13">
        <f t="shared" si="587"/>
        <v>0</v>
      </c>
      <c r="Z294" s="13">
        <f t="shared" si="587"/>
        <v>0</v>
      </c>
      <c r="AA294" s="13">
        <f t="shared" si="587"/>
        <v>0</v>
      </c>
      <c r="AB294" s="13">
        <f t="shared" ref="AB294:AP294" si="588">IFERROR(VALUE(RIGHT(LEFT($J294,FIND(AB$1,$J294,IF(M294=0,1,FIND(AB$1,$J294,1)+1))+LEN(AB$1)),1)),0)</f>
        <v>0</v>
      </c>
      <c r="AC294" s="13">
        <f t="shared" si="588"/>
        <v>0</v>
      </c>
      <c r="AD294" s="13">
        <f t="shared" si="588"/>
        <v>0</v>
      </c>
      <c r="AE294" s="13">
        <f t="shared" si="588"/>
        <v>0</v>
      </c>
      <c r="AF294" s="13">
        <f t="shared" si="588"/>
        <v>0</v>
      </c>
      <c r="AG294" s="13">
        <f t="shared" si="588"/>
        <v>0</v>
      </c>
      <c r="AH294" s="13">
        <f t="shared" si="588"/>
        <v>0</v>
      </c>
      <c r="AI294" s="13">
        <f t="shared" si="588"/>
        <v>0</v>
      </c>
      <c r="AJ294" s="13">
        <f t="shared" si="588"/>
        <v>0</v>
      </c>
      <c r="AK294" s="13">
        <f t="shared" si="588"/>
        <v>0</v>
      </c>
      <c r="AL294" s="13">
        <f t="shared" si="588"/>
        <v>0</v>
      </c>
      <c r="AM294" s="13">
        <f t="shared" si="588"/>
        <v>0</v>
      </c>
      <c r="AN294" s="13">
        <f t="shared" si="588"/>
        <v>0</v>
      </c>
      <c r="AO294" s="13">
        <f t="shared" si="588"/>
        <v>0</v>
      </c>
      <c r="AP294" s="13">
        <f t="shared" si="588"/>
        <v>1</v>
      </c>
      <c r="AQ294" s="13"/>
      <c r="AR294" s="13" t="s">
        <v>289</v>
      </c>
      <c r="AS294" s="13" t="s">
        <v>2202</v>
      </c>
      <c r="AT294" s="13" t="s">
        <v>290</v>
      </c>
      <c r="AU294" s="13" t="s">
        <v>130</v>
      </c>
      <c r="AV294" s="13" t="s">
        <v>291</v>
      </c>
      <c r="AW294" s="13">
        <v>4.0</v>
      </c>
      <c r="AX294" s="13">
        <v>0.0</v>
      </c>
      <c r="AY294" s="13">
        <v>0.0</v>
      </c>
      <c r="AZ294" s="13" t="s">
        <v>2203</v>
      </c>
      <c r="BA294" s="13" t="s">
        <v>2204</v>
      </c>
      <c r="BB294" s="13"/>
      <c r="BC294" s="13"/>
      <c r="BD294" s="13" t="s">
        <v>306</v>
      </c>
      <c r="BE294" s="13">
        <v>16.0</v>
      </c>
      <c r="BF294" s="13" t="s">
        <v>2205</v>
      </c>
      <c r="BG294" s="13"/>
      <c r="BH294" s="13" t="s">
        <v>79</v>
      </c>
      <c r="BI294" s="13" t="b">
        <v>0</v>
      </c>
      <c r="BJ294" s="13">
        <v>0.0</v>
      </c>
      <c r="BK294" s="13">
        <v>0.0</v>
      </c>
    </row>
    <row r="295" ht="14.25" customHeight="1">
      <c r="A295" s="13">
        <v>293.0</v>
      </c>
      <c r="B295" s="13" t="s">
        <v>49</v>
      </c>
      <c r="C295" s="13">
        <v>0.0</v>
      </c>
      <c r="D295" s="14">
        <v>0.0</v>
      </c>
      <c r="E295" s="13" t="s">
        <v>2206</v>
      </c>
      <c r="F295" s="15" t="s">
        <v>329</v>
      </c>
      <c r="G295" s="16" t="s">
        <v>2207</v>
      </c>
      <c r="H295" s="13">
        <v>12.0</v>
      </c>
      <c r="I295" s="13">
        <v>0.9</v>
      </c>
      <c r="J295" s="13" t="s">
        <v>193</v>
      </c>
      <c r="K295" s="13">
        <f t="shared" si="3"/>
        <v>0</v>
      </c>
      <c r="L295" s="13">
        <f t="shared" si="4"/>
        <v>1</v>
      </c>
      <c r="M295" s="13">
        <f t="shared" ref="M295:AA295" si="589">IFERROR(VALUE(RIGHT(LEFT($J295,FIND(M$1,$J295,1)+LEN(M$1)),1)),0)</f>
        <v>0</v>
      </c>
      <c r="N295" s="13">
        <f t="shared" si="589"/>
        <v>0</v>
      </c>
      <c r="O295" s="13">
        <f t="shared" si="589"/>
        <v>0</v>
      </c>
      <c r="P295" s="13">
        <f t="shared" si="589"/>
        <v>0</v>
      </c>
      <c r="Q295" s="13">
        <f t="shared" si="589"/>
        <v>0</v>
      </c>
      <c r="R295" s="13">
        <f t="shared" si="589"/>
        <v>0</v>
      </c>
      <c r="S295" s="13">
        <f t="shared" si="589"/>
        <v>0</v>
      </c>
      <c r="T295" s="13">
        <f t="shared" si="589"/>
        <v>0</v>
      </c>
      <c r="U295" s="13">
        <f t="shared" si="589"/>
        <v>0</v>
      </c>
      <c r="V295" s="13">
        <f t="shared" si="589"/>
        <v>0</v>
      </c>
      <c r="W295" s="13">
        <f t="shared" si="589"/>
        <v>0</v>
      </c>
      <c r="X295" s="13">
        <f t="shared" si="589"/>
        <v>0</v>
      </c>
      <c r="Y295" s="13">
        <f t="shared" si="589"/>
        <v>0</v>
      </c>
      <c r="Z295" s="13">
        <f t="shared" si="589"/>
        <v>0</v>
      </c>
      <c r="AA295" s="13">
        <f t="shared" si="589"/>
        <v>0</v>
      </c>
      <c r="AB295" s="13">
        <f t="shared" ref="AB295:AP295" si="590">IFERROR(VALUE(RIGHT(LEFT($J295,FIND(AB$1,$J295,IF(M295=0,1,FIND(AB$1,$J295,1)+1))+LEN(AB$1)),1)),0)</f>
        <v>0</v>
      </c>
      <c r="AC295" s="13">
        <f t="shared" si="590"/>
        <v>0</v>
      </c>
      <c r="AD295" s="13">
        <f t="shared" si="590"/>
        <v>0</v>
      </c>
      <c r="AE295" s="13">
        <f t="shared" si="590"/>
        <v>0</v>
      </c>
      <c r="AF295" s="13">
        <f t="shared" si="590"/>
        <v>0</v>
      </c>
      <c r="AG295" s="13">
        <f t="shared" si="590"/>
        <v>0</v>
      </c>
      <c r="AH295" s="13">
        <f t="shared" si="590"/>
        <v>0</v>
      </c>
      <c r="AI295" s="13">
        <f t="shared" si="590"/>
        <v>0</v>
      </c>
      <c r="AJ295" s="13">
        <f t="shared" si="590"/>
        <v>0</v>
      </c>
      <c r="AK295" s="13">
        <f t="shared" si="590"/>
        <v>0</v>
      </c>
      <c r="AL295" s="13">
        <f t="shared" si="590"/>
        <v>0</v>
      </c>
      <c r="AM295" s="13">
        <f t="shared" si="590"/>
        <v>1</v>
      </c>
      <c r="AN295" s="13">
        <f t="shared" si="590"/>
        <v>0</v>
      </c>
      <c r="AO295" s="13">
        <f t="shared" si="590"/>
        <v>0</v>
      </c>
      <c r="AP295" s="13">
        <f t="shared" si="590"/>
        <v>0</v>
      </c>
      <c r="AQ295" s="13"/>
      <c r="AR295" s="13" t="s">
        <v>2208</v>
      </c>
      <c r="AS295" s="13" t="s">
        <v>206</v>
      </c>
      <c r="AT295" s="13" t="s">
        <v>162</v>
      </c>
      <c r="AU295" s="13" t="s">
        <v>2209</v>
      </c>
      <c r="AV295" s="13" t="s">
        <v>2210</v>
      </c>
      <c r="AW295" s="13">
        <v>5.0</v>
      </c>
      <c r="AX295" s="13">
        <v>0.0</v>
      </c>
      <c r="AY295" s="13">
        <v>0.0</v>
      </c>
      <c r="AZ295" s="13" t="s">
        <v>154</v>
      </c>
      <c r="BA295" s="13" t="s">
        <v>520</v>
      </c>
      <c r="BB295" s="13"/>
      <c r="BC295" s="13"/>
      <c r="BD295" s="13" t="s">
        <v>199</v>
      </c>
      <c r="BE295" s="13"/>
      <c r="BF295" s="13" t="s">
        <v>2211</v>
      </c>
      <c r="BG295" s="13" t="s">
        <v>201</v>
      </c>
      <c r="BH295" s="13" t="s">
        <v>79</v>
      </c>
      <c r="BI295" s="13" t="b">
        <v>0</v>
      </c>
      <c r="BJ295" s="13">
        <v>0.0</v>
      </c>
      <c r="BK295" s="13">
        <v>0.0</v>
      </c>
    </row>
    <row r="296" ht="14.25" customHeight="1">
      <c r="A296" s="13">
        <v>294.0</v>
      </c>
      <c r="B296" s="13" t="s">
        <v>44</v>
      </c>
      <c r="C296" s="13">
        <v>1.0</v>
      </c>
      <c r="D296" s="14">
        <v>0.0</v>
      </c>
      <c r="E296" s="13" t="s">
        <v>2212</v>
      </c>
      <c r="F296" s="15" t="s">
        <v>329</v>
      </c>
      <c r="G296" s="16" t="s">
        <v>2213</v>
      </c>
      <c r="H296" s="13"/>
      <c r="I296" s="13">
        <v>0.9</v>
      </c>
      <c r="J296" s="13" t="s">
        <v>83</v>
      </c>
      <c r="K296" s="13">
        <f t="shared" si="3"/>
        <v>0</v>
      </c>
      <c r="L296" s="13">
        <f t="shared" si="4"/>
        <v>2</v>
      </c>
      <c r="M296" s="13">
        <f t="shared" ref="M296:AA296" si="591">IFERROR(VALUE(RIGHT(LEFT($J296,FIND(M$1,$J296,1)+LEN(M$1)),1)),0)</f>
        <v>0</v>
      </c>
      <c r="N296" s="13">
        <f t="shared" si="591"/>
        <v>0</v>
      </c>
      <c r="O296" s="13">
        <f t="shared" si="591"/>
        <v>0</v>
      </c>
      <c r="P296" s="13">
        <f t="shared" si="591"/>
        <v>0</v>
      </c>
      <c r="Q296" s="13">
        <f t="shared" si="591"/>
        <v>0</v>
      </c>
      <c r="R296" s="13">
        <f t="shared" si="591"/>
        <v>0</v>
      </c>
      <c r="S296" s="13">
        <f t="shared" si="591"/>
        <v>0</v>
      </c>
      <c r="T296" s="13">
        <f t="shared" si="591"/>
        <v>0</v>
      </c>
      <c r="U296" s="13">
        <f t="shared" si="591"/>
        <v>0</v>
      </c>
      <c r="V296" s="13">
        <f t="shared" si="591"/>
        <v>0</v>
      </c>
      <c r="W296" s="13">
        <f t="shared" si="591"/>
        <v>0</v>
      </c>
      <c r="X296" s="13">
        <f t="shared" si="591"/>
        <v>0</v>
      </c>
      <c r="Y296" s="13">
        <f t="shared" si="591"/>
        <v>0</v>
      </c>
      <c r="Z296" s="13">
        <f t="shared" si="591"/>
        <v>0</v>
      </c>
      <c r="AA296" s="13">
        <f t="shared" si="591"/>
        <v>0</v>
      </c>
      <c r="AB296" s="13">
        <f t="shared" ref="AB296:AP296" si="592">IFERROR(VALUE(RIGHT(LEFT($J296,FIND(AB$1,$J296,IF(M296=0,1,FIND(AB$1,$J296,1)+1))+LEN(AB$1)),1)),0)</f>
        <v>1</v>
      </c>
      <c r="AC296" s="13">
        <f t="shared" si="592"/>
        <v>0</v>
      </c>
      <c r="AD296" s="13">
        <f t="shared" si="592"/>
        <v>0</v>
      </c>
      <c r="AE296" s="13">
        <f t="shared" si="592"/>
        <v>0</v>
      </c>
      <c r="AF296" s="13">
        <f t="shared" si="592"/>
        <v>0</v>
      </c>
      <c r="AG296" s="13">
        <f t="shared" si="592"/>
        <v>0</v>
      </c>
      <c r="AH296" s="13">
        <f t="shared" si="592"/>
        <v>1</v>
      </c>
      <c r="AI296" s="13">
        <f t="shared" si="592"/>
        <v>0</v>
      </c>
      <c r="AJ296" s="13">
        <f t="shared" si="592"/>
        <v>0</v>
      </c>
      <c r="AK296" s="13">
        <f t="shared" si="592"/>
        <v>0</v>
      </c>
      <c r="AL296" s="13">
        <f t="shared" si="592"/>
        <v>0</v>
      </c>
      <c r="AM296" s="13">
        <f t="shared" si="592"/>
        <v>0</v>
      </c>
      <c r="AN296" s="13">
        <f t="shared" si="592"/>
        <v>0</v>
      </c>
      <c r="AO296" s="13">
        <f t="shared" si="592"/>
        <v>0</v>
      </c>
      <c r="AP296" s="13">
        <f t="shared" si="592"/>
        <v>0</v>
      </c>
      <c r="AQ296" s="13" t="s">
        <v>2214</v>
      </c>
      <c r="AR296" s="13"/>
      <c r="AS296" s="13" t="s">
        <v>2215</v>
      </c>
      <c r="AT296" s="13"/>
      <c r="AU296" s="13"/>
      <c r="AV296" s="13"/>
      <c r="AW296" s="13">
        <v>0.0</v>
      </c>
      <c r="AX296" s="13">
        <v>0.0</v>
      </c>
      <c r="AY296" s="13">
        <v>0.0</v>
      </c>
      <c r="AZ296" s="13"/>
      <c r="BA296" s="13"/>
      <c r="BB296" s="13"/>
      <c r="BC296" s="13"/>
      <c r="BD296" s="13"/>
      <c r="BE296" s="13"/>
      <c r="BF296" s="13"/>
      <c r="BG296" s="13"/>
      <c r="BH296" s="13" t="s">
        <v>79</v>
      </c>
      <c r="BI296" s="13" t="b">
        <v>0</v>
      </c>
      <c r="BJ296" s="13">
        <v>0.0</v>
      </c>
      <c r="BK296" s="13">
        <v>0.0</v>
      </c>
    </row>
    <row r="297" ht="14.25" customHeight="1">
      <c r="A297" s="13">
        <v>295.0</v>
      </c>
      <c r="B297" s="13" t="s">
        <v>45</v>
      </c>
      <c r="C297" s="13">
        <v>1.0</v>
      </c>
      <c r="D297" s="14">
        <v>0.0</v>
      </c>
      <c r="E297" s="13" t="s">
        <v>2216</v>
      </c>
      <c r="F297" s="15" t="s">
        <v>329</v>
      </c>
      <c r="G297" s="16" t="s">
        <v>2217</v>
      </c>
      <c r="H297" s="13"/>
      <c r="I297" s="13">
        <v>1.0</v>
      </c>
      <c r="J297" s="13" t="s">
        <v>405</v>
      </c>
      <c r="K297" s="13">
        <f t="shared" si="3"/>
        <v>0</v>
      </c>
      <c r="L297" s="13">
        <f t="shared" si="4"/>
        <v>2</v>
      </c>
      <c r="M297" s="13">
        <f t="shared" ref="M297:AA297" si="593">IFERROR(VALUE(RIGHT(LEFT($J297,FIND(M$1,$J297,1)+LEN(M$1)),1)),0)</f>
        <v>0</v>
      </c>
      <c r="N297" s="13">
        <f t="shared" si="593"/>
        <v>0</v>
      </c>
      <c r="O297" s="13">
        <f t="shared" si="593"/>
        <v>0</v>
      </c>
      <c r="P297" s="13">
        <f t="shared" si="593"/>
        <v>0</v>
      </c>
      <c r="Q297" s="13">
        <f t="shared" si="593"/>
        <v>0</v>
      </c>
      <c r="R297" s="13">
        <f t="shared" si="593"/>
        <v>0</v>
      </c>
      <c r="S297" s="13">
        <f t="shared" si="593"/>
        <v>0</v>
      </c>
      <c r="T297" s="13">
        <f t="shared" si="593"/>
        <v>0</v>
      </c>
      <c r="U297" s="13">
        <f t="shared" si="593"/>
        <v>0</v>
      </c>
      <c r="V297" s="13">
        <f t="shared" si="593"/>
        <v>0</v>
      </c>
      <c r="W297" s="13">
        <f t="shared" si="593"/>
        <v>0</v>
      </c>
      <c r="X297" s="13">
        <f t="shared" si="593"/>
        <v>0</v>
      </c>
      <c r="Y297" s="13">
        <f t="shared" si="593"/>
        <v>0</v>
      </c>
      <c r="Z297" s="13">
        <f t="shared" si="593"/>
        <v>0</v>
      </c>
      <c r="AA297" s="13">
        <f t="shared" si="593"/>
        <v>0</v>
      </c>
      <c r="AB297" s="13">
        <f t="shared" ref="AB297:AP297" si="594">IFERROR(VALUE(RIGHT(LEFT($J297,FIND(AB$1,$J297,IF(M297=0,1,FIND(AB$1,$J297,1)+1))+LEN(AB$1)),1)),0)</f>
        <v>0</v>
      </c>
      <c r="AC297" s="13">
        <f t="shared" si="594"/>
        <v>0</v>
      </c>
      <c r="AD297" s="13">
        <f t="shared" si="594"/>
        <v>0</v>
      </c>
      <c r="AE297" s="13">
        <f t="shared" si="594"/>
        <v>1</v>
      </c>
      <c r="AF297" s="13">
        <f t="shared" si="594"/>
        <v>0</v>
      </c>
      <c r="AG297" s="13">
        <f t="shared" si="594"/>
        <v>0</v>
      </c>
      <c r="AH297" s="13">
        <f t="shared" si="594"/>
        <v>0</v>
      </c>
      <c r="AI297" s="13">
        <f t="shared" si="594"/>
        <v>1</v>
      </c>
      <c r="AJ297" s="13">
        <f t="shared" si="594"/>
        <v>0</v>
      </c>
      <c r="AK297" s="13">
        <f t="shared" si="594"/>
        <v>0</v>
      </c>
      <c r="AL297" s="13">
        <f t="shared" si="594"/>
        <v>0</v>
      </c>
      <c r="AM297" s="13">
        <f t="shared" si="594"/>
        <v>0</v>
      </c>
      <c r="AN297" s="13">
        <f t="shared" si="594"/>
        <v>0</v>
      </c>
      <c r="AO297" s="13">
        <f t="shared" si="594"/>
        <v>0</v>
      </c>
      <c r="AP297" s="13">
        <f t="shared" si="594"/>
        <v>0</v>
      </c>
      <c r="AQ297" s="13" t="s">
        <v>2218</v>
      </c>
      <c r="AR297" s="13"/>
      <c r="AS297" s="13" t="s">
        <v>2219</v>
      </c>
      <c r="AT297" s="13"/>
      <c r="AU297" s="13"/>
      <c r="AV297" s="13"/>
      <c r="AW297" s="13">
        <v>0.0</v>
      </c>
      <c r="AX297" s="13">
        <v>0.0</v>
      </c>
      <c r="AY297" s="13">
        <v>0.0</v>
      </c>
      <c r="AZ297" s="13"/>
      <c r="BA297" s="13"/>
      <c r="BB297" s="13"/>
      <c r="BC297" s="13"/>
      <c r="BD297" s="13"/>
      <c r="BE297" s="13"/>
      <c r="BF297" s="13"/>
      <c r="BG297" s="13"/>
      <c r="BH297" s="13" t="s">
        <v>79</v>
      </c>
      <c r="BI297" s="13" t="b">
        <v>0</v>
      </c>
      <c r="BJ297" s="13">
        <v>0.0</v>
      </c>
      <c r="BK297" s="13">
        <v>0.0</v>
      </c>
    </row>
    <row r="298" ht="14.25" customHeight="1">
      <c r="A298" s="13">
        <v>296.0</v>
      </c>
      <c r="B298" s="13" t="s">
        <v>46</v>
      </c>
      <c r="C298" s="13">
        <v>1.0</v>
      </c>
      <c r="D298" s="14">
        <v>0.0</v>
      </c>
      <c r="E298" s="13" t="s">
        <v>2220</v>
      </c>
      <c r="F298" s="15" t="s">
        <v>329</v>
      </c>
      <c r="G298" s="16" t="s">
        <v>2221</v>
      </c>
      <c r="H298" s="13"/>
      <c r="I298" s="13">
        <v>1.0</v>
      </c>
      <c r="J298" s="13" t="s">
        <v>430</v>
      </c>
      <c r="K298" s="13">
        <f t="shared" si="3"/>
        <v>0</v>
      </c>
      <c r="L298" s="13">
        <f t="shared" si="4"/>
        <v>2</v>
      </c>
      <c r="M298" s="13">
        <f t="shared" ref="M298:AA298" si="595">IFERROR(VALUE(RIGHT(LEFT($J298,FIND(M$1,$J298,1)+LEN(M$1)),1)),0)</f>
        <v>0</v>
      </c>
      <c r="N298" s="13">
        <f t="shared" si="595"/>
        <v>0</v>
      </c>
      <c r="O298" s="13">
        <f t="shared" si="595"/>
        <v>0</v>
      </c>
      <c r="P298" s="13">
        <f t="shared" si="595"/>
        <v>0</v>
      </c>
      <c r="Q298" s="13">
        <f t="shared" si="595"/>
        <v>0</v>
      </c>
      <c r="R298" s="13">
        <f t="shared" si="595"/>
        <v>0</v>
      </c>
      <c r="S298" s="13">
        <f t="shared" si="595"/>
        <v>0</v>
      </c>
      <c r="T298" s="13">
        <f t="shared" si="595"/>
        <v>0</v>
      </c>
      <c r="U298" s="13">
        <f t="shared" si="595"/>
        <v>0</v>
      </c>
      <c r="V298" s="13">
        <f t="shared" si="595"/>
        <v>0</v>
      </c>
      <c r="W298" s="13">
        <f t="shared" si="595"/>
        <v>0</v>
      </c>
      <c r="X298" s="13">
        <f t="shared" si="595"/>
        <v>0</v>
      </c>
      <c r="Y298" s="13">
        <f t="shared" si="595"/>
        <v>0</v>
      </c>
      <c r="Z298" s="13">
        <f t="shared" si="595"/>
        <v>0</v>
      </c>
      <c r="AA298" s="13">
        <f t="shared" si="595"/>
        <v>0</v>
      </c>
      <c r="AB298" s="13">
        <f t="shared" ref="AB298:AP298" si="596">IFERROR(VALUE(RIGHT(LEFT($J298,FIND(AB$1,$J298,IF(M298=0,1,FIND(AB$1,$J298,1)+1))+LEN(AB$1)),1)),0)</f>
        <v>0</v>
      </c>
      <c r="AC298" s="13">
        <f t="shared" si="596"/>
        <v>0</v>
      </c>
      <c r="AD298" s="13">
        <f t="shared" si="596"/>
        <v>0</v>
      </c>
      <c r="AE298" s="13">
        <f t="shared" si="596"/>
        <v>0</v>
      </c>
      <c r="AF298" s="13">
        <f t="shared" si="596"/>
        <v>1</v>
      </c>
      <c r="AG298" s="13">
        <f t="shared" si="596"/>
        <v>0</v>
      </c>
      <c r="AH298" s="13">
        <f t="shared" si="596"/>
        <v>0</v>
      </c>
      <c r="AI298" s="13">
        <f t="shared" si="596"/>
        <v>0</v>
      </c>
      <c r="AJ298" s="13">
        <f t="shared" si="596"/>
        <v>1</v>
      </c>
      <c r="AK298" s="13">
        <f t="shared" si="596"/>
        <v>0</v>
      </c>
      <c r="AL298" s="13">
        <f t="shared" si="596"/>
        <v>0</v>
      </c>
      <c r="AM298" s="13">
        <f t="shared" si="596"/>
        <v>0</v>
      </c>
      <c r="AN298" s="13">
        <f t="shared" si="596"/>
        <v>0</v>
      </c>
      <c r="AO298" s="13">
        <f t="shared" si="596"/>
        <v>0</v>
      </c>
      <c r="AP298" s="13">
        <f t="shared" si="596"/>
        <v>0</v>
      </c>
      <c r="AQ298" s="13" t="s">
        <v>2222</v>
      </c>
      <c r="AR298" s="13"/>
      <c r="AS298" s="13" t="s">
        <v>2223</v>
      </c>
      <c r="AT298" s="13"/>
      <c r="AU298" s="13"/>
      <c r="AV298" s="13"/>
      <c r="AW298" s="13">
        <v>0.0</v>
      </c>
      <c r="AX298" s="13">
        <v>0.0</v>
      </c>
      <c r="AY298" s="13">
        <v>0.0</v>
      </c>
      <c r="AZ298" s="13"/>
      <c r="BA298" s="13"/>
      <c r="BB298" s="13"/>
      <c r="BC298" s="13"/>
      <c r="BD298" s="13"/>
      <c r="BE298" s="13"/>
      <c r="BF298" s="13"/>
      <c r="BG298" s="13"/>
      <c r="BH298" s="13" t="s">
        <v>79</v>
      </c>
      <c r="BI298" s="13" t="b">
        <v>0</v>
      </c>
      <c r="BJ298" s="13">
        <v>0.0</v>
      </c>
      <c r="BK298" s="13">
        <v>0.0</v>
      </c>
    </row>
    <row r="299" ht="14.25" customHeight="1">
      <c r="A299" s="13">
        <v>297.0</v>
      </c>
      <c r="B299" s="13" t="s">
        <v>52</v>
      </c>
      <c r="C299" s="13">
        <v>1.0</v>
      </c>
      <c r="D299" s="14">
        <v>0.0</v>
      </c>
      <c r="E299" s="13" t="s">
        <v>2224</v>
      </c>
      <c r="F299" s="15" t="s">
        <v>329</v>
      </c>
      <c r="G299" s="16" t="s">
        <v>2225</v>
      </c>
      <c r="H299" s="13">
        <v>5.0</v>
      </c>
      <c r="I299" s="13">
        <v>1.0</v>
      </c>
      <c r="J299" s="13" t="s">
        <v>879</v>
      </c>
      <c r="K299" s="13">
        <f t="shared" si="3"/>
        <v>0</v>
      </c>
      <c r="L299" s="13">
        <f t="shared" si="4"/>
        <v>2</v>
      </c>
      <c r="M299" s="13">
        <f t="shared" ref="M299:AA299" si="597">IFERROR(VALUE(RIGHT(LEFT($J299,FIND(M$1,$J299,1)+LEN(M$1)),1)),0)</f>
        <v>0</v>
      </c>
      <c r="N299" s="13">
        <f t="shared" si="597"/>
        <v>0</v>
      </c>
      <c r="O299" s="13">
        <f t="shared" si="597"/>
        <v>0</v>
      </c>
      <c r="P299" s="13">
        <f t="shared" si="597"/>
        <v>0</v>
      </c>
      <c r="Q299" s="13">
        <f t="shared" si="597"/>
        <v>0</v>
      </c>
      <c r="R299" s="13">
        <f t="shared" si="597"/>
        <v>0</v>
      </c>
      <c r="S299" s="13">
        <f t="shared" si="597"/>
        <v>0</v>
      </c>
      <c r="T299" s="13">
        <f t="shared" si="597"/>
        <v>0</v>
      </c>
      <c r="U299" s="13">
        <f t="shared" si="597"/>
        <v>0</v>
      </c>
      <c r="V299" s="13">
        <f t="shared" si="597"/>
        <v>0</v>
      </c>
      <c r="W299" s="13">
        <f t="shared" si="597"/>
        <v>0</v>
      </c>
      <c r="X299" s="13">
        <f t="shared" si="597"/>
        <v>0</v>
      </c>
      <c r="Y299" s="13">
        <f t="shared" si="597"/>
        <v>0</v>
      </c>
      <c r="Z299" s="13">
        <f t="shared" si="597"/>
        <v>0</v>
      </c>
      <c r="AA299" s="13">
        <f t="shared" si="597"/>
        <v>0</v>
      </c>
      <c r="AB299" s="13">
        <f t="shared" ref="AB299:AP299" si="598">IFERROR(VALUE(RIGHT(LEFT($J299,FIND(AB$1,$J299,IF(M299=0,1,FIND(AB$1,$J299,1)+1))+LEN(AB$1)),1)),0)</f>
        <v>0</v>
      </c>
      <c r="AC299" s="13">
        <f t="shared" si="598"/>
        <v>0</v>
      </c>
      <c r="AD299" s="13">
        <f t="shared" si="598"/>
        <v>0</v>
      </c>
      <c r="AE299" s="13">
        <f t="shared" si="598"/>
        <v>1</v>
      </c>
      <c r="AF299" s="13">
        <f t="shared" si="598"/>
        <v>0</v>
      </c>
      <c r="AG299" s="13">
        <f t="shared" si="598"/>
        <v>0</v>
      </c>
      <c r="AH299" s="13">
        <f t="shared" si="598"/>
        <v>0</v>
      </c>
      <c r="AI299" s="13">
        <f t="shared" si="598"/>
        <v>0</v>
      </c>
      <c r="AJ299" s="13">
        <f t="shared" si="598"/>
        <v>0</v>
      </c>
      <c r="AK299" s="13">
        <f t="shared" si="598"/>
        <v>0</v>
      </c>
      <c r="AL299" s="13">
        <f t="shared" si="598"/>
        <v>0</v>
      </c>
      <c r="AM299" s="13">
        <f t="shared" si="598"/>
        <v>0</v>
      </c>
      <c r="AN299" s="13">
        <f t="shared" si="598"/>
        <v>0</v>
      </c>
      <c r="AO299" s="13">
        <f t="shared" si="598"/>
        <v>0</v>
      </c>
      <c r="AP299" s="13">
        <f t="shared" si="598"/>
        <v>1</v>
      </c>
      <c r="AQ299" s="13"/>
      <c r="AR299" s="13" t="s">
        <v>880</v>
      </c>
      <c r="AS299" s="13" t="s">
        <v>2226</v>
      </c>
      <c r="AT299" s="13" t="s">
        <v>162</v>
      </c>
      <c r="AU299" s="13" t="s">
        <v>195</v>
      </c>
      <c r="AV299" s="13" t="s">
        <v>2227</v>
      </c>
      <c r="AW299" s="13">
        <v>6.0</v>
      </c>
      <c r="AX299" s="13">
        <v>0.0</v>
      </c>
      <c r="AY299" s="13">
        <v>0.0</v>
      </c>
      <c r="AZ299" s="13" t="s">
        <v>519</v>
      </c>
      <c r="BA299" s="13" t="s">
        <v>260</v>
      </c>
      <c r="BB299" s="13"/>
      <c r="BC299" s="13"/>
      <c r="BD299" s="13" t="s">
        <v>294</v>
      </c>
      <c r="BE299" s="13" t="s">
        <v>2228</v>
      </c>
      <c r="BF299" s="13" t="s">
        <v>2229</v>
      </c>
      <c r="BG299" s="13"/>
      <c r="BH299" s="13" t="s">
        <v>241</v>
      </c>
      <c r="BI299" s="13" t="b">
        <v>0</v>
      </c>
      <c r="BJ299" s="13">
        <v>0.0</v>
      </c>
      <c r="BK299" s="13">
        <v>0.0</v>
      </c>
    </row>
    <row r="300" ht="14.25" customHeight="1">
      <c r="A300" s="13">
        <v>298.0</v>
      </c>
      <c r="B300" s="13" t="s">
        <v>52</v>
      </c>
      <c r="C300" s="13">
        <v>1.0</v>
      </c>
      <c r="D300" s="14">
        <v>0.0</v>
      </c>
      <c r="E300" s="13" t="s">
        <v>2230</v>
      </c>
      <c r="F300" s="15" t="s">
        <v>329</v>
      </c>
      <c r="G300" s="16" t="s">
        <v>2231</v>
      </c>
      <c r="H300" s="13">
        <v>10.0</v>
      </c>
      <c r="I300" s="13">
        <v>1.1</v>
      </c>
      <c r="J300" s="13" t="s">
        <v>920</v>
      </c>
      <c r="K300" s="13">
        <f t="shared" si="3"/>
        <v>0</v>
      </c>
      <c r="L300" s="13">
        <f t="shared" si="4"/>
        <v>2</v>
      </c>
      <c r="M300" s="13">
        <f t="shared" ref="M300:AA300" si="599">IFERROR(VALUE(RIGHT(LEFT($J300,FIND(M$1,$J300,1)+LEN(M$1)),1)),0)</f>
        <v>0</v>
      </c>
      <c r="N300" s="13">
        <f t="shared" si="599"/>
        <v>0</v>
      </c>
      <c r="O300" s="13">
        <f t="shared" si="599"/>
        <v>0</v>
      </c>
      <c r="P300" s="13">
        <f t="shared" si="599"/>
        <v>0</v>
      </c>
      <c r="Q300" s="13">
        <f t="shared" si="599"/>
        <v>0</v>
      </c>
      <c r="R300" s="13">
        <f t="shared" si="599"/>
        <v>0</v>
      </c>
      <c r="S300" s="13">
        <f t="shared" si="599"/>
        <v>0</v>
      </c>
      <c r="T300" s="13">
        <f t="shared" si="599"/>
        <v>0</v>
      </c>
      <c r="U300" s="13">
        <f t="shared" si="599"/>
        <v>0</v>
      </c>
      <c r="V300" s="13">
        <f t="shared" si="599"/>
        <v>0</v>
      </c>
      <c r="W300" s="13">
        <f t="shared" si="599"/>
        <v>0</v>
      </c>
      <c r="X300" s="13">
        <f t="shared" si="599"/>
        <v>0</v>
      </c>
      <c r="Y300" s="13">
        <f t="shared" si="599"/>
        <v>0</v>
      </c>
      <c r="Z300" s="13">
        <f t="shared" si="599"/>
        <v>0</v>
      </c>
      <c r="AA300" s="13">
        <f t="shared" si="599"/>
        <v>0</v>
      </c>
      <c r="AB300" s="13">
        <f t="shared" ref="AB300:AP300" si="600">IFERROR(VALUE(RIGHT(LEFT($J300,FIND(AB$1,$J300,IF(M300=0,1,FIND(AB$1,$J300,1)+1))+LEN(AB$1)),1)),0)</f>
        <v>0</v>
      </c>
      <c r="AC300" s="13">
        <f t="shared" si="600"/>
        <v>0</v>
      </c>
      <c r="AD300" s="13">
        <f t="shared" si="600"/>
        <v>0</v>
      </c>
      <c r="AE300" s="13">
        <f t="shared" si="600"/>
        <v>0</v>
      </c>
      <c r="AF300" s="13">
        <f t="shared" si="600"/>
        <v>1</v>
      </c>
      <c r="AG300" s="13">
        <f t="shared" si="600"/>
        <v>0</v>
      </c>
      <c r="AH300" s="13">
        <f t="shared" si="600"/>
        <v>0</v>
      </c>
      <c r="AI300" s="13">
        <f t="shared" si="600"/>
        <v>0</v>
      </c>
      <c r="AJ300" s="13">
        <f t="shared" si="600"/>
        <v>0</v>
      </c>
      <c r="AK300" s="13">
        <f t="shared" si="600"/>
        <v>0</v>
      </c>
      <c r="AL300" s="13">
        <f t="shared" si="600"/>
        <v>0</v>
      </c>
      <c r="AM300" s="13">
        <f t="shared" si="600"/>
        <v>0</v>
      </c>
      <c r="AN300" s="13">
        <f t="shared" si="600"/>
        <v>0</v>
      </c>
      <c r="AO300" s="13">
        <f t="shared" si="600"/>
        <v>0</v>
      </c>
      <c r="AP300" s="13">
        <f t="shared" si="600"/>
        <v>1</v>
      </c>
      <c r="AQ300" s="13"/>
      <c r="AR300" s="13" t="s">
        <v>1552</v>
      </c>
      <c r="AS300" s="13" t="s">
        <v>2232</v>
      </c>
      <c r="AT300" s="13" t="s">
        <v>573</v>
      </c>
      <c r="AU300" s="13" t="s">
        <v>130</v>
      </c>
      <c r="AV300" s="13" t="s">
        <v>2233</v>
      </c>
      <c r="AW300" s="13">
        <v>9.0</v>
      </c>
      <c r="AX300" s="13">
        <v>0.0</v>
      </c>
      <c r="AY300" s="13">
        <v>0.0</v>
      </c>
      <c r="AZ300" s="13" t="s">
        <v>662</v>
      </c>
      <c r="BA300" s="13" t="s">
        <v>2234</v>
      </c>
      <c r="BB300" s="13"/>
      <c r="BC300" s="13"/>
      <c r="BD300" s="13" t="s">
        <v>306</v>
      </c>
      <c r="BE300" s="13" t="s">
        <v>2235</v>
      </c>
      <c r="BF300" s="13" t="s">
        <v>680</v>
      </c>
      <c r="BG300" s="13"/>
      <c r="BH300" s="13" t="s">
        <v>79</v>
      </c>
      <c r="BI300" s="13" t="b">
        <v>0</v>
      </c>
      <c r="BJ300" s="13">
        <v>0.0</v>
      </c>
      <c r="BK300" s="13">
        <v>0.0</v>
      </c>
    </row>
    <row r="301" ht="14.25" customHeight="1">
      <c r="A301" s="13">
        <v>299.0</v>
      </c>
      <c r="B301" s="13" t="s">
        <v>49</v>
      </c>
      <c r="C301" s="13">
        <v>1.0</v>
      </c>
      <c r="D301" s="14">
        <v>0.0</v>
      </c>
      <c r="E301" s="13" t="s">
        <v>2236</v>
      </c>
      <c r="F301" s="15" t="s">
        <v>329</v>
      </c>
      <c r="G301" s="16" t="s">
        <v>2237</v>
      </c>
      <c r="H301" s="13">
        <v>14.0</v>
      </c>
      <c r="I301" s="13">
        <v>1.0</v>
      </c>
      <c r="J301" s="13" t="s">
        <v>638</v>
      </c>
      <c r="K301" s="13">
        <f t="shared" si="3"/>
        <v>0</v>
      </c>
      <c r="L301" s="13">
        <f t="shared" si="4"/>
        <v>2</v>
      </c>
      <c r="M301" s="13">
        <f t="shared" ref="M301:AA301" si="601">IFERROR(VALUE(RIGHT(LEFT($J301,FIND(M$1,$J301,1)+LEN(M$1)),1)),0)</f>
        <v>0</v>
      </c>
      <c r="N301" s="13">
        <f t="shared" si="601"/>
        <v>0</v>
      </c>
      <c r="O301" s="13">
        <f t="shared" si="601"/>
        <v>0</v>
      </c>
      <c r="P301" s="13">
        <f t="shared" si="601"/>
        <v>0</v>
      </c>
      <c r="Q301" s="13">
        <f t="shared" si="601"/>
        <v>0</v>
      </c>
      <c r="R301" s="13">
        <f t="shared" si="601"/>
        <v>0</v>
      </c>
      <c r="S301" s="13">
        <f t="shared" si="601"/>
        <v>0</v>
      </c>
      <c r="T301" s="13">
        <f t="shared" si="601"/>
        <v>0</v>
      </c>
      <c r="U301" s="13">
        <f t="shared" si="601"/>
        <v>0</v>
      </c>
      <c r="V301" s="13">
        <f t="shared" si="601"/>
        <v>0</v>
      </c>
      <c r="W301" s="13">
        <f t="shared" si="601"/>
        <v>0</v>
      </c>
      <c r="X301" s="13">
        <f t="shared" si="601"/>
        <v>0</v>
      </c>
      <c r="Y301" s="13">
        <f t="shared" si="601"/>
        <v>0</v>
      </c>
      <c r="Z301" s="13">
        <f t="shared" si="601"/>
        <v>0</v>
      </c>
      <c r="AA301" s="13">
        <f t="shared" si="601"/>
        <v>0</v>
      </c>
      <c r="AB301" s="13">
        <f t="shared" ref="AB301:AP301" si="602">IFERROR(VALUE(RIGHT(LEFT($J301,FIND(AB$1,$J301,IF(M301=0,1,FIND(AB$1,$J301,1)+1))+LEN(AB$1)),1)),0)</f>
        <v>1</v>
      </c>
      <c r="AC301" s="13">
        <f t="shared" si="602"/>
        <v>0</v>
      </c>
      <c r="AD301" s="13">
        <f t="shared" si="602"/>
        <v>0</v>
      </c>
      <c r="AE301" s="13">
        <f t="shared" si="602"/>
        <v>0</v>
      </c>
      <c r="AF301" s="13">
        <f t="shared" si="602"/>
        <v>0</v>
      </c>
      <c r="AG301" s="13">
        <f t="shared" si="602"/>
        <v>0</v>
      </c>
      <c r="AH301" s="13">
        <f t="shared" si="602"/>
        <v>0</v>
      </c>
      <c r="AI301" s="13">
        <f t="shared" si="602"/>
        <v>0</v>
      </c>
      <c r="AJ301" s="13">
        <f t="shared" si="602"/>
        <v>0</v>
      </c>
      <c r="AK301" s="13">
        <f t="shared" si="602"/>
        <v>0</v>
      </c>
      <c r="AL301" s="13">
        <f t="shared" si="602"/>
        <v>0</v>
      </c>
      <c r="AM301" s="13">
        <f t="shared" si="602"/>
        <v>1</v>
      </c>
      <c r="AN301" s="13">
        <f t="shared" si="602"/>
        <v>0</v>
      </c>
      <c r="AO301" s="13">
        <f t="shared" si="602"/>
        <v>0</v>
      </c>
      <c r="AP301" s="13">
        <f t="shared" si="602"/>
        <v>0</v>
      </c>
      <c r="AQ301" s="13"/>
      <c r="AR301" s="13" t="s">
        <v>659</v>
      </c>
      <c r="AS301" s="13" t="s">
        <v>2238</v>
      </c>
      <c r="AT301" s="13" t="s">
        <v>257</v>
      </c>
      <c r="AU301" s="13" t="s">
        <v>143</v>
      </c>
      <c r="AV301" s="13" t="s">
        <v>2239</v>
      </c>
      <c r="AW301" s="13">
        <v>10.0</v>
      </c>
      <c r="AX301" s="13">
        <v>0.0</v>
      </c>
      <c r="AY301" s="13">
        <v>0.0</v>
      </c>
      <c r="AZ301" s="13" t="s">
        <v>529</v>
      </c>
      <c r="BA301" s="13" t="s">
        <v>530</v>
      </c>
      <c r="BB301" s="13"/>
      <c r="BC301" s="13"/>
      <c r="BD301" s="13" t="s">
        <v>199</v>
      </c>
      <c r="BE301" s="13"/>
      <c r="BF301" s="13" t="s">
        <v>2240</v>
      </c>
      <c r="BG301" s="13" t="s">
        <v>201</v>
      </c>
      <c r="BH301" s="13" t="s">
        <v>79</v>
      </c>
      <c r="BI301" s="13" t="b">
        <v>0</v>
      </c>
      <c r="BJ301" s="13">
        <v>0.0</v>
      </c>
      <c r="BK301" s="13">
        <v>0.0</v>
      </c>
    </row>
    <row r="302" ht="14.25" customHeight="1">
      <c r="A302" s="13">
        <v>300.0</v>
      </c>
      <c r="B302" s="13" t="s">
        <v>44</v>
      </c>
      <c r="C302" s="13">
        <v>2.0</v>
      </c>
      <c r="D302" s="14">
        <v>0.0</v>
      </c>
      <c r="E302" s="13" t="s">
        <v>2241</v>
      </c>
      <c r="F302" s="15" t="s">
        <v>329</v>
      </c>
      <c r="G302" s="16" t="s">
        <v>2242</v>
      </c>
      <c r="H302" s="13"/>
      <c r="I302" s="13">
        <v>0.9</v>
      </c>
      <c r="J302" s="13" t="s">
        <v>2243</v>
      </c>
      <c r="K302" s="13">
        <f t="shared" si="3"/>
        <v>0</v>
      </c>
      <c r="L302" s="13">
        <f t="shared" si="4"/>
        <v>3</v>
      </c>
      <c r="M302" s="13">
        <f t="shared" ref="M302:AA302" si="603">IFERROR(VALUE(RIGHT(LEFT($J302,FIND(M$1,$J302,1)+LEN(M$1)),1)),0)</f>
        <v>0</v>
      </c>
      <c r="N302" s="13">
        <f t="shared" si="603"/>
        <v>0</v>
      </c>
      <c r="O302" s="13">
        <f t="shared" si="603"/>
        <v>0</v>
      </c>
      <c r="P302" s="13">
        <f t="shared" si="603"/>
        <v>0</v>
      </c>
      <c r="Q302" s="13">
        <f t="shared" si="603"/>
        <v>0</v>
      </c>
      <c r="R302" s="13">
        <f t="shared" si="603"/>
        <v>0</v>
      </c>
      <c r="S302" s="13">
        <f t="shared" si="603"/>
        <v>0</v>
      </c>
      <c r="T302" s="13">
        <f t="shared" si="603"/>
        <v>0</v>
      </c>
      <c r="U302" s="13">
        <f t="shared" si="603"/>
        <v>0</v>
      </c>
      <c r="V302" s="13">
        <f t="shared" si="603"/>
        <v>0</v>
      </c>
      <c r="W302" s="13">
        <f t="shared" si="603"/>
        <v>0</v>
      </c>
      <c r="X302" s="13">
        <f t="shared" si="603"/>
        <v>0</v>
      </c>
      <c r="Y302" s="13">
        <f t="shared" si="603"/>
        <v>0</v>
      </c>
      <c r="Z302" s="13">
        <f t="shared" si="603"/>
        <v>0</v>
      </c>
      <c r="AA302" s="13">
        <f t="shared" si="603"/>
        <v>0</v>
      </c>
      <c r="AB302" s="13">
        <f t="shared" ref="AB302:AP302" si="604">IFERROR(VALUE(RIGHT(LEFT($J302,FIND(AB$1,$J302,IF(M302=0,1,FIND(AB$1,$J302,1)+1))+LEN(AB$1)),1)),0)</f>
        <v>0</v>
      </c>
      <c r="AC302" s="13">
        <f t="shared" si="604"/>
        <v>0</v>
      </c>
      <c r="AD302" s="13">
        <f t="shared" si="604"/>
        <v>0</v>
      </c>
      <c r="AE302" s="13">
        <f t="shared" si="604"/>
        <v>0</v>
      </c>
      <c r="AF302" s="13">
        <f t="shared" si="604"/>
        <v>1</v>
      </c>
      <c r="AG302" s="13">
        <f t="shared" si="604"/>
        <v>0</v>
      </c>
      <c r="AH302" s="13">
        <f t="shared" si="604"/>
        <v>2</v>
      </c>
      <c r="AI302" s="13">
        <f t="shared" si="604"/>
        <v>0</v>
      </c>
      <c r="AJ302" s="13">
        <f t="shared" si="604"/>
        <v>0</v>
      </c>
      <c r="AK302" s="13">
        <f t="shared" si="604"/>
        <v>0</v>
      </c>
      <c r="AL302" s="13">
        <f t="shared" si="604"/>
        <v>0</v>
      </c>
      <c r="AM302" s="13">
        <f t="shared" si="604"/>
        <v>0</v>
      </c>
      <c r="AN302" s="13">
        <f t="shared" si="604"/>
        <v>0</v>
      </c>
      <c r="AO302" s="13">
        <f t="shared" si="604"/>
        <v>0</v>
      </c>
      <c r="AP302" s="13">
        <f t="shared" si="604"/>
        <v>0</v>
      </c>
      <c r="AQ302" s="13" t="s">
        <v>2244</v>
      </c>
      <c r="AR302" s="13"/>
      <c r="AS302" s="13" t="s">
        <v>946</v>
      </c>
      <c r="AT302" s="13"/>
      <c r="AU302" s="13"/>
      <c r="AV302" s="13"/>
      <c r="AW302" s="13">
        <v>0.0</v>
      </c>
      <c r="AX302" s="13">
        <v>0.0</v>
      </c>
      <c r="AY302" s="13">
        <v>0.0</v>
      </c>
      <c r="AZ302" s="13"/>
      <c r="BA302" s="13"/>
      <c r="BB302" s="13"/>
      <c r="BC302" s="13"/>
      <c r="BD302" s="13"/>
      <c r="BE302" s="13"/>
      <c r="BF302" s="13"/>
      <c r="BG302" s="13"/>
      <c r="BH302" s="13" t="s">
        <v>79</v>
      </c>
      <c r="BI302" s="13" t="b">
        <v>0</v>
      </c>
      <c r="BJ302" s="13">
        <v>0.0</v>
      </c>
      <c r="BK302" s="13">
        <v>0.0</v>
      </c>
    </row>
    <row r="303" ht="14.25" customHeight="1">
      <c r="A303" s="13">
        <v>301.0</v>
      </c>
      <c r="B303" s="13" t="s">
        <v>45</v>
      </c>
      <c r="C303" s="13">
        <v>2.0</v>
      </c>
      <c r="D303" s="14">
        <v>0.0</v>
      </c>
      <c r="E303" s="13" t="s">
        <v>2245</v>
      </c>
      <c r="F303" s="15" t="s">
        <v>329</v>
      </c>
      <c r="G303" s="16" t="s">
        <v>2246</v>
      </c>
      <c r="H303" s="13"/>
      <c r="I303" s="13">
        <v>1.0</v>
      </c>
      <c r="J303" s="13" t="s">
        <v>2247</v>
      </c>
      <c r="K303" s="13">
        <f t="shared" si="3"/>
        <v>0</v>
      </c>
      <c r="L303" s="13">
        <f t="shared" si="4"/>
        <v>3</v>
      </c>
      <c r="M303" s="13">
        <f t="shared" ref="M303:AA303" si="605">IFERROR(VALUE(RIGHT(LEFT($J303,FIND(M$1,$J303,1)+LEN(M$1)),1)),0)</f>
        <v>0</v>
      </c>
      <c r="N303" s="13">
        <f t="shared" si="605"/>
        <v>0</v>
      </c>
      <c r="O303" s="13">
        <f t="shared" si="605"/>
        <v>0</v>
      </c>
      <c r="P303" s="13">
        <f t="shared" si="605"/>
        <v>0</v>
      </c>
      <c r="Q303" s="13">
        <f t="shared" si="605"/>
        <v>0</v>
      </c>
      <c r="R303" s="13">
        <f t="shared" si="605"/>
        <v>0</v>
      </c>
      <c r="S303" s="13">
        <f t="shared" si="605"/>
        <v>0</v>
      </c>
      <c r="T303" s="13">
        <f t="shared" si="605"/>
        <v>0</v>
      </c>
      <c r="U303" s="13">
        <f t="shared" si="605"/>
        <v>0</v>
      </c>
      <c r="V303" s="13">
        <f t="shared" si="605"/>
        <v>0</v>
      </c>
      <c r="W303" s="13">
        <f t="shared" si="605"/>
        <v>0</v>
      </c>
      <c r="X303" s="13">
        <f t="shared" si="605"/>
        <v>0</v>
      </c>
      <c r="Y303" s="13">
        <f t="shared" si="605"/>
        <v>0</v>
      </c>
      <c r="Z303" s="13">
        <f t="shared" si="605"/>
        <v>0</v>
      </c>
      <c r="AA303" s="13">
        <f t="shared" si="605"/>
        <v>0</v>
      </c>
      <c r="AB303" s="13">
        <f t="shared" ref="AB303:AP303" si="606">IFERROR(VALUE(RIGHT(LEFT($J303,FIND(AB$1,$J303,IF(M303=0,1,FIND(AB$1,$J303,1)+1))+LEN(AB$1)),1)),0)</f>
        <v>1</v>
      </c>
      <c r="AC303" s="13">
        <f t="shared" si="606"/>
        <v>0</v>
      </c>
      <c r="AD303" s="13">
        <f t="shared" si="606"/>
        <v>0</v>
      </c>
      <c r="AE303" s="13">
        <f t="shared" si="606"/>
        <v>0</v>
      </c>
      <c r="AF303" s="13">
        <f t="shared" si="606"/>
        <v>0</v>
      </c>
      <c r="AG303" s="13">
        <f t="shared" si="606"/>
        <v>0</v>
      </c>
      <c r="AH303" s="13">
        <f t="shared" si="606"/>
        <v>0</v>
      </c>
      <c r="AI303" s="13">
        <f t="shared" si="606"/>
        <v>2</v>
      </c>
      <c r="AJ303" s="13">
        <f t="shared" si="606"/>
        <v>0</v>
      </c>
      <c r="AK303" s="13">
        <f t="shared" si="606"/>
        <v>0</v>
      </c>
      <c r="AL303" s="13">
        <f t="shared" si="606"/>
        <v>0</v>
      </c>
      <c r="AM303" s="13">
        <f t="shared" si="606"/>
        <v>0</v>
      </c>
      <c r="AN303" s="13">
        <f t="shared" si="606"/>
        <v>0</v>
      </c>
      <c r="AO303" s="13">
        <f t="shared" si="606"/>
        <v>0</v>
      </c>
      <c r="AP303" s="13">
        <f t="shared" si="606"/>
        <v>0</v>
      </c>
      <c r="AQ303" s="13" t="s">
        <v>2248</v>
      </c>
      <c r="AR303" s="13"/>
      <c r="AS303" s="13" t="s">
        <v>2249</v>
      </c>
      <c r="AT303" s="13"/>
      <c r="AU303" s="13"/>
      <c r="AV303" s="13"/>
      <c r="AW303" s="13">
        <v>0.0</v>
      </c>
      <c r="AX303" s="13">
        <v>0.0</v>
      </c>
      <c r="AY303" s="13">
        <v>0.0</v>
      </c>
      <c r="AZ303" s="13"/>
      <c r="BA303" s="13"/>
      <c r="BB303" s="13"/>
      <c r="BC303" s="13"/>
      <c r="BD303" s="13"/>
      <c r="BE303" s="13"/>
      <c r="BF303" s="13"/>
      <c r="BG303" s="13"/>
      <c r="BH303" s="13" t="s">
        <v>79</v>
      </c>
      <c r="BI303" s="13" t="b">
        <v>0</v>
      </c>
      <c r="BJ303" s="13">
        <v>0.0</v>
      </c>
      <c r="BK303" s="13">
        <v>0.0</v>
      </c>
    </row>
    <row r="304" ht="14.25" customHeight="1">
      <c r="A304" s="13">
        <v>302.0</v>
      </c>
      <c r="B304" s="13" t="s">
        <v>46</v>
      </c>
      <c r="C304" s="13">
        <v>2.0</v>
      </c>
      <c r="D304" s="14">
        <v>0.0</v>
      </c>
      <c r="E304" s="13" t="s">
        <v>2250</v>
      </c>
      <c r="F304" s="15" t="s">
        <v>329</v>
      </c>
      <c r="G304" s="16" t="s">
        <v>2251</v>
      </c>
      <c r="H304" s="13"/>
      <c r="I304" s="13">
        <v>1.0</v>
      </c>
      <c r="J304" s="13" t="s">
        <v>1041</v>
      </c>
      <c r="K304" s="13">
        <f t="shared" si="3"/>
        <v>0</v>
      </c>
      <c r="L304" s="13">
        <f t="shared" si="4"/>
        <v>3</v>
      </c>
      <c r="M304" s="13">
        <f t="shared" ref="M304:AA304" si="607">IFERROR(VALUE(RIGHT(LEFT($J304,FIND(M$1,$J304,1)+LEN(M$1)),1)),0)</f>
        <v>0</v>
      </c>
      <c r="N304" s="13">
        <f t="shared" si="607"/>
        <v>0</v>
      </c>
      <c r="O304" s="13">
        <f t="shared" si="607"/>
        <v>0</v>
      </c>
      <c r="P304" s="13">
        <f t="shared" si="607"/>
        <v>0</v>
      </c>
      <c r="Q304" s="13">
        <f t="shared" si="607"/>
        <v>0</v>
      </c>
      <c r="R304" s="13">
        <f t="shared" si="607"/>
        <v>0</v>
      </c>
      <c r="S304" s="13">
        <f t="shared" si="607"/>
        <v>0</v>
      </c>
      <c r="T304" s="13">
        <f t="shared" si="607"/>
        <v>0</v>
      </c>
      <c r="U304" s="13">
        <f t="shared" si="607"/>
        <v>0</v>
      </c>
      <c r="V304" s="13">
        <f t="shared" si="607"/>
        <v>0</v>
      </c>
      <c r="W304" s="13">
        <f t="shared" si="607"/>
        <v>0</v>
      </c>
      <c r="X304" s="13">
        <f t="shared" si="607"/>
        <v>0</v>
      </c>
      <c r="Y304" s="13">
        <f t="shared" si="607"/>
        <v>0</v>
      </c>
      <c r="Z304" s="13">
        <f t="shared" si="607"/>
        <v>0</v>
      </c>
      <c r="AA304" s="13">
        <f t="shared" si="607"/>
        <v>0</v>
      </c>
      <c r="AB304" s="13">
        <f t="shared" ref="AB304:AP304" si="608">IFERROR(VALUE(RIGHT(LEFT($J304,FIND(AB$1,$J304,IF(M304=0,1,FIND(AB$1,$J304,1)+1))+LEN(AB$1)),1)),0)</f>
        <v>0</v>
      </c>
      <c r="AC304" s="13">
        <f t="shared" si="608"/>
        <v>0</v>
      </c>
      <c r="AD304" s="13">
        <f t="shared" si="608"/>
        <v>0</v>
      </c>
      <c r="AE304" s="13">
        <f t="shared" si="608"/>
        <v>1</v>
      </c>
      <c r="AF304" s="13">
        <f t="shared" si="608"/>
        <v>0</v>
      </c>
      <c r="AG304" s="13">
        <f t="shared" si="608"/>
        <v>0</v>
      </c>
      <c r="AH304" s="13">
        <f t="shared" si="608"/>
        <v>0</v>
      </c>
      <c r="AI304" s="13">
        <f t="shared" si="608"/>
        <v>0</v>
      </c>
      <c r="AJ304" s="13">
        <f t="shared" si="608"/>
        <v>2</v>
      </c>
      <c r="AK304" s="13">
        <f t="shared" si="608"/>
        <v>0</v>
      </c>
      <c r="AL304" s="13">
        <f t="shared" si="608"/>
        <v>0</v>
      </c>
      <c r="AM304" s="13">
        <f t="shared" si="608"/>
        <v>0</v>
      </c>
      <c r="AN304" s="13">
        <f t="shared" si="608"/>
        <v>0</v>
      </c>
      <c r="AO304" s="13">
        <f t="shared" si="608"/>
        <v>0</v>
      </c>
      <c r="AP304" s="13">
        <f t="shared" si="608"/>
        <v>0</v>
      </c>
      <c r="AQ304" s="13" t="s">
        <v>2252</v>
      </c>
      <c r="AR304" s="13"/>
      <c r="AS304" s="13" t="s">
        <v>2253</v>
      </c>
      <c r="AT304" s="13"/>
      <c r="AU304" s="13"/>
      <c r="AV304" s="13"/>
      <c r="AW304" s="13">
        <v>0.0</v>
      </c>
      <c r="AX304" s="13">
        <v>0.0</v>
      </c>
      <c r="AY304" s="13">
        <v>0.0</v>
      </c>
      <c r="AZ304" s="13"/>
      <c r="BA304" s="13"/>
      <c r="BB304" s="13"/>
      <c r="BC304" s="13"/>
      <c r="BD304" s="13"/>
      <c r="BE304" s="13"/>
      <c r="BF304" s="13"/>
      <c r="BG304" s="13"/>
      <c r="BH304" s="13" t="s">
        <v>79</v>
      </c>
      <c r="BI304" s="13" t="b">
        <v>0</v>
      </c>
      <c r="BJ304" s="13">
        <v>0.0</v>
      </c>
      <c r="BK304" s="13">
        <v>0.0</v>
      </c>
    </row>
    <row r="305" ht="14.25" customHeight="1">
      <c r="A305" s="13">
        <v>303.0</v>
      </c>
      <c r="B305" s="13" t="s">
        <v>52</v>
      </c>
      <c r="C305" s="13">
        <v>2.0</v>
      </c>
      <c r="D305" s="14">
        <v>0.0</v>
      </c>
      <c r="E305" s="13" t="s">
        <v>2254</v>
      </c>
      <c r="F305" s="15" t="s">
        <v>329</v>
      </c>
      <c r="G305" s="16" t="s">
        <v>2255</v>
      </c>
      <c r="H305" s="13">
        <v>12.0</v>
      </c>
      <c r="I305" s="13">
        <v>1.0</v>
      </c>
      <c r="J305" s="13" t="s">
        <v>1486</v>
      </c>
      <c r="K305" s="13">
        <f t="shared" si="3"/>
        <v>0</v>
      </c>
      <c r="L305" s="13">
        <f t="shared" si="4"/>
        <v>3</v>
      </c>
      <c r="M305" s="13">
        <f t="shared" ref="M305:AA305" si="609">IFERROR(VALUE(RIGHT(LEFT($J305,FIND(M$1,$J305,1)+LEN(M$1)),1)),0)</f>
        <v>0</v>
      </c>
      <c r="N305" s="13">
        <f t="shared" si="609"/>
        <v>0</v>
      </c>
      <c r="O305" s="13">
        <f t="shared" si="609"/>
        <v>0</v>
      </c>
      <c r="P305" s="13">
        <f t="shared" si="609"/>
        <v>0</v>
      </c>
      <c r="Q305" s="13">
        <f t="shared" si="609"/>
        <v>0</v>
      </c>
      <c r="R305" s="13">
        <f t="shared" si="609"/>
        <v>0</v>
      </c>
      <c r="S305" s="13">
        <f t="shared" si="609"/>
        <v>0</v>
      </c>
      <c r="T305" s="13">
        <f t="shared" si="609"/>
        <v>0</v>
      </c>
      <c r="U305" s="13">
        <f t="shared" si="609"/>
        <v>0</v>
      </c>
      <c r="V305" s="13">
        <f t="shared" si="609"/>
        <v>0</v>
      </c>
      <c r="W305" s="13">
        <f t="shared" si="609"/>
        <v>0</v>
      </c>
      <c r="X305" s="13">
        <f t="shared" si="609"/>
        <v>0</v>
      </c>
      <c r="Y305" s="13">
        <f t="shared" si="609"/>
        <v>0</v>
      </c>
      <c r="Z305" s="13">
        <f t="shared" si="609"/>
        <v>0</v>
      </c>
      <c r="AA305" s="13">
        <f t="shared" si="609"/>
        <v>0</v>
      </c>
      <c r="AB305" s="13">
        <f t="shared" ref="AB305:AP305" si="610">IFERROR(VALUE(RIGHT(LEFT($J305,FIND(AB$1,$J305,IF(M305=0,1,FIND(AB$1,$J305,1)+1))+LEN(AB$1)),1)),0)</f>
        <v>0</v>
      </c>
      <c r="AC305" s="13">
        <f t="shared" si="610"/>
        <v>0</v>
      </c>
      <c r="AD305" s="13">
        <f t="shared" si="610"/>
        <v>0</v>
      </c>
      <c r="AE305" s="13">
        <f t="shared" si="610"/>
        <v>1</v>
      </c>
      <c r="AF305" s="13">
        <f t="shared" si="610"/>
        <v>0</v>
      </c>
      <c r="AG305" s="13">
        <f t="shared" si="610"/>
        <v>0</v>
      </c>
      <c r="AH305" s="13">
        <f t="shared" si="610"/>
        <v>0</v>
      </c>
      <c r="AI305" s="13">
        <f t="shared" si="610"/>
        <v>0</v>
      </c>
      <c r="AJ305" s="13">
        <f t="shared" si="610"/>
        <v>0</v>
      </c>
      <c r="AK305" s="13">
        <f t="shared" si="610"/>
        <v>0</v>
      </c>
      <c r="AL305" s="13">
        <f t="shared" si="610"/>
        <v>0</v>
      </c>
      <c r="AM305" s="13">
        <f t="shared" si="610"/>
        <v>0</v>
      </c>
      <c r="AN305" s="13">
        <f t="shared" si="610"/>
        <v>0</v>
      </c>
      <c r="AO305" s="13">
        <f t="shared" si="610"/>
        <v>0</v>
      </c>
      <c r="AP305" s="13">
        <f t="shared" si="610"/>
        <v>2</v>
      </c>
      <c r="AQ305" s="13"/>
      <c r="AR305" s="13" t="s">
        <v>1487</v>
      </c>
      <c r="AS305" s="13" t="s">
        <v>2256</v>
      </c>
      <c r="AT305" s="13" t="s">
        <v>162</v>
      </c>
      <c r="AU305" s="13" t="s">
        <v>1297</v>
      </c>
      <c r="AV305" s="13" t="s">
        <v>2257</v>
      </c>
      <c r="AW305" s="13">
        <v>12.0</v>
      </c>
      <c r="AX305" s="13">
        <v>0.0</v>
      </c>
      <c r="AY305" s="13">
        <v>0.0</v>
      </c>
      <c r="AZ305" s="13" t="s">
        <v>1419</v>
      </c>
      <c r="BA305" s="13" t="s">
        <v>520</v>
      </c>
      <c r="BB305" s="13"/>
      <c r="BC305" s="13"/>
      <c r="BD305" s="13" t="s">
        <v>306</v>
      </c>
      <c r="BE305" s="13" t="s">
        <v>1540</v>
      </c>
      <c r="BF305" s="13" t="s">
        <v>2258</v>
      </c>
      <c r="BG305" s="13"/>
      <c r="BH305" s="13" t="s">
        <v>241</v>
      </c>
      <c r="BI305" s="13" t="b">
        <v>0</v>
      </c>
      <c r="BJ305" s="13">
        <v>0.0</v>
      </c>
      <c r="BK305" s="13">
        <v>0.0</v>
      </c>
    </row>
    <row r="306" ht="14.25" customHeight="1">
      <c r="A306" s="13">
        <v>304.0</v>
      </c>
      <c r="B306" s="13" t="s">
        <v>49</v>
      </c>
      <c r="C306" s="13">
        <v>2.0</v>
      </c>
      <c r="D306" s="14">
        <v>0.0</v>
      </c>
      <c r="E306" s="13" t="s">
        <v>2259</v>
      </c>
      <c r="F306" s="15" t="s">
        <v>329</v>
      </c>
      <c r="G306" s="16" t="s">
        <v>2260</v>
      </c>
      <c r="H306" s="13">
        <v>16.0</v>
      </c>
      <c r="I306" s="13">
        <v>0.9</v>
      </c>
      <c r="J306" s="13" t="s">
        <v>2261</v>
      </c>
      <c r="K306" s="13">
        <f t="shared" si="3"/>
        <v>0</v>
      </c>
      <c r="L306" s="13">
        <f t="shared" si="4"/>
        <v>3</v>
      </c>
      <c r="M306" s="13">
        <f t="shared" ref="M306:AA306" si="611">IFERROR(VALUE(RIGHT(LEFT($J306,FIND(M$1,$J306,1)+LEN(M$1)),1)),0)</f>
        <v>0</v>
      </c>
      <c r="N306" s="13">
        <f t="shared" si="611"/>
        <v>0</v>
      </c>
      <c r="O306" s="13">
        <f t="shared" si="611"/>
        <v>0</v>
      </c>
      <c r="P306" s="13">
        <f t="shared" si="611"/>
        <v>0</v>
      </c>
      <c r="Q306" s="13">
        <f t="shared" si="611"/>
        <v>0</v>
      </c>
      <c r="R306" s="13">
        <f t="shared" si="611"/>
        <v>0</v>
      </c>
      <c r="S306" s="13">
        <f t="shared" si="611"/>
        <v>0</v>
      </c>
      <c r="T306" s="13">
        <f t="shared" si="611"/>
        <v>0</v>
      </c>
      <c r="U306" s="13">
        <f t="shared" si="611"/>
        <v>0</v>
      </c>
      <c r="V306" s="13">
        <f t="shared" si="611"/>
        <v>0</v>
      </c>
      <c r="W306" s="13">
        <f t="shared" si="611"/>
        <v>0</v>
      </c>
      <c r="X306" s="13">
        <f t="shared" si="611"/>
        <v>0</v>
      </c>
      <c r="Y306" s="13">
        <f t="shared" si="611"/>
        <v>0</v>
      </c>
      <c r="Z306" s="13">
        <f t="shared" si="611"/>
        <v>0</v>
      </c>
      <c r="AA306" s="13">
        <f t="shared" si="611"/>
        <v>0</v>
      </c>
      <c r="AB306" s="13">
        <f t="shared" ref="AB306:AP306" si="612">IFERROR(VALUE(RIGHT(LEFT($J306,FIND(AB$1,$J306,IF(M306=0,1,FIND(AB$1,$J306,1)+1))+LEN(AB$1)),1)),0)</f>
        <v>0</v>
      </c>
      <c r="AC306" s="13">
        <f t="shared" si="612"/>
        <v>0</v>
      </c>
      <c r="AD306" s="13">
        <f t="shared" si="612"/>
        <v>0</v>
      </c>
      <c r="AE306" s="13">
        <f t="shared" si="612"/>
        <v>0</v>
      </c>
      <c r="AF306" s="13">
        <f t="shared" si="612"/>
        <v>1</v>
      </c>
      <c r="AG306" s="13">
        <f t="shared" si="612"/>
        <v>0</v>
      </c>
      <c r="AH306" s="13">
        <f t="shared" si="612"/>
        <v>0</v>
      </c>
      <c r="AI306" s="13">
        <f t="shared" si="612"/>
        <v>0</v>
      </c>
      <c r="AJ306" s="13">
        <f t="shared" si="612"/>
        <v>0</v>
      </c>
      <c r="AK306" s="13">
        <f t="shared" si="612"/>
        <v>0</v>
      </c>
      <c r="AL306" s="13">
        <f t="shared" si="612"/>
        <v>0</v>
      </c>
      <c r="AM306" s="13">
        <f t="shared" si="612"/>
        <v>2</v>
      </c>
      <c r="AN306" s="13">
        <f t="shared" si="612"/>
        <v>0</v>
      </c>
      <c r="AO306" s="13">
        <f t="shared" si="612"/>
        <v>0</v>
      </c>
      <c r="AP306" s="13">
        <f t="shared" si="612"/>
        <v>0</v>
      </c>
      <c r="AQ306" s="13"/>
      <c r="AR306" s="13" t="s">
        <v>2262</v>
      </c>
      <c r="AS306" s="13" t="s">
        <v>2263</v>
      </c>
      <c r="AT306" s="13" t="s">
        <v>162</v>
      </c>
      <c r="AU306" s="13" t="s">
        <v>163</v>
      </c>
      <c r="AV306" s="13" t="s">
        <v>1335</v>
      </c>
      <c r="AW306" s="13">
        <v>16.0</v>
      </c>
      <c r="AX306" s="13">
        <v>0.0</v>
      </c>
      <c r="AY306" s="13">
        <v>0.0</v>
      </c>
      <c r="AZ306" s="13" t="s">
        <v>249</v>
      </c>
      <c r="BA306" s="13" t="s">
        <v>672</v>
      </c>
      <c r="BB306" s="13"/>
      <c r="BC306" s="13"/>
      <c r="BD306" s="13" t="s">
        <v>199</v>
      </c>
      <c r="BE306" s="13"/>
      <c r="BF306" s="13" t="s">
        <v>688</v>
      </c>
      <c r="BG306" s="13" t="s">
        <v>201</v>
      </c>
      <c r="BH306" s="13" t="s">
        <v>79</v>
      </c>
      <c r="BI306" s="13" t="b">
        <v>0</v>
      </c>
      <c r="BJ306" s="13">
        <v>0.0</v>
      </c>
      <c r="BK306" s="13">
        <v>0.0</v>
      </c>
    </row>
    <row r="307" ht="14.25" customHeight="1">
      <c r="A307" s="13">
        <v>305.0</v>
      </c>
      <c r="B307" s="13" t="s">
        <v>49</v>
      </c>
      <c r="C307" s="13">
        <v>2.0</v>
      </c>
      <c r="D307" s="14">
        <v>0.0</v>
      </c>
      <c r="E307" s="13" t="s">
        <v>2264</v>
      </c>
      <c r="F307" s="15" t="s">
        <v>329</v>
      </c>
      <c r="G307" s="16" t="s">
        <v>2265</v>
      </c>
      <c r="H307" s="13">
        <v>15.0</v>
      </c>
      <c r="I307" s="13">
        <v>1.1</v>
      </c>
      <c r="J307" s="13" t="s">
        <v>1270</v>
      </c>
      <c r="K307" s="13">
        <f t="shared" si="3"/>
        <v>0</v>
      </c>
      <c r="L307" s="13">
        <f t="shared" si="4"/>
        <v>3</v>
      </c>
      <c r="M307" s="13">
        <f t="shared" ref="M307:AA307" si="613">IFERROR(VALUE(RIGHT(LEFT($J307,FIND(M$1,$J307,1)+LEN(M$1)),1)),0)</f>
        <v>0</v>
      </c>
      <c r="N307" s="13">
        <f t="shared" si="613"/>
        <v>0</v>
      </c>
      <c r="O307" s="13">
        <f t="shared" si="613"/>
        <v>0</v>
      </c>
      <c r="P307" s="13">
        <f t="shared" si="613"/>
        <v>0</v>
      </c>
      <c r="Q307" s="13">
        <f t="shared" si="613"/>
        <v>0</v>
      </c>
      <c r="R307" s="13">
        <f t="shared" si="613"/>
        <v>0</v>
      </c>
      <c r="S307" s="13">
        <f t="shared" si="613"/>
        <v>0</v>
      </c>
      <c r="T307" s="13">
        <f t="shared" si="613"/>
        <v>0</v>
      </c>
      <c r="U307" s="13">
        <f t="shared" si="613"/>
        <v>0</v>
      </c>
      <c r="V307" s="13">
        <f t="shared" si="613"/>
        <v>0</v>
      </c>
      <c r="W307" s="13">
        <f t="shared" si="613"/>
        <v>0</v>
      </c>
      <c r="X307" s="13">
        <f t="shared" si="613"/>
        <v>0</v>
      </c>
      <c r="Y307" s="13">
        <f t="shared" si="613"/>
        <v>0</v>
      </c>
      <c r="Z307" s="13">
        <f t="shared" si="613"/>
        <v>0</v>
      </c>
      <c r="AA307" s="13">
        <f t="shared" si="613"/>
        <v>0</v>
      </c>
      <c r="AB307" s="13">
        <f t="shared" ref="AB307:AP307" si="614">IFERROR(VALUE(RIGHT(LEFT($J307,FIND(AB$1,$J307,IF(M307=0,1,FIND(AB$1,$J307,1)+1))+LEN(AB$1)),1)),0)</f>
        <v>1</v>
      </c>
      <c r="AC307" s="13">
        <f t="shared" si="614"/>
        <v>0</v>
      </c>
      <c r="AD307" s="13">
        <f t="shared" si="614"/>
        <v>0</v>
      </c>
      <c r="AE307" s="13">
        <f t="shared" si="614"/>
        <v>0</v>
      </c>
      <c r="AF307" s="13">
        <f t="shared" si="614"/>
        <v>0</v>
      </c>
      <c r="AG307" s="13">
        <f t="shared" si="614"/>
        <v>0</v>
      </c>
      <c r="AH307" s="13">
        <f t="shared" si="614"/>
        <v>0</v>
      </c>
      <c r="AI307" s="13">
        <f t="shared" si="614"/>
        <v>0</v>
      </c>
      <c r="AJ307" s="13">
        <f t="shared" si="614"/>
        <v>0</v>
      </c>
      <c r="AK307" s="13">
        <f t="shared" si="614"/>
        <v>0</v>
      </c>
      <c r="AL307" s="13">
        <f t="shared" si="614"/>
        <v>0</v>
      </c>
      <c r="AM307" s="13">
        <f t="shared" si="614"/>
        <v>2</v>
      </c>
      <c r="AN307" s="13">
        <f t="shared" si="614"/>
        <v>0</v>
      </c>
      <c r="AO307" s="13">
        <f t="shared" si="614"/>
        <v>0</v>
      </c>
      <c r="AP307" s="13">
        <f t="shared" si="614"/>
        <v>0</v>
      </c>
      <c r="AQ307" s="13"/>
      <c r="AR307" s="13" t="s">
        <v>1271</v>
      </c>
      <c r="AS307" s="13" t="s">
        <v>2266</v>
      </c>
      <c r="AT307" s="13" t="s">
        <v>2267</v>
      </c>
      <c r="AU307" s="13" t="s">
        <v>143</v>
      </c>
      <c r="AV307" s="13" t="s">
        <v>1120</v>
      </c>
      <c r="AW307" s="13">
        <v>14.0</v>
      </c>
      <c r="AX307" s="13">
        <v>0.0</v>
      </c>
      <c r="AY307" s="13">
        <v>0.0</v>
      </c>
      <c r="AZ307" s="13" t="s">
        <v>2268</v>
      </c>
      <c r="BA307" s="13" t="s">
        <v>1427</v>
      </c>
      <c r="BB307" s="13"/>
      <c r="BC307" s="13"/>
      <c r="BD307" s="13" t="s">
        <v>220</v>
      </c>
      <c r="BE307" s="13"/>
      <c r="BF307" s="13" t="s">
        <v>2269</v>
      </c>
      <c r="BG307" s="13" t="s">
        <v>201</v>
      </c>
      <c r="BH307" s="13" t="s">
        <v>79</v>
      </c>
      <c r="BI307" s="13" t="b">
        <v>0</v>
      </c>
      <c r="BJ307" s="13">
        <v>0.0</v>
      </c>
      <c r="BK307" s="13">
        <v>0.0</v>
      </c>
    </row>
    <row r="308" ht="14.25" customHeight="1">
      <c r="A308" s="13">
        <v>306.0</v>
      </c>
      <c r="B308" s="13" t="s">
        <v>44</v>
      </c>
      <c r="C308" s="13">
        <v>3.0</v>
      </c>
      <c r="D308" s="14">
        <v>0.0</v>
      </c>
      <c r="E308" s="13" t="s">
        <v>2270</v>
      </c>
      <c r="F308" s="15" t="s">
        <v>329</v>
      </c>
      <c r="G308" s="16" t="s">
        <v>2271</v>
      </c>
      <c r="H308" s="13"/>
      <c r="I308" s="13">
        <v>0.9</v>
      </c>
      <c r="J308" s="13" t="s">
        <v>2272</v>
      </c>
      <c r="K308" s="13">
        <f t="shared" si="3"/>
        <v>1</v>
      </c>
      <c r="L308" s="13">
        <f t="shared" si="4"/>
        <v>2</v>
      </c>
      <c r="M308" s="13">
        <f t="shared" ref="M308:AA308" si="615">IFERROR(VALUE(RIGHT(LEFT($J308,FIND(M$1,$J308,1)+LEN(M$1)),1)),0)</f>
        <v>0</v>
      </c>
      <c r="N308" s="13">
        <f t="shared" si="615"/>
        <v>0</v>
      </c>
      <c r="O308" s="13">
        <f t="shared" si="615"/>
        <v>0</v>
      </c>
      <c r="P308" s="13">
        <f t="shared" si="615"/>
        <v>0</v>
      </c>
      <c r="Q308" s="13">
        <f t="shared" si="615"/>
        <v>0</v>
      </c>
      <c r="R308" s="13">
        <f t="shared" si="615"/>
        <v>0</v>
      </c>
      <c r="S308" s="13">
        <f t="shared" si="615"/>
        <v>1</v>
      </c>
      <c r="T308" s="13">
        <f t="shared" si="615"/>
        <v>0</v>
      </c>
      <c r="U308" s="13">
        <f t="shared" si="615"/>
        <v>0</v>
      </c>
      <c r="V308" s="13">
        <f t="shared" si="615"/>
        <v>0</v>
      </c>
      <c r="W308" s="13">
        <f t="shared" si="615"/>
        <v>0</v>
      </c>
      <c r="X308" s="13">
        <f t="shared" si="615"/>
        <v>0</v>
      </c>
      <c r="Y308" s="13">
        <f t="shared" si="615"/>
        <v>0</v>
      </c>
      <c r="Z308" s="13">
        <f t="shared" si="615"/>
        <v>0</v>
      </c>
      <c r="AA308" s="13">
        <f t="shared" si="615"/>
        <v>0</v>
      </c>
      <c r="AB308" s="13">
        <f t="shared" ref="AB308:AP308" si="616">IFERROR(VALUE(RIGHT(LEFT($J308,FIND(AB$1,$J308,IF(M308=0,1,FIND(AB$1,$J308,1)+1))+LEN(AB$1)),1)),0)</f>
        <v>0</v>
      </c>
      <c r="AC308" s="13">
        <f t="shared" si="616"/>
        <v>0</v>
      </c>
      <c r="AD308" s="13">
        <f t="shared" si="616"/>
        <v>0</v>
      </c>
      <c r="AE308" s="13">
        <f t="shared" si="616"/>
        <v>0</v>
      </c>
      <c r="AF308" s="13">
        <f t="shared" si="616"/>
        <v>1</v>
      </c>
      <c r="AG308" s="13">
        <f t="shared" si="616"/>
        <v>0</v>
      </c>
      <c r="AH308" s="13">
        <f t="shared" si="616"/>
        <v>1</v>
      </c>
      <c r="AI308" s="13">
        <f t="shared" si="616"/>
        <v>0</v>
      </c>
      <c r="AJ308" s="13">
        <f t="shared" si="616"/>
        <v>0</v>
      </c>
      <c r="AK308" s="13">
        <f t="shared" si="616"/>
        <v>0</v>
      </c>
      <c r="AL308" s="13">
        <f t="shared" si="616"/>
        <v>0</v>
      </c>
      <c r="AM308" s="13">
        <f t="shared" si="616"/>
        <v>0</v>
      </c>
      <c r="AN308" s="13">
        <f t="shared" si="616"/>
        <v>0</v>
      </c>
      <c r="AO308" s="13">
        <f t="shared" si="616"/>
        <v>0</v>
      </c>
      <c r="AP308" s="13">
        <f t="shared" si="616"/>
        <v>0</v>
      </c>
      <c r="AQ308" s="13" t="s">
        <v>2273</v>
      </c>
      <c r="AR308" s="13"/>
      <c r="AS308" s="13" t="s">
        <v>2274</v>
      </c>
      <c r="AT308" s="13"/>
      <c r="AU308" s="13"/>
      <c r="AV308" s="13"/>
      <c r="AW308" s="13">
        <v>0.0</v>
      </c>
      <c r="AX308" s="13">
        <v>0.0</v>
      </c>
      <c r="AY308" s="13">
        <v>0.0</v>
      </c>
      <c r="AZ308" s="13"/>
      <c r="BA308" s="13"/>
      <c r="BB308" s="13"/>
      <c r="BC308" s="13"/>
      <c r="BD308" s="13"/>
      <c r="BE308" s="13"/>
      <c r="BF308" s="13"/>
      <c r="BG308" s="13"/>
      <c r="BH308" s="13" t="s">
        <v>79</v>
      </c>
      <c r="BI308" s="13" t="b">
        <v>0</v>
      </c>
      <c r="BJ308" s="13">
        <v>0.0</v>
      </c>
      <c r="BK308" s="13">
        <v>0.0</v>
      </c>
    </row>
    <row r="309" ht="14.25" customHeight="1">
      <c r="A309" s="13">
        <v>307.0</v>
      </c>
      <c r="B309" s="13" t="s">
        <v>45</v>
      </c>
      <c r="C309" s="13">
        <v>3.0</v>
      </c>
      <c r="D309" s="14">
        <v>0.0</v>
      </c>
      <c r="E309" s="13" t="s">
        <v>2275</v>
      </c>
      <c r="F309" s="15" t="s">
        <v>329</v>
      </c>
      <c r="G309" s="16" t="s">
        <v>2276</v>
      </c>
      <c r="H309" s="13"/>
      <c r="I309" s="13">
        <v>1.0</v>
      </c>
      <c r="J309" s="13" t="s">
        <v>1599</v>
      </c>
      <c r="K309" s="13">
        <f t="shared" si="3"/>
        <v>1</v>
      </c>
      <c r="L309" s="13">
        <f t="shared" si="4"/>
        <v>2</v>
      </c>
      <c r="M309" s="13">
        <f t="shared" ref="M309:AA309" si="617">IFERROR(VALUE(RIGHT(LEFT($J309,FIND(M$1,$J309,1)+LEN(M$1)),1)),0)</f>
        <v>0</v>
      </c>
      <c r="N309" s="13">
        <f t="shared" si="617"/>
        <v>0</v>
      </c>
      <c r="O309" s="13">
        <f t="shared" si="617"/>
        <v>0</v>
      </c>
      <c r="P309" s="13">
        <f t="shared" si="617"/>
        <v>0</v>
      </c>
      <c r="Q309" s="13">
        <f t="shared" si="617"/>
        <v>0</v>
      </c>
      <c r="R309" s="13">
        <f t="shared" si="617"/>
        <v>0</v>
      </c>
      <c r="S309" s="13">
        <f t="shared" si="617"/>
        <v>0</v>
      </c>
      <c r="T309" s="13">
        <f t="shared" si="617"/>
        <v>1</v>
      </c>
      <c r="U309" s="13">
        <f t="shared" si="617"/>
        <v>0</v>
      </c>
      <c r="V309" s="13">
        <f t="shared" si="617"/>
        <v>0</v>
      </c>
      <c r="W309" s="13">
        <f t="shared" si="617"/>
        <v>0</v>
      </c>
      <c r="X309" s="13">
        <f t="shared" si="617"/>
        <v>0</v>
      </c>
      <c r="Y309" s="13">
        <f t="shared" si="617"/>
        <v>0</v>
      </c>
      <c r="Z309" s="13">
        <f t="shared" si="617"/>
        <v>0</v>
      </c>
      <c r="AA309" s="13">
        <f t="shared" si="617"/>
        <v>0</v>
      </c>
      <c r="AB309" s="13">
        <f t="shared" ref="AB309:AP309" si="618">IFERROR(VALUE(RIGHT(LEFT($J309,FIND(AB$1,$J309,IF(M309=0,1,FIND(AB$1,$J309,1)+1))+LEN(AB$1)),1)),0)</f>
        <v>0</v>
      </c>
      <c r="AC309" s="13">
        <f t="shared" si="618"/>
        <v>0</v>
      </c>
      <c r="AD309" s="13">
        <f t="shared" si="618"/>
        <v>0</v>
      </c>
      <c r="AE309" s="13">
        <f t="shared" si="618"/>
        <v>1</v>
      </c>
      <c r="AF309" s="13">
        <f t="shared" si="618"/>
        <v>0</v>
      </c>
      <c r="AG309" s="13">
        <f t="shared" si="618"/>
        <v>0</v>
      </c>
      <c r="AH309" s="13">
        <f t="shared" si="618"/>
        <v>0</v>
      </c>
      <c r="AI309" s="13">
        <f t="shared" si="618"/>
        <v>1</v>
      </c>
      <c r="AJ309" s="13">
        <f t="shared" si="618"/>
        <v>0</v>
      </c>
      <c r="AK309" s="13">
        <f t="shared" si="618"/>
        <v>0</v>
      </c>
      <c r="AL309" s="13">
        <f t="shared" si="618"/>
        <v>0</v>
      </c>
      <c r="AM309" s="13">
        <f t="shared" si="618"/>
        <v>0</v>
      </c>
      <c r="AN309" s="13">
        <f t="shared" si="618"/>
        <v>0</v>
      </c>
      <c r="AO309" s="13">
        <f t="shared" si="618"/>
        <v>0</v>
      </c>
      <c r="AP309" s="13">
        <f t="shared" si="618"/>
        <v>0</v>
      </c>
      <c r="AQ309" s="13" t="s">
        <v>2277</v>
      </c>
      <c r="AR309" s="13"/>
      <c r="AS309" s="13" t="s">
        <v>2278</v>
      </c>
      <c r="AT309" s="13"/>
      <c r="AU309" s="13"/>
      <c r="AV309" s="13"/>
      <c r="AW309" s="13">
        <v>0.0</v>
      </c>
      <c r="AX309" s="13">
        <v>0.0</v>
      </c>
      <c r="AY309" s="13">
        <v>0.0</v>
      </c>
      <c r="AZ309" s="13"/>
      <c r="BA309" s="13"/>
      <c r="BB309" s="13"/>
      <c r="BC309" s="13"/>
      <c r="BD309" s="13"/>
      <c r="BE309" s="13"/>
      <c r="BF309" s="13"/>
      <c r="BG309" s="13"/>
      <c r="BH309" s="13" t="s">
        <v>79</v>
      </c>
      <c r="BI309" s="13" t="b">
        <v>0</v>
      </c>
      <c r="BJ309" s="13">
        <v>0.0</v>
      </c>
      <c r="BK309" s="13">
        <v>0.0</v>
      </c>
    </row>
    <row r="310" ht="14.25" customHeight="1">
      <c r="A310" s="13">
        <v>308.0</v>
      </c>
      <c r="B310" s="13" t="s">
        <v>46</v>
      </c>
      <c r="C310" s="13">
        <v>3.0</v>
      </c>
      <c r="D310" s="14">
        <v>0.0</v>
      </c>
      <c r="E310" s="13" t="s">
        <v>2279</v>
      </c>
      <c r="F310" s="15" t="s">
        <v>329</v>
      </c>
      <c r="G310" s="16" t="s">
        <v>2280</v>
      </c>
      <c r="H310" s="13"/>
      <c r="I310" s="13">
        <v>1.1</v>
      </c>
      <c r="J310" s="13" t="s">
        <v>1609</v>
      </c>
      <c r="K310" s="13">
        <f t="shared" si="3"/>
        <v>1</v>
      </c>
      <c r="L310" s="13">
        <f t="shared" si="4"/>
        <v>2</v>
      </c>
      <c r="M310" s="13">
        <f t="shared" ref="M310:AA310" si="619">IFERROR(VALUE(RIGHT(LEFT($J310,FIND(M$1,$J310,1)+LEN(M$1)),1)),0)</f>
        <v>0</v>
      </c>
      <c r="N310" s="13">
        <f t="shared" si="619"/>
        <v>0</v>
      </c>
      <c r="O310" s="13">
        <f t="shared" si="619"/>
        <v>0</v>
      </c>
      <c r="P310" s="13">
        <f t="shared" si="619"/>
        <v>0</v>
      </c>
      <c r="Q310" s="13">
        <f t="shared" si="619"/>
        <v>0</v>
      </c>
      <c r="R310" s="13">
        <f t="shared" si="619"/>
        <v>0</v>
      </c>
      <c r="S310" s="13">
        <f t="shared" si="619"/>
        <v>0</v>
      </c>
      <c r="T310" s="13">
        <f t="shared" si="619"/>
        <v>0</v>
      </c>
      <c r="U310" s="13">
        <f t="shared" si="619"/>
        <v>1</v>
      </c>
      <c r="V310" s="13">
        <f t="shared" si="619"/>
        <v>0</v>
      </c>
      <c r="W310" s="13">
        <f t="shared" si="619"/>
        <v>0</v>
      </c>
      <c r="X310" s="13">
        <f t="shared" si="619"/>
        <v>0</v>
      </c>
      <c r="Y310" s="13">
        <f t="shared" si="619"/>
        <v>0</v>
      </c>
      <c r="Z310" s="13">
        <f t="shared" si="619"/>
        <v>0</v>
      </c>
      <c r="AA310" s="13">
        <f t="shared" si="619"/>
        <v>0</v>
      </c>
      <c r="AB310" s="13">
        <f t="shared" ref="AB310:AP310" si="620">IFERROR(VALUE(RIGHT(LEFT($J310,FIND(AB$1,$J310,IF(M310=0,1,FIND(AB$1,$J310,1)+1))+LEN(AB$1)),1)),0)</f>
        <v>1</v>
      </c>
      <c r="AC310" s="13">
        <f t="shared" si="620"/>
        <v>0</v>
      </c>
      <c r="AD310" s="13">
        <f t="shared" si="620"/>
        <v>0</v>
      </c>
      <c r="AE310" s="13">
        <f t="shared" si="620"/>
        <v>0</v>
      </c>
      <c r="AF310" s="13">
        <f t="shared" si="620"/>
        <v>0</v>
      </c>
      <c r="AG310" s="13">
        <f t="shared" si="620"/>
        <v>0</v>
      </c>
      <c r="AH310" s="13">
        <f t="shared" si="620"/>
        <v>0</v>
      </c>
      <c r="AI310" s="13">
        <f t="shared" si="620"/>
        <v>0</v>
      </c>
      <c r="AJ310" s="13">
        <f t="shared" si="620"/>
        <v>1</v>
      </c>
      <c r="AK310" s="13">
        <f t="shared" si="620"/>
        <v>0</v>
      </c>
      <c r="AL310" s="13">
        <f t="shared" si="620"/>
        <v>0</v>
      </c>
      <c r="AM310" s="13">
        <f t="shared" si="620"/>
        <v>0</v>
      </c>
      <c r="AN310" s="13">
        <f t="shared" si="620"/>
        <v>0</v>
      </c>
      <c r="AO310" s="13">
        <f t="shared" si="620"/>
        <v>0</v>
      </c>
      <c r="AP310" s="13">
        <f t="shared" si="620"/>
        <v>0</v>
      </c>
      <c r="AQ310" s="13" t="s">
        <v>2281</v>
      </c>
      <c r="AR310" s="13"/>
      <c r="AS310" s="13" t="s">
        <v>2282</v>
      </c>
      <c r="AT310" s="13"/>
      <c r="AU310" s="13"/>
      <c r="AV310" s="13"/>
      <c r="AW310" s="13">
        <v>0.0</v>
      </c>
      <c r="AX310" s="13">
        <v>0.0</v>
      </c>
      <c r="AY310" s="13">
        <v>0.0</v>
      </c>
      <c r="AZ310" s="13"/>
      <c r="BA310" s="13"/>
      <c r="BB310" s="13"/>
      <c r="BC310" s="13"/>
      <c r="BD310" s="13"/>
      <c r="BE310" s="13"/>
      <c r="BF310" s="13"/>
      <c r="BG310" s="13"/>
      <c r="BH310" s="13" t="s">
        <v>79</v>
      </c>
      <c r="BI310" s="13" t="b">
        <v>0</v>
      </c>
      <c r="BJ310" s="13">
        <v>0.0</v>
      </c>
      <c r="BK310" s="13">
        <v>0.0</v>
      </c>
    </row>
    <row r="311" ht="14.25" customHeight="1">
      <c r="A311" s="13">
        <v>309.0</v>
      </c>
      <c r="B311" s="13" t="s">
        <v>52</v>
      </c>
      <c r="C311" s="13">
        <v>3.0</v>
      </c>
      <c r="D311" s="14">
        <v>0.0</v>
      </c>
      <c r="E311" s="13" t="s">
        <v>2283</v>
      </c>
      <c r="F311" s="15" t="s">
        <v>329</v>
      </c>
      <c r="G311" s="16" t="s">
        <v>2284</v>
      </c>
      <c r="H311" s="13">
        <v>16.0</v>
      </c>
      <c r="I311" s="13">
        <v>1.1</v>
      </c>
      <c r="J311" s="13" t="s">
        <v>2285</v>
      </c>
      <c r="K311" s="13">
        <f t="shared" si="3"/>
        <v>1</v>
      </c>
      <c r="L311" s="13">
        <f t="shared" si="4"/>
        <v>2</v>
      </c>
      <c r="M311" s="13">
        <f t="shared" ref="M311:AA311" si="621">IFERROR(VALUE(RIGHT(LEFT($J311,FIND(M$1,$J311,1)+LEN(M$1)),1)),0)</f>
        <v>0</v>
      </c>
      <c r="N311" s="13">
        <f t="shared" si="621"/>
        <v>0</v>
      </c>
      <c r="O311" s="13">
        <f t="shared" si="621"/>
        <v>0</v>
      </c>
      <c r="P311" s="13">
        <f t="shared" si="621"/>
        <v>0</v>
      </c>
      <c r="Q311" s="13">
        <f t="shared" si="621"/>
        <v>0</v>
      </c>
      <c r="R311" s="13">
        <f t="shared" si="621"/>
        <v>0</v>
      </c>
      <c r="S311" s="13">
        <f t="shared" si="621"/>
        <v>0</v>
      </c>
      <c r="T311" s="13">
        <f t="shared" si="621"/>
        <v>0</v>
      </c>
      <c r="U311" s="13">
        <f t="shared" si="621"/>
        <v>0</v>
      </c>
      <c r="V311" s="13">
        <f t="shared" si="621"/>
        <v>0</v>
      </c>
      <c r="W311" s="13">
        <f t="shared" si="621"/>
        <v>0</v>
      </c>
      <c r="X311" s="13">
        <f t="shared" si="621"/>
        <v>0</v>
      </c>
      <c r="Y311" s="13">
        <f t="shared" si="621"/>
        <v>0</v>
      </c>
      <c r="Z311" s="13">
        <f t="shared" si="621"/>
        <v>0</v>
      </c>
      <c r="AA311" s="13">
        <f t="shared" si="621"/>
        <v>1</v>
      </c>
      <c r="AB311" s="13">
        <f t="shared" ref="AB311:AP311" si="622">IFERROR(VALUE(RIGHT(LEFT($J311,FIND(AB$1,$J311,IF(M311=0,1,FIND(AB$1,$J311,1)+1))+LEN(AB$1)),1)),0)</f>
        <v>0</v>
      </c>
      <c r="AC311" s="13">
        <f t="shared" si="622"/>
        <v>0</v>
      </c>
      <c r="AD311" s="13">
        <f t="shared" si="622"/>
        <v>0</v>
      </c>
      <c r="AE311" s="13">
        <f t="shared" si="622"/>
        <v>1</v>
      </c>
      <c r="AF311" s="13">
        <f t="shared" si="622"/>
        <v>0</v>
      </c>
      <c r="AG311" s="13">
        <f t="shared" si="622"/>
        <v>0</v>
      </c>
      <c r="AH311" s="13">
        <f t="shared" si="622"/>
        <v>0</v>
      </c>
      <c r="AI311" s="13">
        <f t="shared" si="622"/>
        <v>0</v>
      </c>
      <c r="AJ311" s="13">
        <f t="shared" si="622"/>
        <v>0</v>
      </c>
      <c r="AK311" s="13">
        <f t="shared" si="622"/>
        <v>0</v>
      </c>
      <c r="AL311" s="13">
        <f t="shared" si="622"/>
        <v>0</v>
      </c>
      <c r="AM311" s="13">
        <f t="shared" si="622"/>
        <v>0</v>
      </c>
      <c r="AN311" s="13">
        <f t="shared" si="622"/>
        <v>0</v>
      </c>
      <c r="AO311" s="13">
        <f t="shared" si="622"/>
        <v>0</v>
      </c>
      <c r="AP311" s="13">
        <f t="shared" si="622"/>
        <v>1</v>
      </c>
      <c r="AQ311" s="13"/>
      <c r="AR311" s="13" t="s">
        <v>1894</v>
      </c>
      <c r="AS311" s="13" t="s">
        <v>2286</v>
      </c>
      <c r="AT311" s="13" t="s">
        <v>863</v>
      </c>
      <c r="AU311" s="13" t="s">
        <v>130</v>
      </c>
      <c r="AV311" s="13" t="s">
        <v>2287</v>
      </c>
      <c r="AW311" s="13">
        <v>18.0</v>
      </c>
      <c r="AX311" s="13">
        <v>0.0</v>
      </c>
      <c r="AY311" s="13">
        <v>0.0</v>
      </c>
      <c r="AZ311" s="13" t="s">
        <v>2288</v>
      </c>
      <c r="BA311" s="13" t="s">
        <v>2289</v>
      </c>
      <c r="BB311" s="13"/>
      <c r="BC311" s="13"/>
      <c r="BD311" s="13" t="s">
        <v>294</v>
      </c>
      <c r="BE311" s="13" t="s">
        <v>2290</v>
      </c>
      <c r="BF311" s="13" t="s">
        <v>2291</v>
      </c>
      <c r="BG311" s="13"/>
      <c r="BH311" s="13" t="s">
        <v>79</v>
      </c>
      <c r="BI311" s="13" t="b">
        <v>0</v>
      </c>
      <c r="BJ311" s="13">
        <v>0.0</v>
      </c>
      <c r="BK311" s="13">
        <v>0.0</v>
      </c>
    </row>
    <row r="312" ht="14.25" customHeight="1">
      <c r="A312" s="13">
        <v>310.0</v>
      </c>
      <c r="B312" s="13" t="s">
        <v>49</v>
      </c>
      <c r="C312" s="13">
        <v>3.0</v>
      </c>
      <c r="D312" s="14">
        <v>0.0</v>
      </c>
      <c r="E312" s="13" t="s">
        <v>2292</v>
      </c>
      <c r="F312" s="15" t="s">
        <v>329</v>
      </c>
      <c r="G312" s="16" t="s">
        <v>2293</v>
      </c>
      <c r="H312" s="13">
        <v>17.0</v>
      </c>
      <c r="I312" s="13">
        <v>0.9</v>
      </c>
      <c r="J312" s="13" t="s">
        <v>2294</v>
      </c>
      <c r="K312" s="13">
        <f t="shared" si="3"/>
        <v>1</v>
      </c>
      <c r="L312" s="13">
        <f t="shared" si="4"/>
        <v>2</v>
      </c>
      <c r="M312" s="13">
        <f t="shared" ref="M312:AA312" si="623">IFERROR(VALUE(RIGHT(LEFT($J312,FIND(M$1,$J312,1)+LEN(M$1)),1)),0)</f>
        <v>1</v>
      </c>
      <c r="N312" s="13">
        <f t="shared" si="623"/>
        <v>0</v>
      </c>
      <c r="O312" s="13">
        <f t="shared" si="623"/>
        <v>0</v>
      </c>
      <c r="P312" s="13">
        <f t="shared" si="623"/>
        <v>0</v>
      </c>
      <c r="Q312" s="13">
        <f t="shared" si="623"/>
        <v>0</v>
      </c>
      <c r="R312" s="13">
        <f t="shared" si="623"/>
        <v>0</v>
      </c>
      <c r="S312" s="13">
        <f t="shared" si="623"/>
        <v>0</v>
      </c>
      <c r="T312" s="13">
        <f t="shared" si="623"/>
        <v>0</v>
      </c>
      <c r="U312" s="13">
        <f t="shared" si="623"/>
        <v>0</v>
      </c>
      <c r="V312" s="13">
        <f t="shared" si="623"/>
        <v>0</v>
      </c>
      <c r="W312" s="13">
        <f t="shared" si="623"/>
        <v>0</v>
      </c>
      <c r="X312" s="13">
        <f t="shared" si="623"/>
        <v>0</v>
      </c>
      <c r="Y312" s="13">
        <f t="shared" si="623"/>
        <v>0</v>
      </c>
      <c r="Z312" s="13">
        <f t="shared" si="623"/>
        <v>0</v>
      </c>
      <c r="AA312" s="13">
        <f t="shared" si="623"/>
        <v>0</v>
      </c>
      <c r="AB312" s="13">
        <f t="shared" ref="AB312:AP312" si="624">IFERROR(VALUE(RIGHT(LEFT($J312,FIND(AB$1,$J312,IF(M312=0,1,FIND(AB$1,$J312,1)+1))+LEN(AB$1)),1)),0)</f>
        <v>0</v>
      </c>
      <c r="AC312" s="13">
        <f t="shared" si="624"/>
        <v>0</v>
      </c>
      <c r="AD312" s="13">
        <f t="shared" si="624"/>
        <v>0</v>
      </c>
      <c r="AE312" s="13">
        <f t="shared" si="624"/>
        <v>0</v>
      </c>
      <c r="AF312" s="13">
        <f t="shared" si="624"/>
        <v>1</v>
      </c>
      <c r="AG312" s="13">
        <f t="shared" si="624"/>
        <v>0</v>
      </c>
      <c r="AH312" s="13">
        <f t="shared" si="624"/>
        <v>0</v>
      </c>
      <c r="AI312" s="13">
        <f t="shared" si="624"/>
        <v>0</v>
      </c>
      <c r="AJ312" s="13">
        <f t="shared" si="624"/>
        <v>0</v>
      </c>
      <c r="AK312" s="13">
        <f t="shared" si="624"/>
        <v>0</v>
      </c>
      <c r="AL312" s="13">
        <f t="shared" si="624"/>
        <v>0</v>
      </c>
      <c r="AM312" s="13">
        <f t="shared" si="624"/>
        <v>1</v>
      </c>
      <c r="AN312" s="13">
        <f t="shared" si="624"/>
        <v>0</v>
      </c>
      <c r="AO312" s="13">
        <f t="shared" si="624"/>
        <v>0</v>
      </c>
      <c r="AP312" s="13">
        <f t="shared" si="624"/>
        <v>0</v>
      </c>
      <c r="AQ312" s="13"/>
      <c r="AR312" s="13" t="s">
        <v>2295</v>
      </c>
      <c r="AS312" s="13" t="s">
        <v>2296</v>
      </c>
      <c r="AT312" s="13" t="s">
        <v>1319</v>
      </c>
      <c r="AU312" s="13" t="s">
        <v>803</v>
      </c>
      <c r="AV312" s="13" t="s">
        <v>2297</v>
      </c>
      <c r="AW312" s="13">
        <v>19.0</v>
      </c>
      <c r="AX312" s="13">
        <v>0.0</v>
      </c>
      <c r="AY312" s="13">
        <v>0.0</v>
      </c>
      <c r="AZ312" s="13" t="s">
        <v>2298</v>
      </c>
      <c r="BA312" s="13" t="s">
        <v>2299</v>
      </c>
      <c r="BB312" s="13"/>
      <c r="BC312" s="13"/>
      <c r="BD312" s="13" t="s">
        <v>664</v>
      </c>
      <c r="BE312" s="13"/>
      <c r="BF312" s="13" t="s">
        <v>2300</v>
      </c>
      <c r="BG312" s="13" t="s">
        <v>201</v>
      </c>
      <c r="BH312" s="13" t="s">
        <v>79</v>
      </c>
      <c r="BI312" s="13" t="b">
        <v>0</v>
      </c>
      <c r="BJ312" s="13">
        <v>0.0</v>
      </c>
      <c r="BK312" s="13">
        <v>0.0</v>
      </c>
    </row>
    <row r="313" ht="14.25" customHeight="1">
      <c r="A313" s="13">
        <v>311.0</v>
      </c>
      <c r="B313" s="13" t="s">
        <v>49</v>
      </c>
      <c r="C313" s="13">
        <v>3.0</v>
      </c>
      <c r="D313" s="14">
        <v>0.0</v>
      </c>
      <c r="E313" s="13" t="s">
        <v>2301</v>
      </c>
      <c r="F313" s="15" t="s">
        <v>329</v>
      </c>
      <c r="G313" s="16" t="s">
        <v>2302</v>
      </c>
      <c r="H313" s="13">
        <v>18.0</v>
      </c>
      <c r="I313" s="13">
        <v>1.0</v>
      </c>
      <c r="J313" s="13" t="s">
        <v>1754</v>
      </c>
      <c r="K313" s="13">
        <f t="shared" si="3"/>
        <v>1</v>
      </c>
      <c r="L313" s="13">
        <f t="shared" si="4"/>
        <v>2</v>
      </c>
      <c r="M313" s="13">
        <f t="shared" ref="M313:AA313" si="625">IFERROR(VALUE(RIGHT(LEFT($J313,FIND(M$1,$J313,1)+LEN(M$1)),1)),0)</f>
        <v>0</v>
      </c>
      <c r="N313" s="13">
        <f t="shared" si="625"/>
        <v>0</v>
      </c>
      <c r="O313" s="13">
        <f t="shared" si="625"/>
        <v>0</v>
      </c>
      <c r="P313" s="13">
        <f t="shared" si="625"/>
        <v>0</v>
      </c>
      <c r="Q313" s="13">
        <f t="shared" si="625"/>
        <v>0</v>
      </c>
      <c r="R313" s="13">
        <f t="shared" si="625"/>
        <v>0</v>
      </c>
      <c r="S313" s="13">
        <f t="shared" si="625"/>
        <v>0</v>
      </c>
      <c r="T313" s="13">
        <f t="shared" si="625"/>
        <v>0</v>
      </c>
      <c r="U313" s="13">
        <f t="shared" si="625"/>
        <v>0</v>
      </c>
      <c r="V313" s="13">
        <f t="shared" si="625"/>
        <v>0</v>
      </c>
      <c r="W313" s="13">
        <f t="shared" si="625"/>
        <v>0</v>
      </c>
      <c r="X313" s="13">
        <f t="shared" si="625"/>
        <v>1</v>
      </c>
      <c r="Y313" s="13">
        <f t="shared" si="625"/>
        <v>0</v>
      </c>
      <c r="Z313" s="13">
        <f t="shared" si="625"/>
        <v>0</v>
      </c>
      <c r="AA313" s="13">
        <f t="shared" si="625"/>
        <v>0</v>
      </c>
      <c r="AB313" s="13">
        <f t="shared" ref="AB313:AP313" si="626">IFERROR(VALUE(RIGHT(LEFT($J313,FIND(AB$1,$J313,IF(M313=0,1,FIND(AB$1,$J313,1)+1))+LEN(AB$1)),1)),0)</f>
        <v>1</v>
      </c>
      <c r="AC313" s="13">
        <f t="shared" si="626"/>
        <v>0</v>
      </c>
      <c r="AD313" s="13">
        <f t="shared" si="626"/>
        <v>0</v>
      </c>
      <c r="AE313" s="13">
        <f t="shared" si="626"/>
        <v>0</v>
      </c>
      <c r="AF313" s="13">
        <f t="shared" si="626"/>
        <v>0</v>
      </c>
      <c r="AG313" s="13">
        <f t="shared" si="626"/>
        <v>0</v>
      </c>
      <c r="AH313" s="13">
        <f t="shared" si="626"/>
        <v>0</v>
      </c>
      <c r="AI313" s="13">
        <f t="shared" si="626"/>
        <v>0</v>
      </c>
      <c r="AJ313" s="13">
        <f t="shared" si="626"/>
        <v>0</v>
      </c>
      <c r="AK313" s="13">
        <f t="shared" si="626"/>
        <v>0</v>
      </c>
      <c r="AL313" s="13">
        <f t="shared" si="626"/>
        <v>0</v>
      </c>
      <c r="AM313" s="13">
        <f t="shared" si="626"/>
        <v>1</v>
      </c>
      <c r="AN313" s="13">
        <f t="shared" si="626"/>
        <v>0</v>
      </c>
      <c r="AO313" s="13">
        <f t="shared" si="626"/>
        <v>0</v>
      </c>
      <c r="AP313" s="13">
        <f t="shared" si="626"/>
        <v>0</v>
      </c>
      <c r="AQ313" s="13"/>
      <c r="AR313" s="13" t="s">
        <v>2303</v>
      </c>
      <c r="AS313" s="13" t="s">
        <v>2304</v>
      </c>
      <c r="AT313" s="13" t="s">
        <v>162</v>
      </c>
      <c r="AU313" s="13" t="s">
        <v>616</v>
      </c>
      <c r="AV313" s="13" t="s">
        <v>2305</v>
      </c>
      <c r="AW313" s="13">
        <v>21.0</v>
      </c>
      <c r="AX313" s="13">
        <v>0.0</v>
      </c>
      <c r="AY313" s="13">
        <v>0.0</v>
      </c>
      <c r="AZ313" s="13" t="s">
        <v>2306</v>
      </c>
      <c r="BA313" s="13" t="s">
        <v>2307</v>
      </c>
      <c r="BB313" s="13"/>
      <c r="BC313" s="13"/>
      <c r="BD313" s="13" t="s">
        <v>199</v>
      </c>
      <c r="BE313" s="13"/>
      <c r="BF313" s="13" t="s">
        <v>1400</v>
      </c>
      <c r="BG313" s="13" t="s">
        <v>201</v>
      </c>
      <c r="BH313" s="13" t="s">
        <v>79</v>
      </c>
      <c r="BI313" s="13" t="b">
        <v>0</v>
      </c>
      <c r="BJ313" s="13">
        <v>0.0</v>
      </c>
      <c r="BK313" s="13">
        <v>0.0</v>
      </c>
    </row>
    <row r="314" ht="14.25" customHeight="1">
      <c r="A314" s="13">
        <v>312.0</v>
      </c>
      <c r="B314" s="13" t="s">
        <v>44</v>
      </c>
      <c r="C314" s="13">
        <v>4.0</v>
      </c>
      <c r="D314" s="14">
        <v>0.0</v>
      </c>
      <c r="E314" s="13" t="s">
        <v>2308</v>
      </c>
      <c r="F314" s="15" t="s">
        <v>329</v>
      </c>
      <c r="G314" s="16" t="s">
        <v>2309</v>
      </c>
      <c r="H314" s="13"/>
      <c r="I314" s="13">
        <v>1.2</v>
      </c>
      <c r="J314" s="13" t="s">
        <v>2310</v>
      </c>
      <c r="K314" s="13">
        <f t="shared" si="3"/>
        <v>2</v>
      </c>
      <c r="L314" s="13">
        <f t="shared" si="4"/>
        <v>2</v>
      </c>
      <c r="M314" s="13">
        <f t="shared" ref="M314:AA314" si="627">IFERROR(VALUE(RIGHT(LEFT($J314,FIND(M$1,$J314,1)+LEN(M$1)),1)),0)</f>
        <v>0</v>
      </c>
      <c r="N314" s="13">
        <f t="shared" si="627"/>
        <v>0</v>
      </c>
      <c r="O314" s="13">
        <f t="shared" si="627"/>
        <v>0</v>
      </c>
      <c r="P314" s="13">
        <f t="shared" si="627"/>
        <v>1</v>
      </c>
      <c r="Q314" s="13">
        <f t="shared" si="627"/>
        <v>0</v>
      </c>
      <c r="R314" s="13">
        <f t="shared" si="627"/>
        <v>0</v>
      </c>
      <c r="S314" s="13">
        <f t="shared" si="627"/>
        <v>1</v>
      </c>
      <c r="T314" s="13">
        <f t="shared" si="627"/>
        <v>0</v>
      </c>
      <c r="U314" s="13">
        <f t="shared" si="627"/>
        <v>0</v>
      </c>
      <c r="V314" s="13">
        <f t="shared" si="627"/>
        <v>0</v>
      </c>
      <c r="W314" s="13">
        <f t="shared" si="627"/>
        <v>0</v>
      </c>
      <c r="X314" s="13">
        <f t="shared" si="627"/>
        <v>0</v>
      </c>
      <c r="Y314" s="13">
        <f t="shared" si="627"/>
        <v>0</v>
      </c>
      <c r="Z314" s="13">
        <f t="shared" si="627"/>
        <v>0</v>
      </c>
      <c r="AA314" s="13">
        <f t="shared" si="627"/>
        <v>0</v>
      </c>
      <c r="AB314" s="13">
        <f t="shared" ref="AB314:AP314" si="628">IFERROR(VALUE(RIGHT(LEFT($J314,FIND(AB$1,$J314,IF(M314=0,1,FIND(AB$1,$J314,1)+1))+LEN(AB$1)),1)),0)</f>
        <v>0</v>
      </c>
      <c r="AC314" s="13">
        <f t="shared" si="628"/>
        <v>0</v>
      </c>
      <c r="AD314" s="13">
        <f t="shared" si="628"/>
        <v>0</v>
      </c>
      <c r="AE314" s="13">
        <f t="shared" si="628"/>
        <v>0</v>
      </c>
      <c r="AF314" s="13">
        <f t="shared" si="628"/>
        <v>0</v>
      </c>
      <c r="AG314" s="13">
        <f t="shared" si="628"/>
        <v>0</v>
      </c>
      <c r="AH314" s="13">
        <f t="shared" si="628"/>
        <v>2</v>
      </c>
      <c r="AI314" s="13">
        <f t="shared" si="628"/>
        <v>0</v>
      </c>
      <c r="AJ314" s="13">
        <f t="shared" si="628"/>
        <v>0</v>
      </c>
      <c r="AK314" s="13">
        <f t="shared" si="628"/>
        <v>0</v>
      </c>
      <c r="AL314" s="13">
        <f t="shared" si="628"/>
        <v>0</v>
      </c>
      <c r="AM314" s="13">
        <f t="shared" si="628"/>
        <v>0</v>
      </c>
      <c r="AN314" s="13">
        <f t="shared" si="628"/>
        <v>0</v>
      </c>
      <c r="AO314" s="13">
        <f t="shared" si="628"/>
        <v>0</v>
      </c>
      <c r="AP314" s="13">
        <f t="shared" si="628"/>
        <v>0</v>
      </c>
      <c r="AQ314" s="13" t="s">
        <v>2311</v>
      </c>
      <c r="AR314" s="13"/>
      <c r="AS314" s="13" t="s">
        <v>2312</v>
      </c>
      <c r="AT314" s="13"/>
      <c r="AU314" s="13"/>
      <c r="AV314" s="13"/>
      <c r="AW314" s="13">
        <v>0.0</v>
      </c>
      <c r="AX314" s="13">
        <v>0.0</v>
      </c>
      <c r="AY314" s="13">
        <v>0.0</v>
      </c>
      <c r="AZ314" s="13"/>
      <c r="BA314" s="13"/>
      <c r="BB314" s="13"/>
      <c r="BC314" s="13"/>
      <c r="BD314" s="13"/>
      <c r="BE314" s="13"/>
      <c r="BF314" s="13"/>
      <c r="BG314" s="13"/>
      <c r="BH314" s="13" t="s">
        <v>79</v>
      </c>
      <c r="BI314" s="13" t="b">
        <v>0</v>
      </c>
      <c r="BJ314" s="13">
        <v>0.0</v>
      </c>
      <c r="BK314" s="13">
        <v>0.0</v>
      </c>
    </row>
    <row r="315" ht="14.25" customHeight="1">
      <c r="A315" s="13">
        <v>313.0</v>
      </c>
      <c r="B315" s="13" t="s">
        <v>45</v>
      </c>
      <c r="C315" s="13">
        <v>4.0</v>
      </c>
      <c r="D315" s="14">
        <v>0.0</v>
      </c>
      <c r="E315" s="13" t="s">
        <v>2313</v>
      </c>
      <c r="F315" s="15" t="s">
        <v>329</v>
      </c>
      <c r="G315" s="16" t="s">
        <v>2314</v>
      </c>
      <c r="H315" s="13"/>
      <c r="I315" s="13">
        <v>1.0</v>
      </c>
      <c r="J315" s="13" t="s">
        <v>2315</v>
      </c>
      <c r="K315" s="13">
        <f t="shared" si="3"/>
        <v>2</v>
      </c>
      <c r="L315" s="13">
        <f t="shared" si="4"/>
        <v>2</v>
      </c>
      <c r="M315" s="13">
        <f t="shared" ref="M315:AA315" si="629">IFERROR(VALUE(RIGHT(LEFT($J315,FIND(M$1,$J315,1)+LEN(M$1)),1)),0)</f>
        <v>1</v>
      </c>
      <c r="N315" s="13">
        <f t="shared" si="629"/>
        <v>0</v>
      </c>
      <c r="O315" s="13">
        <f t="shared" si="629"/>
        <v>0</v>
      </c>
      <c r="P315" s="13">
        <f t="shared" si="629"/>
        <v>0</v>
      </c>
      <c r="Q315" s="13">
        <f t="shared" si="629"/>
        <v>0</v>
      </c>
      <c r="R315" s="13">
        <f t="shared" si="629"/>
        <v>0</v>
      </c>
      <c r="S315" s="13">
        <f t="shared" si="629"/>
        <v>0</v>
      </c>
      <c r="T315" s="13">
        <f t="shared" si="629"/>
        <v>1</v>
      </c>
      <c r="U315" s="13">
        <f t="shared" si="629"/>
        <v>0</v>
      </c>
      <c r="V315" s="13">
        <f t="shared" si="629"/>
        <v>0</v>
      </c>
      <c r="W315" s="13">
        <f t="shared" si="629"/>
        <v>0</v>
      </c>
      <c r="X315" s="13">
        <f t="shared" si="629"/>
        <v>0</v>
      </c>
      <c r="Y315" s="13">
        <f t="shared" si="629"/>
        <v>0</v>
      </c>
      <c r="Z315" s="13">
        <f t="shared" si="629"/>
        <v>0</v>
      </c>
      <c r="AA315" s="13">
        <f t="shared" si="629"/>
        <v>0</v>
      </c>
      <c r="AB315" s="13">
        <f t="shared" ref="AB315:AP315" si="630">IFERROR(VALUE(RIGHT(LEFT($J315,FIND(AB$1,$J315,IF(M315=0,1,FIND(AB$1,$J315,1)+1))+LEN(AB$1)),1)),0)</f>
        <v>0</v>
      </c>
      <c r="AC315" s="13">
        <f t="shared" si="630"/>
        <v>0</v>
      </c>
      <c r="AD315" s="13">
        <f t="shared" si="630"/>
        <v>0</v>
      </c>
      <c r="AE315" s="13">
        <f t="shared" si="630"/>
        <v>0</v>
      </c>
      <c r="AF315" s="13">
        <f t="shared" si="630"/>
        <v>0</v>
      </c>
      <c r="AG315" s="13">
        <f t="shared" si="630"/>
        <v>0</v>
      </c>
      <c r="AH315" s="13">
        <f t="shared" si="630"/>
        <v>0</v>
      </c>
      <c r="AI315" s="13">
        <f t="shared" si="630"/>
        <v>2</v>
      </c>
      <c r="AJ315" s="13">
        <f t="shared" si="630"/>
        <v>0</v>
      </c>
      <c r="AK315" s="13">
        <f t="shared" si="630"/>
        <v>0</v>
      </c>
      <c r="AL315" s="13">
        <f t="shared" si="630"/>
        <v>0</v>
      </c>
      <c r="AM315" s="13">
        <f t="shared" si="630"/>
        <v>0</v>
      </c>
      <c r="AN315" s="13">
        <f t="shared" si="630"/>
        <v>0</v>
      </c>
      <c r="AO315" s="13">
        <f t="shared" si="630"/>
        <v>0</v>
      </c>
      <c r="AP315" s="13">
        <f t="shared" si="630"/>
        <v>0</v>
      </c>
      <c r="AQ315" s="13" t="s">
        <v>2316</v>
      </c>
      <c r="AR315" s="13"/>
      <c r="AS315" s="13" t="s">
        <v>2317</v>
      </c>
      <c r="AT315" s="13"/>
      <c r="AU315" s="13"/>
      <c r="AV315" s="13"/>
      <c r="AW315" s="13">
        <v>0.0</v>
      </c>
      <c r="AX315" s="13">
        <v>0.0</v>
      </c>
      <c r="AY315" s="13">
        <v>0.0</v>
      </c>
      <c r="AZ315" s="13"/>
      <c r="BA315" s="13"/>
      <c r="BB315" s="13"/>
      <c r="BC315" s="13"/>
      <c r="BD315" s="13"/>
      <c r="BE315" s="13"/>
      <c r="BF315" s="13"/>
      <c r="BG315" s="13"/>
      <c r="BH315" s="13" t="s">
        <v>79</v>
      </c>
      <c r="BI315" s="13" t="b">
        <v>0</v>
      </c>
      <c r="BJ315" s="13">
        <v>0.0</v>
      </c>
      <c r="BK315" s="13">
        <v>0.0</v>
      </c>
    </row>
    <row r="316" ht="14.25" customHeight="1">
      <c r="A316" s="13">
        <v>314.0</v>
      </c>
      <c r="B316" s="13" t="s">
        <v>52</v>
      </c>
      <c r="C316" s="13">
        <v>4.0</v>
      </c>
      <c r="D316" s="14">
        <v>0.0</v>
      </c>
      <c r="E316" s="13" t="s">
        <v>2318</v>
      </c>
      <c r="F316" s="15" t="s">
        <v>329</v>
      </c>
      <c r="G316" s="16" t="s">
        <v>2319</v>
      </c>
      <c r="H316" s="13">
        <v>21.0</v>
      </c>
      <c r="I316" s="13">
        <v>1.1</v>
      </c>
      <c r="J316" s="13" t="s">
        <v>2320</v>
      </c>
      <c r="K316" s="13">
        <f t="shared" si="3"/>
        <v>2</v>
      </c>
      <c r="L316" s="13">
        <f t="shared" si="4"/>
        <v>2</v>
      </c>
      <c r="M316" s="13">
        <f t="shared" ref="M316:AA316" si="631">IFERROR(VALUE(RIGHT(LEFT($J316,FIND(M$1,$J316,1)+LEN(M$1)),1)),0)</f>
        <v>0</v>
      </c>
      <c r="N316" s="13">
        <f t="shared" si="631"/>
        <v>0</v>
      </c>
      <c r="O316" s="13">
        <f t="shared" si="631"/>
        <v>0</v>
      </c>
      <c r="P316" s="13">
        <f t="shared" si="631"/>
        <v>0</v>
      </c>
      <c r="Q316" s="13">
        <f t="shared" si="631"/>
        <v>0</v>
      </c>
      <c r="R316" s="13">
        <f t="shared" si="631"/>
        <v>0</v>
      </c>
      <c r="S316" s="13">
        <f t="shared" si="631"/>
        <v>0</v>
      </c>
      <c r="T316" s="13">
        <f t="shared" si="631"/>
        <v>0</v>
      </c>
      <c r="U316" s="13">
        <f t="shared" si="631"/>
        <v>0</v>
      </c>
      <c r="V316" s="13">
        <f t="shared" si="631"/>
        <v>0</v>
      </c>
      <c r="W316" s="13">
        <f t="shared" si="631"/>
        <v>0</v>
      </c>
      <c r="X316" s="13">
        <f t="shared" si="631"/>
        <v>0</v>
      </c>
      <c r="Y316" s="13">
        <f t="shared" si="631"/>
        <v>0</v>
      </c>
      <c r="Z316" s="13">
        <f t="shared" si="631"/>
        <v>0</v>
      </c>
      <c r="AA316" s="13">
        <f t="shared" si="631"/>
        <v>2</v>
      </c>
      <c r="AB316" s="13">
        <f t="shared" ref="AB316:AP316" si="632">IFERROR(VALUE(RIGHT(LEFT($J316,FIND(AB$1,$J316,IF(M316=0,1,FIND(AB$1,$J316,1)+1))+LEN(AB$1)),1)),0)</f>
        <v>0</v>
      </c>
      <c r="AC316" s="13">
        <f t="shared" si="632"/>
        <v>0</v>
      </c>
      <c r="AD316" s="13">
        <f t="shared" si="632"/>
        <v>0</v>
      </c>
      <c r="AE316" s="13">
        <f t="shared" si="632"/>
        <v>1</v>
      </c>
      <c r="AF316" s="13">
        <f t="shared" si="632"/>
        <v>0</v>
      </c>
      <c r="AG316" s="13">
        <f t="shared" si="632"/>
        <v>0</v>
      </c>
      <c r="AH316" s="13">
        <f t="shared" si="632"/>
        <v>0</v>
      </c>
      <c r="AI316" s="13">
        <f t="shared" si="632"/>
        <v>0</v>
      </c>
      <c r="AJ316" s="13">
        <f t="shared" si="632"/>
        <v>0</v>
      </c>
      <c r="AK316" s="13">
        <f t="shared" si="632"/>
        <v>0</v>
      </c>
      <c r="AL316" s="13">
        <f t="shared" si="632"/>
        <v>0</v>
      </c>
      <c r="AM316" s="13">
        <f t="shared" si="632"/>
        <v>0</v>
      </c>
      <c r="AN316" s="13">
        <f t="shared" si="632"/>
        <v>0</v>
      </c>
      <c r="AO316" s="13">
        <f t="shared" si="632"/>
        <v>0</v>
      </c>
      <c r="AP316" s="13">
        <f t="shared" si="632"/>
        <v>1</v>
      </c>
      <c r="AQ316" s="13"/>
      <c r="AR316" s="13" t="s">
        <v>2321</v>
      </c>
      <c r="AS316" s="13" t="s">
        <v>2322</v>
      </c>
      <c r="AT316" s="13" t="s">
        <v>854</v>
      </c>
      <c r="AU316" s="13" t="s">
        <v>803</v>
      </c>
      <c r="AV316" s="13" t="s">
        <v>2323</v>
      </c>
      <c r="AW316" s="13">
        <v>24.0</v>
      </c>
      <c r="AX316" s="13">
        <v>0.0</v>
      </c>
      <c r="AY316" s="13">
        <v>0.0</v>
      </c>
      <c r="AZ316" s="13" t="s">
        <v>2324</v>
      </c>
      <c r="BA316" s="13" t="s">
        <v>2325</v>
      </c>
      <c r="BB316" s="13"/>
      <c r="BC316" s="13"/>
      <c r="BD316" s="13" t="s">
        <v>306</v>
      </c>
      <c r="BE316" s="13" t="s">
        <v>2326</v>
      </c>
      <c r="BF316" s="13" t="s">
        <v>2327</v>
      </c>
      <c r="BG316" s="13"/>
      <c r="BH316" s="13" t="s">
        <v>79</v>
      </c>
      <c r="BI316" s="13" t="b">
        <v>0</v>
      </c>
      <c r="BJ316" s="13">
        <v>0.0</v>
      </c>
      <c r="BK316" s="13">
        <v>0.0</v>
      </c>
    </row>
    <row r="317" ht="14.25" customHeight="1">
      <c r="A317" s="13">
        <v>315.0</v>
      </c>
      <c r="B317" s="13" t="s">
        <v>49</v>
      </c>
      <c r="C317" s="13">
        <v>4.0</v>
      </c>
      <c r="D317" s="14">
        <v>0.0</v>
      </c>
      <c r="E317" s="13" t="s">
        <v>2328</v>
      </c>
      <c r="F317" s="15" t="s">
        <v>329</v>
      </c>
      <c r="G317" s="16" t="s">
        <v>2329</v>
      </c>
      <c r="H317" s="13">
        <v>20.0</v>
      </c>
      <c r="I317" s="13">
        <v>1.0</v>
      </c>
      <c r="J317" s="13" t="s">
        <v>2330</v>
      </c>
      <c r="K317" s="13">
        <f t="shared" si="3"/>
        <v>2</v>
      </c>
      <c r="L317" s="13">
        <f t="shared" si="4"/>
        <v>2</v>
      </c>
      <c r="M317" s="13">
        <f t="shared" ref="M317:AA317" si="633">IFERROR(VALUE(RIGHT(LEFT($J317,FIND(M$1,$J317,1)+LEN(M$1)),1)),0)</f>
        <v>1</v>
      </c>
      <c r="N317" s="13">
        <f t="shared" si="633"/>
        <v>0</v>
      </c>
      <c r="O317" s="13">
        <f t="shared" si="633"/>
        <v>0</v>
      </c>
      <c r="P317" s="13">
        <f t="shared" si="633"/>
        <v>0</v>
      </c>
      <c r="Q317" s="13">
        <f t="shared" si="633"/>
        <v>1</v>
      </c>
      <c r="R317" s="13">
        <f t="shared" si="633"/>
        <v>0</v>
      </c>
      <c r="S317" s="13">
        <f t="shared" si="633"/>
        <v>0</v>
      </c>
      <c r="T317" s="13">
        <f t="shared" si="633"/>
        <v>0</v>
      </c>
      <c r="U317" s="13">
        <f t="shared" si="633"/>
        <v>0</v>
      </c>
      <c r="V317" s="13">
        <f t="shared" si="633"/>
        <v>0</v>
      </c>
      <c r="W317" s="13">
        <f t="shared" si="633"/>
        <v>0</v>
      </c>
      <c r="X317" s="13">
        <f t="shared" si="633"/>
        <v>0</v>
      </c>
      <c r="Y317" s="13">
        <f t="shared" si="633"/>
        <v>0</v>
      </c>
      <c r="Z317" s="13">
        <f t="shared" si="633"/>
        <v>0</v>
      </c>
      <c r="AA317" s="13">
        <f t="shared" si="633"/>
        <v>0</v>
      </c>
      <c r="AB317" s="13">
        <f t="shared" ref="AB317:AP317" si="634">IFERROR(VALUE(RIGHT(LEFT($J317,FIND(AB$1,$J317,IF(M317=0,1,FIND(AB$1,$J317,1)+1))+LEN(AB$1)),1)),0)</f>
        <v>0</v>
      </c>
      <c r="AC317" s="13">
        <f t="shared" si="634"/>
        <v>0</v>
      </c>
      <c r="AD317" s="13">
        <f t="shared" si="634"/>
        <v>0</v>
      </c>
      <c r="AE317" s="13">
        <f t="shared" si="634"/>
        <v>0</v>
      </c>
      <c r="AF317" s="13">
        <f t="shared" si="634"/>
        <v>1</v>
      </c>
      <c r="AG317" s="13">
        <f t="shared" si="634"/>
        <v>0</v>
      </c>
      <c r="AH317" s="13">
        <f t="shared" si="634"/>
        <v>0</v>
      </c>
      <c r="AI317" s="13">
        <f t="shared" si="634"/>
        <v>0</v>
      </c>
      <c r="AJ317" s="13">
        <f t="shared" si="634"/>
        <v>0</v>
      </c>
      <c r="AK317" s="13">
        <f t="shared" si="634"/>
        <v>0</v>
      </c>
      <c r="AL317" s="13">
        <f t="shared" si="634"/>
        <v>0</v>
      </c>
      <c r="AM317" s="13">
        <f t="shared" si="634"/>
        <v>1</v>
      </c>
      <c r="AN317" s="13">
        <f t="shared" si="634"/>
        <v>0</v>
      </c>
      <c r="AO317" s="13">
        <f t="shared" si="634"/>
        <v>0</v>
      </c>
      <c r="AP317" s="13">
        <f t="shared" si="634"/>
        <v>0</v>
      </c>
      <c r="AQ317" s="13"/>
      <c r="AR317" s="13" t="s">
        <v>2331</v>
      </c>
      <c r="AS317" s="13" t="s">
        <v>2332</v>
      </c>
      <c r="AT317" s="13" t="s">
        <v>573</v>
      </c>
      <c r="AU317" s="13" t="s">
        <v>143</v>
      </c>
      <c r="AV317" s="13" t="s">
        <v>2333</v>
      </c>
      <c r="AW317" s="13">
        <v>25.0</v>
      </c>
      <c r="AX317" s="13">
        <v>0.0</v>
      </c>
      <c r="AY317" s="13">
        <v>0.0</v>
      </c>
      <c r="AZ317" s="13" t="s">
        <v>2334</v>
      </c>
      <c r="BA317" s="13" t="s">
        <v>2299</v>
      </c>
      <c r="BB317" s="13"/>
      <c r="BC317" s="13"/>
      <c r="BD317" s="13" t="s">
        <v>664</v>
      </c>
      <c r="BE317" s="13"/>
      <c r="BF317" s="13" t="s">
        <v>2335</v>
      </c>
      <c r="BG317" s="13" t="s">
        <v>201</v>
      </c>
      <c r="BH317" s="13" t="s">
        <v>79</v>
      </c>
      <c r="BI317" s="13" t="b">
        <v>0</v>
      </c>
      <c r="BJ317" s="13">
        <v>0.0</v>
      </c>
      <c r="BK317" s="13">
        <v>0.0</v>
      </c>
    </row>
    <row r="318" ht="14.25" customHeight="1">
      <c r="A318" s="13">
        <v>316.0</v>
      </c>
      <c r="B318" s="13" t="s">
        <v>49</v>
      </c>
      <c r="C318" s="13">
        <v>4.0</v>
      </c>
      <c r="D318" s="14">
        <v>0.0</v>
      </c>
      <c r="E318" s="13" t="s">
        <v>2336</v>
      </c>
      <c r="F318" s="15" t="s">
        <v>329</v>
      </c>
      <c r="G318" s="16" t="s">
        <v>2337</v>
      </c>
      <c r="H318" s="13">
        <v>22.0</v>
      </c>
      <c r="I318" s="13">
        <v>1.0</v>
      </c>
      <c r="J318" s="13" t="s">
        <v>2338</v>
      </c>
      <c r="K318" s="13">
        <f t="shared" si="3"/>
        <v>2</v>
      </c>
      <c r="L318" s="13">
        <f t="shared" si="4"/>
        <v>2</v>
      </c>
      <c r="M318" s="13">
        <f t="shared" ref="M318:AA318" si="635">IFERROR(VALUE(RIGHT(LEFT($J318,FIND(M$1,$J318,1)+LEN(M$1)),1)),0)</f>
        <v>0</v>
      </c>
      <c r="N318" s="13">
        <f t="shared" si="635"/>
        <v>0</v>
      </c>
      <c r="O318" s="13">
        <f t="shared" si="635"/>
        <v>0</v>
      </c>
      <c r="P318" s="13">
        <f t="shared" si="635"/>
        <v>0</v>
      </c>
      <c r="Q318" s="13">
        <f t="shared" si="635"/>
        <v>0</v>
      </c>
      <c r="R318" s="13">
        <f t="shared" si="635"/>
        <v>0</v>
      </c>
      <c r="S318" s="13">
        <f t="shared" si="635"/>
        <v>0</v>
      </c>
      <c r="T318" s="13">
        <f t="shared" si="635"/>
        <v>0</v>
      </c>
      <c r="U318" s="13">
        <f t="shared" si="635"/>
        <v>0</v>
      </c>
      <c r="V318" s="13">
        <f t="shared" si="635"/>
        <v>0</v>
      </c>
      <c r="W318" s="13">
        <f t="shared" si="635"/>
        <v>0</v>
      </c>
      <c r="X318" s="13">
        <f t="shared" si="635"/>
        <v>2</v>
      </c>
      <c r="Y318" s="13">
        <f t="shared" si="635"/>
        <v>0</v>
      </c>
      <c r="Z318" s="13">
        <f t="shared" si="635"/>
        <v>0</v>
      </c>
      <c r="AA318" s="13">
        <f t="shared" si="635"/>
        <v>0</v>
      </c>
      <c r="AB318" s="13">
        <f t="shared" ref="AB318:AP318" si="636">IFERROR(VALUE(RIGHT(LEFT($J318,FIND(AB$1,$J318,IF(M318=0,1,FIND(AB$1,$J318,1)+1))+LEN(AB$1)),1)),0)</f>
        <v>1</v>
      </c>
      <c r="AC318" s="13">
        <f t="shared" si="636"/>
        <v>0</v>
      </c>
      <c r="AD318" s="13">
        <f t="shared" si="636"/>
        <v>0</v>
      </c>
      <c r="AE318" s="13">
        <f t="shared" si="636"/>
        <v>0</v>
      </c>
      <c r="AF318" s="13">
        <f t="shared" si="636"/>
        <v>0</v>
      </c>
      <c r="AG318" s="13">
        <f t="shared" si="636"/>
        <v>0</v>
      </c>
      <c r="AH318" s="13">
        <f t="shared" si="636"/>
        <v>0</v>
      </c>
      <c r="AI318" s="13">
        <f t="shared" si="636"/>
        <v>0</v>
      </c>
      <c r="AJ318" s="13">
        <f t="shared" si="636"/>
        <v>0</v>
      </c>
      <c r="AK318" s="13">
        <f t="shared" si="636"/>
        <v>0</v>
      </c>
      <c r="AL318" s="13">
        <f t="shared" si="636"/>
        <v>0</v>
      </c>
      <c r="AM318" s="13">
        <f t="shared" si="636"/>
        <v>1</v>
      </c>
      <c r="AN318" s="13">
        <f t="shared" si="636"/>
        <v>0</v>
      </c>
      <c r="AO318" s="13">
        <f t="shared" si="636"/>
        <v>0</v>
      </c>
      <c r="AP318" s="13">
        <f t="shared" si="636"/>
        <v>0</v>
      </c>
      <c r="AQ318" s="13"/>
      <c r="AR318" s="13" t="s">
        <v>2339</v>
      </c>
      <c r="AS318" s="13" t="s">
        <v>2340</v>
      </c>
      <c r="AT318" s="13" t="s">
        <v>162</v>
      </c>
      <c r="AU318" s="13" t="s">
        <v>2341</v>
      </c>
      <c r="AV318" s="13" t="s">
        <v>2342</v>
      </c>
      <c r="AW318" s="13">
        <v>26.0</v>
      </c>
      <c r="AX318" s="13">
        <v>0.0</v>
      </c>
      <c r="AY318" s="13">
        <v>0.0</v>
      </c>
      <c r="AZ318" s="13" t="s">
        <v>2343</v>
      </c>
      <c r="BA318" s="13" t="s">
        <v>2344</v>
      </c>
      <c r="BB318" s="13"/>
      <c r="BC318" s="13"/>
      <c r="BD318" s="13" t="s">
        <v>199</v>
      </c>
      <c r="BE318" s="13"/>
      <c r="BF318" s="13" t="s">
        <v>2345</v>
      </c>
      <c r="BG318" s="13" t="s">
        <v>201</v>
      </c>
      <c r="BH318" s="13" t="s">
        <v>79</v>
      </c>
      <c r="BI318" s="13" t="b">
        <v>0</v>
      </c>
      <c r="BJ318" s="13">
        <v>0.0</v>
      </c>
      <c r="BK318" s="13">
        <v>0.0</v>
      </c>
    </row>
    <row r="319" ht="14.25" customHeight="1">
      <c r="A319" s="13">
        <v>317.0</v>
      </c>
      <c r="B319" s="13" t="s">
        <v>45</v>
      </c>
      <c r="C319" s="13">
        <v>5.0</v>
      </c>
      <c r="D319" s="14">
        <v>0.0</v>
      </c>
      <c r="E319" s="13" t="s">
        <v>2346</v>
      </c>
      <c r="F319" s="15" t="s">
        <v>329</v>
      </c>
      <c r="G319" s="16" t="s">
        <v>2347</v>
      </c>
      <c r="H319" s="13"/>
      <c r="I319" s="13">
        <v>1.0</v>
      </c>
      <c r="J319" s="13" t="s">
        <v>2348</v>
      </c>
      <c r="K319" s="13">
        <f t="shared" si="3"/>
        <v>3</v>
      </c>
      <c r="L319" s="13">
        <f t="shared" si="4"/>
        <v>2</v>
      </c>
      <c r="M319" s="13">
        <f t="shared" ref="M319:AA319" si="637">IFERROR(VALUE(RIGHT(LEFT($J319,FIND(M$1,$J319,1)+LEN(M$1)),1)),0)</f>
        <v>0</v>
      </c>
      <c r="N319" s="13">
        <f t="shared" si="637"/>
        <v>0</v>
      </c>
      <c r="O319" s="13">
        <f t="shared" si="637"/>
        <v>0</v>
      </c>
      <c r="P319" s="13">
        <f t="shared" si="637"/>
        <v>1</v>
      </c>
      <c r="Q319" s="13">
        <f t="shared" si="637"/>
        <v>0</v>
      </c>
      <c r="R319" s="13">
        <f t="shared" si="637"/>
        <v>0</v>
      </c>
      <c r="S319" s="13">
        <f t="shared" si="637"/>
        <v>0</v>
      </c>
      <c r="T319" s="13">
        <f t="shared" si="637"/>
        <v>2</v>
      </c>
      <c r="U319" s="13">
        <f t="shared" si="637"/>
        <v>0</v>
      </c>
      <c r="V319" s="13">
        <f t="shared" si="637"/>
        <v>0</v>
      </c>
      <c r="W319" s="13">
        <f t="shared" si="637"/>
        <v>0</v>
      </c>
      <c r="X319" s="13">
        <f t="shared" si="637"/>
        <v>0</v>
      </c>
      <c r="Y319" s="13">
        <f t="shared" si="637"/>
        <v>0</v>
      </c>
      <c r="Z319" s="13">
        <f t="shared" si="637"/>
        <v>0</v>
      </c>
      <c r="AA319" s="13">
        <f t="shared" si="637"/>
        <v>0</v>
      </c>
      <c r="AB319" s="13">
        <f t="shared" ref="AB319:AP319" si="638">IFERROR(VALUE(RIGHT(LEFT($J319,FIND(AB$1,$J319,IF(M319=0,1,FIND(AB$1,$J319,1)+1))+LEN(AB$1)),1)),0)</f>
        <v>1</v>
      </c>
      <c r="AC319" s="13">
        <f t="shared" si="638"/>
        <v>0</v>
      </c>
      <c r="AD319" s="13">
        <f t="shared" si="638"/>
        <v>0</v>
      </c>
      <c r="AE319" s="13">
        <f t="shared" si="638"/>
        <v>1</v>
      </c>
      <c r="AF319" s="13">
        <f t="shared" si="638"/>
        <v>0</v>
      </c>
      <c r="AG319" s="13">
        <f t="shared" si="638"/>
        <v>0</v>
      </c>
      <c r="AH319" s="13">
        <f t="shared" si="638"/>
        <v>0</v>
      </c>
      <c r="AI319" s="13">
        <f t="shared" si="638"/>
        <v>0</v>
      </c>
      <c r="AJ319" s="13">
        <f t="shared" si="638"/>
        <v>0</v>
      </c>
      <c r="AK319" s="13">
        <f t="shared" si="638"/>
        <v>0</v>
      </c>
      <c r="AL319" s="13">
        <f t="shared" si="638"/>
        <v>0</v>
      </c>
      <c r="AM319" s="13">
        <f t="shared" si="638"/>
        <v>0</v>
      </c>
      <c r="AN319" s="13">
        <f t="shared" si="638"/>
        <v>0</v>
      </c>
      <c r="AO319" s="13">
        <f t="shared" si="638"/>
        <v>0</v>
      </c>
      <c r="AP319" s="13">
        <f t="shared" si="638"/>
        <v>0</v>
      </c>
      <c r="AQ319" s="13" t="s">
        <v>2349</v>
      </c>
      <c r="AR319" s="13"/>
      <c r="AS319" s="13" t="s">
        <v>2350</v>
      </c>
      <c r="AT319" s="13"/>
      <c r="AU319" s="13"/>
      <c r="AV319" s="13"/>
      <c r="AW319" s="13">
        <v>0.0</v>
      </c>
      <c r="AX319" s="13">
        <v>0.0</v>
      </c>
      <c r="AY319" s="13">
        <v>0.0</v>
      </c>
      <c r="AZ319" s="13"/>
      <c r="BA319" s="13"/>
      <c r="BB319" s="13"/>
      <c r="BC319" s="13"/>
      <c r="BD319" s="13"/>
      <c r="BE319" s="13"/>
      <c r="BF319" s="13"/>
      <c r="BG319" s="13"/>
      <c r="BH319" s="13" t="s">
        <v>79</v>
      </c>
      <c r="BI319" s="13" t="b">
        <v>0</v>
      </c>
      <c r="BJ319" s="13">
        <v>0.0</v>
      </c>
      <c r="BK319" s="13">
        <v>0.0</v>
      </c>
    </row>
    <row r="320" ht="14.25" customHeight="1">
      <c r="A320" s="13">
        <v>318.0</v>
      </c>
      <c r="B320" s="13" t="s">
        <v>49</v>
      </c>
      <c r="C320" s="13">
        <v>5.0</v>
      </c>
      <c r="D320" s="14">
        <v>0.0</v>
      </c>
      <c r="E320" s="13" t="s">
        <v>2351</v>
      </c>
      <c r="F320" s="15" t="s">
        <v>329</v>
      </c>
      <c r="G320" s="16" t="s">
        <v>2352</v>
      </c>
      <c r="H320" s="13">
        <v>25.0</v>
      </c>
      <c r="I320" s="13">
        <v>1.0</v>
      </c>
      <c r="J320" s="13" t="s">
        <v>2353</v>
      </c>
      <c r="K320" s="13">
        <f t="shared" si="3"/>
        <v>4</v>
      </c>
      <c r="L320" s="13">
        <f t="shared" si="4"/>
        <v>0</v>
      </c>
      <c r="M320" s="13">
        <f t="shared" ref="M320:AA320" si="639">IFERROR(VALUE(RIGHT(LEFT($J320,FIND(M$1,$J320,1)+LEN(M$1)),1)),0)</f>
        <v>1</v>
      </c>
      <c r="N320" s="13">
        <f t="shared" si="639"/>
        <v>0</v>
      </c>
      <c r="O320" s="13">
        <f t="shared" si="639"/>
        <v>0</v>
      </c>
      <c r="P320" s="13">
        <f t="shared" si="639"/>
        <v>2</v>
      </c>
      <c r="Q320" s="13">
        <f t="shared" si="639"/>
        <v>0</v>
      </c>
      <c r="R320" s="13">
        <f t="shared" si="639"/>
        <v>0</v>
      </c>
      <c r="S320" s="13">
        <f t="shared" si="639"/>
        <v>0</v>
      </c>
      <c r="T320" s="13">
        <f t="shared" si="639"/>
        <v>0</v>
      </c>
      <c r="U320" s="13">
        <f t="shared" si="639"/>
        <v>0</v>
      </c>
      <c r="V320" s="13">
        <f t="shared" si="639"/>
        <v>0</v>
      </c>
      <c r="W320" s="13">
        <f t="shared" si="639"/>
        <v>0</v>
      </c>
      <c r="X320" s="13">
        <f t="shared" si="639"/>
        <v>1</v>
      </c>
      <c r="Y320" s="13">
        <f t="shared" si="639"/>
        <v>0</v>
      </c>
      <c r="Z320" s="13">
        <f t="shared" si="639"/>
        <v>0</v>
      </c>
      <c r="AA320" s="13">
        <f t="shared" si="639"/>
        <v>0</v>
      </c>
      <c r="AB320" s="13">
        <f t="shared" ref="AB320:AP320" si="640">IFERROR(VALUE(RIGHT(LEFT($J320,FIND(AB$1,$J320,IF(M320=0,1,FIND(AB$1,$J320,1)+1))+LEN(AB$1)),1)),0)</f>
        <v>0</v>
      </c>
      <c r="AC320" s="13">
        <f t="shared" si="640"/>
        <v>0</v>
      </c>
      <c r="AD320" s="13">
        <f t="shared" si="640"/>
        <v>0</v>
      </c>
      <c r="AE320" s="13">
        <f t="shared" si="640"/>
        <v>0</v>
      </c>
      <c r="AF320" s="13">
        <f t="shared" si="640"/>
        <v>0</v>
      </c>
      <c r="AG320" s="13">
        <f t="shared" si="640"/>
        <v>0</v>
      </c>
      <c r="AH320" s="13">
        <f t="shared" si="640"/>
        <v>0</v>
      </c>
      <c r="AI320" s="13">
        <f t="shared" si="640"/>
        <v>0</v>
      </c>
      <c r="AJ320" s="13">
        <f t="shared" si="640"/>
        <v>0</v>
      </c>
      <c r="AK320" s="13">
        <f t="shared" si="640"/>
        <v>0</v>
      </c>
      <c r="AL320" s="13">
        <f t="shared" si="640"/>
        <v>0</v>
      </c>
      <c r="AM320" s="13">
        <f t="shared" si="640"/>
        <v>0</v>
      </c>
      <c r="AN320" s="13">
        <f t="shared" si="640"/>
        <v>0</v>
      </c>
      <c r="AO320" s="13">
        <f t="shared" si="640"/>
        <v>0</v>
      </c>
      <c r="AP320" s="13">
        <f t="shared" si="640"/>
        <v>0</v>
      </c>
      <c r="AQ320" s="13"/>
      <c r="AR320" s="13" t="s">
        <v>2354</v>
      </c>
      <c r="AS320" s="13" t="s">
        <v>2355</v>
      </c>
      <c r="AT320" s="13" t="s">
        <v>162</v>
      </c>
      <c r="AU320" s="13" t="s">
        <v>207</v>
      </c>
      <c r="AV320" s="13" t="s">
        <v>2356</v>
      </c>
      <c r="AW320" s="13">
        <v>28.0</v>
      </c>
      <c r="AX320" s="13">
        <v>0.0</v>
      </c>
      <c r="AY320" s="13">
        <v>0.0</v>
      </c>
      <c r="AZ320" s="13" t="s">
        <v>2357</v>
      </c>
      <c r="BA320" s="13" t="s">
        <v>2358</v>
      </c>
      <c r="BB320" s="13"/>
      <c r="BC320" s="13"/>
      <c r="BD320" s="13" t="s">
        <v>664</v>
      </c>
      <c r="BE320" s="13"/>
      <c r="BF320" s="13" t="s">
        <v>2359</v>
      </c>
      <c r="BG320" s="13" t="s">
        <v>201</v>
      </c>
      <c r="BH320" s="13" t="s">
        <v>79</v>
      </c>
      <c r="BI320" s="13" t="b">
        <v>0</v>
      </c>
      <c r="BJ320" s="13">
        <v>0.0</v>
      </c>
      <c r="BK320" s="13">
        <v>0.0</v>
      </c>
    </row>
    <row r="321" ht="14.25" customHeight="1">
      <c r="A321" s="13">
        <v>319.0</v>
      </c>
      <c r="B321" s="13" t="s">
        <v>44</v>
      </c>
      <c r="C321" s="13">
        <v>0.0</v>
      </c>
      <c r="D321" s="14">
        <v>0.0</v>
      </c>
      <c r="E321" s="13" t="s">
        <v>2360</v>
      </c>
      <c r="F321" s="15" t="s">
        <v>2361</v>
      </c>
      <c r="G321" s="16" t="s">
        <v>2362</v>
      </c>
      <c r="H321" s="13"/>
      <c r="I321" s="13">
        <v>1.0</v>
      </c>
      <c r="J321" s="13" t="s">
        <v>2185</v>
      </c>
      <c r="K321" s="13">
        <f t="shared" si="3"/>
        <v>0</v>
      </c>
      <c r="L321" s="13">
        <f t="shared" si="4"/>
        <v>1</v>
      </c>
      <c r="M321" s="13">
        <f t="shared" ref="M321:AA321" si="641">IFERROR(VALUE(RIGHT(LEFT($J321,FIND(M$1,$J321,1)+LEN(M$1)),1)),0)</f>
        <v>0</v>
      </c>
      <c r="N321" s="13">
        <f t="shared" si="641"/>
        <v>0</v>
      </c>
      <c r="O321" s="13">
        <f t="shared" si="641"/>
        <v>0</v>
      </c>
      <c r="P321" s="13">
        <f t="shared" si="641"/>
        <v>0</v>
      </c>
      <c r="Q321" s="13">
        <f t="shared" si="641"/>
        <v>0</v>
      </c>
      <c r="R321" s="13">
        <f t="shared" si="641"/>
        <v>0</v>
      </c>
      <c r="S321" s="13">
        <f t="shared" si="641"/>
        <v>0</v>
      </c>
      <c r="T321" s="13">
        <f t="shared" si="641"/>
        <v>0</v>
      </c>
      <c r="U321" s="13">
        <f t="shared" si="641"/>
        <v>0</v>
      </c>
      <c r="V321" s="13">
        <f t="shared" si="641"/>
        <v>0</v>
      </c>
      <c r="W321" s="13">
        <f t="shared" si="641"/>
        <v>0</v>
      </c>
      <c r="X321" s="13">
        <f t="shared" si="641"/>
        <v>0</v>
      </c>
      <c r="Y321" s="13">
        <f t="shared" si="641"/>
        <v>0</v>
      </c>
      <c r="Z321" s="13">
        <f t="shared" si="641"/>
        <v>0</v>
      </c>
      <c r="AA321" s="13">
        <f t="shared" si="641"/>
        <v>0</v>
      </c>
      <c r="AB321" s="13">
        <f t="shared" ref="AB321:AP321" si="642">IFERROR(VALUE(RIGHT(LEFT($J321,FIND(AB$1,$J321,IF(M321=0,1,FIND(AB$1,$J321,1)+1))+LEN(AB$1)),1)),0)</f>
        <v>0</v>
      </c>
      <c r="AC321" s="13">
        <f t="shared" si="642"/>
        <v>0</v>
      </c>
      <c r="AD321" s="13">
        <f t="shared" si="642"/>
        <v>0</v>
      </c>
      <c r="AE321" s="13">
        <f t="shared" si="642"/>
        <v>0</v>
      </c>
      <c r="AF321" s="13">
        <f t="shared" si="642"/>
        <v>0</v>
      </c>
      <c r="AG321" s="13">
        <f t="shared" si="642"/>
        <v>0</v>
      </c>
      <c r="AH321" s="13">
        <f t="shared" si="642"/>
        <v>1</v>
      </c>
      <c r="AI321" s="13">
        <f t="shared" si="642"/>
        <v>0</v>
      </c>
      <c r="AJ321" s="13">
        <f t="shared" si="642"/>
        <v>0</v>
      </c>
      <c r="AK321" s="13">
        <f t="shared" si="642"/>
        <v>0</v>
      </c>
      <c r="AL321" s="13">
        <f t="shared" si="642"/>
        <v>0</v>
      </c>
      <c r="AM321" s="13">
        <f t="shared" si="642"/>
        <v>0</v>
      </c>
      <c r="AN321" s="13">
        <f t="shared" si="642"/>
        <v>0</v>
      </c>
      <c r="AO321" s="13">
        <f t="shared" si="642"/>
        <v>0</v>
      </c>
      <c r="AP321" s="13">
        <f t="shared" si="642"/>
        <v>0</v>
      </c>
      <c r="AQ321" s="13" t="s">
        <v>2363</v>
      </c>
      <c r="AR321" s="13"/>
      <c r="AS321" s="13" t="s">
        <v>2364</v>
      </c>
      <c r="AT321" s="13"/>
      <c r="AU321" s="13"/>
      <c r="AV321" s="13"/>
      <c r="AW321" s="13">
        <v>0.0</v>
      </c>
      <c r="AX321" s="13">
        <v>1.0</v>
      </c>
      <c r="AY321" s="13">
        <v>0.0</v>
      </c>
      <c r="AZ321" s="13"/>
      <c r="BA321" s="13"/>
      <c r="BB321" s="13"/>
      <c r="BC321" s="13"/>
      <c r="BD321" s="13"/>
      <c r="BE321" s="13"/>
      <c r="BF321" s="13"/>
      <c r="BG321" s="13"/>
      <c r="BH321" s="13" t="s">
        <v>79</v>
      </c>
      <c r="BI321" s="13" t="b">
        <v>0</v>
      </c>
      <c r="BJ321" s="13">
        <v>0.0</v>
      </c>
      <c r="BK321" s="13">
        <v>0.0</v>
      </c>
    </row>
    <row r="322" ht="14.25" customHeight="1">
      <c r="A322" s="13">
        <v>320.0</v>
      </c>
      <c r="B322" s="13" t="s">
        <v>45</v>
      </c>
      <c r="C322" s="13">
        <v>0.0</v>
      </c>
      <c r="D322" s="14">
        <v>0.0</v>
      </c>
      <c r="E322" s="13" t="s">
        <v>2365</v>
      </c>
      <c r="F322" s="15" t="s">
        <v>2361</v>
      </c>
      <c r="G322" s="16" t="s">
        <v>2366</v>
      </c>
      <c r="H322" s="13"/>
      <c r="I322" s="13">
        <v>0.8</v>
      </c>
      <c r="J322" s="13" t="s">
        <v>100</v>
      </c>
      <c r="K322" s="13">
        <f t="shared" si="3"/>
        <v>0</v>
      </c>
      <c r="L322" s="13">
        <f t="shared" si="4"/>
        <v>1</v>
      </c>
      <c r="M322" s="13">
        <f t="shared" ref="M322:AA322" si="643">IFERROR(VALUE(RIGHT(LEFT($J322,FIND(M$1,$J322,1)+LEN(M$1)),1)),0)</f>
        <v>0</v>
      </c>
      <c r="N322" s="13">
        <f t="shared" si="643"/>
        <v>0</v>
      </c>
      <c r="O322" s="13">
        <f t="shared" si="643"/>
        <v>0</v>
      </c>
      <c r="P322" s="13">
        <f t="shared" si="643"/>
        <v>0</v>
      </c>
      <c r="Q322" s="13">
        <f t="shared" si="643"/>
        <v>0</v>
      </c>
      <c r="R322" s="13">
        <f t="shared" si="643"/>
        <v>0</v>
      </c>
      <c r="S322" s="13">
        <f t="shared" si="643"/>
        <v>0</v>
      </c>
      <c r="T322" s="13">
        <f t="shared" si="643"/>
        <v>0</v>
      </c>
      <c r="U322" s="13">
        <f t="shared" si="643"/>
        <v>0</v>
      </c>
      <c r="V322" s="13">
        <f t="shared" si="643"/>
        <v>0</v>
      </c>
      <c r="W322" s="13">
        <f t="shared" si="643"/>
        <v>0</v>
      </c>
      <c r="X322" s="13">
        <f t="shared" si="643"/>
        <v>0</v>
      </c>
      <c r="Y322" s="13">
        <f t="shared" si="643"/>
        <v>0</v>
      </c>
      <c r="Z322" s="13">
        <f t="shared" si="643"/>
        <v>0</v>
      </c>
      <c r="AA322" s="13">
        <f t="shared" si="643"/>
        <v>0</v>
      </c>
      <c r="AB322" s="13">
        <f t="shared" ref="AB322:AP322" si="644">IFERROR(VALUE(RIGHT(LEFT($J322,FIND(AB$1,$J322,IF(M322=0,1,FIND(AB$1,$J322,1)+1))+LEN(AB$1)),1)),0)</f>
        <v>0</v>
      </c>
      <c r="AC322" s="13">
        <f t="shared" si="644"/>
        <v>0</v>
      </c>
      <c r="AD322" s="13">
        <f t="shared" si="644"/>
        <v>0</v>
      </c>
      <c r="AE322" s="13">
        <f t="shared" si="644"/>
        <v>0</v>
      </c>
      <c r="AF322" s="13">
        <f t="shared" si="644"/>
        <v>0</v>
      </c>
      <c r="AG322" s="13">
        <f t="shared" si="644"/>
        <v>0</v>
      </c>
      <c r="AH322" s="13">
        <f t="shared" si="644"/>
        <v>0</v>
      </c>
      <c r="AI322" s="13">
        <f t="shared" si="644"/>
        <v>1</v>
      </c>
      <c r="AJ322" s="13">
        <f t="shared" si="644"/>
        <v>0</v>
      </c>
      <c r="AK322" s="13">
        <f t="shared" si="644"/>
        <v>0</v>
      </c>
      <c r="AL322" s="13">
        <f t="shared" si="644"/>
        <v>0</v>
      </c>
      <c r="AM322" s="13">
        <f t="shared" si="644"/>
        <v>0</v>
      </c>
      <c r="AN322" s="13">
        <f t="shared" si="644"/>
        <v>0</v>
      </c>
      <c r="AO322" s="13">
        <f t="shared" si="644"/>
        <v>0</v>
      </c>
      <c r="AP322" s="13">
        <f t="shared" si="644"/>
        <v>0</v>
      </c>
      <c r="AQ322" s="13" t="s">
        <v>2367</v>
      </c>
      <c r="AR322" s="13"/>
      <c r="AS322" s="13" t="s">
        <v>2368</v>
      </c>
      <c r="AT322" s="13"/>
      <c r="AU322" s="13"/>
      <c r="AV322" s="13"/>
      <c r="AW322" s="13">
        <v>0.0</v>
      </c>
      <c r="AX322" s="13">
        <v>1.0</v>
      </c>
      <c r="AY322" s="13">
        <v>0.0</v>
      </c>
      <c r="AZ322" s="13"/>
      <c r="BA322" s="13"/>
      <c r="BB322" s="13"/>
      <c r="BC322" s="13"/>
      <c r="BD322" s="13"/>
      <c r="BE322" s="13"/>
      <c r="BF322" s="13"/>
      <c r="BG322" s="13"/>
      <c r="BH322" s="13" t="s">
        <v>79</v>
      </c>
      <c r="BI322" s="13" t="b">
        <v>0</v>
      </c>
      <c r="BJ322" s="13">
        <v>0.0</v>
      </c>
      <c r="BK322" s="13">
        <v>0.0</v>
      </c>
    </row>
    <row r="323" ht="14.25" customHeight="1">
      <c r="A323" s="13">
        <v>321.0</v>
      </c>
      <c r="B323" s="13" t="s">
        <v>46</v>
      </c>
      <c r="C323" s="13">
        <v>0.0</v>
      </c>
      <c r="D323" s="14">
        <v>0.0</v>
      </c>
      <c r="E323" s="13" t="s">
        <v>2369</v>
      </c>
      <c r="F323" s="15" t="s">
        <v>2361</v>
      </c>
      <c r="G323" s="16" t="s">
        <v>2370</v>
      </c>
      <c r="H323" s="13"/>
      <c r="I323" s="13">
        <v>1.1</v>
      </c>
      <c r="J323" s="13" t="s">
        <v>111</v>
      </c>
      <c r="K323" s="13">
        <f t="shared" si="3"/>
        <v>0</v>
      </c>
      <c r="L323" s="13">
        <f t="shared" si="4"/>
        <v>1</v>
      </c>
      <c r="M323" s="13">
        <f t="shared" ref="M323:AA323" si="645">IFERROR(VALUE(RIGHT(LEFT($J323,FIND(M$1,$J323,1)+LEN(M$1)),1)),0)</f>
        <v>0</v>
      </c>
      <c r="N323" s="13">
        <f t="shared" si="645"/>
        <v>0</v>
      </c>
      <c r="O323" s="13">
        <f t="shared" si="645"/>
        <v>0</v>
      </c>
      <c r="P323" s="13">
        <f t="shared" si="645"/>
        <v>0</v>
      </c>
      <c r="Q323" s="13">
        <f t="shared" si="645"/>
        <v>0</v>
      </c>
      <c r="R323" s="13">
        <f t="shared" si="645"/>
        <v>0</v>
      </c>
      <c r="S323" s="13">
        <f t="shared" si="645"/>
        <v>0</v>
      </c>
      <c r="T323" s="13">
        <f t="shared" si="645"/>
        <v>0</v>
      </c>
      <c r="U323" s="13">
        <f t="shared" si="645"/>
        <v>0</v>
      </c>
      <c r="V323" s="13">
        <f t="shared" si="645"/>
        <v>0</v>
      </c>
      <c r="W323" s="13">
        <f t="shared" si="645"/>
        <v>0</v>
      </c>
      <c r="X323" s="13">
        <f t="shared" si="645"/>
        <v>0</v>
      </c>
      <c r="Y323" s="13">
        <f t="shared" si="645"/>
        <v>0</v>
      </c>
      <c r="Z323" s="13">
        <f t="shared" si="645"/>
        <v>0</v>
      </c>
      <c r="AA323" s="13">
        <f t="shared" si="645"/>
        <v>0</v>
      </c>
      <c r="AB323" s="13">
        <f t="shared" ref="AB323:AP323" si="646">IFERROR(VALUE(RIGHT(LEFT($J323,FIND(AB$1,$J323,IF(M323=0,1,FIND(AB$1,$J323,1)+1))+LEN(AB$1)),1)),0)</f>
        <v>0</v>
      </c>
      <c r="AC323" s="13">
        <f t="shared" si="646"/>
        <v>0</v>
      </c>
      <c r="AD323" s="13">
        <f t="shared" si="646"/>
        <v>0</v>
      </c>
      <c r="AE323" s="13">
        <f t="shared" si="646"/>
        <v>0</v>
      </c>
      <c r="AF323" s="13">
        <f t="shared" si="646"/>
        <v>0</v>
      </c>
      <c r="AG323" s="13">
        <f t="shared" si="646"/>
        <v>0</v>
      </c>
      <c r="AH323" s="13">
        <f t="shared" si="646"/>
        <v>0</v>
      </c>
      <c r="AI323" s="13">
        <f t="shared" si="646"/>
        <v>0</v>
      </c>
      <c r="AJ323" s="13">
        <f t="shared" si="646"/>
        <v>1</v>
      </c>
      <c r="AK323" s="13">
        <f t="shared" si="646"/>
        <v>0</v>
      </c>
      <c r="AL323" s="13">
        <f t="shared" si="646"/>
        <v>0</v>
      </c>
      <c r="AM323" s="13">
        <f t="shared" si="646"/>
        <v>0</v>
      </c>
      <c r="AN323" s="13">
        <f t="shared" si="646"/>
        <v>0</v>
      </c>
      <c r="AO323" s="13">
        <f t="shared" si="646"/>
        <v>0</v>
      </c>
      <c r="AP323" s="13">
        <f t="shared" si="646"/>
        <v>0</v>
      </c>
      <c r="AQ323" s="13" t="s">
        <v>2371</v>
      </c>
      <c r="AR323" s="13"/>
      <c r="AS323" s="13" t="s">
        <v>123</v>
      </c>
      <c r="AT323" s="13"/>
      <c r="AU323" s="13"/>
      <c r="AV323" s="13"/>
      <c r="AW323" s="13">
        <v>0.0</v>
      </c>
      <c r="AX323" s="13">
        <v>1.0</v>
      </c>
      <c r="AY323" s="13">
        <v>0.0</v>
      </c>
      <c r="AZ323" s="13"/>
      <c r="BA323" s="13"/>
      <c r="BB323" s="13"/>
      <c r="BC323" s="13"/>
      <c r="BD323" s="13"/>
      <c r="BE323" s="13"/>
      <c r="BF323" s="13"/>
      <c r="BG323" s="13"/>
      <c r="BH323" s="13" t="s">
        <v>79</v>
      </c>
      <c r="BI323" s="13" t="b">
        <v>0</v>
      </c>
      <c r="BJ323" s="13">
        <v>0.0</v>
      </c>
      <c r="BK323" s="13">
        <v>0.0</v>
      </c>
    </row>
    <row r="324" ht="14.25" customHeight="1">
      <c r="A324" s="13">
        <v>322.0</v>
      </c>
      <c r="B324" s="13" t="s">
        <v>52</v>
      </c>
      <c r="C324" s="13">
        <v>0.0</v>
      </c>
      <c r="D324" s="14">
        <v>0.0</v>
      </c>
      <c r="E324" s="13" t="s">
        <v>2372</v>
      </c>
      <c r="F324" s="15" t="s">
        <v>2361</v>
      </c>
      <c r="G324" s="16" t="s">
        <v>2373</v>
      </c>
      <c r="H324" s="13">
        <v>8.0</v>
      </c>
      <c r="I324" s="13">
        <v>0.9</v>
      </c>
      <c r="J324" s="13" t="s">
        <v>95</v>
      </c>
      <c r="K324" s="13">
        <f t="shared" si="3"/>
        <v>0</v>
      </c>
      <c r="L324" s="13">
        <f t="shared" si="4"/>
        <v>1</v>
      </c>
      <c r="M324" s="13">
        <f t="shared" ref="M324:AA324" si="647">IFERROR(VALUE(RIGHT(LEFT($J324,FIND(M$1,$J324,1)+LEN(M$1)),1)),0)</f>
        <v>0</v>
      </c>
      <c r="N324" s="13">
        <f t="shared" si="647"/>
        <v>0</v>
      </c>
      <c r="O324" s="13">
        <f t="shared" si="647"/>
        <v>0</v>
      </c>
      <c r="P324" s="13">
        <f t="shared" si="647"/>
        <v>0</v>
      </c>
      <c r="Q324" s="13">
        <f t="shared" si="647"/>
        <v>0</v>
      </c>
      <c r="R324" s="13">
        <f t="shared" si="647"/>
        <v>0</v>
      </c>
      <c r="S324" s="13">
        <f t="shared" si="647"/>
        <v>0</v>
      </c>
      <c r="T324" s="13">
        <f t="shared" si="647"/>
        <v>0</v>
      </c>
      <c r="U324" s="13">
        <f t="shared" si="647"/>
        <v>0</v>
      </c>
      <c r="V324" s="13">
        <f t="shared" si="647"/>
        <v>0</v>
      </c>
      <c r="W324" s="13">
        <f t="shared" si="647"/>
        <v>0</v>
      </c>
      <c r="X324" s="13">
        <f t="shared" si="647"/>
        <v>0</v>
      </c>
      <c r="Y324" s="13">
        <f t="shared" si="647"/>
        <v>0</v>
      </c>
      <c r="Z324" s="13">
        <f t="shared" si="647"/>
        <v>0</v>
      </c>
      <c r="AA324" s="13">
        <f t="shared" si="647"/>
        <v>0</v>
      </c>
      <c r="AB324" s="13">
        <f t="shared" ref="AB324:AP324" si="648">IFERROR(VALUE(RIGHT(LEFT($J324,FIND(AB$1,$J324,IF(M324=0,1,FIND(AB$1,$J324,1)+1))+LEN(AB$1)),1)),0)</f>
        <v>0</v>
      </c>
      <c r="AC324" s="13">
        <f t="shared" si="648"/>
        <v>1</v>
      </c>
      <c r="AD324" s="13">
        <f t="shared" si="648"/>
        <v>0</v>
      </c>
      <c r="AE324" s="13">
        <f t="shared" si="648"/>
        <v>0</v>
      </c>
      <c r="AF324" s="13">
        <f t="shared" si="648"/>
        <v>0</v>
      </c>
      <c r="AG324" s="13">
        <f t="shared" si="648"/>
        <v>0</v>
      </c>
      <c r="AH324" s="13">
        <f t="shared" si="648"/>
        <v>0</v>
      </c>
      <c r="AI324" s="13">
        <f t="shared" si="648"/>
        <v>0</v>
      </c>
      <c r="AJ324" s="13">
        <f t="shared" si="648"/>
        <v>0</v>
      </c>
      <c r="AK324" s="13">
        <f t="shared" si="648"/>
        <v>0</v>
      </c>
      <c r="AL324" s="13">
        <f t="shared" si="648"/>
        <v>0</v>
      </c>
      <c r="AM324" s="13">
        <f t="shared" si="648"/>
        <v>0</v>
      </c>
      <c r="AN324" s="13">
        <f t="shared" si="648"/>
        <v>0</v>
      </c>
      <c r="AO324" s="13">
        <f t="shared" si="648"/>
        <v>0</v>
      </c>
      <c r="AP324" s="13">
        <f t="shared" si="648"/>
        <v>0</v>
      </c>
      <c r="AQ324" s="13"/>
      <c r="AR324" s="13" t="s">
        <v>2374</v>
      </c>
      <c r="AS324" s="13" t="s">
        <v>2375</v>
      </c>
      <c r="AT324" s="13" t="s">
        <v>290</v>
      </c>
      <c r="AU324" s="13" t="s">
        <v>130</v>
      </c>
      <c r="AV324" s="13" t="s">
        <v>2376</v>
      </c>
      <c r="AW324" s="13">
        <v>3.0</v>
      </c>
      <c r="AX324" s="13">
        <v>1.0</v>
      </c>
      <c r="AY324" s="13">
        <v>0.0</v>
      </c>
      <c r="AZ324" s="13" t="s">
        <v>209</v>
      </c>
      <c r="BA324" s="13" t="s">
        <v>2377</v>
      </c>
      <c r="BB324" s="13"/>
      <c r="BC324" s="13"/>
      <c r="BD324" s="13" t="s">
        <v>294</v>
      </c>
      <c r="BE324" s="13" t="s">
        <v>2378</v>
      </c>
      <c r="BF324" s="13" t="s">
        <v>2258</v>
      </c>
      <c r="BG324" s="13"/>
      <c r="BH324" s="13" t="s">
        <v>79</v>
      </c>
      <c r="BI324" s="13" t="b">
        <v>0</v>
      </c>
      <c r="BJ324" s="13">
        <v>0.0</v>
      </c>
      <c r="BK324" s="13">
        <v>0.0</v>
      </c>
    </row>
    <row r="325" ht="14.25" customHeight="1">
      <c r="A325" s="13">
        <v>323.0</v>
      </c>
      <c r="B325" s="13" t="s">
        <v>52</v>
      </c>
      <c r="C325" s="13">
        <v>0.0</v>
      </c>
      <c r="D325" s="14">
        <v>0.0</v>
      </c>
      <c r="E325" s="13" t="s">
        <v>2379</v>
      </c>
      <c r="F325" s="15" t="s">
        <v>2361</v>
      </c>
      <c r="G325" s="16" t="s">
        <v>2380</v>
      </c>
      <c r="H325" s="13">
        <v>6.0</v>
      </c>
      <c r="I325" s="13">
        <v>0.8</v>
      </c>
      <c r="J325" s="13" t="s">
        <v>288</v>
      </c>
      <c r="K325" s="13">
        <f t="shared" si="3"/>
        <v>0</v>
      </c>
      <c r="L325" s="13">
        <f t="shared" si="4"/>
        <v>1</v>
      </c>
      <c r="M325" s="13">
        <f t="shared" ref="M325:AA325" si="649">IFERROR(VALUE(RIGHT(LEFT($J325,FIND(M$1,$J325,1)+LEN(M$1)),1)),0)</f>
        <v>0</v>
      </c>
      <c r="N325" s="13">
        <f t="shared" si="649"/>
        <v>0</v>
      </c>
      <c r="O325" s="13">
        <f t="shared" si="649"/>
        <v>0</v>
      </c>
      <c r="P325" s="13">
        <f t="shared" si="649"/>
        <v>0</v>
      </c>
      <c r="Q325" s="13">
        <f t="shared" si="649"/>
        <v>0</v>
      </c>
      <c r="R325" s="13">
        <f t="shared" si="649"/>
        <v>0</v>
      </c>
      <c r="S325" s="13">
        <f t="shared" si="649"/>
        <v>0</v>
      </c>
      <c r="T325" s="13">
        <f t="shared" si="649"/>
        <v>0</v>
      </c>
      <c r="U325" s="13">
        <f t="shared" si="649"/>
        <v>0</v>
      </c>
      <c r="V325" s="13">
        <f t="shared" si="649"/>
        <v>0</v>
      </c>
      <c r="W325" s="13">
        <f t="shared" si="649"/>
        <v>0</v>
      </c>
      <c r="X325" s="13">
        <f t="shared" si="649"/>
        <v>0</v>
      </c>
      <c r="Y325" s="13">
        <f t="shared" si="649"/>
        <v>0</v>
      </c>
      <c r="Z325" s="13">
        <f t="shared" si="649"/>
        <v>0</v>
      </c>
      <c r="AA325" s="13">
        <f t="shared" si="649"/>
        <v>0</v>
      </c>
      <c r="AB325" s="13">
        <f t="shared" ref="AB325:AP325" si="650">IFERROR(VALUE(RIGHT(LEFT($J325,FIND(AB$1,$J325,IF(M325=0,1,FIND(AB$1,$J325,1)+1))+LEN(AB$1)),1)),0)</f>
        <v>0</v>
      </c>
      <c r="AC325" s="13">
        <f t="shared" si="650"/>
        <v>0</v>
      </c>
      <c r="AD325" s="13">
        <f t="shared" si="650"/>
        <v>0</v>
      </c>
      <c r="AE325" s="13">
        <f t="shared" si="650"/>
        <v>0</v>
      </c>
      <c r="AF325" s="13">
        <f t="shared" si="650"/>
        <v>0</v>
      </c>
      <c r="AG325" s="13">
        <f t="shared" si="650"/>
        <v>0</v>
      </c>
      <c r="AH325" s="13">
        <f t="shared" si="650"/>
        <v>0</v>
      </c>
      <c r="AI325" s="13">
        <f t="shared" si="650"/>
        <v>0</v>
      </c>
      <c r="AJ325" s="13">
        <f t="shared" si="650"/>
        <v>0</v>
      </c>
      <c r="AK325" s="13">
        <f t="shared" si="650"/>
        <v>0</v>
      </c>
      <c r="AL325" s="13">
        <f t="shared" si="650"/>
        <v>0</v>
      </c>
      <c r="AM325" s="13">
        <f t="shared" si="650"/>
        <v>0</v>
      </c>
      <c r="AN325" s="13">
        <f t="shared" si="650"/>
        <v>0</v>
      </c>
      <c r="AO325" s="13">
        <f t="shared" si="650"/>
        <v>0</v>
      </c>
      <c r="AP325" s="13">
        <f t="shared" si="650"/>
        <v>1</v>
      </c>
      <c r="AQ325" s="13"/>
      <c r="AR325" s="13" t="s">
        <v>2381</v>
      </c>
      <c r="AS325" s="13"/>
      <c r="AT325" s="13" t="s">
        <v>2382</v>
      </c>
      <c r="AU325" s="13" t="s">
        <v>130</v>
      </c>
      <c r="AV325" s="13" t="s">
        <v>2383</v>
      </c>
      <c r="AW325" s="13">
        <v>2.0</v>
      </c>
      <c r="AX325" s="13">
        <v>1.0</v>
      </c>
      <c r="AY325" s="13">
        <v>0.0</v>
      </c>
      <c r="AZ325" s="13" t="s">
        <v>805</v>
      </c>
      <c r="BA325" s="13" t="s">
        <v>906</v>
      </c>
      <c r="BB325" s="13"/>
      <c r="BC325" s="13"/>
      <c r="BD325" s="13" t="s">
        <v>306</v>
      </c>
      <c r="BE325" s="13" t="s">
        <v>2384</v>
      </c>
      <c r="BF325" s="13" t="s">
        <v>308</v>
      </c>
      <c r="BG325" s="13"/>
      <c r="BH325" s="13" t="s">
        <v>79</v>
      </c>
      <c r="BI325" s="13" t="b">
        <v>0</v>
      </c>
      <c r="BJ325" s="13">
        <v>0.0</v>
      </c>
      <c r="BK325" s="13">
        <v>0.0</v>
      </c>
    </row>
    <row r="326" ht="14.25" customHeight="1">
      <c r="A326" s="13">
        <v>324.0</v>
      </c>
      <c r="B326" s="13" t="s">
        <v>52</v>
      </c>
      <c r="C326" s="13">
        <v>0.0</v>
      </c>
      <c r="D326" s="14">
        <v>0.0</v>
      </c>
      <c r="E326" s="13" t="s">
        <v>2385</v>
      </c>
      <c r="F326" s="15" t="s">
        <v>2361</v>
      </c>
      <c r="G326" s="16" t="s">
        <v>2386</v>
      </c>
      <c r="H326" s="13">
        <v>10.0</v>
      </c>
      <c r="I326" s="13">
        <v>1.0</v>
      </c>
      <c r="J326" s="13" t="s">
        <v>288</v>
      </c>
      <c r="K326" s="13">
        <f t="shared" si="3"/>
        <v>0</v>
      </c>
      <c r="L326" s="13">
        <f t="shared" si="4"/>
        <v>1</v>
      </c>
      <c r="M326" s="13">
        <f t="shared" ref="M326:AA326" si="651">IFERROR(VALUE(RIGHT(LEFT($J326,FIND(M$1,$J326,1)+LEN(M$1)),1)),0)</f>
        <v>0</v>
      </c>
      <c r="N326" s="13">
        <f t="shared" si="651"/>
        <v>0</v>
      </c>
      <c r="O326" s="13">
        <f t="shared" si="651"/>
        <v>0</v>
      </c>
      <c r="P326" s="13">
        <f t="shared" si="651"/>
        <v>0</v>
      </c>
      <c r="Q326" s="13">
        <f t="shared" si="651"/>
        <v>0</v>
      </c>
      <c r="R326" s="13">
        <f t="shared" si="651"/>
        <v>0</v>
      </c>
      <c r="S326" s="13">
        <f t="shared" si="651"/>
        <v>0</v>
      </c>
      <c r="T326" s="13">
        <f t="shared" si="651"/>
        <v>0</v>
      </c>
      <c r="U326" s="13">
        <f t="shared" si="651"/>
        <v>0</v>
      </c>
      <c r="V326" s="13">
        <f t="shared" si="651"/>
        <v>0</v>
      </c>
      <c r="W326" s="13">
        <f t="shared" si="651"/>
        <v>0</v>
      </c>
      <c r="X326" s="13">
        <f t="shared" si="651"/>
        <v>0</v>
      </c>
      <c r="Y326" s="13">
        <f t="shared" si="651"/>
        <v>0</v>
      </c>
      <c r="Z326" s="13">
        <f t="shared" si="651"/>
        <v>0</v>
      </c>
      <c r="AA326" s="13">
        <f t="shared" si="651"/>
        <v>0</v>
      </c>
      <c r="AB326" s="13">
        <f t="shared" ref="AB326:AP326" si="652">IFERROR(VALUE(RIGHT(LEFT($J326,FIND(AB$1,$J326,IF(M326=0,1,FIND(AB$1,$J326,1)+1))+LEN(AB$1)),1)),0)</f>
        <v>0</v>
      </c>
      <c r="AC326" s="13">
        <f t="shared" si="652"/>
        <v>0</v>
      </c>
      <c r="AD326" s="13">
        <f t="shared" si="652"/>
        <v>0</v>
      </c>
      <c r="AE326" s="13">
        <f t="shared" si="652"/>
        <v>0</v>
      </c>
      <c r="AF326" s="13">
        <f t="shared" si="652"/>
        <v>0</v>
      </c>
      <c r="AG326" s="13">
        <f t="shared" si="652"/>
        <v>0</v>
      </c>
      <c r="AH326" s="13">
        <f t="shared" si="652"/>
        <v>0</v>
      </c>
      <c r="AI326" s="13">
        <f t="shared" si="652"/>
        <v>0</v>
      </c>
      <c r="AJ326" s="13">
        <f t="shared" si="652"/>
        <v>0</v>
      </c>
      <c r="AK326" s="13">
        <f t="shared" si="652"/>
        <v>0</v>
      </c>
      <c r="AL326" s="13">
        <f t="shared" si="652"/>
        <v>0</v>
      </c>
      <c r="AM326" s="13">
        <f t="shared" si="652"/>
        <v>0</v>
      </c>
      <c r="AN326" s="13">
        <f t="shared" si="652"/>
        <v>0</v>
      </c>
      <c r="AO326" s="13">
        <f t="shared" si="652"/>
        <v>0</v>
      </c>
      <c r="AP326" s="13">
        <f t="shared" si="652"/>
        <v>1</v>
      </c>
      <c r="AQ326" s="13"/>
      <c r="AR326" s="13" t="s">
        <v>2387</v>
      </c>
      <c r="AS326" s="13" t="s">
        <v>314</v>
      </c>
      <c r="AT326" s="13" t="s">
        <v>573</v>
      </c>
      <c r="AU326" s="13" t="s">
        <v>130</v>
      </c>
      <c r="AV326" s="13" t="s">
        <v>196</v>
      </c>
      <c r="AW326" s="13">
        <v>4.0</v>
      </c>
      <c r="AX326" s="13">
        <v>1.0</v>
      </c>
      <c r="AY326" s="13">
        <v>0.0</v>
      </c>
      <c r="AZ326" s="13" t="s">
        <v>624</v>
      </c>
      <c r="BA326" s="13" t="s">
        <v>155</v>
      </c>
      <c r="BB326" s="13"/>
      <c r="BC326" s="13"/>
      <c r="BD326" s="13" t="s">
        <v>294</v>
      </c>
      <c r="BE326" s="13" t="s">
        <v>2388</v>
      </c>
      <c r="BF326" s="13" t="s">
        <v>168</v>
      </c>
      <c r="BG326" s="13"/>
      <c r="BH326" s="13" t="s">
        <v>79</v>
      </c>
      <c r="BI326" s="13" t="b">
        <v>0</v>
      </c>
      <c r="BJ326" s="13">
        <v>0.0</v>
      </c>
      <c r="BK326" s="13">
        <v>0.0</v>
      </c>
    </row>
    <row r="327" ht="14.25" customHeight="1">
      <c r="A327" s="13">
        <v>325.0</v>
      </c>
      <c r="B327" s="13" t="s">
        <v>49</v>
      </c>
      <c r="C327" s="13">
        <v>0.0</v>
      </c>
      <c r="D327" s="14">
        <v>0.0</v>
      </c>
      <c r="E327" s="13" t="s">
        <v>2389</v>
      </c>
      <c r="F327" s="15" t="s">
        <v>2361</v>
      </c>
      <c r="G327" s="16" t="s">
        <v>2390</v>
      </c>
      <c r="H327" s="13">
        <v>12.0</v>
      </c>
      <c r="I327" s="13">
        <v>1.1</v>
      </c>
      <c r="J327" s="13" t="s">
        <v>193</v>
      </c>
      <c r="K327" s="13">
        <f t="shared" si="3"/>
        <v>0</v>
      </c>
      <c r="L327" s="13">
        <f t="shared" si="4"/>
        <v>1</v>
      </c>
      <c r="M327" s="13">
        <f t="shared" ref="M327:AA327" si="653">IFERROR(VALUE(RIGHT(LEFT($J327,FIND(M$1,$J327,1)+LEN(M$1)),1)),0)</f>
        <v>0</v>
      </c>
      <c r="N327" s="13">
        <f t="shared" si="653"/>
        <v>0</v>
      </c>
      <c r="O327" s="13">
        <f t="shared" si="653"/>
        <v>0</v>
      </c>
      <c r="P327" s="13">
        <f t="shared" si="653"/>
        <v>0</v>
      </c>
      <c r="Q327" s="13">
        <f t="shared" si="653"/>
        <v>0</v>
      </c>
      <c r="R327" s="13">
        <f t="shared" si="653"/>
        <v>0</v>
      </c>
      <c r="S327" s="13">
        <f t="shared" si="653"/>
        <v>0</v>
      </c>
      <c r="T327" s="13">
        <f t="shared" si="653"/>
        <v>0</v>
      </c>
      <c r="U327" s="13">
        <f t="shared" si="653"/>
        <v>0</v>
      </c>
      <c r="V327" s="13">
        <f t="shared" si="653"/>
        <v>0</v>
      </c>
      <c r="W327" s="13">
        <f t="shared" si="653"/>
        <v>0</v>
      </c>
      <c r="X327" s="13">
        <f t="shared" si="653"/>
        <v>0</v>
      </c>
      <c r="Y327" s="13">
        <f t="shared" si="653"/>
        <v>0</v>
      </c>
      <c r="Z327" s="13">
        <f t="shared" si="653"/>
        <v>0</v>
      </c>
      <c r="AA327" s="13">
        <f t="shared" si="653"/>
        <v>0</v>
      </c>
      <c r="AB327" s="13">
        <f t="shared" ref="AB327:AP327" si="654">IFERROR(VALUE(RIGHT(LEFT($J327,FIND(AB$1,$J327,IF(M327=0,1,FIND(AB$1,$J327,1)+1))+LEN(AB$1)),1)),0)</f>
        <v>0</v>
      </c>
      <c r="AC327" s="13">
        <f t="shared" si="654"/>
        <v>0</v>
      </c>
      <c r="AD327" s="13">
        <f t="shared" si="654"/>
        <v>0</v>
      </c>
      <c r="AE327" s="13">
        <f t="shared" si="654"/>
        <v>0</v>
      </c>
      <c r="AF327" s="13">
        <f t="shared" si="654"/>
        <v>0</v>
      </c>
      <c r="AG327" s="13">
        <f t="shared" si="654"/>
        <v>0</v>
      </c>
      <c r="AH327" s="13">
        <f t="shared" si="654"/>
        <v>0</v>
      </c>
      <c r="AI327" s="13">
        <f t="shared" si="654"/>
        <v>0</v>
      </c>
      <c r="AJ327" s="13">
        <f t="shared" si="654"/>
        <v>0</v>
      </c>
      <c r="AK327" s="13">
        <f t="shared" si="654"/>
        <v>0</v>
      </c>
      <c r="AL327" s="13">
        <f t="shared" si="654"/>
        <v>0</v>
      </c>
      <c r="AM327" s="13">
        <f t="shared" si="654"/>
        <v>1</v>
      </c>
      <c r="AN327" s="13">
        <f t="shared" si="654"/>
        <v>0</v>
      </c>
      <c r="AO327" s="13">
        <f t="shared" si="654"/>
        <v>0</v>
      </c>
      <c r="AP327" s="13">
        <f t="shared" si="654"/>
        <v>0</v>
      </c>
      <c r="AQ327" s="13"/>
      <c r="AR327" s="13" t="s">
        <v>2391</v>
      </c>
      <c r="AS327" s="13" t="s">
        <v>2392</v>
      </c>
      <c r="AT327" s="13" t="s">
        <v>162</v>
      </c>
      <c r="AU327" s="13" t="s">
        <v>2209</v>
      </c>
      <c r="AV327" s="13" t="s">
        <v>888</v>
      </c>
      <c r="AW327" s="13">
        <v>5.0</v>
      </c>
      <c r="AX327" s="13">
        <v>1.0</v>
      </c>
      <c r="AY327" s="13">
        <v>0.0</v>
      </c>
      <c r="AZ327" s="13" t="s">
        <v>238</v>
      </c>
      <c r="BA327" s="13" t="s">
        <v>2393</v>
      </c>
      <c r="BB327" s="13"/>
      <c r="BC327" s="13"/>
      <c r="BD327" s="13" t="s">
        <v>220</v>
      </c>
      <c r="BE327" s="13"/>
      <c r="BF327" s="13" t="s">
        <v>2394</v>
      </c>
      <c r="BG327" s="13" t="s">
        <v>201</v>
      </c>
      <c r="BH327" s="13" t="s">
        <v>79</v>
      </c>
      <c r="BI327" s="13" t="b">
        <v>0</v>
      </c>
      <c r="BJ327" s="13">
        <v>0.0</v>
      </c>
      <c r="BK327" s="13">
        <v>0.0</v>
      </c>
    </row>
    <row r="328" ht="14.25" customHeight="1">
      <c r="A328" s="13">
        <v>326.0</v>
      </c>
      <c r="B328" s="13" t="s">
        <v>44</v>
      </c>
      <c r="C328" s="13">
        <v>1.0</v>
      </c>
      <c r="D328" s="14">
        <v>0.0</v>
      </c>
      <c r="E328" s="13" t="s">
        <v>2395</v>
      </c>
      <c r="F328" s="15" t="s">
        <v>2361</v>
      </c>
      <c r="G328" s="16" t="s">
        <v>2396</v>
      </c>
      <c r="H328" s="13"/>
      <c r="I328" s="13">
        <v>1.0</v>
      </c>
      <c r="J328" s="13" t="s">
        <v>331</v>
      </c>
      <c r="K328" s="13">
        <f t="shared" si="3"/>
        <v>0</v>
      </c>
      <c r="L328" s="13">
        <f t="shared" si="4"/>
        <v>2</v>
      </c>
      <c r="M328" s="13">
        <f t="shared" ref="M328:AA328" si="655">IFERROR(VALUE(RIGHT(LEFT($J328,FIND(M$1,$J328,1)+LEN(M$1)),1)),0)</f>
        <v>0</v>
      </c>
      <c r="N328" s="13">
        <f t="shared" si="655"/>
        <v>0</v>
      </c>
      <c r="O328" s="13">
        <f t="shared" si="655"/>
        <v>0</v>
      </c>
      <c r="P328" s="13">
        <f t="shared" si="655"/>
        <v>0</v>
      </c>
      <c r="Q328" s="13">
        <f t="shared" si="655"/>
        <v>0</v>
      </c>
      <c r="R328" s="13">
        <f t="shared" si="655"/>
        <v>0</v>
      </c>
      <c r="S328" s="13">
        <f t="shared" si="655"/>
        <v>0</v>
      </c>
      <c r="T328" s="13">
        <f t="shared" si="655"/>
        <v>0</v>
      </c>
      <c r="U328" s="13">
        <f t="shared" si="655"/>
        <v>0</v>
      </c>
      <c r="V328" s="13">
        <f t="shared" si="655"/>
        <v>0</v>
      </c>
      <c r="W328" s="13">
        <f t="shared" si="655"/>
        <v>0</v>
      </c>
      <c r="X328" s="13">
        <f t="shared" si="655"/>
        <v>0</v>
      </c>
      <c r="Y328" s="13">
        <f t="shared" si="655"/>
        <v>0</v>
      </c>
      <c r="Z328" s="13">
        <f t="shared" si="655"/>
        <v>0</v>
      </c>
      <c r="AA328" s="13">
        <f t="shared" si="655"/>
        <v>0</v>
      </c>
      <c r="AB328" s="13">
        <f t="shared" ref="AB328:AP328" si="656">IFERROR(VALUE(RIGHT(LEFT($J328,FIND(AB$1,$J328,IF(M328=0,1,FIND(AB$1,$J328,1)+1))+LEN(AB$1)),1)),0)</f>
        <v>0</v>
      </c>
      <c r="AC328" s="13">
        <f t="shared" si="656"/>
        <v>1</v>
      </c>
      <c r="AD328" s="13">
        <f t="shared" si="656"/>
        <v>0</v>
      </c>
      <c r="AE328" s="13">
        <f t="shared" si="656"/>
        <v>0</v>
      </c>
      <c r="AF328" s="13">
        <f t="shared" si="656"/>
        <v>0</v>
      </c>
      <c r="AG328" s="13">
        <f t="shared" si="656"/>
        <v>0</v>
      </c>
      <c r="AH328" s="13">
        <f t="shared" si="656"/>
        <v>1</v>
      </c>
      <c r="AI328" s="13">
        <f t="shared" si="656"/>
        <v>0</v>
      </c>
      <c r="AJ328" s="13">
        <f t="shared" si="656"/>
        <v>0</v>
      </c>
      <c r="AK328" s="13">
        <f t="shared" si="656"/>
        <v>0</v>
      </c>
      <c r="AL328" s="13">
        <f t="shared" si="656"/>
        <v>0</v>
      </c>
      <c r="AM328" s="13">
        <f t="shared" si="656"/>
        <v>0</v>
      </c>
      <c r="AN328" s="13">
        <f t="shared" si="656"/>
        <v>0</v>
      </c>
      <c r="AO328" s="13">
        <f t="shared" si="656"/>
        <v>0</v>
      </c>
      <c r="AP328" s="13">
        <f t="shared" si="656"/>
        <v>0</v>
      </c>
      <c r="AQ328" s="13" t="s">
        <v>2397</v>
      </c>
      <c r="AR328" s="13"/>
      <c r="AS328" s="13" t="s">
        <v>2398</v>
      </c>
      <c r="AT328" s="13"/>
      <c r="AU328" s="13"/>
      <c r="AV328" s="13"/>
      <c r="AW328" s="13">
        <v>0.0</v>
      </c>
      <c r="AX328" s="13">
        <v>1.0</v>
      </c>
      <c r="AY328" s="13">
        <v>0.0</v>
      </c>
      <c r="AZ328" s="13"/>
      <c r="BA328" s="13"/>
      <c r="BB328" s="13"/>
      <c r="BC328" s="13"/>
      <c r="BD328" s="13"/>
      <c r="BE328" s="13"/>
      <c r="BF328" s="13"/>
      <c r="BG328" s="13"/>
      <c r="BH328" s="13" t="s">
        <v>79</v>
      </c>
      <c r="BI328" s="13" t="b">
        <v>0</v>
      </c>
      <c r="BJ328" s="13">
        <v>0.0</v>
      </c>
      <c r="BK328" s="13">
        <v>0.0</v>
      </c>
    </row>
    <row r="329" ht="14.25" customHeight="1">
      <c r="A329" s="13">
        <v>327.0</v>
      </c>
      <c r="B329" s="13" t="s">
        <v>45</v>
      </c>
      <c r="C329" s="13">
        <v>1.0</v>
      </c>
      <c r="D329" s="14">
        <v>0.0</v>
      </c>
      <c r="E329" s="13" t="s">
        <v>2399</v>
      </c>
      <c r="F329" s="15" t="s">
        <v>2361</v>
      </c>
      <c r="G329" s="16" t="s">
        <v>2400</v>
      </c>
      <c r="H329" s="13"/>
      <c r="I329" s="13">
        <v>0.9</v>
      </c>
      <c r="J329" s="13" t="s">
        <v>389</v>
      </c>
      <c r="K329" s="13">
        <f t="shared" si="3"/>
        <v>0</v>
      </c>
      <c r="L329" s="13">
        <f t="shared" si="4"/>
        <v>2</v>
      </c>
      <c r="M329" s="13">
        <f t="shared" ref="M329:AA329" si="657">IFERROR(VALUE(RIGHT(LEFT($J329,FIND(M$1,$J329,1)+LEN(M$1)),1)),0)</f>
        <v>0</v>
      </c>
      <c r="N329" s="13">
        <f t="shared" si="657"/>
        <v>0</v>
      </c>
      <c r="O329" s="13">
        <f t="shared" si="657"/>
        <v>0</v>
      </c>
      <c r="P329" s="13">
        <f t="shared" si="657"/>
        <v>0</v>
      </c>
      <c r="Q329" s="13">
        <f t="shared" si="657"/>
        <v>0</v>
      </c>
      <c r="R329" s="13">
        <f t="shared" si="657"/>
        <v>0</v>
      </c>
      <c r="S329" s="13">
        <f t="shared" si="657"/>
        <v>0</v>
      </c>
      <c r="T329" s="13">
        <f t="shared" si="657"/>
        <v>0</v>
      </c>
      <c r="U329" s="13">
        <f t="shared" si="657"/>
        <v>0</v>
      </c>
      <c r="V329" s="13">
        <f t="shared" si="657"/>
        <v>0</v>
      </c>
      <c r="W329" s="13">
        <f t="shared" si="657"/>
        <v>0</v>
      </c>
      <c r="X329" s="13">
        <f t="shared" si="657"/>
        <v>0</v>
      </c>
      <c r="Y329" s="13">
        <f t="shared" si="657"/>
        <v>0</v>
      </c>
      <c r="Z329" s="13">
        <f t="shared" si="657"/>
        <v>0</v>
      </c>
      <c r="AA329" s="13">
        <f t="shared" si="657"/>
        <v>0</v>
      </c>
      <c r="AB329" s="13">
        <f t="shared" ref="AB329:AP329" si="658">IFERROR(VALUE(RIGHT(LEFT($J329,FIND(AB$1,$J329,IF(M329=0,1,FIND(AB$1,$J329,1)+1))+LEN(AB$1)),1)),0)</f>
        <v>1</v>
      </c>
      <c r="AC329" s="13">
        <f t="shared" si="658"/>
        <v>0</v>
      </c>
      <c r="AD329" s="13">
        <f t="shared" si="658"/>
        <v>0</v>
      </c>
      <c r="AE329" s="13">
        <f t="shared" si="658"/>
        <v>0</v>
      </c>
      <c r="AF329" s="13">
        <f t="shared" si="658"/>
        <v>0</v>
      </c>
      <c r="AG329" s="13">
        <f t="shared" si="658"/>
        <v>0</v>
      </c>
      <c r="AH329" s="13">
        <f t="shared" si="658"/>
        <v>0</v>
      </c>
      <c r="AI329" s="13">
        <f t="shared" si="658"/>
        <v>1</v>
      </c>
      <c r="AJ329" s="13">
        <f t="shared" si="658"/>
        <v>0</v>
      </c>
      <c r="AK329" s="13">
        <f t="shared" si="658"/>
        <v>0</v>
      </c>
      <c r="AL329" s="13">
        <f t="shared" si="658"/>
        <v>0</v>
      </c>
      <c r="AM329" s="13">
        <f t="shared" si="658"/>
        <v>0</v>
      </c>
      <c r="AN329" s="13">
        <f t="shared" si="658"/>
        <v>0</v>
      </c>
      <c r="AO329" s="13">
        <f t="shared" si="658"/>
        <v>0</v>
      </c>
      <c r="AP329" s="13">
        <f t="shared" si="658"/>
        <v>0</v>
      </c>
      <c r="AQ329" s="13" t="s">
        <v>2401</v>
      </c>
      <c r="AR329" s="13"/>
      <c r="AS329" s="13" t="s">
        <v>2402</v>
      </c>
      <c r="AT329" s="13"/>
      <c r="AU329" s="13"/>
      <c r="AV329" s="13"/>
      <c r="AW329" s="13">
        <v>0.0</v>
      </c>
      <c r="AX329" s="13">
        <v>1.0</v>
      </c>
      <c r="AY329" s="13">
        <v>0.0</v>
      </c>
      <c r="AZ329" s="13"/>
      <c r="BA329" s="13"/>
      <c r="BB329" s="13"/>
      <c r="BC329" s="13"/>
      <c r="BD329" s="13"/>
      <c r="BE329" s="13"/>
      <c r="BF329" s="13"/>
      <c r="BG329" s="13"/>
      <c r="BH329" s="13" t="s">
        <v>79</v>
      </c>
      <c r="BI329" s="13" t="b">
        <v>0</v>
      </c>
      <c r="BJ329" s="13">
        <v>0.0</v>
      </c>
      <c r="BK329" s="13">
        <v>0.0</v>
      </c>
    </row>
    <row r="330" ht="14.25" customHeight="1">
      <c r="A330" s="13">
        <v>328.0</v>
      </c>
      <c r="B330" s="13" t="s">
        <v>46</v>
      </c>
      <c r="C330" s="13">
        <v>1.0</v>
      </c>
      <c r="D330" s="14">
        <v>0.0</v>
      </c>
      <c r="E330" s="13" t="s">
        <v>2403</v>
      </c>
      <c r="F330" s="15" t="s">
        <v>2361</v>
      </c>
      <c r="G330" s="16" t="s">
        <v>2404</v>
      </c>
      <c r="H330" s="13"/>
      <c r="I330" s="13">
        <v>1.0</v>
      </c>
      <c r="J330" s="13" t="s">
        <v>2405</v>
      </c>
      <c r="K330" s="13">
        <f t="shared" si="3"/>
        <v>0</v>
      </c>
      <c r="L330" s="13">
        <f t="shared" si="4"/>
        <v>2</v>
      </c>
      <c r="M330" s="13">
        <f t="shared" ref="M330:AA330" si="659">IFERROR(VALUE(RIGHT(LEFT($J330,FIND(M$1,$J330,1)+LEN(M$1)),1)),0)</f>
        <v>0</v>
      </c>
      <c r="N330" s="13">
        <f t="shared" si="659"/>
        <v>0</v>
      </c>
      <c r="O330" s="13">
        <f t="shared" si="659"/>
        <v>0</v>
      </c>
      <c r="P330" s="13">
        <f t="shared" si="659"/>
        <v>0</v>
      </c>
      <c r="Q330" s="13">
        <f t="shared" si="659"/>
        <v>0</v>
      </c>
      <c r="R330" s="13">
        <f t="shared" si="659"/>
        <v>0</v>
      </c>
      <c r="S330" s="13">
        <f t="shared" si="659"/>
        <v>0</v>
      </c>
      <c r="T330" s="13">
        <f t="shared" si="659"/>
        <v>0</v>
      </c>
      <c r="U330" s="13">
        <f t="shared" si="659"/>
        <v>0</v>
      </c>
      <c r="V330" s="13">
        <f t="shared" si="659"/>
        <v>0</v>
      </c>
      <c r="W330" s="13">
        <f t="shared" si="659"/>
        <v>0</v>
      </c>
      <c r="X330" s="13">
        <f t="shared" si="659"/>
        <v>0</v>
      </c>
      <c r="Y330" s="13">
        <f t="shared" si="659"/>
        <v>0</v>
      </c>
      <c r="Z330" s="13">
        <f t="shared" si="659"/>
        <v>0</v>
      </c>
      <c r="AA330" s="13">
        <f t="shared" si="659"/>
        <v>0</v>
      </c>
      <c r="AB330" s="13">
        <f t="shared" ref="AB330:AP330" si="660">IFERROR(VALUE(RIGHT(LEFT($J330,FIND(AB$1,$J330,IF(M330=0,1,FIND(AB$1,$J330,1)+1))+LEN(AB$1)),1)),0)</f>
        <v>0</v>
      </c>
      <c r="AC330" s="13">
        <f t="shared" si="660"/>
        <v>0</v>
      </c>
      <c r="AD330" s="13">
        <f t="shared" si="660"/>
        <v>1</v>
      </c>
      <c r="AE330" s="13">
        <f t="shared" si="660"/>
        <v>0</v>
      </c>
      <c r="AF330" s="13">
        <f t="shared" si="660"/>
        <v>0</v>
      </c>
      <c r="AG330" s="13">
        <f t="shared" si="660"/>
        <v>0</v>
      </c>
      <c r="AH330" s="13">
        <f t="shared" si="660"/>
        <v>0</v>
      </c>
      <c r="AI330" s="13">
        <f t="shared" si="660"/>
        <v>0</v>
      </c>
      <c r="AJ330" s="13">
        <f t="shared" si="660"/>
        <v>1</v>
      </c>
      <c r="AK330" s="13">
        <f t="shared" si="660"/>
        <v>0</v>
      </c>
      <c r="AL330" s="13">
        <f t="shared" si="660"/>
        <v>0</v>
      </c>
      <c r="AM330" s="13">
        <f t="shared" si="660"/>
        <v>0</v>
      </c>
      <c r="AN330" s="13">
        <f t="shared" si="660"/>
        <v>0</v>
      </c>
      <c r="AO330" s="13">
        <f t="shared" si="660"/>
        <v>0</v>
      </c>
      <c r="AP330" s="13">
        <f t="shared" si="660"/>
        <v>0</v>
      </c>
      <c r="AQ330" s="13" t="s">
        <v>2406</v>
      </c>
      <c r="AR330" s="13"/>
      <c r="AS330" s="13" t="s">
        <v>459</v>
      </c>
      <c r="AT330" s="13"/>
      <c r="AU330" s="13"/>
      <c r="AV330" s="13"/>
      <c r="AW330" s="13">
        <v>0.0</v>
      </c>
      <c r="AX330" s="13">
        <v>1.0</v>
      </c>
      <c r="AY330" s="13">
        <v>0.0</v>
      </c>
      <c r="AZ330" s="13"/>
      <c r="BA330" s="13"/>
      <c r="BB330" s="13"/>
      <c r="BC330" s="13"/>
      <c r="BD330" s="13"/>
      <c r="BE330" s="13"/>
      <c r="BF330" s="13"/>
      <c r="BG330" s="13"/>
      <c r="BH330" s="13" t="s">
        <v>79</v>
      </c>
      <c r="BI330" s="13" t="b">
        <v>0</v>
      </c>
      <c r="BJ330" s="13">
        <v>0.0</v>
      </c>
      <c r="BK330" s="13">
        <v>0.0</v>
      </c>
    </row>
    <row r="331" ht="14.25" customHeight="1">
      <c r="A331" s="13">
        <v>329.0</v>
      </c>
      <c r="B331" s="13" t="s">
        <v>52</v>
      </c>
      <c r="C331" s="13">
        <v>1.0</v>
      </c>
      <c r="D331" s="14">
        <v>0.0</v>
      </c>
      <c r="E331" s="13" t="s">
        <v>2407</v>
      </c>
      <c r="F331" s="15" t="s">
        <v>2361</v>
      </c>
      <c r="G331" s="16" t="s">
        <v>2408</v>
      </c>
      <c r="H331" s="13">
        <v>14.0</v>
      </c>
      <c r="I331" s="13">
        <v>1.2</v>
      </c>
      <c r="J331" s="13" t="s">
        <v>845</v>
      </c>
      <c r="K331" s="13">
        <f t="shared" si="3"/>
        <v>0</v>
      </c>
      <c r="L331" s="13">
        <f t="shared" si="4"/>
        <v>2</v>
      </c>
      <c r="M331" s="13">
        <f t="shared" ref="M331:AA331" si="661">IFERROR(VALUE(RIGHT(LEFT($J331,FIND(M$1,$J331,1)+LEN(M$1)),1)),0)</f>
        <v>0</v>
      </c>
      <c r="N331" s="13">
        <f t="shared" si="661"/>
        <v>0</v>
      </c>
      <c r="O331" s="13">
        <f t="shared" si="661"/>
        <v>0</v>
      </c>
      <c r="P331" s="13">
        <f t="shared" si="661"/>
        <v>0</v>
      </c>
      <c r="Q331" s="13">
        <f t="shared" si="661"/>
        <v>0</v>
      </c>
      <c r="R331" s="13">
        <f t="shared" si="661"/>
        <v>0</v>
      </c>
      <c r="S331" s="13">
        <f t="shared" si="661"/>
        <v>0</v>
      </c>
      <c r="T331" s="13">
        <f t="shared" si="661"/>
        <v>0</v>
      </c>
      <c r="U331" s="13">
        <f t="shared" si="661"/>
        <v>0</v>
      </c>
      <c r="V331" s="13">
        <f t="shared" si="661"/>
        <v>0</v>
      </c>
      <c r="W331" s="13">
        <f t="shared" si="661"/>
        <v>0</v>
      </c>
      <c r="X331" s="13">
        <f t="shared" si="661"/>
        <v>0</v>
      </c>
      <c r="Y331" s="13">
        <f t="shared" si="661"/>
        <v>0</v>
      </c>
      <c r="Z331" s="13">
        <f t="shared" si="661"/>
        <v>0</v>
      </c>
      <c r="AA331" s="13">
        <f t="shared" si="661"/>
        <v>0</v>
      </c>
      <c r="AB331" s="13">
        <f t="shared" ref="AB331:AP331" si="662">IFERROR(VALUE(RIGHT(LEFT($J331,FIND(AB$1,$J331,IF(M331=0,1,FIND(AB$1,$J331,1)+1))+LEN(AB$1)),1)),0)</f>
        <v>1</v>
      </c>
      <c r="AC331" s="13">
        <f t="shared" si="662"/>
        <v>0</v>
      </c>
      <c r="AD331" s="13">
        <f t="shared" si="662"/>
        <v>0</v>
      </c>
      <c r="AE331" s="13">
        <f t="shared" si="662"/>
        <v>0</v>
      </c>
      <c r="AF331" s="13">
        <f t="shared" si="662"/>
        <v>0</v>
      </c>
      <c r="AG331" s="13">
        <f t="shared" si="662"/>
        <v>0</v>
      </c>
      <c r="AH331" s="13">
        <f t="shared" si="662"/>
        <v>0</v>
      </c>
      <c r="AI331" s="13">
        <f t="shared" si="662"/>
        <v>0</v>
      </c>
      <c r="AJ331" s="13">
        <f t="shared" si="662"/>
        <v>0</v>
      </c>
      <c r="AK331" s="13">
        <f t="shared" si="662"/>
        <v>0</v>
      </c>
      <c r="AL331" s="13">
        <f t="shared" si="662"/>
        <v>0</v>
      </c>
      <c r="AM331" s="13">
        <f t="shared" si="662"/>
        <v>0</v>
      </c>
      <c r="AN331" s="13">
        <f t="shared" si="662"/>
        <v>0</v>
      </c>
      <c r="AO331" s="13">
        <f t="shared" si="662"/>
        <v>0</v>
      </c>
      <c r="AP331" s="13">
        <f t="shared" si="662"/>
        <v>1</v>
      </c>
      <c r="AQ331" s="13"/>
      <c r="AR331" s="13" t="s">
        <v>2409</v>
      </c>
      <c r="AS331" s="13" t="s">
        <v>2410</v>
      </c>
      <c r="AT331" s="13" t="s">
        <v>1221</v>
      </c>
      <c r="AU331" s="13" t="s">
        <v>130</v>
      </c>
      <c r="AV331" s="13" t="s">
        <v>2411</v>
      </c>
      <c r="AW331" s="13">
        <v>10.0</v>
      </c>
      <c r="AX331" s="13">
        <v>1.0</v>
      </c>
      <c r="AY331" s="13">
        <v>0.0</v>
      </c>
      <c r="AZ331" s="13" t="s">
        <v>2412</v>
      </c>
      <c r="BA331" s="13" t="s">
        <v>2377</v>
      </c>
      <c r="BB331" s="13"/>
      <c r="BC331" s="13"/>
      <c r="BD331" s="13" t="s">
        <v>294</v>
      </c>
      <c r="BE331" s="13" t="s">
        <v>2413</v>
      </c>
      <c r="BF331" s="13" t="s">
        <v>2414</v>
      </c>
      <c r="BG331" s="13"/>
      <c r="BH331" s="13" t="s">
        <v>79</v>
      </c>
      <c r="BI331" s="13" t="b">
        <v>0</v>
      </c>
      <c r="BJ331" s="13">
        <v>0.0</v>
      </c>
      <c r="BK331" s="13">
        <v>0.0</v>
      </c>
    </row>
    <row r="332" ht="14.25" customHeight="1">
      <c r="A332" s="13">
        <v>330.0</v>
      </c>
      <c r="B332" s="13" t="s">
        <v>52</v>
      </c>
      <c r="C332" s="13">
        <v>1.0</v>
      </c>
      <c r="D332" s="14">
        <v>0.0</v>
      </c>
      <c r="E332" s="13" t="s">
        <v>2415</v>
      </c>
      <c r="F332" s="15" t="s">
        <v>2361</v>
      </c>
      <c r="G332" s="16" t="s">
        <v>2416</v>
      </c>
      <c r="H332" s="13">
        <v>4.0</v>
      </c>
      <c r="I332" s="13">
        <v>1.1</v>
      </c>
      <c r="J332" s="13" t="s">
        <v>860</v>
      </c>
      <c r="K332" s="13">
        <f t="shared" si="3"/>
        <v>0</v>
      </c>
      <c r="L332" s="13">
        <f t="shared" si="4"/>
        <v>2</v>
      </c>
      <c r="M332" s="13">
        <f t="shared" ref="M332:AA332" si="663">IFERROR(VALUE(RIGHT(LEFT($J332,FIND(M$1,$J332,1)+LEN(M$1)),1)),0)</f>
        <v>0</v>
      </c>
      <c r="N332" s="13">
        <f t="shared" si="663"/>
        <v>0</v>
      </c>
      <c r="O332" s="13">
        <f t="shared" si="663"/>
        <v>0</v>
      </c>
      <c r="P332" s="13">
        <f t="shared" si="663"/>
        <v>0</v>
      </c>
      <c r="Q332" s="13">
        <f t="shared" si="663"/>
        <v>0</v>
      </c>
      <c r="R332" s="13">
        <f t="shared" si="663"/>
        <v>0</v>
      </c>
      <c r="S332" s="13">
        <f t="shared" si="663"/>
        <v>0</v>
      </c>
      <c r="T332" s="13">
        <f t="shared" si="663"/>
        <v>0</v>
      </c>
      <c r="U332" s="13">
        <f t="shared" si="663"/>
        <v>0</v>
      </c>
      <c r="V332" s="13">
        <f t="shared" si="663"/>
        <v>0</v>
      </c>
      <c r="W332" s="13">
        <f t="shared" si="663"/>
        <v>0</v>
      </c>
      <c r="X332" s="13">
        <f t="shared" si="663"/>
        <v>0</v>
      </c>
      <c r="Y332" s="13">
        <f t="shared" si="663"/>
        <v>0</v>
      </c>
      <c r="Z332" s="13">
        <f t="shared" si="663"/>
        <v>0</v>
      </c>
      <c r="AA332" s="13">
        <f t="shared" si="663"/>
        <v>0</v>
      </c>
      <c r="AB332" s="13">
        <f t="shared" ref="AB332:AP332" si="664">IFERROR(VALUE(RIGHT(LEFT($J332,FIND(AB$1,$J332,IF(M332=0,1,FIND(AB$1,$J332,1)+1))+LEN(AB$1)),1)),0)</f>
        <v>0</v>
      </c>
      <c r="AC332" s="13">
        <f t="shared" si="664"/>
        <v>1</v>
      </c>
      <c r="AD332" s="13">
        <f t="shared" si="664"/>
        <v>0</v>
      </c>
      <c r="AE332" s="13">
        <f t="shared" si="664"/>
        <v>0</v>
      </c>
      <c r="AF332" s="13">
        <f t="shared" si="664"/>
        <v>0</v>
      </c>
      <c r="AG332" s="13">
        <f t="shared" si="664"/>
        <v>0</v>
      </c>
      <c r="AH332" s="13">
        <f t="shared" si="664"/>
        <v>0</v>
      </c>
      <c r="AI332" s="13">
        <f t="shared" si="664"/>
        <v>0</v>
      </c>
      <c r="AJ332" s="13">
        <f t="shared" si="664"/>
        <v>0</v>
      </c>
      <c r="AK332" s="13">
        <f t="shared" si="664"/>
        <v>0</v>
      </c>
      <c r="AL332" s="13">
        <f t="shared" si="664"/>
        <v>0</v>
      </c>
      <c r="AM332" s="13">
        <f t="shared" si="664"/>
        <v>0</v>
      </c>
      <c r="AN332" s="13">
        <f t="shared" si="664"/>
        <v>0</v>
      </c>
      <c r="AO332" s="13">
        <f t="shared" si="664"/>
        <v>0</v>
      </c>
      <c r="AP332" s="13">
        <f t="shared" si="664"/>
        <v>1</v>
      </c>
      <c r="AQ332" s="13"/>
      <c r="AR332" s="13" t="s">
        <v>2417</v>
      </c>
      <c r="AS332" s="13" t="s">
        <v>2418</v>
      </c>
      <c r="AT332" s="13" t="s">
        <v>302</v>
      </c>
      <c r="AU332" s="13" t="s">
        <v>130</v>
      </c>
      <c r="AV332" s="13" t="s">
        <v>2419</v>
      </c>
      <c r="AW332" s="13">
        <v>6.0</v>
      </c>
      <c r="AX332" s="13">
        <v>1.0</v>
      </c>
      <c r="AY332" s="13">
        <v>0.0</v>
      </c>
      <c r="AZ332" s="13" t="s">
        <v>2420</v>
      </c>
      <c r="BA332" s="13" t="s">
        <v>648</v>
      </c>
      <c r="BB332" s="13"/>
      <c r="BC332" s="13"/>
      <c r="BD332" s="13" t="s">
        <v>306</v>
      </c>
      <c r="BE332" s="13" t="s">
        <v>2421</v>
      </c>
      <c r="BF332" s="13" t="s">
        <v>308</v>
      </c>
      <c r="BG332" s="13"/>
      <c r="BH332" s="13" t="s">
        <v>79</v>
      </c>
      <c r="BI332" s="13" t="b">
        <v>0</v>
      </c>
      <c r="BJ332" s="13">
        <v>0.0</v>
      </c>
      <c r="BK332" s="13">
        <v>0.0</v>
      </c>
    </row>
    <row r="333" ht="14.25" customHeight="1">
      <c r="A333" s="13">
        <v>331.0</v>
      </c>
      <c r="B333" s="13" t="s">
        <v>52</v>
      </c>
      <c r="C333" s="13">
        <v>1.0</v>
      </c>
      <c r="D333" s="14">
        <v>0.0</v>
      </c>
      <c r="E333" s="13" t="s">
        <v>2422</v>
      </c>
      <c r="F333" s="15" t="s">
        <v>2361</v>
      </c>
      <c r="G333" s="16" t="s">
        <v>2423</v>
      </c>
      <c r="H333" s="13">
        <v>11.0</v>
      </c>
      <c r="I333" s="13">
        <v>1.0</v>
      </c>
      <c r="J333" s="13" t="s">
        <v>2424</v>
      </c>
      <c r="K333" s="13">
        <f t="shared" si="3"/>
        <v>0</v>
      </c>
      <c r="L333" s="13">
        <f t="shared" si="4"/>
        <v>1</v>
      </c>
      <c r="M333" s="13">
        <f t="shared" ref="M333:AA333" si="665">IFERROR(VALUE(RIGHT(LEFT($J333,FIND(M$1,$J333,1)+LEN(M$1)),1)),0)</f>
        <v>0</v>
      </c>
      <c r="N333" s="13">
        <f t="shared" si="665"/>
        <v>0</v>
      </c>
      <c r="O333" s="13">
        <f t="shared" si="665"/>
        <v>0</v>
      </c>
      <c r="P333" s="13">
        <f t="shared" si="665"/>
        <v>0</v>
      </c>
      <c r="Q333" s="13">
        <f t="shared" si="665"/>
        <v>0</v>
      </c>
      <c r="R333" s="13">
        <f t="shared" si="665"/>
        <v>0</v>
      </c>
      <c r="S333" s="13">
        <f t="shared" si="665"/>
        <v>0</v>
      </c>
      <c r="T333" s="13">
        <f t="shared" si="665"/>
        <v>0</v>
      </c>
      <c r="U333" s="13">
        <f t="shared" si="665"/>
        <v>0</v>
      </c>
      <c r="V333" s="13">
        <f t="shared" si="665"/>
        <v>0</v>
      </c>
      <c r="W333" s="13">
        <f t="shared" si="665"/>
        <v>0</v>
      </c>
      <c r="X333" s="13">
        <f t="shared" si="665"/>
        <v>0</v>
      </c>
      <c r="Y333" s="13">
        <f t="shared" si="665"/>
        <v>0</v>
      </c>
      <c r="Z333" s="13">
        <f t="shared" si="665"/>
        <v>0</v>
      </c>
      <c r="AA333" s="13">
        <f t="shared" si="665"/>
        <v>0</v>
      </c>
      <c r="AB333" s="13">
        <f t="shared" ref="AB333:AP333" si="666">IFERROR(VALUE(RIGHT(LEFT($J333,FIND(AB$1,$J333,IF(M333=0,1,FIND(AB$1,$J333,1)+1))+LEN(AB$1)),1)),0)</f>
        <v>0</v>
      </c>
      <c r="AC333" s="13">
        <f t="shared" si="666"/>
        <v>0</v>
      </c>
      <c r="AD333" s="13">
        <f t="shared" si="666"/>
        <v>1</v>
      </c>
      <c r="AE333" s="13">
        <f t="shared" si="666"/>
        <v>0</v>
      </c>
      <c r="AF333" s="13">
        <f t="shared" si="666"/>
        <v>0</v>
      </c>
      <c r="AG333" s="13">
        <f t="shared" si="666"/>
        <v>0</v>
      </c>
      <c r="AH333" s="13">
        <f t="shared" si="666"/>
        <v>0</v>
      </c>
      <c r="AI333" s="13">
        <f t="shared" si="666"/>
        <v>0</v>
      </c>
      <c r="AJ333" s="13">
        <f t="shared" si="666"/>
        <v>0</v>
      </c>
      <c r="AK333" s="13">
        <f t="shared" si="666"/>
        <v>0</v>
      </c>
      <c r="AL333" s="13">
        <f t="shared" si="666"/>
        <v>0</v>
      </c>
      <c r="AM333" s="13">
        <f t="shared" si="666"/>
        <v>0</v>
      </c>
      <c r="AN333" s="13">
        <f t="shared" si="666"/>
        <v>0</v>
      </c>
      <c r="AO333" s="13">
        <f t="shared" si="666"/>
        <v>0</v>
      </c>
      <c r="AP333" s="13">
        <f t="shared" si="666"/>
        <v>0</v>
      </c>
      <c r="AQ333" s="13"/>
      <c r="AR333" s="13" t="s">
        <v>2425</v>
      </c>
      <c r="AS333" s="13" t="s">
        <v>903</v>
      </c>
      <c r="AT333" s="13" t="s">
        <v>854</v>
      </c>
      <c r="AU333" s="13" t="s">
        <v>130</v>
      </c>
      <c r="AV333" s="13" t="s">
        <v>2426</v>
      </c>
      <c r="AW333" s="13">
        <v>8.0</v>
      </c>
      <c r="AX333" s="13">
        <v>1.0</v>
      </c>
      <c r="AY333" s="13">
        <v>0.0</v>
      </c>
      <c r="AZ333" s="13" t="s">
        <v>519</v>
      </c>
      <c r="BA333" s="13" t="s">
        <v>260</v>
      </c>
      <c r="BB333" s="13"/>
      <c r="BC333" s="13"/>
      <c r="BD333" s="13" t="s">
        <v>294</v>
      </c>
      <c r="BE333" s="13" t="s">
        <v>2427</v>
      </c>
      <c r="BF333" s="13" t="s">
        <v>866</v>
      </c>
      <c r="BG333" s="13"/>
      <c r="BH333" s="13" t="s">
        <v>79</v>
      </c>
      <c r="BI333" s="13" t="b">
        <v>0</v>
      </c>
      <c r="BJ333" s="13">
        <v>0.0</v>
      </c>
      <c r="BK333" s="13">
        <v>0.0</v>
      </c>
    </row>
    <row r="334" ht="14.25" customHeight="1">
      <c r="A334" s="13">
        <v>332.0</v>
      </c>
      <c r="B334" s="13" t="s">
        <v>49</v>
      </c>
      <c r="C334" s="13">
        <v>1.0</v>
      </c>
      <c r="D334" s="14">
        <v>0.0</v>
      </c>
      <c r="E334" s="13" t="s">
        <v>2428</v>
      </c>
      <c r="F334" s="15" t="s">
        <v>2361</v>
      </c>
      <c r="G334" s="16" t="s">
        <v>2429</v>
      </c>
      <c r="H334" s="13">
        <v>9.0</v>
      </c>
      <c r="I334" s="13">
        <v>1.0</v>
      </c>
      <c r="J334" s="13" t="s">
        <v>2430</v>
      </c>
      <c r="K334" s="13">
        <f t="shared" si="3"/>
        <v>0</v>
      </c>
      <c r="L334" s="13">
        <f t="shared" si="4"/>
        <v>2</v>
      </c>
      <c r="M334" s="13">
        <f t="shared" ref="M334:AA334" si="667">IFERROR(VALUE(RIGHT(LEFT($J334,FIND(M$1,$J334,1)+LEN(M$1)),1)),0)</f>
        <v>0</v>
      </c>
      <c r="N334" s="13">
        <f t="shared" si="667"/>
        <v>0</v>
      </c>
      <c r="O334" s="13">
        <f t="shared" si="667"/>
        <v>0</v>
      </c>
      <c r="P334" s="13">
        <f t="shared" si="667"/>
        <v>0</v>
      </c>
      <c r="Q334" s="13">
        <f t="shared" si="667"/>
        <v>0</v>
      </c>
      <c r="R334" s="13">
        <f t="shared" si="667"/>
        <v>0</v>
      </c>
      <c r="S334" s="13">
        <f t="shared" si="667"/>
        <v>0</v>
      </c>
      <c r="T334" s="13">
        <f t="shared" si="667"/>
        <v>0</v>
      </c>
      <c r="U334" s="13">
        <f t="shared" si="667"/>
        <v>0</v>
      </c>
      <c r="V334" s="13">
        <f t="shared" si="667"/>
        <v>0</v>
      </c>
      <c r="W334" s="13">
        <f t="shared" si="667"/>
        <v>0</v>
      </c>
      <c r="X334" s="13">
        <f t="shared" si="667"/>
        <v>0</v>
      </c>
      <c r="Y334" s="13">
        <f t="shared" si="667"/>
        <v>0</v>
      </c>
      <c r="Z334" s="13">
        <f t="shared" si="667"/>
        <v>0</v>
      </c>
      <c r="AA334" s="13">
        <f t="shared" si="667"/>
        <v>0</v>
      </c>
      <c r="AB334" s="13">
        <f t="shared" ref="AB334:AP334" si="668">IFERROR(VALUE(RIGHT(LEFT($J334,FIND(AB$1,$J334,IF(M334=0,1,FIND(AB$1,$J334,1)+1))+LEN(AB$1)),1)),0)</f>
        <v>0</v>
      </c>
      <c r="AC334" s="13">
        <f t="shared" si="668"/>
        <v>0</v>
      </c>
      <c r="AD334" s="13">
        <f t="shared" si="668"/>
        <v>1</v>
      </c>
      <c r="AE334" s="13">
        <f t="shared" si="668"/>
        <v>0</v>
      </c>
      <c r="AF334" s="13">
        <f t="shared" si="668"/>
        <v>0</v>
      </c>
      <c r="AG334" s="13">
        <f t="shared" si="668"/>
        <v>0</v>
      </c>
      <c r="AH334" s="13">
        <f t="shared" si="668"/>
        <v>0</v>
      </c>
      <c r="AI334" s="13">
        <f t="shared" si="668"/>
        <v>0</v>
      </c>
      <c r="AJ334" s="13">
        <f t="shared" si="668"/>
        <v>0</v>
      </c>
      <c r="AK334" s="13">
        <f t="shared" si="668"/>
        <v>0</v>
      </c>
      <c r="AL334" s="13">
        <f t="shared" si="668"/>
        <v>0</v>
      </c>
      <c r="AM334" s="13">
        <f t="shared" si="668"/>
        <v>1</v>
      </c>
      <c r="AN334" s="13">
        <f t="shared" si="668"/>
        <v>0</v>
      </c>
      <c r="AO334" s="13">
        <f t="shared" si="668"/>
        <v>0</v>
      </c>
      <c r="AP334" s="13">
        <f t="shared" si="668"/>
        <v>0</v>
      </c>
      <c r="AQ334" s="13"/>
      <c r="AR334" s="13" t="s">
        <v>2431</v>
      </c>
      <c r="AS334" s="13" t="s">
        <v>2432</v>
      </c>
      <c r="AT334" s="13" t="s">
        <v>162</v>
      </c>
      <c r="AU334" s="13" t="s">
        <v>236</v>
      </c>
      <c r="AV334" s="13" t="s">
        <v>2433</v>
      </c>
      <c r="AW334" s="13">
        <v>7.0</v>
      </c>
      <c r="AX334" s="13">
        <v>1.0</v>
      </c>
      <c r="AY334" s="13">
        <v>0.0</v>
      </c>
      <c r="AZ334" s="13" t="s">
        <v>304</v>
      </c>
      <c r="BA334" s="13" t="s">
        <v>655</v>
      </c>
      <c r="BB334" s="13"/>
      <c r="BC334" s="13"/>
      <c r="BD334" s="13" t="s">
        <v>220</v>
      </c>
      <c r="BE334" s="13"/>
      <c r="BF334" s="13" t="s">
        <v>512</v>
      </c>
      <c r="BG334" s="13" t="s">
        <v>201</v>
      </c>
      <c r="BH334" s="13" t="s">
        <v>79</v>
      </c>
      <c r="BI334" s="13" t="b">
        <v>0</v>
      </c>
      <c r="BJ334" s="13">
        <v>0.0</v>
      </c>
      <c r="BK334" s="13">
        <v>0.0</v>
      </c>
    </row>
    <row r="335" ht="14.25" customHeight="1">
      <c r="A335" s="13">
        <v>333.0</v>
      </c>
      <c r="B335" s="13" t="s">
        <v>44</v>
      </c>
      <c r="C335" s="13">
        <v>2.0</v>
      </c>
      <c r="D335" s="14">
        <v>0.0</v>
      </c>
      <c r="E335" s="13" t="s">
        <v>2434</v>
      </c>
      <c r="F335" s="15" t="s">
        <v>2361</v>
      </c>
      <c r="G335" s="16" t="s">
        <v>2435</v>
      </c>
      <c r="H335" s="13"/>
      <c r="I335" s="13">
        <v>1.2</v>
      </c>
      <c r="J335" s="13" t="s">
        <v>2436</v>
      </c>
      <c r="K335" s="13">
        <f t="shared" si="3"/>
        <v>0</v>
      </c>
      <c r="L335" s="13">
        <f t="shared" si="4"/>
        <v>3</v>
      </c>
      <c r="M335" s="13">
        <f t="shared" ref="M335:AA335" si="669">IFERROR(VALUE(RIGHT(LEFT($J335,FIND(M$1,$J335,1)+LEN(M$1)),1)),0)</f>
        <v>0</v>
      </c>
      <c r="N335" s="13">
        <f t="shared" si="669"/>
        <v>0</v>
      </c>
      <c r="O335" s="13">
        <f t="shared" si="669"/>
        <v>0</v>
      </c>
      <c r="P335" s="13">
        <f t="shared" si="669"/>
        <v>0</v>
      </c>
      <c r="Q335" s="13">
        <f t="shared" si="669"/>
        <v>0</v>
      </c>
      <c r="R335" s="13">
        <f t="shared" si="669"/>
        <v>0</v>
      </c>
      <c r="S335" s="13">
        <f t="shared" si="669"/>
        <v>0</v>
      </c>
      <c r="T335" s="13">
        <f t="shared" si="669"/>
        <v>0</v>
      </c>
      <c r="U335" s="13">
        <f t="shared" si="669"/>
        <v>0</v>
      </c>
      <c r="V335" s="13">
        <f t="shared" si="669"/>
        <v>0</v>
      </c>
      <c r="W335" s="13">
        <f t="shared" si="669"/>
        <v>0</v>
      </c>
      <c r="X335" s="13">
        <f t="shared" si="669"/>
        <v>0</v>
      </c>
      <c r="Y335" s="13">
        <f t="shared" si="669"/>
        <v>0</v>
      </c>
      <c r="Z335" s="13">
        <f t="shared" si="669"/>
        <v>0</v>
      </c>
      <c r="AA335" s="13">
        <f t="shared" si="669"/>
        <v>0</v>
      </c>
      <c r="AB335" s="13">
        <f t="shared" ref="AB335:AP335" si="670">IFERROR(VALUE(RIGHT(LEFT($J335,FIND(AB$1,$J335,IF(M335=0,1,FIND(AB$1,$J335,1)+1))+LEN(AB$1)),1)),0)</f>
        <v>0</v>
      </c>
      <c r="AC335" s="13">
        <f t="shared" si="670"/>
        <v>1</v>
      </c>
      <c r="AD335" s="13">
        <f t="shared" si="670"/>
        <v>0</v>
      </c>
      <c r="AE335" s="13">
        <f t="shared" si="670"/>
        <v>0</v>
      </c>
      <c r="AF335" s="13">
        <f t="shared" si="670"/>
        <v>0</v>
      </c>
      <c r="AG335" s="13">
        <f t="shared" si="670"/>
        <v>0</v>
      </c>
      <c r="AH335" s="13">
        <f t="shared" si="670"/>
        <v>2</v>
      </c>
      <c r="AI335" s="13">
        <f t="shared" si="670"/>
        <v>0</v>
      </c>
      <c r="AJ335" s="13">
        <f t="shared" si="670"/>
        <v>0</v>
      </c>
      <c r="AK335" s="13">
        <f t="shared" si="670"/>
        <v>0</v>
      </c>
      <c r="AL335" s="13">
        <f t="shared" si="670"/>
        <v>0</v>
      </c>
      <c r="AM335" s="13">
        <f t="shared" si="670"/>
        <v>0</v>
      </c>
      <c r="AN335" s="13">
        <f t="shared" si="670"/>
        <v>0</v>
      </c>
      <c r="AO335" s="13">
        <f t="shared" si="670"/>
        <v>0</v>
      </c>
      <c r="AP335" s="13">
        <f t="shared" si="670"/>
        <v>0</v>
      </c>
      <c r="AQ335" s="13" t="s">
        <v>2437</v>
      </c>
      <c r="AR335" s="13"/>
      <c r="AS335" s="13" t="s">
        <v>2438</v>
      </c>
      <c r="AT335" s="13"/>
      <c r="AU335" s="13"/>
      <c r="AV335" s="13"/>
      <c r="AW335" s="13">
        <v>0.0</v>
      </c>
      <c r="AX335" s="13">
        <v>1.0</v>
      </c>
      <c r="AY335" s="13">
        <v>0.0</v>
      </c>
      <c r="AZ335" s="13"/>
      <c r="BA335" s="13"/>
      <c r="BB335" s="13"/>
      <c r="BC335" s="13"/>
      <c r="BD335" s="13"/>
      <c r="BE335" s="13"/>
      <c r="BF335" s="13"/>
      <c r="BG335" s="13"/>
      <c r="BH335" s="13" t="s">
        <v>79</v>
      </c>
      <c r="BI335" s="13" t="b">
        <v>0</v>
      </c>
      <c r="BJ335" s="13">
        <v>0.0</v>
      </c>
      <c r="BK335" s="13">
        <v>0.0</v>
      </c>
    </row>
    <row r="336" ht="14.25" customHeight="1">
      <c r="A336" s="13">
        <v>334.0</v>
      </c>
      <c r="B336" s="13" t="s">
        <v>45</v>
      </c>
      <c r="C336" s="13">
        <v>2.0</v>
      </c>
      <c r="D336" s="14">
        <v>0.0</v>
      </c>
      <c r="E336" s="13" t="s">
        <v>2439</v>
      </c>
      <c r="F336" s="15" t="s">
        <v>2361</v>
      </c>
      <c r="G336" s="16" t="s">
        <v>2440</v>
      </c>
      <c r="H336" s="13"/>
      <c r="I336" s="13">
        <v>0.9</v>
      </c>
      <c r="J336" s="13" t="s">
        <v>1021</v>
      </c>
      <c r="K336" s="13">
        <f t="shared" si="3"/>
        <v>0</v>
      </c>
      <c r="L336" s="13">
        <f t="shared" si="4"/>
        <v>3</v>
      </c>
      <c r="M336" s="13">
        <f t="shared" ref="M336:AA336" si="671">IFERROR(VALUE(RIGHT(LEFT($J336,FIND(M$1,$J336,1)+LEN(M$1)),1)),0)</f>
        <v>0</v>
      </c>
      <c r="N336" s="13">
        <f t="shared" si="671"/>
        <v>0</v>
      </c>
      <c r="O336" s="13">
        <f t="shared" si="671"/>
        <v>0</v>
      </c>
      <c r="P336" s="13">
        <f t="shared" si="671"/>
        <v>0</v>
      </c>
      <c r="Q336" s="13">
        <f t="shared" si="671"/>
        <v>0</v>
      </c>
      <c r="R336" s="13">
        <f t="shared" si="671"/>
        <v>0</v>
      </c>
      <c r="S336" s="13">
        <f t="shared" si="671"/>
        <v>0</v>
      </c>
      <c r="T336" s="13">
        <f t="shared" si="671"/>
        <v>0</v>
      </c>
      <c r="U336" s="13">
        <f t="shared" si="671"/>
        <v>0</v>
      </c>
      <c r="V336" s="13">
        <f t="shared" si="671"/>
        <v>0</v>
      </c>
      <c r="W336" s="13">
        <f t="shared" si="671"/>
        <v>0</v>
      </c>
      <c r="X336" s="13">
        <f t="shared" si="671"/>
        <v>0</v>
      </c>
      <c r="Y336" s="13">
        <f t="shared" si="671"/>
        <v>0</v>
      </c>
      <c r="Z336" s="13">
        <f t="shared" si="671"/>
        <v>0</v>
      </c>
      <c r="AA336" s="13">
        <f t="shared" si="671"/>
        <v>0</v>
      </c>
      <c r="AB336" s="13">
        <f t="shared" ref="AB336:AP336" si="672">IFERROR(VALUE(RIGHT(LEFT($J336,FIND(AB$1,$J336,IF(M336=0,1,FIND(AB$1,$J336,1)+1))+LEN(AB$1)),1)),0)</f>
        <v>0</v>
      </c>
      <c r="AC336" s="13">
        <f t="shared" si="672"/>
        <v>0</v>
      </c>
      <c r="AD336" s="13">
        <f t="shared" si="672"/>
        <v>1</v>
      </c>
      <c r="AE336" s="13">
        <f t="shared" si="672"/>
        <v>0</v>
      </c>
      <c r="AF336" s="13">
        <f t="shared" si="672"/>
        <v>0</v>
      </c>
      <c r="AG336" s="13">
        <f t="shared" si="672"/>
        <v>0</v>
      </c>
      <c r="AH336" s="13">
        <f t="shared" si="672"/>
        <v>0</v>
      </c>
      <c r="AI336" s="13">
        <f t="shared" si="672"/>
        <v>2</v>
      </c>
      <c r="AJ336" s="13">
        <f t="shared" si="672"/>
        <v>0</v>
      </c>
      <c r="AK336" s="13">
        <f t="shared" si="672"/>
        <v>0</v>
      </c>
      <c r="AL336" s="13">
        <f t="shared" si="672"/>
        <v>0</v>
      </c>
      <c r="AM336" s="13">
        <f t="shared" si="672"/>
        <v>0</v>
      </c>
      <c r="AN336" s="13">
        <f t="shared" si="672"/>
        <v>0</v>
      </c>
      <c r="AO336" s="13">
        <f t="shared" si="672"/>
        <v>0</v>
      </c>
      <c r="AP336" s="13">
        <f t="shared" si="672"/>
        <v>0</v>
      </c>
      <c r="AQ336" s="13" t="s">
        <v>2441</v>
      </c>
      <c r="AR336" s="13"/>
      <c r="AS336" s="13" t="s">
        <v>2442</v>
      </c>
      <c r="AT336" s="13"/>
      <c r="AU336" s="13"/>
      <c r="AV336" s="13"/>
      <c r="AW336" s="13">
        <v>0.0</v>
      </c>
      <c r="AX336" s="13">
        <v>1.0</v>
      </c>
      <c r="AY336" s="13">
        <v>0.0</v>
      </c>
      <c r="AZ336" s="13"/>
      <c r="BA336" s="13"/>
      <c r="BB336" s="13"/>
      <c r="BC336" s="13"/>
      <c r="BD336" s="13"/>
      <c r="BE336" s="13"/>
      <c r="BF336" s="13"/>
      <c r="BG336" s="13"/>
      <c r="BH336" s="13" t="s">
        <v>79</v>
      </c>
      <c r="BI336" s="13" t="b">
        <v>0</v>
      </c>
      <c r="BJ336" s="13">
        <v>0.0</v>
      </c>
      <c r="BK336" s="13">
        <v>0.0</v>
      </c>
    </row>
    <row r="337" ht="14.25" customHeight="1">
      <c r="A337" s="13">
        <v>335.0</v>
      </c>
      <c r="B337" s="13" t="s">
        <v>46</v>
      </c>
      <c r="C337" s="13">
        <v>2.0</v>
      </c>
      <c r="D337" s="14">
        <v>0.0</v>
      </c>
      <c r="E337" s="13" t="s">
        <v>2443</v>
      </c>
      <c r="F337" s="15" t="s">
        <v>2361</v>
      </c>
      <c r="G337" s="16" t="s">
        <v>2444</v>
      </c>
      <c r="H337" s="13"/>
      <c r="I337" s="13">
        <v>1.0</v>
      </c>
      <c r="J337" s="13" t="s">
        <v>2445</v>
      </c>
      <c r="K337" s="13">
        <f t="shared" si="3"/>
        <v>1</v>
      </c>
      <c r="L337" s="13">
        <f t="shared" si="4"/>
        <v>2</v>
      </c>
      <c r="M337" s="13">
        <f t="shared" ref="M337:AA337" si="673">IFERROR(VALUE(RIGHT(LEFT($J337,FIND(M$1,$J337,1)+LEN(M$1)),1)),0)</f>
        <v>0</v>
      </c>
      <c r="N337" s="13">
        <f t="shared" si="673"/>
        <v>0</v>
      </c>
      <c r="O337" s="13">
        <f t="shared" si="673"/>
        <v>0</v>
      </c>
      <c r="P337" s="13">
        <f t="shared" si="673"/>
        <v>0</v>
      </c>
      <c r="Q337" s="13">
        <f t="shared" si="673"/>
        <v>0</v>
      </c>
      <c r="R337" s="13">
        <f t="shared" si="673"/>
        <v>0</v>
      </c>
      <c r="S337" s="13">
        <f t="shared" si="673"/>
        <v>0</v>
      </c>
      <c r="T337" s="13">
        <f t="shared" si="673"/>
        <v>0</v>
      </c>
      <c r="U337" s="13">
        <f t="shared" si="673"/>
        <v>0</v>
      </c>
      <c r="V337" s="13">
        <f t="shared" si="673"/>
        <v>0</v>
      </c>
      <c r="W337" s="13">
        <f t="shared" si="673"/>
        <v>0</v>
      </c>
      <c r="X337" s="13">
        <f t="shared" si="673"/>
        <v>0</v>
      </c>
      <c r="Y337" s="13">
        <f t="shared" si="673"/>
        <v>0</v>
      </c>
      <c r="Z337" s="13">
        <f t="shared" si="673"/>
        <v>0</v>
      </c>
      <c r="AA337" s="13">
        <f t="shared" si="673"/>
        <v>1</v>
      </c>
      <c r="AB337" s="13">
        <f t="shared" ref="AB337:AP337" si="674">IFERROR(VALUE(RIGHT(LEFT($J337,FIND(AB$1,$J337,IF(M337=0,1,FIND(AB$1,$J337,1)+1))+LEN(AB$1)),1)),0)</f>
        <v>0</v>
      </c>
      <c r="AC337" s="13">
        <f t="shared" si="674"/>
        <v>0</v>
      </c>
      <c r="AD337" s="13">
        <f t="shared" si="674"/>
        <v>0</v>
      </c>
      <c r="AE337" s="13">
        <f t="shared" si="674"/>
        <v>0</v>
      </c>
      <c r="AF337" s="13">
        <f t="shared" si="674"/>
        <v>0</v>
      </c>
      <c r="AG337" s="13">
        <f t="shared" si="674"/>
        <v>0</v>
      </c>
      <c r="AH337" s="13">
        <f t="shared" si="674"/>
        <v>0</v>
      </c>
      <c r="AI337" s="13">
        <f t="shared" si="674"/>
        <v>0</v>
      </c>
      <c r="AJ337" s="13">
        <f t="shared" si="674"/>
        <v>2</v>
      </c>
      <c r="AK337" s="13">
        <f t="shared" si="674"/>
        <v>0</v>
      </c>
      <c r="AL337" s="13">
        <f t="shared" si="674"/>
        <v>0</v>
      </c>
      <c r="AM337" s="13">
        <f t="shared" si="674"/>
        <v>0</v>
      </c>
      <c r="AN337" s="13">
        <f t="shared" si="674"/>
        <v>0</v>
      </c>
      <c r="AO337" s="13">
        <f t="shared" si="674"/>
        <v>0</v>
      </c>
      <c r="AP337" s="13">
        <f t="shared" si="674"/>
        <v>0</v>
      </c>
      <c r="AQ337" s="13" t="s">
        <v>2446</v>
      </c>
      <c r="AR337" s="13"/>
      <c r="AS337" s="13" t="s">
        <v>2447</v>
      </c>
      <c r="AT337" s="13"/>
      <c r="AU337" s="13"/>
      <c r="AV337" s="13"/>
      <c r="AW337" s="13">
        <v>0.0</v>
      </c>
      <c r="AX337" s="13">
        <v>1.0</v>
      </c>
      <c r="AY337" s="13">
        <v>0.0</v>
      </c>
      <c r="AZ337" s="13"/>
      <c r="BA337" s="13"/>
      <c r="BB337" s="13"/>
      <c r="BC337" s="13"/>
      <c r="BD337" s="13"/>
      <c r="BE337" s="13"/>
      <c r="BF337" s="13"/>
      <c r="BG337" s="13"/>
      <c r="BH337" s="13" t="s">
        <v>79</v>
      </c>
      <c r="BI337" s="13" t="b">
        <v>0</v>
      </c>
      <c r="BJ337" s="13">
        <v>0.0</v>
      </c>
      <c r="BK337" s="13">
        <v>0.0</v>
      </c>
    </row>
    <row r="338" ht="14.25" customHeight="1">
      <c r="A338" s="13">
        <v>336.0</v>
      </c>
      <c r="B338" s="13" t="s">
        <v>52</v>
      </c>
      <c r="C338" s="13">
        <v>2.0</v>
      </c>
      <c r="D338" s="14">
        <v>0.0</v>
      </c>
      <c r="E338" s="13" t="s">
        <v>2448</v>
      </c>
      <c r="F338" s="15" t="s">
        <v>2361</v>
      </c>
      <c r="G338" s="16" t="s">
        <v>2449</v>
      </c>
      <c r="H338" s="13">
        <v>3.0</v>
      </c>
      <c r="I338" s="13">
        <v>0.9</v>
      </c>
      <c r="J338" s="13" t="s">
        <v>2450</v>
      </c>
      <c r="K338" s="13">
        <f t="shared" si="3"/>
        <v>0</v>
      </c>
      <c r="L338" s="13">
        <f t="shared" si="4"/>
        <v>3</v>
      </c>
      <c r="M338" s="13">
        <f t="shared" ref="M338:AA338" si="675">IFERROR(VALUE(RIGHT(LEFT($J338,FIND(M$1,$J338,1)+LEN(M$1)),1)),0)</f>
        <v>0</v>
      </c>
      <c r="N338" s="13">
        <f t="shared" si="675"/>
        <v>0</v>
      </c>
      <c r="O338" s="13">
        <f t="shared" si="675"/>
        <v>0</v>
      </c>
      <c r="P338" s="13">
        <f t="shared" si="675"/>
        <v>0</v>
      </c>
      <c r="Q338" s="13">
        <f t="shared" si="675"/>
        <v>0</v>
      </c>
      <c r="R338" s="13">
        <f t="shared" si="675"/>
        <v>0</v>
      </c>
      <c r="S338" s="13">
        <f t="shared" si="675"/>
        <v>0</v>
      </c>
      <c r="T338" s="13">
        <f t="shared" si="675"/>
        <v>0</v>
      </c>
      <c r="U338" s="13">
        <f t="shared" si="675"/>
        <v>0</v>
      </c>
      <c r="V338" s="13">
        <f t="shared" si="675"/>
        <v>0</v>
      </c>
      <c r="W338" s="13">
        <f t="shared" si="675"/>
        <v>0</v>
      </c>
      <c r="X338" s="13">
        <f t="shared" si="675"/>
        <v>0</v>
      </c>
      <c r="Y338" s="13">
        <f t="shared" si="675"/>
        <v>0</v>
      </c>
      <c r="Z338" s="13">
        <f t="shared" si="675"/>
        <v>0</v>
      </c>
      <c r="AA338" s="13">
        <f t="shared" si="675"/>
        <v>0</v>
      </c>
      <c r="AB338" s="13">
        <f t="shared" ref="AB338:AP338" si="676">IFERROR(VALUE(RIGHT(LEFT($J338,FIND(AB$1,$J338,IF(M338=0,1,FIND(AB$1,$J338,1)+1))+LEN(AB$1)),1)),0)</f>
        <v>0</v>
      </c>
      <c r="AC338" s="13">
        <f t="shared" si="676"/>
        <v>1</v>
      </c>
      <c r="AD338" s="13">
        <f t="shared" si="676"/>
        <v>1</v>
      </c>
      <c r="AE338" s="13">
        <f t="shared" si="676"/>
        <v>0</v>
      </c>
      <c r="AF338" s="13">
        <f t="shared" si="676"/>
        <v>0</v>
      </c>
      <c r="AG338" s="13">
        <f t="shared" si="676"/>
        <v>0</v>
      </c>
      <c r="AH338" s="13">
        <f t="shared" si="676"/>
        <v>0</v>
      </c>
      <c r="AI338" s="13">
        <f t="shared" si="676"/>
        <v>0</v>
      </c>
      <c r="AJ338" s="13">
        <f t="shared" si="676"/>
        <v>0</v>
      </c>
      <c r="AK338" s="13">
        <f t="shared" si="676"/>
        <v>0</v>
      </c>
      <c r="AL338" s="13">
        <f t="shared" si="676"/>
        <v>0</v>
      </c>
      <c r="AM338" s="13">
        <f t="shared" si="676"/>
        <v>0</v>
      </c>
      <c r="AN338" s="13">
        <f t="shared" si="676"/>
        <v>0</v>
      </c>
      <c r="AO338" s="13">
        <f t="shared" si="676"/>
        <v>0</v>
      </c>
      <c r="AP338" s="13">
        <f t="shared" si="676"/>
        <v>1</v>
      </c>
      <c r="AQ338" s="13"/>
      <c r="AR338" s="13" t="s">
        <v>2451</v>
      </c>
      <c r="AS338" s="13" t="s">
        <v>2452</v>
      </c>
      <c r="AT338" s="13" t="s">
        <v>863</v>
      </c>
      <c r="AU338" s="13" t="s">
        <v>1398</v>
      </c>
      <c r="AV338" s="13" t="s">
        <v>2453</v>
      </c>
      <c r="AW338" s="13">
        <v>9.0</v>
      </c>
      <c r="AX338" s="13">
        <v>1.0</v>
      </c>
      <c r="AY338" s="13">
        <v>0.0</v>
      </c>
      <c r="AZ338" s="13" t="s">
        <v>2454</v>
      </c>
      <c r="BA338" s="13" t="s">
        <v>914</v>
      </c>
      <c r="BB338" s="13"/>
      <c r="BC338" s="13"/>
      <c r="BD338" s="13" t="s">
        <v>294</v>
      </c>
      <c r="BE338" s="13" t="s">
        <v>2455</v>
      </c>
      <c r="BF338" s="13" t="s">
        <v>900</v>
      </c>
      <c r="BG338" s="13"/>
      <c r="BH338" s="13" t="s">
        <v>241</v>
      </c>
      <c r="BI338" s="13" t="b">
        <v>0</v>
      </c>
      <c r="BJ338" s="13">
        <v>0.0</v>
      </c>
      <c r="BK338" s="13">
        <v>0.0</v>
      </c>
    </row>
    <row r="339" ht="14.25" customHeight="1">
      <c r="A339" s="13">
        <v>337.0</v>
      </c>
      <c r="B339" s="13" t="s">
        <v>52</v>
      </c>
      <c r="C339" s="13">
        <v>2.0</v>
      </c>
      <c r="D339" s="14">
        <v>0.0</v>
      </c>
      <c r="E339" s="13" t="s">
        <v>2456</v>
      </c>
      <c r="F339" s="15" t="s">
        <v>2361</v>
      </c>
      <c r="G339" s="16" t="s">
        <v>2457</v>
      </c>
      <c r="H339" s="13">
        <v>14.0</v>
      </c>
      <c r="I339" s="13">
        <v>1.0</v>
      </c>
      <c r="J339" s="13" t="s">
        <v>2458</v>
      </c>
      <c r="K339" s="13">
        <f t="shared" si="3"/>
        <v>0</v>
      </c>
      <c r="L339" s="13">
        <f t="shared" si="4"/>
        <v>2</v>
      </c>
      <c r="M339" s="13">
        <f t="shared" ref="M339:AA339" si="677">IFERROR(VALUE(RIGHT(LEFT($J339,FIND(M$1,$J339,1)+LEN(M$1)),1)),0)</f>
        <v>0</v>
      </c>
      <c r="N339" s="13">
        <f t="shared" si="677"/>
        <v>0</v>
      </c>
      <c r="O339" s="13">
        <f t="shared" si="677"/>
        <v>0</v>
      </c>
      <c r="P339" s="13">
        <f t="shared" si="677"/>
        <v>0</v>
      </c>
      <c r="Q339" s="13">
        <f t="shared" si="677"/>
        <v>0</v>
      </c>
      <c r="R339" s="13">
        <f t="shared" si="677"/>
        <v>0</v>
      </c>
      <c r="S339" s="13">
        <f t="shared" si="677"/>
        <v>0</v>
      </c>
      <c r="T339" s="13">
        <f t="shared" si="677"/>
        <v>0</v>
      </c>
      <c r="U339" s="13">
        <f t="shared" si="677"/>
        <v>0</v>
      </c>
      <c r="V339" s="13">
        <f t="shared" si="677"/>
        <v>0</v>
      </c>
      <c r="W339" s="13">
        <f t="shared" si="677"/>
        <v>0</v>
      </c>
      <c r="X339" s="13">
        <f t="shared" si="677"/>
        <v>0</v>
      </c>
      <c r="Y339" s="13">
        <f t="shared" si="677"/>
        <v>0</v>
      </c>
      <c r="Z339" s="13">
        <f t="shared" si="677"/>
        <v>0</v>
      </c>
      <c r="AA339" s="13">
        <f t="shared" si="677"/>
        <v>0</v>
      </c>
      <c r="AB339" s="13">
        <f t="shared" ref="AB339:AP339" si="678">IFERROR(VALUE(RIGHT(LEFT($J339,FIND(AB$1,$J339,IF(M339=0,1,FIND(AB$1,$J339,1)+1))+LEN(AB$1)),1)),0)</f>
        <v>0</v>
      </c>
      <c r="AC339" s="13">
        <f t="shared" si="678"/>
        <v>1</v>
      </c>
      <c r="AD339" s="13">
        <f t="shared" si="678"/>
        <v>0</v>
      </c>
      <c r="AE339" s="13">
        <f t="shared" si="678"/>
        <v>0</v>
      </c>
      <c r="AF339" s="13">
        <f t="shared" si="678"/>
        <v>0</v>
      </c>
      <c r="AG339" s="13">
        <f t="shared" si="678"/>
        <v>0</v>
      </c>
      <c r="AH339" s="13">
        <f t="shared" si="678"/>
        <v>0</v>
      </c>
      <c r="AI339" s="13">
        <f t="shared" si="678"/>
        <v>0</v>
      </c>
      <c r="AJ339" s="13">
        <f t="shared" si="678"/>
        <v>0</v>
      </c>
      <c r="AK339" s="13">
        <f t="shared" si="678"/>
        <v>0</v>
      </c>
      <c r="AL339" s="13">
        <f t="shared" si="678"/>
        <v>0</v>
      </c>
      <c r="AM339" s="13">
        <f t="shared" si="678"/>
        <v>0</v>
      </c>
      <c r="AN339" s="13">
        <f t="shared" si="678"/>
        <v>0</v>
      </c>
      <c r="AO339" s="13">
        <f t="shared" si="678"/>
        <v>0</v>
      </c>
      <c r="AP339" s="13">
        <f t="shared" si="678"/>
        <v>1</v>
      </c>
      <c r="AQ339" s="13"/>
      <c r="AR339" s="13" t="s">
        <v>861</v>
      </c>
      <c r="AS339" s="13" t="s">
        <v>2459</v>
      </c>
      <c r="AT339" s="13" t="s">
        <v>302</v>
      </c>
      <c r="AU339" s="13" t="s">
        <v>130</v>
      </c>
      <c r="AV339" s="13" t="s">
        <v>2460</v>
      </c>
      <c r="AW339" s="13">
        <v>11.0</v>
      </c>
      <c r="AX339" s="13">
        <v>1.0</v>
      </c>
      <c r="AY339" s="13">
        <v>0.0</v>
      </c>
      <c r="AZ339" s="13" t="s">
        <v>2461</v>
      </c>
      <c r="BA339" s="13" t="s">
        <v>574</v>
      </c>
      <c r="BB339" s="13"/>
      <c r="BC339" s="13"/>
      <c r="BD339" s="13" t="s">
        <v>306</v>
      </c>
      <c r="BE339" s="13" t="s">
        <v>2462</v>
      </c>
      <c r="BF339" s="13" t="s">
        <v>2463</v>
      </c>
      <c r="BG339" s="13"/>
      <c r="BH339" s="13" t="s">
        <v>79</v>
      </c>
      <c r="BI339" s="13" t="b">
        <v>0</v>
      </c>
      <c r="BJ339" s="13">
        <v>0.0</v>
      </c>
      <c r="BK339" s="13">
        <v>0.0</v>
      </c>
    </row>
    <row r="340" ht="14.25" customHeight="1">
      <c r="A340" s="13">
        <v>338.0</v>
      </c>
      <c r="B340" s="13" t="s">
        <v>52</v>
      </c>
      <c r="C340" s="13">
        <v>2.0</v>
      </c>
      <c r="D340" s="14">
        <v>0.0</v>
      </c>
      <c r="E340" s="13" t="s">
        <v>2464</v>
      </c>
      <c r="F340" s="15" t="s">
        <v>2361</v>
      </c>
      <c r="G340" s="16" t="s">
        <v>2465</v>
      </c>
      <c r="H340" s="13">
        <v>16.0</v>
      </c>
      <c r="I340" s="13">
        <v>1.1</v>
      </c>
      <c r="J340" s="13" t="s">
        <v>1543</v>
      </c>
      <c r="K340" s="13">
        <f t="shared" si="3"/>
        <v>0</v>
      </c>
      <c r="L340" s="13">
        <f t="shared" si="4"/>
        <v>3</v>
      </c>
      <c r="M340" s="13">
        <f t="shared" ref="M340:AA340" si="679">IFERROR(VALUE(RIGHT(LEFT($J340,FIND(M$1,$J340,1)+LEN(M$1)),1)),0)</f>
        <v>0</v>
      </c>
      <c r="N340" s="13">
        <f t="shared" si="679"/>
        <v>0</v>
      </c>
      <c r="O340" s="13">
        <f t="shared" si="679"/>
        <v>0</v>
      </c>
      <c r="P340" s="13">
        <f t="shared" si="679"/>
        <v>0</v>
      </c>
      <c r="Q340" s="13">
        <f t="shared" si="679"/>
        <v>0</v>
      </c>
      <c r="R340" s="13">
        <f t="shared" si="679"/>
        <v>0</v>
      </c>
      <c r="S340" s="13">
        <f t="shared" si="679"/>
        <v>0</v>
      </c>
      <c r="T340" s="13">
        <f t="shared" si="679"/>
        <v>0</v>
      </c>
      <c r="U340" s="13">
        <f t="shared" si="679"/>
        <v>0</v>
      </c>
      <c r="V340" s="13">
        <f t="shared" si="679"/>
        <v>0</v>
      </c>
      <c r="W340" s="13">
        <f t="shared" si="679"/>
        <v>0</v>
      </c>
      <c r="X340" s="13">
        <f t="shared" si="679"/>
        <v>0</v>
      </c>
      <c r="Y340" s="13">
        <f t="shared" si="679"/>
        <v>0</v>
      </c>
      <c r="Z340" s="13">
        <f t="shared" si="679"/>
        <v>0</v>
      </c>
      <c r="AA340" s="13">
        <f t="shared" si="679"/>
        <v>0</v>
      </c>
      <c r="AB340" s="13">
        <f t="shared" ref="AB340:AP340" si="680">IFERROR(VALUE(RIGHT(LEFT($J340,FIND(AB$1,$J340,IF(M340=0,1,FIND(AB$1,$J340,1)+1))+LEN(AB$1)),1)),0)</f>
        <v>0</v>
      </c>
      <c r="AC340" s="13">
        <f t="shared" si="680"/>
        <v>0</v>
      </c>
      <c r="AD340" s="13">
        <f t="shared" si="680"/>
        <v>1</v>
      </c>
      <c r="AE340" s="13">
        <f t="shared" si="680"/>
        <v>0</v>
      </c>
      <c r="AF340" s="13">
        <f t="shared" si="680"/>
        <v>0</v>
      </c>
      <c r="AG340" s="13">
        <f t="shared" si="680"/>
        <v>0</v>
      </c>
      <c r="AH340" s="13">
        <f t="shared" si="680"/>
        <v>0</v>
      </c>
      <c r="AI340" s="13">
        <f t="shared" si="680"/>
        <v>0</v>
      </c>
      <c r="AJ340" s="13">
        <f t="shared" si="680"/>
        <v>0</v>
      </c>
      <c r="AK340" s="13">
        <f t="shared" si="680"/>
        <v>0</v>
      </c>
      <c r="AL340" s="13">
        <f t="shared" si="680"/>
        <v>0</v>
      </c>
      <c r="AM340" s="13">
        <f t="shared" si="680"/>
        <v>0</v>
      </c>
      <c r="AN340" s="13">
        <f t="shared" si="680"/>
        <v>0</v>
      </c>
      <c r="AO340" s="13">
        <f t="shared" si="680"/>
        <v>0</v>
      </c>
      <c r="AP340" s="13">
        <f t="shared" si="680"/>
        <v>2</v>
      </c>
      <c r="AQ340" s="13"/>
      <c r="AR340" s="13" t="s">
        <v>2466</v>
      </c>
      <c r="AS340" s="13" t="s">
        <v>2467</v>
      </c>
      <c r="AT340" s="13" t="s">
        <v>290</v>
      </c>
      <c r="AU340" s="13" t="s">
        <v>130</v>
      </c>
      <c r="AV340" s="13" t="s">
        <v>2468</v>
      </c>
      <c r="AW340" s="13">
        <v>12.0</v>
      </c>
      <c r="AX340" s="13">
        <v>1.0</v>
      </c>
      <c r="AY340" s="13">
        <v>0.0</v>
      </c>
      <c r="AZ340" s="13" t="s">
        <v>848</v>
      </c>
      <c r="BA340" s="13" t="s">
        <v>1539</v>
      </c>
      <c r="BB340" s="13"/>
      <c r="BC340" s="13"/>
      <c r="BD340" s="13" t="s">
        <v>294</v>
      </c>
      <c r="BE340" s="13" t="s">
        <v>2469</v>
      </c>
      <c r="BF340" s="13" t="s">
        <v>2470</v>
      </c>
      <c r="BG340" s="13"/>
      <c r="BH340" s="13" t="s">
        <v>79</v>
      </c>
      <c r="BI340" s="13" t="b">
        <v>0</v>
      </c>
      <c r="BJ340" s="13">
        <v>0.0</v>
      </c>
      <c r="BK340" s="13">
        <v>0.0</v>
      </c>
    </row>
    <row r="341" ht="14.25" customHeight="1">
      <c r="A341" s="13">
        <v>339.0</v>
      </c>
      <c r="B341" s="13" t="s">
        <v>49</v>
      </c>
      <c r="C341" s="13">
        <v>2.0</v>
      </c>
      <c r="D341" s="14">
        <v>0.0</v>
      </c>
      <c r="E341" s="13" t="s">
        <v>2471</v>
      </c>
      <c r="F341" s="15" t="s">
        <v>2361</v>
      </c>
      <c r="G341" s="16" t="s">
        <v>2472</v>
      </c>
      <c r="H341" s="13">
        <v>15.0</v>
      </c>
      <c r="I341" s="13">
        <v>1.0</v>
      </c>
      <c r="J341" s="13" t="s">
        <v>2473</v>
      </c>
      <c r="K341" s="13">
        <f t="shared" si="3"/>
        <v>0</v>
      </c>
      <c r="L341" s="13">
        <f t="shared" si="4"/>
        <v>3</v>
      </c>
      <c r="M341" s="13">
        <f t="shared" ref="M341:AA341" si="681">IFERROR(VALUE(RIGHT(LEFT($J341,FIND(M$1,$J341,1)+LEN(M$1)),1)),0)</f>
        <v>0</v>
      </c>
      <c r="N341" s="13">
        <f t="shared" si="681"/>
        <v>0</v>
      </c>
      <c r="O341" s="13">
        <f t="shared" si="681"/>
        <v>0</v>
      </c>
      <c r="P341" s="13">
        <f t="shared" si="681"/>
        <v>0</v>
      </c>
      <c r="Q341" s="13">
        <f t="shared" si="681"/>
        <v>0</v>
      </c>
      <c r="R341" s="13">
        <f t="shared" si="681"/>
        <v>0</v>
      </c>
      <c r="S341" s="13">
        <f t="shared" si="681"/>
        <v>0</v>
      </c>
      <c r="T341" s="13">
        <f t="shared" si="681"/>
        <v>0</v>
      </c>
      <c r="U341" s="13">
        <f t="shared" si="681"/>
        <v>0</v>
      </c>
      <c r="V341" s="13">
        <f t="shared" si="681"/>
        <v>0</v>
      </c>
      <c r="W341" s="13">
        <f t="shared" si="681"/>
        <v>0</v>
      </c>
      <c r="X341" s="13">
        <f t="shared" si="681"/>
        <v>0</v>
      </c>
      <c r="Y341" s="13">
        <f t="shared" si="681"/>
        <v>0</v>
      </c>
      <c r="Z341" s="13">
        <f t="shared" si="681"/>
        <v>0</v>
      </c>
      <c r="AA341" s="13">
        <f t="shared" si="681"/>
        <v>0</v>
      </c>
      <c r="AB341" s="13">
        <f t="shared" ref="AB341:AP341" si="682">IFERROR(VALUE(RIGHT(LEFT($J341,FIND(AB$1,$J341,IF(M341=0,1,FIND(AB$1,$J341,1)+1))+LEN(AB$1)),1)),0)</f>
        <v>0</v>
      </c>
      <c r="AC341" s="13">
        <f t="shared" si="682"/>
        <v>1</v>
      </c>
      <c r="AD341" s="13">
        <f t="shared" si="682"/>
        <v>1</v>
      </c>
      <c r="AE341" s="13">
        <f t="shared" si="682"/>
        <v>0</v>
      </c>
      <c r="AF341" s="13">
        <f t="shared" si="682"/>
        <v>0</v>
      </c>
      <c r="AG341" s="13">
        <f t="shared" si="682"/>
        <v>0</v>
      </c>
      <c r="AH341" s="13">
        <f t="shared" si="682"/>
        <v>0</v>
      </c>
      <c r="AI341" s="13">
        <f t="shared" si="682"/>
        <v>0</v>
      </c>
      <c r="AJ341" s="13">
        <f t="shared" si="682"/>
        <v>0</v>
      </c>
      <c r="AK341" s="13">
        <f t="shared" si="682"/>
        <v>0</v>
      </c>
      <c r="AL341" s="13">
        <f t="shared" si="682"/>
        <v>0</v>
      </c>
      <c r="AM341" s="13">
        <f t="shared" si="682"/>
        <v>1</v>
      </c>
      <c r="AN341" s="13">
        <f t="shared" si="682"/>
        <v>0</v>
      </c>
      <c r="AO341" s="13">
        <f t="shared" si="682"/>
        <v>0</v>
      </c>
      <c r="AP341" s="13">
        <f t="shared" si="682"/>
        <v>0</v>
      </c>
      <c r="AQ341" s="13"/>
      <c r="AR341" s="13" t="s">
        <v>2474</v>
      </c>
      <c r="AS341" s="13" t="s">
        <v>2475</v>
      </c>
      <c r="AT341" s="13" t="s">
        <v>162</v>
      </c>
      <c r="AU341" s="13" t="s">
        <v>195</v>
      </c>
      <c r="AV341" s="13" t="s">
        <v>1546</v>
      </c>
      <c r="AW341" s="13">
        <v>14.0</v>
      </c>
      <c r="AX341" s="13">
        <v>1.0</v>
      </c>
      <c r="AY341" s="13">
        <v>0.0</v>
      </c>
      <c r="AZ341" s="13" t="s">
        <v>770</v>
      </c>
      <c r="BA341" s="13" t="s">
        <v>687</v>
      </c>
      <c r="BB341" s="13"/>
      <c r="BC341" s="13"/>
      <c r="BD341" s="13" t="s">
        <v>220</v>
      </c>
      <c r="BE341" s="13"/>
      <c r="BF341" s="13" t="s">
        <v>2476</v>
      </c>
      <c r="BG341" s="13" t="s">
        <v>201</v>
      </c>
      <c r="BH341" s="13" t="s">
        <v>79</v>
      </c>
      <c r="BI341" s="13" t="b">
        <v>0</v>
      </c>
      <c r="BJ341" s="13">
        <v>0.0</v>
      </c>
      <c r="BK341" s="13">
        <v>0.0</v>
      </c>
    </row>
    <row r="342" ht="14.25" customHeight="1">
      <c r="A342" s="13">
        <v>340.0</v>
      </c>
      <c r="B342" s="13" t="s">
        <v>44</v>
      </c>
      <c r="C342" s="13">
        <v>3.0</v>
      </c>
      <c r="D342" s="14">
        <v>0.0</v>
      </c>
      <c r="E342" s="13" t="s">
        <v>2477</v>
      </c>
      <c r="F342" s="15" t="s">
        <v>2361</v>
      </c>
      <c r="G342" s="16" t="s">
        <v>2478</v>
      </c>
      <c r="H342" s="13"/>
      <c r="I342" s="13">
        <v>1.1</v>
      </c>
      <c r="J342" s="13" t="s">
        <v>2479</v>
      </c>
      <c r="K342" s="13">
        <f t="shared" si="3"/>
        <v>1</v>
      </c>
      <c r="L342" s="13">
        <f t="shared" si="4"/>
        <v>2</v>
      </c>
      <c r="M342" s="13">
        <f t="shared" ref="M342:AA342" si="683">IFERROR(VALUE(RIGHT(LEFT($J342,FIND(M$1,$J342,1)+LEN(M$1)),1)),0)</f>
        <v>0</v>
      </c>
      <c r="N342" s="13">
        <f t="shared" si="683"/>
        <v>0</v>
      </c>
      <c r="O342" s="13">
        <f t="shared" si="683"/>
        <v>0</v>
      </c>
      <c r="P342" s="13">
        <f t="shared" si="683"/>
        <v>0</v>
      </c>
      <c r="Q342" s="13">
        <f t="shared" si="683"/>
        <v>0</v>
      </c>
      <c r="R342" s="13">
        <f t="shared" si="683"/>
        <v>0</v>
      </c>
      <c r="S342" s="13">
        <f t="shared" si="683"/>
        <v>1</v>
      </c>
      <c r="T342" s="13">
        <f t="shared" si="683"/>
        <v>0</v>
      </c>
      <c r="U342" s="13">
        <f t="shared" si="683"/>
        <v>0</v>
      </c>
      <c r="V342" s="13">
        <f t="shared" si="683"/>
        <v>0</v>
      </c>
      <c r="W342" s="13">
        <f t="shared" si="683"/>
        <v>0</v>
      </c>
      <c r="X342" s="13">
        <f t="shared" si="683"/>
        <v>0</v>
      </c>
      <c r="Y342" s="13">
        <f t="shared" si="683"/>
        <v>0</v>
      </c>
      <c r="Z342" s="13">
        <f t="shared" si="683"/>
        <v>0</v>
      </c>
      <c r="AA342" s="13">
        <f t="shared" si="683"/>
        <v>0</v>
      </c>
      <c r="AB342" s="13">
        <f t="shared" ref="AB342:AP342" si="684">IFERROR(VALUE(RIGHT(LEFT($J342,FIND(AB$1,$J342,IF(M342=0,1,FIND(AB$1,$J342,1)+1))+LEN(AB$1)),1)),0)</f>
        <v>0</v>
      </c>
      <c r="AC342" s="13">
        <f t="shared" si="684"/>
        <v>1</v>
      </c>
      <c r="AD342" s="13">
        <f t="shared" si="684"/>
        <v>0</v>
      </c>
      <c r="AE342" s="13">
        <f t="shared" si="684"/>
        <v>0</v>
      </c>
      <c r="AF342" s="13">
        <f t="shared" si="684"/>
        <v>0</v>
      </c>
      <c r="AG342" s="13">
        <f t="shared" si="684"/>
        <v>0</v>
      </c>
      <c r="AH342" s="13">
        <f t="shared" si="684"/>
        <v>1</v>
      </c>
      <c r="AI342" s="13">
        <f t="shared" si="684"/>
        <v>0</v>
      </c>
      <c r="AJ342" s="13">
        <f t="shared" si="684"/>
        <v>0</v>
      </c>
      <c r="AK342" s="13">
        <f t="shared" si="684"/>
        <v>0</v>
      </c>
      <c r="AL342" s="13">
        <f t="shared" si="684"/>
        <v>0</v>
      </c>
      <c r="AM342" s="13">
        <f t="shared" si="684"/>
        <v>0</v>
      </c>
      <c r="AN342" s="13">
        <f t="shared" si="684"/>
        <v>0</v>
      </c>
      <c r="AO342" s="13">
        <f t="shared" si="684"/>
        <v>0</v>
      </c>
      <c r="AP342" s="13">
        <f t="shared" si="684"/>
        <v>0</v>
      </c>
      <c r="AQ342" s="13" t="s">
        <v>2480</v>
      </c>
      <c r="AR342" s="13"/>
      <c r="AS342" s="13" t="s">
        <v>2481</v>
      </c>
      <c r="AT342" s="13"/>
      <c r="AU342" s="13"/>
      <c r="AV342" s="13"/>
      <c r="AW342" s="13">
        <v>0.0</v>
      </c>
      <c r="AX342" s="13">
        <v>1.0</v>
      </c>
      <c r="AY342" s="13">
        <v>0.0</v>
      </c>
      <c r="AZ342" s="13"/>
      <c r="BA342" s="13"/>
      <c r="BB342" s="13"/>
      <c r="BC342" s="13"/>
      <c r="BD342" s="13"/>
      <c r="BE342" s="13"/>
      <c r="BF342" s="13"/>
      <c r="BG342" s="13"/>
      <c r="BH342" s="13" t="s">
        <v>79</v>
      </c>
      <c r="BI342" s="13" t="b">
        <v>0</v>
      </c>
      <c r="BJ342" s="13">
        <v>0.0</v>
      </c>
      <c r="BK342" s="13">
        <v>0.0</v>
      </c>
    </row>
    <row r="343" ht="14.25" customHeight="1">
      <c r="A343" s="13">
        <v>341.0</v>
      </c>
      <c r="B343" s="13" t="s">
        <v>45</v>
      </c>
      <c r="C343" s="13">
        <v>3.0</v>
      </c>
      <c r="D343" s="14">
        <v>0.0</v>
      </c>
      <c r="E343" s="13" t="s">
        <v>2482</v>
      </c>
      <c r="F343" s="15" t="s">
        <v>2361</v>
      </c>
      <c r="G343" s="16" t="s">
        <v>2483</v>
      </c>
      <c r="H343" s="13"/>
      <c r="I343" s="13">
        <v>1.0</v>
      </c>
      <c r="J343" s="13" t="s">
        <v>1594</v>
      </c>
      <c r="K343" s="13">
        <f t="shared" si="3"/>
        <v>1</v>
      </c>
      <c r="L343" s="13">
        <f t="shared" si="4"/>
        <v>2</v>
      </c>
      <c r="M343" s="13">
        <f t="shared" ref="M343:AA343" si="685">IFERROR(VALUE(RIGHT(LEFT($J343,FIND(M$1,$J343,1)+LEN(M$1)),1)),0)</f>
        <v>0</v>
      </c>
      <c r="N343" s="13">
        <f t="shared" si="685"/>
        <v>0</v>
      </c>
      <c r="O343" s="13">
        <f t="shared" si="685"/>
        <v>0</v>
      </c>
      <c r="P343" s="13">
        <f t="shared" si="685"/>
        <v>0</v>
      </c>
      <c r="Q343" s="13">
        <f t="shared" si="685"/>
        <v>0</v>
      </c>
      <c r="R343" s="13">
        <f t="shared" si="685"/>
        <v>0</v>
      </c>
      <c r="S343" s="13">
        <f t="shared" si="685"/>
        <v>0</v>
      </c>
      <c r="T343" s="13">
        <f t="shared" si="685"/>
        <v>1</v>
      </c>
      <c r="U343" s="13">
        <f t="shared" si="685"/>
        <v>0</v>
      </c>
      <c r="V343" s="13">
        <f t="shared" si="685"/>
        <v>0</v>
      </c>
      <c r="W343" s="13">
        <f t="shared" si="685"/>
        <v>0</v>
      </c>
      <c r="X343" s="13">
        <f t="shared" si="685"/>
        <v>0</v>
      </c>
      <c r="Y343" s="13">
        <f t="shared" si="685"/>
        <v>0</v>
      </c>
      <c r="Z343" s="13">
        <f t="shared" si="685"/>
        <v>0</v>
      </c>
      <c r="AA343" s="13">
        <f t="shared" si="685"/>
        <v>0</v>
      </c>
      <c r="AB343" s="13">
        <f t="shared" ref="AB343:AP343" si="686">IFERROR(VALUE(RIGHT(LEFT($J343,FIND(AB$1,$J343,IF(M343=0,1,FIND(AB$1,$J343,1)+1))+LEN(AB$1)),1)),0)</f>
        <v>1</v>
      </c>
      <c r="AC343" s="13">
        <f t="shared" si="686"/>
        <v>0</v>
      </c>
      <c r="AD343" s="13">
        <f t="shared" si="686"/>
        <v>0</v>
      </c>
      <c r="AE343" s="13">
        <f t="shared" si="686"/>
        <v>0</v>
      </c>
      <c r="AF343" s="13">
        <f t="shared" si="686"/>
        <v>0</v>
      </c>
      <c r="AG343" s="13">
        <f t="shared" si="686"/>
        <v>0</v>
      </c>
      <c r="AH343" s="13">
        <f t="shared" si="686"/>
        <v>0</v>
      </c>
      <c r="AI343" s="13">
        <f t="shared" si="686"/>
        <v>1</v>
      </c>
      <c r="AJ343" s="13">
        <f t="shared" si="686"/>
        <v>0</v>
      </c>
      <c r="AK343" s="13">
        <f t="shared" si="686"/>
        <v>0</v>
      </c>
      <c r="AL343" s="13">
        <f t="shared" si="686"/>
        <v>0</v>
      </c>
      <c r="AM343" s="13">
        <f t="shared" si="686"/>
        <v>0</v>
      </c>
      <c r="AN343" s="13">
        <f t="shared" si="686"/>
        <v>0</v>
      </c>
      <c r="AO343" s="13">
        <f t="shared" si="686"/>
        <v>0</v>
      </c>
      <c r="AP343" s="13">
        <f t="shared" si="686"/>
        <v>0</v>
      </c>
      <c r="AQ343" s="13" t="s">
        <v>2484</v>
      </c>
      <c r="AR343" s="13"/>
      <c r="AS343" s="13" t="s">
        <v>2485</v>
      </c>
      <c r="AT343" s="13"/>
      <c r="AU343" s="13"/>
      <c r="AV343" s="13"/>
      <c r="AW343" s="13">
        <v>0.0</v>
      </c>
      <c r="AX343" s="13">
        <v>1.0</v>
      </c>
      <c r="AY343" s="13">
        <v>0.0</v>
      </c>
      <c r="AZ343" s="13"/>
      <c r="BA343" s="13"/>
      <c r="BB343" s="13"/>
      <c r="BC343" s="13"/>
      <c r="BD343" s="13"/>
      <c r="BE343" s="13"/>
      <c r="BF343" s="13"/>
      <c r="BG343" s="13"/>
      <c r="BH343" s="13" t="s">
        <v>79</v>
      </c>
      <c r="BI343" s="13" t="b">
        <v>0</v>
      </c>
      <c r="BJ343" s="13">
        <v>0.0</v>
      </c>
      <c r="BK343" s="13">
        <v>0.0</v>
      </c>
    </row>
    <row r="344" ht="14.25" customHeight="1">
      <c r="A344" s="13">
        <v>342.0</v>
      </c>
      <c r="B344" s="13" t="s">
        <v>46</v>
      </c>
      <c r="C344" s="13">
        <v>3.0</v>
      </c>
      <c r="D344" s="14">
        <v>0.0</v>
      </c>
      <c r="E344" s="13" t="s">
        <v>2486</v>
      </c>
      <c r="F344" s="15" t="s">
        <v>2361</v>
      </c>
      <c r="G344" s="16" t="s">
        <v>2487</v>
      </c>
      <c r="H344" s="13"/>
      <c r="I344" s="13">
        <v>1.0</v>
      </c>
      <c r="J344" s="13" t="s">
        <v>2488</v>
      </c>
      <c r="K344" s="13">
        <f t="shared" si="3"/>
        <v>1</v>
      </c>
      <c r="L344" s="13">
        <f t="shared" si="4"/>
        <v>2</v>
      </c>
      <c r="M344" s="13">
        <f t="shared" ref="M344:AA344" si="687">IFERROR(VALUE(RIGHT(LEFT($J344,FIND(M$1,$J344,1)+LEN(M$1)),1)),0)</f>
        <v>0</v>
      </c>
      <c r="N344" s="13">
        <f t="shared" si="687"/>
        <v>0</v>
      </c>
      <c r="O344" s="13">
        <f t="shared" si="687"/>
        <v>0</v>
      </c>
      <c r="P344" s="13">
        <f t="shared" si="687"/>
        <v>0</v>
      </c>
      <c r="Q344" s="13">
        <f t="shared" si="687"/>
        <v>0</v>
      </c>
      <c r="R344" s="13">
        <f t="shared" si="687"/>
        <v>0</v>
      </c>
      <c r="S344" s="13">
        <f t="shared" si="687"/>
        <v>0</v>
      </c>
      <c r="T344" s="13">
        <f t="shared" si="687"/>
        <v>0</v>
      </c>
      <c r="U344" s="13">
        <f t="shared" si="687"/>
        <v>1</v>
      </c>
      <c r="V344" s="13">
        <f t="shared" si="687"/>
        <v>0</v>
      </c>
      <c r="W344" s="13">
        <f t="shared" si="687"/>
        <v>0</v>
      </c>
      <c r="X344" s="13">
        <f t="shared" si="687"/>
        <v>0</v>
      </c>
      <c r="Y344" s="13">
        <f t="shared" si="687"/>
        <v>0</v>
      </c>
      <c r="Z344" s="13">
        <f t="shared" si="687"/>
        <v>0</v>
      </c>
      <c r="AA344" s="13">
        <f t="shared" si="687"/>
        <v>0</v>
      </c>
      <c r="AB344" s="13">
        <f t="shared" ref="AB344:AP344" si="688">IFERROR(VALUE(RIGHT(LEFT($J344,FIND(AB$1,$J344,IF(M344=0,1,FIND(AB$1,$J344,1)+1))+LEN(AB$1)),1)),0)</f>
        <v>0</v>
      </c>
      <c r="AC344" s="13">
        <f t="shared" si="688"/>
        <v>0</v>
      </c>
      <c r="AD344" s="13">
        <f t="shared" si="688"/>
        <v>1</v>
      </c>
      <c r="AE344" s="13">
        <f t="shared" si="688"/>
        <v>0</v>
      </c>
      <c r="AF344" s="13">
        <f t="shared" si="688"/>
        <v>0</v>
      </c>
      <c r="AG344" s="13">
        <f t="shared" si="688"/>
        <v>0</v>
      </c>
      <c r="AH344" s="13">
        <f t="shared" si="688"/>
        <v>0</v>
      </c>
      <c r="AI344" s="13">
        <f t="shared" si="688"/>
        <v>0</v>
      </c>
      <c r="AJ344" s="13">
        <f t="shared" si="688"/>
        <v>1</v>
      </c>
      <c r="AK344" s="13">
        <f t="shared" si="688"/>
        <v>0</v>
      </c>
      <c r="AL344" s="13">
        <f t="shared" si="688"/>
        <v>0</v>
      </c>
      <c r="AM344" s="13">
        <f t="shared" si="688"/>
        <v>0</v>
      </c>
      <c r="AN344" s="13">
        <f t="shared" si="688"/>
        <v>0</v>
      </c>
      <c r="AO344" s="13">
        <f t="shared" si="688"/>
        <v>0</v>
      </c>
      <c r="AP344" s="13">
        <f t="shared" si="688"/>
        <v>0</v>
      </c>
      <c r="AQ344" s="13" t="s">
        <v>2489</v>
      </c>
      <c r="AR344" s="13"/>
      <c r="AS344" s="13" t="s">
        <v>2490</v>
      </c>
      <c r="AT344" s="13"/>
      <c r="AU344" s="13"/>
      <c r="AV344" s="13"/>
      <c r="AW344" s="13">
        <v>0.0</v>
      </c>
      <c r="AX344" s="13">
        <v>1.0</v>
      </c>
      <c r="AY344" s="13">
        <v>0.0</v>
      </c>
      <c r="AZ344" s="13"/>
      <c r="BA344" s="13"/>
      <c r="BB344" s="13"/>
      <c r="BC344" s="13"/>
      <c r="BD344" s="13"/>
      <c r="BE344" s="13"/>
      <c r="BF344" s="13"/>
      <c r="BG344" s="13"/>
      <c r="BH344" s="13" t="s">
        <v>79</v>
      </c>
      <c r="BI344" s="13" t="b">
        <v>0</v>
      </c>
      <c r="BJ344" s="13">
        <v>0.0</v>
      </c>
      <c r="BK344" s="13">
        <v>0.0</v>
      </c>
    </row>
    <row r="345" ht="14.25" customHeight="1">
      <c r="A345" s="13">
        <v>343.0</v>
      </c>
      <c r="B345" s="13" t="s">
        <v>52</v>
      </c>
      <c r="C345" s="13">
        <v>3.0</v>
      </c>
      <c r="D345" s="14">
        <v>0.0</v>
      </c>
      <c r="E345" s="13" t="s">
        <v>2491</v>
      </c>
      <c r="F345" s="15" t="s">
        <v>2361</v>
      </c>
      <c r="G345" s="16" t="s">
        <v>2492</v>
      </c>
      <c r="H345" s="13">
        <v>17.0</v>
      </c>
      <c r="I345" s="13">
        <v>1.1</v>
      </c>
      <c r="J345" s="13" t="s">
        <v>2493</v>
      </c>
      <c r="K345" s="13">
        <f t="shared" si="3"/>
        <v>1</v>
      </c>
      <c r="L345" s="13">
        <f t="shared" si="4"/>
        <v>1</v>
      </c>
      <c r="M345" s="13">
        <f t="shared" ref="M345:AA345" si="689">IFERROR(VALUE(RIGHT(LEFT($J345,FIND(M$1,$J345,1)+LEN(M$1)),1)),0)</f>
        <v>0</v>
      </c>
      <c r="N345" s="13">
        <f t="shared" si="689"/>
        <v>0</v>
      </c>
      <c r="O345" s="13">
        <f t="shared" si="689"/>
        <v>1</v>
      </c>
      <c r="P345" s="13">
        <f t="shared" si="689"/>
        <v>0</v>
      </c>
      <c r="Q345" s="13">
        <f t="shared" si="689"/>
        <v>0</v>
      </c>
      <c r="R345" s="13">
        <f t="shared" si="689"/>
        <v>0</v>
      </c>
      <c r="S345" s="13">
        <f t="shared" si="689"/>
        <v>0</v>
      </c>
      <c r="T345" s="13">
        <f t="shared" si="689"/>
        <v>0</v>
      </c>
      <c r="U345" s="13">
        <f t="shared" si="689"/>
        <v>0</v>
      </c>
      <c r="V345" s="13">
        <f t="shared" si="689"/>
        <v>0</v>
      </c>
      <c r="W345" s="13">
        <f t="shared" si="689"/>
        <v>0</v>
      </c>
      <c r="X345" s="13">
        <f t="shared" si="689"/>
        <v>0</v>
      </c>
      <c r="Y345" s="13">
        <f t="shared" si="689"/>
        <v>0</v>
      </c>
      <c r="Z345" s="13">
        <f t="shared" si="689"/>
        <v>0</v>
      </c>
      <c r="AA345" s="13">
        <f t="shared" si="689"/>
        <v>0</v>
      </c>
      <c r="AB345" s="13">
        <f t="shared" ref="AB345:AP345" si="690">IFERROR(VALUE(RIGHT(LEFT($J345,FIND(AB$1,$J345,IF(M345=0,1,FIND(AB$1,$J345,1)+1))+LEN(AB$1)),1)),0)</f>
        <v>0</v>
      </c>
      <c r="AC345" s="13">
        <f t="shared" si="690"/>
        <v>0</v>
      </c>
      <c r="AD345" s="13">
        <f t="shared" si="690"/>
        <v>1</v>
      </c>
      <c r="AE345" s="13">
        <f t="shared" si="690"/>
        <v>0</v>
      </c>
      <c r="AF345" s="13">
        <f t="shared" si="690"/>
        <v>0</v>
      </c>
      <c r="AG345" s="13">
        <f t="shared" si="690"/>
        <v>0</v>
      </c>
      <c r="AH345" s="13">
        <f t="shared" si="690"/>
        <v>0</v>
      </c>
      <c r="AI345" s="13">
        <f t="shared" si="690"/>
        <v>0</v>
      </c>
      <c r="AJ345" s="13">
        <f t="shared" si="690"/>
        <v>0</v>
      </c>
      <c r="AK345" s="13">
        <f t="shared" si="690"/>
        <v>0</v>
      </c>
      <c r="AL345" s="13">
        <f t="shared" si="690"/>
        <v>0</v>
      </c>
      <c r="AM345" s="13">
        <f t="shared" si="690"/>
        <v>0</v>
      </c>
      <c r="AN345" s="13">
        <f t="shared" si="690"/>
        <v>0</v>
      </c>
      <c r="AO345" s="13">
        <f t="shared" si="690"/>
        <v>0</v>
      </c>
      <c r="AP345" s="13">
        <f t="shared" si="690"/>
        <v>0</v>
      </c>
      <c r="AQ345" s="13"/>
      <c r="AR345" s="13" t="s">
        <v>2093</v>
      </c>
      <c r="AS345" s="13" t="s">
        <v>2494</v>
      </c>
      <c r="AT345" s="13" t="s">
        <v>162</v>
      </c>
      <c r="AU345" s="13" t="s">
        <v>195</v>
      </c>
      <c r="AV345" s="13" t="s">
        <v>2495</v>
      </c>
      <c r="AW345" s="13">
        <v>17.0</v>
      </c>
      <c r="AX345" s="13">
        <v>1.0</v>
      </c>
      <c r="AY345" s="13">
        <v>0.0</v>
      </c>
      <c r="AZ345" s="13" t="s">
        <v>2496</v>
      </c>
      <c r="BA345" s="13" t="s">
        <v>2497</v>
      </c>
      <c r="BB345" s="13"/>
      <c r="BC345" s="13"/>
      <c r="BD345" s="13" t="s">
        <v>294</v>
      </c>
      <c r="BE345" s="13" t="s">
        <v>2498</v>
      </c>
      <c r="BF345" s="13" t="s">
        <v>1900</v>
      </c>
      <c r="BG345" s="13"/>
      <c r="BH345" s="13" t="s">
        <v>241</v>
      </c>
      <c r="BI345" s="13" t="b">
        <v>0</v>
      </c>
      <c r="BJ345" s="13">
        <v>0.0</v>
      </c>
      <c r="BK345" s="13">
        <v>0.0</v>
      </c>
    </row>
    <row r="346" ht="14.25" customHeight="1">
      <c r="A346" s="13">
        <v>344.0</v>
      </c>
      <c r="B346" s="13" t="s">
        <v>52</v>
      </c>
      <c r="C346" s="13">
        <v>3.0</v>
      </c>
      <c r="D346" s="14">
        <v>0.0</v>
      </c>
      <c r="E346" s="13" t="s">
        <v>2499</v>
      </c>
      <c r="F346" s="15" t="s">
        <v>2361</v>
      </c>
      <c r="G346" s="16" t="s">
        <v>2500</v>
      </c>
      <c r="H346" s="13">
        <v>16.0</v>
      </c>
      <c r="I346" s="13">
        <v>1.0</v>
      </c>
      <c r="J346" s="13" t="s">
        <v>2501</v>
      </c>
      <c r="K346" s="13">
        <f t="shared" si="3"/>
        <v>1</v>
      </c>
      <c r="L346" s="13">
        <f t="shared" si="4"/>
        <v>2</v>
      </c>
      <c r="M346" s="13">
        <f t="shared" ref="M346:AA346" si="691">IFERROR(VALUE(RIGHT(LEFT($J346,FIND(M$1,$J346,1)+LEN(M$1)),1)),0)</f>
        <v>0</v>
      </c>
      <c r="N346" s="13">
        <f t="shared" si="691"/>
        <v>0</v>
      </c>
      <c r="O346" s="13">
        <f t="shared" si="691"/>
        <v>0</v>
      </c>
      <c r="P346" s="13">
        <f t="shared" si="691"/>
        <v>0</v>
      </c>
      <c r="Q346" s="13">
        <f t="shared" si="691"/>
        <v>0</v>
      </c>
      <c r="R346" s="13">
        <f t="shared" si="691"/>
        <v>0</v>
      </c>
      <c r="S346" s="13">
        <f t="shared" si="691"/>
        <v>0</v>
      </c>
      <c r="T346" s="13">
        <f t="shared" si="691"/>
        <v>0</v>
      </c>
      <c r="U346" s="13">
        <f t="shared" si="691"/>
        <v>0</v>
      </c>
      <c r="V346" s="13">
        <f t="shared" si="691"/>
        <v>0</v>
      </c>
      <c r="W346" s="13">
        <f t="shared" si="691"/>
        <v>0</v>
      </c>
      <c r="X346" s="13">
        <f t="shared" si="691"/>
        <v>0</v>
      </c>
      <c r="Y346" s="13">
        <f t="shared" si="691"/>
        <v>0</v>
      </c>
      <c r="Z346" s="13">
        <f t="shared" si="691"/>
        <v>0</v>
      </c>
      <c r="AA346" s="13">
        <f t="shared" si="691"/>
        <v>1</v>
      </c>
      <c r="AB346" s="13">
        <f t="shared" ref="AB346:AP346" si="692">IFERROR(VALUE(RIGHT(LEFT($J346,FIND(AB$1,$J346,IF(M346=0,1,FIND(AB$1,$J346,1)+1))+LEN(AB$1)),1)),0)</f>
        <v>0</v>
      </c>
      <c r="AC346" s="13">
        <f t="shared" si="692"/>
        <v>1</v>
      </c>
      <c r="AD346" s="13">
        <f t="shared" si="692"/>
        <v>1</v>
      </c>
      <c r="AE346" s="13">
        <f t="shared" si="692"/>
        <v>0</v>
      </c>
      <c r="AF346" s="13">
        <f t="shared" si="692"/>
        <v>0</v>
      </c>
      <c r="AG346" s="13">
        <f t="shared" si="692"/>
        <v>0</v>
      </c>
      <c r="AH346" s="13">
        <f t="shared" si="692"/>
        <v>0</v>
      </c>
      <c r="AI346" s="13">
        <f t="shared" si="692"/>
        <v>0</v>
      </c>
      <c r="AJ346" s="13">
        <f t="shared" si="692"/>
        <v>0</v>
      </c>
      <c r="AK346" s="13">
        <f t="shared" si="692"/>
        <v>0</v>
      </c>
      <c r="AL346" s="13">
        <f t="shared" si="692"/>
        <v>0</v>
      </c>
      <c r="AM346" s="13">
        <f t="shared" si="692"/>
        <v>0</v>
      </c>
      <c r="AN346" s="13">
        <f t="shared" si="692"/>
        <v>0</v>
      </c>
      <c r="AO346" s="13">
        <f t="shared" si="692"/>
        <v>0</v>
      </c>
      <c r="AP346" s="13">
        <f t="shared" si="692"/>
        <v>0</v>
      </c>
      <c r="AQ346" s="13"/>
      <c r="AR346" s="13" t="s">
        <v>2502</v>
      </c>
      <c r="AS346" s="13" t="s">
        <v>2503</v>
      </c>
      <c r="AT346" s="13" t="s">
        <v>863</v>
      </c>
      <c r="AU346" s="13" t="s">
        <v>130</v>
      </c>
      <c r="AV346" s="13" t="s">
        <v>2504</v>
      </c>
      <c r="AW346" s="13">
        <v>15.0</v>
      </c>
      <c r="AX346" s="13">
        <v>1.0</v>
      </c>
      <c r="AY346" s="13">
        <v>0.0</v>
      </c>
      <c r="AZ346" s="13" t="s">
        <v>2505</v>
      </c>
      <c r="BA346" s="13" t="s">
        <v>2506</v>
      </c>
      <c r="BB346" s="13"/>
      <c r="BC346" s="13"/>
      <c r="BD346" s="13" t="s">
        <v>306</v>
      </c>
      <c r="BE346" s="13">
        <v>4.0</v>
      </c>
      <c r="BF346" s="13" t="s">
        <v>2507</v>
      </c>
      <c r="BG346" s="13"/>
      <c r="BH346" s="13" t="s">
        <v>79</v>
      </c>
      <c r="BI346" s="13" t="b">
        <v>0</v>
      </c>
      <c r="BJ346" s="13">
        <v>0.0</v>
      </c>
      <c r="BK346" s="13">
        <v>0.0</v>
      </c>
    </row>
    <row r="347" ht="14.25" customHeight="1">
      <c r="A347" s="13">
        <v>345.0</v>
      </c>
      <c r="B347" s="13" t="s">
        <v>52</v>
      </c>
      <c r="C347" s="13">
        <v>3.0</v>
      </c>
      <c r="D347" s="14">
        <v>0.0</v>
      </c>
      <c r="E347" s="13" t="s">
        <v>2508</v>
      </c>
      <c r="F347" s="15" t="s">
        <v>2361</v>
      </c>
      <c r="G347" s="16" t="s">
        <v>2509</v>
      </c>
      <c r="H347" s="13">
        <v>18.0</v>
      </c>
      <c r="I347" s="13">
        <v>1.0</v>
      </c>
      <c r="J347" s="13" t="s">
        <v>1884</v>
      </c>
      <c r="K347" s="13">
        <f t="shared" si="3"/>
        <v>1</v>
      </c>
      <c r="L347" s="13">
        <f t="shared" si="4"/>
        <v>2</v>
      </c>
      <c r="M347" s="13">
        <f t="shared" ref="M347:AA347" si="693">IFERROR(VALUE(RIGHT(LEFT($J347,FIND(M$1,$J347,1)+LEN(M$1)),1)),0)</f>
        <v>0</v>
      </c>
      <c r="N347" s="13">
        <f t="shared" si="693"/>
        <v>0</v>
      </c>
      <c r="O347" s="13">
        <f t="shared" si="693"/>
        <v>0</v>
      </c>
      <c r="P347" s="13">
        <f t="shared" si="693"/>
        <v>0</v>
      </c>
      <c r="Q347" s="13">
        <f t="shared" si="693"/>
        <v>0</v>
      </c>
      <c r="R347" s="13">
        <f t="shared" si="693"/>
        <v>0</v>
      </c>
      <c r="S347" s="13">
        <f t="shared" si="693"/>
        <v>0</v>
      </c>
      <c r="T347" s="13">
        <f t="shared" si="693"/>
        <v>0</v>
      </c>
      <c r="U347" s="13">
        <f t="shared" si="693"/>
        <v>0</v>
      </c>
      <c r="V347" s="13">
        <f t="shared" si="693"/>
        <v>0</v>
      </c>
      <c r="W347" s="13">
        <f t="shared" si="693"/>
        <v>0</v>
      </c>
      <c r="X347" s="13">
        <f t="shared" si="693"/>
        <v>0</v>
      </c>
      <c r="Y347" s="13">
        <f t="shared" si="693"/>
        <v>0</v>
      </c>
      <c r="Z347" s="13">
        <f t="shared" si="693"/>
        <v>0</v>
      </c>
      <c r="AA347" s="13">
        <f t="shared" si="693"/>
        <v>1</v>
      </c>
      <c r="AB347" s="13">
        <f t="shared" ref="AB347:AP347" si="694">IFERROR(VALUE(RIGHT(LEFT($J347,FIND(AB$1,$J347,IF(M347=0,1,FIND(AB$1,$J347,1)+1))+LEN(AB$1)),1)),0)</f>
        <v>0</v>
      </c>
      <c r="AC347" s="13">
        <f t="shared" si="694"/>
        <v>1</v>
      </c>
      <c r="AD347" s="13">
        <f t="shared" si="694"/>
        <v>0</v>
      </c>
      <c r="AE347" s="13">
        <f t="shared" si="694"/>
        <v>0</v>
      </c>
      <c r="AF347" s="13">
        <f t="shared" si="694"/>
        <v>0</v>
      </c>
      <c r="AG347" s="13">
        <f t="shared" si="694"/>
        <v>0</v>
      </c>
      <c r="AH347" s="13">
        <f t="shared" si="694"/>
        <v>0</v>
      </c>
      <c r="AI347" s="13">
        <f t="shared" si="694"/>
        <v>0</v>
      </c>
      <c r="AJ347" s="13">
        <f t="shared" si="694"/>
        <v>0</v>
      </c>
      <c r="AK347" s="13">
        <f t="shared" si="694"/>
        <v>0</v>
      </c>
      <c r="AL347" s="13">
        <f t="shared" si="694"/>
        <v>0</v>
      </c>
      <c r="AM347" s="13">
        <f t="shared" si="694"/>
        <v>0</v>
      </c>
      <c r="AN347" s="13">
        <f t="shared" si="694"/>
        <v>0</v>
      </c>
      <c r="AO347" s="13">
        <f t="shared" si="694"/>
        <v>0</v>
      </c>
      <c r="AP347" s="13">
        <f t="shared" si="694"/>
        <v>1</v>
      </c>
      <c r="AQ347" s="13"/>
      <c r="AR347" s="13" t="s">
        <v>2510</v>
      </c>
      <c r="AS347" s="13" t="s">
        <v>2511</v>
      </c>
      <c r="AT347" s="13" t="s">
        <v>854</v>
      </c>
      <c r="AU347" s="13" t="s">
        <v>130</v>
      </c>
      <c r="AV347" s="13" t="s">
        <v>2512</v>
      </c>
      <c r="AW347" s="13">
        <v>18.0</v>
      </c>
      <c r="AX347" s="13">
        <v>1.0</v>
      </c>
      <c r="AY347" s="13">
        <v>0.0</v>
      </c>
      <c r="AZ347" s="13" t="s">
        <v>1986</v>
      </c>
      <c r="BA347" s="13" t="s">
        <v>1391</v>
      </c>
      <c r="BB347" s="13"/>
      <c r="BC347" s="13"/>
      <c r="BD347" s="13" t="s">
        <v>294</v>
      </c>
      <c r="BE347" s="13" t="s">
        <v>2513</v>
      </c>
      <c r="BF347" s="13" t="s">
        <v>2514</v>
      </c>
      <c r="BG347" s="13"/>
      <c r="BH347" s="13" t="s">
        <v>79</v>
      </c>
      <c r="BI347" s="13" t="b">
        <v>0</v>
      </c>
      <c r="BJ347" s="13">
        <v>0.0</v>
      </c>
      <c r="BK347" s="13">
        <v>0.0</v>
      </c>
    </row>
    <row r="348" ht="14.25" customHeight="1">
      <c r="A348" s="13">
        <v>346.0</v>
      </c>
      <c r="B348" s="13" t="s">
        <v>49</v>
      </c>
      <c r="C348" s="13">
        <v>3.0</v>
      </c>
      <c r="D348" s="14">
        <v>0.0</v>
      </c>
      <c r="E348" s="13" t="s">
        <v>2515</v>
      </c>
      <c r="F348" s="15" t="s">
        <v>2361</v>
      </c>
      <c r="G348" s="16" t="s">
        <v>2516</v>
      </c>
      <c r="H348" s="13">
        <v>17.0</v>
      </c>
      <c r="I348" s="13">
        <v>0.9</v>
      </c>
      <c r="J348" s="13" t="s">
        <v>2517</v>
      </c>
      <c r="K348" s="13">
        <f t="shared" si="3"/>
        <v>1</v>
      </c>
      <c r="L348" s="13">
        <f t="shared" si="4"/>
        <v>2</v>
      </c>
      <c r="M348" s="13">
        <f t="shared" ref="M348:AA348" si="695">IFERROR(VALUE(RIGHT(LEFT($J348,FIND(M$1,$J348,1)+LEN(M$1)),1)),0)</f>
        <v>0</v>
      </c>
      <c r="N348" s="13">
        <f t="shared" si="695"/>
        <v>1</v>
      </c>
      <c r="O348" s="13">
        <f t="shared" si="695"/>
        <v>0</v>
      </c>
      <c r="P348" s="13">
        <f t="shared" si="695"/>
        <v>0</v>
      </c>
      <c r="Q348" s="13">
        <f t="shared" si="695"/>
        <v>0</v>
      </c>
      <c r="R348" s="13">
        <f t="shared" si="695"/>
        <v>0</v>
      </c>
      <c r="S348" s="13">
        <f t="shared" si="695"/>
        <v>0</v>
      </c>
      <c r="T348" s="13">
        <f t="shared" si="695"/>
        <v>0</v>
      </c>
      <c r="U348" s="13">
        <f t="shared" si="695"/>
        <v>0</v>
      </c>
      <c r="V348" s="13">
        <f t="shared" si="695"/>
        <v>0</v>
      </c>
      <c r="W348" s="13">
        <f t="shared" si="695"/>
        <v>0</v>
      </c>
      <c r="X348" s="13">
        <f t="shared" si="695"/>
        <v>0</v>
      </c>
      <c r="Y348" s="13">
        <f t="shared" si="695"/>
        <v>0</v>
      </c>
      <c r="Z348" s="13">
        <f t="shared" si="695"/>
        <v>0</v>
      </c>
      <c r="AA348" s="13">
        <f t="shared" si="695"/>
        <v>0</v>
      </c>
      <c r="AB348" s="13">
        <f t="shared" ref="AB348:AP348" si="696">IFERROR(VALUE(RIGHT(LEFT($J348,FIND(AB$1,$J348,IF(M348=0,1,FIND(AB$1,$J348,1)+1))+LEN(AB$1)),1)),0)</f>
        <v>1</v>
      </c>
      <c r="AC348" s="13">
        <f t="shared" si="696"/>
        <v>0</v>
      </c>
      <c r="AD348" s="13">
        <f t="shared" si="696"/>
        <v>0</v>
      </c>
      <c r="AE348" s="13">
        <f t="shared" si="696"/>
        <v>0</v>
      </c>
      <c r="AF348" s="13">
        <f t="shared" si="696"/>
        <v>0</v>
      </c>
      <c r="AG348" s="13">
        <f t="shared" si="696"/>
        <v>0</v>
      </c>
      <c r="AH348" s="13">
        <f t="shared" si="696"/>
        <v>0</v>
      </c>
      <c r="AI348" s="13">
        <f t="shared" si="696"/>
        <v>0</v>
      </c>
      <c r="AJ348" s="13">
        <f t="shared" si="696"/>
        <v>0</v>
      </c>
      <c r="AK348" s="13">
        <f t="shared" si="696"/>
        <v>0</v>
      </c>
      <c r="AL348" s="13">
        <f t="shared" si="696"/>
        <v>0</v>
      </c>
      <c r="AM348" s="13">
        <f t="shared" si="696"/>
        <v>1</v>
      </c>
      <c r="AN348" s="13">
        <f t="shared" si="696"/>
        <v>0</v>
      </c>
      <c r="AO348" s="13">
        <f t="shared" si="696"/>
        <v>0</v>
      </c>
      <c r="AP348" s="13">
        <f t="shared" si="696"/>
        <v>0</v>
      </c>
      <c r="AQ348" s="13"/>
      <c r="AR348" s="13" t="s">
        <v>2518</v>
      </c>
      <c r="AS348" s="13" t="s">
        <v>2519</v>
      </c>
      <c r="AT348" s="13" t="s">
        <v>1263</v>
      </c>
      <c r="AU348" s="13" t="s">
        <v>803</v>
      </c>
      <c r="AV348" s="13" t="s">
        <v>2520</v>
      </c>
      <c r="AW348" s="13">
        <v>16.0</v>
      </c>
      <c r="AX348" s="13">
        <v>1.0</v>
      </c>
      <c r="AY348" s="13">
        <v>0.0</v>
      </c>
      <c r="AZ348" s="13" t="s">
        <v>2521</v>
      </c>
      <c r="BA348" s="13" t="s">
        <v>2522</v>
      </c>
      <c r="BB348" s="13"/>
      <c r="BC348" s="13"/>
      <c r="BD348" s="13" t="s">
        <v>220</v>
      </c>
      <c r="BE348" s="13"/>
      <c r="BF348" s="13" t="s">
        <v>2523</v>
      </c>
      <c r="BG348" s="13" t="s">
        <v>201</v>
      </c>
      <c r="BH348" s="13" t="s">
        <v>79</v>
      </c>
      <c r="BI348" s="13" t="b">
        <v>0</v>
      </c>
      <c r="BJ348" s="13">
        <v>0.0</v>
      </c>
      <c r="BK348" s="13">
        <v>0.0</v>
      </c>
    </row>
    <row r="349" ht="14.25" customHeight="1">
      <c r="A349" s="13">
        <v>347.0</v>
      </c>
      <c r="B349" s="13" t="s">
        <v>46</v>
      </c>
      <c r="C349" s="13">
        <v>4.0</v>
      </c>
      <c r="D349" s="14">
        <v>0.0</v>
      </c>
      <c r="E349" s="13" t="s">
        <v>2524</v>
      </c>
      <c r="F349" s="15" t="s">
        <v>2361</v>
      </c>
      <c r="G349" s="16" t="s">
        <v>2525</v>
      </c>
      <c r="H349" s="13"/>
      <c r="I349" s="13">
        <v>1.0</v>
      </c>
      <c r="J349" s="13" t="s">
        <v>2526</v>
      </c>
      <c r="K349" s="13">
        <f t="shared" si="3"/>
        <v>2</v>
      </c>
      <c r="L349" s="13">
        <f t="shared" si="4"/>
        <v>2</v>
      </c>
      <c r="M349" s="13">
        <f t="shared" ref="M349:AA349" si="697">IFERROR(VALUE(RIGHT(LEFT($J349,FIND(M$1,$J349,1)+LEN(M$1)),1)),0)</f>
        <v>0</v>
      </c>
      <c r="N349" s="13">
        <f t="shared" si="697"/>
        <v>1</v>
      </c>
      <c r="O349" s="13">
        <f t="shared" si="697"/>
        <v>0</v>
      </c>
      <c r="P349" s="13">
        <f t="shared" si="697"/>
        <v>0</v>
      </c>
      <c r="Q349" s="13">
        <f t="shared" si="697"/>
        <v>0</v>
      </c>
      <c r="R349" s="13">
        <f t="shared" si="697"/>
        <v>0</v>
      </c>
      <c r="S349" s="13">
        <f t="shared" si="697"/>
        <v>0</v>
      </c>
      <c r="T349" s="13">
        <f t="shared" si="697"/>
        <v>0</v>
      </c>
      <c r="U349" s="13">
        <f t="shared" si="697"/>
        <v>1</v>
      </c>
      <c r="V349" s="13">
        <f t="shared" si="697"/>
        <v>0</v>
      </c>
      <c r="W349" s="13">
        <f t="shared" si="697"/>
        <v>0</v>
      </c>
      <c r="X349" s="13">
        <f t="shared" si="697"/>
        <v>0</v>
      </c>
      <c r="Y349" s="13">
        <f t="shared" si="697"/>
        <v>0</v>
      </c>
      <c r="Z349" s="13">
        <f t="shared" si="697"/>
        <v>0</v>
      </c>
      <c r="AA349" s="13">
        <f t="shared" si="697"/>
        <v>0</v>
      </c>
      <c r="AB349" s="13">
        <f t="shared" ref="AB349:AP349" si="698">IFERROR(VALUE(RIGHT(LEFT($J349,FIND(AB$1,$J349,IF(M349=0,1,FIND(AB$1,$J349,1)+1))+LEN(AB$1)),1)),0)</f>
        <v>0</v>
      </c>
      <c r="AC349" s="13">
        <f t="shared" si="698"/>
        <v>0</v>
      </c>
      <c r="AD349" s="13">
        <f t="shared" si="698"/>
        <v>0</v>
      </c>
      <c r="AE349" s="13">
        <f t="shared" si="698"/>
        <v>0</v>
      </c>
      <c r="AF349" s="13">
        <f t="shared" si="698"/>
        <v>0</v>
      </c>
      <c r="AG349" s="13">
        <f t="shared" si="698"/>
        <v>0</v>
      </c>
      <c r="AH349" s="13">
        <f t="shared" si="698"/>
        <v>0</v>
      </c>
      <c r="AI349" s="13">
        <f t="shared" si="698"/>
        <v>0</v>
      </c>
      <c r="AJ349" s="13">
        <f t="shared" si="698"/>
        <v>2</v>
      </c>
      <c r="AK349" s="13">
        <f t="shared" si="698"/>
        <v>0</v>
      </c>
      <c r="AL349" s="13">
        <f t="shared" si="698"/>
        <v>0</v>
      </c>
      <c r="AM349" s="13">
        <f t="shared" si="698"/>
        <v>0</v>
      </c>
      <c r="AN349" s="13">
        <f t="shared" si="698"/>
        <v>0</v>
      </c>
      <c r="AO349" s="13">
        <f t="shared" si="698"/>
        <v>0</v>
      </c>
      <c r="AP349" s="13">
        <f t="shared" si="698"/>
        <v>0</v>
      </c>
      <c r="AQ349" s="13" t="s">
        <v>2527</v>
      </c>
      <c r="AR349" s="13"/>
      <c r="AS349" s="13" t="s">
        <v>2528</v>
      </c>
      <c r="AT349" s="13"/>
      <c r="AU349" s="13"/>
      <c r="AV349" s="13"/>
      <c r="AW349" s="13">
        <v>0.0</v>
      </c>
      <c r="AX349" s="13">
        <v>1.0</v>
      </c>
      <c r="AY349" s="13">
        <v>0.0</v>
      </c>
      <c r="AZ349" s="13"/>
      <c r="BA349" s="13"/>
      <c r="BB349" s="13"/>
      <c r="BC349" s="13"/>
      <c r="BD349" s="13"/>
      <c r="BE349" s="13"/>
      <c r="BF349" s="13"/>
      <c r="BG349" s="13"/>
      <c r="BH349" s="13" t="s">
        <v>79</v>
      </c>
      <c r="BI349" s="13" t="b">
        <v>0</v>
      </c>
      <c r="BJ349" s="13">
        <v>0.0</v>
      </c>
      <c r="BK349" s="13">
        <v>0.0</v>
      </c>
    </row>
    <row r="350" ht="14.25" customHeight="1">
      <c r="A350" s="13">
        <v>348.0</v>
      </c>
      <c r="B350" s="13" t="s">
        <v>52</v>
      </c>
      <c r="C350" s="13">
        <v>4.0</v>
      </c>
      <c r="D350" s="14">
        <v>0.0</v>
      </c>
      <c r="E350" s="13" t="s">
        <v>2529</v>
      </c>
      <c r="F350" s="15" t="s">
        <v>2361</v>
      </c>
      <c r="G350" s="16" t="s">
        <v>2530</v>
      </c>
      <c r="H350" s="13">
        <v>15.0</v>
      </c>
      <c r="I350" s="13">
        <v>0.9</v>
      </c>
      <c r="J350" s="13" t="s">
        <v>2531</v>
      </c>
      <c r="K350" s="13">
        <f t="shared" si="3"/>
        <v>0</v>
      </c>
      <c r="L350" s="13">
        <f t="shared" si="4"/>
        <v>2</v>
      </c>
      <c r="M350" s="13">
        <f t="shared" ref="M350:AA350" si="699">IFERROR(VALUE(RIGHT(LEFT($J350,FIND(M$1,$J350,1)+LEN(M$1)),1)),0)</f>
        <v>0</v>
      </c>
      <c r="N350" s="13">
        <f t="shared" si="699"/>
        <v>0</v>
      </c>
      <c r="O350" s="13">
        <f t="shared" si="699"/>
        <v>0</v>
      </c>
      <c r="P350" s="13">
        <f t="shared" si="699"/>
        <v>0</v>
      </c>
      <c r="Q350" s="13">
        <f t="shared" si="699"/>
        <v>0</v>
      </c>
      <c r="R350" s="13">
        <f t="shared" si="699"/>
        <v>0</v>
      </c>
      <c r="S350" s="13">
        <f t="shared" si="699"/>
        <v>0</v>
      </c>
      <c r="T350" s="13">
        <f t="shared" si="699"/>
        <v>0</v>
      </c>
      <c r="U350" s="13">
        <f t="shared" si="699"/>
        <v>0</v>
      </c>
      <c r="V350" s="13">
        <f t="shared" si="699"/>
        <v>0</v>
      </c>
      <c r="W350" s="13">
        <f t="shared" si="699"/>
        <v>0</v>
      </c>
      <c r="X350" s="13">
        <f t="shared" si="699"/>
        <v>0</v>
      </c>
      <c r="Y350" s="13">
        <f t="shared" si="699"/>
        <v>0</v>
      </c>
      <c r="Z350" s="13">
        <f t="shared" si="699"/>
        <v>0</v>
      </c>
      <c r="AA350" s="13">
        <f t="shared" si="699"/>
        <v>0</v>
      </c>
      <c r="AB350" s="13">
        <f t="shared" ref="AB350:AP350" si="700">IFERROR(VALUE(RIGHT(LEFT($J350,FIND(AB$1,$J350,IF(M350=0,1,FIND(AB$1,$J350,1)+1))+LEN(AB$1)),1)),0)</f>
        <v>0</v>
      </c>
      <c r="AC350" s="13">
        <f t="shared" si="700"/>
        <v>1</v>
      </c>
      <c r="AD350" s="13">
        <f t="shared" si="700"/>
        <v>1</v>
      </c>
      <c r="AE350" s="13">
        <f t="shared" si="700"/>
        <v>0</v>
      </c>
      <c r="AF350" s="13">
        <f t="shared" si="700"/>
        <v>0</v>
      </c>
      <c r="AG350" s="13">
        <f t="shared" si="700"/>
        <v>0</v>
      </c>
      <c r="AH350" s="13">
        <f t="shared" si="700"/>
        <v>0</v>
      </c>
      <c r="AI350" s="13">
        <f t="shared" si="700"/>
        <v>0</v>
      </c>
      <c r="AJ350" s="13">
        <f t="shared" si="700"/>
        <v>0</v>
      </c>
      <c r="AK350" s="13">
        <f t="shared" si="700"/>
        <v>0</v>
      </c>
      <c r="AL350" s="13">
        <f t="shared" si="700"/>
        <v>0</v>
      </c>
      <c r="AM350" s="13">
        <f t="shared" si="700"/>
        <v>0</v>
      </c>
      <c r="AN350" s="13">
        <f t="shared" si="700"/>
        <v>0</v>
      </c>
      <c r="AO350" s="13">
        <f t="shared" si="700"/>
        <v>0</v>
      </c>
      <c r="AP350" s="13">
        <f t="shared" si="700"/>
        <v>0</v>
      </c>
      <c r="AQ350" s="13"/>
      <c r="AR350" s="13" t="s">
        <v>2532</v>
      </c>
      <c r="AS350" s="13" t="s">
        <v>2533</v>
      </c>
      <c r="AT350" s="13" t="s">
        <v>290</v>
      </c>
      <c r="AU350" s="13" t="s">
        <v>803</v>
      </c>
      <c r="AV350" s="13" t="s">
        <v>2534</v>
      </c>
      <c r="AW350" s="13">
        <v>19.0</v>
      </c>
      <c r="AX350" s="13">
        <v>1.0</v>
      </c>
      <c r="AY350" s="13">
        <v>0.0</v>
      </c>
      <c r="AZ350" s="13" t="s">
        <v>2535</v>
      </c>
      <c r="BA350" s="13" t="s">
        <v>2536</v>
      </c>
      <c r="BB350" s="13"/>
      <c r="BC350" s="13"/>
      <c r="BD350" s="13" t="s">
        <v>294</v>
      </c>
      <c r="BE350" s="13" t="s">
        <v>2537</v>
      </c>
      <c r="BF350" s="13" t="s">
        <v>1768</v>
      </c>
      <c r="BG350" s="13"/>
      <c r="BH350" s="13" t="s">
        <v>79</v>
      </c>
      <c r="BI350" s="13" t="b">
        <v>0</v>
      </c>
      <c r="BJ350" s="13">
        <v>0.0</v>
      </c>
      <c r="BK350" s="13">
        <v>0.0</v>
      </c>
    </row>
    <row r="351" ht="14.25" customHeight="1">
      <c r="A351" s="13">
        <v>349.0</v>
      </c>
      <c r="B351" s="13" t="s">
        <v>52</v>
      </c>
      <c r="C351" s="13">
        <v>4.0</v>
      </c>
      <c r="D351" s="14">
        <v>0.0</v>
      </c>
      <c r="E351" s="13" t="s">
        <v>2538</v>
      </c>
      <c r="F351" s="15" t="s">
        <v>2361</v>
      </c>
      <c r="G351" s="16" t="s">
        <v>2539</v>
      </c>
      <c r="H351" s="13">
        <v>18.0</v>
      </c>
      <c r="I351" s="13">
        <v>1.1</v>
      </c>
      <c r="J351" s="13" t="s">
        <v>2540</v>
      </c>
      <c r="K351" s="13">
        <f t="shared" si="3"/>
        <v>2</v>
      </c>
      <c r="L351" s="13">
        <f t="shared" si="4"/>
        <v>2</v>
      </c>
      <c r="M351" s="13">
        <f t="shared" ref="M351:AA351" si="701">IFERROR(VALUE(RIGHT(LEFT($J351,FIND(M$1,$J351,1)+LEN(M$1)),1)),0)</f>
        <v>0</v>
      </c>
      <c r="N351" s="13">
        <f t="shared" si="701"/>
        <v>0</v>
      </c>
      <c r="O351" s="13">
        <f t="shared" si="701"/>
        <v>2</v>
      </c>
      <c r="P351" s="13">
        <f t="shared" si="701"/>
        <v>0</v>
      </c>
      <c r="Q351" s="13">
        <f t="shared" si="701"/>
        <v>0</v>
      </c>
      <c r="R351" s="13">
        <f t="shared" si="701"/>
        <v>0</v>
      </c>
      <c r="S351" s="13">
        <f t="shared" si="701"/>
        <v>0</v>
      </c>
      <c r="T351" s="13">
        <f t="shared" si="701"/>
        <v>0</v>
      </c>
      <c r="U351" s="13">
        <f t="shared" si="701"/>
        <v>0</v>
      </c>
      <c r="V351" s="13">
        <f t="shared" si="701"/>
        <v>0</v>
      </c>
      <c r="W351" s="13">
        <f t="shared" si="701"/>
        <v>0</v>
      </c>
      <c r="X351" s="13">
        <f t="shared" si="701"/>
        <v>0</v>
      </c>
      <c r="Y351" s="13">
        <f t="shared" si="701"/>
        <v>0</v>
      </c>
      <c r="Z351" s="13">
        <f t="shared" si="701"/>
        <v>0</v>
      </c>
      <c r="AA351" s="13">
        <f t="shared" si="701"/>
        <v>0</v>
      </c>
      <c r="AB351" s="13">
        <f t="shared" ref="AB351:AP351" si="702">IFERROR(VALUE(RIGHT(LEFT($J351,FIND(AB$1,$J351,IF(M351=0,1,FIND(AB$1,$J351,1)+1))+LEN(AB$1)),1)),0)</f>
        <v>0</v>
      </c>
      <c r="AC351" s="13">
        <f t="shared" si="702"/>
        <v>1</v>
      </c>
      <c r="AD351" s="13">
        <f t="shared" si="702"/>
        <v>0</v>
      </c>
      <c r="AE351" s="13">
        <f t="shared" si="702"/>
        <v>0</v>
      </c>
      <c r="AF351" s="13">
        <f t="shared" si="702"/>
        <v>0</v>
      </c>
      <c r="AG351" s="13">
        <f t="shared" si="702"/>
        <v>0</v>
      </c>
      <c r="AH351" s="13">
        <f t="shared" si="702"/>
        <v>0</v>
      </c>
      <c r="AI351" s="13">
        <f t="shared" si="702"/>
        <v>0</v>
      </c>
      <c r="AJ351" s="13">
        <f t="shared" si="702"/>
        <v>0</v>
      </c>
      <c r="AK351" s="13">
        <f t="shared" si="702"/>
        <v>0</v>
      </c>
      <c r="AL351" s="13">
        <f t="shared" si="702"/>
        <v>0</v>
      </c>
      <c r="AM351" s="13">
        <f t="shared" si="702"/>
        <v>0</v>
      </c>
      <c r="AN351" s="13">
        <f t="shared" si="702"/>
        <v>0</v>
      </c>
      <c r="AO351" s="13">
        <f t="shared" si="702"/>
        <v>0</v>
      </c>
      <c r="AP351" s="13">
        <f t="shared" si="702"/>
        <v>1</v>
      </c>
      <c r="AQ351" s="13"/>
      <c r="AR351" s="13" t="s">
        <v>2082</v>
      </c>
      <c r="AS351" s="13" t="s">
        <v>2541</v>
      </c>
      <c r="AT351" s="13" t="s">
        <v>1876</v>
      </c>
      <c r="AU351" s="13" t="s">
        <v>130</v>
      </c>
      <c r="AV351" s="13" t="s">
        <v>2542</v>
      </c>
      <c r="AW351" s="13">
        <v>20.0</v>
      </c>
      <c r="AX351" s="13">
        <v>1.0</v>
      </c>
      <c r="AY351" s="13">
        <v>0.0</v>
      </c>
      <c r="AZ351" s="13" t="s">
        <v>2543</v>
      </c>
      <c r="BA351" s="13" t="s">
        <v>2544</v>
      </c>
      <c r="BB351" s="13"/>
      <c r="BC351" s="13"/>
      <c r="BD351" s="13" t="s">
        <v>306</v>
      </c>
      <c r="BE351" s="13" t="s">
        <v>2545</v>
      </c>
      <c r="BF351" s="13" t="s">
        <v>2523</v>
      </c>
      <c r="BG351" s="13"/>
      <c r="BH351" s="13" t="s">
        <v>79</v>
      </c>
      <c r="BI351" s="13" t="b">
        <v>0</v>
      </c>
      <c r="BJ351" s="13">
        <v>0.0</v>
      </c>
      <c r="BK351" s="13">
        <v>0.0</v>
      </c>
    </row>
    <row r="352" ht="14.25" customHeight="1">
      <c r="A352" s="13">
        <v>350.0</v>
      </c>
      <c r="B352" s="13" t="s">
        <v>52</v>
      </c>
      <c r="C352" s="13">
        <v>4.0</v>
      </c>
      <c r="D352" s="14">
        <v>0.0</v>
      </c>
      <c r="E352" s="13" t="s">
        <v>2546</v>
      </c>
      <c r="F352" s="15" t="s">
        <v>2361</v>
      </c>
      <c r="G352" s="16" t="s">
        <v>2547</v>
      </c>
      <c r="H352" s="13">
        <v>21.0</v>
      </c>
      <c r="I352" s="13">
        <v>1.2</v>
      </c>
      <c r="J352" s="13" t="s">
        <v>2548</v>
      </c>
      <c r="K352" s="13">
        <f t="shared" si="3"/>
        <v>2</v>
      </c>
      <c r="L352" s="13">
        <f t="shared" si="4"/>
        <v>2</v>
      </c>
      <c r="M352" s="13">
        <f t="shared" ref="M352:AA352" si="703">IFERROR(VALUE(RIGHT(LEFT($J352,FIND(M$1,$J352,1)+LEN(M$1)),1)),0)</f>
        <v>0</v>
      </c>
      <c r="N352" s="13">
        <f t="shared" si="703"/>
        <v>0</v>
      </c>
      <c r="O352" s="13">
        <f t="shared" si="703"/>
        <v>0</v>
      </c>
      <c r="P352" s="13">
        <f t="shared" si="703"/>
        <v>0</v>
      </c>
      <c r="Q352" s="13">
        <f t="shared" si="703"/>
        <v>0</v>
      </c>
      <c r="R352" s="13">
        <f t="shared" si="703"/>
        <v>0</v>
      </c>
      <c r="S352" s="13">
        <f t="shared" si="703"/>
        <v>0</v>
      </c>
      <c r="T352" s="13">
        <f t="shared" si="703"/>
        <v>0</v>
      </c>
      <c r="U352" s="13">
        <f t="shared" si="703"/>
        <v>0</v>
      </c>
      <c r="V352" s="13">
        <f t="shared" si="703"/>
        <v>0</v>
      </c>
      <c r="W352" s="13">
        <f t="shared" si="703"/>
        <v>0</v>
      </c>
      <c r="X352" s="13">
        <f t="shared" si="703"/>
        <v>0</v>
      </c>
      <c r="Y352" s="13">
        <f t="shared" si="703"/>
        <v>0</v>
      </c>
      <c r="Z352" s="13">
        <f t="shared" si="703"/>
        <v>0</v>
      </c>
      <c r="AA352" s="13">
        <f t="shared" si="703"/>
        <v>2</v>
      </c>
      <c r="AB352" s="13">
        <f t="shared" ref="AB352:AP352" si="704">IFERROR(VALUE(RIGHT(LEFT($J352,FIND(AB$1,$J352,IF(M352=0,1,FIND(AB$1,$J352,1)+1))+LEN(AB$1)),1)),0)</f>
        <v>0</v>
      </c>
      <c r="AC352" s="13">
        <f t="shared" si="704"/>
        <v>0</v>
      </c>
      <c r="AD352" s="13">
        <f t="shared" si="704"/>
        <v>1</v>
      </c>
      <c r="AE352" s="13">
        <f t="shared" si="704"/>
        <v>0</v>
      </c>
      <c r="AF352" s="13">
        <f t="shared" si="704"/>
        <v>0</v>
      </c>
      <c r="AG352" s="13">
        <f t="shared" si="704"/>
        <v>0</v>
      </c>
      <c r="AH352" s="13">
        <f t="shared" si="704"/>
        <v>0</v>
      </c>
      <c r="AI352" s="13">
        <f t="shared" si="704"/>
        <v>0</v>
      </c>
      <c r="AJ352" s="13">
        <f t="shared" si="704"/>
        <v>0</v>
      </c>
      <c r="AK352" s="13">
        <f t="shared" si="704"/>
        <v>0</v>
      </c>
      <c r="AL352" s="13">
        <f t="shared" si="704"/>
        <v>0</v>
      </c>
      <c r="AM352" s="13">
        <f t="shared" si="704"/>
        <v>0</v>
      </c>
      <c r="AN352" s="13">
        <f t="shared" si="704"/>
        <v>0</v>
      </c>
      <c r="AO352" s="13">
        <f t="shared" si="704"/>
        <v>0</v>
      </c>
      <c r="AP352" s="13">
        <f t="shared" si="704"/>
        <v>1</v>
      </c>
      <c r="AQ352" s="13"/>
      <c r="AR352" s="13" t="s">
        <v>2549</v>
      </c>
      <c r="AS352" s="13" t="s">
        <v>2550</v>
      </c>
      <c r="AT352" s="13" t="s">
        <v>854</v>
      </c>
      <c r="AU352" s="13" t="s">
        <v>130</v>
      </c>
      <c r="AV352" s="13" t="s">
        <v>2551</v>
      </c>
      <c r="AW352" s="13">
        <v>22.0</v>
      </c>
      <c r="AX352" s="13">
        <v>1.0</v>
      </c>
      <c r="AY352" s="13">
        <v>0.0</v>
      </c>
      <c r="AZ352" s="13" t="s">
        <v>2552</v>
      </c>
      <c r="BA352" s="13" t="s">
        <v>2553</v>
      </c>
      <c r="BB352" s="13"/>
      <c r="BC352" s="13"/>
      <c r="BD352" s="13" t="s">
        <v>306</v>
      </c>
      <c r="BE352" s="13" t="s">
        <v>1859</v>
      </c>
      <c r="BF352" s="13" t="s">
        <v>2044</v>
      </c>
      <c r="BG352" s="13"/>
      <c r="BH352" s="13" t="s">
        <v>79</v>
      </c>
      <c r="BI352" s="13" t="b">
        <v>0</v>
      </c>
      <c r="BJ352" s="13">
        <v>0.0</v>
      </c>
      <c r="BK352" s="13">
        <v>0.0</v>
      </c>
    </row>
    <row r="353" ht="14.25" customHeight="1">
      <c r="A353" s="13">
        <v>351.0</v>
      </c>
      <c r="B353" s="13" t="s">
        <v>49</v>
      </c>
      <c r="C353" s="13">
        <v>4.0</v>
      </c>
      <c r="D353" s="14">
        <v>0.0</v>
      </c>
      <c r="E353" s="13" t="s">
        <v>2554</v>
      </c>
      <c r="F353" s="15" t="s">
        <v>2361</v>
      </c>
      <c r="G353" s="16" t="s">
        <v>2555</v>
      </c>
      <c r="H353" s="13">
        <v>20.0</v>
      </c>
      <c r="I353" s="13">
        <v>1.0</v>
      </c>
      <c r="J353" s="13" t="s">
        <v>2556</v>
      </c>
      <c r="K353" s="13">
        <f t="shared" si="3"/>
        <v>2</v>
      </c>
      <c r="L353" s="13">
        <f t="shared" si="4"/>
        <v>2</v>
      </c>
      <c r="M353" s="13">
        <f t="shared" ref="M353:AA353" si="705">IFERROR(VALUE(RIGHT(LEFT($J353,FIND(M$1,$J353,1)+LEN(M$1)),1)),0)</f>
        <v>0</v>
      </c>
      <c r="N353" s="13">
        <f t="shared" si="705"/>
        <v>2</v>
      </c>
      <c r="O353" s="13">
        <f t="shared" si="705"/>
        <v>0</v>
      </c>
      <c r="P353" s="13">
        <f t="shared" si="705"/>
        <v>0</v>
      </c>
      <c r="Q353" s="13">
        <f t="shared" si="705"/>
        <v>0</v>
      </c>
      <c r="R353" s="13">
        <f t="shared" si="705"/>
        <v>0</v>
      </c>
      <c r="S353" s="13">
        <f t="shared" si="705"/>
        <v>0</v>
      </c>
      <c r="T353" s="13">
        <f t="shared" si="705"/>
        <v>0</v>
      </c>
      <c r="U353" s="13">
        <f t="shared" si="705"/>
        <v>0</v>
      </c>
      <c r="V353" s="13">
        <f t="shared" si="705"/>
        <v>0</v>
      </c>
      <c r="W353" s="13">
        <f t="shared" si="705"/>
        <v>0</v>
      </c>
      <c r="X353" s="13">
        <f t="shared" si="705"/>
        <v>0</v>
      </c>
      <c r="Y353" s="13">
        <f t="shared" si="705"/>
        <v>0</v>
      </c>
      <c r="Z353" s="13">
        <f t="shared" si="705"/>
        <v>0</v>
      </c>
      <c r="AA353" s="13">
        <f t="shared" si="705"/>
        <v>0</v>
      </c>
      <c r="AB353" s="13">
        <f t="shared" ref="AB353:AP353" si="706">IFERROR(VALUE(RIGHT(LEFT($J353,FIND(AB$1,$J353,IF(M353=0,1,FIND(AB$1,$J353,1)+1))+LEN(AB$1)),1)),0)</f>
        <v>1</v>
      </c>
      <c r="AC353" s="13">
        <f t="shared" si="706"/>
        <v>0</v>
      </c>
      <c r="AD353" s="13">
        <f t="shared" si="706"/>
        <v>0</v>
      </c>
      <c r="AE353" s="13">
        <f t="shared" si="706"/>
        <v>0</v>
      </c>
      <c r="AF353" s="13">
        <f t="shared" si="706"/>
        <v>0</v>
      </c>
      <c r="AG353" s="13">
        <f t="shared" si="706"/>
        <v>0</v>
      </c>
      <c r="AH353" s="13">
        <f t="shared" si="706"/>
        <v>0</v>
      </c>
      <c r="AI353" s="13">
        <f t="shared" si="706"/>
        <v>0</v>
      </c>
      <c r="AJ353" s="13">
        <f t="shared" si="706"/>
        <v>0</v>
      </c>
      <c r="AK353" s="13">
        <f t="shared" si="706"/>
        <v>0</v>
      </c>
      <c r="AL353" s="13">
        <f t="shared" si="706"/>
        <v>0</v>
      </c>
      <c r="AM353" s="13">
        <f t="shared" si="706"/>
        <v>1</v>
      </c>
      <c r="AN353" s="13">
        <f t="shared" si="706"/>
        <v>0</v>
      </c>
      <c r="AO353" s="13">
        <f t="shared" si="706"/>
        <v>0</v>
      </c>
      <c r="AP353" s="13">
        <f t="shared" si="706"/>
        <v>0</v>
      </c>
      <c r="AQ353" s="13"/>
      <c r="AR353" s="13" t="s">
        <v>2557</v>
      </c>
      <c r="AS353" s="13" t="s">
        <v>2558</v>
      </c>
      <c r="AT353" s="13" t="s">
        <v>129</v>
      </c>
      <c r="AU353" s="13" t="s">
        <v>143</v>
      </c>
      <c r="AV353" s="13" t="s">
        <v>2559</v>
      </c>
      <c r="AW353" s="13">
        <v>21.0</v>
      </c>
      <c r="AX353" s="13">
        <v>1.0</v>
      </c>
      <c r="AY353" s="13">
        <v>0.0</v>
      </c>
      <c r="AZ353" s="13" t="s">
        <v>2560</v>
      </c>
      <c r="BA353" s="13" t="s">
        <v>2561</v>
      </c>
      <c r="BB353" s="13"/>
      <c r="BC353" s="13"/>
      <c r="BD353" s="13" t="s">
        <v>220</v>
      </c>
      <c r="BE353" s="13"/>
      <c r="BF353" s="13" t="s">
        <v>1250</v>
      </c>
      <c r="BG353" s="13" t="s">
        <v>201</v>
      </c>
      <c r="BH353" s="13" t="s">
        <v>79</v>
      </c>
      <c r="BI353" s="13" t="b">
        <v>0</v>
      </c>
      <c r="BJ353" s="13">
        <v>0.0</v>
      </c>
      <c r="BK353" s="13">
        <v>0.0</v>
      </c>
    </row>
    <row r="354" ht="14.25" customHeight="1">
      <c r="A354" s="13">
        <v>352.0</v>
      </c>
      <c r="B354" s="13" t="s">
        <v>46</v>
      </c>
      <c r="C354" s="13">
        <v>5.0</v>
      </c>
      <c r="D354" s="14">
        <v>0.0</v>
      </c>
      <c r="E354" s="13" t="s">
        <v>2562</v>
      </c>
      <c r="F354" s="15" t="s">
        <v>2361</v>
      </c>
      <c r="G354" s="16" t="s">
        <v>2563</v>
      </c>
      <c r="H354" s="13"/>
      <c r="I354" s="13">
        <v>1.1</v>
      </c>
      <c r="J354" s="13" t="s">
        <v>2564</v>
      </c>
      <c r="K354" s="13">
        <f t="shared" si="3"/>
        <v>4</v>
      </c>
      <c r="L354" s="13">
        <f t="shared" si="4"/>
        <v>0</v>
      </c>
      <c r="M354" s="13">
        <f t="shared" ref="M354:AA354" si="707">IFERROR(VALUE(RIGHT(LEFT($J354,FIND(M$1,$J354,1)+LEN(M$1)),1)),0)</f>
        <v>0</v>
      </c>
      <c r="N354" s="13">
        <f t="shared" si="707"/>
        <v>1</v>
      </c>
      <c r="O354" s="13">
        <f t="shared" si="707"/>
        <v>1</v>
      </c>
      <c r="P354" s="13">
        <f t="shared" si="707"/>
        <v>0</v>
      </c>
      <c r="Q354" s="13">
        <f t="shared" si="707"/>
        <v>0</v>
      </c>
      <c r="R354" s="13">
        <f t="shared" si="707"/>
        <v>0</v>
      </c>
      <c r="S354" s="13">
        <f t="shared" si="707"/>
        <v>0</v>
      </c>
      <c r="T354" s="13">
        <f t="shared" si="707"/>
        <v>0</v>
      </c>
      <c r="U354" s="13">
        <f t="shared" si="707"/>
        <v>1</v>
      </c>
      <c r="V354" s="13">
        <f t="shared" si="707"/>
        <v>0</v>
      </c>
      <c r="W354" s="13">
        <f t="shared" si="707"/>
        <v>0</v>
      </c>
      <c r="X354" s="13">
        <f t="shared" si="707"/>
        <v>0</v>
      </c>
      <c r="Y354" s="13">
        <f t="shared" si="707"/>
        <v>0</v>
      </c>
      <c r="Z354" s="13">
        <f t="shared" si="707"/>
        <v>0</v>
      </c>
      <c r="AA354" s="13">
        <f t="shared" si="707"/>
        <v>1</v>
      </c>
      <c r="AB354" s="13">
        <f t="shared" ref="AB354:AP354" si="708">IFERROR(VALUE(RIGHT(LEFT($J354,FIND(AB$1,$J354,IF(M354=0,1,FIND(AB$1,$J354,1)+1))+LEN(AB$1)),1)),0)</f>
        <v>0</v>
      </c>
      <c r="AC354" s="13">
        <f t="shared" si="708"/>
        <v>0</v>
      </c>
      <c r="AD354" s="13">
        <f t="shared" si="708"/>
        <v>0</v>
      </c>
      <c r="AE354" s="13">
        <f t="shared" si="708"/>
        <v>0</v>
      </c>
      <c r="AF354" s="13">
        <f t="shared" si="708"/>
        <v>0</v>
      </c>
      <c r="AG354" s="13">
        <f t="shared" si="708"/>
        <v>0</v>
      </c>
      <c r="AH354" s="13">
        <f t="shared" si="708"/>
        <v>0</v>
      </c>
      <c r="AI354" s="13">
        <f t="shared" si="708"/>
        <v>0</v>
      </c>
      <c r="AJ354" s="13">
        <f t="shared" si="708"/>
        <v>0</v>
      </c>
      <c r="AK354" s="13">
        <f t="shared" si="708"/>
        <v>0</v>
      </c>
      <c r="AL354" s="13">
        <f t="shared" si="708"/>
        <v>0</v>
      </c>
      <c r="AM354" s="13">
        <f t="shared" si="708"/>
        <v>0</v>
      </c>
      <c r="AN354" s="13">
        <f t="shared" si="708"/>
        <v>0</v>
      </c>
      <c r="AO354" s="13">
        <f t="shared" si="708"/>
        <v>0</v>
      </c>
      <c r="AP354" s="13">
        <f t="shared" si="708"/>
        <v>0</v>
      </c>
      <c r="AQ354" s="13" t="s">
        <v>2565</v>
      </c>
      <c r="AR354" s="13"/>
      <c r="AS354" s="13" t="s">
        <v>2566</v>
      </c>
      <c r="AT354" s="13"/>
      <c r="AU354" s="13"/>
      <c r="AV354" s="13"/>
      <c r="AW354" s="13">
        <v>0.0</v>
      </c>
      <c r="AX354" s="13">
        <v>1.0</v>
      </c>
      <c r="AY354" s="13">
        <v>0.0</v>
      </c>
      <c r="AZ354" s="13"/>
      <c r="BA354" s="13"/>
      <c r="BB354" s="13"/>
      <c r="BC354" s="13"/>
      <c r="BD354" s="13"/>
      <c r="BE354" s="13"/>
      <c r="BF354" s="13"/>
      <c r="BG354" s="13"/>
      <c r="BH354" s="13" t="s">
        <v>79</v>
      </c>
      <c r="BI354" s="13" t="b">
        <v>0</v>
      </c>
      <c r="BJ354" s="13">
        <v>0.0</v>
      </c>
      <c r="BK354" s="13">
        <v>0.0</v>
      </c>
    </row>
    <row r="355" ht="14.25" customHeight="1">
      <c r="A355" s="13">
        <v>353.0</v>
      </c>
      <c r="B355" s="13" t="s">
        <v>52</v>
      </c>
      <c r="C355" s="13">
        <v>5.0</v>
      </c>
      <c r="D355" s="14">
        <v>0.0</v>
      </c>
      <c r="E355" s="13" t="s">
        <v>2567</v>
      </c>
      <c r="F355" s="15" t="s">
        <v>2361</v>
      </c>
      <c r="G355" s="16" t="s">
        <v>2568</v>
      </c>
      <c r="H355" s="13">
        <v>24.0</v>
      </c>
      <c r="I355" s="13">
        <v>1.0</v>
      </c>
      <c r="J355" s="13" t="s">
        <v>2569</v>
      </c>
      <c r="K355" s="13">
        <f t="shared" si="3"/>
        <v>3</v>
      </c>
      <c r="L355" s="13">
        <f t="shared" si="4"/>
        <v>0</v>
      </c>
      <c r="M355" s="13">
        <f t="shared" ref="M355:AA355" si="709">IFERROR(VALUE(RIGHT(LEFT($J355,FIND(M$1,$J355,1)+LEN(M$1)),1)),0)</f>
        <v>0</v>
      </c>
      <c r="N355" s="13">
        <f t="shared" si="709"/>
        <v>1</v>
      </c>
      <c r="O355" s="13">
        <f t="shared" si="709"/>
        <v>1</v>
      </c>
      <c r="P355" s="13">
        <f t="shared" si="709"/>
        <v>0</v>
      </c>
      <c r="Q355" s="13">
        <f t="shared" si="709"/>
        <v>0</v>
      </c>
      <c r="R355" s="13">
        <f t="shared" si="709"/>
        <v>0</v>
      </c>
      <c r="S355" s="13">
        <f t="shared" si="709"/>
        <v>0</v>
      </c>
      <c r="T355" s="13">
        <f t="shared" si="709"/>
        <v>0</v>
      </c>
      <c r="U355" s="13">
        <f t="shared" si="709"/>
        <v>0</v>
      </c>
      <c r="V355" s="13">
        <f t="shared" si="709"/>
        <v>0</v>
      </c>
      <c r="W355" s="13">
        <f t="shared" si="709"/>
        <v>0</v>
      </c>
      <c r="X355" s="13">
        <f t="shared" si="709"/>
        <v>0</v>
      </c>
      <c r="Y355" s="13">
        <f t="shared" si="709"/>
        <v>0</v>
      </c>
      <c r="Z355" s="13">
        <f t="shared" si="709"/>
        <v>0</v>
      </c>
      <c r="AA355" s="13">
        <f t="shared" si="709"/>
        <v>1</v>
      </c>
      <c r="AB355" s="13">
        <f t="shared" ref="AB355:AP355" si="710">IFERROR(VALUE(RIGHT(LEFT($J355,FIND(AB$1,$J355,IF(M355=0,1,FIND(AB$1,$J355,1)+1))+LEN(AB$1)),1)),0)</f>
        <v>0</v>
      </c>
      <c r="AC355" s="13">
        <f t="shared" si="710"/>
        <v>0</v>
      </c>
      <c r="AD355" s="13">
        <f t="shared" si="710"/>
        <v>0</v>
      </c>
      <c r="AE355" s="13">
        <f t="shared" si="710"/>
        <v>0</v>
      </c>
      <c r="AF355" s="13">
        <f t="shared" si="710"/>
        <v>0</v>
      </c>
      <c r="AG355" s="13">
        <f t="shared" si="710"/>
        <v>0</v>
      </c>
      <c r="AH355" s="13">
        <f t="shared" si="710"/>
        <v>0</v>
      </c>
      <c r="AI355" s="13">
        <f t="shared" si="710"/>
        <v>0</v>
      </c>
      <c r="AJ355" s="13">
        <f t="shared" si="710"/>
        <v>0</v>
      </c>
      <c r="AK355" s="13">
        <f t="shared" si="710"/>
        <v>0</v>
      </c>
      <c r="AL355" s="13">
        <f t="shared" si="710"/>
        <v>0</v>
      </c>
      <c r="AM355" s="13">
        <f t="shared" si="710"/>
        <v>0</v>
      </c>
      <c r="AN355" s="13">
        <f t="shared" si="710"/>
        <v>0</v>
      </c>
      <c r="AO355" s="13">
        <f t="shared" si="710"/>
        <v>0</v>
      </c>
      <c r="AP355" s="13">
        <f t="shared" si="710"/>
        <v>0</v>
      </c>
      <c r="AQ355" s="13"/>
      <c r="AR355" s="13" t="s">
        <v>2570</v>
      </c>
      <c r="AS355" s="13" t="s">
        <v>2571</v>
      </c>
      <c r="AT355" s="13" t="s">
        <v>2572</v>
      </c>
      <c r="AU355" s="13" t="s">
        <v>130</v>
      </c>
      <c r="AV355" s="13" t="s">
        <v>2573</v>
      </c>
      <c r="AW355" s="13">
        <v>24.0</v>
      </c>
      <c r="AX355" s="13">
        <v>1.0</v>
      </c>
      <c r="AY355" s="13">
        <v>0.0</v>
      </c>
      <c r="AZ355" s="13" t="s">
        <v>2574</v>
      </c>
      <c r="BA355" s="13" t="s">
        <v>2575</v>
      </c>
      <c r="BB355" s="13"/>
      <c r="BC355" s="13"/>
      <c r="BD355" s="13" t="s">
        <v>294</v>
      </c>
      <c r="BE355" s="13" t="s">
        <v>2576</v>
      </c>
      <c r="BF355" s="13" t="s">
        <v>2577</v>
      </c>
      <c r="BG355" s="13"/>
      <c r="BH355" s="13" t="s">
        <v>79</v>
      </c>
      <c r="BI355" s="13" t="b">
        <v>0</v>
      </c>
      <c r="BJ355" s="13">
        <v>0.0</v>
      </c>
      <c r="BK355" s="13">
        <v>0.0</v>
      </c>
    </row>
    <row r="356" ht="14.25" customHeight="1">
      <c r="A356" s="13">
        <v>354.0</v>
      </c>
      <c r="B356" s="13" t="s">
        <v>44</v>
      </c>
      <c r="C356" s="13">
        <v>0.0</v>
      </c>
      <c r="D356" s="14">
        <v>0.0</v>
      </c>
      <c r="E356" s="13" t="s">
        <v>2578</v>
      </c>
      <c r="F356" s="15" t="s">
        <v>667</v>
      </c>
      <c r="G356" s="16" t="s">
        <v>2579</v>
      </c>
      <c r="H356" s="13"/>
      <c r="I356" s="13">
        <v>0.9</v>
      </c>
      <c r="J356" s="13" t="s">
        <v>2185</v>
      </c>
      <c r="K356" s="13">
        <f t="shared" si="3"/>
        <v>0</v>
      </c>
      <c r="L356" s="13">
        <f t="shared" si="4"/>
        <v>1</v>
      </c>
      <c r="M356" s="13">
        <f t="shared" ref="M356:AA356" si="711">IFERROR(VALUE(RIGHT(LEFT($J356,FIND(M$1,$J356,1)+LEN(M$1)),1)),0)</f>
        <v>0</v>
      </c>
      <c r="N356" s="13">
        <f t="shared" si="711"/>
        <v>0</v>
      </c>
      <c r="O356" s="13">
        <f t="shared" si="711"/>
        <v>0</v>
      </c>
      <c r="P356" s="13">
        <f t="shared" si="711"/>
        <v>0</v>
      </c>
      <c r="Q356" s="13">
        <f t="shared" si="711"/>
        <v>0</v>
      </c>
      <c r="R356" s="13">
        <f t="shared" si="711"/>
        <v>0</v>
      </c>
      <c r="S356" s="13">
        <f t="shared" si="711"/>
        <v>0</v>
      </c>
      <c r="T356" s="13">
        <f t="shared" si="711"/>
        <v>0</v>
      </c>
      <c r="U356" s="13">
        <f t="shared" si="711"/>
        <v>0</v>
      </c>
      <c r="V356" s="13">
        <f t="shared" si="711"/>
        <v>0</v>
      </c>
      <c r="W356" s="13">
        <f t="shared" si="711"/>
        <v>0</v>
      </c>
      <c r="X356" s="13">
        <f t="shared" si="711"/>
        <v>0</v>
      </c>
      <c r="Y356" s="13">
        <f t="shared" si="711"/>
        <v>0</v>
      </c>
      <c r="Z356" s="13">
        <f t="shared" si="711"/>
        <v>0</v>
      </c>
      <c r="AA356" s="13">
        <f t="shared" si="711"/>
        <v>0</v>
      </c>
      <c r="AB356" s="13">
        <f t="shared" ref="AB356:AP356" si="712">IFERROR(VALUE(RIGHT(LEFT($J356,FIND(AB$1,$J356,IF(M356=0,1,FIND(AB$1,$J356,1)+1))+LEN(AB$1)),1)),0)</f>
        <v>0</v>
      </c>
      <c r="AC356" s="13">
        <f t="shared" si="712"/>
        <v>0</v>
      </c>
      <c r="AD356" s="13">
        <f t="shared" si="712"/>
        <v>0</v>
      </c>
      <c r="AE356" s="13">
        <f t="shared" si="712"/>
        <v>0</v>
      </c>
      <c r="AF356" s="13">
        <f t="shared" si="712"/>
        <v>0</v>
      </c>
      <c r="AG356" s="13">
        <f t="shared" si="712"/>
        <v>0</v>
      </c>
      <c r="AH356" s="13">
        <f t="shared" si="712"/>
        <v>1</v>
      </c>
      <c r="AI356" s="13">
        <f t="shared" si="712"/>
        <v>0</v>
      </c>
      <c r="AJ356" s="13">
        <f t="shared" si="712"/>
        <v>0</v>
      </c>
      <c r="AK356" s="13">
        <f t="shared" si="712"/>
        <v>0</v>
      </c>
      <c r="AL356" s="13">
        <f t="shared" si="712"/>
        <v>0</v>
      </c>
      <c r="AM356" s="13">
        <f t="shared" si="712"/>
        <v>0</v>
      </c>
      <c r="AN356" s="13">
        <f t="shared" si="712"/>
        <v>0</v>
      </c>
      <c r="AO356" s="13">
        <f t="shared" si="712"/>
        <v>0</v>
      </c>
      <c r="AP356" s="13">
        <f t="shared" si="712"/>
        <v>0</v>
      </c>
      <c r="AQ356" s="13" t="s">
        <v>2580</v>
      </c>
      <c r="AR356" s="13"/>
      <c r="AS356" s="13" t="s">
        <v>2581</v>
      </c>
      <c r="AT356" s="13"/>
      <c r="AU356" s="13"/>
      <c r="AV356" s="13"/>
      <c r="AW356" s="13">
        <v>0.0</v>
      </c>
      <c r="AX356" s="13">
        <v>2.0</v>
      </c>
      <c r="AY356" s="13">
        <v>0.0</v>
      </c>
      <c r="AZ356" s="13"/>
      <c r="BA356" s="13"/>
      <c r="BB356" s="13"/>
      <c r="BC356" s="13"/>
      <c r="BD356" s="13"/>
      <c r="BE356" s="13"/>
      <c r="BF356" s="13"/>
      <c r="BG356" s="13"/>
      <c r="BH356" s="13" t="s">
        <v>79</v>
      </c>
      <c r="BI356" s="13" t="b">
        <v>0</v>
      </c>
      <c r="BJ356" s="13">
        <v>0.0</v>
      </c>
      <c r="BK356" s="13">
        <v>0.0</v>
      </c>
    </row>
    <row r="357" ht="14.25" customHeight="1">
      <c r="A357" s="13">
        <v>355.0</v>
      </c>
      <c r="B357" s="13" t="s">
        <v>45</v>
      </c>
      <c r="C357" s="13">
        <v>0.0</v>
      </c>
      <c r="D357" s="14">
        <v>0.0</v>
      </c>
      <c r="E357" s="13" t="s">
        <v>2582</v>
      </c>
      <c r="F357" s="15" t="s">
        <v>667</v>
      </c>
      <c r="G357" s="16" t="s">
        <v>2583</v>
      </c>
      <c r="H357" s="13"/>
      <c r="I357" s="13">
        <v>0.9</v>
      </c>
      <c r="J357" s="13" t="s">
        <v>100</v>
      </c>
      <c r="K357" s="13">
        <f t="shared" si="3"/>
        <v>0</v>
      </c>
      <c r="L357" s="13">
        <f t="shared" si="4"/>
        <v>1</v>
      </c>
      <c r="M357" s="13">
        <f t="shared" ref="M357:AA357" si="713">IFERROR(VALUE(RIGHT(LEFT($J357,FIND(M$1,$J357,1)+LEN(M$1)),1)),0)</f>
        <v>0</v>
      </c>
      <c r="N357" s="13">
        <f t="shared" si="713"/>
        <v>0</v>
      </c>
      <c r="O357" s="13">
        <f t="shared" si="713"/>
        <v>0</v>
      </c>
      <c r="P357" s="13">
        <f t="shared" si="713"/>
        <v>0</v>
      </c>
      <c r="Q357" s="13">
        <f t="shared" si="713"/>
        <v>0</v>
      </c>
      <c r="R357" s="13">
        <f t="shared" si="713"/>
        <v>0</v>
      </c>
      <c r="S357" s="13">
        <f t="shared" si="713"/>
        <v>0</v>
      </c>
      <c r="T357" s="13">
        <f t="shared" si="713"/>
        <v>0</v>
      </c>
      <c r="U357" s="13">
        <f t="shared" si="713"/>
        <v>0</v>
      </c>
      <c r="V357" s="13">
        <f t="shared" si="713"/>
        <v>0</v>
      </c>
      <c r="W357" s="13">
        <f t="shared" si="713"/>
        <v>0</v>
      </c>
      <c r="X357" s="13">
        <f t="shared" si="713"/>
        <v>0</v>
      </c>
      <c r="Y357" s="13">
        <f t="shared" si="713"/>
        <v>0</v>
      </c>
      <c r="Z357" s="13">
        <f t="shared" si="713"/>
        <v>0</v>
      </c>
      <c r="AA357" s="13">
        <f t="shared" si="713"/>
        <v>0</v>
      </c>
      <c r="AB357" s="13">
        <f t="shared" ref="AB357:AP357" si="714">IFERROR(VALUE(RIGHT(LEFT($J357,FIND(AB$1,$J357,IF(M357=0,1,FIND(AB$1,$J357,1)+1))+LEN(AB$1)),1)),0)</f>
        <v>0</v>
      </c>
      <c r="AC357" s="13">
        <f t="shared" si="714"/>
        <v>0</v>
      </c>
      <c r="AD357" s="13">
        <f t="shared" si="714"/>
        <v>0</v>
      </c>
      <c r="AE357" s="13">
        <f t="shared" si="714"/>
        <v>0</v>
      </c>
      <c r="AF357" s="13">
        <f t="shared" si="714"/>
        <v>0</v>
      </c>
      <c r="AG357" s="13">
        <f t="shared" si="714"/>
        <v>0</v>
      </c>
      <c r="AH357" s="13">
        <f t="shared" si="714"/>
        <v>0</v>
      </c>
      <c r="AI357" s="13">
        <f t="shared" si="714"/>
        <v>1</v>
      </c>
      <c r="AJ357" s="13">
        <f t="shared" si="714"/>
        <v>0</v>
      </c>
      <c r="AK357" s="13">
        <f t="shared" si="714"/>
        <v>0</v>
      </c>
      <c r="AL357" s="13">
        <f t="shared" si="714"/>
        <v>0</v>
      </c>
      <c r="AM357" s="13">
        <f t="shared" si="714"/>
        <v>0</v>
      </c>
      <c r="AN357" s="13">
        <f t="shared" si="714"/>
        <v>0</v>
      </c>
      <c r="AO357" s="13">
        <f t="shared" si="714"/>
        <v>0</v>
      </c>
      <c r="AP357" s="13">
        <f t="shared" si="714"/>
        <v>0</v>
      </c>
      <c r="AQ357" s="13" t="s">
        <v>2584</v>
      </c>
      <c r="AR357" s="13"/>
      <c r="AS357" s="13" t="s">
        <v>102</v>
      </c>
      <c r="AT357" s="13"/>
      <c r="AU357" s="13"/>
      <c r="AV357" s="13"/>
      <c r="AW357" s="13">
        <v>0.0</v>
      </c>
      <c r="AX357" s="13">
        <v>2.0</v>
      </c>
      <c r="AY357" s="13">
        <v>0.0</v>
      </c>
      <c r="AZ357" s="13"/>
      <c r="BA357" s="13"/>
      <c r="BB357" s="13"/>
      <c r="BC357" s="13"/>
      <c r="BD357" s="13"/>
      <c r="BE357" s="13"/>
      <c r="BF357" s="13"/>
      <c r="BG357" s="13"/>
      <c r="BH357" s="13" t="s">
        <v>79</v>
      </c>
      <c r="BI357" s="13" t="b">
        <v>0</v>
      </c>
      <c r="BJ357" s="13">
        <v>0.0</v>
      </c>
      <c r="BK357" s="13">
        <v>0.0</v>
      </c>
    </row>
    <row r="358" ht="14.25" customHeight="1">
      <c r="A358" s="13">
        <v>356.0</v>
      </c>
      <c r="B358" s="13" t="s">
        <v>46</v>
      </c>
      <c r="C358" s="13">
        <v>0.0</v>
      </c>
      <c r="D358" s="14">
        <v>0.0</v>
      </c>
      <c r="E358" s="13" t="s">
        <v>2585</v>
      </c>
      <c r="F358" s="15" t="s">
        <v>667</v>
      </c>
      <c r="G358" s="16" t="s">
        <v>2586</v>
      </c>
      <c r="H358" s="13"/>
      <c r="I358" s="13">
        <v>1.1</v>
      </c>
      <c r="J358" s="13" t="s">
        <v>111</v>
      </c>
      <c r="K358" s="13">
        <f t="shared" si="3"/>
        <v>0</v>
      </c>
      <c r="L358" s="13">
        <f t="shared" si="4"/>
        <v>1</v>
      </c>
      <c r="M358" s="13">
        <f t="shared" ref="M358:AA358" si="715">IFERROR(VALUE(RIGHT(LEFT($J358,FIND(M$1,$J358,1)+LEN(M$1)),1)),0)</f>
        <v>0</v>
      </c>
      <c r="N358" s="13">
        <f t="shared" si="715"/>
        <v>0</v>
      </c>
      <c r="O358" s="13">
        <f t="shared" si="715"/>
        <v>0</v>
      </c>
      <c r="P358" s="13">
        <f t="shared" si="715"/>
        <v>0</v>
      </c>
      <c r="Q358" s="13">
        <f t="shared" si="715"/>
        <v>0</v>
      </c>
      <c r="R358" s="13">
        <f t="shared" si="715"/>
        <v>0</v>
      </c>
      <c r="S358" s="13">
        <f t="shared" si="715"/>
        <v>0</v>
      </c>
      <c r="T358" s="13">
        <f t="shared" si="715"/>
        <v>0</v>
      </c>
      <c r="U358" s="13">
        <f t="shared" si="715"/>
        <v>0</v>
      </c>
      <c r="V358" s="13">
        <f t="shared" si="715"/>
        <v>0</v>
      </c>
      <c r="W358" s="13">
        <f t="shared" si="715"/>
        <v>0</v>
      </c>
      <c r="X358" s="13">
        <f t="shared" si="715"/>
        <v>0</v>
      </c>
      <c r="Y358" s="13">
        <f t="shared" si="715"/>
        <v>0</v>
      </c>
      <c r="Z358" s="13">
        <f t="shared" si="715"/>
        <v>0</v>
      </c>
      <c r="AA358" s="13">
        <f t="shared" si="715"/>
        <v>0</v>
      </c>
      <c r="AB358" s="13">
        <f t="shared" ref="AB358:AP358" si="716">IFERROR(VALUE(RIGHT(LEFT($J358,FIND(AB$1,$J358,IF(M358=0,1,FIND(AB$1,$J358,1)+1))+LEN(AB$1)),1)),0)</f>
        <v>0</v>
      </c>
      <c r="AC358" s="13">
        <f t="shared" si="716"/>
        <v>0</v>
      </c>
      <c r="AD358" s="13">
        <f t="shared" si="716"/>
        <v>0</v>
      </c>
      <c r="AE358" s="13">
        <f t="shared" si="716"/>
        <v>0</v>
      </c>
      <c r="AF358" s="13">
        <f t="shared" si="716"/>
        <v>0</v>
      </c>
      <c r="AG358" s="13">
        <f t="shared" si="716"/>
        <v>0</v>
      </c>
      <c r="AH358" s="13">
        <f t="shared" si="716"/>
        <v>0</v>
      </c>
      <c r="AI358" s="13">
        <f t="shared" si="716"/>
        <v>0</v>
      </c>
      <c r="AJ358" s="13">
        <f t="shared" si="716"/>
        <v>1</v>
      </c>
      <c r="AK358" s="13">
        <f t="shared" si="716"/>
        <v>0</v>
      </c>
      <c r="AL358" s="13">
        <f t="shared" si="716"/>
        <v>0</v>
      </c>
      <c r="AM358" s="13">
        <f t="shared" si="716"/>
        <v>0</v>
      </c>
      <c r="AN358" s="13">
        <f t="shared" si="716"/>
        <v>0</v>
      </c>
      <c r="AO358" s="13">
        <f t="shared" si="716"/>
        <v>0</v>
      </c>
      <c r="AP358" s="13">
        <f t="shared" si="716"/>
        <v>0</v>
      </c>
      <c r="AQ358" s="13" t="s">
        <v>2587</v>
      </c>
      <c r="AR358" s="13"/>
      <c r="AS358" s="13" t="s">
        <v>2588</v>
      </c>
      <c r="AT358" s="13"/>
      <c r="AU358" s="13"/>
      <c r="AV358" s="13"/>
      <c r="AW358" s="13">
        <v>0.0</v>
      </c>
      <c r="AX358" s="13">
        <v>2.0</v>
      </c>
      <c r="AY358" s="13">
        <v>0.0</v>
      </c>
      <c r="AZ358" s="13"/>
      <c r="BA358" s="13"/>
      <c r="BB358" s="13"/>
      <c r="BC358" s="13"/>
      <c r="BD358" s="13"/>
      <c r="BE358" s="13"/>
      <c r="BF358" s="13"/>
      <c r="BG358" s="13"/>
      <c r="BH358" s="13" t="s">
        <v>79</v>
      </c>
      <c r="BI358" s="13" t="b">
        <v>0</v>
      </c>
      <c r="BJ358" s="13">
        <v>0.0</v>
      </c>
      <c r="BK358" s="13">
        <v>0.0</v>
      </c>
    </row>
    <row r="359" ht="14.25" customHeight="1">
      <c r="A359" s="13">
        <v>357.0</v>
      </c>
      <c r="B359" s="13" t="s">
        <v>47</v>
      </c>
      <c r="C359" s="13">
        <v>0.0</v>
      </c>
      <c r="D359" s="14">
        <v>0.0</v>
      </c>
      <c r="E359" s="13" t="s">
        <v>2589</v>
      </c>
      <c r="F359" s="15" t="s">
        <v>667</v>
      </c>
      <c r="G359" s="16" t="s">
        <v>2590</v>
      </c>
      <c r="H359" s="13">
        <v>4.0</v>
      </c>
      <c r="I359" s="13">
        <v>1.0</v>
      </c>
      <c r="J359" s="13" t="s">
        <v>127</v>
      </c>
      <c r="K359" s="13">
        <f t="shared" si="3"/>
        <v>0</v>
      </c>
      <c r="L359" s="13">
        <f t="shared" si="4"/>
        <v>1</v>
      </c>
      <c r="M359" s="13">
        <f t="shared" ref="M359:AA359" si="717">IFERROR(VALUE(RIGHT(LEFT($J359,FIND(M$1,$J359,1)+LEN(M$1)),1)),0)</f>
        <v>0</v>
      </c>
      <c r="N359" s="13">
        <f t="shared" si="717"/>
        <v>0</v>
      </c>
      <c r="O359" s="13">
        <f t="shared" si="717"/>
        <v>0</v>
      </c>
      <c r="P359" s="13">
        <f t="shared" si="717"/>
        <v>0</v>
      </c>
      <c r="Q359" s="13">
        <f t="shared" si="717"/>
        <v>0</v>
      </c>
      <c r="R359" s="13">
        <f t="shared" si="717"/>
        <v>0</v>
      </c>
      <c r="S359" s="13">
        <f t="shared" si="717"/>
        <v>0</v>
      </c>
      <c r="T359" s="13">
        <f t="shared" si="717"/>
        <v>0</v>
      </c>
      <c r="U359" s="13">
        <f t="shared" si="717"/>
        <v>0</v>
      </c>
      <c r="V359" s="13">
        <f t="shared" si="717"/>
        <v>0</v>
      </c>
      <c r="W359" s="13">
        <f t="shared" si="717"/>
        <v>0</v>
      </c>
      <c r="X359" s="13">
        <f t="shared" si="717"/>
        <v>0</v>
      </c>
      <c r="Y359" s="13">
        <f t="shared" si="717"/>
        <v>0</v>
      </c>
      <c r="Z359" s="13">
        <f t="shared" si="717"/>
        <v>0</v>
      </c>
      <c r="AA359" s="13">
        <f t="shared" si="717"/>
        <v>0</v>
      </c>
      <c r="AB359" s="13">
        <f t="shared" ref="AB359:AP359" si="718">IFERROR(VALUE(RIGHT(LEFT($J359,FIND(AB$1,$J359,IF(M359=0,1,FIND(AB$1,$J359,1)+1))+LEN(AB$1)),1)),0)</f>
        <v>0</v>
      </c>
      <c r="AC359" s="13">
        <f t="shared" si="718"/>
        <v>0</v>
      </c>
      <c r="AD359" s="13">
        <f t="shared" si="718"/>
        <v>0</v>
      </c>
      <c r="AE359" s="13">
        <f t="shared" si="718"/>
        <v>0</v>
      </c>
      <c r="AF359" s="13">
        <f t="shared" si="718"/>
        <v>0</v>
      </c>
      <c r="AG359" s="13">
        <f t="shared" si="718"/>
        <v>0</v>
      </c>
      <c r="AH359" s="13">
        <f t="shared" si="718"/>
        <v>0</v>
      </c>
      <c r="AI359" s="13">
        <f t="shared" si="718"/>
        <v>0</v>
      </c>
      <c r="AJ359" s="13">
        <f t="shared" si="718"/>
        <v>0</v>
      </c>
      <c r="AK359" s="13">
        <f t="shared" si="718"/>
        <v>1</v>
      </c>
      <c r="AL359" s="13">
        <f t="shared" si="718"/>
        <v>0</v>
      </c>
      <c r="AM359" s="13">
        <f t="shared" si="718"/>
        <v>0</v>
      </c>
      <c r="AN359" s="13">
        <f t="shared" si="718"/>
        <v>0</v>
      </c>
      <c r="AO359" s="13">
        <f t="shared" si="718"/>
        <v>0</v>
      </c>
      <c r="AP359" s="13">
        <f t="shared" si="718"/>
        <v>0</v>
      </c>
      <c r="AQ359" s="13"/>
      <c r="AR359" s="13" t="s">
        <v>2591</v>
      </c>
      <c r="AS359" s="13" t="s">
        <v>2592</v>
      </c>
      <c r="AT359" s="13" t="s">
        <v>142</v>
      </c>
      <c r="AU359" s="13" t="s">
        <v>143</v>
      </c>
      <c r="AV359" s="13" t="s">
        <v>2593</v>
      </c>
      <c r="AW359" s="13">
        <v>2.0</v>
      </c>
      <c r="AX359" s="13">
        <v>2.0</v>
      </c>
      <c r="AY359" s="13">
        <v>0.0</v>
      </c>
      <c r="AZ359" s="13" t="s">
        <v>566</v>
      </c>
      <c r="BA359" s="13" t="s">
        <v>281</v>
      </c>
      <c r="BB359" s="13"/>
      <c r="BC359" s="13"/>
      <c r="BD359" s="13" t="s">
        <v>1113</v>
      </c>
      <c r="BE359" s="13"/>
      <c r="BF359" s="13" t="s">
        <v>2594</v>
      </c>
      <c r="BG359" s="13" t="s">
        <v>136</v>
      </c>
      <c r="BH359" s="13" t="s">
        <v>79</v>
      </c>
      <c r="BI359" s="13" t="b">
        <v>0</v>
      </c>
      <c r="BJ359" s="13">
        <v>0.0</v>
      </c>
      <c r="BK359" s="13">
        <v>0.0</v>
      </c>
    </row>
    <row r="360" ht="14.25" customHeight="1">
      <c r="A360" s="13">
        <v>358.0</v>
      </c>
      <c r="B360" s="13" t="s">
        <v>47</v>
      </c>
      <c r="C360" s="13">
        <v>0.0</v>
      </c>
      <c r="D360" s="14">
        <v>0.0</v>
      </c>
      <c r="E360" s="13" t="s">
        <v>2595</v>
      </c>
      <c r="F360" s="15" t="s">
        <v>667</v>
      </c>
      <c r="G360" s="16" t="s">
        <v>2596</v>
      </c>
      <c r="H360" s="13">
        <v>10.0</v>
      </c>
      <c r="I360" s="13">
        <v>1.1</v>
      </c>
      <c r="J360" s="13" t="s">
        <v>151</v>
      </c>
      <c r="K360" s="13">
        <f t="shared" si="3"/>
        <v>0</v>
      </c>
      <c r="L360" s="13">
        <f t="shared" si="4"/>
        <v>1</v>
      </c>
      <c r="M360" s="13">
        <f t="shared" ref="M360:AA360" si="719">IFERROR(VALUE(RIGHT(LEFT($J360,FIND(M$1,$J360,1)+LEN(M$1)),1)),0)</f>
        <v>0</v>
      </c>
      <c r="N360" s="13">
        <f t="shared" si="719"/>
        <v>0</v>
      </c>
      <c r="O360" s="13">
        <f t="shared" si="719"/>
        <v>0</v>
      </c>
      <c r="P360" s="13">
        <f t="shared" si="719"/>
        <v>0</v>
      </c>
      <c r="Q360" s="13">
        <f t="shared" si="719"/>
        <v>0</v>
      </c>
      <c r="R360" s="13">
        <f t="shared" si="719"/>
        <v>0</v>
      </c>
      <c r="S360" s="13">
        <f t="shared" si="719"/>
        <v>0</v>
      </c>
      <c r="T360" s="13">
        <f t="shared" si="719"/>
        <v>0</v>
      </c>
      <c r="U360" s="13">
        <f t="shared" si="719"/>
        <v>0</v>
      </c>
      <c r="V360" s="13">
        <f t="shared" si="719"/>
        <v>0</v>
      </c>
      <c r="W360" s="13">
        <f t="shared" si="719"/>
        <v>0</v>
      </c>
      <c r="X360" s="13">
        <f t="shared" si="719"/>
        <v>0</v>
      </c>
      <c r="Y360" s="13">
        <f t="shared" si="719"/>
        <v>0</v>
      </c>
      <c r="Z360" s="13">
        <f t="shared" si="719"/>
        <v>0</v>
      </c>
      <c r="AA360" s="13">
        <f t="shared" si="719"/>
        <v>0</v>
      </c>
      <c r="AB360" s="13">
        <f t="shared" ref="AB360:AP360" si="720">IFERROR(VALUE(RIGHT(LEFT($J360,FIND(AB$1,$J360,IF(M360=0,1,FIND(AB$1,$J360,1)+1))+LEN(AB$1)),1)),0)</f>
        <v>0</v>
      </c>
      <c r="AC360" s="13">
        <f t="shared" si="720"/>
        <v>0</v>
      </c>
      <c r="AD360" s="13">
        <f t="shared" si="720"/>
        <v>0</v>
      </c>
      <c r="AE360" s="13">
        <f t="shared" si="720"/>
        <v>0</v>
      </c>
      <c r="AF360" s="13">
        <f t="shared" si="720"/>
        <v>0</v>
      </c>
      <c r="AG360" s="13">
        <f t="shared" si="720"/>
        <v>1</v>
      </c>
      <c r="AH360" s="13">
        <f t="shared" si="720"/>
        <v>0</v>
      </c>
      <c r="AI360" s="13">
        <f t="shared" si="720"/>
        <v>0</v>
      </c>
      <c r="AJ360" s="13">
        <f t="shared" si="720"/>
        <v>0</v>
      </c>
      <c r="AK360" s="13">
        <f t="shared" si="720"/>
        <v>0</v>
      </c>
      <c r="AL360" s="13">
        <f t="shared" si="720"/>
        <v>0</v>
      </c>
      <c r="AM360" s="13">
        <f t="shared" si="720"/>
        <v>0</v>
      </c>
      <c r="AN360" s="13">
        <f t="shared" si="720"/>
        <v>0</v>
      </c>
      <c r="AO360" s="13">
        <f t="shared" si="720"/>
        <v>0</v>
      </c>
      <c r="AP360" s="13">
        <f t="shared" si="720"/>
        <v>0</v>
      </c>
      <c r="AQ360" s="13"/>
      <c r="AR360" s="13" t="s">
        <v>2597</v>
      </c>
      <c r="AS360" s="13" t="s">
        <v>2598</v>
      </c>
      <c r="AT360" s="13" t="s">
        <v>129</v>
      </c>
      <c r="AU360" s="13" t="s">
        <v>130</v>
      </c>
      <c r="AV360" s="13" t="s">
        <v>2599</v>
      </c>
      <c r="AW360" s="13">
        <v>4.0</v>
      </c>
      <c r="AX360" s="13">
        <v>2.0</v>
      </c>
      <c r="AY360" s="13">
        <v>0.0</v>
      </c>
      <c r="AZ360" s="13" t="s">
        <v>145</v>
      </c>
      <c r="BA360" s="13" t="s">
        <v>530</v>
      </c>
      <c r="BB360" s="13"/>
      <c r="BC360" s="13"/>
      <c r="BD360" s="13" t="s">
        <v>484</v>
      </c>
      <c r="BE360" s="13"/>
      <c r="BF360" s="13" t="s">
        <v>2600</v>
      </c>
      <c r="BG360" s="13" t="s">
        <v>136</v>
      </c>
      <c r="BH360" s="13" t="s">
        <v>79</v>
      </c>
      <c r="BI360" s="13" t="b">
        <v>0</v>
      </c>
      <c r="BJ360" s="13">
        <v>0.0</v>
      </c>
      <c r="BK360" s="13">
        <v>0.0</v>
      </c>
    </row>
    <row r="361" ht="14.25" customHeight="1">
      <c r="A361" s="13">
        <v>359.0</v>
      </c>
      <c r="B361" s="13" t="s">
        <v>52</v>
      </c>
      <c r="C361" s="13">
        <v>0.0</v>
      </c>
      <c r="D361" s="14">
        <v>0.0</v>
      </c>
      <c r="E361" s="13" t="s">
        <v>2601</v>
      </c>
      <c r="F361" s="15" t="s">
        <v>667</v>
      </c>
      <c r="G361" s="16" t="s">
        <v>2602</v>
      </c>
      <c r="H361" s="13">
        <v>-3.0</v>
      </c>
      <c r="I361" s="13">
        <v>1.0</v>
      </c>
      <c r="J361" s="13" t="s">
        <v>288</v>
      </c>
      <c r="K361" s="13">
        <f t="shared" si="3"/>
        <v>0</v>
      </c>
      <c r="L361" s="13">
        <f t="shared" si="4"/>
        <v>1</v>
      </c>
      <c r="M361" s="13">
        <f t="shared" ref="M361:AA361" si="721">IFERROR(VALUE(RIGHT(LEFT($J361,FIND(M$1,$J361,1)+LEN(M$1)),1)),0)</f>
        <v>0</v>
      </c>
      <c r="N361" s="13">
        <f t="shared" si="721"/>
        <v>0</v>
      </c>
      <c r="O361" s="13">
        <f t="shared" si="721"/>
        <v>0</v>
      </c>
      <c r="P361" s="13">
        <f t="shared" si="721"/>
        <v>0</v>
      </c>
      <c r="Q361" s="13">
        <f t="shared" si="721"/>
        <v>0</v>
      </c>
      <c r="R361" s="13">
        <f t="shared" si="721"/>
        <v>0</v>
      </c>
      <c r="S361" s="13">
        <f t="shared" si="721"/>
        <v>0</v>
      </c>
      <c r="T361" s="13">
        <f t="shared" si="721"/>
        <v>0</v>
      </c>
      <c r="U361" s="13">
        <f t="shared" si="721"/>
        <v>0</v>
      </c>
      <c r="V361" s="13">
        <f t="shared" si="721"/>
        <v>0</v>
      </c>
      <c r="W361" s="13">
        <f t="shared" si="721"/>
        <v>0</v>
      </c>
      <c r="X361" s="13">
        <f t="shared" si="721"/>
        <v>0</v>
      </c>
      <c r="Y361" s="13">
        <f t="shared" si="721"/>
        <v>0</v>
      </c>
      <c r="Z361" s="13">
        <f t="shared" si="721"/>
        <v>0</v>
      </c>
      <c r="AA361" s="13">
        <f t="shared" si="721"/>
        <v>0</v>
      </c>
      <c r="AB361" s="13">
        <f t="shared" ref="AB361:AP361" si="722">IFERROR(VALUE(RIGHT(LEFT($J361,FIND(AB$1,$J361,IF(M361=0,1,FIND(AB$1,$J361,1)+1))+LEN(AB$1)),1)),0)</f>
        <v>0</v>
      </c>
      <c r="AC361" s="13">
        <f t="shared" si="722"/>
        <v>0</v>
      </c>
      <c r="AD361" s="13">
        <f t="shared" si="722"/>
        <v>0</v>
      </c>
      <c r="AE361" s="13">
        <f t="shared" si="722"/>
        <v>0</v>
      </c>
      <c r="AF361" s="13">
        <f t="shared" si="722"/>
        <v>0</v>
      </c>
      <c r="AG361" s="13">
        <f t="shared" si="722"/>
        <v>0</v>
      </c>
      <c r="AH361" s="13">
        <f t="shared" si="722"/>
        <v>0</v>
      </c>
      <c r="AI361" s="13">
        <f t="shared" si="722"/>
        <v>0</v>
      </c>
      <c r="AJ361" s="13">
        <f t="shared" si="722"/>
        <v>0</v>
      </c>
      <c r="AK361" s="13">
        <f t="shared" si="722"/>
        <v>0</v>
      </c>
      <c r="AL361" s="13">
        <f t="shared" si="722"/>
        <v>0</v>
      </c>
      <c r="AM361" s="13">
        <f t="shared" si="722"/>
        <v>0</v>
      </c>
      <c r="AN361" s="13">
        <f t="shared" si="722"/>
        <v>0</v>
      </c>
      <c r="AO361" s="13">
        <f t="shared" si="722"/>
        <v>0</v>
      </c>
      <c r="AP361" s="13">
        <f t="shared" si="722"/>
        <v>1</v>
      </c>
      <c r="AQ361" s="13"/>
      <c r="AR361" s="13" t="s">
        <v>2603</v>
      </c>
      <c r="AS361" s="13" t="s">
        <v>2604</v>
      </c>
      <c r="AT361" s="13" t="s">
        <v>803</v>
      </c>
      <c r="AU361" s="13" t="s">
        <v>130</v>
      </c>
      <c r="AV361" s="13" t="s">
        <v>2605</v>
      </c>
      <c r="AW361" s="13">
        <v>5.0</v>
      </c>
      <c r="AX361" s="13">
        <v>2.0</v>
      </c>
      <c r="AY361" s="13">
        <v>1.0</v>
      </c>
      <c r="AZ361" s="13"/>
      <c r="BA361" s="13"/>
      <c r="BB361" s="13"/>
      <c r="BC361" s="13"/>
      <c r="BD361" s="13" t="s">
        <v>294</v>
      </c>
      <c r="BE361" s="13" t="s">
        <v>307</v>
      </c>
      <c r="BF361" s="13" t="s">
        <v>2606</v>
      </c>
      <c r="BG361" s="13"/>
      <c r="BH361" s="13" t="s">
        <v>79</v>
      </c>
      <c r="BI361" s="13" t="b">
        <v>0</v>
      </c>
      <c r="BJ361" s="13">
        <v>0.0</v>
      </c>
      <c r="BK361" s="13">
        <v>0.0</v>
      </c>
    </row>
    <row r="362" ht="14.25" customHeight="1">
      <c r="A362" s="13">
        <v>360.0</v>
      </c>
      <c r="B362" s="13" t="s">
        <v>44</v>
      </c>
      <c r="C362" s="13">
        <v>1.0</v>
      </c>
      <c r="D362" s="14">
        <v>0.0</v>
      </c>
      <c r="E362" s="13" t="s">
        <v>2607</v>
      </c>
      <c r="F362" s="15" t="s">
        <v>667</v>
      </c>
      <c r="G362" s="16" t="s">
        <v>2608</v>
      </c>
      <c r="H362" s="13"/>
      <c r="I362" s="13">
        <v>1.0</v>
      </c>
      <c r="J362" s="13" t="s">
        <v>77</v>
      </c>
      <c r="K362" s="13">
        <f t="shared" si="3"/>
        <v>0</v>
      </c>
      <c r="L362" s="13">
        <f t="shared" si="4"/>
        <v>2</v>
      </c>
      <c r="M362" s="13">
        <f t="shared" ref="M362:AA362" si="723">IFERROR(VALUE(RIGHT(LEFT($J362,FIND(M$1,$J362,1)+LEN(M$1)),1)),0)</f>
        <v>0</v>
      </c>
      <c r="N362" s="13">
        <f t="shared" si="723"/>
        <v>0</v>
      </c>
      <c r="O362" s="13">
        <f t="shared" si="723"/>
        <v>0</v>
      </c>
      <c r="P362" s="13">
        <f t="shared" si="723"/>
        <v>0</v>
      </c>
      <c r="Q362" s="13">
        <f t="shared" si="723"/>
        <v>0</v>
      </c>
      <c r="R362" s="13">
        <f t="shared" si="723"/>
        <v>0</v>
      </c>
      <c r="S362" s="13">
        <f t="shared" si="723"/>
        <v>0</v>
      </c>
      <c r="T362" s="13">
        <f t="shared" si="723"/>
        <v>0</v>
      </c>
      <c r="U362" s="13">
        <f t="shared" si="723"/>
        <v>0</v>
      </c>
      <c r="V362" s="13">
        <f t="shared" si="723"/>
        <v>0</v>
      </c>
      <c r="W362" s="13">
        <f t="shared" si="723"/>
        <v>0</v>
      </c>
      <c r="X362" s="13">
        <f t="shared" si="723"/>
        <v>0</v>
      </c>
      <c r="Y362" s="13">
        <f t="shared" si="723"/>
        <v>0</v>
      </c>
      <c r="Z362" s="13">
        <f t="shared" si="723"/>
        <v>0</v>
      </c>
      <c r="AA362" s="13">
        <f t="shared" si="723"/>
        <v>0</v>
      </c>
      <c r="AB362" s="13">
        <f t="shared" ref="AB362:AP362" si="724">IFERROR(VALUE(RIGHT(LEFT($J362,FIND(AB$1,$J362,IF(M362=0,1,FIND(AB$1,$J362,1)+1))+LEN(AB$1)),1)),0)</f>
        <v>0</v>
      </c>
      <c r="AC362" s="13">
        <f t="shared" si="724"/>
        <v>0</v>
      </c>
      <c r="AD362" s="13">
        <f t="shared" si="724"/>
        <v>0</v>
      </c>
      <c r="AE362" s="13">
        <f t="shared" si="724"/>
        <v>0</v>
      </c>
      <c r="AF362" s="13">
        <f t="shared" si="724"/>
        <v>0</v>
      </c>
      <c r="AG362" s="13">
        <f t="shared" si="724"/>
        <v>1</v>
      </c>
      <c r="AH362" s="13">
        <f t="shared" si="724"/>
        <v>1</v>
      </c>
      <c r="AI362" s="13">
        <f t="shared" si="724"/>
        <v>0</v>
      </c>
      <c r="AJ362" s="13">
        <f t="shared" si="724"/>
        <v>0</v>
      </c>
      <c r="AK362" s="13">
        <f t="shared" si="724"/>
        <v>0</v>
      </c>
      <c r="AL362" s="13">
        <f t="shared" si="724"/>
        <v>0</v>
      </c>
      <c r="AM362" s="13">
        <f t="shared" si="724"/>
        <v>0</v>
      </c>
      <c r="AN362" s="13">
        <f t="shared" si="724"/>
        <v>0</v>
      </c>
      <c r="AO362" s="13">
        <f t="shared" si="724"/>
        <v>0</v>
      </c>
      <c r="AP362" s="13">
        <f t="shared" si="724"/>
        <v>0</v>
      </c>
      <c r="AQ362" s="13" t="s">
        <v>2609</v>
      </c>
      <c r="AR362" s="13"/>
      <c r="AS362" s="13" t="s">
        <v>2610</v>
      </c>
      <c r="AT362" s="13"/>
      <c r="AU362" s="13"/>
      <c r="AV362" s="13"/>
      <c r="AW362" s="13">
        <v>0.0</v>
      </c>
      <c r="AX362" s="13">
        <v>2.0</v>
      </c>
      <c r="AY362" s="13">
        <v>0.0</v>
      </c>
      <c r="AZ362" s="13"/>
      <c r="BA362" s="13"/>
      <c r="BB362" s="13"/>
      <c r="BC362" s="13"/>
      <c r="BD362" s="13"/>
      <c r="BE362" s="13"/>
      <c r="BF362" s="13"/>
      <c r="BG362" s="13"/>
      <c r="BH362" s="13" t="s">
        <v>79</v>
      </c>
      <c r="BI362" s="13" t="b">
        <v>0</v>
      </c>
      <c r="BJ362" s="13">
        <v>0.0</v>
      </c>
      <c r="BK362" s="13">
        <v>0.0</v>
      </c>
    </row>
    <row r="363" ht="14.25" customHeight="1">
      <c r="A363" s="13">
        <v>361.0</v>
      </c>
      <c r="B363" s="13" t="s">
        <v>45</v>
      </c>
      <c r="C363" s="13">
        <v>1.0</v>
      </c>
      <c r="D363" s="14">
        <v>0.0</v>
      </c>
      <c r="E363" s="13" t="s">
        <v>2611</v>
      </c>
      <c r="F363" s="15" t="s">
        <v>667</v>
      </c>
      <c r="G363" s="16" t="s">
        <v>2612</v>
      </c>
      <c r="H363" s="13"/>
      <c r="I363" s="13">
        <v>1.2</v>
      </c>
      <c r="J363" s="13" t="s">
        <v>2613</v>
      </c>
      <c r="K363" s="13">
        <f t="shared" si="3"/>
        <v>0</v>
      </c>
      <c r="L363" s="13">
        <f t="shared" si="4"/>
        <v>2</v>
      </c>
      <c r="M363" s="13">
        <f t="shared" ref="M363:AA363" si="725">IFERROR(VALUE(RIGHT(LEFT($J363,FIND(M$1,$J363,1)+LEN(M$1)),1)),0)</f>
        <v>0</v>
      </c>
      <c r="N363" s="13">
        <f t="shared" si="725"/>
        <v>0</v>
      </c>
      <c r="O363" s="13">
        <f t="shared" si="725"/>
        <v>0</v>
      </c>
      <c r="P363" s="13">
        <f t="shared" si="725"/>
        <v>0</v>
      </c>
      <c r="Q363" s="13">
        <f t="shared" si="725"/>
        <v>0</v>
      </c>
      <c r="R363" s="13">
        <f t="shared" si="725"/>
        <v>0</v>
      </c>
      <c r="S363" s="13">
        <f t="shared" si="725"/>
        <v>0</v>
      </c>
      <c r="T363" s="13">
        <f t="shared" si="725"/>
        <v>0</v>
      </c>
      <c r="U363" s="13">
        <f t="shared" si="725"/>
        <v>0</v>
      </c>
      <c r="V363" s="13">
        <f t="shared" si="725"/>
        <v>0</v>
      </c>
      <c r="W363" s="13">
        <f t="shared" si="725"/>
        <v>0</v>
      </c>
      <c r="X363" s="13">
        <f t="shared" si="725"/>
        <v>0</v>
      </c>
      <c r="Y363" s="13">
        <f t="shared" si="725"/>
        <v>0</v>
      </c>
      <c r="Z363" s="13">
        <f t="shared" si="725"/>
        <v>0</v>
      </c>
      <c r="AA363" s="13">
        <f t="shared" si="725"/>
        <v>0</v>
      </c>
      <c r="AB363" s="13">
        <f t="shared" ref="AB363:AP363" si="726">IFERROR(VALUE(RIGHT(LEFT($J363,FIND(AB$1,$J363,IF(M363=0,1,FIND(AB$1,$J363,1)+1))+LEN(AB$1)),1)),0)</f>
        <v>0</v>
      </c>
      <c r="AC363" s="13">
        <f t="shared" si="726"/>
        <v>0</v>
      </c>
      <c r="AD363" s="13">
        <f t="shared" si="726"/>
        <v>0</v>
      </c>
      <c r="AE363" s="13">
        <f t="shared" si="726"/>
        <v>0</v>
      </c>
      <c r="AF363" s="13">
        <f t="shared" si="726"/>
        <v>1</v>
      </c>
      <c r="AG363" s="13">
        <f t="shared" si="726"/>
        <v>0</v>
      </c>
      <c r="AH363" s="13">
        <f t="shared" si="726"/>
        <v>0</v>
      </c>
      <c r="AI363" s="13">
        <f t="shared" si="726"/>
        <v>1</v>
      </c>
      <c r="AJ363" s="13">
        <f t="shared" si="726"/>
        <v>0</v>
      </c>
      <c r="AK363" s="13">
        <f t="shared" si="726"/>
        <v>0</v>
      </c>
      <c r="AL363" s="13">
        <f t="shared" si="726"/>
        <v>0</v>
      </c>
      <c r="AM363" s="13">
        <f t="shared" si="726"/>
        <v>0</v>
      </c>
      <c r="AN363" s="13">
        <f t="shared" si="726"/>
        <v>0</v>
      </c>
      <c r="AO363" s="13">
        <f t="shared" si="726"/>
        <v>0</v>
      </c>
      <c r="AP363" s="13">
        <f t="shared" si="726"/>
        <v>0</v>
      </c>
      <c r="AQ363" s="13" t="s">
        <v>2614</v>
      </c>
      <c r="AR363" s="13"/>
      <c r="AS363" s="13" t="s">
        <v>381</v>
      </c>
      <c r="AT363" s="13"/>
      <c r="AU363" s="13"/>
      <c r="AV363" s="13"/>
      <c r="AW363" s="13">
        <v>0.0</v>
      </c>
      <c r="AX363" s="13">
        <v>2.0</v>
      </c>
      <c r="AY363" s="13">
        <v>0.0</v>
      </c>
      <c r="AZ363" s="13"/>
      <c r="BA363" s="13"/>
      <c r="BB363" s="13"/>
      <c r="BC363" s="13"/>
      <c r="BD363" s="13"/>
      <c r="BE363" s="13"/>
      <c r="BF363" s="13"/>
      <c r="BG363" s="13"/>
      <c r="BH363" s="13" t="s">
        <v>79</v>
      </c>
      <c r="BI363" s="13" t="b">
        <v>0</v>
      </c>
      <c r="BJ363" s="13">
        <v>0.0</v>
      </c>
      <c r="BK363" s="13">
        <v>0.0</v>
      </c>
    </row>
    <row r="364" ht="14.25" customHeight="1">
      <c r="A364" s="13">
        <v>362.0</v>
      </c>
      <c r="B364" s="13" t="s">
        <v>46</v>
      </c>
      <c r="C364" s="13">
        <v>1.0</v>
      </c>
      <c r="D364" s="14">
        <v>0.0</v>
      </c>
      <c r="E364" s="13" t="s">
        <v>2615</v>
      </c>
      <c r="F364" s="15" t="s">
        <v>667</v>
      </c>
      <c r="G364" s="16" t="s">
        <v>2616</v>
      </c>
      <c r="H364" s="13"/>
      <c r="I364" s="13">
        <v>0.9</v>
      </c>
      <c r="J364" s="13" t="s">
        <v>2405</v>
      </c>
      <c r="K364" s="13">
        <f t="shared" si="3"/>
        <v>0</v>
      </c>
      <c r="L364" s="13">
        <f t="shared" si="4"/>
        <v>2</v>
      </c>
      <c r="M364" s="13">
        <f t="shared" ref="M364:AA364" si="727">IFERROR(VALUE(RIGHT(LEFT($J364,FIND(M$1,$J364,1)+LEN(M$1)),1)),0)</f>
        <v>0</v>
      </c>
      <c r="N364" s="13">
        <f t="shared" si="727"/>
        <v>0</v>
      </c>
      <c r="O364" s="13">
        <f t="shared" si="727"/>
        <v>0</v>
      </c>
      <c r="P364" s="13">
        <f t="shared" si="727"/>
        <v>0</v>
      </c>
      <c r="Q364" s="13">
        <f t="shared" si="727"/>
        <v>0</v>
      </c>
      <c r="R364" s="13">
        <f t="shared" si="727"/>
        <v>0</v>
      </c>
      <c r="S364" s="13">
        <f t="shared" si="727"/>
        <v>0</v>
      </c>
      <c r="T364" s="13">
        <f t="shared" si="727"/>
        <v>0</v>
      </c>
      <c r="U364" s="13">
        <f t="shared" si="727"/>
        <v>0</v>
      </c>
      <c r="V364" s="13">
        <f t="shared" si="727"/>
        <v>0</v>
      </c>
      <c r="W364" s="13">
        <f t="shared" si="727"/>
        <v>0</v>
      </c>
      <c r="X364" s="13">
        <f t="shared" si="727"/>
        <v>0</v>
      </c>
      <c r="Y364" s="13">
        <f t="shared" si="727"/>
        <v>0</v>
      </c>
      <c r="Z364" s="13">
        <f t="shared" si="727"/>
        <v>0</v>
      </c>
      <c r="AA364" s="13">
        <f t="shared" si="727"/>
        <v>0</v>
      </c>
      <c r="AB364" s="13">
        <f t="shared" ref="AB364:AP364" si="728">IFERROR(VALUE(RIGHT(LEFT($J364,FIND(AB$1,$J364,IF(M364=0,1,FIND(AB$1,$J364,1)+1))+LEN(AB$1)),1)),0)</f>
        <v>0</v>
      </c>
      <c r="AC364" s="13">
        <f t="shared" si="728"/>
        <v>0</v>
      </c>
      <c r="AD364" s="13">
        <f t="shared" si="728"/>
        <v>1</v>
      </c>
      <c r="AE364" s="13">
        <f t="shared" si="728"/>
        <v>0</v>
      </c>
      <c r="AF364" s="13">
        <f t="shared" si="728"/>
        <v>0</v>
      </c>
      <c r="AG364" s="13">
        <f t="shared" si="728"/>
        <v>0</v>
      </c>
      <c r="AH364" s="13">
        <f t="shared" si="728"/>
        <v>0</v>
      </c>
      <c r="AI364" s="13">
        <f t="shared" si="728"/>
        <v>0</v>
      </c>
      <c r="AJ364" s="13">
        <f t="shared" si="728"/>
        <v>1</v>
      </c>
      <c r="AK364" s="13">
        <f t="shared" si="728"/>
        <v>0</v>
      </c>
      <c r="AL364" s="13">
        <f t="shared" si="728"/>
        <v>0</v>
      </c>
      <c r="AM364" s="13">
        <f t="shared" si="728"/>
        <v>0</v>
      </c>
      <c r="AN364" s="13">
        <f t="shared" si="728"/>
        <v>0</v>
      </c>
      <c r="AO364" s="13">
        <f t="shared" si="728"/>
        <v>0</v>
      </c>
      <c r="AP364" s="13">
        <f t="shared" si="728"/>
        <v>0</v>
      </c>
      <c r="AQ364" s="13" t="s">
        <v>2617</v>
      </c>
      <c r="AR364" s="13"/>
      <c r="AS364" s="13" t="s">
        <v>2618</v>
      </c>
      <c r="AT364" s="13"/>
      <c r="AU364" s="13"/>
      <c r="AV364" s="13"/>
      <c r="AW364" s="13">
        <v>0.0</v>
      </c>
      <c r="AX364" s="13">
        <v>2.0</v>
      </c>
      <c r="AY364" s="13">
        <v>0.0</v>
      </c>
      <c r="AZ364" s="13"/>
      <c r="BA364" s="13"/>
      <c r="BB364" s="13"/>
      <c r="BC364" s="13"/>
      <c r="BD364" s="13"/>
      <c r="BE364" s="13"/>
      <c r="BF364" s="13"/>
      <c r="BG364" s="13"/>
      <c r="BH364" s="13" t="s">
        <v>79</v>
      </c>
      <c r="BI364" s="13" t="b">
        <v>0</v>
      </c>
      <c r="BJ364" s="13">
        <v>0.0</v>
      </c>
      <c r="BK364" s="13">
        <v>0.0</v>
      </c>
    </row>
    <row r="365" ht="14.25" customHeight="1">
      <c r="A365" s="13">
        <v>363.0</v>
      </c>
      <c r="B365" s="13" t="s">
        <v>47</v>
      </c>
      <c r="C365" s="13">
        <v>1.0</v>
      </c>
      <c r="D365" s="14">
        <v>0.0</v>
      </c>
      <c r="E365" s="13" t="s">
        <v>2619</v>
      </c>
      <c r="F365" s="15" t="s">
        <v>667</v>
      </c>
      <c r="G365" s="16" t="s">
        <v>2620</v>
      </c>
      <c r="H365" s="13">
        <v>9.0</v>
      </c>
      <c r="I365" s="13">
        <v>0.9</v>
      </c>
      <c r="J365" s="13" t="s">
        <v>2621</v>
      </c>
      <c r="K365" s="13">
        <f t="shared" si="3"/>
        <v>0</v>
      </c>
      <c r="L365" s="13">
        <f t="shared" si="4"/>
        <v>1</v>
      </c>
      <c r="M365" s="13">
        <f t="shared" ref="M365:AA365" si="729">IFERROR(VALUE(RIGHT(LEFT($J365,FIND(M$1,$J365,1)+LEN(M$1)),1)),0)</f>
        <v>0</v>
      </c>
      <c r="N365" s="13">
        <f t="shared" si="729"/>
        <v>0</v>
      </c>
      <c r="O365" s="13">
        <f t="shared" si="729"/>
        <v>0</v>
      </c>
      <c r="P365" s="13">
        <f t="shared" si="729"/>
        <v>0</v>
      </c>
      <c r="Q365" s="13">
        <f t="shared" si="729"/>
        <v>0</v>
      </c>
      <c r="R365" s="13">
        <f t="shared" si="729"/>
        <v>0</v>
      </c>
      <c r="S365" s="13">
        <f t="shared" si="729"/>
        <v>0</v>
      </c>
      <c r="T365" s="13">
        <f t="shared" si="729"/>
        <v>0</v>
      </c>
      <c r="U365" s="13">
        <f t="shared" si="729"/>
        <v>0</v>
      </c>
      <c r="V365" s="13">
        <f t="shared" si="729"/>
        <v>0</v>
      </c>
      <c r="W365" s="13">
        <f t="shared" si="729"/>
        <v>0</v>
      </c>
      <c r="X365" s="13">
        <f t="shared" si="729"/>
        <v>0</v>
      </c>
      <c r="Y365" s="13">
        <f t="shared" si="729"/>
        <v>0</v>
      </c>
      <c r="Z365" s="13">
        <f t="shared" si="729"/>
        <v>0</v>
      </c>
      <c r="AA365" s="13">
        <f t="shared" si="729"/>
        <v>0</v>
      </c>
      <c r="AB365" s="13">
        <f t="shared" ref="AB365:AP365" si="730">IFERROR(VALUE(RIGHT(LEFT($J365,FIND(AB$1,$J365,IF(M365=0,1,FIND(AB$1,$J365,1)+1))+LEN(AB$1)),1)),0)</f>
        <v>0</v>
      </c>
      <c r="AC365" s="13">
        <f t="shared" si="730"/>
        <v>0</v>
      </c>
      <c r="AD365" s="13">
        <f t="shared" si="730"/>
        <v>1</v>
      </c>
      <c r="AE365" s="13">
        <f t="shared" si="730"/>
        <v>0</v>
      </c>
      <c r="AF365" s="13">
        <f t="shared" si="730"/>
        <v>0</v>
      </c>
      <c r="AG365" s="13">
        <f t="shared" si="730"/>
        <v>0</v>
      </c>
      <c r="AH365" s="13">
        <f t="shared" si="730"/>
        <v>0</v>
      </c>
      <c r="AI365" s="13">
        <f t="shared" si="730"/>
        <v>0</v>
      </c>
      <c r="AJ365" s="13">
        <f t="shared" si="730"/>
        <v>0</v>
      </c>
      <c r="AK365" s="13">
        <f t="shared" si="730"/>
        <v>0</v>
      </c>
      <c r="AL365" s="13">
        <f t="shared" si="730"/>
        <v>0</v>
      </c>
      <c r="AM365" s="13">
        <f t="shared" si="730"/>
        <v>0</v>
      </c>
      <c r="AN365" s="13">
        <f t="shared" si="730"/>
        <v>0</v>
      </c>
      <c r="AO365" s="13">
        <f t="shared" si="730"/>
        <v>0</v>
      </c>
      <c r="AP365" s="13">
        <f t="shared" si="730"/>
        <v>0</v>
      </c>
      <c r="AQ365" s="13"/>
      <c r="AR365" s="13" t="s">
        <v>2622</v>
      </c>
      <c r="AS365" s="13" t="s">
        <v>2623</v>
      </c>
      <c r="AT365" s="13" t="s">
        <v>573</v>
      </c>
      <c r="AU365" s="13" t="s">
        <v>130</v>
      </c>
      <c r="AV365" s="13" t="s">
        <v>2624</v>
      </c>
      <c r="AW365" s="13">
        <v>7.0</v>
      </c>
      <c r="AX365" s="13">
        <v>2.0</v>
      </c>
      <c r="AY365" s="13">
        <v>0.0</v>
      </c>
      <c r="AZ365" s="13" t="s">
        <v>2625</v>
      </c>
      <c r="BA365" s="13" t="s">
        <v>2626</v>
      </c>
      <c r="BB365" s="13"/>
      <c r="BC365" s="13"/>
      <c r="BD365" s="13" t="s">
        <v>1113</v>
      </c>
      <c r="BE365" s="13"/>
      <c r="BF365" s="13" t="s">
        <v>512</v>
      </c>
      <c r="BG365" s="13" t="s">
        <v>136</v>
      </c>
      <c r="BH365" s="13" t="s">
        <v>79</v>
      </c>
      <c r="BI365" s="13" t="b">
        <v>0</v>
      </c>
      <c r="BJ365" s="13">
        <v>0.0</v>
      </c>
      <c r="BK365" s="13">
        <v>0.0</v>
      </c>
    </row>
    <row r="366" ht="14.25" customHeight="1">
      <c r="A366" s="13">
        <v>364.0</v>
      </c>
      <c r="B366" s="13" t="s">
        <v>47</v>
      </c>
      <c r="C366" s="13">
        <v>1.0</v>
      </c>
      <c r="D366" s="14">
        <v>0.0</v>
      </c>
      <c r="E366" s="13" t="s">
        <v>2627</v>
      </c>
      <c r="F366" s="15" t="s">
        <v>667</v>
      </c>
      <c r="G366" s="16" t="s">
        <v>2628</v>
      </c>
      <c r="H366" s="13">
        <v>8.0</v>
      </c>
      <c r="I366" s="13">
        <v>1.0</v>
      </c>
      <c r="J366" s="13" t="s">
        <v>525</v>
      </c>
      <c r="K366" s="13">
        <f t="shared" si="3"/>
        <v>0</v>
      </c>
      <c r="L366" s="13">
        <f t="shared" si="4"/>
        <v>2</v>
      </c>
      <c r="M366" s="13">
        <f t="shared" ref="M366:AA366" si="731">IFERROR(VALUE(RIGHT(LEFT($J366,FIND(M$1,$J366,1)+LEN(M$1)),1)),0)</f>
        <v>0</v>
      </c>
      <c r="N366" s="13">
        <f t="shared" si="731"/>
        <v>0</v>
      </c>
      <c r="O366" s="13">
        <f t="shared" si="731"/>
        <v>0</v>
      </c>
      <c r="P366" s="13">
        <f t="shared" si="731"/>
        <v>0</v>
      </c>
      <c r="Q366" s="13">
        <f t="shared" si="731"/>
        <v>0</v>
      </c>
      <c r="R366" s="13">
        <f t="shared" si="731"/>
        <v>0</v>
      </c>
      <c r="S366" s="13">
        <f t="shared" si="731"/>
        <v>0</v>
      </c>
      <c r="T366" s="13">
        <f t="shared" si="731"/>
        <v>0</v>
      </c>
      <c r="U366" s="13">
        <f t="shared" si="731"/>
        <v>0</v>
      </c>
      <c r="V366" s="13">
        <f t="shared" si="731"/>
        <v>0</v>
      </c>
      <c r="W366" s="13">
        <f t="shared" si="731"/>
        <v>0</v>
      </c>
      <c r="X366" s="13">
        <f t="shared" si="731"/>
        <v>0</v>
      </c>
      <c r="Y366" s="13">
        <f t="shared" si="731"/>
        <v>0</v>
      </c>
      <c r="Z366" s="13">
        <f t="shared" si="731"/>
        <v>0</v>
      </c>
      <c r="AA366" s="13">
        <f t="shared" si="731"/>
        <v>0</v>
      </c>
      <c r="AB366" s="13">
        <f t="shared" ref="AB366:AP366" si="732">IFERROR(VALUE(RIGHT(LEFT($J366,FIND(AB$1,$J366,IF(M366=0,1,FIND(AB$1,$J366,1)+1))+LEN(AB$1)),1)),0)</f>
        <v>0</v>
      </c>
      <c r="AC366" s="13">
        <f t="shared" si="732"/>
        <v>0</v>
      </c>
      <c r="AD366" s="13">
        <f t="shared" si="732"/>
        <v>0</v>
      </c>
      <c r="AE366" s="13">
        <f t="shared" si="732"/>
        <v>0</v>
      </c>
      <c r="AF366" s="13">
        <f t="shared" si="732"/>
        <v>1</v>
      </c>
      <c r="AG366" s="13">
        <f t="shared" si="732"/>
        <v>0</v>
      </c>
      <c r="AH366" s="13">
        <f t="shared" si="732"/>
        <v>0</v>
      </c>
      <c r="AI366" s="13">
        <f t="shared" si="732"/>
        <v>0</v>
      </c>
      <c r="AJ366" s="13">
        <f t="shared" si="732"/>
        <v>0</v>
      </c>
      <c r="AK366" s="13">
        <f t="shared" si="732"/>
        <v>1</v>
      </c>
      <c r="AL366" s="13">
        <f t="shared" si="732"/>
        <v>0</v>
      </c>
      <c r="AM366" s="13">
        <f t="shared" si="732"/>
        <v>0</v>
      </c>
      <c r="AN366" s="13">
        <f t="shared" si="732"/>
        <v>0</v>
      </c>
      <c r="AO366" s="13">
        <f t="shared" si="732"/>
        <v>0</v>
      </c>
      <c r="AP366" s="13">
        <f t="shared" si="732"/>
        <v>0</v>
      </c>
      <c r="AQ366" s="13"/>
      <c r="AR366" s="13" t="s">
        <v>2629</v>
      </c>
      <c r="AS366" s="13" t="s">
        <v>527</v>
      </c>
      <c r="AT366" s="13" t="s">
        <v>129</v>
      </c>
      <c r="AU366" s="13" t="s">
        <v>143</v>
      </c>
      <c r="AV366" s="13" t="s">
        <v>2630</v>
      </c>
      <c r="AW366" s="13">
        <v>8.0</v>
      </c>
      <c r="AX366" s="13">
        <v>2.0</v>
      </c>
      <c r="AY366" s="13">
        <v>0.0</v>
      </c>
      <c r="AZ366" s="13" t="s">
        <v>2631</v>
      </c>
      <c r="BA366" s="13" t="s">
        <v>2632</v>
      </c>
      <c r="BB366" s="13"/>
      <c r="BC366" s="13"/>
      <c r="BD366" s="13" t="s">
        <v>484</v>
      </c>
      <c r="BE366" s="13"/>
      <c r="BF366" s="13" t="s">
        <v>900</v>
      </c>
      <c r="BG366" s="13" t="s">
        <v>136</v>
      </c>
      <c r="BH366" s="13" t="s">
        <v>79</v>
      </c>
      <c r="BI366" s="13" t="b">
        <v>0</v>
      </c>
      <c r="BJ366" s="13">
        <v>0.0</v>
      </c>
      <c r="BK366" s="13">
        <v>0.0</v>
      </c>
    </row>
    <row r="367" ht="14.25" customHeight="1">
      <c r="A367" s="13">
        <v>365.0</v>
      </c>
      <c r="B367" s="13" t="s">
        <v>52</v>
      </c>
      <c r="C367" s="13">
        <v>1.0</v>
      </c>
      <c r="D367" s="14">
        <v>0.0</v>
      </c>
      <c r="E367" s="13" t="s">
        <v>2633</v>
      </c>
      <c r="F367" s="15" t="s">
        <v>667</v>
      </c>
      <c r="G367" s="16" t="s">
        <v>2634</v>
      </c>
      <c r="H367" s="13">
        <v>-6.0</v>
      </c>
      <c r="I367" s="13">
        <v>1.1</v>
      </c>
      <c r="J367" s="13" t="s">
        <v>894</v>
      </c>
      <c r="K367" s="13">
        <f t="shared" si="3"/>
        <v>0</v>
      </c>
      <c r="L367" s="13">
        <f t="shared" si="4"/>
        <v>2</v>
      </c>
      <c r="M367" s="13">
        <f t="shared" ref="M367:AA367" si="733">IFERROR(VALUE(RIGHT(LEFT($J367,FIND(M$1,$J367,1)+LEN(M$1)),1)),0)</f>
        <v>0</v>
      </c>
      <c r="N367" s="13">
        <f t="shared" si="733"/>
        <v>0</v>
      </c>
      <c r="O367" s="13">
        <f t="shared" si="733"/>
        <v>0</v>
      </c>
      <c r="P367" s="13">
        <f t="shared" si="733"/>
        <v>0</v>
      </c>
      <c r="Q367" s="13">
        <f t="shared" si="733"/>
        <v>0</v>
      </c>
      <c r="R367" s="13">
        <f t="shared" si="733"/>
        <v>0</v>
      </c>
      <c r="S367" s="13">
        <f t="shared" si="733"/>
        <v>0</v>
      </c>
      <c r="T367" s="13">
        <f t="shared" si="733"/>
        <v>0</v>
      </c>
      <c r="U367" s="13">
        <f t="shared" si="733"/>
        <v>0</v>
      </c>
      <c r="V367" s="13">
        <f t="shared" si="733"/>
        <v>0</v>
      </c>
      <c r="W367" s="13">
        <f t="shared" si="733"/>
        <v>0</v>
      </c>
      <c r="X367" s="13">
        <f t="shared" si="733"/>
        <v>0</v>
      </c>
      <c r="Y367" s="13">
        <f t="shared" si="733"/>
        <v>0</v>
      </c>
      <c r="Z367" s="13">
        <f t="shared" si="733"/>
        <v>0</v>
      </c>
      <c r="AA367" s="13">
        <f t="shared" si="733"/>
        <v>0</v>
      </c>
      <c r="AB367" s="13">
        <f t="shared" ref="AB367:AP367" si="734">IFERROR(VALUE(RIGHT(LEFT($J367,FIND(AB$1,$J367,IF(M367=0,1,FIND(AB$1,$J367,1)+1))+LEN(AB$1)),1)),0)</f>
        <v>0</v>
      </c>
      <c r="AC367" s="13">
        <f t="shared" si="734"/>
        <v>0</v>
      </c>
      <c r="AD367" s="13">
        <f t="shared" si="734"/>
        <v>0</v>
      </c>
      <c r="AE367" s="13">
        <f t="shared" si="734"/>
        <v>0</v>
      </c>
      <c r="AF367" s="13">
        <f t="shared" si="734"/>
        <v>0</v>
      </c>
      <c r="AG367" s="13">
        <f t="shared" si="734"/>
        <v>1</v>
      </c>
      <c r="AH367" s="13">
        <f t="shared" si="734"/>
        <v>0</v>
      </c>
      <c r="AI367" s="13">
        <f t="shared" si="734"/>
        <v>0</v>
      </c>
      <c r="AJ367" s="13">
        <f t="shared" si="734"/>
        <v>0</v>
      </c>
      <c r="AK367" s="13">
        <f t="shared" si="734"/>
        <v>0</v>
      </c>
      <c r="AL367" s="13">
        <f t="shared" si="734"/>
        <v>0</v>
      </c>
      <c r="AM367" s="13">
        <f t="shared" si="734"/>
        <v>0</v>
      </c>
      <c r="AN367" s="13">
        <f t="shared" si="734"/>
        <v>0</v>
      </c>
      <c r="AO367" s="13">
        <f t="shared" si="734"/>
        <v>0</v>
      </c>
      <c r="AP367" s="13">
        <f t="shared" si="734"/>
        <v>1</v>
      </c>
      <c r="AQ367" s="13"/>
      <c r="AR367" s="13" t="s">
        <v>2635</v>
      </c>
      <c r="AS367" s="13" t="s">
        <v>2636</v>
      </c>
      <c r="AT367" s="13" t="s">
        <v>2637</v>
      </c>
      <c r="AU367" s="13" t="s">
        <v>130</v>
      </c>
      <c r="AV367" s="13" t="s">
        <v>2638</v>
      </c>
      <c r="AW367" s="13">
        <v>10.0</v>
      </c>
      <c r="AX367" s="13">
        <v>2.0</v>
      </c>
      <c r="AY367" s="13">
        <v>1.0</v>
      </c>
      <c r="AZ367" s="13"/>
      <c r="BA367" s="13"/>
      <c r="BB367" s="13"/>
      <c r="BC367" s="13"/>
      <c r="BD367" s="13" t="s">
        <v>294</v>
      </c>
      <c r="BE367" s="13" t="s">
        <v>1499</v>
      </c>
      <c r="BF367" s="13" t="s">
        <v>2606</v>
      </c>
      <c r="BG367" s="13"/>
      <c r="BH367" s="13" t="s">
        <v>79</v>
      </c>
      <c r="BI367" s="13" t="b">
        <v>0</v>
      </c>
      <c r="BJ367" s="13">
        <v>0.0</v>
      </c>
      <c r="BK367" s="13">
        <v>0.0</v>
      </c>
    </row>
    <row r="368" ht="14.25" customHeight="1">
      <c r="A368" s="13">
        <v>366.0</v>
      </c>
      <c r="B368" s="13" t="s">
        <v>44</v>
      </c>
      <c r="C368" s="13">
        <v>2.0</v>
      </c>
      <c r="D368" s="14">
        <v>0.0</v>
      </c>
      <c r="E368" s="13" t="s">
        <v>2639</v>
      </c>
      <c r="F368" s="15" t="s">
        <v>667</v>
      </c>
      <c r="G368" s="16" t="s">
        <v>2640</v>
      </c>
      <c r="H368" s="13"/>
      <c r="I368" s="13">
        <v>1.0</v>
      </c>
      <c r="J368" s="13" t="s">
        <v>954</v>
      </c>
      <c r="K368" s="13">
        <f t="shared" si="3"/>
        <v>0</v>
      </c>
      <c r="L368" s="13">
        <f t="shared" si="4"/>
        <v>3</v>
      </c>
      <c r="M368" s="13">
        <f t="shared" ref="M368:AA368" si="735">IFERROR(VALUE(RIGHT(LEFT($J368,FIND(M$1,$J368,1)+LEN(M$1)),1)),0)</f>
        <v>0</v>
      </c>
      <c r="N368" s="13">
        <f t="shared" si="735"/>
        <v>0</v>
      </c>
      <c r="O368" s="13">
        <f t="shared" si="735"/>
        <v>0</v>
      </c>
      <c r="P368" s="13">
        <f t="shared" si="735"/>
        <v>0</v>
      </c>
      <c r="Q368" s="13">
        <f t="shared" si="735"/>
        <v>0</v>
      </c>
      <c r="R368" s="13">
        <f t="shared" si="735"/>
        <v>0</v>
      </c>
      <c r="S368" s="13">
        <f t="shared" si="735"/>
        <v>0</v>
      </c>
      <c r="T368" s="13">
        <f t="shared" si="735"/>
        <v>0</v>
      </c>
      <c r="U368" s="13">
        <f t="shared" si="735"/>
        <v>0</v>
      </c>
      <c r="V368" s="13">
        <f t="shared" si="735"/>
        <v>0</v>
      </c>
      <c r="W368" s="13">
        <f t="shared" si="735"/>
        <v>0</v>
      </c>
      <c r="X368" s="13">
        <f t="shared" si="735"/>
        <v>0</v>
      </c>
      <c r="Y368" s="13">
        <f t="shared" si="735"/>
        <v>0</v>
      </c>
      <c r="Z368" s="13">
        <f t="shared" si="735"/>
        <v>0</v>
      </c>
      <c r="AA368" s="13">
        <f t="shared" si="735"/>
        <v>0</v>
      </c>
      <c r="AB368" s="13">
        <f t="shared" ref="AB368:AP368" si="736">IFERROR(VALUE(RIGHT(LEFT($J368,FIND(AB$1,$J368,IF(M368=0,1,FIND(AB$1,$J368,1)+1))+LEN(AB$1)),1)),0)</f>
        <v>0</v>
      </c>
      <c r="AC368" s="13">
        <f t="shared" si="736"/>
        <v>0</v>
      </c>
      <c r="AD368" s="13">
        <f t="shared" si="736"/>
        <v>0</v>
      </c>
      <c r="AE368" s="13">
        <f t="shared" si="736"/>
        <v>0</v>
      </c>
      <c r="AF368" s="13">
        <f t="shared" si="736"/>
        <v>0</v>
      </c>
      <c r="AG368" s="13">
        <f t="shared" si="736"/>
        <v>1</v>
      </c>
      <c r="AH368" s="13">
        <f t="shared" si="736"/>
        <v>2</v>
      </c>
      <c r="AI368" s="13">
        <f t="shared" si="736"/>
        <v>0</v>
      </c>
      <c r="AJ368" s="13">
        <f t="shared" si="736"/>
        <v>0</v>
      </c>
      <c r="AK368" s="13">
        <f t="shared" si="736"/>
        <v>0</v>
      </c>
      <c r="AL368" s="13">
        <f t="shared" si="736"/>
        <v>0</v>
      </c>
      <c r="AM368" s="13">
        <f t="shared" si="736"/>
        <v>0</v>
      </c>
      <c r="AN368" s="13">
        <f t="shared" si="736"/>
        <v>0</v>
      </c>
      <c r="AO368" s="13">
        <f t="shared" si="736"/>
        <v>0</v>
      </c>
      <c r="AP368" s="13">
        <f t="shared" si="736"/>
        <v>0</v>
      </c>
      <c r="AQ368" s="13" t="s">
        <v>2641</v>
      </c>
      <c r="AR368" s="13"/>
      <c r="AS368" s="13" t="s">
        <v>2642</v>
      </c>
      <c r="AT368" s="13"/>
      <c r="AU368" s="13"/>
      <c r="AV368" s="13"/>
      <c r="AW368" s="13">
        <v>0.0</v>
      </c>
      <c r="AX368" s="13">
        <v>2.0</v>
      </c>
      <c r="AY368" s="13">
        <v>0.0</v>
      </c>
      <c r="AZ368" s="13"/>
      <c r="BA368" s="13"/>
      <c r="BB368" s="13"/>
      <c r="BC368" s="13"/>
      <c r="BD368" s="13"/>
      <c r="BE368" s="13"/>
      <c r="BF368" s="13"/>
      <c r="BG368" s="13"/>
      <c r="BH368" s="13" t="s">
        <v>79</v>
      </c>
      <c r="BI368" s="13" t="b">
        <v>0</v>
      </c>
      <c r="BJ368" s="13">
        <v>0.0</v>
      </c>
      <c r="BK368" s="13">
        <v>0.0</v>
      </c>
    </row>
    <row r="369" ht="14.25" customHeight="1">
      <c r="A369" s="13">
        <v>367.0</v>
      </c>
      <c r="B369" s="13" t="s">
        <v>45</v>
      </c>
      <c r="C369" s="13">
        <v>2.0</v>
      </c>
      <c r="D369" s="14">
        <v>0.0</v>
      </c>
      <c r="E369" s="13" t="s">
        <v>2643</v>
      </c>
      <c r="F369" s="15" t="s">
        <v>667</v>
      </c>
      <c r="G369" s="16" t="s">
        <v>2644</v>
      </c>
      <c r="H369" s="13"/>
      <c r="I369" s="13">
        <v>0.9</v>
      </c>
      <c r="J369" s="13" t="s">
        <v>2645</v>
      </c>
      <c r="K369" s="13">
        <f t="shared" si="3"/>
        <v>0</v>
      </c>
      <c r="L369" s="13">
        <f t="shared" si="4"/>
        <v>3</v>
      </c>
      <c r="M369" s="13">
        <f t="shared" ref="M369:AA369" si="737">IFERROR(VALUE(RIGHT(LEFT($J369,FIND(M$1,$J369,1)+LEN(M$1)),1)),0)</f>
        <v>0</v>
      </c>
      <c r="N369" s="13">
        <f t="shared" si="737"/>
        <v>0</v>
      </c>
      <c r="O369" s="13">
        <f t="shared" si="737"/>
        <v>0</v>
      </c>
      <c r="P369" s="13">
        <f t="shared" si="737"/>
        <v>0</v>
      </c>
      <c r="Q369" s="13">
        <f t="shared" si="737"/>
        <v>0</v>
      </c>
      <c r="R369" s="13">
        <f t="shared" si="737"/>
        <v>0</v>
      </c>
      <c r="S369" s="13">
        <f t="shared" si="737"/>
        <v>0</v>
      </c>
      <c r="T369" s="13">
        <f t="shared" si="737"/>
        <v>0</v>
      </c>
      <c r="U369" s="13">
        <f t="shared" si="737"/>
        <v>0</v>
      </c>
      <c r="V369" s="13">
        <f t="shared" si="737"/>
        <v>0</v>
      </c>
      <c r="W369" s="13">
        <f t="shared" si="737"/>
        <v>0</v>
      </c>
      <c r="X369" s="13">
        <f t="shared" si="737"/>
        <v>0</v>
      </c>
      <c r="Y369" s="13">
        <f t="shared" si="737"/>
        <v>0</v>
      </c>
      <c r="Z369" s="13">
        <f t="shared" si="737"/>
        <v>0</v>
      </c>
      <c r="AA369" s="13">
        <f t="shared" si="737"/>
        <v>0</v>
      </c>
      <c r="AB369" s="13">
        <f t="shared" ref="AB369:AP369" si="738">IFERROR(VALUE(RIGHT(LEFT($J369,FIND(AB$1,$J369,IF(M369=0,1,FIND(AB$1,$J369,1)+1))+LEN(AB$1)),1)),0)</f>
        <v>0</v>
      </c>
      <c r="AC369" s="13">
        <f t="shared" si="738"/>
        <v>0</v>
      </c>
      <c r="AD369" s="13">
        <f t="shared" si="738"/>
        <v>0</v>
      </c>
      <c r="AE369" s="13">
        <f t="shared" si="738"/>
        <v>0</v>
      </c>
      <c r="AF369" s="13">
        <f t="shared" si="738"/>
        <v>1</v>
      </c>
      <c r="AG369" s="13">
        <f t="shared" si="738"/>
        <v>0</v>
      </c>
      <c r="AH369" s="13">
        <f t="shared" si="738"/>
        <v>0</v>
      </c>
      <c r="AI369" s="13">
        <f t="shared" si="738"/>
        <v>2</v>
      </c>
      <c r="AJ369" s="13">
        <f t="shared" si="738"/>
        <v>0</v>
      </c>
      <c r="AK369" s="13">
        <f t="shared" si="738"/>
        <v>0</v>
      </c>
      <c r="AL369" s="13">
        <f t="shared" si="738"/>
        <v>0</v>
      </c>
      <c r="AM369" s="13">
        <f t="shared" si="738"/>
        <v>0</v>
      </c>
      <c r="AN369" s="13">
        <f t="shared" si="738"/>
        <v>0</v>
      </c>
      <c r="AO369" s="13">
        <f t="shared" si="738"/>
        <v>0</v>
      </c>
      <c r="AP369" s="13">
        <f t="shared" si="738"/>
        <v>0</v>
      </c>
      <c r="AQ369" s="13" t="s">
        <v>2646</v>
      </c>
      <c r="AR369" s="13"/>
      <c r="AS369" s="13" t="s">
        <v>2647</v>
      </c>
      <c r="AT369" s="13"/>
      <c r="AU369" s="13"/>
      <c r="AV369" s="13"/>
      <c r="AW369" s="13">
        <v>0.0</v>
      </c>
      <c r="AX369" s="13">
        <v>2.0</v>
      </c>
      <c r="AY369" s="13">
        <v>0.0</v>
      </c>
      <c r="AZ369" s="13"/>
      <c r="BA369" s="13"/>
      <c r="BB369" s="13"/>
      <c r="BC369" s="13"/>
      <c r="BD369" s="13"/>
      <c r="BE369" s="13"/>
      <c r="BF369" s="13"/>
      <c r="BG369" s="13"/>
      <c r="BH369" s="13" t="s">
        <v>79</v>
      </c>
      <c r="BI369" s="13" t="b">
        <v>0</v>
      </c>
      <c r="BJ369" s="13">
        <v>0.0</v>
      </c>
      <c r="BK369" s="13">
        <v>0.0</v>
      </c>
    </row>
    <row r="370" ht="14.25" customHeight="1">
      <c r="A370" s="13">
        <v>368.0</v>
      </c>
      <c r="B370" s="13" t="s">
        <v>46</v>
      </c>
      <c r="C370" s="13">
        <v>2.0</v>
      </c>
      <c r="D370" s="14">
        <v>0.0</v>
      </c>
      <c r="E370" s="13" t="s">
        <v>2648</v>
      </c>
      <c r="F370" s="15" t="s">
        <v>667</v>
      </c>
      <c r="G370" s="16" t="s">
        <v>2649</v>
      </c>
      <c r="H370" s="13"/>
      <c r="I370" s="13">
        <v>1.2</v>
      </c>
      <c r="J370" s="13" t="s">
        <v>2650</v>
      </c>
      <c r="K370" s="13">
        <f t="shared" si="3"/>
        <v>0</v>
      </c>
      <c r="L370" s="13">
        <f t="shared" si="4"/>
        <v>3</v>
      </c>
      <c r="M370" s="13">
        <f t="shared" ref="M370:AA370" si="739">IFERROR(VALUE(RIGHT(LEFT($J370,FIND(M$1,$J370,1)+LEN(M$1)),1)),0)</f>
        <v>0</v>
      </c>
      <c r="N370" s="13">
        <f t="shared" si="739"/>
        <v>0</v>
      </c>
      <c r="O370" s="13">
        <f t="shared" si="739"/>
        <v>0</v>
      </c>
      <c r="P370" s="13">
        <f t="shared" si="739"/>
        <v>0</v>
      </c>
      <c r="Q370" s="13">
        <f t="shared" si="739"/>
        <v>0</v>
      </c>
      <c r="R370" s="13">
        <f t="shared" si="739"/>
        <v>0</v>
      </c>
      <c r="S370" s="13">
        <f t="shared" si="739"/>
        <v>0</v>
      </c>
      <c r="T370" s="13">
        <f t="shared" si="739"/>
        <v>0</v>
      </c>
      <c r="U370" s="13">
        <f t="shared" si="739"/>
        <v>0</v>
      </c>
      <c r="V370" s="13">
        <f t="shared" si="739"/>
        <v>0</v>
      </c>
      <c r="W370" s="13">
        <f t="shared" si="739"/>
        <v>0</v>
      </c>
      <c r="X370" s="13">
        <f t="shared" si="739"/>
        <v>0</v>
      </c>
      <c r="Y370" s="13">
        <f t="shared" si="739"/>
        <v>0</v>
      </c>
      <c r="Z370" s="13">
        <f t="shared" si="739"/>
        <v>0</v>
      </c>
      <c r="AA370" s="13">
        <f t="shared" si="739"/>
        <v>0</v>
      </c>
      <c r="AB370" s="13">
        <f t="shared" ref="AB370:AP370" si="740">IFERROR(VALUE(RIGHT(LEFT($J370,FIND(AB$1,$J370,IF(M370=0,1,FIND(AB$1,$J370,1)+1))+LEN(AB$1)),1)),0)</f>
        <v>0</v>
      </c>
      <c r="AC370" s="13">
        <f t="shared" si="740"/>
        <v>0</v>
      </c>
      <c r="AD370" s="13">
        <f t="shared" si="740"/>
        <v>1</v>
      </c>
      <c r="AE370" s="13">
        <f t="shared" si="740"/>
        <v>0</v>
      </c>
      <c r="AF370" s="13">
        <f t="shared" si="740"/>
        <v>0</v>
      </c>
      <c r="AG370" s="13">
        <f t="shared" si="740"/>
        <v>0</v>
      </c>
      <c r="AH370" s="13">
        <f t="shared" si="740"/>
        <v>0</v>
      </c>
      <c r="AI370" s="13">
        <f t="shared" si="740"/>
        <v>0</v>
      </c>
      <c r="AJ370" s="13">
        <f t="shared" si="740"/>
        <v>2</v>
      </c>
      <c r="AK370" s="13">
        <f t="shared" si="740"/>
        <v>0</v>
      </c>
      <c r="AL370" s="13">
        <f t="shared" si="740"/>
        <v>0</v>
      </c>
      <c r="AM370" s="13">
        <f t="shared" si="740"/>
        <v>0</v>
      </c>
      <c r="AN370" s="13">
        <f t="shared" si="740"/>
        <v>0</v>
      </c>
      <c r="AO370" s="13">
        <f t="shared" si="740"/>
        <v>0</v>
      </c>
      <c r="AP370" s="13">
        <f t="shared" si="740"/>
        <v>0</v>
      </c>
      <c r="AQ370" s="13" t="s">
        <v>2651</v>
      </c>
      <c r="AR370" s="13"/>
      <c r="AS370" s="13" t="s">
        <v>2652</v>
      </c>
      <c r="AT370" s="13"/>
      <c r="AU370" s="13"/>
      <c r="AV370" s="13"/>
      <c r="AW370" s="13">
        <v>0.0</v>
      </c>
      <c r="AX370" s="13">
        <v>2.0</v>
      </c>
      <c r="AY370" s="13">
        <v>0.0</v>
      </c>
      <c r="AZ370" s="13"/>
      <c r="BA370" s="13"/>
      <c r="BB370" s="13"/>
      <c r="BC370" s="13"/>
      <c r="BD370" s="13"/>
      <c r="BE370" s="13"/>
      <c r="BF370" s="13"/>
      <c r="BG370" s="13"/>
      <c r="BH370" s="13" t="s">
        <v>79</v>
      </c>
      <c r="BI370" s="13" t="b">
        <v>0</v>
      </c>
      <c r="BJ370" s="13">
        <v>0.0</v>
      </c>
      <c r="BK370" s="13">
        <v>0.0</v>
      </c>
    </row>
    <row r="371" ht="14.25" customHeight="1">
      <c r="A371" s="13">
        <v>369.0</v>
      </c>
      <c r="B371" s="13" t="s">
        <v>47</v>
      </c>
      <c r="C371" s="13">
        <v>2.0</v>
      </c>
      <c r="D371" s="14">
        <v>0.0</v>
      </c>
      <c r="E371" s="13" t="s">
        <v>2653</v>
      </c>
      <c r="F371" s="15" t="s">
        <v>667</v>
      </c>
      <c r="G371" s="16" t="s">
        <v>2654</v>
      </c>
      <c r="H371" s="13">
        <v>16.0</v>
      </c>
      <c r="I371" s="13">
        <v>1.1</v>
      </c>
      <c r="J371" s="13" t="s">
        <v>2655</v>
      </c>
      <c r="K371" s="13">
        <f t="shared" si="3"/>
        <v>0</v>
      </c>
      <c r="L371" s="13">
        <f t="shared" si="4"/>
        <v>3</v>
      </c>
      <c r="M371" s="13">
        <f t="shared" ref="M371:AA371" si="741">IFERROR(VALUE(RIGHT(LEFT($J371,FIND(M$1,$J371,1)+LEN(M$1)),1)),0)</f>
        <v>0</v>
      </c>
      <c r="N371" s="13">
        <f t="shared" si="741"/>
        <v>0</v>
      </c>
      <c r="O371" s="13">
        <f t="shared" si="741"/>
        <v>0</v>
      </c>
      <c r="P371" s="13">
        <f t="shared" si="741"/>
        <v>0</v>
      </c>
      <c r="Q371" s="13">
        <f t="shared" si="741"/>
        <v>0</v>
      </c>
      <c r="R371" s="13">
        <f t="shared" si="741"/>
        <v>0</v>
      </c>
      <c r="S371" s="13">
        <f t="shared" si="741"/>
        <v>0</v>
      </c>
      <c r="T371" s="13">
        <f t="shared" si="741"/>
        <v>0</v>
      </c>
      <c r="U371" s="13">
        <f t="shared" si="741"/>
        <v>0</v>
      </c>
      <c r="V371" s="13">
        <f t="shared" si="741"/>
        <v>0</v>
      </c>
      <c r="W371" s="13">
        <f t="shared" si="741"/>
        <v>0</v>
      </c>
      <c r="X371" s="13">
        <f t="shared" si="741"/>
        <v>0</v>
      </c>
      <c r="Y371" s="13">
        <f t="shared" si="741"/>
        <v>0</v>
      </c>
      <c r="Z371" s="13">
        <f t="shared" si="741"/>
        <v>0</v>
      </c>
      <c r="AA371" s="13">
        <f t="shared" si="741"/>
        <v>0</v>
      </c>
      <c r="AB371" s="13">
        <f t="shared" ref="AB371:AP371" si="742">IFERROR(VALUE(RIGHT(LEFT($J371,FIND(AB$1,$J371,IF(M371=0,1,FIND(AB$1,$J371,1)+1))+LEN(AB$1)),1)),0)</f>
        <v>0</v>
      </c>
      <c r="AC371" s="13">
        <f t="shared" si="742"/>
        <v>0</v>
      </c>
      <c r="AD371" s="13">
        <f t="shared" si="742"/>
        <v>0</v>
      </c>
      <c r="AE371" s="13">
        <f t="shared" si="742"/>
        <v>0</v>
      </c>
      <c r="AF371" s="13">
        <f t="shared" si="742"/>
        <v>0</v>
      </c>
      <c r="AG371" s="13">
        <f t="shared" si="742"/>
        <v>1</v>
      </c>
      <c r="AH371" s="13">
        <f t="shared" si="742"/>
        <v>0</v>
      </c>
      <c r="AI371" s="13">
        <f t="shared" si="742"/>
        <v>0</v>
      </c>
      <c r="AJ371" s="13">
        <f t="shared" si="742"/>
        <v>0</v>
      </c>
      <c r="AK371" s="13">
        <f t="shared" si="742"/>
        <v>2</v>
      </c>
      <c r="AL371" s="13">
        <f t="shared" si="742"/>
        <v>0</v>
      </c>
      <c r="AM371" s="13">
        <f t="shared" si="742"/>
        <v>0</v>
      </c>
      <c r="AN371" s="13">
        <f t="shared" si="742"/>
        <v>0</v>
      </c>
      <c r="AO371" s="13">
        <f t="shared" si="742"/>
        <v>0</v>
      </c>
      <c r="AP371" s="13">
        <f t="shared" si="742"/>
        <v>0</v>
      </c>
      <c r="AQ371" s="13"/>
      <c r="AR371" s="13" t="s">
        <v>2656</v>
      </c>
      <c r="AS371" s="13" t="s">
        <v>2657</v>
      </c>
      <c r="AT371" s="13" t="s">
        <v>162</v>
      </c>
      <c r="AU371" s="13" t="s">
        <v>163</v>
      </c>
      <c r="AV371" s="13" t="s">
        <v>2658</v>
      </c>
      <c r="AW371" s="13">
        <v>16.0</v>
      </c>
      <c r="AX371" s="13">
        <v>2.0</v>
      </c>
      <c r="AY371" s="13">
        <v>0.0</v>
      </c>
      <c r="AZ371" s="13" t="s">
        <v>1715</v>
      </c>
      <c r="BA371" s="13" t="s">
        <v>2659</v>
      </c>
      <c r="BB371" s="13"/>
      <c r="BC371" s="13"/>
      <c r="BD371" s="13" t="s">
        <v>1113</v>
      </c>
      <c r="BE371" s="13"/>
      <c r="BF371" s="13" t="s">
        <v>2660</v>
      </c>
      <c r="BG371" s="13" t="s">
        <v>136</v>
      </c>
      <c r="BH371" s="13" t="s">
        <v>79</v>
      </c>
      <c r="BI371" s="13" t="b">
        <v>0</v>
      </c>
      <c r="BJ371" s="13">
        <v>0.0</v>
      </c>
      <c r="BK371" s="13">
        <v>0.0</v>
      </c>
    </row>
    <row r="372" ht="14.25" customHeight="1">
      <c r="A372" s="13">
        <v>370.0</v>
      </c>
      <c r="B372" s="13" t="s">
        <v>47</v>
      </c>
      <c r="C372" s="13">
        <v>2.0</v>
      </c>
      <c r="D372" s="14">
        <v>0.0</v>
      </c>
      <c r="E372" s="13" t="s">
        <v>2661</v>
      </c>
      <c r="F372" s="15" t="s">
        <v>667</v>
      </c>
      <c r="G372" s="16" t="s">
        <v>2662</v>
      </c>
      <c r="H372" s="13">
        <v>17.0</v>
      </c>
      <c r="I372" s="13">
        <v>1.1</v>
      </c>
      <c r="J372" s="13" t="s">
        <v>1099</v>
      </c>
      <c r="K372" s="13">
        <f t="shared" si="3"/>
        <v>0</v>
      </c>
      <c r="L372" s="13">
        <f t="shared" si="4"/>
        <v>3</v>
      </c>
      <c r="M372" s="13">
        <f t="shared" ref="M372:AA372" si="743">IFERROR(VALUE(RIGHT(LEFT($J372,FIND(M$1,$J372,1)+LEN(M$1)),1)),0)</f>
        <v>0</v>
      </c>
      <c r="N372" s="13">
        <f t="shared" si="743"/>
        <v>0</v>
      </c>
      <c r="O372" s="13">
        <f t="shared" si="743"/>
        <v>0</v>
      </c>
      <c r="P372" s="13">
        <f t="shared" si="743"/>
        <v>0</v>
      </c>
      <c r="Q372" s="13">
        <f t="shared" si="743"/>
        <v>0</v>
      </c>
      <c r="R372" s="13">
        <f t="shared" si="743"/>
        <v>0</v>
      </c>
      <c r="S372" s="13">
        <f t="shared" si="743"/>
        <v>0</v>
      </c>
      <c r="T372" s="13">
        <f t="shared" si="743"/>
        <v>0</v>
      </c>
      <c r="U372" s="13">
        <f t="shared" si="743"/>
        <v>0</v>
      </c>
      <c r="V372" s="13">
        <f t="shared" si="743"/>
        <v>0</v>
      </c>
      <c r="W372" s="13">
        <f t="shared" si="743"/>
        <v>0</v>
      </c>
      <c r="X372" s="13">
        <f t="shared" si="743"/>
        <v>0</v>
      </c>
      <c r="Y372" s="13">
        <f t="shared" si="743"/>
        <v>0</v>
      </c>
      <c r="Z372" s="13">
        <f t="shared" si="743"/>
        <v>0</v>
      </c>
      <c r="AA372" s="13">
        <f t="shared" si="743"/>
        <v>0</v>
      </c>
      <c r="AB372" s="13">
        <f t="shared" ref="AB372:AP372" si="744">IFERROR(VALUE(RIGHT(LEFT($J372,FIND(AB$1,$J372,IF(M372=0,1,FIND(AB$1,$J372,1)+1))+LEN(AB$1)),1)),0)</f>
        <v>0</v>
      </c>
      <c r="AC372" s="13">
        <f t="shared" si="744"/>
        <v>0</v>
      </c>
      <c r="AD372" s="13">
        <f t="shared" si="744"/>
        <v>1</v>
      </c>
      <c r="AE372" s="13">
        <f t="shared" si="744"/>
        <v>0</v>
      </c>
      <c r="AF372" s="13">
        <f t="shared" si="744"/>
        <v>0</v>
      </c>
      <c r="AG372" s="13">
        <f t="shared" si="744"/>
        <v>1</v>
      </c>
      <c r="AH372" s="13">
        <f t="shared" si="744"/>
        <v>0</v>
      </c>
      <c r="AI372" s="13">
        <f t="shared" si="744"/>
        <v>0</v>
      </c>
      <c r="AJ372" s="13">
        <f t="shared" si="744"/>
        <v>0</v>
      </c>
      <c r="AK372" s="13">
        <f t="shared" si="744"/>
        <v>1</v>
      </c>
      <c r="AL372" s="13">
        <f t="shared" si="744"/>
        <v>0</v>
      </c>
      <c r="AM372" s="13">
        <f t="shared" si="744"/>
        <v>0</v>
      </c>
      <c r="AN372" s="13">
        <f t="shared" si="744"/>
        <v>0</v>
      </c>
      <c r="AO372" s="13">
        <f t="shared" si="744"/>
        <v>0</v>
      </c>
      <c r="AP372" s="13">
        <f t="shared" si="744"/>
        <v>0</v>
      </c>
      <c r="AQ372" s="13"/>
      <c r="AR372" s="13" t="s">
        <v>140</v>
      </c>
      <c r="AS372" s="13" t="s">
        <v>2663</v>
      </c>
      <c r="AT372" s="13" t="s">
        <v>315</v>
      </c>
      <c r="AU372" s="13" t="s">
        <v>130</v>
      </c>
      <c r="AV372" s="13" t="s">
        <v>2664</v>
      </c>
      <c r="AW372" s="13">
        <v>18.0</v>
      </c>
      <c r="AX372" s="13">
        <v>2.0</v>
      </c>
      <c r="AY372" s="13">
        <v>0.0</v>
      </c>
      <c r="AZ372" s="13" t="s">
        <v>2665</v>
      </c>
      <c r="BA372" s="13" t="s">
        <v>2666</v>
      </c>
      <c r="BB372" s="13"/>
      <c r="BC372" s="13"/>
      <c r="BD372" s="13" t="s">
        <v>484</v>
      </c>
      <c r="BE372" s="13"/>
      <c r="BF372" s="13" t="s">
        <v>2470</v>
      </c>
      <c r="BG372" s="13" t="s">
        <v>136</v>
      </c>
      <c r="BH372" s="13" t="s">
        <v>79</v>
      </c>
      <c r="BI372" s="13" t="b">
        <v>0</v>
      </c>
      <c r="BJ372" s="13">
        <v>0.0</v>
      </c>
      <c r="BK372" s="13">
        <v>0.0</v>
      </c>
    </row>
    <row r="373" ht="14.25" customHeight="1">
      <c r="A373" s="13">
        <v>371.0</v>
      </c>
      <c r="B373" s="13" t="s">
        <v>52</v>
      </c>
      <c r="C373" s="13">
        <v>2.0</v>
      </c>
      <c r="D373" s="14">
        <v>0.0</v>
      </c>
      <c r="E373" s="13" t="s">
        <v>2667</v>
      </c>
      <c r="F373" s="15" t="s">
        <v>667</v>
      </c>
      <c r="G373" s="16" t="s">
        <v>2668</v>
      </c>
      <c r="H373" s="13">
        <v>-9.0</v>
      </c>
      <c r="I373" s="13">
        <v>1.0</v>
      </c>
      <c r="J373" s="13" t="s">
        <v>2669</v>
      </c>
      <c r="K373" s="13">
        <f t="shared" si="3"/>
        <v>0</v>
      </c>
      <c r="L373" s="13">
        <f t="shared" si="4"/>
        <v>3</v>
      </c>
      <c r="M373" s="13">
        <f t="shared" ref="M373:AA373" si="745">IFERROR(VALUE(RIGHT(LEFT($J373,FIND(M$1,$J373,1)+LEN(M$1)),1)),0)</f>
        <v>0</v>
      </c>
      <c r="N373" s="13">
        <f t="shared" si="745"/>
        <v>0</v>
      </c>
      <c r="O373" s="13">
        <f t="shared" si="745"/>
        <v>0</v>
      </c>
      <c r="P373" s="13">
        <f t="shared" si="745"/>
        <v>0</v>
      </c>
      <c r="Q373" s="13">
        <f t="shared" si="745"/>
        <v>0</v>
      </c>
      <c r="R373" s="13">
        <f t="shared" si="745"/>
        <v>0</v>
      </c>
      <c r="S373" s="13">
        <f t="shared" si="745"/>
        <v>0</v>
      </c>
      <c r="T373" s="13">
        <f t="shared" si="745"/>
        <v>0</v>
      </c>
      <c r="U373" s="13">
        <f t="shared" si="745"/>
        <v>0</v>
      </c>
      <c r="V373" s="13">
        <f t="shared" si="745"/>
        <v>0</v>
      </c>
      <c r="W373" s="13">
        <f t="shared" si="745"/>
        <v>0</v>
      </c>
      <c r="X373" s="13">
        <f t="shared" si="745"/>
        <v>0</v>
      </c>
      <c r="Y373" s="13">
        <f t="shared" si="745"/>
        <v>0</v>
      </c>
      <c r="Z373" s="13">
        <f t="shared" si="745"/>
        <v>0</v>
      </c>
      <c r="AA373" s="13">
        <f t="shared" si="745"/>
        <v>0</v>
      </c>
      <c r="AB373" s="13">
        <f t="shared" ref="AB373:AP373" si="746">IFERROR(VALUE(RIGHT(LEFT($J373,FIND(AB$1,$J373,IF(M373=0,1,FIND(AB$1,$J373,1)+1))+LEN(AB$1)),1)),0)</f>
        <v>0</v>
      </c>
      <c r="AC373" s="13">
        <f t="shared" si="746"/>
        <v>0</v>
      </c>
      <c r="AD373" s="13">
        <f t="shared" si="746"/>
        <v>1</v>
      </c>
      <c r="AE373" s="13">
        <f t="shared" si="746"/>
        <v>0</v>
      </c>
      <c r="AF373" s="13">
        <f t="shared" si="746"/>
        <v>1</v>
      </c>
      <c r="AG373" s="13">
        <f t="shared" si="746"/>
        <v>0</v>
      </c>
      <c r="AH373" s="13">
        <f t="shared" si="746"/>
        <v>0</v>
      </c>
      <c r="AI373" s="13">
        <f t="shared" si="746"/>
        <v>0</v>
      </c>
      <c r="AJ373" s="13">
        <f t="shared" si="746"/>
        <v>0</v>
      </c>
      <c r="AK373" s="13">
        <f t="shared" si="746"/>
        <v>0</v>
      </c>
      <c r="AL373" s="13">
        <f t="shared" si="746"/>
        <v>0</v>
      </c>
      <c r="AM373" s="13">
        <f t="shared" si="746"/>
        <v>0</v>
      </c>
      <c r="AN373" s="13">
        <f t="shared" si="746"/>
        <v>0</v>
      </c>
      <c r="AO373" s="13">
        <f t="shared" si="746"/>
        <v>0</v>
      </c>
      <c r="AP373" s="13">
        <f t="shared" si="746"/>
        <v>1</v>
      </c>
      <c r="AQ373" s="13"/>
      <c r="AR373" s="13" t="s">
        <v>2670</v>
      </c>
      <c r="AS373" s="13" t="s">
        <v>2671</v>
      </c>
      <c r="AT373" s="13" t="s">
        <v>1398</v>
      </c>
      <c r="AU373" s="13" t="s">
        <v>130</v>
      </c>
      <c r="AV373" s="13" t="s">
        <v>2672</v>
      </c>
      <c r="AW373" s="13">
        <v>15.0</v>
      </c>
      <c r="AX373" s="13">
        <v>2.0</v>
      </c>
      <c r="AY373" s="13">
        <v>1.0</v>
      </c>
      <c r="AZ373" s="13"/>
      <c r="BA373" s="13"/>
      <c r="BB373" s="13"/>
      <c r="BC373" s="13"/>
      <c r="BD373" s="13" t="s">
        <v>294</v>
      </c>
      <c r="BE373" s="13">
        <v>4.0</v>
      </c>
      <c r="BF373" s="13" t="s">
        <v>2606</v>
      </c>
      <c r="BG373" s="13"/>
      <c r="BH373" s="13" t="s">
        <v>79</v>
      </c>
      <c r="BI373" s="13" t="b">
        <v>0</v>
      </c>
      <c r="BJ373" s="13">
        <v>0.0</v>
      </c>
      <c r="BK373" s="13">
        <v>0.0</v>
      </c>
    </row>
    <row r="374" ht="14.25" customHeight="1">
      <c r="A374" s="13">
        <v>372.0</v>
      </c>
      <c r="B374" s="13" t="s">
        <v>44</v>
      </c>
      <c r="C374" s="13">
        <v>3.0</v>
      </c>
      <c r="D374" s="14">
        <v>0.0</v>
      </c>
      <c r="E374" s="13" t="s">
        <v>2673</v>
      </c>
      <c r="F374" s="15" t="s">
        <v>667</v>
      </c>
      <c r="G374" s="16" t="s">
        <v>2674</v>
      </c>
      <c r="H374" s="13"/>
      <c r="I374" s="13">
        <v>1.0</v>
      </c>
      <c r="J374" s="13" t="s">
        <v>2675</v>
      </c>
      <c r="K374" s="13">
        <f t="shared" si="3"/>
        <v>2</v>
      </c>
      <c r="L374" s="13">
        <f t="shared" si="4"/>
        <v>0</v>
      </c>
      <c r="M374" s="13">
        <f t="shared" ref="M374:AA374" si="747">IFERROR(VALUE(RIGHT(LEFT($J374,FIND(M$1,$J374,1)+LEN(M$1)),1)),0)</f>
        <v>0</v>
      </c>
      <c r="N374" s="13">
        <f t="shared" si="747"/>
        <v>0</v>
      </c>
      <c r="O374" s="13">
        <f t="shared" si="747"/>
        <v>0</v>
      </c>
      <c r="P374" s="13">
        <f t="shared" si="747"/>
        <v>0</v>
      </c>
      <c r="Q374" s="13">
        <f t="shared" si="747"/>
        <v>1</v>
      </c>
      <c r="R374" s="13">
        <f t="shared" si="747"/>
        <v>1</v>
      </c>
      <c r="S374" s="13">
        <f t="shared" si="747"/>
        <v>0</v>
      </c>
      <c r="T374" s="13">
        <f t="shared" si="747"/>
        <v>0</v>
      </c>
      <c r="U374" s="13">
        <f t="shared" si="747"/>
        <v>0</v>
      </c>
      <c r="V374" s="13">
        <f t="shared" si="747"/>
        <v>0</v>
      </c>
      <c r="W374" s="13">
        <f t="shared" si="747"/>
        <v>0</v>
      </c>
      <c r="X374" s="13">
        <f t="shared" si="747"/>
        <v>0</v>
      </c>
      <c r="Y374" s="13">
        <f t="shared" si="747"/>
        <v>0</v>
      </c>
      <c r="Z374" s="13">
        <f t="shared" si="747"/>
        <v>0</v>
      </c>
      <c r="AA374" s="13">
        <f t="shared" si="747"/>
        <v>0</v>
      </c>
      <c r="AB374" s="13">
        <f t="shared" ref="AB374:AP374" si="748">IFERROR(VALUE(RIGHT(LEFT($J374,FIND(AB$1,$J374,IF(M374=0,1,FIND(AB$1,$J374,1)+1))+LEN(AB$1)),1)),0)</f>
        <v>0</v>
      </c>
      <c r="AC374" s="13">
        <f t="shared" si="748"/>
        <v>0</v>
      </c>
      <c r="AD374" s="13">
        <f t="shared" si="748"/>
        <v>0</v>
      </c>
      <c r="AE374" s="13">
        <f t="shared" si="748"/>
        <v>0</v>
      </c>
      <c r="AF374" s="13">
        <f t="shared" si="748"/>
        <v>0</v>
      </c>
      <c r="AG374" s="13">
        <f t="shared" si="748"/>
        <v>0</v>
      </c>
      <c r="AH374" s="13">
        <f t="shared" si="748"/>
        <v>0</v>
      </c>
      <c r="AI374" s="13">
        <f t="shared" si="748"/>
        <v>0</v>
      </c>
      <c r="AJ374" s="13">
        <f t="shared" si="748"/>
        <v>0</v>
      </c>
      <c r="AK374" s="13">
        <f t="shared" si="748"/>
        <v>0</v>
      </c>
      <c r="AL374" s="13">
        <f t="shared" si="748"/>
        <v>0</v>
      </c>
      <c r="AM374" s="13">
        <f t="shared" si="748"/>
        <v>0</v>
      </c>
      <c r="AN374" s="13">
        <f t="shared" si="748"/>
        <v>0</v>
      </c>
      <c r="AO374" s="13">
        <f t="shared" si="748"/>
        <v>0</v>
      </c>
      <c r="AP374" s="13">
        <f t="shared" si="748"/>
        <v>0</v>
      </c>
      <c r="AQ374" s="13" t="s">
        <v>2676</v>
      </c>
      <c r="AR374" s="13"/>
      <c r="AS374" s="13" t="s">
        <v>2677</v>
      </c>
      <c r="AT374" s="13"/>
      <c r="AU374" s="13"/>
      <c r="AV374" s="13"/>
      <c r="AW374" s="13">
        <v>0.0</v>
      </c>
      <c r="AX374" s="13">
        <v>2.0</v>
      </c>
      <c r="AY374" s="13">
        <v>0.0</v>
      </c>
      <c r="AZ374" s="13"/>
      <c r="BA374" s="13"/>
      <c r="BB374" s="13"/>
      <c r="BC374" s="13"/>
      <c r="BD374" s="13"/>
      <c r="BE374" s="13"/>
      <c r="BF374" s="13"/>
      <c r="BG374" s="13"/>
      <c r="BH374" s="13" t="s">
        <v>79</v>
      </c>
      <c r="BI374" s="13" t="b">
        <v>0</v>
      </c>
      <c r="BJ374" s="13">
        <v>0.0</v>
      </c>
      <c r="BK374" s="13">
        <v>0.0</v>
      </c>
    </row>
    <row r="375" ht="14.25" customHeight="1">
      <c r="A375" s="13">
        <v>373.0</v>
      </c>
      <c r="B375" s="13" t="s">
        <v>45</v>
      </c>
      <c r="C375" s="13">
        <v>3.0</v>
      </c>
      <c r="D375" s="14">
        <v>0.0</v>
      </c>
      <c r="E375" s="13" t="s">
        <v>2678</v>
      </c>
      <c r="F375" s="15" t="s">
        <v>667</v>
      </c>
      <c r="G375" s="16" t="s">
        <v>2679</v>
      </c>
      <c r="H375" s="13"/>
      <c r="I375" s="13">
        <v>0.9</v>
      </c>
      <c r="J375" s="13" t="s">
        <v>2680</v>
      </c>
      <c r="K375" s="13">
        <f t="shared" si="3"/>
        <v>1</v>
      </c>
      <c r="L375" s="13">
        <f t="shared" si="4"/>
        <v>2</v>
      </c>
      <c r="M375" s="13">
        <f t="shared" ref="M375:AA375" si="749">IFERROR(VALUE(RIGHT(LEFT($J375,FIND(M$1,$J375,1)+LEN(M$1)),1)),0)</f>
        <v>0</v>
      </c>
      <c r="N375" s="13">
        <f t="shared" si="749"/>
        <v>0</v>
      </c>
      <c r="O375" s="13">
        <f t="shared" si="749"/>
        <v>0</v>
      </c>
      <c r="P375" s="13">
        <f t="shared" si="749"/>
        <v>0</v>
      </c>
      <c r="Q375" s="13">
        <f t="shared" si="749"/>
        <v>0</v>
      </c>
      <c r="R375" s="13">
        <f t="shared" si="749"/>
        <v>0</v>
      </c>
      <c r="S375" s="13">
        <f t="shared" si="749"/>
        <v>0</v>
      </c>
      <c r="T375" s="13">
        <f t="shared" si="749"/>
        <v>1</v>
      </c>
      <c r="U375" s="13">
        <f t="shared" si="749"/>
        <v>0</v>
      </c>
      <c r="V375" s="13">
        <f t="shared" si="749"/>
        <v>0</v>
      </c>
      <c r="W375" s="13">
        <f t="shared" si="749"/>
        <v>0</v>
      </c>
      <c r="X375" s="13">
        <f t="shared" si="749"/>
        <v>0</v>
      </c>
      <c r="Y375" s="13">
        <f t="shared" si="749"/>
        <v>0</v>
      </c>
      <c r="Z375" s="13">
        <f t="shared" si="749"/>
        <v>0</v>
      </c>
      <c r="AA375" s="13">
        <f t="shared" si="749"/>
        <v>0</v>
      </c>
      <c r="AB375" s="13">
        <f t="shared" ref="AB375:AP375" si="750">IFERROR(VALUE(RIGHT(LEFT($J375,FIND(AB$1,$J375,IF(M375=0,1,FIND(AB$1,$J375,1)+1))+LEN(AB$1)),1)),0)</f>
        <v>0</v>
      </c>
      <c r="AC375" s="13">
        <f t="shared" si="750"/>
        <v>0</v>
      </c>
      <c r="AD375" s="13">
        <f t="shared" si="750"/>
        <v>0</v>
      </c>
      <c r="AE375" s="13">
        <f t="shared" si="750"/>
        <v>0</v>
      </c>
      <c r="AF375" s="13">
        <f t="shared" si="750"/>
        <v>1</v>
      </c>
      <c r="AG375" s="13">
        <f t="shared" si="750"/>
        <v>0</v>
      </c>
      <c r="AH375" s="13">
        <f t="shared" si="750"/>
        <v>0</v>
      </c>
      <c r="AI375" s="13">
        <f t="shared" si="750"/>
        <v>1</v>
      </c>
      <c r="AJ375" s="13">
        <f t="shared" si="750"/>
        <v>0</v>
      </c>
      <c r="AK375" s="13">
        <f t="shared" si="750"/>
        <v>0</v>
      </c>
      <c r="AL375" s="13">
        <f t="shared" si="750"/>
        <v>0</v>
      </c>
      <c r="AM375" s="13">
        <f t="shared" si="750"/>
        <v>0</v>
      </c>
      <c r="AN375" s="13">
        <f t="shared" si="750"/>
        <v>0</v>
      </c>
      <c r="AO375" s="13">
        <f t="shared" si="750"/>
        <v>0</v>
      </c>
      <c r="AP375" s="13">
        <f t="shared" si="750"/>
        <v>0</v>
      </c>
      <c r="AQ375" s="13" t="s">
        <v>2681</v>
      </c>
      <c r="AR375" s="13"/>
      <c r="AS375" s="13" t="s">
        <v>2682</v>
      </c>
      <c r="AT375" s="13"/>
      <c r="AU375" s="13"/>
      <c r="AV375" s="13"/>
      <c r="AW375" s="13">
        <v>0.0</v>
      </c>
      <c r="AX375" s="13">
        <v>2.0</v>
      </c>
      <c r="AY375" s="13">
        <v>0.0</v>
      </c>
      <c r="AZ375" s="13"/>
      <c r="BA375" s="13"/>
      <c r="BB375" s="13"/>
      <c r="BC375" s="13"/>
      <c r="BD375" s="13"/>
      <c r="BE375" s="13"/>
      <c r="BF375" s="13"/>
      <c r="BG375" s="13"/>
      <c r="BH375" s="13" t="s">
        <v>79</v>
      </c>
      <c r="BI375" s="13" t="b">
        <v>0</v>
      </c>
      <c r="BJ375" s="13">
        <v>0.0</v>
      </c>
      <c r="BK375" s="13">
        <v>0.0</v>
      </c>
    </row>
    <row r="376" ht="14.25" customHeight="1">
      <c r="A376" s="13">
        <v>374.0</v>
      </c>
      <c r="B376" s="13" t="s">
        <v>46</v>
      </c>
      <c r="C376" s="13">
        <v>3.0</v>
      </c>
      <c r="D376" s="14">
        <v>0.0</v>
      </c>
      <c r="E376" s="13" t="s">
        <v>2683</v>
      </c>
      <c r="F376" s="15" t="s">
        <v>667</v>
      </c>
      <c r="G376" s="16" t="s">
        <v>2684</v>
      </c>
      <c r="H376" s="13"/>
      <c r="I376" s="13">
        <v>1.2</v>
      </c>
      <c r="J376" s="13" t="s">
        <v>2685</v>
      </c>
      <c r="K376" s="13">
        <f t="shared" si="3"/>
        <v>1</v>
      </c>
      <c r="L376" s="13">
        <f t="shared" si="4"/>
        <v>2</v>
      </c>
      <c r="M376" s="13">
        <f t="shared" ref="M376:AA376" si="751">IFERROR(VALUE(RIGHT(LEFT($J376,FIND(M$1,$J376,1)+LEN(M$1)),1)),0)</f>
        <v>0</v>
      </c>
      <c r="N376" s="13">
        <f t="shared" si="751"/>
        <v>0</v>
      </c>
      <c r="O376" s="13">
        <f t="shared" si="751"/>
        <v>1</v>
      </c>
      <c r="P376" s="13">
        <f t="shared" si="751"/>
        <v>0</v>
      </c>
      <c r="Q376" s="13">
        <f t="shared" si="751"/>
        <v>0</v>
      </c>
      <c r="R376" s="13">
        <f t="shared" si="751"/>
        <v>0</v>
      </c>
      <c r="S376" s="13">
        <f t="shared" si="751"/>
        <v>0</v>
      </c>
      <c r="T376" s="13">
        <f t="shared" si="751"/>
        <v>0</v>
      </c>
      <c r="U376" s="13">
        <f t="shared" si="751"/>
        <v>0</v>
      </c>
      <c r="V376" s="13">
        <f t="shared" si="751"/>
        <v>0</v>
      </c>
      <c r="W376" s="13">
        <f t="shared" si="751"/>
        <v>0</v>
      </c>
      <c r="X376" s="13">
        <f t="shared" si="751"/>
        <v>0</v>
      </c>
      <c r="Y376" s="13">
        <f t="shared" si="751"/>
        <v>0</v>
      </c>
      <c r="Z376" s="13">
        <f t="shared" si="751"/>
        <v>0</v>
      </c>
      <c r="AA376" s="13">
        <f t="shared" si="751"/>
        <v>0</v>
      </c>
      <c r="AB376" s="13">
        <f t="shared" ref="AB376:AP376" si="752">IFERROR(VALUE(RIGHT(LEFT($J376,FIND(AB$1,$J376,IF(M376=0,1,FIND(AB$1,$J376,1)+1))+LEN(AB$1)),1)),0)</f>
        <v>0</v>
      </c>
      <c r="AC376" s="13">
        <f t="shared" si="752"/>
        <v>0</v>
      </c>
      <c r="AD376" s="13">
        <f t="shared" si="752"/>
        <v>1</v>
      </c>
      <c r="AE376" s="13">
        <f t="shared" si="752"/>
        <v>0</v>
      </c>
      <c r="AF376" s="13">
        <f t="shared" si="752"/>
        <v>0</v>
      </c>
      <c r="AG376" s="13">
        <f t="shared" si="752"/>
        <v>0</v>
      </c>
      <c r="AH376" s="13">
        <f t="shared" si="752"/>
        <v>0</v>
      </c>
      <c r="AI376" s="13">
        <f t="shared" si="752"/>
        <v>0</v>
      </c>
      <c r="AJ376" s="13">
        <f t="shared" si="752"/>
        <v>1</v>
      </c>
      <c r="AK376" s="13">
        <f t="shared" si="752"/>
        <v>0</v>
      </c>
      <c r="AL376" s="13">
        <f t="shared" si="752"/>
        <v>0</v>
      </c>
      <c r="AM376" s="13">
        <f t="shared" si="752"/>
        <v>0</v>
      </c>
      <c r="AN376" s="13">
        <f t="shared" si="752"/>
        <v>0</v>
      </c>
      <c r="AO376" s="13">
        <f t="shared" si="752"/>
        <v>0</v>
      </c>
      <c r="AP376" s="13">
        <f t="shared" si="752"/>
        <v>0</v>
      </c>
      <c r="AQ376" s="13" t="s">
        <v>2686</v>
      </c>
      <c r="AR376" s="13"/>
      <c r="AS376" s="13" t="s">
        <v>2687</v>
      </c>
      <c r="AT376" s="13"/>
      <c r="AU376" s="13"/>
      <c r="AV376" s="13"/>
      <c r="AW376" s="13">
        <v>0.0</v>
      </c>
      <c r="AX376" s="13">
        <v>2.0</v>
      </c>
      <c r="AY376" s="13">
        <v>0.0</v>
      </c>
      <c r="AZ376" s="13"/>
      <c r="BA376" s="13"/>
      <c r="BB376" s="13"/>
      <c r="BC376" s="13"/>
      <c r="BD376" s="13"/>
      <c r="BE376" s="13"/>
      <c r="BF376" s="13"/>
      <c r="BG376" s="13"/>
      <c r="BH376" s="13" t="s">
        <v>79</v>
      </c>
      <c r="BI376" s="13" t="b">
        <v>0</v>
      </c>
      <c r="BJ376" s="13">
        <v>0.0</v>
      </c>
      <c r="BK376" s="13">
        <v>0.0</v>
      </c>
    </row>
    <row r="377" ht="14.25" customHeight="1">
      <c r="A377" s="13">
        <v>375.0</v>
      </c>
      <c r="B377" s="13" t="s">
        <v>47</v>
      </c>
      <c r="C377" s="13">
        <v>3.0</v>
      </c>
      <c r="D377" s="14">
        <v>0.0</v>
      </c>
      <c r="E377" s="13" t="s">
        <v>2688</v>
      </c>
      <c r="F377" s="15" t="s">
        <v>667</v>
      </c>
      <c r="G377" s="16" t="s">
        <v>2689</v>
      </c>
      <c r="H377" s="13">
        <v>18.0</v>
      </c>
      <c r="I377" s="13">
        <v>1.1</v>
      </c>
      <c r="J377" s="13" t="s">
        <v>2690</v>
      </c>
      <c r="K377" s="13">
        <f t="shared" si="3"/>
        <v>1</v>
      </c>
      <c r="L377" s="13">
        <f t="shared" si="4"/>
        <v>2</v>
      </c>
      <c r="M377" s="13">
        <f t="shared" ref="M377:AA377" si="753">IFERROR(VALUE(RIGHT(LEFT($J377,FIND(M$1,$J377,1)+LEN(M$1)),1)),0)</f>
        <v>0</v>
      </c>
      <c r="N377" s="13">
        <f t="shared" si="753"/>
        <v>0</v>
      </c>
      <c r="O377" s="13">
        <f t="shared" si="753"/>
        <v>0</v>
      </c>
      <c r="P377" s="13">
        <f t="shared" si="753"/>
        <v>0</v>
      </c>
      <c r="Q377" s="13">
        <f t="shared" si="753"/>
        <v>0</v>
      </c>
      <c r="R377" s="13">
        <f t="shared" si="753"/>
        <v>0</v>
      </c>
      <c r="S377" s="13">
        <f t="shared" si="753"/>
        <v>0</v>
      </c>
      <c r="T377" s="13">
        <f t="shared" si="753"/>
        <v>0</v>
      </c>
      <c r="U377" s="13">
        <f t="shared" si="753"/>
        <v>0</v>
      </c>
      <c r="V377" s="13">
        <f t="shared" si="753"/>
        <v>1</v>
      </c>
      <c r="W377" s="13">
        <f t="shared" si="753"/>
        <v>0</v>
      </c>
      <c r="X377" s="13">
        <f t="shared" si="753"/>
        <v>0</v>
      </c>
      <c r="Y377" s="13">
        <f t="shared" si="753"/>
        <v>0</v>
      </c>
      <c r="Z377" s="13">
        <f t="shared" si="753"/>
        <v>0</v>
      </c>
      <c r="AA377" s="13">
        <f t="shared" si="753"/>
        <v>0</v>
      </c>
      <c r="AB377" s="13">
        <f t="shared" ref="AB377:AP377" si="754">IFERROR(VALUE(RIGHT(LEFT($J377,FIND(AB$1,$J377,IF(M377=0,1,FIND(AB$1,$J377,1)+1))+LEN(AB$1)),1)),0)</f>
        <v>0</v>
      </c>
      <c r="AC377" s="13">
        <f t="shared" si="754"/>
        <v>0</v>
      </c>
      <c r="AD377" s="13">
        <f t="shared" si="754"/>
        <v>0</v>
      </c>
      <c r="AE377" s="13">
        <f t="shared" si="754"/>
        <v>0</v>
      </c>
      <c r="AF377" s="13">
        <f t="shared" si="754"/>
        <v>0</v>
      </c>
      <c r="AG377" s="13">
        <f t="shared" si="754"/>
        <v>1</v>
      </c>
      <c r="AH377" s="13">
        <f t="shared" si="754"/>
        <v>0</v>
      </c>
      <c r="AI377" s="13">
        <f t="shared" si="754"/>
        <v>0</v>
      </c>
      <c r="AJ377" s="13">
        <f t="shared" si="754"/>
        <v>0</v>
      </c>
      <c r="AK377" s="13">
        <f t="shared" si="754"/>
        <v>1</v>
      </c>
      <c r="AL377" s="13">
        <f t="shared" si="754"/>
        <v>0</v>
      </c>
      <c r="AM377" s="13">
        <f t="shared" si="754"/>
        <v>0</v>
      </c>
      <c r="AN377" s="13">
        <f t="shared" si="754"/>
        <v>0</v>
      </c>
      <c r="AO377" s="13">
        <f t="shared" si="754"/>
        <v>0</v>
      </c>
      <c r="AP377" s="13">
        <f t="shared" si="754"/>
        <v>0</v>
      </c>
      <c r="AQ377" s="13"/>
      <c r="AR377" s="13" t="s">
        <v>2691</v>
      </c>
      <c r="AS377" s="13" t="s">
        <v>2692</v>
      </c>
      <c r="AT377" s="13" t="s">
        <v>162</v>
      </c>
      <c r="AU377" s="13" t="s">
        <v>236</v>
      </c>
      <c r="AV377" s="13" t="s">
        <v>2693</v>
      </c>
      <c r="AW377" s="13">
        <v>20.0</v>
      </c>
      <c r="AX377" s="13">
        <v>2.0</v>
      </c>
      <c r="AY377" s="13">
        <v>0.0</v>
      </c>
      <c r="AZ377" s="13" t="s">
        <v>2694</v>
      </c>
      <c r="BA377" s="13" t="s">
        <v>2695</v>
      </c>
      <c r="BB377" s="13"/>
      <c r="BC377" s="13"/>
      <c r="BD377" s="13" t="s">
        <v>1113</v>
      </c>
      <c r="BE377" s="13"/>
      <c r="BF377" s="13" t="s">
        <v>1881</v>
      </c>
      <c r="BG377" s="13" t="s">
        <v>136</v>
      </c>
      <c r="BH377" s="13" t="s">
        <v>241</v>
      </c>
      <c r="BI377" s="13" t="b">
        <v>0</v>
      </c>
      <c r="BJ377" s="13">
        <v>0.0</v>
      </c>
      <c r="BK377" s="13">
        <v>0.0</v>
      </c>
    </row>
    <row r="378" ht="14.25" customHeight="1">
      <c r="A378" s="13">
        <v>376.0</v>
      </c>
      <c r="B378" s="13" t="s">
        <v>47</v>
      </c>
      <c r="C378" s="13">
        <v>3.0</v>
      </c>
      <c r="D378" s="14">
        <v>0.0</v>
      </c>
      <c r="E378" s="13" t="s">
        <v>2696</v>
      </c>
      <c r="F378" s="15" t="s">
        <v>667</v>
      </c>
      <c r="G378" s="16" t="s">
        <v>2697</v>
      </c>
      <c r="H378" s="13">
        <v>14.0</v>
      </c>
      <c r="I378" s="13">
        <v>0.9</v>
      </c>
      <c r="J378" s="13" t="s">
        <v>2698</v>
      </c>
      <c r="K378" s="13">
        <f t="shared" si="3"/>
        <v>0</v>
      </c>
      <c r="L378" s="13">
        <f t="shared" si="4"/>
        <v>2</v>
      </c>
      <c r="M378" s="13">
        <f t="shared" ref="M378:AA378" si="755">IFERROR(VALUE(RIGHT(LEFT($J378,FIND(M$1,$J378,1)+LEN(M$1)),1)),0)</f>
        <v>0</v>
      </c>
      <c r="N378" s="13">
        <f t="shared" si="755"/>
        <v>0</v>
      </c>
      <c r="O378" s="13">
        <f t="shared" si="755"/>
        <v>0</v>
      </c>
      <c r="P378" s="13">
        <f t="shared" si="755"/>
        <v>0</v>
      </c>
      <c r="Q378" s="13">
        <f t="shared" si="755"/>
        <v>0</v>
      </c>
      <c r="R378" s="13">
        <f t="shared" si="755"/>
        <v>0</v>
      </c>
      <c r="S378" s="13">
        <f t="shared" si="755"/>
        <v>0</v>
      </c>
      <c r="T378" s="13">
        <f t="shared" si="755"/>
        <v>0</v>
      </c>
      <c r="U378" s="13">
        <f t="shared" si="755"/>
        <v>0</v>
      </c>
      <c r="V378" s="13">
        <f t="shared" si="755"/>
        <v>0</v>
      </c>
      <c r="W378" s="13">
        <f t="shared" si="755"/>
        <v>0</v>
      </c>
      <c r="X378" s="13">
        <f t="shared" si="755"/>
        <v>0</v>
      </c>
      <c r="Y378" s="13">
        <f t="shared" si="755"/>
        <v>0</v>
      </c>
      <c r="Z378" s="13">
        <f t="shared" si="755"/>
        <v>0</v>
      </c>
      <c r="AA378" s="13">
        <f t="shared" si="755"/>
        <v>0</v>
      </c>
      <c r="AB378" s="13">
        <f t="shared" ref="AB378:AP378" si="756">IFERROR(VALUE(RIGHT(LEFT($J378,FIND(AB$1,$J378,IF(M378=0,1,FIND(AB$1,$J378,1)+1))+LEN(AB$1)),1)),0)</f>
        <v>0</v>
      </c>
      <c r="AC378" s="13">
        <f t="shared" si="756"/>
        <v>0</v>
      </c>
      <c r="AD378" s="13">
        <f t="shared" si="756"/>
        <v>1</v>
      </c>
      <c r="AE378" s="13">
        <f t="shared" si="756"/>
        <v>0</v>
      </c>
      <c r="AF378" s="13">
        <f t="shared" si="756"/>
        <v>0</v>
      </c>
      <c r="AG378" s="13">
        <f t="shared" si="756"/>
        <v>0</v>
      </c>
      <c r="AH378" s="13">
        <f t="shared" si="756"/>
        <v>0</v>
      </c>
      <c r="AI378" s="13">
        <f t="shared" si="756"/>
        <v>0</v>
      </c>
      <c r="AJ378" s="13">
        <f t="shared" si="756"/>
        <v>0</v>
      </c>
      <c r="AK378" s="13">
        <f t="shared" si="756"/>
        <v>1</v>
      </c>
      <c r="AL378" s="13">
        <f t="shared" si="756"/>
        <v>0</v>
      </c>
      <c r="AM378" s="13">
        <f t="shared" si="756"/>
        <v>0</v>
      </c>
      <c r="AN378" s="13">
        <f t="shared" si="756"/>
        <v>0</v>
      </c>
      <c r="AO378" s="13">
        <f t="shared" si="756"/>
        <v>0</v>
      </c>
      <c r="AP378" s="13">
        <f t="shared" si="756"/>
        <v>0</v>
      </c>
      <c r="AQ378" s="13"/>
      <c r="AR378" s="13" t="s">
        <v>2699</v>
      </c>
      <c r="AS378" s="13" t="s">
        <v>2700</v>
      </c>
      <c r="AT378" s="13" t="s">
        <v>175</v>
      </c>
      <c r="AU378" s="13" t="s">
        <v>143</v>
      </c>
      <c r="AV378" s="13" t="s">
        <v>2701</v>
      </c>
      <c r="AW378" s="13">
        <v>17.0</v>
      </c>
      <c r="AX378" s="13">
        <v>2.0</v>
      </c>
      <c r="AY378" s="13">
        <v>0.0</v>
      </c>
      <c r="AZ378" s="13" t="s">
        <v>1087</v>
      </c>
      <c r="BA378" s="13" t="s">
        <v>2702</v>
      </c>
      <c r="BB378" s="13"/>
      <c r="BC378" s="13"/>
      <c r="BD378" s="13" t="s">
        <v>484</v>
      </c>
      <c r="BE378" s="13"/>
      <c r="BF378" s="13" t="s">
        <v>2463</v>
      </c>
      <c r="BG378" s="13" t="s">
        <v>136</v>
      </c>
      <c r="BH378" s="13" t="s">
        <v>79</v>
      </c>
      <c r="BI378" s="13" t="b">
        <v>0</v>
      </c>
      <c r="BJ378" s="13">
        <v>0.0</v>
      </c>
      <c r="BK378" s="13">
        <v>0.0</v>
      </c>
    </row>
    <row r="379" ht="14.25" customHeight="1">
      <c r="A379" s="13">
        <v>377.0</v>
      </c>
      <c r="B379" s="13" t="s">
        <v>52</v>
      </c>
      <c r="C379" s="13">
        <v>3.0</v>
      </c>
      <c r="D379" s="14">
        <v>0.0</v>
      </c>
      <c r="E379" s="13" t="s">
        <v>2703</v>
      </c>
      <c r="F379" s="15" t="s">
        <v>667</v>
      </c>
      <c r="G379" s="16" t="s">
        <v>2704</v>
      </c>
      <c r="H379" s="13">
        <v>-12.0</v>
      </c>
      <c r="I379" s="13">
        <v>1.1</v>
      </c>
      <c r="J379" s="13" t="s">
        <v>2705</v>
      </c>
      <c r="K379" s="13">
        <f t="shared" si="3"/>
        <v>1</v>
      </c>
      <c r="L379" s="13">
        <f t="shared" si="4"/>
        <v>1</v>
      </c>
      <c r="M379" s="13">
        <f t="shared" ref="M379:AA379" si="757">IFERROR(VALUE(RIGHT(LEFT($J379,FIND(M$1,$J379,1)+LEN(M$1)),1)),0)</f>
        <v>0</v>
      </c>
      <c r="N379" s="13">
        <f t="shared" si="757"/>
        <v>0</v>
      </c>
      <c r="O379" s="13">
        <f t="shared" si="757"/>
        <v>1</v>
      </c>
      <c r="P379" s="13">
        <f t="shared" si="757"/>
        <v>0</v>
      </c>
      <c r="Q379" s="13">
        <f t="shared" si="757"/>
        <v>0</v>
      </c>
      <c r="R379" s="13">
        <f t="shared" si="757"/>
        <v>0</v>
      </c>
      <c r="S379" s="13">
        <f t="shared" si="757"/>
        <v>0</v>
      </c>
      <c r="T379" s="13">
        <f t="shared" si="757"/>
        <v>0</v>
      </c>
      <c r="U379" s="13">
        <f t="shared" si="757"/>
        <v>0</v>
      </c>
      <c r="V379" s="13">
        <f t="shared" si="757"/>
        <v>0</v>
      </c>
      <c r="W379" s="13">
        <f t="shared" si="757"/>
        <v>0</v>
      </c>
      <c r="X379" s="13">
        <f t="shared" si="757"/>
        <v>0</v>
      </c>
      <c r="Y379" s="13">
        <f t="shared" si="757"/>
        <v>0</v>
      </c>
      <c r="Z379" s="13">
        <f t="shared" si="757"/>
        <v>0</v>
      </c>
      <c r="AA379" s="13">
        <f t="shared" si="757"/>
        <v>0</v>
      </c>
      <c r="AB379" s="13">
        <f t="shared" ref="AB379:AP379" si="758">IFERROR(VALUE(RIGHT(LEFT($J379,FIND(AB$1,$J379,IF(M379=0,1,FIND(AB$1,$J379,1)+1))+LEN(AB$1)),1)),0)</f>
        <v>0</v>
      </c>
      <c r="AC379" s="13">
        <f t="shared" si="758"/>
        <v>0</v>
      </c>
      <c r="AD379" s="13">
        <f t="shared" si="758"/>
        <v>0</v>
      </c>
      <c r="AE379" s="13">
        <f t="shared" si="758"/>
        <v>0</v>
      </c>
      <c r="AF379" s="13">
        <f t="shared" si="758"/>
        <v>0</v>
      </c>
      <c r="AG379" s="13">
        <f t="shared" si="758"/>
        <v>0</v>
      </c>
      <c r="AH379" s="13">
        <f t="shared" si="758"/>
        <v>0</v>
      </c>
      <c r="AI379" s="13">
        <f t="shared" si="758"/>
        <v>0</v>
      </c>
      <c r="AJ379" s="13">
        <f t="shared" si="758"/>
        <v>0</v>
      </c>
      <c r="AK379" s="13">
        <f t="shared" si="758"/>
        <v>0</v>
      </c>
      <c r="AL379" s="13">
        <f t="shared" si="758"/>
        <v>0</v>
      </c>
      <c r="AM379" s="13">
        <f t="shared" si="758"/>
        <v>0</v>
      </c>
      <c r="AN379" s="13">
        <f t="shared" si="758"/>
        <v>0</v>
      </c>
      <c r="AO379" s="13">
        <f t="shared" si="758"/>
        <v>0</v>
      </c>
      <c r="AP379" s="13">
        <f t="shared" si="758"/>
        <v>1</v>
      </c>
      <c r="AQ379" s="13"/>
      <c r="AR379" s="13" t="s">
        <v>2706</v>
      </c>
      <c r="AS379" s="13" t="s">
        <v>2707</v>
      </c>
      <c r="AT379" s="13" t="s">
        <v>2708</v>
      </c>
      <c r="AU379" s="13" t="s">
        <v>130</v>
      </c>
      <c r="AV379" s="13" t="s">
        <v>2709</v>
      </c>
      <c r="AW379" s="13">
        <v>21.0</v>
      </c>
      <c r="AX379" s="13">
        <v>2.0</v>
      </c>
      <c r="AY379" s="13">
        <v>1.0</v>
      </c>
      <c r="AZ379" s="13"/>
      <c r="BA379" s="13"/>
      <c r="BB379" s="13"/>
      <c r="BC379" s="13"/>
      <c r="BD379" s="13" t="s">
        <v>294</v>
      </c>
      <c r="BE379" s="13" t="s">
        <v>2545</v>
      </c>
      <c r="BF379" s="13" t="s">
        <v>2606</v>
      </c>
      <c r="BG379" s="13"/>
      <c r="BH379" s="13" t="s">
        <v>79</v>
      </c>
      <c r="BI379" s="13" t="b">
        <v>0</v>
      </c>
      <c r="BJ379" s="13">
        <v>0.0</v>
      </c>
      <c r="BK379" s="13">
        <v>0.0</v>
      </c>
    </row>
    <row r="380" ht="14.25" customHeight="1">
      <c r="A380" s="13">
        <v>378.0</v>
      </c>
      <c r="B380" s="13" t="s">
        <v>44</v>
      </c>
      <c r="C380" s="13">
        <v>4.0</v>
      </c>
      <c r="D380" s="14">
        <v>0.0</v>
      </c>
      <c r="E380" s="13" t="s">
        <v>2710</v>
      </c>
      <c r="F380" s="15" t="s">
        <v>667</v>
      </c>
      <c r="G380" s="16" t="s">
        <v>2711</v>
      </c>
      <c r="H380" s="13"/>
      <c r="I380" s="13">
        <v>1.0</v>
      </c>
      <c r="J380" s="13" t="s">
        <v>2712</v>
      </c>
      <c r="K380" s="13">
        <f t="shared" si="3"/>
        <v>0</v>
      </c>
      <c r="L380" s="13">
        <f t="shared" si="4"/>
        <v>2</v>
      </c>
      <c r="M380" s="13">
        <f t="shared" ref="M380:AA380" si="759">IFERROR(VALUE(RIGHT(LEFT($J380,FIND(M$1,$J380,1)+LEN(M$1)),1)),0)</f>
        <v>0</v>
      </c>
      <c r="N380" s="13">
        <f t="shared" si="759"/>
        <v>0</v>
      </c>
      <c r="O380" s="13">
        <f t="shared" si="759"/>
        <v>0</v>
      </c>
      <c r="P380" s="13">
        <f t="shared" si="759"/>
        <v>0</v>
      </c>
      <c r="Q380" s="13">
        <f t="shared" si="759"/>
        <v>0</v>
      </c>
      <c r="R380" s="13">
        <f t="shared" si="759"/>
        <v>0</v>
      </c>
      <c r="S380" s="13">
        <f t="shared" si="759"/>
        <v>0</v>
      </c>
      <c r="T380" s="13">
        <f t="shared" si="759"/>
        <v>0</v>
      </c>
      <c r="U380" s="13">
        <f t="shared" si="759"/>
        <v>0</v>
      </c>
      <c r="V380" s="13">
        <f t="shared" si="759"/>
        <v>0</v>
      </c>
      <c r="W380" s="13">
        <f t="shared" si="759"/>
        <v>0</v>
      </c>
      <c r="X380" s="13">
        <f t="shared" si="759"/>
        <v>0</v>
      </c>
      <c r="Y380" s="13">
        <f t="shared" si="759"/>
        <v>0</v>
      </c>
      <c r="Z380" s="13">
        <f t="shared" si="759"/>
        <v>0</v>
      </c>
      <c r="AA380" s="13">
        <f t="shared" si="759"/>
        <v>0</v>
      </c>
      <c r="AB380" s="13">
        <f t="shared" ref="AB380:AP380" si="760">IFERROR(VALUE(RIGHT(LEFT($J380,FIND(AB$1,$J380,IF(M380=0,1,FIND(AB$1,$J380,1)+1))+LEN(AB$1)),1)),0)</f>
        <v>0</v>
      </c>
      <c r="AC380" s="13">
        <f t="shared" si="760"/>
        <v>0</v>
      </c>
      <c r="AD380" s="13">
        <f t="shared" si="760"/>
        <v>0</v>
      </c>
      <c r="AE380" s="13">
        <f t="shared" si="760"/>
        <v>0</v>
      </c>
      <c r="AF380" s="13">
        <f t="shared" si="760"/>
        <v>0</v>
      </c>
      <c r="AG380" s="13">
        <f t="shared" si="760"/>
        <v>0</v>
      </c>
      <c r="AH380" s="13">
        <f t="shared" si="760"/>
        <v>2</v>
      </c>
      <c r="AI380" s="13">
        <f t="shared" si="760"/>
        <v>0</v>
      </c>
      <c r="AJ380" s="13">
        <f t="shared" si="760"/>
        <v>0</v>
      </c>
      <c r="AK380" s="13">
        <f t="shared" si="760"/>
        <v>0</v>
      </c>
      <c r="AL380" s="13">
        <f t="shared" si="760"/>
        <v>0</v>
      </c>
      <c r="AM380" s="13">
        <f t="shared" si="760"/>
        <v>0</v>
      </c>
      <c r="AN380" s="13">
        <f t="shared" si="760"/>
        <v>0</v>
      </c>
      <c r="AO380" s="13">
        <f t="shared" si="760"/>
        <v>0</v>
      </c>
      <c r="AP380" s="13">
        <f t="shared" si="760"/>
        <v>0</v>
      </c>
      <c r="AQ380" s="13" t="s">
        <v>2713</v>
      </c>
      <c r="AR380" s="13"/>
      <c r="AS380" s="13" t="s">
        <v>2714</v>
      </c>
      <c r="AT380" s="13"/>
      <c r="AU380" s="13"/>
      <c r="AV380" s="13"/>
      <c r="AW380" s="13">
        <v>0.0</v>
      </c>
      <c r="AX380" s="13">
        <v>2.0</v>
      </c>
      <c r="AY380" s="13">
        <v>0.0</v>
      </c>
      <c r="AZ380" s="13"/>
      <c r="BA380" s="13"/>
      <c r="BB380" s="13"/>
      <c r="BC380" s="13"/>
      <c r="BD380" s="13"/>
      <c r="BE380" s="13"/>
      <c r="BF380" s="13"/>
      <c r="BG380" s="13"/>
      <c r="BH380" s="13" t="s">
        <v>79</v>
      </c>
      <c r="BI380" s="13" t="b">
        <v>0</v>
      </c>
      <c r="BJ380" s="13">
        <v>0.0</v>
      </c>
      <c r="BK380" s="13">
        <v>0.0</v>
      </c>
    </row>
    <row r="381" ht="14.25" customHeight="1">
      <c r="A381" s="13">
        <v>379.0</v>
      </c>
      <c r="B381" s="13" t="s">
        <v>46</v>
      </c>
      <c r="C381" s="13">
        <v>4.0</v>
      </c>
      <c r="D381" s="14">
        <v>0.0</v>
      </c>
      <c r="E381" s="13" t="s">
        <v>2715</v>
      </c>
      <c r="F381" s="15" t="s">
        <v>667</v>
      </c>
      <c r="G381" s="16" t="s">
        <v>2716</v>
      </c>
      <c r="H381" s="13"/>
      <c r="I381" s="13">
        <v>1.2</v>
      </c>
      <c r="J381" s="13" t="s">
        <v>2717</v>
      </c>
      <c r="K381" s="13">
        <f t="shared" si="3"/>
        <v>2</v>
      </c>
      <c r="L381" s="13">
        <f t="shared" si="4"/>
        <v>0</v>
      </c>
      <c r="M381" s="13">
        <f t="shared" ref="M381:AA381" si="761">IFERROR(VALUE(RIGHT(LEFT($J381,FIND(M$1,$J381,1)+LEN(M$1)),1)),0)</f>
        <v>0</v>
      </c>
      <c r="N381" s="13">
        <f t="shared" si="761"/>
        <v>0</v>
      </c>
      <c r="O381" s="13">
        <f t="shared" si="761"/>
        <v>1</v>
      </c>
      <c r="P381" s="13">
        <f t="shared" si="761"/>
        <v>0</v>
      </c>
      <c r="Q381" s="13">
        <f t="shared" si="761"/>
        <v>1</v>
      </c>
      <c r="R381" s="13">
        <f t="shared" si="761"/>
        <v>0</v>
      </c>
      <c r="S381" s="13">
        <f t="shared" si="761"/>
        <v>0</v>
      </c>
      <c r="T381" s="13">
        <f t="shared" si="761"/>
        <v>0</v>
      </c>
      <c r="U381" s="13">
        <f t="shared" si="761"/>
        <v>0</v>
      </c>
      <c r="V381" s="13">
        <f t="shared" si="761"/>
        <v>0</v>
      </c>
      <c r="W381" s="13">
        <f t="shared" si="761"/>
        <v>0</v>
      </c>
      <c r="X381" s="13">
        <f t="shared" si="761"/>
        <v>0</v>
      </c>
      <c r="Y381" s="13">
        <f t="shared" si="761"/>
        <v>0</v>
      </c>
      <c r="Z381" s="13">
        <f t="shared" si="761"/>
        <v>0</v>
      </c>
      <c r="AA381" s="13">
        <f t="shared" si="761"/>
        <v>0</v>
      </c>
      <c r="AB381" s="13">
        <f t="shared" ref="AB381:AP381" si="762">IFERROR(VALUE(RIGHT(LEFT($J381,FIND(AB$1,$J381,IF(M381=0,1,FIND(AB$1,$J381,1)+1))+LEN(AB$1)),1)),0)</f>
        <v>0</v>
      </c>
      <c r="AC381" s="13">
        <f t="shared" si="762"/>
        <v>0</v>
      </c>
      <c r="AD381" s="13">
        <f t="shared" si="762"/>
        <v>0</v>
      </c>
      <c r="AE381" s="13">
        <f t="shared" si="762"/>
        <v>0</v>
      </c>
      <c r="AF381" s="13">
        <f t="shared" si="762"/>
        <v>0</v>
      </c>
      <c r="AG381" s="13">
        <f t="shared" si="762"/>
        <v>0</v>
      </c>
      <c r="AH381" s="13">
        <f t="shared" si="762"/>
        <v>0</v>
      </c>
      <c r="AI381" s="13">
        <f t="shared" si="762"/>
        <v>0</v>
      </c>
      <c r="AJ381" s="13">
        <f t="shared" si="762"/>
        <v>0</v>
      </c>
      <c r="AK381" s="13">
        <f t="shared" si="762"/>
        <v>0</v>
      </c>
      <c r="AL381" s="13">
        <f t="shared" si="762"/>
        <v>0</v>
      </c>
      <c r="AM381" s="13">
        <f t="shared" si="762"/>
        <v>0</v>
      </c>
      <c r="AN381" s="13">
        <f t="shared" si="762"/>
        <v>0</v>
      </c>
      <c r="AO381" s="13">
        <f t="shared" si="762"/>
        <v>0</v>
      </c>
      <c r="AP381" s="13">
        <f t="shared" si="762"/>
        <v>0</v>
      </c>
      <c r="AQ381" s="13" t="s">
        <v>2718</v>
      </c>
      <c r="AR381" s="13"/>
      <c r="AS381" s="13" t="s">
        <v>2719</v>
      </c>
      <c r="AT381" s="13"/>
      <c r="AU381" s="13"/>
      <c r="AV381" s="13"/>
      <c r="AW381" s="13">
        <v>0.0</v>
      </c>
      <c r="AX381" s="13">
        <v>2.0</v>
      </c>
      <c r="AY381" s="13">
        <v>0.0</v>
      </c>
      <c r="AZ381" s="13"/>
      <c r="BA381" s="13"/>
      <c r="BB381" s="13"/>
      <c r="BC381" s="13"/>
      <c r="BD381" s="13"/>
      <c r="BE381" s="13"/>
      <c r="BF381" s="13"/>
      <c r="BG381" s="13"/>
      <c r="BH381" s="13" t="s">
        <v>79</v>
      </c>
      <c r="BI381" s="13" t="b">
        <v>0</v>
      </c>
      <c r="BJ381" s="13">
        <v>0.0</v>
      </c>
      <c r="BK381" s="13">
        <v>0.0</v>
      </c>
    </row>
    <row r="382" ht="14.25" customHeight="1">
      <c r="A382" s="13">
        <v>380.0</v>
      </c>
      <c r="B382" s="13" t="s">
        <v>47</v>
      </c>
      <c r="C382" s="13">
        <v>4.0</v>
      </c>
      <c r="D382" s="14">
        <v>0.0</v>
      </c>
      <c r="E382" s="13" t="s">
        <v>2720</v>
      </c>
      <c r="F382" s="15" t="s">
        <v>667</v>
      </c>
      <c r="G382" s="16" t="s">
        <v>2721</v>
      </c>
      <c r="H382" s="13">
        <v>12.0</v>
      </c>
      <c r="I382" s="13">
        <v>1.0</v>
      </c>
      <c r="J382" s="13" t="s">
        <v>2722</v>
      </c>
      <c r="K382" s="13">
        <f t="shared" si="3"/>
        <v>2</v>
      </c>
      <c r="L382" s="13">
        <f t="shared" si="4"/>
        <v>1</v>
      </c>
      <c r="M382" s="13">
        <f t="shared" ref="M382:AA382" si="763">IFERROR(VALUE(RIGHT(LEFT($J382,FIND(M$1,$J382,1)+LEN(M$1)),1)),0)</f>
        <v>0</v>
      </c>
      <c r="N382" s="13">
        <f t="shared" si="763"/>
        <v>0</v>
      </c>
      <c r="O382" s="13">
        <f t="shared" si="763"/>
        <v>0</v>
      </c>
      <c r="P382" s="13">
        <f t="shared" si="763"/>
        <v>0</v>
      </c>
      <c r="Q382" s="13">
        <f t="shared" si="763"/>
        <v>0</v>
      </c>
      <c r="R382" s="13">
        <f t="shared" si="763"/>
        <v>1</v>
      </c>
      <c r="S382" s="13">
        <f t="shared" si="763"/>
        <v>1</v>
      </c>
      <c r="T382" s="13">
        <f t="shared" si="763"/>
        <v>0</v>
      </c>
      <c r="U382" s="13">
        <f t="shared" si="763"/>
        <v>0</v>
      </c>
      <c r="V382" s="13">
        <f t="shared" si="763"/>
        <v>0</v>
      </c>
      <c r="W382" s="13">
        <f t="shared" si="763"/>
        <v>0</v>
      </c>
      <c r="X382" s="13">
        <f t="shared" si="763"/>
        <v>0</v>
      </c>
      <c r="Y382" s="13">
        <f t="shared" si="763"/>
        <v>0</v>
      </c>
      <c r="Z382" s="13">
        <f t="shared" si="763"/>
        <v>0</v>
      </c>
      <c r="AA382" s="13">
        <f t="shared" si="763"/>
        <v>0</v>
      </c>
      <c r="AB382" s="13">
        <f t="shared" ref="AB382:AP382" si="764">IFERROR(VALUE(RIGHT(LEFT($J382,FIND(AB$1,$J382,IF(M382=0,1,FIND(AB$1,$J382,1)+1))+LEN(AB$1)),1)),0)</f>
        <v>0</v>
      </c>
      <c r="AC382" s="13">
        <f t="shared" si="764"/>
        <v>0</v>
      </c>
      <c r="AD382" s="13">
        <f t="shared" si="764"/>
        <v>0</v>
      </c>
      <c r="AE382" s="13">
        <f t="shared" si="764"/>
        <v>0</v>
      </c>
      <c r="AF382" s="13">
        <f t="shared" si="764"/>
        <v>1</v>
      </c>
      <c r="AG382" s="13">
        <f t="shared" si="764"/>
        <v>0</v>
      </c>
      <c r="AH382" s="13">
        <f t="shared" si="764"/>
        <v>0</v>
      </c>
      <c r="AI382" s="13">
        <f t="shared" si="764"/>
        <v>0</v>
      </c>
      <c r="AJ382" s="13">
        <f t="shared" si="764"/>
        <v>0</v>
      </c>
      <c r="AK382" s="13">
        <f t="shared" si="764"/>
        <v>0</v>
      </c>
      <c r="AL382" s="13">
        <f t="shared" si="764"/>
        <v>0</v>
      </c>
      <c r="AM382" s="13">
        <f t="shared" si="764"/>
        <v>0</v>
      </c>
      <c r="AN382" s="13">
        <f t="shared" si="764"/>
        <v>0</v>
      </c>
      <c r="AO382" s="13">
        <f t="shared" si="764"/>
        <v>0</v>
      </c>
      <c r="AP382" s="13">
        <f t="shared" si="764"/>
        <v>0</v>
      </c>
      <c r="AQ382" s="13"/>
      <c r="AR382" s="13" t="s">
        <v>2723</v>
      </c>
      <c r="AS382" s="13" t="s">
        <v>2724</v>
      </c>
      <c r="AT382" s="13" t="s">
        <v>162</v>
      </c>
      <c r="AU382" s="13" t="s">
        <v>195</v>
      </c>
      <c r="AV382" s="13" t="s">
        <v>2725</v>
      </c>
      <c r="AW382" s="13">
        <v>22.0</v>
      </c>
      <c r="AX382" s="13">
        <v>2.0</v>
      </c>
      <c r="AY382" s="13">
        <v>0.0</v>
      </c>
      <c r="AZ382" s="13" t="s">
        <v>2726</v>
      </c>
      <c r="BA382" s="13" t="s">
        <v>2014</v>
      </c>
      <c r="BB382" s="13"/>
      <c r="BC382" s="13"/>
      <c r="BD382" s="13" t="s">
        <v>1113</v>
      </c>
      <c r="BE382" s="13"/>
      <c r="BF382" s="13" t="s">
        <v>2727</v>
      </c>
      <c r="BG382" s="13" t="s">
        <v>136</v>
      </c>
      <c r="BH382" s="13" t="s">
        <v>79</v>
      </c>
      <c r="BI382" s="13" t="b">
        <v>0</v>
      </c>
      <c r="BJ382" s="13">
        <v>0.0</v>
      </c>
      <c r="BK382" s="13">
        <v>0.0</v>
      </c>
    </row>
    <row r="383" ht="14.25" customHeight="1">
      <c r="A383" s="13">
        <v>381.0</v>
      </c>
      <c r="B383" s="13" t="s">
        <v>47</v>
      </c>
      <c r="C383" s="13">
        <v>4.0</v>
      </c>
      <c r="D383" s="14">
        <v>0.0</v>
      </c>
      <c r="E383" s="13" t="s">
        <v>2728</v>
      </c>
      <c r="F383" s="15" t="s">
        <v>667</v>
      </c>
      <c r="G383" s="16" t="s">
        <v>2729</v>
      </c>
      <c r="H383" s="13">
        <v>19.0</v>
      </c>
      <c r="I383" s="13">
        <v>1.1</v>
      </c>
      <c r="J383" s="13" t="s">
        <v>2730</v>
      </c>
      <c r="K383" s="13">
        <f t="shared" si="3"/>
        <v>2</v>
      </c>
      <c r="L383" s="13">
        <f t="shared" si="4"/>
        <v>2</v>
      </c>
      <c r="M383" s="13">
        <f t="shared" ref="M383:AA383" si="765">IFERROR(VALUE(RIGHT(LEFT($J383,FIND(M$1,$J383,1)+LEN(M$1)),1)),0)</f>
        <v>0</v>
      </c>
      <c r="N383" s="13">
        <f t="shared" si="765"/>
        <v>0</v>
      </c>
      <c r="O383" s="13">
        <f t="shared" si="765"/>
        <v>0</v>
      </c>
      <c r="P383" s="13">
        <f t="shared" si="765"/>
        <v>0</v>
      </c>
      <c r="Q383" s="13">
        <f t="shared" si="765"/>
        <v>0</v>
      </c>
      <c r="R383" s="13">
        <f t="shared" si="765"/>
        <v>0</v>
      </c>
      <c r="S383" s="13">
        <f t="shared" si="765"/>
        <v>0</v>
      </c>
      <c r="T383" s="13">
        <f t="shared" si="765"/>
        <v>0</v>
      </c>
      <c r="U383" s="13">
        <f t="shared" si="765"/>
        <v>0</v>
      </c>
      <c r="V383" s="13">
        <f t="shared" si="765"/>
        <v>2</v>
      </c>
      <c r="W383" s="13">
        <f t="shared" si="765"/>
        <v>0</v>
      </c>
      <c r="X383" s="13">
        <f t="shared" si="765"/>
        <v>0</v>
      </c>
      <c r="Y383" s="13">
        <f t="shared" si="765"/>
        <v>0</v>
      </c>
      <c r="Z383" s="13">
        <f t="shared" si="765"/>
        <v>0</v>
      </c>
      <c r="AA383" s="13">
        <f t="shared" si="765"/>
        <v>0</v>
      </c>
      <c r="AB383" s="13">
        <f t="shared" ref="AB383:AP383" si="766">IFERROR(VALUE(RIGHT(LEFT($J383,FIND(AB$1,$J383,IF(M383=0,1,FIND(AB$1,$J383,1)+1))+LEN(AB$1)),1)),0)</f>
        <v>0</v>
      </c>
      <c r="AC383" s="13">
        <f t="shared" si="766"/>
        <v>0</v>
      </c>
      <c r="AD383" s="13">
        <f t="shared" si="766"/>
        <v>0</v>
      </c>
      <c r="AE383" s="13">
        <f t="shared" si="766"/>
        <v>0</v>
      </c>
      <c r="AF383" s="13">
        <f t="shared" si="766"/>
        <v>0</v>
      </c>
      <c r="AG383" s="13">
        <f t="shared" si="766"/>
        <v>1</v>
      </c>
      <c r="AH383" s="13">
        <f t="shared" si="766"/>
        <v>0</v>
      </c>
      <c r="AI383" s="13">
        <f t="shared" si="766"/>
        <v>0</v>
      </c>
      <c r="AJ383" s="13">
        <f t="shared" si="766"/>
        <v>0</v>
      </c>
      <c r="AK383" s="13">
        <f t="shared" si="766"/>
        <v>1</v>
      </c>
      <c r="AL383" s="13">
        <f t="shared" si="766"/>
        <v>0</v>
      </c>
      <c r="AM383" s="13">
        <f t="shared" si="766"/>
        <v>0</v>
      </c>
      <c r="AN383" s="13">
        <f t="shared" si="766"/>
        <v>0</v>
      </c>
      <c r="AO383" s="13">
        <f t="shared" si="766"/>
        <v>0</v>
      </c>
      <c r="AP383" s="13">
        <f t="shared" si="766"/>
        <v>0</v>
      </c>
      <c r="AQ383" s="13"/>
      <c r="AR383" s="13" t="s">
        <v>2731</v>
      </c>
      <c r="AS383" s="13" t="s">
        <v>2732</v>
      </c>
      <c r="AT383" s="13" t="s">
        <v>1350</v>
      </c>
      <c r="AU383" s="13" t="s">
        <v>803</v>
      </c>
      <c r="AV383" s="13" t="s">
        <v>2733</v>
      </c>
      <c r="AW383" s="13">
        <v>26.0</v>
      </c>
      <c r="AX383" s="13">
        <v>2.0</v>
      </c>
      <c r="AY383" s="13">
        <v>0.0</v>
      </c>
      <c r="AZ383" s="13" t="s">
        <v>2734</v>
      </c>
      <c r="BA383" s="13" t="s">
        <v>2735</v>
      </c>
      <c r="BB383" s="13"/>
      <c r="BC383" s="13"/>
      <c r="BD383" s="13" t="s">
        <v>484</v>
      </c>
      <c r="BE383" s="13"/>
      <c r="BF383" s="13" t="s">
        <v>2736</v>
      </c>
      <c r="BG383" s="13" t="s">
        <v>136</v>
      </c>
      <c r="BH383" s="13" t="s">
        <v>79</v>
      </c>
      <c r="BI383" s="13" t="b">
        <v>0</v>
      </c>
      <c r="BJ383" s="13">
        <v>0.0</v>
      </c>
      <c r="BK383" s="13">
        <v>0.0</v>
      </c>
    </row>
    <row r="384" ht="14.25" customHeight="1">
      <c r="A384" s="13">
        <v>382.0</v>
      </c>
      <c r="B384" s="13" t="s">
        <v>52</v>
      </c>
      <c r="C384" s="13">
        <v>4.0</v>
      </c>
      <c r="D384" s="14">
        <v>0.0</v>
      </c>
      <c r="E384" s="13" t="s">
        <v>2737</v>
      </c>
      <c r="F384" s="15" t="s">
        <v>667</v>
      </c>
      <c r="G384" s="16" t="s">
        <v>2738</v>
      </c>
      <c r="H384" s="13">
        <v>18.0</v>
      </c>
      <c r="I384" s="13">
        <v>0.9</v>
      </c>
      <c r="J384" s="13" t="s">
        <v>2739</v>
      </c>
      <c r="K384" s="13">
        <f t="shared" si="3"/>
        <v>2</v>
      </c>
      <c r="L384" s="13">
        <f t="shared" si="4"/>
        <v>2</v>
      </c>
      <c r="M384" s="13">
        <f t="shared" ref="M384:AA384" si="767">IFERROR(VALUE(RIGHT(LEFT($J384,FIND(M$1,$J384,1)+LEN(M$1)),1)),0)</f>
        <v>0</v>
      </c>
      <c r="N384" s="13">
        <f t="shared" si="767"/>
        <v>0</v>
      </c>
      <c r="O384" s="13">
        <f t="shared" si="767"/>
        <v>1</v>
      </c>
      <c r="P384" s="13">
        <f t="shared" si="767"/>
        <v>0</v>
      </c>
      <c r="Q384" s="13">
        <f t="shared" si="767"/>
        <v>0</v>
      </c>
      <c r="R384" s="13">
        <f t="shared" si="767"/>
        <v>1</v>
      </c>
      <c r="S384" s="13">
        <f t="shared" si="767"/>
        <v>0</v>
      </c>
      <c r="T384" s="13">
        <f t="shared" si="767"/>
        <v>0</v>
      </c>
      <c r="U384" s="13">
        <f t="shared" si="767"/>
        <v>0</v>
      </c>
      <c r="V384" s="13">
        <f t="shared" si="767"/>
        <v>0</v>
      </c>
      <c r="W384" s="13">
        <f t="shared" si="767"/>
        <v>0</v>
      </c>
      <c r="X384" s="13">
        <f t="shared" si="767"/>
        <v>0</v>
      </c>
      <c r="Y384" s="13">
        <f t="shared" si="767"/>
        <v>0</v>
      </c>
      <c r="Z384" s="13">
        <f t="shared" si="767"/>
        <v>0</v>
      </c>
      <c r="AA384" s="13">
        <f t="shared" si="767"/>
        <v>0</v>
      </c>
      <c r="AB384" s="13">
        <f t="shared" ref="AB384:AP384" si="768">IFERROR(VALUE(RIGHT(LEFT($J384,FIND(AB$1,$J384,IF(M384=0,1,FIND(AB$1,$J384,1)+1))+LEN(AB$1)),1)),0)</f>
        <v>0</v>
      </c>
      <c r="AC384" s="13">
        <f t="shared" si="768"/>
        <v>0</v>
      </c>
      <c r="AD384" s="13">
        <f t="shared" si="768"/>
        <v>1</v>
      </c>
      <c r="AE384" s="13">
        <f t="shared" si="768"/>
        <v>0</v>
      </c>
      <c r="AF384" s="13">
        <f t="shared" si="768"/>
        <v>0</v>
      </c>
      <c r="AG384" s="13">
        <f t="shared" si="768"/>
        <v>0</v>
      </c>
      <c r="AH384" s="13">
        <f t="shared" si="768"/>
        <v>0</v>
      </c>
      <c r="AI384" s="13">
        <f t="shared" si="768"/>
        <v>0</v>
      </c>
      <c r="AJ384" s="13">
        <f t="shared" si="768"/>
        <v>0</v>
      </c>
      <c r="AK384" s="13">
        <f t="shared" si="768"/>
        <v>0</v>
      </c>
      <c r="AL384" s="13">
        <f t="shared" si="768"/>
        <v>0</v>
      </c>
      <c r="AM384" s="13">
        <f t="shared" si="768"/>
        <v>0</v>
      </c>
      <c r="AN384" s="13">
        <f t="shared" si="768"/>
        <v>0</v>
      </c>
      <c r="AO384" s="13">
        <f t="shared" si="768"/>
        <v>0</v>
      </c>
      <c r="AP384" s="13">
        <f t="shared" si="768"/>
        <v>1</v>
      </c>
      <c r="AQ384" s="13"/>
      <c r="AR384" s="13" t="s">
        <v>2740</v>
      </c>
      <c r="AS384" s="13" t="s">
        <v>2741</v>
      </c>
      <c r="AT384" s="13" t="s">
        <v>2742</v>
      </c>
      <c r="AU384" s="13" t="s">
        <v>130</v>
      </c>
      <c r="AV384" s="13" t="s">
        <v>2743</v>
      </c>
      <c r="AW384" s="13">
        <v>25.0</v>
      </c>
      <c r="AX384" s="13">
        <v>2.0</v>
      </c>
      <c r="AY384" s="13">
        <v>0.0</v>
      </c>
      <c r="AZ384" s="13" t="s">
        <v>2744</v>
      </c>
      <c r="BA384" s="13" t="s">
        <v>2745</v>
      </c>
      <c r="BB384" s="13"/>
      <c r="BC384" s="13"/>
      <c r="BD384" s="13" t="s">
        <v>294</v>
      </c>
      <c r="BE384" s="13" t="s">
        <v>2746</v>
      </c>
      <c r="BF384" s="13" t="s">
        <v>2747</v>
      </c>
      <c r="BG384" s="13"/>
      <c r="BH384" s="13" t="s">
        <v>79</v>
      </c>
      <c r="BI384" s="13" t="b">
        <v>0</v>
      </c>
      <c r="BJ384" s="13">
        <v>0.0</v>
      </c>
      <c r="BK384" s="13">
        <v>0.0</v>
      </c>
    </row>
    <row r="385" ht="14.25" customHeight="1">
      <c r="A385" s="13">
        <v>383.0</v>
      </c>
      <c r="B385" s="13" t="s">
        <v>44</v>
      </c>
      <c r="C385" s="13">
        <v>5.0</v>
      </c>
      <c r="D385" s="14">
        <v>0.0</v>
      </c>
      <c r="E385" s="13" t="s">
        <v>2748</v>
      </c>
      <c r="F385" s="15" t="s">
        <v>667</v>
      </c>
      <c r="G385" s="16" t="s">
        <v>2749</v>
      </c>
      <c r="H385" s="13"/>
      <c r="I385" s="13">
        <v>1.0</v>
      </c>
      <c r="J385" s="13" t="s">
        <v>2750</v>
      </c>
      <c r="K385" s="13">
        <f t="shared" si="3"/>
        <v>4</v>
      </c>
      <c r="L385" s="13">
        <f t="shared" si="4"/>
        <v>0</v>
      </c>
      <c r="M385" s="13">
        <f t="shared" ref="M385:AA385" si="769">IFERROR(VALUE(RIGHT(LEFT($J385,FIND(M$1,$J385,1)+LEN(M$1)),1)),0)</f>
        <v>0</v>
      </c>
      <c r="N385" s="13">
        <f t="shared" si="769"/>
        <v>0</v>
      </c>
      <c r="O385" s="13">
        <f t="shared" si="769"/>
        <v>0</v>
      </c>
      <c r="P385" s="13">
        <f t="shared" si="769"/>
        <v>0</v>
      </c>
      <c r="Q385" s="13">
        <f t="shared" si="769"/>
        <v>1</v>
      </c>
      <c r="R385" s="13">
        <f t="shared" si="769"/>
        <v>2</v>
      </c>
      <c r="S385" s="13">
        <f t="shared" si="769"/>
        <v>1</v>
      </c>
      <c r="T385" s="13">
        <f t="shared" si="769"/>
        <v>0</v>
      </c>
      <c r="U385" s="13">
        <f t="shared" si="769"/>
        <v>0</v>
      </c>
      <c r="V385" s="13">
        <f t="shared" si="769"/>
        <v>0</v>
      </c>
      <c r="W385" s="13">
        <f t="shared" si="769"/>
        <v>0</v>
      </c>
      <c r="X385" s="13">
        <f t="shared" si="769"/>
        <v>0</v>
      </c>
      <c r="Y385" s="13">
        <f t="shared" si="769"/>
        <v>0</v>
      </c>
      <c r="Z385" s="13">
        <f t="shared" si="769"/>
        <v>0</v>
      </c>
      <c r="AA385" s="13">
        <f t="shared" si="769"/>
        <v>0</v>
      </c>
      <c r="AB385" s="13">
        <f t="shared" ref="AB385:AP385" si="770">IFERROR(VALUE(RIGHT(LEFT($J385,FIND(AB$1,$J385,IF(M385=0,1,FIND(AB$1,$J385,1)+1))+LEN(AB$1)),1)),0)</f>
        <v>0</v>
      </c>
      <c r="AC385" s="13">
        <f t="shared" si="770"/>
        <v>0</v>
      </c>
      <c r="AD385" s="13">
        <f t="shared" si="770"/>
        <v>0</v>
      </c>
      <c r="AE385" s="13">
        <f t="shared" si="770"/>
        <v>0</v>
      </c>
      <c r="AF385" s="13">
        <f t="shared" si="770"/>
        <v>0</v>
      </c>
      <c r="AG385" s="13">
        <f t="shared" si="770"/>
        <v>0</v>
      </c>
      <c r="AH385" s="13">
        <f t="shared" si="770"/>
        <v>0</v>
      </c>
      <c r="AI385" s="13">
        <f t="shared" si="770"/>
        <v>0</v>
      </c>
      <c r="AJ385" s="13">
        <f t="shared" si="770"/>
        <v>0</v>
      </c>
      <c r="AK385" s="13">
        <f t="shared" si="770"/>
        <v>0</v>
      </c>
      <c r="AL385" s="13">
        <f t="shared" si="770"/>
        <v>0</v>
      </c>
      <c r="AM385" s="13">
        <f t="shared" si="770"/>
        <v>0</v>
      </c>
      <c r="AN385" s="13">
        <f t="shared" si="770"/>
        <v>0</v>
      </c>
      <c r="AO385" s="13">
        <f t="shared" si="770"/>
        <v>0</v>
      </c>
      <c r="AP385" s="13">
        <f t="shared" si="770"/>
        <v>0</v>
      </c>
      <c r="AQ385" s="13" t="s">
        <v>2751</v>
      </c>
      <c r="AR385" s="13"/>
      <c r="AS385" s="13" t="s">
        <v>2752</v>
      </c>
      <c r="AT385" s="13"/>
      <c r="AU385" s="13"/>
      <c r="AV385" s="13"/>
      <c r="AW385" s="13">
        <v>0.0</v>
      </c>
      <c r="AX385" s="13">
        <v>2.0</v>
      </c>
      <c r="AY385" s="13">
        <v>0.0</v>
      </c>
      <c r="AZ385" s="13"/>
      <c r="BA385" s="13"/>
      <c r="BB385" s="13"/>
      <c r="BC385" s="13"/>
      <c r="BD385" s="13"/>
      <c r="BE385" s="13"/>
      <c r="BF385" s="13"/>
      <c r="BG385" s="13"/>
      <c r="BH385" s="13" t="s">
        <v>79</v>
      </c>
      <c r="BI385" s="13" t="b">
        <v>0</v>
      </c>
      <c r="BJ385" s="13">
        <v>0.0</v>
      </c>
      <c r="BK385" s="13">
        <v>0.0</v>
      </c>
    </row>
    <row r="386" ht="14.25" customHeight="1">
      <c r="A386" s="13">
        <v>384.0</v>
      </c>
      <c r="B386" s="13" t="s">
        <v>47</v>
      </c>
      <c r="C386" s="13">
        <v>5.0</v>
      </c>
      <c r="D386" s="14">
        <v>0.0</v>
      </c>
      <c r="E386" s="13" t="s">
        <v>2753</v>
      </c>
      <c r="F386" s="15" t="s">
        <v>667</v>
      </c>
      <c r="G386" s="16" t="s">
        <v>2754</v>
      </c>
      <c r="H386" s="13">
        <v>20.0</v>
      </c>
      <c r="I386" s="13">
        <v>1.2</v>
      </c>
      <c r="J386" s="13" t="s">
        <v>2755</v>
      </c>
      <c r="K386" s="13">
        <f t="shared" si="3"/>
        <v>4</v>
      </c>
      <c r="L386" s="13">
        <f t="shared" si="4"/>
        <v>1</v>
      </c>
      <c r="M386" s="13">
        <f t="shared" ref="M386:AA386" si="771">IFERROR(VALUE(RIGHT(LEFT($J386,FIND(M$1,$J386,1)+LEN(M$1)),1)),0)</f>
        <v>0</v>
      </c>
      <c r="N386" s="13">
        <f t="shared" si="771"/>
        <v>0</v>
      </c>
      <c r="O386" s="13">
        <f t="shared" si="771"/>
        <v>2</v>
      </c>
      <c r="P386" s="13">
        <f t="shared" si="771"/>
        <v>0</v>
      </c>
      <c r="Q386" s="13">
        <f t="shared" si="771"/>
        <v>0</v>
      </c>
      <c r="R386" s="13">
        <f t="shared" si="771"/>
        <v>0</v>
      </c>
      <c r="S386" s="13">
        <f t="shared" si="771"/>
        <v>0</v>
      </c>
      <c r="T386" s="13">
        <f t="shared" si="771"/>
        <v>0</v>
      </c>
      <c r="U386" s="13">
        <f t="shared" si="771"/>
        <v>0</v>
      </c>
      <c r="V386" s="13">
        <f t="shared" si="771"/>
        <v>2</v>
      </c>
      <c r="W386" s="13">
        <f t="shared" si="771"/>
        <v>0</v>
      </c>
      <c r="X386" s="13">
        <f t="shared" si="771"/>
        <v>0</v>
      </c>
      <c r="Y386" s="13">
        <f t="shared" si="771"/>
        <v>0</v>
      </c>
      <c r="Z386" s="13">
        <f t="shared" si="771"/>
        <v>0</v>
      </c>
      <c r="AA386" s="13">
        <f t="shared" si="771"/>
        <v>0</v>
      </c>
      <c r="AB386" s="13">
        <f t="shared" ref="AB386:AP386" si="772">IFERROR(VALUE(RIGHT(LEFT($J386,FIND(AB$1,$J386,IF(M386=0,1,FIND(AB$1,$J386,1)+1))+LEN(AB$1)),1)),0)</f>
        <v>0</v>
      </c>
      <c r="AC386" s="13">
        <f t="shared" si="772"/>
        <v>0</v>
      </c>
      <c r="AD386" s="13">
        <f t="shared" si="772"/>
        <v>0</v>
      </c>
      <c r="AE386" s="13">
        <f t="shared" si="772"/>
        <v>0</v>
      </c>
      <c r="AF386" s="13">
        <f t="shared" si="772"/>
        <v>0</v>
      </c>
      <c r="AG386" s="13">
        <f t="shared" si="772"/>
        <v>0</v>
      </c>
      <c r="AH386" s="13">
        <f t="shared" si="772"/>
        <v>0</v>
      </c>
      <c r="AI386" s="13">
        <f t="shared" si="772"/>
        <v>0</v>
      </c>
      <c r="AJ386" s="13">
        <f t="shared" si="772"/>
        <v>0</v>
      </c>
      <c r="AK386" s="13">
        <f t="shared" si="772"/>
        <v>1</v>
      </c>
      <c r="AL386" s="13">
        <f t="shared" si="772"/>
        <v>0</v>
      </c>
      <c r="AM386" s="13">
        <f t="shared" si="772"/>
        <v>0</v>
      </c>
      <c r="AN386" s="13">
        <f t="shared" si="772"/>
        <v>0</v>
      </c>
      <c r="AO386" s="13">
        <f t="shared" si="772"/>
        <v>0</v>
      </c>
      <c r="AP386" s="13">
        <f t="shared" si="772"/>
        <v>0</v>
      </c>
      <c r="AQ386" s="13"/>
      <c r="AR386" s="13" t="s">
        <v>2756</v>
      </c>
      <c r="AS386" s="13" t="s">
        <v>2757</v>
      </c>
      <c r="AT386" s="13" t="s">
        <v>1350</v>
      </c>
      <c r="AU386" s="13" t="s">
        <v>130</v>
      </c>
      <c r="AV386" s="13" t="s">
        <v>2758</v>
      </c>
      <c r="AW386" s="13">
        <v>30.0</v>
      </c>
      <c r="AX386" s="13">
        <v>2.0</v>
      </c>
      <c r="AY386" s="13">
        <v>0.0</v>
      </c>
      <c r="AZ386" s="13" t="s">
        <v>2759</v>
      </c>
      <c r="BA386" s="13" t="s">
        <v>2759</v>
      </c>
      <c r="BB386" s="13"/>
      <c r="BC386" s="13"/>
      <c r="BD386" s="13" t="s">
        <v>1113</v>
      </c>
      <c r="BE386" s="13"/>
      <c r="BF386" s="13" t="s">
        <v>2760</v>
      </c>
      <c r="BG386" s="13" t="s">
        <v>136</v>
      </c>
      <c r="BH386" s="13" t="s">
        <v>79</v>
      </c>
      <c r="BI386" s="13" t="b">
        <v>0</v>
      </c>
      <c r="BJ386" s="13">
        <v>0.0</v>
      </c>
      <c r="BK386" s="13">
        <v>0.0</v>
      </c>
    </row>
    <row r="387" ht="14.25" customHeight="1">
      <c r="A387" s="13">
        <v>385.0</v>
      </c>
      <c r="B387" s="13" t="s">
        <v>44</v>
      </c>
      <c r="C387" s="13">
        <v>0.0</v>
      </c>
      <c r="D387" s="14">
        <v>0.0</v>
      </c>
      <c r="E387" s="13" t="s">
        <v>2761</v>
      </c>
      <c r="F387" s="15" t="s">
        <v>702</v>
      </c>
      <c r="G387" s="16" t="s">
        <v>2762</v>
      </c>
      <c r="H387" s="13"/>
      <c r="I387" s="13">
        <v>0.8</v>
      </c>
      <c r="J387" s="13" t="s">
        <v>2185</v>
      </c>
      <c r="K387" s="13">
        <f t="shared" si="3"/>
        <v>0</v>
      </c>
      <c r="L387" s="13">
        <f t="shared" si="4"/>
        <v>1</v>
      </c>
      <c r="M387" s="13">
        <f t="shared" ref="M387:AA387" si="773">IFERROR(VALUE(RIGHT(LEFT($J387,FIND(M$1,$J387,1)+LEN(M$1)),1)),0)</f>
        <v>0</v>
      </c>
      <c r="N387" s="13">
        <f t="shared" si="773"/>
        <v>0</v>
      </c>
      <c r="O387" s="13">
        <f t="shared" si="773"/>
        <v>0</v>
      </c>
      <c r="P387" s="13">
        <f t="shared" si="773"/>
        <v>0</v>
      </c>
      <c r="Q387" s="13">
        <f t="shared" si="773"/>
        <v>0</v>
      </c>
      <c r="R387" s="13">
        <f t="shared" si="773"/>
        <v>0</v>
      </c>
      <c r="S387" s="13">
        <f t="shared" si="773"/>
        <v>0</v>
      </c>
      <c r="T387" s="13">
        <f t="shared" si="773"/>
        <v>0</v>
      </c>
      <c r="U387" s="13">
        <f t="shared" si="773"/>
        <v>0</v>
      </c>
      <c r="V387" s="13">
        <f t="shared" si="773"/>
        <v>0</v>
      </c>
      <c r="W387" s="13">
        <f t="shared" si="773"/>
        <v>0</v>
      </c>
      <c r="X387" s="13">
        <f t="shared" si="773"/>
        <v>0</v>
      </c>
      <c r="Y387" s="13">
        <f t="shared" si="773"/>
        <v>0</v>
      </c>
      <c r="Z387" s="13">
        <f t="shared" si="773"/>
        <v>0</v>
      </c>
      <c r="AA387" s="13">
        <f t="shared" si="773"/>
        <v>0</v>
      </c>
      <c r="AB387" s="13">
        <f t="shared" ref="AB387:AP387" si="774">IFERROR(VALUE(RIGHT(LEFT($J387,FIND(AB$1,$J387,IF(M387=0,1,FIND(AB$1,$J387,1)+1))+LEN(AB$1)),1)),0)</f>
        <v>0</v>
      </c>
      <c r="AC387" s="13">
        <f t="shared" si="774"/>
        <v>0</v>
      </c>
      <c r="AD387" s="13">
        <f t="shared" si="774"/>
        <v>0</v>
      </c>
      <c r="AE387" s="13">
        <f t="shared" si="774"/>
        <v>0</v>
      </c>
      <c r="AF387" s="13">
        <f t="shared" si="774"/>
        <v>0</v>
      </c>
      <c r="AG387" s="13">
        <f t="shared" si="774"/>
        <v>0</v>
      </c>
      <c r="AH387" s="13">
        <f t="shared" si="774"/>
        <v>1</v>
      </c>
      <c r="AI387" s="13">
        <f t="shared" si="774"/>
        <v>0</v>
      </c>
      <c r="AJ387" s="13">
        <f t="shared" si="774"/>
        <v>0</v>
      </c>
      <c r="AK387" s="13">
        <f t="shared" si="774"/>
        <v>0</v>
      </c>
      <c r="AL387" s="13">
        <f t="shared" si="774"/>
        <v>0</v>
      </c>
      <c r="AM387" s="13">
        <f t="shared" si="774"/>
        <v>0</v>
      </c>
      <c r="AN387" s="13">
        <f t="shared" si="774"/>
        <v>0</v>
      </c>
      <c r="AO387" s="13">
        <f t="shared" si="774"/>
        <v>0</v>
      </c>
      <c r="AP387" s="13">
        <f t="shared" si="774"/>
        <v>0</v>
      </c>
      <c r="AQ387" s="13" t="s">
        <v>2763</v>
      </c>
      <c r="AR387" s="13"/>
      <c r="AS387" s="13" t="s">
        <v>91</v>
      </c>
      <c r="AT387" s="13"/>
      <c r="AU387" s="13"/>
      <c r="AV387" s="13"/>
      <c r="AW387" s="13">
        <v>0.0</v>
      </c>
      <c r="AX387" s="13">
        <v>3.0</v>
      </c>
      <c r="AY387" s="13">
        <v>0.0</v>
      </c>
      <c r="AZ387" s="13"/>
      <c r="BA387" s="13"/>
      <c r="BB387" s="13"/>
      <c r="BC387" s="13"/>
      <c r="BD387" s="13"/>
      <c r="BE387" s="13"/>
      <c r="BF387" s="13"/>
      <c r="BG387" s="13"/>
      <c r="BH387" s="13" t="s">
        <v>79</v>
      </c>
      <c r="BI387" s="13" t="b">
        <v>0</v>
      </c>
      <c r="BJ387" s="13">
        <v>0.0</v>
      </c>
      <c r="BK387" s="13">
        <v>0.0</v>
      </c>
    </row>
    <row r="388" ht="14.25" customHeight="1">
      <c r="A388" s="13">
        <v>386.0</v>
      </c>
      <c r="B388" s="13" t="s">
        <v>45</v>
      </c>
      <c r="C388" s="13">
        <v>0.0</v>
      </c>
      <c r="D388" s="14">
        <v>0.0</v>
      </c>
      <c r="E388" s="13" t="s">
        <v>2764</v>
      </c>
      <c r="F388" s="15" t="s">
        <v>702</v>
      </c>
      <c r="G388" s="16" t="s">
        <v>2765</v>
      </c>
      <c r="H388" s="13"/>
      <c r="I388" s="13">
        <v>0.8</v>
      </c>
      <c r="J388" s="13" t="s">
        <v>100</v>
      </c>
      <c r="K388" s="13">
        <f t="shared" si="3"/>
        <v>0</v>
      </c>
      <c r="L388" s="13">
        <f t="shared" si="4"/>
        <v>1</v>
      </c>
      <c r="M388" s="13">
        <f t="shared" ref="M388:AA388" si="775">IFERROR(VALUE(RIGHT(LEFT($J388,FIND(M$1,$J388,1)+LEN(M$1)),1)),0)</f>
        <v>0</v>
      </c>
      <c r="N388" s="13">
        <f t="shared" si="775"/>
        <v>0</v>
      </c>
      <c r="O388" s="13">
        <f t="shared" si="775"/>
        <v>0</v>
      </c>
      <c r="P388" s="13">
        <f t="shared" si="775"/>
        <v>0</v>
      </c>
      <c r="Q388" s="13">
        <f t="shared" si="775"/>
        <v>0</v>
      </c>
      <c r="R388" s="13">
        <f t="shared" si="775"/>
        <v>0</v>
      </c>
      <c r="S388" s="13">
        <f t="shared" si="775"/>
        <v>0</v>
      </c>
      <c r="T388" s="13">
        <f t="shared" si="775"/>
        <v>0</v>
      </c>
      <c r="U388" s="13">
        <f t="shared" si="775"/>
        <v>0</v>
      </c>
      <c r="V388" s="13">
        <f t="shared" si="775"/>
        <v>0</v>
      </c>
      <c r="W388" s="13">
        <f t="shared" si="775"/>
        <v>0</v>
      </c>
      <c r="X388" s="13">
        <f t="shared" si="775"/>
        <v>0</v>
      </c>
      <c r="Y388" s="13">
        <f t="shared" si="775"/>
        <v>0</v>
      </c>
      <c r="Z388" s="13">
        <f t="shared" si="775"/>
        <v>0</v>
      </c>
      <c r="AA388" s="13">
        <f t="shared" si="775"/>
        <v>0</v>
      </c>
      <c r="AB388" s="13">
        <f t="shared" ref="AB388:AP388" si="776">IFERROR(VALUE(RIGHT(LEFT($J388,FIND(AB$1,$J388,IF(M388=0,1,FIND(AB$1,$J388,1)+1))+LEN(AB$1)),1)),0)</f>
        <v>0</v>
      </c>
      <c r="AC388" s="13">
        <f t="shared" si="776"/>
        <v>0</v>
      </c>
      <c r="AD388" s="13">
        <f t="shared" si="776"/>
        <v>0</v>
      </c>
      <c r="AE388" s="13">
        <f t="shared" si="776"/>
        <v>0</v>
      </c>
      <c r="AF388" s="13">
        <f t="shared" si="776"/>
        <v>0</v>
      </c>
      <c r="AG388" s="13">
        <f t="shared" si="776"/>
        <v>0</v>
      </c>
      <c r="AH388" s="13">
        <f t="shared" si="776"/>
        <v>0</v>
      </c>
      <c r="AI388" s="13">
        <f t="shared" si="776"/>
        <v>1</v>
      </c>
      <c r="AJ388" s="13">
        <f t="shared" si="776"/>
        <v>0</v>
      </c>
      <c r="AK388" s="13">
        <f t="shared" si="776"/>
        <v>0</v>
      </c>
      <c r="AL388" s="13">
        <f t="shared" si="776"/>
        <v>0</v>
      </c>
      <c r="AM388" s="13">
        <f t="shared" si="776"/>
        <v>0</v>
      </c>
      <c r="AN388" s="13">
        <f t="shared" si="776"/>
        <v>0</v>
      </c>
      <c r="AO388" s="13">
        <f t="shared" si="776"/>
        <v>0</v>
      </c>
      <c r="AP388" s="13">
        <f t="shared" si="776"/>
        <v>0</v>
      </c>
      <c r="AQ388" s="13" t="s">
        <v>2766</v>
      </c>
      <c r="AR388" s="13"/>
      <c r="AS388" s="13" t="s">
        <v>102</v>
      </c>
      <c r="AT388" s="13"/>
      <c r="AU388" s="13"/>
      <c r="AV388" s="13"/>
      <c r="AW388" s="13">
        <v>0.0</v>
      </c>
      <c r="AX388" s="13">
        <v>3.0</v>
      </c>
      <c r="AY388" s="13">
        <v>0.0</v>
      </c>
      <c r="AZ388" s="13"/>
      <c r="BA388" s="13"/>
      <c r="BB388" s="13"/>
      <c r="BC388" s="13"/>
      <c r="BD388" s="13"/>
      <c r="BE388" s="13"/>
      <c r="BF388" s="13"/>
      <c r="BG388" s="13"/>
      <c r="BH388" s="13" t="s">
        <v>79</v>
      </c>
      <c r="BI388" s="13" t="b">
        <v>0</v>
      </c>
      <c r="BJ388" s="13">
        <v>0.0</v>
      </c>
      <c r="BK388" s="13">
        <v>0.0</v>
      </c>
    </row>
    <row r="389" ht="14.25" customHeight="1">
      <c r="A389" s="13">
        <v>387.0</v>
      </c>
      <c r="B389" s="13" t="s">
        <v>46</v>
      </c>
      <c r="C389" s="13">
        <v>0.0</v>
      </c>
      <c r="D389" s="14">
        <v>0.0</v>
      </c>
      <c r="E389" s="13" t="s">
        <v>2767</v>
      </c>
      <c r="F389" s="15" t="s">
        <v>702</v>
      </c>
      <c r="G389" s="16" t="s">
        <v>2768</v>
      </c>
      <c r="H389" s="13"/>
      <c r="I389" s="13">
        <v>0.9</v>
      </c>
      <c r="J389" s="13" t="s">
        <v>111</v>
      </c>
      <c r="K389" s="13">
        <f t="shared" si="3"/>
        <v>0</v>
      </c>
      <c r="L389" s="13">
        <f t="shared" si="4"/>
        <v>1</v>
      </c>
      <c r="M389" s="13">
        <f t="shared" ref="M389:AA389" si="777">IFERROR(VALUE(RIGHT(LEFT($J389,FIND(M$1,$J389,1)+LEN(M$1)),1)),0)</f>
        <v>0</v>
      </c>
      <c r="N389" s="13">
        <f t="shared" si="777"/>
        <v>0</v>
      </c>
      <c r="O389" s="13">
        <f t="shared" si="777"/>
        <v>0</v>
      </c>
      <c r="P389" s="13">
        <f t="shared" si="777"/>
        <v>0</v>
      </c>
      <c r="Q389" s="13">
        <f t="shared" si="777"/>
        <v>0</v>
      </c>
      <c r="R389" s="13">
        <f t="shared" si="777"/>
        <v>0</v>
      </c>
      <c r="S389" s="13">
        <f t="shared" si="777"/>
        <v>0</v>
      </c>
      <c r="T389" s="13">
        <f t="shared" si="777"/>
        <v>0</v>
      </c>
      <c r="U389" s="13">
        <f t="shared" si="777"/>
        <v>0</v>
      </c>
      <c r="V389" s="13">
        <f t="shared" si="777"/>
        <v>0</v>
      </c>
      <c r="W389" s="13">
        <f t="shared" si="777"/>
        <v>0</v>
      </c>
      <c r="X389" s="13">
        <f t="shared" si="777"/>
        <v>0</v>
      </c>
      <c r="Y389" s="13">
        <f t="shared" si="777"/>
        <v>0</v>
      </c>
      <c r="Z389" s="13">
        <f t="shared" si="777"/>
        <v>0</v>
      </c>
      <c r="AA389" s="13">
        <f t="shared" si="777"/>
        <v>0</v>
      </c>
      <c r="AB389" s="13">
        <f t="shared" ref="AB389:AP389" si="778">IFERROR(VALUE(RIGHT(LEFT($J389,FIND(AB$1,$J389,IF(M389=0,1,FIND(AB$1,$J389,1)+1))+LEN(AB$1)),1)),0)</f>
        <v>0</v>
      </c>
      <c r="AC389" s="13">
        <f t="shared" si="778"/>
        <v>0</v>
      </c>
      <c r="AD389" s="13">
        <f t="shared" si="778"/>
        <v>0</v>
      </c>
      <c r="AE389" s="13">
        <f t="shared" si="778"/>
        <v>0</v>
      </c>
      <c r="AF389" s="13">
        <f t="shared" si="778"/>
        <v>0</v>
      </c>
      <c r="AG389" s="13">
        <f t="shared" si="778"/>
        <v>0</v>
      </c>
      <c r="AH389" s="13">
        <f t="shared" si="778"/>
        <v>0</v>
      </c>
      <c r="AI389" s="13">
        <f t="shared" si="778"/>
        <v>0</v>
      </c>
      <c r="AJ389" s="13">
        <f t="shared" si="778"/>
        <v>1</v>
      </c>
      <c r="AK389" s="13">
        <f t="shared" si="778"/>
        <v>0</v>
      </c>
      <c r="AL389" s="13">
        <f t="shared" si="778"/>
        <v>0</v>
      </c>
      <c r="AM389" s="13">
        <f t="shared" si="778"/>
        <v>0</v>
      </c>
      <c r="AN389" s="13">
        <f t="shared" si="778"/>
        <v>0</v>
      </c>
      <c r="AO389" s="13">
        <f t="shared" si="778"/>
        <v>0</v>
      </c>
      <c r="AP389" s="13">
        <f t="shared" si="778"/>
        <v>0</v>
      </c>
      <c r="AQ389" s="13" t="s">
        <v>2769</v>
      </c>
      <c r="AR389" s="13"/>
      <c r="AS389" s="13" t="s">
        <v>2770</v>
      </c>
      <c r="AT389" s="13"/>
      <c r="AU389" s="13"/>
      <c r="AV389" s="13"/>
      <c r="AW389" s="13">
        <v>0.0</v>
      </c>
      <c r="AX389" s="13">
        <v>3.0</v>
      </c>
      <c r="AY389" s="13">
        <v>0.0</v>
      </c>
      <c r="AZ389" s="13"/>
      <c r="BA389" s="13"/>
      <c r="BB389" s="13"/>
      <c r="BC389" s="13"/>
      <c r="BD389" s="13"/>
      <c r="BE389" s="13"/>
      <c r="BF389" s="13"/>
      <c r="BG389" s="13"/>
      <c r="BH389" s="13" t="s">
        <v>79</v>
      </c>
      <c r="BI389" s="13" t="b">
        <v>0</v>
      </c>
      <c r="BJ389" s="13">
        <v>0.0</v>
      </c>
      <c r="BK389" s="13">
        <v>0.0</v>
      </c>
    </row>
    <row r="390" ht="14.25" customHeight="1">
      <c r="A390" s="13">
        <v>388.0</v>
      </c>
      <c r="B390" s="13" t="s">
        <v>47</v>
      </c>
      <c r="C390" s="13">
        <v>0.0</v>
      </c>
      <c r="D390" s="14">
        <v>0.0</v>
      </c>
      <c r="E390" s="13" t="s">
        <v>2771</v>
      </c>
      <c r="F390" s="15" t="s">
        <v>702</v>
      </c>
      <c r="G390" s="16" t="s">
        <v>2772</v>
      </c>
      <c r="H390" s="13">
        <v>10.0</v>
      </c>
      <c r="I390" s="13">
        <v>0.8</v>
      </c>
      <c r="J390" s="13" t="s">
        <v>215</v>
      </c>
      <c r="K390" s="13">
        <f t="shared" si="3"/>
        <v>0</v>
      </c>
      <c r="L390" s="13">
        <f t="shared" si="4"/>
        <v>1</v>
      </c>
      <c r="M390" s="13">
        <f t="shared" ref="M390:AA390" si="779">IFERROR(VALUE(RIGHT(LEFT($J390,FIND(M$1,$J390,1)+LEN(M$1)),1)),0)</f>
        <v>0</v>
      </c>
      <c r="N390" s="13">
        <f t="shared" si="779"/>
        <v>0</v>
      </c>
      <c r="O390" s="13">
        <f t="shared" si="779"/>
        <v>0</v>
      </c>
      <c r="P390" s="13">
        <f t="shared" si="779"/>
        <v>0</v>
      </c>
      <c r="Q390" s="13">
        <f t="shared" si="779"/>
        <v>0</v>
      </c>
      <c r="R390" s="13">
        <f t="shared" si="779"/>
        <v>0</v>
      </c>
      <c r="S390" s="13">
        <f t="shared" si="779"/>
        <v>0</v>
      </c>
      <c r="T390" s="13">
        <f t="shared" si="779"/>
        <v>0</v>
      </c>
      <c r="U390" s="13">
        <f t="shared" si="779"/>
        <v>0</v>
      </c>
      <c r="V390" s="13">
        <f t="shared" si="779"/>
        <v>0</v>
      </c>
      <c r="W390" s="13">
        <f t="shared" si="779"/>
        <v>0</v>
      </c>
      <c r="X390" s="13">
        <f t="shared" si="779"/>
        <v>0</v>
      </c>
      <c r="Y390" s="13">
        <f t="shared" si="779"/>
        <v>0</v>
      </c>
      <c r="Z390" s="13">
        <f t="shared" si="779"/>
        <v>0</v>
      </c>
      <c r="AA390" s="13">
        <f t="shared" si="779"/>
        <v>0</v>
      </c>
      <c r="AB390" s="13">
        <f t="shared" ref="AB390:AP390" si="780">IFERROR(VALUE(RIGHT(LEFT($J390,FIND(AB$1,$J390,IF(M390=0,1,FIND(AB$1,$J390,1)+1))+LEN(AB$1)),1)),0)</f>
        <v>1</v>
      </c>
      <c r="AC390" s="13">
        <f t="shared" si="780"/>
        <v>0</v>
      </c>
      <c r="AD390" s="13">
        <f t="shared" si="780"/>
        <v>0</v>
      </c>
      <c r="AE390" s="13">
        <f t="shared" si="780"/>
        <v>0</v>
      </c>
      <c r="AF390" s="13">
        <f t="shared" si="780"/>
        <v>0</v>
      </c>
      <c r="AG390" s="13">
        <f t="shared" si="780"/>
        <v>0</v>
      </c>
      <c r="AH390" s="13">
        <f t="shared" si="780"/>
        <v>0</v>
      </c>
      <c r="AI390" s="13">
        <f t="shared" si="780"/>
        <v>0</v>
      </c>
      <c r="AJ390" s="13">
        <f t="shared" si="780"/>
        <v>0</v>
      </c>
      <c r="AK390" s="13">
        <f t="shared" si="780"/>
        <v>0</v>
      </c>
      <c r="AL390" s="13">
        <f t="shared" si="780"/>
        <v>0</v>
      </c>
      <c r="AM390" s="13">
        <f t="shared" si="780"/>
        <v>0</v>
      </c>
      <c r="AN390" s="13">
        <f t="shared" si="780"/>
        <v>0</v>
      </c>
      <c r="AO390" s="13">
        <f t="shared" si="780"/>
        <v>0</v>
      </c>
      <c r="AP390" s="13">
        <f t="shared" si="780"/>
        <v>0</v>
      </c>
      <c r="AQ390" s="13"/>
      <c r="AR390" s="13" t="s">
        <v>2773</v>
      </c>
      <c r="AS390" s="13" t="s">
        <v>2774</v>
      </c>
      <c r="AT390" s="13" t="s">
        <v>142</v>
      </c>
      <c r="AU390" s="13" t="s">
        <v>130</v>
      </c>
      <c r="AV390" s="13" t="s">
        <v>164</v>
      </c>
      <c r="AW390" s="13">
        <v>5.0</v>
      </c>
      <c r="AX390" s="13">
        <v>3.0</v>
      </c>
      <c r="AY390" s="13">
        <v>0.0</v>
      </c>
      <c r="AZ390" s="13" t="s">
        <v>249</v>
      </c>
      <c r="BA390" s="13" t="s">
        <v>2234</v>
      </c>
      <c r="BB390" s="13"/>
      <c r="BC390" s="13"/>
      <c r="BD390" s="13" t="s">
        <v>134</v>
      </c>
      <c r="BE390" s="13"/>
      <c r="BF390" s="13" t="s">
        <v>531</v>
      </c>
      <c r="BG390" s="13" t="s">
        <v>136</v>
      </c>
      <c r="BH390" s="13" t="s">
        <v>79</v>
      </c>
      <c r="BI390" s="13" t="b">
        <v>0</v>
      </c>
      <c r="BJ390" s="13">
        <v>0.0</v>
      </c>
      <c r="BK390" s="13">
        <v>0.0</v>
      </c>
    </row>
    <row r="391" ht="14.25" customHeight="1">
      <c r="A391" s="13">
        <v>389.0</v>
      </c>
      <c r="B391" s="13" t="s">
        <v>47</v>
      </c>
      <c r="C391" s="13">
        <v>0.0</v>
      </c>
      <c r="D391" s="14">
        <v>0.0</v>
      </c>
      <c r="E391" s="13" t="s">
        <v>2775</v>
      </c>
      <c r="F391" s="15" t="s">
        <v>702</v>
      </c>
      <c r="G391" s="16" t="s">
        <v>2776</v>
      </c>
      <c r="H391" s="13">
        <v>9.0</v>
      </c>
      <c r="I391" s="13">
        <v>0.7</v>
      </c>
      <c r="J391" s="13" t="s">
        <v>127</v>
      </c>
      <c r="K391" s="13">
        <f t="shared" si="3"/>
        <v>0</v>
      </c>
      <c r="L391" s="13">
        <f t="shared" si="4"/>
        <v>1</v>
      </c>
      <c r="M391" s="13">
        <f t="shared" ref="M391:AA391" si="781">IFERROR(VALUE(RIGHT(LEFT($J391,FIND(M$1,$J391,1)+LEN(M$1)),1)),0)</f>
        <v>0</v>
      </c>
      <c r="N391" s="13">
        <f t="shared" si="781"/>
        <v>0</v>
      </c>
      <c r="O391" s="13">
        <f t="shared" si="781"/>
        <v>0</v>
      </c>
      <c r="P391" s="13">
        <f t="shared" si="781"/>
        <v>0</v>
      </c>
      <c r="Q391" s="13">
        <f t="shared" si="781"/>
        <v>0</v>
      </c>
      <c r="R391" s="13">
        <f t="shared" si="781"/>
        <v>0</v>
      </c>
      <c r="S391" s="13">
        <f t="shared" si="781"/>
        <v>0</v>
      </c>
      <c r="T391" s="13">
        <f t="shared" si="781"/>
        <v>0</v>
      </c>
      <c r="U391" s="13">
        <f t="shared" si="781"/>
        <v>0</v>
      </c>
      <c r="V391" s="13">
        <f t="shared" si="781"/>
        <v>0</v>
      </c>
      <c r="W391" s="13">
        <f t="shared" si="781"/>
        <v>0</v>
      </c>
      <c r="X391" s="13">
        <f t="shared" si="781"/>
        <v>0</v>
      </c>
      <c r="Y391" s="13">
        <f t="shared" si="781"/>
        <v>0</v>
      </c>
      <c r="Z391" s="13">
        <f t="shared" si="781"/>
        <v>0</v>
      </c>
      <c r="AA391" s="13">
        <f t="shared" si="781"/>
        <v>0</v>
      </c>
      <c r="AB391" s="13">
        <f t="shared" ref="AB391:AP391" si="782">IFERROR(VALUE(RIGHT(LEFT($J391,FIND(AB$1,$J391,IF(M391=0,1,FIND(AB$1,$J391,1)+1))+LEN(AB$1)),1)),0)</f>
        <v>0</v>
      </c>
      <c r="AC391" s="13">
        <f t="shared" si="782"/>
        <v>0</v>
      </c>
      <c r="AD391" s="13">
        <f t="shared" si="782"/>
        <v>0</v>
      </c>
      <c r="AE391" s="13">
        <f t="shared" si="782"/>
        <v>0</v>
      </c>
      <c r="AF391" s="13">
        <f t="shared" si="782"/>
        <v>0</v>
      </c>
      <c r="AG391" s="13">
        <f t="shared" si="782"/>
        <v>0</v>
      </c>
      <c r="AH391" s="13">
        <f t="shared" si="782"/>
        <v>0</v>
      </c>
      <c r="AI391" s="13">
        <f t="shared" si="782"/>
        <v>0</v>
      </c>
      <c r="AJ391" s="13">
        <f t="shared" si="782"/>
        <v>0</v>
      </c>
      <c r="AK391" s="13">
        <f t="shared" si="782"/>
        <v>1</v>
      </c>
      <c r="AL391" s="13">
        <f t="shared" si="782"/>
        <v>0</v>
      </c>
      <c r="AM391" s="13">
        <f t="shared" si="782"/>
        <v>0</v>
      </c>
      <c r="AN391" s="13">
        <f t="shared" si="782"/>
        <v>0</v>
      </c>
      <c r="AO391" s="13">
        <f t="shared" si="782"/>
        <v>0</v>
      </c>
      <c r="AP391" s="13">
        <f t="shared" si="782"/>
        <v>0</v>
      </c>
      <c r="AQ391" s="13"/>
      <c r="AR391" s="13" t="s">
        <v>479</v>
      </c>
      <c r="AS391" s="13" t="s">
        <v>141</v>
      </c>
      <c r="AT391" s="13" t="s">
        <v>142</v>
      </c>
      <c r="AU391" s="13" t="s">
        <v>143</v>
      </c>
      <c r="AV391" s="13" t="s">
        <v>208</v>
      </c>
      <c r="AW391" s="13">
        <v>4.0</v>
      </c>
      <c r="AX391" s="13">
        <v>3.0</v>
      </c>
      <c r="AY391" s="13">
        <v>0.0</v>
      </c>
      <c r="AZ391" s="13" t="s">
        <v>2420</v>
      </c>
      <c r="BA391" s="13" t="s">
        <v>293</v>
      </c>
      <c r="BB391" s="13"/>
      <c r="BC391" s="13"/>
      <c r="BD391" s="13" t="s">
        <v>484</v>
      </c>
      <c r="BE391" s="13"/>
      <c r="BF391" s="13" t="s">
        <v>156</v>
      </c>
      <c r="BG391" s="13" t="s">
        <v>136</v>
      </c>
      <c r="BH391" s="13" t="s">
        <v>79</v>
      </c>
      <c r="BI391" s="13" t="b">
        <v>0</v>
      </c>
      <c r="BJ391" s="13">
        <v>0.0</v>
      </c>
      <c r="BK391" s="13">
        <v>0.0</v>
      </c>
    </row>
    <row r="392" ht="14.25" customHeight="1">
      <c r="A392" s="13">
        <v>390.0</v>
      </c>
      <c r="B392" s="13" t="s">
        <v>50</v>
      </c>
      <c r="C392" s="13">
        <v>0.0</v>
      </c>
      <c r="D392" s="14">
        <v>0.0</v>
      </c>
      <c r="E392" s="13" t="s">
        <v>2777</v>
      </c>
      <c r="F392" s="15" t="s">
        <v>702</v>
      </c>
      <c r="G392" s="16" t="s">
        <v>2778</v>
      </c>
      <c r="H392" s="13">
        <v>8.0</v>
      </c>
      <c r="I392" s="13">
        <v>0.8</v>
      </c>
      <c r="J392" s="13" t="s">
        <v>245</v>
      </c>
      <c r="K392" s="13">
        <f t="shared" si="3"/>
        <v>0</v>
      </c>
      <c r="L392" s="13">
        <f t="shared" si="4"/>
        <v>1</v>
      </c>
      <c r="M392" s="13">
        <f t="shared" ref="M392:AA392" si="783">IFERROR(VALUE(RIGHT(LEFT($J392,FIND(M$1,$J392,1)+LEN(M$1)),1)),0)</f>
        <v>0</v>
      </c>
      <c r="N392" s="13">
        <f t="shared" si="783"/>
        <v>0</v>
      </c>
      <c r="O392" s="13">
        <f t="shared" si="783"/>
        <v>0</v>
      </c>
      <c r="P392" s="13">
        <f t="shared" si="783"/>
        <v>0</v>
      </c>
      <c r="Q392" s="13">
        <f t="shared" si="783"/>
        <v>0</v>
      </c>
      <c r="R392" s="13">
        <f t="shared" si="783"/>
        <v>0</v>
      </c>
      <c r="S392" s="13">
        <f t="shared" si="783"/>
        <v>0</v>
      </c>
      <c r="T392" s="13">
        <f t="shared" si="783"/>
        <v>0</v>
      </c>
      <c r="U392" s="13">
        <f t="shared" si="783"/>
        <v>0</v>
      </c>
      <c r="V392" s="13">
        <f t="shared" si="783"/>
        <v>0</v>
      </c>
      <c r="W392" s="13">
        <f t="shared" si="783"/>
        <v>0</v>
      </c>
      <c r="X392" s="13">
        <f t="shared" si="783"/>
        <v>0</v>
      </c>
      <c r="Y392" s="13">
        <f t="shared" si="783"/>
        <v>0</v>
      </c>
      <c r="Z392" s="13">
        <f t="shared" si="783"/>
        <v>0</v>
      </c>
      <c r="AA392" s="13">
        <f t="shared" si="783"/>
        <v>0</v>
      </c>
      <c r="AB392" s="13">
        <f t="shared" ref="AB392:AP392" si="784">IFERROR(VALUE(RIGHT(LEFT($J392,FIND(AB$1,$J392,IF(M392=0,1,FIND(AB$1,$J392,1)+1))+LEN(AB$1)),1)),0)</f>
        <v>0</v>
      </c>
      <c r="AC392" s="13">
        <f t="shared" si="784"/>
        <v>0</v>
      </c>
      <c r="AD392" s="13">
        <f t="shared" si="784"/>
        <v>0</v>
      </c>
      <c r="AE392" s="13">
        <f t="shared" si="784"/>
        <v>0</v>
      </c>
      <c r="AF392" s="13">
        <f t="shared" si="784"/>
        <v>1</v>
      </c>
      <c r="AG392" s="13">
        <f t="shared" si="784"/>
        <v>0</v>
      </c>
      <c r="AH392" s="13">
        <f t="shared" si="784"/>
        <v>0</v>
      </c>
      <c r="AI392" s="13">
        <f t="shared" si="784"/>
        <v>0</v>
      </c>
      <c r="AJ392" s="13">
        <f t="shared" si="784"/>
        <v>0</v>
      </c>
      <c r="AK392" s="13">
        <f t="shared" si="784"/>
        <v>0</v>
      </c>
      <c r="AL392" s="13">
        <f t="shared" si="784"/>
        <v>0</v>
      </c>
      <c r="AM392" s="13">
        <f t="shared" si="784"/>
        <v>0</v>
      </c>
      <c r="AN392" s="13">
        <f t="shared" si="784"/>
        <v>0</v>
      </c>
      <c r="AO392" s="13">
        <f t="shared" si="784"/>
        <v>0</v>
      </c>
      <c r="AP392" s="13">
        <f t="shared" si="784"/>
        <v>0</v>
      </c>
      <c r="AQ392" s="13"/>
      <c r="AR392" s="13" t="s">
        <v>2779</v>
      </c>
      <c r="AS392" s="13" t="s">
        <v>2780</v>
      </c>
      <c r="AT392" s="13" t="s">
        <v>162</v>
      </c>
      <c r="AU392" s="13" t="s">
        <v>195</v>
      </c>
      <c r="AV392" s="13" t="s">
        <v>2781</v>
      </c>
      <c r="AW392" s="13">
        <v>3.0</v>
      </c>
      <c r="AX392" s="13">
        <v>3.0</v>
      </c>
      <c r="AY392" s="13">
        <v>0.0</v>
      </c>
      <c r="AZ392" s="13" t="s">
        <v>154</v>
      </c>
      <c r="BA392" s="13" t="s">
        <v>502</v>
      </c>
      <c r="BB392" s="13"/>
      <c r="BC392" s="13"/>
      <c r="BD392" s="13" t="s">
        <v>230</v>
      </c>
      <c r="BE392" s="13"/>
      <c r="BF392" s="13" t="s">
        <v>2782</v>
      </c>
      <c r="BG392" s="13" t="s">
        <v>50</v>
      </c>
      <c r="BH392" s="13" t="s">
        <v>241</v>
      </c>
      <c r="BI392" s="13" t="b">
        <v>0</v>
      </c>
      <c r="BJ392" s="13">
        <v>0.0</v>
      </c>
      <c r="BK392" s="13">
        <v>0.0</v>
      </c>
    </row>
    <row r="393" ht="14.25" customHeight="1">
      <c r="A393" s="13">
        <v>391.0</v>
      </c>
      <c r="B393" s="13" t="s">
        <v>50</v>
      </c>
      <c r="C393" s="13">
        <v>0.0</v>
      </c>
      <c r="D393" s="14">
        <v>0.0</v>
      </c>
      <c r="E393" s="13" t="s">
        <v>2783</v>
      </c>
      <c r="F393" s="15" t="s">
        <v>702</v>
      </c>
      <c r="G393" s="16" t="s">
        <v>2784</v>
      </c>
      <c r="H393" s="13">
        <v>11.0</v>
      </c>
      <c r="I393" s="13">
        <v>0.9</v>
      </c>
      <c r="J393" s="13" t="s">
        <v>225</v>
      </c>
      <c r="K393" s="13">
        <f t="shared" si="3"/>
        <v>0</v>
      </c>
      <c r="L393" s="13">
        <f t="shared" si="4"/>
        <v>1</v>
      </c>
      <c r="M393" s="13">
        <f t="shared" ref="M393:AA393" si="785">IFERROR(VALUE(RIGHT(LEFT($J393,FIND(M$1,$J393,1)+LEN(M$1)),1)),0)</f>
        <v>0</v>
      </c>
      <c r="N393" s="13">
        <f t="shared" si="785"/>
        <v>0</v>
      </c>
      <c r="O393" s="13">
        <f t="shared" si="785"/>
        <v>0</v>
      </c>
      <c r="P393" s="13">
        <f t="shared" si="785"/>
        <v>0</v>
      </c>
      <c r="Q393" s="13">
        <f t="shared" si="785"/>
        <v>0</v>
      </c>
      <c r="R393" s="13">
        <f t="shared" si="785"/>
        <v>0</v>
      </c>
      <c r="S393" s="13">
        <f t="shared" si="785"/>
        <v>0</v>
      </c>
      <c r="T393" s="13">
        <f t="shared" si="785"/>
        <v>0</v>
      </c>
      <c r="U393" s="13">
        <f t="shared" si="785"/>
        <v>0</v>
      </c>
      <c r="V393" s="13">
        <f t="shared" si="785"/>
        <v>0</v>
      </c>
      <c r="W393" s="13">
        <f t="shared" si="785"/>
        <v>0</v>
      </c>
      <c r="X393" s="13">
        <f t="shared" si="785"/>
        <v>0</v>
      </c>
      <c r="Y393" s="13">
        <f t="shared" si="785"/>
        <v>0</v>
      </c>
      <c r="Z393" s="13">
        <f t="shared" si="785"/>
        <v>0</v>
      </c>
      <c r="AA393" s="13">
        <f t="shared" si="785"/>
        <v>0</v>
      </c>
      <c r="AB393" s="13">
        <f t="shared" ref="AB393:AP393" si="786">IFERROR(VALUE(RIGHT(LEFT($J393,FIND(AB$1,$J393,IF(M393=0,1,FIND(AB$1,$J393,1)+1))+LEN(AB$1)),1)),0)</f>
        <v>0</v>
      </c>
      <c r="AC393" s="13">
        <f t="shared" si="786"/>
        <v>0</v>
      </c>
      <c r="AD393" s="13">
        <f t="shared" si="786"/>
        <v>0</v>
      </c>
      <c r="AE393" s="13">
        <f t="shared" si="786"/>
        <v>0</v>
      </c>
      <c r="AF393" s="13">
        <f t="shared" si="786"/>
        <v>0</v>
      </c>
      <c r="AG393" s="13">
        <f t="shared" si="786"/>
        <v>0</v>
      </c>
      <c r="AH393" s="13">
        <f t="shared" si="786"/>
        <v>0</v>
      </c>
      <c r="AI393" s="13">
        <f t="shared" si="786"/>
        <v>0</v>
      </c>
      <c r="AJ393" s="13">
        <f t="shared" si="786"/>
        <v>0</v>
      </c>
      <c r="AK393" s="13">
        <f t="shared" si="786"/>
        <v>0</v>
      </c>
      <c r="AL393" s="13">
        <f t="shared" si="786"/>
        <v>0</v>
      </c>
      <c r="AM393" s="13">
        <f t="shared" si="786"/>
        <v>0</v>
      </c>
      <c r="AN393" s="13">
        <f t="shared" si="786"/>
        <v>1</v>
      </c>
      <c r="AO393" s="13">
        <f t="shared" si="786"/>
        <v>0</v>
      </c>
      <c r="AP393" s="13">
        <f t="shared" si="786"/>
        <v>0</v>
      </c>
      <c r="AQ393" s="13"/>
      <c r="AR393" s="13" t="s">
        <v>2785</v>
      </c>
      <c r="AS393" s="13" t="s">
        <v>235</v>
      </c>
      <c r="AT393" s="13" t="s">
        <v>162</v>
      </c>
      <c r="AU393" s="13" t="s">
        <v>248</v>
      </c>
      <c r="AV393" s="13" t="s">
        <v>2786</v>
      </c>
      <c r="AW393" s="13">
        <v>6.0</v>
      </c>
      <c r="AX393" s="13">
        <v>3.0</v>
      </c>
      <c r="AY393" s="13">
        <v>0.0</v>
      </c>
      <c r="AZ393" s="13" t="s">
        <v>694</v>
      </c>
      <c r="BA393" s="13" t="s">
        <v>758</v>
      </c>
      <c r="BB393" s="13"/>
      <c r="BC393" s="13"/>
      <c r="BD393" s="13" t="s">
        <v>239</v>
      </c>
      <c r="BE393" s="13"/>
      <c r="BF393" s="13" t="s">
        <v>908</v>
      </c>
      <c r="BG393" s="13" t="s">
        <v>50</v>
      </c>
      <c r="BH393" s="13" t="s">
        <v>79</v>
      </c>
      <c r="BI393" s="13" t="b">
        <v>0</v>
      </c>
      <c r="BJ393" s="13">
        <v>0.0</v>
      </c>
      <c r="BK393" s="13">
        <v>0.0</v>
      </c>
    </row>
    <row r="394" ht="14.25" customHeight="1">
      <c r="A394" s="13">
        <v>392.0</v>
      </c>
      <c r="B394" s="13" t="s">
        <v>44</v>
      </c>
      <c r="C394" s="13">
        <v>1.0</v>
      </c>
      <c r="D394" s="14">
        <v>0.0</v>
      </c>
      <c r="E394" s="13" t="s">
        <v>2787</v>
      </c>
      <c r="F394" s="15" t="s">
        <v>702</v>
      </c>
      <c r="G394" s="16" t="s">
        <v>2788</v>
      </c>
      <c r="H394" s="13"/>
      <c r="I394" s="13">
        <v>0.9</v>
      </c>
      <c r="J394" s="13" t="s">
        <v>77</v>
      </c>
      <c r="K394" s="13">
        <f t="shared" si="3"/>
        <v>0</v>
      </c>
      <c r="L394" s="13">
        <f t="shared" si="4"/>
        <v>2</v>
      </c>
      <c r="M394" s="13">
        <f t="shared" ref="M394:AA394" si="787">IFERROR(VALUE(RIGHT(LEFT($J394,FIND(M$1,$J394,1)+LEN(M$1)),1)),0)</f>
        <v>0</v>
      </c>
      <c r="N394" s="13">
        <f t="shared" si="787"/>
        <v>0</v>
      </c>
      <c r="O394" s="13">
        <f t="shared" si="787"/>
        <v>0</v>
      </c>
      <c r="P394" s="13">
        <f t="shared" si="787"/>
        <v>0</v>
      </c>
      <c r="Q394" s="13">
        <f t="shared" si="787"/>
        <v>0</v>
      </c>
      <c r="R394" s="13">
        <f t="shared" si="787"/>
        <v>0</v>
      </c>
      <c r="S394" s="13">
        <f t="shared" si="787"/>
        <v>0</v>
      </c>
      <c r="T394" s="13">
        <f t="shared" si="787"/>
        <v>0</v>
      </c>
      <c r="U394" s="13">
        <f t="shared" si="787"/>
        <v>0</v>
      </c>
      <c r="V394" s="13">
        <f t="shared" si="787"/>
        <v>0</v>
      </c>
      <c r="W394" s="13">
        <f t="shared" si="787"/>
        <v>0</v>
      </c>
      <c r="X394" s="13">
        <f t="shared" si="787"/>
        <v>0</v>
      </c>
      <c r="Y394" s="13">
        <f t="shared" si="787"/>
        <v>0</v>
      </c>
      <c r="Z394" s="13">
        <f t="shared" si="787"/>
        <v>0</v>
      </c>
      <c r="AA394" s="13">
        <f t="shared" si="787"/>
        <v>0</v>
      </c>
      <c r="AB394" s="13">
        <f t="shared" ref="AB394:AP394" si="788">IFERROR(VALUE(RIGHT(LEFT($J394,FIND(AB$1,$J394,IF(M394=0,1,FIND(AB$1,$J394,1)+1))+LEN(AB$1)),1)),0)</f>
        <v>0</v>
      </c>
      <c r="AC394" s="13">
        <f t="shared" si="788"/>
        <v>0</v>
      </c>
      <c r="AD394" s="13">
        <f t="shared" si="788"/>
        <v>0</v>
      </c>
      <c r="AE394" s="13">
        <f t="shared" si="788"/>
        <v>0</v>
      </c>
      <c r="AF394" s="13">
        <f t="shared" si="788"/>
        <v>0</v>
      </c>
      <c r="AG394" s="13">
        <f t="shared" si="788"/>
        <v>1</v>
      </c>
      <c r="AH394" s="13">
        <f t="shared" si="788"/>
        <v>1</v>
      </c>
      <c r="AI394" s="13">
        <f t="shared" si="788"/>
        <v>0</v>
      </c>
      <c r="AJ394" s="13">
        <f t="shared" si="788"/>
        <v>0</v>
      </c>
      <c r="AK394" s="13">
        <f t="shared" si="788"/>
        <v>0</v>
      </c>
      <c r="AL394" s="13">
        <f t="shared" si="788"/>
        <v>0</v>
      </c>
      <c r="AM394" s="13">
        <f t="shared" si="788"/>
        <v>0</v>
      </c>
      <c r="AN394" s="13">
        <f t="shared" si="788"/>
        <v>0</v>
      </c>
      <c r="AO394" s="13">
        <f t="shared" si="788"/>
        <v>0</v>
      </c>
      <c r="AP394" s="13">
        <f t="shared" si="788"/>
        <v>0</v>
      </c>
      <c r="AQ394" s="13" t="s">
        <v>2789</v>
      </c>
      <c r="AR394" s="13"/>
      <c r="AS394" s="13" t="s">
        <v>2790</v>
      </c>
      <c r="AT394" s="13"/>
      <c r="AU394" s="13"/>
      <c r="AV394" s="13"/>
      <c r="AW394" s="13">
        <v>0.0</v>
      </c>
      <c r="AX394" s="13">
        <v>3.0</v>
      </c>
      <c r="AY394" s="13">
        <v>0.0</v>
      </c>
      <c r="AZ394" s="13"/>
      <c r="BA394" s="13"/>
      <c r="BB394" s="13"/>
      <c r="BC394" s="13"/>
      <c r="BD394" s="13"/>
      <c r="BE394" s="13"/>
      <c r="BF394" s="13"/>
      <c r="BG394" s="13"/>
      <c r="BH394" s="13" t="s">
        <v>79</v>
      </c>
      <c r="BI394" s="13" t="b">
        <v>0</v>
      </c>
      <c r="BJ394" s="13">
        <v>0.0</v>
      </c>
      <c r="BK394" s="13">
        <v>0.0</v>
      </c>
    </row>
    <row r="395" ht="14.25" customHeight="1">
      <c r="A395" s="13">
        <v>393.0</v>
      </c>
      <c r="B395" s="13" t="s">
        <v>45</v>
      </c>
      <c r="C395" s="13">
        <v>1.0</v>
      </c>
      <c r="D395" s="14">
        <v>0.0</v>
      </c>
      <c r="E395" s="13" t="s">
        <v>2791</v>
      </c>
      <c r="F395" s="15" t="s">
        <v>702</v>
      </c>
      <c r="G395" s="16" t="s">
        <v>2792</v>
      </c>
      <c r="H395" s="13"/>
      <c r="I395" s="13">
        <v>0.8</v>
      </c>
      <c r="J395" s="13" t="s">
        <v>2613</v>
      </c>
      <c r="K395" s="13">
        <f t="shared" si="3"/>
        <v>0</v>
      </c>
      <c r="L395" s="13">
        <f t="shared" si="4"/>
        <v>2</v>
      </c>
      <c r="M395" s="13">
        <f t="shared" ref="M395:AA395" si="789">IFERROR(VALUE(RIGHT(LEFT($J395,FIND(M$1,$J395,1)+LEN(M$1)),1)),0)</f>
        <v>0</v>
      </c>
      <c r="N395" s="13">
        <f t="shared" si="789"/>
        <v>0</v>
      </c>
      <c r="O395" s="13">
        <f t="shared" si="789"/>
        <v>0</v>
      </c>
      <c r="P395" s="13">
        <f t="shared" si="789"/>
        <v>0</v>
      </c>
      <c r="Q395" s="13">
        <f t="shared" si="789"/>
        <v>0</v>
      </c>
      <c r="R395" s="13">
        <f t="shared" si="789"/>
        <v>0</v>
      </c>
      <c r="S395" s="13">
        <f t="shared" si="789"/>
        <v>0</v>
      </c>
      <c r="T395" s="13">
        <f t="shared" si="789"/>
        <v>0</v>
      </c>
      <c r="U395" s="13">
        <f t="shared" si="789"/>
        <v>0</v>
      </c>
      <c r="V395" s="13">
        <f t="shared" si="789"/>
        <v>0</v>
      </c>
      <c r="W395" s="13">
        <f t="shared" si="789"/>
        <v>0</v>
      </c>
      <c r="X395" s="13">
        <f t="shared" si="789"/>
        <v>0</v>
      </c>
      <c r="Y395" s="13">
        <f t="shared" si="789"/>
        <v>0</v>
      </c>
      <c r="Z395" s="13">
        <f t="shared" si="789"/>
        <v>0</v>
      </c>
      <c r="AA395" s="13">
        <f t="shared" si="789"/>
        <v>0</v>
      </c>
      <c r="AB395" s="13">
        <f t="shared" ref="AB395:AP395" si="790">IFERROR(VALUE(RIGHT(LEFT($J395,FIND(AB$1,$J395,IF(M395=0,1,FIND(AB$1,$J395,1)+1))+LEN(AB$1)),1)),0)</f>
        <v>0</v>
      </c>
      <c r="AC395" s="13">
        <f t="shared" si="790"/>
        <v>0</v>
      </c>
      <c r="AD395" s="13">
        <f t="shared" si="790"/>
        <v>0</v>
      </c>
      <c r="AE395" s="13">
        <f t="shared" si="790"/>
        <v>0</v>
      </c>
      <c r="AF395" s="13">
        <f t="shared" si="790"/>
        <v>1</v>
      </c>
      <c r="AG395" s="13">
        <f t="shared" si="790"/>
        <v>0</v>
      </c>
      <c r="AH395" s="13">
        <f t="shared" si="790"/>
        <v>0</v>
      </c>
      <c r="AI395" s="13">
        <f t="shared" si="790"/>
        <v>1</v>
      </c>
      <c r="AJ395" s="13">
        <f t="shared" si="790"/>
        <v>0</v>
      </c>
      <c r="AK395" s="13">
        <f t="shared" si="790"/>
        <v>0</v>
      </c>
      <c r="AL395" s="13">
        <f t="shared" si="790"/>
        <v>0</v>
      </c>
      <c r="AM395" s="13">
        <f t="shared" si="790"/>
        <v>0</v>
      </c>
      <c r="AN395" s="13">
        <f t="shared" si="790"/>
        <v>0</v>
      </c>
      <c r="AO395" s="13">
        <f t="shared" si="790"/>
        <v>0</v>
      </c>
      <c r="AP395" s="13">
        <f t="shared" si="790"/>
        <v>0</v>
      </c>
      <c r="AQ395" s="13" t="s">
        <v>2793</v>
      </c>
      <c r="AR395" s="13"/>
      <c r="AS395" s="13" t="s">
        <v>2794</v>
      </c>
      <c r="AT395" s="13"/>
      <c r="AU395" s="13"/>
      <c r="AV395" s="13"/>
      <c r="AW395" s="13">
        <v>0.0</v>
      </c>
      <c r="AX395" s="13">
        <v>3.0</v>
      </c>
      <c r="AY395" s="13">
        <v>0.0</v>
      </c>
      <c r="AZ395" s="13"/>
      <c r="BA395" s="13"/>
      <c r="BB395" s="13"/>
      <c r="BC395" s="13"/>
      <c r="BD395" s="13"/>
      <c r="BE395" s="13"/>
      <c r="BF395" s="13"/>
      <c r="BG395" s="13"/>
      <c r="BH395" s="13" t="s">
        <v>79</v>
      </c>
      <c r="BI395" s="13" t="b">
        <v>0</v>
      </c>
      <c r="BJ395" s="13">
        <v>0.0</v>
      </c>
      <c r="BK395" s="13">
        <v>0.0</v>
      </c>
    </row>
    <row r="396" ht="14.25" customHeight="1">
      <c r="A396" s="13">
        <v>394.0</v>
      </c>
      <c r="B396" s="13" t="s">
        <v>46</v>
      </c>
      <c r="C396" s="13">
        <v>1.0</v>
      </c>
      <c r="D396" s="14">
        <v>0.0</v>
      </c>
      <c r="E396" s="13" t="s">
        <v>2795</v>
      </c>
      <c r="F396" s="15" t="s">
        <v>702</v>
      </c>
      <c r="G396" s="16" t="s">
        <v>2796</v>
      </c>
      <c r="H396" s="13"/>
      <c r="I396" s="13">
        <v>0.8</v>
      </c>
      <c r="J396" s="13" t="s">
        <v>425</v>
      </c>
      <c r="K396" s="13">
        <f t="shared" si="3"/>
        <v>0</v>
      </c>
      <c r="L396" s="13">
        <f t="shared" si="4"/>
        <v>2</v>
      </c>
      <c r="M396" s="13">
        <f t="shared" ref="M396:AA396" si="791">IFERROR(VALUE(RIGHT(LEFT($J396,FIND(M$1,$J396,1)+LEN(M$1)),1)),0)</f>
        <v>0</v>
      </c>
      <c r="N396" s="13">
        <f t="shared" si="791"/>
        <v>0</v>
      </c>
      <c r="O396" s="13">
        <f t="shared" si="791"/>
        <v>0</v>
      </c>
      <c r="P396" s="13">
        <f t="shared" si="791"/>
        <v>0</v>
      </c>
      <c r="Q396" s="13">
        <f t="shared" si="791"/>
        <v>0</v>
      </c>
      <c r="R396" s="13">
        <f t="shared" si="791"/>
        <v>0</v>
      </c>
      <c r="S396" s="13">
        <f t="shared" si="791"/>
        <v>0</v>
      </c>
      <c r="T396" s="13">
        <f t="shared" si="791"/>
        <v>0</v>
      </c>
      <c r="U396" s="13">
        <f t="shared" si="791"/>
        <v>0</v>
      </c>
      <c r="V396" s="13">
        <f t="shared" si="791"/>
        <v>0</v>
      </c>
      <c r="W396" s="13">
        <f t="shared" si="791"/>
        <v>0</v>
      </c>
      <c r="X396" s="13">
        <f t="shared" si="791"/>
        <v>0</v>
      </c>
      <c r="Y396" s="13">
        <f t="shared" si="791"/>
        <v>0</v>
      </c>
      <c r="Z396" s="13">
        <f t="shared" si="791"/>
        <v>0</v>
      </c>
      <c r="AA396" s="13">
        <f t="shared" si="791"/>
        <v>0</v>
      </c>
      <c r="AB396" s="13">
        <f t="shared" ref="AB396:AP396" si="792">IFERROR(VALUE(RIGHT(LEFT($J396,FIND(AB$1,$J396,IF(M396=0,1,FIND(AB$1,$J396,1)+1))+LEN(AB$1)),1)),0)</f>
        <v>1</v>
      </c>
      <c r="AC396" s="13">
        <f t="shared" si="792"/>
        <v>0</v>
      </c>
      <c r="AD396" s="13">
        <f t="shared" si="792"/>
        <v>0</v>
      </c>
      <c r="AE396" s="13">
        <f t="shared" si="792"/>
        <v>0</v>
      </c>
      <c r="AF396" s="13">
        <f t="shared" si="792"/>
        <v>0</v>
      </c>
      <c r="AG396" s="13">
        <f t="shared" si="792"/>
        <v>0</v>
      </c>
      <c r="AH396" s="13">
        <f t="shared" si="792"/>
        <v>0</v>
      </c>
      <c r="AI396" s="13">
        <f t="shared" si="792"/>
        <v>0</v>
      </c>
      <c r="AJ396" s="13">
        <f t="shared" si="792"/>
        <v>1</v>
      </c>
      <c r="AK396" s="13">
        <f t="shared" si="792"/>
        <v>0</v>
      </c>
      <c r="AL396" s="13">
        <f t="shared" si="792"/>
        <v>0</v>
      </c>
      <c r="AM396" s="13">
        <f t="shared" si="792"/>
        <v>0</v>
      </c>
      <c r="AN396" s="13">
        <f t="shared" si="792"/>
        <v>0</v>
      </c>
      <c r="AO396" s="13">
        <f t="shared" si="792"/>
        <v>0</v>
      </c>
      <c r="AP396" s="13">
        <f t="shared" si="792"/>
        <v>0</v>
      </c>
      <c r="AQ396" s="13" t="s">
        <v>2797</v>
      </c>
      <c r="AR396" s="13"/>
      <c r="AS396" s="13" t="s">
        <v>459</v>
      </c>
      <c r="AT396" s="13"/>
      <c r="AU396" s="13"/>
      <c r="AV396" s="13"/>
      <c r="AW396" s="13">
        <v>0.0</v>
      </c>
      <c r="AX396" s="13">
        <v>3.0</v>
      </c>
      <c r="AY396" s="13">
        <v>0.0</v>
      </c>
      <c r="AZ396" s="13"/>
      <c r="BA396" s="13"/>
      <c r="BB396" s="13"/>
      <c r="BC396" s="13"/>
      <c r="BD396" s="13"/>
      <c r="BE396" s="13"/>
      <c r="BF396" s="13"/>
      <c r="BG396" s="13"/>
      <c r="BH396" s="13" t="s">
        <v>79</v>
      </c>
      <c r="BI396" s="13" t="b">
        <v>0</v>
      </c>
      <c r="BJ396" s="13">
        <v>0.0</v>
      </c>
      <c r="BK396" s="13">
        <v>0.0</v>
      </c>
    </row>
    <row r="397" ht="14.25" customHeight="1">
      <c r="A397" s="13">
        <v>395.0</v>
      </c>
      <c r="B397" s="13" t="s">
        <v>47</v>
      </c>
      <c r="C397" s="13">
        <v>1.0</v>
      </c>
      <c r="D397" s="14">
        <v>0.0</v>
      </c>
      <c r="E397" s="13" t="s">
        <v>2798</v>
      </c>
      <c r="F397" s="15" t="s">
        <v>702</v>
      </c>
      <c r="G397" s="16" t="s">
        <v>2799</v>
      </c>
      <c r="H397" s="13">
        <v>10.0</v>
      </c>
      <c r="I397" s="13">
        <v>1.1</v>
      </c>
      <c r="J397" s="13" t="s">
        <v>489</v>
      </c>
      <c r="K397" s="13">
        <f t="shared" si="3"/>
        <v>0</v>
      </c>
      <c r="L397" s="13">
        <f t="shared" si="4"/>
        <v>2</v>
      </c>
      <c r="M397" s="13">
        <f t="shared" ref="M397:AA397" si="793">IFERROR(VALUE(RIGHT(LEFT($J397,FIND(M$1,$J397,1)+LEN(M$1)),1)),0)</f>
        <v>0</v>
      </c>
      <c r="N397" s="13">
        <f t="shared" si="793"/>
        <v>0</v>
      </c>
      <c r="O397" s="13">
        <f t="shared" si="793"/>
        <v>0</v>
      </c>
      <c r="P397" s="13">
        <f t="shared" si="793"/>
        <v>0</v>
      </c>
      <c r="Q397" s="13">
        <f t="shared" si="793"/>
        <v>0</v>
      </c>
      <c r="R397" s="13">
        <f t="shared" si="793"/>
        <v>0</v>
      </c>
      <c r="S397" s="13">
        <f t="shared" si="793"/>
        <v>0</v>
      </c>
      <c r="T397" s="13">
        <f t="shared" si="793"/>
        <v>0</v>
      </c>
      <c r="U397" s="13">
        <f t="shared" si="793"/>
        <v>0</v>
      </c>
      <c r="V397" s="13">
        <f t="shared" si="793"/>
        <v>0</v>
      </c>
      <c r="W397" s="13">
        <f t="shared" si="793"/>
        <v>0</v>
      </c>
      <c r="X397" s="13">
        <f t="shared" si="793"/>
        <v>0</v>
      </c>
      <c r="Y397" s="13">
        <f t="shared" si="793"/>
        <v>0</v>
      </c>
      <c r="Z397" s="13">
        <f t="shared" si="793"/>
        <v>0</v>
      </c>
      <c r="AA397" s="13">
        <f t="shared" si="793"/>
        <v>0</v>
      </c>
      <c r="AB397" s="13">
        <f t="shared" ref="AB397:AP397" si="794">IFERROR(VALUE(RIGHT(LEFT($J397,FIND(AB$1,$J397,IF(M397=0,1,FIND(AB$1,$J397,1)+1))+LEN(AB$1)),1)),0)</f>
        <v>1</v>
      </c>
      <c r="AC397" s="13">
        <f t="shared" si="794"/>
        <v>0</v>
      </c>
      <c r="AD397" s="13">
        <f t="shared" si="794"/>
        <v>0</v>
      </c>
      <c r="AE397" s="13">
        <f t="shared" si="794"/>
        <v>0</v>
      </c>
      <c r="AF397" s="13">
        <f t="shared" si="794"/>
        <v>0</v>
      </c>
      <c r="AG397" s="13">
        <f t="shared" si="794"/>
        <v>0</v>
      </c>
      <c r="AH397" s="13">
        <f t="shared" si="794"/>
        <v>0</v>
      </c>
      <c r="AI397" s="13">
        <f t="shared" si="794"/>
        <v>0</v>
      </c>
      <c r="AJ397" s="13">
        <f t="shared" si="794"/>
        <v>0</v>
      </c>
      <c r="AK397" s="13">
        <f t="shared" si="794"/>
        <v>1</v>
      </c>
      <c r="AL397" s="13">
        <f t="shared" si="794"/>
        <v>0</v>
      </c>
      <c r="AM397" s="13">
        <f t="shared" si="794"/>
        <v>0</v>
      </c>
      <c r="AN397" s="13">
        <f t="shared" si="794"/>
        <v>0</v>
      </c>
      <c r="AO397" s="13">
        <f t="shared" si="794"/>
        <v>0</v>
      </c>
      <c r="AP397" s="13">
        <f t="shared" si="794"/>
        <v>0</v>
      </c>
      <c r="AQ397" s="13"/>
      <c r="AR397" s="13" t="s">
        <v>2800</v>
      </c>
      <c r="AS397" s="13" t="s">
        <v>491</v>
      </c>
      <c r="AT397" s="13" t="s">
        <v>129</v>
      </c>
      <c r="AU397" s="13" t="s">
        <v>143</v>
      </c>
      <c r="AV397" s="13" t="s">
        <v>2801</v>
      </c>
      <c r="AW397" s="13">
        <v>9.0</v>
      </c>
      <c r="AX397" s="13">
        <v>3.0</v>
      </c>
      <c r="AY397" s="13">
        <v>0.0</v>
      </c>
      <c r="AZ397" s="13" t="s">
        <v>271</v>
      </c>
      <c r="BA397" s="13" t="s">
        <v>694</v>
      </c>
      <c r="BB397" s="13"/>
      <c r="BC397" s="13"/>
      <c r="BD397" s="13" t="s">
        <v>484</v>
      </c>
      <c r="BE397" s="13"/>
      <c r="BF397" s="13" t="s">
        <v>587</v>
      </c>
      <c r="BG397" s="13" t="s">
        <v>136</v>
      </c>
      <c r="BH397" s="13" t="s">
        <v>79</v>
      </c>
      <c r="BI397" s="13" t="b">
        <v>0</v>
      </c>
      <c r="BJ397" s="13">
        <v>0.0</v>
      </c>
      <c r="BK397" s="13">
        <v>0.0</v>
      </c>
    </row>
    <row r="398" ht="14.25" customHeight="1">
      <c r="A398" s="13">
        <v>396.0</v>
      </c>
      <c r="B398" s="13" t="s">
        <v>47</v>
      </c>
      <c r="C398" s="13">
        <v>1.0</v>
      </c>
      <c r="D398" s="14">
        <v>0.0</v>
      </c>
      <c r="E398" s="13" t="s">
        <v>2802</v>
      </c>
      <c r="F398" s="15" t="s">
        <v>702</v>
      </c>
      <c r="G398" s="16" t="s">
        <v>2803</v>
      </c>
      <c r="H398" s="13">
        <v>11.0</v>
      </c>
      <c r="I398" s="13">
        <v>1.2</v>
      </c>
      <c r="J398" s="13" t="s">
        <v>525</v>
      </c>
      <c r="K398" s="13">
        <f t="shared" si="3"/>
        <v>0</v>
      </c>
      <c r="L398" s="13">
        <f t="shared" si="4"/>
        <v>2</v>
      </c>
      <c r="M398" s="13">
        <f t="shared" ref="M398:AA398" si="795">IFERROR(VALUE(RIGHT(LEFT($J398,FIND(M$1,$J398,1)+LEN(M$1)),1)),0)</f>
        <v>0</v>
      </c>
      <c r="N398" s="13">
        <f t="shared" si="795"/>
        <v>0</v>
      </c>
      <c r="O398" s="13">
        <f t="shared" si="795"/>
        <v>0</v>
      </c>
      <c r="P398" s="13">
        <f t="shared" si="795"/>
        <v>0</v>
      </c>
      <c r="Q398" s="13">
        <f t="shared" si="795"/>
        <v>0</v>
      </c>
      <c r="R398" s="13">
        <f t="shared" si="795"/>
        <v>0</v>
      </c>
      <c r="S398" s="13">
        <f t="shared" si="795"/>
        <v>0</v>
      </c>
      <c r="T398" s="13">
        <f t="shared" si="795"/>
        <v>0</v>
      </c>
      <c r="U398" s="13">
        <f t="shared" si="795"/>
        <v>0</v>
      </c>
      <c r="V398" s="13">
        <f t="shared" si="795"/>
        <v>0</v>
      </c>
      <c r="W398" s="13">
        <f t="shared" si="795"/>
        <v>0</v>
      </c>
      <c r="X398" s="13">
        <f t="shared" si="795"/>
        <v>0</v>
      </c>
      <c r="Y398" s="13">
        <f t="shared" si="795"/>
        <v>0</v>
      </c>
      <c r="Z398" s="13">
        <f t="shared" si="795"/>
        <v>0</v>
      </c>
      <c r="AA398" s="13">
        <f t="shared" si="795"/>
        <v>0</v>
      </c>
      <c r="AB398" s="13">
        <f t="shared" ref="AB398:AP398" si="796">IFERROR(VALUE(RIGHT(LEFT($J398,FIND(AB$1,$J398,IF(M398=0,1,FIND(AB$1,$J398,1)+1))+LEN(AB$1)),1)),0)</f>
        <v>0</v>
      </c>
      <c r="AC398" s="13">
        <f t="shared" si="796"/>
        <v>0</v>
      </c>
      <c r="AD398" s="13">
        <f t="shared" si="796"/>
        <v>0</v>
      </c>
      <c r="AE398" s="13">
        <f t="shared" si="796"/>
        <v>0</v>
      </c>
      <c r="AF398" s="13">
        <f t="shared" si="796"/>
        <v>1</v>
      </c>
      <c r="AG398" s="13">
        <f t="shared" si="796"/>
        <v>0</v>
      </c>
      <c r="AH398" s="13">
        <f t="shared" si="796"/>
        <v>0</v>
      </c>
      <c r="AI398" s="13">
        <f t="shared" si="796"/>
        <v>0</v>
      </c>
      <c r="AJ398" s="13">
        <f t="shared" si="796"/>
        <v>0</v>
      </c>
      <c r="AK398" s="13">
        <f t="shared" si="796"/>
        <v>1</v>
      </c>
      <c r="AL398" s="13">
        <f t="shared" si="796"/>
        <v>0</v>
      </c>
      <c r="AM398" s="13">
        <f t="shared" si="796"/>
        <v>0</v>
      </c>
      <c r="AN398" s="13">
        <f t="shared" si="796"/>
        <v>0</v>
      </c>
      <c r="AO398" s="13">
        <f t="shared" si="796"/>
        <v>0</v>
      </c>
      <c r="AP398" s="13">
        <f t="shared" si="796"/>
        <v>0</v>
      </c>
      <c r="AQ398" s="13"/>
      <c r="AR398" s="13" t="s">
        <v>1150</v>
      </c>
      <c r="AS398" s="13" t="s">
        <v>2804</v>
      </c>
      <c r="AT398" s="13" t="s">
        <v>129</v>
      </c>
      <c r="AU398" s="13" t="s">
        <v>130</v>
      </c>
      <c r="AV398" s="13" t="s">
        <v>2805</v>
      </c>
      <c r="AW398" s="13">
        <v>8.0</v>
      </c>
      <c r="AX398" s="13">
        <v>3.0</v>
      </c>
      <c r="AY398" s="13">
        <v>0.0</v>
      </c>
      <c r="AZ398" s="13" t="s">
        <v>529</v>
      </c>
      <c r="BA398" s="13" t="s">
        <v>530</v>
      </c>
      <c r="BB398" s="13"/>
      <c r="BC398" s="13"/>
      <c r="BD398" s="13" t="s">
        <v>134</v>
      </c>
      <c r="BE398" s="13"/>
      <c r="BF398" s="13" t="s">
        <v>2806</v>
      </c>
      <c r="BG398" s="13" t="s">
        <v>136</v>
      </c>
      <c r="BH398" s="13" t="s">
        <v>79</v>
      </c>
      <c r="BI398" s="13" t="b">
        <v>0</v>
      </c>
      <c r="BJ398" s="13">
        <v>0.0</v>
      </c>
      <c r="BK398" s="13">
        <v>0.0</v>
      </c>
    </row>
    <row r="399" ht="14.25" customHeight="1">
      <c r="A399" s="13">
        <v>397.0</v>
      </c>
      <c r="B399" s="13" t="s">
        <v>50</v>
      </c>
      <c r="C399" s="13">
        <v>1.0</v>
      </c>
      <c r="D399" s="14">
        <v>0.0</v>
      </c>
      <c r="E399" s="13" t="s">
        <v>2807</v>
      </c>
      <c r="F399" s="15" t="s">
        <v>702</v>
      </c>
      <c r="G399" s="16" t="s">
        <v>2808</v>
      </c>
      <c r="H399" s="13">
        <v>12.0</v>
      </c>
      <c r="I399" s="13">
        <v>1.1</v>
      </c>
      <c r="J399" s="13" t="s">
        <v>761</v>
      </c>
      <c r="K399" s="13">
        <f t="shared" si="3"/>
        <v>0</v>
      </c>
      <c r="L399" s="13">
        <f t="shared" si="4"/>
        <v>2</v>
      </c>
      <c r="M399" s="13">
        <f t="shared" ref="M399:AA399" si="797">IFERROR(VALUE(RIGHT(LEFT($J399,FIND(M$1,$J399,1)+LEN(M$1)),1)),0)</f>
        <v>0</v>
      </c>
      <c r="N399" s="13">
        <f t="shared" si="797"/>
        <v>0</v>
      </c>
      <c r="O399" s="13">
        <f t="shared" si="797"/>
        <v>0</v>
      </c>
      <c r="P399" s="13">
        <f t="shared" si="797"/>
        <v>0</v>
      </c>
      <c r="Q399" s="13">
        <f t="shared" si="797"/>
        <v>0</v>
      </c>
      <c r="R399" s="13">
        <f t="shared" si="797"/>
        <v>0</v>
      </c>
      <c r="S399" s="13">
        <f t="shared" si="797"/>
        <v>0</v>
      </c>
      <c r="T399" s="13">
        <f t="shared" si="797"/>
        <v>0</v>
      </c>
      <c r="U399" s="13">
        <f t="shared" si="797"/>
        <v>0</v>
      </c>
      <c r="V399" s="13">
        <f t="shared" si="797"/>
        <v>0</v>
      </c>
      <c r="W399" s="13">
        <f t="shared" si="797"/>
        <v>0</v>
      </c>
      <c r="X399" s="13">
        <f t="shared" si="797"/>
        <v>0</v>
      </c>
      <c r="Y399" s="13">
        <f t="shared" si="797"/>
        <v>0</v>
      </c>
      <c r="Z399" s="13">
        <f t="shared" si="797"/>
        <v>0</v>
      </c>
      <c r="AA399" s="13">
        <f t="shared" si="797"/>
        <v>0</v>
      </c>
      <c r="AB399" s="13">
        <f t="shared" ref="AB399:AP399" si="798">IFERROR(VALUE(RIGHT(LEFT($J399,FIND(AB$1,$J399,IF(M399=0,1,FIND(AB$1,$J399,1)+1))+LEN(AB$1)),1)),0)</f>
        <v>1</v>
      </c>
      <c r="AC399" s="13">
        <f t="shared" si="798"/>
        <v>0</v>
      </c>
      <c r="AD399" s="13">
        <f t="shared" si="798"/>
        <v>0</v>
      </c>
      <c r="AE399" s="13">
        <f t="shared" si="798"/>
        <v>0</v>
      </c>
      <c r="AF399" s="13">
        <f t="shared" si="798"/>
        <v>0</v>
      </c>
      <c r="AG399" s="13">
        <f t="shared" si="798"/>
        <v>0</v>
      </c>
      <c r="AH399" s="13">
        <f t="shared" si="798"/>
        <v>0</v>
      </c>
      <c r="AI399" s="13">
        <f t="shared" si="798"/>
        <v>0</v>
      </c>
      <c r="AJ399" s="13">
        <f t="shared" si="798"/>
        <v>0</v>
      </c>
      <c r="AK399" s="13">
        <f t="shared" si="798"/>
        <v>0</v>
      </c>
      <c r="AL399" s="13">
        <f t="shared" si="798"/>
        <v>0</v>
      </c>
      <c r="AM399" s="13">
        <f t="shared" si="798"/>
        <v>0</v>
      </c>
      <c r="AN399" s="13">
        <f t="shared" si="798"/>
        <v>1</v>
      </c>
      <c r="AO399" s="13">
        <f t="shared" si="798"/>
        <v>0</v>
      </c>
      <c r="AP399" s="13">
        <f t="shared" si="798"/>
        <v>0</v>
      </c>
      <c r="AQ399" s="13"/>
      <c r="AR399" s="13" t="s">
        <v>2809</v>
      </c>
      <c r="AS399" s="13" t="s">
        <v>2810</v>
      </c>
      <c r="AT399" s="13" t="s">
        <v>162</v>
      </c>
      <c r="AU399" s="13" t="s">
        <v>248</v>
      </c>
      <c r="AV399" s="13" t="s">
        <v>2811</v>
      </c>
      <c r="AW399" s="13">
        <v>11.0</v>
      </c>
      <c r="AX399" s="13">
        <v>3.0</v>
      </c>
      <c r="AY399" s="13">
        <v>0.0</v>
      </c>
      <c r="AZ399" s="13" t="s">
        <v>519</v>
      </c>
      <c r="BA399" s="13" t="s">
        <v>520</v>
      </c>
      <c r="BB399" s="13"/>
      <c r="BC399" s="13"/>
      <c r="BD399" s="13" t="s">
        <v>230</v>
      </c>
      <c r="BE399" s="13"/>
      <c r="BF399" s="13" t="s">
        <v>2812</v>
      </c>
      <c r="BG399" s="13" t="s">
        <v>50</v>
      </c>
      <c r="BH399" s="13" t="s">
        <v>79</v>
      </c>
      <c r="BI399" s="13" t="b">
        <v>0</v>
      </c>
      <c r="BJ399" s="13">
        <v>0.0</v>
      </c>
      <c r="BK399" s="13">
        <v>0.0</v>
      </c>
    </row>
    <row r="400" ht="14.25" customHeight="1">
      <c r="A400" s="13">
        <v>398.0</v>
      </c>
      <c r="B400" s="13" t="s">
        <v>50</v>
      </c>
      <c r="C400" s="13">
        <v>1.0</v>
      </c>
      <c r="D400" s="14">
        <v>0.0</v>
      </c>
      <c r="E400" s="13" t="s">
        <v>2813</v>
      </c>
      <c r="F400" s="15" t="s">
        <v>702</v>
      </c>
      <c r="G400" s="16" t="s">
        <v>2814</v>
      </c>
      <c r="H400" s="13">
        <v>13.0</v>
      </c>
      <c r="I400" s="13">
        <v>1.1</v>
      </c>
      <c r="J400" s="13" t="s">
        <v>712</v>
      </c>
      <c r="K400" s="13">
        <f t="shared" si="3"/>
        <v>0</v>
      </c>
      <c r="L400" s="13">
        <f t="shared" si="4"/>
        <v>2</v>
      </c>
      <c r="M400" s="13">
        <f t="shared" ref="M400:AA400" si="799">IFERROR(VALUE(RIGHT(LEFT($J400,FIND(M$1,$J400,1)+LEN(M$1)),1)),0)</f>
        <v>0</v>
      </c>
      <c r="N400" s="13">
        <f t="shared" si="799"/>
        <v>0</v>
      </c>
      <c r="O400" s="13">
        <f t="shared" si="799"/>
        <v>0</v>
      </c>
      <c r="P400" s="13">
        <f t="shared" si="799"/>
        <v>0</v>
      </c>
      <c r="Q400" s="13">
        <f t="shared" si="799"/>
        <v>0</v>
      </c>
      <c r="R400" s="13">
        <f t="shared" si="799"/>
        <v>0</v>
      </c>
      <c r="S400" s="13">
        <f t="shared" si="799"/>
        <v>0</v>
      </c>
      <c r="T400" s="13">
        <f t="shared" si="799"/>
        <v>0</v>
      </c>
      <c r="U400" s="13">
        <f t="shared" si="799"/>
        <v>0</v>
      </c>
      <c r="V400" s="13">
        <f t="shared" si="799"/>
        <v>0</v>
      </c>
      <c r="W400" s="13">
        <f t="shared" si="799"/>
        <v>0</v>
      </c>
      <c r="X400" s="13">
        <f t="shared" si="799"/>
        <v>0</v>
      </c>
      <c r="Y400" s="13">
        <f t="shared" si="799"/>
        <v>0</v>
      </c>
      <c r="Z400" s="13">
        <f t="shared" si="799"/>
        <v>0</v>
      </c>
      <c r="AA400" s="13">
        <f t="shared" si="799"/>
        <v>0</v>
      </c>
      <c r="AB400" s="13">
        <f t="shared" ref="AB400:AP400" si="800">IFERROR(VALUE(RIGHT(LEFT($J400,FIND(AB$1,$J400,IF(M400=0,1,FIND(AB$1,$J400,1)+1))+LEN(AB$1)),1)),0)</f>
        <v>0</v>
      </c>
      <c r="AC400" s="13">
        <f t="shared" si="800"/>
        <v>0</v>
      </c>
      <c r="AD400" s="13">
        <f t="shared" si="800"/>
        <v>0</v>
      </c>
      <c r="AE400" s="13">
        <f t="shared" si="800"/>
        <v>0</v>
      </c>
      <c r="AF400" s="13">
        <f t="shared" si="800"/>
        <v>0</v>
      </c>
      <c r="AG400" s="13">
        <f t="shared" si="800"/>
        <v>1</v>
      </c>
      <c r="AH400" s="13">
        <f t="shared" si="800"/>
        <v>0</v>
      </c>
      <c r="AI400" s="13">
        <f t="shared" si="800"/>
        <v>0</v>
      </c>
      <c r="AJ400" s="13">
        <f t="shared" si="800"/>
        <v>0</v>
      </c>
      <c r="AK400" s="13">
        <f t="shared" si="800"/>
        <v>0</v>
      </c>
      <c r="AL400" s="13">
        <f t="shared" si="800"/>
        <v>0</v>
      </c>
      <c r="AM400" s="13">
        <f t="shared" si="800"/>
        <v>0</v>
      </c>
      <c r="AN400" s="13">
        <f t="shared" si="800"/>
        <v>1</v>
      </c>
      <c r="AO400" s="13">
        <f t="shared" si="800"/>
        <v>0</v>
      </c>
      <c r="AP400" s="13">
        <f t="shared" si="800"/>
        <v>0</v>
      </c>
      <c r="AQ400" s="13"/>
      <c r="AR400" s="13" t="s">
        <v>2815</v>
      </c>
      <c r="AS400" s="13" t="s">
        <v>726</v>
      </c>
      <c r="AT400" s="13" t="s">
        <v>257</v>
      </c>
      <c r="AU400" s="13" t="s">
        <v>130</v>
      </c>
      <c r="AV400" s="13" t="s">
        <v>2816</v>
      </c>
      <c r="AW400" s="13">
        <v>10.0</v>
      </c>
      <c r="AX400" s="13">
        <v>3.0</v>
      </c>
      <c r="AY400" s="13">
        <v>0.0</v>
      </c>
      <c r="AZ400" s="13" t="s">
        <v>566</v>
      </c>
      <c r="BA400" s="13" t="s">
        <v>281</v>
      </c>
      <c r="BB400" s="13"/>
      <c r="BC400" s="13"/>
      <c r="BD400" s="13" t="s">
        <v>239</v>
      </c>
      <c r="BE400" s="13"/>
      <c r="BF400" s="13" t="s">
        <v>2817</v>
      </c>
      <c r="BG400" s="13" t="s">
        <v>50</v>
      </c>
      <c r="BH400" s="13" t="s">
        <v>79</v>
      </c>
      <c r="BI400" s="13" t="b">
        <v>0</v>
      </c>
      <c r="BJ400" s="13">
        <v>0.0</v>
      </c>
      <c r="BK400" s="13">
        <v>0.0</v>
      </c>
    </row>
    <row r="401" ht="14.25" customHeight="1">
      <c r="A401" s="13">
        <v>399.0</v>
      </c>
      <c r="B401" s="13" t="s">
        <v>44</v>
      </c>
      <c r="C401" s="13">
        <v>2.0</v>
      </c>
      <c r="D401" s="14">
        <v>0.0</v>
      </c>
      <c r="E401" s="13" t="s">
        <v>2818</v>
      </c>
      <c r="F401" s="15" t="s">
        <v>702</v>
      </c>
      <c r="G401" s="16" t="s">
        <v>2819</v>
      </c>
      <c r="H401" s="13"/>
      <c r="I401" s="13">
        <v>0.9</v>
      </c>
      <c r="J401" s="13" t="s">
        <v>954</v>
      </c>
      <c r="K401" s="13">
        <f t="shared" si="3"/>
        <v>0</v>
      </c>
      <c r="L401" s="13">
        <f t="shared" si="4"/>
        <v>3</v>
      </c>
      <c r="M401" s="13">
        <f t="shared" ref="M401:AA401" si="801">IFERROR(VALUE(RIGHT(LEFT($J401,FIND(M$1,$J401,1)+LEN(M$1)),1)),0)</f>
        <v>0</v>
      </c>
      <c r="N401" s="13">
        <f t="shared" si="801"/>
        <v>0</v>
      </c>
      <c r="O401" s="13">
        <f t="shared" si="801"/>
        <v>0</v>
      </c>
      <c r="P401" s="13">
        <f t="shared" si="801"/>
        <v>0</v>
      </c>
      <c r="Q401" s="13">
        <f t="shared" si="801"/>
        <v>0</v>
      </c>
      <c r="R401" s="13">
        <f t="shared" si="801"/>
        <v>0</v>
      </c>
      <c r="S401" s="13">
        <f t="shared" si="801"/>
        <v>0</v>
      </c>
      <c r="T401" s="13">
        <f t="shared" si="801"/>
        <v>0</v>
      </c>
      <c r="U401" s="13">
        <f t="shared" si="801"/>
        <v>0</v>
      </c>
      <c r="V401" s="13">
        <f t="shared" si="801"/>
        <v>0</v>
      </c>
      <c r="W401" s="13">
        <f t="shared" si="801"/>
        <v>0</v>
      </c>
      <c r="X401" s="13">
        <f t="shared" si="801"/>
        <v>0</v>
      </c>
      <c r="Y401" s="13">
        <f t="shared" si="801"/>
        <v>0</v>
      </c>
      <c r="Z401" s="13">
        <f t="shared" si="801"/>
        <v>0</v>
      </c>
      <c r="AA401" s="13">
        <f t="shared" si="801"/>
        <v>0</v>
      </c>
      <c r="AB401" s="13">
        <f t="shared" ref="AB401:AP401" si="802">IFERROR(VALUE(RIGHT(LEFT($J401,FIND(AB$1,$J401,IF(M401=0,1,FIND(AB$1,$J401,1)+1))+LEN(AB$1)),1)),0)</f>
        <v>0</v>
      </c>
      <c r="AC401" s="13">
        <f t="shared" si="802"/>
        <v>0</v>
      </c>
      <c r="AD401" s="13">
        <f t="shared" si="802"/>
        <v>0</v>
      </c>
      <c r="AE401" s="13">
        <f t="shared" si="802"/>
        <v>0</v>
      </c>
      <c r="AF401" s="13">
        <f t="shared" si="802"/>
        <v>0</v>
      </c>
      <c r="AG401" s="13">
        <f t="shared" si="802"/>
        <v>1</v>
      </c>
      <c r="AH401" s="13">
        <f t="shared" si="802"/>
        <v>2</v>
      </c>
      <c r="AI401" s="13">
        <f t="shared" si="802"/>
        <v>0</v>
      </c>
      <c r="AJ401" s="13">
        <f t="shared" si="802"/>
        <v>0</v>
      </c>
      <c r="AK401" s="13">
        <f t="shared" si="802"/>
        <v>0</v>
      </c>
      <c r="AL401" s="13">
        <f t="shared" si="802"/>
        <v>0</v>
      </c>
      <c r="AM401" s="13">
        <f t="shared" si="802"/>
        <v>0</v>
      </c>
      <c r="AN401" s="13">
        <f t="shared" si="802"/>
        <v>0</v>
      </c>
      <c r="AO401" s="13">
        <f t="shared" si="802"/>
        <v>0</v>
      </c>
      <c r="AP401" s="13">
        <f t="shared" si="802"/>
        <v>0</v>
      </c>
      <c r="AQ401" s="13" t="s">
        <v>2820</v>
      </c>
      <c r="AR401" s="13"/>
      <c r="AS401" s="13" t="s">
        <v>2821</v>
      </c>
      <c r="AT401" s="13"/>
      <c r="AU401" s="13"/>
      <c r="AV401" s="13"/>
      <c r="AW401" s="13">
        <v>0.0</v>
      </c>
      <c r="AX401" s="13">
        <v>3.0</v>
      </c>
      <c r="AY401" s="13">
        <v>0.0</v>
      </c>
      <c r="AZ401" s="13"/>
      <c r="BA401" s="13"/>
      <c r="BB401" s="13"/>
      <c r="BC401" s="13"/>
      <c r="BD401" s="13"/>
      <c r="BE401" s="13"/>
      <c r="BF401" s="13"/>
      <c r="BG401" s="13"/>
      <c r="BH401" s="13" t="s">
        <v>79</v>
      </c>
      <c r="BI401" s="13" t="b">
        <v>0</v>
      </c>
      <c r="BJ401" s="13">
        <v>0.0</v>
      </c>
      <c r="BK401" s="13">
        <v>0.0</v>
      </c>
    </row>
    <row r="402" ht="14.25" customHeight="1">
      <c r="A402" s="13">
        <v>400.0</v>
      </c>
      <c r="B402" s="13" t="s">
        <v>45</v>
      </c>
      <c r="C402" s="13">
        <v>2.0</v>
      </c>
      <c r="D402" s="14">
        <v>0.0</v>
      </c>
      <c r="E402" s="13" t="s">
        <v>2822</v>
      </c>
      <c r="F402" s="15" t="s">
        <v>702</v>
      </c>
      <c r="G402" s="16" t="s">
        <v>2823</v>
      </c>
      <c r="H402" s="13"/>
      <c r="I402" s="13">
        <v>0.8</v>
      </c>
      <c r="J402" s="13" t="s">
        <v>2247</v>
      </c>
      <c r="K402" s="13">
        <f t="shared" si="3"/>
        <v>0</v>
      </c>
      <c r="L402" s="13">
        <f t="shared" si="4"/>
        <v>3</v>
      </c>
      <c r="M402" s="13">
        <f t="shared" ref="M402:AA402" si="803">IFERROR(VALUE(RIGHT(LEFT($J402,FIND(M$1,$J402,1)+LEN(M$1)),1)),0)</f>
        <v>0</v>
      </c>
      <c r="N402" s="13">
        <f t="shared" si="803"/>
        <v>0</v>
      </c>
      <c r="O402" s="13">
        <f t="shared" si="803"/>
        <v>0</v>
      </c>
      <c r="P402" s="13">
        <f t="shared" si="803"/>
        <v>0</v>
      </c>
      <c r="Q402" s="13">
        <f t="shared" si="803"/>
        <v>0</v>
      </c>
      <c r="R402" s="13">
        <f t="shared" si="803"/>
        <v>0</v>
      </c>
      <c r="S402" s="13">
        <f t="shared" si="803"/>
        <v>0</v>
      </c>
      <c r="T402" s="13">
        <f t="shared" si="803"/>
        <v>0</v>
      </c>
      <c r="U402" s="13">
        <f t="shared" si="803"/>
        <v>0</v>
      </c>
      <c r="V402" s="13">
        <f t="shared" si="803"/>
        <v>0</v>
      </c>
      <c r="W402" s="13">
        <f t="shared" si="803"/>
        <v>0</v>
      </c>
      <c r="X402" s="13">
        <f t="shared" si="803"/>
        <v>0</v>
      </c>
      <c r="Y402" s="13">
        <f t="shared" si="803"/>
        <v>0</v>
      </c>
      <c r="Z402" s="13">
        <f t="shared" si="803"/>
        <v>0</v>
      </c>
      <c r="AA402" s="13">
        <f t="shared" si="803"/>
        <v>0</v>
      </c>
      <c r="AB402" s="13">
        <f t="shared" ref="AB402:AP402" si="804">IFERROR(VALUE(RIGHT(LEFT($J402,FIND(AB$1,$J402,IF(M402=0,1,FIND(AB$1,$J402,1)+1))+LEN(AB$1)),1)),0)</f>
        <v>1</v>
      </c>
      <c r="AC402" s="13">
        <f t="shared" si="804"/>
        <v>0</v>
      </c>
      <c r="AD402" s="13">
        <f t="shared" si="804"/>
        <v>0</v>
      </c>
      <c r="AE402" s="13">
        <f t="shared" si="804"/>
        <v>0</v>
      </c>
      <c r="AF402" s="13">
        <f t="shared" si="804"/>
        <v>0</v>
      </c>
      <c r="AG402" s="13">
        <f t="shared" si="804"/>
        <v>0</v>
      </c>
      <c r="AH402" s="13">
        <f t="shared" si="804"/>
        <v>0</v>
      </c>
      <c r="AI402" s="13">
        <f t="shared" si="804"/>
        <v>2</v>
      </c>
      <c r="AJ402" s="13">
        <f t="shared" si="804"/>
        <v>0</v>
      </c>
      <c r="AK402" s="13">
        <f t="shared" si="804"/>
        <v>0</v>
      </c>
      <c r="AL402" s="13">
        <f t="shared" si="804"/>
        <v>0</v>
      </c>
      <c r="AM402" s="13">
        <f t="shared" si="804"/>
        <v>0</v>
      </c>
      <c r="AN402" s="13">
        <f t="shared" si="804"/>
        <v>0</v>
      </c>
      <c r="AO402" s="13">
        <f t="shared" si="804"/>
        <v>0</v>
      </c>
      <c r="AP402" s="13">
        <f t="shared" si="804"/>
        <v>0</v>
      </c>
      <c r="AQ402" s="13" t="s">
        <v>2824</v>
      </c>
      <c r="AR402" s="13"/>
      <c r="AS402" s="13" t="s">
        <v>2825</v>
      </c>
      <c r="AT402" s="13"/>
      <c r="AU402" s="13"/>
      <c r="AV402" s="13"/>
      <c r="AW402" s="13">
        <v>0.0</v>
      </c>
      <c r="AX402" s="13">
        <v>3.0</v>
      </c>
      <c r="AY402" s="13">
        <v>0.0</v>
      </c>
      <c r="AZ402" s="13"/>
      <c r="BA402" s="13"/>
      <c r="BB402" s="13"/>
      <c r="BC402" s="13"/>
      <c r="BD402" s="13"/>
      <c r="BE402" s="13"/>
      <c r="BF402" s="13"/>
      <c r="BG402" s="13"/>
      <c r="BH402" s="13" t="s">
        <v>79</v>
      </c>
      <c r="BI402" s="13" t="b">
        <v>0</v>
      </c>
      <c r="BJ402" s="13">
        <v>0.0</v>
      </c>
      <c r="BK402" s="13">
        <v>0.0</v>
      </c>
    </row>
    <row r="403" ht="14.25" customHeight="1">
      <c r="A403" s="13">
        <v>401.0</v>
      </c>
      <c r="B403" s="13" t="s">
        <v>46</v>
      </c>
      <c r="C403" s="13">
        <v>2.0</v>
      </c>
      <c r="D403" s="14">
        <v>0.0</v>
      </c>
      <c r="E403" s="13" t="s">
        <v>2826</v>
      </c>
      <c r="F403" s="15" t="s">
        <v>702</v>
      </c>
      <c r="G403" s="16" t="s">
        <v>2827</v>
      </c>
      <c r="H403" s="13"/>
      <c r="I403" s="13">
        <v>0.9</v>
      </c>
      <c r="J403" s="13" t="s">
        <v>1036</v>
      </c>
      <c r="K403" s="13">
        <f t="shared" si="3"/>
        <v>0</v>
      </c>
      <c r="L403" s="13">
        <f t="shared" si="4"/>
        <v>3</v>
      </c>
      <c r="M403" s="13">
        <f t="shared" ref="M403:AA403" si="805">IFERROR(VALUE(RIGHT(LEFT($J403,FIND(M$1,$J403,1)+LEN(M$1)),1)),0)</f>
        <v>0</v>
      </c>
      <c r="N403" s="13">
        <f t="shared" si="805"/>
        <v>0</v>
      </c>
      <c r="O403" s="13">
        <f t="shared" si="805"/>
        <v>0</v>
      </c>
      <c r="P403" s="13">
        <f t="shared" si="805"/>
        <v>0</v>
      </c>
      <c r="Q403" s="13">
        <f t="shared" si="805"/>
        <v>0</v>
      </c>
      <c r="R403" s="13">
        <f t="shared" si="805"/>
        <v>0</v>
      </c>
      <c r="S403" s="13">
        <f t="shared" si="805"/>
        <v>0</v>
      </c>
      <c r="T403" s="13">
        <f t="shared" si="805"/>
        <v>0</v>
      </c>
      <c r="U403" s="13">
        <f t="shared" si="805"/>
        <v>0</v>
      </c>
      <c r="V403" s="13">
        <f t="shared" si="805"/>
        <v>0</v>
      </c>
      <c r="W403" s="13">
        <f t="shared" si="805"/>
        <v>0</v>
      </c>
      <c r="X403" s="13">
        <f t="shared" si="805"/>
        <v>0</v>
      </c>
      <c r="Y403" s="13">
        <f t="shared" si="805"/>
        <v>0</v>
      </c>
      <c r="Z403" s="13">
        <f t="shared" si="805"/>
        <v>0</v>
      </c>
      <c r="AA403" s="13">
        <f t="shared" si="805"/>
        <v>0</v>
      </c>
      <c r="AB403" s="13">
        <f t="shared" ref="AB403:AP403" si="806">IFERROR(VALUE(RIGHT(LEFT($J403,FIND(AB$1,$J403,IF(M403=0,1,FIND(AB$1,$J403,1)+1))+LEN(AB$1)),1)),0)</f>
        <v>0</v>
      </c>
      <c r="AC403" s="13">
        <f t="shared" si="806"/>
        <v>0</v>
      </c>
      <c r="AD403" s="13">
        <f t="shared" si="806"/>
        <v>0</v>
      </c>
      <c r="AE403" s="13">
        <f t="shared" si="806"/>
        <v>0</v>
      </c>
      <c r="AF403" s="13">
        <f t="shared" si="806"/>
        <v>1</v>
      </c>
      <c r="AG403" s="13">
        <f t="shared" si="806"/>
        <v>0</v>
      </c>
      <c r="AH403" s="13">
        <f t="shared" si="806"/>
        <v>0</v>
      </c>
      <c r="AI403" s="13">
        <f t="shared" si="806"/>
        <v>0</v>
      </c>
      <c r="AJ403" s="13">
        <f t="shared" si="806"/>
        <v>2</v>
      </c>
      <c r="AK403" s="13">
        <f t="shared" si="806"/>
        <v>0</v>
      </c>
      <c r="AL403" s="13">
        <f t="shared" si="806"/>
        <v>0</v>
      </c>
      <c r="AM403" s="13">
        <f t="shared" si="806"/>
        <v>0</v>
      </c>
      <c r="AN403" s="13">
        <f t="shared" si="806"/>
        <v>0</v>
      </c>
      <c r="AO403" s="13">
        <f t="shared" si="806"/>
        <v>0</v>
      </c>
      <c r="AP403" s="13">
        <f t="shared" si="806"/>
        <v>0</v>
      </c>
      <c r="AQ403" s="13" t="s">
        <v>2828</v>
      </c>
      <c r="AR403" s="13"/>
      <c r="AS403" s="13" t="s">
        <v>2829</v>
      </c>
      <c r="AT403" s="13"/>
      <c r="AU403" s="13"/>
      <c r="AV403" s="13"/>
      <c r="AW403" s="13">
        <v>0.0</v>
      </c>
      <c r="AX403" s="13">
        <v>3.0</v>
      </c>
      <c r="AY403" s="13">
        <v>0.0</v>
      </c>
      <c r="AZ403" s="13"/>
      <c r="BA403" s="13"/>
      <c r="BB403" s="13"/>
      <c r="BC403" s="13"/>
      <c r="BD403" s="13"/>
      <c r="BE403" s="13"/>
      <c r="BF403" s="13"/>
      <c r="BG403" s="13"/>
      <c r="BH403" s="13" t="s">
        <v>79</v>
      </c>
      <c r="BI403" s="13" t="b">
        <v>0</v>
      </c>
      <c r="BJ403" s="13">
        <v>0.0</v>
      </c>
      <c r="BK403" s="13">
        <v>0.0</v>
      </c>
    </row>
    <row r="404" ht="14.25" customHeight="1">
      <c r="A404" s="13">
        <v>402.0</v>
      </c>
      <c r="B404" s="13" t="s">
        <v>47</v>
      </c>
      <c r="C404" s="13">
        <v>2.0</v>
      </c>
      <c r="D404" s="14">
        <v>0.0</v>
      </c>
      <c r="E404" s="13" t="s">
        <v>2830</v>
      </c>
      <c r="F404" s="15" t="s">
        <v>702</v>
      </c>
      <c r="G404" s="16" t="s">
        <v>2831</v>
      </c>
      <c r="H404" s="13">
        <v>14.0</v>
      </c>
      <c r="I404" s="13">
        <v>1.1</v>
      </c>
      <c r="J404" s="13" t="s">
        <v>2655</v>
      </c>
      <c r="K404" s="13">
        <f t="shared" si="3"/>
        <v>0</v>
      </c>
      <c r="L404" s="13">
        <f t="shared" si="4"/>
        <v>3</v>
      </c>
      <c r="M404" s="13">
        <f t="shared" ref="M404:AA404" si="807">IFERROR(VALUE(RIGHT(LEFT($J404,FIND(M$1,$J404,1)+LEN(M$1)),1)),0)</f>
        <v>0</v>
      </c>
      <c r="N404" s="13">
        <f t="shared" si="807"/>
        <v>0</v>
      </c>
      <c r="O404" s="13">
        <f t="shared" si="807"/>
        <v>0</v>
      </c>
      <c r="P404" s="13">
        <f t="shared" si="807"/>
        <v>0</v>
      </c>
      <c r="Q404" s="13">
        <f t="shared" si="807"/>
        <v>0</v>
      </c>
      <c r="R404" s="13">
        <f t="shared" si="807"/>
        <v>0</v>
      </c>
      <c r="S404" s="13">
        <f t="shared" si="807"/>
        <v>0</v>
      </c>
      <c r="T404" s="13">
        <f t="shared" si="807"/>
        <v>0</v>
      </c>
      <c r="U404" s="13">
        <f t="shared" si="807"/>
        <v>0</v>
      </c>
      <c r="V404" s="13">
        <f t="shared" si="807"/>
        <v>0</v>
      </c>
      <c r="W404" s="13">
        <f t="shared" si="807"/>
        <v>0</v>
      </c>
      <c r="X404" s="13">
        <f t="shared" si="807"/>
        <v>0</v>
      </c>
      <c r="Y404" s="13">
        <f t="shared" si="807"/>
        <v>0</v>
      </c>
      <c r="Z404" s="13">
        <f t="shared" si="807"/>
        <v>0</v>
      </c>
      <c r="AA404" s="13">
        <f t="shared" si="807"/>
        <v>0</v>
      </c>
      <c r="AB404" s="13">
        <f t="shared" ref="AB404:AP404" si="808">IFERROR(VALUE(RIGHT(LEFT($J404,FIND(AB$1,$J404,IF(M404=0,1,FIND(AB$1,$J404,1)+1))+LEN(AB$1)),1)),0)</f>
        <v>0</v>
      </c>
      <c r="AC404" s="13">
        <f t="shared" si="808"/>
        <v>0</v>
      </c>
      <c r="AD404" s="13">
        <f t="shared" si="808"/>
        <v>0</v>
      </c>
      <c r="AE404" s="13">
        <f t="shared" si="808"/>
        <v>0</v>
      </c>
      <c r="AF404" s="13">
        <f t="shared" si="808"/>
        <v>0</v>
      </c>
      <c r="AG404" s="13">
        <f t="shared" si="808"/>
        <v>1</v>
      </c>
      <c r="AH404" s="13">
        <f t="shared" si="808"/>
        <v>0</v>
      </c>
      <c r="AI404" s="13">
        <f t="shared" si="808"/>
        <v>0</v>
      </c>
      <c r="AJ404" s="13">
        <f t="shared" si="808"/>
        <v>0</v>
      </c>
      <c r="AK404" s="13">
        <f t="shared" si="808"/>
        <v>2</v>
      </c>
      <c r="AL404" s="13">
        <f t="shared" si="808"/>
        <v>0</v>
      </c>
      <c r="AM404" s="13">
        <f t="shared" si="808"/>
        <v>0</v>
      </c>
      <c r="AN404" s="13">
        <f t="shared" si="808"/>
        <v>0</v>
      </c>
      <c r="AO404" s="13">
        <f t="shared" si="808"/>
        <v>0</v>
      </c>
      <c r="AP404" s="13">
        <f t="shared" si="808"/>
        <v>0</v>
      </c>
      <c r="AQ404" s="13"/>
      <c r="AR404" s="13" t="s">
        <v>2832</v>
      </c>
      <c r="AS404" s="13" t="s">
        <v>2663</v>
      </c>
      <c r="AT404" s="13" t="s">
        <v>175</v>
      </c>
      <c r="AU404" s="13" t="s">
        <v>143</v>
      </c>
      <c r="AV404" s="13" t="s">
        <v>2833</v>
      </c>
      <c r="AW404" s="13">
        <v>14.0</v>
      </c>
      <c r="AX404" s="13">
        <v>3.0</v>
      </c>
      <c r="AY404" s="13">
        <v>0.0</v>
      </c>
      <c r="AZ404" s="13" t="s">
        <v>529</v>
      </c>
      <c r="BA404" s="13" t="s">
        <v>1174</v>
      </c>
      <c r="BB404" s="13"/>
      <c r="BC404" s="13"/>
      <c r="BD404" s="13" t="s">
        <v>484</v>
      </c>
      <c r="BE404" s="13"/>
      <c r="BF404" s="13" t="s">
        <v>2834</v>
      </c>
      <c r="BG404" s="13" t="s">
        <v>136</v>
      </c>
      <c r="BH404" s="13" t="s">
        <v>79</v>
      </c>
      <c r="BI404" s="13" t="b">
        <v>0</v>
      </c>
      <c r="BJ404" s="13">
        <v>0.0</v>
      </c>
      <c r="BK404" s="13">
        <v>0.0</v>
      </c>
    </row>
    <row r="405" ht="14.25" customHeight="1">
      <c r="A405" s="13">
        <v>403.0</v>
      </c>
      <c r="B405" s="13" t="s">
        <v>47</v>
      </c>
      <c r="C405" s="13">
        <v>2.0</v>
      </c>
      <c r="D405" s="14">
        <v>0.0</v>
      </c>
      <c r="E405" s="13" t="s">
        <v>2835</v>
      </c>
      <c r="F405" s="15" t="s">
        <v>702</v>
      </c>
      <c r="G405" s="16" t="s">
        <v>2836</v>
      </c>
      <c r="H405" s="13">
        <v>16.0</v>
      </c>
      <c r="I405" s="13">
        <v>1.2</v>
      </c>
      <c r="J405" s="13" t="s">
        <v>2837</v>
      </c>
      <c r="K405" s="13">
        <f t="shared" si="3"/>
        <v>0</v>
      </c>
      <c r="L405" s="13">
        <f t="shared" si="4"/>
        <v>3</v>
      </c>
      <c r="M405" s="13">
        <f t="shared" ref="M405:AA405" si="809">IFERROR(VALUE(RIGHT(LEFT($J405,FIND(M$1,$J405,1)+LEN(M$1)),1)),0)</f>
        <v>0</v>
      </c>
      <c r="N405" s="13">
        <f t="shared" si="809"/>
        <v>0</v>
      </c>
      <c r="O405" s="13">
        <f t="shared" si="809"/>
        <v>0</v>
      </c>
      <c r="P405" s="13">
        <f t="shared" si="809"/>
        <v>0</v>
      </c>
      <c r="Q405" s="13">
        <f t="shared" si="809"/>
        <v>0</v>
      </c>
      <c r="R405" s="13">
        <f t="shared" si="809"/>
        <v>0</v>
      </c>
      <c r="S405" s="13">
        <f t="shared" si="809"/>
        <v>0</v>
      </c>
      <c r="T405" s="13">
        <f t="shared" si="809"/>
        <v>0</v>
      </c>
      <c r="U405" s="13">
        <f t="shared" si="809"/>
        <v>0</v>
      </c>
      <c r="V405" s="13">
        <f t="shared" si="809"/>
        <v>0</v>
      </c>
      <c r="W405" s="13">
        <f t="shared" si="809"/>
        <v>0</v>
      </c>
      <c r="X405" s="13">
        <f t="shared" si="809"/>
        <v>0</v>
      </c>
      <c r="Y405" s="13">
        <f t="shared" si="809"/>
        <v>0</v>
      </c>
      <c r="Z405" s="13">
        <f t="shared" si="809"/>
        <v>0</v>
      </c>
      <c r="AA405" s="13">
        <f t="shared" si="809"/>
        <v>0</v>
      </c>
      <c r="AB405" s="13">
        <f t="shared" ref="AB405:AP405" si="810">IFERROR(VALUE(RIGHT(LEFT($J405,FIND(AB$1,$J405,IF(M405=0,1,FIND(AB$1,$J405,1)+1))+LEN(AB$1)),1)),0)</f>
        <v>2</v>
      </c>
      <c r="AC405" s="13">
        <f t="shared" si="810"/>
        <v>0</v>
      </c>
      <c r="AD405" s="13">
        <f t="shared" si="810"/>
        <v>0</v>
      </c>
      <c r="AE405" s="13">
        <f t="shared" si="810"/>
        <v>0</v>
      </c>
      <c r="AF405" s="13">
        <f t="shared" si="810"/>
        <v>0</v>
      </c>
      <c r="AG405" s="13">
        <f t="shared" si="810"/>
        <v>0</v>
      </c>
      <c r="AH405" s="13">
        <f t="shared" si="810"/>
        <v>0</v>
      </c>
      <c r="AI405" s="13">
        <f t="shared" si="810"/>
        <v>0</v>
      </c>
      <c r="AJ405" s="13">
        <f t="shared" si="810"/>
        <v>0</v>
      </c>
      <c r="AK405" s="13">
        <f t="shared" si="810"/>
        <v>1</v>
      </c>
      <c r="AL405" s="13">
        <f t="shared" si="810"/>
        <v>0</v>
      </c>
      <c r="AM405" s="13">
        <f t="shared" si="810"/>
        <v>0</v>
      </c>
      <c r="AN405" s="13">
        <f t="shared" si="810"/>
        <v>0</v>
      </c>
      <c r="AO405" s="13">
        <f t="shared" si="810"/>
        <v>0</v>
      </c>
      <c r="AP405" s="13">
        <f t="shared" si="810"/>
        <v>0</v>
      </c>
      <c r="AQ405" s="13"/>
      <c r="AR405" s="13" t="s">
        <v>490</v>
      </c>
      <c r="AS405" s="13" t="s">
        <v>2838</v>
      </c>
      <c r="AT405" s="13" t="s">
        <v>573</v>
      </c>
      <c r="AU405" s="13" t="s">
        <v>130</v>
      </c>
      <c r="AV405" s="13" t="s">
        <v>2839</v>
      </c>
      <c r="AW405" s="13">
        <v>17.0</v>
      </c>
      <c r="AX405" s="13">
        <v>3.0</v>
      </c>
      <c r="AY405" s="13">
        <v>0.0</v>
      </c>
      <c r="AZ405" s="13" t="s">
        <v>2840</v>
      </c>
      <c r="BA405" s="13" t="s">
        <v>2841</v>
      </c>
      <c r="BB405" s="13"/>
      <c r="BC405" s="13"/>
      <c r="BD405" s="13" t="s">
        <v>134</v>
      </c>
      <c r="BE405" s="13"/>
      <c r="BF405" s="13" t="s">
        <v>2842</v>
      </c>
      <c r="BG405" s="13" t="s">
        <v>136</v>
      </c>
      <c r="BH405" s="13" t="s">
        <v>79</v>
      </c>
      <c r="BI405" s="13" t="b">
        <v>0</v>
      </c>
      <c r="BJ405" s="13">
        <v>0.0</v>
      </c>
      <c r="BK405" s="13">
        <v>0.0</v>
      </c>
    </row>
    <row r="406" ht="14.25" customHeight="1">
      <c r="A406" s="13">
        <v>404.0</v>
      </c>
      <c r="B406" s="13" t="s">
        <v>50</v>
      </c>
      <c r="C406" s="13">
        <v>2.0</v>
      </c>
      <c r="D406" s="14">
        <v>0.0</v>
      </c>
      <c r="E406" s="13" t="s">
        <v>2843</v>
      </c>
      <c r="F406" s="15" t="s">
        <v>702</v>
      </c>
      <c r="G406" s="16" t="s">
        <v>2844</v>
      </c>
      <c r="H406" s="13">
        <v>15.0</v>
      </c>
      <c r="I406" s="13">
        <v>1.0</v>
      </c>
      <c r="J406" s="13" t="s">
        <v>1358</v>
      </c>
      <c r="K406" s="13">
        <f t="shared" si="3"/>
        <v>0</v>
      </c>
      <c r="L406" s="13">
        <f t="shared" si="4"/>
        <v>3</v>
      </c>
      <c r="M406" s="13">
        <f t="shared" ref="M406:AA406" si="811">IFERROR(VALUE(RIGHT(LEFT($J406,FIND(M$1,$J406,1)+LEN(M$1)),1)),0)</f>
        <v>0</v>
      </c>
      <c r="N406" s="13">
        <f t="shared" si="811"/>
        <v>0</v>
      </c>
      <c r="O406" s="13">
        <f t="shared" si="811"/>
        <v>0</v>
      </c>
      <c r="P406" s="13">
        <f t="shared" si="811"/>
        <v>0</v>
      </c>
      <c r="Q406" s="13">
        <f t="shared" si="811"/>
        <v>0</v>
      </c>
      <c r="R406" s="13">
        <f t="shared" si="811"/>
        <v>0</v>
      </c>
      <c r="S406" s="13">
        <f t="shared" si="811"/>
        <v>0</v>
      </c>
      <c r="T406" s="13">
        <f t="shared" si="811"/>
        <v>0</v>
      </c>
      <c r="U406" s="13">
        <f t="shared" si="811"/>
        <v>0</v>
      </c>
      <c r="V406" s="13">
        <f t="shared" si="811"/>
        <v>0</v>
      </c>
      <c r="W406" s="13">
        <f t="shared" si="811"/>
        <v>0</v>
      </c>
      <c r="X406" s="13">
        <f t="shared" si="811"/>
        <v>0</v>
      </c>
      <c r="Y406" s="13">
        <f t="shared" si="811"/>
        <v>0</v>
      </c>
      <c r="Z406" s="13">
        <f t="shared" si="811"/>
        <v>0</v>
      </c>
      <c r="AA406" s="13">
        <f t="shared" si="811"/>
        <v>0</v>
      </c>
      <c r="AB406" s="13">
        <f t="shared" ref="AB406:AP406" si="812">IFERROR(VALUE(RIGHT(LEFT($J406,FIND(AB$1,$J406,IF(M406=0,1,FIND(AB$1,$J406,1)+1))+LEN(AB$1)),1)),0)</f>
        <v>0</v>
      </c>
      <c r="AC406" s="13">
        <f t="shared" si="812"/>
        <v>0</v>
      </c>
      <c r="AD406" s="13">
        <f t="shared" si="812"/>
        <v>0</v>
      </c>
      <c r="AE406" s="13">
        <f t="shared" si="812"/>
        <v>0</v>
      </c>
      <c r="AF406" s="13">
        <f t="shared" si="812"/>
        <v>0</v>
      </c>
      <c r="AG406" s="13">
        <f t="shared" si="812"/>
        <v>1</v>
      </c>
      <c r="AH406" s="13">
        <f t="shared" si="812"/>
        <v>0</v>
      </c>
      <c r="AI406" s="13">
        <f t="shared" si="812"/>
        <v>0</v>
      </c>
      <c r="AJ406" s="13">
        <f t="shared" si="812"/>
        <v>0</v>
      </c>
      <c r="AK406" s="13">
        <f t="shared" si="812"/>
        <v>0</v>
      </c>
      <c r="AL406" s="13">
        <f t="shared" si="812"/>
        <v>0</v>
      </c>
      <c r="AM406" s="13">
        <f t="shared" si="812"/>
        <v>0</v>
      </c>
      <c r="AN406" s="13">
        <f t="shared" si="812"/>
        <v>2</v>
      </c>
      <c r="AO406" s="13">
        <f t="shared" si="812"/>
        <v>0</v>
      </c>
      <c r="AP406" s="13">
        <f t="shared" si="812"/>
        <v>0</v>
      </c>
      <c r="AQ406" s="13"/>
      <c r="AR406" s="13" t="s">
        <v>2845</v>
      </c>
      <c r="AS406" s="13" t="s">
        <v>2846</v>
      </c>
      <c r="AT406" s="13" t="s">
        <v>162</v>
      </c>
      <c r="AU406" s="13" t="s">
        <v>1211</v>
      </c>
      <c r="AV406" s="13" t="s">
        <v>593</v>
      </c>
      <c r="AW406" s="13">
        <v>15.0</v>
      </c>
      <c r="AX406" s="13">
        <v>3.0</v>
      </c>
      <c r="AY406" s="13">
        <v>0.0</v>
      </c>
      <c r="AZ406" s="13" t="s">
        <v>1648</v>
      </c>
      <c r="BA406" s="13" t="s">
        <v>2847</v>
      </c>
      <c r="BB406" s="13"/>
      <c r="BC406" s="13"/>
      <c r="BD406" s="13" t="s">
        <v>715</v>
      </c>
      <c r="BE406" s="13"/>
      <c r="BF406" s="13" t="s">
        <v>2848</v>
      </c>
      <c r="BG406" s="13" t="s">
        <v>50</v>
      </c>
      <c r="BH406" s="13" t="s">
        <v>79</v>
      </c>
      <c r="BI406" s="13" t="b">
        <v>0</v>
      </c>
      <c r="BJ406" s="13">
        <v>0.0</v>
      </c>
      <c r="BK406" s="13">
        <v>0.0</v>
      </c>
    </row>
    <row r="407" ht="14.25" customHeight="1">
      <c r="A407" s="13">
        <v>405.0</v>
      </c>
      <c r="B407" s="13" t="s">
        <v>50</v>
      </c>
      <c r="C407" s="13">
        <v>2.0</v>
      </c>
      <c r="D407" s="14">
        <v>0.0</v>
      </c>
      <c r="E407" s="13" t="s">
        <v>2849</v>
      </c>
      <c r="F407" s="15" t="s">
        <v>702</v>
      </c>
      <c r="G407" s="16" t="s">
        <v>2850</v>
      </c>
      <c r="H407" s="13">
        <v>17.0</v>
      </c>
      <c r="I407" s="13">
        <v>1.1</v>
      </c>
      <c r="J407" s="13" t="s">
        <v>2851</v>
      </c>
      <c r="K407" s="13">
        <f t="shared" si="3"/>
        <v>0</v>
      </c>
      <c r="L407" s="13">
        <f t="shared" si="4"/>
        <v>3</v>
      </c>
      <c r="M407" s="13">
        <f t="shared" ref="M407:AA407" si="813">IFERROR(VALUE(RIGHT(LEFT($J407,FIND(M$1,$J407,1)+LEN(M$1)),1)),0)</f>
        <v>0</v>
      </c>
      <c r="N407" s="13">
        <f t="shared" si="813"/>
        <v>0</v>
      </c>
      <c r="O407" s="13">
        <f t="shared" si="813"/>
        <v>0</v>
      </c>
      <c r="P407" s="13">
        <f t="shared" si="813"/>
        <v>0</v>
      </c>
      <c r="Q407" s="13">
        <f t="shared" si="813"/>
        <v>0</v>
      </c>
      <c r="R407" s="13">
        <f t="shared" si="813"/>
        <v>0</v>
      </c>
      <c r="S407" s="13">
        <f t="shared" si="813"/>
        <v>0</v>
      </c>
      <c r="T407" s="13">
        <f t="shared" si="813"/>
        <v>0</v>
      </c>
      <c r="U407" s="13">
        <f t="shared" si="813"/>
        <v>0</v>
      </c>
      <c r="V407" s="13">
        <f t="shared" si="813"/>
        <v>0</v>
      </c>
      <c r="W407" s="13">
        <f t="shared" si="813"/>
        <v>0</v>
      </c>
      <c r="X407" s="13">
        <f t="shared" si="813"/>
        <v>0</v>
      </c>
      <c r="Y407" s="13">
        <f t="shared" si="813"/>
        <v>0</v>
      </c>
      <c r="Z407" s="13">
        <f t="shared" si="813"/>
        <v>0</v>
      </c>
      <c r="AA407" s="13">
        <f t="shared" si="813"/>
        <v>0</v>
      </c>
      <c r="AB407" s="13">
        <f t="shared" ref="AB407:AP407" si="814">IFERROR(VALUE(RIGHT(LEFT($J407,FIND(AB$1,$J407,IF(M407=0,1,FIND(AB$1,$J407,1)+1))+LEN(AB$1)),1)),0)</f>
        <v>0</v>
      </c>
      <c r="AC407" s="13">
        <f t="shared" si="814"/>
        <v>0</v>
      </c>
      <c r="AD407" s="13">
        <f t="shared" si="814"/>
        <v>0</v>
      </c>
      <c r="AE407" s="13">
        <f t="shared" si="814"/>
        <v>0</v>
      </c>
      <c r="AF407" s="13">
        <f t="shared" si="814"/>
        <v>2</v>
      </c>
      <c r="AG407" s="13">
        <f t="shared" si="814"/>
        <v>0</v>
      </c>
      <c r="AH407" s="13">
        <f t="shared" si="814"/>
        <v>0</v>
      </c>
      <c r="AI407" s="13">
        <f t="shared" si="814"/>
        <v>0</v>
      </c>
      <c r="AJ407" s="13">
        <f t="shared" si="814"/>
        <v>0</v>
      </c>
      <c r="AK407" s="13">
        <f t="shared" si="814"/>
        <v>0</v>
      </c>
      <c r="AL407" s="13">
        <f t="shared" si="814"/>
        <v>0</v>
      </c>
      <c r="AM407" s="13">
        <f t="shared" si="814"/>
        <v>0</v>
      </c>
      <c r="AN407" s="13">
        <f t="shared" si="814"/>
        <v>1</v>
      </c>
      <c r="AO407" s="13">
        <f t="shared" si="814"/>
        <v>0</v>
      </c>
      <c r="AP407" s="13">
        <f t="shared" si="814"/>
        <v>0</v>
      </c>
      <c r="AQ407" s="13"/>
      <c r="AR407" s="13" t="s">
        <v>1339</v>
      </c>
      <c r="AS407" s="13" t="s">
        <v>2852</v>
      </c>
      <c r="AT407" s="13" t="s">
        <v>175</v>
      </c>
      <c r="AU407" s="13" t="s">
        <v>130</v>
      </c>
      <c r="AV407" s="13" t="s">
        <v>2853</v>
      </c>
      <c r="AW407" s="13">
        <v>16.0</v>
      </c>
      <c r="AX407" s="13">
        <v>3.0</v>
      </c>
      <c r="AY407" s="13">
        <v>0.0</v>
      </c>
      <c r="AZ407" s="13" t="s">
        <v>209</v>
      </c>
      <c r="BA407" s="13" t="s">
        <v>272</v>
      </c>
      <c r="BB407" s="13"/>
      <c r="BC407" s="13"/>
      <c r="BD407" s="13" t="s">
        <v>230</v>
      </c>
      <c r="BE407" s="13"/>
      <c r="BF407" s="13" t="s">
        <v>2854</v>
      </c>
      <c r="BG407" s="13" t="s">
        <v>50</v>
      </c>
      <c r="BH407" s="13" t="s">
        <v>79</v>
      </c>
      <c r="BI407" s="13" t="b">
        <v>0</v>
      </c>
      <c r="BJ407" s="13">
        <v>0.0</v>
      </c>
      <c r="BK407" s="13">
        <v>0.0</v>
      </c>
    </row>
    <row r="408" ht="14.25" customHeight="1">
      <c r="A408" s="13">
        <v>406.0</v>
      </c>
      <c r="B408" s="13" t="s">
        <v>44</v>
      </c>
      <c r="C408" s="13">
        <v>3.0</v>
      </c>
      <c r="D408" s="14">
        <v>0.0</v>
      </c>
      <c r="E408" s="13" t="s">
        <v>2855</v>
      </c>
      <c r="F408" s="15" t="s">
        <v>702</v>
      </c>
      <c r="G408" s="16" t="s">
        <v>2856</v>
      </c>
      <c r="H408" s="13"/>
      <c r="I408" s="13">
        <v>1.0</v>
      </c>
      <c r="J408" s="13" t="s">
        <v>1574</v>
      </c>
      <c r="K408" s="13">
        <f t="shared" si="3"/>
        <v>1</v>
      </c>
      <c r="L408" s="13">
        <f t="shared" si="4"/>
        <v>2</v>
      </c>
      <c r="M408" s="13">
        <f t="shared" ref="M408:AA408" si="815">IFERROR(VALUE(RIGHT(LEFT($J408,FIND(M$1,$J408,1)+LEN(M$1)),1)),0)</f>
        <v>0</v>
      </c>
      <c r="N408" s="13">
        <f t="shared" si="815"/>
        <v>0</v>
      </c>
      <c r="O408" s="13">
        <f t="shared" si="815"/>
        <v>0</v>
      </c>
      <c r="P408" s="13">
        <f t="shared" si="815"/>
        <v>0</v>
      </c>
      <c r="Q408" s="13">
        <f t="shared" si="815"/>
        <v>0</v>
      </c>
      <c r="R408" s="13">
        <f t="shared" si="815"/>
        <v>0</v>
      </c>
      <c r="S408" s="13">
        <f t="shared" si="815"/>
        <v>1</v>
      </c>
      <c r="T408" s="13">
        <f t="shared" si="815"/>
        <v>0</v>
      </c>
      <c r="U408" s="13">
        <f t="shared" si="815"/>
        <v>0</v>
      </c>
      <c r="V408" s="13">
        <f t="shared" si="815"/>
        <v>0</v>
      </c>
      <c r="W408" s="13">
        <f t="shared" si="815"/>
        <v>0</v>
      </c>
      <c r="X408" s="13">
        <f t="shared" si="815"/>
        <v>0</v>
      </c>
      <c r="Y408" s="13">
        <f t="shared" si="815"/>
        <v>0</v>
      </c>
      <c r="Z408" s="13">
        <f t="shared" si="815"/>
        <v>0</v>
      </c>
      <c r="AA408" s="13">
        <f t="shared" si="815"/>
        <v>0</v>
      </c>
      <c r="AB408" s="13">
        <f t="shared" ref="AB408:AP408" si="816">IFERROR(VALUE(RIGHT(LEFT($J408,FIND(AB$1,$J408,IF(M408=0,1,FIND(AB$1,$J408,1)+1))+LEN(AB$1)),1)),0)</f>
        <v>0</v>
      </c>
      <c r="AC408" s="13">
        <f t="shared" si="816"/>
        <v>0</v>
      </c>
      <c r="AD408" s="13">
        <f t="shared" si="816"/>
        <v>0</v>
      </c>
      <c r="AE408" s="13">
        <f t="shared" si="816"/>
        <v>0</v>
      </c>
      <c r="AF408" s="13">
        <f t="shared" si="816"/>
        <v>0</v>
      </c>
      <c r="AG408" s="13">
        <f t="shared" si="816"/>
        <v>1</v>
      </c>
      <c r="AH408" s="13">
        <f t="shared" si="816"/>
        <v>1</v>
      </c>
      <c r="AI408" s="13">
        <f t="shared" si="816"/>
        <v>0</v>
      </c>
      <c r="AJ408" s="13">
        <f t="shared" si="816"/>
        <v>0</v>
      </c>
      <c r="AK408" s="13">
        <f t="shared" si="816"/>
        <v>0</v>
      </c>
      <c r="AL408" s="13">
        <f t="shared" si="816"/>
        <v>0</v>
      </c>
      <c r="AM408" s="13">
        <f t="shared" si="816"/>
        <v>0</v>
      </c>
      <c r="AN408" s="13">
        <f t="shared" si="816"/>
        <v>0</v>
      </c>
      <c r="AO408" s="13">
        <f t="shared" si="816"/>
        <v>0</v>
      </c>
      <c r="AP408" s="13">
        <f t="shared" si="816"/>
        <v>0</v>
      </c>
      <c r="AQ408" s="13" t="s">
        <v>2857</v>
      </c>
      <c r="AR408" s="13"/>
      <c r="AS408" s="13" t="s">
        <v>2858</v>
      </c>
      <c r="AT408" s="13"/>
      <c r="AU408" s="13"/>
      <c r="AV408" s="13"/>
      <c r="AW408" s="13">
        <v>0.0</v>
      </c>
      <c r="AX408" s="13">
        <v>3.0</v>
      </c>
      <c r="AY408" s="13">
        <v>0.0</v>
      </c>
      <c r="AZ408" s="13"/>
      <c r="BA408" s="13"/>
      <c r="BB408" s="13"/>
      <c r="BC408" s="13"/>
      <c r="BD408" s="13"/>
      <c r="BE408" s="13"/>
      <c r="BF408" s="13"/>
      <c r="BG408" s="13"/>
      <c r="BH408" s="13" t="s">
        <v>79</v>
      </c>
      <c r="BI408" s="13" t="b">
        <v>0</v>
      </c>
      <c r="BJ408" s="13">
        <v>0.0</v>
      </c>
      <c r="BK408" s="13">
        <v>0.0</v>
      </c>
    </row>
    <row r="409" ht="14.25" customHeight="1">
      <c r="A409" s="13">
        <v>407.0</v>
      </c>
      <c r="B409" s="13" t="s">
        <v>45</v>
      </c>
      <c r="C409" s="13">
        <v>3.0</v>
      </c>
      <c r="D409" s="14">
        <v>0.0</v>
      </c>
      <c r="E409" s="13" t="s">
        <v>2859</v>
      </c>
      <c r="F409" s="15" t="s">
        <v>702</v>
      </c>
      <c r="G409" s="16" t="s">
        <v>2860</v>
      </c>
      <c r="H409" s="13"/>
      <c r="I409" s="13">
        <v>1.1</v>
      </c>
      <c r="J409" s="13" t="s">
        <v>1594</v>
      </c>
      <c r="K409" s="13">
        <f t="shared" si="3"/>
        <v>1</v>
      </c>
      <c r="L409" s="13">
        <f t="shared" si="4"/>
        <v>2</v>
      </c>
      <c r="M409" s="13">
        <f t="shared" ref="M409:AA409" si="817">IFERROR(VALUE(RIGHT(LEFT($J409,FIND(M$1,$J409,1)+LEN(M$1)),1)),0)</f>
        <v>0</v>
      </c>
      <c r="N409" s="13">
        <f t="shared" si="817"/>
        <v>0</v>
      </c>
      <c r="O409" s="13">
        <f t="shared" si="817"/>
        <v>0</v>
      </c>
      <c r="P409" s="13">
        <f t="shared" si="817"/>
        <v>0</v>
      </c>
      <c r="Q409" s="13">
        <f t="shared" si="817"/>
        <v>0</v>
      </c>
      <c r="R409" s="13">
        <f t="shared" si="817"/>
        <v>0</v>
      </c>
      <c r="S409" s="13">
        <f t="shared" si="817"/>
        <v>0</v>
      </c>
      <c r="T409" s="13">
        <f t="shared" si="817"/>
        <v>1</v>
      </c>
      <c r="U409" s="13">
        <f t="shared" si="817"/>
        <v>0</v>
      </c>
      <c r="V409" s="13">
        <f t="shared" si="817"/>
        <v>0</v>
      </c>
      <c r="W409" s="13">
        <f t="shared" si="817"/>
        <v>0</v>
      </c>
      <c r="X409" s="13">
        <f t="shared" si="817"/>
        <v>0</v>
      </c>
      <c r="Y409" s="13">
        <f t="shared" si="817"/>
        <v>0</v>
      </c>
      <c r="Z409" s="13">
        <f t="shared" si="817"/>
        <v>0</v>
      </c>
      <c r="AA409" s="13">
        <f t="shared" si="817"/>
        <v>0</v>
      </c>
      <c r="AB409" s="13">
        <f t="shared" ref="AB409:AP409" si="818">IFERROR(VALUE(RIGHT(LEFT($J409,FIND(AB$1,$J409,IF(M409=0,1,FIND(AB$1,$J409,1)+1))+LEN(AB$1)),1)),0)</f>
        <v>1</v>
      </c>
      <c r="AC409" s="13">
        <f t="shared" si="818"/>
        <v>0</v>
      </c>
      <c r="AD409" s="13">
        <f t="shared" si="818"/>
        <v>0</v>
      </c>
      <c r="AE409" s="13">
        <f t="shared" si="818"/>
        <v>0</v>
      </c>
      <c r="AF409" s="13">
        <f t="shared" si="818"/>
        <v>0</v>
      </c>
      <c r="AG409" s="13">
        <f t="shared" si="818"/>
        <v>0</v>
      </c>
      <c r="AH409" s="13">
        <f t="shared" si="818"/>
        <v>0</v>
      </c>
      <c r="AI409" s="13">
        <f t="shared" si="818"/>
        <v>1</v>
      </c>
      <c r="AJ409" s="13">
        <f t="shared" si="818"/>
        <v>0</v>
      </c>
      <c r="AK409" s="13">
        <f t="shared" si="818"/>
        <v>0</v>
      </c>
      <c r="AL409" s="13">
        <f t="shared" si="818"/>
        <v>0</v>
      </c>
      <c r="AM409" s="13">
        <f t="shared" si="818"/>
        <v>0</v>
      </c>
      <c r="AN409" s="13">
        <f t="shared" si="818"/>
        <v>0</v>
      </c>
      <c r="AO409" s="13">
        <f t="shared" si="818"/>
        <v>0</v>
      </c>
      <c r="AP409" s="13">
        <f t="shared" si="818"/>
        <v>0</v>
      </c>
      <c r="AQ409" s="13" t="s">
        <v>2861</v>
      </c>
      <c r="AR409" s="13"/>
      <c r="AS409" s="13" t="s">
        <v>2862</v>
      </c>
      <c r="AT409" s="13"/>
      <c r="AU409" s="13"/>
      <c r="AV409" s="13"/>
      <c r="AW409" s="13">
        <v>0.0</v>
      </c>
      <c r="AX409" s="13">
        <v>3.0</v>
      </c>
      <c r="AY409" s="13">
        <v>0.0</v>
      </c>
      <c r="AZ409" s="13"/>
      <c r="BA409" s="13"/>
      <c r="BB409" s="13"/>
      <c r="BC409" s="13"/>
      <c r="BD409" s="13"/>
      <c r="BE409" s="13"/>
      <c r="BF409" s="13"/>
      <c r="BG409" s="13"/>
      <c r="BH409" s="13" t="s">
        <v>79</v>
      </c>
      <c r="BI409" s="13" t="b">
        <v>0</v>
      </c>
      <c r="BJ409" s="13">
        <v>0.0</v>
      </c>
      <c r="BK409" s="13">
        <v>0.0</v>
      </c>
    </row>
    <row r="410" ht="14.25" customHeight="1">
      <c r="A410" s="13">
        <v>408.0</v>
      </c>
      <c r="B410" s="13" t="s">
        <v>46</v>
      </c>
      <c r="C410" s="13">
        <v>3.0</v>
      </c>
      <c r="D410" s="14">
        <v>0.0</v>
      </c>
      <c r="E410" s="13" t="s">
        <v>2863</v>
      </c>
      <c r="F410" s="15" t="s">
        <v>702</v>
      </c>
      <c r="G410" s="16" t="s">
        <v>2864</v>
      </c>
      <c r="H410" s="13"/>
      <c r="I410" s="13">
        <v>0.9</v>
      </c>
      <c r="J410" s="13" t="s">
        <v>2865</v>
      </c>
      <c r="K410" s="13">
        <f t="shared" si="3"/>
        <v>1</v>
      </c>
      <c r="L410" s="13">
        <f t="shared" si="4"/>
        <v>2</v>
      </c>
      <c r="M410" s="13">
        <f t="shared" ref="M410:AA410" si="819">IFERROR(VALUE(RIGHT(LEFT($J410,FIND(M$1,$J410,1)+LEN(M$1)),1)),0)</f>
        <v>0</v>
      </c>
      <c r="N410" s="13">
        <f t="shared" si="819"/>
        <v>0</v>
      </c>
      <c r="O410" s="13">
        <f t="shared" si="819"/>
        <v>0</v>
      </c>
      <c r="P410" s="13">
        <f t="shared" si="819"/>
        <v>0</v>
      </c>
      <c r="Q410" s="13">
        <f t="shared" si="819"/>
        <v>0</v>
      </c>
      <c r="R410" s="13">
        <f t="shared" si="819"/>
        <v>0</v>
      </c>
      <c r="S410" s="13">
        <f t="shared" si="819"/>
        <v>0</v>
      </c>
      <c r="T410" s="13">
        <f t="shared" si="819"/>
        <v>0</v>
      </c>
      <c r="U410" s="13">
        <f t="shared" si="819"/>
        <v>1</v>
      </c>
      <c r="V410" s="13">
        <f t="shared" si="819"/>
        <v>0</v>
      </c>
      <c r="W410" s="13">
        <f t="shared" si="819"/>
        <v>0</v>
      </c>
      <c r="X410" s="13">
        <f t="shared" si="819"/>
        <v>0</v>
      </c>
      <c r="Y410" s="13">
        <f t="shared" si="819"/>
        <v>0</v>
      </c>
      <c r="Z410" s="13">
        <f t="shared" si="819"/>
        <v>0</v>
      </c>
      <c r="AA410" s="13">
        <f t="shared" si="819"/>
        <v>0</v>
      </c>
      <c r="AB410" s="13">
        <f t="shared" ref="AB410:AP410" si="820">IFERROR(VALUE(RIGHT(LEFT($J410,FIND(AB$1,$J410,IF(M410=0,1,FIND(AB$1,$J410,1)+1))+LEN(AB$1)),1)),0)</f>
        <v>0</v>
      </c>
      <c r="AC410" s="13">
        <f t="shared" si="820"/>
        <v>1</v>
      </c>
      <c r="AD410" s="13">
        <f t="shared" si="820"/>
        <v>0</v>
      </c>
      <c r="AE410" s="13">
        <f t="shared" si="820"/>
        <v>0</v>
      </c>
      <c r="AF410" s="13">
        <f t="shared" si="820"/>
        <v>0</v>
      </c>
      <c r="AG410" s="13">
        <f t="shared" si="820"/>
        <v>0</v>
      </c>
      <c r="AH410" s="13">
        <f t="shared" si="820"/>
        <v>0</v>
      </c>
      <c r="AI410" s="13">
        <f t="shared" si="820"/>
        <v>0</v>
      </c>
      <c r="AJ410" s="13">
        <f t="shared" si="820"/>
        <v>1</v>
      </c>
      <c r="AK410" s="13">
        <f t="shared" si="820"/>
        <v>0</v>
      </c>
      <c r="AL410" s="13">
        <f t="shared" si="820"/>
        <v>0</v>
      </c>
      <c r="AM410" s="13">
        <f t="shared" si="820"/>
        <v>0</v>
      </c>
      <c r="AN410" s="13">
        <f t="shared" si="820"/>
        <v>0</v>
      </c>
      <c r="AO410" s="13">
        <f t="shared" si="820"/>
        <v>0</v>
      </c>
      <c r="AP410" s="13">
        <f t="shared" si="820"/>
        <v>0</v>
      </c>
      <c r="AQ410" s="13" t="s">
        <v>2866</v>
      </c>
      <c r="AR410" s="13"/>
      <c r="AS410" s="13" t="s">
        <v>2867</v>
      </c>
      <c r="AT410" s="13"/>
      <c r="AU410" s="13"/>
      <c r="AV410" s="13"/>
      <c r="AW410" s="13">
        <v>0.0</v>
      </c>
      <c r="AX410" s="13">
        <v>3.0</v>
      </c>
      <c r="AY410" s="13">
        <v>0.0</v>
      </c>
      <c r="AZ410" s="13"/>
      <c r="BA410" s="13"/>
      <c r="BB410" s="13"/>
      <c r="BC410" s="13"/>
      <c r="BD410" s="13"/>
      <c r="BE410" s="13"/>
      <c r="BF410" s="13"/>
      <c r="BG410" s="13"/>
      <c r="BH410" s="13" t="s">
        <v>79</v>
      </c>
      <c r="BI410" s="13" t="b">
        <v>0</v>
      </c>
      <c r="BJ410" s="13">
        <v>0.0</v>
      </c>
      <c r="BK410" s="13">
        <v>0.0</v>
      </c>
    </row>
    <row r="411" ht="14.25" customHeight="1">
      <c r="A411" s="13">
        <v>409.0</v>
      </c>
      <c r="B411" s="13" t="s">
        <v>47</v>
      </c>
      <c r="C411" s="13">
        <v>3.0</v>
      </c>
      <c r="D411" s="14">
        <v>0.0</v>
      </c>
      <c r="E411" s="13" t="s">
        <v>2868</v>
      </c>
      <c r="F411" s="15" t="s">
        <v>702</v>
      </c>
      <c r="G411" s="16" t="s">
        <v>2869</v>
      </c>
      <c r="H411" s="13">
        <v>18.0</v>
      </c>
      <c r="I411" s="13">
        <v>1.0</v>
      </c>
      <c r="J411" s="13" t="s">
        <v>2690</v>
      </c>
      <c r="K411" s="13">
        <f t="shared" si="3"/>
        <v>1</v>
      </c>
      <c r="L411" s="13">
        <f t="shared" si="4"/>
        <v>2</v>
      </c>
      <c r="M411" s="13">
        <f t="shared" ref="M411:AA411" si="821">IFERROR(VALUE(RIGHT(LEFT($J411,FIND(M$1,$J411,1)+LEN(M$1)),1)),0)</f>
        <v>0</v>
      </c>
      <c r="N411" s="13">
        <f t="shared" si="821"/>
        <v>0</v>
      </c>
      <c r="O411" s="13">
        <f t="shared" si="821"/>
        <v>0</v>
      </c>
      <c r="P411" s="13">
        <f t="shared" si="821"/>
        <v>0</v>
      </c>
      <c r="Q411" s="13">
        <f t="shared" si="821"/>
        <v>0</v>
      </c>
      <c r="R411" s="13">
        <f t="shared" si="821"/>
        <v>0</v>
      </c>
      <c r="S411" s="13">
        <f t="shared" si="821"/>
        <v>0</v>
      </c>
      <c r="T411" s="13">
        <f t="shared" si="821"/>
        <v>0</v>
      </c>
      <c r="U411" s="13">
        <f t="shared" si="821"/>
        <v>0</v>
      </c>
      <c r="V411" s="13">
        <f t="shared" si="821"/>
        <v>1</v>
      </c>
      <c r="W411" s="13">
        <f t="shared" si="821"/>
        <v>0</v>
      </c>
      <c r="X411" s="13">
        <f t="shared" si="821"/>
        <v>0</v>
      </c>
      <c r="Y411" s="13">
        <f t="shared" si="821"/>
        <v>0</v>
      </c>
      <c r="Z411" s="13">
        <f t="shared" si="821"/>
        <v>0</v>
      </c>
      <c r="AA411" s="13">
        <f t="shared" si="821"/>
        <v>0</v>
      </c>
      <c r="AB411" s="13">
        <f t="shared" ref="AB411:AP411" si="822">IFERROR(VALUE(RIGHT(LEFT($J411,FIND(AB$1,$J411,IF(M411=0,1,FIND(AB$1,$J411,1)+1))+LEN(AB$1)),1)),0)</f>
        <v>0</v>
      </c>
      <c r="AC411" s="13">
        <f t="shared" si="822"/>
        <v>0</v>
      </c>
      <c r="AD411" s="13">
        <f t="shared" si="822"/>
        <v>0</v>
      </c>
      <c r="AE411" s="13">
        <f t="shared" si="822"/>
        <v>0</v>
      </c>
      <c r="AF411" s="13">
        <f t="shared" si="822"/>
        <v>0</v>
      </c>
      <c r="AG411" s="13">
        <f t="shared" si="822"/>
        <v>1</v>
      </c>
      <c r="AH411" s="13">
        <f t="shared" si="822"/>
        <v>0</v>
      </c>
      <c r="AI411" s="13">
        <f t="shared" si="822"/>
        <v>0</v>
      </c>
      <c r="AJ411" s="13">
        <f t="shared" si="822"/>
        <v>0</v>
      </c>
      <c r="AK411" s="13">
        <f t="shared" si="822"/>
        <v>1</v>
      </c>
      <c r="AL411" s="13">
        <f t="shared" si="822"/>
        <v>0</v>
      </c>
      <c r="AM411" s="13">
        <f t="shared" si="822"/>
        <v>0</v>
      </c>
      <c r="AN411" s="13">
        <f t="shared" si="822"/>
        <v>0</v>
      </c>
      <c r="AO411" s="13">
        <f t="shared" si="822"/>
        <v>0</v>
      </c>
      <c r="AP411" s="13">
        <f t="shared" si="822"/>
        <v>0</v>
      </c>
      <c r="AQ411" s="13"/>
      <c r="AR411" s="13" t="s">
        <v>2870</v>
      </c>
      <c r="AS411" s="13" t="s">
        <v>2871</v>
      </c>
      <c r="AT411" s="13" t="s">
        <v>162</v>
      </c>
      <c r="AU411" s="13" t="s">
        <v>236</v>
      </c>
      <c r="AV411" s="13" t="s">
        <v>2872</v>
      </c>
      <c r="AW411" s="13">
        <v>20.0</v>
      </c>
      <c r="AX411" s="13">
        <v>3.0</v>
      </c>
      <c r="AY411" s="13">
        <v>0.0</v>
      </c>
      <c r="AZ411" s="13" t="s">
        <v>2873</v>
      </c>
      <c r="BA411" s="13" t="s">
        <v>1353</v>
      </c>
      <c r="BB411" s="13"/>
      <c r="BC411" s="13"/>
      <c r="BD411" s="13" t="s">
        <v>134</v>
      </c>
      <c r="BE411" s="13"/>
      <c r="BF411" s="13" t="s">
        <v>1759</v>
      </c>
      <c r="BG411" s="13" t="s">
        <v>136</v>
      </c>
      <c r="BH411" s="13" t="s">
        <v>79</v>
      </c>
      <c r="BI411" s="13" t="b">
        <v>0</v>
      </c>
      <c r="BJ411" s="13">
        <v>0.0</v>
      </c>
      <c r="BK411" s="13">
        <v>0.0</v>
      </c>
    </row>
    <row r="412" ht="14.25" customHeight="1">
      <c r="A412" s="13">
        <v>410.0</v>
      </c>
      <c r="B412" s="13" t="s">
        <v>47</v>
      </c>
      <c r="C412" s="13">
        <v>3.0</v>
      </c>
      <c r="D412" s="14">
        <v>0.0</v>
      </c>
      <c r="E412" s="13" t="s">
        <v>2874</v>
      </c>
      <c r="F412" s="15" t="s">
        <v>702</v>
      </c>
      <c r="G412" s="16" t="s">
        <v>2875</v>
      </c>
      <c r="H412" s="13">
        <v>19.0</v>
      </c>
      <c r="I412" s="13">
        <v>1.1</v>
      </c>
      <c r="J412" s="13" t="s">
        <v>2876</v>
      </c>
      <c r="K412" s="13">
        <f t="shared" si="3"/>
        <v>1</v>
      </c>
      <c r="L412" s="13">
        <f t="shared" si="4"/>
        <v>2</v>
      </c>
      <c r="M412" s="13">
        <f t="shared" ref="M412:AA412" si="823">IFERROR(VALUE(RIGHT(LEFT($J412,FIND(M$1,$J412,1)+LEN(M$1)),1)),0)</f>
        <v>0</v>
      </c>
      <c r="N412" s="13">
        <f t="shared" si="823"/>
        <v>0</v>
      </c>
      <c r="O412" s="13">
        <f t="shared" si="823"/>
        <v>0</v>
      </c>
      <c r="P412" s="13">
        <f t="shared" si="823"/>
        <v>0</v>
      </c>
      <c r="Q412" s="13">
        <f t="shared" si="823"/>
        <v>0</v>
      </c>
      <c r="R412" s="13">
        <f t="shared" si="823"/>
        <v>1</v>
      </c>
      <c r="S412" s="13">
        <f t="shared" si="823"/>
        <v>0</v>
      </c>
      <c r="T412" s="13">
        <f t="shared" si="823"/>
        <v>0</v>
      </c>
      <c r="U412" s="13">
        <f t="shared" si="823"/>
        <v>0</v>
      </c>
      <c r="V412" s="13">
        <f t="shared" si="823"/>
        <v>0</v>
      </c>
      <c r="W412" s="13">
        <f t="shared" si="823"/>
        <v>0</v>
      </c>
      <c r="X412" s="13">
        <f t="shared" si="823"/>
        <v>0</v>
      </c>
      <c r="Y412" s="13">
        <f t="shared" si="823"/>
        <v>0</v>
      </c>
      <c r="Z412" s="13">
        <f t="shared" si="823"/>
        <v>0</v>
      </c>
      <c r="AA412" s="13">
        <f t="shared" si="823"/>
        <v>0</v>
      </c>
      <c r="AB412" s="13">
        <f t="shared" ref="AB412:AP412" si="824">IFERROR(VALUE(RIGHT(LEFT($J412,FIND(AB$1,$J412,IF(M412=0,1,FIND(AB$1,$J412,1)+1))+LEN(AB$1)),1)),0)</f>
        <v>1</v>
      </c>
      <c r="AC412" s="13">
        <f t="shared" si="824"/>
        <v>0</v>
      </c>
      <c r="AD412" s="13">
        <f t="shared" si="824"/>
        <v>0</v>
      </c>
      <c r="AE412" s="13">
        <f t="shared" si="824"/>
        <v>0</v>
      </c>
      <c r="AF412" s="13">
        <f t="shared" si="824"/>
        <v>0</v>
      </c>
      <c r="AG412" s="13">
        <f t="shared" si="824"/>
        <v>0</v>
      </c>
      <c r="AH412" s="13">
        <f t="shared" si="824"/>
        <v>0</v>
      </c>
      <c r="AI412" s="13">
        <f t="shared" si="824"/>
        <v>0</v>
      </c>
      <c r="AJ412" s="13">
        <f t="shared" si="824"/>
        <v>0</v>
      </c>
      <c r="AK412" s="13">
        <f t="shared" si="824"/>
        <v>1</v>
      </c>
      <c r="AL412" s="13">
        <f t="shared" si="824"/>
        <v>0</v>
      </c>
      <c r="AM412" s="13">
        <f t="shared" si="824"/>
        <v>0</v>
      </c>
      <c r="AN412" s="13">
        <f t="shared" si="824"/>
        <v>0</v>
      </c>
      <c r="AO412" s="13">
        <f t="shared" si="824"/>
        <v>0</v>
      </c>
      <c r="AP412" s="13">
        <f t="shared" si="824"/>
        <v>0</v>
      </c>
      <c r="AQ412" s="13"/>
      <c r="AR412" s="13" t="s">
        <v>2877</v>
      </c>
      <c r="AS412" s="13" t="s">
        <v>2878</v>
      </c>
      <c r="AT412" s="13" t="s">
        <v>573</v>
      </c>
      <c r="AU412" s="13" t="s">
        <v>130</v>
      </c>
      <c r="AV412" s="13" t="s">
        <v>2879</v>
      </c>
      <c r="AW412" s="13">
        <v>22.0</v>
      </c>
      <c r="AX412" s="13">
        <v>3.0</v>
      </c>
      <c r="AY412" s="13">
        <v>0.0</v>
      </c>
      <c r="AZ412" s="13" t="s">
        <v>2880</v>
      </c>
      <c r="BA412" s="13" t="s">
        <v>2553</v>
      </c>
      <c r="BB412" s="13"/>
      <c r="BC412" s="13"/>
      <c r="BD412" s="13" t="s">
        <v>484</v>
      </c>
      <c r="BE412" s="13"/>
      <c r="BF412" s="13" t="s">
        <v>1667</v>
      </c>
      <c r="BG412" s="13" t="s">
        <v>136</v>
      </c>
      <c r="BH412" s="13" t="s">
        <v>79</v>
      </c>
      <c r="BI412" s="13" t="b">
        <v>0</v>
      </c>
      <c r="BJ412" s="13">
        <v>0.0</v>
      </c>
      <c r="BK412" s="13">
        <v>0.0</v>
      </c>
    </row>
    <row r="413" ht="14.25" customHeight="1">
      <c r="A413" s="13">
        <v>411.0</v>
      </c>
      <c r="B413" s="13" t="s">
        <v>50</v>
      </c>
      <c r="C413" s="13">
        <v>3.0</v>
      </c>
      <c r="D413" s="14">
        <v>0.0</v>
      </c>
      <c r="E413" s="13" t="s">
        <v>2881</v>
      </c>
      <c r="F413" s="15" t="s">
        <v>702</v>
      </c>
      <c r="G413" s="16" t="s">
        <v>2882</v>
      </c>
      <c r="H413" s="13">
        <v>17.0</v>
      </c>
      <c r="I413" s="13">
        <v>1.2</v>
      </c>
      <c r="J413" s="13" t="s">
        <v>2883</v>
      </c>
      <c r="K413" s="13">
        <f t="shared" si="3"/>
        <v>1</v>
      </c>
      <c r="L413" s="13">
        <f t="shared" si="4"/>
        <v>2</v>
      </c>
      <c r="M413" s="13">
        <f t="shared" ref="M413:AA413" si="825">IFERROR(VALUE(RIGHT(LEFT($J413,FIND(M$1,$J413,1)+LEN(M$1)),1)),0)</f>
        <v>0</v>
      </c>
      <c r="N413" s="13">
        <f t="shared" si="825"/>
        <v>0</v>
      </c>
      <c r="O413" s="13">
        <f t="shared" si="825"/>
        <v>0</v>
      </c>
      <c r="P413" s="13">
        <f t="shared" si="825"/>
        <v>0</v>
      </c>
      <c r="Q413" s="13">
        <f t="shared" si="825"/>
        <v>0</v>
      </c>
      <c r="R413" s="13">
        <f t="shared" si="825"/>
        <v>0</v>
      </c>
      <c r="S413" s="13">
        <f t="shared" si="825"/>
        <v>0</v>
      </c>
      <c r="T413" s="13">
        <f t="shared" si="825"/>
        <v>0</v>
      </c>
      <c r="U413" s="13">
        <f t="shared" si="825"/>
        <v>0</v>
      </c>
      <c r="V413" s="13">
        <f t="shared" si="825"/>
        <v>0</v>
      </c>
      <c r="W413" s="13">
        <f t="shared" si="825"/>
        <v>0</v>
      </c>
      <c r="X413" s="13">
        <f t="shared" si="825"/>
        <v>0</v>
      </c>
      <c r="Y413" s="13">
        <f t="shared" si="825"/>
        <v>1</v>
      </c>
      <c r="Z413" s="13">
        <f t="shared" si="825"/>
        <v>0</v>
      </c>
      <c r="AA413" s="13">
        <f t="shared" si="825"/>
        <v>0</v>
      </c>
      <c r="AB413" s="13">
        <f t="shared" ref="AB413:AP413" si="826">IFERROR(VALUE(RIGHT(LEFT($J413,FIND(AB$1,$J413,IF(M413=0,1,FIND(AB$1,$J413,1)+1))+LEN(AB$1)),1)),0)</f>
        <v>0</v>
      </c>
      <c r="AC413" s="13">
        <f t="shared" si="826"/>
        <v>0</v>
      </c>
      <c r="AD413" s="13">
        <f t="shared" si="826"/>
        <v>0</v>
      </c>
      <c r="AE413" s="13">
        <f t="shared" si="826"/>
        <v>0</v>
      </c>
      <c r="AF413" s="13">
        <f t="shared" si="826"/>
        <v>0</v>
      </c>
      <c r="AG413" s="13">
        <f t="shared" si="826"/>
        <v>1</v>
      </c>
      <c r="AH413" s="13">
        <f t="shared" si="826"/>
        <v>0</v>
      </c>
      <c r="AI413" s="13">
        <f t="shared" si="826"/>
        <v>0</v>
      </c>
      <c r="AJ413" s="13">
        <f t="shared" si="826"/>
        <v>0</v>
      </c>
      <c r="AK413" s="13">
        <f t="shared" si="826"/>
        <v>0</v>
      </c>
      <c r="AL413" s="13">
        <f t="shared" si="826"/>
        <v>0</v>
      </c>
      <c r="AM413" s="13">
        <f t="shared" si="826"/>
        <v>0</v>
      </c>
      <c r="AN413" s="13">
        <f t="shared" si="826"/>
        <v>1</v>
      </c>
      <c r="AO413" s="13">
        <f t="shared" si="826"/>
        <v>0</v>
      </c>
      <c r="AP413" s="13">
        <f t="shared" si="826"/>
        <v>0</v>
      </c>
      <c r="AQ413" s="13"/>
      <c r="AR413" s="13" t="s">
        <v>2884</v>
      </c>
      <c r="AS413" s="13" t="s">
        <v>2885</v>
      </c>
      <c r="AT413" s="13" t="s">
        <v>1263</v>
      </c>
      <c r="AU413" s="13" t="s">
        <v>143</v>
      </c>
      <c r="AV413" s="13" t="s">
        <v>2886</v>
      </c>
      <c r="AW413" s="13">
        <v>19.0</v>
      </c>
      <c r="AX413" s="13">
        <v>3.0</v>
      </c>
      <c r="AY413" s="13">
        <v>0.0</v>
      </c>
      <c r="AZ413" s="13" t="s">
        <v>1144</v>
      </c>
      <c r="BA413" s="13" t="s">
        <v>2299</v>
      </c>
      <c r="BB413" s="13"/>
      <c r="BC413" s="13"/>
      <c r="BD413" s="13" t="s">
        <v>715</v>
      </c>
      <c r="BE413" s="13"/>
      <c r="BF413" s="13" t="s">
        <v>2887</v>
      </c>
      <c r="BG413" s="13" t="s">
        <v>50</v>
      </c>
      <c r="BH413" s="13" t="s">
        <v>241</v>
      </c>
      <c r="BI413" s="13" t="b">
        <v>0</v>
      </c>
      <c r="BJ413" s="13">
        <v>0.0</v>
      </c>
      <c r="BK413" s="13">
        <v>0.0</v>
      </c>
    </row>
    <row r="414" ht="14.25" customHeight="1">
      <c r="A414" s="13">
        <v>412.0</v>
      </c>
      <c r="B414" s="13" t="s">
        <v>50</v>
      </c>
      <c r="C414" s="13">
        <v>3.0</v>
      </c>
      <c r="D414" s="14">
        <v>0.0</v>
      </c>
      <c r="E414" s="13" t="s">
        <v>2888</v>
      </c>
      <c r="F414" s="15" t="s">
        <v>702</v>
      </c>
      <c r="G414" s="16" t="s">
        <v>2889</v>
      </c>
      <c r="H414" s="13">
        <v>18.0</v>
      </c>
      <c r="I414" s="13">
        <v>1.0</v>
      </c>
      <c r="J414" s="13" t="s">
        <v>2890</v>
      </c>
      <c r="K414" s="13">
        <f t="shared" si="3"/>
        <v>1</v>
      </c>
      <c r="L414" s="13">
        <f t="shared" si="4"/>
        <v>2</v>
      </c>
      <c r="M414" s="13">
        <f t="shared" ref="M414:AA414" si="827">IFERROR(VALUE(RIGHT(LEFT($J414,FIND(M$1,$J414,1)+LEN(M$1)),1)),0)</f>
        <v>1</v>
      </c>
      <c r="N414" s="13">
        <f t="shared" si="827"/>
        <v>0</v>
      </c>
      <c r="O414" s="13">
        <f t="shared" si="827"/>
        <v>0</v>
      </c>
      <c r="P414" s="13">
        <f t="shared" si="827"/>
        <v>0</v>
      </c>
      <c r="Q414" s="13">
        <f t="shared" si="827"/>
        <v>0</v>
      </c>
      <c r="R414" s="13">
        <f t="shared" si="827"/>
        <v>0</v>
      </c>
      <c r="S414" s="13">
        <f t="shared" si="827"/>
        <v>0</v>
      </c>
      <c r="T414" s="13">
        <f t="shared" si="827"/>
        <v>0</v>
      </c>
      <c r="U414" s="13">
        <f t="shared" si="827"/>
        <v>0</v>
      </c>
      <c r="V414" s="13">
        <f t="shared" si="827"/>
        <v>0</v>
      </c>
      <c r="W414" s="13">
        <f t="shared" si="827"/>
        <v>0</v>
      </c>
      <c r="X414" s="13">
        <f t="shared" si="827"/>
        <v>0</v>
      </c>
      <c r="Y414" s="13">
        <f t="shared" si="827"/>
        <v>0</v>
      </c>
      <c r="Z414" s="13">
        <f t="shared" si="827"/>
        <v>0</v>
      </c>
      <c r="AA414" s="13">
        <f t="shared" si="827"/>
        <v>0</v>
      </c>
      <c r="AB414" s="13">
        <f t="shared" ref="AB414:AP414" si="828">IFERROR(VALUE(RIGHT(LEFT($J414,FIND(AB$1,$J414,IF(M414=0,1,FIND(AB$1,$J414,1)+1))+LEN(AB$1)),1)),0)</f>
        <v>1</v>
      </c>
      <c r="AC414" s="13">
        <f t="shared" si="828"/>
        <v>0</v>
      </c>
      <c r="AD414" s="13">
        <f t="shared" si="828"/>
        <v>0</v>
      </c>
      <c r="AE414" s="13">
        <f t="shared" si="828"/>
        <v>0</v>
      </c>
      <c r="AF414" s="13">
        <f t="shared" si="828"/>
        <v>0</v>
      </c>
      <c r="AG414" s="13">
        <f t="shared" si="828"/>
        <v>0</v>
      </c>
      <c r="AH414" s="13">
        <f t="shared" si="828"/>
        <v>0</v>
      </c>
      <c r="AI414" s="13">
        <f t="shared" si="828"/>
        <v>0</v>
      </c>
      <c r="AJ414" s="13">
        <f t="shared" si="828"/>
        <v>0</v>
      </c>
      <c r="AK414" s="13">
        <f t="shared" si="828"/>
        <v>0</v>
      </c>
      <c r="AL414" s="13">
        <f t="shared" si="828"/>
        <v>0</v>
      </c>
      <c r="AM414" s="13">
        <f t="shared" si="828"/>
        <v>0</v>
      </c>
      <c r="AN414" s="13">
        <f t="shared" si="828"/>
        <v>1</v>
      </c>
      <c r="AO414" s="13">
        <f t="shared" si="828"/>
        <v>0</v>
      </c>
      <c r="AP414" s="13">
        <f t="shared" si="828"/>
        <v>0</v>
      </c>
      <c r="AQ414" s="13"/>
      <c r="AR414" s="13" t="s">
        <v>2891</v>
      </c>
      <c r="AS414" s="13" t="s">
        <v>2892</v>
      </c>
      <c r="AT414" s="13" t="s">
        <v>129</v>
      </c>
      <c r="AU414" s="13" t="s">
        <v>143</v>
      </c>
      <c r="AV414" s="13" t="s">
        <v>2893</v>
      </c>
      <c r="AW414" s="13">
        <v>21.0</v>
      </c>
      <c r="AX414" s="13">
        <v>3.0</v>
      </c>
      <c r="AY414" s="13">
        <v>0.0</v>
      </c>
      <c r="AZ414" s="13" t="s">
        <v>2894</v>
      </c>
      <c r="BA414" s="13" t="s">
        <v>2895</v>
      </c>
      <c r="BB414" s="13"/>
      <c r="BC414" s="13"/>
      <c r="BD414" s="13" t="s">
        <v>230</v>
      </c>
      <c r="BE414" s="13"/>
      <c r="BF414" s="13" t="s">
        <v>1437</v>
      </c>
      <c r="BG414" s="13" t="s">
        <v>50</v>
      </c>
      <c r="BH414" s="13" t="s">
        <v>79</v>
      </c>
      <c r="BI414" s="13" t="b">
        <v>0</v>
      </c>
      <c r="BJ414" s="13">
        <v>0.0</v>
      </c>
      <c r="BK414" s="13">
        <v>0.0</v>
      </c>
    </row>
    <row r="415" ht="14.25" customHeight="1">
      <c r="A415" s="13">
        <v>413.0</v>
      </c>
      <c r="B415" s="13" t="s">
        <v>44</v>
      </c>
      <c r="C415" s="13">
        <v>4.0</v>
      </c>
      <c r="D415" s="14">
        <v>0.0</v>
      </c>
      <c r="E415" s="13" t="s">
        <v>2896</v>
      </c>
      <c r="F415" s="15" t="s">
        <v>702</v>
      </c>
      <c r="G415" s="16" t="s">
        <v>2897</v>
      </c>
      <c r="H415" s="13"/>
      <c r="I415" s="13">
        <v>1.1</v>
      </c>
      <c r="J415" s="13" t="s">
        <v>2898</v>
      </c>
      <c r="K415" s="13">
        <f t="shared" si="3"/>
        <v>2</v>
      </c>
      <c r="L415" s="13">
        <f t="shared" si="4"/>
        <v>2</v>
      </c>
      <c r="M415" s="13">
        <f t="shared" ref="M415:AA415" si="829">IFERROR(VALUE(RIGHT(LEFT($J415,FIND(M$1,$J415,1)+LEN(M$1)),1)),0)</f>
        <v>0</v>
      </c>
      <c r="N415" s="13">
        <f t="shared" si="829"/>
        <v>0</v>
      </c>
      <c r="O415" s="13">
        <f t="shared" si="829"/>
        <v>0</v>
      </c>
      <c r="P415" s="13">
        <f t="shared" si="829"/>
        <v>0</v>
      </c>
      <c r="Q415" s="13">
        <f t="shared" si="829"/>
        <v>0</v>
      </c>
      <c r="R415" s="13">
        <f t="shared" si="829"/>
        <v>1</v>
      </c>
      <c r="S415" s="13">
        <f t="shared" si="829"/>
        <v>1</v>
      </c>
      <c r="T415" s="13">
        <f t="shared" si="829"/>
        <v>0</v>
      </c>
      <c r="U415" s="13">
        <f t="shared" si="829"/>
        <v>0</v>
      </c>
      <c r="V415" s="13">
        <f t="shared" si="829"/>
        <v>0</v>
      </c>
      <c r="W415" s="13">
        <f t="shared" si="829"/>
        <v>0</v>
      </c>
      <c r="X415" s="13">
        <f t="shared" si="829"/>
        <v>0</v>
      </c>
      <c r="Y415" s="13">
        <f t="shared" si="829"/>
        <v>0</v>
      </c>
      <c r="Z415" s="13">
        <f t="shared" si="829"/>
        <v>0</v>
      </c>
      <c r="AA415" s="13">
        <f t="shared" si="829"/>
        <v>0</v>
      </c>
      <c r="AB415" s="13">
        <f t="shared" ref="AB415:AP415" si="830">IFERROR(VALUE(RIGHT(LEFT($J415,FIND(AB$1,$J415,IF(M415=0,1,FIND(AB$1,$J415,1)+1))+LEN(AB$1)),1)),0)</f>
        <v>0</v>
      </c>
      <c r="AC415" s="13">
        <f t="shared" si="830"/>
        <v>0</v>
      </c>
      <c r="AD415" s="13">
        <f t="shared" si="830"/>
        <v>0</v>
      </c>
      <c r="AE415" s="13">
        <f t="shared" si="830"/>
        <v>0</v>
      </c>
      <c r="AF415" s="13">
        <f t="shared" si="830"/>
        <v>0</v>
      </c>
      <c r="AG415" s="13">
        <f t="shared" si="830"/>
        <v>0</v>
      </c>
      <c r="AH415" s="13">
        <f t="shared" si="830"/>
        <v>2</v>
      </c>
      <c r="AI415" s="13">
        <f t="shared" si="830"/>
        <v>0</v>
      </c>
      <c r="AJ415" s="13">
        <f t="shared" si="830"/>
        <v>0</v>
      </c>
      <c r="AK415" s="13">
        <f t="shared" si="830"/>
        <v>0</v>
      </c>
      <c r="AL415" s="13">
        <f t="shared" si="830"/>
        <v>0</v>
      </c>
      <c r="AM415" s="13">
        <f t="shared" si="830"/>
        <v>0</v>
      </c>
      <c r="AN415" s="13">
        <f t="shared" si="830"/>
        <v>0</v>
      </c>
      <c r="AO415" s="13">
        <f t="shared" si="830"/>
        <v>0</v>
      </c>
      <c r="AP415" s="13">
        <f t="shared" si="830"/>
        <v>0</v>
      </c>
      <c r="AQ415" s="13" t="s">
        <v>2899</v>
      </c>
      <c r="AR415" s="13"/>
      <c r="AS415" s="13" t="s">
        <v>2900</v>
      </c>
      <c r="AT415" s="13"/>
      <c r="AU415" s="13"/>
      <c r="AV415" s="13"/>
      <c r="AW415" s="13">
        <v>0.0</v>
      </c>
      <c r="AX415" s="13">
        <v>3.0</v>
      </c>
      <c r="AY415" s="13">
        <v>0.0</v>
      </c>
      <c r="AZ415" s="13"/>
      <c r="BA415" s="13"/>
      <c r="BB415" s="13"/>
      <c r="BC415" s="13"/>
      <c r="BD415" s="13"/>
      <c r="BE415" s="13"/>
      <c r="BF415" s="13"/>
      <c r="BG415" s="13"/>
      <c r="BH415" s="13" t="s">
        <v>79</v>
      </c>
      <c r="BI415" s="13" t="b">
        <v>0</v>
      </c>
      <c r="BJ415" s="13">
        <v>0.0</v>
      </c>
      <c r="BK415" s="13">
        <v>0.0</v>
      </c>
    </row>
    <row r="416" ht="14.25" customHeight="1">
      <c r="A416" s="13">
        <v>414.0</v>
      </c>
      <c r="B416" s="13" t="s">
        <v>46</v>
      </c>
      <c r="C416" s="13">
        <v>4.0</v>
      </c>
      <c r="D416" s="14">
        <v>0.0</v>
      </c>
      <c r="E416" s="13" t="s">
        <v>2901</v>
      </c>
      <c r="F416" s="15" t="s">
        <v>702</v>
      </c>
      <c r="G416" s="16" t="s">
        <v>2902</v>
      </c>
      <c r="H416" s="13"/>
      <c r="I416" s="13">
        <v>0.9</v>
      </c>
      <c r="J416" s="13" t="s">
        <v>2903</v>
      </c>
      <c r="K416" s="13">
        <f t="shared" si="3"/>
        <v>2</v>
      </c>
      <c r="L416" s="13">
        <f t="shared" si="4"/>
        <v>2</v>
      </c>
      <c r="M416" s="13">
        <f t="shared" ref="M416:AA416" si="831">IFERROR(VALUE(RIGHT(LEFT($J416,FIND(M$1,$J416,1)+LEN(M$1)),1)),0)</f>
        <v>1</v>
      </c>
      <c r="N416" s="13">
        <f t="shared" si="831"/>
        <v>0</v>
      </c>
      <c r="O416" s="13">
        <f t="shared" si="831"/>
        <v>0</v>
      </c>
      <c r="P416" s="13">
        <f t="shared" si="831"/>
        <v>0</v>
      </c>
      <c r="Q416" s="13">
        <f t="shared" si="831"/>
        <v>0</v>
      </c>
      <c r="R416" s="13">
        <f t="shared" si="831"/>
        <v>0</v>
      </c>
      <c r="S416" s="13">
        <f t="shared" si="831"/>
        <v>0</v>
      </c>
      <c r="T416" s="13">
        <f t="shared" si="831"/>
        <v>0</v>
      </c>
      <c r="U416" s="13">
        <f t="shared" si="831"/>
        <v>1</v>
      </c>
      <c r="V416" s="13">
        <f t="shared" si="831"/>
        <v>0</v>
      </c>
      <c r="W416" s="13">
        <f t="shared" si="831"/>
        <v>0</v>
      </c>
      <c r="X416" s="13">
        <f t="shared" si="831"/>
        <v>0</v>
      </c>
      <c r="Y416" s="13">
        <f t="shared" si="831"/>
        <v>0</v>
      </c>
      <c r="Z416" s="13">
        <f t="shared" si="831"/>
        <v>0</v>
      </c>
      <c r="AA416" s="13">
        <f t="shared" si="831"/>
        <v>0</v>
      </c>
      <c r="AB416" s="13">
        <f t="shared" ref="AB416:AP416" si="832">IFERROR(VALUE(RIGHT(LEFT($J416,FIND(AB$1,$J416,IF(M416=0,1,FIND(AB$1,$J416,1)+1))+LEN(AB$1)),1)),0)</f>
        <v>0</v>
      </c>
      <c r="AC416" s="13">
        <f t="shared" si="832"/>
        <v>0</v>
      </c>
      <c r="AD416" s="13">
        <f t="shared" si="832"/>
        <v>0</v>
      </c>
      <c r="AE416" s="13">
        <f t="shared" si="832"/>
        <v>0</v>
      </c>
      <c r="AF416" s="13">
        <f t="shared" si="832"/>
        <v>0</v>
      </c>
      <c r="AG416" s="13">
        <f t="shared" si="832"/>
        <v>0</v>
      </c>
      <c r="AH416" s="13">
        <f t="shared" si="832"/>
        <v>0</v>
      </c>
      <c r="AI416" s="13">
        <f t="shared" si="832"/>
        <v>0</v>
      </c>
      <c r="AJ416" s="13">
        <f t="shared" si="832"/>
        <v>2</v>
      </c>
      <c r="AK416" s="13">
        <f t="shared" si="832"/>
        <v>0</v>
      </c>
      <c r="AL416" s="13">
        <f t="shared" si="832"/>
        <v>0</v>
      </c>
      <c r="AM416" s="13">
        <f t="shared" si="832"/>
        <v>0</v>
      </c>
      <c r="AN416" s="13">
        <f t="shared" si="832"/>
        <v>0</v>
      </c>
      <c r="AO416" s="13">
        <f t="shared" si="832"/>
        <v>0</v>
      </c>
      <c r="AP416" s="13">
        <f t="shared" si="832"/>
        <v>0</v>
      </c>
      <c r="AQ416" s="13" t="s">
        <v>2904</v>
      </c>
      <c r="AR416" s="13"/>
      <c r="AS416" s="13" t="s">
        <v>2905</v>
      </c>
      <c r="AT416" s="13"/>
      <c r="AU416" s="13"/>
      <c r="AV416" s="13"/>
      <c r="AW416" s="13">
        <v>0.0</v>
      </c>
      <c r="AX416" s="13">
        <v>3.0</v>
      </c>
      <c r="AY416" s="13">
        <v>0.0</v>
      </c>
      <c r="AZ416" s="13"/>
      <c r="BA416" s="13"/>
      <c r="BB416" s="13"/>
      <c r="BC416" s="13"/>
      <c r="BD416" s="13"/>
      <c r="BE416" s="13"/>
      <c r="BF416" s="13"/>
      <c r="BG416" s="13"/>
      <c r="BH416" s="13" t="s">
        <v>79</v>
      </c>
      <c r="BI416" s="13" t="b">
        <v>0</v>
      </c>
      <c r="BJ416" s="13">
        <v>0.0</v>
      </c>
      <c r="BK416" s="13">
        <v>0.0</v>
      </c>
    </row>
    <row r="417" ht="14.25" customHeight="1">
      <c r="A417" s="13">
        <v>415.0</v>
      </c>
      <c r="B417" s="13" t="s">
        <v>47</v>
      </c>
      <c r="C417" s="13">
        <v>4.0</v>
      </c>
      <c r="D417" s="14">
        <v>0.0</v>
      </c>
      <c r="E417" s="13" t="s">
        <v>2906</v>
      </c>
      <c r="F417" s="15" t="s">
        <v>702</v>
      </c>
      <c r="G417" s="16" t="s">
        <v>2907</v>
      </c>
      <c r="H417" s="13">
        <v>19.0</v>
      </c>
      <c r="I417" s="13">
        <v>1.1</v>
      </c>
      <c r="J417" s="13" t="s">
        <v>2908</v>
      </c>
      <c r="K417" s="13">
        <f t="shared" si="3"/>
        <v>2</v>
      </c>
      <c r="L417" s="13">
        <f t="shared" si="4"/>
        <v>2</v>
      </c>
      <c r="M417" s="13">
        <f t="shared" ref="M417:AA417" si="833">IFERROR(VALUE(RIGHT(LEFT($J417,FIND(M$1,$J417,1)+LEN(M$1)),1)),0)</f>
        <v>0</v>
      </c>
      <c r="N417" s="13">
        <f t="shared" si="833"/>
        <v>0</v>
      </c>
      <c r="O417" s="13">
        <f t="shared" si="833"/>
        <v>0</v>
      </c>
      <c r="P417" s="13">
        <f t="shared" si="833"/>
        <v>0</v>
      </c>
      <c r="Q417" s="13">
        <f t="shared" si="833"/>
        <v>0</v>
      </c>
      <c r="R417" s="13">
        <f t="shared" si="833"/>
        <v>2</v>
      </c>
      <c r="S417" s="13">
        <f t="shared" si="833"/>
        <v>0</v>
      </c>
      <c r="T417" s="13">
        <f t="shared" si="833"/>
        <v>0</v>
      </c>
      <c r="U417" s="13">
        <f t="shared" si="833"/>
        <v>0</v>
      </c>
      <c r="V417" s="13">
        <f t="shared" si="833"/>
        <v>0</v>
      </c>
      <c r="W417" s="13">
        <f t="shared" si="833"/>
        <v>0</v>
      </c>
      <c r="X417" s="13">
        <f t="shared" si="833"/>
        <v>0</v>
      </c>
      <c r="Y417" s="13">
        <f t="shared" si="833"/>
        <v>0</v>
      </c>
      <c r="Z417" s="13">
        <f t="shared" si="833"/>
        <v>0</v>
      </c>
      <c r="AA417" s="13">
        <f t="shared" si="833"/>
        <v>0</v>
      </c>
      <c r="AB417" s="13">
        <f t="shared" ref="AB417:AP417" si="834">IFERROR(VALUE(RIGHT(LEFT($J417,FIND(AB$1,$J417,IF(M417=0,1,FIND(AB$1,$J417,1)+1))+LEN(AB$1)),1)),0)</f>
        <v>0</v>
      </c>
      <c r="AC417" s="13">
        <f t="shared" si="834"/>
        <v>0</v>
      </c>
      <c r="AD417" s="13">
        <f t="shared" si="834"/>
        <v>0</v>
      </c>
      <c r="AE417" s="13">
        <f t="shared" si="834"/>
        <v>0</v>
      </c>
      <c r="AF417" s="13">
        <f t="shared" si="834"/>
        <v>0</v>
      </c>
      <c r="AG417" s="13">
        <f t="shared" si="834"/>
        <v>1</v>
      </c>
      <c r="AH417" s="13">
        <f t="shared" si="834"/>
        <v>0</v>
      </c>
      <c r="AI417" s="13">
        <f t="shared" si="834"/>
        <v>0</v>
      </c>
      <c r="AJ417" s="13">
        <f t="shared" si="834"/>
        <v>0</v>
      </c>
      <c r="AK417" s="13">
        <f t="shared" si="834"/>
        <v>1</v>
      </c>
      <c r="AL417" s="13">
        <f t="shared" si="834"/>
        <v>0</v>
      </c>
      <c r="AM417" s="13">
        <f t="shared" si="834"/>
        <v>0</v>
      </c>
      <c r="AN417" s="13">
        <f t="shared" si="834"/>
        <v>0</v>
      </c>
      <c r="AO417" s="13">
        <f t="shared" si="834"/>
        <v>0</v>
      </c>
      <c r="AP417" s="13">
        <f t="shared" si="834"/>
        <v>0</v>
      </c>
      <c r="AQ417" s="13"/>
      <c r="AR417" s="13" t="s">
        <v>2909</v>
      </c>
      <c r="AS417" s="13" t="s">
        <v>2910</v>
      </c>
      <c r="AT417" s="13" t="s">
        <v>257</v>
      </c>
      <c r="AU417" s="13" t="s">
        <v>1398</v>
      </c>
      <c r="AV417" s="13" t="s">
        <v>2911</v>
      </c>
      <c r="AW417" s="13">
        <v>23.0</v>
      </c>
      <c r="AX417" s="13">
        <v>3.0</v>
      </c>
      <c r="AY417" s="13">
        <v>0.0</v>
      </c>
      <c r="AZ417" s="13" t="s">
        <v>2912</v>
      </c>
      <c r="BA417" s="13" t="s">
        <v>2913</v>
      </c>
      <c r="BB417" s="13"/>
      <c r="BC417" s="13"/>
      <c r="BD417" s="13" t="s">
        <v>134</v>
      </c>
      <c r="BE417" s="13"/>
      <c r="BF417" s="13" t="s">
        <v>2914</v>
      </c>
      <c r="BG417" s="13" t="s">
        <v>136</v>
      </c>
      <c r="BH417" s="13" t="s">
        <v>241</v>
      </c>
      <c r="BI417" s="13" t="b">
        <v>0</v>
      </c>
      <c r="BJ417" s="13">
        <v>0.0</v>
      </c>
      <c r="BK417" s="13">
        <v>0.0</v>
      </c>
    </row>
    <row r="418" ht="14.25" customHeight="1">
      <c r="A418" s="13">
        <v>416.0</v>
      </c>
      <c r="B418" s="13" t="s">
        <v>47</v>
      </c>
      <c r="C418" s="13">
        <v>4.0</v>
      </c>
      <c r="D418" s="14">
        <v>0.0</v>
      </c>
      <c r="E418" s="13" t="s">
        <v>2915</v>
      </c>
      <c r="F418" s="15" t="s">
        <v>702</v>
      </c>
      <c r="G418" s="16" t="s">
        <v>2916</v>
      </c>
      <c r="H418" s="13">
        <v>22.0</v>
      </c>
      <c r="I418" s="13">
        <v>1.2</v>
      </c>
      <c r="J418" s="13" t="s">
        <v>1957</v>
      </c>
      <c r="K418" s="13">
        <f t="shared" si="3"/>
        <v>2</v>
      </c>
      <c r="L418" s="13">
        <f t="shared" si="4"/>
        <v>2</v>
      </c>
      <c r="M418" s="13">
        <f t="shared" ref="M418:AA418" si="835">IFERROR(VALUE(RIGHT(LEFT($J418,FIND(M$1,$J418,1)+LEN(M$1)),1)),0)</f>
        <v>0</v>
      </c>
      <c r="N418" s="13">
        <f t="shared" si="835"/>
        <v>0</v>
      </c>
      <c r="O418" s="13">
        <f t="shared" si="835"/>
        <v>0</v>
      </c>
      <c r="P418" s="13">
        <f t="shared" si="835"/>
        <v>0</v>
      </c>
      <c r="Q418" s="13">
        <f t="shared" si="835"/>
        <v>0</v>
      </c>
      <c r="R418" s="13">
        <f t="shared" si="835"/>
        <v>0</v>
      </c>
      <c r="S418" s="13">
        <f t="shared" si="835"/>
        <v>0</v>
      </c>
      <c r="T418" s="13">
        <f t="shared" si="835"/>
        <v>0</v>
      </c>
      <c r="U418" s="13">
        <f t="shared" si="835"/>
        <v>0</v>
      </c>
      <c r="V418" s="13">
        <f t="shared" si="835"/>
        <v>2</v>
      </c>
      <c r="W418" s="13">
        <f t="shared" si="835"/>
        <v>0</v>
      </c>
      <c r="X418" s="13">
        <f t="shared" si="835"/>
        <v>0</v>
      </c>
      <c r="Y418" s="13">
        <f t="shared" si="835"/>
        <v>0</v>
      </c>
      <c r="Z418" s="13">
        <f t="shared" si="835"/>
        <v>0</v>
      </c>
      <c r="AA418" s="13">
        <f t="shared" si="835"/>
        <v>0</v>
      </c>
      <c r="AB418" s="13">
        <f t="shared" ref="AB418:AP418" si="836">IFERROR(VALUE(RIGHT(LEFT($J418,FIND(AB$1,$J418,IF(M418=0,1,FIND(AB$1,$J418,1)+1))+LEN(AB$1)),1)),0)</f>
        <v>1</v>
      </c>
      <c r="AC418" s="13">
        <f t="shared" si="836"/>
        <v>0</v>
      </c>
      <c r="AD418" s="13">
        <f t="shared" si="836"/>
        <v>0</v>
      </c>
      <c r="AE418" s="13">
        <f t="shared" si="836"/>
        <v>0</v>
      </c>
      <c r="AF418" s="13">
        <f t="shared" si="836"/>
        <v>0</v>
      </c>
      <c r="AG418" s="13">
        <f t="shared" si="836"/>
        <v>0</v>
      </c>
      <c r="AH418" s="13">
        <f t="shared" si="836"/>
        <v>0</v>
      </c>
      <c r="AI418" s="13">
        <f t="shared" si="836"/>
        <v>0</v>
      </c>
      <c r="AJ418" s="13">
        <f t="shared" si="836"/>
        <v>0</v>
      </c>
      <c r="AK418" s="13">
        <f t="shared" si="836"/>
        <v>1</v>
      </c>
      <c r="AL418" s="13">
        <f t="shared" si="836"/>
        <v>0</v>
      </c>
      <c r="AM418" s="13">
        <f t="shared" si="836"/>
        <v>0</v>
      </c>
      <c r="AN418" s="13">
        <f t="shared" si="836"/>
        <v>0</v>
      </c>
      <c r="AO418" s="13">
        <f t="shared" si="836"/>
        <v>0</v>
      </c>
      <c r="AP418" s="13">
        <f t="shared" si="836"/>
        <v>0</v>
      </c>
      <c r="AQ418" s="13"/>
      <c r="AR418" s="13" t="s">
        <v>2917</v>
      </c>
      <c r="AS418" s="13" t="s">
        <v>2918</v>
      </c>
      <c r="AT418" s="13" t="s">
        <v>175</v>
      </c>
      <c r="AU418" s="13" t="s">
        <v>803</v>
      </c>
      <c r="AV418" s="13" t="s">
        <v>2919</v>
      </c>
      <c r="AW418" s="13">
        <v>26.0</v>
      </c>
      <c r="AX418" s="13">
        <v>3.0</v>
      </c>
      <c r="AY418" s="13">
        <v>0.0</v>
      </c>
      <c r="AZ418" s="13" t="s">
        <v>2920</v>
      </c>
      <c r="BA418" s="13" t="s">
        <v>2921</v>
      </c>
      <c r="BB418" s="13"/>
      <c r="BC418" s="13"/>
      <c r="BD418" s="13" t="s">
        <v>484</v>
      </c>
      <c r="BE418" s="13"/>
      <c r="BF418" s="13" t="s">
        <v>2922</v>
      </c>
      <c r="BG418" s="13" t="s">
        <v>136</v>
      </c>
      <c r="BH418" s="13" t="s">
        <v>79</v>
      </c>
      <c r="BI418" s="13" t="b">
        <v>0</v>
      </c>
      <c r="BJ418" s="13">
        <v>0.0</v>
      </c>
      <c r="BK418" s="13">
        <v>0.0</v>
      </c>
    </row>
    <row r="419" ht="14.25" customHeight="1">
      <c r="A419" s="13">
        <v>417.0</v>
      </c>
      <c r="B419" s="13" t="s">
        <v>50</v>
      </c>
      <c r="C419" s="13">
        <v>4.0</v>
      </c>
      <c r="D419" s="14">
        <v>0.0</v>
      </c>
      <c r="E419" s="13" t="s">
        <v>2923</v>
      </c>
      <c r="F419" s="15" t="s">
        <v>702</v>
      </c>
      <c r="G419" s="16" t="s">
        <v>2924</v>
      </c>
      <c r="H419" s="13">
        <v>20.0</v>
      </c>
      <c r="I419" s="13">
        <v>0.9</v>
      </c>
      <c r="J419" s="13" t="s">
        <v>2925</v>
      </c>
      <c r="K419" s="13">
        <f t="shared" si="3"/>
        <v>2</v>
      </c>
      <c r="L419" s="13">
        <f t="shared" si="4"/>
        <v>2</v>
      </c>
      <c r="M419" s="13">
        <f t="shared" ref="M419:AA419" si="837">IFERROR(VALUE(RIGHT(LEFT($J419,FIND(M$1,$J419,1)+LEN(M$1)),1)),0)</f>
        <v>0</v>
      </c>
      <c r="N419" s="13">
        <f t="shared" si="837"/>
        <v>0</v>
      </c>
      <c r="O419" s="13">
        <f t="shared" si="837"/>
        <v>0</v>
      </c>
      <c r="P419" s="13">
        <f t="shared" si="837"/>
        <v>0</v>
      </c>
      <c r="Q419" s="13">
        <f t="shared" si="837"/>
        <v>0</v>
      </c>
      <c r="R419" s="13">
        <f t="shared" si="837"/>
        <v>0</v>
      </c>
      <c r="S419" s="13">
        <f t="shared" si="837"/>
        <v>0</v>
      </c>
      <c r="T419" s="13">
        <f t="shared" si="837"/>
        <v>0</v>
      </c>
      <c r="U419" s="13">
        <f t="shared" si="837"/>
        <v>0</v>
      </c>
      <c r="V419" s="13">
        <f t="shared" si="837"/>
        <v>0</v>
      </c>
      <c r="W419" s="13">
        <f t="shared" si="837"/>
        <v>0</v>
      </c>
      <c r="X419" s="13">
        <f t="shared" si="837"/>
        <v>0</v>
      </c>
      <c r="Y419" s="13">
        <f t="shared" si="837"/>
        <v>2</v>
      </c>
      <c r="Z419" s="13">
        <f t="shared" si="837"/>
        <v>0</v>
      </c>
      <c r="AA419" s="13">
        <f t="shared" si="837"/>
        <v>0</v>
      </c>
      <c r="AB419" s="13">
        <f t="shared" ref="AB419:AP419" si="838">IFERROR(VALUE(RIGHT(LEFT($J419,FIND(AB$1,$J419,IF(M419=0,1,FIND(AB$1,$J419,1)+1))+LEN(AB$1)),1)),0)</f>
        <v>0</v>
      </c>
      <c r="AC419" s="13">
        <f t="shared" si="838"/>
        <v>0</v>
      </c>
      <c r="AD419" s="13">
        <f t="shared" si="838"/>
        <v>0</v>
      </c>
      <c r="AE419" s="13">
        <f t="shared" si="838"/>
        <v>0</v>
      </c>
      <c r="AF419" s="13">
        <f t="shared" si="838"/>
        <v>0</v>
      </c>
      <c r="AG419" s="13">
        <f t="shared" si="838"/>
        <v>1</v>
      </c>
      <c r="AH419" s="13">
        <f t="shared" si="838"/>
        <v>0</v>
      </c>
      <c r="AI419" s="13">
        <f t="shared" si="838"/>
        <v>0</v>
      </c>
      <c r="AJ419" s="13">
        <f t="shared" si="838"/>
        <v>0</v>
      </c>
      <c r="AK419" s="13">
        <f t="shared" si="838"/>
        <v>0</v>
      </c>
      <c r="AL419" s="13">
        <f t="shared" si="838"/>
        <v>0</v>
      </c>
      <c r="AM419" s="13">
        <f t="shared" si="838"/>
        <v>0</v>
      </c>
      <c r="AN419" s="13">
        <f t="shared" si="838"/>
        <v>1</v>
      </c>
      <c r="AO419" s="13">
        <f t="shared" si="838"/>
        <v>0</v>
      </c>
      <c r="AP419" s="13">
        <f t="shared" si="838"/>
        <v>0</v>
      </c>
      <c r="AQ419" s="13"/>
      <c r="AR419" s="13" t="s">
        <v>2926</v>
      </c>
      <c r="AS419" s="13" t="s">
        <v>2927</v>
      </c>
      <c r="AT419" s="13" t="s">
        <v>162</v>
      </c>
      <c r="AU419" s="13" t="s">
        <v>1523</v>
      </c>
      <c r="AV419" s="13" t="s">
        <v>2928</v>
      </c>
      <c r="AW419" s="13">
        <v>24.0</v>
      </c>
      <c r="AX419" s="13">
        <v>3.0</v>
      </c>
      <c r="AY419" s="13">
        <v>0.0</v>
      </c>
      <c r="AZ419" s="13" t="s">
        <v>2929</v>
      </c>
      <c r="BA419" s="13" t="s">
        <v>1706</v>
      </c>
      <c r="BB419" s="13"/>
      <c r="BC419" s="13"/>
      <c r="BD419" s="13" t="s">
        <v>715</v>
      </c>
      <c r="BE419" s="13"/>
      <c r="BF419" s="13" t="s">
        <v>2930</v>
      </c>
      <c r="BG419" s="13" t="s">
        <v>50</v>
      </c>
      <c r="BH419" s="13" t="s">
        <v>79</v>
      </c>
      <c r="BI419" s="13" t="b">
        <v>0</v>
      </c>
      <c r="BJ419" s="13">
        <v>0.0</v>
      </c>
      <c r="BK419" s="13">
        <v>0.0</v>
      </c>
    </row>
    <row r="420" ht="14.25" customHeight="1">
      <c r="A420" s="13">
        <v>418.0</v>
      </c>
      <c r="B420" s="13" t="s">
        <v>50</v>
      </c>
      <c r="C420" s="13">
        <v>4.0</v>
      </c>
      <c r="D420" s="14">
        <v>0.0</v>
      </c>
      <c r="E420" s="13" t="s">
        <v>2931</v>
      </c>
      <c r="F420" s="15" t="s">
        <v>702</v>
      </c>
      <c r="G420" s="16" t="s">
        <v>2932</v>
      </c>
      <c r="H420" s="13">
        <v>21.0</v>
      </c>
      <c r="I420" s="13">
        <v>1.0</v>
      </c>
      <c r="J420" s="13" t="s">
        <v>2933</v>
      </c>
      <c r="K420" s="13">
        <f t="shared" si="3"/>
        <v>2</v>
      </c>
      <c r="L420" s="13">
        <f t="shared" si="4"/>
        <v>2</v>
      </c>
      <c r="M420" s="13">
        <f t="shared" ref="M420:AA420" si="839">IFERROR(VALUE(RIGHT(LEFT($J420,FIND(M$1,$J420,1)+LEN(M$1)),1)),0)</f>
        <v>2</v>
      </c>
      <c r="N420" s="13">
        <f t="shared" si="839"/>
        <v>0</v>
      </c>
      <c r="O420" s="13">
        <f t="shared" si="839"/>
        <v>0</v>
      </c>
      <c r="P420" s="13">
        <f t="shared" si="839"/>
        <v>0</v>
      </c>
      <c r="Q420" s="13">
        <f t="shared" si="839"/>
        <v>0</v>
      </c>
      <c r="R420" s="13">
        <f t="shared" si="839"/>
        <v>0</v>
      </c>
      <c r="S420" s="13">
        <f t="shared" si="839"/>
        <v>0</v>
      </c>
      <c r="T420" s="13">
        <f t="shared" si="839"/>
        <v>0</v>
      </c>
      <c r="U420" s="13">
        <f t="shared" si="839"/>
        <v>0</v>
      </c>
      <c r="V420" s="13">
        <f t="shared" si="839"/>
        <v>0</v>
      </c>
      <c r="W420" s="13">
        <f t="shared" si="839"/>
        <v>0</v>
      </c>
      <c r="X420" s="13">
        <f t="shared" si="839"/>
        <v>0</v>
      </c>
      <c r="Y420" s="13">
        <f t="shared" si="839"/>
        <v>0</v>
      </c>
      <c r="Z420" s="13">
        <f t="shared" si="839"/>
        <v>0</v>
      </c>
      <c r="AA420" s="13">
        <f t="shared" si="839"/>
        <v>0</v>
      </c>
      <c r="AB420" s="13">
        <f t="shared" ref="AB420:AP420" si="840">IFERROR(VALUE(RIGHT(LEFT($J420,FIND(AB$1,$J420,IF(M420=0,1,FIND(AB$1,$J420,1)+1))+LEN(AB$1)),1)),0)</f>
        <v>1</v>
      </c>
      <c r="AC420" s="13">
        <f t="shared" si="840"/>
        <v>0</v>
      </c>
      <c r="AD420" s="13">
        <f t="shared" si="840"/>
        <v>0</v>
      </c>
      <c r="AE420" s="13">
        <f t="shared" si="840"/>
        <v>0</v>
      </c>
      <c r="AF420" s="13">
        <f t="shared" si="840"/>
        <v>0</v>
      </c>
      <c r="AG420" s="13">
        <f t="shared" si="840"/>
        <v>0</v>
      </c>
      <c r="AH420" s="13">
        <f t="shared" si="840"/>
        <v>0</v>
      </c>
      <c r="AI420" s="13">
        <f t="shared" si="840"/>
        <v>0</v>
      </c>
      <c r="AJ420" s="13">
        <f t="shared" si="840"/>
        <v>0</v>
      </c>
      <c r="AK420" s="13">
        <f t="shared" si="840"/>
        <v>0</v>
      </c>
      <c r="AL420" s="13">
        <f t="shared" si="840"/>
        <v>0</v>
      </c>
      <c r="AM420" s="13">
        <f t="shared" si="840"/>
        <v>0</v>
      </c>
      <c r="AN420" s="13">
        <f t="shared" si="840"/>
        <v>1</v>
      </c>
      <c r="AO420" s="13">
        <f t="shared" si="840"/>
        <v>0</v>
      </c>
      <c r="AP420" s="13">
        <f t="shared" si="840"/>
        <v>0</v>
      </c>
      <c r="AQ420" s="13"/>
      <c r="AR420" s="13" t="s">
        <v>2934</v>
      </c>
      <c r="AS420" s="13" t="s">
        <v>2935</v>
      </c>
      <c r="AT420" s="13" t="s">
        <v>1319</v>
      </c>
      <c r="AU420" s="13" t="s">
        <v>143</v>
      </c>
      <c r="AV420" s="13" t="s">
        <v>2936</v>
      </c>
      <c r="AW420" s="13">
        <v>25.0</v>
      </c>
      <c r="AX420" s="13">
        <v>3.0</v>
      </c>
      <c r="AY420" s="13">
        <v>0.0</v>
      </c>
      <c r="AZ420" s="13" t="s">
        <v>2937</v>
      </c>
      <c r="BA420" s="13" t="s">
        <v>2938</v>
      </c>
      <c r="BB420" s="13"/>
      <c r="BC420" s="13"/>
      <c r="BD420" s="13" t="s">
        <v>230</v>
      </c>
      <c r="BE420" s="13"/>
      <c r="BF420" s="13" t="s">
        <v>1988</v>
      </c>
      <c r="BG420" s="13" t="s">
        <v>50</v>
      </c>
      <c r="BH420" s="13" t="s">
        <v>241</v>
      </c>
      <c r="BI420" s="13" t="b">
        <v>0</v>
      </c>
      <c r="BJ420" s="13">
        <v>0.0</v>
      </c>
      <c r="BK420" s="13">
        <v>0.0</v>
      </c>
    </row>
    <row r="421" ht="14.25" customHeight="1">
      <c r="A421" s="13">
        <v>419.0</v>
      </c>
      <c r="B421" s="13" t="s">
        <v>47</v>
      </c>
      <c r="C421" s="13">
        <v>5.0</v>
      </c>
      <c r="D421" s="14">
        <v>0.0</v>
      </c>
      <c r="E421" s="13" t="s">
        <v>2939</v>
      </c>
      <c r="F421" s="15" t="s">
        <v>702</v>
      </c>
      <c r="G421" s="16" t="s">
        <v>2940</v>
      </c>
      <c r="H421" s="13">
        <v>26.0</v>
      </c>
      <c r="I421" s="13">
        <v>0.9</v>
      </c>
      <c r="J421" s="13" t="s">
        <v>2941</v>
      </c>
      <c r="K421" s="13">
        <f t="shared" si="3"/>
        <v>3</v>
      </c>
      <c r="L421" s="13">
        <f t="shared" si="4"/>
        <v>2</v>
      </c>
      <c r="M421" s="13">
        <f t="shared" ref="M421:AA421" si="841">IFERROR(VALUE(RIGHT(LEFT($J421,FIND(M$1,$J421,1)+LEN(M$1)),1)),0)</f>
        <v>2</v>
      </c>
      <c r="N421" s="13">
        <f t="shared" si="841"/>
        <v>0</v>
      </c>
      <c r="O421" s="13">
        <f t="shared" si="841"/>
        <v>0</v>
      </c>
      <c r="P421" s="13">
        <f t="shared" si="841"/>
        <v>0</v>
      </c>
      <c r="Q421" s="13">
        <f t="shared" si="841"/>
        <v>0</v>
      </c>
      <c r="R421" s="13">
        <f t="shared" si="841"/>
        <v>0</v>
      </c>
      <c r="S421" s="13">
        <f t="shared" si="841"/>
        <v>0</v>
      </c>
      <c r="T421" s="13">
        <f t="shared" si="841"/>
        <v>0</v>
      </c>
      <c r="U421" s="13">
        <f t="shared" si="841"/>
        <v>0</v>
      </c>
      <c r="V421" s="13">
        <f t="shared" si="841"/>
        <v>1</v>
      </c>
      <c r="W421" s="13">
        <f t="shared" si="841"/>
        <v>0</v>
      </c>
      <c r="X421" s="13">
        <f t="shared" si="841"/>
        <v>0</v>
      </c>
      <c r="Y421" s="13">
        <f t="shared" si="841"/>
        <v>0</v>
      </c>
      <c r="Z421" s="13">
        <f t="shared" si="841"/>
        <v>0</v>
      </c>
      <c r="AA421" s="13">
        <f t="shared" si="841"/>
        <v>0</v>
      </c>
      <c r="AB421" s="13">
        <f t="shared" ref="AB421:AP421" si="842">IFERROR(VALUE(RIGHT(LEFT($J421,FIND(AB$1,$J421,IF(M421=0,1,FIND(AB$1,$J421,1)+1))+LEN(AB$1)),1)),0)</f>
        <v>0</v>
      </c>
      <c r="AC421" s="13">
        <f t="shared" si="842"/>
        <v>0</v>
      </c>
      <c r="AD421" s="13">
        <f t="shared" si="842"/>
        <v>0</v>
      </c>
      <c r="AE421" s="13">
        <f t="shared" si="842"/>
        <v>0</v>
      </c>
      <c r="AF421" s="13">
        <f t="shared" si="842"/>
        <v>0</v>
      </c>
      <c r="AG421" s="13">
        <f t="shared" si="842"/>
        <v>2</v>
      </c>
      <c r="AH421" s="13">
        <f t="shared" si="842"/>
        <v>0</v>
      </c>
      <c r="AI421" s="13">
        <f t="shared" si="842"/>
        <v>0</v>
      </c>
      <c r="AJ421" s="13">
        <f t="shared" si="842"/>
        <v>0</v>
      </c>
      <c r="AK421" s="13">
        <f t="shared" si="842"/>
        <v>0</v>
      </c>
      <c r="AL421" s="13">
        <f t="shared" si="842"/>
        <v>0</v>
      </c>
      <c r="AM421" s="13">
        <f t="shared" si="842"/>
        <v>0</v>
      </c>
      <c r="AN421" s="13">
        <f t="shared" si="842"/>
        <v>0</v>
      </c>
      <c r="AO421" s="13">
        <f t="shared" si="842"/>
        <v>0</v>
      </c>
      <c r="AP421" s="13">
        <f t="shared" si="842"/>
        <v>0</v>
      </c>
      <c r="AQ421" s="13"/>
      <c r="AR421" s="13" t="s">
        <v>2942</v>
      </c>
      <c r="AS421" s="13" t="s">
        <v>2943</v>
      </c>
      <c r="AT421" s="13" t="s">
        <v>162</v>
      </c>
      <c r="AU421" s="13" t="s">
        <v>1297</v>
      </c>
      <c r="AV421" s="13" t="s">
        <v>2944</v>
      </c>
      <c r="AW421" s="13">
        <v>32.0</v>
      </c>
      <c r="AX421" s="13">
        <v>3.0</v>
      </c>
      <c r="AY421" s="13">
        <v>0.0</v>
      </c>
      <c r="AZ421" s="13" t="s">
        <v>2945</v>
      </c>
      <c r="BA421" s="13" t="s">
        <v>2946</v>
      </c>
      <c r="BB421" s="13"/>
      <c r="BC421" s="13"/>
      <c r="BD421" s="13" t="s">
        <v>484</v>
      </c>
      <c r="BE421" s="13"/>
      <c r="BF421" s="13" t="s">
        <v>2947</v>
      </c>
      <c r="BG421" s="13" t="s">
        <v>136</v>
      </c>
      <c r="BH421" s="13" t="s">
        <v>241</v>
      </c>
      <c r="BI421" s="13" t="b">
        <v>0</v>
      </c>
      <c r="BJ421" s="13">
        <v>0.0</v>
      </c>
      <c r="BK421" s="13">
        <v>0.0</v>
      </c>
    </row>
    <row r="422" ht="14.25" customHeight="1">
      <c r="A422" s="13">
        <v>420.0</v>
      </c>
      <c r="B422" s="13" t="s">
        <v>50</v>
      </c>
      <c r="C422" s="13">
        <v>5.0</v>
      </c>
      <c r="D422" s="14">
        <v>0.0</v>
      </c>
      <c r="E422" s="13" t="s">
        <v>2948</v>
      </c>
      <c r="F422" s="15" t="s">
        <v>702</v>
      </c>
      <c r="G422" s="16" t="s">
        <v>2949</v>
      </c>
      <c r="H422" s="13">
        <v>23.0</v>
      </c>
      <c r="I422" s="13">
        <v>1.1</v>
      </c>
      <c r="J422" s="13" t="s">
        <v>2950</v>
      </c>
      <c r="K422" s="13">
        <f t="shared" si="3"/>
        <v>3</v>
      </c>
      <c r="L422" s="13">
        <f t="shared" si="4"/>
        <v>2</v>
      </c>
      <c r="M422" s="13">
        <f t="shared" ref="M422:AA422" si="843">IFERROR(VALUE(RIGHT(LEFT($J422,FIND(M$1,$J422,1)+LEN(M$1)),1)),0)</f>
        <v>0</v>
      </c>
      <c r="N422" s="13">
        <f t="shared" si="843"/>
        <v>0</v>
      </c>
      <c r="O422" s="13">
        <f t="shared" si="843"/>
        <v>0</v>
      </c>
      <c r="P422" s="13">
        <f t="shared" si="843"/>
        <v>0</v>
      </c>
      <c r="Q422" s="13">
        <f t="shared" si="843"/>
        <v>0</v>
      </c>
      <c r="R422" s="13">
        <f t="shared" si="843"/>
        <v>2</v>
      </c>
      <c r="S422" s="13">
        <f t="shared" si="843"/>
        <v>0</v>
      </c>
      <c r="T422" s="13">
        <f t="shared" si="843"/>
        <v>0</v>
      </c>
      <c r="U422" s="13">
        <f t="shared" si="843"/>
        <v>0</v>
      </c>
      <c r="V422" s="13">
        <f t="shared" si="843"/>
        <v>0</v>
      </c>
      <c r="W422" s="13">
        <f t="shared" si="843"/>
        <v>0</v>
      </c>
      <c r="X422" s="13">
        <f t="shared" si="843"/>
        <v>0</v>
      </c>
      <c r="Y422" s="13">
        <f t="shared" si="843"/>
        <v>1</v>
      </c>
      <c r="Z422" s="13">
        <f t="shared" si="843"/>
        <v>0</v>
      </c>
      <c r="AA422" s="13">
        <f t="shared" si="843"/>
        <v>0</v>
      </c>
      <c r="AB422" s="13">
        <f t="shared" ref="AB422:AP422" si="844">IFERROR(VALUE(RIGHT(LEFT($J422,FIND(AB$1,$J422,IF(M422=0,1,FIND(AB$1,$J422,1)+1))+LEN(AB$1)),1)),0)</f>
        <v>2</v>
      </c>
      <c r="AC422" s="13">
        <f t="shared" si="844"/>
        <v>0</v>
      </c>
      <c r="AD422" s="13">
        <f t="shared" si="844"/>
        <v>0</v>
      </c>
      <c r="AE422" s="13">
        <f t="shared" si="844"/>
        <v>0</v>
      </c>
      <c r="AF422" s="13">
        <f t="shared" si="844"/>
        <v>0</v>
      </c>
      <c r="AG422" s="13">
        <f t="shared" si="844"/>
        <v>0</v>
      </c>
      <c r="AH422" s="13">
        <f t="shared" si="844"/>
        <v>0</v>
      </c>
      <c r="AI422" s="13">
        <f t="shared" si="844"/>
        <v>0</v>
      </c>
      <c r="AJ422" s="13">
        <f t="shared" si="844"/>
        <v>0</v>
      </c>
      <c r="AK422" s="13">
        <f t="shared" si="844"/>
        <v>0</v>
      </c>
      <c r="AL422" s="13">
        <f t="shared" si="844"/>
        <v>0</v>
      </c>
      <c r="AM422" s="13">
        <f t="shared" si="844"/>
        <v>0</v>
      </c>
      <c r="AN422" s="13">
        <f t="shared" si="844"/>
        <v>0</v>
      </c>
      <c r="AO422" s="13">
        <f t="shared" si="844"/>
        <v>0</v>
      </c>
      <c r="AP422" s="13">
        <f t="shared" si="844"/>
        <v>0</v>
      </c>
      <c r="AQ422" s="13"/>
      <c r="AR422" s="13" t="s">
        <v>2951</v>
      </c>
      <c r="AS422" s="13" t="s">
        <v>2952</v>
      </c>
      <c r="AT422" s="13" t="s">
        <v>872</v>
      </c>
      <c r="AU422" s="13" t="s">
        <v>1398</v>
      </c>
      <c r="AV422" s="13" t="s">
        <v>2953</v>
      </c>
      <c r="AW422" s="13">
        <v>28.0</v>
      </c>
      <c r="AX422" s="13">
        <v>3.0</v>
      </c>
      <c r="AY422" s="13">
        <v>0.0</v>
      </c>
      <c r="AZ422" s="13" t="s">
        <v>2954</v>
      </c>
      <c r="BA422" s="13" t="s">
        <v>2955</v>
      </c>
      <c r="BB422" s="13"/>
      <c r="BC422" s="13"/>
      <c r="BD422" s="13" t="s">
        <v>715</v>
      </c>
      <c r="BE422" s="13"/>
      <c r="BF422" s="13" t="s">
        <v>2956</v>
      </c>
      <c r="BG422" s="13" t="s">
        <v>50</v>
      </c>
      <c r="BH422" s="13" t="s">
        <v>241</v>
      </c>
      <c r="BI422" s="13" t="b">
        <v>0</v>
      </c>
      <c r="BJ422" s="13">
        <v>0.0</v>
      </c>
      <c r="BK422" s="13">
        <v>0.0</v>
      </c>
    </row>
    <row r="423" ht="14.25" customHeight="1">
      <c r="A423" s="13">
        <v>421.0</v>
      </c>
      <c r="B423" s="13" t="s">
        <v>44</v>
      </c>
      <c r="C423" s="13">
        <v>0.0</v>
      </c>
      <c r="D423" s="14">
        <v>0.0</v>
      </c>
      <c r="E423" s="13" t="s">
        <v>2957</v>
      </c>
      <c r="F423" s="15" t="s">
        <v>2958</v>
      </c>
      <c r="G423" s="16" t="s">
        <v>2959</v>
      </c>
      <c r="H423" s="13"/>
      <c r="I423" s="13">
        <v>0.8</v>
      </c>
      <c r="J423" s="13" t="s">
        <v>2185</v>
      </c>
      <c r="K423" s="13">
        <f t="shared" si="3"/>
        <v>0</v>
      </c>
      <c r="L423" s="13">
        <f t="shared" si="4"/>
        <v>1</v>
      </c>
      <c r="M423" s="13">
        <f t="shared" ref="M423:AA423" si="845">IFERROR(VALUE(RIGHT(LEFT($J423,FIND(M$1,$J423,1)+LEN(M$1)),1)),0)</f>
        <v>0</v>
      </c>
      <c r="N423" s="13">
        <f t="shared" si="845"/>
        <v>0</v>
      </c>
      <c r="O423" s="13">
        <f t="shared" si="845"/>
        <v>0</v>
      </c>
      <c r="P423" s="13">
        <f t="shared" si="845"/>
        <v>0</v>
      </c>
      <c r="Q423" s="13">
        <f t="shared" si="845"/>
        <v>0</v>
      </c>
      <c r="R423" s="13">
        <f t="shared" si="845"/>
        <v>0</v>
      </c>
      <c r="S423" s="13">
        <f t="shared" si="845"/>
        <v>0</v>
      </c>
      <c r="T423" s="13">
        <f t="shared" si="845"/>
        <v>0</v>
      </c>
      <c r="U423" s="13">
        <f t="shared" si="845"/>
        <v>0</v>
      </c>
      <c r="V423" s="13">
        <f t="shared" si="845"/>
        <v>0</v>
      </c>
      <c r="W423" s="13">
        <f t="shared" si="845"/>
        <v>0</v>
      </c>
      <c r="X423" s="13">
        <f t="shared" si="845"/>
        <v>0</v>
      </c>
      <c r="Y423" s="13">
        <f t="shared" si="845"/>
        <v>0</v>
      </c>
      <c r="Z423" s="13">
        <f t="shared" si="845"/>
        <v>0</v>
      </c>
      <c r="AA423" s="13">
        <f t="shared" si="845"/>
        <v>0</v>
      </c>
      <c r="AB423" s="13">
        <f t="shared" ref="AB423:AP423" si="846">IFERROR(VALUE(RIGHT(LEFT($J423,FIND(AB$1,$J423,IF(M423=0,1,FIND(AB$1,$J423,1)+1))+LEN(AB$1)),1)),0)</f>
        <v>0</v>
      </c>
      <c r="AC423" s="13">
        <f t="shared" si="846"/>
        <v>0</v>
      </c>
      <c r="AD423" s="13">
        <f t="shared" si="846"/>
        <v>0</v>
      </c>
      <c r="AE423" s="13">
        <f t="shared" si="846"/>
        <v>0</v>
      </c>
      <c r="AF423" s="13">
        <f t="shared" si="846"/>
        <v>0</v>
      </c>
      <c r="AG423" s="13">
        <f t="shared" si="846"/>
        <v>0</v>
      </c>
      <c r="AH423" s="13">
        <f t="shared" si="846"/>
        <v>1</v>
      </c>
      <c r="AI423" s="13">
        <f t="shared" si="846"/>
        <v>0</v>
      </c>
      <c r="AJ423" s="13">
        <f t="shared" si="846"/>
        <v>0</v>
      </c>
      <c r="AK423" s="13">
        <f t="shared" si="846"/>
        <v>0</v>
      </c>
      <c r="AL423" s="13">
        <f t="shared" si="846"/>
        <v>0</v>
      </c>
      <c r="AM423" s="13">
        <f t="shared" si="846"/>
        <v>0</v>
      </c>
      <c r="AN423" s="13">
        <f t="shared" si="846"/>
        <v>0</v>
      </c>
      <c r="AO423" s="13">
        <f t="shared" si="846"/>
        <v>0</v>
      </c>
      <c r="AP423" s="13">
        <f t="shared" si="846"/>
        <v>0</v>
      </c>
      <c r="AQ423" s="13" t="s">
        <v>2960</v>
      </c>
      <c r="AR423" s="13"/>
      <c r="AS423" s="13" t="s">
        <v>91</v>
      </c>
      <c r="AT423" s="13"/>
      <c r="AU423" s="13"/>
      <c r="AV423" s="13"/>
      <c r="AW423" s="13">
        <v>0.0</v>
      </c>
      <c r="AX423" s="13">
        <v>4.0</v>
      </c>
      <c r="AY423" s="13">
        <v>0.0</v>
      </c>
      <c r="AZ423" s="13"/>
      <c r="BA423" s="13"/>
      <c r="BB423" s="13"/>
      <c r="BC423" s="13"/>
      <c r="BD423" s="13"/>
      <c r="BE423" s="13"/>
      <c r="BF423" s="13"/>
      <c r="BG423" s="13"/>
      <c r="BH423" s="13" t="s">
        <v>79</v>
      </c>
      <c r="BI423" s="13" t="b">
        <v>0</v>
      </c>
      <c r="BJ423" s="13">
        <v>0.0</v>
      </c>
      <c r="BK423" s="13">
        <v>0.0</v>
      </c>
    </row>
    <row r="424" ht="14.25" customHeight="1">
      <c r="A424" s="13">
        <v>422.0</v>
      </c>
      <c r="B424" s="13" t="s">
        <v>45</v>
      </c>
      <c r="C424" s="13">
        <v>0.0</v>
      </c>
      <c r="D424" s="14">
        <v>0.0</v>
      </c>
      <c r="E424" s="13" t="s">
        <v>2961</v>
      </c>
      <c r="F424" s="15" t="s">
        <v>2958</v>
      </c>
      <c r="G424" s="16" t="s">
        <v>2962</v>
      </c>
      <c r="H424" s="13"/>
      <c r="I424" s="13">
        <v>0.8</v>
      </c>
      <c r="J424" s="13" t="s">
        <v>245</v>
      </c>
      <c r="K424" s="13">
        <f t="shared" si="3"/>
        <v>0</v>
      </c>
      <c r="L424" s="13">
        <f t="shared" si="4"/>
        <v>1</v>
      </c>
      <c r="M424" s="13">
        <f t="shared" ref="M424:AA424" si="847">IFERROR(VALUE(RIGHT(LEFT($J424,FIND(M$1,$J424,1)+LEN(M$1)),1)),0)</f>
        <v>0</v>
      </c>
      <c r="N424" s="13">
        <f t="shared" si="847"/>
        <v>0</v>
      </c>
      <c r="O424" s="13">
        <f t="shared" si="847"/>
        <v>0</v>
      </c>
      <c r="P424" s="13">
        <f t="shared" si="847"/>
        <v>0</v>
      </c>
      <c r="Q424" s="13">
        <f t="shared" si="847"/>
        <v>0</v>
      </c>
      <c r="R424" s="13">
        <f t="shared" si="847"/>
        <v>0</v>
      </c>
      <c r="S424" s="13">
        <f t="shared" si="847"/>
        <v>0</v>
      </c>
      <c r="T424" s="13">
        <f t="shared" si="847"/>
        <v>0</v>
      </c>
      <c r="U424" s="13">
        <f t="shared" si="847"/>
        <v>0</v>
      </c>
      <c r="V424" s="13">
        <f t="shared" si="847"/>
        <v>0</v>
      </c>
      <c r="W424" s="13">
        <f t="shared" si="847"/>
        <v>0</v>
      </c>
      <c r="X424" s="13">
        <f t="shared" si="847"/>
        <v>0</v>
      </c>
      <c r="Y424" s="13">
        <f t="shared" si="847"/>
        <v>0</v>
      </c>
      <c r="Z424" s="13">
        <f t="shared" si="847"/>
        <v>0</v>
      </c>
      <c r="AA424" s="13">
        <f t="shared" si="847"/>
        <v>0</v>
      </c>
      <c r="AB424" s="13">
        <f t="shared" ref="AB424:AP424" si="848">IFERROR(VALUE(RIGHT(LEFT($J424,FIND(AB$1,$J424,IF(M424=0,1,FIND(AB$1,$J424,1)+1))+LEN(AB$1)),1)),0)</f>
        <v>0</v>
      </c>
      <c r="AC424" s="13">
        <f t="shared" si="848"/>
        <v>0</v>
      </c>
      <c r="AD424" s="13">
        <f t="shared" si="848"/>
        <v>0</v>
      </c>
      <c r="AE424" s="13">
        <f t="shared" si="848"/>
        <v>0</v>
      </c>
      <c r="AF424" s="13">
        <f t="shared" si="848"/>
        <v>1</v>
      </c>
      <c r="AG424" s="13">
        <f t="shared" si="848"/>
        <v>0</v>
      </c>
      <c r="AH424" s="13">
        <f t="shared" si="848"/>
        <v>0</v>
      </c>
      <c r="AI424" s="13">
        <f t="shared" si="848"/>
        <v>0</v>
      </c>
      <c r="AJ424" s="13">
        <f t="shared" si="848"/>
        <v>0</v>
      </c>
      <c r="AK424" s="13">
        <f t="shared" si="848"/>
        <v>0</v>
      </c>
      <c r="AL424" s="13">
        <f t="shared" si="848"/>
        <v>0</v>
      </c>
      <c r="AM424" s="13">
        <f t="shared" si="848"/>
        <v>0</v>
      </c>
      <c r="AN424" s="13">
        <f t="shared" si="848"/>
        <v>0</v>
      </c>
      <c r="AO424" s="13">
        <f t="shared" si="848"/>
        <v>0</v>
      </c>
      <c r="AP424" s="13">
        <f t="shared" si="848"/>
        <v>0</v>
      </c>
      <c r="AQ424" s="13" t="s">
        <v>2963</v>
      </c>
      <c r="AR424" s="13"/>
      <c r="AS424" s="13" t="s">
        <v>102</v>
      </c>
      <c r="AT424" s="13"/>
      <c r="AU424" s="13"/>
      <c r="AV424" s="13"/>
      <c r="AW424" s="13">
        <v>0.0</v>
      </c>
      <c r="AX424" s="13">
        <v>4.0</v>
      </c>
      <c r="AY424" s="13">
        <v>0.0</v>
      </c>
      <c r="AZ424" s="13"/>
      <c r="BA424" s="13"/>
      <c r="BB424" s="13"/>
      <c r="BC424" s="13"/>
      <c r="BD424" s="13"/>
      <c r="BE424" s="13"/>
      <c r="BF424" s="13"/>
      <c r="BG424" s="13"/>
      <c r="BH424" s="13" t="s">
        <v>79</v>
      </c>
      <c r="BI424" s="13" t="b">
        <v>0</v>
      </c>
      <c r="BJ424" s="13">
        <v>0.0</v>
      </c>
      <c r="BK424" s="13">
        <v>0.0</v>
      </c>
    </row>
    <row r="425" ht="14.25" customHeight="1">
      <c r="A425" s="13">
        <v>423.0</v>
      </c>
      <c r="B425" s="13" t="s">
        <v>46</v>
      </c>
      <c r="C425" s="13">
        <v>0.0</v>
      </c>
      <c r="D425" s="14">
        <v>0.0</v>
      </c>
      <c r="E425" s="13" t="s">
        <v>2964</v>
      </c>
      <c r="F425" s="15" t="s">
        <v>2958</v>
      </c>
      <c r="G425" s="16" t="s">
        <v>2965</v>
      </c>
      <c r="H425" s="13"/>
      <c r="I425" s="13">
        <v>0.9</v>
      </c>
      <c r="J425" s="13" t="s">
        <v>111</v>
      </c>
      <c r="K425" s="13">
        <f t="shared" si="3"/>
        <v>0</v>
      </c>
      <c r="L425" s="13">
        <f t="shared" si="4"/>
        <v>1</v>
      </c>
      <c r="M425" s="13">
        <f t="shared" ref="M425:AA425" si="849">IFERROR(VALUE(RIGHT(LEFT($J425,FIND(M$1,$J425,1)+LEN(M$1)),1)),0)</f>
        <v>0</v>
      </c>
      <c r="N425" s="13">
        <f t="shared" si="849"/>
        <v>0</v>
      </c>
      <c r="O425" s="13">
        <f t="shared" si="849"/>
        <v>0</v>
      </c>
      <c r="P425" s="13">
        <f t="shared" si="849"/>
        <v>0</v>
      </c>
      <c r="Q425" s="13">
        <f t="shared" si="849"/>
        <v>0</v>
      </c>
      <c r="R425" s="13">
        <f t="shared" si="849"/>
        <v>0</v>
      </c>
      <c r="S425" s="13">
        <f t="shared" si="849"/>
        <v>0</v>
      </c>
      <c r="T425" s="13">
        <f t="shared" si="849"/>
        <v>0</v>
      </c>
      <c r="U425" s="13">
        <f t="shared" si="849"/>
        <v>0</v>
      </c>
      <c r="V425" s="13">
        <f t="shared" si="849"/>
        <v>0</v>
      </c>
      <c r="W425" s="13">
        <f t="shared" si="849"/>
        <v>0</v>
      </c>
      <c r="X425" s="13">
        <f t="shared" si="849"/>
        <v>0</v>
      </c>
      <c r="Y425" s="13">
        <f t="shared" si="849"/>
        <v>0</v>
      </c>
      <c r="Z425" s="13">
        <f t="shared" si="849"/>
        <v>0</v>
      </c>
      <c r="AA425" s="13">
        <f t="shared" si="849"/>
        <v>0</v>
      </c>
      <c r="AB425" s="13">
        <f t="shared" ref="AB425:AP425" si="850">IFERROR(VALUE(RIGHT(LEFT($J425,FIND(AB$1,$J425,IF(M425=0,1,FIND(AB$1,$J425,1)+1))+LEN(AB$1)),1)),0)</f>
        <v>0</v>
      </c>
      <c r="AC425" s="13">
        <f t="shared" si="850"/>
        <v>0</v>
      </c>
      <c r="AD425" s="13">
        <f t="shared" si="850"/>
        <v>0</v>
      </c>
      <c r="AE425" s="13">
        <f t="shared" si="850"/>
        <v>0</v>
      </c>
      <c r="AF425" s="13">
        <f t="shared" si="850"/>
        <v>0</v>
      </c>
      <c r="AG425" s="13">
        <f t="shared" si="850"/>
        <v>0</v>
      </c>
      <c r="AH425" s="13">
        <f t="shared" si="850"/>
        <v>0</v>
      </c>
      <c r="AI425" s="13">
        <f t="shared" si="850"/>
        <v>0</v>
      </c>
      <c r="AJ425" s="13">
        <f t="shared" si="850"/>
        <v>1</v>
      </c>
      <c r="AK425" s="13">
        <f t="shared" si="850"/>
        <v>0</v>
      </c>
      <c r="AL425" s="13">
        <f t="shared" si="850"/>
        <v>0</v>
      </c>
      <c r="AM425" s="13">
        <f t="shared" si="850"/>
        <v>0</v>
      </c>
      <c r="AN425" s="13">
        <f t="shared" si="850"/>
        <v>0</v>
      </c>
      <c r="AO425" s="13">
        <f t="shared" si="850"/>
        <v>0</v>
      </c>
      <c r="AP425" s="13">
        <f t="shared" si="850"/>
        <v>0</v>
      </c>
      <c r="AQ425" s="13" t="s">
        <v>2966</v>
      </c>
      <c r="AR425" s="13"/>
      <c r="AS425" s="13" t="s">
        <v>2967</v>
      </c>
      <c r="AT425" s="13"/>
      <c r="AU425" s="13"/>
      <c r="AV425" s="13"/>
      <c r="AW425" s="13">
        <v>0.0</v>
      </c>
      <c r="AX425" s="13">
        <v>4.0</v>
      </c>
      <c r="AY425" s="13">
        <v>0.0</v>
      </c>
      <c r="AZ425" s="13"/>
      <c r="BA425" s="13"/>
      <c r="BB425" s="13"/>
      <c r="BC425" s="13"/>
      <c r="BD425" s="13"/>
      <c r="BE425" s="13"/>
      <c r="BF425" s="13"/>
      <c r="BG425" s="13"/>
      <c r="BH425" s="13" t="s">
        <v>79</v>
      </c>
      <c r="BI425" s="13" t="b">
        <v>0</v>
      </c>
      <c r="BJ425" s="13">
        <v>0.0</v>
      </c>
      <c r="BK425" s="13">
        <v>0.0</v>
      </c>
    </row>
    <row r="426" ht="14.25" customHeight="1">
      <c r="A426" s="13">
        <v>424.0</v>
      </c>
      <c r="B426" s="13" t="s">
        <v>50</v>
      </c>
      <c r="C426" s="13">
        <v>0.0</v>
      </c>
      <c r="D426" s="14">
        <v>0.0</v>
      </c>
      <c r="E426" s="13" t="s">
        <v>2968</v>
      </c>
      <c r="F426" s="15" t="s">
        <v>2958</v>
      </c>
      <c r="G426" s="16" t="s">
        <v>2969</v>
      </c>
      <c r="H426" s="13">
        <v>10.0</v>
      </c>
      <c r="I426" s="13">
        <v>0.9</v>
      </c>
      <c r="J426" s="13" t="s">
        <v>225</v>
      </c>
      <c r="K426" s="13">
        <f t="shared" si="3"/>
        <v>0</v>
      </c>
      <c r="L426" s="13">
        <f t="shared" si="4"/>
        <v>1</v>
      </c>
      <c r="M426" s="13">
        <f t="shared" ref="M426:AA426" si="851">IFERROR(VALUE(RIGHT(LEFT($J426,FIND(M$1,$J426,1)+LEN(M$1)),1)),0)</f>
        <v>0</v>
      </c>
      <c r="N426" s="13">
        <f t="shared" si="851"/>
        <v>0</v>
      </c>
      <c r="O426" s="13">
        <f t="shared" si="851"/>
        <v>0</v>
      </c>
      <c r="P426" s="13">
        <f t="shared" si="851"/>
        <v>0</v>
      </c>
      <c r="Q426" s="13">
        <f t="shared" si="851"/>
        <v>0</v>
      </c>
      <c r="R426" s="13">
        <f t="shared" si="851"/>
        <v>0</v>
      </c>
      <c r="S426" s="13">
        <f t="shared" si="851"/>
        <v>0</v>
      </c>
      <c r="T426" s="13">
        <f t="shared" si="851"/>
        <v>0</v>
      </c>
      <c r="U426" s="13">
        <f t="shared" si="851"/>
        <v>0</v>
      </c>
      <c r="V426" s="13">
        <f t="shared" si="851"/>
        <v>0</v>
      </c>
      <c r="W426" s="13">
        <f t="shared" si="851"/>
        <v>0</v>
      </c>
      <c r="X426" s="13">
        <f t="shared" si="851"/>
        <v>0</v>
      </c>
      <c r="Y426" s="13">
        <f t="shared" si="851"/>
        <v>0</v>
      </c>
      <c r="Z426" s="13">
        <f t="shared" si="851"/>
        <v>0</v>
      </c>
      <c r="AA426" s="13">
        <f t="shared" si="851"/>
        <v>0</v>
      </c>
      <c r="AB426" s="13">
        <f t="shared" ref="AB426:AP426" si="852">IFERROR(VALUE(RIGHT(LEFT($J426,FIND(AB$1,$J426,IF(M426=0,1,FIND(AB$1,$J426,1)+1))+LEN(AB$1)),1)),0)</f>
        <v>0</v>
      </c>
      <c r="AC426" s="13">
        <f t="shared" si="852"/>
        <v>0</v>
      </c>
      <c r="AD426" s="13">
        <f t="shared" si="852"/>
        <v>0</v>
      </c>
      <c r="AE426" s="13">
        <f t="shared" si="852"/>
        <v>0</v>
      </c>
      <c r="AF426" s="13">
        <f t="shared" si="852"/>
        <v>0</v>
      </c>
      <c r="AG426" s="13">
        <f t="shared" si="852"/>
        <v>0</v>
      </c>
      <c r="AH426" s="13">
        <f t="shared" si="852"/>
        <v>0</v>
      </c>
      <c r="AI426" s="13">
        <f t="shared" si="852"/>
        <v>0</v>
      </c>
      <c r="AJ426" s="13">
        <f t="shared" si="852"/>
        <v>0</v>
      </c>
      <c r="AK426" s="13">
        <f t="shared" si="852"/>
        <v>0</v>
      </c>
      <c r="AL426" s="13">
        <f t="shared" si="852"/>
        <v>0</v>
      </c>
      <c r="AM426" s="13">
        <f t="shared" si="852"/>
        <v>0</v>
      </c>
      <c r="AN426" s="13">
        <f t="shared" si="852"/>
        <v>1</v>
      </c>
      <c r="AO426" s="13">
        <f t="shared" si="852"/>
        <v>0</v>
      </c>
      <c r="AP426" s="13">
        <f t="shared" si="852"/>
        <v>0</v>
      </c>
      <c r="AQ426" s="13"/>
      <c r="AR426" s="13" t="s">
        <v>2970</v>
      </c>
      <c r="AS426" s="13" t="s">
        <v>235</v>
      </c>
      <c r="AT426" s="13" t="s">
        <v>162</v>
      </c>
      <c r="AU426" s="13" t="s">
        <v>195</v>
      </c>
      <c r="AV426" s="13" t="s">
        <v>2971</v>
      </c>
      <c r="AW426" s="13">
        <v>3.0</v>
      </c>
      <c r="AX426" s="13">
        <v>4.0</v>
      </c>
      <c r="AY426" s="13">
        <v>0.0</v>
      </c>
      <c r="AZ426" s="13" t="s">
        <v>707</v>
      </c>
      <c r="BA426" s="13" t="s">
        <v>2972</v>
      </c>
      <c r="BB426" s="13"/>
      <c r="BC426" s="13"/>
      <c r="BD426" s="13" t="s">
        <v>230</v>
      </c>
      <c r="BE426" s="13"/>
      <c r="BF426" s="13" t="s">
        <v>2973</v>
      </c>
      <c r="BG426" s="13" t="s">
        <v>50</v>
      </c>
      <c r="BH426" s="13" t="s">
        <v>241</v>
      </c>
      <c r="BI426" s="13" t="b">
        <v>0</v>
      </c>
      <c r="BJ426" s="13">
        <v>0.0</v>
      </c>
      <c r="BK426" s="13">
        <v>0.0</v>
      </c>
    </row>
    <row r="427" ht="14.25" customHeight="1">
      <c r="A427" s="13">
        <v>425.0</v>
      </c>
      <c r="B427" s="13" t="s">
        <v>50</v>
      </c>
      <c r="C427" s="13">
        <v>0.0</v>
      </c>
      <c r="D427" s="14">
        <v>0.0</v>
      </c>
      <c r="E427" s="13" t="s">
        <v>2974</v>
      </c>
      <c r="F427" s="15" t="s">
        <v>2958</v>
      </c>
      <c r="G427" s="16" t="s">
        <v>2975</v>
      </c>
      <c r="H427" s="13">
        <v>12.0</v>
      </c>
      <c r="I427" s="13">
        <v>0.9</v>
      </c>
      <c r="J427" s="13" t="s">
        <v>225</v>
      </c>
      <c r="K427" s="13">
        <f t="shared" si="3"/>
        <v>0</v>
      </c>
      <c r="L427" s="13">
        <f t="shared" si="4"/>
        <v>1</v>
      </c>
      <c r="M427" s="13">
        <f t="shared" ref="M427:AA427" si="853">IFERROR(VALUE(RIGHT(LEFT($J427,FIND(M$1,$J427,1)+LEN(M$1)),1)),0)</f>
        <v>0</v>
      </c>
      <c r="N427" s="13">
        <f t="shared" si="853"/>
        <v>0</v>
      </c>
      <c r="O427" s="13">
        <f t="shared" si="853"/>
        <v>0</v>
      </c>
      <c r="P427" s="13">
        <f t="shared" si="853"/>
        <v>0</v>
      </c>
      <c r="Q427" s="13">
        <f t="shared" si="853"/>
        <v>0</v>
      </c>
      <c r="R427" s="13">
        <f t="shared" si="853"/>
        <v>0</v>
      </c>
      <c r="S427" s="13">
        <f t="shared" si="853"/>
        <v>0</v>
      </c>
      <c r="T427" s="13">
        <f t="shared" si="853"/>
        <v>0</v>
      </c>
      <c r="U427" s="13">
        <f t="shared" si="853"/>
        <v>0</v>
      </c>
      <c r="V427" s="13">
        <f t="shared" si="853"/>
        <v>0</v>
      </c>
      <c r="W427" s="13">
        <f t="shared" si="853"/>
        <v>0</v>
      </c>
      <c r="X427" s="13">
        <f t="shared" si="853"/>
        <v>0</v>
      </c>
      <c r="Y427" s="13">
        <f t="shared" si="853"/>
        <v>0</v>
      </c>
      <c r="Z427" s="13">
        <f t="shared" si="853"/>
        <v>0</v>
      </c>
      <c r="AA427" s="13">
        <f t="shared" si="853"/>
        <v>0</v>
      </c>
      <c r="AB427" s="13">
        <f t="shared" ref="AB427:AP427" si="854">IFERROR(VALUE(RIGHT(LEFT($J427,FIND(AB$1,$J427,IF(M427=0,1,FIND(AB$1,$J427,1)+1))+LEN(AB$1)),1)),0)</f>
        <v>0</v>
      </c>
      <c r="AC427" s="13">
        <f t="shared" si="854"/>
        <v>0</v>
      </c>
      <c r="AD427" s="13">
        <f t="shared" si="854"/>
        <v>0</v>
      </c>
      <c r="AE427" s="13">
        <f t="shared" si="854"/>
        <v>0</v>
      </c>
      <c r="AF427" s="13">
        <f t="shared" si="854"/>
        <v>0</v>
      </c>
      <c r="AG427" s="13">
        <f t="shared" si="854"/>
        <v>0</v>
      </c>
      <c r="AH427" s="13">
        <f t="shared" si="854"/>
        <v>0</v>
      </c>
      <c r="AI427" s="13">
        <f t="shared" si="854"/>
        <v>0</v>
      </c>
      <c r="AJ427" s="13">
        <f t="shared" si="854"/>
        <v>0</v>
      </c>
      <c r="AK427" s="13">
        <f t="shared" si="854"/>
        <v>0</v>
      </c>
      <c r="AL427" s="13">
        <f t="shared" si="854"/>
        <v>0</v>
      </c>
      <c r="AM427" s="13">
        <f t="shared" si="854"/>
        <v>0</v>
      </c>
      <c r="AN427" s="13">
        <f t="shared" si="854"/>
        <v>1</v>
      </c>
      <c r="AO427" s="13">
        <f t="shared" si="854"/>
        <v>0</v>
      </c>
      <c r="AP427" s="13">
        <f t="shared" si="854"/>
        <v>0</v>
      </c>
      <c r="AQ427" s="13"/>
      <c r="AR427" s="13" t="s">
        <v>2976</v>
      </c>
      <c r="AS427" s="13" t="s">
        <v>247</v>
      </c>
      <c r="AT427" s="13" t="s">
        <v>162</v>
      </c>
      <c r="AU427" s="13" t="s">
        <v>248</v>
      </c>
      <c r="AV427" s="13" t="s">
        <v>721</v>
      </c>
      <c r="AW427" s="13">
        <v>4.0</v>
      </c>
      <c r="AX427" s="13">
        <v>4.0</v>
      </c>
      <c r="AY427" s="13">
        <v>0.0</v>
      </c>
      <c r="AZ427" s="13" t="s">
        <v>2203</v>
      </c>
      <c r="BA427" s="13" t="s">
        <v>2977</v>
      </c>
      <c r="BB427" s="13"/>
      <c r="BC427" s="13"/>
      <c r="BD427" s="13" t="s">
        <v>239</v>
      </c>
      <c r="BE427" s="13"/>
      <c r="BF427" s="13" t="s">
        <v>656</v>
      </c>
      <c r="BG427" s="13" t="s">
        <v>50</v>
      </c>
      <c r="BH427" s="13" t="s">
        <v>79</v>
      </c>
      <c r="BI427" s="13" t="b">
        <v>0</v>
      </c>
      <c r="BJ427" s="13">
        <v>0.0</v>
      </c>
      <c r="BK427" s="13">
        <v>0.0</v>
      </c>
    </row>
    <row r="428" ht="14.25" customHeight="1">
      <c r="A428" s="13">
        <v>426.0</v>
      </c>
      <c r="B428" s="13" t="s">
        <v>50</v>
      </c>
      <c r="C428" s="13">
        <v>0.0</v>
      </c>
      <c r="D428" s="14">
        <v>0.0</v>
      </c>
      <c r="E428" s="13" t="s">
        <v>2978</v>
      </c>
      <c r="F428" s="15" t="s">
        <v>2958</v>
      </c>
      <c r="G428" s="16" t="s">
        <v>2979</v>
      </c>
      <c r="H428" s="13">
        <v>11.0</v>
      </c>
      <c r="I428" s="13">
        <v>0.8</v>
      </c>
      <c r="J428" s="13" t="s">
        <v>225</v>
      </c>
      <c r="K428" s="13">
        <f t="shared" si="3"/>
        <v>0</v>
      </c>
      <c r="L428" s="13">
        <f t="shared" si="4"/>
        <v>1</v>
      </c>
      <c r="M428" s="13">
        <f t="shared" ref="M428:AA428" si="855">IFERROR(VALUE(RIGHT(LEFT($J428,FIND(M$1,$J428,1)+LEN(M$1)),1)),0)</f>
        <v>0</v>
      </c>
      <c r="N428" s="13">
        <f t="shared" si="855"/>
        <v>0</v>
      </c>
      <c r="O428" s="13">
        <f t="shared" si="855"/>
        <v>0</v>
      </c>
      <c r="P428" s="13">
        <f t="shared" si="855"/>
        <v>0</v>
      </c>
      <c r="Q428" s="13">
        <f t="shared" si="855"/>
        <v>0</v>
      </c>
      <c r="R428" s="13">
        <f t="shared" si="855"/>
        <v>0</v>
      </c>
      <c r="S428" s="13">
        <f t="shared" si="855"/>
        <v>0</v>
      </c>
      <c r="T428" s="13">
        <f t="shared" si="855"/>
        <v>0</v>
      </c>
      <c r="U428" s="13">
        <f t="shared" si="855"/>
        <v>0</v>
      </c>
      <c r="V428" s="13">
        <f t="shared" si="855"/>
        <v>0</v>
      </c>
      <c r="W428" s="13">
        <f t="shared" si="855"/>
        <v>0</v>
      </c>
      <c r="X428" s="13">
        <f t="shared" si="855"/>
        <v>0</v>
      </c>
      <c r="Y428" s="13">
        <f t="shared" si="855"/>
        <v>0</v>
      </c>
      <c r="Z428" s="13">
        <f t="shared" si="855"/>
        <v>0</v>
      </c>
      <c r="AA428" s="13">
        <f t="shared" si="855"/>
        <v>0</v>
      </c>
      <c r="AB428" s="13">
        <f t="shared" ref="AB428:AP428" si="856">IFERROR(VALUE(RIGHT(LEFT($J428,FIND(AB$1,$J428,IF(M428=0,1,FIND(AB$1,$J428,1)+1))+LEN(AB$1)),1)),0)</f>
        <v>0</v>
      </c>
      <c r="AC428" s="13">
        <f t="shared" si="856"/>
        <v>0</v>
      </c>
      <c r="AD428" s="13">
        <f t="shared" si="856"/>
        <v>0</v>
      </c>
      <c r="AE428" s="13">
        <f t="shared" si="856"/>
        <v>0</v>
      </c>
      <c r="AF428" s="13">
        <f t="shared" si="856"/>
        <v>0</v>
      </c>
      <c r="AG428" s="13">
        <f t="shared" si="856"/>
        <v>0</v>
      </c>
      <c r="AH428" s="13">
        <f t="shared" si="856"/>
        <v>0</v>
      </c>
      <c r="AI428" s="13">
        <f t="shared" si="856"/>
        <v>0</v>
      </c>
      <c r="AJ428" s="13">
        <f t="shared" si="856"/>
        <v>0</v>
      </c>
      <c r="AK428" s="13">
        <f t="shared" si="856"/>
        <v>0</v>
      </c>
      <c r="AL428" s="13">
        <f t="shared" si="856"/>
        <v>0</v>
      </c>
      <c r="AM428" s="13">
        <f t="shared" si="856"/>
        <v>0</v>
      </c>
      <c r="AN428" s="13">
        <f t="shared" si="856"/>
        <v>1</v>
      </c>
      <c r="AO428" s="13">
        <f t="shared" si="856"/>
        <v>0</v>
      </c>
      <c r="AP428" s="13">
        <f t="shared" si="856"/>
        <v>0</v>
      </c>
      <c r="AQ428" s="13"/>
      <c r="AR428" s="13" t="s">
        <v>226</v>
      </c>
      <c r="AS428" s="13" t="s">
        <v>2980</v>
      </c>
      <c r="AT428" s="13" t="s">
        <v>573</v>
      </c>
      <c r="AU428" s="13" t="s">
        <v>130</v>
      </c>
      <c r="AV428" s="13" t="s">
        <v>2981</v>
      </c>
      <c r="AW428" s="13">
        <v>2.0</v>
      </c>
      <c r="AX428" s="13">
        <v>4.0</v>
      </c>
      <c r="AY428" s="13">
        <v>0.0</v>
      </c>
      <c r="AZ428" s="13" t="s">
        <v>154</v>
      </c>
      <c r="BA428" s="13" t="s">
        <v>520</v>
      </c>
      <c r="BB428" s="13"/>
      <c r="BC428" s="13"/>
      <c r="BD428" s="13" t="s">
        <v>230</v>
      </c>
      <c r="BE428" s="13"/>
      <c r="BF428" s="13" t="s">
        <v>240</v>
      </c>
      <c r="BG428" s="13" t="s">
        <v>50</v>
      </c>
      <c r="BH428" s="13" t="s">
        <v>79</v>
      </c>
      <c r="BI428" s="13" t="b">
        <v>0</v>
      </c>
      <c r="BJ428" s="13">
        <v>0.0</v>
      </c>
      <c r="BK428" s="13">
        <v>0.0</v>
      </c>
    </row>
    <row r="429" ht="14.25" customHeight="1">
      <c r="A429" s="13">
        <v>427.0</v>
      </c>
      <c r="B429" s="13" t="s">
        <v>49</v>
      </c>
      <c r="C429" s="13">
        <v>0.0</v>
      </c>
      <c r="D429" s="14">
        <v>0.0</v>
      </c>
      <c r="E429" s="13" t="s">
        <v>2982</v>
      </c>
      <c r="F429" s="15" t="s">
        <v>2958</v>
      </c>
      <c r="G429" s="16" t="s">
        <v>2983</v>
      </c>
      <c r="H429" s="13">
        <v>9.0</v>
      </c>
      <c r="I429" s="13">
        <v>0.8</v>
      </c>
      <c r="J429" s="13" t="s">
        <v>193</v>
      </c>
      <c r="K429" s="13">
        <f t="shared" si="3"/>
        <v>0</v>
      </c>
      <c r="L429" s="13">
        <f t="shared" si="4"/>
        <v>1</v>
      </c>
      <c r="M429" s="13">
        <f t="shared" ref="M429:AA429" si="857">IFERROR(VALUE(RIGHT(LEFT($J429,FIND(M$1,$J429,1)+LEN(M$1)),1)),0)</f>
        <v>0</v>
      </c>
      <c r="N429" s="13">
        <f t="shared" si="857"/>
        <v>0</v>
      </c>
      <c r="O429" s="13">
        <f t="shared" si="857"/>
        <v>0</v>
      </c>
      <c r="P429" s="13">
        <f t="shared" si="857"/>
        <v>0</v>
      </c>
      <c r="Q429" s="13">
        <f t="shared" si="857"/>
        <v>0</v>
      </c>
      <c r="R429" s="13">
        <f t="shared" si="857"/>
        <v>0</v>
      </c>
      <c r="S429" s="13">
        <f t="shared" si="857"/>
        <v>0</v>
      </c>
      <c r="T429" s="13">
        <f t="shared" si="857"/>
        <v>0</v>
      </c>
      <c r="U429" s="13">
        <f t="shared" si="857"/>
        <v>0</v>
      </c>
      <c r="V429" s="13">
        <f t="shared" si="857"/>
        <v>0</v>
      </c>
      <c r="W429" s="13">
        <f t="shared" si="857"/>
        <v>0</v>
      </c>
      <c r="X429" s="13">
        <f t="shared" si="857"/>
        <v>0</v>
      </c>
      <c r="Y429" s="13">
        <f t="shared" si="857"/>
        <v>0</v>
      </c>
      <c r="Z429" s="13">
        <f t="shared" si="857"/>
        <v>0</v>
      </c>
      <c r="AA429" s="13">
        <f t="shared" si="857"/>
        <v>0</v>
      </c>
      <c r="AB429" s="13">
        <f t="shared" ref="AB429:AP429" si="858">IFERROR(VALUE(RIGHT(LEFT($J429,FIND(AB$1,$J429,IF(M429=0,1,FIND(AB$1,$J429,1)+1))+LEN(AB$1)),1)),0)</f>
        <v>0</v>
      </c>
      <c r="AC429" s="13">
        <f t="shared" si="858"/>
        <v>0</v>
      </c>
      <c r="AD429" s="13">
        <f t="shared" si="858"/>
        <v>0</v>
      </c>
      <c r="AE429" s="13">
        <f t="shared" si="858"/>
        <v>0</v>
      </c>
      <c r="AF429" s="13">
        <f t="shared" si="858"/>
        <v>0</v>
      </c>
      <c r="AG429" s="13">
        <f t="shared" si="858"/>
        <v>0</v>
      </c>
      <c r="AH429" s="13">
        <f t="shared" si="858"/>
        <v>0</v>
      </c>
      <c r="AI429" s="13">
        <f t="shared" si="858"/>
        <v>0</v>
      </c>
      <c r="AJ429" s="13">
        <f t="shared" si="858"/>
        <v>0</v>
      </c>
      <c r="AK429" s="13">
        <f t="shared" si="858"/>
        <v>0</v>
      </c>
      <c r="AL429" s="13">
        <f t="shared" si="858"/>
        <v>0</v>
      </c>
      <c r="AM429" s="13">
        <f t="shared" si="858"/>
        <v>1</v>
      </c>
      <c r="AN429" s="13">
        <f t="shared" si="858"/>
        <v>0</v>
      </c>
      <c r="AO429" s="13">
        <f t="shared" si="858"/>
        <v>0</v>
      </c>
      <c r="AP429" s="13">
        <f t="shared" si="858"/>
        <v>0</v>
      </c>
      <c r="AQ429" s="13"/>
      <c r="AR429" s="13" t="s">
        <v>2208</v>
      </c>
      <c r="AS429" s="13" t="s">
        <v>2774</v>
      </c>
      <c r="AT429" s="13" t="s">
        <v>2267</v>
      </c>
      <c r="AU429" s="13" t="s">
        <v>143</v>
      </c>
      <c r="AV429" s="13" t="s">
        <v>164</v>
      </c>
      <c r="AW429" s="13">
        <v>1.0</v>
      </c>
      <c r="AX429" s="13">
        <v>4.0</v>
      </c>
      <c r="AY429" s="13">
        <v>0.0</v>
      </c>
      <c r="AZ429" s="13" t="s">
        <v>511</v>
      </c>
      <c r="BA429" s="13" t="s">
        <v>166</v>
      </c>
      <c r="BB429" s="13"/>
      <c r="BC429" s="13"/>
      <c r="BD429" s="13" t="s">
        <v>199</v>
      </c>
      <c r="BE429" s="13"/>
      <c r="BF429" s="13" t="s">
        <v>688</v>
      </c>
      <c r="BG429" s="13" t="s">
        <v>201</v>
      </c>
      <c r="BH429" s="13" t="s">
        <v>79</v>
      </c>
      <c r="BI429" s="13" t="b">
        <v>0</v>
      </c>
      <c r="BJ429" s="13">
        <v>0.0</v>
      </c>
      <c r="BK429" s="13">
        <v>0.0</v>
      </c>
    </row>
    <row r="430" ht="14.25" customHeight="1">
      <c r="A430" s="13">
        <v>428.0</v>
      </c>
      <c r="B430" s="13" t="s">
        <v>44</v>
      </c>
      <c r="C430" s="13">
        <v>1.0</v>
      </c>
      <c r="D430" s="14">
        <v>0.0</v>
      </c>
      <c r="E430" s="13" t="s">
        <v>2984</v>
      </c>
      <c r="F430" s="15" t="s">
        <v>2958</v>
      </c>
      <c r="G430" s="16" t="s">
        <v>2985</v>
      </c>
      <c r="H430" s="13"/>
      <c r="I430" s="13">
        <v>0.9</v>
      </c>
      <c r="J430" s="13" t="s">
        <v>368</v>
      </c>
      <c r="K430" s="13">
        <f t="shared" si="3"/>
        <v>0</v>
      </c>
      <c r="L430" s="13">
        <f t="shared" si="4"/>
        <v>2</v>
      </c>
      <c r="M430" s="13">
        <f t="shared" ref="M430:AA430" si="859">IFERROR(VALUE(RIGHT(LEFT($J430,FIND(M$1,$J430,1)+LEN(M$1)),1)),0)</f>
        <v>0</v>
      </c>
      <c r="N430" s="13">
        <f t="shared" si="859"/>
        <v>0</v>
      </c>
      <c r="O430" s="13">
        <f t="shared" si="859"/>
        <v>0</v>
      </c>
      <c r="P430" s="13">
        <f t="shared" si="859"/>
        <v>0</v>
      </c>
      <c r="Q430" s="13">
        <f t="shared" si="859"/>
        <v>0</v>
      </c>
      <c r="R430" s="13">
        <f t="shared" si="859"/>
        <v>0</v>
      </c>
      <c r="S430" s="13">
        <f t="shared" si="859"/>
        <v>0</v>
      </c>
      <c r="T430" s="13">
        <f t="shared" si="859"/>
        <v>0</v>
      </c>
      <c r="U430" s="13">
        <f t="shared" si="859"/>
        <v>0</v>
      </c>
      <c r="V430" s="13">
        <f t="shared" si="859"/>
        <v>0</v>
      </c>
      <c r="W430" s="13">
        <f t="shared" si="859"/>
        <v>0</v>
      </c>
      <c r="X430" s="13">
        <f t="shared" si="859"/>
        <v>0</v>
      </c>
      <c r="Y430" s="13">
        <f t="shared" si="859"/>
        <v>0</v>
      </c>
      <c r="Z430" s="13">
        <f t="shared" si="859"/>
        <v>0</v>
      </c>
      <c r="AA430" s="13">
        <f t="shared" si="859"/>
        <v>0</v>
      </c>
      <c r="AB430" s="13">
        <f t="shared" ref="AB430:AP430" si="860">IFERROR(VALUE(RIGHT(LEFT($J430,FIND(AB$1,$J430,IF(M430=0,1,FIND(AB$1,$J430,1)+1))+LEN(AB$1)),1)),0)</f>
        <v>0</v>
      </c>
      <c r="AC430" s="13">
        <f t="shared" si="860"/>
        <v>0</v>
      </c>
      <c r="AD430" s="13">
        <f t="shared" si="860"/>
        <v>0</v>
      </c>
      <c r="AE430" s="13">
        <f t="shared" si="860"/>
        <v>1</v>
      </c>
      <c r="AF430" s="13">
        <f t="shared" si="860"/>
        <v>0</v>
      </c>
      <c r="AG430" s="13">
        <f t="shared" si="860"/>
        <v>0</v>
      </c>
      <c r="AH430" s="13">
        <f t="shared" si="860"/>
        <v>1</v>
      </c>
      <c r="AI430" s="13">
        <f t="shared" si="860"/>
        <v>0</v>
      </c>
      <c r="AJ430" s="13">
        <f t="shared" si="860"/>
        <v>0</v>
      </c>
      <c r="AK430" s="13">
        <f t="shared" si="860"/>
        <v>0</v>
      </c>
      <c r="AL430" s="13">
        <f t="shared" si="860"/>
        <v>0</v>
      </c>
      <c r="AM430" s="13">
        <f t="shared" si="860"/>
        <v>0</v>
      </c>
      <c r="AN430" s="13">
        <f t="shared" si="860"/>
        <v>0</v>
      </c>
      <c r="AO430" s="13">
        <f t="shared" si="860"/>
        <v>0</v>
      </c>
      <c r="AP430" s="13">
        <f t="shared" si="860"/>
        <v>0</v>
      </c>
      <c r="AQ430" s="13" t="s">
        <v>2986</v>
      </c>
      <c r="AR430" s="13"/>
      <c r="AS430" s="13" t="s">
        <v>355</v>
      </c>
      <c r="AT430" s="13"/>
      <c r="AU430" s="13"/>
      <c r="AV430" s="13"/>
      <c r="AW430" s="13">
        <v>0.0</v>
      </c>
      <c r="AX430" s="13">
        <v>4.0</v>
      </c>
      <c r="AY430" s="13">
        <v>0.0</v>
      </c>
      <c r="AZ430" s="13"/>
      <c r="BA430" s="13"/>
      <c r="BB430" s="13"/>
      <c r="BC430" s="13"/>
      <c r="BD430" s="13"/>
      <c r="BE430" s="13"/>
      <c r="BF430" s="13"/>
      <c r="BG430" s="13"/>
      <c r="BH430" s="13" t="s">
        <v>79</v>
      </c>
      <c r="BI430" s="13" t="b">
        <v>0</v>
      </c>
      <c r="BJ430" s="13">
        <v>0.0</v>
      </c>
      <c r="BK430" s="13">
        <v>0.0</v>
      </c>
    </row>
    <row r="431" ht="14.25" customHeight="1">
      <c r="A431" s="13">
        <v>429.0</v>
      </c>
      <c r="B431" s="13" t="s">
        <v>45</v>
      </c>
      <c r="C431" s="13">
        <v>1.0</v>
      </c>
      <c r="D431" s="14">
        <v>0.0</v>
      </c>
      <c r="E431" s="13" t="s">
        <v>2987</v>
      </c>
      <c r="F431" s="15" t="s">
        <v>2958</v>
      </c>
      <c r="G431" s="16" t="s">
        <v>2988</v>
      </c>
      <c r="H431" s="13"/>
      <c r="I431" s="13">
        <v>0.9</v>
      </c>
      <c r="J431" s="13" t="s">
        <v>2613</v>
      </c>
      <c r="K431" s="13">
        <f t="shared" si="3"/>
        <v>0</v>
      </c>
      <c r="L431" s="13">
        <f t="shared" si="4"/>
        <v>2</v>
      </c>
      <c r="M431" s="13">
        <f t="shared" ref="M431:AA431" si="861">IFERROR(VALUE(RIGHT(LEFT($J431,FIND(M$1,$J431,1)+LEN(M$1)),1)),0)</f>
        <v>0</v>
      </c>
      <c r="N431" s="13">
        <f t="shared" si="861"/>
        <v>0</v>
      </c>
      <c r="O431" s="13">
        <f t="shared" si="861"/>
        <v>0</v>
      </c>
      <c r="P431" s="13">
        <f t="shared" si="861"/>
        <v>0</v>
      </c>
      <c r="Q431" s="13">
        <f t="shared" si="861"/>
        <v>0</v>
      </c>
      <c r="R431" s="13">
        <f t="shared" si="861"/>
        <v>0</v>
      </c>
      <c r="S431" s="13">
        <f t="shared" si="861"/>
        <v>0</v>
      </c>
      <c r="T431" s="13">
        <f t="shared" si="861"/>
        <v>0</v>
      </c>
      <c r="U431" s="13">
        <f t="shared" si="861"/>
        <v>0</v>
      </c>
      <c r="V431" s="13">
        <f t="shared" si="861"/>
        <v>0</v>
      </c>
      <c r="W431" s="13">
        <f t="shared" si="861"/>
        <v>0</v>
      </c>
      <c r="X431" s="13">
        <f t="shared" si="861"/>
        <v>0</v>
      </c>
      <c r="Y431" s="13">
        <f t="shared" si="861"/>
        <v>0</v>
      </c>
      <c r="Z431" s="13">
        <f t="shared" si="861"/>
        <v>0</v>
      </c>
      <c r="AA431" s="13">
        <f t="shared" si="861"/>
        <v>0</v>
      </c>
      <c r="AB431" s="13">
        <f t="shared" ref="AB431:AP431" si="862">IFERROR(VALUE(RIGHT(LEFT($J431,FIND(AB$1,$J431,IF(M431=0,1,FIND(AB$1,$J431,1)+1))+LEN(AB$1)),1)),0)</f>
        <v>0</v>
      </c>
      <c r="AC431" s="13">
        <f t="shared" si="862"/>
        <v>0</v>
      </c>
      <c r="AD431" s="13">
        <f t="shared" si="862"/>
        <v>0</v>
      </c>
      <c r="AE431" s="13">
        <f t="shared" si="862"/>
        <v>0</v>
      </c>
      <c r="AF431" s="13">
        <f t="shared" si="862"/>
        <v>1</v>
      </c>
      <c r="AG431" s="13">
        <f t="shared" si="862"/>
        <v>0</v>
      </c>
      <c r="AH431" s="13">
        <f t="shared" si="862"/>
        <v>0</v>
      </c>
      <c r="AI431" s="13">
        <f t="shared" si="862"/>
        <v>1</v>
      </c>
      <c r="AJ431" s="13">
        <f t="shared" si="862"/>
        <v>0</v>
      </c>
      <c r="AK431" s="13">
        <f t="shared" si="862"/>
        <v>0</v>
      </c>
      <c r="AL431" s="13">
        <f t="shared" si="862"/>
        <v>0</v>
      </c>
      <c r="AM431" s="13">
        <f t="shared" si="862"/>
        <v>0</v>
      </c>
      <c r="AN431" s="13">
        <f t="shared" si="862"/>
        <v>0</v>
      </c>
      <c r="AO431" s="13">
        <f t="shared" si="862"/>
        <v>0</v>
      </c>
      <c r="AP431" s="13">
        <f t="shared" si="862"/>
        <v>0</v>
      </c>
      <c r="AQ431" s="13" t="s">
        <v>2989</v>
      </c>
      <c r="AR431" s="13"/>
      <c r="AS431" s="13" t="s">
        <v>2990</v>
      </c>
      <c r="AT431" s="13"/>
      <c r="AU431" s="13"/>
      <c r="AV431" s="13"/>
      <c r="AW431" s="13">
        <v>0.0</v>
      </c>
      <c r="AX431" s="13">
        <v>4.0</v>
      </c>
      <c r="AY431" s="13">
        <v>0.0</v>
      </c>
      <c r="AZ431" s="13"/>
      <c r="BA431" s="13"/>
      <c r="BB431" s="13"/>
      <c r="BC431" s="13"/>
      <c r="BD431" s="13"/>
      <c r="BE431" s="13"/>
      <c r="BF431" s="13"/>
      <c r="BG431" s="13"/>
      <c r="BH431" s="13" t="s">
        <v>79</v>
      </c>
      <c r="BI431" s="13" t="b">
        <v>0</v>
      </c>
      <c r="BJ431" s="13">
        <v>0.0</v>
      </c>
      <c r="BK431" s="13">
        <v>0.0</v>
      </c>
    </row>
    <row r="432" ht="14.25" customHeight="1">
      <c r="A432" s="13">
        <v>430.0</v>
      </c>
      <c r="B432" s="13" t="s">
        <v>46</v>
      </c>
      <c r="C432" s="13">
        <v>1.0</v>
      </c>
      <c r="D432" s="14">
        <v>0.0</v>
      </c>
      <c r="E432" s="13" t="s">
        <v>2991</v>
      </c>
      <c r="F432" s="15" t="s">
        <v>2958</v>
      </c>
      <c r="G432" s="16" t="s">
        <v>2992</v>
      </c>
      <c r="H432" s="13"/>
      <c r="I432" s="13">
        <v>0.9</v>
      </c>
      <c r="J432" s="13" t="s">
        <v>425</v>
      </c>
      <c r="K432" s="13">
        <f t="shared" si="3"/>
        <v>0</v>
      </c>
      <c r="L432" s="13">
        <f t="shared" si="4"/>
        <v>2</v>
      </c>
      <c r="M432" s="13">
        <f t="shared" ref="M432:AA432" si="863">IFERROR(VALUE(RIGHT(LEFT($J432,FIND(M$1,$J432,1)+LEN(M$1)),1)),0)</f>
        <v>0</v>
      </c>
      <c r="N432" s="13">
        <f t="shared" si="863"/>
        <v>0</v>
      </c>
      <c r="O432" s="13">
        <f t="shared" si="863"/>
        <v>0</v>
      </c>
      <c r="P432" s="13">
        <f t="shared" si="863"/>
        <v>0</v>
      </c>
      <c r="Q432" s="13">
        <f t="shared" si="863"/>
        <v>0</v>
      </c>
      <c r="R432" s="13">
        <f t="shared" si="863"/>
        <v>0</v>
      </c>
      <c r="S432" s="13">
        <f t="shared" si="863"/>
        <v>0</v>
      </c>
      <c r="T432" s="13">
        <f t="shared" si="863"/>
        <v>0</v>
      </c>
      <c r="U432" s="13">
        <f t="shared" si="863"/>
        <v>0</v>
      </c>
      <c r="V432" s="13">
        <f t="shared" si="863"/>
        <v>0</v>
      </c>
      <c r="W432" s="13">
        <f t="shared" si="863"/>
        <v>0</v>
      </c>
      <c r="X432" s="13">
        <f t="shared" si="863"/>
        <v>0</v>
      </c>
      <c r="Y432" s="13">
        <f t="shared" si="863"/>
        <v>0</v>
      </c>
      <c r="Z432" s="13">
        <f t="shared" si="863"/>
        <v>0</v>
      </c>
      <c r="AA432" s="13">
        <f t="shared" si="863"/>
        <v>0</v>
      </c>
      <c r="AB432" s="13">
        <f t="shared" ref="AB432:AP432" si="864">IFERROR(VALUE(RIGHT(LEFT($J432,FIND(AB$1,$J432,IF(M432=0,1,FIND(AB$1,$J432,1)+1))+LEN(AB$1)),1)),0)</f>
        <v>1</v>
      </c>
      <c r="AC432" s="13">
        <f t="shared" si="864"/>
        <v>0</v>
      </c>
      <c r="AD432" s="13">
        <f t="shared" si="864"/>
        <v>0</v>
      </c>
      <c r="AE432" s="13">
        <f t="shared" si="864"/>
        <v>0</v>
      </c>
      <c r="AF432" s="13">
        <f t="shared" si="864"/>
        <v>0</v>
      </c>
      <c r="AG432" s="13">
        <f t="shared" si="864"/>
        <v>0</v>
      </c>
      <c r="AH432" s="13">
        <f t="shared" si="864"/>
        <v>0</v>
      </c>
      <c r="AI432" s="13">
        <f t="shared" si="864"/>
        <v>0</v>
      </c>
      <c r="AJ432" s="13">
        <f t="shared" si="864"/>
        <v>1</v>
      </c>
      <c r="AK432" s="13">
        <f t="shared" si="864"/>
        <v>0</v>
      </c>
      <c r="AL432" s="13">
        <f t="shared" si="864"/>
        <v>0</v>
      </c>
      <c r="AM432" s="13">
        <f t="shared" si="864"/>
        <v>0</v>
      </c>
      <c r="AN432" s="13">
        <f t="shared" si="864"/>
        <v>0</v>
      </c>
      <c r="AO432" s="13">
        <f t="shared" si="864"/>
        <v>0</v>
      </c>
      <c r="AP432" s="13">
        <f t="shared" si="864"/>
        <v>0</v>
      </c>
      <c r="AQ432" s="13" t="s">
        <v>2993</v>
      </c>
      <c r="AR432" s="13"/>
      <c r="AS432" s="13" t="s">
        <v>2994</v>
      </c>
      <c r="AT432" s="13"/>
      <c r="AU432" s="13"/>
      <c r="AV432" s="13"/>
      <c r="AW432" s="13">
        <v>0.0</v>
      </c>
      <c r="AX432" s="13">
        <v>4.0</v>
      </c>
      <c r="AY432" s="13">
        <v>0.0</v>
      </c>
      <c r="AZ432" s="13"/>
      <c r="BA432" s="13"/>
      <c r="BB432" s="13"/>
      <c r="BC432" s="13"/>
      <c r="BD432" s="13"/>
      <c r="BE432" s="13"/>
      <c r="BF432" s="13"/>
      <c r="BG432" s="13"/>
      <c r="BH432" s="13" t="s">
        <v>79</v>
      </c>
      <c r="BI432" s="13" t="b">
        <v>0</v>
      </c>
      <c r="BJ432" s="13">
        <v>0.0</v>
      </c>
      <c r="BK432" s="13">
        <v>0.0</v>
      </c>
    </row>
    <row r="433" ht="14.25" customHeight="1">
      <c r="A433" s="13">
        <v>431.0</v>
      </c>
      <c r="B433" s="13" t="s">
        <v>50</v>
      </c>
      <c r="C433" s="13">
        <v>1.0</v>
      </c>
      <c r="D433" s="14">
        <v>0.0</v>
      </c>
      <c r="E433" s="13" t="s">
        <v>2995</v>
      </c>
      <c r="F433" s="15" t="s">
        <v>2958</v>
      </c>
      <c r="G433" s="16" t="s">
        <v>2996</v>
      </c>
      <c r="H433" s="13">
        <v>11.0</v>
      </c>
      <c r="I433" s="13">
        <v>0.9</v>
      </c>
      <c r="J433" s="13" t="s">
        <v>733</v>
      </c>
      <c r="K433" s="13">
        <f t="shared" si="3"/>
        <v>0</v>
      </c>
      <c r="L433" s="13">
        <f t="shared" si="4"/>
        <v>2</v>
      </c>
      <c r="M433" s="13">
        <f t="shared" ref="M433:AA433" si="865">IFERROR(VALUE(RIGHT(LEFT($J433,FIND(M$1,$J433,1)+LEN(M$1)),1)),0)</f>
        <v>0</v>
      </c>
      <c r="N433" s="13">
        <f t="shared" si="865"/>
        <v>0</v>
      </c>
      <c r="O433" s="13">
        <f t="shared" si="865"/>
        <v>0</v>
      </c>
      <c r="P433" s="13">
        <f t="shared" si="865"/>
        <v>0</v>
      </c>
      <c r="Q433" s="13">
        <f t="shared" si="865"/>
        <v>0</v>
      </c>
      <c r="R433" s="13">
        <f t="shared" si="865"/>
        <v>0</v>
      </c>
      <c r="S433" s="13">
        <f t="shared" si="865"/>
        <v>0</v>
      </c>
      <c r="T433" s="13">
        <f t="shared" si="865"/>
        <v>0</v>
      </c>
      <c r="U433" s="13">
        <f t="shared" si="865"/>
        <v>0</v>
      </c>
      <c r="V433" s="13">
        <f t="shared" si="865"/>
        <v>0</v>
      </c>
      <c r="W433" s="13">
        <f t="shared" si="865"/>
        <v>0</v>
      </c>
      <c r="X433" s="13">
        <f t="shared" si="865"/>
        <v>0</v>
      </c>
      <c r="Y433" s="13">
        <f t="shared" si="865"/>
        <v>0</v>
      </c>
      <c r="Z433" s="13">
        <f t="shared" si="865"/>
        <v>0</v>
      </c>
      <c r="AA433" s="13">
        <f t="shared" si="865"/>
        <v>0</v>
      </c>
      <c r="AB433" s="13">
        <f t="shared" ref="AB433:AP433" si="866">IFERROR(VALUE(RIGHT(LEFT($J433,FIND(AB$1,$J433,IF(M433=0,1,FIND(AB$1,$J433,1)+1))+LEN(AB$1)),1)),0)</f>
        <v>0</v>
      </c>
      <c r="AC433" s="13">
        <f t="shared" si="866"/>
        <v>0</v>
      </c>
      <c r="AD433" s="13">
        <f t="shared" si="866"/>
        <v>0</v>
      </c>
      <c r="AE433" s="13">
        <f t="shared" si="866"/>
        <v>1</v>
      </c>
      <c r="AF433" s="13">
        <f t="shared" si="866"/>
        <v>0</v>
      </c>
      <c r="AG433" s="13">
        <f t="shared" si="866"/>
        <v>0</v>
      </c>
      <c r="AH433" s="13">
        <f t="shared" si="866"/>
        <v>0</v>
      </c>
      <c r="AI433" s="13">
        <f t="shared" si="866"/>
        <v>0</v>
      </c>
      <c r="AJ433" s="13">
        <f t="shared" si="866"/>
        <v>0</v>
      </c>
      <c r="AK433" s="13">
        <f t="shared" si="866"/>
        <v>0</v>
      </c>
      <c r="AL433" s="13">
        <f t="shared" si="866"/>
        <v>0</v>
      </c>
      <c r="AM433" s="13">
        <f t="shared" si="866"/>
        <v>0</v>
      </c>
      <c r="AN433" s="13">
        <f t="shared" si="866"/>
        <v>1</v>
      </c>
      <c r="AO433" s="13">
        <f t="shared" si="866"/>
        <v>0</v>
      </c>
      <c r="AP433" s="13">
        <f t="shared" si="866"/>
        <v>0</v>
      </c>
      <c r="AQ433" s="13"/>
      <c r="AR433" s="13" t="s">
        <v>2997</v>
      </c>
      <c r="AS433" s="13" t="s">
        <v>2998</v>
      </c>
      <c r="AT433" s="13" t="s">
        <v>175</v>
      </c>
      <c r="AU433" s="13" t="s">
        <v>803</v>
      </c>
      <c r="AV433" s="13" t="s">
        <v>2999</v>
      </c>
      <c r="AW433" s="13">
        <v>4.0</v>
      </c>
      <c r="AX433" s="13">
        <v>4.0</v>
      </c>
      <c r="AY433" s="13">
        <v>0.0</v>
      </c>
      <c r="AZ433" s="13" t="s">
        <v>209</v>
      </c>
      <c r="BA433" s="13" t="s">
        <v>272</v>
      </c>
      <c r="BB433" s="13"/>
      <c r="BC433" s="13"/>
      <c r="BD433" s="13" t="s">
        <v>230</v>
      </c>
      <c r="BE433" s="13"/>
      <c r="BF433" s="13" t="s">
        <v>3000</v>
      </c>
      <c r="BG433" s="13" t="s">
        <v>50</v>
      </c>
      <c r="BH433" s="13" t="s">
        <v>79</v>
      </c>
      <c r="BI433" s="13" t="b">
        <v>0</v>
      </c>
      <c r="BJ433" s="13">
        <v>0.0</v>
      </c>
      <c r="BK433" s="13">
        <v>0.0</v>
      </c>
    </row>
    <row r="434" ht="14.25" customHeight="1">
      <c r="A434" s="13">
        <v>432.0</v>
      </c>
      <c r="B434" s="13" t="s">
        <v>50</v>
      </c>
      <c r="C434" s="13">
        <v>1.0</v>
      </c>
      <c r="D434" s="14">
        <v>0.0</v>
      </c>
      <c r="E434" s="13" t="s">
        <v>3001</v>
      </c>
      <c r="F434" s="15" t="s">
        <v>2958</v>
      </c>
      <c r="G434" s="16" t="s">
        <v>3002</v>
      </c>
      <c r="H434" s="13">
        <v>14.0</v>
      </c>
      <c r="I434" s="13">
        <v>1.2</v>
      </c>
      <c r="J434" s="13" t="s">
        <v>719</v>
      </c>
      <c r="K434" s="13">
        <f t="shared" si="3"/>
        <v>0</v>
      </c>
      <c r="L434" s="13">
        <f t="shared" si="4"/>
        <v>2</v>
      </c>
      <c r="M434" s="13">
        <f t="shared" ref="M434:AA434" si="867">IFERROR(VALUE(RIGHT(LEFT($J434,FIND(M$1,$J434,1)+LEN(M$1)),1)),0)</f>
        <v>0</v>
      </c>
      <c r="N434" s="13">
        <f t="shared" si="867"/>
        <v>0</v>
      </c>
      <c r="O434" s="13">
        <f t="shared" si="867"/>
        <v>0</v>
      </c>
      <c r="P434" s="13">
        <f t="shared" si="867"/>
        <v>0</v>
      </c>
      <c r="Q434" s="13">
        <f t="shared" si="867"/>
        <v>0</v>
      </c>
      <c r="R434" s="13">
        <f t="shared" si="867"/>
        <v>0</v>
      </c>
      <c r="S434" s="13">
        <f t="shared" si="867"/>
        <v>0</v>
      </c>
      <c r="T434" s="13">
        <f t="shared" si="867"/>
        <v>0</v>
      </c>
      <c r="U434" s="13">
        <f t="shared" si="867"/>
        <v>0</v>
      </c>
      <c r="V434" s="13">
        <f t="shared" si="867"/>
        <v>0</v>
      </c>
      <c r="W434" s="13">
        <f t="shared" si="867"/>
        <v>0</v>
      </c>
      <c r="X434" s="13">
        <f t="shared" si="867"/>
        <v>0</v>
      </c>
      <c r="Y434" s="13">
        <f t="shared" si="867"/>
        <v>0</v>
      </c>
      <c r="Z434" s="13">
        <f t="shared" si="867"/>
        <v>0</v>
      </c>
      <c r="AA434" s="13">
        <f t="shared" si="867"/>
        <v>0</v>
      </c>
      <c r="AB434" s="13">
        <f t="shared" ref="AB434:AP434" si="868">IFERROR(VALUE(RIGHT(LEFT($J434,FIND(AB$1,$J434,IF(M434=0,1,FIND(AB$1,$J434,1)+1))+LEN(AB$1)),1)),0)</f>
        <v>0</v>
      </c>
      <c r="AC434" s="13">
        <f t="shared" si="868"/>
        <v>0</v>
      </c>
      <c r="AD434" s="13">
        <f t="shared" si="868"/>
        <v>0</v>
      </c>
      <c r="AE434" s="13">
        <f t="shared" si="868"/>
        <v>0</v>
      </c>
      <c r="AF434" s="13">
        <f t="shared" si="868"/>
        <v>1</v>
      </c>
      <c r="AG434" s="13">
        <f t="shared" si="868"/>
        <v>0</v>
      </c>
      <c r="AH434" s="13">
        <f t="shared" si="868"/>
        <v>0</v>
      </c>
      <c r="AI434" s="13">
        <f t="shared" si="868"/>
        <v>0</v>
      </c>
      <c r="AJ434" s="13">
        <f t="shared" si="868"/>
        <v>0</v>
      </c>
      <c r="AK434" s="13">
        <f t="shared" si="868"/>
        <v>0</v>
      </c>
      <c r="AL434" s="13">
        <f t="shared" si="868"/>
        <v>0</v>
      </c>
      <c r="AM434" s="13">
        <f t="shared" si="868"/>
        <v>0</v>
      </c>
      <c r="AN434" s="13">
        <f t="shared" si="868"/>
        <v>1</v>
      </c>
      <c r="AO434" s="13">
        <f t="shared" si="868"/>
        <v>0</v>
      </c>
      <c r="AP434" s="13">
        <f t="shared" si="868"/>
        <v>0</v>
      </c>
      <c r="AQ434" s="13"/>
      <c r="AR434" s="13" t="s">
        <v>3003</v>
      </c>
      <c r="AS434" s="13" t="s">
        <v>3004</v>
      </c>
      <c r="AT434" s="13" t="s">
        <v>162</v>
      </c>
      <c r="AU434" s="13" t="s">
        <v>163</v>
      </c>
      <c r="AV434" s="13" t="s">
        <v>3005</v>
      </c>
      <c r="AW434" s="13">
        <v>7.0</v>
      </c>
      <c r="AX434" s="13">
        <v>4.0</v>
      </c>
      <c r="AY434" s="13">
        <v>0.0</v>
      </c>
      <c r="AZ434" s="13" t="s">
        <v>1274</v>
      </c>
      <c r="BA434" s="13" t="s">
        <v>317</v>
      </c>
      <c r="BB434" s="13"/>
      <c r="BC434" s="13"/>
      <c r="BD434" s="13" t="s">
        <v>239</v>
      </c>
      <c r="BE434" s="13"/>
      <c r="BF434" s="13" t="s">
        <v>2414</v>
      </c>
      <c r="BG434" s="13" t="s">
        <v>50</v>
      </c>
      <c r="BH434" s="13" t="s">
        <v>79</v>
      </c>
      <c r="BI434" s="13" t="b">
        <v>0</v>
      </c>
      <c r="BJ434" s="13">
        <v>0.0</v>
      </c>
      <c r="BK434" s="13">
        <v>0.0</v>
      </c>
    </row>
    <row r="435" ht="14.25" customHeight="1">
      <c r="A435" s="13">
        <v>433.0</v>
      </c>
      <c r="B435" s="13" t="s">
        <v>50</v>
      </c>
      <c r="C435" s="13">
        <v>1.0</v>
      </c>
      <c r="D435" s="14">
        <v>0.0</v>
      </c>
      <c r="E435" s="13" t="s">
        <v>3006</v>
      </c>
      <c r="F435" s="15" t="s">
        <v>2958</v>
      </c>
      <c r="G435" s="16" t="s">
        <v>3007</v>
      </c>
      <c r="H435" s="13">
        <v>13.0</v>
      </c>
      <c r="I435" s="13">
        <v>1.1</v>
      </c>
      <c r="J435" s="13" t="s">
        <v>761</v>
      </c>
      <c r="K435" s="13">
        <f t="shared" si="3"/>
        <v>0</v>
      </c>
      <c r="L435" s="13">
        <f t="shared" si="4"/>
        <v>2</v>
      </c>
      <c r="M435" s="13">
        <f t="shared" ref="M435:AA435" si="869">IFERROR(VALUE(RIGHT(LEFT($J435,FIND(M$1,$J435,1)+LEN(M$1)),1)),0)</f>
        <v>0</v>
      </c>
      <c r="N435" s="13">
        <f t="shared" si="869"/>
        <v>0</v>
      </c>
      <c r="O435" s="13">
        <f t="shared" si="869"/>
        <v>0</v>
      </c>
      <c r="P435" s="13">
        <f t="shared" si="869"/>
        <v>0</v>
      </c>
      <c r="Q435" s="13">
        <f t="shared" si="869"/>
        <v>0</v>
      </c>
      <c r="R435" s="13">
        <f t="shared" si="869"/>
        <v>0</v>
      </c>
      <c r="S435" s="13">
        <f t="shared" si="869"/>
        <v>0</v>
      </c>
      <c r="T435" s="13">
        <f t="shared" si="869"/>
        <v>0</v>
      </c>
      <c r="U435" s="13">
        <f t="shared" si="869"/>
        <v>0</v>
      </c>
      <c r="V435" s="13">
        <f t="shared" si="869"/>
        <v>0</v>
      </c>
      <c r="W435" s="13">
        <f t="shared" si="869"/>
        <v>0</v>
      </c>
      <c r="X435" s="13">
        <f t="shared" si="869"/>
        <v>0</v>
      </c>
      <c r="Y435" s="13">
        <f t="shared" si="869"/>
        <v>0</v>
      </c>
      <c r="Z435" s="13">
        <f t="shared" si="869"/>
        <v>0</v>
      </c>
      <c r="AA435" s="13">
        <f t="shared" si="869"/>
        <v>0</v>
      </c>
      <c r="AB435" s="13">
        <f t="shared" ref="AB435:AP435" si="870">IFERROR(VALUE(RIGHT(LEFT($J435,FIND(AB$1,$J435,IF(M435=0,1,FIND(AB$1,$J435,1)+1))+LEN(AB$1)),1)),0)</f>
        <v>1</v>
      </c>
      <c r="AC435" s="13">
        <f t="shared" si="870"/>
        <v>0</v>
      </c>
      <c r="AD435" s="13">
        <f t="shared" si="870"/>
        <v>0</v>
      </c>
      <c r="AE435" s="13">
        <f t="shared" si="870"/>
        <v>0</v>
      </c>
      <c r="AF435" s="13">
        <f t="shared" si="870"/>
        <v>0</v>
      </c>
      <c r="AG435" s="13">
        <f t="shared" si="870"/>
        <v>0</v>
      </c>
      <c r="AH435" s="13">
        <f t="shared" si="870"/>
        <v>0</v>
      </c>
      <c r="AI435" s="13">
        <f t="shared" si="870"/>
        <v>0</v>
      </c>
      <c r="AJ435" s="13">
        <f t="shared" si="870"/>
        <v>0</v>
      </c>
      <c r="AK435" s="13">
        <f t="shared" si="870"/>
        <v>0</v>
      </c>
      <c r="AL435" s="13">
        <f t="shared" si="870"/>
        <v>0</v>
      </c>
      <c r="AM435" s="13">
        <f t="shared" si="870"/>
        <v>0</v>
      </c>
      <c r="AN435" s="13">
        <f t="shared" si="870"/>
        <v>1</v>
      </c>
      <c r="AO435" s="13">
        <f t="shared" si="870"/>
        <v>0</v>
      </c>
      <c r="AP435" s="13">
        <f t="shared" si="870"/>
        <v>0</v>
      </c>
      <c r="AQ435" s="13"/>
      <c r="AR435" s="13" t="s">
        <v>3008</v>
      </c>
      <c r="AS435" s="13" t="s">
        <v>2810</v>
      </c>
      <c r="AT435" s="13" t="s">
        <v>315</v>
      </c>
      <c r="AU435" s="13" t="s">
        <v>130</v>
      </c>
      <c r="AV435" s="13" t="s">
        <v>3009</v>
      </c>
      <c r="AW435" s="13">
        <v>6.0</v>
      </c>
      <c r="AX435" s="13">
        <v>4.0</v>
      </c>
      <c r="AY435" s="13">
        <v>0.0</v>
      </c>
      <c r="AZ435" s="13" t="s">
        <v>624</v>
      </c>
      <c r="BA435" s="13" t="s">
        <v>1539</v>
      </c>
      <c r="BB435" s="13"/>
      <c r="BC435" s="13"/>
      <c r="BD435" s="13" t="s">
        <v>239</v>
      </c>
      <c r="BE435" s="13"/>
      <c r="BF435" s="13" t="s">
        <v>3010</v>
      </c>
      <c r="BG435" s="13" t="s">
        <v>50</v>
      </c>
      <c r="BH435" s="13" t="s">
        <v>79</v>
      </c>
      <c r="BI435" s="13" t="b">
        <v>0</v>
      </c>
      <c r="BJ435" s="13">
        <v>0.0</v>
      </c>
      <c r="BK435" s="13">
        <v>0.0</v>
      </c>
    </row>
    <row r="436" ht="14.25" customHeight="1">
      <c r="A436" s="13">
        <v>434.0</v>
      </c>
      <c r="B436" s="13" t="s">
        <v>49</v>
      </c>
      <c r="C436" s="13">
        <v>1.0</v>
      </c>
      <c r="D436" s="14">
        <v>0.0</v>
      </c>
      <c r="E436" s="13" t="s">
        <v>3011</v>
      </c>
      <c r="F436" s="15" t="s">
        <v>2958</v>
      </c>
      <c r="G436" s="16" t="s">
        <v>3012</v>
      </c>
      <c r="H436" s="13">
        <v>12.0</v>
      </c>
      <c r="I436" s="13">
        <v>1.0</v>
      </c>
      <c r="J436" s="13" t="s">
        <v>638</v>
      </c>
      <c r="K436" s="13">
        <f t="shared" si="3"/>
        <v>0</v>
      </c>
      <c r="L436" s="13">
        <f t="shared" si="4"/>
        <v>2</v>
      </c>
      <c r="M436" s="13">
        <f t="shared" ref="M436:AA436" si="871">IFERROR(VALUE(RIGHT(LEFT($J436,FIND(M$1,$J436,1)+LEN(M$1)),1)),0)</f>
        <v>0</v>
      </c>
      <c r="N436" s="13">
        <f t="shared" si="871"/>
        <v>0</v>
      </c>
      <c r="O436" s="13">
        <f t="shared" si="871"/>
        <v>0</v>
      </c>
      <c r="P436" s="13">
        <f t="shared" si="871"/>
        <v>0</v>
      </c>
      <c r="Q436" s="13">
        <f t="shared" si="871"/>
        <v>0</v>
      </c>
      <c r="R436" s="13">
        <f t="shared" si="871"/>
        <v>0</v>
      </c>
      <c r="S436" s="13">
        <f t="shared" si="871"/>
        <v>0</v>
      </c>
      <c r="T436" s="13">
        <f t="shared" si="871"/>
        <v>0</v>
      </c>
      <c r="U436" s="13">
        <f t="shared" si="871"/>
        <v>0</v>
      </c>
      <c r="V436" s="13">
        <f t="shared" si="871"/>
        <v>0</v>
      </c>
      <c r="W436" s="13">
        <f t="shared" si="871"/>
        <v>0</v>
      </c>
      <c r="X436" s="13">
        <f t="shared" si="871"/>
        <v>0</v>
      </c>
      <c r="Y436" s="13">
        <f t="shared" si="871"/>
        <v>0</v>
      </c>
      <c r="Z436" s="13">
        <f t="shared" si="871"/>
        <v>0</v>
      </c>
      <c r="AA436" s="13">
        <f t="shared" si="871"/>
        <v>0</v>
      </c>
      <c r="AB436" s="13">
        <f t="shared" ref="AB436:AP436" si="872">IFERROR(VALUE(RIGHT(LEFT($J436,FIND(AB$1,$J436,IF(M436=0,1,FIND(AB$1,$J436,1)+1))+LEN(AB$1)),1)),0)</f>
        <v>1</v>
      </c>
      <c r="AC436" s="13">
        <f t="shared" si="872"/>
        <v>0</v>
      </c>
      <c r="AD436" s="13">
        <f t="shared" si="872"/>
        <v>0</v>
      </c>
      <c r="AE436" s="13">
        <f t="shared" si="872"/>
        <v>0</v>
      </c>
      <c r="AF436" s="13">
        <f t="shared" si="872"/>
        <v>0</v>
      </c>
      <c r="AG436" s="13">
        <f t="shared" si="872"/>
        <v>0</v>
      </c>
      <c r="AH436" s="13">
        <f t="shared" si="872"/>
        <v>0</v>
      </c>
      <c r="AI436" s="13">
        <f t="shared" si="872"/>
        <v>0</v>
      </c>
      <c r="AJ436" s="13">
        <f t="shared" si="872"/>
        <v>0</v>
      </c>
      <c r="AK436" s="13">
        <f t="shared" si="872"/>
        <v>0</v>
      </c>
      <c r="AL436" s="13">
        <f t="shared" si="872"/>
        <v>0</v>
      </c>
      <c r="AM436" s="13">
        <f t="shared" si="872"/>
        <v>1</v>
      </c>
      <c r="AN436" s="13">
        <f t="shared" si="872"/>
        <v>0</v>
      </c>
      <c r="AO436" s="13">
        <f t="shared" si="872"/>
        <v>0</v>
      </c>
      <c r="AP436" s="13">
        <f t="shared" si="872"/>
        <v>0</v>
      </c>
      <c r="AQ436" s="13"/>
      <c r="AR436" s="13" t="s">
        <v>659</v>
      </c>
      <c r="AS436" s="13" t="s">
        <v>2238</v>
      </c>
      <c r="AT436" s="13" t="s">
        <v>162</v>
      </c>
      <c r="AU436" s="13" t="s">
        <v>195</v>
      </c>
      <c r="AV436" s="13" t="s">
        <v>237</v>
      </c>
      <c r="AW436" s="13">
        <v>5.0</v>
      </c>
      <c r="AX436" s="13">
        <v>4.0</v>
      </c>
      <c r="AY436" s="13">
        <v>0.0</v>
      </c>
      <c r="AZ436" s="13" t="s">
        <v>3013</v>
      </c>
      <c r="BA436" s="13" t="s">
        <v>2631</v>
      </c>
      <c r="BB436" s="13"/>
      <c r="BC436" s="13"/>
      <c r="BD436" s="13" t="s">
        <v>199</v>
      </c>
      <c r="BE436" s="13"/>
      <c r="BF436" s="13" t="s">
        <v>649</v>
      </c>
      <c r="BG436" s="13" t="s">
        <v>201</v>
      </c>
      <c r="BH436" s="13" t="s">
        <v>79</v>
      </c>
      <c r="BI436" s="13" t="b">
        <v>0</v>
      </c>
      <c r="BJ436" s="13">
        <v>0.0</v>
      </c>
      <c r="BK436" s="13">
        <v>0.0</v>
      </c>
    </row>
    <row r="437" ht="14.25" customHeight="1">
      <c r="A437" s="13">
        <v>435.0</v>
      </c>
      <c r="B437" s="13" t="s">
        <v>44</v>
      </c>
      <c r="C437" s="13">
        <v>2.0</v>
      </c>
      <c r="D437" s="14">
        <v>0.0</v>
      </c>
      <c r="E437" s="13" t="s">
        <v>3014</v>
      </c>
      <c r="F437" s="15" t="s">
        <v>2958</v>
      </c>
      <c r="G437" s="16" t="s">
        <v>3015</v>
      </c>
      <c r="H437" s="13"/>
      <c r="I437" s="13">
        <v>1.0</v>
      </c>
      <c r="J437" s="13" t="s">
        <v>2243</v>
      </c>
      <c r="K437" s="13">
        <f t="shared" si="3"/>
        <v>0</v>
      </c>
      <c r="L437" s="13">
        <f t="shared" si="4"/>
        <v>3</v>
      </c>
      <c r="M437" s="13">
        <f t="shared" ref="M437:AA437" si="873">IFERROR(VALUE(RIGHT(LEFT($J437,FIND(M$1,$J437,1)+LEN(M$1)),1)),0)</f>
        <v>0</v>
      </c>
      <c r="N437" s="13">
        <f t="shared" si="873"/>
        <v>0</v>
      </c>
      <c r="O437" s="13">
        <f t="shared" si="873"/>
        <v>0</v>
      </c>
      <c r="P437" s="13">
        <f t="shared" si="873"/>
        <v>0</v>
      </c>
      <c r="Q437" s="13">
        <f t="shared" si="873"/>
        <v>0</v>
      </c>
      <c r="R437" s="13">
        <f t="shared" si="873"/>
        <v>0</v>
      </c>
      <c r="S437" s="13">
        <f t="shared" si="873"/>
        <v>0</v>
      </c>
      <c r="T437" s="13">
        <f t="shared" si="873"/>
        <v>0</v>
      </c>
      <c r="U437" s="13">
        <f t="shared" si="873"/>
        <v>0</v>
      </c>
      <c r="V437" s="13">
        <f t="shared" si="873"/>
        <v>0</v>
      </c>
      <c r="W437" s="13">
        <f t="shared" si="873"/>
        <v>0</v>
      </c>
      <c r="X437" s="13">
        <f t="shared" si="873"/>
        <v>0</v>
      </c>
      <c r="Y437" s="13">
        <f t="shared" si="873"/>
        <v>0</v>
      </c>
      <c r="Z437" s="13">
        <f t="shared" si="873"/>
        <v>0</v>
      </c>
      <c r="AA437" s="13">
        <f t="shared" si="873"/>
        <v>0</v>
      </c>
      <c r="AB437" s="13">
        <f t="shared" ref="AB437:AP437" si="874">IFERROR(VALUE(RIGHT(LEFT($J437,FIND(AB$1,$J437,IF(M437=0,1,FIND(AB$1,$J437,1)+1))+LEN(AB$1)),1)),0)</f>
        <v>0</v>
      </c>
      <c r="AC437" s="13">
        <f t="shared" si="874"/>
        <v>0</v>
      </c>
      <c r="AD437" s="13">
        <f t="shared" si="874"/>
        <v>0</v>
      </c>
      <c r="AE437" s="13">
        <f t="shared" si="874"/>
        <v>0</v>
      </c>
      <c r="AF437" s="13">
        <f t="shared" si="874"/>
        <v>1</v>
      </c>
      <c r="AG437" s="13">
        <f t="shared" si="874"/>
        <v>0</v>
      </c>
      <c r="AH437" s="13">
        <f t="shared" si="874"/>
        <v>2</v>
      </c>
      <c r="AI437" s="13">
        <f t="shared" si="874"/>
        <v>0</v>
      </c>
      <c r="AJ437" s="13">
        <f t="shared" si="874"/>
        <v>0</v>
      </c>
      <c r="AK437" s="13">
        <f t="shared" si="874"/>
        <v>0</v>
      </c>
      <c r="AL437" s="13">
        <f t="shared" si="874"/>
        <v>0</v>
      </c>
      <c r="AM437" s="13">
        <f t="shared" si="874"/>
        <v>0</v>
      </c>
      <c r="AN437" s="13">
        <f t="shared" si="874"/>
        <v>0</v>
      </c>
      <c r="AO437" s="13">
        <f t="shared" si="874"/>
        <v>0</v>
      </c>
      <c r="AP437" s="13">
        <f t="shared" si="874"/>
        <v>0</v>
      </c>
      <c r="AQ437" s="13" t="s">
        <v>3016</v>
      </c>
      <c r="AR437" s="13"/>
      <c r="AS437" s="13" t="s">
        <v>3017</v>
      </c>
      <c r="AT437" s="13"/>
      <c r="AU437" s="13"/>
      <c r="AV437" s="13"/>
      <c r="AW437" s="13">
        <v>0.0</v>
      </c>
      <c r="AX437" s="13">
        <v>4.0</v>
      </c>
      <c r="AY437" s="13">
        <v>0.0</v>
      </c>
      <c r="AZ437" s="13"/>
      <c r="BA437" s="13"/>
      <c r="BB437" s="13"/>
      <c r="BC437" s="13"/>
      <c r="BD437" s="13"/>
      <c r="BE437" s="13"/>
      <c r="BF437" s="13"/>
      <c r="BG437" s="13"/>
      <c r="BH437" s="13" t="s">
        <v>79</v>
      </c>
      <c r="BI437" s="13" t="b">
        <v>0</v>
      </c>
      <c r="BJ437" s="13">
        <v>0.0</v>
      </c>
      <c r="BK437" s="13">
        <v>0.0</v>
      </c>
    </row>
    <row r="438" ht="14.25" customHeight="1">
      <c r="A438" s="13">
        <v>436.0</v>
      </c>
      <c r="B438" s="13" t="s">
        <v>45</v>
      </c>
      <c r="C438" s="13">
        <v>2.0</v>
      </c>
      <c r="D438" s="14">
        <v>0.0</v>
      </c>
      <c r="E438" s="13" t="s">
        <v>3018</v>
      </c>
      <c r="F438" s="15" t="s">
        <v>2958</v>
      </c>
      <c r="G438" s="16" t="s">
        <v>3019</v>
      </c>
      <c r="H438" s="13"/>
      <c r="I438" s="13">
        <v>1.0</v>
      </c>
      <c r="J438" s="13" t="s">
        <v>1016</v>
      </c>
      <c r="K438" s="13">
        <f t="shared" si="3"/>
        <v>0</v>
      </c>
      <c r="L438" s="13">
        <f t="shared" si="4"/>
        <v>3</v>
      </c>
      <c r="M438" s="13">
        <f t="shared" ref="M438:AA438" si="875">IFERROR(VALUE(RIGHT(LEFT($J438,FIND(M$1,$J438,1)+LEN(M$1)),1)),0)</f>
        <v>0</v>
      </c>
      <c r="N438" s="13">
        <f t="shared" si="875"/>
        <v>0</v>
      </c>
      <c r="O438" s="13">
        <f t="shared" si="875"/>
        <v>0</v>
      </c>
      <c r="P438" s="13">
        <f t="shared" si="875"/>
        <v>0</v>
      </c>
      <c r="Q438" s="13">
        <f t="shared" si="875"/>
        <v>0</v>
      </c>
      <c r="R438" s="13">
        <f t="shared" si="875"/>
        <v>0</v>
      </c>
      <c r="S438" s="13">
        <f t="shared" si="875"/>
        <v>0</v>
      </c>
      <c r="T438" s="13">
        <f t="shared" si="875"/>
        <v>0</v>
      </c>
      <c r="U438" s="13">
        <f t="shared" si="875"/>
        <v>0</v>
      </c>
      <c r="V438" s="13">
        <f t="shared" si="875"/>
        <v>0</v>
      </c>
      <c r="W438" s="13">
        <f t="shared" si="875"/>
        <v>0</v>
      </c>
      <c r="X438" s="13">
        <f t="shared" si="875"/>
        <v>0</v>
      </c>
      <c r="Y438" s="13">
        <f t="shared" si="875"/>
        <v>0</v>
      </c>
      <c r="Z438" s="13">
        <f t="shared" si="875"/>
        <v>0</v>
      </c>
      <c r="AA438" s="13">
        <f t="shared" si="875"/>
        <v>0</v>
      </c>
      <c r="AB438" s="13">
        <f t="shared" ref="AB438:AP438" si="876">IFERROR(VALUE(RIGHT(LEFT($J438,FIND(AB$1,$J438,IF(M438=0,1,FIND(AB$1,$J438,1)+1))+LEN(AB$1)),1)),0)</f>
        <v>0</v>
      </c>
      <c r="AC438" s="13">
        <f t="shared" si="876"/>
        <v>0</v>
      </c>
      <c r="AD438" s="13">
        <f t="shared" si="876"/>
        <v>0</v>
      </c>
      <c r="AE438" s="13">
        <f t="shared" si="876"/>
        <v>1</v>
      </c>
      <c r="AF438" s="13">
        <f t="shared" si="876"/>
        <v>0</v>
      </c>
      <c r="AG438" s="13">
        <f t="shared" si="876"/>
        <v>0</v>
      </c>
      <c r="AH438" s="13">
        <f t="shared" si="876"/>
        <v>0</v>
      </c>
      <c r="AI438" s="13">
        <f t="shared" si="876"/>
        <v>2</v>
      </c>
      <c r="AJ438" s="13">
        <f t="shared" si="876"/>
        <v>0</v>
      </c>
      <c r="AK438" s="13">
        <f t="shared" si="876"/>
        <v>0</v>
      </c>
      <c r="AL438" s="13">
        <f t="shared" si="876"/>
        <v>0</v>
      </c>
      <c r="AM438" s="13">
        <f t="shared" si="876"/>
        <v>0</v>
      </c>
      <c r="AN438" s="13">
        <f t="shared" si="876"/>
        <v>0</v>
      </c>
      <c r="AO438" s="13">
        <f t="shared" si="876"/>
        <v>0</v>
      </c>
      <c r="AP438" s="13">
        <f t="shared" si="876"/>
        <v>0</v>
      </c>
      <c r="AQ438" s="13" t="s">
        <v>3020</v>
      </c>
      <c r="AR438" s="13"/>
      <c r="AS438" s="13" t="s">
        <v>3021</v>
      </c>
      <c r="AT438" s="13"/>
      <c r="AU438" s="13"/>
      <c r="AV438" s="13"/>
      <c r="AW438" s="13">
        <v>0.0</v>
      </c>
      <c r="AX438" s="13">
        <v>4.0</v>
      </c>
      <c r="AY438" s="13">
        <v>0.0</v>
      </c>
      <c r="AZ438" s="13"/>
      <c r="BA438" s="13"/>
      <c r="BB438" s="13"/>
      <c r="BC438" s="13"/>
      <c r="BD438" s="13"/>
      <c r="BE438" s="13"/>
      <c r="BF438" s="13"/>
      <c r="BG438" s="13"/>
      <c r="BH438" s="13" t="s">
        <v>79</v>
      </c>
      <c r="BI438" s="13" t="b">
        <v>0</v>
      </c>
      <c r="BJ438" s="13">
        <v>0.0</v>
      </c>
      <c r="BK438" s="13">
        <v>0.0</v>
      </c>
    </row>
    <row r="439" ht="14.25" customHeight="1">
      <c r="A439" s="13">
        <v>437.0</v>
      </c>
      <c r="B439" s="13" t="s">
        <v>46</v>
      </c>
      <c r="C439" s="13">
        <v>2.0</v>
      </c>
      <c r="D439" s="14">
        <v>0.0</v>
      </c>
      <c r="E439" s="13" t="s">
        <v>3022</v>
      </c>
      <c r="F439" s="15" t="s">
        <v>2958</v>
      </c>
      <c r="G439" s="16" t="s">
        <v>3023</v>
      </c>
      <c r="H439" s="13"/>
      <c r="I439" s="13">
        <v>0.9</v>
      </c>
      <c r="J439" s="13" t="s">
        <v>3024</v>
      </c>
      <c r="K439" s="13">
        <f t="shared" si="3"/>
        <v>0</v>
      </c>
      <c r="L439" s="13">
        <f t="shared" si="4"/>
        <v>3</v>
      </c>
      <c r="M439" s="13">
        <f t="shared" ref="M439:AA439" si="877">IFERROR(VALUE(RIGHT(LEFT($J439,FIND(M$1,$J439,1)+LEN(M$1)),1)),0)</f>
        <v>0</v>
      </c>
      <c r="N439" s="13">
        <f t="shared" si="877"/>
        <v>0</v>
      </c>
      <c r="O439" s="13">
        <f t="shared" si="877"/>
        <v>0</v>
      </c>
      <c r="P439" s="13">
        <f t="shared" si="877"/>
        <v>0</v>
      </c>
      <c r="Q439" s="13">
        <f t="shared" si="877"/>
        <v>0</v>
      </c>
      <c r="R439" s="13">
        <f t="shared" si="877"/>
        <v>0</v>
      </c>
      <c r="S439" s="13">
        <f t="shared" si="877"/>
        <v>0</v>
      </c>
      <c r="T439" s="13">
        <f t="shared" si="877"/>
        <v>0</v>
      </c>
      <c r="U439" s="13">
        <f t="shared" si="877"/>
        <v>0</v>
      </c>
      <c r="V439" s="13">
        <f t="shared" si="877"/>
        <v>0</v>
      </c>
      <c r="W439" s="13">
        <f t="shared" si="877"/>
        <v>0</v>
      </c>
      <c r="X439" s="13">
        <f t="shared" si="877"/>
        <v>0</v>
      </c>
      <c r="Y439" s="13">
        <f t="shared" si="877"/>
        <v>0</v>
      </c>
      <c r="Z439" s="13">
        <f t="shared" si="877"/>
        <v>0</v>
      </c>
      <c r="AA439" s="13">
        <f t="shared" si="877"/>
        <v>0</v>
      </c>
      <c r="AB439" s="13">
        <f t="shared" ref="AB439:AP439" si="878">IFERROR(VALUE(RIGHT(LEFT($J439,FIND(AB$1,$J439,IF(M439=0,1,FIND(AB$1,$J439,1)+1))+LEN(AB$1)),1)),0)</f>
        <v>1</v>
      </c>
      <c r="AC439" s="13">
        <f t="shared" si="878"/>
        <v>0</v>
      </c>
      <c r="AD439" s="13">
        <f t="shared" si="878"/>
        <v>0</v>
      </c>
      <c r="AE439" s="13">
        <f t="shared" si="878"/>
        <v>0</v>
      </c>
      <c r="AF439" s="13">
        <f t="shared" si="878"/>
        <v>0</v>
      </c>
      <c r="AG439" s="13">
        <f t="shared" si="878"/>
        <v>0</v>
      </c>
      <c r="AH439" s="13">
        <f t="shared" si="878"/>
        <v>0</v>
      </c>
      <c r="AI439" s="13">
        <f t="shared" si="878"/>
        <v>0</v>
      </c>
      <c r="AJ439" s="13">
        <f t="shared" si="878"/>
        <v>2</v>
      </c>
      <c r="AK439" s="13">
        <f t="shared" si="878"/>
        <v>0</v>
      </c>
      <c r="AL439" s="13">
        <f t="shared" si="878"/>
        <v>0</v>
      </c>
      <c r="AM439" s="13">
        <f t="shared" si="878"/>
        <v>0</v>
      </c>
      <c r="AN439" s="13">
        <f t="shared" si="878"/>
        <v>0</v>
      </c>
      <c r="AO439" s="13">
        <f t="shared" si="878"/>
        <v>0</v>
      </c>
      <c r="AP439" s="13">
        <f t="shared" si="878"/>
        <v>0</v>
      </c>
      <c r="AQ439" s="13" t="s">
        <v>3025</v>
      </c>
      <c r="AR439" s="13"/>
      <c r="AS439" s="13" t="s">
        <v>3026</v>
      </c>
      <c r="AT439" s="13"/>
      <c r="AU439" s="13"/>
      <c r="AV439" s="13"/>
      <c r="AW439" s="13">
        <v>0.0</v>
      </c>
      <c r="AX439" s="13">
        <v>4.0</v>
      </c>
      <c r="AY439" s="13">
        <v>0.0</v>
      </c>
      <c r="AZ439" s="13"/>
      <c r="BA439" s="13"/>
      <c r="BB439" s="13"/>
      <c r="BC439" s="13"/>
      <c r="BD439" s="13"/>
      <c r="BE439" s="13"/>
      <c r="BF439" s="13"/>
      <c r="BG439" s="13"/>
      <c r="BH439" s="13" t="s">
        <v>79</v>
      </c>
      <c r="BI439" s="13" t="b">
        <v>0</v>
      </c>
      <c r="BJ439" s="13">
        <v>0.0</v>
      </c>
      <c r="BK439" s="13">
        <v>0.0</v>
      </c>
    </row>
    <row r="440" ht="14.25" customHeight="1">
      <c r="A440" s="13">
        <v>438.0</v>
      </c>
      <c r="B440" s="13" t="s">
        <v>50</v>
      </c>
      <c r="C440" s="13">
        <v>2.0</v>
      </c>
      <c r="D440" s="14">
        <v>0.0</v>
      </c>
      <c r="E440" s="13" t="s">
        <v>3027</v>
      </c>
      <c r="F440" s="15" t="s">
        <v>2958</v>
      </c>
      <c r="G440" s="16" t="s">
        <v>3028</v>
      </c>
      <c r="H440" s="13">
        <v>15.0</v>
      </c>
      <c r="I440" s="13">
        <v>1.0</v>
      </c>
      <c r="J440" s="13" t="s">
        <v>2851</v>
      </c>
      <c r="K440" s="13">
        <f t="shared" si="3"/>
        <v>0</v>
      </c>
      <c r="L440" s="13">
        <f t="shared" si="4"/>
        <v>3</v>
      </c>
      <c r="M440" s="13">
        <f t="shared" ref="M440:AA440" si="879">IFERROR(VALUE(RIGHT(LEFT($J440,FIND(M$1,$J440,1)+LEN(M$1)),1)),0)</f>
        <v>0</v>
      </c>
      <c r="N440" s="13">
        <f t="shared" si="879"/>
        <v>0</v>
      </c>
      <c r="O440" s="13">
        <f t="shared" si="879"/>
        <v>0</v>
      </c>
      <c r="P440" s="13">
        <f t="shared" si="879"/>
        <v>0</v>
      </c>
      <c r="Q440" s="13">
        <f t="shared" si="879"/>
        <v>0</v>
      </c>
      <c r="R440" s="13">
        <f t="shared" si="879"/>
        <v>0</v>
      </c>
      <c r="S440" s="13">
        <f t="shared" si="879"/>
        <v>0</v>
      </c>
      <c r="T440" s="13">
        <f t="shared" si="879"/>
        <v>0</v>
      </c>
      <c r="U440" s="13">
        <f t="shared" si="879"/>
        <v>0</v>
      </c>
      <c r="V440" s="13">
        <f t="shared" si="879"/>
        <v>0</v>
      </c>
      <c r="W440" s="13">
        <f t="shared" si="879"/>
        <v>0</v>
      </c>
      <c r="X440" s="13">
        <f t="shared" si="879"/>
        <v>0</v>
      </c>
      <c r="Y440" s="13">
        <f t="shared" si="879"/>
        <v>0</v>
      </c>
      <c r="Z440" s="13">
        <f t="shared" si="879"/>
        <v>0</v>
      </c>
      <c r="AA440" s="13">
        <f t="shared" si="879"/>
        <v>0</v>
      </c>
      <c r="AB440" s="13">
        <f t="shared" ref="AB440:AP440" si="880">IFERROR(VALUE(RIGHT(LEFT($J440,FIND(AB$1,$J440,IF(M440=0,1,FIND(AB$1,$J440,1)+1))+LEN(AB$1)),1)),0)</f>
        <v>0</v>
      </c>
      <c r="AC440" s="13">
        <f t="shared" si="880"/>
        <v>0</v>
      </c>
      <c r="AD440" s="13">
        <f t="shared" si="880"/>
        <v>0</v>
      </c>
      <c r="AE440" s="13">
        <f t="shared" si="880"/>
        <v>0</v>
      </c>
      <c r="AF440" s="13">
        <f t="shared" si="880"/>
        <v>2</v>
      </c>
      <c r="AG440" s="13">
        <f t="shared" si="880"/>
        <v>0</v>
      </c>
      <c r="AH440" s="13">
        <f t="shared" si="880"/>
        <v>0</v>
      </c>
      <c r="AI440" s="13">
        <f t="shared" si="880"/>
        <v>0</v>
      </c>
      <c r="AJ440" s="13">
        <f t="shared" si="880"/>
        <v>0</v>
      </c>
      <c r="AK440" s="13">
        <f t="shared" si="880"/>
        <v>0</v>
      </c>
      <c r="AL440" s="13">
        <f t="shared" si="880"/>
        <v>0</v>
      </c>
      <c r="AM440" s="13">
        <f t="shared" si="880"/>
        <v>0</v>
      </c>
      <c r="AN440" s="13">
        <f t="shared" si="880"/>
        <v>1</v>
      </c>
      <c r="AO440" s="13">
        <f t="shared" si="880"/>
        <v>0</v>
      </c>
      <c r="AP440" s="13">
        <f t="shared" si="880"/>
        <v>0</v>
      </c>
      <c r="AQ440" s="13"/>
      <c r="AR440" s="13" t="s">
        <v>3029</v>
      </c>
      <c r="AS440" s="13" t="s">
        <v>2852</v>
      </c>
      <c r="AT440" s="13" t="s">
        <v>162</v>
      </c>
      <c r="AU440" s="13" t="s">
        <v>3030</v>
      </c>
      <c r="AV440" s="13" t="s">
        <v>3031</v>
      </c>
      <c r="AW440" s="13">
        <v>5.0</v>
      </c>
      <c r="AX440" s="13">
        <v>4.0</v>
      </c>
      <c r="AY440" s="13">
        <v>0.0</v>
      </c>
      <c r="AZ440" s="13" t="s">
        <v>3032</v>
      </c>
      <c r="BA440" s="13" t="s">
        <v>1088</v>
      </c>
      <c r="BB440" s="13"/>
      <c r="BC440" s="13"/>
      <c r="BD440" s="13" t="s">
        <v>230</v>
      </c>
      <c r="BE440" s="13"/>
      <c r="BF440" s="13" t="s">
        <v>3033</v>
      </c>
      <c r="BG440" s="13" t="s">
        <v>50</v>
      </c>
      <c r="BH440" s="13" t="s">
        <v>79</v>
      </c>
      <c r="BI440" s="13" t="b">
        <v>0</v>
      </c>
      <c r="BJ440" s="13">
        <v>0.0</v>
      </c>
      <c r="BK440" s="13">
        <v>0.0</v>
      </c>
    </row>
    <row r="441" ht="14.25" customHeight="1">
      <c r="A441" s="13">
        <v>439.0</v>
      </c>
      <c r="B441" s="13" t="s">
        <v>50</v>
      </c>
      <c r="C441" s="13">
        <v>2.0</v>
      </c>
      <c r="D441" s="14">
        <v>0.0</v>
      </c>
      <c r="E441" s="13" t="s">
        <v>3034</v>
      </c>
      <c r="F441" s="15" t="s">
        <v>2958</v>
      </c>
      <c r="G441" s="16" t="s">
        <v>3035</v>
      </c>
      <c r="H441" s="13">
        <v>16.0</v>
      </c>
      <c r="I441" s="13">
        <v>1.0</v>
      </c>
      <c r="J441" s="13" t="s">
        <v>1387</v>
      </c>
      <c r="K441" s="13">
        <f t="shared" si="3"/>
        <v>0</v>
      </c>
      <c r="L441" s="13">
        <f t="shared" si="4"/>
        <v>3</v>
      </c>
      <c r="M441" s="13">
        <f t="shared" ref="M441:AA441" si="881">IFERROR(VALUE(RIGHT(LEFT($J441,FIND(M$1,$J441,1)+LEN(M$1)),1)),0)</f>
        <v>0</v>
      </c>
      <c r="N441" s="13">
        <f t="shared" si="881"/>
        <v>0</v>
      </c>
      <c r="O441" s="13">
        <f t="shared" si="881"/>
        <v>0</v>
      </c>
      <c r="P441" s="13">
        <f t="shared" si="881"/>
        <v>0</v>
      </c>
      <c r="Q441" s="13">
        <f t="shared" si="881"/>
        <v>0</v>
      </c>
      <c r="R441" s="13">
        <f t="shared" si="881"/>
        <v>0</v>
      </c>
      <c r="S441" s="13">
        <f t="shared" si="881"/>
        <v>0</v>
      </c>
      <c r="T441" s="13">
        <f t="shared" si="881"/>
        <v>0</v>
      </c>
      <c r="U441" s="13">
        <f t="shared" si="881"/>
        <v>0</v>
      </c>
      <c r="V441" s="13">
        <f t="shared" si="881"/>
        <v>0</v>
      </c>
      <c r="W441" s="13">
        <f t="shared" si="881"/>
        <v>0</v>
      </c>
      <c r="X441" s="13">
        <f t="shared" si="881"/>
        <v>0</v>
      </c>
      <c r="Y441" s="13">
        <f t="shared" si="881"/>
        <v>0</v>
      </c>
      <c r="Z441" s="13">
        <f t="shared" si="881"/>
        <v>0</v>
      </c>
      <c r="AA441" s="13">
        <f t="shared" si="881"/>
        <v>0</v>
      </c>
      <c r="AB441" s="13">
        <f t="shared" ref="AB441:AP441" si="882">IFERROR(VALUE(RIGHT(LEFT($J441,FIND(AB$1,$J441,IF(M441=0,1,FIND(AB$1,$J441,1)+1))+LEN(AB$1)),1)),0)</f>
        <v>0</v>
      </c>
      <c r="AC441" s="13">
        <f t="shared" si="882"/>
        <v>0</v>
      </c>
      <c r="AD441" s="13">
        <f t="shared" si="882"/>
        <v>0</v>
      </c>
      <c r="AE441" s="13">
        <f t="shared" si="882"/>
        <v>1</v>
      </c>
      <c r="AF441" s="13">
        <f t="shared" si="882"/>
        <v>0</v>
      </c>
      <c r="AG441" s="13">
        <f t="shared" si="882"/>
        <v>0</v>
      </c>
      <c r="AH441" s="13">
        <f t="shared" si="882"/>
        <v>0</v>
      </c>
      <c r="AI441" s="13">
        <f t="shared" si="882"/>
        <v>0</v>
      </c>
      <c r="AJ441" s="13">
        <f t="shared" si="882"/>
        <v>0</v>
      </c>
      <c r="AK441" s="13">
        <f t="shared" si="882"/>
        <v>0</v>
      </c>
      <c r="AL441" s="13">
        <f t="shared" si="882"/>
        <v>0</v>
      </c>
      <c r="AM441" s="13">
        <f t="shared" si="882"/>
        <v>0</v>
      </c>
      <c r="AN441" s="13">
        <f t="shared" si="882"/>
        <v>2</v>
      </c>
      <c r="AO441" s="13">
        <f t="shared" si="882"/>
        <v>0</v>
      </c>
      <c r="AP441" s="13">
        <f t="shared" si="882"/>
        <v>0</v>
      </c>
      <c r="AQ441" s="13"/>
      <c r="AR441" s="13" t="s">
        <v>3036</v>
      </c>
      <c r="AS441" s="13" t="s">
        <v>1360</v>
      </c>
      <c r="AT441" s="13" t="s">
        <v>162</v>
      </c>
      <c r="AU441" s="13" t="s">
        <v>236</v>
      </c>
      <c r="AV441" s="13" t="s">
        <v>3037</v>
      </c>
      <c r="AW441" s="13">
        <v>7.0</v>
      </c>
      <c r="AX441" s="13">
        <v>4.0</v>
      </c>
      <c r="AY441" s="13">
        <v>0.0</v>
      </c>
      <c r="AZ441" s="13" t="s">
        <v>3038</v>
      </c>
      <c r="BA441" s="13" t="s">
        <v>3039</v>
      </c>
      <c r="BB441" s="13"/>
      <c r="BC441" s="13"/>
      <c r="BD441" s="13" t="s">
        <v>239</v>
      </c>
      <c r="BE441" s="13"/>
      <c r="BF441" s="13" t="s">
        <v>3040</v>
      </c>
      <c r="BG441" s="13" t="s">
        <v>50</v>
      </c>
      <c r="BH441" s="13" t="s">
        <v>79</v>
      </c>
      <c r="BI441" s="13" t="b">
        <v>0</v>
      </c>
      <c r="BJ441" s="13">
        <v>0.0</v>
      </c>
      <c r="BK441" s="13">
        <v>0.0</v>
      </c>
    </row>
    <row r="442" ht="14.25" customHeight="1">
      <c r="A442" s="13">
        <v>440.0</v>
      </c>
      <c r="B442" s="13" t="s">
        <v>50</v>
      </c>
      <c r="C442" s="13">
        <v>2.0</v>
      </c>
      <c r="D442" s="14">
        <v>0.0</v>
      </c>
      <c r="E442" s="13" t="s">
        <v>3041</v>
      </c>
      <c r="F442" s="15" t="s">
        <v>2958</v>
      </c>
      <c r="G442" s="16" t="s">
        <v>3042</v>
      </c>
      <c r="H442" s="13">
        <v>17.0</v>
      </c>
      <c r="I442" s="13">
        <v>0.9</v>
      </c>
      <c r="J442" s="13" t="s">
        <v>3043</v>
      </c>
      <c r="K442" s="13">
        <f t="shared" si="3"/>
        <v>0</v>
      </c>
      <c r="L442" s="13">
        <f t="shared" si="4"/>
        <v>3</v>
      </c>
      <c r="M442" s="13">
        <f t="shared" ref="M442:AA442" si="883">IFERROR(VALUE(RIGHT(LEFT($J442,FIND(M$1,$J442,1)+LEN(M$1)),1)),0)</f>
        <v>0</v>
      </c>
      <c r="N442" s="13">
        <f t="shared" si="883"/>
        <v>0</v>
      </c>
      <c r="O442" s="13">
        <f t="shared" si="883"/>
        <v>0</v>
      </c>
      <c r="P442" s="13">
        <f t="shared" si="883"/>
        <v>0</v>
      </c>
      <c r="Q442" s="13">
        <f t="shared" si="883"/>
        <v>0</v>
      </c>
      <c r="R442" s="13">
        <f t="shared" si="883"/>
        <v>0</v>
      </c>
      <c r="S442" s="13">
        <f t="shared" si="883"/>
        <v>0</v>
      </c>
      <c r="T442" s="13">
        <f t="shared" si="883"/>
        <v>0</v>
      </c>
      <c r="U442" s="13">
        <f t="shared" si="883"/>
        <v>0</v>
      </c>
      <c r="V442" s="13">
        <f t="shared" si="883"/>
        <v>0</v>
      </c>
      <c r="W442" s="13">
        <f t="shared" si="883"/>
        <v>0</v>
      </c>
      <c r="X442" s="13">
        <f t="shared" si="883"/>
        <v>0</v>
      </c>
      <c r="Y442" s="13">
        <f t="shared" si="883"/>
        <v>0</v>
      </c>
      <c r="Z442" s="13">
        <f t="shared" si="883"/>
        <v>0</v>
      </c>
      <c r="AA442" s="13">
        <f t="shared" si="883"/>
        <v>0</v>
      </c>
      <c r="AB442" s="13">
        <f t="shared" ref="AB442:AP442" si="884">IFERROR(VALUE(RIGHT(LEFT($J442,FIND(AB$1,$J442,IF(M442=0,1,FIND(AB$1,$J442,1)+1))+LEN(AB$1)),1)),0)</f>
        <v>2</v>
      </c>
      <c r="AC442" s="13">
        <f t="shared" si="884"/>
        <v>0</v>
      </c>
      <c r="AD442" s="13">
        <f t="shared" si="884"/>
        <v>0</v>
      </c>
      <c r="AE442" s="13">
        <f t="shared" si="884"/>
        <v>0</v>
      </c>
      <c r="AF442" s="13">
        <f t="shared" si="884"/>
        <v>0</v>
      </c>
      <c r="AG442" s="13">
        <f t="shared" si="884"/>
        <v>0</v>
      </c>
      <c r="AH442" s="13">
        <f t="shared" si="884"/>
        <v>0</v>
      </c>
      <c r="AI442" s="13">
        <f t="shared" si="884"/>
        <v>0</v>
      </c>
      <c r="AJ442" s="13">
        <f t="shared" si="884"/>
        <v>0</v>
      </c>
      <c r="AK442" s="13">
        <f t="shared" si="884"/>
        <v>0</v>
      </c>
      <c r="AL442" s="13">
        <f t="shared" si="884"/>
        <v>0</v>
      </c>
      <c r="AM442" s="13">
        <f t="shared" si="884"/>
        <v>0</v>
      </c>
      <c r="AN442" s="13">
        <f t="shared" si="884"/>
        <v>1</v>
      </c>
      <c r="AO442" s="13">
        <f t="shared" si="884"/>
        <v>0</v>
      </c>
      <c r="AP442" s="13">
        <f t="shared" si="884"/>
        <v>0</v>
      </c>
      <c r="AQ442" s="13"/>
      <c r="AR442" s="13" t="s">
        <v>3044</v>
      </c>
      <c r="AS442" s="13" t="s">
        <v>3045</v>
      </c>
      <c r="AT442" s="13" t="s">
        <v>1221</v>
      </c>
      <c r="AU442" s="13" t="s">
        <v>130</v>
      </c>
      <c r="AV442" s="13" t="s">
        <v>3046</v>
      </c>
      <c r="AW442" s="13">
        <v>6.0</v>
      </c>
      <c r="AX442" s="13">
        <v>4.0</v>
      </c>
      <c r="AY442" s="13">
        <v>0.0</v>
      </c>
      <c r="AZ442" s="13" t="s">
        <v>3047</v>
      </c>
      <c r="BA442" s="13" t="s">
        <v>796</v>
      </c>
      <c r="BB442" s="13"/>
      <c r="BC442" s="13"/>
      <c r="BD442" s="13" t="s">
        <v>239</v>
      </c>
      <c r="BE442" s="13"/>
      <c r="BF442" s="13" t="s">
        <v>3048</v>
      </c>
      <c r="BG442" s="13" t="s">
        <v>50</v>
      </c>
      <c r="BH442" s="13" t="s">
        <v>79</v>
      </c>
      <c r="BI442" s="13" t="b">
        <v>0</v>
      </c>
      <c r="BJ442" s="13">
        <v>0.0</v>
      </c>
      <c r="BK442" s="13">
        <v>0.0</v>
      </c>
    </row>
    <row r="443" ht="14.25" customHeight="1">
      <c r="A443" s="13">
        <v>441.0</v>
      </c>
      <c r="B443" s="13" t="s">
        <v>49</v>
      </c>
      <c r="C443" s="13">
        <v>2.0</v>
      </c>
      <c r="D443" s="14">
        <v>0.0</v>
      </c>
      <c r="E443" s="13" t="s">
        <v>3049</v>
      </c>
      <c r="F443" s="15" t="s">
        <v>2958</v>
      </c>
      <c r="G443" s="16" t="s">
        <v>3050</v>
      </c>
      <c r="H443" s="13">
        <v>18.0</v>
      </c>
      <c r="I443" s="13">
        <v>1.1</v>
      </c>
      <c r="J443" s="13" t="s">
        <v>1270</v>
      </c>
      <c r="K443" s="13">
        <f t="shared" si="3"/>
        <v>0</v>
      </c>
      <c r="L443" s="13">
        <f t="shared" si="4"/>
        <v>3</v>
      </c>
      <c r="M443" s="13">
        <f t="shared" ref="M443:AA443" si="885">IFERROR(VALUE(RIGHT(LEFT($J443,FIND(M$1,$J443,1)+LEN(M$1)),1)),0)</f>
        <v>0</v>
      </c>
      <c r="N443" s="13">
        <f t="shared" si="885"/>
        <v>0</v>
      </c>
      <c r="O443" s="13">
        <f t="shared" si="885"/>
        <v>0</v>
      </c>
      <c r="P443" s="13">
        <f t="shared" si="885"/>
        <v>0</v>
      </c>
      <c r="Q443" s="13">
        <f t="shared" si="885"/>
        <v>0</v>
      </c>
      <c r="R443" s="13">
        <f t="shared" si="885"/>
        <v>0</v>
      </c>
      <c r="S443" s="13">
        <f t="shared" si="885"/>
        <v>0</v>
      </c>
      <c r="T443" s="13">
        <f t="shared" si="885"/>
        <v>0</v>
      </c>
      <c r="U443" s="13">
        <f t="shared" si="885"/>
        <v>0</v>
      </c>
      <c r="V443" s="13">
        <f t="shared" si="885"/>
        <v>0</v>
      </c>
      <c r="W443" s="13">
        <f t="shared" si="885"/>
        <v>0</v>
      </c>
      <c r="X443" s="13">
        <f t="shared" si="885"/>
        <v>0</v>
      </c>
      <c r="Y443" s="13">
        <f t="shared" si="885"/>
        <v>0</v>
      </c>
      <c r="Z443" s="13">
        <f t="shared" si="885"/>
        <v>0</v>
      </c>
      <c r="AA443" s="13">
        <f t="shared" si="885"/>
        <v>0</v>
      </c>
      <c r="AB443" s="13">
        <f t="shared" ref="AB443:AP443" si="886">IFERROR(VALUE(RIGHT(LEFT($J443,FIND(AB$1,$J443,IF(M443=0,1,FIND(AB$1,$J443,1)+1))+LEN(AB$1)),1)),0)</f>
        <v>1</v>
      </c>
      <c r="AC443" s="13">
        <f t="shared" si="886"/>
        <v>0</v>
      </c>
      <c r="AD443" s="13">
        <f t="shared" si="886"/>
        <v>0</v>
      </c>
      <c r="AE443" s="13">
        <f t="shared" si="886"/>
        <v>0</v>
      </c>
      <c r="AF443" s="13">
        <f t="shared" si="886"/>
        <v>0</v>
      </c>
      <c r="AG443" s="13">
        <f t="shared" si="886"/>
        <v>0</v>
      </c>
      <c r="AH443" s="13">
        <f t="shared" si="886"/>
        <v>0</v>
      </c>
      <c r="AI443" s="13">
        <f t="shared" si="886"/>
        <v>0</v>
      </c>
      <c r="AJ443" s="13">
        <f t="shared" si="886"/>
        <v>0</v>
      </c>
      <c r="AK443" s="13">
        <f t="shared" si="886"/>
        <v>0</v>
      </c>
      <c r="AL443" s="13">
        <f t="shared" si="886"/>
        <v>0</v>
      </c>
      <c r="AM443" s="13">
        <f t="shared" si="886"/>
        <v>2</v>
      </c>
      <c r="AN443" s="13">
        <f t="shared" si="886"/>
        <v>0</v>
      </c>
      <c r="AO443" s="13">
        <f t="shared" si="886"/>
        <v>0</v>
      </c>
      <c r="AP443" s="13">
        <f t="shared" si="886"/>
        <v>0</v>
      </c>
      <c r="AQ443" s="13"/>
      <c r="AR443" s="13" t="s">
        <v>1271</v>
      </c>
      <c r="AS443" s="13" t="s">
        <v>1272</v>
      </c>
      <c r="AT443" s="13" t="s">
        <v>162</v>
      </c>
      <c r="AU443" s="13" t="s">
        <v>163</v>
      </c>
      <c r="AV443" s="13" t="s">
        <v>3051</v>
      </c>
      <c r="AW443" s="13">
        <v>8.0</v>
      </c>
      <c r="AX443" s="13">
        <v>4.0</v>
      </c>
      <c r="AY443" s="13">
        <v>0.0</v>
      </c>
      <c r="AZ443" s="13" t="s">
        <v>1419</v>
      </c>
      <c r="BA443" s="13" t="s">
        <v>229</v>
      </c>
      <c r="BB443" s="13"/>
      <c r="BC443" s="13"/>
      <c r="BD443" s="13" t="s">
        <v>199</v>
      </c>
      <c r="BE443" s="13"/>
      <c r="BF443" s="13" t="s">
        <v>3052</v>
      </c>
      <c r="BG443" s="13" t="s">
        <v>201</v>
      </c>
      <c r="BH443" s="13" t="s">
        <v>79</v>
      </c>
      <c r="BI443" s="13" t="b">
        <v>0</v>
      </c>
      <c r="BJ443" s="13">
        <v>0.0</v>
      </c>
      <c r="BK443" s="13">
        <v>0.0</v>
      </c>
    </row>
    <row r="444" ht="14.25" customHeight="1">
      <c r="A444" s="13">
        <v>442.0</v>
      </c>
      <c r="B444" s="13" t="s">
        <v>44</v>
      </c>
      <c r="C444" s="13">
        <v>3.0</v>
      </c>
      <c r="D444" s="14">
        <v>0.0</v>
      </c>
      <c r="E444" s="13" t="s">
        <v>3053</v>
      </c>
      <c r="F444" s="15" t="s">
        <v>2958</v>
      </c>
      <c r="G444" s="16" t="s">
        <v>3054</v>
      </c>
      <c r="H444" s="13"/>
      <c r="I444" s="13">
        <v>1.0</v>
      </c>
      <c r="J444" s="13" t="s">
        <v>2272</v>
      </c>
      <c r="K444" s="13">
        <f t="shared" si="3"/>
        <v>1</v>
      </c>
      <c r="L444" s="13">
        <f t="shared" si="4"/>
        <v>2</v>
      </c>
      <c r="M444" s="13">
        <f t="shared" ref="M444:AA444" si="887">IFERROR(VALUE(RIGHT(LEFT($J444,FIND(M$1,$J444,1)+LEN(M$1)),1)),0)</f>
        <v>0</v>
      </c>
      <c r="N444" s="13">
        <f t="shared" si="887"/>
        <v>0</v>
      </c>
      <c r="O444" s="13">
        <f t="shared" si="887"/>
        <v>0</v>
      </c>
      <c r="P444" s="13">
        <f t="shared" si="887"/>
        <v>0</v>
      </c>
      <c r="Q444" s="13">
        <f t="shared" si="887"/>
        <v>0</v>
      </c>
      <c r="R444" s="13">
        <f t="shared" si="887"/>
        <v>0</v>
      </c>
      <c r="S444" s="13">
        <f t="shared" si="887"/>
        <v>1</v>
      </c>
      <c r="T444" s="13">
        <f t="shared" si="887"/>
        <v>0</v>
      </c>
      <c r="U444" s="13">
        <f t="shared" si="887"/>
        <v>0</v>
      </c>
      <c r="V444" s="13">
        <f t="shared" si="887"/>
        <v>0</v>
      </c>
      <c r="W444" s="13">
        <f t="shared" si="887"/>
        <v>0</v>
      </c>
      <c r="X444" s="13">
        <f t="shared" si="887"/>
        <v>0</v>
      </c>
      <c r="Y444" s="13">
        <f t="shared" si="887"/>
        <v>0</v>
      </c>
      <c r="Z444" s="13">
        <f t="shared" si="887"/>
        <v>0</v>
      </c>
      <c r="AA444" s="13">
        <f t="shared" si="887"/>
        <v>0</v>
      </c>
      <c r="AB444" s="13">
        <f t="shared" ref="AB444:AP444" si="888">IFERROR(VALUE(RIGHT(LEFT($J444,FIND(AB$1,$J444,IF(M444=0,1,FIND(AB$1,$J444,1)+1))+LEN(AB$1)),1)),0)</f>
        <v>0</v>
      </c>
      <c r="AC444" s="13">
        <f t="shared" si="888"/>
        <v>0</v>
      </c>
      <c r="AD444" s="13">
        <f t="shared" si="888"/>
        <v>0</v>
      </c>
      <c r="AE444" s="13">
        <f t="shared" si="888"/>
        <v>0</v>
      </c>
      <c r="AF444" s="13">
        <f t="shared" si="888"/>
        <v>1</v>
      </c>
      <c r="AG444" s="13">
        <f t="shared" si="888"/>
        <v>0</v>
      </c>
      <c r="AH444" s="13">
        <f t="shared" si="888"/>
        <v>1</v>
      </c>
      <c r="AI444" s="13">
        <f t="shared" si="888"/>
        <v>0</v>
      </c>
      <c r="AJ444" s="13">
        <f t="shared" si="888"/>
        <v>0</v>
      </c>
      <c r="AK444" s="13">
        <f t="shared" si="888"/>
        <v>0</v>
      </c>
      <c r="AL444" s="13">
        <f t="shared" si="888"/>
        <v>0</v>
      </c>
      <c r="AM444" s="13">
        <f t="shared" si="888"/>
        <v>0</v>
      </c>
      <c r="AN444" s="13">
        <f t="shared" si="888"/>
        <v>0</v>
      </c>
      <c r="AO444" s="13">
        <f t="shared" si="888"/>
        <v>0</v>
      </c>
      <c r="AP444" s="13">
        <f t="shared" si="888"/>
        <v>0</v>
      </c>
      <c r="AQ444" s="13" t="s">
        <v>3055</v>
      </c>
      <c r="AR444" s="13"/>
      <c r="AS444" s="13" t="s">
        <v>3056</v>
      </c>
      <c r="AT444" s="13"/>
      <c r="AU444" s="13"/>
      <c r="AV444" s="13"/>
      <c r="AW444" s="13">
        <v>0.0</v>
      </c>
      <c r="AX444" s="13">
        <v>4.0</v>
      </c>
      <c r="AY444" s="13">
        <v>0.0</v>
      </c>
      <c r="AZ444" s="13"/>
      <c r="BA444" s="13"/>
      <c r="BB444" s="13"/>
      <c r="BC444" s="13"/>
      <c r="BD444" s="13"/>
      <c r="BE444" s="13"/>
      <c r="BF444" s="13"/>
      <c r="BG444" s="13"/>
      <c r="BH444" s="13" t="s">
        <v>79</v>
      </c>
      <c r="BI444" s="13" t="b">
        <v>0</v>
      </c>
      <c r="BJ444" s="13">
        <v>0.0</v>
      </c>
      <c r="BK444" s="13">
        <v>0.0</v>
      </c>
    </row>
    <row r="445" ht="14.25" customHeight="1">
      <c r="A445" s="13">
        <v>443.0</v>
      </c>
      <c r="B445" s="13" t="s">
        <v>45</v>
      </c>
      <c r="C445" s="13">
        <v>3.0</v>
      </c>
      <c r="D445" s="14">
        <v>0.0</v>
      </c>
      <c r="E445" s="13" t="s">
        <v>3057</v>
      </c>
      <c r="F445" s="15" t="s">
        <v>2958</v>
      </c>
      <c r="G445" s="16" t="s">
        <v>3058</v>
      </c>
      <c r="H445" s="13"/>
      <c r="I445" s="13">
        <v>1.1</v>
      </c>
      <c r="J445" s="13" t="s">
        <v>3059</v>
      </c>
      <c r="K445" s="13">
        <f t="shared" si="3"/>
        <v>1</v>
      </c>
      <c r="L445" s="13">
        <f t="shared" si="4"/>
        <v>2</v>
      </c>
      <c r="M445" s="13">
        <f t="shared" ref="M445:AA445" si="889">IFERROR(VALUE(RIGHT(LEFT($J445,FIND(M$1,$J445,1)+LEN(M$1)),1)),0)</f>
        <v>0</v>
      </c>
      <c r="N445" s="13">
        <f t="shared" si="889"/>
        <v>0</v>
      </c>
      <c r="O445" s="13">
        <f t="shared" si="889"/>
        <v>0</v>
      </c>
      <c r="P445" s="13">
        <f t="shared" si="889"/>
        <v>0</v>
      </c>
      <c r="Q445" s="13">
        <f t="shared" si="889"/>
        <v>1</v>
      </c>
      <c r="R445" s="13">
        <f t="shared" si="889"/>
        <v>0</v>
      </c>
      <c r="S445" s="13">
        <f t="shared" si="889"/>
        <v>0</v>
      </c>
      <c r="T445" s="13">
        <f t="shared" si="889"/>
        <v>0</v>
      </c>
      <c r="U445" s="13">
        <f t="shared" si="889"/>
        <v>0</v>
      </c>
      <c r="V445" s="13">
        <f t="shared" si="889"/>
        <v>0</v>
      </c>
      <c r="W445" s="13">
        <f t="shared" si="889"/>
        <v>0</v>
      </c>
      <c r="X445" s="13">
        <f t="shared" si="889"/>
        <v>0</v>
      </c>
      <c r="Y445" s="13">
        <f t="shared" si="889"/>
        <v>0</v>
      </c>
      <c r="Z445" s="13">
        <f t="shared" si="889"/>
        <v>0</v>
      </c>
      <c r="AA445" s="13">
        <f t="shared" si="889"/>
        <v>0</v>
      </c>
      <c r="AB445" s="13">
        <f t="shared" ref="AB445:AP445" si="890">IFERROR(VALUE(RIGHT(LEFT($J445,FIND(AB$1,$J445,IF(M445=0,1,FIND(AB$1,$J445,1)+1))+LEN(AB$1)),1)),0)</f>
        <v>1</v>
      </c>
      <c r="AC445" s="13">
        <f t="shared" si="890"/>
        <v>0</v>
      </c>
      <c r="AD445" s="13">
        <f t="shared" si="890"/>
        <v>0</v>
      </c>
      <c r="AE445" s="13">
        <f t="shared" si="890"/>
        <v>0</v>
      </c>
      <c r="AF445" s="13">
        <f t="shared" si="890"/>
        <v>0</v>
      </c>
      <c r="AG445" s="13">
        <f t="shared" si="890"/>
        <v>0</v>
      </c>
      <c r="AH445" s="13">
        <f t="shared" si="890"/>
        <v>0</v>
      </c>
      <c r="AI445" s="13">
        <f t="shared" si="890"/>
        <v>1</v>
      </c>
      <c r="AJ445" s="13">
        <f t="shared" si="890"/>
        <v>0</v>
      </c>
      <c r="AK445" s="13">
        <f t="shared" si="890"/>
        <v>0</v>
      </c>
      <c r="AL445" s="13">
        <f t="shared" si="890"/>
        <v>0</v>
      </c>
      <c r="AM445" s="13">
        <f t="shared" si="890"/>
        <v>0</v>
      </c>
      <c r="AN445" s="13">
        <f t="shared" si="890"/>
        <v>0</v>
      </c>
      <c r="AO445" s="13">
        <f t="shared" si="890"/>
        <v>0</v>
      </c>
      <c r="AP445" s="13">
        <f t="shared" si="890"/>
        <v>0</v>
      </c>
      <c r="AQ445" s="13" t="s">
        <v>3060</v>
      </c>
      <c r="AR445" s="13"/>
      <c r="AS445" s="13" t="s">
        <v>3061</v>
      </c>
      <c r="AT445" s="13"/>
      <c r="AU445" s="13"/>
      <c r="AV445" s="13"/>
      <c r="AW445" s="13">
        <v>0.0</v>
      </c>
      <c r="AX445" s="13">
        <v>4.0</v>
      </c>
      <c r="AY445" s="13">
        <v>0.0</v>
      </c>
      <c r="AZ445" s="13"/>
      <c r="BA445" s="13"/>
      <c r="BB445" s="13"/>
      <c r="BC445" s="13"/>
      <c r="BD445" s="13"/>
      <c r="BE445" s="13"/>
      <c r="BF445" s="13"/>
      <c r="BG445" s="13"/>
      <c r="BH445" s="13" t="s">
        <v>79</v>
      </c>
      <c r="BI445" s="13" t="b">
        <v>0</v>
      </c>
      <c r="BJ445" s="13">
        <v>0.0</v>
      </c>
      <c r="BK445" s="13">
        <v>0.0</v>
      </c>
    </row>
    <row r="446" ht="14.25" customHeight="1">
      <c r="A446" s="13">
        <v>444.0</v>
      </c>
      <c r="B446" s="13" t="s">
        <v>46</v>
      </c>
      <c r="C446" s="13">
        <v>3.0</v>
      </c>
      <c r="D446" s="14">
        <v>0.0</v>
      </c>
      <c r="E446" s="13" t="s">
        <v>3062</v>
      </c>
      <c r="F446" s="15" t="s">
        <v>2958</v>
      </c>
      <c r="G446" s="16" t="s">
        <v>3063</v>
      </c>
      <c r="H446" s="13"/>
      <c r="I446" s="13">
        <v>1.1</v>
      </c>
      <c r="J446" s="13" t="s">
        <v>1619</v>
      </c>
      <c r="K446" s="13">
        <f t="shared" si="3"/>
        <v>1</v>
      </c>
      <c r="L446" s="13">
        <f t="shared" si="4"/>
        <v>2</v>
      </c>
      <c r="M446" s="13">
        <f t="shared" ref="M446:AA446" si="891">IFERROR(VALUE(RIGHT(LEFT($J446,FIND(M$1,$J446,1)+LEN(M$1)),1)),0)</f>
        <v>0</v>
      </c>
      <c r="N446" s="13">
        <f t="shared" si="891"/>
        <v>0</v>
      </c>
      <c r="O446" s="13">
        <f t="shared" si="891"/>
        <v>0</v>
      </c>
      <c r="P446" s="13">
        <f t="shared" si="891"/>
        <v>0</v>
      </c>
      <c r="Q446" s="13">
        <f t="shared" si="891"/>
        <v>0</v>
      </c>
      <c r="R446" s="13">
        <f t="shared" si="891"/>
        <v>0</v>
      </c>
      <c r="S446" s="13">
        <f t="shared" si="891"/>
        <v>0</v>
      </c>
      <c r="T446" s="13">
        <f t="shared" si="891"/>
        <v>0</v>
      </c>
      <c r="U446" s="13">
        <f t="shared" si="891"/>
        <v>1</v>
      </c>
      <c r="V446" s="13">
        <f t="shared" si="891"/>
        <v>0</v>
      </c>
      <c r="W446" s="13">
        <f t="shared" si="891"/>
        <v>0</v>
      </c>
      <c r="X446" s="13">
        <f t="shared" si="891"/>
        <v>0</v>
      </c>
      <c r="Y446" s="13">
        <f t="shared" si="891"/>
        <v>0</v>
      </c>
      <c r="Z446" s="13">
        <f t="shared" si="891"/>
        <v>0</v>
      </c>
      <c r="AA446" s="13">
        <f t="shared" si="891"/>
        <v>0</v>
      </c>
      <c r="AB446" s="13">
        <f t="shared" ref="AB446:AP446" si="892">IFERROR(VALUE(RIGHT(LEFT($J446,FIND(AB$1,$J446,IF(M446=0,1,FIND(AB$1,$J446,1)+1))+LEN(AB$1)),1)),0)</f>
        <v>0</v>
      </c>
      <c r="AC446" s="13">
        <f t="shared" si="892"/>
        <v>0</v>
      </c>
      <c r="AD446" s="13">
        <f t="shared" si="892"/>
        <v>0</v>
      </c>
      <c r="AE446" s="13">
        <f t="shared" si="892"/>
        <v>1</v>
      </c>
      <c r="AF446" s="13">
        <f t="shared" si="892"/>
        <v>0</v>
      </c>
      <c r="AG446" s="13">
        <f t="shared" si="892"/>
        <v>0</v>
      </c>
      <c r="AH446" s="13">
        <f t="shared" si="892"/>
        <v>0</v>
      </c>
      <c r="AI446" s="13">
        <f t="shared" si="892"/>
        <v>0</v>
      </c>
      <c r="AJ446" s="13">
        <f t="shared" si="892"/>
        <v>1</v>
      </c>
      <c r="AK446" s="13">
        <f t="shared" si="892"/>
        <v>0</v>
      </c>
      <c r="AL446" s="13">
        <f t="shared" si="892"/>
        <v>0</v>
      </c>
      <c r="AM446" s="13">
        <f t="shared" si="892"/>
        <v>0</v>
      </c>
      <c r="AN446" s="13">
        <f t="shared" si="892"/>
        <v>0</v>
      </c>
      <c r="AO446" s="13">
        <f t="shared" si="892"/>
        <v>0</v>
      </c>
      <c r="AP446" s="13">
        <f t="shared" si="892"/>
        <v>0</v>
      </c>
      <c r="AQ446" s="13" t="s">
        <v>3064</v>
      </c>
      <c r="AR446" s="13"/>
      <c r="AS446" s="13" t="s">
        <v>3065</v>
      </c>
      <c r="AT446" s="13"/>
      <c r="AU446" s="13"/>
      <c r="AV446" s="13"/>
      <c r="AW446" s="13">
        <v>0.0</v>
      </c>
      <c r="AX446" s="13">
        <v>4.0</v>
      </c>
      <c r="AY446" s="13">
        <v>0.0</v>
      </c>
      <c r="AZ446" s="13"/>
      <c r="BA446" s="13"/>
      <c r="BB446" s="13"/>
      <c r="BC446" s="13"/>
      <c r="BD446" s="13"/>
      <c r="BE446" s="13"/>
      <c r="BF446" s="13"/>
      <c r="BG446" s="13"/>
      <c r="BH446" s="13" t="s">
        <v>79</v>
      </c>
      <c r="BI446" s="13" t="b">
        <v>0</v>
      </c>
      <c r="BJ446" s="13">
        <v>0.0</v>
      </c>
      <c r="BK446" s="13">
        <v>0.0</v>
      </c>
    </row>
    <row r="447" ht="14.25" customHeight="1">
      <c r="A447" s="13">
        <v>445.0</v>
      </c>
      <c r="B447" s="13" t="s">
        <v>50</v>
      </c>
      <c r="C447" s="13">
        <v>3.0</v>
      </c>
      <c r="D447" s="14">
        <v>0.0</v>
      </c>
      <c r="E447" s="13" t="s">
        <v>3066</v>
      </c>
      <c r="F447" s="15" t="s">
        <v>2958</v>
      </c>
      <c r="G447" s="16" t="s">
        <v>3067</v>
      </c>
      <c r="H447" s="13">
        <v>20.0</v>
      </c>
      <c r="I447" s="13">
        <v>1.1</v>
      </c>
      <c r="J447" s="13" t="s">
        <v>3068</v>
      </c>
      <c r="K447" s="13">
        <f t="shared" si="3"/>
        <v>1</v>
      </c>
      <c r="L447" s="13">
        <f t="shared" si="4"/>
        <v>2</v>
      </c>
      <c r="M447" s="13">
        <f t="shared" ref="M447:AA447" si="893">IFERROR(VALUE(RIGHT(LEFT($J447,FIND(M$1,$J447,1)+LEN(M$1)),1)),0)</f>
        <v>0</v>
      </c>
      <c r="N447" s="13">
        <f t="shared" si="893"/>
        <v>0</v>
      </c>
      <c r="O447" s="13">
        <f t="shared" si="893"/>
        <v>0</v>
      </c>
      <c r="P447" s="13">
        <f t="shared" si="893"/>
        <v>0</v>
      </c>
      <c r="Q447" s="13">
        <f t="shared" si="893"/>
        <v>1</v>
      </c>
      <c r="R447" s="13">
        <f t="shared" si="893"/>
        <v>0</v>
      </c>
      <c r="S447" s="13">
        <f t="shared" si="893"/>
        <v>0</v>
      </c>
      <c r="T447" s="13">
        <f t="shared" si="893"/>
        <v>0</v>
      </c>
      <c r="U447" s="13">
        <f t="shared" si="893"/>
        <v>0</v>
      </c>
      <c r="V447" s="13">
        <f t="shared" si="893"/>
        <v>0</v>
      </c>
      <c r="W447" s="13">
        <f t="shared" si="893"/>
        <v>0</v>
      </c>
      <c r="X447" s="13">
        <f t="shared" si="893"/>
        <v>0</v>
      </c>
      <c r="Y447" s="13">
        <f t="shared" si="893"/>
        <v>0</v>
      </c>
      <c r="Z447" s="13">
        <f t="shared" si="893"/>
        <v>0</v>
      </c>
      <c r="AA447" s="13">
        <f t="shared" si="893"/>
        <v>0</v>
      </c>
      <c r="AB447" s="13">
        <f t="shared" ref="AB447:AP447" si="894">IFERROR(VALUE(RIGHT(LEFT($J447,FIND(AB$1,$J447,IF(M447=0,1,FIND(AB$1,$J447,1)+1))+LEN(AB$1)),1)),0)</f>
        <v>0</v>
      </c>
      <c r="AC447" s="13">
        <f t="shared" si="894"/>
        <v>0</v>
      </c>
      <c r="AD447" s="13">
        <f t="shared" si="894"/>
        <v>0</v>
      </c>
      <c r="AE447" s="13">
        <f t="shared" si="894"/>
        <v>0</v>
      </c>
      <c r="AF447" s="13">
        <f t="shared" si="894"/>
        <v>1</v>
      </c>
      <c r="AG447" s="13">
        <f t="shared" si="894"/>
        <v>0</v>
      </c>
      <c r="AH447" s="13">
        <f t="shared" si="894"/>
        <v>0</v>
      </c>
      <c r="AI447" s="13">
        <f t="shared" si="894"/>
        <v>0</v>
      </c>
      <c r="AJ447" s="13">
        <f t="shared" si="894"/>
        <v>0</v>
      </c>
      <c r="AK447" s="13">
        <f t="shared" si="894"/>
        <v>0</v>
      </c>
      <c r="AL447" s="13">
        <f t="shared" si="894"/>
        <v>0</v>
      </c>
      <c r="AM447" s="13">
        <f t="shared" si="894"/>
        <v>0</v>
      </c>
      <c r="AN447" s="13">
        <f t="shared" si="894"/>
        <v>1</v>
      </c>
      <c r="AO447" s="13">
        <f t="shared" si="894"/>
        <v>0</v>
      </c>
      <c r="AP447" s="13">
        <f t="shared" si="894"/>
        <v>0</v>
      </c>
      <c r="AQ447" s="13"/>
      <c r="AR447" s="13" t="s">
        <v>3069</v>
      </c>
      <c r="AS447" s="13" t="s">
        <v>3070</v>
      </c>
      <c r="AT447" s="13" t="s">
        <v>1221</v>
      </c>
      <c r="AU447" s="13" t="s">
        <v>803</v>
      </c>
      <c r="AV447" s="13" t="s">
        <v>1298</v>
      </c>
      <c r="AW447" s="13">
        <v>11.0</v>
      </c>
      <c r="AX447" s="13">
        <v>4.0</v>
      </c>
      <c r="AY447" s="13">
        <v>0.0</v>
      </c>
      <c r="AZ447" s="13" t="s">
        <v>3071</v>
      </c>
      <c r="BA447" s="13" t="s">
        <v>3072</v>
      </c>
      <c r="BB447" s="13"/>
      <c r="BC447" s="13"/>
      <c r="BD447" s="13" t="s">
        <v>230</v>
      </c>
      <c r="BE447" s="13"/>
      <c r="BF447" s="13" t="s">
        <v>3073</v>
      </c>
      <c r="BG447" s="13" t="s">
        <v>50</v>
      </c>
      <c r="BH447" s="13" t="s">
        <v>241</v>
      </c>
      <c r="BI447" s="13" t="b">
        <v>0</v>
      </c>
      <c r="BJ447" s="13">
        <v>0.0</v>
      </c>
      <c r="BK447" s="13">
        <v>0.0</v>
      </c>
    </row>
    <row r="448" ht="14.25" customHeight="1">
      <c r="A448" s="13">
        <v>446.0</v>
      </c>
      <c r="B448" s="13" t="s">
        <v>50</v>
      </c>
      <c r="C448" s="13">
        <v>3.0</v>
      </c>
      <c r="D448" s="14">
        <v>0.0</v>
      </c>
      <c r="E448" s="13" t="s">
        <v>3074</v>
      </c>
      <c r="F448" s="15" t="s">
        <v>2958</v>
      </c>
      <c r="G448" s="16" t="s">
        <v>3075</v>
      </c>
      <c r="H448" s="13">
        <v>18.0</v>
      </c>
      <c r="I448" s="13">
        <v>0.9</v>
      </c>
      <c r="J448" s="13" t="s">
        <v>1788</v>
      </c>
      <c r="K448" s="13">
        <f t="shared" si="3"/>
        <v>1</v>
      </c>
      <c r="L448" s="13">
        <f t="shared" si="4"/>
        <v>2</v>
      </c>
      <c r="M448" s="13">
        <f t="shared" ref="M448:AA448" si="895">IFERROR(VALUE(RIGHT(LEFT($J448,FIND(M$1,$J448,1)+LEN(M$1)),1)),0)</f>
        <v>0</v>
      </c>
      <c r="N448" s="13">
        <f t="shared" si="895"/>
        <v>0</v>
      </c>
      <c r="O448" s="13">
        <f t="shared" si="895"/>
        <v>0</v>
      </c>
      <c r="P448" s="13">
        <f t="shared" si="895"/>
        <v>0</v>
      </c>
      <c r="Q448" s="13">
        <f t="shared" si="895"/>
        <v>0</v>
      </c>
      <c r="R448" s="13">
        <f t="shared" si="895"/>
        <v>0</v>
      </c>
      <c r="S448" s="13">
        <f t="shared" si="895"/>
        <v>0</v>
      </c>
      <c r="T448" s="13">
        <f t="shared" si="895"/>
        <v>0</v>
      </c>
      <c r="U448" s="13">
        <f t="shared" si="895"/>
        <v>0</v>
      </c>
      <c r="V448" s="13">
        <f t="shared" si="895"/>
        <v>0</v>
      </c>
      <c r="W448" s="13">
        <f t="shared" si="895"/>
        <v>0</v>
      </c>
      <c r="X448" s="13">
        <f t="shared" si="895"/>
        <v>0</v>
      </c>
      <c r="Y448" s="13">
        <f t="shared" si="895"/>
        <v>1</v>
      </c>
      <c r="Z448" s="13">
        <f t="shared" si="895"/>
        <v>0</v>
      </c>
      <c r="AA448" s="13">
        <f t="shared" si="895"/>
        <v>0</v>
      </c>
      <c r="AB448" s="13">
        <f t="shared" ref="AB448:AP448" si="896">IFERROR(VALUE(RIGHT(LEFT($J448,FIND(AB$1,$J448,IF(M448=0,1,FIND(AB$1,$J448,1)+1))+LEN(AB$1)),1)),0)</f>
        <v>0</v>
      </c>
      <c r="AC448" s="13">
        <f t="shared" si="896"/>
        <v>0</v>
      </c>
      <c r="AD448" s="13">
        <f t="shared" si="896"/>
        <v>0</v>
      </c>
      <c r="AE448" s="13">
        <f t="shared" si="896"/>
        <v>1</v>
      </c>
      <c r="AF448" s="13">
        <f t="shared" si="896"/>
        <v>0</v>
      </c>
      <c r="AG448" s="13">
        <f t="shared" si="896"/>
        <v>0</v>
      </c>
      <c r="AH448" s="13">
        <f t="shared" si="896"/>
        <v>0</v>
      </c>
      <c r="AI448" s="13">
        <f t="shared" si="896"/>
        <v>0</v>
      </c>
      <c r="AJ448" s="13">
        <f t="shared" si="896"/>
        <v>0</v>
      </c>
      <c r="AK448" s="13">
        <f t="shared" si="896"/>
        <v>0</v>
      </c>
      <c r="AL448" s="13">
        <f t="shared" si="896"/>
        <v>0</v>
      </c>
      <c r="AM448" s="13">
        <f t="shared" si="896"/>
        <v>0</v>
      </c>
      <c r="AN448" s="13">
        <f t="shared" si="896"/>
        <v>1</v>
      </c>
      <c r="AO448" s="13">
        <f t="shared" si="896"/>
        <v>0</v>
      </c>
      <c r="AP448" s="13">
        <f t="shared" si="896"/>
        <v>0</v>
      </c>
      <c r="AQ448" s="13"/>
      <c r="AR448" s="13" t="s">
        <v>3076</v>
      </c>
      <c r="AS448" s="13" t="s">
        <v>3077</v>
      </c>
      <c r="AT448" s="13" t="s">
        <v>162</v>
      </c>
      <c r="AU448" s="13" t="s">
        <v>1211</v>
      </c>
      <c r="AV448" s="13" t="s">
        <v>3078</v>
      </c>
      <c r="AW448" s="13">
        <v>10.0</v>
      </c>
      <c r="AX448" s="13">
        <v>4.0</v>
      </c>
      <c r="AY448" s="13">
        <v>0.0</v>
      </c>
      <c r="AZ448" s="13" t="s">
        <v>3079</v>
      </c>
      <c r="BA448" s="13" t="s">
        <v>1767</v>
      </c>
      <c r="BB448" s="13"/>
      <c r="BC448" s="13"/>
      <c r="BD448" s="13" t="s">
        <v>239</v>
      </c>
      <c r="BE448" s="13"/>
      <c r="BF448" s="13" t="s">
        <v>1988</v>
      </c>
      <c r="BG448" s="13" t="s">
        <v>50</v>
      </c>
      <c r="BH448" s="13" t="s">
        <v>241</v>
      </c>
      <c r="BI448" s="13" t="b">
        <v>0</v>
      </c>
      <c r="BJ448" s="13">
        <v>0.0</v>
      </c>
      <c r="BK448" s="13">
        <v>0.0</v>
      </c>
    </row>
    <row r="449" ht="14.25" customHeight="1">
      <c r="A449" s="13">
        <v>447.0</v>
      </c>
      <c r="B449" s="13" t="s">
        <v>50</v>
      </c>
      <c r="C449" s="13">
        <v>3.0</v>
      </c>
      <c r="D449" s="14">
        <v>0.0</v>
      </c>
      <c r="E449" s="13" t="s">
        <v>3080</v>
      </c>
      <c r="F449" s="15" t="s">
        <v>2958</v>
      </c>
      <c r="G449" s="16" t="s">
        <v>3081</v>
      </c>
      <c r="H449" s="13">
        <v>21.0</v>
      </c>
      <c r="I449" s="13">
        <v>1.2</v>
      </c>
      <c r="J449" s="13" t="s">
        <v>3082</v>
      </c>
      <c r="K449" s="13">
        <f t="shared" si="3"/>
        <v>1</v>
      </c>
      <c r="L449" s="13">
        <f t="shared" si="4"/>
        <v>2</v>
      </c>
      <c r="M449" s="13">
        <f t="shared" ref="M449:AA449" si="897">IFERROR(VALUE(RIGHT(LEFT($J449,FIND(M$1,$J449,1)+LEN(M$1)),1)),0)</f>
        <v>0</v>
      </c>
      <c r="N449" s="13">
        <f t="shared" si="897"/>
        <v>0</v>
      </c>
      <c r="O449" s="13">
        <f t="shared" si="897"/>
        <v>0</v>
      </c>
      <c r="P449" s="13">
        <f t="shared" si="897"/>
        <v>0</v>
      </c>
      <c r="Q449" s="13">
        <f t="shared" si="897"/>
        <v>0</v>
      </c>
      <c r="R449" s="13">
        <f t="shared" si="897"/>
        <v>0</v>
      </c>
      <c r="S449" s="13">
        <f t="shared" si="897"/>
        <v>0</v>
      </c>
      <c r="T449" s="13">
        <f t="shared" si="897"/>
        <v>0</v>
      </c>
      <c r="U449" s="13">
        <f t="shared" si="897"/>
        <v>0</v>
      </c>
      <c r="V449" s="13">
        <f t="shared" si="897"/>
        <v>0</v>
      </c>
      <c r="W449" s="13">
        <f t="shared" si="897"/>
        <v>0</v>
      </c>
      <c r="X449" s="13">
        <f t="shared" si="897"/>
        <v>0</v>
      </c>
      <c r="Y449" s="13">
        <f t="shared" si="897"/>
        <v>1</v>
      </c>
      <c r="Z449" s="13">
        <f t="shared" si="897"/>
        <v>0</v>
      </c>
      <c r="AA449" s="13">
        <f t="shared" si="897"/>
        <v>0</v>
      </c>
      <c r="AB449" s="13">
        <f t="shared" ref="AB449:AP449" si="898">IFERROR(VALUE(RIGHT(LEFT($J449,FIND(AB$1,$J449,IF(M449=0,1,FIND(AB$1,$J449,1)+1))+LEN(AB$1)),1)),0)</f>
        <v>1</v>
      </c>
      <c r="AC449" s="13">
        <f t="shared" si="898"/>
        <v>0</v>
      </c>
      <c r="AD449" s="13">
        <f t="shared" si="898"/>
        <v>0</v>
      </c>
      <c r="AE449" s="13">
        <f t="shared" si="898"/>
        <v>0</v>
      </c>
      <c r="AF449" s="13">
        <f t="shared" si="898"/>
        <v>0</v>
      </c>
      <c r="AG449" s="13">
        <f t="shared" si="898"/>
        <v>0</v>
      </c>
      <c r="AH449" s="13">
        <f t="shared" si="898"/>
        <v>0</v>
      </c>
      <c r="AI449" s="13">
        <f t="shared" si="898"/>
        <v>0</v>
      </c>
      <c r="AJ449" s="13">
        <f t="shared" si="898"/>
        <v>0</v>
      </c>
      <c r="AK449" s="13">
        <f t="shared" si="898"/>
        <v>0</v>
      </c>
      <c r="AL449" s="13">
        <f t="shared" si="898"/>
        <v>0</v>
      </c>
      <c r="AM449" s="13">
        <f t="shared" si="898"/>
        <v>0</v>
      </c>
      <c r="AN449" s="13">
        <f t="shared" si="898"/>
        <v>1</v>
      </c>
      <c r="AO449" s="13">
        <f t="shared" si="898"/>
        <v>0</v>
      </c>
      <c r="AP449" s="13">
        <f t="shared" si="898"/>
        <v>0</v>
      </c>
      <c r="AQ449" s="13"/>
      <c r="AR449" s="13" t="s">
        <v>3083</v>
      </c>
      <c r="AS449" s="13" t="s">
        <v>3084</v>
      </c>
      <c r="AT449" s="13" t="s">
        <v>1350</v>
      </c>
      <c r="AU449" s="13" t="s">
        <v>130</v>
      </c>
      <c r="AV449" s="13" t="s">
        <v>3085</v>
      </c>
      <c r="AW449" s="13">
        <v>12.0</v>
      </c>
      <c r="AX449" s="13">
        <v>4.0</v>
      </c>
      <c r="AY449" s="13">
        <v>0.0</v>
      </c>
      <c r="AZ449" s="13" t="s">
        <v>2920</v>
      </c>
      <c r="BA449" s="13" t="s">
        <v>3086</v>
      </c>
      <c r="BB449" s="13"/>
      <c r="BC449" s="13"/>
      <c r="BD449" s="13" t="s">
        <v>230</v>
      </c>
      <c r="BE449" s="13"/>
      <c r="BF449" s="13" t="s">
        <v>3052</v>
      </c>
      <c r="BG449" s="13" t="s">
        <v>50</v>
      </c>
      <c r="BH449" s="13" t="s">
        <v>79</v>
      </c>
      <c r="BI449" s="13" t="b">
        <v>0</v>
      </c>
      <c r="BJ449" s="13">
        <v>0.0</v>
      </c>
      <c r="BK449" s="13">
        <v>0.0</v>
      </c>
    </row>
    <row r="450" ht="14.25" customHeight="1">
      <c r="A450" s="13">
        <v>448.0</v>
      </c>
      <c r="B450" s="13" t="s">
        <v>49</v>
      </c>
      <c r="C450" s="13">
        <v>3.0</v>
      </c>
      <c r="D450" s="14">
        <v>0.0</v>
      </c>
      <c r="E450" s="13" t="s">
        <v>3087</v>
      </c>
      <c r="F450" s="15" t="s">
        <v>2958</v>
      </c>
      <c r="G450" s="16" t="s">
        <v>3088</v>
      </c>
      <c r="H450" s="13">
        <v>19.0</v>
      </c>
      <c r="I450" s="13">
        <v>1.0</v>
      </c>
      <c r="J450" s="13" t="s">
        <v>3089</v>
      </c>
      <c r="K450" s="13">
        <f t="shared" si="3"/>
        <v>1</v>
      </c>
      <c r="L450" s="13">
        <f t="shared" si="4"/>
        <v>2</v>
      </c>
      <c r="M450" s="13">
        <f t="shared" ref="M450:AA450" si="899">IFERROR(VALUE(RIGHT(LEFT($J450,FIND(M$1,$J450,1)+LEN(M$1)),1)),0)</f>
        <v>1</v>
      </c>
      <c r="N450" s="13">
        <f t="shared" si="899"/>
        <v>0</v>
      </c>
      <c r="O450" s="13">
        <f t="shared" si="899"/>
        <v>0</v>
      </c>
      <c r="P450" s="13">
        <f t="shared" si="899"/>
        <v>0</v>
      </c>
      <c r="Q450" s="13">
        <f t="shared" si="899"/>
        <v>0</v>
      </c>
      <c r="R450" s="13">
        <f t="shared" si="899"/>
        <v>0</v>
      </c>
      <c r="S450" s="13">
        <f t="shared" si="899"/>
        <v>0</v>
      </c>
      <c r="T450" s="13">
        <f t="shared" si="899"/>
        <v>0</v>
      </c>
      <c r="U450" s="13">
        <f t="shared" si="899"/>
        <v>0</v>
      </c>
      <c r="V450" s="13">
        <f t="shared" si="899"/>
        <v>0</v>
      </c>
      <c r="W450" s="13">
        <f t="shared" si="899"/>
        <v>0</v>
      </c>
      <c r="X450" s="13">
        <f t="shared" si="899"/>
        <v>0</v>
      </c>
      <c r="Y450" s="13">
        <f t="shared" si="899"/>
        <v>0</v>
      </c>
      <c r="Z450" s="13">
        <f t="shared" si="899"/>
        <v>0</v>
      </c>
      <c r="AA450" s="13">
        <f t="shared" si="899"/>
        <v>0</v>
      </c>
      <c r="AB450" s="13">
        <f t="shared" ref="AB450:AP450" si="900">IFERROR(VALUE(RIGHT(LEFT($J450,FIND(AB$1,$J450,IF(M450=0,1,FIND(AB$1,$J450,1)+1))+LEN(AB$1)),1)),0)</f>
        <v>1</v>
      </c>
      <c r="AC450" s="13">
        <f t="shared" si="900"/>
        <v>0</v>
      </c>
      <c r="AD450" s="13">
        <f t="shared" si="900"/>
        <v>0</v>
      </c>
      <c r="AE450" s="13">
        <f t="shared" si="900"/>
        <v>0</v>
      </c>
      <c r="AF450" s="13">
        <f t="shared" si="900"/>
        <v>0</v>
      </c>
      <c r="AG450" s="13">
        <f t="shared" si="900"/>
        <v>0</v>
      </c>
      <c r="AH450" s="13">
        <f t="shared" si="900"/>
        <v>0</v>
      </c>
      <c r="AI450" s="13">
        <f t="shared" si="900"/>
        <v>0</v>
      </c>
      <c r="AJ450" s="13">
        <f t="shared" si="900"/>
        <v>0</v>
      </c>
      <c r="AK450" s="13">
        <f t="shared" si="900"/>
        <v>0</v>
      </c>
      <c r="AL450" s="13">
        <f t="shared" si="900"/>
        <v>0</v>
      </c>
      <c r="AM450" s="13">
        <f t="shared" si="900"/>
        <v>1</v>
      </c>
      <c r="AN450" s="13">
        <f t="shared" si="900"/>
        <v>0</v>
      </c>
      <c r="AO450" s="13">
        <f t="shared" si="900"/>
        <v>0</v>
      </c>
      <c r="AP450" s="13">
        <f t="shared" si="900"/>
        <v>0</v>
      </c>
      <c r="AQ450" s="13"/>
      <c r="AR450" s="13" t="s">
        <v>3090</v>
      </c>
      <c r="AS450" s="13" t="s">
        <v>3091</v>
      </c>
      <c r="AT450" s="13" t="s">
        <v>573</v>
      </c>
      <c r="AU450" s="13" t="s">
        <v>143</v>
      </c>
      <c r="AV450" s="13" t="s">
        <v>3092</v>
      </c>
      <c r="AW450" s="13">
        <v>9.0</v>
      </c>
      <c r="AX450" s="13">
        <v>4.0</v>
      </c>
      <c r="AY450" s="13">
        <v>0.0</v>
      </c>
      <c r="AZ450" s="13" t="s">
        <v>1706</v>
      </c>
      <c r="BA450" s="13" t="s">
        <v>3093</v>
      </c>
      <c r="BB450" s="13"/>
      <c r="BC450" s="13"/>
      <c r="BD450" s="13" t="s">
        <v>199</v>
      </c>
      <c r="BE450" s="13"/>
      <c r="BF450" s="13" t="s">
        <v>1640</v>
      </c>
      <c r="BG450" s="13" t="s">
        <v>201</v>
      </c>
      <c r="BH450" s="13" t="s">
        <v>241</v>
      </c>
      <c r="BI450" s="13" t="b">
        <v>0</v>
      </c>
      <c r="BJ450" s="13">
        <v>0.0</v>
      </c>
      <c r="BK450" s="13">
        <v>0.0</v>
      </c>
    </row>
    <row r="451" ht="14.25" customHeight="1">
      <c r="A451" s="13">
        <v>449.0</v>
      </c>
      <c r="B451" s="13" t="s">
        <v>45</v>
      </c>
      <c r="C451" s="13">
        <v>4.0</v>
      </c>
      <c r="D451" s="14">
        <v>0.0</v>
      </c>
      <c r="E451" s="13" t="s">
        <v>3094</v>
      </c>
      <c r="F451" s="15" t="s">
        <v>2958</v>
      </c>
      <c r="G451" s="16" t="s">
        <v>3095</v>
      </c>
      <c r="H451" s="13"/>
      <c r="I451" s="13">
        <v>1.3</v>
      </c>
      <c r="J451" s="13" t="s">
        <v>3096</v>
      </c>
      <c r="K451" s="13">
        <f t="shared" si="3"/>
        <v>2</v>
      </c>
      <c r="L451" s="13">
        <f t="shared" si="4"/>
        <v>2</v>
      </c>
      <c r="M451" s="13">
        <f t="shared" ref="M451:AA451" si="901">IFERROR(VALUE(RIGHT(LEFT($J451,FIND(M$1,$J451,1)+LEN(M$1)),1)),0)</f>
        <v>0</v>
      </c>
      <c r="N451" s="13">
        <f t="shared" si="901"/>
        <v>0</v>
      </c>
      <c r="O451" s="13">
        <f t="shared" si="901"/>
        <v>0</v>
      </c>
      <c r="P451" s="13">
        <f t="shared" si="901"/>
        <v>0</v>
      </c>
      <c r="Q451" s="13">
        <f t="shared" si="901"/>
        <v>0</v>
      </c>
      <c r="R451" s="13">
        <f t="shared" si="901"/>
        <v>0</v>
      </c>
      <c r="S451" s="13">
        <f t="shared" si="901"/>
        <v>0</v>
      </c>
      <c r="T451" s="13">
        <f t="shared" si="901"/>
        <v>2</v>
      </c>
      <c r="U451" s="13">
        <f t="shared" si="901"/>
        <v>0</v>
      </c>
      <c r="V451" s="13">
        <f t="shared" si="901"/>
        <v>0</v>
      </c>
      <c r="W451" s="13">
        <f t="shared" si="901"/>
        <v>0</v>
      </c>
      <c r="X451" s="13">
        <f t="shared" si="901"/>
        <v>0</v>
      </c>
      <c r="Y451" s="13">
        <f t="shared" si="901"/>
        <v>0</v>
      </c>
      <c r="Z451" s="13">
        <f t="shared" si="901"/>
        <v>0</v>
      </c>
      <c r="AA451" s="13">
        <f t="shared" si="901"/>
        <v>0</v>
      </c>
      <c r="AB451" s="13">
        <f t="shared" ref="AB451:AP451" si="902">IFERROR(VALUE(RIGHT(LEFT($J451,FIND(AB$1,$J451,IF(M451=0,1,FIND(AB$1,$J451,1)+1))+LEN(AB$1)),1)),0)</f>
        <v>0</v>
      </c>
      <c r="AC451" s="13">
        <f t="shared" si="902"/>
        <v>0</v>
      </c>
      <c r="AD451" s="13">
        <f t="shared" si="902"/>
        <v>0</v>
      </c>
      <c r="AE451" s="13">
        <f t="shared" si="902"/>
        <v>0</v>
      </c>
      <c r="AF451" s="13">
        <f t="shared" si="902"/>
        <v>0</v>
      </c>
      <c r="AG451" s="13">
        <f t="shared" si="902"/>
        <v>0</v>
      </c>
      <c r="AH451" s="13">
        <f t="shared" si="902"/>
        <v>0</v>
      </c>
      <c r="AI451" s="13">
        <f t="shared" si="902"/>
        <v>2</v>
      </c>
      <c r="AJ451" s="13">
        <f t="shared" si="902"/>
        <v>0</v>
      </c>
      <c r="AK451" s="13">
        <f t="shared" si="902"/>
        <v>0</v>
      </c>
      <c r="AL451" s="13">
        <f t="shared" si="902"/>
        <v>0</v>
      </c>
      <c r="AM451" s="13">
        <f t="shared" si="902"/>
        <v>0</v>
      </c>
      <c r="AN451" s="13">
        <f t="shared" si="902"/>
        <v>0</v>
      </c>
      <c r="AO451" s="13">
        <f t="shared" si="902"/>
        <v>0</v>
      </c>
      <c r="AP451" s="13">
        <f t="shared" si="902"/>
        <v>0</v>
      </c>
      <c r="AQ451" s="13" t="s">
        <v>3097</v>
      </c>
      <c r="AR451" s="13"/>
      <c r="AS451" s="13" t="s">
        <v>3098</v>
      </c>
      <c r="AT451" s="13"/>
      <c r="AU451" s="13"/>
      <c r="AV451" s="13"/>
      <c r="AW451" s="13">
        <v>0.0</v>
      </c>
      <c r="AX451" s="13">
        <v>4.0</v>
      </c>
      <c r="AY451" s="13">
        <v>0.0</v>
      </c>
      <c r="AZ451" s="13"/>
      <c r="BA451" s="13"/>
      <c r="BB451" s="13"/>
      <c r="BC451" s="13"/>
      <c r="BD451" s="13"/>
      <c r="BE451" s="13"/>
      <c r="BF451" s="13"/>
      <c r="BG451" s="13"/>
      <c r="BH451" s="13" t="s">
        <v>79</v>
      </c>
      <c r="BI451" s="13" t="b">
        <v>0</v>
      </c>
      <c r="BJ451" s="13">
        <v>0.0</v>
      </c>
      <c r="BK451" s="13">
        <v>0.0</v>
      </c>
    </row>
    <row r="452" ht="14.25" customHeight="1">
      <c r="A452" s="13">
        <v>450.0</v>
      </c>
      <c r="B452" s="13" t="s">
        <v>46</v>
      </c>
      <c r="C452" s="13">
        <v>4.0</v>
      </c>
      <c r="D452" s="14">
        <v>0.0</v>
      </c>
      <c r="E452" s="13" t="s">
        <v>3099</v>
      </c>
      <c r="F452" s="15" t="s">
        <v>2958</v>
      </c>
      <c r="G452" s="16" t="s">
        <v>3100</v>
      </c>
      <c r="H452" s="13"/>
      <c r="I452" s="13">
        <v>1.2</v>
      </c>
      <c r="J452" s="13" t="s">
        <v>3101</v>
      </c>
      <c r="K452" s="13">
        <f t="shared" si="3"/>
        <v>3</v>
      </c>
      <c r="L452" s="13">
        <f t="shared" si="4"/>
        <v>0</v>
      </c>
      <c r="M452" s="13">
        <f t="shared" ref="M452:AA452" si="903">IFERROR(VALUE(RIGHT(LEFT($J452,FIND(M$1,$J452,1)+LEN(M$1)),1)),0)</f>
        <v>1</v>
      </c>
      <c r="N452" s="13">
        <f t="shared" si="903"/>
        <v>0</v>
      </c>
      <c r="O452" s="13">
        <f t="shared" si="903"/>
        <v>0</v>
      </c>
      <c r="P452" s="13">
        <f t="shared" si="903"/>
        <v>1</v>
      </c>
      <c r="Q452" s="13">
        <f t="shared" si="903"/>
        <v>1</v>
      </c>
      <c r="R452" s="13">
        <f t="shared" si="903"/>
        <v>0</v>
      </c>
      <c r="S452" s="13">
        <f t="shared" si="903"/>
        <v>0</v>
      </c>
      <c r="T452" s="13">
        <f t="shared" si="903"/>
        <v>0</v>
      </c>
      <c r="U452" s="13">
        <f t="shared" si="903"/>
        <v>0</v>
      </c>
      <c r="V452" s="13">
        <f t="shared" si="903"/>
        <v>0</v>
      </c>
      <c r="W452" s="13">
        <f t="shared" si="903"/>
        <v>0</v>
      </c>
      <c r="X452" s="13">
        <f t="shared" si="903"/>
        <v>0</v>
      </c>
      <c r="Y452" s="13">
        <f t="shared" si="903"/>
        <v>0</v>
      </c>
      <c r="Z452" s="13">
        <f t="shared" si="903"/>
        <v>0</v>
      </c>
      <c r="AA452" s="13">
        <f t="shared" si="903"/>
        <v>0</v>
      </c>
      <c r="AB452" s="13">
        <f t="shared" ref="AB452:AP452" si="904">IFERROR(VALUE(RIGHT(LEFT($J452,FIND(AB$1,$J452,IF(M452=0,1,FIND(AB$1,$J452,1)+1))+LEN(AB$1)),1)),0)</f>
        <v>0</v>
      </c>
      <c r="AC452" s="13">
        <f t="shared" si="904"/>
        <v>0</v>
      </c>
      <c r="AD452" s="13">
        <f t="shared" si="904"/>
        <v>0</v>
      </c>
      <c r="AE452" s="13">
        <f t="shared" si="904"/>
        <v>0</v>
      </c>
      <c r="AF452" s="13">
        <f t="shared" si="904"/>
        <v>0</v>
      </c>
      <c r="AG452" s="13">
        <f t="shared" si="904"/>
        <v>0</v>
      </c>
      <c r="AH452" s="13">
        <f t="shared" si="904"/>
        <v>0</v>
      </c>
      <c r="AI452" s="13">
        <f t="shared" si="904"/>
        <v>0</v>
      </c>
      <c r="AJ452" s="13">
        <f t="shared" si="904"/>
        <v>0</v>
      </c>
      <c r="AK452" s="13">
        <f t="shared" si="904"/>
        <v>0</v>
      </c>
      <c r="AL452" s="13">
        <f t="shared" si="904"/>
        <v>0</v>
      </c>
      <c r="AM452" s="13">
        <f t="shared" si="904"/>
        <v>0</v>
      </c>
      <c r="AN452" s="13">
        <f t="shared" si="904"/>
        <v>0</v>
      </c>
      <c r="AO452" s="13">
        <f t="shared" si="904"/>
        <v>0</v>
      </c>
      <c r="AP452" s="13">
        <f t="shared" si="904"/>
        <v>0</v>
      </c>
      <c r="AQ452" s="13" t="s">
        <v>3102</v>
      </c>
      <c r="AR452" s="13"/>
      <c r="AS452" s="13" t="s">
        <v>3103</v>
      </c>
      <c r="AT452" s="13"/>
      <c r="AU452" s="13"/>
      <c r="AV452" s="13"/>
      <c r="AW452" s="13">
        <v>0.0</v>
      </c>
      <c r="AX452" s="13">
        <v>4.0</v>
      </c>
      <c r="AY452" s="13">
        <v>0.0</v>
      </c>
      <c r="AZ452" s="13"/>
      <c r="BA452" s="13"/>
      <c r="BB452" s="13"/>
      <c r="BC452" s="13"/>
      <c r="BD452" s="13"/>
      <c r="BE452" s="13"/>
      <c r="BF452" s="13"/>
      <c r="BG452" s="13"/>
      <c r="BH452" s="13" t="s">
        <v>79</v>
      </c>
      <c r="BI452" s="13" t="b">
        <v>0</v>
      </c>
      <c r="BJ452" s="13">
        <v>0.0</v>
      </c>
      <c r="BK452" s="13">
        <v>0.0</v>
      </c>
    </row>
    <row r="453" ht="14.25" customHeight="1">
      <c r="A453" s="13">
        <v>451.0</v>
      </c>
      <c r="B453" s="13" t="s">
        <v>50</v>
      </c>
      <c r="C453" s="13">
        <v>4.0</v>
      </c>
      <c r="D453" s="14">
        <v>0.0</v>
      </c>
      <c r="E453" s="13" t="s">
        <v>3104</v>
      </c>
      <c r="F453" s="15" t="s">
        <v>2958</v>
      </c>
      <c r="G453" s="16" t="s">
        <v>3105</v>
      </c>
      <c r="H453" s="13">
        <v>23.0</v>
      </c>
      <c r="I453" s="13">
        <v>1.2</v>
      </c>
      <c r="J453" s="13" t="s">
        <v>3106</v>
      </c>
      <c r="K453" s="13">
        <f t="shared" si="3"/>
        <v>2</v>
      </c>
      <c r="L453" s="13">
        <f t="shared" si="4"/>
        <v>2</v>
      </c>
      <c r="M453" s="13">
        <f t="shared" ref="M453:AA453" si="905">IFERROR(VALUE(RIGHT(LEFT($J453,FIND(M$1,$J453,1)+LEN(M$1)),1)),0)</f>
        <v>0</v>
      </c>
      <c r="N453" s="13">
        <f t="shared" si="905"/>
        <v>0</v>
      </c>
      <c r="O453" s="13">
        <f t="shared" si="905"/>
        <v>0</v>
      </c>
      <c r="P453" s="13">
        <f t="shared" si="905"/>
        <v>0</v>
      </c>
      <c r="Q453" s="13">
        <f t="shared" si="905"/>
        <v>2</v>
      </c>
      <c r="R453" s="13">
        <f t="shared" si="905"/>
        <v>0</v>
      </c>
      <c r="S453" s="13">
        <f t="shared" si="905"/>
        <v>0</v>
      </c>
      <c r="T453" s="13">
        <f t="shared" si="905"/>
        <v>0</v>
      </c>
      <c r="U453" s="13">
        <f t="shared" si="905"/>
        <v>0</v>
      </c>
      <c r="V453" s="13">
        <f t="shared" si="905"/>
        <v>0</v>
      </c>
      <c r="W453" s="13">
        <f t="shared" si="905"/>
        <v>0</v>
      </c>
      <c r="X453" s="13">
        <f t="shared" si="905"/>
        <v>0</v>
      </c>
      <c r="Y453" s="13">
        <f t="shared" si="905"/>
        <v>0</v>
      </c>
      <c r="Z453" s="13">
        <f t="shared" si="905"/>
        <v>0</v>
      </c>
      <c r="AA453" s="13">
        <f t="shared" si="905"/>
        <v>0</v>
      </c>
      <c r="AB453" s="13">
        <f t="shared" ref="AB453:AP453" si="906">IFERROR(VALUE(RIGHT(LEFT($J453,FIND(AB$1,$J453,IF(M453=0,1,FIND(AB$1,$J453,1)+1))+LEN(AB$1)),1)),0)</f>
        <v>0</v>
      </c>
      <c r="AC453" s="13">
        <f t="shared" si="906"/>
        <v>0</v>
      </c>
      <c r="AD453" s="13">
        <f t="shared" si="906"/>
        <v>0</v>
      </c>
      <c r="AE453" s="13">
        <f t="shared" si="906"/>
        <v>0</v>
      </c>
      <c r="AF453" s="13">
        <f t="shared" si="906"/>
        <v>1</v>
      </c>
      <c r="AG453" s="13">
        <f t="shared" si="906"/>
        <v>0</v>
      </c>
      <c r="AH453" s="13">
        <f t="shared" si="906"/>
        <v>0</v>
      </c>
      <c r="AI453" s="13">
        <f t="shared" si="906"/>
        <v>0</v>
      </c>
      <c r="AJ453" s="13">
        <f t="shared" si="906"/>
        <v>0</v>
      </c>
      <c r="AK453" s="13">
        <f t="shared" si="906"/>
        <v>0</v>
      </c>
      <c r="AL453" s="13">
        <f t="shared" si="906"/>
        <v>0</v>
      </c>
      <c r="AM453" s="13">
        <f t="shared" si="906"/>
        <v>0</v>
      </c>
      <c r="AN453" s="13">
        <f t="shared" si="906"/>
        <v>1</v>
      </c>
      <c r="AO453" s="13">
        <f t="shared" si="906"/>
        <v>0</v>
      </c>
      <c r="AP453" s="13">
        <f t="shared" si="906"/>
        <v>0</v>
      </c>
      <c r="AQ453" s="13"/>
      <c r="AR453" s="13" t="s">
        <v>3107</v>
      </c>
      <c r="AS453" s="13" t="s">
        <v>2029</v>
      </c>
      <c r="AT453" s="13" t="s">
        <v>162</v>
      </c>
      <c r="AU453" s="13" t="s">
        <v>1297</v>
      </c>
      <c r="AV453" s="13" t="s">
        <v>3108</v>
      </c>
      <c r="AW453" s="13">
        <v>17.0</v>
      </c>
      <c r="AX453" s="13">
        <v>4.0</v>
      </c>
      <c r="AY453" s="13">
        <v>0.0</v>
      </c>
      <c r="AZ453" s="13" t="s">
        <v>3109</v>
      </c>
      <c r="BA453" s="13" t="s">
        <v>3039</v>
      </c>
      <c r="BB453" s="13"/>
      <c r="BC453" s="13"/>
      <c r="BD453" s="13" t="s">
        <v>230</v>
      </c>
      <c r="BE453" s="13"/>
      <c r="BF453" s="13" t="s">
        <v>3110</v>
      </c>
      <c r="BG453" s="13" t="s">
        <v>50</v>
      </c>
      <c r="BH453" s="13" t="s">
        <v>79</v>
      </c>
      <c r="BI453" s="13" t="b">
        <v>0</v>
      </c>
      <c r="BJ453" s="13">
        <v>0.0</v>
      </c>
      <c r="BK453" s="13">
        <v>0.0</v>
      </c>
    </row>
    <row r="454" ht="14.25" customHeight="1">
      <c r="A454" s="13">
        <v>452.0</v>
      </c>
      <c r="B454" s="13" t="s">
        <v>50</v>
      </c>
      <c r="C454" s="13">
        <v>4.0</v>
      </c>
      <c r="D454" s="14">
        <v>0.0</v>
      </c>
      <c r="E454" s="13" t="s">
        <v>3111</v>
      </c>
      <c r="F454" s="15" t="s">
        <v>2958</v>
      </c>
      <c r="G454" s="16" t="s">
        <v>3112</v>
      </c>
      <c r="H454" s="13">
        <v>21.0</v>
      </c>
      <c r="I454" s="13">
        <v>1.1</v>
      </c>
      <c r="J454" s="13" t="s">
        <v>3113</v>
      </c>
      <c r="K454" s="13">
        <f t="shared" si="3"/>
        <v>2</v>
      </c>
      <c r="L454" s="13">
        <f t="shared" si="4"/>
        <v>2</v>
      </c>
      <c r="M454" s="13">
        <f t="shared" ref="M454:AA454" si="907">IFERROR(VALUE(RIGHT(LEFT($J454,FIND(M$1,$J454,1)+LEN(M$1)),1)),0)</f>
        <v>0</v>
      </c>
      <c r="N454" s="13">
        <f t="shared" si="907"/>
        <v>0</v>
      </c>
      <c r="O454" s="13">
        <f t="shared" si="907"/>
        <v>0</v>
      </c>
      <c r="P454" s="13">
        <f t="shared" si="907"/>
        <v>2</v>
      </c>
      <c r="Q454" s="13">
        <f t="shared" si="907"/>
        <v>0</v>
      </c>
      <c r="R454" s="13">
        <f t="shared" si="907"/>
        <v>0</v>
      </c>
      <c r="S454" s="13">
        <f t="shared" si="907"/>
        <v>0</v>
      </c>
      <c r="T454" s="13">
        <f t="shared" si="907"/>
        <v>0</v>
      </c>
      <c r="U454" s="13">
        <f t="shared" si="907"/>
        <v>0</v>
      </c>
      <c r="V454" s="13">
        <f t="shared" si="907"/>
        <v>0</v>
      </c>
      <c r="W454" s="13">
        <f t="shared" si="907"/>
        <v>0</v>
      </c>
      <c r="X454" s="13">
        <f t="shared" si="907"/>
        <v>0</v>
      </c>
      <c r="Y454" s="13">
        <f t="shared" si="907"/>
        <v>0</v>
      </c>
      <c r="Z454" s="13">
        <f t="shared" si="907"/>
        <v>0</v>
      </c>
      <c r="AA454" s="13">
        <f t="shared" si="907"/>
        <v>0</v>
      </c>
      <c r="AB454" s="13">
        <f t="shared" ref="AB454:AP454" si="908">IFERROR(VALUE(RIGHT(LEFT($J454,FIND(AB$1,$J454,IF(M454=0,1,FIND(AB$1,$J454,1)+1))+LEN(AB$1)),1)),0)</f>
        <v>0</v>
      </c>
      <c r="AC454" s="13">
        <f t="shared" si="908"/>
        <v>0</v>
      </c>
      <c r="AD454" s="13">
        <f t="shared" si="908"/>
        <v>0</v>
      </c>
      <c r="AE454" s="13">
        <f t="shared" si="908"/>
        <v>1</v>
      </c>
      <c r="AF454" s="13">
        <f t="shared" si="908"/>
        <v>0</v>
      </c>
      <c r="AG454" s="13">
        <f t="shared" si="908"/>
        <v>0</v>
      </c>
      <c r="AH454" s="13">
        <f t="shared" si="908"/>
        <v>0</v>
      </c>
      <c r="AI454" s="13">
        <f t="shared" si="908"/>
        <v>0</v>
      </c>
      <c r="AJ454" s="13">
        <f t="shared" si="908"/>
        <v>0</v>
      </c>
      <c r="AK454" s="13">
        <f t="shared" si="908"/>
        <v>0</v>
      </c>
      <c r="AL454" s="13">
        <f t="shared" si="908"/>
        <v>0</v>
      </c>
      <c r="AM454" s="13">
        <f t="shared" si="908"/>
        <v>0</v>
      </c>
      <c r="AN454" s="13">
        <f t="shared" si="908"/>
        <v>1</v>
      </c>
      <c r="AO454" s="13">
        <f t="shared" si="908"/>
        <v>0</v>
      </c>
      <c r="AP454" s="13">
        <f t="shared" si="908"/>
        <v>0</v>
      </c>
      <c r="AQ454" s="13"/>
      <c r="AR454" s="13" t="s">
        <v>3114</v>
      </c>
      <c r="AS454" s="13" t="s">
        <v>3115</v>
      </c>
      <c r="AT454" s="13" t="s">
        <v>162</v>
      </c>
      <c r="AU454" s="13" t="s">
        <v>3116</v>
      </c>
      <c r="AV454" s="13" t="s">
        <v>3117</v>
      </c>
      <c r="AW454" s="13">
        <v>16.0</v>
      </c>
      <c r="AX454" s="13">
        <v>4.0</v>
      </c>
      <c r="AY454" s="13">
        <v>0.0</v>
      </c>
      <c r="AZ454" s="13" t="s">
        <v>3118</v>
      </c>
      <c r="BA454" s="13" t="s">
        <v>3119</v>
      </c>
      <c r="BB454" s="13"/>
      <c r="BC454" s="13"/>
      <c r="BD454" s="13" t="s">
        <v>239</v>
      </c>
      <c r="BE454" s="13"/>
      <c r="BF454" s="13" t="s">
        <v>3120</v>
      </c>
      <c r="BG454" s="13" t="s">
        <v>50</v>
      </c>
      <c r="BH454" s="13" t="s">
        <v>79</v>
      </c>
      <c r="BI454" s="13" t="b">
        <v>0</v>
      </c>
      <c r="BJ454" s="13">
        <v>0.0</v>
      </c>
      <c r="BK454" s="13">
        <v>0.0</v>
      </c>
    </row>
    <row r="455" ht="14.25" customHeight="1">
      <c r="A455" s="13">
        <v>453.0</v>
      </c>
      <c r="B455" s="13" t="s">
        <v>50</v>
      </c>
      <c r="C455" s="13">
        <v>4.0</v>
      </c>
      <c r="D455" s="14">
        <v>0.0</v>
      </c>
      <c r="E455" s="13" t="s">
        <v>3121</v>
      </c>
      <c r="F455" s="15" t="s">
        <v>2958</v>
      </c>
      <c r="G455" s="16" t="s">
        <v>3122</v>
      </c>
      <c r="H455" s="13">
        <v>24.0</v>
      </c>
      <c r="I455" s="13">
        <v>0.9</v>
      </c>
      <c r="J455" s="13" t="s">
        <v>3123</v>
      </c>
      <c r="K455" s="13">
        <f t="shared" si="3"/>
        <v>2</v>
      </c>
      <c r="L455" s="13">
        <f t="shared" si="4"/>
        <v>2</v>
      </c>
      <c r="M455" s="13">
        <f t="shared" ref="M455:AA455" si="909">IFERROR(VALUE(RIGHT(LEFT($J455,FIND(M$1,$J455,1)+LEN(M$1)),1)),0)</f>
        <v>0</v>
      </c>
      <c r="N455" s="13">
        <f t="shared" si="909"/>
        <v>0</v>
      </c>
      <c r="O455" s="13">
        <f t="shared" si="909"/>
        <v>0</v>
      </c>
      <c r="P455" s="13">
        <f t="shared" si="909"/>
        <v>0</v>
      </c>
      <c r="Q455" s="13">
        <f t="shared" si="909"/>
        <v>0</v>
      </c>
      <c r="R455" s="13">
        <f t="shared" si="909"/>
        <v>0</v>
      </c>
      <c r="S455" s="13">
        <f t="shared" si="909"/>
        <v>0</v>
      </c>
      <c r="T455" s="13">
        <f t="shared" si="909"/>
        <v>0</v>
      </c>
      <c r="U455" s="13">
        <f t="shared" si="909"/>
        <v>0</v>
      </c>
      <c r="V455" s="13">
        <f t="shared" si="909"/>
        <v>0</v>
      </c>
      <c r="W455" s="13">
        <f t="shared" si="909"/>
        <v>0</v>
      </c>
      <c r="X455" s="13">
        <f t="shared" si="909"/>
        <v>0</v>
      </c>
      <c r="Y455" s="13">
        <f t="shared" si="909"/>
        <v>2</v>
      </c>
      <c r="Z455" s="13">
        <f t="shared" si="909"/>
        <v>0</v>
      </c>
      <c r="AA455" s="13">
        <f t="shared" si="909"/>
        <v>0</v>
      </c>
      <c r="AB455" s="13">
        <f t="shared" ref="AB455:AP455" si="910">IFERROR(VALUE(RIGHT(LEFT($J455,FIND(AB$1,$J455,IF(M455=0,1,FIND(AB$1,$J455,1)+1))+LEN(AB$1)),1)),0)</f>
        <v>1</v>
      </c>
      <c r="AC455" s="13">
        <f t="shared" si="910"/>
        <v>0</v>
      </c>
      <c r="AD455" s="13">
        <f t="shared" si="910"/>
        <v>0</v>
      </c>
      <c r="AE455" s="13">
        <f t="shared" si="910"/>
        <v>0</v>
      </c>
      <c r="AF455" s="13">
        <f t="shared" si="910"/>
        <v>0</v>
      </c>
      <c r="AG455" s="13">
        <f t="shared" si="910"/>
        <v>0</v>
      </c>
      <c r="AH455" s="13">
        <f t="shared" si="910"/>
        <v>0</v>
      </c>
      <c r="AI455" s="13">
        <f t="shared" si="910"/>
        <v>0</v>
      </c>
      <c r="AJ455" s="13">
        <f t="shared" si="910"/>
        <v>0</v>
      </c>
      <c r="AK455" s="13">
        <f t="shared" si="910"/>
        <v>0</v>
      </c>
      <c r="AL455" s="13">
        <f t="shared" si="910"/>
        <v>0</v>
      </c>
      <c r="AM455" s="13">
        <f t="shared" si="910"/>
        <v>0</v>
      </c>
      <c r="AN455" s="13">
        <f t="shared" si="910"/>
        <v>1</v>
      </c>
      <c r="AO455" s="13">
        <f t="shared" si="910"/>
        <v>0</v>
      </c>
      <c r="AP455" s="13">
        <f t="shared" si="910"/>
        <v>0</v>
      </c>
      <c r="AQ455" s="13"/>
      <c r="AR455" s="13" t="s">
        <v>3124</v>
      </c>
      <c r="AS455" s="13" t="s">
        <v>3125</v>
      </c>
      <c r="AT455" s="13" t="s">
        <v>1221</v>
      </c>
      <c r="AU455" s="13" t="s">
        <v>130</v>
      </c>
      <c r="AV455" s="13" t="s">
        <v>3126</v>
      </c>
      <c r="AW455" s="13">
        <v>15.0</v>
      </c>
      <c r="AX455" s="13">
        <v>4.0</v>
      </c>
      <c r="AY455" s="13">
        <v>0.0</v>
      </c>
      <c r="AZ455" s="13" t="s">
        <v>3127</v>
      </c>
      <c r="BA455" s="13" t="s">
        <v>3128</v>
      </c>
      <c r="BB455" s="13"/>
      <c r="BC455" s="13"/>
      <c r="BD455" s="13" t="s">
        <v>230</v>
      </c>
      <c r="BE455" s="13"/>
      <c r="BF455" s="13" t="s">
        <v>3129</v>
      </c>
      <c r="BG455" s="13" t="s">
        <v>50</v>
      </c>
      <c r="BH455" s="13" t="s">
        <v>79</v>
      </c>
      <c r="BI455" s="13" t="b">
        <v>0</v>
      </c>
      <c r="BJ455" s="13">
        <v>0.0</v>
      </c>
      <c r="BK455" s="13">
        <v>0.0</v>
      </c>
    </row>
    <row r="456" ht="14.25" customHeight="1">
      <c r="A456" s="13">
        <v>454.0</v>
      </c>
      <c r="B456" s="13" t="s">
        <v>49</v>
      </c>
      <c r="C456" s="13">
        <v>4.0</v>
      </c>
      <c r="D456" s="14">
        <v>0.0</v>
      </c>
      <c r="E456" s="13" t="s">
        <v>3130</v>
      </c>
      <c r="F456" s="15" t="s">
        <v>2958</v>
      </c>
      <c r="G456" s="16" t="s">
        <v>3131</v>
      </c>
      <c r="H456" s="13">
        <v>22.0</v>
      </c>
      <c r="I456" s="13">
        <v>0.8</v>
      </c>
      <c r="J456" s="13" t="s">
        <v>3132</v>
      </c>
      <c r="K456" s="13">
        <f t="shared" si="3"/>
        <v>2</v>
      </c>
      <c r="L456" s="13">
        <f t="shared" si="4"/>
        <v>2</v>
      </c>
      <c r="M456" s="13">
        <f t="shared" ref="M456:AA456" si="911">IFERROR(VALUE(RIGHT(LEFT($J456,FIND(M$1,$J456,1)+LEN(M$1)),1)),0)</f>
        <v>2</v>
      </c>
      <c r="N456" s="13">
        <f t="shared" si="911"/>
        <v>0</v>
      </c>
      <c r="O456" s="13">
        <f t="shared" si="911"/>
        <v>0</v>
      </c>
      <c r="P456" s="13">
        <f t="shared" si="911"/>
        <v>0</v>
      </c>
      <c r="Q456" s="13">
        <f t="shared" si="911"/>
        <v>0</v>
      </c>
      <c r="R456" s="13">
        <f t="shared" si="911"/>
        <v>0</v>
      </c>
      <c r="S456" s="13">
        <f t="shared" si="911"/>
        <v>0</v>
      </c>
      <c r="T456" s="13">
        <f t="shared" si="911"/>
        <v>0</v>
      </c>
      <c r="U456" s="13">
        <f t="shared" si="911"/>
        <v>0</v>
      </c>
      <c r="V456" s="13">
        <f t="shared" si="911"/>
        <v>0</v>
      </c>
      <c r="W456" s="13">
        <f t="shared" si="911"/>
        <v>0</v>
      </c>
      <c r="X456" s="13">
        <f t="shared" si="911"/>
        <v>0</v>
      </c>
      <c r="Y456" s="13">
        <f t="shared" si="911"/>
        <v>0</v>
      </c>
      <c r="Z456" s="13">
        <f t="shared" si="911"/>
        <v>0</v>
      </c>
      <c r="AA456" s="13">
        <f t="shared" si="911"/>
        <v>0</v>
      </c>
      <c r="AB456" s="13">
        <f t="shared" ref="AB456:AP456" si="912">IFERROR(VALUE(RIGHT(LEFT($J456,FIND(AB$1,$J456,IF(M456=0,1,FIND(AB$1,$J456,1)+1))+LEN(AB$1)),1)),0)</f>
        <v>1</v>
      </c>
      <c r="AC456" s="13">
        <f t="shared" si="912"/>
        <v>0</v>
      </c>
      <c r="AD456" s="13">
        <f t="shared" si="912"/>
        <v>0</v>
      </c>
      <c r="AE456" s="13">
        <f t="shared" si="912"/>
        <v>0</v>
      </c>
      <c r="AF456" s="13">
        <f t="shared" si="912"/>
        <v>0</v>
      </c>
      <c r="AG456" s="13">
        <f t="shared" si="912"/>
        <v>0</v>
      </c>
      <c r="AH456" s="13">
        <f t="shared" si="912"/>
        <v>0</v>
      </c>
      <c r="AI456" s="13">
        <f t="shared" si="912"/>
        <v>0</v>
      </c>
      <c r="AJ456" s="13">
        <f t="shared" si="912"/>
        <v>0</v>
      </c>
      <c r="AK456" s="13">
        <f t="shared" si="912"/>
        <v>0</v>
      </c>
      <c r="AL456" s="13">
        <f t="shared" si="912"/>
        <v>0</v>
      </c>
      <c r="AM456" s="13">
        <f t="shared" si="912"/>
        <v>1</v>
      </c>
      <c r="AN456" s="13">
        <f t="shared" si="912"/>
        <v>0</v>
      </c>
      <c r="AO456" s="13">
        <f t="shared" si="912"/>
        <v>0</v>
      </c>
      <c r="AP456" s="13">
        <f t="shared" si="912"/>
        <v>0</v>
      </c>
      <c r="AQ456" s="13"/>
      <c r="AR456" s="13" t="s">
        <v>2339</v>
      </c>
      <c r="AS456" s="13" t="s">
        <v>3133</v>
      </c>
      <c r="AT456" s="13" t="s">
        <v>1221</v>
      </c>
      <c r="AU456" s="13" t="s">
        <v>143</v>
      </c>
      <c r="AV456" s="13" t="s">
        <v>3134</v>
      </c>
      <c r="AW456" s="13">
        <v>14.0</v>
      </c>
      <c r="AX456" s="13">
        <v>4.0</v>
      </c>
      <c r="AY456" s="13">
        <v>0.0</v>
      </c>
      <c r="AZ456" s="13" t="s">
        <v>3135</v>
      </c>
      <c r="BA456" s="13" t="s">
        <v>2307</v>
      </c>
      <c r="BB456" s="13"/>
      <c r="BC456" s="13"/>
      <c r="BD456" s="13" t="s">
        <v>664</v>
      </c>
      <c r="BE456" s="13"/>
      <c r="BF456" s="13" t="s">
        <v>1979</v>
      </c>
      <c r="BG456" s="13" t="s">
        <v>201</v>
      </c>
      <c r="BH456" s="13" t="s">
        <v>241</v>
      </c>
      <c r="BI456" s="13" t="b">
        <v>0</v>
      </c>
      <c r="BJ456" s="13">
        <v>0.0</v>
      </c>
      <c r="BK456" s="13">
        <v>0.0</v>
      </c>
    </row>
    <row r="457" ht="14.25" customHeight="1">
      <c r="A457" s="13">
        <v>455.0</v>
      </c>
      <c r="B457" s="13" t="s">
        <v>46</v>
      </c>
      <c r="C457" s="13">
        <v>5.0</v>
      </c>
      <c r="D457" s="14">
        <v>0.0</v>
      </c>
      <c r="E457" s="13" t="s">
        <v>3136</v>
      </c>
      <c r="F457" s="15" t="s">
        <v>2958</v>
      </c>
      <c r="G457" s="16" t="s">
        <v>3137</v>
      </c>
      <c r="H457" s="13"/>
      <c r="I457" s="13">
        <v>1.0</v>
      </c>
      <c r="J457" s="13" t="s">
        <v>3138</v>
      </c>
      <c r="K457" s="13">
        <f t="shared" si="3"/>
        <v>3</v>
      </c>
      <c r="L457" s="13">
        <f t="shared" si="4"/>
        <v>2</v>
      </c>
      <c r="M457" s="13">
        <f t="shared" ref="M457:AA457" si="913">IFERROR(VALUE(RIGHT(LEFT($J457,FIND(M$1,$J457,1)+LEN(M$1)),1)),0)</f>
        <v>0</v>
      </c>
      <c r="N457" s="13">
        <f t="shared" si="913"/>
        <v>0</v>
      </c>
      <c r="O457" s="13">
        <f t="shared" si="913"/>
        <v>0</v>
      </c>
      <c r="P457" s="13">
        <f t="shared" si="913"/>
        <v>0</v>
      </c>
      <c r="Q457" s="13">
        <f t="shared" si="913"/>
        <v>1</v>
      </c>
      <c r="R457" s="13">
        <f t="shared" si="913"/>
        <v>0</v>
      </c>
      <c r="S457" s="13">
        <f t="shared" si="913"/>
        <v>0</v>
      </c>
      <c r="T457" s="13">
        <f t="shared" si="913"/>
        <v>0</v>
      </c>
      <c r="U457" s="13">
        <f t="shared" si="913"/>
        <v>2</v>
      </c>
      <c r="V457" s="13">
        <f t="shared" si="913"/>
        <v>0</v>
      </c>
      <c r="W457" s="13">
        <f t="shared" si="913"/>
        <v>0</v>
      </c>
      <c r="X457" s="13">
        <f t="shared" si="913"/>
        <v>0</v>
      </c>
      <c r="Y457" s="13">
        <f t="shared" si="913"/>
        <v>0</v>
      </c>
      <c r="Z457" s="13">
        <f t="shared" si="913"/>
        <v>0</v>
      </c>
      <c r="AA457" s="13">
        <f t="shared" si="913"/>
        <v>0</v>
      </c>
      <c r="AB457" s="13">
        <f t="shared" ref="AB457:AP457" si="914">IFERROR(VALUE(RIGHT(LEFT($J457,FIND(AB$1,$J457,IF(M457=0,1,FIND(AB$1,$J457,1)+1))+LEN(AB$1)),1)),0)</f>
        <v>0</v>
      </c>
      <c r="AC457" s="13">
        <f t="shared" si="914"/>
        <v>0</v>
      </c>
      <c r="AD457" s="13">
        <f t="shared" si="914"/>
        <v>0</v>
      </c>
      <c r="AE457" s="13">
        <f t="shared" si="914"/>
        <v>0</v>
      </c>
      <c r="AF457" s="13">
        <f t="shared" si="914"/>
        <v>0</v>
      </c>
      <c r="AG457" s="13">
        <f t="shared" si="914"/>
        <v>0</v>
      </c>
      <c r="AH457" s="13">
        <f t="shared" si="914"/>
        <v>0</v>
      </c>
      <c r="AI457" s="13">
        <f t="shared" si="914"/>
        <v>0</v>
      </c>
      <c r="AJ457" s="13">
        <f t="shared" si="914"/>
        <v>2</v>
      </c>
      <c r="AK457" s="13">
        <f t="shared" si="914"/>
        <v>0</v>
      </c>
      <c r="AL457" s="13">
        <f t="shared" si="914"/>
        <v>0</v>
      </c>
      <c r="AM457" s="13">
        <f t="shared" si="914"/>
        <v>0</v>
      </c>
      <c r="AN457" s="13">
        <f t="shared" si="914"/>
        <v>0</v>
      </c>
      <c r="AO457" s="13">
        <f t="shared" si="914"/>
        <v>0</v>
      </c>
      <c r="AP457" s="13">
        <f t="shared" si="914"/>
        <v>0</v>
      </c>
      <c r="AQ457" s="13" t="s">
        <v>3139</v>
      </c>
      <c r="AR457" s="13"/>
      <c r="AS457" s="13" t="s">
        <v>3140</v>
      </c>
      <c r="AT457" s="13"/>
      <c r="AU457" s="13"/>
      <c r="AV457" s="13"/>
      <c r="AW457" s="13">
        <v>0.0</v>
      </c>
      <c r="AX457" s="13">
        <v>4.0</v>
      </c>
      <c r="AY457" s="13">
        <v>0.0</v>
      </c>
      <c r="AZ457" s="13"/>
      <c r="BA457" s="13"/>
      <c r="BB457" s="13"/>
      <c r="BC457" s="13"/>
      <c r="BD457" s="13"/>
      <c r="BE457" s="13"/>
      <c r="BF457" s="13"/>
      <c r="BG457" s="13"/>
      <c r="BH457" s="13" t="s">
        <v>79</v>
      </c>
      <c r="BI457" s="13" t="b">
        <v>0</v>
      </c>
      <c r="BJ457" s="13">
        <v>0.0</v>
      </c>
      <c r="BK457" s="13">
        <v>0.0</v>
      </c>
    </row>
    <row r="458" ht="14.25" customHeight="1">
      <c r="A458" s="13">
        <v>456.0</v>
      </c>
      <c r="B458" s="13" t="s">
        <v>50</v>
      </c>
      <c r="C458" s="13">
        <v>5.0</v>
      </c>
      <c r="D458" s="14">
        <v>0.0</v>
      </c>
      <c r="E458" s="13" t="s">
        <v>3141</v>
      </c>
      <c r="F458" s="15" t="s">
        <v>2958</v>
      </c>
      <c r="G458" s="16" t="s">
        <v>3142</v>
      </c>
      <c r="H458" s="13">
        <v>27.0</v>
      </c>
      <c r="I458" s="13">
        <v>1.1</v>
      </c>
      <c r="J458" s="13" t="s">
        <v>3143</v>
      </c>
      <c r="K458" s="13">
        <f t="shared" si="3"/>
        <v>3</v>
      </c>
      <c r="L458" s="13">
        <f t="shared" si="4"/>
        <v>2</v>
      </c>
      <c r="M458" s="13">
        <f t="shared" ref="M458:AA458" si="915">IFERROR(VALUE(RIGHT(LEFT($J458,FIND(M$1,$J458,1)+LEN(M$1)),1)),0)</f>
        <v>0</v>
      </c>
      <c r="N458" s="13">
        <f t="shared" si="915"/>
        <v>0</v>
      </c>
      <c r="O458" s="13">
        <f t="shared" si="915"/>
        <v>0</v>
      </c>
      <c r="P458" s="13">
        <f t="shared" si="915"/>
        <v>1</v>
      </c>
      <c r="Q458" s="13">
        <f t="shared" si="915"/>
        <v>0</v>
      </c>
      <c r="R458" s="13">
        <f t="shared" si="915"/>
        <v>0</v>
      </c>
      <c r="S458" s="13">
        <f t="shared" si="915"/>
        <v>0</v>
      </c>
      <c r="T458" s="13">
        <f t="shared" si="915"/>
        <v>0</v>
      </c>
      <c r="U458" s="13">
        <f t="shared" si="915"/>
        <v>0</v>
      </c>
      <c r="V458" s="13">
        <f t="shared" si="915"/>
        <v>0</v>
      </c>
      <c r="W458" s="13">
        <f t="shared" si="915"/>
        <v>0</v>
      </c>
      <c r="X458" s="13">
        <f t="shared" si="915"/>
        <v>0</v>
      </c>
      <c r="Y458" s="13">
        <f t="shared" si="915"/>
        <v>2</v>
      </c>
      <c r="Z458" s="13">
        <f t="shared" si="915"/>
        <v>0</v>
      </c>
      <c r="AA458" s="13">
        <f t="shared" si="915"/>
        <v>0</v>
      </c>
      <c r="AB458" s="13">
        <f t="shared" ref="AB458:AP458" si="916">IFERROR(VALUE(RIGHT(LEFT($J458,FIND(AB$1,$J458,IF(M458=0,1,FIND(AB$1,$J458,1)+1))+LEN(AB$1)),1)),0)</f>
        <v>0</v>
      </c>
      <c r="AC458" s="13">
        <f t="shared" si="916"/>
        <v>0</v>
      </c>
      <c r="AD458" s="13">
        <f t="shared" si="916"/>
        <v>0</v>
      </c>
      <c r="AE458" s="13">
        <f t="shared" si="916"/>
        <v>0</v>
      </c>
      <c r="AF458" s="13">
        <f t="shared" si="916"/>
        <v>0</v>
      </c>
      <c r="AG458" s="13">
        <f t="shared" si="916"/>
        <v>0</v>
      </c>
      <c r="AH458" s="13">
        <f t="shared" si="916"/>
        <v>0</v>
      </c>
      <c r="AI458" s="13">
        <f t="shared" si="916"/>
        <v>0</v>
      </c>
      <c r="AJ458" s="13">
        <f t="shared" si="916"/>
        <v>0</v>
      </c>
      <c r="AK458" s="13">
        <f t="shared" si="916"/>
        <v>0</v>
      </c>
      <c r="AL458" s="13">
        <f t="shared" si="916"/>
        <v>0</v>
      </c>
      <c r="AM458" s="13">
        <f t="shared" si="916"/>
        <v>0</v>
      </c>
      <c r="AN458" s="13">
        <f t="shared" si="916"/>
        <v>2</v>
      </c>
      <c r="AO458" s="13">
        <f t="shared" si="916"/>
        <v>0</v>
      </c>
      <c r="AP458" s="13">
        <f t="shared" si="916"/>
        <v>0</v>
      </c>
      <c r="AQ458" s="13"/>
      <c r="AR458" s="13" t="s">
        <v>3144</v>
      </c>
      <c r="AS458" s="13" t="s">
        <v>3145</v>
      </c>
      <c r="AT458" s="13" t="s">
        <v>302</v>
      </c>
      <c r="AU458" s="13" t="s">
        <v>130</v>
      </c>
      <c r="AV458" s="13" t="s">
        <v>3146</v>
      </c>
      <c r="AW458" s="13">
        <v>18.0</v>
      </c>
      <c r="AX458" s="13">
        <v>4.0</v>
      </c>
      <c r="AY458" s="13">
        <v>0.0</v>
      </c>
      <c r="AZ458" s="13" t="s">
        <v>3147</v>
      </c>
      <c r="BA458" s="13" t="s">
        <v>3148</v>
      </c>
      <c r="BB458" s="13"/>
      <c r="BC458" s="13"/>
      <c r="BD458" s="13" t="s">
        <v>239</v>
      </c>
      <c r="BE458" s="13"/>
      <c r="BF458" s="13" t="s">
        <v>3149</v>
      </c>
      <c r="BG458" s="13" t="s">
        <v>50</v>
      </c>
      <c r="BH458" s="13" t="s">
        <v>79</v>
      </c>
      <c r="BI458" s="13" t="b">
        <v>0</v>
      </c>
      <c r="BJ458" s="13">
        <v>0.0</v>
      </c>
      <c r="BK458" s="13">
        <v>0.0</v>
      </c>
    </row>
    <row r="459" ht="14.25" customHeight="1">
      <c r="A459" s="13">
        <v>457.0</v>
      </c>
      <c r="B459" s="13" t="s">
        <v>44</v>
      </c>
      <c r="C459" s="13">
        <v>0.0</v>
      </c>
      <c r="D459" s="14">
        <v>0.0</v>
      </c>
      <c r="E459" s="13" t="s">
        <v>3150</v>
      </c>
      <c r="F459" s="15" t="s">
        <v>3151</v>
      </c>
      <c r="G459" s="16" t="s">
        <v>3152</v>
      </c>
      <c r="H459" s="13"/>
      <c r="I459" s="13">
        <v>1.1</v>
      </c>
      <c r="J459" s="13" t="s">
        <v>2185</v>
      </c>
      <c r="K459" s="13">
        <f t="shared" si="3"/>
        <v>0</v>
      </c>
      <c r="L459" s="13">
        <f t="shared" si="4"/>
        <v>1</v>
      </c>
      <c r="M459" s="13">
        <f t="shared" ref="M459:AA459" si="917">IFERROR(VALUE(RIGHT(LEFT($J459,FIND(M$1,$J459,1)+LEN(M$1)),1)),0)</f>
        <v>0</v>
      </c>
      <c r="N459" s="13">
        <f t="shared" si="917"/>
        <v>0</v>
      </c>
      <c r="O459" s="13">
        <f t="shared" si="917"/>
        <v>0</v>
      </c>
      <c r="P459" s="13">
        <f t="shared" si="917"/>
        <v>0</v>
      </c>
      <c r="Q459" s="13">
        <f t="shared" si="917"/>
        <v>0</v>
      </c>
      <c r="R459" s="13">
        <f t="shared" si="917"/>
        <v>0</v>
      </c>
      <c r="S459" s="13">
        <f t="shared" si="917"/>
        <v>0</v>
      </c>
      <c r="T459" s="13">
        <f t="shared" si="917"/>
        <v>0</v>
      </c>
      <c r="U459" s="13">
        <f t="shared" si="917"/>
        <v>0</v>
      </c>
      <c r="V459" s="13">
        <f t="shared" si="917"/>
        <v>0</v>
      </c>
      <c r="W459" s="13">
        <f t="shared" si="917"/>
        <v>0</v>
      </c>
      <c r="X459" s="13">
        <f t="shared" si="917"/>
        <v>0</v>
      </c>
      <c r="Y459" s="13">
        <f t="shared" si="917"/>
        <v>0</v>
      </c>
      <c r="Z459" s="13">
        <f t="shared" si="917"/>
        <v>0</v>
      </c>
      <c r="AA459" s="13">
        <f t="shared" si="917"/>
        <v>0</v>
      </c>
      <c r="AB459" s="13">
        <f t="shared" ref="AB459:AP459" si="918">IFERROR(VALUE(RIGHT(LEFT($J459,FIND(AB$1,$J459,IF(M459=0,1,FIND(AB$1,$J459,1)+1))+LEN(AB$1)),1)),0)</f>
        <v>0</v>
      </c>
      <c r="AC459" s="13">
        <f t="shared" si="918"/>
        <v>0</v>
      </c>
      <c r="AD459" s="13">
        <f t="shared" si="918"/>
        <v>0</v>
      </c>
      <c r="AE459" s="13">
        <f t="shared" si="918"/>
        <v>0</v>
      </c>
      <c r="AF459" s="13">
        <f t="shared" si="918"/>
        <v>0</v>
      </c>
      <c r="AG459" s="13">
        <f t="shared" si="918"/>
        <v>0</v>
      </c>
      <c r="AH459" s="13">
        <f t="shared" si="918"/>
        <v>1</v>
      </c>
      <c r="AI459" s="13">
        <f t="shared" si="918"/>
        <v>0</v>
      </c>
      <c r="AJ459" s="13">
        <f t="shared" si="918"/>
        <v>0</v>
      </c>
      <c r="AK459" s="13">
        <f t="shared" si="918"/>
        <v>0</v>
      </c>
      <c r="AL459" s="13">
        <f t="shared" si="918"/>
        <v>0</v>
      </c>
      <c r="AM459" s="13">
        <f t="shared" si="918"/>
        <v>0</v>
      </c>
      <c r="AN459" s="13">
        <f t="shared" si="918"/>
        <v>0</v>
      </c>
      <c r="AO459" s="13">
        <f t="shared" si="918"/>
        <v>0</v>
      </c>
      <c r="AP459" s="13">
        <f t="shared" si="918"/>
        <v>0</v>
      </c>
      <c r="AQ459" s="13" t="s">
        <v>3153</v>
      </c>
      <c r="AR459" s="13"/>
      <c r="AS459" s="13" t="s">
        <v>3154</v>
      </c>
      <c r="AT459" s="13"/>
      <c r="AU459" s="13"/>
      <c r="AV459" s="13"/>
      <c r="AW459" s="13">
        <v>0.0</v>
      </c>
      <c r="AX459" s="13">
        <v>5.0</v>
      </c>
      <c r="AY459" s="13">
        <v>0.0</v>
      </c>
      <c r="AZ459" s="13"/>
      <c r="BA459" s="13"/>
      <c r="BB459" s="13"/>
      <c r="BC459" s="13"/>
      <c r="BD459" s="13"/>
      <c r="BE459" s="13"/>
      <c r="BF459" s="13"/>
      <c r="BG459" s="13"/>
      <c r="BH459" s="13" t="s">
        <v>79</v>
      </c>
      <c r="BI459" s="13" t="b">
        <v>0</v>
      </c>
      <c r="BJ459" s="13">
        <v>0.0</v>
      </c>
      <c r="BK459" s="13">
        <v>0.0</v>
      </c>
    </row>
    <row r="460" ht="14.25" customHeight="1">
      <c r="A460" s="13">
        <v>458.0</v>
      </c>
      <c r="B460" s="13" t="s">
        <v>45</v>
      </c>
      <c r="C460" s="13">
        <v>0.0</v>
      </c>
      <c r="D460" s="14">
        <v>0.0</v>
      </c>
      <c r="E460" s="13" t="s">
        <v>3155</v>
      </c>
      <c r="F460" s="15" t="s">
        <v>3151</v>
      </c>
      <c r="G460" s="16" t="s">
        <v>3156</v>
      </c>
      <c r="H460" s="13"/>
      <c r="I460" s="13">
        <v>0.9</v>
      </c>
      <c r="J460" s="13" t="s">
        <v>100</v>
      </c>
      <c r="K460" s="13">
        <f t="shared" si="3"/>
        <v>0</v>
      </c>
      <c r="L460" s="13">
        <f t="shared" si="4"/>
        <v>1</v>
      </c>
      <c r="M460" s="13">
        <f t="shared" ref="M460:AA460" si="919">IFERROR(VALUE(RIGHT(LEFT($J460,FIND(M$1,$J460,1)+LEN(M$1)),1)),0)</f>
        <v>0</v>
      </c>
      <c r="N460" s="13">
        <f t="shared" si="919"/>
        <v>0</v>
      </c>
      <c r="O460" s="13">
        <f t="shared" si="919"/>
        <v>0</v>
      </c>
      <c r="P460" s="13">
        <f t="shared" si="919"/>
        <v>0</v>
      </c>
      <c r="Q460" s="13">
        <f t="shared" si="919"/>
        <v>0</v>
      </c>
      <c r="R460" s="13">
        <f t="shared" si="919"/>
        <v>0</v>
      </c>
      <c r="S460" s="13">
        <f t="shared" si="919"/>
        <v>0</v>
      </c>
      <c r="T460" s="13">
        <f t="shared" si="919"/>
        <v>0</v>
      </c>
      <c r="U460" s="13">
        <f t="shared" si="919"/>
        <v>0</v>
      </c>
      <c r="V460" s="13">
        <f t="shared" si="919"/>
        <v>0</v>
      </c>
      <c r="W460" s="13">
        <f t="shared" si="919"/>
        <v>0</v>
      </c>
      <c r="X460" s="13">
        <f t="shared" si="919"/>
        <v>0</v>
      </c>
      <c r="Y460" s="13">
        <f t="shared" si="919"/>
        <v>0</v>
      </c>
      <c r="Z460" s="13">
        <f t="shared" si="919"/>
        <v>0</v>
      </c>
      <c r="AA460" s="13">
        <f t="shared" si="919"/>
        <v>0</v>
      </c>
      <c r="AB460" s="13">
        <f t="shared" ref="AB460:AP460" si="920">IFERROR(VALUE(RIGHT(LEFT($J460,FIND(AB$1,$J460,IF(M460=0,1,FIND(AB$1,$J460,1)+1))+LEN(AB$1)),1)),0)</f>
        <v>0</v>
      </c>
      <c r="AC460" s="13">
        <f t="shared" si="920"/>
        <v>0</v>
      </c>
      <c r="AD460" s="13">
        <f t="shared" si="920"/>
        <v>0</v>
      </c>
      <c r="AE460" s="13">
        <f t="shared" si="920"/>
        <v>0</v>
      </c>
      <c r="AF460" s="13">
        <f t="shared" si="920"/>
        <v>0</v>
      </c>
      <c r="AG460" s="13">
        <f t="shared" si="920"/>
        <v>0</v>
      </c>
      <c r="AH460" s="13">
        <f t="shared" si="920"/>
        <v>0</v>
      </c>
      <c r="AI460" s="13">
        <f t="shared" si="920"/>
        <v>1</v>
      </c>
      <c r="AJ460" s="13">
        <f t="shared" si="920"/>
        <v>0</v>
      </c>
      <c r="AK460" s="13">
        <f t="shared" si="920"/>
        <v>0</v>
      </c>
      <c r="AL460" s="13">
        <f t="shared" si="920"/>
        <v>0</v>
      </c>
      <c r="AM460" s="13">
        <f t="shared" si="920"/>
        <v>0</v>
      </c>
      <c r="AN460" s="13">
        <f t="shared" si="920"/>
        <v>0</v>
      </c>
      <c r="AO460" s="13">
        <f t="shared" si="920"/>
        <v>0</v>
      </c>
      <c r="AP460" s="13">
        <f t="shared" si="920"/>
        <v>0</v>
      </c>
      <c r="AQ460" s="13" t="s">
        <v>3157</v>
      </c>
      <c r="AR460" s="13"/>
      <c r="AS460" s="13" t="s">
        <v>102</v>
      </c>
      <c r="AT460" s="13"/>
      <c r="AU460" s="13"/>
      <c r="AV460" s="13"/>
      <c r="AW460" s="13">
        <v>0.0</v>
      </c>
      <c r="AX460" s="13">
        <v>5.0</v>
      </c>
      <c r="AY460" s="13">
        <v>0.0</v>
      </c>
      <c r="AZ460" s="13"/>
      <c r="BA460" s="13"/>
      <c r="BB460" s="13"/>
      <c r="BC460" s="13"/>
      <c r="BD460" s="13"/>
      <c r="BE460" s="13"/>
      <c r="BF460" s="13"/>
      <c r="BG460" s="13"/>
      <c r="BH460" s="13" t="s">
        <v>79</v>
      </c>
      <c r="BI460" s="13" t="b">
        <v>0</v>
      </c>
      <c r="BJ460" s="13">
        <v>0.0</v>
      </c>
      <c r="BK460" s="13">
        <v>0.0</v>
      </c>
    </row>
    <row r="461" ht="14.25" customHeight="1">
      <c r="A461" s="13">
        <v>459.0</v>
      </c>
      <c r="B461" s="13" t="s">
        <v>46</v>
      </c>
      <c r="C461" s="13">
        <v>0.0</v>
      </c>
      <c r="D461" s="14">
        <v>0.0</v>
      </c>
      <c r="E461" s="13" t="s">
        <v>3158</v>
      </c>
      <c r="F461" s="15" t="s">
        <v>3151</v>
      </c>
      <c r="G461" s="16" t="s">
        <v>3159</v>
      </c>
      <c r="H461" s="13"/>
      <c r="I461" s="13">
        <v>1.1</v>
      </c>
      <c r="J461" s="13" t="s">
        <v>111</v>
      </c>
      <c r="K461" s="13">
        <f t="shared" si="3"/>
        <v>0</v>
      </c>
      <c r="L461" s="13">
        <f t="shared" si="4"/>
        <v>1</v>
      </c>
      <c r="M461" s="13">
        <f t="shared" ref="M461:AA461" si="921">IFERROR(VALUE(RIGHT(LEFT($J461,FIND(M$1,$J461,1)+LEN(M$1)),1)),0)</f>
        <v>0</v>
      </c>
      <c r="N461" s="13">
        <f t="shared" si="921"/>
        <v>0</v>
      </c>
      <c r="O461" s="13">
        <f t="shared" si="921"/>
        <v>0</v>
      </c>
      <c r="P461" s="13">
        <f t="shared" si="921"/>
        <v>0</v>
      </c>
      <c r="Q461" s="13">
        <f t="shared" si="921"/>
        <v>0</v>
      </c>
      <c r="R461" s="13">
        <f t="shared" si="921"/>
        <v>0</v>
      </c>
      <c r="S461" s="13">
        <f t="shared" si="921"/>
        <v>0</v>
      </c>
      <c r="T461" s="13">
        <f t="shared" si="921"/>
        <v>0</v>
      </c>
      <c r="U461" s="13">
        <f t="shared" si="921"/>
        <v>0</v>
      </c>
      <c r="V461" s="13">
        <f t="shared" si="921"/>
        <v>0</v>
      </c>
      <c r="W461" s="13">
        <f t="shared" si="921"/>
        <v>0</v>
      </c>
      <c r="X461" s="13">
        <f t="shared" si="921"/>
        <v>0</v>
      </c>
      <c r="Y461" s="13">
        <f t="shared" si="921"/>
        <v>0</v>
      </c>
      <c r="Z461" s="13">
        <f t="shared" si="921"/>
        <v>0</v>
      </c>
      <c r="AA461" s="13">
        <f t="shared" si="921"/>
        <v>0</v>
      </c>
      <c r="AB461" s="13">
        <f t="shared" ref="AB461:AP461" si="922">IFERROR(VALUE(RIGHT(LEFT($J461,FIND(AB$1,$J461,IF(M461=0,1,FIND(AB$1,$J461,1)+1))+LEN(AB$1)),1)),0)</f>
        <v>0</v>
      </c>
      <c r="AC461" s="13">
        <f t="shared" si="922"/>
        <v>0</v>
      </c>
      <c r="AD461" s="13">
        <f t="shared" si="922"/>
        <v>0</v>
      </c>
      <c r="AE461" s="13">
        <f t="shared" si="922"/>
        <v>0</v>
      </c>
      <c r="AF461" s="13">
        <f t="shared" si="922"/>
        <v>0</v>
      </c>
      <c r="AG461" s="13">
        <f t="shared" si="922"/>
        <v>0</v>
      </c>
      <c r="AH461" s="13">
        <f t="shared" si="922"/>
        <v>0</v>
      </c>
      <c r="AI461" s="13">
        <f t="shared" si="922"/>
        <v>0</v>
      </c>
      <c r="AJ461" s="13">
        <f t="shared" si="922"/>
        <v>1</v>
      </c>
      <c r="AK461" s="13">
        <f t="shared" si="922"/>
        <v>0</v>
      </c>
      <c r="AL461" s="13">
        <f t="shared" si="922"/>
        <v>0</v>
      </c>
      <c r="AM461" s="13">
        <f t="shared" si="922"/>
        <v>0</v>
      </c>
      <c r="AN461" s="13">
        <f t="shared" si="922"/>
        <v>0</v>
      </c>
      <c r="AO461" s="13">
        <f t="shared" si="922"/>
        <v>0</v>
      </c>
      <c r="AP461" s="13">
        <f t="shared" si="922"/>
        <v>0</v>
      </c>
      <c r="AQ461" s="13" t="s">
        <v>3160</v>
      </c>
      <c r="AR461" s="13"/>
      <c r="AS461" s="13" t="s">
        <v>117</v>
      </c>
      <c r="AT461" s="13"/>
      <c r="AU461" s="13"/>
      <c r="AV461" s="13"/>
      <c r="AW461" s="13">
        <v>0.0</v>
      </c>
      <c r="AX461" s="13">
        <v>5.0</v>
      </c>
      <c r="AY461" s="13">
        <v>0.0</v>
      </c>
      <c r="AZ461" s="13"/>
      <c r="BA461" s="13"/>
      <c r="BB461" s="13"/>
      <c r="BC461" s="13"/>
      <c r="BD461" s="13"/>
      <c r="BE461" s="13"/>
      <c r="BF461" s="13"/>
      <c r="BG461" s="13"/>
      <c r="BH461" s="13" t="s">
        <v>79</v>
      </c>
      <c r="BI461" s="13" t="b">
        <v>0</v>
      </c>
      <c r="BJ461" s="13">
        <v>0.0</v>
      </c>
      <c r="BK461" s="13">
        <v>0.0</v>
      </c>
    </row>
    <row r="462" ht="14.25" customHeight="1">
      <c r="A462" s="13">
        <v>460.0</v>
      </c>
      <c r="B462" s="13" t="s">
        <v>51</v>
      </c>
      <c r="C462" s="13">
        <v>0.0</v>
      </c>
      <c r="D462" s="14">
        <v>0.0</v>
      </c>
      <c r="E462" s="13" t="s">
        <v>3161</v>
      </c>
      <c r="F462" s="15" t="s">
        <v>3151</v>
      </c>
      <c r="G462" s="16" t="s">
        <v>3162</v>
      </c>
      <c r="H462" s="13">
        <v>12.0</v>
      </c>
      <c r="I462" s="13">
        <v>1.2</v>
      </c>
      <c r="J462" s="13" t="s">
        <v>255</v>
      </c>
      <c r="K462" s="13">
        <f t="shared" si="3"/>
        <v>0</v>
      </c>
      <c r="L462" s="13">
        <f t="shared" si="4"/>
        <v>1</v>
      </c>
      <c r="M462" s="13">
        <f t="shared" ref="M462:AA462" si="923">IFERROR(VALUE(RIGHT(LEFT($J462,FIND(M$1,$J462,1)+LEN(M$1)),1)),0)</f>
        <v>0</v>
      </c>
      <c r="N462" s="13">
        <f t="shared" si="923"/>
        <v>0</v>
      </c>
      <c r="O462" s="13">
        <f t="shared" si="923"/>
        <v>0</v>
      </c>
      <c r="P462" s="13">
        <f t="shared" si="923"/>
        <v>0</v>
      </c>
      <c r="Q462" s="13">
        <f t="shared" si="923"/>
        <v>0</v>
      </c>
      <c r="R462" s="13">
        <f t="shared" si="923"/>
        <v>0</v>
      </c>
      <c r="S462" s="13">
        <f t="shared" si="923"/>
        <v>0</v>
      </c>
      <c r="T462" s="13">
        <f t="shared" si="923"/>
        <v>0</v>
      </c>
      <c r="U462" s="13">
        <f t="shared" si="923"/>
        <v>0</v>
      </c>
      <c r="V462" s="13">
        <f t="shared" si="923"/>
        <v>0</v>
      </c>
      <c r="W462" s="13">
        <f t="shared" si="923"/>
        <v>0</v>
      </c>
      <c r="X462" s="13">
        <f t="shared" si="923"/>
        <v>0</v>
      </c>
      <c r="Y462" s="13">
        <f t="shared" si="923"/>
        <v>0</v>
      </c>
      <c r="Z462" s="13">
        <f t="shared" si="923"/>
        <v>0</v>
      </c>
      <c r="AA462" s="13">
        <f t="shared" si="923"/>
        <v>0</v>
      </c>
      <c r="AB462" s="13">
        <f t="shared" ref="AB462:AP462" si="924">IFERROR(VALUE(RIGHT(LEFT($J462,FIND(AB$1,$J462,IF(M462=0,1,FIND(AB$1,$J462,1)+1))+LEN(AB$1)),1)),0)</f>
        <v>0</v>
      </c>
      <c r="AC462" s="13">
        <f t="shared" si="924"/>
        <v>0</v>
      </c>
      <c r="AD462" s="13">
        <f t="shared" si="924"/>
        <v>0</v>
      </c>
      <c r="AE462" s="13">
        <f t="shared" si="924"/>
        <v>0</v>
      </c>
      <c r="AF462" s="13">
        <f t="shared" si="924"/>
        <v>0</v>
      </c>
      <c r="AG462" s="13">
        <f t="shared" si="924"/>
        <v>0</v>
      </c>
      <c r="AH462" s="13">
        <f t="shared" si="924"/>
        <v>0</v>
      </c>
      <c r="AI462" s="13">
        <f t="shared" si="924"/>
        <v>0</v>
      </c>
      <c r="AJ462" s="13">
        <f t="shared" si="924"/>
        <v>0</v>
      </c>
      <c r="AK462" s="13">
        <f t="shared" si="924"/>
        <v>0</v>
      </c>
      <c r="AL462" s="13">
        <f t="shared" si="924"/>
        <v>0</v>
      </c>
      <c r="AM462" s="13">
        <f t="shared" si="924"/>
        <v>0</v>
      </c>
      <c r="AN462" s="13">
        <f t="shared" si="924"/>
        <v>0</v>
      </c>
      <c r="AO462" s="13">
        <f t="shared" si="924"/>
        <v>1</v>
      </c>
      <c r="AP462" s="13">
        <f t="shared" si="924"/>
        <v>0</v>
      </c>
      <c r="AQ462" s="13"/>
      <c r="AR462" s="13" t="s">
        <v>256</v>
      </c>
      <c r="AS462" s="13" t="s">
        <v>3163</v>
      </c>
      <c r="AT462" s="13" t="s">
        <v>142</v>
      </c>
      <c r="AU462" s="13" t="s">
        <v>130</v>
      </c>
      <c r="AV462" s="13" t="s">
        <v>3164</v>
      </c>
      <c r="AW462" s="13">
        <v>8.0</v>
      </c>
      <c r="AX462" s="13">
        <v>5.0</v>
      </c>
      <c r="AY462" s="13">
        <v>0.0</v>
      </c>
      <c r="AZ462" s="13" t="s">
        <v>3165</v>
      </c>
      <c r="BA462" s="13" t="s">
        <v>210</v>
      </c>
      <c r="BB462" s="13"/>
      <c r="BC462" s="13"/>
      <c r="BD462" s="13" t="s">
        <v>167</v>
      </c>
      <c r="BE462" s="13"/>
      <c r="BF462" s="13" t="s">
        <v>581</v>
      </c>
      <c r="BG462" s="13"/>
      <c r="BH462" s="13" t="s">
        <v>79</v>
      </c>
      <c r="BI462" s="13" t="b">
        <v>0</v>
      </c>
      <c r="BJ462" s="13">
        <v>0.0</v>
      </c>
      <c r="BK462" s="13">
        <v>0.0</v>
      </c>
    </row>
    <row r="463" ht="14.25" customHeight="1">
      <c r="A463" s="13">
        <v>461.0</v>
      </c>
      <c r="B463" s="13" t="s">
        <v>51</v>
      </c>
      <c r="C463" s="13">
        <v>0.0</v>
      </c>
      <c r="D463" s="14">
        <v>0.0</v>
      </c>
      <c r="E463" s="13" t="s">
        <v>3166</v>
      </c>
      <c r="F463" s="15" t="s">
        <v>3151</v>
      </c>
      <c r="G463" s="16" t="s">
        <v>3167</v>
      </c>
      <c r="H463" s="13">
        <v>-1.0</v>
      </c>
      <c r="I463" s="13">
        <v>1.1</v>
      </c>
      <c r="J463" s="13" t="s">
        <v>255</v>
      </c>
      <c r="K463" s="13">
        <f t="shared" si="3"/>
        <v>0</v>
      </c>
      <c r="L463" s="13">
        <f t="shared" si="4"/>
        <v>1</v>
      </c>
      <c r="M463" s="13">
        <f t="shared" ref="M463:AA463" si="925">IFERROR(VALUE(RIGHT(LEFT($J463,FIND(M$1,$J463,1)+LEN(M$1)),1)),0)</f>
        <v>0</v>
      </c>
      <c r="N463" s="13">
        <f t="shared" si="925"/>
        <v>0</v>
      </c>
      <c r="O463" s="13">
        <f t="shared" si="925"/>
        <v>0</v>
      </c>
      <c r="P463" s="13">
        <f t="shared" si="925"/>
        <v>0</v>
      </c>
      <c r="Q463" s="13">
        <f t="shared" si="925"/>
        <v>0</v>
      </c>
      <c r="R463" s="13">
        <f t="shared" si="925"/>
        <v>0</v>
      </c>
      <c r="S463" s="13">
        <f t="shared" si="925"/>
        <v>0</v>
      </c>
      <c r="T463" s="13">
        <f t="shared" si="925"/>
        <v>0</v>
      </c>
      <c r="U463" s="13">
        <f t="shared" si="925"/>
        <v>0</v>
      </c>
      <c r="V463" s="13">
        <f t="shared" si="925"/>
        <v>0</v>
      </c>
      <c r="W463" s="13">
        <f t="shared" si="925"/>
        <v>0</v>
      </c>
      <c r="X463" s="13">
        <f t="shared" si="925"/>
        <v>0</v>
      </c>
      <c r="Y463" s="13">
        <f t="shared" si="925"/>
        <v>0</v>
      </c>
      <c r="Z463" s="13">
        <f t="shared" si="925"/>
        <v>0</v>
      </c>
      <c r="AA463" s="13">
        <f t="shared" si="925"/>
        <v>0</v>
      </c>
      <c r="AB463" s="13">
        <f t="shared" ref="AB463:AP463" si="926">IFERROR(VALUE(RIGHT(LEFT($J463,FIND(AB$1,$J463,IF(M463=0,1,FIND(AB$1,$J463,1)+1))+LEN(AB$1)),1)),0)</f>
        <v>0</v>
      </c>
      <c r="AC463" s="13">
        <f t="shared" si="926"/>
        <v>0</v>
      </c>
      <c r="AD463" s="13">
        <f t="shared" si="926"/>
        <v>0</v>
      </c>
      <c r="AE463" s="13">
        <f t="shared" si="926"/>
        <v>0</v>
      </c>
      <c r="AF463" s="13">
        <f t="shared" si="926"/>
        <v>0</v>
      </c>
      <c r="AG463" s="13">
        <f t="shared" si="926"/>
        <v>0</v>
      </c>
      <c r="AH463" s="13">
        <f t="shared" si="926"/>
        <v>0</v>
      </c>
      <c r="AI463" s="13">
        <f t="shared" si="926"/>
        <v>0</v>
      </c>
      <c r="AJ463" s="13">
        <f t="shared" si="926"/>
        <v>0</v>
      </c>
      <c r="AK463" s="13">
        <f t="shared" si="926"/>
        <v>0</v>
      </c>
      <c r="AL463" s="13">
        <f t="shared" si="926"/>
        <v>0</v>
      </c>
      <c r="AM463" s="13">
        <f t="shared" si="926"/>
        <v>0</v>
      </c>
      <c r="AN463" s="13">
        <f t="shared" si="926"/>
        <v>0</v>
      </c>
      <c r="AO463" s="13">
        <f t="shared" si="926"/>
        <v>1</v>
      </c>
      <c r="AP463" s="13">
        <f t="shared" si="926"/>
        <v>0</v>
      </c>
      <c r="AQ463" s="13"/>
      <c r="AR463" s="13" t="s">
        <v>3168</v>
      </c>
      <c r="AS463" s="13" t="s">
        <v>3169</v>
      </c>
      <c r="AT463" s="13" t="s">
        <v>1398</v>
      </c>
      <c r="AU463" s="13" t="s">
        <v>130</v>
      </c>
      <c r="AV463" s="13" t="s">
        <v>3170</v>
      </c>
      <c r="AW463" s="13">
        <v>3.0</v>
      </c>
      <c r="AX463" s="13">
        <v>5.0</v>
      </c>
      <c r="AY463" s="13">
        <v>1.0</v>
      </c>
      <c r="AZ463" s="13"/>
      <c r="BA463" s="13"/>
      <c r="BB463" s="13"/>
      <c r="BC463" s="13"/>
      <c r="BD463" s="13" t="s">
        <v>1113</v>
      </c>
      <c r="BE463" s="13"/>
      <c r="BF463" s="13" t="s">
        <v>3171</v>
      </c>
      <c r="BG463" s="13"/>
      <c r="BH463" s="13" t="s">
        <v>79</v>
      </c>
      <c r="BI463" s="13" t="b">
        <v>0</v>
      </c>
      <c r="BJ463" s="13">
        <v>0.0</v>
      </c>
      <c r="BK463" s="13">
        <v>0.0</v>
      </c>
    </row>
    <row r="464" ht="14.25" customHeight="1">
      <c r="A464" s="13">
        <v>462.0</v>
      </c>
      <c r="B464" s="13" t="s">
        <v>51</v>
      </c>
      <c r="C464" s="13">
        <v>0.0</v>
      </c>
      <c r="D464" s="14">
        <v>0.0</v>
      </c>
      <c r="E464" s="13" t="s">
        <v>3172</v>
      </c>
      <c r="F464" s="15" t="s">
        <v>3151</v>
      </c>
      <c r="G464" s="16" t="s">
        <v>3173</v>
      </c>
      <c r="H464" s="13">
        <v>-2.0</v>
      </c>
      <c r="I464" s="13">
        <v>1.1</v>
      </c>
      <c r="J464" s="13" t="s">
        <v>121</v>
      </c>
      <c r="K464" s="13">
        <f t="shared" si="3"/>
        <v>0</v>
      </c>
      <c r="L464" s="13">
        <f t="shared" si="4"/>
        <v>1</v>
      </c>
      <c r="M464" s="13">
        <f t="shared" ref="M464:AA464" si="927">IFERROR(VALUE(RIGHT(LEFT($J464,FIND(M$1,$J464,1)+LEN(M$1)),1)),0)</f>
        <v>0</v>
      </c>
      <c r="N464" s="13">
        <f t="shared" si="927"/>
        <v>0</v>
      </c>
      <c r="O464" s="13">
        <f t="shared" si="927"/>
        <v>0</v>
      </c>
      <c r="P464" s="13">
        <f t="shared" si="927"/>
        <v>0</v>
      </c>
      <c r="Q464" s="13">
        <f t="shared" si="927"/>
        <v>0</v>
      </c>
      <c r="R464" s="13">
        <f t="shared" si="927"/>
        <v>0</v>
      </c>
      <c r="S464" s="13">
        <f t="shared" si="927"/>
        <v>0</v>
      </c>
      <c r="T464" s="13">
        <f t="shared" si="927"/>
        <v>0</v>
      </c>
      <c r="U464" s="13">
        <f t="shared" si="927"/>
        <v>0</v>
      </c>
      <c r="V464" s="13">
        <f t="shared" si="927"/>
        <v>0</v>
      </c>
      <c r="W464" s="13">
        <f t="shared" si="927"/>
        <v>0</v>
      </c>
      <c r="X464" s="13">
        <f t="shared" si="927"/>
        <v>0</v>
      </c>
      <c r="Y464" s="13">
        <f t="shared" si="927"/>
        <v>0</v>
      </c>
      <c r="Z464" s="13">
        <f t="shared" si="927"/>
        <v>0</v>
      </c>
      <c r="AA464" s="13">
        <f t="shared" si="927"/>
        <v>0</v>
      </c>
      <c r="AB464" s="13">
        <f t="shared" ref="AB464:AP464" si="928">IFERROR(VALUE(RIGHT(LEFT($J464,FIND(AB$1,$J464,IF(M464=0,1,FIND(AB$1,$J464,1)+1))+LEN(AB$1)),1)),0)</f>
        <v>0</v>
      </c>
      <c r="AC464" s="13">
        <f t="shared" si="928"/>
        <v>0</v>
      </c>
      <c r="AD464" s="13">
        <f t="shared" si="928"/>
        <v>0</v>
      </c>
      <c r="AE464" s="13">
        <f t="shared" si="928"/>
        <v>1</v>
      </c>
      <c r="AF464" s="13">
        <f t="shared" si="928"/>
        <v>0</v>
      </c>
      <c r="AG464" s="13">
        <f t="shared" si="928"/>
        <v>0</v>
      </c>
      <c r="AH464" s="13">
        <f t="shared" si="928"/>
        <v>0</v>
      </c>
      <c r="AI464" s="13">
        <f t="shared" si="928"/>
        <v>0</v>
      </c>
      <c r="AJ464" s="13">
        <f t="shared" si="928"/>
        <v>0</v>
      </c>
      <c r="AK464" s="13">
        <f t="shared" si="928"/>
        <v>0</v>
      </c>
      <c r="AL464" s="13">
        <f t="shared" si="928"/>
        <v>0</v>
      </c>
      <c r="AM464" s="13">
        <f t="shared" si="928"/>
        <v>0</v>
      </c>
      <c r="AN464" s="13">
        <f t="shared" si="928"/>
        <v>0</v>
      </c>
      <c r="AO464" s="13">
        <f t="shared" si="928"/>
        <v>0</v>
      </c>
      <c r="AP464" s="13">
        <f t="shared" si="928"/>
        <v>0</v>
      </c>
      <c r="AQ464" s="13"/>
      <c r="AR464" s="13" t="s">
        <v>3174</v>
      </c>
      <c r="AS464" s="13" t="s">
        <v>268</v>
      </c>
      <c r="AT464" s="13" t="s">
        <v>1398</v>
      </c>
      <c r="AU464" s="13" t="s">
        <v>130</v>
      </c>
      <c r="AV464" s="13" t="s">
        <v>3175</v>
      </c>
      <c r="AW464" s="13">
        <v>4.0</v>
      </c>
      <c r="AX464" s="13">
        <v>5.0</v>
      </c>
      <c r="AY464" s="13">
        <v>1.0</v>
      </c>
      <c r="AZ464" s="13"/>
      <c r="BA464" s="13"/>
      <c r="BB464" s="13"/>
      <c r="BC464" s="13"/>
      <c r="BD464" s="13" t="s">
        <v>1113</v>
      </c>
      <c r="BE464" s="13"/>
      <c r="BF464" s="13" t="s">
        <v>3176</v>
      </c>
      <c r="BG464" s="13"/>
      <c r="BH464" s="13" t="s">
        <v>79</v>
      </c>
      <c r="BI464" s="13" t="b">
        <v>0</v>
      </c>
      <c r="BJ464" s="13">
        <v>0.0</v>
      </c>
      <c r="BK464" s="13">
        <v>0.0</v>
      </c>
    </row>
    <row r="465" ht="14.25" customHeight="1">
      <c r="A465" s="13">
        <v>463.0</v>
      </c>
      <c r="B465" s="13" t="s">
        <v>48</v>
      </c>
      <c r="C465" s="13">
        <v>0.0</v>
      </c>
      <c r="D465" s="14">
        <v>0.0</v>
      </c>
      <c r="E465" s="13" t="s">
        <v>3177</v>
      </c>
      <c r="F465" s="15" t="s">
        <v>3151</v>
      </c>
      <c r="G465" s="16" t="s">
        <v>3178</v>
      </c>
      <c r="H465" s="13">
        <v>7.0</v>
      </c>
      <c r="I465" s="13">
        <v>0.9</v>
      </c>
      <c r="J465" s="13" t="s">
        <v>151</v>
      </c>
      <c r="K465" s="13">
        <f t="shared" si="3"/>
        <v>0</v>
      </c>
      <c r="L465" s="13">
        <f t="shared" si="4"/>
        <v>1</v>
      </c>
      <c r="M465" s="13">
        <f t="shared" ref="M465:AA465" si="929">IFERROR(VALUE(RIGHT(LEFT($J465,FIND(M$1,$J465,1)+LEN(M$1)),1)),0)</f>
        <v>0</v>
      </c>
      <c r="N465" s="13">
        <f t="shared" si="929"/>
        <v>0</v>
      </c>
      <c r="O465" s="13">
        <f t="shared" si="929"/>
        <v>0</v>
      </c>
      <c r="P465" s="13">
        <f t="shared" si="929"/>
        <v>0</v>
      </c>
      <c r="Q465" s="13">
        <f t="shared" si="929"/>
        <v>0</v>
      </c>
      <c r="R465" s="13">
        <f t="shared" si="929"/>
        <v>0</v>
      </c>
      <c r="S465" s="13">
        <f t="shared" si="929"/>
        <v>0</v>
      </c>
      <c r="T465" s="13">
        <f t="shared" si="929"/>
        <v>0</v>
      </c>
      <c r="U465" s="13">
        <f t="shared" si="929"/>
        <v>0</v>
      </c>
      <c r="V465" s="13">
        <f t="shared" si="929"/>
        <v>0</v>
      </c>
      <c r="W465" s="13">
        <f t="shared" si="929"/>
        <v>0</v>
      </c>
      <c r="X465" s="13">
        <f t="shared" si="929"/>
        <v>0</v>
      </c>
      <c r="Y465" s="13">
        <f t="shared" si="929"/>
        <v>0</v>
      </c>
      <c r="Z465" s="13">
        <f t="shared" si="929"/>
        <v>0</v>
      </c>
      <c r="AA465" s="13">
        <f t="shared" si="929"/>
        <v>0</v>
      </c>
      <c r="AB465" s="13">
        <f t="shared" ref="AB465:AP465" si="930">IFERROR(VALUE(RIGHT(LEFT($J465,FIND(AB$1,$J465,IF(M465=0,1,FIND(AB$1,$J465,1)+1))+LEN(AB$1)),1)),0)</f>
        <v>0</v>
      </c>
      <c r="AC465" s="13">
        <f t="shared" si="930"/>
        <v>0</v>
      </c>
      <c r="AD465" s="13">
        <f t="shared" si="930"/>
        <v>0</v>
      </c>
      <c r="AE465" s="13">
        <f t="shared" si="930"/>
        <v>0</v>
      </c>
      <c r="AF465" s="13">
        <f t="shared" si="930"/>
        <v>0</v>
      </c>
      <c r="AG465" s="13">
        <f t="shared" si="930"/>
        <v>1</v>
      </c>
      <c r="AH465" s="13">
        <f t="shared" si="930"/>
        <v>0</v>
      </c>
      <c r="AI465" s="13">
        <f t="shared" si="930"/>
        <v>0</v>
      </c>
      <c r="AJ465" s="13">
        <f t="shared" si="930"/>
        <v>0</v>
      </c>
      <c r="AK465" s="13">
        <f t="shared" si="930"/>
        <v>0</v>
      </c>
      <c r="AL465" s="13">
        <f t="shared" si="930"/>
        <v>0</v>
      </c>
      <c r="AM465" s="13">
        <f t="shared" si="930"/>
        <v>0</v>
      </c>
      <c r="AN465" s="13">
        <f t="shared" si="930"/>
        <v>0</v>
      </c>
      <c r="AO465" s="13">
        <f t="shared" si="930"/>
        <v>0</v>
      </c>
      <c r="AP465" s="13">
        <f t="shared" si="930"/>
        <v>0</v>
      </c>
      <c r="AQ465" s="13"/>
      <c r="AR465" s="13" t="s">
        <v>1180</v>
      </c>
      <c r="AS465" s="13" t="s">
        <v>3179</v>
      </c>
      <c r="AT465" s="13" t="s">
        <v>175</v>
      </c>
      <c r="AU465" s="13" t="s">
        <v>143</v>
      </c>
      <c r="AV465" s="13" t="s">
        <v>3180</v>
      </c>
      <c r="AW465" s="13">
        <v>2.0</v>
      </c>
      <c r="AX465" s="13">
        <v>5.0</v>
      </c>
      <c r="AY465" s="13">
        <v>0.0</v>
      </c>
      <c r="AZ465" s="13" t="s">
        <v>493</v>
      </c>
      <c r="BA465" s="13" t="s">
        <v>493</v>
      </c>
      <c r="BB465" s="13"/>
      <c r="BC465" s="13"/>
      <c r="BD465" s="13" t="s">
        <v>179</v>
      </c>
      <c r="BE465" s="13"/>
      <c r="BF465" s="13" t="s">
        <v>3181</v>
      </c>
      <c r="BG465" s="13" t="s">
        <v>169</v>
      </c>
      <c r="BH465" s="13" t="s">
        <v>79</v>
      </c>
      <c r="BI465" s="13" t="b">
        <v>0</v>
      </c>
      <c r="BJ465" s="13">
        <v>0.0</v>
      </c>
      <c r="BK465" s="13">
        <v>0.0</v>
      </c>
    </row>
    <row r="466" ht="14.25" customHeight="1">
      <c r="A466" s="13">
        <v>464.0</v>
      </c>
      <c r="B466" s="13" t="s">
        <v>44</v>
      </c>
      <c r="C466" s="13">
        <v>1.0</v>
      </c>
      <c r="D466" s="14">
        <v>0.0</v>
      </c>
      <c r="E466" s="13" t="s">
        <v>3182</v>
      </c>
      <c r="F466" s="15" t="s">
        <v>476</v>
      </c>
      <c r="G466" s="16" t="s">
        <v>3183</v>
      </c>
      <c r="H466" s="13"/>
      <c r="I466" s="13">
        <v>1.1</v>
      </c>
      <c r="J466" s="13" t="s">
        <v>77</v>
      </c>
      <c r="K466" s="13">
        <f t="shared" si="3"/>
        <v>0</v>
      </c>
      <c r="L466" s="13">
        <f t="shared" si="4"/>
        <v>2</v>
      </c>
      <c r="M466" s="13">
        <f t="shared" ref="M466:AA466" si="931">IFERROR(VALUE(RIGHT(LEFT($J466,FIND(M$1,$J466,1)+LEN(M$1)),1)),0)</f>
        <v>0</v>
      </c>
      <c r="N466" s="13">
        <f t="shared" si="931"/>
        <v>0</v>
      </c>
      <c r="O466" s="13">
        <f t="shared" si="931"/>
        <v>0</v>
      </c>
      <c r="P466" s="13">
        <f t="shared" si="931"/>
        <v>0</v>
      </c>
      <c r="Q466" s="13">
        <f t="shared" si="931"/>
        <v>0</v>
      </c>
      <c r="R466" s="13">
        <f t="shared" si="931"/>
        <v>0</v>
      </c>
      <c r="S466" s="13">
        <f t="shared" si="931"/>
        <v>0</v>
      </c>
      <c r="T466" s="13">
        <f t="shared" si="931"/>
        <v>0</v>
      </c>
      <c r="U466" s="13">
        <f t="shared" si="931"/>
        <v>0</v>
      </c>
      <c r="V466" s="13">
        <f t="shared" si="931"/>
        <v>0</v>
      </c>
      <c r="W466" s="13">
        <f t="shared" si="931"/>
        <v>0</v>
      </c>
      <c r="X466" s="13">
        <f t="shared" si="931"/>
        <v>0</v>
      </c>
      <c r="Y466" s="13">
        <f t="shared" si="931"/>
        <v>0</v>
      </c>
      <c r="Z466" s="13">
        <f t="shared" si="931"/>
        <v>0</v>
      </c>
      <c r="AA466" s="13">
        <f t="shared" si="931"/>
        <v>0</v>
      </c>
      <c r="AB466" s="13">
        <f t="shared" ref="AB466:AP466" si="932">IFERROR(VALUE(RIGHT(LEFT($J466,FIND(AB$1,$J466,IF(M466=0,1,FIND(AB$1,$J466,1)+1))+LEN(AB$1)),1)),0)</f>
        <v>0</v>
      </c>
      <c r="AC466" s="13">
        <f t="shared" si="932"/>
        <v>0</v>
      </c>
      <c r="AD466" s="13">
        <f t="shared" si="932"/>
        <v>0</v>
      </c>
      <c r="AE466" s="13">
        <f t="shared" si="932"/>
        <v>0</v>
      </c>
      <c r="AF466" s="13">
        <f t="shared" si="932"/>
        <v>0</v>
      </c>
      <c r="AG466" s="13">
        <f t="shared" si="932"/>
        <v>1</v>
      </c>
      <c r="AH466" s="13">
        <f t="shared" si="932"/>
        <v>1</v>
      </c>
      <c r="AI466" s="13">
        <f t="shared" si="932"/>
        <v>0</v>
      </c>
      <c r="AJ466" s="13">
        <f t="shared" si="932"/>
        <v>0</v>
      </c>
      <c r="AK466" s="13">
        <f t="shared" si="932"/>
        <v>0</v>
      </c>
      <c r="AL466" s="13">
        <f t="shared" si="932"/>
        <v>0</v>
      </c>
      <c r="AM466" s="13">
        <f t="shared" si="932"/>
        <v>0</v>
      </c>
      <c r="AN466" s="13">
        <f t="shared" si="932"/>
        <v>0</v>
      </c>
      <c r="AO466" s="13">
        <f t="shared" si="932"/>
        <v>0</v>
      </c>
      <c r="AP466" s="13">
        <f t="shared" si="932"/>
        <v>0</v>
      </c>
      <c r="AQ466" s="13" t="s">
        <v>3184</v>
      </c>
      <c r="AR466" s="13"/>
      <c r="AS466" s="13" t="s">
        <v>3185</v>
      </c>
      <c r="AT466" s="13"/>
      <c r="AU466" s="13"/>
      <c r="AV466" s="13"/>
      <c r="AW466" s="13">
        <v>0.0</v>
      </c>
      <c r="AX466" s="13">
        <v>5.0</v>
      </c>
      <c r="AY466" s="13">
        <v>0.0</v>
      </c>
      <c r="AZ466" s="13"/>
      <c r="BA466" s="13"/>
      <c r="BB466" s="13"/>
      <c r="BC466" s="13"/>
      <c r="BD466" s="13"/>
      <c r="BE466" s="13"/>
      <c r="BF466" s="13"/>
      <c r="BG466" s="13"/>
      <c r="BH466" s="13" t="s">
        <v>79</v>
      </c>
      <c r="BI466" s="13" t="b">
        <v>0</v>
      </c>
      <c r="BJ466" s="13">
        <v>0.0</v>
      </c>
      <c r="BK466" s="13">
        <v>0.0</v>
      </c>
    </row>
    <row r="467" ht="14.25" customHeight="1">
      <c r="A467" s="13">
        <v>465.0</v>
      </c>
      <c r="B467" s="13" t="s">
        <v>45</v>
      </c>
      <c r="C467" s="13">
        <v>1.0</v>
      </c>
      <c r="D467" s="14">
        <v>0.0</v>
      </c>
      <c r="E467" s="13" t="s">
        <v>3186</v>
      </c>
      <c r="F467" s="15" t="s">
        <v>3151</v>
      </c>
      <c r="G467" s="16" t="s">
        <v>3187</v>
      </c>
      <c r="H467" s="13"/>
      <c r="I467" s="13">
        <v>1.1</v>
      </c>
      <c r="J467" s="13" t="s">
        <v>405</v>
      </c>
      <c r="K467" s="13">
        <f t="shared" si="3"/>
        <v>0</v>
      </c>
      <c r="L467" s="13">
        <f t="shared" si="4"/>
        <v>2</v>
      </c>
      <c r="M467" s="13">
        <f t="shared" ref="M467:AA467" si="933">IFERROR(VALUE(RIGHT(LEFT($J467,FIND(M$1,$J467,1)+LEN(M$1)),1)),0)</f>
        <v>0</v>
      </c>
      <c r="N467" s="13">
        <f t="shared" si="933"/>
        <v>0</v>
      </c>
      <c r="O467" s="13">
        <f t="shared" si="933"/>
        <v>0</v>
      </c>
      <c r="P467" s="13">
        <f t="shared" si="933"/>
        <v>0</v>
      </c>
      <c r="Q467" s="13">
        <f t="shared" si="933"/>
        <v>0</v>
      </c>
      <c r="R467" s="13">
        <f t="shared" si="933"/>
        <v>0</v>
      </c>
      <c r="S467" s="13">
        <f t="shared" si="933"/>
        <v>0</v>
      </c>
      <c r="T467" s="13">
        <f t="shared" si="933"/>
        <v>0</v>
      </c>
      <c r="U467" s="13">
        <f t="shared" si="933"/>
        <v>0</v>
      </c>
      <c r="V467" s="13">
        <f t="shared" si="933"/>
        <v>0</v>
      </c>
      <c r="W467" s="13">
        <f t="shared" si="933"/>
        <v>0</v>
      </c>
      <c r="X467" s="13">
        <f t="shared" si="933"/>
        <v>0</v>
      </c>
      <c r="Y467" s="13">
        <f t="shared" si="933"/>
        <v>0</v>
      </c>
      <c r="Z467" s="13">
        <f t="shared" si="933"/>
        <v>0</v>
      </c>
      <c r="AA467" s="13">
        <f t="shared" si="933"/>
        <v>0</v>
      </c>
      <c r="AB467" s="13">
        <f t="shared" ref="AB467:AP467" si="934">IFERROR(VALUE(RIGHT(LEFT($J467,FIND(AB$1,$J467,IF(M467=0,1,FIND(AB$1,$J467,1)+1))+LEN(AB$1)),1)),0)</f>
        <v>0</v>
      </c>
      <c r="AC467" s="13">
        <f t="shared" si="934"/>
        <v>0</v>
      </c>
      <c r="AD467" s="13">
        <f t="shared" si="934"/>
        <v>0</v>
      </c>
      <c r="AE467" s="13">
        <f t="shared" si="934"/>
        <v>1</v>
      </c>
      <c r="AF467" s="13">
        <f t="shared" si="934"/>
        <v>0</v>
      </c>
      <c r="AG467" s="13">
        <f t="shared" si="934"/>
        <v>0</v>
      </c>
      <c r="AH467" s="13">
        <f t="shared" si="934"/>
        <v>0</v>
      </c>
      <c r="AI467" s="13">
        <f t="shared" si="934"/>
        <v>1</v>
      </c>
      <c r="AJ467" s="13">
        <f t="shared" si="934"/>
        <v>0</v>
      </c>
      <c r="AK467" s="13">
        <f t="shared" si="934"/>
        <v>0</v>
      </c>
      <c r="AL467" s="13">
        <f t="shared" si="934"/>
        <v>0</v>
      </c>
      <c r="AM467" s="13">
        <f t="shared" si="934"/>
        <v>0</v>
      </c>
      <c r="AN467" s="13">
        <f t="shared" si="934"/>
        <v>0</v>
      </c>
      <c r="AO467" s="13">
        <f t="shared" si="934"/>
        <v>0</v>
      </c>
      <c r="AP467" s="13">
        <f t="shared" si="934"/>
        <v>0</v>
      </c>
      <c r="AQ467" s="13" t="s">
        <v>3188</v>
      </c>
      <c r="AR467" s="13"/>
      <c r="AS467" s="13" t="s">
        <v>3189</v>
      </c>
      <c r="AT467" s="13"/>
      <c r="AU467" s="13"/>
      <c r="AV467" s="13"/>
      <c r="AW467" s="13">
        <v>0.0</v>
      </c>
      <c r="AX467" s="13">
        <v>5.0</v>
      </c>
      <c r="AY467" s="13">
        <v>0.0</v>
      </c>
      <c r="AZ467" s="13"/>
      <c r="BA467" s="13"/>
      <c r="BB467" s="13"/>
      <c r="BC467" s="13"/>
      <c r="BD467" s="13"/>
      <c r="BE467" s="13"/>
      <c r="BF467" s="13"/>
      <c r="BG467" s="13"/>
      <c r="BH467" s="13" t="s">
        <v>79</v>
      </c>
      <c r="BI467" s="13" t="b">
        <v>0</v>
      </c>
      <c r="BJ467" s="13">
        <v>0.0</v>
      </c>
      <c r="BK467" s="13">
        <v>0.0</v>
      </c>
    </row>
    <row r="468" ht="14.25" customHeight="1">
      <c r="A468" s="13">
        <v>466.0</v>
      </c>
      <c r="B468" s="13" t="s">
        <v>46</v>
      </c>
      <c r="C468" s="13">
        <v>1.0</v>
      </c>
      <c r="D468" s="14">
        <v>0.0</v>
      </c>
      <c r="E468" s="13" t="s">
        <v>3190</v>
      </c>
      <c r="F468" s="15" t="s">
        <v>3151</v>
      </c>
      <c r="G468" s="16" t="s">
        <v>3191</v>
      </c>
      <c r="H468" s="13"/>
      <c r="I468" s="13">
        <v>1.0</v>
      </c>
      <c r="J468" s="13" t="s">
        <v>2405</v>
      </c>
      <c r="K468" s="13">
        <f t="shared" si="3"/>
        <v>0</v>
      </c>
      <c r="L468" s="13">
        <f t="shared" si="4"/>
        <v>2</v>
      </c>
      <c r="M468" s="13">
        <f t="shared" ref="M468:AA468" si="935">IFERROR(VALUE(RIGHT(LEFT($J468,FIND(M$1,$J468,1)+LEN(M$1)),1)),0)</f>
        <v>0</v>
      </c>
      <c r="N468" s="13">
        <f t="shared" si="935"/>
        <v>0</v>
      </c>
      <c r="O468" s="13">
        <f t="shared" si="935"/>
        <v>0</v>
      </c>
      <c r="P468" s="13">
        <f t="shared" si="935"/>
        <v>0</v>
      </c>
      <c r="Q468" s="13">
        <f t="shared" si="935"/>
        <v>0</v>
      </c>
      <c r="R468" s="13">
        <f t="shared" si="935"/>
        <v>0</v>
      </c>
      <c r="S468" s="13">
        <f t="shared" si="935"/>
        <v>0</v>
      </c>
      <c r="T468" s="13">
        <f t="shared" si="935"/>
        <v>0</v>
      </c>
      <c r="U468" s="13">
        <f t="shared" si="935"/>
        <v>0</v>
      </c>
      <c r="V468" s="13">
        <f t="shared" si="935"/>
        <v>0</v>
      </c>
      <c r="W468" s="13">
        <f t="shared" si="935"/>
        <v>0</v>
      </c>
      <c r="X468" s="13">
        <f t="shared" si="935"/>
        <v>0</v>
      </c>
      <c r="Y468" s="13">
        <f t="shared" si="935"/>
        <v>0</v>
      </c>
      <c r="Z468" s="13">
        <f t="shared" si="935"/>
        <v>0</v>
      </c>
      <c r="AA468" s="13">
        <f t="shared" si="935"/>
        <v>0</v>
      </c>
      <c r="AB468" s="13">
        <f t="shared" ref="AB468:AP468" si="936">IFERROR(VALUE(RIGHT(LEFT($J468,FIND(AB$1,$J468,IF(M468=0,1,FIND(AB$1,$J468,1)+1))+LEN(AB$1)),1)),0)</f>
        <v>0</v>
      </c>
      <c r="AC468" s="13">
        <f t="shared" si="936"/>
        <v>0</v>
      </c>
      <c r="AD468" s="13">
        <f t="shared" si="936"/>
        <v>1</v>
      </c>
      <c r="AE468" s="13">
        <f t="shared" si="936"/>
        <v>0</v>
      </c>
      <c r="AF468" s="13">
        <f t="shared" si="936"/>
        <v>0</v>
      </c>
      <c r="AG468" s="13">
        <f t="shared" si="936"/>
        <v>0</v>
      </c>
      <c r="AH468" s="13">
        <f t="shared" si="936"/>
        <v>0</v>
      </c>
      <c r="AI468" s="13">
        <f t="shared" si="936"/>
        <v>0</v>
      </c>
      <c r="AJ468" s="13">
        <f t="shared" si="936"/>
        <v>1</v>
      </c>
      <c r="AK468" s="13">
        <f t="shared" si="936"/>
        <v>0</v>
      </c>
      <c r="AL468" s="13">
        <f t="shared" si="936"/>
        <v>0</v>
      </c>
      <c r="AM468" s="13">
        <f t="shared" si="936"/>
        <v>0</v>
      </c>
      <c r="AN468" s="13">
        <f t="shared" si="936"/>
        <v>0</v>
      </c>
      <c r="AO468" s="13">
        <f t="shared" si="936"/>
        <v>0</v>
      </c>
      <c r="AP468" s="13">
        <f t="shared" si="936"/>
        <v>0</v>
      </c>
      <c r="AQ468" s="13" t="s">
        <v>3192</v>
      </c>
      <c r="AR468" s="13"/>
      <c r="AS468" s="13" t="s">
        <v>3193</v>
      </c>
      <c r="AT468" s="13"/>
      <c r="AU468" s="13"/>
      <c r="AV468" s="13"/>
      <c r="AW468" s="13">
        <v>0.0</v>
      </c>
      <c r="AX468" s="13">
        <v>5.0</v>
      </c>
      <c r="AY468" s="13">
        <v>0.0</v>
      </c>
      <c r="AZ468" s="13"/>
      <c r="BA468" s="13"/>
      <c r="BB468" s="13"/>
      <c r="BC468" s="13"/>
      <c r="BD468" s="13"/>
      <c r="BE468" s="13"/>
      <c r="BF468" s="13"/>
      <c r="BG468" s="13"/>
      <c r="BH468" s="13" t="s">
        <v>79</v>
      </c>
      <c r="BI468" s="13" t="b">
        <v>0</v>
      </c>
      <c r="BJ468" s="13">
        <v>0.0</v>
      </c>
      <c r="BK468" s="13">
        <v>0.0</v>
      </c>
    </row>
    <row r="469" ht="14.25" customHeight="1">
      <c r="A469" s="13">
        <v>467.0</v>
      </c>
      <c r="B469" s="13" t="s">
        <v>51</v>
      </c>
      <c r="C469" s="13">
        <v>1.0</v>
      </c>
      <c r="D469" s="14">
        <v>0.0</v>
      </c>
      <c r="E469" s="13" t="s">
        <v>3194</v>
      </c>
      <c r="F469" s="15" t="s">
        <v>3151</v>
      </c>
      <c r="G469" s="16" t="s">
        <v>3195</v>
      </c>
      <c r="H469" s="13">
        <v>10.0</v>
      </c>
      <c r="I469" s="13">
        <v>0.9</v>
      </c>
      <c r="J469" s="13" t="s">
        <v>787</v>
      </c>
      <c r="K469" s="13">
        <f t="shared" si="3"/>
        <v>0</v>
      </c>
      <c r="L469" s="13">
        <f t="shared" si="4"/>
        <v>2</v>
      </c>
      <c r="M469" s="13">
        <f t="shared" ref="M469:AA469" si="937">IFERROR(VALUE(RIGHT(LEFT($J469,FIND(M$1,$J469,1)+LEN(M$1)),1)),0)</f>
        <v>0</v>
      </c>
      <c r="N469" s="13">
        <f t="shared" si="937"/>
        <v>0</v>
      </c>
      <c r="O469" s="13">
        <f t="shared" si="937"/>
        <v>0</v>
      </c>
      <c r="P469" s="13">
        <f t="shared" si="937"/>
        <v>0</v>
      </c>
      <c r="Q469" s="13">
        <f t="shared" si="937"/>
        <v>0</v>
      </c>
      <c r="R469" s="13">
        <f t="shared" si="937"/>
        <v>0</v>
      </c>
      <c r="S469" s="13">
        <f t="shared" si="937"/>
        <v>0</v>
      </c>
      <c r="T469" s="13">
        <f t="shared" si="937"/>
        <v>0</v>
      </c>
      <c r="U469" s="13">
        <f t="shared" si="937"/>
        <v>0</v>
      </c>
      <c r="V469" s="13">
        <f t="shared" si="937"/>
        <v>0</v>
      </c>
      <c r="W469" s="13">
        <f t="shared" si="937"/>
        <v>0</v>
      </c>
      <c r="X469" s="13">
        <f t="shared" si="937"/>
        <v>0</v>
      </c>
      <c r="Y469" s="13">
        <f t="shared" si="937"/>
        <v>0</v>
      </c>
      <c r="Z469" s="13">
        <f t="shared" si="937"/>
        <v>0</v>
      </c>
      <c r="AA469" s="13">
        <f t="shared" si="937"/>
        <v>0</v>
      </c>
      <c r="AB469" s="13">
        <f t="shared" ref="AB469:AP469" si="938">IFERROR(VALUE(RIGHT(LEFT($J469,FIND(AB$1,$J469,IF(M469=0,1,FIND(AB$1,$J469,1)+1))+LEN(AB$1)),1)),0)</f>
        <v>0</v>
      </c>
      <c r="AC469" s="13">
        <f t="shared" si="938"/>
        <v>0</v>
      </c>
      <c r="AD469" s="13">
        <f t="shared" si="938"/>
        <v>1</v>
      </c>
      <c r="AE469" s="13">
        <f t="shared" si="938"/>
        <v>0</v>
      </c>
      <c r="AF469" s="13">
        <f t="shared" si="938"/>
        <v>0</v>
      </c>
      <c r="AG469" s="13">
        <f t="shared" si="938"/>
        <v>0</v>
      </c>
      <c r="AH469" s="13">
        <f t="shared" si="938"/>
        <v>0</v>
      </c>
      <c r="AI469" s="13">
        <f t="shared" si="938"/>
        <v>0</v>
      </c>
      <c r="AJ469" s="13">
        <f t="shared" si="938"/>
        <v>0</v>
      </c>
      <c r="AK469" s="13">
        <f t="shared" si="938"/>
        <v>0</v>
      </c>
      <c r="AL469" s="13">
        <f t="shared" si="938"/>
        <v>0</v>
      </c>
      <c r="AM469" s="13">
        <f t="shared" si="938"/>
        <v>0</v>
      </c>
      <c r="AN469" s="13">
        <f t="shared" si="938"/>
        <v>0</v>
      </c>
      <c r="AO469" s="13">
        <f t="shared" si="938"/>
        <v>1</v>
      </c>
      <c r="AP469" s="13">
        <f t="shared" si="938"/>
        <v>0</v>
      </c>
      <c r="AQ469" s="13"/>
      <c r="AR469" s="13" t="s">
        <v>3196</v>
      </c>
      <c r="AS469" s="13" t="s">
        <v>3197</v>
      </c>
      <c r="AT469" s="13" t="s">
        <v>142</v>
      </c>
      <c r="AU469" s="13" t="s">
        <v>130</v>
      </c>
      <c r="AV469" s="13" t="s">
        <v>3198</v>
      </c>
      <c r="AW469" s="13">
        <v>8.0</v>
      </c>
      <c r="AX469" s="13">
        <v>5.0</v>
      </c>
      <c r="AY469" s="13">
        <v>0.0</v>
      </c>
      <c r="AZ469" s="13" t="s">
        <v>913</v>
      </c>
      <c r="BA469" s="13" t="s">
        <v>177</v>
      </c>
      <c r="BB469" s="13"/>
      <c r="BC469" s="13"/>
      <c r="BD469" s="13" t="s">
        <v>1113</v>
      </c>
      <c r="BE469" s="13"/>
      <c r="BF469" s="13" t="s">
        <v>3199</v>
      </c>
      <c r="BG469" s="13"/>
      <c r="BH469" s="13" t="s">
        <v>79</v>
      </c>
      <c r="BI469" s="13" t="b">
        <v>0</v>
      </c>
      <c r="BJ469" s="13">
        <v>0.0</v>
      </c>
      <c r="BK469" s="13">
        <v>0.0</v>
      </c>
    </row>
    <row r="470" ht="14.25" customHeight="1">
      <c r="A470" s="13">
        <v>468.0</v>
      </c>
      <c r="B470" s="13" t="s">
        <v>51</v>
      </c>
      <c r="C470" s="13">
        <v>1.0</v>
      </c>
      <c r="D470" s="14">
        <v>0.0</v>
      </c>
      <c r="E470" s="13" t="s">
        <v>3200</v>
      </c>
      <c r="F470" s="15" t="s">
        <v>3201</v>
      </c>
      <c r="G470" s="16" t="s">
        <v>3202</v>
      </c>
      <c r="H470" s="13">
        <v>8.0</v>
      </c>
      <c r="I470" s="13">
        <v>1.0</v>
      </c>
      <c r="J470" s="13" t="s">
        <v>774</v>
      </c>
      <c r="K470" s="13">
        <f t="shared" si="3"/>
        <v>0</v>
      </c>
      <c r="L470" s="13">
        <f t="shared" si="4"/>
        <v>2</v>
      </c>
      <c r="M470" s="13">
        <f t="shared" ref="M470:AA470" si="939">IFERROR(VALUE(RIGHT(LEFT($J470,FIND(M$1,$J470,1)+LEN(M$1)),1)),0)</f>
        <v>0</v>
      </c>
      <c r="N470" s="13">
        <f t="shared" si="939"/>
        <v>0</v>
      </c>
      <c r="O470" s="13">
        <f t="shared" si="939"/>
        <v>0</v>
      </c>
      <c r="P470" s="13">
        <f t="shared" si="939"/>
        <v>0</v>
      </c>
      <c r="Q470" s="13">
        <f t="shared" si="939"/>
        <v>0</v>
      </c>
      <c r="R470" s="13">
        <f t="shared" si="939"/>
        <v>0</v>
      </c>
      <c r="S470" s="13">
        <f t="shared" si="939"/>
        <v>0</v>
      </c>
      <c r="T470" s="13">
        <f t="shared" si="939"/>
        <v>0</v>
      </c>
      <c r="U470" s="13">
        <f t="shared" si="939"/>
        <v>0</v>
      </c>
      <c r="V470" s="13">
        <f t="shared" si="939"/>
        <v>0</v>
      </c>
      <c r="W470" s="13">
        <f t="shared" si="939"/>
        <v>0</v>
      </c>
      <c r="X470" s="13">
        <f t="shared" si="939"/>
        <v>0</v>
      </c>
      <c r="Y470" s="13">
        <f t="shared" si="939"/>
        <v>0</v>
      </c>
      <c r="Z470" s="13">
        <f t="shared" si="939"/>
        <v>0</v>
      </c>
      <c r="AA470" s="13">
        <f t="shared" si="939"/>
        <v>0</v>
      </c>
      <c r="AB470" s="13">
        <f t="shared" ref="AB470:AP470" si="940">IFERROR(VALUE(RIGHT(LEFT($J470,FIND(AB$1,$J470,IF(M470=0,1,FIND(AB$1,$J470,1)+1))+LEN(AB$1)),1)),0)</f>
        <v>0</v>
      </c>
      <c r="AC470" s="13">
        <f t="shared" si="940"/>
        <v>0</v>
      </c>
      <c r="AD470" s="13">
        <f t="shared" si="940"/>
        <v>0</v>
      </c>
      <c r="AE470" s="13">
        <f t="shared" si="940"/>
        <v>1</v>
      </c>
      <c r="AF470" s="13">
        <f t="shared" si="940"/>
        <v>0</v>
      </c>
      <c r="AG470" s="13">
        <f t="shared" si="940"/>
        <v>0</v>
      </c>
      <c r="AH470" s="13">
        <f t="shared" si="940"/>
        <v>0</v>
      </c>
      <c r="AI470" s="13">
        <f t="shared" si="940"/>
        <v>0</v>
      </c>
      <c r="AJ470" s="13">
        <f t="shared" si="940"/>
        <v>0</v>
      </c>
      <c r="AK470" s="13">
        <f t="shared" si="940"/>
        <v>0</v>
      </c>
      <c r="AL470" s="13">
        <f t="shared" si="940"/>
        <v>0</v>
      </c>
      <c r="AM470" s="13">
        <f t="shared" si="940"/>
        <v>0</v>
      </c>
      <c r="AN470" s="13">
        <f t="shared" si="940"/>
        <v>0</v>
      </c>
      <c r="AO470" s="13">
        <f t="shared" si="940"/>
        <v>1</v>
      </c>
      <c r="AP470" s="13">
        <f t="shared" si="940"/>
        <v>0</v>
      </c>
      <c r="AQ470" s="13"/>
      <c r="AR470" s="13" t="s">
        <v>3203</v>
      </c>
      <c r="AS470" s="13" t="s">
        <v>816</v>
      </c>
      <c r="AT470" s="13" t="s">
        <v>573</v>
      </c>
      <c r="AU470" s="13" t="s">
        <v>130</v>
      </c>
      <c r="AV470" s="13" t="s">
        <v>3204</v>
      </c>
      <c r="AW470" s="13">
        <v>10.0</v>
      </c>
      <c r="AX470" s="13">
        <v>5.0</v>
      </c>
      <c r="AY470" s="13">
        <v>0.0</v>
      </c>
      <c r="AZ470" s="13" t="s">
        <v>228</v>
      </c>
      <c r="BA470" s="13"/>
      <c r="BB470" s="13"/>
      <c r="BC470" s="13"/>
      <c r="BD470" s="13" t="s">
        <v>1113</v>
      </c>
      <c r="BE470" s="13"/>
      <c r="BF470" s="13" t="s">
        <v>3205</v>
      </c>
      <c r="BG470" s="13"/>
      <c r="BH470" s="13" t="s">
        <v>79</v>
      </c>
      <c r="BI470" s="13" t="b">
        <v>0</v>
      </c>
      <c r="BJ470" s="13">
        <v>0.0</v>
      </c>
      <c r="BK470" s="13">
        <v>0.0</v>
      </c>
    </row>
    <row r="471" ht="14.25" customHeight="1">
      <c r="A471" s="13">
        <v>469.0</v>
      </c>
      <c r="B471" s="13" t="s">
        <v>51</v>
      </c>
      <c r="C471" s="13">
        <v>1.0</v>
      </c>
      <c r="D471" s="14">
        <v>0.0</v>
      </c>
      <c r="E471" s="13" t="s">
        <v>3206</v>
      </c>
      <c r="F471" s="15" t="s">
        <v>3151</v>
      </c>
      <c r="G471" s="16" t="s">
        <v>3207</v>
      </c>
      <c r="H471" s="13">
        <v>2.0</v>
      </c>
      <c r="I471" s="13">
        <v>1.0</v>
      </c>
      <c r="J471" s="13" t="s">
        <v>3208</v>
      </c>
      <c r="K471" s="13">
        <f t="shared" si="3"/>
        <v>0</v>
      </c>
      <c r="L471" s="13">
        <f t="shared" si="4"/>
        <v>2</v>
      </c>
      <c r="M471" s="13">
        <f t="shared" ref="M471:AA471" si="941">IFERROR(VALUE(RIGHT(LEFT($J471,FIND(M$1,$J471,1)+LEN(M$1)),1)),0)</f>
        <v>0</v>
      </c>
      <c r="N471" s="13">
        <f t="shared" si="941"/>
        <v>0</v>
      </c>
      <c r="O471" s="13">
        <f t="shared" si="941"/>
        <v>0</v>
      </c>
      <c r="P471" s="13">
        <f t="shared" si="941"/>
        <v>0</v>
      </c>
      <c r="Q471" s="13">
        <f t="shared" si="941"/>
        <v>0</v>
      </c>
      <c r="R471" s="13">
        <f t="shared" si="941"/>
        <v>0</v>
      </c>
      <c r="S471" s="13">
        <f t="shared" si="941"/>
        <v>0</v>
      </c>
      <c r="T471" s="13">
        <f t="shared" si="941"/>
        <v>0</v>
      </c>
      <c r="U471" s="13">
        <f t="shared" si="941"/>
        <v>0</v>
      </c>
      <c r="V471" s="13">
        <f t="shared" si="941"/>
        <v>0</v>
      </c>
      <c r="W471" s="13">
        <f t="shared" si="941"/>
        <v>0</v>
      </c>
      <c r="X471" s="13">
        <f t="shared" si="941"/>
        <v>0</v>
      </c>
      <c r="Y471" s="13">
        <f t="shared" si="941"/>
        <v>0</v>
      </c>
      <c r="Z471" s="13">
        <f t="shared" si="941"/>
        <v>0</v>
      </c>
      <c r="AA471" s="13">
        <f t="shared" si="941"/>
        <v>0</v>
      </c>
      <c r="AB471" s="13">
        <f t="shared" ref="AB471:AP471" si="942">IFERROR(VALUE(RIGHT(LEFT($J471,FIND(AB$1,$J471,IF(M471=0,1,FIND(AB$1,$J471,1)+1))+LEN(AB$1)),1)),0)</f>
        <v>0</v>
      </c>
      <c r="AC471" s="13">
        <f t="shared" si="942"/>
        <v>0</v>
      </c>
      <c r="AD471" s="13">
        <f t="shared" si="942"/>
        <v>1</v>
      </c>
      <c r="AE471" s="13">
        <f t="shared" si="942"/>
        <v>0</v>
      </c>
      <c r="AF471" s="13">
        <f t="shared" si="942"/>
        <v>0</v>
      </c>
      <c r="AG471" s="13">
        <f t="shared" si="942"/>
        <v>1</v>
      </c>
      <c r="AH471" s="13">
        <f t="shared" si="942"/>
        <v>0</v>
      </c>
      <c r="AI471" s="13">
        <f t="shared" si="942"/>
        <v>0</v>
      </c>
      <c r="AJ471" s="13">
        <f t="shared" si="942"/>
        <v>0</v>
      </c>
      <c r="AK471" s="13">
        <f t="shared" si="942"/>
        <v>0</v>
      </c>
      <c r="AL471" s="13">
        <f t="shared" si="942"/>
        <v>0</v>
      </c>
      <c r="AM471" s="13">
        <f t="shared" si="942"/>
        <v>0</v>
      </c>
      <c r="AN471" s="13">
        <f t="shared" si="942"/>
        <v>0</v>
      </c>
      <c r="AO471" s="13">
        <f t="shared" si="942"/>
        <v>0</v>
      </c>
      <c r="AP471" s="13">
        <f t="shared" si="942"/>
        <v>0</v>
      </c>
      <c r="AQ471" s="13"/>
      <c r="AR471" s="13" t="s">
        <v>3209</v>
      </c>
      <c r="AS471" s="13" t="s">
        <v>3210</v>
      </c>
      <c r="AT471" s="13" t="s">
        <v>142</v>
      </c>
      <c r="AU471" s="13" t="s">
        <v>130</v>
      </c>
      <c r="AV471" s="13" t="s">
        <v>3211</v>
      </c>
      <c r="AW471" s="13">
        <v>7.0</v>
      </c>
      <c r="AX471" s="13">
        <v>5.0</v>
      </c>
      <c r="AY471" s="13">
        <v>0.0</v>
      </c>
      <c r="AZ471" s="13" t="s">
        <v>694</v>
      </c>
      <c r="BA471" s="13"/>
      <c r="BB471" s="13"/>
      <c r="BC471" s="13"/>
      <c r="BD471" s="13" t="s">
        <v>1113</v>
      </c>
      <c r="BE471" s="13"/>
      <c r="BF471" s="13" t="s">
        <v>3212</v>
      </c>
      <c r="BG471" s="13"/>
      <c r="BH471" s="13" t="s">
        <v>79</v>
      </c>
      <c r="BI471" s="13" t="b">
        <v>0</v>
      </c>
      <c r="BJ471" s="13">
        <v>0.0</v>
      </c>
      <c r="BK471" s="13">
        <v>0.0</v>
      </c>
    </row>
    <row r="472" ht="14.25" customHeight="1">
      <c r="A472" s="13">
        <v>470.0</v>
      </c>
      <c r="B472" s="13" t="s">
        <v>48</v>
      </c>
      <c r="C472" s="13">
        <v>1.0</v>
      </c>
      <c r="D472" s="14">
        <v>0.0</v>
      </c>
      <c r="E472" s="13" t="s">
        <v>3213</v>
      </c>
      <c r="F472" s="15" t="s">
        <v>3151</v>
      </c>
      <c r="G472" s="16" t="s">
        <v>3214</v>
      </c>
      <c r="H472" s="13">
        <v>11.0</v>
      </c>
      <c r="I472" s="13">
        <v>0.9</v>
      </c>
      <c r="J472" s="13" t="s">
        <v>570</v>
      </c>
      <c r="K472" s="13">
        <f t="shared" si="3"/>
        <v>0</v>
      </c>
      <c r="L472" s="13">
        <f t="shared" si="4"/>
        <v>2</v>
      </c>
      <c r="M472" s="13">
        <f t="shared" ref="M472:AA472" si="943">IFERROR(VALUE(RIGHT(LEFT($J472,FIND(M$1,$J472,1)+LEN(M$1)),1)),0)</f>
        <v>0</v>
      </c>
      <c r="N472" s="13">
        <f t="shared" si="943"/>
        <v>0</v>
      </c>
      <c r="O472" s="13">
        <f t="shared" si="943"/>
        <v>0</v>
      </c>
      <c r="P472" s="13">
        <f t="shared" si="943"/>
        <v>0</v>
      </c>
      <c r="Q472" s="13">
        <f t="shared" si="943"/>
        <v>0</v>
      </c>
      <c r="R472" s="13">
        <f t="shared" si="943"/>
        <v>0</v>
      </c>
      <c r="S472" s="13">
        <f t="shared" si="943"/>
        <v>0</v>
      </c>
      <c r="T472" s="13">
        <f t="shared" si="943"/>
        <v>0</v>
      </c>
      <c r="U472" s="13">
        <f t="shared" si="943"/>
        <v>0</v>
      </c>
      <c r="V472" s="13">
        <f t="shared" si="943"/>
        <v>0</v>
      </c>
      <c r="W472" s="13">
        <f t="shared" si="943"/>
        <v>0</v>
      </c>
      <c r="X472" s="13">
        <f t="shared" si="943"/>
        <v>0</v>
      </c>
      <c r="Y472" s="13">
        <f t="shared" si="943"/>
        <v>0</v>
      </c>
      <c r="Z472" s="13">
        <f t="shared" si="943"/>
        <v>0</v>
      </c>
      <c r="AA472" s="13">
        <f t="shared" si="943"/>
        <v>0</v>
      </c>
      <c r="AB472" s="13">
        <f t="shared" ref="AB472:AP472" si="944">IFERROR(VALUE(RIGHT(LEFT($J472,FIND(AB$1,$J472,IF(M472=0,1,FIND(AB$1,$J472,1)+1))+LEN(AB$1)),1)),0)</f>
        <v>0</v>
      </c>
      <c r="AC472" s="13">
        <f t="shared" si="944"/>
        <v>0</v>
      </c>
      <c r="AD472" s="13">
        <f t="shared" si="944"/>
        <v>0</v>
      </c>
      <c r="AE472" s="13">
        <f t="shared" si="944"/>
        <v>0</v>
      </c>
      <c r="AF472" s="13">
        <f t="shared" si="944"/>
        <v>0</v>
      </c>
      <c r="AG472" s="13">
        <f t="shared" si="944"/>
        <v>1</v>
      </c>
      <c r="AH472" s="13">
        <f t="shared" si="944"/>
        <v>0</v>
      </c>
      <c r="AI472" s="13">
        <f t="shared" si="944"/>
        <v>0</v>
      </c>
      <c r="AJ472" s="13">
        <f t="shared" si="944"/>
        <v>0</v>
      </c>
      <c r="AK472" s="13">
        <f t="shared" si="944"/>
        <v>0</v>
      </c>
      <c r="AL472" s="13">
        <f t="shared" si="944"/>
        <v>1</v>
      </c>
      <c r="AM472" s="13">
        <f t="shared" si="944"/>
        <v>0</v>
      </c>
      <c r="AN472" s="13">
        <f t="shared" si="944"/>
        <v>0</v>
      </c>
      <c r="AO472" s="13">
        <f t="shared" si="944"/>
        <v>0</v>
      </c>
      <c r="AP472" s="13">
        <f t="shared" si="944"/>
        <v>0</v>
      </c>
      <c r="AQ472" s="13"/>
      <c r="AR472" s="13" t="s">
        <v>3215</v>
      </c>
      <c r="AS472" s="13" t="s">
        <v>3216</v>
      </c>
      <c r="AT472" s="13" t="s">
        <v>162</v>
      </c>
      <c r="AU472" s="13" t="s">
        <v>236</v>
      </c>
      <c r="AV472" s="13" t="s">
        <v>3217</v>
      </c>
      <c r="AW472" s="13">
        <v>9.0</v>
      </c>
      <c r="AX472" s="13">
        <v>5.0</v>
      </c>
      <c r="AY472" s="13">
        <v>0.0</v>
      </c>
      <c r="AZ472" s="13" t="s">
        <v>249</v>
      </c>
      <c r="BA472" s="13" t="s">
        <v>594</v>
      </c>
      <c r="BB472" s="13"/>
      <c r="BC472" s="13"/>
      <c r="BD472" s="13" t="s">
        <v>179</v>
      </c>
      <c r="BE472" s="13"/>
      <c r="BF472" s="13" t="s">
        <v>3218</v>
      </c>
      <c r="BG472" s="13" t="s">
        <v>169</v>
      </c>
      <c r="BH472" s="13" t="s">
        <v>79</v>
      </c>
      <c r="BI472" s="13" t="b">
        <v>0</v>
      </c>
      <c r="BJ472" s="13">
        <v>0.0</v>
      </c>
      <c r="BK472" s="13">
        <v>0.0</v>
      </c>
    </row>
    <row r="473" ht="14.25" customHeight="1">
      <c r="A473" s="13">
        <v>471.0</v>
      </c>
      <c r="B473" s="13" t="s">
        <v>44</v>
      </c>
      <c r="C473" s="13">
        <v>2.0</v>
      </c>
      <c r="D473" s="14">
        <v>0.0</v>
      </c>
      <c r="E473" s="13" t="s">
        <v>3219</v>
      </c>
      <c r="F473" s="15" t="s">
        <v>3151</v>
      </c>
      <c r="G473" s="16" t="s">
        <v>3220</v>
      </c>
      <c r="H473" s="13"/>
      <c r="I473" s="13">
        <v>1.3</v>
      </c>
      <c r="J473" s="13" t="s">
        <v>3221</v>
      </c>
      <c r="K473" s="13">
        <f t="shared" si="3"/>
        <v>0</v>
      </c>
      <c r="L473" s="13">
        <f t="shared" si="4"/>
        <v>3</v>
      </c>
      <c r="M473" s="13">
        <f t="shared" ref="M473:AA473" si="945">IFERROR(VALUE(RIGHT(LEFT($J473,FIND(M$1,$J473,1)+LEN(M$1)),1)),0)</f>
        <v>0</v>
      </c>
      <c r="N473" s="13">
        <f t="shared" si="945"/>
        <v>0</v>
      </c>
      <c r="O473" s="13">
        <f t="shared" si="945"/>
        <v>0</v>
      </c>
      <c r="P473" s="13">
        <f t="shared" si="945"/>
        <v>0</v>
      </c>
      <c r="Q473" s="13">
        <f t="shared" si="945"/>
        <v>0</v>
      </c>
      <c r="R473" s="13">
        <f t="shared" si="945"/>
        <v>0</v>
      </c>
      <c r="S473" s="13">
        <f t="shared" si="945"/>
        <v>0</v>
      </c>
      <c r="T473" s="13">
        <f t="shared" si="945"/>
        <v>0</v>
      </c>
      <c r="U473" s="13">
        <f t="shared" si="945"/>
        <v>0</v>
      </c>
      <c r="V473" s="13">
        <f t="shared" si="945"/>
        <v>0</v>
      </c>
      <c r="W473" s="13">
        <f t="shared" si="945"/>
        <v>0</v>
      </c>
      <c r="X473" s="13">
        <f t="shared" si="945"/>
        <v>0</v>
      </c>
      <c r="Y473" s="13">
        <f t="shared" si="945"/>
        <v>0</v>
      </c>
      <c r="Z473" s="13">
        <f t="shared" si="945"/>
        <v>0</v>
      </c>
      <c r="AA473" s="13">
        <f t="shared" si="945"/>
        <v>0</v>
      </c>
      <c r="AB473" s="13">
        <f t="shared" ref="AB473:AP473" si="946">IFERROR(VALUE(RIGHT(LEFT($J473,FIND(AB$1,$J473,IF(M473=0,1,FIND(AB$1,$J473,1)+1))+LEN(AB$1)),1)),0)</f>
        <v>0</v>
      </c>
      <c r="AC473" s="13">
        <f t="shared" si="946"/>
        <v>0</v>
      </c>
      <c r="AD473" s="13">
        <f t="shared" si="946"/>
        <v>0</v>
      </c>
      <c r="AE473" s="13">
        <f t="shared" si="946"/>
        <v>0</v>
      </c>
      <c r="AF473" s="13">
        <f t="shared" si="946"/>
        <v>0</v>
      </c>
      <c r="AG473" s="13">
        <f t="shared" si="946"/>
        <v>2</v>
      </c>
      <c r="AH473" s="13">
        <f t="shared" si="946"/>
        <v>1</v>
      </c>
      <c r="AI473" s="13">
        <f t="shared" si="946"/>
        <v>0</v>
      </c>
      <c r="AJ473" s="13">
        <f t="shared" si="946"/>
        <v>0</v>
      </c>
      <c r="AK473" s="13">
        <f t="shared" si="946"/>
        <v>0</v>
      </c>
      <c r="AL473" s="13">
        <f t="shared" si="946"/>
        <v>0</v>
      </c>
      <c r="AM473" s="13">
        <f t="shared" si="946"/>
        <v>0</v>
      </c>
      <c r="AN473" s="13">
        <f t="shared" si="946"/>
        <v>0</v>
      </c>
      <c r="AO473" s="13">
        <f t="shared" si="946"/>
        <v>0</v>
      </c>
      <c r="AP473" s="13">
        <f t="shared" si="946"/>
        <v>0</v>
      </c>
      <c r="AQ473" s="13" t="s">
        <v>3222</v>
      </c>
      <c r="AR473" s="13"/>
      <c r="AS473" s="13" t="s">
        <v>3223</v>
      </c>
      <c r="AT473" s="13"/>
      <c r="AU473" s="13"/>
      <c r="AV473" s="13"/>
      <c r="AW473" s="13">
        <v>0.0</v>
      </c>
      <c r="AX473" s="13">
        <v>5.0</v>
      </c>
      <c r="AY473" s="13">
        <v>0.0</v>
      </c>
      <c r="AZ473" s="13"/>
      <c r="BA473" s="13"/>
      <c r="BB473" s="13"/>
      <c r="BC473" s="13"/>
      <c r="BD473" s="13"/>
      <c r="BE473" s="13"/>
      <c r="BF473" s="13"/>
      <c r="BG473" s="13"/>
      <c r="BH473" s="13" t="s">
        <v>79</v>
      </c>
      <c r="BI473" s="13" t="b">
        <v>0</v>
      </c>
      <c r="BJ473" s="13">
        <v>0.0</v>
      </c>
      <c r="BK473" s="13">
        <v>0.0</v>
      </c>
    </row>
    <row r="474" ht="14.25" customHeight="1">
      <c r="A474" s="13">
        <v>472.0</v>
      </c>
      <c r="B474" s="13" t="s">
        <v>44</v>
      </c>
      <c r="C474" s="13">
        <v>2.0</v>
      </c>
      <c r="D474" s="14">
        <v>0.0</v>
      </c>
      <c r="E474" s="13" t="s">
        <v>3224</v>
      </c>
      <c r="F474" s="15" t="s">
        <v>3151</v>
      </c>
      <c r="G474" s="16" t="s">
        <v>3225</v>
      </c>
      <c r="H474" s="13"/>
      <c r="I474" s="13">
        <v>1.0</v>
      </c>
      <c r="J474" s="13" t="s">
        <v>2243</v>
      </c>
      <c r="K474" s="13">
        <f t="shared" si="3"/>
        <v>0</v>
      </c>
      <c r="L474" s="13">
        <f t="shared" si="4"/>
        <v>3</v>
      </c>
      <c r="M474" s="13">
        <f t="shared" ref="M474:AA474" si="947">IFERROR(VALUE(RIGHT(LEFT($J474,FIND(M$1,$J474,1)+LEN(M$1)),1)),0)</f>
        <v>0</v>
      </c>
      <c r="N474" s="13">
        <f t="shared" si="947"/>
        <v>0</v>
      </c>
      <c r="O474" s="13">
        <f t="shared" si="947"/>
        <v>0</v>
      </c>
      <c r="P474" s="13">
        <f t="shared" si="947"/>
        <v>0</v>
      </c>
      <c r="Q474" s="13">
        <f t="shared" si="947"/>
        <v>0</v>
      </c>
      <c r="R474" s="13">
        <f t="shared" si="947"/>
        <v>0</v>
      </c>
      <c r="S474" s="13">
        <f t="shared" si="947"/>
        <v>0</v>
      </c>
      <c r="T474" s="13">
        <f t="shared" si="947"/>
        <v>0</v>
      </c>
      <c r="U474" s="13">
        <f t="shared" si="947"/>
        <v>0</v>
      </c>
      <c r="V474" s="13">
        <f t="shared" si="947"/>
        <v>0</v>
      </c>
      <c r="W474" s="13">
        <f t="shared" si="947"/>
        <v>0</v>
      </c>
      <c r="X474" s="13">
        <f t="shared" si="947"/>
        <v>0</v>
      </c>
      <c r="Y474" s="13">
        <f t="shared" si="947"/>
        <v>0</v>
      </c>
      <c r="Z474" s="13">
        <f t="shared" si="947"/>
        <v>0</v>
      </c>
      <c r="AA474" s="13">
        <f t="shared" si="947"/>
        <v>0</v>
      </c>
      <c r="AB474" s="13">
        <f t="shared" ref="AB474:AP474" si="948">IFERROR(VALUE(RIGHT(LEFT($J474,FIND(AB$1,$J474,IF(M474=0,1,FIND(AB$1,$J474,1)+1))+LEN(AB$1)),1)),0)</f>
        <v>0</v>
      </c>
      <c r="AC474" s="13">
        <f t="shared" si="948"/>
        <v>0</v>
      </c>
      <c r="AD474" s="13">
        <f t="shared" si="948"/>
        <v>0</v>
      </c>
      <c r="AE474" s="13">
        <f t="shared" si="948"/>
        <v>0</v>
      </c>
      <c r="AF474" s="13">
        <f t="shared" si="948"/>
        <v>1</v>
      </c>
      <c r="AG474" s="13">
        <f t="shared" si="948"/>
        <v>0</v>
      </c>
      <c r="AH474" s="13">
        <f t="shared" si="948"/>
        <v>2</v>
      </c>
      <c r="AI474" s="13">
        <f t="shared" si="948"/>
        <v>0</v>
      </c>
      <c r="AJ474" s="13">
        <f t="shared" si="948"/>
        <v>0</v>
      </c>
      <c r="AK474" s="13">
        <f t="shared" si="948"/>
        <v>0</v>
      </c>
      <c r="AL474" s="13">
        <f t="shared" si="948"/>
        <v>0</v>
      </c>
      <c r="AM474" s="13">
        <f t="shared" si="948"/>
        <v>0</v>
      </c>
      <c r="AN474" s="13">
        <f t="shared" si="948"/>
        <v>0</v>
      </c>
      <c r="AO474" s="13">
        <f t="shared" si="948"/>
        <v>0</v>
      </c>
      <c r="AP474" s="13">
        <f t="shared" si="948"/>
        <v>0</v>
      </c>
      <c r="AQ474" s="13" t="s">
        <v>3226</v>
      </c>
      <c r="AR474" s="13"/>
      <c r="AS474" s="13" t="s">
        <v>3227</v>
      </c>
      <c r="AT474" s="13"/>
      <c r="AU474" s="13"/>
      <c r="AV474" s="13"/>
      <c r="AW474" s="13">
        <v>0.0</v>
      </c>
      <c r="AX474" s="13">
        <v>5.0</v>
      </c>
      <c r="AY474" s="13">
        <v>0.0</v>
      </c>
      <c r="AZ474" s="13"/>
      <c r="BA474" s="13"/>
      <c r="BB474" s="13"/>
      <c r="BC474" s="13"/>
      <c r="BD474" s="13"/>
      <c r="BE474" s="13"/>
      <c r="BF474" s="13"/>
      <c r="BG474" s="13"/>
      <c r="BH474" s="13" t="s">
        <v>79</v>
      </c>
      <c r="BI474" s="13" t="b">
        <v>0</v>
      </c>
      <c r="BJ474" s="13">
        <v>0.0</v>
      </c>
      <c r="BK474" s="13">
        <v>0.0</v>
      </c>
    </row>
    <row r="475" ht="14.25" customHeight="1">
      <c r="A475" s="13">
        <v>473.0</v>
      </c>
      <c r="B475" s="13" t="s">
        <v>45</v>
      </c>
      <c r="C475" s="13">
        <v>2.0</v>
      </c>
      <c r="D475" s="14">
        <v>0.0</v>
      </c>
      <c r="E475" s="13" t="s">
        <v>3228</v>
      </c>
      <c r="F475" s="15" t="s">
        <v>3151</v>
      </c>
      <c r="G475" s="16" t="s">
        <v>3229</v>
      </c>
      <c r="H475" s="13"/>
      <c r="I475" s="13">
        <v>1.0</v>
      </c>
      <c r="J475" s="13" t="s">
        <v>1021</v>
      </c>
      <c r="K475" s="13">
        <f t="shared" si="3"/>
        <v>0</v>
      </c>
      <c r="L475" s="13">
        <f t="shared" si="4"/>
        <v>3</v>
      </c>
      <c r="M475" s="13">
        <f t="shared" ref="M475:AA475" si="949">IFERROR(VALUE(RIGHT(LEFT($J475,FIND(M$1,$J475,1)+LEN(M$1)),1)),0)</f>
        <v>0</v>
      </c>
      <c r="N475" s="13">
        <f t="shared" si="949"/>
        <v>0</v>
      </c>
      <c r="O475" s="13">
        <f t="shared" si="949"/>
        <v>0</v>
      </c>
      <c r="P475" s="13">
        <f t="shared" si="949"/>
        <v>0</v>
      </c>
      <c r="Q475" s="13">
        <f t="shared" si="949"/>
        <v>0</v>
      </c>
      <c r="R475" s="13">
        <f t="shared" si="949"/>
        <v>0</v>
      </c>
      <c r="S475" s="13">
        <f t="shared" si="949"/>
        <v>0</v>
      </c>
      <c r="T475" s="13">
        <f t="shared" si="949"/>
        <v>0</v>
      </c>
      <c r="U475" s="13">
        <f t="shared" si="949"/>
        <v>0</v>
      </c>
      <c r="V475" s="13">
        <f t="shared" si="949"/>
        <v>0</v>
      </c>
      <c r="W475" s="13">
        <f t="shared" si="949"/>
        <v>0</v>
      </c>
      <c r="X475" s="13">
        <f t="shared" si="949"/>
        <v>0</v>
      </c>
      <c r="Y475" s="13">
        <f t="shared" si="949"/>
        <v>0</v>
      </c>
      <c r="Z475" s="13">
        <f t="shared" si="949"/>
        <v>0</v>
      </c>
      <c r="AA475" s="13">
        <f t="shared" si="949"/>
        <v>0</v>
      </c>
      <c r="AB475" s="13">
        <f t="shared" ref="AB475:AP475" si="950">IFERROR(VALUE(RIGHT(LEFT($J475,FIND(AB$1,$J475,IF(M475=0,1,FIND(AB$1,$J475,1)+1))+LEN(AB$1)),1)),0)</f>
        <v>0</v>
      </c>
      <c r="AC475" s="13">
        <f t="shared" si="950"/>
        <v>0</v>
      </c>
      <c r="AD475" s="13">
        <f t="shared" si="950"/>
        <v>1</v>
      </c>
      <c r="AE475" s="13">
        <f t="shared" si="950"/>
        <v>0</v>
      </c>
      <c r="AF475" s="13">
        <f t="shared" si="950"/>
        <v>0</v>
      </c>
      <c r="AG475" s="13">
        <f t="shared" si="950"/>
        <v>0</v>
      </c>
      <c r="AH475" s="13">
        <f t="shared" si="950"/>
        <v>0</v>
      </c>
      <c r="AI475" s="13">
        <f t="shared" si="950"/>
        <v>2</v>
      </c>
      <c r="AJ475" s="13">
        <f t="shared" si="950"/>
        <v>0</v>
      </c>
      <c r="AK475" s="13">
        <f t="shared" si="950"/>
        <v>0</v>
      </c>
      <c r="AL475" s="13">
        <f t="shared" si="950"/>
        <v>0</v>
      </c>
      <c r="AM475" s="13">
        <f t="shared" si="950"/>
        <v>0</v>
      </c>
      <c r="AN475" s="13">
        <f t="shared" si="950"/>
        <v>0</v>
      </c>
      <c r="AO475" s="13">
        <f t="shared" si="950"/>
        <v>0</v>
      </c>
      <c r="AP475" s="13">
        <f t="shared" si="950"/>
        <v>0</v>
      </c>
      <c r="AQ475" s="13" t="s">
        <v>3230</v>
      </c>
      <c r="AR475" s="13"/>
      <c r="AS475" s="13" t="s">
        <v>3231</v>
      </c>
      <c r="AT475" s="13"/>
      <c r="AU475" s="13"/>
      <c r="AV475" s="13"/>
      <c r="AW475" s="13">
        <v>0.0</v>
      </c>
      <c r="AX475" s="13">
        <v>5.0</v>
      </c>
      <c r="AY475" s="13">
        <v>0.0</v>
      </c>
      <c r="AZ475" s="13"/>
      <c r="BA475" s="13"/>
      <c r="BB475" s="13"/>
      <c r="BC475" s="13"/>
      <c r="BD475" s="13"/>
      <c r="BE475" s="13"/>
      <c r="BF475" s="13"/>
      <c r="BG475" s="13"/>
      <c r="BH475" s="13" t="s">
        <v>79</v>
      </c>
      <c r="BI475" s="13" t="b">
        <v>0</v>
      </c>
      <c r="BJ475" s="13">
        <v>0.0</v>
      </c>
      <c r="BK475" s="13">
        <v>0.0</v>
      </c>
    </row>
    <row r="476" ht="14.25" customHeight="1">
      <c r="A476" s="13">
        <v>474.0</v>
      </c>
      <c r="B476" s="13" t="s">
        <v>46</v>
      </c>
      <c r="C476" s="13">
        <v>2.0</v>
      </c>
      <c r="D476" s="14">
        <v>0.0</v>
      </c>
      <c r="E476" s="13" t="s">
        <v>3232</v>
      </c>
      <c r="F476" s="15" t="s">
        <v>3151</v>
      </c>
      <c r="G476" s="16" t="s">
        <v>3233</v>
      </c>
      <c r="H476" s="13"/>
      <c r="I476" s="13">
        <v>1.1</v>
      </c>
      <c r="J476" s="13" t="s">
        <v>1041</v>
      </c>
      <c r="K476" s="13">
        <f t="shared" si="3"/>
        <v>0</v>
      </c>
      <c r="L476" s="13">
        <f t="shared" si="4"/>
        <v>3</v>
      </c>
      <c r="M476" s="13">
        <f t="shared" ref="M476:AA476" si="951">IFERROR(VALUE(RIGHT(LEFT($J476,FIND(M$1,$J476,1)+LEN(M$1)),1)),0)</f>
        <v>0</v>
      </c>
      <c r="N476" s="13">
        <f t="shared" si="951"/>
        <v>0</v>
      </c>
      <c r="O476" s="13">
        <f t="shared" si="951"/>
        <v>0</v>
      </c>
      <c r="P476" s="13">
        <f t="shared" si="951"/>
        <v>0</v>
      </c>
      <c r="Q476" s="13">
        <f t="shared" si="951"/>
        <v>0</v>
      </c>
      <c r="R476" s="13">
        <f t="shared" si="951"/>
        <v>0</v>
      </c>
      <c r="S476" s="13">
        <f t="shared" si="951"/>
        <v>0</v>
      </c>
      <c r="T476" s="13">
        <f t="shared" si="951"/>
        <v>0</v>
      </c>
      <c r="U476" s="13">
        <f t="shared" si="951"/>
        <v>0</v>
      </c>
      <c r="V476" s="13">
        <f t="shared" si="951"/>
        <v>0</v>
      </c>
      <c r="W476" s="13">
        <f t="shared" si="951"/>
        <v>0</v>
      </c>
      <c r="X476" s="13">
        <f t="shared" si="951"/>
        <v>0</v>
      </c>
      <c r="Y476" s="13">
        <f t="shared" si="951"/>
        <v>0</v>
      </c>
      <c r="Z476" s="13">
        <f t="shared" si="951"/>
        <v>0</v>
      </c>
      <c r="AA476" s="13">
        <f t="shared" si="951"/>
        <v>0</v>
      </c>
      <c r="AB476" s="13">
        <f t="shared" ref="AB476:AP476" si="952">IFERROR(VALUE(RIGHT(LEFT($J476,FIND(AB$1,$J476,IF(M476=0,1,FIND(AB$1,$J476,1)+1))+LEN(AB$1)),1)),0)</f>
        <v>0</v>
      </c>
      <c r="AC476" s="13">
        <f t="shared" si="952"/>
        <v>0</v>
      </c>
      <c r="AD476" s="13">
        <f t="shared" si="952"/>
        <v>0</v>
      </c>
      <c r="AE476" s="13">
        <f t="shared" si="952"/>
        <v>1</v>
      </c>
      <c r="AF476" s="13">
        <f t="shared" si="952"/>
        <v>0</v>
      </c>
      <c r="AG476" s="13">
        <f t="shared" si="952"/>
        <v>0</v>
      </c>
      <c r="AH476" s="13">
        <f t="shared" si="952"/>
        <v>0</v>
      </c>
      <c r="AI476" s="13">
        <f t="shared" si="952"/>
        <v>0</v>
      </c>
      <c r="AJ476" s="13">
        <f t="shared" si="952"/>
        <v>2</v>
      </c>
      <c r="AK476" s="13">
        <f t="shared" si="952"/>
        <v>0</v>
      </c>
      <c r="AL476" s="13">
        <f t="shared" si="952"/>
        <v>0</v>
      </c>
      <c r="AM476" s="13">
        <f t="shared" si="952"/>
        <v>0</v>
      </c>
      <c r="AN476" s="13">
        <f t="shared" si="952"/>
        <v>0</v>
      </c>
      <c r="AO476" s="13">
        <f t="shared" si="952"/>
        <v>0</v>
      </c>
      <c r="AP476" s="13">
        <f t="shared" si="952"/>
        <v>0</v>
      </c>
      <c r="AQ476" s="13" t="s">
        <v>3234</v>
      </c>
      <c r="AR476" s="13"/>
      <c r="AS476" s="13" t="s">
        <v>3235</v>
      </c>
      <c r="AT476" s="13"/>
      <c r="AU476" s="13"/>
      <c r="AV476" s="13"/>
      <c r="AW476" s="13">
        <v>0.0</v>
      </c>
      <c r="AX476" s="13">
        <v>5.0</v>
      </c>
      <c r="AY476" s="13">
        <v>0.0</v>
      </c>
      <c r="AZ476" s="13"/>
      <c r="BA476" s="13"/>
      <c r="BB476" s="13"/>
      <c r="BC476" s="13"/>
      <c r="BD476" s="13"/>
      <c r="BE476" s="13"/>
      <c r="BF476" s="13"/>
      <c r="BG476" s="13"/>
      <c r="BH476" s="13" t="s">
        <v>79</v>
      </c>
      <c r="BI476" s="13" t="b">
        <v>0</v>
      </c>
      <c r="BJ476" s="13">
        <v>0.0</v>
      </c>
      <c r="BK476" s="13">
        <v>0.0</v>
      </c>
    </row>
    <row r="477" ht="14.25" customHeight="1">
      <c r="A477" s="13">
        <v>475.0</v>
      </c>
      <c r="B477" s="13" t="s">
        <v>51</v>
      </c>
      <c r="C477" s="13">
        <v>2.0</v>
      </c>
      <c r="D477" s="14">
        <v>0.0</v>
      </c>
      <c r="E477" s="13" t="s">
        <v>3236</v>
      </c>
      <c r="F477" s="15" t="s">
        <v>3151</v>
      </c>
      <c r="G477" s="16" t="s">
        <v>3237</v>
      </c>
      <c r="H477" s="13">
        <v>16.0</v>
      </c>
      <c r="I477" s="13">
        <v>1.3</v>
      </c>
      <c r="J477" s="13" t="s">
        <v>1456</v>
      </c>
      <c r="K477" s="13">
        <f t="shared" si="3"/>
        <v>0</v>
      </c>
      <c r="L477" s="13">
        <f t="shared" si="4"/>
        <v>3</v>
      </c>
      <c r="M477" s="13">
        <f t="shared" ref="M477:AA477" si="953">IFERROR(VALUE(RIGHT(LEFT($J477,FIND(M$1,$J477,1)+LEN(M$1)),1)),0)</f>
        <v>0</v>
      </c>
      <c r="N477" s="13">
        <f t="shared" si="953"/>
        <v>0</v>
      </c>
      <c r="O477" s="13">
        <f t="shared" si="953"/>
        <v>0</v>
      </c>
      <c r="P477" s="13">
        <f t="shared" si="953"/>
        <v>0</v>
      </c>
      <c r="Q477" s="13">
        <f t="shared" si="953"/>
        <v>0</v>
      </c>
      <c r="R477" s="13">
        <f t="shared" si="953"/>
        <v>0</v>
      </c>
      <c r="S477" s="13">
        <f t="shared" si="953"/>
        <v>0</v>
      </c>
      <c r="T477" s="13">
        <f t="shared" si="953"/>
        <v>0</v>
      </c>
      <c r="U477" s="13">
        <f t="shared" si="953"/>
        <v>0</v>
      </c>
      <c r="V477" s="13">
        <f t="shared" si="953"/>
        <v>0</v>
      </c>
      <c r="W477" s="13">
        <f t="shared" si="953"/>
        <v>0</v>
      </c>
      <c r="X477" s="13">
        <f t="shared" si="953"/>
        <v>0</v>
      </c>
      <c r="Y477" s="13">
        <f t="shared" si="953"/>
        <v>0</v>
      </c>
      <c r="Z477" s="13">
        <f t="shared" si="953"/>
        <v>0</v>
      </c>
      <c r="AA477" s="13">
        <f t="shared" si="953"/>
        <v>0</v>
      </c>
      <c r="AB477" s="13">
        <f t="shared" ref="AB477:AP477" si="954">IFERROR(VALUE(RIGHT(LEFT($J477,FIND(AB$1,$J477,IF(M477=0,1,FIND(AB$1,$J477,1)+1))+LEN(AB$1)),1)),0)</f>
        <v>0</v>
      </c>
      <c r="AC477" s="13">
        <f t="shared" si="954"/>
        <v>0</v>
      </c>
      <c r="AD477" s="13">
        <f t="shared" si="954"/>
        <v>1</v>
      </c>
      <c r="AE477" s="13">
        <f t="shared" si="954"/>
        <v>0</v>
      </c>
      <c r="AF477" s="13">
        <f t="shared" si="954"/>
        <v>0</v>
      </c>
      <c r="AG477" s="13">
        <f t="shared" si="954"/>
        <v>0</v>
      </c>
      <c r="AH477" s="13">
        <f t="shared" si="954"/>
        <v>0</v>
      </c>
      <c r="AI477" s="13">
        <f t="shared" si="954"/>
        <v>0</v>
      </c>
      <c r="AJ477" s="13">
        <f t="shared" si="954"/>
        <v>0</v>
      </c>
      <c r="AK477" s="13">
        <f t="shared" si="954"/>
        <v>0</v>
      </c>
      <c r="AL477" s="13">
        <f t="shared" si="954"/>
        <v>0</v>
      </c>
      <c r="AM477" s="13">
        <f t="shared" si="954"/>
        <v>0</v>
      </c>
      <c r="AN477" s="13">
        <f t="shared" si="954"/>
        <v>0</v>
      </c>
      <c r="AO477" s="13">
        <f t="shared" si="954"/>
        <v>2</v>
      </c>
      <c r="AP477" s="13">
        <f t="shared" si="954"/>
        <v>0</v>
      </c>
      <c r="AQ477" s="13"/>
      <c r="AR477" s="13" t="s">
        <v>828</v>
      </c>
      <c r="AS477" s="13" t="s">
        <v>3238</v>
      </c>
      <c r="AT477" s="13" t="s">
        <v>1350</v>
      </c>
      <c r="AU477" s="13" t="s">
        <v>130</v>
      </c>
      <c r="AV477" s="13" t="s">
        <v>1212</v>
      </c>
      <c r="AW477" s="13">
        <v>18.0</v>
      </c>
      <c r="AX477" s="13">
        <v>5.0</v>
      </c>
      <c r="AY477" s="13">
        <v>0.0</v>
      </c>
      <c r="AZ477" s="13" t="s">
        <v>913</v>
      </c>
      <c r="BA477" s="13" t="s">
        <v>272</v>
      </c>
      <c r="BB477" s="13"/>
      <c r="BC477" s="13"/>
      <c r="BD477" s="13" t="s">
        <v>167</v>
      </c>
      <c r="BE477" s="13"/>
      <c r="BF477" s="13" t="s">
        <v>1215</v>
      </c>
      <c r="BG477" s="13"/>
      <c r="BH477" s="13" t="s">
        <v>79</v>
      </c>
      <c r="BI477" s="13" t="b">
        <v>0</v>
      </c>
      <c r="BJ477" s="13">
        <v>0.0</v>
      </c>
      <c r="BK477" s="13">
        <v>0.0</v>
      </c>
    </row>
    <row r="478" ht="14.25" customHeight="1">
      <c r="A478" s="13">
        <v>476.0</v>
      </c>
      <c r="B478" s="13" t="s">
        <v>51</v>
      </c>
      <c r="C478" s="13">
        <v>2.0</v>
      </c>
      <c r="D478" s="14">
        <v>0.0</v>
      </c>
      <c r="E478" s="13" t="s">
        <v>3239</v>
      </c>
      <c r="F478" s="15" t="s">
        <v>3151</v>
      </c>
      <c r="G478" s="16" t="s">
        <v>3240</v>
      </c>
      <c r="H478" s="13">
        <v>3.0</v>
      </c>
      <c r="I478" s="13">
        <v>1.0</v>
      </c>
      <c r="J478" s="13" t="s">
        <v>3241</v>
      </c>
      <c r="K478" s="13">
        <f t="shared" si="3"/>
        <v>0</v>
      </c>
      <c r="L478" s="13">
        <f t="shared" si="4"/>
        <v>3</v>
      </c>
      <c r="M478" s="13">
        <f t="shared" ref="M478:AA478" si="955">IFERROR(VALUE(RIGHT(LEFT($J478,FIND(M$1,$J478,1)+LEN(M$1)),1)),0)</f>
        <v>0</v>
      </c>
      <c r="N478" s="13">
        <f t="shared" si="955"/>
        <v>0</v>
      </c>
      <c r="O478" s="13">
        <f t="shared" si="955"/>
        <v>0</v>
      </c>
      <c r="P478" s="13">
        <f t="shared" si="955"/>
        <v>0</v>
      </c>
      <c r="Q478" s="13">
        <f t="shared" si="955"/>
        <v>0</v>
      </c>
      <c r="R478" s="13">
        <f t="shared" si="955"/>
        <v>0</v>
      </c>
      <c r="S478" s="13">
        <f t="shared" si="955"/>
        <v>0</v>
      </c>
      <c r="T478" s="13">
        <f t="shared" si="955"/>
        <v>0</v>
      </c>
      <c r="U478" s="13">
        <f t="shared" si="955"/>
        <v>0</v>
      </c>
      <c r="V478" s="13">
        <f t="shared" si="955"/>
        <v>0</v>
      </c>
      <c r="W478" s="13">
        <f t="shared" si="955"/>
        <v>0</v>
      </c>
      <c r="X478" s="13">
        <f t="shared" si="955"/>
        <v>0</v>
      </c>
      <c r="Y478" s="13">
        <f t="shared" si="955"/>
        <v>0</v>
      </c>
      <c r="Z478" s="13">
        <f t="shared" si="955"/>
        <v>0</v>
      </c>
      <c r="AA478" s="13">
        <f t="shared" si="955"/>
        <v>0</v>
      </c>
      <c r="AB478" s="13">
        <f t="shared" ref="AB478:AP478" si="956">IFERROR(VALUE(RIGHT(LEFT($J478,FIND(AB$1,$J478,IF(M478=0,1,FIND(AB$1,$J478,1)+1))+LEN(AB$1)),1)),0)</f>
        <v>0</v>
      </c>
      <c r="AC478" s="13">
        <f t="shared" si="956"/>
        <v>1</v>
      </c>
      <c r="AD478" s="13">
        <f t="shared" si="956"/>
        <v>0</v>
      </c>
      <c r="AE478" s="13">
        <f t="shared" si="956"/>
        <v>1</v>
      </c>
      <c r="AF478" s="13">
        <f t="shared" si="956"/>
        <v>0</v>
      </c>
      <c r="AG478" s="13">
        <f t="shared" si="956"/>
        <v>0</v>
      </c>
      <c r="AH478" s="13">
        <f t="shared" si="956"/>
        <v>0</v>
      </c>
      <c r="AI478" s="13">
        <f t="shared" si="956"/>
        <v>0</v>
      </c>
      <c r="AJ478" s="13">
        <f t="shared" si="956"/>
        <v>0</v>
      </c>
      <c r="AK478" s="13">
        <f t="shared" si="956"/>
        <v>0</v>
      </c>
      <c r="AL478" s="13">
        <f t="shared" si="956"/>
        <v>0</v>
      </c>
      <c r="AM478" s="13">
        <f t="shared" si="956"/>
        <v>0</v>
      </c>
      <c r="AN478" s="13">
        <f t="shared" si="956"/>
        <v>0</v>
      </c>
      <c r="AO478" s="13">
        <f t="shared" si="956"/>
        <v>1</v>
      </c>
      <c r="AP478" s="13">
        <f t="shared" si="956"/>
        <v>0</v>
      </c>
      <c r="AQ478" s="13"/>
      <c r="AR478" s="13" t="s">
        <v>3242</v>
      </c>
      <c r="AS478" s="13" t="s">
        <v>3243</v>
      </c>
      <c r="AT478" s="13" t="s">
        <v>129</v>
      </c>
      <c r="AU478" s="13" t="s">
        <v>130</v>
      </c>
      <c r="AV478" s="13" t="s">
        <v>3244</v>
      </c>
      <c r="AW478" s="13">
        <v>12.0</v>
      </c>
      <c r="AX478" s="13">
        <v>5.0</v>
      </c>
      <c r="AY478" s="13">
        <v>0.0</v>
      </c>
      <c r="AZ478" s="13" t="s">
        <v>482</v>
      </c>
      <c r="BA478" s="13"/>
      <c r="BB478" s="13"/>
      <c r="BC478" s="13"/>
      <c r="BD478" s="13" t="s">
        <v>1113</v>
      </c>
      <c r="BE478" s="13"/>
      <c r="BF478" s="13" t="s">
        <v>3245</v>
      </c>
      <c r="BG478" s="13"/>
      <c r="BH478" s="13" t="s">
        <v>79</v>
      </c>
      <c r="BI478" s="13" t="b">
        <v>0</v>
      </c>
      <c r="BJ478" s="13">
        <v>0.0</v>
      </c>
      <c r="BK478" s="13">
        <v>0.0</v>
      </c>
    </row>
    <row r="479" ht="14.25" customHeight="1">
      <c r="A479" s="13">
        <v>477.0</v>
      </c>
      <c r="B479" s="13" t="s">
        <v>51</v>
      </c>
      <c r="C479" s="13">
        <v>2.0</v>
      </c>
      <c r="D479" s="14">
        <v>0.0</v>
      </c>
      <c r="E479" s="13" t="s">
        <v>3246</v>
      </c>
      <c r="F479" s="15" t="s">
        <v>3151</v>
      </c>
      <c r="G479" s="16" t="s">
        <v>3247</v>
      </c>
      <c r="H479" s="13">
        <v>-4.0</v>
      </c>
      <c r="I479" s="13">
        <v>0.9</v>
      </c>
      <c r="J479" s="13" t="s">
        <v>1431</v>
      </c>
      <c r="K479" s="13">
        <f t="shared" si="3"/>
        <v>0</v>
      </c>
      <c r="L479" s="13">
        <f t="shared" si="4"/>
        <v>3</v>
      </c>
      <c r="M479" s="13">
        <f t="shared" ref="M479:AA479" si="957">IFERROR(VALUE(RIGHT(LEFT($J479,FIND(M$1,$J479,1)+LEN(M$1)),1)),0)</f>
        <v>0</v>
      </c>
      <c r="N479" s="13">
        <f t="shared" si="957"/>
        <v>0</v>
      </c>
      <c r="O479" s="13">
        <f t="shared" si="957"/>
        <v>0</v>
      </c>
      <c r="P479" s="13">
        <f t="shared" si="957"/>
        <v>0</v>
      </c>
      <c r="Q479" s="13">
        <f t="shared" si="957"/>
        <v>0</v>
      </c>
      <c r="R479" s="13">
        <f t="shared" si="957"/>
        <v>0</v>
      </c>
      <c r="S479" s="13">
        <f t="shared" si="957"/>
        <v>0</v>
      </c>
      <c r="T479" s="13">
        <f t="shared" si="957"/>
        <v>0</v>
      </c>
      <c r="U479" s="13">
        <f t="shared" si="957"/>
        <v>0</v>
      </c>
      <c r="V479" s="13">
        <f t="shared" si="957"/>
        <v>0</v>
      </c>
      <c r="W479" s="13">
        <f t="shared" si="957"/>
        <v>0</v>
      </c>
      <c r="X479" s="13">
        <f t="shared" si="957"/>
        <v>0</v>
      </c>
      <c r="Y479" s="13">
        <f t="shared" si="957"/>
        <v>0</v>
      </c>
      <c r="Z479" s="13">
        <f t="shared" si="957"/>
        <v>0</v>
      </c>
      <c r="AA479" s="13">
        <f t="shared" si="957"/>
        <v>0</v>
      </c>
      <c r="AB479" s="13">
        <f t="shared" ref="AB479:AP479" si="958">IFERROR(VALUE(RIGHT(LEFT($J479,FIND(AB$1,$J479,IF(M479=0,1,FIND(AB$1,$J479,1)+1))+LEN(AB$1)),1)),0)</f>
        <v>1</v>
      </c>
      <c r="AC479" s="13">
        <f t="shared" si="958"/>
        <v>0</v>
      </c>
      <c r="AD479" s="13">
        <f t="shared" si="958"/>
        <v>0</v>
      </c>
      <c r="AE479" s="13">
        <f t="shared" si="958"/>
        <v>0</v>
      </c>
      <c r="AF479" s="13">
        <f t="shared" si="958"/>
        <v>1</v>
      </c>
      <c r="AG479" s="13">
        <f t="shared" si="958"/>
        <v>0</v>
      </c>
      <c r="AH479" s="13">
        <f t="shared" si="958"/>
        <v>0</v>
      </c>
      <c r="AI479" s="13">
        <f t="shared" si="958"/>
        <v>0</v>
      </c>
      <c r="AJ479" s="13">
        <f t="shared" si="958"/>
        <v>0</v>
      </c>
      <c r="AK479" s="13">
        <f t="shared" si="958"/>
        <v>0</v>
      </c>
      <c r="AL479" s="13">
        <f t="shared" si="958"/>
        <v>0</v>
      </c>
      <c r="AM479" s="13">
        <f t="shared" si="958"/>
        <v>0</v>
      </c>
      <c r="AN479" s="13">
        <f t="shared" si="958"/>
        <v>0</v>
      </c>
      <c r="AO479" s="13">
        <f t="shared" si="958"/>
        <v>1</v>
      </c>
      <c r="AP479" s="13">
        <f t="shared" si="958"/>
        <v>0</v>
      </c>
      <c r="AQ479" s="13"/>
      <c r="AR479" s="13" t="s">
        <v>3248</v>
      </c>
      <c r="AS479" s="13" t="s">
        <v>3249</v>
      </c>
      <c r="AT479" s="13" t="s">
        <v>1398</v>
      </c>
      <c r="AU479" s="13" t="s">
        <v>130</v>
      </c>
      <c r="AV479" s="13" t="s">
        <v>3250</v>
      </c>
      <c r="AW479" s="13">
        <v>11.0</v>
      </c>
      <c r="AX479" s="13">
        <v>5.0</v>
      </c>
      <c r="AY479" s="13">
        <v>1.0</v>
      </c>
      <c r="AZ479" s="13"/>
      <c r="BA479" s="13"/>
      <c r="BB479" s="13"/>
      <c r="BC479" s="13"/>
      <c r="BD479" s="13" t="s">
        <v>1113</v>
      </c>
      <c r="BE479" s="13"/>
      <c r="BF479" s="13" t="s">
        <v>3251</v>
      </c>
      <c r="BG479" s="13"/>
      <c r="BH479" s="13" t="s">
        <v>79</v>
      </c>
      <c r="BI479" s="13" t="b">
        <v>0</v>
      </c>
      <c r="BJ479" s="13">
        <v>0.0</v>
      </c>
      <c r="BK479" s="13">
        <v>0.0</v>
      </c>
    </row>
    <row r="480" ht="14.25" customHeight="1">
      <c r="A480" s="13">
        <v>478.0</v>
      </c>
      <c r="B480" s="13" t="s">
        <v>48</v>
      </c>
      <c r="C480" s="13">
        <v>2.0</v>
      </c>
      <c r="D480" s="14">
        <v>0.0</v>
      </c>
      <c r="E480" s="13" t="s">
        <v>3252</v>
      </c>
      <c r="F480" s="15" t="s">
        <v>3151</v>
      </c>
      <c r="G480" s="16" t="s">
        <v>3253</v>
      </c>
      <c r="H480" s="13">
        <v>15.0</v>
      </c>
      <c r="I480" s="13">
        <v>1.1</v>
      </c>
      <c r="J480" s="13" t="s">
        <v>1179</v>
      </c>
      <c r="K480" s="13">
        <f t="shared" si="3"/>
        <v>0</v>
      </c>
      <c r="L480" s="13">
        <f t="shared" si="4"/>
        <v>3</v>
      </c>
      <c r="M480" s="13">
        <f t="shared" ref="M480:AA480" si="959">IFERROR(VALUE(RIGHT(LEFT($J480,FIND(M$1,$J480,1)+LEN(M$1)),1)),0)</f>
        <v>0</v>
      </c>
      <c r="N480" s="13">
        <f t="shared" si="959"/>
        <v>0</v>
      </c>
      <c r="O480" s="13">
        <f t="shared" si="959"/>
        <v>0</v>
      </c>
      <c r="P480" s="13">
        <f t="shared" si="959"/>
        <v>0</v>
      </c>
      <c r="Q480" s="13">
        <f t="shared" si="959"/>
        <v>0</v>
      </c>
      <c r="R480" s="13">
        <f t="shared" si="959"/>
        <v>0</v>
      </c>
      <c r="S480" s="13">
        <f t="shared" si="959"/>
        <v>0</v>
      </c>
      <c r="T480" s="13">
        <f t="shared" si="959"/>
        <v>0</v>
      </c>
      <c r="U480" s="13">
        <f t="shared" si="959"/>
        <v>0</v>
      </c>
      <c r="V480" s="13">
        <f t="shared" si="959"/>
        <v>0</v>
      </c>
      <c r="W480" s="13">
        <f t="shared" si="959"/>
        <v>0</v>
      </c>
      <c r="X480" s="13">
        <f t="shared" si="959"/>
        <v>0</v>
      </c>
      <c r="Y480" s="13">
        <f t="shared" si="959"/>
        <v>0</v>
      </c>
      <c r="Z480" s="13">
        <f t="shared" si="959"/>
        <v>0</v>
      </c>
      <c r="AA480" s="13">
        <f t="shared" si="959"/>
        <v>0</v>
      </c>
      <c r="AB480" s="13">
        <f t="shared" ref="AB480:AP480" si="960">IFERROR(VALUE(RIGHT(LEFT($J480,FIND(AB$1,$J480,IF(M480=0,1,FIND(AB$1,$J480,1)+1))+LEN(AB$1)),1)),0)</f>
        <v>0</v>
      </c>
      <c r="AC480" s="13">
        <f t="shared" si="960"/>
        <v>0</v>
      </c>
      <c r="AD480" s="13">
        <f t="shared" si="960"/>
        <v>0</v>
      </c>
      <c r="AE480" s="13">
        <f t="shared" si="960"/>
        <v>0</v>
      </c>
      <c r="AF480" s="13">
        <f t="shared" si="960"/>
        <v>0</v>
      </c>
      <c r="AG480" s="13">
        <f t="shared" si="960"/>
        <v>1</v>
      </c>
      <c r="AH480" s="13">
        <f t="shared" si="960"/>
        <v>0</v>
      </c>
      <c r="AI480" s="13">
        <f t="shared" si="960"/>
        <v>0</v>
      </c>
      <c r="AJ480" s="13">
        <f t="shared" si="960"/>
        <v>0</v>
      </c>
      <c r="AK480" s="13">
        <f t="shared" si="960"/>
        <v>0</v>
      </c>
      <c r="AL480" s="13">
        <f t="shared" si="960"/>
        <v>2</v>
      </c>
      <c r="AM480" s="13">
        <f t="shared" si="960"/>
        <v>0</v>
      </c>
      <c r="AN480" s="13">
        <f t="shared" si="960"/>
        <v>0</v>
      </c>
      <c r="AO480" s="13">
        <f t="shared" si="960"/>
        <v>0</v>
      </c>
      <c r="AP480" s="13">
        <f t="shared" si="960"/>
        <v>0</v>
      </c>
      <c r="AQ480" s="13"/>
      <c r="AR480" s="13" t="s">
        <v>3254</v>
      </c>
      <c r="AS480" s="13" t="s">
        <v>1201</v>
      </c>
      <c r="AT480" s="13" t="s">
        <v>162</v>
      </c>
      <c r="AU480" s="13" t="s">
        <v>3255</v>
      </c>
      <c r="AV480" s="13" t="s">
        <v>3256</v>
      </c>
      <c r="AW480" s="13">
        <v>16.0</v>
      </c>
      <c r="AX480" s="13">
        <v>5.0</v>
      </c>
      <c r="AY480" s="13">
        <v>0.0</v>
      </c>
      <c r="AZ480" s="13" t="s">
        <v>3257</v>
      </c>
      <c r="BA480" s="13" t="s">
        <v>3258</v>
      </c>
      <c r="BB480" s="13"/>
      <c r="BC480" s="13"/>
      <c r="BD480" s="13" t="s">
        <v>188</v>
      </c>
      <c r="BE480" s="13"/>
      <c r="BF480" s="13" t="s">
        <v>1751</v>
      </c>
      <c r="BG480" s="13" t="s">
        <v>169</v>
      </c>
      <c r="BH480" s="13" t="s">
        <v>79</v>
      </c>
      <c r="BI480" s="13" t="b">
        <v>0</v>
      </c>
      <c r="BJ480" s="13">
        <v>0.0</v>
      </c>
      <c r="BK480" s="13">
        <v>0.0</v>
      </c>
    </row>
    <row r="481" ht="14.25" customHeight="1">
      <c r="A481" s="13">
        <v>479.0</v>
      </c>
      <c r="B481" s="13" t="s">
        <v>44</v>
      </c>
      <c r="C481" s="13">
        <v>3.0</v>
      </c>
      <c r="D481" s="14">
        <v>0.0</v>
      </c>
      <c r="E481" s="13" t="s">
        <v>3259</v>
      </c>
      <c r="F481" s="15" t="s">
        <v>3151</v>
      </c>
      <c r="G481" s="16" t="s">
        <v>3260</v>
      </c>
      <c r="H481" s="13"/>
      <c r="I481" s="13">
        <v>1.0</v>
      </c>
      <c r="J481" s="13" t="s">
        <v>3261</v>
      </c>
      <c r="K481" s="13">
        <f t="shared" si="3"/>
        <v>2</v>
      </c>
      <c r="L481" s="13">
        <f t="shared" si="4"/>
        <v>0</v>
      </c>
      <c r="M481" s="13">
        <f t="shared" ref="M481:AA481" si="961">IFERROR(VALUE(RIGHT(LEFT($J481,FIND(M$1,$J481,1)+LEN(M$1)),1)),0)</f>
        <v>0</v>
      </c>
      <c r="N481" s="13">
        <f t="shared" si="961"/>
        <v>0</v>
      </c>
      <c r="O481" s="13">
        <f t="shared" si="961"/>
        <v>0</v>
      </c>
      <c r="P481" s="13">
        <f t="shared" si="961"/>
        <v>0</v>
      </c>
      <c r="Q481" s="13">
        <f t="shared" si="961"/>
        <v>0</v>
      </c>
      <c r="R481" s="13">
        <f t="shared" si="961"/>
        <v>1</v>
      </c>
      <c r="S481" s="13">
        <f t="shared" si="961"/>
        <v>1</v>
      </c>
      <c r="T481" s="13">
        <f t="shared" si="961"/>
        <v>0</v>
      </c>
      <c r="U481" s="13">
        <f t="shared" si="961"/>
        <v>0</v>
      </c>
      <c r="V481" s="13">
        <f t="shared" si="961"/>
        <v>0</v>
      </c>
      <c r="W481" s="13">
        <f t="shared" si="961"/>
        <v>0</v>
      </c>
      <c r="X481" s="13">
        <f t="shared" si="961"/>
        <v>0</v>
      </c>
      <c r="Y481" s="13">
        <f t="shared" si="961"/>
        <v>0</v>
      </c>
      <c r="Z481" s="13">
        <f t="shared" si="961"/>
        <v>0</v>
      </c>
      <c r="AA481" s="13">
        <f t="shared" si="961"/>
        <v>0</v>
      </c>
      <c r="AB481" s="13">
        <f t="shared" ref="AB481:AP481" si="962">IFERROR(VALUE(RIGHT(LEFT($J481,FIND(AB$1,$J481,IF(M481=0,1,FIND(AB$1,$J481,1)+1))+LEN(AB$1)),1)),0)</f>
        <v>0</v>
      </c>
      <c r="AC481" s="13">
        <f t="shared" si="962"/>
        <v>0</v>
      </c>
      <c r="AD481" s="13">
        <f t="shared" si="962"/>
        <v>0</v>
      </c>
      <c r="AE481" s="13">
        <f t="shared" si="962"/>
        <v>0</v>
      </c>
      <c r="AF481" s="13">
        <f t="shared" si="962"/>
        <v>0</v>
      </c>
      <c r="AG481" s="13">
        <f t="shared" si="962"/>
        <v>0</v>
      </c>
      <c r="AH481" s="13">
        <f t="shared" si="962"/>
        <v>0</v>
      </c>
      <c r="AI481" s="13">
        <f t="shared" si="962"/>
        <v>0</v>
      </c>
      <c r="AJ481" s="13">
        <f t="shared" si="962"/>
        <v>0</v>
      </c>
      <c r="AK481" s="13">
        <f t="shared" si="962"/>
        <v>0</v>
      </c>
      <c r="AL481" s="13">
        <f t="shared" si="962"/>
        <v>0</v>
      </c>
      <c r="AM481" s="13">
        <f t="shared" si="962"/>
        <v>0</v>
      </c>
      <c r="AN481" s="13">
        <f t="shared" si="962"/>
        <v>0</v>
      </c>
      <c r="AO481" s="13">
        <f t="shared" si="962"/>
        <v>0</v>
      </c>
      <c r="AP481" s="13">
        <f t="shared" si="962"/>
        <v>0</v>
      </c>
      <c r="AQ481" s="13" t="s">
        <v>3262</v>
      </c>
      <c r="AR481" s="13"/>
      <c r="AS481" s="13" t="s">
        <v>3263</v>
      </c>
      <c r="AT481" s="13"/>
      <c r="AU481" s="13"/>
      <c r="AV481" s="13"/>
      <c r="AW481" s="13">
        <v>0.0</v>
      </c>
      <c r="AX481" s="13">
        <v>5.0</v>
      </c>
      <c r="AY481" s="13">
        <v>0.0</v>
      </c>
      <c r="AZ481" s="13"/>
      <c r="BA481" s="13"/>
      <c r="BB481" s="13"/>
      <c r="BC481" s="13"/>
      <c r="BD481" s="13"/>
      <c r="BE481" s="13"/>
      <c r="BF481" s="13"/>
      <c r="BG481" s="13"/>
      <c r="BH481" s="13" t="s">
        <v>79</v>
      </c>
      <c r="BI481" s="13" t="b">
        <v>0</v>
      </c>
      <c r="BJ481" s="13">
        <v>0.0</v>
      </c>
      <c r="BK481" s="13">
        <v>0.0</v>
      </c>
    </row>
    <row r="482" ht="14.25" customHeight="1">
      <c r="A482" s="13">
        <v>480.0</v>
      </c>
      <c r="B482" s="13" t="s">
        <v>44</v>
      </c>
      <c r="C482" s="13">
        <v>3.0</v>
      </c>
      <c r="D482" s="14">
        <v>0.0</v>
      </c>
      <c r="E482" s="13" t="s">
        <v>3264</v>
      </c>
      <c r="F482" s="15" t="s">
        <v>3151</v>
      </c>
      <c r="G482" s="16" t="s">
        <v>3265</v>
      </c>
      <c r="H482" s="13"/>
      <c r="I482" s="13">
        <v>1.2</v>
      </c>
      <c r="J482" s="13" t="s">
        <v>3266</v>
      </c>
      <c r="K482" s="13">
        <f t="shared" si="3"/>
        <v>2</v>
      </c>
      <c r="L482" s="13">
        <f t="shared" si="4"/>
        <v>0</v>
      </c>
      <c r="M482" s="13">
        <f t="shared" ref="M482:AA482" si="963">IFERROR(VALUE(RIGHT(LEFT($J482,FIND(M$1,$J482,1)+LEN(M$1)),1)),0)</f>
        <v>0</v>
      </c>
      <c r="N482" s="13">
        <f t="shared" si="963"/>
        <v>0</v>
      </c>
      <c r="O482" s="13">
        <f t="shared" si="963"/>
        <v>0</v>
      </c>
      <c r="P482" s="13">
        <f t="shared" si="963"/>
        <v>1</v>
      </c>
      <c r="Q482" s="13">
        <f t="shared" si="963"/>
        <v>1</v>
      </c>
      <c r="R482" s="13">
        <f t="shared" si="963"/>
        <v>0</v>
      </c>
      <c r="S482" s="13">
        <f t="shared" si="963"/>
        <v>0</v>
      </c>
      <c r="T482" s="13">
        <f t="shared" si="963"/>
        <v>0</v>
      </c>
      <c r="U482" s="13">
        <f t="shared" si="963"/>
        <v>0</v>
      </c>
      <c r="V482" s="13">
        <f t="shared" si="963"/>
        <v>0</v>
      </c>
      <c r="W482" s="13">
        <f t="shared" si="963"/>
        <v>0</v>
      </c>
      <c r="X482" s="13">
        <f t="shared" si="963"/>
        <v>0</v>
      </c>
      <c r="Y482" s="13">
        <f t="shared" si="963"/>
        <v>0</v>
      </c>
      <c r="Z482" s="13">
        <f t="shared" si="963"/>
        <v>0</v>
      </c>
      <c r="AA482" s="13">
        <f t="shared" si="963"/>
        <v>0</v>
      </c>
      <c r="AB482" s="13">
        <f t="shared" ref="AB482:AP482" si="964">IFERROR(VALUE(RIGHT(LEFT($J482,FIND(AB$1,$J482,IF(M482=0,1,FIND(AB$1,$J482,1)+1))+LEN(AB$1)),1)),0)</f>
        <v>0</v>
      </c>
      <c r="AC482" s="13">
        <f t="shared" si="964"/>
        <v>0</v>
      </c>
      <c r="AD482" s="13">
        <f t="shared" si="964"/>
        <v>0</v>
      </c>
      <c r="AE482" s="13">
        <f t="shared" si="964"/>
        <v>0</v>
      </c>
      <c r="AF482" s="13">
        <f t="shared" si="964"/>
        <v>0</v>
      </c>
      <c r="AG482" s="13">
        <f t="shared" si="964"/>
        <v>0</v>
      </c>
      <c r="AH482" s="13">
        <f t="shared" si="964"/>
        <v>0</v>
      </c>
      <c r="AI482" s="13">
        <f t="shared" si="964"/>
        <v>0</v>
      </c>
      <c r="AJ482" s="13">
        <f t="shared" si="964"/>
        <v>0</v>
      </c>
      <c r="AK482" s="13">
        <f t="shared" si="964"/>
        <v>0</v>
      </c>
      <c r="AL482" s="13">
        <f t="shared" si="964"/>
        <v>0</v>
      </c>
      <c r="AM482" s="13">
        <f t="shared" si="964"/>
        <v>0</v>
      </c>
      <c r="AN482" s="13">
        <f t="shared" si="964"/>
        <v>0</v>
      </c>
      <c r="AO482" s="13">
        <f t="shared" si="964"/>
        <v>0</v>
      </c>
      <c r="AP482" s="13">
        <f t="shared" si="964"/>
        <v>0</v>
      </c>
      <c r="AQ482" s="13" t="s">
        <v>3267</v>
      </c>
      <c r="AR482" s="13"/>
      <c r="AS482" s="13" t="s">
        <v>3268</v>
      </c>
      <c r="AT482" s="13"/>
      <c r="AU482" s="13"/>
      <c r="AV482" s="13"/>
      <c r="AW482" s="13">
        <v>0.0</v>
      </c>
      <c r="AX482" s="13">
        <v>5.0</v>
      </c>
      <c r="AY482" s="13">
        <v>0.0</v>
      </c>
      <c r="AZ482" s="13"/>
      <c r="BA482" s="13"/>
      <c r="BB482" s="13"/>
      <c r="BC482" s="13"/>
      <c r="BD482" s="13"/>
      <c r="BE482" s="13"/>
      <c r="BF482" s="13"/>
      <c r="BG482" s="13"/>
      <c r="BH482" s="13" t="s">
        <v>79</v>
      </c>
      <c r="BI482" s="13" t="b">
        <v>0</v>
      </c>
      <c r="BJ482" s="13">
        <v>0.0</v>
      </c>
      <c r="BK482" s="13">
        <v>0.0</v>
      </c>
    </row>
    <row r="483" ht="14.25" customHeight="1">
      <c r="A483" s="13">
        <v>481.0</v>
      </c>
      <c r="B483" s="13" t="s">
        <v>45</v>
      </c>
      <c r="C483" s="13">
        <v>3.0</v>
      </c>
      <c r="D483" s="14">
        <v>0.0</v>
      </c>
      <c r="E483" s="13" t="s">
        <v>3269</v>
      </c>
      <c r="F483" s="15" t="s">
        <v>3151</v>
      </c>
      <c r="G483" s="16" t="s">
        <v>3270</v>
      </c>
      <c r="H483" s="13"/>
      <c r="I483" s="13">
        <v>1.0</v>
      </c>
      <c r="J483" s="13" t="s">
        <v>1599</v>
      </c>
      <c r="K483" s="13">
        <f t="shared" si="3"/>
        <v>1</v>
      </c>
      <c r="L483" s="13">
        <f t="shared" si="4"/>
        <v>2</v>
      </c>
      <c r="M483" s="13">
        <f t="shared" ref="M483:AA483" si="965">IFERROR(VALUE(RIGHT(LEFT($J483,FIND(M$1,$J483,1)+LEN(M$1)),1)),0)</f>
        <v>0</v>
      </c>
      <c r="N483" s="13">
        <f t="shared" si="965"/>
        <v>0</v>
      </c>
      <c r="O483" s="13">
        <f t="shared" si="965"/>
        <v>0</v>
      </c>
      <c r="P483" s="13">
        <f t="shared" si="965"/>
        <v>0</v>
      </c>
      <c r="Q483" s="13">
        <f t="shared" si="965"/>
        <v>0</v>
      </c>
      <c r="R483" s="13">
        <f t="shared" si="965"/>
        <v>0</v>
      </c>
      <c r="S483" s="13">
        <f t="shared" si="965"/>
        <v>0</v>
      </c>
      <c r="T483" s="13">
        <f t="shared" si="965"/>
        <v>1</v>
      </c>
      <c r="U483" s="13">
        <f t="shared" si="965"/>
        <v>0</v>
      </c>
      <c r="V483" s="13">
        <f t="shared" si="965"/>
        <v>0</v>
      </c>
      <c r="W483" s="13">
        <f t="shared" si="965"/>
        <v>0</v>
      </c>
      <c r="X483" s="13">
        <f t="shared" si="965"/>
        <v>0</v>
      </c>
      <c r="Y483" s="13">
        <f t="shared" si="965"/>
        <v>0</v>
      </c>
      <c r="Z483" s="13">
        <f t="shared" si="965"/>
        <v>0</v>
      </c>
      <c r="AA483" s="13">
        <f t="shared" si="965"/>
        <v>0</v>
      </c>
      <c r="AB483" s="13">
        <f t="shared" ref="AB483:AP483" si="966">IFERROR(VALUE(RIGHT(LEFT($J483,FIND(AB$1,$J483,IF(M483=0,1,FIND(AB$1,$J483,1)+1))+LEN(AB$1)),1)),0)</f>
        <v>0</v>
      </c>
      <c r="AC483" s="13">
        <f t="shared" si="966"/>
        <v>0</v>
      </c>
      <c r="AD483" s="13">
        <f t="shared" si="966"/>
        <v>0</v>
      </c>
      <c r="AE483" s="13">
        <f t="shared" si="966"/>
        <v>1</v>
      </c>
      <c r="AF483" s="13">
        <f t="shared" si="966"/>
        <v>0</v>
      </c>
      <c r="AG483" s="13">
        <f t="shared" si="966"/>
        <v>0</v>
      </c>
      <c r="AH483" s="13">
        <f t="shared" si="966"/>
        <v>0</v>
      </c>
      <c r="AI483" s="13">
        <f t="shared" si="966"/>
        <v>1</v>
      </c>
      <c r="AJ483" s="13">
        <f t="shared" si="966"/>
        <v>0</v>
      </c>
      <c r="AK483" s="13">
        <f t="shared" si="966"/>
        <v>0</v>
      </c>
      <c r="AL483" s="13">
        <f t="shared" si="966"/>
        <v>0</v>
      </c>
      <c r="AM483" s="13">
        <f t="shared" si="966"/>
        <v>0</v>
      </c>
      <c r="AN483" s="13">
        <f t="shared" si="966"/>
        <v>0</v>
      </c>
      <c r="AO483" s="13">
        <f t="shared" si="966"/>
        <v>0</v>
      </c>
      <c r="AP483" s="13">
        <f t="shared" si="966"/>
        <v>0</v>
      </c>
      <c r="AQ483" s="13" t="s">
        <v>3271</v>
      </c>
      <c r="AR483" s="13"/>
      <c r="AS483" s="13" t="s">
        <v>3272</v>
      </c>
      <c r="AT483" s="13"/>
      <c r="AU483" s="13"/>
      <c r="AV483" s="13"/>
      <c r="AW483" s="13">
        <v>0.0</v>
      </c>
      <c r="AX483" s="13">
        <v>5.0</v>
      </c>
      <c r="AY483" s="13">
        <v>0.0</v>
      </c>
      <c r="AZ483" s="13"/>
      <c r="BA483" s="13"/>
      <c r="BB483" s="13"/>
      <c r="BC483" s="13"/>
      <c r="BD483" s="13"/>
      <c r="BE483" s="13"/>
      <c r="BF483" s="13"/>
      <c r="BG483" s="13"/>
      <c r="BH483" s="13" t="s">
        <v>79</v>
      </c>
      <c r="BI483" s="13" t="b">
        <v>0</v>
      </c>
      <c r="BJ483" s="13">
        <v>0.0</v>
      </c>
      <c r="BK483" s="13">
        <v>0.0</v>
      </c>
    </row>
    <row r="484" ht="14.25" customHeight="1">
      <c r="A484" s="13">
        <v>482.0</v>
      </c>
      <c r="B484" s="13" t="s">
        <v>46</v>
      </c>
      <c r="C484" s="13">
        <v>3.0</v>
      </c>
      <c r="D484" s="14">
        <v>0.0</v>
      </c>
      <c r="E484" s="13" t="s">
        <v>3273</v>
      </c>
      <c r="F484" s="15" t="s">
        <v>3151</v>
      </c>
      <c r="G484" s="16" t="s">
        <v>3274</v>
      </c>
      <c r="H484" s="13"/>
      <c r="I484" s="13">
        <v>1.1</v>
      </c>
      <c r="J484" s="13" t="s">
        <v>2488</v>
      </c>
      <c r="K484" s="13">
        <f t="shared" si="3"/>
        <v>1</v>
      </c>
      <c r="L484" s="13">
        <f t="shared" si="4"/>
        <v>2</v>
      </c>
      <c r="M484" s="13">
        <f t="shared" ref="M484:AA484" si="967">IFERROR(VALUE(RIGHT(LEFT($J484,FIND(M$1,$J484,1)+LEN(M$1)),1)),0)</f>
        <v>0</v>
      </c>
      <c r="N484" s="13">
        <f t="shared" si="967"/>
        <v>0</v>
      </c>
      <c r="O484" s="13">
        <f t="shared" si="967"/>
        <v>0</v>
      </c>
      <c r="P484" s="13">
        <f t="shared" si="967"/>
        <v>0</v>
      </c>
      <c r="Q484" s="13">
        <f t="shared" si="967"/>
        <v>0</v>
      </c>
      <c r="R484" s="13">
        <f t="shared" si="967"/>
        <v>0</v>
      </c>
      <c r="S484" s="13">
        <f t="shared" si="967"/>
        <v>0</v>
      </c>
      <c r="T484" s="13">
        <f t="shared" si="967"/>
        <v>0</v>
      </c>
      <c r="U484" s="13">
        <f t="shared" si="967"/>
        <v>1</v>
      </c>
      <c r="V484" s="13">
        <f t="shared" si="967"/>
        <v>0</v>
      </c>
      <c r="W484" s="13">
        <f t="shared" si="967"/>
        <v>0</v>
      </c>
      <c r="X484" s="13">
        <f t="shared" si="967"/>
        <v>0</v>
      </c>
      <c r="Y484" s="13">
        <f t="shared" si="967"/>
        <v>0</v>
      </c>
      <c r="Z484" s="13">
        <f t="shared" si="967"/>
        <v>0</v>
      </c>
      <c r="AA484" s="13">
        <f t="shared" si="967"/>
        <v>0</v>
      </c>
      <c r="AB484" s="13">
        <f t="shared" ref="AB484:AP484" si="968">IFERROR(VALUE(RIGHT(LEFT($J484,FIND(AB$1,$J484,IF(M484=0,1,FIND(AB$1,$J484,1)+1))+LEN(AB$1)),1)),0)</f>
        <v>0</v>
      </c>
      <c r="AC484" s="13">
        <f t="shared" si="968"/>
        <v>0</v>
      </c>
      <c r="AD484" s="13">
        <f t="shared" si="968"/>
        <v>1</v>
      </c>
      <c r="AE484" s="13">
        <f t="shared" si="968"/>
        <v>0</v>
      </c>
      <c r="AF484" s="13">
        <f t="shared" si="968"/>
        <v>0</v>
      </c>
      <c r="AG484" s="13">
        <f t="shared" si="968"/>
        <v>0</v>
      </c>
      <c r="AH484" s="13">
        <f t="shared" si="968"/>
        <v>0</v>
      </c>
      <c r="AI484" s="13">
        <f t="shared" si="968"/>
        <v>0</v>
      </c>
      <c r="AJ484" s="13">
        <f t="shared" si="968"/>
        <v>1</v>
      </c>
      <c r="AK484" s="13">
        <f t="shared" si="968"/>
        <v>0</v>
      </c>
      <c r="AL484" s="13">
        <f t="shared" si="968"/>
        <v>0</v>
      </c>
      <c r="AM484" s="13">
        <f t="shared" si="968"/>
        <v>0</v>
      </c>
      <c r="AN484" s="13">
        <f t="shared" si="968"/>
        <v>0</v>
      </c>
      <c r="AO484" s="13">
        <f t="shared" si="968"/>
        <v>0</v>
      </c>
      <c r="AP484" s="13">
        <f t="shared" si="968"/>
        <v>0</v>
      </c>
      <c r="AQ484" s="13" t="s">
        <v>3275</v>
      </c>
      <c r="AR484" s="13"/>
      <c r="AS484" s="13" t="s">
        <v>3276</v>
      </c>
      <c r="AT484" s="13"/>
      <c r="AU484" s="13"/>
      <c r="AV484" s="13"/>
      <c r="AW484" s="13">
        <v>0.0</v>
      </c>
      <c r="AX484" s="13">
        <v>5.0</v>
      </c>
      <c r="AY484" s="13">
        <v>0.0</v>
      </c>
      <c r="AZ484" s="13"/>
      <c r="BA484" s="13"/>
      <c r="BB484" s="13"/>
      <c r="BC484" s="13"/>
      <c r="BD484" s="13"/>
      <c r="BE484" s="13"/>
      <c r="BF484" s="13"/>
      <c r="BG484" s="13"/>
      <c r="BH484" s="13" t="s">
        <v>79</v>
      </c>
      <c r="BI484" s="13" t="b">
        <v>0</v>
      </c>
      <c r="BJ484" s="13">
        <v>0.0</v>
      </c>
      <c r="BK484" s="13">
        <v>0.0</v>
      </c>
    </row>
    <row r="485" ht="14.25" customHeight="1">
      <c r="A485" s="13">
        <v>483.0</v>
      </c>
      <c r="B485" s="13" t="s">
        <v>51</v>
      </c>
      <c r="C485" s="13">
        <v>3.0</v>
      </c>
      <c r="D485" s="14">
        <v>0.0</v>
      </c>
      <c r="E485" s="13" t="s">
        <v>3277</v>
      </c>
      <c r="F485" s="15" t="s">
        <v>3151</v>
      </c>
      <c r="G485" s="16" t="s">
        <v>3278</v>
      </c>
      <c r="H485" s="13">
        <v>6.0</v>
      </c>
      <c r="I485" s="13">
        <v>0.9</v>
      </c>
      <c r="J485" s="13" t="s">
        <v>3279</v>
      </c>
      <c r="K485" s="13">
        <f t="shared" si="3"/>
        <v>1</v>
      </c>
      <c r="L485" s="13">
        <f t="shared" si="4"/>
        <v>2</v>
      </c>
      <c r="M485" s="13">
        <f t="shared" ref="M485:AA485" si="969">IFERROR(VALUE(RIGHT(LEFT($J485,FIND(M$1,$J485,1)+LEN(M$1)),1)),0)</f>
        <v>0</v>
      </c>
      <c r="N485" s="13">
        <f t="shared" si="969"/>
        <v>0</v>
      </c>
      <c r="O485" s="13">
        <f t="shared" si="969"/>
        <v>0</v>
      </c>
      <c r="P485" s="13">
        <f t="shared" si="969"/>
        <v>1</v>
      </c>
      <c r="Q485" s="13">
        <f t="shared" si="969"/>
        <v>0</v>
      </c>
      <c r="R485" s="13">
        <f t="shared" si="969"/>
        <v>0</v>
      </c>
      <c r="S485" s="13">
        <f t="shared" si="969"/>
        <v>0</v>
      </c>
      <c r="T485" s="13">
        <f t="shared" si="969"/>
        <v>0</v>
      </c>
      <c r="U485" s="13">
        <f t="shared" si="969"/>
        <v>0</v>
      </c>
      <c r="V485" s="13">
        <f t="shared" si="969"/>
        <v>0</v>
      </c>
      <c r="W485" s="13">
        <f t="shared" si="969"/>
        <v>0</v>
      </c>
      <c r="X485" s="13">
        <f t="shared" si="969"/>
        <v>0</v>
      </c>
      <c r="Y485" s="13">
        <f t="shared" si="969"/>
        <v>0</v>
      </c>
      <c r="Z485" s="13">
        <f t="shared" si="969"/>
        <v>0</v>
      </c>
      <c r="AA485" s="13">
        <f t="shared" si="969"/>
        <v>0</v>
      </c>
      <c r="AB485" s="13">
        <f t="shared" ref="AB485:AP485" si="970">IFERROR(VALUE(RIGHT(LEFT($J485,FIND(AB$1,$J485,IF(M485=0,1,FIND(AB$1,$J485,1)+1))+LEN(AB$1)),1)),0)</f>
        <v>0</v>
      </c>
      <c r="AC485" s="13">
        <f t="shared" si="970"/>
        <v>0</v>
      </c>
      <c r="AD485" s="13">
        <f t="shared" si="970"/>
        <v>0</v>
      </c>
      <c r="AE485" s="13">
        <f t="shared" si="970"/>
        <v>1</v>
      </c>
      <c r="AF485" s="13">
        <f t="shared" si="970"/>
        <v>0</v>
      </c>
      <c r="AG485" s="13">
        <f t="shared" si="970"/>
        <v>0</v>
      </c>
      <c r="AH485" s="13">
        <f t="shared" si="970"/>
        <v>0</v>
      </c>
      <c r="AI485" s="13">
        <f t="shared" si="970"/>
        <v>0</v>
      </c>
      <c r="AJ485" s="13">
        <f t="shared" si="970"/>
        <v>0</v>
      </c>
      <c r="AK485" s="13">
        <f t="shared" si="970"/>
        <v>0</v>
      </c>
      <c r="AL485" s="13">
        <f t="shared" si="970"/>
        <v>0</v>
      </c>
      <c r="AM485" s="13">
        <f t="shared" si="970"/>
        <v>0</v>
      </c>
      <c r="AN485" s="13">
        <f t="shared" si="970"/>
        <v>0</v>
      </c>
      <c r="AO485" s="13">
        <f t="shared" si="970"/>
        <v>1</v>
      </c>
      <c r="AP485" s="13">
        <f t="shared" si="970"/>
        <v>0</v>
      </c>
      <c r="AQ485" s="13"/>
      <c r="AR485" s="13" t="s">
        <v>3280</v>
      </c>
      <c r="AS485" s="13" t="s">
        <v>3281</v>
      </c>
      <c r="AT485" s="13" t="s">
        <v>573</v>
      </c>
      <c r="AU485" s="13" t="s">
        <v>130</v>
      </c>
      <c r="AV485" s="13" t="s">
        <v>3282</v>
      </c>
      <c r="AW485" s="13">
        <v>15.0</v>
      </c>
      <c r="AX485" s="13">
        <v>5.0</v>
      </c>
      <c r="AY485" s="13">
        <v>0.0</v>
      </c>
      <c r="AZ485" s="13" t="s">
        <v>529</v>
      </c>
      <c r="BA485" s="13"/>
      <c r="BB485" s="13"/>
      <c r="BC485" s="13"/>
      <c r="BD485" s="13" t="s">
        <v>1113</v>
      </c>
      <c r="BE485" s="13"/>
      <c r="BF485" s="13" t="s">
        <v>3283</v>
      </c>
      <c r="BG485" s="13"/>
      <c r="BH485" s="13" t="s">
        <v>79</v>
      </c>
      <c r="BI485" s="13" t="b">
        <v>0</v>
      </c>
      <c r="BJ485" s="13">
        <v>0.0</v>
      </c>
      <c r="BK485" s="13">
        <v>0.0</v>
      </c>
    </row>
    <row r="486" ht="14.25" customHeight="1">
      <c r="A486" s="13">
        <v>484.0</v>
      </c>
      <c r="B486" s="13" t="s">
        <v>51</v>
      </c>
      <c r="C486" s="13">
        <v>3.0</v>
      </c>
      <c r="D486" s="14">
        <v>0.0</v>
      </c>
      <c r="E486" s="13" t="s">
        <v>3284</v>
      </c>
      <c r="F486" s="15" t="s">
        <v>3151</v>
      </c>
      <c r="G486" s="16" t="s">
        <v>3285</v>
      </c>
      <c r="H486" s="13">
        <v>18.0</v>
      </c>
      <c r="I486" s="13">
        <v>1.2</v>
      </c>
      <c r="J486" s="13" t="s">
        <v>3286</v>
      </c>
      <c r="K486" s="13">
        <f t="shared" si="3"/>
        <v>1</v>
      </c>
      <c r="L486" s="13">
        <f t="shared" si="4"/>
        <v>2</v>
      </c>
      <c r="M486" s="13">
        <f t="shared" ref="M486:AA486" si="971">IFERROR(VALUE(RIGHT(LEFT($J486,FIND(M$1,$J486,1)+LEN(M$1)),1)),0)</f>
        <v>0</v>
      </c>
      <c r="N486" s="13">
        <f t="shared" si="971"/>
        <v>0</v>
      </c>
      <c r="O486" s="13">
        <f t="shared" si="971"/>
        <v>1</v>
      </c>
      <c r="P486" s="13">
        <f t="shared" si="971"/>
        <v>0</v>
      </c>
      <c r="Q486" s="13">
        <f t="shared" si="971"/>
        <v>0</v>
      </c>
      <c r="R486" s="13">
        <f t="shared" si="971"/>
        <v>0</v>
      </c>
      <c r="S486" s="13">
        <f t="shared" si="971"/>
        <v>0</v>
      </c>
      <c r="T486" s="13">
        <f t="shared" si="971"/>
        <v>0</v>
      </c>
      <c r="U486" s="13">
        <f t="shared" si="971"/>
        <v>0</v>
      </c>
      <c r="V486" s="13">
        <f t="shared" si="971"/>
        <v>0</v>
      </c>
      <c r="W486" s="13">
        <f t="shared" si="971"/>
        <v>0</v>
      </c>
      <c r="X486" s="13">
        <f t="shared" si="971"/>
        <v>0</v>
      </c>
      <c r="Y486" s="13">
        <f t="shared" si="971"/>
        <v>0</v>
      </c>
      <c r="Z486" s="13">
        <f t="shared" si="971"/>
        <v>0</v>
      </c>
      <c r="AA486" s="13">
        <f t="shared" si="971"/>
        <v>0</v>
      </c>
      <c r="AB486" s="13">
        <f t="shared" ref="AB486:AP486" si="972">IFERROR(VALUE(RIGHT(LEFT($J486,FIND(AB$1,$J486,IF(M486=0,1,FIND(AB$1,$J486,1)+1))+LEN(AB$1)),1)),0)</f>
        <v>0</v>
      </c>
      <c r="AC486" s="13">
        <f t="shared" si="972"/>
        <v>0</v>
      </c>
      <c r="AD486" s="13">
        <f t="shared" si="972"/>
        <v>1</v>
      </c>
      <c r="AE486" s="13">
        <f t="shared" si="972"/>
        <v>0</v>
      </c>
      <c r="AF486" s="13">
        <f t="shared" si="972"/>
        <v>0</v>
      </c>
      <c r="AG486" s="13">
        <f t="shared" si="972"/>
        <v>0</v>
      </c>
      <c r="AH486" s="13">
        <f t="shared" si="972"/>
        <v>0</v>
      </c>
      <c r="AI486" s="13">
        <f t="shared" si="972"/>
        <v>0</v>
      </c>
      <c r="AJ486" s="13">
        <f t="shared" si="972"/>
        <v>0</v>
      </c>
      <c r="AK486" s="13">
        <f t="shared" si="972"/>
        <v>0</v>
      </c>
      <c r="AL486" s="13">
        <f t="shared" si="972"/>
        <v>0</v>
      </c>
      <c r="AM486" s="13">
        <f t="shared" si="972"/>
        <v>0</v>
      </c>
      <c r="AN486" s="13">
        <f t="shared" si="972"/>
        <v>0</v>
      </c>
      <c r="AO486" s="13">
        <f t="shared" si="972"/>
        <v>1</v>
      </c>
      <c r="AP486" s="13">
        <f t="shared" si="972"/>
        <v>0</v>
      </c>
      <c r="AQ486" s="13"/>
      <c r="AR486" s="13" t="s">
        <v>3287</v>
      </c>
      <c r="AS486" s="13" t="s">
        <v>3288</v>
      </c>
      <c r="AT486" s="13" t="s">
        <v>573</v>
      </c>
      <c r="AU486" s="13" t="s">
        <v>143</v>
      </c>
      <c r="AV486" s="13" t="s">
        <v>3289</v>
      </c>
      <c r="AW486" s="13">
        <v>23.0</v>
      </c>
      <c r="AX486" s="13">
        <v>5.0</v>
      </c>
      <c r="AY486" s="13">
        <v>0.0</v>
      </c>
      <c r="AZ486" s="13" t="s">
        <v>3290</v>
      </c>
      <c r="BA486" s="13" t="s">
        <v>3291</v>
      </c>
      <c r="BB486" s="13"/>
      <c r="BC486" s="13"/>
      <c r="BD486" s="13" t="s">
        <v>167</v>
      </c>
      <c r="BE486" s="13"/>
      <c r="BF486" s="13" t="s">
        <v>1314</v>
      </c>
      <c r="BG486" s="13"/>
      <c r="BH486" s="13" t="s">
        <v>241</v>
      </c>
      <c r="BI486" s="13" t="b">
        <v>0</v>
      </c>
      <c r="BJ486" s="13">
        <v>0.0</v>
      </c>
      <c r="BK486" s="13">
        <v>0.0</v>
      </c>
    </row>
    <row r="487" ht="14.25" customHeight="1">
      <c r="A487" s="13">
        <v>485.0</v>
      </c>
      <c r="B487" s="13" t="s">
        <v>51</v>
      </c>
      <c r="C487" s="13">
        <v>3.0</v>
      </c>
      <c r="D487" s="14">
        <v>0.0</v>
      </c>
      <c r="E487" s="13" t="s">
        <v>3292</v>
      </c>
      <c r="F487" s="15" t="s">
        <v>3151</v>
      </c>
      <c r="G487" s="16" t="s">
        <v>3293</v>
      </c>
      <c r="H487" s="13">
        <v>-6.0</v>
      </c>
      <c r="I487" s="13">
        <v>0.9</v>
      </c>
      <c r="J487" s="13" t="s">
        <v>1845</v>
      </c>
      <c r="K487" s="13">
        <f t="shared" si="3"/>
        <v>1</v>
      </c>
      <c r="L487" s="13">
        <f t="shared" si="4"/>
        <v>2</v>
      </c>
      <c r="M487" s="13">
        <f t="shared" ref="M487:AA487" si="973">IFERROR(VALUE(RIGHT(LEFT($J487,FIND(M$1,$J487,1)+LEN(M$1)),1)),0)</f>
        <v>0</v>
      </c>
      <c r="N487" s="13">
        <f t="shared" si="973"/>
        <v>0</v>
      </c>
      <c r="O487" s="13">
        <f t="shared" si="973"/>
        <v>0</v>
      </c>
      <c r="P487" s="13">
        <f t="shared" si="973"/>
        <v>0</v>
      </c>
      <c r="Q487" s="13">
        <f t="shared" si="973"/>
        <v>0</v>
      </c>
      <c r="R487" s="13">
        <f t="shared" si="973"/>
        <v>0</v>
      </c>
      <c r="S487" s="13">
        <f t="shared" si="973"/>
        <v>0</v>
      </c>
      <c r="T487" s="13">
        <f t="shared" si="973"/>
        <v>0</v>
      </c>
      <c r="U487" s="13">
        <f t="shared" si="973"/>
        <v>0</v>
      </c>
      <c r="V487" s="13">
        <f t="shared" si="973"/>
        <v>0</v>
      </c>
      <c r="W487" s="13">
        <f t="shared" si="973"/>
        <v>0</v>
      </c>
      <c r="X487" s="13">
        <f t="shared" si="973"/>
        <v>0</v>
      </c>
      <c r="Y487" s="13">
        <f t="shared" si="973"/>
        <v>0</v>
      </c>
      <c r="Z487" s="13">
        <f t="shared" si="973"/>
        <v>1</v>
      </c>
      <c r="AA487" s="13">
        <f t="shared" si="973"/>
        <v>0</v>
      </c>
      <c r="AB487" s="13">
        <f t="shared" ref="AB487:AP487" si="974">IFERROR(VALUE(RIGHT(LEFT($J487,FIND(AB$1,$J487,IF(M487=0,1,FIND(AB$1,$J487,1)+1))+LEN(AB$1)),1)),0)</f>
        <v>0</v>
      </c>
      <c r="AC487" s="13">
        <f t="shared" si="974"/>
        <v>0</v>
      </c>
      <c r="AD487" s="13">
        <f t="shared" si="974"/>
        <v>0</v>
      </c>
      <c r="AE487" s="13">
        <f t="shared" si="974"/>
        <v>0</v>
      </c>
      <c r="AF487" s="13">
        <f t="shared" si="974"/>
        <v>1</v>
      </c>
      <c r="AG487" s="13">
        <f t="shared" si="974"/>
        <v>0</v>
      </c>
      <c r="AH487" s="13">
        <f t="shared" si="974"/>
        <v>0</v>
      </c>
      <c r="AI487" s="13">
        <f t="shared" si="974"/>
        <v>0</v>
      </c>
      <c r="AJ487" s="13">
        <f t="shared" si="974"/>
        <v>0</v>
      </c>
      <c r="AK487" s="13">
        <f t="shared" si="974"/>
        <v>0</v>
      </c>
      <c r="AL487" s="13">
        <f t="shared" si="974"/>
        <v>0</v>
      </c>
      <c r="AM487" s="13">
        <f t="shared" si="974"/>
        <v>0</v>
      </c>
      <c r="AN487" s="13">
        <f t="shared" si="974"/>
        <v>0</v>
      </c>
      <c r="AO487" s="13">
        <f t="shared" si="974"/>
        <v>1</v>
      </c>
      <c r="AP487" s="13">
        <f t="shared" si="974"/>
        <v>0</v>
      </c>
      <c r="AQ487" s="13"/>
      <c r="AR487" s="13" t="s">
        <v>3294</v>
      </c>
      <c r="AS487" s="13" t="s">
        <v>3295</v>
      </c>
      <c r="AT487" s="13" t="s">
        <v>1398</v>
      </c>
      <c r="AU487" s="13" t="s">
        <v>130</v>
      </c>
      <c r="AV487" s="13" t="s">
        <v>3296</v>
      </c>
      <c r="AW487" s="13">
        <v>17.0</v>
      </c>
      <c r="AX487" s="13">
        <v>5.0</v>
      </c>
      <c r="AY487" s="13">
        <v>1.0</v>
      </c>
      <c r="AZ487" s="13"/>
      <c r="BA487" s="13"/>
      <c r="BB487" s="13"/>
      <c r="BC487" s="13"/>
      <c r="BD487" s="13" t="s">
        <v>1113</v>
      </c>
      <c r="BE487" s="13"/>
      <c r="BF487" s="13" t="s">
        <v>3297</v>
      </c>
      <c r="BG487" s="13"/>
      <c r="BH487" s="13" t="s">
        <v>79</v>
      </c>
      <c r="BI487" s="13" t="b">
        <v>0</v>
      </c>
      <c r="BJ487" s="13">
        <v>0.0</v>
      </c>
      <c r="BK487" s="13">
        <v>0.0</v>
      </c>
    </row>
    <row r="488" ht="14.25" customHeight="1">
      <c r="A488" s="13">
        <v>486.0</v>
      </c>
      <c r="B488" s="13" t="s">
        <v>48</v>
      </c>
      <c r="C488" s="13">
        <v>3.0</v>
      </c>
      <c r="D488" s="14">
        <v>0.0</v>
      </c>
      <c r="E488" s="13" t="s">
        <v>3298</v>
      </c>
      <c r="F488" s="15" t="s">
        <v>3151</v>
      </c>
      <c r="G488" s="16" t="s">
        <v>3299</v>
      </c>
      <c r="H488" s="13">
        <v>19.0</v>
      </c>
      <c r="I488" s="13">
        <v>1.0</v>
      </c>
      <c r="J488" s="13" t="s">
        <v>1702</v>
      </c>
      <c r="K488" s="13">
        <f t="shared" si="3"/>
        <v>1</v>
      </c>
      <c r="L488" s="13">
        <f t="shared" si="4"/>
        <v>2</v>
      </c>
      <c r="M488" s="13">
        <f t="shared" ref="M488:AA488" si="975">IFERROR(VALUE(RIGHT(LEFT($J488,FIND(M$1,$J488,1)+LEN(M$1)),1)),0)</f>
        <v>0</v>
      </c>
      <c r="N488" s="13">
        <f t="shared" si="975"/>
        <v>0</v>
      </c>
      <c r="O488" s="13">
        <f t="shared" si="975"/>
        <v>0</v>
      </c>
      <c r="P488" s="13">
        <f t="shared" si="975"/>
        <v>0</v>
      </c>
      <c r="Q488" s="13">
        <f t="shared" si="975"/>
        <v>0</v>
      </c>
      <c r="R488" s="13">
        <f t="shared" si="975"/>
        <v>0</v>
      </c>
      <c r="S488" s="13">
        <f t="shared" si="975"/>
        <v>0</v>
      </c>
      <c r="T488" s="13">
        <f t="shared" si="975"/>
        <v>0</v>
      </c>
      <c r="U488" s="13">
        <f t="shared" si="975"/>
        <v>0</v>
      </c>
      <c r="V488" s="13">
        <f t="shared" si="975"/>
        <v>0</v>
      </c>
      <c r="W488" s="13">
        <f t="shared" si="975"/>
        <v>1</v>
      </c>
      <c r="X488" s="13">
        <f t="shared" si="975"/>
        <v>0</v>
      </c>
      <c r="Y488" s="13">
        <f t="shared" si="975"/>
        <v>0</v>
      </c>
      <c r="Z488" s="13">
        <f t="shared" si="975"/>
        <v>0</v>
      </c>
      <c r="AA488" s="13">
        <f t="shared" si="975"/>
        <v>0</v>
      </c>
      <c r="AB488" s="13">
        <f t="shared" ref="AB488:AP488" si="976">IFERROR(VALUE(RIGHT(LEFT($J488,FIND(AB$1,$J488,IF(M488=0,1,FIND(AB$1,$J488,1)+1))+LEN(AB$1)),1)),0)</f>
        <v>0</v>
      </c>
      <c r="AC488" s="13">
        <f t="shared" si="976"/>
        <v>0</v>
      </c>
      <c r="AD488" s="13">
        <f t="shared" si="976"/>
        <v>0</v>
      </c>
      <c r="AE488" s="13">
        <f t="shared" si="976"/>
        <v>0</v>
      </c>
      <c r="AF488" s="13">
        <f t="shared" si="976"/>
        <v>0</v>
      </c>
      <c r="AG488" s="13">
        <f t="shared" si="976"/>
        <v>1</v>
      </c>
      <c r="AH488" s="13">
        <f t="shared" si="976"/>
        <v>0</v>
      </c>
      <c r="AI488" s="13">
        <f t="shared" si="976"/>
        <v>0</v>
      </c>
      <c r="AJ488" s="13">
        <f t="shared" si="976"/>
        <v>0</v>
      </c>
      <c r="AK488" s="13">
        <f t="shared" si="976"/>
        <v>0</v>
      </c>
      <c r="AL488" s="13">
        <f t="shared" si="976"/>
        <v>1</v>
      </c>
      <c r="AM488" s="13">
        <f t="shared" si="976"/>
        <v>0</v>
      </c>
      <c r="AN488" s="13">
        <f t="shared" si="976"/>
        <v>0</v>
      </c>
      <c r="AO488" s="13">
        <f t="shared" si="976"/>
        <v>0</v>
      </c>
      <c r="AP488" s="13">
        <f t="shared" si="976"/>
        <v>0</v>
      </c>
      <c r="AQ488" s="13"/>
      <c r="AR488" s="13" t="s">
        <v>3300</v>
      </c>
      <c r="AS488" s="13" t="s">
        <v>3301</v>
      </c>
      <c r="AT488" s="13" t="s">
        <v>162</v>
      </c>
      <c r="AU488" s="13" t="s">
        <v>616</v>
      </c>
      <c r="AV488" s="13" t="s">
        <v>2664</v>
      </c>
      <c r="AW488" s="13">
        <v>21.0</v>
      </c>
      <c r="AX488" s="13">
        <v>5.0</v>
      </c>
      <c r="AY488" s="13">
        <v>0.0</v>
      </c>
      <c r="AZ488" s="13" t="s">
        <v>3302</v>
      </c>
      <c r="BA488" s="13" t="s">
        <v>3303</v>
      </c>
      <c r="BB488" s="13"/>
      <c r="BC488" s="13"/>
      <c r="BD488" s="13" t="s">
        <v>167</v>
      </c>
      <c r="BE488" s="13"/>
      <c r="BF488" s="13" t="s">
        <v>1717</v>
      </c>
      <c r="BG488" s="13" t="s">
        <v>169</v>
      </c>
      <c r="BH488" s="13" t="s">
        <v>79</v>
      </c>
      <c r="BI488" s="13" t="b">
        <v>0</v>
      </c>
      <c r="BJ488" s="13">
        <v>0.0</v>
      </c>
      <c r="BK488" s="13">
        <v>0.0</v>
      </c>
    </row>
    <row r="489" ht="14.25" customHeight="1">
      <c r="A489" s="13">
        <v>487.0</v>
      </c>
      <c r="B489" s="13" t="s">
        <v>44</v>
      </c>
      <c r="C489" s="13">
        <v>4.0</v>
      </c>
      <c r="D489" s="14">
        <v>0.0</v>
      </c>
      <c r="E489" s="13" t="s">
        <v>3304</v>
      </c>
      <c r="F489" s="15" t="s">
        <v>3151</v>
      </c>
      <c r="G489" s="16" t="s">
        <v>3305</v>
      </c>
      <c r="H489" s="13"/>
      <c r="I489" s="13">
        <v>1.2</v>
      </c>
      <c r="J489" s="13" t="s">
        <v>3306</v>
      </c>
      <c r="K489" s="13">
        <f t="shared" si="3"/>
        <v>3</v>
      </c>
      <c r="L489" s="13">
        <f t="shared" si="4"/>
        <v>0</v>
      </c>
      <c r="M489" s="13">
        <f t="shared" ref="M489:AA489" si="977">IFERROR(VALUE(RIGHT(LEFT($J489,FIND(M$1,$J489,1)+LEN(M$1)),1)),0)</f>
        <v>0</v>
      </c>
      <c r="N489" s="13">
        <f t="shared" si="977"/>
        <v>0</v>
      </c>
      <c r="O489" s="13">
        <f t="shared" si="977"/>
        <v>0</v>
      </c>
      <c r="P489" s="13">
        <f t="shared" si="977"/>
        <v>0</v>
      </c>
      <c r="Q489" s="13">
        <f t="shared" si="977"/>
        <v>1</v>
      </c>
      <c r="R489" s="13">
        <f t="shared" si="977"/>
        <v>1</v>
      </c>
      <c r="S489" s="13">
        <f t="shared" si="977"/>
        <v>1</v>
      </c>
      <c r="T489" s="13">
        <f t="shared" si="977"/>
        <v>0</v>
      </c>
      <c r="U489" s="13">
        <f t="shared" si="977"/>
        <v>0</v>
      </c>
      <c r="V489" s="13">
        <f t="shared" si="977"/>
        <v>0</v>
      </c>
      <c r="W489" s="13">
        <f t="shared" si="977"/>
        <v>0</v>
      </c>
      <c r="X489" s="13">
        <f t="shared" si="977"/>
        <v>0</v>
      </c>
      <c r="Y489" s="13">
        <f t="shared" si="977"/>
        <v>0</v>
      </c>
      <c r="Z489" s="13">
        <f t="shared" si="977"/>
        <v>0</v>
      </c>
      <c r="AA489" s="13">
        <f t="shared" si="977"/>
        <v>0</v>
      </c>
      <c r="AB489" s="13">
        <f t="shared" ref="AB489:AP489" si="978">IFERROR(VALUE(RIGHT(LEFT($J489,FIND(AB$1,$J489,IF(M489=0,1,FIND(AB$1,$J489,1)+1))+LEN(AB$1)),1)),0)</f>
        <v>0</v>
      </c>
      <c r="AC489" s="13">
        <f t="shared" si="978"/>
        <v>0</v>
      </c>
      <c r="AD489" s="13">
        <f t="shared" si="978"/>
        <v>0</v>
      </c>
      <c r="AE489" s="13">
        <f t="shared" si="978"/>
        <v>0</v>
      </c>
      <c r="AF489" s="13">
        <f t="shared" si="978"/>
        <v>0</v>
      </c>
      <c r="AG489" s="13">
        <f t="shared" si="978"/>
        <v>0</v>
      </c>
      <c r="AH489" s="13">
        <f t="shared" si="978"/>
        <v>0</v>
      </c>
      <c r="AI489" s="13">
        <f t="shared" si="978"/>
        <v>0</v>
      </c>
      <c r="AJ489" s="13">
        <f t="shared" si="978"/>
        <v>0</v>
      </c>
      <c r="AK489" s="13">
        <f t="shared" si="978"/>
        <v>0</v>
      </c>
      <c r="AL489" s="13">
        <f t="shared" si="978"/>
        <v>0</v>
      </c>
      <c r="AM489" s="13">
        <f t="shared" si="978"/>
        <v>0</v>
      </c>
      <c r="AN489" s="13">
        <f t="shared" si="978"/>
        <v>0</v>
      </c>
      <c r="AO489" s="13">
        <f t="shared" si="978"/>
        <v>0</v>
      </c>
      <c r="AP489" s="13">
        <f t="shared" si="978"/>
        <v>0</v>
      </c>
      <c r="AQ489" s="13" t="s">
        <v>3307</v>
      </c>
      <c r="AR489" s="13"/>
      <c r="AS489" s="13" t="s">
        <v>3308</v>
      </c>
      <c r="AT489" s="13"/>
      <c r="AU489" s="13"/>
      <c r="AV489" s="13"/>
      <c r="AW489" s="13">
        <v>0.0</v>
      </c>
      <c r="AX489" s="13">
        <v>5.0</v>
      </c>
      <c r="AY489" s="13">
        <v>0.0</v>
      </c>
      <c r="AZ489" s="13"/>
      <c r="BA489" s="13"/>
      <c r="BB489" s="13"/>
      <c r="BC489" s="13"/>
      <c r="BD489" s="13"/>
      <c r="BE489" s="13"/>
      <c r="BF489" s="13"/>
      <c r="BG489" s="13"/>
      <c r="BH489" s="13" t="s">
        <v>79</v>
      </c>
      <c r="BI489" s="13" t="b">
        <v>0</v>
      </c>
      <c r="BJ489" s="13">
        <v>0.0</v>
      </c>
      <c r="BK489" s="13">
        <v>0.0</v>
      </c>
    </row>
    <row r="490" ht="14.25" customHeight="1">
      <c r="A490" s="13">
        <v>488.0</v>
      </c>
      <c r="B490" s="13" t="s">
        <v>44</v>
      </c>
      <c r="C490" s="13">
        <v>4.0</v>
      </c>
      <c r="D490" s="14">
        <v>0.0</v>
      </c>
      <c r="E490" s="13" t="s">
        <v>3309</v>
      </c>
      <c r="F490" s="15" t="s">
        <v>3151</v>
      </c>
      <c r="G490" s="16" t="s">
        <v>3310</v>
      </c>
      <c r="H490" s="13"/>
      <c r="I490" s="13">
        <v>1.3</v>
      </c>
      <c r="J490" s="13" t="s">
        <v>3311</v>
      </c>
      <c r="K490" s="13">
        <f t="shared" si="3"/>
        <v>3</v>
      </c>
      <c r="L490" s="13">
        <f t="shared" si="4"/>
        <v>0</v>
      </c>
      <c r="M490" s="13">
        <f t="shared" ref="M490:AA490" si="979">IFERROR(VALUE(RIGHT(LEFT($J490,FIND(M$1,$J490,1)+LEN(M$1)),1)),0)</f>
        <v>0</v>
      </c>
      <c r="N490" s="13">
        <f t="shared" si="979"/>
        <v>0</v>
      </c>
      <c r="O490" s="13">
        <f t="shared" si="979"/>
        <v>2</v>
      </c>
      <c r="P490" s="13">
        <f t="shared" si="979"/>
        <v>0</v>
      </c>
      <c r="Q490" s="13">
        <f t="shared" si="979"/>
        <v>0</v>
      </c>
      <c r="R490" s="13">
        <f t="shared" si="979"/>
        <v>0</v>
      </c>
      <c r="S490" s="13">
        <f t="shared" si="979"/>
        <v>1</v>
      </c>
      <c r="T490" s="13">
        <f t="shared" si="979"/>
        <v>0</v>
      </c>
      <c r="U490" s="13">
        <f t="shared" si="979"/>
        <v>0</v>
      </c>
      <c r="V490" s="13">
        <f t="shared" si="979"/>
        <v>0</v>
      </c>
      <c r="W490" s="13">
        <f t="shared" si="979"/>
        <v>0</v>
      </c>
      <c r="X490" s="13">
        <f t="shared" si="979"/>
        <v>0</v>
      </c>
      <c r="Y490" s="13">
        <f t="shared" si="979"/>
        <v>0</v>
      </c>
      <c r="Z490" s="13">
        <f t="shared" si="979"/>
        <v>0</v>
      </c>
      <c r="AA490" s="13">
        <f t="shared" si="979"/>
        <v>0</v>
      </c>
      <c r="AB490" s="13">
        <f t="shared" ref="AB490:AP490" si="980">IFERROR(VALUE(RIGHT(LEFT($J490,FIND(AB$1,$J490,IF(M490=0,1,FIND(AB$1,$J490,1)+1))+LEN(AB$1)),1)),0)</f>
        <v>0</v>
      </c>
      <c r="AC490" s="13">
        <f t="shared" si="980"/>
        <v>0</v>
      </c>
      <c r="AD490" s="13">
        <f t="shared" si="980"/>
        <v>0</v>
      </c>
      <c r="AE490" s="13">
        <f t="shared" si="980"/>
        <v>0</v>
      </c>
      <c r="AF490" s="13">
        <f t="shared" si="980"/>
        <v>0</v>
      </c>
      <c r="AG490" s="13">
        <f t="shared" si="980"/>
        <v>0</v>
      </c>
      <c r="AH490" s="13">
        <f t="shared" si="980"/>
        <v>0</v>
      </c>
      <c r="AI490" s="13">
        <f t="shared" si="980"/>
        <v>0</v>
      </c>
      <c r="AJ490" s="13">
        <f t="shared" si="980"/>
        <v>0</v>
      </c>
      <c r="AK490" s="13">
        <f t="shared" si="980"/>
        <v>0</v>
      </c>
      <c r="AL490" s="13">
        <f t="shared" si="980"/>
        <v>0</v>
      </c>
      <c r="AM490" s="13">
        <f t="shared" si="980"/>
        <v>0</v>
      </c>
      <c r="AN490" s="13">
        <f t="shared" si="980"/>
        <v>0</v>
      </c>
      <c r="AO490" s="13">
        <f t="shared" si="980"/>
        <v>0</v>
      </c>
      <c r="AP490" s="13">
        <f t="shared" si="980"/>
        <v>0</v>
      </c>
      <c r="AQ490" s="13" t="s">
        <v>3312</v>
      </c>
      <c r="AR490" s="13"/>
      <c r="AS490" s="13" t="s">
        <v>3313</v>
      </c>
      <c r="AT490" s="13"/>
      <c r="AU490" s="13"/>
      <c r="AV490" s="13"/>
      <c r="AW490" s="13">
        <v>0.0</v>
      </c>
      <c r="AX490" s="13">
        <v>5.0</v>
      </c>
      <c r="AY490" s="13">
        <v>0.0</v>
      </c>
      <c r="AZ490" s="13"/>
      <c r="BA490" s="13"/>
      <c r="BB490" s="13"/>
      <c r="BC490" s="13"/>
      <c r="BD490" s="13"/>
      <c r="BE490" s="13"/>
      <c r="BF490" s="13"/>
      <c r="BG490" s="13"/>
      <c r="BH490" s="13" t="s">
        <v>79</v>
      </c>
      <c r="BI490" s="13" t="b">
        <v>0</v>
      </c>
      <c r="BJ490" s="13">
        <v>0.0</v>
      </c>
      <c r="BK490" s="13">
        <v>0.0</v>
      </c>
    </row>
    <row r="491" ht="14.25" customHeight="1">
      <c r="A491" s="13">
        <v>489.0</v>
      </c>
      <c r="B491" s="13" t="s">
        <v>45</v>
      </c>
      <c r="C491" s="13">
        <v>4.0</v>
      </c>
      <c r="D491" s="14">
        <v>0.0</v>
      </c>
      <c r="E491" s="13" t="s">
        <v>3314</v>
      </c>
      <c r="F491" s="15" t="s">
        <v>3151</v>
      </c>
      <c r="G491" s="16" t="s">
        <v>3315</v>
      </c>
      <c r="H491" s="13"/>
      <c r="I491" s="13">
        <v>1.0</v>
      </c>
      <c r="J491" s="13" t="s">
        <v>3316</v>
      </c>
      <c r="K491" s="13">
        <f t="shared" si="3"/>
        <v>2</v>
      </c>
      <c r="L491" s="13">
        <f t="shared" si="4"/>
        <v>2</v>
      </c>
      <c r="M491" s="13">
        <f t="shared" ref="M491:AA491" si="981">IFERROR(VALUE(RIGHT(LEFT($J491,FIND(M$1,$J491,1)+LEN(M$1)),1)),0)</f>
        <v>0</v>
      </c>
      <c r="N491" s="13">
        <f t="shared" si="981"/>
        <v>0</v>
      </c>
      <c r="O491" s="13">
        <f t="shared" si="981"/>
        <v>0</v>
      </c>
      <c r="P491" s="13">
        <f t="shared" si="981"/>
        <v>0</v>
      </c>
      <c r="Q491" s="13">
        <f t="shared" si="981"/>
        <v>0</v>
      </c>
      <c r="R491" s="13">
        <f t="shared" si="981"/>
        <v>0</v>
      </c>
      <c r="S491" s="13">
        <f t="shared" si="981"/>
        <v>0</v>
      </c>
      <c r="T491" s="13">
        <f t="shared" si="981"/>
        <v>2</v>
      </c>
      <c r="U491" s="13">
        <f t="shared" si="981"/>
        <v>0</v>
      </c>
      <c r="V491" s="13">
        <f t="shared" si="981"/>
        <v>0</v>
      </c>
      <c r="W491" s="13">
        <f t="shared" si="981"/>
        <v>0</v>
      </c>
      <c r="X491" s="13">
        <f t="shared" si="981"/>
        <v>0</v>
      </c>
      <c r="Y491" s="13">
        <f t="shared" si="981"/>
        <v>0</v>
      </c>
      <c r="Z491" s="13">
        <f t="shared" si="981"/>
        <v>0</v>
      </c>
      <c r="AA491" s="13">
        <f t="shared" si="981"/>
        <v>0</v>
      </c>
      <c r="AB491" s="13">
        <f t="shared" ref="AB491:AP491" si="982">IFERROR(VALUE(RIGHT(LEFT($J491,FIND(AB$1,$J491,IF(M491=0,1,FIND(AB$1,$J491,1)+1))+LEN(AB$1)),1)),0)</f>
        <v>0</v>
      </c>
      <c r="AC491" s="13">
        <f t="shared" si="982"/>
        <v>0</v>
      </c>
      <c r="AD491" s="13">
        <f t="shared" si="982"/>
        <v>0</v>
      </c>
      <c r="AE491" s="13">
        <f t="shared" si="982"/>
        <v>1</v>
      </c>
      <c r="AF491" s="13">
        <f t="shared" si="982"/>
        <v>0</v>
      </c>
      <c r="AG491" s="13">
        <f t="shared" si="982"/>
        <v>0</v>
      </c>
      <c r="AH491" s="13">
        <f t="shared" si="982"/>
        <v>0</v>
      </c>
      <c r="AI491" s="13">
        <f t="shared" si="982"/>
        <v>1</v>
      </c>
      <c r="AJ491" s="13">
        <f t="shared" si="982"/>
        <v>0</v>
      </c>
      <c r="AK491" s="13">
        <f t="shared" si="982"/>
        <v>0</v>
      </c>
      <c r="AL491" s="13">
        <f t="shared" si="982"/>
        <v>0</v>
      </c>
      <c r="AM491" s="13">
        <f t="shared" si="982"/>
        <v>0</v>
      </c>
      <c r="AN491" s="13">
        <f t="shared" si="982"/>
        <v>0</v>
      </c>
      <c r="AO491" s="13">
        <f t="shared" si="982"/>
        <v>0</v>
      </c>
      <c r="AP491" s="13">
        <f t="shared" si="982"/>
        <v>0</v>
      </c>
      <c r="AQ491" s="13" t="s">
        <v>3317</v>
      </c>
      <c r="AR491" s="13"/>
      <c r="AS491" s="13" t="s">
        <v>3318</v>
      </c>
      <c r="AT491" s="13"/>
      <c r="AU491" s="13"/>
      <c r="AV491" s="13"/>
      <c r="AW491" s="13">
        <v>0.0</v>
      </c>
      <c r="AX491" s="13">
        <v>5.0</v>
      </c>
      <c r="AY491" s="13">
        <v>0.0</v>
      </c>
      <c r="AZ491" s="13"/>
      <c r="BA491" s="13"/>
      <c r="BB491" s="13"/>
      <c r="BC491" s="13"/>
      <c r="BD491" s="13"/>
      <c r="BE491" s="13"/>
      <c r="BF491" s="13"/>
      <c r="BG491" s="13"/>
      <c r="BH491" s="13" t="s">
        <v>79</v>
      </c>
      <c r="BI491" s="13" t="b">
        <v>0</v>
      </c>
      <c r="BJ491" s="13">
        <v>0.0</v>
      </c>
      <c r="BK491" s="13">
        <v>0.0</v>
      </c>
    </row>
    <row r="492" ht="14.25" customHeight="1">
      <c r="A492" s="13">
        <v>490.0</v>
      </c>
      <c r="B492" s="13" t="s">
        <v>46</v>
      </c>
      <c r="C492" s="13">
        <v>4.0</v>
      </c>
      <c r="D492" s="14">
        <v>0.0</v>
      </c>
      <c r="E492" s="13" t="s">
        <v>3319</v>
      </c>
      <c r="F492" s="15" t="s">
        <v>3151</v>
      </c>
      <c r="G492" s="16" t="s">
        <v>3320</v>
      </c>
      <c r="H492" s="13"/>
      <c r="I492" s="13">
        <v>1.2</v>
      </c>
      <c r="J492" s="13" t="s">
        <v>1943</v>
      </c>
      <c r="K492" s="13">
        <f t="shared" si="3"/>
        <v>2</v>
      </c>
      <c r="L492" s="13">
        <f t="shared" si="4"/>
        <v>2</v>
      </c>
      <c r="M492" s="13">
        <f t="shared" ref="M492:AA492" si="983">IFERROR(VALUE(RIGHT(LEFT($J492,FIND(M$1,$J492,1)+LEN(M$1)),1)),0)</f>
        <v>0</v>
      </c>
      <c r="N492" s="13">
        <f t="shared" si="983"/>
        <v>0</v>
      </c>
      <c r="O492" s="13">
        <f t="shared" si="983"/>
        <v>0</v>
      </c>
      <c r="P492" s="13">
        <f t="shared" si="983"/>
        <v>0</v>
      </c>
      <c r="Q492" s="13">
        <f t="shared" si="983"/>
        <v>0</v>
      </c>
      <c r="R492" s="13">
        <f t="shared" si="983"/>
        <v>0</v>
      </c>
      <c r="S492" s="13">
        <f t="shared" si="983"/>
        <v>0</v>
      </c>
      <c r="T492" s="13">
        <f t="shared" si="983"/>
        <v>0</v>
      </c>
      <c r="U492" s="13">
        <f t="shared" si="983"/>
        <v>2</v>
      </c>
      <c r="V492" s="13">
        <f t="shared" si="983"/>
        <v>0</v>
      </c>
      <c r="W492" s="13">
        <f t="shared" si="983"/>
        <v>0</v>
      </c>
      <c r="X492" s="13">
        <f t="shared" si="983"/>
        <v>0</v>
      </c>
      <c r="Y492" s="13">
        <f t="shared" si="983"/>
        <v>0</v>
      </c>
      <c r="Z492" s="13">
        <f t="shared" si="983"/>
        <v>0</v>
      </c>
      <c r="AA492" s="13">
        <f t="shared" si="983"/>
        <v>0</v>
      </c>
      <c r="AB492" s="13">
        <f t="shared" ref="AB492:AP492" si="984">IFERROR(VALUE(RIGHT(LEFT($J492,FIND(AB$1,$J492,IF(M492=0,1,FIND(AB$1,$J492,1)+1))+LEN(AB$1)),1)),0)</f>
        <v>0</v>
      </c>
      <c r="AC492" s="13">
        <f t="shared" si="984"/>
        <v>0</v>
      </c>
      <c r="AD492" s="13">
        <f t="shared" si="984"/>
        <v>1</v>
      </c>
      <c r="AE492" s="13">
        <f t="shared" si="984"/>
        <v>0</v>
      </c>
      <c r="AF492" s="13">
        <f t="shared" si="984"/>
        <v>0</v>
      </c>
      <c r="AG492" s="13">
        <f t="shared" si="984"/>
        <v>0</v>
      </c>
      <c r="AH492" s="13">
        <f t="shared" si="984"/>
        <v>0</v>
      </c>
      <c r="AI492" s="13">
        <f t="shared" si="984"/>
        <v>0</v>
      </c>
      <c r="AJ492" s="13">
        <f t="shared" si="984"/>
        <v>1</v>
      </c>
      <c r="AK492" s="13">
        <f t="shared" si="984"/>
        <v>0</v>
      </c>
      <c r="AL492" s="13">
        <f t="shared" si="984"/>
        <v>0</v>
      </c>
      <c r="AM492" s="13">
        <f t="shared" si="984"/>
        <v>0</v>
      </c>
      <c r="AN492" s="13">
        <f t="shared" si="984"/>
        <v>0</v>
      </c>
      <c r="AO492" s="13">
        <f t="shared" si="984"/>
        <v>0</v>
      </c>
      <c r="AP492" s="13">
        <f t="shared" si="984"/>
        <v>0</v>
      </c>
      <c r="AQ492" s="13" t="s">
        <v>3321</v>
      </c>
      <c r="AR492" s="13"/>
      <c r="AS492" s="13" t="s">
        <v>3322</v>
      </c>
      <c r="AT492" s="13"/>
      <c r="AU492" s="13"/>
      <c r="AV492" s="13"/>
      <c r="AW492" s="13">
        <v>0.0</v>
      </c>
      <c r="AX492" s="13">
        <v>5.0</v>
      </c>
      <c r="AY492" s="13">
        <v>0.0</v>
      </c>
      <c r="AZ492" s="13"/>
      <c r="BA492" s="13"/>
      <c r="BB492" s="13"/>
      <c r="BC492" s="13"/>
      <c r="BD492" s="13"/>
      <c r="BE492" s="13"/>
      <c r="BF492" s="13"/>
      <c r="BG492" s="13"/>
      <c r="BH492" s="13" t="s">
        <v>79</v>
      </c>
      <c r="BI492" s="13" t="b">
        <v>0</v>
      </c>
      <c r="BJ492" s="13">
        <v>0.0</v>
      </c>
      <c r="BK492" s="13">
        <v>0.0</v>
      </c>
    </row>
    <row r="493" ht="14.25" customHeight="1">
      <c r="A493" s="13">
        <v>491.0</v>
      </c>
      <c r="B493" s="13" t="s">
        <v>51</v>
      </c>
      <c r="C493" s="13">
        <v>4.0</v>
      </c>
      <c r="D493" s="14">
        <v>0.0</v>
      </c>
      <c r="E493" s="13" t="s">
        <v>3323</v>
      </c>
      <c r="F493" s="15" t="s">
        <v>3151</v>
      </c>
      <c r="G493" s="16" t="s">
        <v>3324</v>
      </c>
      <c r="H493" s="13">
        <v>21.0</v>
      </c>
      <c r="I493" s="13">
        <v>1.0</v>
      </c>
      <c r="J493" s="13" t="s">
        <v>3325</v>
      </c>
      <c r="K493" s="13">
        <f t="shared" si="3"/>
        <v>2</v>
      </c>
      <c r="L493" s="13">
        <f t="shared" si="4"/>
        <v>2</v>
      </c>
      <c r="M493" s="13">
        <f t="shared" ref="M493:AA493" si="985">IFERROR(VALUE(RIGHT(LEFT($J493,FIND(M$1,$J493,1)+LEN(M$1)),1)),0)</f>
        <v>0</v>
      </c>
      <c r="N493" s="13">
        <f t="shared" si="985"/>
        <v>0</v>
      </c>
      <c r="O493" s="13">
        <f t="shared" si="985"/>
        <v>1</v>
      </c>
      <c r="P493" s="13">
        <f t="shared" si="985"/>
        <v>0</v>
      </c>
      <c r="Q493" s="13">
        <f t="shared" si="985"/>
        <v>0</v>
      </c>
      <c r="R493" s="13">
        <f t="shared" si="985"/>
        <v>0</v>
      </c>
      <c r="S493" s="13">
        <f t="shared" si="985"/>
        <v>0</v>
      </c>
      <c r="T493" s="13">
        <f t="shared" si="985"/>
        <v>0</v>
      </c>
      <c r="U493" s="13">
        <f t="shared" si="985"/>
        <v>0</v>
      </c>
      <c r="V493" s="13">
        <f t="shared" si="985"/>
        <v>0</v>
      </c>
      <c r="W493" s="13">
        <f t="shared" si="985"/>
        <v>0</v>
      </c>
      <c r="X493" s="13">
        <f t="shared" si="985"/>
        <v>0</v>
      </c>
      <c r="Y493" s="13">
        <f t="shared" si="985"/>
        <v>0</v>
      </c>
      <c r="Z493" s="13">
        <f t="shared" si="985"/>
        <v>1</v>
      </c>
      <c r="AA493" s="13">
        <f t="shared" si="985"/>
        <v>0</v>
      </c>
      <c r="AB493" s="13">
        <f t="shared" ref="AB493:AP493" si="986">IFERROR(VALUE(RIGHT(LEFT($J493,FIND(AB$1,$J493,IF(M493=0,1,FIND(AB$1,$J493,1)+1))+LEN(AB$1)),1)),0)</f>
        <v>0</v>
      </c>
      <c r="AC493" s="13">
        <f t="shared" si="986"/>
        <v>0</v>
      </c>
      <c r="AD493" s="13">
        <f t="shared" si="986"/>
        <v>1</v>
      </c>
      <c r="AE493" s="13">
        <f t="shared" si="986"/>
        <v>0</v>
      </c>
      <c r="AF493" s="13">
        <f t="shared" si="986"/>
        <v>0</v>
      </c>
      <c r="AG493" s="13">
        <f t="shared" si="986"/>
        <v>0</v>
      </c>
      <c r="AH493" s="13">
        <f t="shared" si="986"/>
        <v>0</v>
      </c>
      <c r="AI493" s="13">
        <f t="shared" si="986"/>
        <v>0</v>
      </c>
      <c r="AJ493" s="13">
        <f t="shared" si="986"/>
        <v>0</v>
      </c>
      <c r="AK493" s="13">
        <f t="shared" si="986"/>
        <v>0</v>
      </c>
      <c r="AL493" s="13">
        <f t="shared" si="986"/>
        <v>0</v>
      </c>
      <c r="AM493" s="13">
        <f t="shared" si="986"/>
        <v>0</v>
      </c>
      <c r="AN493" s="13">
        <f t="shared" si="986"/>
        <v>0</v>
      </c>
      <c r="AO493" s="13">
        <f t="shared" si="986"/>
        <v>1</v>
      </c>
      <c r="AP493" s="13">
        <f t="shared" si="986"/>
        <v>0</v>
      </c>
      <c r="AQ493" s="13"/>
      <c r="AR493" s="13" t="s">
        <v>2056</v>
      </c>
      <c r="AS493" s="13" t="s">
        <v>3326</v>
      </c>
      <c r="AT493" s="13" t="s">
        <v>573</v>
      </c>
      <c r="AU493" s="13" t="s">
        <v>803</v>
      </c>
      <c r="AV493" s="13" t="s">
        <v>3327</v>
      </c>
      <c r="AW493" s="13">
        <v>26.0</v>
      </c>
      <c r="AX493" s="13">
        <v>5.0</v>
      </c>
      <c r="AY493" s="13">
        <v>0.0</v>
      </c>
      <c r="AZ493" s="13" t="s">
        <v>1830</v>
      </c>
      <c r="BA493" s="13"/>
      <c r="BB493" s="13"/>
      <c r="BC493" s="13"/>
      <c r="BD493" s="13" t="s">
        <v>167</v>
      </c>
      <c r="BE493" s="13"/>
      <c r="BF493" s="13" t="s">
        <v>3328</v>
      </c>
      <c r="BG493" s="13"/>
      <c r="BH493" s="13" t="s">
        <v>241</v>
      </c>
      <c r="BI493" s="13" t="b">
        <v>0</v>
      </c>
      <c r="BJ493" s="13">
        <v>0.0</v>
      </c>
      <c r="BK493" s="13">
        <v>0.0</v>
      </c>
    </row>
    <row r="494" ht="14.25" customHeight="1">
      <c r="A494" s="13">
        <v>492.0</v>
      </c>
      <c r="B494" s="13" t="s">
        <v>51</v>
      </c>
      <c r="C494" s="13">
        <v>4.0</v>
      </c>
      <c r="D494" s="14">
        <v>0.0</v>
      </c>
      <c r="E494" s="13" t="s">
        <v>3329</v>
      </c>
      <c r="F494" s="15" t="s">
        <v>3151</v>
      </c>
      <c r="G494" s="16" t="s">
        <v>3330</v>
      </c>
      <c r="H494" s="13">
        <v>-8.0</v>
      </c>
      <c r="I494" s="13">
        <v>0.9</v>
      </c>
      <c r="J494" s="13" t="s">
        <v>3331</v>
      </c>
      <c r="K494" s="13">
        <f t="shared" si="3"/>
        <v>2</v>
      </c>
      <c r="L494" s="13">
        <f t="shared" si="4"/>
        <v>2</v>
      </c>
      <c r="M494" s="13">
        <f t="shared" ref="M494:AA494" si="987">IFERROR(VALUE(RIGHT(LEFT($J494,FIND(M$1,$J494,1)+LEN(M$1)),1)),0)</f>
        <v>0</v>
      </c>
      <c r="N494" s="13">
        <f t="shared" si="987"/>
        <v>0</v>
      </c>
      <c r="O494" s="13">
        <f t="shared" si="987"/>
        <v>0</v>
      </c>
      <c r="P494" s="13">
        <f t="shared" si="987"/>
        <v>0</v>
      </c>
      <c r="Q494" s="13">
        <f t="shared" si="987"/>
        <v>2</v>
      </c>
      <c r="R494" s="13">
        <f t="shared" si="987"/>
        <v>0</v>
      </c>
      <c r="S494" s="13">
        <f t="shared" si="987"/>
        <v>0</v>
      </c>
      <c r="T494" s="13">
        <f t="shared" si="987"/>
        <v>0</v>
      </c>
      <c r="U494" s="13">
        <f t="shared" si="987"/>
        <v>0</v>
      </c>
      <c r="V494" s="13">
        <f t="shared" si="987"/>
        <v>0</v>
      </c>
      <c r="W494" s="13">
        <f t="shared" si="987"/>
        <v>0</v>
      </c>
      <c r="X494" s="13">
        <f t="shared" si="987"/>
        <v>0</v>
      </c>
      <c r="Y494" s="13">
        <f t="shared" si="987"/>
        <v>0</v>
      </c>
      <c r="Z494" s="13">
        <f t="shared" si="987"/>
        <v>0</v>
      </c>
      <c r="AA494" s="13">
        <f t="shared" si="987"/>
        <v>0</v>
      </c>
      <c r="AB494" s="13">
        <f t="shared" ref="AB494:AP494" si="988">IFERROR(VALUE(RIGHT(LEFT($J494,FIND(AB$1,$J494,IF(M494=0,1,FIND(AB$1,$J494,1)+1))+LEN(AB$1)),1)),0)</f>
        <v>0</v>
      </c>
      <c r="AC494" s="13">
        <f t="shared" si="988"/>
        <v>0</v>
      </c>
      <c r="AD494" s="13">
        <f t="shared" si="988"/>
        <v>0</v>
      </c>
      <c r="AE494" s="13">
        <f t="shared" si="988"/>
        <v>0</v>
      </c>
      <c r="AF494" s="13">
        <f t="shared" si="988"/>
        <v>1</v>
      </c>
      <c r="AG494" s="13">
        <f t="shared" si="988"/>
        <v>0</v>
      </c>
      <c r="AH494" s="13">
        <f t="shared" si="988"/>
        <v>0</v>
      </c>
      <c r="AI494" s="13">
        <f t="shared" si="988"/>
        <v>0</v>
      </c>
      <c r="AJ494" s="13">
        <f t="shared" si="988"/>
        <v>0</v>
      </c>
      <c r="AK494" s="13">
        <f t="shared" si="988"/>
        <v>0</v>
      </c>
      <c r="AL494" s="13">
        <f t="shared" si="988"/>
        <v>0</v>
      </c>
      <c r="AM494" s="13">
        <f t="shared" si="988"/>
        <v>0</v>
      </c>
      <c r="AN494" s="13">
        <f t="shared" si="988"/>
        <v>0</v>
      </c>
      <c r="AO494" s="13">
        <f t="shared" si="988"/>
        <v>1</v>
      </c>
      <c r="AP494" s="13">
        <f t="shared" si="988"/>
        <v>0</v>
      </c>
      <c r="AQ494" s="13"/>
      <c r="AR494" s="13" t="s">
        <v>3332</v>
      </c>
      <c r="AS494" s="13" t="s">
        <v>3333</v>
      </c>
      <c r="AT494" s="13" t="s">
        <v>1398</v>
      </c>
      <c r="AU494" s="13" t="s">
        <v>130</v>
      </c>
      <c r="AV494" s="13" t="s">
        <v>3334</v>
      </c>
      <c r="AW494" s="13">
        <v>20.0</v>
      </c>
      <c r="AX494" s="13">
        <v>5.0</v>
      </c>
      <c r="AY494" s="13">
        <v>1.0</v>
      </c>
      <c r="AZ494" s="13"/>
      <c r="BA494" s="13"/>
      <c r="BB494" s="13"/>
      <c r="BC494" s="13"/>
      <c r="BD494" s="13" t="s">
        <v>1113</v>
      </c>
      <c r="BE494" s="13"/>
      <c r="BF494" s="13" t="s">
        <v>3335</v>
      </c>
      <c r="BG494" s="13"/>
      <c r="BH494" s="13" t="s">
        <v>79</v>
      </c>
      <c r="BI494" s="13" t="b">
        <v>0</v>
      </c>
      <c r="BJ494" s="13">
        <v>0.0</v>
      </c>
      <c r="BK494" s="13">
        <v>0.0</v>
      </c>
    </row>
    <row r="495" ht="14.25" customHeight="1">
      <c r="A495" s="13">
        <v>493.0</v>
      </c>
      <c r="B495" s="13" t="s">
        <v>51</v>
      </c>
      <c r="C495" s="13">
        <v>4.0</v>
      </c>
      <c r="D495" s="14">
        <v>0.0</v>
      </c>
      <c r="E495" s="13" t="s">
        <v>3336</v>
      </c>
      <c r="F495" s="15" t="s">
        <v>3151</v>
      </c>
      <c r="G495" s="16" t="s">
        <v>3337</v>
      </c>
      <c r="H495" s="13">
        <v>10.0</v>
      </c>
      <c r="I495" s="13">
        <v>1.0</v>
      </c>
      <c r="J495" s="13" t="s">
        <v>3338</v>
      </c>
      <c r="K495" s="13">
        <f t="shared" si="3"/>
        <v>2</v>
      </c>
      <c r="L495" s="13">
        <f t="shared" si="4"/>
        <v>2</v>
      </c>
      <c r="M495" s="13">
        <f t="shared" ref="M495:AA495" si="989">IFERROR(VALUE(RIGHT(LEFT($J495,FIND(M$1,$J495,1)+LEN(M$1)),1)),0)</f>
        <v>0</v>
      </c>
      <c r="N495" s="13">
        <f t="shared" si="989"/>
        <v>0</v>
      </c>
      <c r="O495" s="13">
        <f t="shared" si="989"/>
        <v>0</v>
      </c>
      <c r="P495" s="13">
        <f t="shared" si="989"/>
        <v>1</v>
      </c>
      <c r="Q495" s="13">
        <f t="shared" si="989"/>
        <v>0</v>
      </c>
      <c r="R495" s="13">
        <f t="shared" si="989"/>
        <v>0</v>
      </c>
      <c r="S495" s="13">
        <f t="shared" si="989"/>
        <v>0</v>
      </c>
      <c r="T495" s="13">
        <f t="shared" si="989"/>
        <v>0</v>
      </c>
      <c r="U495" s="13">
        <f t="shared" si="989"/>
        <v>0</v>
      </c>
      <c r="V495" s="13">
        <f t="shared" si="989"/>
        <v>0</v>
      </c>
      <c r="W495" s="13">
        <f t="shared" si="989"/>
        <v>0</v>
      </c>
      <c r="X495" s="13">
        <f t="shared" si="989"/>
        <v>0</v>
      </c>
      <c r="Y495" s="13">
        <f t="shared" si="989"/>
        <v>0</v>
      </c>
      <c r="Z495" s="13">
        <f t="shared" si="989"/>
        <v>1</v>
      </c>
      <c r="AA495" s="13">
        <f t="shared" si="989"/>
        <v>0</v>
      </c>
      <c r="AB495" s="13">
        <f t="shared" ref="AB495:AP495" si="990">IFERROR(VALUE(RIGHT(LEFT($J495,FIND(AB$1,$J495,IF(M495=0,1,FIND(AB$1,$J495,1)+1))+LEN(AB$1)),1)),0)</f>
        <v>0</v>
      </c>
      <c r="AC495" s="13">
        <f t="shared" si="990"/>
        <v>0</v>
      </c>
      <c r="AD495" s="13">
        <f t="shared" si="990"/>
        <v>0</v>
      </c>
      <c r="AE495" s="13">
        <f t="shared" si="990"/>
        <v>1</v>
      </c>
      <c r="AF495" s="13">
        <f t="shared" si="990"/>
        <v>0</v>
      </c>
      <c r="AG495" s="13">
        <f t="shared" si="990"/>
        <v>0</v>
      </c>
      <c r="AH495" s="13">
        <f t="shared" si="990"/>
        <v>0</v>
      </c>
      <c r="AI495" s="13">
        <f t="shared" si="990"/>
        <v>0</v>
      </c>
      <c r="AJ495" s="13">
        <f t="shared" si="990"/>
        <v>0</v>
      </c>
      <c r="AK495" s="13">
        <f t="shared" si="990"/>
        <v>0</v>
      </c>
      <c r="AL495" s="13">
        <f t="shared" si="990"/>
        <v>0</v>
      </c>
      <c r="AM495" s="13">
        <f t="shared" si="990"/>
        <v>0</v>
      </c>
      <c r="AN495" s="13">
        <f t="shared" si="990"/>
        <v>0</v>
      </c>
      <c r="AO495" s="13">
        <f t="shared" si="990"/>
        <v>1</v>
      </c>
      <c r="AP495" s="13">
        <f t="shared" si="990"/>
        <v>0</v>
      </c>
      <c r="AQ495" s="13"/>
      <c r="AR495" s="13" t="s">
        <v>3339</v>
      </c>
      <c r="AS495" s="13" t="s">
        <v>3340</v>
      </c>
      <c r="AT495" s="13" t="s">
        <v>573</v>
      </c>
      <c r="AU495" s="13" t="s">
        <v>130</v>
      </c>
      <c r="AV495" s="13" t="s">
        <v>3341</v>
      </c>
      <c r="AW495" s="13">
        <v>22.0</v>
      </c>
      <c r="AX495" s="13">
        <v>5.0</v>
      </c>
      <c r="AY495" s="13">
        <v>0.0</v>
      </c>
      <c r="AZ495" s="13" t="s">
        <v>3342</v>
      </c>
      <c r="BA495" s="13"/>
      <c r="BB495" s="13"/>
      <c r="BC495" s="13"/>
      <c r="BD495" s="13" t="s">
        <v>1113</v>
      </c>
      <c r="BE495" s="13"/>
      <c r="BF495" s="13" t="s">
        <v>3343</v>
      </c>
      <c r="BG495" s="13"/>
      <c r="BH495" s="13" t="s">
        <v>79</v>
      </c>
      <c r="BI495" s="13" t="b">
        <v>0</v>
      </c>
      <c r="BJ495" s="13">
        <v>0.0</v>
      </c>
      <c r="BK495" s="13">
        <v>0.0</v>
      </c>
    </row>
    <row r="496" ht="14.25" customHeight="1">
      <c r="A496" s="13">
        <v>494.0</v>
      </c>
      <c r="B496" s="13" t="s">
        <v>48</v>
      </c>
      <c r="C496" s="13">
        <v>4.0</v>
      </c>
      <c r="D496" s="14">
        <v>0.0</v>
      </c>
      <c r="E496" s="13" t="s">
        <v>3344</v>
      </c>
      <c r="F496" s="15" t="s">
        <v>3151</v>
      </c>
      <c r="G496" s="16" t="s">
        <v>3345</v>
      </c>
      <c r="H496" s="13">
        <v>22.0</v>
      </c>
      <c r="I496" s="13">
        <v>1.1</v>
      </c>
      <c r="J496" s="13" t="s">
        <v>3346</v>
      </c>
      <c r="K496" s="13">
        <f t="shared" si="3"/>
        <v>1</v>
      </c>
      <c r="L496" s="13">
        <f t="shared" si="4"/>
        <v>4</v>
      </c>
      <c r="M496" s="13">
        <f t="shared" ref="M496:AA496" si="991">IFERROR(VALUE(RIGHT(LEFT($J496,FIND(M$1,$J496,1)+LEN(M$1)),1)),0)</f>
        <v>0</v>
      </c>
      <c r="N496" s="13">
        <f t="shared" si="991"/>
        <v>0</v>
      </c>
      <c r="O496" s="13">
        <f t="shared" si="991"/>
        <v>0</v>
      </c>
      <c r="P496" s="13">
        <f t="shared" si="991"/>
        <v>0</v>
      </c>
      <c r="Q496" s="13">
        <f t="shared" si="991"/>
        <v>0</v>
      </c>
      <c r="R496" s="13">
        <f t="shared" si="991"/>
        <v>1</v>
      </c>
      <c r="S496" s="13">
        <f t="shared" si="991"/>
        <v>0</v>
      </c>
      <c r="T496" s="13">
        <f t="shared" si="991"/>
        <v>0</v>
      </c>
      <c r="U496" s="13">
        <f t="shared" si="991"/>
        <v>0</v>
      </c>
      <c r="V496" s="13">
        <f t="shared" si="991"/>
        <v>0</v>
      </c>
      <c r="W496" s="13">
        <f t="shared" si="991"/>
        <v>0</v>
      </c>
      <c r="X496" s="13">
        <f t="shared" si="991"/>
        <v>0</v>
      </c>
      <c r="Y496" s="13">
        <f t="shared" si="991"/>
        <v>0</v>
      </c>
      <c r="Z496" s="13">
        <f t="shared" si="991"/>
        <v>0</v>
      </c>
      <c r="AA496" s="13">
        <f t="shared" si="991"/>
        <v>0</v>
      </c>
      <c r="AB496" s="13">
        <f t="shared" ref="AB496:AP496" si="992">IFERROR(VALUE(RIGHT(LEFT($J496,FIND(AB$1,$J496,IF(M496=0,1,FIND(AB$1,$J496,1)+1))+LEN(AB$1)),1)),0)</f>
        <v>0</v>
      </c>
      <c r="AC496" s="13">
        <f t="shared" si="992"/>
        <v>0</v>
      </c>
      <c r="AD496" s="13">
        <f t="shared" si="992"/>
        <v>0</v>
      </c>
      <c r="AE496" s="13">
        <f t="shared" si="992"/>
        <v>0</v>
      </c>
      <c r="AF496" s="13">
        <f t="shared" si="992"/>
        <v>0</v>
      </c>
      <c r="AG496" s="13">
        <f t="shared" si="992"/>
        <v>2</v>
      </c>
      <c r="AH496" s="13">
        <f t="shared" si="992"/>
        <v>0</v>
      </c>
      <c r="AI496" s="13">
        <f t="shared" si="992"/>
        <v>0</v>
      </c>
      <c r="AJ496" s="13">
        <f t="shared" si="992"/>
        <v>0</v>
      </c>
      <c r="AK496" s="13">
        <f t="shared" si="992"/>
        <v>0</v>
      </c>
      <c r="AL496" s="13">
        <f t="shared" si="992"/>
        <v>2</v>
      </c>
      <c r="AM496" s="13">
        <f t="shared" si="992"/>
        <v>0</v>
      </c>
      <c r="AN496" s="13">
        <f t="shared" si="992"/>
        <v>0</v>
      </c>
      <c r="AO496" s="13">
        <f t="shared" si="992"/>
        <v>0</v>
      </c>
      <c r="AP496" s="13">
        <f t="shared" si="992"/>
        <v>0</v>
      </c>
      <c r="AQ496" s="13"/>
      <c r="AR496" s="13" t="s">
        <v>3347</v>
      </c>
      <c r="AS496" s="13" t="s">
        <v>3348</v>
      </c>
      <c r="AT496" s="13" t="s">
        <v>162</v>
      </c>
      <c r="AU496" s="13" t="s">
        <v>1523</v>
      </c>
      <c r="AV496" s="13" t="s">
        <v>3349</v>
      </c>
      <c r="AW496" s="13">
        <v>28.0</v>
      </c>
      <c r="AX496" s="13">
        <v>5.0</v>
      </c>
      <c r="AY496" s="13">
        <v>0.0</v>
      </c>
      <c r="AZ496" s="13" t="s">
        <v>3350</v>
      </c>
      <c r="BA496" s="13" t="s">
        <v>3351</v>
      </c>
      <c r="BB496" s="13"/>
      <c r="BC496" s="13"/>
      <c r="BD496" s="13" t="s">
        <v>188</v>
      </c>
      <c r="BE496" s="13"/>
      <c r="BF496" s="13" t="s">
        <v>3352</v>
      </c>
      <c r="BG496" s="13" t="s">
        <v>169</v>
      </c>
      <c r="BH496" s="13" t="s">
        <v>241</v>
      </c>
      <c r="BI496" s="13" t="b">
        <v>0</v>
      </c>
      <c r="BJ496" s="13">
        <v>0.0</v>
      </c>
      <c r="BK496" s="13">
        <v>0.0</v>
      </c>
    </row>
    <row r="497" ht="14.25" customHeight="1">
      <c r="A497" s="13">
        <v>495.0</v>
      </c>
      <c r="B497" s="13" t="s">
        <v>46</v>
      </c>
      <c r="C497" s="13">
        <v>5.0</v>
      </c>
      <c r="D497" s="14">
        <v>0.0</v>
      </c>
      <c r="E497" s="13" t="s">
        <v>3353</v>
      </c>
      <c r="F497" s="15" t="s">
        <v>3151</v>
      </c>
      <c r="G497" s="16" t="s">
        <v>3354</v>
      </c>
      <c r="H497" s="13"/>
      <c r="I497" s="13">
        <v>1.2</v>
      </c>
      <c r="J497" s="13" t="s">
        <v>3355</v>
      </c>
      <c r="K497" s="13">
        <f t="shared" si="3"/>
        <v>4</v>
      </c>
      <c r="L497" s="13">
        <f t="shared" si="4"/>
        <v>0</v>
      </c>
      <c r="M497" s="13">
        <f t="shared" ref="M497:AA497" si="993">IFERROR(VALUE(RIGHT(LEFT($J497,FIND(M$1,$J497,1)+LEN(M$1)),1)),0)</f>
        <v>0</v>
      </c>
      <c r="N497" s="13">
        <f t="shared" si="993"/>
        <v>0</v>
      </c>
      <c r="O497" s="13">
        <f t="shared" si="993"/>
        <v>2</v>
      </c>
      <c r="P497" s="13">
        <f t="shared" si="993"/>
        <v>0</v>
      </c>
      <c r="Q497" s="13">
        <f t="shared" si="993"/>
        <v>0</v>
      </c>
      <c r="R497" s="13">
        <f t="shared" si="993"/>
        <v>1</v>
      </c>
      <c r="S497" s="13">
        <f t="shared" si="993"/>
        <v>0</v>
      </c>
      <c r="T497" s="13">
        <f t="shared" si="993"/>
        <v>0</v>
      </c>
      <c r="U497" s="13">
        <f t="shared" si="993"/>
        <v>1</v>
      </c>
      <c r="V497" s="13">
        <f t="shared" si="993"/>
        <v>0</v>
      </c>
      <c r="W497" s="13">
        <f t="shared" si="993"/>
        <v>0</v>
      </c>
      <c r="X497" s="13">
        <f t="shared" si="993"/>
        <v>0</v>
      </c>
      <c r="Y497" s="13">
        <f t="shared" si="993"/>
        <v>0</v>
      </c>
      <c r="Z497" s="13">
        <f t="shared" si="993"/>
        <v>0</v>
      </c>
      <c r="AA497" s="13">
        <f t="shared" si="993"/>
        <v>0</v>
      </c>
      <c r="AB497" s="13">
        <f t="shared" ref="AB497:AP497" si="994">IFERROR(VALUE(RIGHT(LEFT($J497,FIND(AB$1,$J497,IF(M497=0,1,FIND(AB$1,$J497,1)+1))+LEN(AB$1)),1)),0)</f>
        <v>0</v>
      </c>
      <c r="AC497" s="13">
        <f t="shared" si="994"/>
        <v>0</v>
      </c>
      <c r="AD497" s="13">
        <f t="shared" si="994"/>
        <v>0</v>
      </c>
      <c r="AE497" s="13">
        <f t="shared" si="994"/>
        <v>0</v>
      </c>
      <c r="AF497" s="13">
        <f t="shared" si="994"/>
        <v>0</v>
      </c>
      <c r="AG497" s="13">
        <f t="shared" si="994"/>
        <v>0</v>
      </c>
      <c r="AH497" s="13">
        <f t="shared" si="994"/>
        <v>0</v>
      </c>
      <c r="AI497" s="13">
        <f t="shared" si="994"/>
        <v>0</v>
      </c>
      <c r="AJ497" s="13">
        <f t="shared" si="994"/>
        <v>0</v>
      </c>
      <c r="AK497" s="13">
        <f t="shared" si="994"/>
        <v>0</v>
      </c>
      <c r="AL497" s="13">
        <f t="shared" si="994"/>
        <v>0</v>
      </c>
      <c r="AM497" s="13">
        <f t="shared" si="994"/>
        <v>0</v>
      </c>
      <c r="AN497" s="13">
        <f t="shared" si="994"/>
        <v>0</v>
      </c>
      <c r="AO497" s="13">
        <f t="shared" si="994"/>
        <v>0</v>
      </c>
      <c r="AP497" s="13">
        <f t="shared" si="994"/>
        <v>0</v>
      </c>
      <c r="AQ497" s="13" t="s">
        <v>3356</v>
      </c>
      <c r="AR497" s="13"/>
      <c r="AS497" s="13" t="s">
        <v>3357</v>
      </c>
      <c r="AT497" s="13"/>
      <c r="AU497" s="13"/>
      <c r="AV497" s="13"/>
      <c r="AW497" s="13">
        <v>0.0</v>
      </c>
      <c r="AX497" s="13">
        <v>5.0</v>
      </c>
      <c r="AY497" s="13">
        <v>0.0</v>
      </c>
      <c r="AZ497" s="13"/>
      <c r="BA497" s="13"/>
      <c r="BB497" s="13"/>
      <c r="BC497" s="13"/>
      <c r="BD497" s="13"/>
      <c r="BE497" s="13"/>
      <c r="BF497" s="13"/>
      <c r="BG497" s="13"/>
      <c r="BH497" s="13" t="s">
        <v>79</v>
      </c>
      <c r="BI497" s="13" t="b">
        <v>0</v>
      </c>
      <c r="BJ497" s="13">
        <v>0.0</v>
      </c>
      <c r="BK497" s="13">
        <v>0.0</v>
      </c>
    </row>
    <row r="498" ht="14.25" customHeight="1">
      <c r="A498" s="13">
        <v>496.0</v>
      </c>
      <c r="B498" s="13" t="s">
        <v>51</v>
      </c>
      <c r="C498" s="13">
        <v>5.0</v>
      </c>
      <c r="D498" s="14">
        <v>0.0</v>
      </c>
      <c r="E498" s="13" t="s">
        <v>3358</v>
      </c>
      <c r="F498" s="15" t="s">
        <v>3151</v>
      </c>
      <c r="G498" s="16" t="s">
        <v>3359</v>
      </c>
      <c r="H498" s="13">
        <v>25.0</v>
      </c>
      <c r="I498" s="13">
        <v>1.0</v>
      </c>
      <c r="J498" s="13" t="s">
        <v>3360</v>
      </c>
      <c r="K498" s="13">
        <f t="shared" si="3"/>
        <v>4</v>
      </c>
      <c r="L498" s="13">
        <f t="shared" si="4"/>
        <v>0</v>
      </c>
      <c r="M498" s="13">
        <f t="shared" ref="M498:AA498" si="995">IFERROR(VALUE(RIGHT(LEFT($J498,FIND(M$1,$J498,1)+LEN(M$1)),1)),0)</f>
        <v>0</v>
      </c>
      <c r="N498" s="13">
        <f t="shared" si="995"/>
        <v>0</v>
      </c>
      <c r="O498" s="13">
        <f t="shared" si="995"/>
        <v>0</v>
      </c>
      <c r="P498" s="13">
        <f t="shared" si="995"/>
        <v>2</v>
      </c>
      <c r="Q498" s="13">
        <f t="shared" si="995"/>
        <v>0</v>
      </c>
      <c r="R498" s="13">
        <f t="shared" si="995"/>
        <v>0</v>
      </c>
      <c r="S498" s="13">
        <f t="shared" si="995"/>
        <v>0</v>
      </c>
      <c r="T498" s="13">
        <f t="shared" si="995"/>
        <v>0</v>
      </c>
      <c r="U498" s="13">
        <f t="shared" si="995"/>
        <v>0</v>
      </c>
      <c r="V498" s="13">
        <f t="shared" si="995"/>
        <v>0</v>
      </c>
      <c r="W498" s="13">
        <f t="shared" si="995"/>
        <v>0</v>
      </c>
      <c r="X498" s="13">
        <f t="shared" si="995"/>
        <v>0</v>
      </c>
      <c r="Y498" s="13">
        <f t="shared" si="995"/>
        <v>0</v>
      </c>
      <c r="Z498" s="13">
        <f t="shared" si="995"/>
        <v>2</v>
      </c>
      <c r="AA498" s="13">
        <f t="shared" si="995"/>
        <v>0</v>
      </c>
      <c r="AB498" s="13">
        <f t="shared" ref="AB498:AP498" si="996">IFERROR(VALUE(RIGHT(LEFT($J498,FIND(AB$1,$J498,IF(M498=0,1,FIND(AB$1,$J498,1)+1))+LEN(AB$1)),1)),0)</f>
        <v>0</v>
      </c>
      <c r="AC498" s="13">
        <f t="shared" si="996"/>
        <v>0</v>
      </c>
      <c r="AD498" s="13">
        <f t="shared" si="996"/>
        <v>0</v>
      </c>
      <c r="AE498" s="13">
        <f t="shared" si="996"/>
        <v>0</v>
      </c>
      <c r="AF498" s="13">
        <f t="shared" si="996"/>
        <v>0</v>
      </c>
      <c r="AG498" s="13">
        <f t="shared" si="996"/>
        <v>0</v>
      </c>
      <c r="AH498" s="13">
        <f t="shared" si="996"/>
        <v>0</v>
      </c>
      <c r="AI498" s="13">
        <f t="shared" si="996"/>
        <v>0</v>
      </c>
      <c r="AJ498" s="13">
        <f t="shared" si="996"/>
        <v>0</v>
      </c>
      <c r="AK498" s="13">
        <f t="shared" si="996"/>
        <v>0</v>
      </c>
      <c r="AL498" s="13">
        <f t="shared" si="996"/>
        <v>0</v>
      </c>
      <c r="AM498" s="13">
        <f t="shared" si="996"/>
        <v>0</v>
      </c>
      <c r="AN498" s="13">
        <f t="shared" si="996"/>
        <v>0</v>
      </c>
      <c r="AO498" s="13">
        <f t="shared" si="996"/>
        <v>0</v>
      </c>
      <c r="AP498" s="13">
        <f t="shared" si="996"/>
        <v>0</v>
      </c>
      <c r="AQ498" s="13"/>
      <c r="AR498" s="13" t="s">
        <v>3361</v>
      </c>
      <c r="AS498" s="13" t="s">
        <v>3362</v>
      </c>
      <c r="AT498" s="13" t="s">
        <v>1350</v>
      </c>
      <c r="AU498" s="13" t="s">
        <v>269</v>
      </c>
      <c r="AV498" s="13" t="s">
        <v>3363</v>
      </c>
      <c r="AW498" s="13">
        <v>35.0</v>
      </c>
      <c r="AX498" s="13">
        <v>5.0</v>
      </c>
      <c r="AY498" s="13">
        <v>0.0</v>
      </c>
      <c r="AZ498" s="13" t="s">
        <v>3364</v>
      </c>
      <c r="BA498" s="13" t="s">
        <v>3365</v>
      </c>
      <c r="BB498" s="13"/>
      <c r="BC498" s="13"/>
      <c r="BD498" s="13" t="s">
        <v>167</v>
      </c>
      <c r="BE498" s="13"/>
      <c r="BF498" s="13" t="s">
        <v>3366</v>
      </c>
      <c r="BG498" s="13"/>
      <c r="BH498" s="13" t="s">
        <v>79</v>
      </c>
      <c r="BI498" s="13" t="b">
        <v>0</v>
      </c>
      <c r="BJ498" s="13">
        <v>0.0</v>
      </c>
      <c r="BK498" s="13">
        <v>0.0</v>
      </c>
    </row>
    <row r="499" ht="14.25" customHeight="1">
      <c r="A499" s="13">
        <v>497.0</v>
      </c>
      <c r="B499" s="13" t="s">
        <v>44</v>
      </c>
      <c r="C499" s="13">
        <v>0.0</v>
      </c>
      <c r="D499" s="14">
        <v>0.0</v>
      </c>
      <c r="E499" s="13" t="s">
        <v>3367</v>
      </c>
      <c r="F499" s="15" t="s">
        <v>3368</v>
      </c>
      <c r="G499" s="16" t="s">
        <v>3369</v>
      </c>
      <c r="H499" s="13"/>
      <c r="I499" s="13">
        <v>0.9</v>
      </c>
      <c r="J499" s="13" t="s">
        <v>2185</v>
      </c>
      <c r="K499" s="13">
        <f t="shared" si="3"/>
        <v>0</v>
      </c>
      <c r="L499" s="13">
        <f t="shared" si="4"/>
        <v>1</v>
      </c>
      <c r="M499" s="13">
        <f t="shared" ref="M499:AA499" si="997">IFERROR(VALUE(RIGHT(LEFT($J499,FIND(M$1,$J499,1)+LEN(M$1)),1)),0)</f>
        <v>0</v>
      </c>
      <c r="N499" s="13">
        <f t="shared" si="997"/>
        <v>0</v>
      </c>
      <c r="O499" s="13">
        <f t="shared" si="997"/>
        <v>0</v>
      </c>
      <c r="P499" s="13">
        <f t="shared" si="997"/>
        <v>0</v>
      </c>
      <c r="Q499" s="13">
        <f t="shared" si="997"/>
        <v>0</v>
      </c>
      <c r="R499" s="13">
        <f t="shared" si="997"/>
        <v>0</v>
      </c>
      <c r="S499" s="13">
        <f t="shared" si="997"/>
        <v>0</v>
      </c>
      <c r="T499" s="13">
        <f t="shared" si="997"/>
        <v>0</v>
      </c>
      <c r="U499" s="13">
        <f t="shared" si="997"/>
        <v>0</v>
      </c>
      <c r="V499" s="13">
        <f t="shared" si="997"/>
        <v>0</v>
      </c>
      <c r="W499" s="13">
        <f t="shared" si="997"/>
        <v>0</v>
      </c>
      <c r="X499" s="13">
        <f t="shared" si="997"/>
        <v>0</v>
      </c>
      <c r="Y499" s="13">
        <f t="shared" si="997"/>
        <v>0</v>
      </c>
      <c r="Z499" s="13">
        <f t="shared" si="997"/>
        <v>0</v>
      </c>
      <c r="AA499" s="13">
        <f t="shared" si="997"/>
        <v>0</v>
      </c>
      <c r="AB499" s="13">
        <f t="shared" ref="AB499:AP499" si="998">IFERROR(VALUE(RIGHT(LEFT($J499,FIND(AB$1,$J499,IF(M499=0,1,FIND(AB$1,$J499,1)+1))+LEN(AB$1)),1)),0)</f>
        <v>0</v>
      </c>
      <c r="AC499" s="13">
        <f t="shared" si="998"/>
        <v>0</v>
      </c>
      <c r="AD499" s="13">
        <f t="shared" si="998"/>
        <v>0</v>
      </c>
      <c r="AE499" s="13">
        <f t="shared" si="998"/>
        <v>0</v>
      </c>
      <c r="AF499" s="13">
        <f t="shared" si="998"/>
        <v>0</v>
      </c>
      <c r="AG499" s="13">
        <f t="shared" si="998"/>
        <v>0</v>
      </c>
      <c r="AH499" s="13">
        <f t="shared" si="998"/>
        <v>1</v>
      </c>
      <c r="AI499" s="13">
        <f t="shared" si="998"/>
        <v>0</v>
      </c>
      <c r="AJ499" s="13">
        <f t="shared" si="998"/>
        <v>0</v>
      </c>
      <c r="AK499" s="13">
        <f t="shared" si="998"/>
        <v>0</v>
      </c>
      <c r="AL499" s="13">
        <f t="shared" si="998"/>
        <v>0</v>
      </c>
      <c r="AM499" s="13">
        <f t="shared" si="998"/>
        <v>0</v>
      </c>
      <c r="AN499" s="13">
        <f t="shared" si="998"/>
        <v>0</v>
      </c>
      <c r="AO499" s="13">
        <f t="shared" si="998"/>
        <v>0</v>
      </c>
      <c r="AP499" s="13">
        <f t="shared" si="998"/>
        <v>0</v>
      </c>
      <c r="AQ499" s="13" t="s">
        <v>3370</v>
      </c>
      <c r="AR499" s="13"/>
      <c r="AS499" s="13" t="s">
        <v>3371</v>
      </c>
      <c r="AT499" s="13"/>
      <c r="AU499" s="13"/>
      <c r="AV499" s="13"/>
      <c r="AW499" s="13">
        <v>0.0</v>
      </c>
      <c r="AX499" s="13">
        <v>6.0</v>
      </c>
      <c r="AY499" s="13">
        <v>0.0</v>
      </c>
      <c r="AZ499" s="13"/>
      <c r="BA499" s="13"/>
      <c r="BB499" s="13"/>
      <c r="BC499" s="13"/>
      <c r="BD499" s="13"/>
      <c r="BE499" s="13"/>
      <c r="BF499" s="13"/>
      <c r="BG499" s="13"/>
      <c r="BH499" s="13" t="s">
        <v>79</v>
      </c>
      <c r="BI499" s="13" t="b">
        <v>0</v>
      </c>
      <c r="BJ499" s="13">
        <v>0.0</v>
      </c>
      <c r="BK499" s="13">
        <v>0.0</v>
      </c>
    </row>
    <row r="500" ht="14.25" customHeight="1">
      <c r="A500" s="13">
        <v>498.0</v>
      </c>
      <c r="B500" s="13" t="s">
        <v>45</v>
      </c>
      <c r="C500" s="13">
        <v>0.0</v>
      </c>
      <c r="D500" s="14">
        <v>0.0</v>
      </c>
      <c r="E500" s="13" t="s">
        <v>3372</v>
      </c>
      <c r="F500" s="15" t="s">
        <v>3368</v>
      </c>
      <c r="G500" s="16" t="s">
        <v>3373</v>
      </c>
      <c r="H500" s="13"/>
      <c r="I500" s="13">
        <v>0.8</v>
      </c>
      <c r="J500" s="13" t="s">
        <v>100</v>
      </c>
      <c r="K500" s="13">
        <f t="shared" si="3"/>
        <v>0</v>
      </c>
      <c r="L500" s="13">
        <f t="shared" si="4"/>
        <v>1</v>
      </c>
      <c r="M500" s="13">
        <f t="shared" ref="M500:AA500" si="999">IFERROR(VALUE(RIGHT(LEFT($J500,FIND(M$1,$J500,1)+LEN(M$1)),1)),0)</f>
        <v>0</v>
      </c>
      <c r="N500" s="13">
        <f t="shared" si="999"/>
        <v>0</v>
      </c>
      <c r="O500" s="13">
        <f t="shared" si="999"/>
        <v>0</v>
      </c>
      <c r="P500" s="13">
        <f t="shared" si="999"/>
        <v>0</v>
      </c>
      <c r="Q500" s="13">
        <f t="shared" si="999"/>
        <v>0</v>
      </c>
      <c r="R500" s="13">
        <f t="shared" si="999"/>
        <v>0</v>
      </c>
      <c r="S500" s="13">
        <f t="shared" si="999"/>
        <v>0</v>
      </c>
      <c r="T500" s="13">
        <f t="shared" si="999"/>
        <v>0</v>
      </c>
      <c r="U500" s="13">
        <f t="shared" si="999"/>
        <v>0</v>
      </c>
      <c r="V500" s="13">
        <f t="shared" si="999"/>
        <v>0</v>
      </c>
      <c r="W500" s="13">
        <f t="shared" si="999"/>
        <v>0</v>
      </c>
      <c r="X500" s="13">
        <f t="shared" si="999"/>
        <v>0</v>
      </c>
      <c r="Y500" s="13">
        <f t="shared" si="999"/>
        <v>0</v>
      </c>
      <c r="Z500" s="13">
        <f t="shared" si="999"/>
        <v>0</v>
      </c>
      <c r="AA500" s="13">
        <f t="shared" si="999"/>
        <v>0</v>
      </c>
      <c r="AB500" s="13">
        <f t="shared" ref="AB500:AP500" si="1000">IFERROR(VALUE(RIGHT(LEFT($J500,FIND(AB$1,$J500,IF(M500=0,1,FIND(AB$1,$J500,1)+1))+LEN(AB$1)),1)),0)</f>
        <v>0</v>
      </c>
      <c r="AC500" s="13">
        <f t="shared" si="1000"/>
        <v>0</v>
      </c>
      <c r="AD500" s="13">
        <f t="shared" si="1000"/>
        <v>0</v>
      </c>
      <c r="AE500" s="13">
        <f t="shared" si="1000"/>
        <v>0</v>
      </c>
      <c r="AF500" s="13">
        <f t="shared" si="1000"/>
        <v>0</v>
      </c>
      <c r="AG500" s="13">
        <f t="shared" si="1000"/>
        <v>0</v>
      </c>
      <c r="AH500" s="13">
        <f t="shared" si="1000"/>
        <v>0</v>
      </c>
      <c r="AI500" s="13">
        <f t="shared" si="1000"/>
        <v>1</v>
      </c>
      <c r="AJ500" s="13">
        <f t="shared" si="1000"/>
        <v>0</v>
      </c>
      <c r="AK500" s="13">
        <f t="shared" si="1000"/>
        <v>0</v>
      </c>
      <c r="AL500" s="13">
        <f t="shared" si="1000"/>
        <v>0</v>
      </c>
      <c r="AM500" s="13">
        <f t="shared" si="1000"/>
        <v>0</v>
      </c>
      <c r="AN500" s="13">
        <f t="shared" si="1000"/>
        <v>0</v>
      </c>
      <c r="AO500" s="13">
        <f t="shared" si="1000"/>
        <v>0</v>
      </c>
      <c r="AP500" s="13">
        <f t="shared" si="1000"/>
        <v>0</v>
      </c>
      <c r="AQ500" s="13" t="s">
        <v>3374</v>
      </c>
      <c r="AR500" s="13"/>
      <c r="AS500" s="13" t="s">
        <v>102</v>
      </c>
      <c r="AT500" s="13"/>
      <c r="AU500" s="13"/>
      <c r="AV500" s="13"/>
      <c r="AW500" s="13">
        <v>0.0</v>
      </c>
      <c r="AX500" s="13">
        <v>6.0</v>
      </c>
      <c r="AY500" s="13">
        <v>0.0</v>
      </c>
      <c r="AZ500" s="13"/>
      <c r="BA500" s="13"/>
      <c r="BB500" s="13"/>
      <c r="BC500" s="13"/>
      <c r="BD500" s="13"/>
      <c r="BE500" s="13"/>
      <c r="BF500" s="13"/>
      <c r="BG500" s="13"/>
      <c r="BH500" s="13" t="s">
        <v>79</v>
      </c>
      <c r="BI500" s="13" t="b">
        <v>0</v>
      </c>
      <c r="BJ500" s="13">
        <v>0.0</v>
      </c>
      <c r="BK500" s="13">
        <v>0.0</v>
      </c>
    </row>
    <row r="501" ht="14.25" customHeight="1">
      <c r="A501" s="13">
        <v>499.0</v>
      </c>
      <c r="B501" s="13" t="s">
        <v>46</v>
      </c>
      <c r="C501" s="13">
        <v>0.0</v>
      </c>
      <c r="D501" s="14">
        <v>0.0</v>
      </c>
      <c r="E501" s="13" t="s">
        <v>3375</v>
      </c>
      <c r="F501" s="15" t="s">
        <v>3368</v>
      </c>
      <c r="G501" s="16" t="s">
        <v>3376</v>
      </c>
      <c r="H501" s="13"/>
      <c r="I501" s="13">
        <v>1.0</v>
      </c>
      <c r="J501" s="13" t="s">
        <v>111</v>
      </c>
      <c r="K501" s="13">
        <f t="shared" si="3"/>
        <v>0</v>
      </c>
      <c r="L501" s="13">
        <f t="shared" si="4"/>
        <v>1</v>
      </c>
      <c r="M501" s="13">
        <f t="shared" ref="M501:AA501" si="1001">IFERROR(VALUE(RIGHT(LEFT($J501,FIND(M$1,$J501,1)+LEN(M$1)),1)),0)</f>
        <v>0</v>
      </c>
      <c r="N501" s="13">
        <f t="shared" si="1001"/>
        <v>0</v>
      </c>
      <c r="O501" s="13">
        <f t="shared" si="1001"/>
        <v>0</v>
      </c>
      <c r="P501" s="13">
        <f t="shared" si="1001"/>
        <v>0</v>
      </c>
      <c r="Q501" s="13">
        <f t="shared" si="1001"/>
        <v>0</v>
      </c>
      <c r="R501" s="13">
        <f t="shared" si="1001"/>
        <v>0</v>
      </c>
      <c r="S501" s="13">
        <f t="shared" si="1001"/>
        <v>0</v>
      </c>
      <c r="T501" s="13">
        <f t="shared" si="1001"/>
        <v>0</v>
      </c>
      <c r="U501" s="13">
        <f t="shared" si="1001"/>
        <v>0</v>
      </c>
      <c r="V501" s="13">
        <f t="shared" si="1001"/>
        <v>0</v>
      </c>
      <c r="W501" s="13">
        <f t="shared" si="1001"/>
        <v>0</v>
      </c>
      <c r="X501" s="13">
        <f t="shared" si="1001"/>
        <v>0</v>
      </c>
      <c r="Y501" s="13">
        <f t="shared" si="1001"/>
        <v>0</v>
      </c>
      <c r="Z501" s="13">
        <f t="shared" si="1001"/>
        <v>0</v>
      </c>
      <c r="AA501" s="13">
        <f t="shared" si="1001"/>
        <v>0</v>
      </c>
      <c r="AB501" s="13">
        <f t="shared" ref="AB501:AP501" si="1002">IFERROR(VALUE(RIGHT(LEFT($J501,FIND(AB$1,$J501,IF(M501=0,1,FIND(AB$1,$J501,1)+1))+LEN(AB$1)),1)),0)</f>
        <v>0</v>
      </c>
      <c r="AC501" s="13">
        <f t="shared" si="1002"/>
        <v>0</v>
      </c>
      <c r="AD501" s="13">
        <f t="shared" si="1002"/>
        <v>0</v>
      </c>
      <c r="AE501" s="13">
        <f t="shared" si="1002"/>
        <v>0</v>
      </c>
      <c r="AF501" s="13">
        <f t="shared" si="1002"/>
        <v>0</v>
      </c>
      <c r="AG501" s="13">
        <f t="shared" si="1002"/>
        <v>0</v>
      </c>
      <c r="AH501" s="13">
        <f t="shared" si="1002"/>
        <v>0</v>
      </c>
      <c r="AI501" s="13">
        <f t="shared" si="1002"/>
        <v>0</v>
      </c>
      <c r="AJ501" s="13">
        <f t="shared" si="1002"/>
        <v>1</v>
      </c>
      <c r="AK501" s="13">
        <f t="shared" si="1002"/>
        <v>0</v>
      </c>
      <c r="AL501" s="13">
        <f t="shared" si="1002"/>
        <v>0</v>
      </c>
      <c r="AM501" s="13">
        <f t="shared" si="1002"/>
        <v>0</v>
      </c>
      <c r="AN501" s="13">
        <f t="shared" si="1002"/>
        <v>0</v>
      </c>
      <c r="AO501" s="13">
        <f t="shared" si="1002"/>
        <v>0</v>
      </c>
      <c r="AP501" s="13">
        <f t="shared" si="1002"/>
        <v>0</v>
      </c>
      <c r="AQ501" s="13" t="s">
        <v>3377</v>
      </c>
      <c r="AR501" s="13"/>
      <c r="AS501" s="13" t="s">
        <v>123</v>
      </c>
      <c r="AT501" s="13"/>
      <c r="AU501" s="13"/>
      <c r="AV501" s="13"/>
      <c r="AW501" s="13">
        <v>0.0</v>
      </c>
      <c r="AX501" s="13">
        <v>6.0</v>
      </c>
      <c r="AY501" s="13">
        <v>0.0</v>
      </c>
      <c r="AZ501" s="13"/>
      <c r="BA501" s="13"/>
      <c r="BB501" s="13"/>
      <c r="BC501" s="13"/>
      <c r="BD501" s="13"/>
      <c r="BE501" s="13"/>
      <c r="BF501" s="13"/>
      <c r="BG501" s="13"/>
      <c r="BH501" s="13" t="s">
        <v>79</v>
      </c>
      <c r="BI501" s="13" t="b">
        <v>0</v>
      </c>
      <c r="BJ501" s="13">
        <v>0.0</v>
      </c>
      <c r="BK501" s="13">
        <v>0.0</v>
      </c>
    </row>
    <row r="502" ht="14.25" customHeight="1">
      <c r="A502" s="13">
        <v>500.0</v>
      </c>
      <c r="B502" s="13" t="s">
        <v>48</v>
      </c>
      <c r="C502" s="13">
        <v>0.0</v>
      </c>
      <c r="D502" s="14">
        <v>0.0</v>
      </c>
      <c r="E502" s="13" t="s">
        <v>3378</v>
      </c>
      <c r="F502" s="15" t="s">
        <v>3368</v>
      </c>
      <c r="G502" s="16" t="s">
        <v>3379</v>
      </c>
      <c r="H502" s="13">
        <v>10.0</v>
      </c>
      <c r="I502" s="13">
        <v>0.9</v>
      </c>
      <c r="J502" s="13" t="s">
        <v>160</v>
      </c>
      <c r="K502" s="13">
        <f t="shared" si="3"/>
        <v>0</v>
      </c>
      <c r="L502" s="13">
        <f t="shared" si="4"/>
        <v>1</v>
      </c>
      <c r="M502" s="13">
        <f t="shared" ref="M502:AA502" si="1003">IFERROR(VALUE(RIGHT(LEFT($J502,FIND(M$1,$J502,1)+LEN(M$1)),1)),0)</f>
        <v>0</v>
      </c>
      <c r="N502" s="13">
        <f t="shared" si="1003"/>
        <v>0</v>
      </c>
      <c r="O502" s="13">
        <f t="shared" si="1003"/>
        <v>0</v>
      </c>
      <c r="P502" s="13">
        <f t="shared" si="1003"/>
        <v>0</v>
      </c>
      <c r="Q502" s="13">
        <f t="shared" si="1003"/>
        <v>0</v>
      </c>
      <c r="R502" s="13">
        <f t="shared" si="1003"/>
        <v>0</v>
      </c>
      <c r="S502" s="13">
        <f t="shared" si="1003"/>
        <v>0</v>
      </c>
      <c r="T502" s="13">
        <f t="shared" si="1003"/>
        <v>0</v>
      </c>
      <c r="U502" s="13">
        <f t="shared" si="1003"/>
        <v>0</v>
      </c>
      <c r="V502" s="13">
        <f t="shared" si="1003"/>
        <v>0</v>
      </c>
      <c r="W502" s="13">
        <f t="shared" si="1003"/>
        <v>0</v>
      </c>
      <c r="X502" s="13">
        <f t="shared" si="1003"/>
        <v>0</v>
      </c>
      <c r="Y502" s="13">
        <f t="shared" si="1003"/>
        <v>0</v>
      </c>
      <c r="Z502" s="13">
        <f t="shared" si="1003"/>
        <v>0</v>
      </c>
      <c r="AA502" s="13">
        <f t="shared" si="1003"/>
        <v>0</v>
      </c>
      <c r="AB502" s="13">
        <f t="shared" ref="AB502:AP502" si="1004">IFERROR(VALUE(RIGHT(LEFT($J502,FIND(AB$1,$J502,IF(M502=0,1,FIND(AB$1,$J502,1)+1))+LEN(AB$1)),1)),0)</f>
        <v>0</v>
      </c>
      <c r="AC502" s="13">
        <f t="shared" si="1004"/>
        <v>0</v>
      </c>
      <c r="AD502" s="13">
        <f t="shared" si="1004"/>
        <v>0</v>
      </c>
      <c r="AE502" s="13">
        <f t="shared" si="1004"/>
        <v>0</v>
      </c>
      <c r="AF502" s="13">
        <f t="shared" si="1004"/>
        <v>0</v>
      </c>
      <c r="AG502" s="13">
        <f t="shared" si="1004"/>
        <v>0</v>
      </c>
      <c r="AH502" s="13">
        <f t="shared" si="1004"/>
        <v>0</v>
      </c>
      <c r="AI502" s="13">
        <f t="shared" si="1004"/>
        <v>0</v>
      </c>
      <c r="AJ502" s="13">
        <f t="shared" si="1004"/>
        <v>0</v>
      </c>
      <c r="AK502" s="13">
        <f t="shared" si="1004"/>
        <v>0</v>
      </c>
      <c r="AL502" s="13">
        <f t="shared" si="1004"/>
        <v>1</v>
      </c>
      <c r="AM502" s="13">
        <f t="shared" si="1004"/>
        <v>0</v>
      </c>
      <c r="AN502" s="13">
        <f t="shared" si="1004"/>
        <v>0</v>
      </c>
      <c r="AO502" s="13">
        <f t="shared" si="1004"/>
        <v>0</v>
      </c>
      <c r="AP502" s="13">
        <f t="shared" si="1004"/>
        <v>0</v>
      </c>
      <c r="AQ502" s="13"/>
      <c r="AR502" s="13" t="s">
        <v>3380</v>
      </c>
      <c r="AS502" s="13" t="s">
        <v>3381</v>
      </c>
      <c r="AT502" s="13" t="s">
        <v>162</v>
      </c>
      <c r="AU502" s="13" t="s">
        <v>163</v>
      </c>
      <c r="AV502" s="13" t="s">
        <v>227</v>
      </c>
      <c r="AW502" s="13">
        <v>4.0</v>
      </c>
      <c r="AX502" s="13">
        <v>6.0</v>
      </c>
      <c r="AY502" s="13">
        <v>0.0</v>
      </c>
      <c r="AZ502" s="13" t="s">
        <v>132</v>
      </c>
      <c r="BA502" s="13" t="s">
        <v>133</v>
      </c>
      <c r="BB502" s="13"/>
      <c r="BC502" s="13"/>
      <c r="BD502" s="13" t="s">
        <v>167</v>
      </c>
      <c r="BE502" s="13"/>
      <c r="BF502" s="13" t="s">
        <v>811</v>
      </c>
      <c r="BG502" s="13" t="s">
        <v>169</v>
      </c>
      <c r="BH502" s="13" t="s">
        <v>79</v>
      </c>
      <c r="BI502" s="13" t="b">
        <v>0</v>
      </c>
      <c r="BJ502" s="13">
        <v>0.0</v>
      </c>
      <c r="BK502" s="13">
        <v>0.0</v>
      </c>
    </row>
    <row r="503" ht="14.25" customHeight="1">
      <c r="A503" s="13">
        <v>501.0</v>
      </c>
      <c r="B503" s="13" t="s">
        <v>48</v>
      </c>
      <c r="C503" s="13">
        <v>0.0</v>
      </c>
      <c r="D503" s="14">
        <v>0.0</v>
      </c>
      <c r="E503" s="13" t="s">
        <v>3382</v>
      </c>
      <c r="F503" s="15" t="s">
        <v>3368</v>
      </c>
      <c r="G503" s="16" t="s">
        <v>3383</v>
      </c>
      <c r="H503" s="13">
        <v>12.0</v>
      </c>
      <c r="I503" s="13">
        <v>1.0</v>
      </c>
      <c r="J503" s="13" t="s">
        <v>160</v>
      </c>
      <c r="K503" s="13">
        <f t="shared" si="3"/>
        <v>0</v>
      </c>
      <c r="L503" s="13">
        <f t="shared" si="4"/>
        <v>1</v>
      </c>
      <c r="M503" s="13">
        <f t="shared" ref="M503:AA503" si="1005">IFERROR(VALUE(RIGHT(LEFT($J503,FIND(M$1,$J503,1)+LEN(M$1)),1)),0)</f>
        <v>0</v>
      </c>
      <c r="N503" s="13">
        <f t="shared" si="1005"/>
        <v>0</v>
      </c>
      <c r="O503" s="13">
        <f t="shared" si="1005"/>
        <v>0</v>
      </c>
      <c r="P503" s="13">
        <f t="shared" si="1005"/>
        <v>0</v>
      </c>
      <c r="Q503" s="13">
        <f t="shared" si="1005"/>
        <v>0</v>
      </c>
      <c r="R503" s="13">
        <f t="shared" si="1005"/>
        <v>0</v>
      </c>
      <c r="S503" s="13">
        <f t="shared" si="1005"/>
        <v>0</v>
      </c>
      <c r="T503" s="13">
        <f t="shared" si="1005"/>
        <v>0</v>
      </c>
      <c r="U503" s="13">
        <f t="shared" si="1005"/>
        <v>0</v>
      </c>
      <c r="V503" s="13">
        <f t="shared" si="1005"/>
        <v>0</v>
      </c>
      <c r="W503" s="13">
        <f t="shared" si="1005"/>
        <v>0</v>
      </c>
      <c r="X503" s="13">
        <f t="shared" si="1005"/>
        <v>0</v>
      </c>
      <c r="Y503" s="13">
        <f t="shared" si="1005"/>
        <v>0</v>
      </c>
      <c r="Z503" s="13">
        <f t="shared" si="1005"/>
        <v>0</v>
      </c>
      <c r="AA503" s="13">
        <f t="shared" si="1005"/>
        <v>0</v>
      </c>
      <c r="AB503" s="13">
        <f t="shared" ref="AB503:AP503" si="1006">IFERROR(VALUE(RIGHT(LEFT($J503,FIND(AB$1,$J503,IF(M503=0,1,FIND(AB$1,$J503,1)+1))+LEN(AB$1)),1)),0)</f>
        <v>0</v>
      </c>
      <c r="AC503" s="13">
        <f t="shared" si="1006"/>
        <v>0</v>
      </c>
      <c r="AD503" s="13">
        <f t="shared" si="1006"/>
        <v>0</v>
      </c>
      <c r="AE503" s="13">
        <f t="shared" si="1006"/>
        <v>0</v>
      </c>
      <c r="AF503" s="13">
        <f t="shared" si="1006"/>
        <v>0</v>
      </c>
      <c r="AG503" s="13">
        <f t="shared" si="1006"/>
        <v>0</v>
      </c>
      <c r="AH503" s="13">
        <f t="shared" si="1006"/>
        <v>0</v>
      </c>
      <c r="AI503" s="13">
        <f t="shared" si="1006"/>
        <v>0</v>
      </c>
      <c r="AJ503" s="13">
        <f t="shared" si="1006"/>
        <v>0</v>
      </c>
      <c r="AK503" s="13">
        <f t="shared" si="1006"/>
        <v>0</v>
      </c>
      <c r="AL503" s="13">
        <f t="shared" si="1006"/>
        <v>1</v>
      </c>
      <c r="AM503" s="13">
        <f t="shared" si="1006"/>
        <v>0</v>
      </c>
      <c r="AN503" s="13">
        <f t="shared" si="1006"/>
        <v>0</v>
      </c>
      <c r="AO503" s="13">
        <f t="shared" si="1006"/>
        <v>0</v>
      </c>
      <c r="AP503" s="13">
        <f t="shared" si="1006"/>
        <v>0</v>
      </c>
      <c r="AQ503" s="13"/>
      <c r="AR503" s="13" t="s">
        <v>3384</v>
      </c>
      <c r="AS503" s="13" t="s">
        <v>185</v>
      </c>
      <c r="AT503" s="13" t="s">
        <v>129</v>
      </c>
      <c r="AU503" s="13" t="s">
        <v>130</v>
      </c>
      <c r="AV503" s="13" t="s">
        <v>3385</v>
      </c>
      <c r="AW503" s="13">
        <v>5.0</v>
      </c>
      <c r="AX503" s="13">
        <v>6.0</v>
      </c>
      <c r="AY503" s="13">
        <v>0.0</v>
      </c>
      <c r="AZ503" s="13" t="s">
        <v>529</v>
      </c>
      <c r="BA503" s="13" t="s">
        <v>187</v>
      </c>
      <c r="BB503" s="13"/>
      <c r="BC503" s="13"/>
      <c r="BD503" s="13" t="s">
        <v>188</v>
      </c>
      <c r="BE503" s="13"/>
      <c r="BF503" s="13" t="s">
        <v>308</v>
      </c>
      <c r="BG503" s="13" t="s">
        <v>169</v>
      </c>
      <c r="BH503" s="13" t="s">
        <v>79</v>
      </c>
      <c r="BI503" s="13" t="b">
        <v>0</v>
      </c>
      <c r="BJ503" s="13">
        <v>0.0</v>
      </c>
      <c r="BK503" s="13">
        <v>0.0</v>
      </c>
    </row>
    <row r="504" ht="14.25" customHeight="1">
      <c r="A504" s="13">
        <v>502.0</v>
      </c>
      <c r="B504" s="13" t="s">
        <v>49</v>
      </c>
      <c r="C504" s="13">
        <v>0.0</v>
      </c>
      <c r="D504" s="14">
        <v>0.0</v>
      </c>
      <c r="E504" s="13" t="s">
        <v>3386</v>
      </c>
      <c r="F504" s="15" t="s">
        <v>3368</v>
      </c>
      <c r="G504" s="16" t="s">
        <v>3387</v>
      </c>
      <c r="H504" s="13">
        <v>9.0</v>
      </c>
      <c r="I504" s="13">
        <v>0.8</v>
      </c>
      <c r="J504" s="13" t="s">
        <v>193</v>
      </c>
      <c r="K504" s="13">
        <f t="shared" si="3"/>
        <v>0</v>
      </c>
      <c r="L504" s="13">
        <f t="shared" si="4"/>
        <v>1</v>
      </c>
      <c r="M504" s="13">
        <f t="shared" ref="M504:AA504" si="1007">IFERROR(VALUE(RIGHT(LEFT($J504,FIND(M$1,$J504,1)+LEN(M$1)),1)),0)</f>
        <v>0</v>
      </c>
      <c r="N504" s="13">
        <f t="shared" si="1007"/>
        <v>0</v>
      </c>
      <c r="O504" s="13">
        <f t="shared" si="1007"/>
        <v>0</v>
      </c>
      <c r="P504" s="13">
        <f t="shared" si="1007"/>
        <v>0</v>
      </c>
      <c r="Q504" s="13">
        <f t="shared" si="1007"/>
        <v>0</v>
      </c>
      <c r="R504" s="13">
        <f t="shared" si="1007"/>
        <v>0</v>
      </c>
      <c r="S504" s="13">
        <f t="shared" si="1007"/>
        <v>0</v>
      </c>
      <c r="T504" s="13">
        <f t="shared" si="1007"/>
        <v>0</v>
      </c>
      <c r="U504" s="13">
        <f t="shared" si="1007"/>
        <v>0</v>
      </c>
      <c r="V504" s="13">
        <f t="shared" si="1007"/>
        <v>0</v>
      </c>
      <c r="W504" s="13">
        <f t="shared" si="1007"/>
        <v>0</v>
      </c>
      <c r="X504" s="13">
        <f t="shared" si="1007"/>
        <v>0</v>
      </c>
      <c r="Y504" s="13">
        <f t="shared" si="1007"/>
        <v>0</v>
      </c>
      <c r="Z504" s="13">
        <f t="shared" si="1007"/>
        <v>0</v>
      </c>
      <c r="AA504" s="13">
        <f t="shared" si="1007"/>
        <v>0</v>
      </c>
      <c r="AB504" s="13">
        <f t="shared" ref="AB504:AP504" si="1008">IFERROR(VALUE(RIGHT(LEFT($J504,FIND(AB$1,$J504,IF(M504=0,1,FIND(AB$1,$J504,1)+1))+LEN(AB$1)),1)),0)</f>
        <v>0</v>
      </c>
      <c r="AC504" s="13">
        <f t="shared" si="1008"/>
        <v>0</v>
      </c>
      <c r="AD504" s="13">
        <f t="shared" si="1008"/>
        <v>0</v>
      </c>
      <c r="AE504" s="13">
        <f t="shared" si="1008"/>
        <v>0</v>
      </c>
      <c r="AF504" s="13">
        <f t="shared" si="1008"/>
        <v>0</v>
      </c>
      <c r="AG504" s="13">
        <f t="shared" si="1008"/>
        <v>0</v>
      </c>
      <c r="AH504" s="13">
        <f t="shared" si="1008"/>
        <v>0</v>
      </c>
      <c r="AI504" s="13">
        <f t="shared" si="1008"/>
        <v>0</v>
      </c>
      <c r="AJ504" s="13">
        <f t="shared" si="1008"/>
        <v>0</v>
      </c>
      <c r="AK504" s="13">
        <f t="shared" si="1008"/>
        <v>0</v>
      </c>
      <c r="AL504" s="13">
        <f t="shared" si="1008"/>
        <v>0</v>
      </c>
      <c r="AM504" s="13">
        <f t="shared" si="1008"/>
        <v>1</v>
      </c>
      <c r="AN504" s="13">
        <f t="shared" si="1008"/>
        <v>0</v>
      </c>
      <c r="AO504" s="13">
        <f t="shared" si="1008"/>
        <v>0</v>
      </c>
      <c r="AP504" s="13">
        <f t="shared" si="1008"/>
        <v>0</v>
      </c>
      <c r="AQ504" s="13"/>
      <c r="AR504" s="13" t="s">
        <v>684</v>
      </c>
      <c r="AS504" s="13" t="s">
        <v>3388</v>
      </c>
      <c r="AT504" s="13" t="s">
        <v>142</v>
      </c>
      <c r="AU504" s="13" t="s">
        <v>130</v>
      </c>
      <c r="AV504" s="13" t="s">
        <v>3389</v>
      </c>
      <c r="AW504" s="13">
        <v>3.0</v>
      </c>
      <c r="AX504" s="13">
        <v>6.0</v>
      </c>
      <c r="AY504" s="13">
        <v>0.0</v>
      </c>
      <c r="AZ504" s="13" t="s">
        <v>259</v>
      </c>
      <c r="BA504" s="13" t="s">
        <v>502</v>
      </c>
      <c r="BB504" s="13"/>
      <c r="BC504" s="13"/>
      <c r="BD504" s="13" t="s">
        <v>220</v>
      </c>
      <c r="BE504" s="13"/>
      <c r="BF504" s="13" t="s">
        <v>512</v>
      </c>
      <c r="BG504" s="13" t="s">
        <v>201</v>
      </c>
      <c r="BH504" s="13" t="s">
        <v>79</v>
      </c>
      <c r="BI504" s="13" t="b">
        <v>0</v>
      </c>
      <c r="BJ504" s="13">
        <v>0.0</v>
      </c>
      <c r="BK504" s="13">
        <v>0.0</v>
      </c>
    </row>
    <row r="505" ht="14.25" customHeight="1">
      <c r="A505" s="13">
        <v>503.0</v>
      </c>
      <c r="B505" s="13" t="s">
        <v>44</v>
      </c>
      <c r="C505" s="13">
        <v>1.0</v>
      </c>
      <c r="D505" s="14">
        <v>0.0</v>
      </c>
      <c r="E505" s="13" t="s">
        <v>3390</v>
      </c>
      <c r="F505" s="15" t="s">
        <v>3368</v>
      </c>
      <c r="G505" s="16" t="s">
        <v>3391</v>
      </c>
      <c r="H505" s="13"/>
      <c r="I505" s="13">
        <v>0.9</v>
      </c>
      <c r="J505" s="13" t="s">
        <v>83</v>
      </c>
      <c r="K505" s="13">
        <f t="shared" si="3"/>
        <v>0</v>
      </c>
      <c r="L505" s="13">
        <f t="shared" si="4"/>
        <v>2</v>
      </c>
      <c r="M505" s="13">
        <f t="shared" ref="M505:AA505" si="1009">IFERROR(VALUE(RIGHT(LEFT($J505,FIND(M$1,$J505,1)+LEN(M$1)),1)),0)</f>
        <v>0</v>
      </c>
      <c r="N505" s="13">
        <f t="shared" si="1009"/>
        <v>0</v>
      </c>
      <c r="O505" s="13">
        <f t="shared" si="1009"/>
        <v>0</v>
      </c>
      <c r="P505" s="13">
        <f t="shared" si="1009"/>
        <v>0</v>
      </c>
      <c r="Q505" s="13">
        <f t="shared" si="1009"/>
        <v>0</v>
      </c>
      <c r="R505" s="13">
        <f t="shared" si="1009"/>
        <v>0</v>
      </c>
      <c r="S505" s="13">
        <f t="shared" si="1009"/>
        <v>0</v>
      </c>
      <c r="T505" s="13">
        <f t="shared" si="1009"/>
        <v>0</v>
      </c>
      <c r="U505" s="13">
        <f t="shared" si="1009"/>
        <v>0</v>
      </c>
      <c r="V505" s="13">
        <f t="shared" si="1009"/>
        <v>0</v>
      </c>
      <c r="W505" s="13">
        <f t="shared" si="1009"/>
        <v>0</v>
      </c>
      <c r="X505" s="13">
        <f t="shared" si="1009"/>
        <v>0</v>
      </c>
      <c r="Y505" s="13">
        <f t="shared" si="1009"/>
        <v>0</v>
      </c>
      <c r="Z505" s="13">
        <f t="shared" si="1009"/>
        <v>0</v>
      </c>
      <c r="AA505" s="13">
        <f t="shared" si="1009"/>
        <v>0</v>
      </c>
      <c r="AB505" s="13">
        <f t="shared" ref="AB505:AP505" si="1010">IFERROR(VALUE(RIGHT(LEFT($J505,FIND(AB$1,$J505,IF(M505=0,1,FIND(AB$1,$J505,1)+1))+LEN(AB$1)),1)),0)</f>
        <v>1</v>
      </c>
      <c r="AC505" s="13">
        <f t="shared" si="1010"/>
        <v>0</v>
      </c>
      <c r="AD505" s="13">
        <f t="shared" si="1010"/>
        <v>0</v>
      </c>
      <c r="AE505" s="13">
        <f t="shared" si="1010"/>
        <v>0</v>
      </c>
      <c r="AF505" s="13">
        <f t="shared" si="1010"/>
        <v>0</v>
      </c>
      <c r="AG505" s="13">
        <f t="shared" si="1010"/>
        <v>0</v>
      </c>
      <c r="AH505" s="13">
        <f t="shared" si="1010"/>
        <v>1</v>
      </c>
      <c r="AI505" s="13">
        <f t="shared" si="1010"/>
        <v>0</v>
      </c>
      <c r="AJ505" s="13">
        <f t="shared" si="1010"/>
        <v>0</v>
      </c>
      <c r="AK505" s="13">
        <f t="shared" si="1010"/>
        <v>0</v>
      </c>
      <c r="AL505" s="13">
        <f t="shared" si="1010"/>
        <v>0</v>
      </c>
      <c r="AM505" s="13">
        <f t="shared" si="1010"/>
        <v>0</v>
      </c>
      <c r="AN505" s="13">
        <f t="shared" si="1010"/>
        <v>0</v>
      </c>
      <c r="AO505" s="13">
        <f t="shared" si="1010"/>
        <v>0</v>
      </c>
      <c r="AP505" s="13">
        <f t="shared" si="1010"/>
        <v>0</v>
      </c>
      <c r="AQ505" s="13" t="s">
        <v>3392</v>
      </c>
      <c r="AR505" s="13"/>
      <c r="AS505" s="13" t="s">
        <v>2215</v>
      </c>
      <c r="AT505" s="13"/>
      <c r="AU505" s="13"/>
      <c r="AV505" s="13"/>
      <c r="AW505" s="13">
        <v>0.0</v>
      </c>
      <c r="AX505" s="13">
        <v>6.0</v>
      </c>
      <c r="AY505" s="13">
        <v>0.0</v>
      </c>
      <c r="AZ505" s="13"/>
      <c r="BA505" s="13"/>
      <c r="BB505" s="13"/>
      <c r="BC505" s="13"/>
      <c r="BD505" s="13"/>
      <c r="BE505" s="13"/>
      <c r="BF505" s="13"/>
      <c r="BG505" s="13"/>
      <c r="BH505" s="13" t="s">
        <v>79</v>
      </c>
      <c r="BI505" s="13" t="b">
        <v>0</v>
      </c>
      <c r="BJ505" s="13">
        <v>0.0</v>
      </c>
      <c r="BK505" s="13">
        <v>0.0</v>
      </c>
    </row>
    <row r="506" ht="14.25" customHeight="1">
      <c r="A506" s="13">
        <v>504.0</v>
      </c>
      <c r="B506" s="13" t="s">
        <v>45</v>
      </c>
      <c r="C506" s="13">
        <v>1.0</v>
      </c>
      <c r="D506" s="14">
        <v>0.0</v>
      </c>
      <c r="E506" s="13" t="s">
        <v>3393</v>
      </c>
      <c r="F506" s="15" t="s">
        <v>3368</v>
      </c>
      <c r="G506" s="16" t="s">
        <v>3394</v>
      </c>
      <c r="H506" s="13"/>
      <c r="I506" s="13">
        <v>0.9</v>
      </c>
      <c r="J506" s="13" t="s">
        <v>2613</v>
      </c>
      <c r="K506" s="13">
        <f t="shared" si="3"/>
        <v>0</v>
      </c>
      <c r="L506" s="13">
        <f t="shared" si="4"/>
        <v>2</v>
      </c>
      <c r="M506" s="13">
        <f t="shared" ref="M506:AA506" si="1011">IFERROR(VALUE(RIGHT(LEFT($J506,FIND(M$1,$J506,1)+LEN(M$1)),1)),0)</f>
        <v>0</v>
      </c>
      <c r="N506" s="13">
        <f t="shared" si="1011"/>
        <v>0</v>
      </c>
      <c r="O506" s="13">
        <f t="shared" si="1011"/>
        <v>0</v>
      </c>
      <c r="P506" s="13">
        <f t="shared" si="1011"/>
        <v>0</v>
      </c>
      <c r="Q506" s="13">
        <f t="shared" si="1011"/>
        <v>0</v>
      </c>
      <c r="R506" s="13">
        <f t="shared" si="1011"/>
        <v>0</v>
      </c>
      <c r="S506" s="13">
        <f t="shared" si="1011"/>
        <v>0</v>
      </c>
      <c r="T506" s="13">
        <f t="shared" si="1011"/>
        <v>0</v>
      </c>
      <c r="U506" s="13">
        <f t="shared" si="1011"/>
        <v>0</v>
      </c>
      <c r="V506" s="13">
        <f t="shared" si="1011"/>
        <v>0</v>
      </c>
      <c r="W506" s="13">
        <f t="shared" si="1011"/>
        <v>0</v>
      </c>
      <c r="X506" s="13">
        <f t="shared" si="1011"/>
        <v>0</v>
      </c>
      <c r="Y506" s="13">
        <f t="shared" si="1011"/>
        <v>0</v>
      </c>
      <c r="Z506" s="13">
        <f t="shared" si="1011"/>
        <v>0</v>
      </c>
      <c r="AA506" s="13">
        <f t="shared" si="1011"/>
        <v>0</v>
      </c>
      <c r="AB506" s="13">
        <f t="shared" ref="AB506:AP506" si="1012">IFERROR(VALUE(RIGHT(LEFT($J506,FIND(AB$1,$J506,IF(M506=0,1,FIND(AB$1,$J506,1)+1))+LEN(AB$1)),1)),0)</f>
        <v>0</v>
      </c>
      <c r="AC506" s="13">
        <f t="shared" si="1012"/>
        <v>0</v>
      </c>
      <c r="AD506" s="13">
        <f t="shared" si="1012"/>
        <v>0</v>
      </c>
      <c r="AE506" s="13">
        <f t="shared" si="1012"/>
        <v>0</v>
      </c>
      <c r="AF506" s="13">
        <f t="shared" si="1012"/>
        <v>1</v>
      </c>
      <c r="AG506" s="13">
        <f t="shared" si="1012"/>
        <v>0</v>
      </c>
      <c r="AH506" s="13">
        <f t="shared" si="1012"/>
        <v>0</v>
      </c>
      <c r="AI506" s="13">
        <f t="shared" si="1012"/>
        <v>1</v>
      </c>
      <c r="AJ506" s="13">
        <f t="shared" si="1012"/>
        <v>0</v>
      </c>
      <c r="AK506" s="13">
        <f t="shared" si="1012"/>
        <v>0</v>
      </c>
      <c r="AL506" s="13">
        <f t="shared" si="1012"/>
        <v>0</v>
      </c>
      <c r="AM506" s="13">
        <f t="shared" si="1012"/>
        <v>0</v>
      </c>
      <c r="AN506" s="13">
        <f t="shared" si="1012"/>
        <v>0</v>
      </c>
      <c r="AO506" s="13">
        <f t="shared" si="1012"/>
        <v>0</v>
      </c>
      <c r="AP506" s="13">
        <f t="shared" si="1012"/>
        <v>0</v>
      </c>
      <c r="AQ506" s="13" t="s">
        <v>3395</v>
      </c>
      <c r="AR506" s="13"/>
      <c r="AS506" s="13" t="s">
        <v>3396</v>
      </c>
      <c r="AT506" s="13"/>
      <c r="AU506" s="13"/>
      <c r="AV506" s="13"/>
      <c r="AW506" s="13">
        <v>0.0</v>
      </c>
      <c r="AX506" s="13">
        <v>6.0</v>
      </c>
      <c r="AY506" s="13">
        <v>0.0</v>
      </c>
      <c r="AZ506" s="13"/>
      <c r="BA506" s="13"/>
      <c r="BB506" s="13"/>
      <c r="BC506" s="13"/>
      <c r="BD506" s="13"/>
      <c r="BE506" s="13"/>
      <c r="BF506" s="13"/>
      <c r="BG506" s="13"/>
      <c r="BH506" s="13" t="s">
        <v>79</v>
      </c>
      <c r="BI506" s="13" t="b">
        <v>0</v>
      </c>
      <c r="BJ506" s="13">
        <v>0.0</v>
      </c>
      <c r="BK506" s="13">
        <v>0.0</v>
      </c>
    </row>
    <row r="507" ht="14.25" customHeight="1">
      <c r="A507" s="13">
        <v>505.0</v>
      </c>
      <c r="B507" s="13" t="s">
        <v>46</v>
      </c>
      <c r="C507" s="13">
        <v>1.0</v>
      </c>
      <c r="D507" s="14">
        <v>0.0</v>
      </c>
      <c r="E507" s="13" t="s">
        <v>3397</v>
      </c>
      <c r="F507" s="15" t="s">
        <v>3368</v>
      </c>
      <c r="G507" s="16" t="s">
        <v>3398</v>
      </c>
      <c r="H507" s="13"/>
      <c r="I507" s="13">
        <v>1.1</v>
      </c>
      <c r="J507" s="13" t="s">
        <v>451</v>
      </c>
      <c r="K507" s="13">
        <f t="shared" si="3"/>
        <v>0</v>
      </c>
      <c r="L507" s="13">
        <f t="shared" si="4"/>
        <v>2</v>
      </c>
      <c r="M507" s="13">
        <f t="shared" ref="M507:AA507" si="1013">IFERROR(VALUE(RIGHT(LEFT($J507,FIND(M$1,$J507,1)+LEN(M$1)),1)),0)</f>
        <v>0</v>
      </c>
      <c r="N507" s="13">
        <f t="shared" si="1013"/>
        <v>0</v>
      </c>
      <c r="O507" s="13">
        <f t="shared" si="1013"/>
        <v>0</v>
      </c>
      <c r="P507" s="13">
        <f t="shared" si="1013"/>
        <v>0</v>
      </c>
      <c r="Q507" s="13">
        <f t="shared" si="1013"/>
        <v>0</v>
      </c>
      <c r="R507" s="13">
        <f t="shared" si="1013"/>
        <v>0</v>
      </c>
      <c r="S507" s="13">
        <f t="shared" si="1013"/>
        <v>0</v>
      </c>
      <c r="T507" s="13">
        <f t="shared" si="1013"/>
        <v>0</v>
      </c>
      <c r="U507" s="13">
        <f t="shared" si="1013"/>
        <v>0</v>
      </c>
      <c r="V507" s="13">
        <f t="shared" si="1013"/>
        <v>0</v>
      </c>
      <c r="W507" s="13">
        <f t="shared" si="1013"/>
        <v>0</v>
      </c>
      <c r="X507" s="13">
        <f t="shared" si="1013"/>
        <v>0</v>
      </c>
      <c r="Y507" s="13">
        <f t="shared" si="1013"/>
        <v>0</v>
      </c>
      <c r="Z507" s="13">
        <f t="shared" si="1013"/>
        <v>0</v>
      </c>
      <c r="AA507" s="13">
        <f t="shared" si="1013"/>
        <v>0</v>
      </c>
      <c r="AB507" s="13">
        <f t="shared" ref="AB507:AP507" si="1014">IFERROR(VALUE(RIGHT(LEFT($J507,FIND(AB$1,$J507,IF(M507=0,1,FIND(AB$1,$J507,1)+1))+LEN(AB$1)),1)),0)</f>
        <v>0</v>
      </c>
      <c r="AC507" s="13">
        <f t="shared" si="1014"/>
        <v>1</v>
      </c>
      <c r="AD507" s="13">
        <f t="shared" si="1014"/>
        <v>0</v>
      </c>
      <c r="AE507" s="13">
        <f t="shared" si="1014"/>
        <v>0</v>
      </c>
      <c r="AF507" s="13">
        <f t="shared" si="1014"/>
        <v>0</v>
      </c>
      <c r="AG507" s="13">
        <f t="shared" si="1014"/>
        <v>0</v>
      </c>
      <c r="AH507" s="13">
        <f t="shared" si="1014"/>
        <v>0</v>
      </c>
      <c r="AI507" s="13">
        <f t="shared" si="1014"/>
        <v>0</v>
      </c>
      <c r="AJ507" s="13">
        <f t="shared" si="1014"/>
        <v>1</v>
      </c>
      <c r="AK507" s="13">
        <f t="shared" si="1014"/>
        <v>0</v>
      </c>
      <c r="AL507" s="13">
        <f t="shared" si="1014"/>
        <v>0</v>
      </c>
      <c r="AM507" s="13">
        <f t="shared" si="1014"/>
        <v>0</v>
      </c>
      <c r="AN507" s="13">
        <f t="shared" si="1014"/>
        <v>0</v>
      </c>
      <c r="AO507" s="13">
        <f t="shared" si="1014"/>
        <v>0</v>
      </c>
      <c r="AP507" s="13">
        <f t="shared" si="1014"/>
        <v>0</v>
      </c>
      <c r="AQ507" s="13" t="s">
        <v>3399</v>
      </c>
      <c r="AR507" s="13"/>
      <c r="AS507" s="13" t="s">
        <v>3400</v>
      </c>
      <c r="AT507" s="13"/>
      <c r="AU507" s="13"/>
      <c r="AV507" s="13"/>
      <c r="AW507" s="13">
        <v>0.0</v>
      </c>
      <c r="AX507" s="13">
        <v>6.0</v>
      </c>
      <c r="AY507" s="13">
        <v>0.0</v>
      </c>
      <c r="AZ507" s="13"/>
      <c r="BA507" s="13"/>
      <c r="BB507" s="13"/>
      <c r="BC507" s="13"/>
      <c r="BD507" s="13"/>
      <c r="BE507" s="13"/>
      <c r="BF507" s="13"/>
      <c r="BG507" s="13"/>
      <c r="BH507" s="13" t="s">
        <v>79</v>
      </c>
      <c r="BI507" s="13" t="b">
        <v>0</v>
      </c>
      <c r="BJ507" s="13">
        <v>0.0</v>
      </c>
      <c r="BK507" s="13">
        <v>0.0</v>
      </c>
    </row>
    <row r="508" ht="14.25" customHeight="1">
      <c r="A508" s="13">
        <v>506.0</v>
      </c>
      <c r="B508" s="13" t="s">
        <v>48</v>
      </c>
      <c r="C508" s="13">
        <v>1.0</v>
      </c>
      <c r="D508" s="14">
        <v>0.0</v>
      </c>
      <c r="E508" s="13" t="s">
        <v>3401</v>
      </c>
      <c r="F508" s="15" t="s">
        <v>3368</v>
      </c>
      <c r="G508" s="16" t="s">
        <v>3402</v>
      </c>
      <c r="H508" s="13">
        <v>11.0</v>
      </c>
      <c r="I508" s="13">
        <v>1.0</v>
      </c>
      <c r="J508" s="13" t="s">
        <v>591</v>
      </c>
      <c r="K508" s="13">
        <f t="shared" si="3"/>
        <v>0</v>
      </c>
      <c r="L508" s="13">
        <f t="shared" si="4"/>
        <v>2</v>
      </c>
      <c r="M508" s="13">
        <f t="shared" ref="M508:AA508" si="1015">IFERROR(VALUE(RIGHT(LEFT($J508,FIND(M$1,$J508,1)+LEN(M$1)),1)),0)</f>
        <v>0</v>
      </c>
      <c r="N508" s="13">
        <f t="shared" si="1015"/>
        <v>0</v>
      </c>
      <c r="O508" s="13">
        <f t="shared" si="1015"/>
        <v>0</v>
      </c>
      <c r="P508" s="13">
        <f t="shared" si="1015"/>
        <v>0</v>
      </c>
      <c r="Q508" s="13">
        <f t="shared" si="1015"/>
        <v>0</v>
      </c>
      <c r="R508" s="13">
        <f t="shared" si="1015"/>
        <v>0</v>
      </c>
      <c r="S508" s="13">
        <f t="shared" si="1015"/>
        <v>0</v>
      </c>
      <c r="T508" s="13">
        <f t="shared" si="1015"/>
        <v>0</v>
      </c>
      <c r="U508" s="13">
        <f t="shared" si="1015"/>
        <v>0</v>
      </c>
      <c r="V508" s="13">
        <f t="shared" si="1015"/>
        <v>0</v>
      </c>
      <c r="W508" s="13">
        <f t="shared" si="1015"/>
        <v>0</v>
      </c>
      <c r="X508" s="13">
        <f t="shared" si="1015"/>
        <v>0</v>
      </c>
      <c r="Y508" s="13">
        <f t="shared" si="1015"/>
        <v>0</v>
      </c>
      <c r="Z508" s="13">
        <f t="shared" si="1015"/>
        <v>0</v>
      </c>
      <c r="AA508" s="13">
        <f t="shared" si="1015"/>
        <v>0</v>
      </c>
      <c r="AB508" s="13">
        <f t="shared" ref="AB508:AP508" si="1016">IFERROR(VALUE(RIGHT(LEFT($J508,FIND(AB$1,$J508,IF(M508=0,1,FIND(AB$1,$J508,1)+1))+LEN(AB$1)),1)),0)</f>
        <v>0</v>
      </c>
      <c r="AC508" s="13">
        <f t="shared" si="1016"/>
        <v>1</v>
      </c>
      <c r="AD508" s="13">
        <f t="shared" si="1016"/>
        <v>0</v>
      </c>
      <c r="AE508" s="13">
        <f t="shared" si="1016"/>
        <v>0</v>
      </c>
      <c r="AF508" s="13">
        <f t="shared" si="1016"/>
        <v>0</v>
      </c>
      <c r="AG508" s="13">
        <f t="shared" si="1016"/>
        <v>0</v>
      </c>
      <c r="AH508" s="13">
        <f t="shared" si="1016"/>
        <v>0</v>
      </c>
      <c r="AI508" s="13">
        <f t="shared" si="1016"/>
        <v>0</v>
      </c>
      <c r="AJ508" s="13">
        <f t="shared" si="1016"/>
        <v>0</v>
      </c>
      <c r="AK508" s="13">
        <f t="shared" si="1016"/>
        <v>0</v>
      </c>
      <c r="AL508" s="13">
        <f t="shared" si="1016"/>
        <v>1</v>
      </c>
      <c r="AM508" s="13">
        <f t="shared" si="1016"/>
        <v>0</v>
      </c>
      <c r="AN508" s="13">
        <f t="shared" si="1016"/>
        <v>0</v>
      </c>
      <c r="AO508" s="13">
        <f t="shared" si="1016"/>
        <v>0</v>
      </c>
      <c r="AP508" s="13">
        <f t="shared" si="1016"/>
        <v>0</v>
      </c>
      <c r="AQ508" s="13"/>
      <c r="AR508" s="13" t="s">
        <v>1171</v>
      </c>
      <c r="AS508" s="13" t="s">
        <v>3403</v>
      </c>
      <c r="AT508" s="13" t="s">
        <v>162</v>
      </c>
      <c r="AU508" s="13" t="s">
        <v>236</v>
      </c>
      <c r="AV508" s="13" t="s">
        <v>3404</v>
      </c>
      <c r="AW508" s="13">
        <v>6.0</v>
      </c>
      <c r="AX508" s="13">
        <v>6.0</v>
      </c>
      <c r="AY508" s="13">
        <v>0.0</v>
      </c>
      <c r="AZ508" s="13" t="s">
        <v>2203</v>
      </c>
      <c r="BA508" s="13" t="s">
        <v>594</v>
      </c>
      <c r="BB508" s="13"/>
      <c r="BC508" s="13"/>
      <c r="BD508" s="13" t="s">
        <v>188</v>
      </c>
      <c r="BE508" s="13"/>
      <c r="BF508" s="13" t="s">
        <v>587</v>
      </c>
      <c r="BG508" s="13" t="s">
        <v>169</v>
      </c>
      <c r="BH508" s="13" t="s">
        <v>79</v>
      </c>
      <c r="BI508" s="13" t="b">
        <v>0</v>
      </c>
      <c r="BJ508" s="13">
        <v>0.0</v>
      </c>
      <c r="BK508" s="13">
        <v>0.0</v>
      </c>
    </row>
    <row r="509" ht="14.25" customHeight="1">
      <c r="A509" s="13">
        <v>507.0</v>
      </c>
      <c r="B509" s="13" t="s">
        <v>48</v>
      </c>
      <c r="C509" s="13">
        <v>1.0</v>
      </c>
      <c r="D509" s="14">
        <v>0.0</v>
      </c>
      <c r="E509" s="13" t="s">
        <v>3405</v>
      </c>
      <c r="F509" s="15" t="s">
        <v>3368</v>
      </c>
      <c r="G509" s="16" t="s">
        <v>3406</v>
      </c>
      <c r="H509" s="13">
        <v>13.0</v>
      </c>
      <c r="I509" s="13">
        <v>1.1</v>
      </c>
      <c r="J509" s="13" t="s">
        <v>621</v>
      </c>
      <c r="K509" s="13">
        <f t="shared" si="3"/>
        <v>0</v>
      </c>
      <c r="L509" s="13">
        <f t="shared" si="4"/>
        <v>2</v>
      </c>
      <c r="M509" s="13">
        <f t="shared" ref="M509:AA509" si="1017">IFERROR(VALUE(RIGHT(LEFT($J509,FIND(M$1,$J509,1)+LEN(M$1)),1)),0)</f>
        <v>0</v>
      </c>
      <c r="N509" s="13">
        <f t="shared" si="1017"/>
        <v>0</v>
      </c>
      <c r="O509" s="13">
        <f t="shared" si="1017"/>
        <v>0</v>
      </c>
      <c r="P509" s="13">
        <f t="shared" si="1017"/>
        <v>0</v>
      </c>
      <c r="Q509" s="13">
        <f t="shared" si="1017"/>
        <v>0</v>
      </c>
      <c r="R509" s="13">
        <f t="shared" si="1017"/>
        <v>0</v>
      </c>
      <c r="S509" s="13">
        <f t="shared" si="1017"/>
        <v>0</v>
      </c>
      <c r="T509" s="13">
        <f t="shared" si="1017"/>
        <v>0</v>
      </c>
      <c r="U509" s="13">
        <f t="shared" si="1017"/>
        <v>0</v>
      </c>
      <c r="V509" s="13">
        <f t="shared" si="1017"/>
        <v>0</v>
      </c>
      <c r="W509" s="13">
        <f t="shared" si="1017"/>
        <v>0</v>
      </c>
      <c r="X509" s="13">
        <f t="shared" si="1017"/>
        <v>0</v>
      </c>
      <c r="Y509" s="13">
        <f t="shared" si="1017"/>
        <v>0</v>
      </c>
      <c r="Z509" s="13">
        <f t="shared" si="1017"/>
        <v>0</v>
      </c>
      <c r="AA509" s="13">
        <f t="shared" si="1017"/>
        <v>0</v>
      </c>
      <c r="AB509" s="13">
        <f t="shared" ref="AB509:AP509" si="1018">IFERROR(VALUE(RIGHT(LEFT($J509,FIND(AB$1,$J509,IF(M509=0,1,FIND(AB$1,$J509,1)+1))+LEN(AB$1)),1)),0)</f>
        <v>0</v>
      </c>
      <c r="AC509" s="13">
        <f t="shared" si="1018"/>
        <v>0</v>
      </c>
      <c r="AD509" s="13">
        <f t="shared" si="1018"/>
        <v>0</v>
      </c>
      <c r="AE509" s="13">
        <f t="shared" si="1018"/>
        <v>0</v>
      </c>
      <c r="AF509" s="13">
        <f t="shared" si="1018"/>
        <v>1</v>
      </c>
      <c r="AG509" s="13">
        <f t="shared" si="1018"/>
        <v>0</v>
      </c>
      <c r="AH509" s="13">
        <f t="shared" si="1018"/>
        <v>0</v>
      </c>
      <c r="AI509" s="13">
        <f t="shared" si="1018"/>
        <v>0</v>
      </c>
      <c r="AJ509" s="13">
        <f t="shared" si="1018"/>
        <v>0</v>
      </c>
      <c r="AK509" s="13">
        <f t="shared" si="1018"/>
        <v>0</v>
      </c>
      <c r="AL509" s="13">
        <f t="shared" si="1018"/>
        <v>1</v>
      </c>
      <c r="AM509" s="13">
        <f t="shared" si="1018"/>
        <v>0</v>
      </c>
      <c r="AN509" s="13">
        <f t="shared" si="1018"/>
        <v>0</v>
      </c>
      <c r="AO509" s="13">
        <f t="shared" si="1018"/>
        <v>0</v>
      </c>
      <c r="AP509" s="13">
        <f t="shared" si="1018"/>
        <v>0</v>
      </c>
      <c r="AQ509" s="13"/>
      <c r="AR509" s="13" t="s">
        <v>3407</v>
      </c>
      <c r="AS509" s="13" t="s">
        <v>572</v>
      </c>
      <c r="AT509" s="13" t="s">
        <v>257</v>
      </c>
      <c r="AU509" s="13" t="s">
        <v>269</v>
      </c>
      <c r="AV509" s="13" t="s">
        <v>3408</v>
      </c>
      <c r="AW509" s="13">
        <v>10.0</v>
      </c>
      <c r="AX509" s="13">
        <v>6.0</v>
      </c>
      <c r="AY509" s="13">
        <v>0.0</v>
      </c>
      <c r="AZ509" s="13" t="s">
        <v>292</v>
      </c>
      <c r="BA509" s="13" t="s">
        <v>293</v>
      </c>
      <c r="BB509" s="13"/>
      <c r="BC509" s="13"/>
      <c r="BD509" s="13" t="s">
        <v>167</v>
      </c>
      <c r="BE509" s="13"/>
      <c r="BF509" s="13" t="s">
        <v>3409</v>
      </c>
      <c r="BG509" s="13" t="s">
        <v>169</v>
      </c>
      <c r="BH509" s="13" t="s">
        <v>79</v>
      </c>
      <c r="BI509" s="13" t="b">
        <v>0</v>
      </c>
      <c r="BJ509" s="13">
        <v>0.0</v>
      </c>
      <c r="BK509" s="13">
        <v>0.0</v>
      </c>
    </row>
    <row r="510" ht="14.25" customHeight="1">
      <c r="A510" s="13">
        <v>508.0</v>
      </c>
      <c r="B510" s="13" t="s">
        <v>49</v>
      </c>
      <c r="C510" s="13">
        <v>1.0</v>
      </c>
      <c r="D510" s="14">
        <v>0.0</v>
      </c>
      <c r="E510" s="13" t="s">
        <v>3410</v>
      </c>
      <c r="F510" s="15" t="s">
        <v>3368</v>
      </c>
      <c r="G510" s="16" t="s">
        <v>3411</v>
      </c>
      <c r="H510" s="13">
        <v>12.0</v>
      </c>
      <c r="I510" s="13">
        <v>1.1</v>
      </c>
      <c r="J510" s="13" t="s">
        <v>638</v>
      </c>
      <c r="K510" s="13">
        <f t="shared" si="3"/>
        <v>0</v>
      </c>
      <c r="L510" s="13">
        <f t="shared" si="4"/>
        <v>2</v>
      </c>
      <c r="M510" s="13">
        <f t="shared" ref="M510:AA510" si="1019">IFERROR(VALUE(RIGHT(LEFT($J510,FIND(M$1,$J510,1)+LEN(M$1)),1)),0)</f>
        <v>0</v>
      </c>
      <c r="N510" s="13">
        <f t="shared" si="1019"/>
        <v>0</v>
      </c>
      <c r="O510" s="13">
        <f t="shared" si="1019"/>
        <v>0</v>
      </c>
      <c r="P510" s="13">
        <f t="shared" si="1019"/>
        <v>0</v>
      </c>
      <c r="Q510" s="13">
        <f t="shared" si="1019"/>
        <v>0</v>
      </c>
      <c r="R510" s="13">
        <f t="shared" si="1019"/>
        <v>0</v>
      </c>
      <c r="S510" s="13">
        <f t="shared" si="1019"/>
        <v>0</v>
      </c>
      <c r="T510" s="13">
        <f t="shared" si="1019"/>
        <v>0</v>
      </c>
      <c r="U510" s="13">
        <f t="shared" si="1019"/>
        <v>0</v>
      </c>
      <c r="V510" s="13">
        <f t="shared" si="1019"/>
        <v>0</v>
      </c>
      <c r="W510" s="13">
        <f t="shared" si="1019"/>
        <v>0</v>
      </c>
      <c r="X510" s="13">
        <f t="shared" si="1019"/>
        <v>0</v>
      </c>
      <c r="Y510" s="13">
        <f t="shared" si="1019"/>
        <v>0</v>
      </c>
      <c r="Z510" s="13">
        <f t="shared" si="1019"/>
        <v>0</v>
      </c>
      <c r="AA510" s="13">
        <f t="shared" si="1019"/>
        <v>0</v>
      </c>
      <c r="AB510" s="13">
        <f t="shared" ref="AB510:AP510" si="1020">IFERROR(VALUE(RIGHT(LEFT($J510,FIND(AB$1,$J510,IF(M510=0,1,FIND(AB$1,$J510,1)+1))+LEN(AB$1)),1)),0)</f>
        <v>1</v>
      </c>
      <c r="AC510" s="13">
        <f t="shared" si="1020"/>
        <v>0</v>
      </c>
      <c r="AD510" s="13">
        <f t="shared" si="1020"/>
        <v>0</v>
      </c>
      <c r="AE510" s="13">
        <f t="shared" si="1020"/>
        <v>0</v>
      </c>
      <c r="AF510" s="13">
        <f t="shared" si="1020"/>
        <v>0</v>
      </c>
      <c r="AG510" s="13">
        <f t="shared" si="1020"/>
        <v>0</v>
      </c>
      <c r="AH510" s="13">
        <f t="shared" si="1020"/>
        <v>0</v>
      </c>
      <c r="AI510" s="13">
        <f t="shared" si="1020"/>
        <v>0</v>
      </c>
      <c r="AJ510" s="13">
        <f t="shared" si="1020"/>
        <v>0</v>
      </c>
      <c r="AK510" s="13">
        <f t="shared" si="1020"/>
        <v>0</v>
      </c>
      <c r="AL510" s="13">
        <f t="shared" si="1020"/>
        <v>0</v>
      </c>
      <c r="AM510" s="13">
        <f t="shared" si="1020"/>
        <v>1</v>
      </c>
      <c r="AN510" s="13">
        <f t="shared" si="1020"/>
        <v>0</v>
      </c>
      <c r="AO510" s="13">
        <f t="shared" si="1020"/>
        <v>0</v>
      </c>
      <c r="AP510" s="13">
        <f t="shared" si="1020"/>
        <v>0</v>
      </c>
      <c r="AQ510" s="13"/>
      <c r="AR510" s="13" t="s">
        <v>3412</v>
      </c>
      <c r="AS510" s="13" t="s">
        <v>3413</v>
      </c>
      <c r="AT510" s="13" t="s">
        <v>162</v>
      </c>
      <c r="AU510" s="13" t="s">
        <v>195</v>
      </c>
      <c r="AV510" s="13" t="s">
        <v>546</v>
      </c>
      <c r="AW510" s="13">
        <v>8.0</v>
      </c>
      <c r="AX510" s="13">
        <v>6.0</v>
      </c>
      <c r="AY510" s="13">
        <v>0.0</v>
      </c>
      <c r="AZ510" s="13" t="s">
        <v>209</v>
      </c>
      <c r="BA510" s="13" t="s">
        <v>758</v>
      </c>
      <c r="BB510" s="13"/>
      <c r="BC510" s="13"/>
      <c r="BD510" s="13" t="s">
        <v>199</v>
      </c>
      <c r="BE510" s="13"/>
      <c r="BF510" s="13" t="s">
        <v>521</v>
      </c>
      <c r="BG510" s="13" t="s">
        <v>201</v>
      </c>
      <c r="BH510" s="13" t="s">
        <v>79</v>
      </c>
      <c r="BI510" s="13" t="b">
        <v>0</v>
      </c>
      <c r="BJ510" s="13">
        <v>0.0</v>
      </c>
      <c r="BK510" s="13">
        <v>0.0</v>
      </c>
    </row>
    <row r="511" ht="14.25" customHeight="1">
      <c r="A511" s="13">
        <v>509.0</v>
      </c>
      <c r="B511" s="13" t="s">
        <v>44</v>
      </c>
      <c r="C511" s="13">
        <v>2.0</v>
      </c>
      <c r="D511" s="14">
        <v>0.0</v>
      </c>
      <c r="E511" s="13" t="s">
        <v>3414</v>
      </c>
      <c r="F511" s="15" t="s">
        <v>3368</v>
      </c>
      <c r="G511" s="16" t="s">
        <v>3415</v>
      </c>
      <c r="H511" s="13"/>
      <c r="I511" s="13">
        <v>1.0</v>
      </c>
      <c r="J511" s="13" t="s">
        <v>968</v>
      </c>
      <c r="K511" s="13">
        <f t="shared" si="3"/>
        <v>0</v>
      </c>
      <c r="L511" s="13">
        <f t="shared" si="4"/>
        <v>3</v>
      </c>
      <c r="M511" s="13">
        <f t="shared" ref="M511:AA511" si="1021">IFERROR(VALUE(RIGHT(LEFT($J511,FIND(M$1,$J511,1)+LEN(M$1)),1)),0)</f>
        <v>0</v>
      </c>
      <c r="N511" s="13">
        <f t="shared" si="1021"/>
        <v>0</v>
      </c>
      <c r="O511" s="13">
        <f t="shared" si="1021"/>
        <v>0</v>
      </c>
      <c r="P511" s="13">
        <f t="shared" si="1021"/>
        <v>0</v>
      </c>
      <c r="Q511" s="13">
        <f t="shared" si="1021"/>
        <v>0</v>
      </c>
      <c r="R511" s="13">
        <f t="shared" si="1021"/>
        <v>0</v>
      </c>
      <c r="S511" s="13">
        <f t="shared" si="1021"/>
        <v>0</v>
      </c>
      <c r="T511" s="13">
        <f t="shared" si="1021"/>
        <v>0</v>
      </c>
      <c r="U511" s="13">
        <f t="shared" si="1021"/>
        <v>0</v>
      </c>
      <c r="V511" s="13">
        <f t="shared" si="1021"/>
        <v>0</v>
      </c>
      <c r="W511" s="13">
        <f t="shared" si="1021"/>
        <v>0</v>
      </c>
      <c r="X511" s="13">
        <f t="shared" si="1021"/>
        <v>0</v>
      </c>
      <c r="Y511" s="13">
        <f t="shared" si="1021"/>
        <v>0</v>
      </c>
      <c r="Z511" s="13">
        <f t="shared" si="1021"/>
        <v>0</v>
      </c>
      <c r="AA511" s="13">
        <f t="shared" si="1021"/>
        <v>0</v>
      </c>
      <c r="AB511" s="13">
        <f t="shared" ref="AB511:AP511" si="1022">IFERROR(VALUE(RIGHT(LEFT($J511,FIND(AB$1,$J511,IF(M511=0,1,FIND(AB$1,$J511,1)+1))+LEN(AB$1)),1)),0)</f>
        <v>1</v>
      </c>
      <c r="AC511" s="13">
        <f t="shared" si="1022"/>
        <v>0</v>
      </c>
      <c r="AD511" s="13">
        <f t="shared" si="1022"/>
        <v>0</v>
      </c>
      <c r="AE511" s="13">
        <f t="shared" si="1022"/>
        <v>0</v>
      </c>
      <c r="AF511" s="13">
        <f t="shared" si="1022"/>
        <v>0</v>
      </c>
      <c r="AG511" s="13">
        <f t="shared" si="1022"/>
        <v>0</v>
      </c>
      <c r="AH511" s="13">
        <f t="shared" si="1022"/>
        <v>2</v>
      </c>
      <c r="AI511" s="13">
        <f t="shared" si="1022"/>
        <v>0</v>
      </c>
      <c r="AJ511" s="13">
        <f t="shared" si="1022"/>
        <v>0</v>
      </c>
      <c r="AK511" s="13">
        <f t="shared" si="1022"/>
        <v>0</v>
      </c>
      <c r="AL511" s="13">
        <f t="shared" si="1022"/>
        <v>0</v>
      </c>
      <c r="AM511" s="13">
        <f t="shared" si="1022"/>
        <v>0</v>
      </c>
      <c r="AN511" s="13">
        <f t="shared" si="1022"/>
        <v>0</v>
      </c>
      <c r="AO511" s="13">
        <f t="shared" si="1022"/>
        <v>0</v>
      </c>
      <c r="AP511" s="13">
        <f t="shared" si="1022"/>
        <v>0</v>
      </c>
      <c r="AQ511" s="13" t="s">
        <v>3416</v>
      </c>
      <c r="AR511" s="13"/>
      <c r="AS511" s="13" t="s">
        <v>3417</v>
      </c>
      <c r="AT511" s="13"/>
      <c r="AU511" s="13"/>
      <c r="AV511" s="13"/>
      <c r="AW511" s="13">
        <v>0.0</v>
      </c>
      <c r="AX511" s="13">
        <v>6.0</v>
      </c>
      <c r="AY511" s="13">
        <v>0.0</v>
      </c>
      <c r="AZ511" s="13"/>
      <c r="BA511" s="13"/>
      <c r="BB511" s="13"/>
      <c r="BC511" s="13"/>
      <c r="BD511" s="13"/>
      <c r="BE511" s="13"/>
      <c r="BF511" s="13"/>
      <c r="BG511" s="13"/>
      <c r="BH511" s="13" t="s">
        <v>79</v>
      </c>
      <c r="BI511" s="13" t="b">
        <v>0</v>
      </c>
      <c r="BJ511" s="13">
        <v>0.0</v>
      </c>
      <c r="BK511" s="13">
        <v>0.0</v>
      </c>
    </row>
    <row r="512" ht="14.25" customHeight="1">
      <c r="A512" s="13">
        <v>510.0</v>
      </c>
      <c r="B512" s="13" t="s">
        <v>45</v>
      </c>
      <c r="C512" s="13">
        <v>2.0</v>
      </c>
      <c r="D512" s="14">
        <v>0.0</v>
      </c>
      <c r="E512" s="13" t="s">
        <v>3418</v>
      </c>
      <c r="F512" s="15" t="s">
        <v>3368</v>
      </c>
      <c r="G512" s="16" t="s">
        <v>3419</v>
      </c>
      <c r="H512" s="13"/>
      <c r="I512" s="13">
        <v>0.9</v>
      </c>
      <c r="J512" s="13" t="s">
        <v>978</v>
      </c>
      <c r="K512" s="13">
        <f t="shared" si="3"/>
        <v>0</v>
      </c>
      <c r="L512" s="13">
        <f t="shared" si="4"/>
        <v>3</v>
      </c>
      <c r="M512" s="13">
        <f t="shared" ref="M512:AA512" si="1023">IFERROR(VALUE(RIGHT(LEFT($J512,FIND(M$1,$J512,1)+LEN(M$1)),1)),0)</f>
        <v>0</v>
      </c>
      <c r="N512" s="13">
        <f t="shared" si="1023"/>
        <v>0</v>
      </c>
      <c r="O512" s="13">
        <f t="shared" si="1023"/>
        <v>0</v>
      </c>
      <c r="P512" s="13">
        <f t="shared" si="1023"/>
        <v>0</v>
      </c>
      <c r="Q512" s="13">
        <f t="shared" si="1023"/>
        <v>0</v>
      </c>
      <c r="R512" s="13">
        <f t="shared" si="1023"/>
        <v>0</v>
      </c>
      <c r="S512" s="13">
        <f t="shared" si="1023"/>
        <v>0</v>
      </c>
      <c r="T512" s="13">
        <f t="shared" si="1023"/>
        <v>0</v>
      </c>
      <c r="U512" s="13">
        <f t="shared" si="1023"/>
        <v>0</v>
      </c>
      <c r="V512" s="13">
        <f t="shared" si="1023"/>
        <v>0</v>
      </c>
      <c r="W512" s="13">
        <f t="shared" si="1023"/>
        <v>0</v>
      </c>
      <c r="X512" s="13">
        <f t="shared" si="1023"/>
        <v>0</v>
      </c>
      <c r="Y512" s="13">
        <f t="shared" si="1023"/>
        <v>0</v>
      </c>
      <c r="Z512" s="13">
        <f t="shared" si="1023"/>
        <v>0</v>
      </c>
      <c r="AA512" s="13">
        <f t="shared" si="1023"/>
        <v>0</v>
      </c>
      <c r="AB512" s="13">
        <f t="shared" ref="AB512:AP512" si="1024">IFERROR(VALUE(RIGHT(LEFT($J512,FIND(AB$1,$J512,IF(M512=0,1,FIND(AB$1,$J512,1)+1))+LEN(AB$1)),1)),0)</f>
        <v>0</v>
      </c>
      <c r="AC512" s="13">
        <f t="shared" si="1024"/>
        <v>1</v>
      </c>
      <c r="AD512" s="13">
        <f t="shared" si="1024"/>
        <v>0</v>
      </c>
      <c r="AE512" s="13">
        <f t="shared" si="1024"/>
        <v>0</v>
      </c>
      <c r="AF512" s="13">
        <f t="shared" si="1024"/>
        <v>0</v>
      </c>
      <c r="AG512" s="13">
        <f t="shared" si="1024"/>
        <v>0</v>
      </c>
      <c r="AH512" s="13">
        <f t="shared" si="1024"/>
        <v>0</v>
      </c>
      <c r="AI512" s="13">
        <f t="shared" si="1024"/>
        <v>2</v>
      </c>
      <c r="AJ512" s="13">
        <f t="shared" si="1024"/>
        <v>0</v>
      </c>
      <c r="AK512" s="13">
        <f t="shared" si="1024"/>
        <v>0</v>
      </c>
      <c r="AL512" s="13">
        <f t="shared" si="1024"/>
        <v>0</v>
      </c>
      <c r="AM512" s="13">
        <f t="shared" si="1024"/>
        <v>0</v>
      </c>
      <c r="AN512" s="13">
        <f t="shared" si="1024"/>
        <v>0</v>
      </c>
      <c r="AO512" s="13">
        <f t="shared" si="1024"/>
        <v>0</v>
      </c>
      <c r="AP512" s="13">
        <f t="shared" si="1024"/>
        <v>0</v>
      </c>
      <c r="AQ512" s="13" t="s">
        <v>3420</v>
      </c>
      <c r="AR512" s="13"/>
      <c r="AS512" s="13" t="s">
        <v>3421</v>
      </c>
      <c r="AT512" s="13"/>
      <c r="AU512" s="13"/>
      <c r="AV512" s="13"/>
      <c r="AW512" s="13">
        <v>0.0</v>
      </c>
      <c r="AX512" s="13">
        <v>6.0</v>
      </c>
      <c r="AY512" s="13">
        <v>0.0</v>
      </c>
      <c r="AZ512" s="13"/>
      <c r="BA512" s="13"/>
      <c r="BB512" s="13"/>
      <c r="BC512" s="13"/>
      <c r="BD512" s="13"/>
      <c r="BE512" s="13"/>
      <c r="BF512" s="13"/>
      <c r="BG512" s="13"/>
      <c r="BH512" s="13" t="s">
        <v>79</v>
      </c>
      <c r="BI512" s="13" t="b">
        <v>0</v>
      </c>
      <c r="BJ512" s="13">
        <v>0.0</v>
      </c>
      <c r="BK512" s="13">
        <v>0.0</v>
      </c>
    </row>
    <row r="513" ht="14.25" customHeight="1">
      <c r="A513" s="13">
        <v>511.0</v>
      </c>
      <c r="B513" s="13" t="s">
        <v>46</v>
      </c>
      <c r="C513" s="13">
        <v>2.0</v>
      </c>
      <c r="D513" s="14">
        <v>0.0</v>
      </c>
      <c r="E513" s="13" t="s">
        <v>3422</v>
      </c>
      <c r="F513" s="15" t="s">
        <v>3368</v>
      </c>
      <c r="G513" s="16" t="s">
        <v>3423</v>
      </c>
      <c r="H513" s="13"/>
      <c r="I513" s="13">
        <v>1.0</v>
      </c>
      <c r="J513" s="13" t="s">
        <v>1036</v>
      </c>
      <c r="K513" s="13">
        <f t="shared" si="3"/>
        <v>0</v>
      </c>
      <c r="L513" s="13">
        <f t="shared" si="4"/>
        <v>3</v>
      </c>
      <c r="M513" s="13">
        <f t="shared" ref="M513:AA513" si="1025">IFERROR(VALUE(RIGHT(LEFT($J513,FIND(M$1,$J513,1)+LEN(M$1)),1)),0)</f>
        <v>0</v>
      </c>
      <c r="N513" s="13">
        <f t="shared" si="1025"/>
        <v>0</v>
      </c>
      <c r="O513" s="13">
        <f t="shared" si="1025"/>
        <v>0</v>
      </c>
      <c r="P513" s="13">
        <f t="shared" si="1025"/>
        <v>0</v>
      </c>
      <c r="Q513" s="13">
        <f t="shared" si="1025"/>
        <v>0</v>
      </c>
      <c r="R513" s="13">
        <f t="shared" si="1025"/>
        <v>0</v>
      </c>
      <c r="S513" s="13">
        <f t="shared" si="1025"/>
        <v>0</v>
      </c>
      <c r="T513" s="13">
        <f t="shared" si="1025"/>
        <v>0</v>
      </c>
      <c r="U513" s="13">
        <f t="shared" si="1025"/>
        <v>0</v>
      </c>
      <c r="V513" s="13">
        <f t="shared" si="1025"/>
        <v>0</v>
      </c>
      <c r="W513" s="13">
        <f t="shared" si="1025"/>
        <v>0</v>
      </c>
      <c r="X513" s="13">
        <f t="shared" si="1025"/>
        <v>0</v>
      </c>
      <c r="Y513" s="13">
        <f t="shared" si="1025"/>
        <v>0</v>
      </c>
      <c r="Z513" s="13">
        <f t="shared" si="1025"/>
        <v>0</v>
      </c>
      <c r="AA513" s="13">
        <f t="shared" si="1025"/>
        <v>0</v>
      </c>
      <c r="AB513" s="13">
        <f t="shared" ref="AB513:AP513" si="1026">IFERROR(VALUE(RIGHT(LEFT($J513,FIND(AB$1,$J513,IF(M513=0,1,FIND(AB$1,$J513,1)+1))+LEN(AB$1)),1)),0)</f>
        <v>0</v>
      </c>
      <c r="AC513" s="13">
        <f t="shared" si="1026"/>
        <v>0</v>
      </c>
      <c r="AD513" s="13">
        <f t="shared" si="1026"/>
        <v>0</v>
      </c>
      <c r="AE513" s="13">
        <f t="shared" si="1026"/>
        <v>0</v>
      </c>
      <c r="AF513" s="13">
        <f t="shared" si="1026"/>
        <v>1</v>
      </c>
      <c r="AG513" s="13">
        <f t="shared" si="1026"/>
        <v>0</v>
      </c>
      <c r="AH513" s="13">
        <f t="shared" si="1026"/>
        <v>0</v>
      </c>
      <c r="AI513" s="13">
        <f t="shared" si="1026"/>
        <v>0</v>
      </c>
      <c r="AJ513" s="13">
        <f t="shared" si="1026"/>
        <v>2</v>
      </c>
      <c r="AK513" s="13">
        <f t="shared" si="1026"/>
        <v>0</v>
      </c>
      <c r="AL513" s="13">
        <f t="shared" si="1026"/>
        <v>0</v>
      </c>
      <c r="AM513" s="13">
        <f t="shared" si="1026"/>
        <v>0</v>
      </c>
      <c r="AN513" s="13">
        <f t="shared" si="1026"/>
        <v>0</v>
      </c>
      <c r="AO513" s="13">
        <f t="shared" si="1026"/>
        <v>0</v>
      </c>
      <c r="AP513" s="13">
        <f t="shared" si="1026"/>
        <v>0</v>
      </c>
      <c r="AQ513" s="13" t="s">
        <v>3424</v>
      </c>
      <c r="AR513" s="13"/>
      <c r="AS513" s="13" t="s">
        <v>1038</v>
      </c>
      <c r="AT513" s="13"/>
      <c r="AU513" s="13"/>
      <c r="AV513" s="13"/>
      <c r="AW513" s="13">
        <v>0.0</v>
      </c>
      <c r="AX513" s="13">
        <v>6.0</v>
      </c>
      <c r="AY513" s="13">
        <v>0.0</v>
      </c>
      <c r="AZ513" s="13"/>
      <c r="BA513" s="13"/>
      <c r="BB513" s="13"/>
      <c r="BC513" s="13"/>
      <c r="BD513" s="13"/>
      <c r="BE513" s="13"/>
      <c r="BF513" s="13"/>
      <c r="BG513" s="13"/>
      <c r="BH513" s="13" t="s">
        <v>79</v>
      </c>
      <c r="BI513" s="13" t="b">
        <v>0</v>
      </c>
      <c r="BJ513" s="13">
        <v>0.0</v>
      </c>
      <c r="BK513" s="13">
        <v>0.0</v>
      </c>
    </row>
    <row r="514" ht="14.25" customHeight="1">
      <c r="A514" s="13">
        <v>512.0</v>
      </c>
      <c r="B514" s="13" t="s">
        <v>48</v>
      </c>
      <c r="C514" s="13">
        <v>2.0</v>
      </c>
      <c r="D514" s="14">
        <v>0.0</v>
      </c>
      <c r="E514" s="13" t="s">
        <v>3425</v>
      </c>
      <c r="F514" s="15" t="s">
        <v>3368</v>
      </c>
      <c r="G514" s="16" t="s">
        <v>3426</v>
      </c>
      <c r="H514" s="13">
        <v>16.0</v>
      </c>
      <c r="I514" s="13">
        <v>1.0</v>
      </c>
      <c r="J514" s="13" t="s">
        <v>3427</v>
      </c>
      <c r="K514" s="13">
        <f t="shared" si="3"/>
        <v>0</v>
      </c>
      <c r="L514" s="13">
        <f t="shared" si="4"/>
        <v>3</v>
      </c>
      <c r="M514" s="13">
        <f t="shared" ref="M514:AA514" si="1027">IFERROR(VALUE(RIGHT(LEFT($J514,FIND(M$1,$J514,1)+LEN(M$1)),1)),0)</f>
        <v>0</v>
      </c>
      <c r="N514" s="13">
        <f t="shared" si="1027"/>
        <v>0</v>
      </c>
      <c r="O514" s="13">
        <f t="shared" si="1027"/>
        <v>0</v>
      </c>
      <c r="P514" s="13">
        <f t="shared" si="1027"/>
        <v>0</v>
      </c>
      <c r="Q514" s="13">
        <f t="shared" si="1027"/>
        <v>0</v>
      </c>
      <c r="R514" s="13">
        <f t="shared" si="1027"/>
        <v>0</v>
      </c>
      <c r="S514" s="13">
        <f t="shared" si="1027"/>
        <v>0</v>
      </c>
      <c r="T514" s="13">
        <f t="shared" si="1027"/>
        <v>0</v>
      </c>
      <c r="U514" s="13">
        <f t="shared" si="1027"/>
        <v>0</v>
      </c>
      <c r="V514" s="13">
        <f t="shared" si="1027"/>
        <v>0</v>
      </c>
      <c r="W514" s="13">
        <f t="shared" si="1027"/>
        <v>0</v>
      </c>
      <c r="X514" s="13">
        <f t="shared" si="1027"/>
        <v>0</v>
      </c>
      <c r="Y514" s="13">
        <f t="shared" si="1027"/>
        <v>0</v>
      </c>
      <c r="Z514" s="13">
        <f t="shared" si="1027"/>
        <v>0</v>
      </c>
      <c r="AA514" s="13">
        <f t="shared" si="1027"/>
        <v>0</v>
      </c>
      <c r="AB514" s="13">
        <f t="shared" ref="AB514:AP514" si="1028">IFERROR(VALUE(RIGHT(LEFT($J514,FIND(AB$1,$J514,IF(M514=0,1,FIND(AB$1,$J514,1)+1))+LEN(AB$1)),1)),0)</f>
        <v>1</v>
      </c>
      <c r="AC514" s="13">
        <f t="shared" si="1028"/>
        <v>0</v>
      </c>
      <c r="AD514" s="13">
        <f t="shared" si="1028"/>
        <v>0</v>
      </c>
      <c r="AE514" s="13">
        <f t="shared" si="1028"/>
        <v>0</v>
      </c>
      <c r="AF514" s="13">
        <f t="shared" si="1028"/>
        <v>0</v>
      </c>
      <c r="AG514" s="13">
        <f t="shared" si="1028"/>
        <v>0</v>
      </c>
      <c r="AH514" s="13">
        <f t="shared" si="1028"/>
        <v>0</v>
      </c>
      <c r="AI514" s="13">
        <f t="shared" si="1028"/>
        <v>0</v>
      </c>
      <c r="AJ514" s="13">
        <f t="shared" si="1028"/>
        <v>0</v>
      </c>
      <c r="AK514" s="13">
        <f t="shared" si="1028"/>
        <v>0</v>
      </c>
      <c r="AL514" s="13">
        <f t="shared" si="1028"/>
        <v>2</v>
      </c>
      <c r="AM514" s="13">
        <f t="shared" si="1028"/>
        <v>0</v>
      </c>
      <c r="AN514" s="13">
        <f t="shared" si="1028"/>
        <v>0</v>
      </c>
      <c r="AO514" s="13">
        <f t="shared" si="1028"/>
        <v>0</v>
      </c>
      <c r="AP514" s="13">
        <f t="shared" si="1028"/>
        <v>0</v>
      </c>
      <c r="AQ514" s="13"/>
      <c r="AR514" s="13" t="s">
        <v>3428</v>
      </c>
      <c r="AS514" s="13" t="s">
        <v>3429</v>
      </c>
      <c r="AT514" s="13" t="s">
        <v>2267</v>
      </c>
      <c r="AU514" s="13" t="s">
        <v>803</v>
      </c>
      <c r="AV514" s="13" t="s">
        <v>3430</v>
      </c>
      <c r="AW514" s="13">
        <v>14.0</v>
      </c>
      <c r="AX514" s="13">
        <v>6.0</v>
      </c>
      <c r="AY514" s="13">
        <v>0.0</v>
      </c>
      <c r="AZ514" s="13" t="s">
        <v>3431</v>
      </c>
      <c r="BA514" s="13" t="s">
        <v>3432</v>
      </c>
      <c r="BB514" s="13"/>
      <c r="BC514" s="13"/>
      <c r="BD514" s="13" t="s">
        <v>167</v>
      </c>
      <c r="BE514" s="13"/>
      <c r="BF514" s="13" t="s">
        <v>3433</v>
      </c>
      <c r="BG514" s="13" t="s">
        <v>169</v>
      </c>
      <c r="BH514" s="13" t="s">
        <v>79</v>
      </c>
      <c r="BI514" s="13" t="b">
        <v>0</v>
      </c>
      <c r="BJ514" s="13">
        <v>0.0</v>
      </c>
      <c r="BK514" s="13">
        <v>0.0</v>
      </c>
    </row>
    <row r="515" ht="14.25" customHeight="1">
      <c r="A515" s="13">
        <v>513.0</v>
      </c>
      <c r="B515" s="13" t="s">
        <v>48</v>
      </c>
      <c r="C515" s="13">
        <v>2.0</v>
      </c>
      <c r="D515" s="14">
        <v>0.0</v>
      </c>
      <c r="E515" s="13" t="s">
        <v>3434</v>
      </c>
      <c r="F515" s="15" t="s">
        <v>3368</v>
      </c>
      <c r="G515" s="16" t="s">
        <v>3435</v>
      </c>
      <c r="H515" s="13">
        <v>14.0</v>
      </c>
      <c r="I515" s="13">
        <v>0.9</v>
      </c>
      <c r="J515" s="13" t="s">
        <v>3436</v>
      </c>
      <c r="K515" s="13">
        <f t="shared" si="3"/>
        <v>1</v>
      </c>
      <c r="L515" s="13">
        <f t="shared" si="4"/>
        <v>1</v>
      </c>
      <c r="M515" s="13">
        <f t="shared" ref="M515:AA515" si="1029">IFERROR(VALUE(RIGHT(LEFT($J515,FIND(M$1,$J515,1)+LEN(M$1)),1)),0)</f>
        <v>0</v>
      </c>
      <c r="N515" s="13">
        <f t="shared" si="1029"/>
        <v>0</v>
      </c>
      <c r="O515" s="13">
        <f t="shared" si="1029"/>
        <v>0</v>
      </c>
      <c r="P515" s="13">
        <f t="shared" si="1029"/>
        <v>0</v>
      </c>
      <c r="Q515" s="13">
        <f t="shared" si="1029"/>
        <v>0</v>
      </c>
      <c r="R515" s="13">
        <f t="shared" si="1029"/>
        <v>0</v>
      </c>
      <c r="S515" s="13">
        <f t="shared" si="1029"/>
        <v>0</v>
      </c>
      <c r="T515" s="13">
        <f t="shared" si="1029"/>
        <v>0</v>
      </c>
      <c r="U515" s="13">
        <f t="shared" si="1029"/>
        <v>0</v>
      </c>
      <c r="V515" s="13">
        <f t="shared" si="1029"/>
        <v>0</v>
      </c>
      <c r="W515" s="13">
        <f t="shared" si="1029"/>
        <v>1</v>
      </c>
      <c r="X515" s="13">
        <f t="shared" si="1029"/>
        <v>0</v>
      </c>
      <c r="Y515" s="13">
        <f t="shared" si="1029"/>
        <v>0</v>
      </c>
      <c r="Z515" s="13">
        <f t="shared" si="1029"/>
        <v>0</v>
      </c>
      <c r="AA515" s="13">
        <f t="shared" si="1029"/>
        <v>0</v>
      </c>
      <c r="AB515" s="13">
        <f t="shared" ref="AB515:AP515" si="1030">IFERROR(VALUE(RIGHT(LEFT($J515,FIND(AB$1,$J515,IF(M515=0,1,FIND(AB$1,$J515,1)+1))+LEN(AB$1)),1)),0)</f>
        <v>0</v>
      </c>
      <c r="AC515" s="13">
        <f t="shared" si="1030"/>
        <v>0</v>
      </c>
      <c r="AD515" s="13">
        <f t="shared" si="1030"/>
        <v>0</v>
      </c>
      <c r="AE515" s="13">
        <f t="shared" si="1030"/>
        <v>0</v>
      </c>
      <c r="AF515" s="13">
        <f t="shared" si="1030"/>
        <v>1</v>
      </c>
      <c r="AG515" s="13">
        <f t="shared" si="1030"/>
        <v>0</v>
      </c>
      <c r="AH515" s="13">
        <f t="shared" si="1030"/>
        <v>0</v>
      </c>
      <c r="AI515" s="13">
        <f t="shared" si="1030"/>
        <v>0</v>
      </c>
      <c r="AJ515" s="13">
        <f t="shared" si="1030"/>
        <v>0</v>
      </c>
      <c r="AK515" s="13">
        <f t="shared" si="1030"/>
        <v>0</v>
      </c>
      <c r="AL515" s="13">
        <f t="shared" si="1030"/>
        <v>0</v>
      </c>
      <c r="AM515" s="13">
        <f t="shared" si="1030"/>
        <v>0</v>
      </c>
      <c r="AN515" s="13">
        <f t="shared" si="1030"/>
        <v>0</v>
      </c>
      <c r="AO515" s="13">
        <f t="shared" si="1030"/>
        <v>0</v>
      </c>
      <c r="AP515" s="13">
        <f t="shared" si="1030"/>
        <v>0</v>
      </c>
      <c r="AQ515" s="13"/>
      <c r="AR515" s="13" t="s">
        <v>3437</v>
      </c>
      <c r="AS515" s="13" t="s">
        <v>3438</v>
      </c>
      <c r="AT515" s="13" t="s">
        <v>162</v>
      </c>
      <c r="AU515" s="13" t="s">
        <v>195</v>
      </c>
      <c r="AV515" s="13" t="s">
        <v>3439</v>
      </c>
      <c r="AW515" s="13">
        <v>13.0</v>
      </c>
      <c r="AX515" s="13">
        <v>6.0</v>
      </c>
      <c r="AY515" s="13">
        <v>0.0</v>
      </c>
      <c r="AZ515" s="13" t="s">
        <v>3440</v>
      </c>
      <c r="BA515" s="13" t="s">
        <v>3441</v>
      </c>
      <c r="BB515" s="13"/>
      <c r="BC515" s="13"/>
      <c r="BD515" s="13" t="s">
        <v>188</v>
      </c>
      <c r="BE515" s="13"/>
      <c r="BF515" s="13" t="s">
        <v>3442</v>
      </c>
      <c r="BG515" s="13" t="s">
        <v>169</v>
      </c>
      <c r="BH515" s="13" t="s">
        <v>79</v>
      </c>
      <c r="BI515" s="13" t="b">
        <v>0</v>
      </c>
      <c r="BJ515" s="13">
        <v>0.0</v>
      </c>
      <c r="BK515" s="13">
        <v>0.0</v>
      </c>
    </row>
    <row r="516" ht="14.25" customHeight="1">
      <c r="A516" s="13">
        <v>514.0</v>
      </c>
      <c r="B516" s="13" t="s">
        <v>49</v>
      </c>
      <c r="C516" s="13">
        <v>2.0</v>
      </c>
      <c r="D516" s="14">
        <v>0.0</v>
      </c>
      <c r="E516" s="13" t="s">
        <v>3443</v>
      </c>
      <c r="F516" s="15" t="s">
        <v>3368</v>
      </c>
      <c r="G516" s="16" t="s">
        <v>3444</v>
      </c>
      <c r="H516" s="13">
        <v>15.0</v>
      </c>
      <c r="I516" s="13">
        <v>1.1</v>
      </c>
      <c r="J516" s="13" t="s">
        <v>1260</v>
      </c>
      <c r="K516" s="13">
        <f t="shared" si="3"/>
        <v>0</v>
      </c>
      <c r="L516" s="13">
        <f t="shared" si="4"/>
        <v>3</v>
      </c>
      <c r="M516" s="13">
        <f t="shared" ref="M516:AA516" si="1031">IFERROR(VALUE(RIGHT(LEFT($J516,FIND(M$1,$J516,1)+LEN(M$1)),1)),0)</f>
        <v>0</v>
      </c>
      <c r="N516" s="13">
        <f t="shared" si="1031"/>
        <v>0</v>
      </c>
      <c r="O516" s="13">
        <f t="shared" si="1031"/>
        <v>0</v>
      </c>
      <c r="P516" s="13">
        <f t="shared" si="1031"/>
        <v>0</v>
      </c>
      <c r="Q516" s="13">
        <f t="shared" si="1031"/>
        <v>0</v>
      </c>
      <c r="R516" s="13">
        <f t="shared" si="1031"/>
        <v>0</v>
      </c>
      <c r="S516" s="13">
        <f t="shared" si="1031"/>
        <v>0</v>
      </c>
      <c r="T516" s="13">
        <f t="shared" si="1031"/>
        <v>0</v>
      </c>
      <c r="U516" s="13">
        <f t="shared" si="1031"/>
        <v>0</v>
      </c>
      <c r="V516" s="13">
        <f t="shared" si="1031"/>
        <v>0</v>
      </c>
      <c r="W516" s="13">
        <f t="shared" si="1031"/>
        <v>0</v>
      </c>
      <c r="X516" s="13">
        <f t="shared" si="1031"/>
        <v>0</v>
      </c>
      <c r="Y516" s="13">
        <f t="shared" si="1031"/>
        <v>0</v>
      </c>
      <c r="Z516" s="13">
        <f t="shared" si="1031"/>
        <v>0</v>
      </c>
      <c r="AA516" s="13">
        <f t="shared" si="1031"/>
        <v>0</v>
      </c>
      <c r="AB516" s="13">
        <f t="shared" ref="AB516:AP516" si="1032">IFERROR(VALUE(RIGHT(LEFT($J516,FIND(AB$1,$J516,IF(M516=0,1,FIND(AB$1,$J516,1)+1))+LEN(AB$1)),1)),0)</f>
        <v>0</v>
      </c>
      <c r="AC516" s="13">
        <f t="shared" si="1032"/>
        <v>1</v>
      </c>
      <c r="AD516" s="13">
        <f t="shared" si="1032"/>
        <v>0</v>
      </c>
      <c r="AE516" s="13">
        <f t="shared" si="1032"/>
        <v>0</v>
      </c>
      <c r="AF516" s="13">
        <f t="shared" si="1032"/>
        <v>0</v>
      </c>
      <c r="AG516" s="13">
        <f t="shared" si="1032"/>
        <v>0</v>
      </c>
      <c r="AH516" s="13">
        <f t="shared" si="1032"/>
        <v>0</v>
      </c>
      <c r="AI516" s="13">
        <f t="shared" si="1032"/>
        <v>0</v>
      </c>
      <c r="AJ516" s="13">
        <f t="shared" si="1032"/>
        <v>0</v>
      </c>
      <c r="AK516" s="13">
        <f t="shared" si="1032"/>
        <v>0</v>
      </c>
      <c r="AL516" s="13">
        <f t="shared" si="1032"/>
        <v>0</v>
      </c>
      <c r="AM516" s="13">
        <f t="shared" si="1032"/>
        <v>2</v>
      </c>
      <c r="AN516" s="13">
        <f t="shared" si="1032"/>
        <v>0</v>
      </c>
      <c r="AO516" s="13">
        <f t="shared" si="1032"/>
        <v>0</v>
      </c>
      <c r="AP516" s="13">
        <f t="shared" si="1032"/>
        <v>0</v>
      </c>
      <c r="AQ516" s="13"/>
      <c r="AR516" s="13" t="s">
        <v>3445</v>
      </c>
      <c r="AS516" s="13" t="s">
        <v>1262</v>
      </c>
      <c r="AT516" s="13" t="s">
        <v>142</v>
      </c>
      <c r="AU516" s="13" t="s">
        <v>803</v>
      </c>
      <c r="AV516" s="13" t="s">
        <v>3446</v>
      </c>
      <c r="AW516" s="13">
        <v>12.0</v>
      </c>
      <c r="AX516" s="13">
        <v>6.0</v>
      </c>
      <c r="AY516" s="13">
        <v>0.0</v>
      </c>
      <c r="AZ516" s="13" t="s">
        <v>3447</v>
      </c>
      <c r="BA516" s="13" t="s">
        <v>3448</v>
      </c>
      <c r="BB516" s="13"/>
      <c r="BC516" s="13"/>
      <c r="BD516" s="13" t="s">
        <v>220</v>
      </c>
      <c r="BE516" s="13"/>
      <c r="BF516" s="13" t="s">
        <v>1400</v>
      </c>
      <c r="BG516" s="13" t="s">
        <v>201</v>
      </c>
      <c r="BH516" s="13" t="s">
        <v>79</v>
      </c>
      <c r="BI516" s="13" t="b">
        <v>0</v>
      </c>
      <c r="BJ516" s="13">
        <v>0.0</v>
      </c>
      <c r="BK516" s="13">
        <v>0.0</v>
      </c>
    </row>
    <row r="517" ht="14.25" customHeight="1">
      <c r="A517" s="13">
        <v>515.0</v>
      </c>
      <c r="B517" s="13" t="s">
        <v>44</v>
      </c>
      <c r="C517" s="13">
        <v>3.0</v>
      </c>
      <c r="D517" s="14">
        <v>0.0</v>
      </c>
      <c r="E517" s="13" t="s">
        <v>3449</v>
      </c>
      <c r="F517" s="15" t="s">
        <v>3368</v>
      </c>
      <c r="G517" s="16" t="s">
        <v>3450</v>
      </c>
      <c r="H517" s="13"/>
      <c r="I517" s="13">
        <v>1.0</v>
      </c>
      <c r="J517" s="13" t="s">
        <v>1564</v>
      </c>
      <c r="K517" s="13">
        <f t="shared" si="3"/>
        <v>1</v>
      </c>
      <c r="L517" s="13">
        <f t="shared" si="4"/>
        <v>2</v>
      </c>
      <c r="M517" s="13">
        <f t="shared" ref="M517:AA517" si="1033">IFERROR(VALUE(RIGHT(LEFT($J517,FIND(M$1,$J517,1)+LEN(M$1)),1)),0)</f>
        <v>0</v>
      </c>
      <c r="N517" s="13">
        <f t="shared" si="1033"/>
        <v>0</v>
      </c>
      <c r="O517" s="13">
        <f t="shared" si="1033"/>
        <v>0</v>
      </c>
      <c r="P517" s="13">
        <f t="shared" si="1033"/>
        <v>0</v>
      </c>
      <c r="Q517" s="13">
        <f t="shared" si="1033"/>
        <v>0</v>
      </c>
      <c r="R517" s="13">
        <f t="shared" si="1033"/>
        <v>0</v>
      </c>
      <c r="S517" s="13">
        <f t="shared" si="1033"/>
        <v>1</v>
      </c>
      <c r="T517" s="13">
        <f t="shared" si="1033"/>
        <v>0</v>
      </c>
      <c r="U517" s="13">
        <f t="shared" si="1033"/>
        <v>0</v>
      </c>
      <c r="V517" s="13">
        <f t="shared" si="1033"/>
        <v>0</v>
      </c>
      <c r="W517" s="13">
        <f t="shared" si="1033"/>
        <v>0</v>
      </c>
      <c r="X517" s="13">
        <f t="shared" si="1033"/>
        <v>0</v>
      </c>
      <c r="Y517" s="13">
        <f t="shared" si="1033"/>
        <v>0</v>
      </c>
      <c r="Z517" s="13">
        <f t="shared" si="1033"/>
        <v>0</v>
      </c>
      <c r="AA517" s="13">
        <f t="shared" si="1033"/>
        <v>0</v>
      </c>
      <c r="AB517" s="13">
        <f t="shared" ref="AB517:AP517" si="1034">IFERROR(VALUE(RIGHT(LEFT($J517,FIND(AB$1,$J517,IF(M517=0,1,FIND(AB$1,$J517,1)+1))+LEN(AB$1)),1)),0)</f>
        <v>1</v>
      </c>
      <c r="AC517" s="13">
        <f t="shared" si="1034"/>
        <v>0</v>
      </c>
      <c r="AD517" s="13">
        <f t="shared" si="1034"/>
        <v>0</v>
      </c>
      <c r="AE517" s="13">
        <f t="shared" si="1034"/>
        <v>0</v>
      </c>
      <c r="AF517" s="13">
        <f t="shared" si="1034"/>
        <v>0</v>
      </c>
      <c r="AG517" s="13">
        <f t="shared" si="1034"/>
        <v>0</v>
      </c>
      <c r="AH517" s="13">
        <f t="shared" si="1034"/>
        <v>1</v>
      </c>
      <c r="AI517" s="13">
        <f t="shared" si="1034"/>
        <v>0</v>
      </c>
      <c r="AJ517" s="13">
        <f t="shared" si="1034"/>
        <v>0</v>
      </c>
      <c r="AK517" s="13">
        <f t="shared" si="1034"/>
        <v>0</v>
      </c>
      <c r="AL517" s="13">
        <f t="shared" si="1034"/>
        <v>0</v>
      </c>
      <c r="AM517" s="13">
        <f t="shared" si="1034"/>
        <v>0</v>
      </c>
      <c r="AN517" s="13">
        <f t="shared" si="1034"/>
        <v>0</v>
      </c>
      <c r="AO517" s="13">
        <f t="shared" si="1034"/>
        <v>0</v>
      </c>
      <c r="AP517" s="13">
        <f t="shared" si="1034"/>
        <v>0</v>
      </c>
      <c r="AQ517" s="13" t="s">
        <v>3451</v>
      </c>
      <c r="AR517" s="13"/>
      <c r="AS517" s="13" t="s">
        <v>3452</v>
      </c>
      <c r="AT517" s="13"/>
      <c r="AU517" s="13"/>
      <c r="AV517" s="13"/>
      <c r="AW517" s="13">
        <v>0.0</v>
      </c>
      <c r="AX517" s="13">
        <v>6.0</v>
      </c>
      <c r="AY517" s="13">
        <v>0.0</v>
      </c>
      <c r="AZ517" s="13"/>
      <c r="BA517" s="13"/>
      <c r="BB517" s="13"/>
      <c r="BC517" s="13"/>
      <c r="BD517" s="13"/>
      <c r="BE517" s="13"/>
      <c r="BF517" s="13"/>
      <c r="BG517" s="13"/>
      <c r="BH517" s="13" t="s">
        <v>79</v>
      </c>
      <c r="BI517" s="13" t="b">
        <v>0</v>
      </c>
      <c r="BJ517" s="13">
        <v>0.0</v>
      </c>
      <c r="BK517" s="13">
        <v>0.0</v>
      </c>
    </row>
    <row r="518" ht="14.25" customHeight="1">
      <c r="A518" s="13">
        <v>516.0</v>
      </c>
      <c r="B518" s="13" t="s">
        <v>45</v>
      </c>
      <c r="C518" s="13">
        <v>3.0</v>
      </c>
      <c r="D518" s="14">
        <v>0.0</v>
      </c>
      <c r="E518" s="13" t="s">
        <v>3453</v>
      </c>
      <c r="F518" s="15" t="s">
        <v>3368</v>
      </c>
      <c r="G518" s="16" t="s">
        <v>3454</v>
      </c>
      <c r="H518" s="13"/>
      <c r="I518" s="13">
        <v>1.0</v>
      </c>
      <c r="J518" s="13" t="s">
        <v>2680</v>
      </c>
      <c r="K518" s="13">
        <f t="shared" si="3"/>
        <v>1</v>
      </c>
      <c r="L518" s="13">
        <f t="shared" si="4"/>
        <v>2</v>
      </c>
      <c r="M518" s="13">
        <f t="shared" ref="M518:AA518" si="1035">IFERROR(VALUE(RIGHT(LEFT($J518,FIND(M$1,$J518,1)+LEN(M$1)),1)),0)</f>
        <v>0</v>
      </c>
      <c r="N518" s="13">
        <f t="shared" si="1035"/>
        <v>0</v>
      </c>
      <c r="O518" s="13">
        <f t="shared" si="1035"/>
        <v>0</v>
      </c>
      <c r="P518" s="13">
        <f t="shared" si="1035"/>
        <v>0</v>
      </c>
      <c r="Q518" s="13">
        <f t="shared" si="1035"/>
        <v>0</v>
      </c>
      <c r="R518" s="13">
        <f t="shared" si="1035"/>
        <v>0</v>
      </c>
      <c r="S518" s="13">
        <f t="shared" si="1035"/>
        <v>0</v>
      </c>
      <c r="T518" s="13">
        <f t="shared" si="1035"/>
        <v>1</v>
      </c>
      <c r="U518" s="13">
        <f t="shared" si="1035"/>
        <v>0</v>
      </c>
      <c r="V518" s="13">
        <f t="shared" si="1035"/>
        <v>0</v>
      </c>
      <c r="W518" s="13">
        <f t="shared" si="1035"/>
        <v>0</v>
      </c>
      <c r="X518" s="13">
        <f t="shared" si="1035"/>
        <v>0</v>
      </c>
      <c r="Y518" s="13">
        <f t="shared" si="1035"/>
        <v>0</v>
      </c>
      <c r="Z518" s="13">
        <f t="shared" si="1035"/>
        <v>0</v>
      </c>
      <c r="AA518" s="13">
        <f t="shared" si="1035"/>
        <v>0</v>
      </c>
      <c r="AB518" s="13">
        <f t="shared" ref="AB518:AP518" si="1036">IFERROR(VALUE(RIGHT(LEFT($J518,FIND(AB$1,$J518,IF(M518=0,1,FIND(AB$1,$J518,1)+1))+LEN(AB$1)),1)),0)</f>
        <v>0</v>
      </c>
      <c r="AC518" s="13">
        <f t="shared" si="1036"/>
        <v>0</v>
      </c>
      <c r="AD518" s="13">
        <f t="shared" si="1036"/>
        <v>0</v>
      </c>
      <c r="AE518" s="13">
        <f t="shared" si="1036"/>
        <v>0</v>
      </c>
      <c r="AF518" s="13">
        <f t="shared" si="1036"/>
        <v>1</v>
      </c>
      <c r="AG518" s="13">
        <f t="shared" si="1036"/>
        <v>0</v>
      </c>
      <c r="AH518" s="13">
        <f t="shared" si="1036"/>
        <v>0</v>
      </c>
      <c r="AI518" s="13">
        <f t="shared" si="1036"/>
        <v>1</v>
      </c>
      <c r="AJ518" s="13">
        <f t="shared" si="1036"/>
        <v>0</v>
      </c>
      <c r="AK518" s="13">
        <f t="shared" si="1036"/>
        <v>0</v>
      </c>
      <c r="AL518" s="13">
        <f t="shared" si="1036"/>
        <v>0</v>
      </c>
      <c r="AM518" s="13">
        <f t="shared" si="1036"/>
        <v>0</v>
      </c>
      <c r="AN518" s="13">
        <f t="shared" si="1036"/>
        <v>0</v>
      </c>
      <c r="AO518" s="13">
        <f t="shared" si="1036"/>
        <v>0</v>
      </c>
      <c r="AP518" s="13">
        <f t="shared" si="1036"/>
        <v>0</v>
      </c>
      <c r="AQ518" s="13" t="s">
        <v>3455</v>
      </c>
      <c r="AR518" s="13"/>
      <c r="AS518" s="13" t="s">
        <v>3456</v>
      </c>
      <c r="AT518" s="13"/>
      <c r="AU518" s="13"/>
      <c r="AV518" s="13"/>
      <c r="AW518" s="13">
        <v>0.0</v>
      </c>
      <c r="AX518" s="13">
        <v>6.0</v>
      </c>
      <c r="AY518" s="13">
        <v>0.0</v>
      </c>
      <c r="AZ518" s="13"/>
      <c r="BA518" s="13"/>
      <c r="BB518" s="13"/>
      <c r="BC518" s="13"/>
      <c r="BD518" s="13"/>
      <c r="BE518" s="13"/>
      <c r="BF518" s="13"/>
      <c r="BG518" s="13"/>
      <c r="BH518" s="13" t="s">
        <v>79</v>
      </c>
      <c r="BI518" s="13" t="b">
        <v>0</v>
      </c>
      <c r="BJ518" s="13">
        <v>0.0</v>
      </c>
      <c r="BK518" s="13">
        <v>0.0</v>
      </c>
    </row>
    <row r="519" ht="14.25" customHeight="1">
      <c r="A519" s="13">
        <v>517.0</v>
      </c>
      <c r="B519" s="13" t="s">
        <v>46</v>
      </c>
      <c r="C519" s="13">
        <v>3.0</v>
      </c>
      <c r="D519" s="14">
        <v>0.0</v>
      </c>
      <c r="E519" s="13" t="s">
        <v>3457</v>
      </c>
      <c r="F519" s="15" t="s">
        <v>3368</v>
      </c>
      <c r="G519" s="16" t="s">
        <v>3458</v>
      </c>
      <c r="H519" s="13"/>
      <c r="I519" s="13">
        <v>1.1</v>
      </c>
      <c r="J519" s="13" t="s">
        <v>2865</v>
      </c>
      <c r="K519" s="13">
        <f t="shared" si="3"/>
        <v>1</v>
      </c>
      <c r="L519" s="13">
        <f t="shared" si="4"/>
        <v>2</v>
      </c>
      <c r="M519" s="13">
        <f t="shared" ref="M519:AA519" si="1037">IFERROR(VALUE(RIGHT(LEFT($J519,FIND(M$1,$J519,1)+LEN(M$1)),1)),0)</f>
        <v>0</v>
      </c>
      <c r="N519" s="13">
        <f t="shared" si="1037"/>
        <v>0</v>
      </c>
      <c r="O519" s="13">
        <f t="shared" si="1037"/>
        <v>0</v>
      </c>
      <c r="P519" s="13">
        <f t="shared" si="1037"/>
        <v>0</v>
      </c>
      <c r="Q519" s="13">
        <f t="shared" si="1037"/>
        <v>0</v>
      </c>
      <c r="R519" s="13">
        <f t="shared" si="1037"/>
        <v>0</v>
      </c>
      <c r="S519" s="13">
        <f t="shared" si="1037"/>
        <v>0</v>
      </c>
      <c r="T519" s="13">
        <f t="shared" si="1037"/>
        <v>0</v>
      </c>
      <c r="U519" s="13">
        <f t="shared" si="1037"/>
        <v>1</v>
      </c>
      <c r="V519" s="13">
        <f t="shared" si="1037"/>
        <v>0</v>
      </c>
      <c r="W519" s="13">
        <f t="shared" si="1037"/>
        <v>0</v>
      </c>
      <c r="X519" s="13">
        <f t="shared" si="1037"/>
        <v>0</v>
      </c>
      <c r="Y519" s="13">
        <f t="shared" si="1037"/>
        <v>0</v>
      </c>
      <c r="Z519" s="13">
        <f t="shared" si="1037"/>
        <v>0</v>
      </c>
      <c r="AA519" s="13">
        <f t="shared" si="1037"/>
        <v>0</v>
      </c>
      <c r="AB519" s="13">
        <f t="shared" ref="AB519:AP519" si="1038">IFERROR(VALUE(RIGHT(LEFT($J519,FIND(AB$1,$J519,IF(M519=0,1,FIND(AB$1,$J519,1)+1))+LEN(AB$1)),1)),0)</f>
        <v>0</v>
      </c>
      <c r="AC519" s="13">
        <f t="shared" si="1038"/>
        <v>1</v>
      </c>
      <c r="AD519" s="13">
        <f t="shared" si="1038"/>
        <v>0</v>
      </c>
      <c r="AE519" s="13">
        <f t="shared" si="1038"/>
        <v>0</v>
      </c>
      <c r="AF519" s="13">
        <f t="shared" si="1038"/>
        <v>0</v>
      </c>
      <c r="AG519" s="13">
        <f t="shared" si="1038"/>
        <v>0</v>
      </c>
      <c r="AH519" s="13">
        <f t="shared" si="1038"/>
        <v>0</v>
      </c>
      <c r="AI519" s="13">
        <f t="shared" si="1038"/>
        <v>0</v>
      </c>
      <c r="AJ519" s="13">
        <f t="shared" si="1038"/>
        <v>1</v>
      </c>
      <c r="AK519" s="13">
        <f t="shared" si="1038"/>
        <v>0</v>
      </c>
      <c r="AL519" s="13">
        <f t="shared" si="1038"/>
        <v>0</v>
      </c>
      <c r="AM519" s="13">
        <f t="shared" si="1038"/>
        <v>0</v>
      </c>
      <c r="AN519" s="13">
        <f t="shared" si="1038"/>
        <v>0</v>
      </c>
      <c r="AO519" s="13">
        <f t="shared" si="1038"/>
        <v>0</v>
      </c>
      <c r="AP519" s="13">
        <f t="shared" si="1038"/>
        <v>0</v>
      </c>
      <c r="AQ519" s="13" t="s">
        <v>3459</v>
      </c>
      <c r="AR519" s="13"/>
      <c r="AS519" s="13" t="s">
        <v>3460</v>
      </c>
      <c r="AT519" s="13"/>
      <c r="AU519" s="13"/>
      <c r="AV519" s="13"/>
      <c r="AW519" s="13">
        <v>0.0</v>
      </c>
      <c r="AX519" s="13">
        <v>6.0</v>
      </c>
      <c r="AY519" s="13">
        <v>0.0</v>
      </c>
      <c r="AZ519" s="13"/>
      <c r="BA519" s="13"/>
      <c r="BB519" s="13"/>
      <c r="BC519" s="13"/>
      <c r="BD519" s="13"/>
      <c r="BE519" s="13"/>
      <c r="BF519" s="13"/>
      <c r="BG519" s="13"/>
      <c r="BH519" s="13" t="s">
        <v>79</v>
      </c>
      <c r="BI519" s="13" t="b">
        <v>0</v>
      </c>
      <c r="BJ519" s="13">
        <v>0.0</v>
      </c>
      <c r="BK519" s="13">
        <v>0.0</v>
      </c>
    </row>
    <row r="520" ht="14.25" customHeight="1">
      <c r="A520" s="13">
        <v>518.0</v>
      </c>
      <c r="B520" s="13" t="s">
        <v>48</v>
      </c>
      <c r="C520" s="13">
        <v>3.0</v>
      </c>
      <c r="D520" s="14">
        <v>0.0</v>
      </c>
      <c r="E520" s="13" t="s">
        <v>3461</v>
      </c>
      <c r="F520" s="15" t="s">
        <v>3368</v>
      </c>
      <c r="G520" s="16" t="s">
        <v>3462</v>
      </c>
      <c r="H520" s="13">
        <v>17.0</v>
      </c>
      <c r="I520" s="13">
        <v>0.9</v>
      </c>
      <c r="J520" s="13" t="s">
        <v>1711</v>
      </c>
      <c r="K520" s="13">
        <f t="shared" si="3"/>
        <v>1</v>
      </c>
      <c r="L520" s="13">
        <f t="shared" si="4"/>
        <v>2</v>
      </c>
      <c r="M520" s="13">
        <f t="shared" ref="M520:AA520" si="1039">IFERROR(VALUE(RIGHT(LEFT($J520,FIND(M$1,$J520,1)+LEN(M$1)),1)),0)</f>
        <v>0</v>
      </c>
      <c r="N520" s="13">
        <f t="shared" si="1039"/>
        <v>0</v>
      </c>
      <c r="O520" s="13">
        <f t="shared" si="1039"/>
        <v>0</v>
      </c>
      <c r="P520" s="13">
        <f t="shared" si="1039"/>
        <v>0</v>
      </c>
      <c r="Q520" s="13">
        <f t="shared" si="1039"/>
        <v>0</v>
      </c>
      <c r="R520" s="13">
        <f t="shared" si="1039"/>
        <v>0</v>
      </c>
      <c r="S520" s="13">
        <f t="shared" si="1039"/>
        <v>0</v>
      </c>
      <c r="T520" s="13">
        <f t="shared" si="1039"/>
        <v>0</v>
      </c>
      <c r="U520" s="13">
        <f t="shared" si="1039"/>
        <v>0</v>
      </c>
      <c r="V520" s="13">
        <f t="shared" si="1039"/>
        <v>0</v>
      </c>
      <c r="W520" s="13">
        <f t="shared" si="1039"/>
        <v>1</v>
      </c>
      <c r="X520" s="13">
        <f t="shared" si="1039"/>
        <v>0</v>
      </c>
      <c r="Y520" s="13">
        <f t="shared" si="1039"/>
        <v>0</v>
      </c>
      <c r="Z520" s="13">
        <f t="shared" si="1039"/>
        <v>0</v>
      </c>
      <c r="AA520" s="13">
        <f t="shared" si="1039"/>
        <v>0</v>
      </c>
      <c r="AB520" s="13">
        <f t="shared" ref="AB520:AP520" si="1040">IFERROR(VALUE(RIGHT(LEFT($J520,FIND(AB$1,$J520,IF(M520=0,1,FIND(AB$1,$J520,1)+1))+LEN(AB$1)),1)),0)</f>
        <v>0</v>
      </c>
      <c r="AC520" s="13">
        <f t="shared" si="1040"/>
        <v>1</v>
      </c>
      <c r="AD520" s="13">
        <f t="shared" si="1040"/>
        <v>0</v>
      </c>
      <c r="AE520" s="13">
        <f t="shared" si="1040"/>
        <v>0</v>
      </c>
      <c r="AF520" s="13">
        <f t="shared" si="1040"/>
        <v>0</v>
      </c>
      <c r="AG520" s="13">
        <f t="shared" si="1040"/>
        <v>0</v>
      </c>
      <c r="AH520" s="13">
        <f t="shared" si="1040"/>
        <v>0</v>
      </c>
      <c r="AI520" s="13">
        <f t="shared" si="1040"/>
        <v>0</v>
      </c>
      <c r="AJ520" s="13">
        <f t="shared" si="1040"/>
        <v>0</v>
      </c>
      <c r="AK520" s="13">
        <f t="shared" si="1040"/>
        <v>0</v>
      </c>
      <c r="AL520" s="13">
        <f t="shared" si="1040"/>
        <v>1</v>
      </c>
      <c r="AM520" s="13">
        <f t="shared" si="1040"/>
        <v>0</v>
      </c>
      <c r="AN520" s="13">
        <f t="shared" si="1040"/>
        <v>0</v>
      </c>
      <c r="AO520" s="13">
        <f t="shared" si="1040"/>
        <v>0</v>
      </c>
      <c r="AP520" s="13">
        <f t="shared" si="1040"/>
        <v>0</v>
      </c>
      <c r="AQ520" s="13"/>
      <c r="AR520" s="13" t="s">
        <v>1165</v>
      </c>
      <c r="AS520" s="13" t="s">
        <v>3463</v>
      </c>
      <c r="AT520" s="13" t="s">
        <v>175</v>
      </c>
      <c r="AU520" s="13" t="s">
        <v>803</v>
      </c>
      <c r="AV520" s="13" t="s">
        <v>3464</v>
      </c>
      <c r="AW520" s="13">
        <v>15.0</v>
      </c>
      <c r="AX520" s="13">
        <v>6.0</v>
      </c>
      <c r="AY520" s="13">
        <v>0.0</v>
      </c>
      <c r="AZ520" s="13" t="s">
        <v>3465</v>
      </c>
      <c r="BA520" s="13" t="s">
        <v>3466</v>
      </c>
      <c r="BB520" s="13"/>
      <c r="BC520" s="13"/>
      <c r="BD520" s="13" t="s">
        <v>167</v>
      </c>
      <c r="BE520" s="13"/>
      <c r="BF520" s="13" t="s">
        <v>2007</v>
      </c>
      <c r="BG520" s="13" t="s">
        <v>169</v>
      </c>
      <c r="BH520" s="13" t="s">
        <v>79</v>
      </c>
      <c r="BI520" s="13" t="b">
        <v>0</v>
      </c>
      <c r="BJ520" s="13">
        <v>0.0</v>
      </c>
      <c r="BK520" s="13">
        <v>0.0</v>
      </c>
    </row>
    <row r="521" ht="14.25" customHeight="1">
      <c r="A521" s="13">
        <v>519.0</v>
      </c>
      <c r="B521" s="13" t="s">
        <v>48</v>
      </c>
      <c r="C521" s="13">
        <v>3.0</v>
      </c>
      <c r="D521" s="14">
        <v>0.0</v>
      </c>
      <c r="E521" s="13" t="s">
        <v>3467</v>
      </c>
      <c r="F521" s="15" t="s">
        <v>3368</v>
      </c>
      <c r="G521" s="16" t="s">
        <v>3468</v>
      </c>
      <c r="H521" s="13">
        <v>16.0</v>
      </c>
      <c r="I521" s="13">
        <v>1.0</v>
      </c>
      <c r="J521" s="13" t="s">
        <v>3469</v>
      </c>
      <c r="K521" s="13">
        <f t="shared" si="3"/>
        <v>2</v>
      </c>
      <c r="L521" s="13">
        <f t="shared" si="4"/>
        <v>0</v>
      </c>
      <c r="M521" s="13">
        <f t="shared" ref="M521:AA521" si="1041">IFERROR(VALUE(RIGHT(LEFT($J521,FIND(M$1,$J521,1)+LEN(M$1)),1)),0)</f>
        <v>1</v>
      </c>
      <c r="N521" s="13">
        <f t="shared" si="1041"/>
        <v>1</v>
      </c>
      <c r="O521" s="13">
        <f t="shared" si="1041"/>
        <v>0</v>
      </c>
      <c r="P521" s="13">
        <f t="shared" si="1041"/>
        <v>0</v>
      </c>
      <c r="Q521" s="13">
        <f t="shared" si="1041"/>
        <v>0</v>
      </c>
      <c r="R521" s="13">
        <f t="shared" si="1041"/>
        <v>0</v>
      </c>
      <c r="S521" s="13">
        <f t="shared" si="1041"/>
        <v>0</v>
      </c>
      <c r="T521" s="13">
        <f t="shared" si="1041"/>
        <v>0</v>
      </c>
      <c r="U521" s="13">
        <f t="shared" si="1041"/>
        <v>0</v>
      </c>
      <c r="V521" s="13">
        <f t="shared" si="1041"/>
        <v>0</v>
      </c>
      <c r="W521" s="13">
        <f t="shared" si="1041"/>
        <v>0</v>
      </c>
      <c r="X521" s="13">
        <f t="shared" si="1041"/>
        <v>0</v>
      </c>
      <c r="Y521" s="13">
        <f t="shared" si="1041"/>
        <v>0</v>
      </c>
      <c r="Z521" s="13">
        <f t="shared" si="1041"/>
        <v>0</v>
      </c>
      <c r="AA521" s="13">
        <f t="shared" si="1041"/>
        <v>0</v>
      </c>
      <c r="AB521" s="13">
        <f t="shared" ref="AB521:AP521" si="1042">IFERROR(VALUE(RIGHT(LEFT($J521,FIND(AB$1,$J521,IF(M521=0,1,FIND(AB$1,$J521,1)+1))+LEN(AB$1)),1)),0)</f>
        <v>0</v>
      </c>
      <c r="AC521" s="13">
        <f t="shared" si="1042"/>
        <v>0</v>
      </c>
      <c r="AD521" s="13">
        <f t="shared" si="1042"/>
        <v>0</v>
      </c>
      <c r="AE521" s="13">
        <f t="shared" si="1042"/>
        <v>0</v>
      </c>
      <c r="AF521" s="13">
        <f t="shared" si="1042"/>
        <v>0</v>
      </c>
      <c r="AG521" s="13">
        <f t="shared" si="1042"/>
        <v>0</v>
      </c>
      <c r="AH521" s="13">
        <f t="shared" si="1042"/>
        <v>0</v>
      </c>
      <c r="AI521" s="13">
        <f t="shared" si="1042"/>
        <v>0</v>
      </c>
      <c r="AJ521" s="13">
        <f t="shared" si="1042"/>
        <v>0</v>
      </c>
      <c r="AK521" s="13">
        <f t="shared" si="1042"/>
        <v>0</v>
      </c>
      <c r="AL521" s="13">
        <f t="shared" si="1042"/>
        <v>0</v>
      </c>
      <c r="AM521" s="13">
        <f t="shared" si="1042"/>
        <v>0</v>
      </c>
      <c r="AN521" s="13">
        <f t="shared" si="1042"/>
        <v>0</v>
      </c>
      <c r="AO521" s="13">
        <f t="shared" si="1042"/>
        <v>0</v>
      </c>
      <c r="AP521" s="13">
        <f t="shared" si="1042"/>
        <v>0</v>
      </c>
      <c r="AQ521" s="13"/>
      <c r="AR521" s="13" t="s">
        <v>3470</v>
      </c>
      <c r="AS521" s="13" t="s">
        <v>3471</v>
      </c>
      <c r="AT521" s="13" t="s">
        <v>175</v>
      </c>
      <c r="AU521" s="13" t="s">
        <v>143</v>
      </c>
      <c r="AV521" s="13" t="s">
        <v>3472</v>
      </c>
      <c r="AW521" s="13">
        <v>16.0</v>
      </c>
      <c r="AX521" s="13">
        <v>6.0</v>
      </c>
      <c r="AY521" s="13">
        <v>0.0</v>
      </c>
      <c r="AZ521" s="13" t="s">
        <v>2014</v>
      </c>
      <c r="BA521" s="13" t="s">
        <v>3473</v>
      </c>
      <c r="BB521" s="13"/>
      <c r="BC521" s="13"/>
      <c r="BD521" s="13" t="s">
        <v>179</v>
      </c>
      <c r="BE521" s="13"/>
      <c r="BF521" s="13" t="s">
        <v>3474</v>
      </c>
      <c r="BG521" s="13" t="s">
        <v>169</v>
      </c>
      <c r="BH521" s="13" t="s">
        <v>79</v>
      </c>
      <c r="BI521" s="13" t="b">
        <v>0</v>
      </c>
      <c r="BJ521" s="13">
        <v>0.0</v>
      </c>
      <c r="BK521" s="13">
        <v>0.0</v>
      </c>
    </row>
    <row r="522" ht="14.25" customHeight="1">
      <c r="A522" s="13">
        <v>520.0</v>
      </c>
      <c r="B522" s="13" t="s">
        <v>49</v>
      </c>
      <c r="C522" s="13">
        <v>3.0</v>
      </c>
      <c r="D522" s="14">
        <v>0.0</v>
      </c>
      <c r="E522" s="13" t="s">
        <v>3475</v>
      </c>
      <c r="F522" s="15" t="s">
        <v>3368</v>
      </c>
      <c r="G522" s="16" t="s">
        <v>3476</v>
      </c>
      <c r="H522" s="13">
        <v>18.0</v>
      </c>
      <c r="I522" s="13">
        <v>1.1</v>
      </c>
      <c r="J522" s="13" t="s">
        <v>1754</v>
      </c>
      <c r="K522" s="13">
        <f t="shared" si="3"/>
        <v>1</v>
      </c>
      <c r="L522" s="13">
        <f t="shared" si="4"/>
        <v>2</v>
      </c>
      <c r="M522" s="13">
        <f t="shared" ref="M522:AA522" si="1043">IFERROR(VALUE(RIGHT(LEFT($J522,FIND(M$1,$J522,1)+LEN(M$1)),1)),0)</f>
        <v>0</v>
      </c>
      <c r="N522" s="13">
        <f t="shared" si="1043"/>
        <v>0</v>
      </c>
      <c r="O522" s="13">
        <f t="shared" si="1043"/>
        <v>0</v>
      </c>
      <c r="P522" s="13">
        <f t="shared" si="1043"/>
        <v>0</v>
      </c>
      <c r="Q522" s="13">
        <f t="shared" si="1043"/>
        <v>0</v>
      </c>
      <c r="R522" s="13">
        <f t="shared" si="1043"/>
        <v>0</v>
      </c>
      <c r="S522" s="13">
        <f t="shared" si="1043"/>
        <v>0</v>
      </c>
      <c r="T522" s="13">
        <f t="shared" si="1043"/>
        <v>0</v>
      </c>
      <c r="U522" s="13">
        <f t="shared" si="1043"/>
        <v>0</v>
      </c>
      <c r="V522" s="13">
        <f t="shared" si="1043"/>
        <v>0</v>
      </c>
      <c r="W522" s="13">
        <f t="shared" si="1043"/>
        <v>0</v>
      </c>
      <c r="X522" s="13">
        <f t="shared" si="1043"/>
        <v>1</v>
      </c>
      <c r="Y522" s="13">
        <f t="shared" si="1043"/>
        <v>0</v>
      </c>
      <c r="Z522" s="13">
        <f t="shared" si="1043"/>
        <v>0</v>
      </c>
      <c r="AA522" s="13">
        <f t="shared" si="1043"/>
        <v>0</v>
      </c>
      <c r="AB522" s="13">
        <f t="shared" ref="AB522:AP522" si="1044">IFERROR(VALUE(RIGHT(LEFT($J522,FIND(AB$1,$J522,IF(M522=0,1,FIND(AB$1,$J522,1)+1))+LEN(AB$1)),1)),0)</f>
        <v>1</v>
      </c>
      <c r="AC522" s="13">
        <f t="shared" si="1044"/>
        <v>0</v>
      </c>
      <c r="AD522" s="13">
        <f t="shared" si="1044"/>
        <v>0</v>
      </c>
      <c r="AE522" s="13">
        <f t="shared" si="1044"/>
        <v>0</v>
      </c>
      <c r="AF522" s="13">
        <f t="shared" si="1044"/>
        <v>0</v>
      </c>
      <c r="AG522" s="13">
        <f t="shared" si="1044"/>
        <v>0</v>
      </c>
      <c r="AH522" s="13">
        <f t="shared" si="1044"/>
        <v>0</v>
      </c>
      <c r="AI522" s="13">
        <f t="shared" si="1044"/>
        <v>0</v>
      </c>
      <c r="AJ522" s="13">
        <f t="shared" si="1044"/>
        <v>0</v>
      </c>
      <c r="AK522" s="13">
        <f t="shared" si="1044"/>
        <v>0</v>
      </c>
      <c r="AL522" s="13">
        <f t="shared" si="1044"/>
        <v>0</v>
      </c>
      <c r="AM522" s="13">
        <f t="shared" si="1044"/>
        <v>1</v>
      </c>
      <c r="AN522" s="13">
        <f t="shared" si="1044"/>
        <v>0</v>
      </c>
      <c r="AO522" s="13">
        <f t="shared" si="1044"/>
        <v>0</v>
      </c>
      <c r="AP522" s="13">
        <f t="shared" si="1044"/>
        <v>0</v>
      </c>
      <c r="AQ522" s="13"/>
      <c r="AR522" s="13" t="s">
        <v>3090</v>
      </c>
      <c r="AS522" s="13" t="s">
        <v>2304</v>
      </c>
      <c r="AT522" s="13" t="s">
        <v>162</v>
      </c>
      <c r="AU522" s="13" t="s">
        <v>236</v>
      </c>
      <c r="AV522" s="13" t="s">
        <v>3477</v>
      </c>
      <c r="AW522" s="13">
        <v>18.0</v>
      </c>
      <c r="AX522" s="13">
        <v>6.0</v>
      </c>
      <c r="AY522" s="13">
        <v>0.0</v>
      </c>
      <c r="AZ522" s="13" t="s">
        <v>3478</v>
      </c>
      <c r="BA522" s="13" t="s">
        <v>3479</v>
      </c>
      <c r="BB522" s="13"/>
      <c r="BC522" s="13"/>
      <c r="BD522" s="13" t="s">
        <v>199</v>
      </c>
      <c r="BE522" s="13"/>
      <c r="BF522" s="13" t="s">
        <v>3480</v>
      </c>
      <c r="BG522" s="13" t="s">
        <v>201</v>
      </c>
      <c r="BH522" s="13" t="s">
        <v>79</v>
      </c>
      <c r="BI522" s="13" t="b">
        <v>0</v>
      </c>
      <c r="BJ522" s="13">
        <v>0.0</v>
      </c>
      <c r="BK522" s="13">
        <v>0.0</v>
      </c>
    </row>
    <row r="523" ht="14.25" customHeight="1">
      <c r="A523" s="13">
        <v>521.0</v>
      </c>
      <c r="B523" s="13" t="s">
        <v>46</v>
      </c>
      <c r="C523" s="13">
        <v>4.0</v>
      </c>
      <c r="D523" s="14">
        <v>0.0</v>
      </c>
      <c r="E523" s="13" t="s">
        <v>3481</v>
      </c>
      <c r="F523" s="15" t="s">
        <v>3368</v>
      </c>
      <c r="G523" s="16" t="s">
        <v>3482</v>
      </c>
      <c r="H523" s="13"/>
      <c r="I523" s="13">
        <v>1.2</v>
      </c>
      <c r="J523" s="13" t="s">
        <v>3483</v>
      </c>
      <c r="K523" s="13">
        <f t="shared" si="3"/>
        <v>2</v>
      </c>
      <c r="L523" s="13">
        <f t="shared" si="4"/>
        <v>2</v>
      </c>
      <c r="M523" s="13">
        <f t="shared" ref="M523:AA523" si="1045">IFERROR(VALUE(RIGHT(LEFT($J523,FIND(M$1,$J523,1)+LEN(M$1)),1)),0)</f>
        <v>2</v>
      </c>
      <c r="N523" s="13">
        <f t="shared" si="1045"/>
        <v>0</v>
      </c>
      <c r="O523" s="13">
        <f t="shared" si="1045"/>
        <v>0</v>
      </c>
      <c r="P523" s="13">
        <f t="shared" si="1045"/>
        <v>0</v>
      </c>
      <c r="Q523" s="13">
        <f t="shared" si="1045"/>
        <v>0</v>
      </c>
      <c r="R523" s="13">
        <f t="shared" si="1045"/>
        <v>0</v>
      </c>
      <c r="S523" s="13">
        <f t="shared" si="1045"/>
        <v>0</v>
      </c>
      <c r="T523" s="13">
        <f t="shared" si="1045"/>
        <v>0</v>
      </c>
      <c r="U523" s="13">
        <f t="shared" si="1045"/>
        <v>0</v>
      </c>
      <c r="V523" s="13">
        <f t="shared" si="1045"/>
        <v>0</v>
      </c>
      <c r="W523" s="13">
        <f t="shared" si="1045"/>
        <v>0</v>
      </c>
      <c r="X523" s="13">
        <f t="shared" si="1045"/>
        <v>0</v>
      </c>
      <c r="Y523" s="13">
        <f t="shared" si="1045"/>
        <v>0</v>
      </c>
      <c r="Z523" s="13">
        <f t="shared" si="1045"/>
        <v>0</v>
      </c>
      <c r="AA523" s="13">
        <f t="shared" si="1045"/>
        <v>0</v>
      </c>
      <c r="AB523" s="13">
        <f t="shared" ref="AB523:AP523" si="1046">IFERROR(VALUE(RIGHT(LEFT($J523,FIND(AB$1,$J523,IF(M523=0,1,FIND(AB$1,$J523,1)+1))+LEN(AB$1)),1)),0)</f>
        <v>0</v>
      </c>
      <c r="AC523" s="13">
        <f t="shared" si="1046"/>
        <v>1</v>
      </c>
      <c r="AD523" s="13">
        <f t="shared" si="1046"/>
        <v>0</v>
      </c>
      <c r="AE523" s="13">
        <f t="shared" si="1046"/>
        <v>0</v>
      </c>
      <c r="AF523" s="13">
        <f t="shared" si="1046"/>
        <v>0</v>
      </c>
      <c r="AG523" s="13">
        <f t="shared" si="1046"/>
        <v>0</v>
      </c>
      <c r="AH523" s="13">
        <f t="shared" si="1046"/>
        <v>0</v>
      </c>
      <c r="AI523" s="13">
        <f t="shared" si="1046"/>
        <v>0</v>
      </c>
      <c r="AJ523" s="13">
        <f t="shared" si="1046"/>
        <v>0</v>
      </c>
      <c r="AK523" s="13">
        <f t="shared" si="1046"/>
        <v>0</v>
      </c>
      <c r="AL523" s="13">
        <f t="shared" si="1046"/>
        <v>1</v>
      </c>
      <c r="AM523" s="13">
        <f t="shared" si="1046"/>
        <v>0</v>
      </c>
      <c r="AN523" s="13">
        <f t="shared" si="1046"/>
        <v>0</v>
      </c>
      <c r="AO523" s="13">
        <f t="shared" si="1046"/>
        <v>0</v>
      </c>
      <c r="AP523" s="13">
        <f t="shared" si="1046"/>
        <v>0</v>
      </c>
      <c r="AQ523" s="13" t="s">
        <v>3484</v>
      </c>
      <c r="AR523" s="13"/>
      <c r="AS523" s="13" t="s">
        <v>3485</v>
      </c>
      <c r="AT523" s="13"/>
      <c r="AU523" s="13"/>
      <c r="AV523" s="13"/>
      <c r="AW523" s="13">
        <v>0.0</v>
      </c>
      <c r="AX523" s="13">
        <v>6.0</v>
      </c>
      <c r="AY523" s="13">
        <v>0.0</v>
      </c>
      <c r="AZ523" s="13"/>
      <c r="BA523" s="13"/>
      <c r="BB523" s="13"/>
      <c r="BC523" s="13"/>
      <c r="BD523" s="13"/>
      <c r="BE523" s="13"/>
      <c r="BF523" s="13"/>
      <c r="BG523" s="13"/>
      <c r="BH523" s="13" t="s">
        <v>79</v>
      </c>
      <c r="BI523" s="13" t="b">
        <v>0</v>
      </c>
      <c r="BJ523" s="13">
        <v>0.0</v>
      </c>
      <c r="BK523" s="13">
        <v>0.0</v>
      </c>
    </row>
    <row r="524" ht="14.25" customHeight="1">
      <c r="A524" s="13">
        <v>522.0</v>
      </c>
      <c r="B524" s="13" t="s">
        <v>46</v>
      </c>
      <c r="C524" s="13">
        <v>4.0</v>
      </c>
      <c r="D524" s="14">
        <v>0.0</v>
      </c>
      <c r="E524" s="13" t="s">
        <v>3486</v>
      </c>
      <c r="F524" s="15" t="s">
        <v>3368</v>
      </c>
      <c r="G524" s="16" t="s">
        <v>3487</v>
      </c>
      <c r="H524" s="13"/>
      <c r="I524" s="13">
        <v>1.0</v>
      </c>
      <c r="J524" s="13" t="s">
        <v>3488</v>
      </c>
      <c r="K524" s="13">
        <f t="shared" si="3"/>
        <v>2</v>
      </c>
      <c r="L524" s="13">
        <f t="shared" si="4"/>
        <v>2</v>
      </c>
      <c r="M524" s="13">
        <f t="shared" ref="M524:AA524" si="1047">IFERROR(VALUE(RIGHT(LEFT($J524,FIND(M$1,$J524,1)+LEN(M$1)),1)),0)</f>
        <v>0</v>
      </c>
      <c r="N524" s="13">
        <f t="shared" si="1047"/>
        <v>0</v>
      </c>
      <c r="O524" s="13">
        <f t="shared" si="1047"/>
        <v>0</v>
      </c>
      <c r="P524" s="13">
        <f t="shared" si="1047"/>
        <v>0</v>
      </c>
      <c r="Q524" s="13">
        <f t="shared" si="1047"/>
        <v>0</v>
      </c>
      <c r="R524" s="13">
        <f t="shared" si="1047"/>
        <v>0</v>
      </c>
      <c r="S524" s="13">
        <f t="shared" si="1047"/>
        <v>0</v>
      </c>
      <c r="T524" s="13">
        <f t="shared" si="1047"/>
        <v>0</v>
      </c>
      <c r="U524" s="13">
        <f t="shared" si="1047"/>
        <v>2</v>
      </c>
      <c r="V524" s="13">
        <f t="shared" si="1047"/>
        <v>0</v>
      </c>
      <c r="W524" s="13">
        <f t="shared" si="1047"/>
        <v>0</v>
      </c>
      <c r="X524" s="13">
        <f t="shared" si="1047"/>
        <v>0</v>
      </c>
      <c r="Y524" s="13">
        <f t="shared" si="1047"/>
        <v>0</v>
      </c>
      <c r="Z524" s="13">
        <f t="shared" si="1047"/>
        <v>0</v>
      </c>
      <c r="AA524" s="13">
        <f t="shared" si="1047"/>
        <v>0</v>
      </c>
      <c r="AB524" s="13">
        <f t="shared" ref="AB524:AP524" si="1048">IFERROR(VALUE(RIGHT(LEFT($J524,FIND(AB$1,$J524,IF(M524=0,1,FIND(AB$1,$J524,1)+1))+LEN(AB$1)),1)),0)</f>
        <v>0</v>
      </c>
      <c r="AC524" s="13">
        <f t="shared" si="1048"/>
        <v>0</v>
      </c>
      <c r="AD524" s="13">
        <f t="shared" si="1048"/>
        <v>0</v>
      </c>
      <c r="AE524" s="13">
        <f t="shared" si="1048"/>
        <v>0</v>
      </c>
      <c r="AF524" s="13">
        <f t="shared" si="1048"/>
        <v>1</v>
      </c>
      <c r="AG524" s="13">
        <f t="shared" si="1048"/>
        <v>0</v>
      </c>
      <c r="AH524" s="13">
        <f t="shared" si="1048"/>
        <v>0</v>
      </c>
      <c r="AI524" s="13">
        <f t="shared" si="1048"/>
        <v>0</v>
      </c>
      <c r="AJ524" s="13">
        <f t="shared" si="1048"/>
        <v>1</v>
      </c>
      <c r="AK524" s="13">
        <f t="shared" si="1048"/>
        <v>0</v>
      </c>
      <c r="AL524" s="13">
        <f t="shared" si="1048"/>
        <v>0</v>
      </c>
      <c r="AM524" s="13">
        <f t="shared" si="1048"/>
        <v>0</v>
      </c>
      <c r="AN524" s="13">
        <f t="shared" si="1048"/>
        <v>0</v>
      </c>
      <c r="AO524" s="13">
        <f t="shared" si="1048"/>
        <v>0</v>
      </c>
      <c r="AP524" s="13">
        <f t="shared" si="1048"/>
        <v>0</v>
      </c>
      <c r="AQ524" s="13" t="s">
        <v>3489</v>
      </c>
      <c r="AR524" s="13"/>
      <c r="AS524" s="13" t="s">
        <v>3490</v>
      </c>
      <c r="AT524" s="13"/>
      <c r="AU524" s="13"/>
      <c r="AV524" s="13"/>
      <c r="AW524" s="13">
        <v>0.0</v>
      </c>
      <c r="AX524" s="13">
        <v>6.0</v>
      </c>
      <c r="AY524" s="13">
        <v>0.0</v>
      </c>
      <c r="AZ524" s="13"/>
      <c r="BA524" s="13"/>
      <c r="BB524" s="13"/>
      <c r="BC524" s="13"/>
      <c r="BD524" s="13"/>
      <c r="BE524" s="13"/>
      <c r="BF524" s="13"/>
      <c r="BG524" s="13"/>
      <c r="BH524" s="13" t="s">
        <v>79</v>
      </c>
      <c r="BI524" s="13" t="b">
        <v>0</v>
      </c>
      <c r="BJ524" s="13">
        <v>0.0</v>
      </c>
      <c r="BK524" s="13">
        <v>0.0</v>
      </c>
    </row>
    <row r="525" ht="14.25" customHeight="1">
      <c r="A525" s="13">
        <v>523.0</v>
      </c>
      <c r="B525" s="13" t="s">
        <v>48</v>
      </c>
      <c r="C525" s="13">
        <v>4.0</v>
      </c>
      <c r="D525" s="14">
        <v>0.0</v>
      </c>
      <c r="E525" s="13" t="s">
        <v>3491</v>
      </c>
      <c r="F525" s="15" t="s">
        <v>3368</v>
      </c>
      <c r="G525" s="16" t="s">
        <v>3492</v>
      </c>
      <c r="H525" s="13">
        <v>21.0</v>
      </c>
      <c r="I525" s="13">
        <v>0.9</v>
      </c>
      <c r="J525" s="13" t="s">
        <v>3493</v>
      </c>
      <c r="K525" s="13">
        <f t="shared" si="3"/>
        <v>2</v>
      </c>
      <c r="L525" s="13">
        <f t="shared" si="4"/>
        <v>2</v>
      </c>
      <c r="M525" s="13">
        <f t="shared" ref="M525:AA525" si="1049">IFERROR(VALUE(RIGHT(LEFT($J525,FIND(M$1,$J525,1)+LEN(M$1)),1)),0)</f>
        <v>0</v>
      </c>
      <c r="N525" s="13">
        <f t="shared" si="1049"/>
        <v>0</v>
      </c>
      <c r="O525" s="13">
        <f t="shared" si="1049"/>
        <v>0</v>
      </c>
      <c r="P525" s="13">
        <f t="shared" si="1049"/>
        <v>0</v>
      </c>
      <c r="Q525" s="13">
        <f t="shared" si="1049"/>
        <v>0</v>
      </c>
      <c r="R525" s="13">
        <f t="shared" si="1049"/>
        <v>0</v>
      </c>
      <c r="S525" s="13">
        <f t="shared" si="1049"/>
        <v>0</v>
      </c>
      <c r="T525" s="13">
        <f t="shared" si="1049"/>
        <v>0</v>
      </c>
      <c r="U525" s="13">
        <f t="shared" si="1049"/>
        <v>0</v>
      </c>
      <c r="V525" s="13">
        <f t="shared" si="1049"/>
        <v>0</v>
      </c>
      <c r="W525" s="13">
        <f t="shared" si="1049"/>
        <v>2</v>
      </c>
      <c r="X525" s="13">
        <f t="shared" si="1049"/>
        <v>0</v>
      </c>
      <c r="Y525" s="13">
        <f t="shared" si="1049"/>
        <v>0</v>
      </c>
      <c r="Z525" s="13">
        <f t="shared" si="1049"/>
        <v>0</v>
      </c>
      <c r="AA525" s="13">
        <f t="shared" si="1049"/>
        <v>0</v>
      </c>
      <c r="AB525" s="13">
        <f t="shared" ref="AB525:AP525" si="1050">IFERROR(VALUE(RIGHT(LEFT($J525,FIND(AB$1,$J525,IF(M525=0,1,FIND(AB$1,$J525,1)+1))+LEN(AB$1)),1)),0)</f>
        <v>0</v>
      </c>
      <c r="AC525" s="13">
        <f t="shared" si="1050"/>
        <v>1</v>
      </c>
      <c r="AD525" s="13">
        <f t="shared" si="1050"/>
        <v>0</v>
      </c>
      <c r="AE525" s="13">
        <f t="shared" si="1050"/>
        <v>0</v>
      </c>
      <c r="AF525" s="13">
        <f t="shared" si="1050"/>
        <v>0</v>
      </c>
      <c r="AG525" s="13">
        <f t="shared" si="1050"/>
        <v>0</v>
      </c>
      <c r="AH525" s="13">
        <f t="shared" si="1050"/>
        <v>0</v>
      </c>
      <c r="AI525" s="13">
        <f t="shared" si="1050"/>
        <v>0</v>
      </c>
      <c r="AJ525" s="13">
        <f t="shared" si="1050"/>
        <v>0</v>
      </c>
      <c r="AK525" s="13">
        <f t="shared" si="1050"/>
        <v>0</v>
      </c>
      <c r="AL525" s="13">
        <f t="shared" si="1050"/>
        <v>1</v>
      </c>
      <c r="AM525" s="13">
        <f t="shared" si="1050"/>
        <v>0</v>
      </c>
      <c r="AN525" s="13">
        <f t="shared" si="1050"/>
        <v>0</v>
      </c>
      <c r="AO525" s="13">
        <f t="shared" si="1050"/>
        <v>0</v>
      </c>
      <c r="AP525" s="13">
        <f t="shared" si="1050"/>
        <v>0</v>
      </c>
      <c r="AQ525" s="13"/>
      <c r="AR525" s="13" t="s">
        <v>3494</v>
      </c>
      <c r="AS525" s="13" t="s">
        <v>3495</v>
      </c>
      <c r="AT525" s="13" t="s">
        <v>162</v>
      </c>
      <c r="AU525" s="13" t="s">
        <v>616</v>
      </c>
      <c r="AV525" s="13" t="s">
        <v>3496</v>
      </c>
      <c r="AW525" s="13">
        <v>21.0</v>
      </c>
      <c r="AX525" s="13">
        <v>6.0</v>
      </c>
      <c r="AY525" s="13">
        <v>0.0</v>
      </c>
      <c r="AZ525" s="13" t="s">
        <v>1986</v>
      </c>
      <c r="BA525" s="13" t="s">
        <v>3497</v>
      </c>
      <c r="BB525" s="13"/>
      <c r="BC525" s="13"/>
      <c r="BD525" s="13" t="s">
        <v>167</v>
      </c>
      <c r="BE525" s="13"/>
      <c r="BF525" s="13" t="s">
        <v>3498</v>
      </c>
      <c r="BG525" s="13" t="s">
        <v>169</v>
      </c>
      <c r="BH525" s="13" t="s">
        <v>79</v>
      </c>
      <c r="BI525" s="13" t="b">
        <v>0</v>
      </c>
      <c r="BJ525" s="13">
        <v>0.0</v>
      </c>
      <c r="BK525" s="13">
        <v>0.0</v>
      </c>
    </row>
    <row r="526" ht="14.25" customHeight="1">
      <c r="A526" s="13">
        <v>524.0</v>
      </c>
      <c r="B526" s="13" t="s">
        <v>48</v>
      </c>
      <c r="C526" s="13">
        <v>4.0</v>
      </c>
      <c r="D526" s="14">
        <v>0.0</v>
      </c>
      <c r="E526" s="13" t="s">
        <v>3499</v>
      </c>
      <c r="F526" s="15" t="s">
        <v>3368</v>
      </c>
      <c r="G526" s="16" t="s">
        <v>3500</v>
      </c>
      <c r="H526" s="13">
        <v>20.0</v>
      </c>
      <c r="I526" s="13">
        <v>1.0</v>
      </c>
      <c r="J526" s="13" t="s">
        <v>3501</v>
      </c>
      <c r="K526" s="13">
        <f t="shared" si="3"/>
        <v>3</v>
      </c>
      <c r="L526" s="13">
        <f t="shared" si="4"/>
        <v>0</v>
      </c>
      <c r="M526" s="13">
        <f t="shared" ref="M526:AA526" si="1051">IFERROR(VALUE(RIGHT(LEFT($J526,FIND(M$1,$J526,1)+LEN(M$1)),1)),0)</f>
        <v>1</v>
      </c>
      <c r="N526" s="13">
        <f t="shared" si="1051"/>
        <v>2</v>
      </c>
      <c r="O526" s="13">
        <f t="shared" si="1051"/>
        <v>0</v>
      </c>
      <c r="P526" s="13">
        <f t="shared" si="1051"/>
        <v>0</v>
      </c>
      <c r="Q526" s="13">
        <f t="shared" si="1051"/>
        <v>0</v>
      </c>
      <c r="R526" s="13">
        <f t="shared" si="1051"/>
        <v>0</v>
      </c>
      <c r="S526" s="13">
        <f t="shared" si="1051"/>
        <v>0</v>
      </c>
      <c r="T526" s="13">
        <f t="shared" si="1051"/>
        <v>0</v>
      </c>
      <c r="U526" s="13">
        <f t="shared" si="1051"/>
        <v>0</v>
      </c>
      <c r="V526" s="13">
        <f t="shared" si="1051"/>
        <v>0</v>
      </c>
      <c r="W526" s="13">
        <f t="shared" si="1051"/>
        <v>0</v>
      </c>
      <c r="X526" s="13">
        <f t="shared" si="1051"/>
        <v>0</v>
      </c>
      <c r="Y526" s="13">
        <f t="shared" si="1051"/>
        <v>0</v>
      </c>
      <c r="Z526" s="13">
        <f t="shared" si="1051"/>
        <v>0</v>
      </c>
      <c r="AA526" s="13">
        <f t="shared" si="1051"/>
        <v>0</v>
      </c>
      <c r="AB526" s="13">
        <f t="shared" ref="AB526:AP526" si="1052">IFERROR(VALUE(RIGHT(LEFT($J526,FIND(AB$1,$J526,IF(M526=0,1,FIND(AB$1,$J526,1)+1))+LEN(AB$1)),1)),0)</f>
        <v>0</v>
      </c>
      <c r="AC526" s="13">
        <f t="shared" si="1052"/>
        <v>0</v>
      </c>
      <c r="AD526" s="13">
        <f t="shared" si="1052"/>
        <v>0</v>
      </c>
      <c r="AE526" s="13">
        <f t="shared" si="1052"/>
        <v>0</v>
      </c>
      <c r="AF526" s="13">
        <f t="shared" si="1052"/>
        <v>0</v>
      </c>
      <c r="AG526" s="13">
        <f t="shared" si="1052"/>
        <v>0</v>
      </c>
      <c r="AH526" s="13">
        <f t="shared" si="1052"/>
        <v>0</v>
      </c>
      <c r="AI526" s="13">
        <f t="shared" si="1052"/>
        <v>0</v>
      </c>
      <c r="AJ526" s="13">
        <f t="shared" si="1052"/>
        <v>0</v>
      </c>
      <c r="AK526" s="13">
        <f t="shared" si="1052"/>
        <v>0</v>
      </c>
      <c r="AL526" s="13">
        <f t="shared" si="1052"/>
        <v>0</v>
      </c>
      <c r="AM526" s="13">
        <f t="shared" si="1052"/>
        <v>0</v>
      </c>
      <c r="AN526" s="13">
        <f t="shared" si="1052"/>
        <v>0</v>
      </c>
      <c r="AO526" s="13">
        <f t="shared" si="1052"/>
        <v>0</v>
      </c>
      <c r="AP526" s="13">
        <f t="shared" si="1052"/>
        <v>0</v>
      </c>
      <c r="AQ526" s="13"/>
      <c r="AR526" s="13" t="s">
        <v>3502</v>
      </c>
      <c r="AS526" s="13" t="s">
        <v>3503</v>
      </c>
      <c r="AT526" s="13" t="s">
        <v>1221</v>
      </c>
      <c r="AU526" s="13" t="s">
        <v>803</v>
      </c>
      <c r="AV526" s="13" t="s">
        <v>1681</v>
      </c>
      <c r="AW526" s="13">
        <v>19.0</v>
      </c>
      <c r="AX526" s="13">
        <v>6.0</v>
      </c>
      <c r="AY526" s="13">
        <v>0.0</v>
      </c>
      <c r="AZ526" s="13" t="s">
        <v>3504</v>
      </c>
      <c r="BA526" s="13" t="s">
        <v>3505</v>
      </c>
      <c r="BB526" s="13"/>
      <c r="BC526" s="13"/>
      <c r="BD526" s="13" t="s">
        <v>188</v>
      </c>
      <c r="BE526" s="13"/>
      <c r="BF526" s="13" t="s">
        <v>3506</v>
      </c>
      <c r="BG526" s="13" t="s">
        <v>169</v>
      </c>
      <c r="BH526" s="13" t="s">
        <v>79</v>
      </c>
      <c r="BI526" s="13" t="b">
        <v>0</v>
      </c>
      <c r="BJ526" s="13">
        <v>0.0</v>
      </c>
      <c r="BK526" s="13">
        <v>0.0</v>
      </c>
    </row>
    <row r="527" ht="14.25" customHeight="1">
      <c r="A527" s="13">
        <v>525.0</v>
      </c>
      <c r="B527" s="13" t="s">
        <v>49</v>
      </c>
      <c r="C527" s="13">
        <v>4.0</v>
      </c>
      <c r="D527" s="14">
        <v>0.0</v>
      </c>
      <c r="E527" s="13" t="s">
        <v>3507</v>
      </c>
      <c r="F527" s="15" t="s">
        <v>3368</v>
      </c>
      <c r="G527" s="16" t="s">
        <v>3508</v>
      </c>
      <c r="H527" s="13">
        <v>22.0</v>
      </c>
      <c r="I527" s="13">
        <v>1.1</v>
      </c>
      <c r="J527" s="13" t="s">
        <v>2338</v>
      </c>
      <c r="K527" s="13">
        <f t="shared" si="3"/>
        <v>2</v>
      </c>
      <c r="L527" s="13">
        <f t="shared" si="4"/>
        <v>2</v>
      </c>
      <c r="M527" s="13">
        <f t="shared" ref="M527:AA527" si="1053">IFERROR(VALUE(RIGHT(LEFT($J527,FIND(M$1,$J527,1)+LEN(M$1)),1)),0)</f>
        <v>0</v>
      </c>
      <c r="N527" s="13">
        <f t="shared" si="1053"/>
        <v>0</v>
      </c>
      <c r="O527" s="13">
        <f t="shared" si="1053"/>
        <v>0</v>
      </c>
      <c r="P527" s="13">
        <f t="shared" si="1053"/>
        <v>0</v>
      </c>
      <c r="Q527" s="13">
        <f t="shared" si="1053"/>
        <v>0</v>
      </c>
      <c r="R527" s="13">
        <f t="shared" si="1053"/>
        <v>0</v>
      </c>
      <c r="S527" s="13">
        <f t="shared" si="1053"/>
        <v>0</v>
      </c>
      <c r="T527" s="13">
        <f t="shared" si="1053"/>
        <v>0</v>
      </c>
      <c r="U527" s="13">
        <f t="shared" si="1053"/>
        <v>0</v>
      </c>
      <c r="V527" s="13">
        <f t="shared" si="1053"/>
        <v>0</v>
      </c>
      <c r="W527" s="13">
        <f t="shared" si="1053"/>
        <v>0</v>
      </c>
      <c r="X527" s="13">
        <f t="shared" si="1053"/>
        <v>2</v>
      </c>
      <c r="Y527" s="13">
        <f t="shared" si="1053"/>
        <v>0</v>
      </c>
      <c r="Z527" s="13">
        <f t="shared" si="1053"/>
        <v>0</v>
      </c>
      <c r="AA527" s="13">
        <f t="shared" si="1053"/>
        <v>0</v>
      </c>
      <c r="AB527" s="13">
        <f t="shared" ref="AB527:AP527" si="1054">IFERROR(VALUE(RIGHT(LEFT($J527,FIND(AB$1,$J527,IF(M527=0,1,FIND(AB$1,$J527,1)+1))+LEN(AB$1)),1)),0)</f>
        <v>1</v>
      </c>
      <c r="AC527" s="13">
        <f t="shared" si="1054"/>
        <v>0</v>
      </c>
      <c r="AD527" s="13">
        <f t="shared" si="1054"/>
        <v>0</v>
      </c>
      <c r="AE527" s="13">
        <f t="shared" si="1054"/>
        <v>0</v>
      </c>
      <c r="AF527" s="13">
        <f t="shared" si="1054"/>
        <v>0</v>
      </c>
      <c r="AG527" s="13">
        <f t="shared" si="1054"/>
        <v>0</v>
      </c>
      <c r="AH527" s="13">
        <f t="shared" si="1054"/>
        <v>0</v>
      </c>
      <c r="AI527" s="13">
        <f t="shared" si="1054"/>
        <v>0</v>
      </c>
      <c r="AJ527" s="13">
        <f t="shared" si="1054"/>
        <v>0</v>
      </c>
      <c r="AK527" s="13">
        <f t="shared" si="1054"/>
        <v>0</v>
      </c>
      <c r="AL527" s="13">
        <f t="shared" si="1054"/>
        <v>0</v>
      </c>
      <c r="AM527" s="13">
        <f t="shared" si="1054"/>
        <v>1</v>
      </c>
      <c r="AN527" s="13">
        <f t="shared" si="1054"/>
        <v>0</v>
      </c>
      <c r="AO527" s="13">
        <f t="shared" si="1054"/>
        <v>0</v>
      </c>
      <c r="AP527" s="13">
        <f t="shared" si="1054"/>
        <v>0</v>
      </c>
      <c r="AQ527" s="13"/>
      <c r="AR527" s="13" t="s">
        <v>3509</v>
      </c>
      <c r="AS527" s="13" t="s">
        <v>3510</v>
      </c>
      <c r="AT527" s="13" t="s">
        <v>1221</v>
      </c>
      <c r="AU527" s="13" t="s">
        <v>269</v>
      </c>
      <c r="AV527" s="13" t="s">
        <v>3511</v>
      </c>
      <c r="AW527" s="13">
        <v>20.0</v>
      </c>
      <c r="AX527" s="13">
        <v>6.0</v>
      </c>
      <c r="AY527" s="13">
        <v>0.0</v>
      </c>
      <c r="AZ527" s="13" t="s">
        <v>3512</v>
      </c>
      <c r="BA527" s="13" t="s">
        <v>3513</v>
      </c>
      <c r="BB527" s="13"/>
      <c r="BC527" s="13"/>
      <c r="BD527" s="13" t="s">
        <v>199</v>
      </c>
      <c r="BE527" s="13"/>
      <c r="BF527" s="13" t="s">
        <v>3514</v>
      </c>
      <c r="BG527" s="13" t="s">
        <v>201</v>
      </c>
      <c r="BH527" s="13" t="s">
        <v>79</v>
      </c>
      <c r="BI527" s="13" t="b">
        <v>0</v>
      </c>
      <c r="BJ527" s="13">
        <v>0.0</v>
      </c>
      <c r="BK527" s="13">
        <v>0.0</v>
      </c>
    </row>
    <row r="528" ht="14.25" customHeight="1">
      <c r="A528" s="13">
        <v>526.0</v>
      </c>
      <c r="B528" s="13" t="s">
        <v>48</v>
      </c>
      <c r="C528" s="13">
        <v>5.0</v>
      </c>
      <c r="D528" s="14">
        <v>0.0</v>
      </c>
      <c r="E528" s="13" t="s">
        <v>3515</v>
      </c>
      <c r="F528" s="15" t="s">
        <v>3368</v>
      </c>
      <c r="G528" s="16" t="s">
        <v>3516</v>
      </c>
      <c r="H528" s="13">
        <v>19.0</v>
      </c>
      <c r="I528" s="13">
        <v>1.1</v>
      </c>
      <c r="J528" s="13" t="s">
        <v>3517</v>
      </c>
      <c r="K528" s="13">
        <f t="shared" si="3"/>
        <v>4</v>
      </c>
      <c r="L528" s="13">
        <f t="shared" si="4"/>
        <v>0</v>
      </c>
      <c r="M528" s="13">
        <f t="shared" ref="M528:AA528" si="1055">IFERROR(VALUE(RIGHT(LEFT($J528,FIND(M$1,$J528,1)+LEN(M$1)),1)),0)</f>
        <v>1</v>
      </c>
      <c r="N528" s="13">
        <f t="shared" si="1055"/>
        <v>1</v>
      </c>
      <c r="O528" s="13">
        <f t="shared" si="1055"/>
        <v>0</v>
      </c>
      <c r="P528" s="13">
        <f t="shared" si="1055"/>
        <v>0</v>
      </c>
      <c r="Q528" s="13">
        <f t="shared" si="1055"/>
        <v>0</v>
      </c>
      <c r="R528" s="13">
        <f t="shared" si="1055"/>
        <v>0</v>
      </c>
      <c r="S528" s="13">
        <f t="shared" si="1055"/>
        <v>0</v>
      </c>
      <c r="T528" s="13">
        <f t="shared" si="1055"/>
        <v>0</v>
      </c>
      <c r="U528" s="13">
        <f t="shared" si="1055"/>
        <v>0</v>
      </c>
      <c r="V528" s="13">
        <f t="shared" si="1055"/>
        <v>0</v>
      </c>
      <c r="W528" s="13">
        <f t="shared" si="1055"/>
        <v>2</v>
      </c>
      <c r="X528" s="13">
        <f t="shared" si="1055"/>
        <v>0</v>
      </c>
      <c r="Y528" s="13">
        <f t="shared" si="1055"/>
        <v>0</v>
      </c>
      <c r="Z528" s="13">
        <f t="shared" si="1055"/>
        <v>0</v>
      </c>
      <c r="AA528" s="13">
        <f t="shared" si="1055"/>
        <v>0</v>
      </c>
      <c r="AB528" s="13">
        <f t="shared" ref="AB528:AP528" si="1056">IFERROR(VALUE(RIGHT(LEFT($J528,FIND(AB$1,$J528,IF(M528=0,1,FIND(AB$1,$J528,1)+1))+LEN(AB$1)),1)),0)</f>
        <v>0</v>
      </c>
      <c r="AC528" s="13">
        <f t="shared" si="1056"/>
        <v>0</v>
      </c>
      <c r="AD528" s="13">
        <f t="shared" si="1056"/>
        <v>0</v>
      </c>
      <c r="AE528" s="13">
        <f t="shared" si="1056"/>
        <v>0</v>
      </c>
      <c r="AF528" s="13">
        <f t="shared" si="1056"/>
        <v>0</v>
      </c>
      <c r="AG528" s="13">
        <f t="shared" si="1056"/>
        <v>0</v>
      </c>
      <c r="AH528" s="13">
        <f t="shared" si="1056"/>
        <v>0</v>
      </c>
      <c r="AI528" s="13">
        <f t="shared" si="1056"/>
        <v>0</v>
      </c>
      <c r="AJ528" s="13">
        <f t="shared" si="1056"/>
        <v>0</v>
      </c>
      <c r="AK528" s="13">
        <f t="shared" si="1056"/>
        <v>0</v>
      </c>
      <c r="AL528" s="13">
        <f t="shared" si="1056"/>
        <v>0</v>
      </c>
      <c r="AM528" s="13">
        <f t="shared" si="1056"/>
        <v>0</v>
      </c>
      <c r="AN528" s="13">
        <f t="shared" si="1056"/>
        <v>0</v>
      </c>
      <c r="AO528" s="13">
        <f t="shared" si="1056"/>
        <v>0</v>
      </c>
      <c r="AP528" s="13">
        <f t="shared" si="1056"/>
        <v>0</v>
      </c>
      <c r="AQ528" s="13"/>
      <c r="AR528" s="13" t="s">
        <v>3518</v>
      </c>
      <c r="AS528" s="13" t="s">
        <v>3519</v>
      </c>
      <c r="AT528" s="13" t="s">
        <v>1350</v>
      </c>
      <c r="AU528" s="13" t="s">
        <v>143</v>
      </c>
      <c r="AV528" s="13" t="s">
        <v>3520</v>
      </c>
      <c r="AW528" s="13">
        <v>23.0</v>
      </c>
      <c r="AX528" s="13">
        <v>6.0</v>
      </c>
      <c r="AY528" s="13">
        <v>0.0</v>
      </c>
      <c r="AZ528" s="13" t="s">
        <v>3521</v>
      </c>
      <c r="BA528" s="13" t="s">
        <v>3522</v>
      </c>
      <c r="BB528" s="13"/>
      <c r="BC528" s="13"/>
      <c r="BD528" s="13" t="s">
        <v>167</v>
      </c>
      <c r="BE528" s="13"/>
      <c r="BF528" s="13" t="s">
        <v>3523</v>
      </c>
      <c r="BG528" s="13" t="s">
        <v>169</v>
      </c>
      <c r="BH528" s="13" t="s">
        <v>2160</v>
      </c>
      <c r="BI528" s="13" t="b">
        <v>1</v>
      </c>
      <c r="BJ528" s="13">
        <v>0.0</v>
      </c>
      <c r="BK528" s="13">
        <v>0.0</v>
      </c>
    </row>
    <row r="529" ht="14.25" customHeight="1">
      <c r="A529" s="13">
        <v>527.0</v>
      </c>
      <c r="B529" s="13" t="s">
        <v>44</v>
      </c>
      <c r="C529" s="13">
        <v>0.0</v>
      </c>
      <c r="D529" s="14">
        <v>0.0</v>
      </c>
      <c r="E529" s="13" t="s">
        <v>3524</v>
      </c>
      <c r="F529" s="15" t="s">
        <v>3525</v>
      </c>
      <c r="G529" s="16" t="s">
        <v>3526</v>
      </c>
      <c r="H529" s="13"/>
      <c r="I529" s="13">
        <v>1.0</v>
      </c>
      <c r="J529" s="13" t="s">
        <v>2185</v>
      </c>
      <c r="K529" s="13">
        <f t="shared" si="3"/>
        <v>0</v>
      </c>
      <c r="L529" s="13">
        <f t="shared" si="4"/>
        <v>1</v>
      </c>
      <c r="M529" s="13">
        <f t="shared" ref="M529:AA529" si="1057">IFERROR(VALUE(RIGHT(LEFT($J529,FIND(M$1,$J529,1)+LEN(M$1)),1)),0)</f>
        <v>0</v>
      </c>
      <c r="N529" s="13">
        <f t="shared" si="1057"/>
        <v>0</v>
      </c>
      <c r="O529" s="13">
        <f t="shared" si="1057"/>
        <v>0</v>
      </c>
      <c r="P529" s="13">
        <f t="shared" si="1057"/>
        <v>0</v>
      </c>
      <c r="Q529" s="13">
        <f t="shared" si="1057"/>
        <v>0</v>
      </c>
      <c r="R529" s="13">
        <f t="shared" si="1057"/>
        <v>0</v>
      </c>
      <c r="S529" s="13">
        <f t="shared" si="1057"/>
        <v>0</v>
      </c>
      <c r="T529" s="13">
        <f t="shared" si="1057"/>
        <v>0</v>
      </c>
      <c r="U529" s="13">
        <f t="shared" si="1057"/>
        <v>0</v>
      </c>
      <c r="V529" s="13">
        <f t="shared" si="1057"/>
        <v>0</v>
      </c>
      <c r="W529" s="13">
        <f t="shared" si="1057"/>
        <v>0</v>
      </c>
      <c r="X529" s="13">
        <f t="shared" si="1057"/>
        <v>0</v>
      </c>
      <c r="Y529" s="13">
        <f t="shared" si="1057"/>
        <v>0</v>
      </c>
      <c r="Z529" s="13">
        <f t="shared" si="1057"/>
        <v>0</v>
      </c>
      <c r="AA529" s="13">
        <f t="shared" si="1057"/>
        <v>0</v>
      </c>
      <c r="AB529" s="13">
        <f t="shared" ref="AB529:AP529" si="1058">IFERROR(VALUE(RIGHT(LEFT($J529,FIND(AB$1,$J529,IF(M529=0,1,FIND(AB$1,$J529,1)+1))+LEN(AB$1)),1)),0)</f>
        <v>0</v>
      </c>
      <c r="AC529" s="13">
        <f t="shared" si="1058"/>
        <v>0</v>
      </c>
      <c r="AD529" s="13">
        <f t="shared" si="1058"/>
        <v>0</v>
      </c>
      <c r="AE529" s="13">
        <f t="shared" si="1058"/>
        <v>0</v>
      </c>
      <c r="AF529" s="13">
        <f t="shared" si="1058"/>
        <v>0</v>
      </c>
      <c r="AG529" s="13">
        <f t="shared" si="1058"/>
        <v>0</v>
      </c>
      <c r="AH529" s="13">
        <f t="shared" si="1058"/>
        <v>1</v>
      </c>
      <c r="AI529" s="13">
        <f t="shared" si="1058"/>
        <v>0</v>
      </c>
      <c r="AJ529" s="13">
        <f t="shared" si="1058"/>
        <v>0</v>
      </c>
      <c r="AK529" s="13">
        <f t="shared" si="1058"/>
        <v>0</v>
      </c>
      <c r="AL529" s="13">
        <f t="shared" si="1058"/>
        <v>0</v>
      </c>
      <c r="AM529" s="13">
        <f t="shared" si="1058"/>
        <v>0</v>
      </c>
      <c r="AN529" s="13">
        <f t="shared" si="1058"/>
        <v>0</v>
      </c>
      <c r="AO529" s="13">
        <f t="shared" si="1058"/>
        <v>0</v>
      </c>
      <c r="AP529" s="13">
        <f t="shared" si="1058"/>
        <v>0</v>
      </c>
      <c r="AQ529" s="13" t="s">
        <v>3527</v>
      </c>
      <c r="AR529" s="13"/>
      <c r="AS529" s="13" t="s">
        <v>3528</v>
      </c>
      <c r="AT529" s="13"/>
      <c r="AU529" s="13"/>
      <c r="AV529" s="13"/>
      <c r="AW529" s="13">
        <v>0.0</v>
      </c>
      <c r="AX529" s="13">
        <v>7.0</v>
      </c>
      <c r="AY529" s="13">
        <v>0.0</v>
      </c>
      <c r="AZ529" s="13"/>
      <c r="BA529" s="13"/>
      <c r="BB529" s="13"/>
      <c r="BC529" s="13"/>
      <c r="BD529" s="13"/>
      <c r="BE529" s="13"/>
      <c r="BF529" s="13"/>
      <c r="BG529" s="13"/>
      <c r="BH529" s="13" t="s">
        <v>79</v>
      </c>
      <c r="BI529" s="13" t="b">
        <v>0</v>
      </c>
      <c r="BJ529" s="13">
        <v>0.0</v>
      </c>
      <c r="BK529" s="13">
        <v>0.0</v>
      </c>
    </row>
    <row r="530" ht="14.25" customHeight="1">
      <c r="A530" s="13">
        <v>528.0</v>
      </c>
      <c r="B530" s="13" t="s">
        <v>45</v>
      </c>
      <c r="C530" s="13">
        <v>0.0</v>
      </c>
      <c r="D530" s="14">
        <v>0.0</v>
      </c>
      <c r="E530" s="13" t="s">
        <v>3529</v>
      </c>
      <c r="F530" s="15" t="s">
        <v>3525</v>
      </c>
      <c r="G530" s="16" t="s">
        <v>3530</v>
      </c>
      <c r="H530" s="13"/>
      <c r="I530" s="13">
        <v>0.9</v>
      </c>
      <c r="J530" s="13" t="s">
        <v>100</v>
      </c>
      <c r="K530" s="13">
        <f t="shared" si="3"/>
        <v>0</v>
      </c>
      <c r="L530" s="13">
        <f t="shared" si="4"/>
        <v>1</v>
      </c>
      <c r="M530" s="13">
        <f t="shared" ref="M530:AA530" si="1059">IFERROR(VALUE(RIGHT(LEFT($J530,FIND(M$1,$J530,1)+LEN(M$1)),1)),0)</f>
        <v>0</v>
      </c>
      <c r="N530" s="13">
        <f t="shared" si="1059"/>
        <v>0</v>
      </c>
      <c r="O530" s="13">
        <f t="shared" si="1059"/>
        <v>0</v>
      </c>
      <c r="P530" s="13">
        <f t="shared" si="1059"/>
        <v>0</v>
      </c>
      <c r="Q530" s="13">
        <f t="shared" si="1059"/>
        <v>0</v>
      </c>
      <c r="R530" s="13">
        <f t="shared" si="1059"/>
        <v>0</v>
      </c>
      <c r="S530" s="13">
        <f t="shared" si="1059"/>
        <v>0</v>
      </c>
      <c r="T530" s="13">
        <f t="shared" si="1059"/>
        <v>0</v>
      </c>
      <c r="U530" s="13">
        <f t="shared" si="1059"/>
        <v>0</v>
      </c>
      <c r="V530" s="13">
        <f t="shared" si="1059"/>
        <v>0</v>
      </c>
      <c r="W530" s="13">
        <f t="shared" si="1059"/>
        <v>0</v>
      </c>
      <c r="X530" s="13">
        <f t="shared" si="1059"/>
        <v>0</v>
      </c>
      <c r="Y530" s="13">
        <f t="shared" si="1059"/>
        <v>0</v>
      </c>
      <c r="Z530" s="13">
        <f t="shared" si="1059"/>
        <v>0</v>
      </c>
      <c r="AA530" s="13">
        <f t="shared" si="1059"/>
        <v>0</v>
      </c>
      <c r="AB530" s="13">
        <f t="shared" ref="AB530:AP530" si="1060">IFERROR(VALUE(RIGHT(LEFT($J530,FIND(AB$1,$J530,IF(M530=0,1,FIND(AB$1,$J530,1)+1))+LEN(AB$1)),1)),0)</f>
        <v>0</v>
      </c>
      <c r="AC530" s="13">
        <f t="shared" si="1060"/>
        <v>0</v>
      </c>
      <c r="AD530" s="13">
        <f t="shared" si="1060"/>
        <v>0</v>
      </c>
      <c r="AE530" s="13">
        <f t="shared" si="1060"/>
        <v>0</v>
      </c>
      <c r="AF530" s="13">
        <f t="shared" si="1060"/>
        <v>0</v>
      </c>
      <c r="AG530" s="13">
        <f t="shared" si="1060"/>
        <v>0</v>
      </c>
      <c r="AH530" s="13">
        <f t="shared" si="1060"/>
        <v>0</v>
      </c>
      <c r="AI530" s="13">
        <f t="shared" si="1060"/>
        <v>1</v>
      </c>
      <c r="AJ530" s="13">
        <f t="shared" si="1060"/>
        <v>0</v>
      </c>
      <c r="AK530" s="13">
        <f t="shared" si="1060"/>
        <v>0</v>
      </c>
      <c r="AL530" s="13">
        <f t="shared" si="1060"/>
        <v>0</v>
      </c>
      <c r="AM530" s="13">
        <f t="shared" si="1060"/>
        <v>0</v>
      </c>
      <c r="AN530" s="13">
        <f t="shared" si="1060"/>
        <v>0</v>
      </c>
      <c r="AO530" s="13">
        <f t="shared" si="1060"/>
        <v>0</v>
      </c>
      <c r="AP530" s="13">
        <f t="shared" si="1060"/>
        <v>0</v>
      </c>
      <c r="AQ530" s="13" t="s">
        <v>3531</v>
      </c>
      <c r="AR530" s="13"/>
      <c r="AS530" s="13" t="s">
        <v>107</v>
      </c>
      <c r="AT530" s="13"/>
      <c r="AU530" s="13"/>
      <c r="AV530" s="13"/>
      <c r="AW530" s="13">
        <v>0.0</v>
      </c>
      <c r="AX530" s="13">
        <v>7.0</v>
      </c>
      <c r="AY530" s="13">
        <v>0.0</v>
      </c>
      <c r="AZ530" s="13"/>
      <c r="BA530" s="13"/>
      <c r="BB530" s="13"/>
      <c r="BC530" s="13"/>
      <c r="BD530" s="13"/>
      <c r="BE530" s="13"/>
      <c r="BF530" s="13"/>
      <c r="BG530" s="13"/>
      <c r="BH530" s="13" t="s">
        <v>79</v>
      </c>
      <c r="BI530" s="13" t="b">
        <v>0</v>
      </c>
      <c r="BJ530" s="13">
        <v>0.0</v>
      </c>
      <c r="BK530" s="13">
        <v>0.0</v>
      </c>
    </row>
    <row r="531" ht="14.25" customHeight="1">
      <c r="A531" s="13">
        <v>529.0</v>
      </c>
      <c r="B531" s="13" t="s">
        <v>46</v>
      </c>
      <c r="C531" s="13">
        <v>0.0</v>
      </c>
      <c r="D531" s="14">
        <v>0.0</v>
      </c>
      <c r="E531" s="13" t="s">
        <v>3532</v>
      </c>
      <c r="F531" s="15" t="s">
        <v>3525</v>
      </c>
      <c r="G531" s="16" t="s">
        <v>3533</v>
      </c>
      <c r="H531" s="13"/>
      <c r="I531" s="13">
        <v>0.8</v>
      </c>
      <c r="J531" s="13" t="s">
        <v>111</v>
      </c>
      <c r="K531" s="13">
        <f t="shared" si="3"/>
        <v>0</v>
      </c>
      <c r="L531" s="13">
        <f t="shared" si="4"/>
        <v>1</v>
      </c>
      <c r="M531" s="13">
        <f t="shared" ref="M531:AA531" si="1061">IFERROR(VALUE(RIGHT(LEFT($J531,FIND(M$1,$J531,1)+LEN(M$1)),1)),0)</f>
        <v>0</v>
      </c>
      <c r="N531" s="13">
        <f t="shared" si="1061"/>
        <v>0</v>
      </c>
      <c r="O531" s="13">
        <f t="shared" si="1061"/>
        <v>0</v>
      </c>
      <c r="P531" s="13">
        <f t="shared" si="1061"/>
        <v>0</v>
      </c>
      <c r="Q531" s="13">
        <f t="shared" si="1061"/>
        <v>0</v>
      </c>
      <c r="R531" s="13">
        <f t="shared" si="1061"/>
        <v>0</v>
      </c>
      <c r="S531" s="13">
        <f t="shared" si="1061"/>
        <v>0</v>
      </c>
      <c r="T531" s="13">
        <f t="shared" si="1061"/>
        <v>0</v>
      </c>
      <c r="U531" s="13">
        <f t="shared" si="1061"/>
        <v>0</v>
      </c>
      <c r="V531" s="13">
        <f t="shared" si="1061"/>
        <v>0</v>
      </c>
      <c r="W531" s="13">
        <f t="shared" si="1061"/>
        <v>0</v>
      </c>
      <c r="X531" s="13">
        <f t="shared" si="1061"/>
        <v>0</v>
      </c>
      <c r="Y531" s="13">
        <f t="shared" si="1061"/>
        <v>0</v>
      </c>
      <c r="Z531" s="13">
        <f t="shared" si="1061"/>
        <v>0</v>
      </c>
      <c r="AA531" s="13">
        <f t="shared" si="1061"/>
        <v>0</v>
      </c>
      <c r="AB531" s="13">
        <f t="shared" ref="AB531:AP531" si="1062">IFERROR(VALUE(RIGHT(LEFT($J531,FIND(AB$1,$J531,IF(M531=0,1,FIND(AB$1,$J531,1)+1))+LEN(AB$1)),1)),0)</f>
        <v>0</v>
      </c>
      <c r="AC531" s="13">
        <f t="shared" si="1062"/>
        <v>0</v>
      </c>
      <c r="AD531" s="13">
        <f t="shared" si="1062"/>
        <v>0</v>
      </c>
      <c r="AE531" s="13">
        <f t="shared" si="1062"/>
        <v>0</v>
      </c>
      <c r="AF531" s="13">
        <f t="shared" si="1062"/>
        <v>0</v>
      </c>
      <c r="AG531" s="13">
        <f t="shared" si="1062"/>
        <v>0</v>
      </c>
      <c r="AH531" s="13">
        <f t="shared" si="1062"/>
        <v>0</v>
      </c>
      <c r="AI531" s="13">
        <f t="shared" si="1062"/>
        <v>0</v>
      </c>
      <c r="AJ531" s="13">
        <f t="shared" si="1062"/>
        <v>1</v>
      </c>
      <c r="AK531" s="13">
        <f t="shared" si="1062"/>
        <v>0</v>
      </c>
      <c r="AL531" s="13">
        <f t="shared" si="1062"/>
        <v>0</v>
      </c>
      <c r="AM531" s="13">
        <f t="shared" si="1062"/>
        <v>0</v>
      </c>
      <c r="AN531" s="13">
        <f t="shared" si="1062"/>
        <v>0</v>
      </c>
      <c r="AO531" s="13">
        <f t="shared" si="1062"/>
        <v>0</v>
      </c>
      <c r="AP531" s="13">
        <f t="shared" si="1062"/>
        <v>0</v>
      </c>
      <c r="AQ531" s="13" t="s">
        <v>3534</v>
      </c>
      <c r="AR531" s="13"/>
      <c r="AS531" s="13" t="s">
        <v>3535</v>
      </c>
      <c r="AT531" s="13"/>
      <c r="AU531" s="13"/>
      <c r="AV531" s="13"/>
      <c r="AW531" s="13">
        <v>0.0</v>
      </c>
      <c r="AX531" s="13">
        <v>7.0</v>
      </c>
      <c r="AY531" s="13">
        <v>0.0</v>
      </c>
      <c r="AZ531" s="13"/>
      <c r="BA531" s="13"/>
      <c r="BB531" s="13"/>
      <c r="BC531" s="13"/>
      <c r="BD531" s="13"/>
      <c r="BE531" s="13"/>
      <c r="BF531" s="13"/>
      <c r="BG531" s="13"/>
      <c r="BH531" s="13" t="s">
        <v>79</v>
      </c>
      <c r="BI531" s="13" t="b">
        <v>0</v>
      </c>
      <c r="BJ531" s="13">
        <v>0.0</v>
      </c>
      <c r="BK531" s="13">
        <v>0.0</v>
      </c>
    </row>
    <row r="532" ht="14.25" customHeight="1">
      <c r="A532" s="13">
        <v>530.0</v>
      </c>
      <c r="B532" s="13" t="s">
        <v>47</v>
      </c>
      <c r="C532" s="13">
        <v>0.0</v>
      </c>
      <c r="D532" s="14">
        <v>0.0</v>
      </c>
      <c r="E532" s="13" t="s">
        <v>3536</v>
      </c>
      <c r="F532" s="15" t="s">
        <v>3525</v>
      </c>
      <c r="G532" s="16" t="s">
        <v>3537</v>
      </c>
      <c r="H532" s="13">
        <v>11.0</v>
      </c>
      <c r="I532" s="13">
        <v>1.0</v>
      </c>
      <c r="J532" s="13" t="s">
        <v>127</v>
      </c>
      <c r="K532" s="13">
        <f t="shared" si="3"/>
        <v>0</v>
      </c>
      <c r="L532" s="13">
        <f t="shared" si="4"/>
        <v>1</v>
      </c>
      <c r="M532" s="13">
        <f t="shared" ref="M532:AA532" si="1063">IFERROR(VALUE(RIGHT(LEFT($J532,FIND(M$1,$J532,1)+LEN(M$1)),1)),0)</f>
        <v>0</v>
      </c>
      <c r="N532" s="13">
        <f t="shared" si="1063"/>
        <v>0</v>
      </c>
      <c r="O532" s="13">
        <f t="shared" si="1063"/>
        <v>0</v>
      </c>
      <c r="P532" s="13">
        <f t="shared" si="1063"/>
        <v>0</v>
      </c>
      <c r="Q532" s="13">
        <f t="shared" si="1063"/>
        <v>0</v>
      </c>
      <c r="R532" s="13">
        <f t="shared" si="1063"/>
        <v>0</v>
      </c>
      <c r="S532" s="13">
        <f t="shared" si="1063"/>
        <v>0</v>
      </c>
      <c r="T532" s="13">
        <f t="shared" si="1063"/>
        <v>0</v>
      </c>
      <c r="U532" s="13">
        <f t="shared" si="1063"/>
        <v>0</v>
      </c>
      <c r="V532" s="13">
        <f t="shared" si="1063"/>
        <v>0</v>
      </c>
      <c r="W532" s="13">
        <f t="shared" si="1063"/>
        <v>0</v>
      </c>
      <c r="X532" s="13">
        <f t="shared" si="1063"/>
        <v>0</v>
      </c>
      <c r="Y532" s="13">
        <f t="shared" si="1063"/>
        <v>0</v>
      </c>
      <c r="Z532" s="13">
        <f t="shared" si="1063"/>
        <v>0</v>
      </c>
      <c r="AA532" s="13">
        <f t="shared" si="1063"/>
        <v>0</v>
      </c>
      <c r="AB532" s="13">
        <f t="shared" ref="AB532:AP532" si="1064">IFERROR(VALUE(RIGHT(LEFT($J532,FIND(AB$1,$J532,IF(M532=0,1,FIND(AB$1,$J532,1)+1))+LEN(AB$1)),1)),0)</f>
        <v>0</v>
      </c>
      <c r="AC532" s="13">
        <f t="shared" si="1064"/>
        <v>0</v>
      </c>
      <c r="AD532" s="13">
        <f t="shared" si="1064"/>
        <v>0</v>
      </c>
      <c r="AE532" s="13">
        <f t="shared" si="1064"/>
        <v>0</v>
      </c>
      <c r="AF532" s="13">
        <f t="shared" si="1064"/>
        <v>0</v>
      </c>
      <c r="AG532" s="13">
        <f t="shared" si="1064"/>
        <v>0</v>
      </c>
      <c r="AH532" s="13">
        <f t="shared" si="1064"/>
        <v>0</v>
      </c>
      <c r="AI532" s="13">
        <f t="shared" si="1064"/>
        <v>0</v>
      </c>
      <c r="AJ532" s="13">
        <f t="shared" si="1064"/>
        <v>0</v>
      </c>
      <c r="AK532" s="13">
        <f t="shared" si="1064"/>
        <v>1</v>
      </c>
      <c r="AL532" s="13">
        <f t="shared" si="1064"/>
        <v>0</v>
      </c>
      <c r="AM532" s="13">
        <f t="shared" si="1064"/>
        <v>0</v>
      </c>
      <c r="AN532" s="13">
        <f t="shared" si="1064"/>
        <v>0</v>
      </c>
      <c r="AO532" s="13">
        <f t="shared" si="1064"/>
        <v>0</v>
      </c>
      <c r="AP532" s="13">
        <f t="shared" si="1064"/>
        <v>0</v>
      </c>
      <c r="AQ532" s="13"/>
      <c r="AR532" s="13" t="s">
        <v>3538</v>
      </c>
      <c r="AS532" s="13" t="s">
        <v>153</v>
      </c>
      <c r="AT532" s="13" t="s">
        <v>129</v>
      </c>
      <c r="AU532" s="13" t="s">
        <v>130</v>
      </c>
      <c r="AV532" s="13" t="s">
        <v>3539</v>
      </c>
      <c r="AW532" s="13">
        <v>6.0</v>
      </c>
      <c r="AX532" s="13">
        <v>7.0</v>
      </c>
      <c r="AY532" s="13">
        <v>0.0</v>
      </c>
      <c r="AZ532" s="13" t="s">
        <v>186</v>
      </c>
      <c r="BA532" s="13" t="s">
        <v>574</v>
      </c>
      <c r="BB532" s="13"/>
      <c r="BC532" s="13"/>
      <c r="BD532" s="13" t="s">
        <v>134</v>
      </c>
      <c r="BE532" s="13"/>
      <c r="BF532" s="13" t="s">
        <v>3540</v>
      </c>
      <c r="BG532" s="13" t="s">
        <v>136</v>
      </c>
      <c r="BH532" s="13" t="s">
        <v>79</v>
      </c>
      <c r="BI532" s="13" t="b">
        <v>0</v>
      </c>
      <c r="BJ532" s="13">
        <v>0.0</v>
      </c>
      <c r="BK532" s="13">
        <v>0.0</v>
      </c>
    </row>
    <row r="533" ht="14.25" customHeight="1">
      <c r="A533" s="13">
        <v>531.0</v>
      </c>
      <c r="B533" s="13" t="s">
        <v>47</v>
      </c>
      <c r="C533" s="13">
        <v>0.0</v>
      </c>
      <c r="D533" s="14">
        <v>0.0</v>
      </c>
      <c r="E533" s="13" t="s">
        <v>3541</v>
      </c>
      <c r="F533" s="15" t="s">
        <v>3525</v>
      </c>
      <c r="G533" s="16" t="s">
        <v>3542</v>
      </c>
      <c r="H533" s="13">
        <v>10.0</v>
      </c>
      <c r="I533" s="13">
        <v>0.9</v>
      </c>
      <c r="J533" s="13" t="s">
        <v>3543</v>
      </c>
      <c r="K533" s="13">
        <f t="shared" si="3"/>
        <v>0</v>
      </c>
      <c r="L533" s="13">
        <f t="shared" si="4"/>
        <v>0</v>
      </c>
      <c r="M533" s="13">
        <f t="shared" ref="M533:AA533" si="1065">IFERROR(VALUE(RIGHT(LEFT($J533,FIND(M$1,$J533,1)+LEN(M$1)),1)),0)</f>
        <v>0</v>
      </c>
      <c r="N533" s="13">
        <f t="shared" si="1065"/>
        <v>0</v>
      </c>
      <c r="O533" s="13">
        <f t="shared" si="1065"/>
        <v>0</v>
      </c>
      <c r="P533" s="13">
        <f t="shared" si="1065"/>
        <v>0</v>
      </c>
      <c r="Q533" s="13">
        <f t="shared" si="1065"/>
        <v>0</v>
      </c>
      <c r="R533" s="13">
        <f t="shared" si="1065"/>
        <v>0</v>
      </c>
      <c r="S533" s="13">
        <f t="shared" si="1065"/>
        <v>0</v>
      </c>
      <c r="T533" s="13">
        <f t="shared" si="1065"/>
        <v>0</v>
      </c>
      <c r="U533" s="13">
        <f t="shared" si="1065"/>
        <v>0</v>
      </c>
      <c r="V533" s="13">
        <f t="shared" si="1065"/>
        <v>0</v>
      </c>
      <c r="W533" s="13">
        <f t="shared" si="1065"/>
        <v>0</v>
      </c>
      <c r="X533" s="13">
        <f t="shared" si="1065"/>
        <v>0</v>
      </c>
      <c r="Y533" s="13">
        <f t="shared" si="1065"/>
        <v>0</v>
      </c>
      <c r="Z533" s="13">
        <f t="shared" si="1065"/>
        <v>0</v>
      </c>
      <c r="AA533" s="13">
        <f t="shared" si="1065"/>
        <v>0</v>
      </c>
      <c r="AB533" s="13">
        <f t="shared" ref="AB533:AP533" si="1066">IFERROR(VALUE(RIGHT(LEFT($J533,FIND(AB$1,$J533,IF(M533=0,1,FIND(AB$1,$J533,1)+1))+LEN(AB$1)),1)),0)</f>
        <v>0</v>
      </c>
      <c r="AC533" s="13">
        <f t="shared" si="1066"/>
        <v>0</v>
      </c>
      <c r="AD533" s="13">
        <f t="shared" si="1066"/>
        <v>0</v>
      </c>
      <c r="AE533" s="13">
        <f t="shared" si="1066"/>
        <v>0</v>
      </c>
      <c r="AF533" s="13">
        <f t="shared" si="1066"/>
        <v>0</v>
      </c>
      <c r="AG533" s="13">
        <f t="shared" si="1066"/>
        <v>0</v>
      </c>
      <c r="AH533" s="13">
        <f t="shared" si="1066"/>
        <v>0</v>
      </c>
      <c r="AI533" s="13">
        <f t="shared" si="1066"/>
        <v>0</v>
      </c>
      <c r="AJ533" s="13">
        <f t="shared" si="1066"/>
        <v>0</v>
      </c>
      <c r="AK533" s="13">
        <f t="shared" si="1066"/>
        <v>0</v>
      </c>
      <c r="AL533" s="13">
        <f t="shared" si="1066"/>
        <v>0</v>
      </c>
      <c r="AM533" s="13">
        <f t="shared" si="1066"/>
        <v>0</v>
      </c>
      <c r="AN533" s="13">
        <f t="shared" si="1066"/>
        <v>0</v>
      </c>
      <c r="AO533" s="13">
        <f t="shared" si="1066"/>
        <v>0</v>
      </c>
      <c r="AP533" s="13">
        <f t="shared" si="1066"/>
        <v>0</v>
      </c>
      <c r="AQ533" s="13"/>
      <c r="AR533" s="13" t="s">
        <v>3544</v>
      </c>
      <c r="AS533" s="13" t="s">
        <v>3545</v>
      </c>
      <c r="AT533" s="13" t="s">
        <v>162</v>
      </c>
      <c r="AU533" s="13" t="s">
        <v>163</v>
      </c>
      <c r="AV533" s="13" t="s">
        <v>3546</v>
      </c>
      <c r="AW533" s="13">
        <v>5.0</v>
      </c>
      <c r="AX533" s="13">
        <v>7.0</v>
      </c>
      <c r="AY533" s="13">
        <v>0.0</v>
      </c>
      <c r="AZ533" s="13" t="s">
        <v>547</v>
      </c>
      <c r="BA533" s="13" t="s">
        <v>198</v>
      </c>
      <c r="BB533" s="13"/>
      <c r="BC533" s="13"/>
      <c r="BD533" s="13" t="s">
        <v>484</v>
      </c>
      <c r="BE533" s="13"/>
      <c r="BF533" s="13" t="s">
        <v>2258</v>
      </c>
      <c r="BG533" s="13" t="s">
        <v>136</v>
      </c>
      <c r="BH533" s="13" t="s">
        <v>79</v>
      </c>
      <c r="BI533" s="13" t="b">
        <v>0</v>
      </c>
      <c r="BJ533" s="13">
        <v>0.0</v>
      </c>
      <c r="BK533" s="13">
        <v>0.0</v>
      </c>
    </row>
    <row r="534" ht="14.25" customHeight="1">
      <c r="A534" s="13">
        <v>532.0</v>
      </c>
      <c r="B534" s="13" t="s">
        <v>52</v>
      </c>
      <c r="C534" s="13">
        <v>0.0</v>
      </c>
      <c r="D534" s="14">
        <v>0.0</v>
      </c>
      <c r="E534" s="13" t="s">
        <v>3547</v>
      </c>
      <c r="F534" s="15" t="s">
        <v>3525</v>
      </c>
      <c r="G534" s="16" t="s">
        <v>3548</v>
      </c>
      <c r="H534" s="13">
        <v>8.0</v>
      </c>
      <c r="I534" s="13">
        <v>0.9</v>
      </c>
      <c r="J534" s="13" t="s">
        <v>288</v>
      </c>
      <c r="K534" s="13">
        <f t="shared" si="3"/>
        <v>0</v>
      </c>
      <c r="L534" s="13">
        <f t="shared" si="4"/>
        <v>1</v>
      </c>
      <c r="M534" s="13">
        <f t="shared" ref="M534:AA534" si="1067">IFERROR(VALUE(RIGHT(LEFT($J534,FIND(M$1,$J534,1)+LEN(M$1)),1)),0)</f>
        <v>0</v>
      </c>
      <c r="N534" s="13">
        <f t="shared" si="1067"/>
        <v>0</v>
      </c>
      <c r="O534" s="13">
        <f t="shared" si="1067"/>
        <v>0</v>
      </c>
      <c r="P534" s="13">
        <f t="shared" si="1067"/>
        <v>0</v>
      </c>
      <c r="Q534" s="13">
        <f t="shared" si="1067"/>
        <v>0</v>
      </c>
      <c r="R534" s="13">
        <f t="shared" si="1067"/>
        <v>0</v>
      </c>
      <c r="S534" s="13">
        <f t="shared" si="1067"/>
        <v>0</v>
      </c>
      <c r="T534" s="13">
        <f t="shared" si="1067"/>
        <v>0</v>
      </c>
      <c r="U534" s="13">
        <f t="shared" si="1067"/>
        <v>0</v>
      </c>
      <c r="V534" s="13">
        <f t="shared" si="1067"/>
        <v>0</v>
      </c>
      <c r="W534" s="13">
        <f t="shared" si="1067"/>
        <v>0</v>
      </c>
      <c r="X534" s="13">
        <f t="shared" si="1067"/>
        <v>0</v>
      </c>
      <c r="Y534" s="13">
        <f t="shared" si="1067"/>
        <v>0</v>
      </c>
      <c r="Z534" s="13">
        <f t="shared" si="1067"/>
        <v>0</v>
      </c>
      <c r="AA534" s="13">
        <f t="shared" si="1067"/>
        <v>0</v>
      </c>
      <c r="AB534" s="13">
        <f t="shared" ref="AB534:AP534" si="1068">IFERROR(VALUE(RIGHT(LEFT($J534,FIND(AB$1,$J534,IF(M534=0,1,FIND(AB$1,$J534,1)+1))+LEN(AB$1)),1)),0)</f>
        <v>0</v>
      </c>
      <c r="AC534" s="13">
        <f t="shared" si="1068"/>
        <v>0</v>
      </c>
      <c r="AD534" s="13">
        <f t="shared" si="1068"/>
        <v>0</v>
      </c>
      <c r="AE534" s="13">
        <f t="shared" si="1068"/>
        <v>0</v>
      </c>
      <c r="AF534" s="13">
        <f t="shared" si="1068"/>
        <v>0</v>
      </c>
      <c r="AG534" s="13">
        <f t="shared" si="1068"/>
        <v>0</v>
      </c>
      <c r="AH534" s="13">
        <f t="shared" si="1068"/>
        <v>0</v>
      </c>
      <c r="AI534" s="13">
        <f t="shared" si="1068"/>
        <v>0</v>
      </c>
      <c r="AJ534" s="13">
        <f t="shared" si="1068"/>
        <v>0</v>
      </c>
      <c r="AK534" s="13">
        <f t="shared" si="1068"/>
        <v>0</v>
      </c>
      <c r="AL534" s="13">
        <f t="shared" si="1068"/>
        <v>0</v>
      </c>
      <c r="AM534" s="13">
        <f t="shared" si="1068"/>
        <v>0</v>
      </c>
      <c r="AN534" s="13">
        <f t="shared" si="1068"/>
        <v>0</v>
      </c>
      <c r="AO534" s="13">
        <f t="shared" si="1068"/>
        <v>0</v>
      </c>
      <c r="AP534" s="13">
        <f t="shared" si="1068"/>
        <v>1</v>
      </c>
      <c r="AQ534" s="13"/>
      <c r="AR534" s="13" t="s">
        <v>3549</v>
      </c>
      <c r="AS534" s="13" t="s">
        <v>3528</v>
      </c>
      <c r="AT534" s="13" t="s">
        <v>142</v>
      </c>
      <c r="AU534" s="13" t="s">
        <v>1398</v>
      </c>
      <c r="AV534" s="13" t="s">
        <v>1538</v>
      </c>
      <c r="AW534" s="13">
        <v>2.0</v>
      </c>
      <c r="AX534" s="13">
        <v>7.0</v>
      </c>
      <c r="AY534" s="13">
        <v>0.0</v>
      </c>
      <c r="AZ534" s="13" t="s">
        <v>519</v>
      </c>
      <c r="BA534" s="13" t="s">
        <v>3550</v>
      </c>
      <c r="BB534" s="13"/>
      <c r="BC534" s="13"/>
      <c r="BD534" s="13" t="s">
        <v>294</v>
      </c>
      <c r="BE534" s="13" t="s">
        <v>3551</v>
      </c>
      <c r="BF534" s="13" t="s">
        <v>2660</v>
      </c>
      <c r="BG534" s="13"/>
      <c r="BH534" s="13" t="s">
        <v>241</v>
      </c>
      <c r="BI534" s="13" t="b">
        <v>0</v>
      </c>
      <c r="BJ534" s="13">
        <v>0.0</v>
      </c>
      <c r="BK534" s="13">
        <v>0.0</v>
      </c>
    </row>
    <row r="535" ht="14.25" customHeight="1">
      <c r="A535" s="13">
        <v>533.0</v>
      </c>
      <c r="B535" s="13" t="s">
        <v>52</v>
      </c>
      <c r="C535" s="13">
        <v>0.0</v>
      </c>
      <c r="D535" s="14">
        <v>0.0</v>
      </c>
      <c r="E535" s="13" t="s">
        <v>3552</v>
      </c>
      <c r="F535" s="15" t="s">
        <v>3525</v>
      </c>
      <c r="G535" s="16" t="s">
        <v>3553</v>
      </c>
      <c r="H535" s="13">
        <v>9.0</v>
      </c>
      <c r="I535" s="13">
        <v>0.9</v>
      </c>
      <c r="J535" s="13" t="s">
        <v>288</v>
      </c>
      <c r="K535" s="13">
        <f t="shared" si="3"/>
        <v>0</v>
      </c>
      <c r="L535" s="13">
        <f t="shared" si="4"/>
        <v>1</v>
      </c>
      <c r="M535" s="13">
        <f t="shared" ref="M535:AA535" si="1069">IFERROR(VALUE(RIGHT(LEFT($J535,FIND(M$1,$J535,1)+LEN(M$1)),1)),0)</f>
        <v>0</v>
      </c>
      <c r="N535" s="13">
        <f t="shared" si="1069"/>
        <v>0</v>
      </c>
      <c r="O535" s="13">
        <f t="shared" si="1069"/>
        <v>0</v>
      </c>
      <c r="P535" s="13">
        <f t="shared" si="1069"/>
        <v>0</v>
      </c>
      <c r="Q535" s="13">
        <f t="shared" si="1069"/>
        <v>0</v>
      </c>
      <c r="R535" s="13">
        <f t="shared" si="1069"/>
        <v>0</v>
      </c>
      <c r="S535" s="13">
        <f t="shared" si="1069"/>
        <v>0</v>
      </c>
      <c r="T535" s="13">
        <f t="shared" si="1069"/>
        <v>0</v>
      </c>
      <c r="U535" s="13">
        <f t="shared" si="1069"/>
        <v>0</v>
      </c>
      <c r="V535" s="13">
        <f t="shared" si="1069"/>
        <v>0</v>
      </c>
      <c r="W535" s="13">
        <f t="shared" si="1069"/>
        <v>0</v>
      </c>
      <c r="X535" s="13">
        <f t="shared" si="1069"/>
        <v>0</v>
      </c>
      <c r="Y535" s="13">
        <f t="shared" si="1069"/>
        <v>0</v>
      </c>
      <c r="Z535" s="13">
        <f t="shared" si="1069"/>
        <v>0</v>
      </c>
      <c r="AA535" s="13">
        <f t="shared" si="1069"/>
        <v>0</v>
      </c>
      <c r="AB535" s="13">
        <f t="shared" ref="AB535:AP535" si="1070">IFERROR(VALUE(RIGHT(LEFT($J535,FIND(AB$1,$J535,IF(M535=0,1,FIND(AB$1,$J535,1)+1))+LEN(AB$1)),1)),0)</f>
        <v>0</v>
      </c>
      <c r="AC535" s="13">
        <f t="shared" si="1070"/>
        <v>0</v>
      </c>
      <c r="AD535" s="13">
        <f t="shared" si="1070"/>
        <v>0</v>
      </c>
      <c r="AE535" s="13">
        <f t="shared" si="1070"/>
        <v>0</v>
      </c>
      <c r="AF535" s="13">
        <f t="shared" si="1070"/>
        <v>0</v>
      </c>
      <c r="AG535" s="13">
        <f t="shared" si="1070"/>
        <v>0</v>
      </c>
      <c r="AH535" s="13">
        <f t="shared" si="1070"/>
        <v>0</v>
      </c>
      <c r="AI535" s="13">
        <f t="shared" si="1070"/>
        <v>0</v>
      </c>
      <c r="AJ535" s="13">
        <f t="shared" si="1070"/>
        <v>0</v>
      </c>
      <c r="AK535" s="13">
        <f t="shared" si="1070"/>
        <v>0</v>
      </c>
      <c r="AL535" s="13">
        <f t="shared" si="1070"/>
        <v>0</v>
      </c>
      <c r="AM535" s="13">
        <f t="shared" si="1070"/>
        <v>0</v>
      </c>
      <c r="AN535" s="13">
        <f t="shared" si="1070"/>
        <v>0</v>
      </c>
      <c r="AO535" s="13">
        <f t="shared" si="1070"/>
        <v>0</v>
      </c>
      <c r="AP535" s="13">
        <f t="shared" si="1070"/>
        <v>1</v>
      </c>
      <c r="AQ535" s="13"/>
      <c r="AR535" s="13" t="s">
        <v>870</v>
      </c>
      <c r="AS535" s="13" t="s">
        <v>301</v>
      </c>
      <c r="AT535" s="13" t="s">
        <v>290</v>
      </c>
      <c r="AU535" s="13" t="s">
        <v>130</v>
      </c>
      <c r="AV535" s="13" t="s">
        <v>3554</v>
      </c>
      <c r="AW535" s="13">
        <v>3.0</v>
      </c>
      <c r="AX535" s="13">
        <v>7.0</v>
      </c>
      <c r="AY535" s="13">
        <v>0.0</v>
      </c>
      <c r="AZ535" s="13" t="s">
        <v>154</v>
      </c>
      <c r="BA535" s="13" t="s">
        <v>1539</v>
      </c>
      <c r="BB535" s="13"/>
      <c r="BC535" s="13"/>
      <c r="BD535" s="13" t="s">
        <v>306</v>
      </c>
      <c r="BE535" s="13" t="s">
        <v>865</v>
      </c>
      <c r="BF535" s="13" t="s">
        <v>3555</v>
      </c>
      <c r="BG535" s="13"/>
      <c r="BH535" s="13" t="s">
        <v>79</v>
      </c>
      <c r="BI535" s="13" t="b">
        <v>0</v>
      </c>
      <c r="BJ535" s="13">
        <v>0.0</v>
      </c>
      <c r="BK535" s="13">
        <v>0.0</v>
      </c>
    </row>
    <row r="536" ht="14.25" customHeight="1">
      <c r="A536" s="13">
        <v>534.0</v>
      </c>
      <c r="B536" s="13" t="s">
        <v>51</v>
      </c>
      <c r="C536" s="13">
        <v>0.0</v>
      </c>
      <c r="D536" s="14">
        <v>0.0</v>
      </c>
      <c r="E536" s="13" t="s">
        <v>3556</v>
      </c>
      <c r="F536" s="15" t="s">
        <v>3525</v>
      </c>
      <c r="G536" s="16" t="s">
        <v>3557</v>
      </c>
      <c r="H536" s="13">
        <v>6.0</v>
      </c>
      <c r="I536" s="13">
        <v>1.1</v>
      </c>
      <c r="J536" s="13" t="s">
        <v>255</v>
      </c>
      <c r="K536" s="13">
        <f t="shared" si="3"/>
        <v>0</v>
      </c>
      <c r="L536" s="13">
        <f t="shared" si="4"/>
        <v>1</v>
      </c>
      <c r="M536" s="13">
        <f t="shared" ref="M536:AA536" si="1071">IFERROR(VALUE(RIGHT(LEFT($J536,FIND(M$1,$J536,1)+LEN(M$1)),1)),0)</f>
        <v>0</v>
      </c>
      <c r="N536" s="13">
        <f t="shared" si="1071"/>
        <v>0</v>
      </c>
      <c r="O536" s="13">
        <f t="shared" si="1071"/>
        <v>0</v>
      </c>
      <c r="P536" s="13">
        <f t="shared" si="1071"/>
        <v>0</v>
      </c>
      <c r="Q536" s="13">
        <f t="shared" si="1071"/>
        <v>0</v>
      </c>
      <c r="R536" s="13">
        <f t="shared" si="1071"/>
        <v>0</v>
      </c>
      <c r="S536" s="13">
        <f t="shared" si="1071"/>
        <v>0</v>
      </c>
      <c r="T536" s="13">
        <f t="shared" si="1071"/>
        <v>0</v>
      </c>
      <c r="U536" s="13">
        <f t="shared" si="1071"/>
        <v>0</v>
      </c>
      <c r="V536" s="13">
        <f t="shared" si="1071"/>
        <v>0</v>
      </c>
      <c r="W536" s="13">
        <f t="shared" si="1071"/>
        <v>0</v>
      </c>
      <c r="X536" s="13">
        <f t="shared" si="1071"/>
        <v>0</v>
      </c>
      <c r="Y536" s="13">
        <f t="shared" si="1071"/>
        <v>0</v>
      </c>
      <c r="Z536" s="13">
        <f t="shared" si="1071"/>
        <v>0</v>
      </c>
      <c r="AA536" s="13">
        <f t="shared" si="1071"/>
        <v>0</v>
      </c>
      <c r="AB536" s="13">
        <f t="shared" ref="AB536:AP536" si="1072">IFERROR(VALUE(RIGHT(LEFT($J536,FIND(AB$1,$J536,IF(M536=0,1,FIND(AB$1,$J536,1)+1))+LEN(AB$1)),1)),0)</f>
        <v>0</v>
      </c>
      <c r="AC536" s="13">
        <f t="shared" si="1072"/>
        <v>0</v>
      </c>
      <c r="AD536" s="13">
        <f t="shared" si="1072"/>
        <v>0</v>
      </c>
      <c r="AE536" s="13">
        <f t="shared" si="1072"/>
        <v>0</v>
      </c>
      <c r="AF536" s="13">
        <f t="shared" si="1072"/>
        <v>0</v>
      </c>
      <c r="AG536" s="13">
        <f t="shared" si="1072"/>
        <v>0</v>
      </c>
      <c r="AH536" s="13">
        <f t="shared" si="1072"/>
        <v>0</v>
      </c>
      <c r="AI536" s="13">
        <f t="shared" si="1072"/>
        <v>0</v>
      </c>
      <c r="AJ536" s="13">
        <f t="shared" si="1072"/>
        <v>0</v>
      </c>
      <c r="AK536" s="13">
        <f t="shared" si="1072"/>
        <v>0</v>
      </c>
      <c r="AL536" s="13">
        <f t="shared" si="1072"/>
        <v>0</v>
      </c>
      <c r="AM536" s="13">
        <f t="shared" si="1072"/>
        <v>0</v>
      </c>
      <c r="AN536" s="13">
        <f t="shared" si="1072"/>
        <v>0</v>
      </c>
      <c r="AO536" s="13">
        <f t="shared" si="1072"/>
        <v>1</v>
      </c>
      <c r="AP536" s="13">
        <f t="shared" si="1072"/>
        <v>0</v>
      </c>
      <c r="AQ536" s="13"/>
      <c r="AR536" s="13" t="s">
        <v>3558</v>
      </c>
      <c r="AS536" s="13" t="s">
        <v>3559</v>
      </c>
      <c r="AT536" s="13" t="s">
        <v>142</v>
      </c>
      <c r="AU536" s="13" t="s">
        <v>130</v>
      </c>
      <c r="AV536" s="13" t="s">
        <v>3560</v>
      </c>
      <c r="AW536" s="13">
        <v>4.0</v>
      </c>
      <c r="AX536" s="13">
        <v>7.0</v>
      </c>
      <c r="AY536" s="13">
        <v>0.0</v>
      </c>
      <c r="AZ536" s="13" t="s">
        <v>229</v>
      </c>
      <c r="BA536" s="13"/>
      <c r="BB536" s="13"/>
      <c r="BC536" s="13"/>
      <c r="BD536" s="13" t="s">
        <v>1113</v>
      </c>
      <c r="BE536" s="13"/>
      <c r="BF536" s="13" t="s">
        <v>3561</v>
      </c>
      <c r="BG536" s="13"/>
      <c r="BH536" s="13" t="s">
        <v>79</v>
      </c>
      <c r="BI536" s="13" t="b">
        <v>0</v>
      </c>
      <c r="BJ536" s="13">
        <v>0.0</v>
      </c>
      <c r="BK536" s="13">
        <v>0.0</v>
      </c>
    </row>
    <row r="537" ht="14.25" customHeight="1">
      <c r="A537" s="13">
        <v>535.0</v>
      </c>
      <c r="B537" s="13" t="s">
        <v>44</v>
      </c>
      <c r="C537" s="13">
        <v>1.0</v>
      </c>
      <c r="D537" s="14">
        <v>0.0</v>
      </c>
      <c r="E537" s="13" t="s">
        <v>3562</v>
      </c>
      <c r="F537" s="15" t="s">
        <v>3525</v>
      </c>
      <c r="G537" s="16" t="s">
        <v>3563</v>
      </c>
      <c r="H537" s="13"/>
      <c r="I537" s="13">
        <v>1.2</v>
      </c>
      <c r="J537" s="13" t="s">
        <v>77</v>
      </c>
      <c r="K537" s="13">
        <f t="shared" si="3"/>
        <v>0</v>
      </c>
      <c r="L537" s="13">
        <f t="shared" si="4"/>
        <v>2</v>
      </c>
      <c r="M537" s="13">
        <f t="shared" ref="M537:AA537" si="1073">IFERROR(VALUE(RIGHT(LEFT($J537,FIND(M$1,$J537,1)+LEN(M$1)),1)),0)</f>
        <v>0</v>
      </c>
      <c r="N537" s="13">
        <f t="shared" si="1073"/>
        <v>0</v>
      </c>
      <c r="O537" s="13">
        <f t="shared" si="1073"/>
        <v>0</v>
      </c>
      <c r="P537" s="13">
        <f t="shared" si="1073"/>
        <v>0</v>
      </c>
      <c r="Q537" s="13">
        <f t="shared" si="1073"/>
        <v>0</v>
      </c>
      <c r="R537" s="13">
        <f t="shared" si="1073"/>
        <v>0</v>
      </c>
      <c r="S537" s="13">
        <f t="shared" si="1073"/>
        <v>0</v>
      </c>
      <c r="T537" s="13">
        <f t="shared" si="1073"/>
        <v>0</v>
      </c>
      <c r="U537" s="13">
        <f t="shared" si="1073"/>
        <v>0</v>
      </c>
      <c r="V537" s="13">
        <f t="shared" si="1073"/>
        <v>0</v>
      </c>
      <c r="W537" s="13">
        <f t="shared" si="1073"/>
        <v>0</v>
      </c>
      <c r="X537" s="13">
        <f t="shared" si="1073"/>
        <v>0</v>
      </c>
      <c r="Y537" s="13">
        <f t="shared" si="1073"/>
        <v>0</v>
      </c>
      <c r="Z537" s="13">
        <f t="shared" si="1073"/>
        <v>0</v>
      </c>
      <c r="AA537" s="13">
        <f t="shared" si="1073"/>
        <v>0</v>
      </c>
      <c r="AB537" s="13">
        <f t="shared" ref="AB537:AP537" si="1074">IFERROR(VALUE(RIGHT(LEFT($J537,FIND(AB$1,$J537,IF(M537=0,1,FIND(AB$1,$J537,1)+1))+LEN(AB$1)),1)),0)</f>
        <v>0</v>
      </c>
      <c r="AC537" s="13">
        <f t="shared" si="1074"/>
        <v>0</v>
      </c>
      <c r="AD537" s="13">
        <f t="shared" si="1074"/>
        <v>0</v>
      </c>
      <c r="AE537" s="13">
        <f t="shared" si="1074"/>
        <v>0</v>
      </c>
      <c r="AF537" s="13">
        <f t="shared" si="1074"/>
        <v>0</v>
      </c>
      <c r="AG537" s="13">
        <f t="shared" si="1074"/>
        <v>1</v>
      </c>
      <c r="AH537" s="13">
        <f t="shared" si="1074"/>
        <v>1</v>
      </c>
      <c r="AI537" s="13">
        <f t="shared" si="1074"/>
        <v>0</v>
      </c>
      <c r="AJ537" s="13">
        <f t="shared" si="1074"/>
        <v>0</v>
      </c>
      <c r="AK537" s="13">
        <f t="shared" si="1074"/>
        <v>0</v>
      </c>
      <c r="AL537" s="13">
        <f t="shared" si="1074"/>
        <v>0</v>
      </c>
      <c r="AM537" s="13">
        <f t="shared" si="1074"/>
        <v>0</v>
      </c>
      <c r="AN537" s="13">
        <f t="shared" si="1074"/>
        <v>0</v>
      </c>
      <c r="AO537" s="13">
        <f t="shared" si="1074"/>
        <v>0</v>
      </c>
      <c r="AP537" s="13">
        <f t="shared" si="1074"/>
        <v>0</v>
      </c>
      <c r="AQ537" s="13" t="s">
        <v>3564</v>
      </c>
      <c r="AR537" s="13"/>
      <c r="AS537" s="13" t="s">
        <v>3565</v>
      </c>
      <c r="AT537" s="13"/>
      <c r="AU537" s="13"/>
      <c r="AV537" s="13"/>
      <c r="AW537" s="13">
        <v>0.0</v>
      </c>
      <c r="AX537" s="13">
        <v>7.0</v>
      </c>
      <c r="AY537" s="13">
        <v>0.0</v>
      </c>
      <c r="AZ537" s="13"/>
      <c r="BA537" s="13"/>
      <c r="BB537" s="13"/>
      <c r="BC537" s="13"/>
      <c r="BD537" s="13"/>
      <c r="BE537" s="13"/>
      <c r="BF537" s="13"/>
      <c r="BG537" s="13"/>
      <c r="BH537" s="13" t="s">
        <v>79</v>
      </c>
      <c r="BI537" s="13" t="b">
        <v>0</v>
      </c>
      <c r="BJ537" s="13">
        <v>0.0</v>
      </c>
      <c r="BK537" s="13">
        <v>0.0</v>
      </c>
    </row>
    <row r="538" ht="14.25" customHeight="1">
      <c r="A538" s="13">
        <v>536.0</v>
      </c>
      <c r="B538" s="13" t="s">
        <v>45</v>
      </c>
      <c r="C538" s="13">
        <v>1.0</v>
      </c>
      <c r="D538" s="14">
        <v>0.0</v>
      </c>
      <c r="E538" s="13" t="s">
        <v>3566</v>
      </c>
      <c r="F538" s="15" t="s">
        <v>3525</v>
      </c>
      <c r="G538" s="16" t="s">
        <v>3567</v>
      </c>
      <c r="H538" s="13"/>
      <c r="I538" s="13">
        <v>0.9</v>
      </c>
      <c r="J538" s="13" t="s">
        <v>405</v>
      </c>
      <c r="K538" s="13">
        <f t="shared" si="3"/>
        <v>0</v>
      </c>
      <c r="L538" s="13">
        <f t="shared" si="4"/>
        <v>2</v>
      </c>
      <c r="M538" s="13">
        <f t="shared" ref="M538:AA538" si="1075">IFERROR(VALUE(RIGHT(LEFT($J538,FIND(M$1,$J538,1)+LEN(M$1)),1)),0)</f>
        <v>0</v>
      </c>
      <c r="N538" s="13">
        <f t="shared" si="1075"/>
        <v>0</v>
      </c>
      <c r="O538" s="13">
        <f t="shared" si="1075"/>
        <v>0</v>
      </c>
      <c r="P538" s="13">
        <f t="shared" si="1075"/>
        <v>0</v>
      </c>
      <c r="Q538" s="13">
        <f t="shared" si="1075"/>
        <v>0</v>
      </c>
      <c r="R538" s="13">
        <f t="shared" si="1075"/>
        <v>0</v>
      </c>
      <c r="S538" s="13">
        <f t="shared" si="1075"/>
        <v>0</v>
      </c>
      <c r="T538" s="13">
        <f t="shared" si="1075"/>
        <v>0</v>
      </c>
      <c r="U538" s="13">
        <f t="shared" si="1075"/>
        <v>0</v>
      </c>
      <c r="V538" s="13">
        <f t="shared" si="1075"/>
        <v>0</v>
      </c>
      <c r="W538" s="13">
        <f t="shared" si="1075"/>
        <v>0</v>
      </c>
      <c r="X538" s="13">
        <f t="shared" si="1075"/>
        <v>0</v>
      </c>
      <c r="Y538" s="13">
        <f t="shared" si="1075"/>
        <v>0</v>
      </c>
      <c r="Z538" s="13">
        <f t="shared" si="1075"/>
        <v>0</v>
      </c>
      <c r="AA538" s="13">
        <f t="shared" si="1075"/>
        <v>0</v>
      </c>
      <c r="AB538" s="13">
        <f t="shared" ref="AB538:AP538" si="1076">IFERROR(VALUE(RIGHT(LEFT($J538,FIND(AB$1,$J538,IF(M538=0,1,FIND(AB$1,$J538,1)+1))+LEN(AB$1)),1)),0)</f>
        <v>0</v>
      </c>
      <c r="AC538" s="13">
        <f t="shared" si="1076"/>
        <v>0</v>
      </c>
      <c r="AD538" s="13">
        <f t="shared" si="1076"/>
        <v>0</v>
      </c>
      <c r="AE538" s="13">
        <f t="shared" si="1076"/>
        <v>1</v>
      </c>
      <c r="AF538" s="13">
        <f t="shared" si="1076"/>
        <v>0</v>
      </c>
      <c r="AG538" s="13">
        <f t="shared" si="1076"/>
        <v>0</v>
      </c>
      <c r="AH538" s="13">
        <f t="shared" si="1076"/>
        <v>0</v>
      </c>
      <c r="AI538" s="13">
        <f t="shared" si="1076"/>
        <v>1</v>
      </c>
      <c r="AJ538" s="13">
        <f t="shared" si="1076"/>
        <v>0</v>
      </c>
      <c r="AK538" s="13">
        <f t="shared" si="1076"/>
        <v>0</v>
      </c>
      <c r="AL538" s="13">
        <f t="shared" si="1076"/>
        <v>0</v>
      </c>
      <c r="AM538" s="13">
        <f t="shared" si="1076"/>
        <v>0</v>
      </c>
      <c r="AN538" s="13">
        <f t="shared" si="1076"/>
        <v>0</v>
      </c>
      <c r="AO538" s="13">
        <f t="shared" si="1076"/>
        <v>0</v>
      </c>
      <c r="AP538" s="13">
        <f t="shared" si="1076"/>
        <v>0</v>
      </c>
      <c r="AQ538" s="13" t="s">
        <v>3568</v>
      </c>
      <c r="AR538" s="13"/>
      <c r="AS538" s="13" t="s">
        <v>2219</v>
      </c>
      <c r="AT538" s="13"/>
      <c r="AU538" s="13"/>
      <c r="AV538" s="13"/>
      <c r="AW538" s="13">
        <v>0.0</v>
      </c>
      <c r="AX538" s="13">
        <v>7.0</v>
      </c>
      <c r="AY538" s="13">
        <v>0.0</v>
      </c>
      <c r="AZ538" s="13"/>
      <c r="BA538" s="13"/>
      <c r="BB538" s="13"/>
      <c r="BC538" s="13"/>
      <c r="BD538" s="13"/>
      <c r="BE538" s="13"/>
      <c r="BF538" s="13"/>
      <c r="BG538" s="13"/>
      <c r="BH538" s="13" t="s">
        <v>79</v>
      </c>
      <c r="BI538" s="13" t="b">
        <v>0</v>
      </c>
      <c r="BJ538" s="13">
        <v>0.0</v>
      </c>
      <c r="BK538" s="13">
        <v>0.0</v>
      </c>
    </row>
    <row r="539" ht="14.25" customHeight="1">
      <c r="A539" s="13">
        <v>537.0</v>
      </c>
      <c r="B539" s="13" t="s">
        <v>46</v>
      </c>
      <c r="C539" s="13">
        <v>1.0</v>
      </c>
      <c r="D539" s="14">
        <v>0.0</v>
      </c>
      <c r="E539" s="13" t="s">
        <v>3569</v>
      </c>
      <c r="F539" s="15" t="s">
        <v>3525</v>
      </c>
      <c r="G539" s="16" t="s">
        <v>3570</v>
      </c>
      <c r="H539" s="13"/>
      <c r="I539" s="13">
        <v>1.0</v>
      </c>
      <c r="J539" s="13" t="s">
        <v>2405</v>
      </c>
      <c r="K539" s="13">
        <f t="shared" si="3"/>
        <v>0</v>
      </c>
      <c r="L539" s="13">
        <f t="shared" si="4"/>
        <v>2</v>
      </c>
      <c r="M539" s="13">
        <f t="shared" ref="M539:AA539" si="1077">IFERROR(VALUE(RIGHT(LEFT($J539,FIND(M$1,$J539,1)+LEN(M$1)),1)),0)</f>
        <v>0</v>
      </c>
      <c r="N539" s="13">
        <f t="shared" si="1077"/>
        <v>0</v>
      </c>
      <c r="O539" s="13">
        <f t="shared" si="1077"/>
        <v>0</v>
      </c>
      <c r="P539" s="13">
        <f t="shared" si="1077"/>
        <v>0</v>
      </c>
      <c r="Q539" s="13">
        <f t="shared" si="1077"/>
        <v>0</v>
      </c>
      <c r="R539" s="13">
        <f t="shared" si="1077"/>
        <v>0</v>
      </c>
      <c r="S539" s="13">
        <f t="shared" si="1077"/>
        <v>0</v>
      </c>
      <c r="T539" s="13">
        <f t="shared" si="1077"/>
        <v>0</v>
      </c>
      <c r="U539" s="13">
        <f t="shared" si="1077"/>
        <v>0</v>
      </c>
      <c r="V539" s="13">
        <f t="shared" si="1077"/>
        <v>0</v>
      </c>
      <c r="W539" s="13">
        <f t="shared" si="1077"/>
        <v>0</v>
      </c>
      <c r="X539" s="13">
        <f t="shared" si="1077"/>
        <v>0</v>
      </c>
      <c r="Y539" s="13">
        <f t="shared" si="1077"/>
        <v>0</v>
      </c>
      <c r="Z539" s="13">
        <f t="shared" si="1077"/>
        <v>0</v>
      </c>
      <c r="AA539" s="13">
        <f t="shared" si="1077"/>
        <v>0</v>
      </c>
      <c r="AB539" s="13">
        <f t="shared" ref="AB539:AP539" si="1078">IFERROR(VALUE(RIGHT(LEFT($J539,FIND(AB$1,$J539,IF(M539=0,1,FIND(AB$1,$J539,1)+1))+LEN(AB$1)),1)),0)</f>
        <v>0</v>
      </c>
      <c r="AC539" s="13">
        <f t="shared" si="1078"/>
        <v>0</v>
      </c>
      <c r="AD539" s="13">
        <f t="shared" si="1078"/>
        <v>1</v>
      </c>
      <c r="AE539" s="13">
        <f t="shared" si="1078"/>
        <v>0</v>
      </c>
      <c r="AF539" s="13">
        <f t="shared" si="1078"/>
        <v>0</v>
      </c>
      <c r="AG539" s="13">
        <f t="shared" si="1078"/>
        <v>0</v>
      </c>
      <c r="AH539" s="13">
        <f t="shared" si="1078"/>
        <v>0</v>
      </c>
      <c r="AI539" s="13">
        <f t="shared" si="1078"/>
        <v>0</v>
      </c>
      <c r="AJ539" s="13">
        <f t="shared" si="1078"/>
        <v>1</v>
      </c>
      <c r="AK539" s="13">
        <f t="shared" si="1078"/>
        <v>0</v>
      </c>
      <c r="AL539" s="13">
        <f t="shared" si="1078"/>
        <v>0</v>
      </c>
      <c r="AM539" s="13">
        <f t="shared" si="1078"/>
        <v>0</v>
      </c>
      <c r="AN539" s="13">
        <f t="shared" si="1078"/>
        <v>0</v>
      </c>
      <c r="AO539" s="13">
        <f t="shared" si="1078"/>
        <v>0</v>
      </c>
      <c r="AP539" s="13">
        <f t="shared" si="1078"/>
        <v>0</v>
      </c>
      <c r="AQ539" s="13" t="s">
        <v>3571</v>
      </c>
      <c r="AR539" s="13"/>
      <c r="AS539" s="13" t="s">
        <v>3572</v>
      </c>
      <c r="AT539" s="13"/>
      <c r="AU539" s="13"/>
      <c r="AV539" s="13"/>
      <c r="AW539" s="13">
        <v>0.0</v>
      </c>
      <c r="AX539" s="13">
        <v>7.0</v>
      </c>
      <c r="AY539" s="13">
        <v>0.0</v>
      </c>
      <c r="AZ539" s="13"/>
      <c r="BA539" s="13"/>
      <c r="BB539" s="13"/>
      <c r="BC539" s="13"/>
      <c r="BD539" s="13"/>
      <c r="BE539" s="13"/>
      <c r="BF539" s="13"/>
      <c r="BG539" s="13"/>
      <c r="BH539" s="13" t="s">
        <v>79</v>
      </c>
      <c r="BI539" s="13" t="b">
        <v>0</v>
      </c>
      <c r="BJ539" s="13">
        <v>0.0</v>
      </c>
      <c r="BK539" s="13">
        <v>0.0</v>
      </c>
    </row>
    <row r="540" ht="14.25" customHeight="1">
      <c r="A540" s="13">
        <v>538.0</v>
      </c>
      <c r="B540" s="13" t="s">
        <v>47</v>
      </c>
      <c r="C540" s="13">
        <v>1.0</v>
      </c>
      <c r="D540" s="14">
        <v>0.0</v>
      </c>
      <c r="E540" s="13" t="s">
        <v>3573</v>
      </c>
      <c r="F540" s="15" t="s">
        <v>3574</v>
      </c>
      <c r="G540" s="16" t="s">
        <v>3575</v>
      </c>
      <c r="H540" s="13">
        <v>9.0</v>
      </c>
      <c r="I540" s="13">
        <v>1.1</v>
      </c>
      <c r="J540" s="13" t="s">
        <v>543</v>
      </c>
      <c r="K540" s="13">
        <f t="shared" si="3"/>
        <v>0</v>
      </c>
      <c r="L540" s="13">
        <f t="shared" si="4"/>
        <v>2</v>
      </c>
      <c r="M540" s="13">
        <f t="shared" ref="M540:AA540" si="1079">IFERROR(VALUE(RIGHT(LEFT($J540,FIND(M$1,$J540,1)+LEN(M$1)),1)),0)</f>
        <v>0</v>
      </c>
      <c r="N540" s="13">
        <f t="shared" si="1079"/>
        <v>0</v>
      </c>
      <c r="O540" s="13">
        <f t="shared" si="1079"/>
        <v>0</v>
      </c>
      <c r="P540" s="13">
        <f t="shared" si="1079"/>
        <v>0</v>
      </c>
      <c r="Q540" s="13">
        <f t="shared" si="1079"/>
        <v>0</v>
      </c>
      <c r="R540" s="13">
        <f t="shared" si="1079"/>
        <v>0</v>
      </c>
      <c r="S540" s="13">
        <f t="shared" si="1079"/>
        <v>0</v>
      </c>
      <c r="T540" s="13">
        <f t="shared" si="1079"/>
        <v>0</v>
      </c>
      <c r="U540" s="13">
        <f t="shared" si="1079"/>
        <v>0</v>
      </c>
      <c r="V540" s="13">
        <f t="shared" si="1079"/>
        <v>0</v>
      </c>
      <c r="W540" s="13">
        <f t="shared" si="1079"/>
        <v>0</v>
      </c>
      <c r="X540" s="13">
        <f t="shared" si="1079"/>
        <v>0</v>
      </c>
      <c r="Y540" s="13">
        <f t="shared" si="1079"/>
        <v>0</v>
      </c>
      <c r="Z540" s="13">
        <f t="shared" si="1079"/>
        <v>0</v>
      </c>
      <c r="AA540" s="13">
        <f t="shared" si="1079"/>
        <v>0</v>
      </c>
      <c r="AB540" s="13">
        <f t="shared" ref="AB540:AP540" si="1080">IFERROR(VALUE(RIGHT(LEFT($J540,FIND(AB$1,$J540,IF(M540=0,1,FIND(AB$1,$J540,1)+1))+LEN(AB$1)),1)),0)</f>
        <v>0</v>
      </c>
      <c r="AC540" s="13">
        <f t="shared" si="1080"/>
        <v>0</v>
      </c>
      <c r="AD540" s="13">
        <f t="shared" si="1080"/>
        <v>0</v>
      </c>
      <c r="AE540" s="13">
        <f t="shared" si="1080"/>
        <v>1</v>
      </c>
      <c r="AF540" s="13">
        <f t="shared" si="1080"/>
        <v>0</v>
      </c>
      <c r="AG540" s="13">
        <f t="shared" si="1080"/>
        <v>0</v>
      </c>
      <c r="AH540" s="13">
        <f t="shared" si="1080"/>
        <v>0</v>
      </c>
      <c r="AI540" s="13">
        <f t="shared" si="1080"/>
        <v>0</v>
      </c>
      <c r="AJ540" s="13">
        <f t="shared" si="1080"/>
        <v>0</v>
      </c>
      <c r="AK540" s="13">
        <f t="shared" si="1080"/>
        <v>1</v>
      </c>
      <c r="AL540" s="13">
        <f t="shared" si="1080"/>
        <v>0</v>
      </c>
      <c r="AM540" s="13">
        <f t="shared" si="1080"/>
        <v>0</v>
      </c>
      <c r="AN540" s="13">
        <f t="shared" si="1080"/>
        <v>0</v>
      </c>
      <c r="AO540" s="13">
        <f t="shared" si="1080"/>
        <v>0</v>
      </c>
      <c r="AP540" s="13">
        <f t="shared" si="1080"/>
        <v>0</v>
      </c>
      <c r="AQ540" s="13"/>
      <c r="AR540" s="13" t="s">
        <v>3576</v>
      </c>
      <c r="AS540" s="13" t="s">
        <v>545</v>
      </c>
      <c r="AT540" s="13" t="s">
        <v>573</v>
      </c>
      <c r="AU540" s="13" t="s">
        <v>130</v>
      </c>
      <c r="AV540" s="13" t="s">
        <v>3577</v>
      </c>
      <c r="AW540" s="13">
        <v>7.0</v>
      </c>
      <c r="AX540" s="13">
        <v>7.0</v>
      </c>
      <c r="AY540" s="13">
        <v>0.0</v>
      </c>
      <c r="AZ540" s="13" t="s">
        <v>218</v>
      </c>
      <c r="BA540" s="13" t="s">
        <v>281</v>
      </c>
      <c r="BB540" s="13"/>
      <c r="BC540" s="13"/>
      <c r="BD540" s="13" t="s">
        <v>484</v>
      </c>
      <c r="BE540" s="13"/>
      <c r="BF540" s="13" t="s">
        <v>3578</v>
      </c>
      <c r="BG540" s="13" t="s">
        <v>136</v>
      </c>
      <c r="BH540" s="13" t="s">
        <v>79</v>
      </c>
      <c r="BI540" s="13" t="b">
        <v>0</v>
      </c>
      <c r="BJ540" s="13">
        <v>0.0</v>
      </c>
      <c r="BK540" s="13">
        <v>0.0</v>
      </c>
    </row>
    <row r="541" ht="14.25" customHeight="1">
      <c r="A541" s="13">
        <v>539.0</v>
      </c>
      <c r="B541" s="13" t="s">
        <v>47</v>
      </c>
      <c r="C541" s="13">
        <v>1.0</v>
      </c>
      <c r="D541" s="14">
        <v>0.0</v>
      </c>
      <c r="E541" s="13" t="s">
        <v>3579</v>
      </c>
      <c r="F541" s="15" t="s">
        <v>3525</v>
      </c>
      <c r="G541" s="16" t="s">
        <v>3580</v>
      </c>
      <c r="H541" s="13">
        <v>11.0</v>
      </c>
      <c r="I541" s="13">
        <v>1.0</v>
      </c>
      <c r="J541" s="13" t="s">
        <v>478</v>
      </c>
      <c r="K541" s="13">
        <f t="shared" si="3"/>
        <v>0</v>
      </c>
      <c r="L541" s="13">
        <f t="shared" si="4"/>
        <v>2</v>
      </c>
      <c r="M541" s="13">
        <f t="shared" ref="M541:AA541" si="1081">IFERROR(VALUE(RIGHT(LEFT($J541,FIND(M$1,$J541,1)+LEN(M$1)),1)),0)</f>
        <v>0</v>
      </c>
      <c r="N541" s="13">
        <f t="shared" si="1081"/>
        <v>0</v>
      </c>
      <c r="O541" s="13">
        <f t="shared" si="1081"/>
        <v>0</v>
      </c>
      <c r="P541" s="13">
        <f t="shared" si="1081"/>
        <v>0</v>
      </c>
      <c r="Q541" s="13">
        <f t="shared" si="1081"/>
        <v>0</v>
      </c>
      <c r="R541" s="13">
        <f t="shared" si="1081"/>
        <v>0</v>
      </c>
      <c r="S541" s="13">
        <f t="shared" si="1081"/>
        <v>0</v>
      </c>
      <c r="T541" s="13">
        <f t="shared" si="1081"/>
        <v>0</v>
      </c>
      <c r="U541" s="13">
        <f t="shared" si="1081"/>
        <v>0</v>
      </c>
      <c r="V541" s="13">
        <f t="shared" si="1081"/>
        <v>0</v>
      </c>
      <c r="W541" s="13">
        <f t="shared" si="1081"/>
        <v>0</v>
      </c>
      <c r="X541" s="13">
        <f t="shared" si="1081"/>
        <v>0</v>
      </c>
      <c r="Y541" s="13">
        <f t="shared" si="1081"/>
        <v>0</v>
      </c>
      <c r="Z541" s="13">
        <f t="shared" si="1081"/>
        <v>0</v>
      </c>
      <c r="AA541" s="13">
        <f t="shared" si="1081"/>
        <v>0</v>
      </c>
      <c r="AB541" s="13">
        <f t="shared" ref="AB541:AP541" si="1082">IFERROR(VALUE(RIGHT(LEFT($J541,FIND(AB$1,$J541,IF(M541=0,1,FIND(AB$1,$J541,1)+1))+LEN(AB$1)),1)),0)</f>
        <v>0</v>
      </c>
      <c r="AC541" s="13">
        <f t="shared" si="1082"/>
        <v>0</v>
      </c>
      <c r="AD541" s="13">
        <f t="shared" si="1082"/>
        <v>0</v>
      </c>
      <c r="AE541" s="13">
        <f t="shared" si="1082"/>
        <v>0</v>
      </c>
      <c r="AF541" s="13">
        <f t="shared" si="1082"/>
        <v>0</v>
      </c>
      <c r="AG541" s="13">
        <f t="shared" si="1082"/>
        <v>1</v>
      </c>
      <c r="AH541" s="13">
        <f t="shared" si="1082"/>
        <v>0</v>
      </c>
      <c r="AI541" s="13">
        <f t="shared" si="1082"/>
        <v>0</v>
      </c>
      <c r="AJ541" s="13">
        <f t="shared" si="1082"/>
        <v>0</v>
      </c>
      <c r="AK541" s="13">
        <f t="shared" si="1082"/>
        <v>1</v>
      </c>
      <c r="AL541" s="13">
        <f t="shared" si="1082"/>
        <v>0</v>
      </c>
      <c r="AM541" s="13">
        <f t="shared" si="1082"/>
        <v>0</v>
      </c>
      <c r="AN541" s="13">
        <f t="shared" si="1082"/>
        <v>0</v>
      </c>
      <c r="AO541" s="13">
        <f t="shared" si="1082"/>
        <v>0</v>
      </c>
      <c r="AP541" s="13">
        <f t="shared" si="1082"/>
        <v>0</v>
      </c>
      <c r="AQ541" s="13"/>
      <c r="AR541" s="13" t="s">
        <v>3581</v>
      </c>
      <c r="AS541" s="13" t="s">
        <v>3582</v>
      </c>
      <c r="AT541" s="13" t="s">
        <v>162</v>
      </c>
      <c r="AU541" s="13" t="s">
        <v>163</v>
      </c>
      <c r="AV541" s="13" t="s">
        <v>3583</v>
      </c>
      <c r="AW541" s="13">
        <v>11.0</v>
      </c>
      <c r="AX541" s="13">
        <v>7.0</v>
      </c>
      <c r="AY541" s="13">
        <v>0.0</v>
      </c>
      <c r="AZ541" s="13" t="s">
        <v>805</v>
      </c>
      <c r="BA541" s="13" t="s">
        <v>806</v>
      </c>
      <c r="BB541" s="13"/>
      <c r="BC541" s="13"/>
      <c r="BD541" s="13" t="s">
        <v>134</v>
      </c>
      <c r="BE541" s="13"/>
      <c r="BF541" s="13" t="s">
        <v>3584</v>
      </c>
      <c r="BG541" s="13" t="s">
        <v>136</v>
      </c>
      <c r="BH541" s="13" t="s">
        <v>79</v>
      </c>
      <c r="BI541" s="13" t="b">
        <v>0</v>
      </c>
      <c r="BJ541" s="13">
        <v>0.0</v>
      </c>
      <c r="BK541" s="13">
        <v>0.0</v>
      </c>
    </row>
    <row r="542" ht="14.25" customHeight="1">
      <c r="A542" s="13">
        <v>540.0</v>
      </c>
      <c r="B542" s="13" t="s">
        <v>52</v>
      </c>
      <c r="C542" s="13">
        <v>1.0</v>
      </c>
      <c r="D542" s="14">
        <v>0.0</v>
      </c>
      <c r="E542" s="13" t="s">
        <v>3585</v>
      </c>
      <c r="F542" s="15" t="s">
        <v>3525</v>
      </c>
      <c r="G542" s="16" t="s">
        <v>3586</v>
      </c>
      <c r="H542" s="13">
        <v>12.0</v>
      </c>
      <c r="I542" s="13">
        <v>0.9</v>
      </c>
      <c r="J542" s="13" t="s">
        <v>3587</v>
      </c>
      <c r="K542" s="13">
        <f t="shared" si="3"/>
        <v>0</v>
      </c>
      <c r="L542" s="13">
        <f t="shared" si="4"/>
        <v>1</v>
      </c>
      <c r="M542" s="13">
        <f t="shared" ref="M542:AA542" si="1083">IFERROR(VALUE(RIGHT(LEFT($J542,FIND(M$1,$J542,1)+LEN(M$1)),1)),0)</f>
        <v>0</v>
      </c>
      <c r="N542" s="13">
        <f t="shared" si="1083"/>
        <v>0</v>
      </c>
      <c r="O542" s="13">
        <f t="shared" si="1083"/>
        <v>0</v>
      </c>
      <c r="P542" s="13">
        <f t="shared" si="1083"/>
        <v>0</v>
      </c>
      <c r="Q542" s="13">
        <f t="shared" si="1083"/>
        <v>0</v>
      </c>
      <c r="R542" s="13">
        <f t="shared" si="1083"/>
        <v>0</v>
      </c>
      <c r="S542" s="13">
        <f t="shared" si="1083"/>
        <v>0</v>
      </c>
      <c r="T542" s="13">
        <f t="shared" si="1083"/>
        <v>0</v>
      </c>
      <c r="U542" s="13">
        <f t="shared" si="1083"/>
        <v>0</v>
      </c>
      <c r="V542" s="13">
        <f t="shared" si="1083"/>
        <v>0</v>
      </c>
      <c r="W542" s="13">
        <f t="shared" si="1083"/>
        <v>0</v>
      </c>
      <c r="X542" s="13">
        <f t="shared" si="1083"/>
        <v>0</v>
      </c>
      <c r="Y542" s="13">
        <f t="shared" si="1083"/>
        <v>0</v>
      </c>
      <c r="Z542" s="13">
        <f t="shared" si="1083"/>
        <v>0</v>
      </c>
      <c r="AA542" s="13">
        <f t="shared" si="1083"/>
        <v>0</v>
      </c>
      <c r="AB542" s="13">
        <f t="shared" ref="AB542:AP542" si="1084">IFERROR(VALUE(RIGHT(LEFT($J542,FIND(AB$1,$J542,IF(M542=0,1,FIND(AB$1,$J542,1)+1))+LEN(AB$1)),1)),0)</f>
        <v>0</v>
      </c>
      <c r="AC542" s="13">
        <f t="shared" si="1084"/>
        <v>0</v>
      </c>
      <c r="AD542" s="13">
        <f t="shared" si="1084"/>
        <v>1</v>
      </c>
      <c r="AE542" s="13">
        <f t="shared" si="1084"/>
        <v>0</v>
      </c>
      <c r="AF542" s="13">
        <f t="shared" si="1084"/>
        <v>0</v>
      </c>
      <c r="AG542" s="13">
        <f t="shared" si="1084"/>
        <v>0</v>
      </c>
      <c r="AH542" s="13">
        <f t="shared" si="1084"/>
        <v>0</v>
      </c>
      <c r="AI542" s="13">
        <f t="shared" si="1084"/>
        <v>0</v>
      </c>
      <c r="AJ542" s="13">
        <f t="shared" si="1084"/>
        <v>0</v>
      </c>
      <c r="AK542" s="13">
        <f t="shared" si="1084"/>
        <v>0</v>
      </c>
      <c r="AL542" s="13">
        <f t="shared" si="1084"/>
        <v>0</v>
      </c>
      <c r="AM542" s="13">
        <f t="shared" si="1084"/>
        <v>0</v>
      </c>
      <c r="AN542" s="13">
        <f t="shared" si="1084"/>
        <v>0</v>
      </c>
      <c r="AO542" s="13">
        <f t="shared" si="1084"/>
        <v>0</v>
      </c>
      <c r="AP542" s="13">
        <f t="shared" si="1084"/>
        <v>0</v>
      </c>
      <c r="AQ542" s="13"/>
      <c r="AR542" s="13" t="s">
        <v>3588</v>
      </c>
      <c r="AS542" s="13" t="s">
        <v>3589</v>
      </c>
      <c r="AT542" s="13" t="s">
        <v>142</v>
      </c>
      <c r="AU542" s="13" t="s">
        <v>803</v>
      </c>
      <c r="AV542" s="13" t="s">
        <v>3590</v>
      </c>
      <c r="AW542" s="13">
        <v>8.0</v>
      </c>
      <c r="AX542" s="13">
        <v>7.0</v>
      </c>
      <c r="AY542" s="13">
        <v>0.0</v>
      </c>
      <c r="AZ542" s="13" t="s">
        <v>889</v>
      </c>
      <c r="BA542" s="13" t="s">
        <v>890</v>
      </c>
      <c r="BB542" s="13"/>
      <c r="BC542" s="13"/>
      <c r="BD542" s="13" t="s">
        <v>294</v>
      </c>
      <c r="BE542" s="13" t="s">
        <v>3591</v>
      </c>
      <c r="BF542" s="13" t="s">
        <v>1900</v>
      </c>
      <c r="BG542" s="13"/>
      <c r="BH542" s="13" t="s">
        <v>241</v>
      </c>
      <c r="BI542" s="13" t="b">
        <v>0</v>
      </c>
      <c r="BJ542" s="13">
        <v>0.0</v>
      </c>
      <c r="BK542" s="13">
        <v>0.0</v>
      </c>
    </row>
    <row r="543" ht="14.25" customHeight="1">
      <c r="A543" s="13">
        <v>541.0</v>
      </c>
      <c r="B543" s="13" t="s">
        <v>52</v>
      </c>
      <c r="C543" s="13">
        <v>1.0</v>
      </c>
      <c r="D543" s="14">
        <v>0.0</v>
      </c>
      <c r="E543" s="13" t="s">
        <v>3592</v>
      </c>
      <c r="F543" s="15" t="s">
        <v>3525</v>
      </c>
      <c r="G543" s="16" t="s">
        <v>3593</v>
      </c>
      <c r="H543" s="13">
        <v>13.0</v>
      </c>
      <c r="I543" s="13">
        <v>0.9</v>
      </c>
      <c r="J543" s="13" t="s">
        <v>860</v>
      </c>
      <c r="K543" s="13">
        <f t="shared" si="3"/>
        <v>0</v>
      </c>
      <c r="L543" s="13">
        <f t="shared" si="4"/>
        <v>2</v>
      </c>
      <c r="M543" s="13">
        <f t="shared" ref="M543:AA543" si="1085">IFERROR(VALUE(RIGHT(LEFT($J543,FIND(M$1,$J543,1)+LEN(M$1)),1)),0)</f>
        <v>0</v>
      </c>
      <c r="N543" s="13">
        <f t="shared" si="1085"/>
        <v>0</v>
      </c>
      <c r="O543" s="13">
        <f t="shared" si="1085"/>
        <v>0</v>
      </c>
      <c r="P543" s="13">
        <f t="shared" si="1085"/>
        <v>0</v>
      </c>
      <c r="Q543" s="13">
        <f t="shared" si="1085"/>
        <v>0</v>
      </c>
      <c r="R543" s="13">
        <f t="shared" si="1085"/>
        <v>0</v>
      </c>
      <c r="S543" s="13">
        <f t="shared" si="1085"/>
        <v>0</v>
      </c>
      <c r="T543" s="13">
        <f t="shared" si="1085"/>
        <v>0</v>
      </c>
      <c r="U543" s="13">
        <f t="shared" si="1085"/>
        <v>0</v>
      </c>
      <c r="V543" s="13">
        <f t="shared" si="1085"/>
        <v>0</v>
      </c>
      <c r="W543" s="13">
        <f t="shared" si="1085"/>
        <v>0</v>
      </c>
      <c r="X543" s="13">
        <f t="shared" si="1085"/>
        <v>0</v>
      </c>
      <c r="Y543" s="13">
        <f t="shared" si="1085"/>
        <v>0</v>
      </c>
      <c r="Z543" s="13">
        <f t="shared" si="1085"/>
        <v>0</v>
      </c>
      <c r="AA543" s="13">
        <f t="shared" si="1085"/>
        <v>0</v>
      </c>
      <c r="AB543" s="13">
        <f t="shared" ref="AB543:AP543" si="1086">IFERROR(VALUE(RIGHT(LEFT($J543,FIND(AB$1,$J543,IF(M543=0,1,FIND(AB$1,$J543,1)+1))+LEN(AB$1)),1)),0)</f>
        <v>0</v>
      </c>
      <c r="AC543" s="13">
        <f t="shared" si="1086"/>
        <v>1</v>
      </c>
      <c r="AD543" s="13">
        <f t="shared" si="1086"/>
        <v>0</v>
      </c>
      <c r="AE543" s="13">
        <f t="shared" si="1086"/>
        <v>0</v>
      </c>
      <c r="AF543" s="13">
        <f t="shared" si="1086"/>
        <v>0</v>
      </c>
      <c r="AG543" s="13">
        <f t="shared" si="1086"/>
        <v>0</v>
      </c>
      <c r="AH543" s="13">
        <f t="shared" si="1086"/>
        <v>0</v>
      </c>
      <c r="AI543" s="13">
        <f t="shared" si="1086"/>
        <v>0</v>
      </c>
      <c r="AJ543" s="13">
        <f t="shared" si="1086"/>
        <v>0</v>
      </c>
      <c r="AK543" s="13">
        <f t="shared" si="1086"/>
        <v>0</v>
      </c>
      <c r="AL543" s="13">
        <f t="shared" si="1086"/>
        <v>0</v>
      </c>
      <c r="AM543" s="13">
        <f t="shared" si="1086"/>
        <v>0</v>
      </c>
      <c r="AN543" s="13">
        <f t="shared" si="1086"/>
        <v>0</v>
      </c>
      <c r="AO543" s="13">
        <f t="shared" si="1086"/>
        <v>0</v>
      </c>
      <c r="AP543" s="13">
        <f t="shared" si="1086"/>
        <v>1</v>
      </c>
      <c r="AQ543" s="13"/>
      <c r="AR543" s="13" t="s">
        <v>3594</v>
      </c>
      <c r="AS543" s="13" t="s">
        <v>3595</v>
      </c>
      <c r="AT543" s="13" t="s">
        <v>2382</v>
      </c>
      <c r="AU543" s="13" t="s">
        <v>130</v>
      </c>
      <c r="AV543" s="13" t="s">
        <v>3596</v>
      </c>
      <c r="AW543" s="13">
        <v>9.0</v>
      </c>
      <c r="AX543" s="13">
        <v>7.0</v>
      </c>
      <c r="AY543" s="13">
        <v>0.0</v>
      </c>
      <c r="AZ543" s="13" t="s">
        <v>2420</v>
      </c>
      <c r="BA543" s="13" t="s">
        <v>906</v>
      </c>
      <c r="BB543" s="13"/>
      <c r="BC543" s="13"/>
      <c r="BD543" s="13" t="s">
        <v>306</v>
      </c>
      <c r="BE543" s="13" t="s">
        <v>3597</v>
      </c>
      <c r="BF543" s="13" t="s">
        <v>2463</v>
      </c>
      <c r="BG543" s="13"/>
      <c r="BH543" s="13" t="s">
        <v>79</v>
      </c>
      <c r="BI543" s="13" t="b">
        <v>0</v>
      </c>
      <c r="BJ543" s="13">
        <v>0.0</v>
      </c>
      <c r="BK543" s="13">
        <v>0.0</v>
      </c>
    </row>
    <row r="544" ht="14.25" customHeight="1">
      <c r="A544" s="13">
        <v>542.0</v>
      </c>
      <c r="B544" s="13" t="s">
        <v>51</v>
      </c>
      <c r="C544" s="13">
        <v>1.0</v>
      </c>
      <c r="D544" s="14">
        <v>0.0</v>
      </c>
      <c r="E544" s="13" t="s">
        <v>3598</v>
      </c>
      <c r="F544" s="15" t="s">
        <v>3525</v>
      </c>
      <c r="G544" s="16" t="s">
        <v>3599</v>
      </c>
      <c r="H544" s="13">
        <v>10.0</v>
      </c>
      <c r="I544" s="13">
        <v>1.1</v>
      </c>
      <c r="J544" s="13" t="s">
        <v>774</v>
      </c>
      <c r="K544" s="13">
        <f t="shared" si="3"/>
        <v>0</v>
      </c>
      <c r="L544" s="13">
        <f t="shared" si="4"/>
        <v>2</v>
      </c>
      <c r="M544" s="13">
        <f t="shared" ref="M544:AA544" si="1087">IFERROR(VALUE(RIGHT(LEFT($J544,FIND(M$1,$J544,1)+LEN(M$1)),1)),0)</f>
        <v>0</v>
      </c>
      <c r="N544" s="13">
        <f t="shared" si="1087"/>
        <v>0</v>
      </c>
      <c r="O544" s="13">
        <f t="shared" si="1087"/>
        <v>0</v>
      </c>
      <c r="P544" s="13">
        <f t="shared" si="1087"/>
        <v>0</v>
      </c>
      <c r="Q544" s="13">
        <f t="shared" si="1087"/>
        <v>0</v>
      </c>
      <c r="R544" s="13">
        <f t="shared" si="1087"/>
        <v>0</v>
      </c>
      <c r="S544" s="13">
        <f t="shared" si="1087"/>
        <v>0</v>
      </c>
      <c r="T544" s="13">
        <f t="shared" si="1087"/>
        <v>0</v>
      </c>
      <c r="U544" s="13">
        <f t="shared" si="1087"/>
        <v>0</v>
      </c>
      <c r="V544" s="13">
        <f t="shared" si="1087"/>
        <v>0</v>
      </c>
      <c r="W544" s="13">
        <f t="shared" si="1087"/>
        <v>0</v>
      </c>
      <c r="X544" s="13">
        <f t="shared" si="1087"/>
        <v>0</v>
      </c>
      <c r="Y544" s="13">
        <f t="shared" si="1087"/>
        <v>0</v>
      </c>
      <c r="Z544" s="13">
        <f t="shared" si="1087"/>
        <v>0</v>
      </c>
      <c r="AA544" s="13">
        <f t="shared" si="1087"/>
        <v>0</v>
      </c>
      <c r="AB544" s="13">
        <f t="shared" ref="AB544:AP544" si="1088">IFERROR(VALUE(RIGHT(LEFT($J544,FIND(AB$1,$J544,IF(M544=0,1,FIND(AB$1,$J544,1)+1))+LEN(AB$1)),1)),0)</f>
        <v>0</v>
      </c>
      <c r="AC544" s="13">
        <f t="shared" si="1088"/>
        <v>0</v>
      </c>
      <c r="AD544" s="13">
        <f t="shared" si="1088"/>
        <v>0</v>
      </c>
      <c r="AE544" s="13">
        <f t="shared" si="1088"/>
        <v>1</v>
      </c>
      <c r="AF544" s="13">
        <f t="shared" si="1088"/>
        <v>0</v>
      </c>
      <c r="AG544" s="13">
        <f t="shared" si="1088"/>
        <v>0</v>
      </c>
      <c r="AH544" s="13">
        <f t="shared" si="1088"/>
        <v>0</v>
      </c>
      <c r="AI544" s="13">
        <f t="shared" si="1088"/>
        <v>0</v>
      </c>
      <c r="AJ544" s="13">
        <f t="shared" si="1088"/>
        <v>0</v>
      </c>
      <c r="AK544" s="13">
        <f t="shared" si="1088"/>
        <v>0</v>
      </c>
      <c r="AL544" s="13">
        <f t="shared" si="1088"/>
        <v>0</v>
      </c>
      <c r="AM544" s="13">
        <f t="shared" si="1088"/>
        <v>0</v>
      </c>
      <c r="AN544" s="13">
        <f t="shared" si="1088"/>
        <v>0</v>
      </c>
      <c r="AO544" s="13">
        <f t="shared" si="1088"/>
        <v>1</v>
      </c>
      <c r="AP544" s="13">
        <f t="shared" si="1088"/>
        <v>0</v>
      </c>
      <c r="AQ544" s="13"/>
      <c r="AR544" s="13" t="s">
        <v>3600</v>
      </c>
      <c r="AS544" s="13" t="s">
        <v>3601</v>
      </c>
      <c r="AT544" s="13" t="s">
        <v>142</v>
      </c>
      <c r="AU544" s="13" t="s">
        <v>130</v>
      </c>
      <c r="AV544" s="13" t="s">
        <v>3602</v>
      </c>
      <c r="AW544" s="13">
        <v>10.0</v>
      </c>
      <c r="AX544" s="13">
        <v>7.0</v>
      </c>
      <c r="AY544" s="13">
        <v>0.0</v>
      </c>
      <c r="AZ544" s="13" t="s">
        <v>520</v>
      </c>
      <c r="BA544" s="13"/>
      <c r="BB544" s="13"/>
      <c r="BC544" s="13"/>
      <c r="BD544" s="13" t="s">
        <v>1113</v>
      </c>
      <c r="BE544" s="13"/>
      <c r="BF544" s="13" t="s">
        <v>1777</v>
      </c>
      <c r="BG544" s="13"/>
      <c r="BH544" s="13" t="s">
        <v>79</v>
      </c>
      <c r="BI544" s="13" t="b">
        <v>0</v>
      </c>
      <c r="BJ544" s="13">
        <v>0.0</v>
      </c>
      <c r="BK544" s="13">
        <v>0.0</v>
      </c>
    </row>
    <row r="545" ht="14.25" customHeight="1">
      <c r="A545" s="13">
        <v>543.0</v>
      </c>
      <c r="B545" s="13" t="s">
        <v>44</v>
      </c>
      <c r="C545" s="13">
        <v>2.0</v>
      </c>
      <c r="D545" s="14">
        <v>0.0</v>
      </c>
      <c r="E545" s="13" t="s">
        <v>3603</v>
      </c>
      <c r="F545" s="15" t="s">
        <v>3525</v>
      </c>
      <c r="G545" s="16" t="s">
        <v>3604</v>
      </c>
      <c r="H545" s="13"/>
      <c r="I545" s="13">
        <v>1.0</v>
      </c>
      <c r="J545" s="13" t="s">
        <v>954</v>
      </c>
      <c r="K545" s="13">
        <f t="shared" si="3"/>
        <v>0</v>
      </c>
      <c r="L545" s="13">
        <f t="shared" si="4"/>
        <v>3</v>
      </c>
      <c r="M545" s="13">
        <f t="shared" ref="M545:AA545" si="1089">IFERROR(VALUE(RIGHT(LEFT($J545,FIND(M$1,$J545,1)+LEN(M$1)),1)),0)</f>
        <v>0</v>
      </c>
      <c r="N545" s="13">
        <f t="shared" si="1089"/>
        <v>0</v>
      </c>
      <c r="O545" s="13">
        <f t="shared" si="1089"/>
        <v>0</v>
      </c>
      <c r="P545" s="13">
        <f t="shared" si="1089"/>
        <v>0</v>
      </c>
      <c r="Q545" s="13">
        <f t="shared" si="1089"/>
        <v>0</v>
      </c>
      <c r="R545" s="13">
        <f t="shared" si="1089"/>
        <v>0</v>
      </c>
      <c r="S545" s="13">
        <f t="shared" si="1089"/>
        <v>0</v>
      </c>
      <c r="T545" s="13">
        <f t="shared" si="1089"/>
        <v>0</v>
      </c>
      <c r="U545" s="13">
        <f t="shared" si="1089"/>
        <v>0</v>
      </c>
      <c r="V545" s="13">
        <f t="shared" si="1089"/>
        <v>0</v>
      </c>
      <c r="W545" s="13">
        <f t="shared" si="1089"/>
        <v>0</v>
      </c>
      <c r="X545" s="13">
        <f t="shared" si="1089"/>
        <v>0</v>
      </c>
      <c r="Y545" s="13">
        <f t="shared" si="1089"/>
        <v>0</v>
      </c>
      <c r="Z545" s="13">
        <f t="shared" si="1089"/>
        <v>0</v>
      </c>
      <c r="AA545" s="13">
        <f t="shared" si="1089"/>
        <v>0</v>
      </c>
      <c r="AB545" s="13">
        <f t="shared" ref="AB545:AP545" si="1090">IFERROR(VALUE(RIGHT(LEFT($J545,FIND(AB$1,$J545,IF(M545=0,1,FIND(AB$1,$J545,1)+1))+LEN(AB$1)),1)),0)</f>
        <v>0</v>
      </c>
      <c r="AC545" s="13">
        <f t="shared" si="1090"/>
        <v>0</v>
      </c>
      <c r="AD545" s="13">
        <f t="shared" si="1090"/>
        <v>0</v>
      </c>
      <c r="AE545" s="13">
        <f t="shared" si="1090"/>
        <v>0</v>
      </c>
      <c r="AF545" s="13">
        <f t="shared" si="1090"/>
        <v>0</v>
      </c>
      <c r="AG545" s="13">
        <f t="shared" si="1090"/>
        <v>1</v>
      </c>
      <c r="AH545" s="13">
        <f t="shared" si="1090"/>
        <v>2</v>
      </c>
      <c r="AI545" s="13">
        <f t="shared" si="1090"/>
        <v>0</v>
      </c>
      <c r="AJ545" s="13">
        <f t="shared" si="1090"/>
        <v>0</v>
      </c>
      <c r="AK545" s="13">
        <f t="shared" si="1090"/>
        <v>0</v>
      </c>
      <c r="AL545" s="13">
        <f t="shared" si="1090"/>
        <v>0</v>
      </c>
      <c r="AM545" s="13">
        <f t="shared" si="1090"/>
        <v>0</v>
      </c>
      <c r="AN545" s="13">
        <f t="shared" si="1090"/>
        <v>0</v>
      </c>
      <c r="AO545" s="13">
        <f t="shared" si="1090"/>
        <v>0</v>
      </c>
      <c r="AP545" s="13">
        <f t="shared" si="1090"/>
        <v>0</v>
      </c>
      <c r="AQ545" s="13" t="s">
        <v>3605</v>
      </c>
      <c r="AR545" s="13"/>
      <c r="AS545" s="13" t="s">
        <v>3606</v>
      </c>
      <c r="AT545" s="13"/>
      <c r="AU545" s="13"/>
      <c r="AV545" s="13"/>
      <c r="AW545" s="13">
        <v>0.0</v>
      </c>
      <c r="AX545" s="13">
        <v>7.0</v>
      </c>
      <c r="AY545" s="13">
        <v>0.0</v>
      </c>
      <c r="AZ545" s="13"/>
      <c r="BA545" s="13"/>
      <c r="BB545" s="13"/>
      <c r="BC545" s="13"/>
      <c r="BD545" s="13"/>
      <c r="BE545" s="13"/>
      <c r="BF545" s="13"/>
      <c r="BG545" s="13"/>
      <c r="BH545" s="13" t="s">
        <v>79</v>
      </c>
      <c r="BI545" s="13" t="b">
        <v>0</v>
      </c>
      <c r="BJ545" s="13">
        <v>0.0</v>
      </c>
      <c r="BK545" s="13">
        <v>0.0</v>
      </c>
    </row>
    <row r="546" ht="14.25" customHeight="1">
      <c r="A546" s="13">
        <v>544.0</v>
      </c>
      <c r="B546" s="13" t="s">
        <v>45</v>
      </c>
      <c r="C546" s="13">
        <v>2.0</v>
      </c>
      <c r="D546" s="14">
        <v>0.0</v>
      </c>
      <c r="E546" s="13" t="s">
        <v>3607</v>
      </c>
      <c r="F546" s="15" t="s">
        <v>3525</v>
      </c>
      <c r="G546" s="16" t="s">
        <v>3608</v>
      </c>
      <c r="H546" s="13"/>
      <c r="I546" s="13">
        <v>0.8</v>
      </c>
      <c r="J546" s="13" t="s">
        <v>978</v>
      </c>
      <c r="K546" s="13">
        <f t="shared" si="3"/>
        <v>0</v>
      </c>
      <c r="L546" s="13">
        <f t="shared" si="4"/>
        <v>3</v>
      </c>
      <c r="M546" s="13">
        <f t="shared" ref="M546:AA546" si="1091">IFERROR(VALUE(RIGHT(LEFT($J546,FIND(M$1,$J546,1)+LEN(M$1)),1)),0)</f>
        <v>0</v>
      </c>
      <c r="N546" s="13">
        <f t="shared" si="1091"/>
        <v>0</v>
      </c>
      <c r="O546" s="13">
        <f t="shared" si="1091"/>
        <v>0</v>
      </c>
      <c r="P546" s="13">
        <f t="shared" si="1091"/>
        <v>0</v>
      </c>
      <c r="Q546" s="13">
        <f t="shared" si="1091"/>
        <v>0</v>
      </c>
      <c r="R546" s="13">
        <f t="shared" si="1091"/>
        <v>0</v>
      </c>
      <c r="S546" s="13">
        <f t="shared" si="1091"/>
        <v>0</v>
      </c>
      <c r="T546" s="13">
        <f t="shared" si="1091"/>
        <v>0</v>
      </c>
      <c r="U546" s="13">
        <f t="shared" si="1091"/>
        <v>0</v>
      </c>
      <c r="V546" s="13">
        <f t="shared" si="1091"/>
        <v>0</v>
      </c>
      <c r="W546" s="13">
        <f t="shared" si="1091"/>
        <v>0</v>
      </c>
      <c r="X546" s="13">
        <f t="shared" si="1091"/>
        <v>0</v>
      </c>
      <c r="Y546" s="13">
        <f t="shared" si="1091"/>
        <v>0</v>
      </c>
      <c r="Z546" s="13">
        <f t="shared" si="1091"/>
        <v>0</v>
      </c>
      <c r="AA546" s="13">
        <f t="shared" si="1091"/>
        <v>0</v>
      </c>
      <c r="AB546" s="13">
        <f t="shared" ref="AB546:AP546" si="1092">IFERROR(VALUE(RIGHT(LEFT($J546,FIND(AB$1,$J546,IF(M546=0,1,FIND(AB$1,$J546,1)+1))+LEN(AB$1)),1)),0)</f>
        <v>0</v>
      </c>
      <c r="AC546" s="13">
        <f t="shared" si="1092"/>
        <v>1</v>
      </c>
      <c r="AD546" s="13">
        <f t="shared" si="1092"/>
        <v>0</v>
      </c>
      <c r="AE546" s="13">
        <f t="shared" si="1092"/>
        <v>0</v>
      </c>
      <c r="AF546" s="13">
        <f t="shared" si="1092"/>
        <v>0</v>
      </c>
      <c r="AG546" s="13">
        <f t="shared" si="1092"/>
        <v>0</v>
      </c>
      <c r="AH546" s="13">
        <f t="shared" si="1092"/>
        <v>0</v>
      </c>
      <c r="AI546" s="13">
        <f t="shared" si="1092"/>
        <v>2</v>
      </c>
      <c r="AJ546" s="13">
        <f t="shared" si="1092"/>
        <v>0</v>
      </c>
      <c r="AK546" s="13">
        <f t="shared" si="1092"/>
        <v>0</v>
      </c>
      <c r="AL546" s="13">
        <f t="shared" si="1092"/>
        <v>0</v>
      </c>
      <c r="AM546" s="13">
        <f t="shared" si="1092"/>
        <v>0</v>
      </c>
      <c r="AN546" s="13">
        <f t="shared" si="1092"/>
        <v>0</v>
      </c>
      <c r="AO546" s="13">
        <f t="shared" si="1092"/>
        <v>0</v>
      </c>
      <c r="AP546" s="13">
        <f t="shared" si="1092"/>
        <v>0</v>
      </c>
      <c r="AQ546" s="13" t="s">
        <v>3609</v>
      </c>
      <c r="AR546" s="13"/>
      <c r="AS546" s="13" t="s">
        <v>1018</v>
      </c>
      <c r="AT546" s="13"/>
      <c r="AU546" s="13"/>
      <c r="AV546" s="13"/>
      <c r="AW546" s="13">
        <v>0.0</v>
      </c>
      <c r="AX546" s="13">
        <v>7.0</v>
      </c>
      <c r="AY546" s="13">
        <v>0.0</v>
      </c>
      <c r="AZ546" s="13"/>
      <c r="BA546" s="13"/>
      <c r="BB546" s="13"/>
      <c r="BC546" s="13"/>
      <c r="BD546" s="13"/>
      <c r="BE546" s="13"/>
      <c r="BF546" s="13"/>
      <c r="BG546" s="13"/>
      <c r="BH546" s="13" t="s">
        <v>79</v>
      </c>
      <c r="BI546" s="13" t="b">
        <v>0</v>
      </c>
      <c r="BJ546" s="13">
        <v>0.0</v>
      </c>
      <c r="BK546" s="13">
        <v>0.0</v>
      </c>
    </row>
    <row r="547" ht="14.25" customHeight="1">
      <c r="A547" s="13">
        <v>545.0</v>
      </c>
      <c r="B547" s="13" t="s">
        <v>46</v>
      </c>
      <c r="C547" s="13">
        <v>2.0</v>
      </c>
      <c r="D547" s="14">
        <v>0.0</v>
      </c>
      <c r="E547" s="13" t="s">
        <v>3610</v>
      </c>
      <c r="F547" s="15" t="s">
        <v>3525</v>
      </c>
      <c r="G547" s="16" t="s">
        <v>3611</v>
      </c>
      <c r="H547" s="13"/>
      <c r="I547" s="13">
        <v>1.1</v>
      </c>
      <c r="J547" s="13" t="s">
        <v>1041</v>
      </c>
      <c r="K547" s="13">
        <f t="shared" si="3"/>
        <v>0</v>
      </c>
      <c r="L547" s="13">
        <f t="shared" si="4"/>
        <v>3</v>
      </c>
      <c r="M547" s="13">
        <f t="shared" ref="M547:AA547" si="1093">IFERROR(VALUE(RIGHT(LEFT($J547,FIND(M$1,$J547,1)+LEN(M$1)),1)),0)</f>
        <v>0</v>
      </c>
      <c r="N547" s="13">
        <f t="shared" si="1093"/>
        <v>0</v>
      </c>
      <c r="O547" s="13">
        <f t="shared" si="1093"/>
        <v>0</v>
      </c>
      <c r="P547" s="13">
        <f t="shared" si="1093"/>
        <v>0</v>
      </c>
      <c r="Q547" s="13">
        <f t="shared" si="1093"/>
        <v>0</v>
      </c>
      <c r="R547" s="13">
        <f t="shared" si="1093"/>
        <v>0</v>
      </c>
      <c r="S547" s="13">
        <f t="shared" si="1093"/>
        <v>0</v>
      </c>
      <c r="T547" s="13">
        <f t="shared" si="1093"/>
        <v>0</v>
      </c>
      <c r="U547" s="13">
        <f t="shared" si="1093"/>
        <v>0</v>
      </c>
      <c r="V547" s="13">
        <f t="shared" si="1093"/>
        <v>0</v>
      </c>
      <c r="W547" s="13">
        <f t="shared" si="1093"/>
        <v>0</v>
      </c>
      <c r="X547" s="13">
        <f t="shared" si="1093"/>
        <v>0</v>
      </c>
      <c r="Y547" s="13">
        <f t="shared" si="1093"/>
        <v>0</v>
      </c>
      <c r="Z547" s="13">
        <f t="shared" si="1093"/>
        <v>0</v>
      </c>
      <c r="AA547" s="13">
        <f t="shared" si="1093"/>
        <v>0</v>
      </c>
      <c r="AB547" s="13">
        <f t="shared" ref="AB547:AP547" si="1094">IFERROR(VALUE(RIGHT(LEFT($J547,FIND(AB$1,$J547,IF(M547=0,1,FIND(AB$1,$J547,1)+1))+LEN(AB$1)),1)),0)</f>
        <v>0</v>
      </c>
      <c r="AC547" s="13">
        <f t="shared" si="1094"/>
        <v>0</v>
      </c>
      <c r="AD547" s="13">
        <f t="shared" si="1094"/>
        <v>0</v>
      </c>
      <c r="AE547" s="13">
        <f t="shared" si="1094"/>
        <v>1</v>
      </c>
      <c r="AF547" s="13">
        <f t="shared" si="1094"/>
        <v>0</v>
      </c>
      <c r="AG547" s="13">
        <f t="shared" si="1094"/>
        <v>0</v>
      </c>
      <c r="AH547" s="13">
        <f t="shared" si="1094"/>
        <v>0</v>
      </c>
      <c r="AI547" s="13">
        <f t="shared" si="1094"/>
        <v>0</v>
      </c>
      <c r="AJ547" s="13">
        <f t="shared" si="1094"/>
        <v>2</v>
      </c>
      <c r="AK547" s="13">
        <f t="shared" si="1094"/>
        <v>0</v>
      </c>
      <c r="AL547" s="13">
        <f t="shared" si="1094"/>
        <v>0</v>
      </c>
      <c r="AM547" s="13">
        <f t="shared" si="1094"/>
        <v>0</v>
      </c>
      <c r="AN547" s="13">
        <f t="shared" si="1094"/>
        <v>0</v>
      </c>
      <c r="AO547" s="13">
        <f t="shared" si="1094"/>
        <v>0</v>
      </c>
      <c r="AP547" s="13">
        <f t="shared" si="1094"/>
        <v>0</v>
      </c>
      <c r="AQ547" s="13" t="s">
        <v>3612</v>
      </c>
      <c r="AR547" s="13"/>
      <c r="AS547" s="13" t="s">
        <v>3613</v>
      </c>
      <c r="AT547" s="13"/>
      <c r="AU547" s="13"/>
      <c r="AV547" s="13"/>
      <c r="AW547" s="13">
        <v>0.0</v>
      </c>
      <c r="AX547" s="13">
        <v>7.0</v>
      </c>
      <c r="AY547" s="13">
        <v>0.0</v>
      </c>
      <c r="AZ547" s="13"/>
      <c r="BA547" s="13"/>
      <c r="BB547" s="13"/>
      <c r="BC547" s="13"/>
      <c r="BD547" s="13"/>
      <c r="BE547" s="13"/>
      <c r="BF547" s="13"/>
      <c r="BG547" s="13"/>
      <c r="BH547" s="13" t="s">
        <v>79</v>
      </c>
      <c r="BI547" s="13" t="b">
        <v>0</v>
      </c>
      <c r="BJ547" s="13">
        <v>0.0</v>
      </c>
      <c r="BK547" s="13">
        <v>0.0</v>
      </c>
    </row>
    <row r="548" ht="14.25" customHeight="1">
      <c r="A548" s="13">
        <v>546.0</v>
      </c>
      <c r="B548" s="13" t="s">
        <v>47</v>
      </c>
      <c r="C548" s="13">
        <v>2.0</v>
      </c>
      <c r="D548" s="14">
        <v>0.0</v>
      </c>
      <c r="E548" s="13" t="s">
        <v>3614</v>
      </c>
      <c r="F548" s="15" t="s">
        <v>3525</v>
      </c>
      <c r="G548" s="16" t="s">
        <v>3615</v>
      </c>
      <c r="H548" s="13">
        <v>15.0</v>
      </c>
      <c r="I548" s="13">
        <v>1.1</v>
      </c>
      <c r="J548" s="13" t="s">
        <v>1156</v>
      </c>
      <c r="K548" s="13">
        <f t="shared" si="3"/>
        <v>0</v>
      </c>
      <c r="L548" s="13">
        <f t="shared" si="4"/>
        <v>3</v>
      </c>
      <c r="M548" s="13">
        <f t="shared" ref="M548:AA548" si="1095">IFERROR(VALUE(RIGHT(LEFT($J548,FIND(M$1,$J548,1)+LEN(M$1)),1)),0)</f>
        <v>0</v>
      </c>
      <c r="N548" s="13">
        <f t="shared" si="1095"/>
        <v>0</v>
      </c>
      <c r="O548" s="13">
        <f t="shared" si="1095"/>
        <v>0</v>
      </c>
      <c r="P548" s="13">
        <f t="shared" si="1095"/>
        <v>0</v>
      </c>
      <c r="Q548" s="13">
        <f t="shared" si="1095"/>
        <v>0</v>
      </c>
      <c r="R548" s="13">
        <f t="shared" si="1095"/>
        <v>0</v>
      </c>
      <c r="S548" s="13">
        <f t="shared" si="1095"/>
        <v>0</v>
      </c>
      <c r="T548" s="13">
        <f t="shared" si="1095"/>
        <v>0</v>
      </c>
      <c r="U548" s="13">
        <f t="shared" si="1095"/>
        <v>0</v>
      </c>
      <c r="V548" s="13">
        <f t="shared" si="1095"/>
        <v>0</v>
      </c>
      <c r="W548" s="13">
        <f t="shared" si="1095"/>
        <v>0</v>
      </c>
      <c r="X548" s="13">
        <f t="shared" si="1095"/>
        <v>0</v>
      </c>
      <c r="Y548" s="13">
        <f t="shared" si="1095"/>
        <v>0</v>
      </c>
      <c r="Z548" s="13">
        <f t="shared" si="1095"/>
        <v>0</v>
      </c>
      <c r="AA548" s="13">
        <f t="shared" si="1095"/>
        <v>0</v>
      </c>
      <c r="AB548" s="13">
        <f t="shared" ref="AB548:AP548" si="1096">IFERROR(VALUE(RIGHT(LEFT($J548,FIND(AB$1,$J548,IF(M548=0,1,FIND(AB$1,$J548,1)+1))+LEN(AB$1)),1)),0)</f>
        <v>0</v>
      </c>
      <c r="AC548" s="13">
        <f t="shared" si="1096"/>
        <v>0</v>
      </c>
      <c r="AD548" s="13">
        <f t="shared" si="1096"/>
        <v>0</v>
      </c>
      <c r="AE548" s="13">
        <f t="shared" si="1096"/>
        <v>1</v>
      </c>
      <c r="AF548" s="13">
        <f t="shared" si="1096"/>
        <v>0</v>
      </c>
      <c r="AG548" s="13">
        <f t="shared" si="1096"/>
        <v>0</v>
      </c>
      <c r="AH548" s="13">
        <f t="shared" si="1096"/>
        <v>0</v>
      </c>
      <c r="AI548" s="13">
        <f t="shared" si="1096"/>
        <v>0</v>
      </c>
      <c r="AJ548" s="13">
        <f t="shared" si="1096"/>
        <v>0</v>
      </c>
      <c r="AK548" s="13">
        <f t="shared" si="1096"/>
        <v>2</v>
      </c>
      <c r="AL548" s="13">
        <f t="shared" si="1096"/>
        <v>0</v>
      </c>
      <c r="AM548" s="13">
        <f t="shared" si="1096"/>
        <v>0</v>
      </c>
      <c r="AN548" s="13">
        <f t="shared" si="1096"/>
        <v>0</v>
      </c>
      <c r="AO548" s="13">
        <f t="shared" si="1096"/>
        <v>0</v>
      </c>
      <c r="AP548" s="13">
        <f t="shared" si="1096"/>
        <v>0</v>
      </c>
      <c r="AQ548" s="13"/>
      <c r="AR548" s="13" t="s">
        <v>3616</v>
      </c>
      <c r="AS548" s="13" t="s">
        <v>3617</v>
      </c>
      <c r="AT548" s="13" t="s">
        <v>142</v>
      </c>
      <c r="AU548" s="13" t="s">
        <v>143</v>
      </c>
      <c r="AV548" s="13" t="s">
        <v>3618</v>
      </c>
      <c r="AW548" s="13">
        <v>17.0</v>
      </c>
      <c r="AX548" s="13">
        <v>7.0</v>
      </c>
      <c r="AY548" s="13">
        <v>0.0</v>
      </c>
      <c r="AZ548" s="13" t="s">
        <v>3619</v>
      </c>
      <c r="BA548" s="13" t="s">
        <v>3620</v>
      </c>
      <c r="BB548" s="13"/>
      <c r="BC548" s="13"/>
      <c r="BD548" s="13" t="s">
        <v>134</v>
      </c>
      <c r="BE548" s="13"/>
      <c r="BF548" s="13" t="s">
        <v>3621</v>
      </c>
      <c r="BG548" s="13" t="s">
        <v>136</v>
      </c>
      <c r="BH548" s="13" t="s">
        <v>79</v>
      </c>
      <c r="BI548" s="13" t="b">
        <v>0</v>
      </c>
      <c r="BJ548" s="13">
        <v>0.0</v>
      </c>
      <c r="BK548" s="13">
        <v>0.0</v>
      </c>
    </row>
    <row r="549" ht="14.25" customHeight="1">
      <c r="A549" s="13">
        <v>547.0</v>
      </c>
      <c r="B549" s="13" t="s">
        <v>47</v>
      </c>
      <c r="C549" s="13">
        <v>2.0</v>
      </c>
      <c r="D549" s="14">
        <v>0.0</v>
      </c>
      <c r="E549" s="13" t="s">
        <v>3622</v>
      </c>
      <c r="F549" s="15" t="s">
        <v>3525</v>
      </c>
      <c r="G549" s="16" t="s">
        <v>3623</v>
      </c>
      <c r="H549" s="13">
        <v>14.0</v>
      </c>
      <c r="I549" s="13">
        <v>1.0</v>
      </c>
      <c r="J549" s="13" t="s">
        <v>3624</v>
      </c>
      <c r="K549" s="13">
        <f t="shared" si="3"/>
        <v>0</v>
      </c>
      <c r="L549" s="13">
        <f t="shared" si="4"/>
        <v>1</v>
      </c>
      <c r="M549" s="13">
        <f t="shared" ref="M549:AA549" si="1097">IFERROR(VALUE(RIGHT(LEFT($J549,FIND(M$1,$J549,1)+LEN(M$1)),1)),0)</f>
        <v>0</v>
      </c>
      <c r="N549" s="13">
        <f t="shared" si="1097"/>
        <v>0</v>
      </c>
      <c r="O549" s="13">
        <f t="shared" si="1097"/>
        <v>0</v>
      </c>
      <c r="P549" s="13">
        <f t="shared" si="1097"/>
        <v>0</v>
      </c>
      <c r="Q549" s="13">
        <f t="shared" si="1097"/>
        <v>0</v>
      </c>
      <c r="R549" s="13">
        <f t="shared" si="1097"/>
        <v>0</v>
      </c>
      <c r="S549" s="13">
        <f t="shared" si="1097"/>
        <v>0</v>
      </c>
      <c r="T549" s="13">
        <f t="shared" si="1097"/>
        <v>0</v>
      </c>
      <c r="U549" s="13">
        <f t="shared" si="1097"/>
        <v>0</v>
      </c>
      <c r="V549" s="13">
        <f t="shared" si="1097"/>
        <v>0</v>
      </c>
      <c r="W549" s="13">
        <f t="shared" si="1097"/>
        <v>0</v>
      </c>
      <c r="X549" s="13">
        <f t="shared" si="1097"/>
        <v>0</v>
      </c>
      <c r="Y549" s="13">
        <f t="shared" si="1097"/>
        <v>0</v>
      </c>
      <c r="Z549" s="13">
        <f t="shared" si="1097"/>
        <v>0</v>
      </c>
      <c r="AA549" s="13">
        <f t="shared" si="1097"/>
        <v>0</v>
      </c>
      <c r="AB549" s="13">
        <f t="shared" ref="AB549:AP549" si="1098">IFERROR(VALUE(RIGHT(LEFT($J549,FIND(AB$1,$J549,IF(M549=0,1,FIND(AB$1,$J549,1)+1))+LEN(AB$1)),1)),0)</f>
        <v>0</v>
      </c>
      <c r="AC549" s="13">
        <f t="shared" si="1098"/>
        <v>0</v>
      </c>
      <c r="AD549" s="13">
        <f t="shared" si="1098"/>
        <v>0</v>
      </c>
      <c r="AE549" s="13">
        <f t="shared" si="1098"/>
        <v>0</v>
      </c>
      <c r="AF549" s="13">
        <f t="shared" si="1098"/>
        <v>0</v>
      </c>
      <c r="AG549" s="13">
        <f t="shared" si="1098"/>
        <v>1</v>
      </c>
      <c r="AH549" s="13">
        <f t="shared" si="1098"/>
        <v>0</v>
      </c>
      <c r="AI549" s="13">
        <f t="shared" si="1098"/>
        <v>0</v>
      </c>
      <c r="AJ549" s="13">
        <f t="shared" si="1098"/>
        <v>0</v>
      </c>
      <c r="AK549" s="13">
        <f t="shared" si="1098"/>
        <v>0</v>
      </c>
      <c r="AL549" s="13">
        <f t="shared" si="1098"/>
        <v>0</v>
      </c>
      <c r="AM549" s="13">
        <f t="shared" si="1098"/>
        <v>0</v>
      </c>
      <c r="AN549" s="13">
        <f t="shared" si="1098"/>
        <v>0</v>
      </c>
      <c r="AO549" s="13">
        <f t="shared" si="1098"/>
        <v>0</v>
      </c>
      <c r="AP549" s="13">
        <f t="shared" si="1098"/>
        <v>0</v>
      </c>
      <c r="AQ549" s="13"/>
      <c r="AR549" s="13" t="s">
        <v>3625</v>
      </c>
      <c r="AS549" s="13" t="s">
        <v>3626</v>
      </c>
      <c r="AT549" s="13" t="s">
        <v>162</v>
      </c>
      <c r="AU549" s="13" t="s">
        <v>163</v>
      </c>
      <c r="AV549" s="13" t="s">
        <v>3627</v>
      </c>
      <c r="AW549" s="13">
        <v>16.0</v>
      </c>
      <c r="AX549" s="13">
        <v>7.0</v>
      </c>
      <c r="AY549" s="13">
        <v>0.0</v>
      </c>
      <c r="AZ549" s="13" t="s">
        <v>3628</v>
      </c>
      <c r="BA549" s="13" t="s">
        <v>3629</v>
      </c>
      <c r="BB549" s="13"/>
      <c r="BC549" s="13"/>
      <c r="BD549" s="13" t="s">
        <v>484</v>
      </c>
      <c r="BE549" s="13"/>
      <c r="BF549" s="13" t="s">
        <v>1881</v>
      </c>
      <c r="BG549" s="13" t="s">
        <v>136</v>
      </c>
      <c r="BH549" s="13" t="s">
        <v>79</v>
      </c>
      <c r="BI549" s="13" t="b">
        <v>0</v>
      </c>
      <c r="BJ549" s="13">
        <v>0.0</v>
      </c>
      <c r="BK549" s="13">
        <v>0.0</v>
      </c>
    </row>
    <row r="550" ht="14.25" customHeight="1">
      <c r="A550" s="13">
        <v>548.0</v>
      </c>
      <c r="B550" s="13" t="s">
        <v>52</v>
      </c>
      <c r="C550" s="13">
        <v>2.0</v>
      </c>
      <c r="D550" s="14">
        <v>0.0</v>
      </c>
      <c r="E550" s="13" t="s">
        <v>3630</v>
      </c>
      <c r="F550" s="15" t="s">
        <v>3525</v>
      </c>
      <c r="G550" s="16" t="s">
        <v>3631</v>
      </c>
      <c r="H550" s="13">
        <v>6.0</v>
      </c>
      <c r="I550" s="13">
        <v>0.9</v>
      </c>
      <c r="J550" s="13" t="s">
        <v>3632</v>
      </c>
      <c r="K550" s="13">
        <f t="shared" si="3"/>
        <v>0</v>
      </c>
      <c r="L550" s="13">
        <f t="shared" si="4"/>
        <v>1</v>
      </c>
      <c r="M550" s="13">
        <f t="shared" ref="M550:AA550" si="1099">IFERROR(VALUE(RIGHT(LEFT($J550,FIND(M$1,$J550,1)+LEN(M$1)),1)),0)</f>
        <v>0</v>
      </c>
      <c r="N550" s="13">
        <f t="shared" si="1099"/>
        <v>0</v>
      </c>
      <c r="O550" s="13">
        <f t="shared" si="1099"/>
        <v>0</v>
      </c>
      <c r="P550" s="13">
        <f t="shared" si="1099"/>
        <v>0</v>
      </c>
      <c r="Q550" s="13">
        <f t="shared" si="1099"/>
        <v>0</v>
      </c>
      <c r="R550" s="13">
        <f t="shared" si="1099"/>
        <v>0</v>
      </c>
      <c r="S550" s="13">
        <f t="shared" si="1099"/>
        <v>0</v>
      </c>
      <c r="T550" s="13">
        <f t="shared" si="1099"/>
        <v>0</v>
      </c>
      <c r="U550" s="13">
        <f t="shared" si="1099"/>
        <v>0</v>
      </c>
      <c r="V550" s="13">
        <f t="shared" si="1099"/>
        <v>0</v>
      </c>
      <c r="W550" s="13">
        <f t="shared" si="1099"/>
        <v>0</v>
      </c>
      <c r="X550" s="13">
        <f t="shared" si="1099"/>
        <v>0</v>
      </c>
      <c r="Y550" s="13">
        <f t="shared" si="1099"/>
        <v>0</v>
      </c>
      <c r="Z550" s="13">
        <f t="shared" si="1099"/>
        <v>0</v>
      </c>
      <c r="AA550" s="13">
        <f t="shared" si="1099"/>
        <v>0</v>
      </c>
      <c r="AB550" s="13">
        <f t="shared" ref="AB550:AP550" si="1100">IFERROR(VALUE(RIGHT(LEFT($J550,FIND(AB$1,$J550,IF(M550=0,1,FIND(AB$1,$J550,1)+1))+LEN(AB$1)),1)),0)</f>
        <v>0</v>
      </c>
      <c r="AC550" s="13">
        <f t="shared" si="1100"/>
        <v>0</v>
      </c>
      <c r="AD550" s="13">
        <f t="shared" si="1100"/>
        <v>1</v>
      </c>
      <c r="AE550" s="13">
        <f t="shared" si="1100"/>
        <v>0</v>
      </c>
      <c r="AF550" s="13">
        <f t="shared" si="1100"/>
        <v>0</v>
      </c>
      <c r="AG550" s="13">
        <f t="shared" si="1100"/>
        <v>0</v>
      </c>
      <c r="AH550" s="13">
        <f t="shared" si="1100"/>
        <v>0</v>
      </c>
      <c r="AI550" s="13">
        <f t="shared" si="1100"/>
        <v>0</v>
      </c>
      <c r="AJ550" s="13">
        <f t="shared" si="1100"/>
        <v>0</v>
      </c>
      <c r="AK550" s="13">
        <f t="shared" si="1100"/>
        <v>0</v>
      </c>
      <c r="AL550" s="13">
        <f t="shared" si="1100"/>
        <v>0</v>
      </c>
      <c r="AM550" s="13">
        <f t="shared" si="1100"/>
        <v>0</v>
      </c>
      <c r="AN550" s="13">
        <f t="shared" si="1100"/>
        <v>0</v>
      </c>
      <c r="AO550" s="13">
        <f t="shared" si="1100"/>
        <v>0</v>
      </c>
      <c r="AP550" s="13">
        <f t="shared" si="1100"/>
        <v>0</v>
      </c>
      <c r="AQ550" s="13"/>
      <c r="AR550" s="13" t="s">
        <v>3633</v>
      </c>
      <c r="AS550" s="13" t="s">
        <v>3634</v>
      </c>
      <c r="AT550" s="13" t="s">
        <v>257</v>
      </c>
      <c r="AU550" s="13" t="s">
        <v>803</v>
      </c>
      <c r="AV550" s="13" t="s">
        <v>3635</v>
      </c>
      <c r="AW550" s="13">
        <v>12.0</v>
      </c>
      <c r="AX550" s="13">
        <v>7.0</v>
      </c>
      <c r="AY550" s="13">
        <v>0.0</v>
      </c>
      <c r="AZ550" s="13" t="s">
        <v>3636</v>
      </c>
      <c r="BA550" s="13" t="s">
        <v>3637</v>
      </c>
      <c r="BB550" s="13"/>
      <c r="BC550" s="13"/>
      <c r="BD550" s="13" t="s">
        <v>294</v>
      </c>
      <c r="BE550" s="13" t="s">
        <v>3638</v>
      </c>
      <c r="BF550" s="13" t="s">
        <v>3639</v>
      </c>
      <c r="BG550" s="13"/>
      <c r="BH550" s="13" t="s">
        <v>241</v>
      </c>
      <c r="BI550" s="13" t="b">
        <v>0</v>
      </c>
      <c r="BJ550" s="13">
        <v>0.0</v>
      </c>
      <c r="BK550" s="13">
        <v>0.0</v>
      </c>
    </row>
    <row r="551" ht="14.25" customHeight="1">
      <c r="A551" s="13">
        <v>549.0</v>
      </c>
      <c r="B551" s="13" t="s">
        <v>52</v>
      </c>
      <c r="C551" s="13">
        <v>2.0</v>
      </c>
      <c r="D551" s="14">
        <v>0.0</v>
      </c>
      <c r="E551" s="13" t="s">
        <v>3640</v>
      </c>
      <c r="F551" s="15" t="s">
        <v>3525</v>
      </c>
      <c r="G551" s="16" t="s">
        <v>3641</v>
      </c>
      <c r="H551" s="13">
        <v>8.0</v>
      </c>
      <c r="I551" s="13">
        <v>0.9</v>
      </c>
      <c r="J551" s="13" t="s">
        <v>1502</v>
      </c>
      <c r="K551" s="13">
        <f t="shared" si="3"/>
        <v>0</v>
      </c>
      <c r="L551" s="13">
        <f t="shared" si="4"/>
        <v>3</v>
      </c>
      <c r="M551" s="13">
        <f t="shared" ref="M551:AA551" si="1101">IFERROR(VALUE(RIGHT(LEFT($J551,FIND(M$1,$J551,1)+LEN(M$1)),1)),0)</f>
        <v>0</v>
      </c>
      <c r="N551" s="13">
        <f t="shared" si="1101"/>
        <v>0</v>
      </c>
      <c r="O551" s="13">
        <f t="shared" si="1101"/>
        <v>0</v>
      </c>
      <c r="P551" s="13">
        <f t="shared" si="1101"/>
        <v>0</v>
      </c>
      <c r="Q551" s="13">
        <f t="shared" si="1101"/>
        <v>0</v>
      </c>
      <c r="R551" s="13">
        <f t="shared" si="1101"/>
        <v>0</v>
      </c>
      <c r="S551" s="13">
        <f t="shared" si="1101"/>
        <v>0</v>
      </c>
      <c r="T551" s="13">
        <f t="shared" si="1101"/>
        <v>0</v>
      </c>
      <c r="U551" s="13">
        <f t="shared" si="1101"/>
        <v>0</v>
      </c>
      <c r="V551" s="13">
        <f t="shared" si="1101"/>
        <v>0</v>
      </c>
      <c r="W551" s="13">
        <f t="shared" si="1101"/>
        <v>0</v>
      </c>
      <c r="X551" s="13">
        <f t="shared" si="1101"/>
        <v>0</v>
      </c>
      <c r="Y551" s="13">
        <f t="shared" si="1101"/>
        <v>0</v>
      </c>
      <c r="Z551" s="13">
        <f t="shared" si="1101"/>
        <v>0</v>
      </c>
      <c r="AA551" s="13">
        <f t="shared" si="1101"/>
        <v>0</v>
      </c>
      <c r="AB551" s="13">
        <f t="shared" ref="AB551:AP551" si="1102">IFERROR(VALUE(RIGHT(LEFT($J551,FIND(AB$1,$J551,IF(M551=0,1,FIND(AB$1,$J551,1)+1))+LEN(AB$1)),1)),0)</f>
        <v>0</v>
      </c>
      <c r="AC551" s="13">
        <f t="shared" si="1102"/>
        <v>1</v>
      </c>
      <c r="AD551" s="13">
        <f t="shared" si="1102"/>
        <v>0</v>
      </c>
      <c r="AE551" s="13">
        <f t="shared" si="1102"/>
        <v>0</v>
      </c>
      <c r="AF551" s="13">
        <f t="shared" si="1102"/>
        <v>0</v>
      </c>
      <c r="AG551" s="13">
        <f t="shared" si="1102"/>
        <v>0</v>
      </c>
      <c r="AH551" s="13">
        <f t="shared" si="1102"/>
        <v>0</v>
      </c>
      <c r="AI551" s="13">
        <f t="shared" si="1102"/>
        <v>0</v>
      </c>
      <c r="AJ551" s="13">
        <f t="shared" si="1102"/>
        <v>0</v>
      </c>
      <c r="AK551" s="13">
        <f t="shared" si="1102"/>
        <v>0</v>
      </c>
      <c r="AL551" s="13">
        <f t="shared" si="1102"/>
        <v>0</v>
      </c>
      <c r="AM551" s="13">
        <f t="shared" si="1102"/>
        <v>0</v>
      </c>
      <c r="AN551" s="13">
        <f t="shared" si="1102"/>
        <v>0</v>
      </c>
      <c r="AO551" s="13">
        <f t="shared" si="1102"/>
        <v>0</v>
      </c>
      <c r="AP551" s="13">
        <f t="shared" si="1102"/>
        <v>2</v>
      </c>
      <c r="AQ551" s="13"/>
      <c r="AR551" s="13" t="s">
        <v>3642</v>
      </c>
      <c r="AS551" s="13" t="s">
        <v>3643</v>
      </c>
      <c r="AT551" s="13" t="s">
        <v>2382</v>
      </c>
      <c r="AU551" s="13" t="s">
        <v>130</v>
      </c>
      <c r="AV551" s="13" t="s">
        <v>3644</v>
      </c>
      <c r="AW551" s="13">
        <v>11.0</v>
      </c>
      <c r="AX551" s="13">
        <v>7.0</v>
      </c>
      <c r="AY551" s="13">
        <v>0.0</v>
      </c>
      <c r="AZ551" s="13" t="s">
        <v>1656</v>
      </c>
      <c r="BA551" s="13" t="s">
        <v>1879</v>
      </c>
      <c r="BB551" s="13"/>
      <c r="BC551" s="13"/>
      <c r="BD551" s="13" t="s">
        <v>306</v>
      </c>
      <c r="BE551" s="13" t="s">
        <v>2545</v>
      </c>
      <c r="BF551" s="13" t="s">
        <v>1428</v>
      </c>
      <c r="BG551" s="13"/>
      <c r="BH551" s="13" t="s">
        <v>79</v>
      </c>
      <c r="BI551" s="13" t="b">
        <v>0</v>
      </c>
      <c r="BJ551" s="13">
        <v>0.0</v>
      </c>
      <c r="BK551" s="13">
        <v>0.0</v>
      </c>
    </row>
    <row r="552" ht="14.25" customHeight="1">
      <c r="A552" s="13">
        <v>550.0</v>
      </c>
      <c r="B552" s="13" t="s">
        <v>51</v>
      </c>
      <c r="C552" s="13">
        <v>2.0</v>
      </c>
      <c r="D552" s="14">
        <v>0.0</v>
      </c>
      <c r="E552" s="13" t="s">
        <v>3645</v>
      </c>
      <c r="F552" s="15" t="s">
        <v>3525</v>
      </c>
      <c r="G552" s="16" t="s">
        <v>3646</v>
      </c>
      <c r="H552" s="13">
        <v>12.0</v>
      </c>
      <c r="I552" s="13">
        <v>1.1</v>
      </c>
      <c r="J552" s="13" t="s">
        <v>1447</v>
      </c>
      <c r="K552" s="13">
        <f t="shared" si="3"/>
        <v>0</v>
      </c>
      <c r="L552" s="13">
        <f t="shared" si="4"/>
        <v>3</v>
      </c>
      <c r="M552" s="13">
        <f t="shared" ref="M552:AA552" si="1103">IFERROR(VALUE(RIGHT(LEFT($J552,FIND(M$1,$J552,1)+LEN(M$1)),1)),0)</f>
        <v>0</v>
      </c>
      <c r="N552" s="13">
        <f t="shared" si="1103"/>
        <v>0</v>
      </c>
      <c r="O552" s="13">
        <f t="shared" si="1103"/>
        <v>0</v>
      </c>
      <c r="P552" s="13">
        <f t="shared" si="1103"/>
        <v>0</v>
      </c>
      <c r="Q552" s="13">
        <f t="shared" si="1103"/>
        <v>0</v>
      </c>
      <c r="R552" s="13">
        <f t="shared" si="1103"/>
        <v>0</v>
      </c>
      <c r="S552" s="13">
        <f t="shared" si="1103"/>
        <v>0</v>
      </c>
      <c r="T552" s="13">
        <f t="shared" si="1103"/>
        <v>0</v>
      </c>
      <c r="U552" s="13">
        <f t="shared" si="1103"/>
        <v>0</v>
      </c>
      <c r="V552" s="13">
        <f t="shared" si="1103"/>
        <v>0</v>
      </c>
      <c r="W552" s="13">
        <f t="shared" si="1103"/>
        <v>0</v>
      </c>
      <c r="X552" s="13">
        <f t="shared" si="1103"/>
        <v>0</v>
      </c>
      <c r="Y552" s="13">
        <f t="shared" si="1103"/>
        <v>0</v>
      </c>
      <c r="Z552" s="13">
        <f t="shared" si="1103"/>
        <v>0</v>
      </c>
      <c r="AA552" s="13">
        <f t="shared" si="1103"/>
        <v>0</v>
      </c>
      <c r="AB552" s="13">
        <f t="shared" ref="AB552:AP552" si="1104">IFERROR(VALUE(RIGHT(LEFT($J552,FIND(AB$1,$J552,IF(M552=0,1,FIND(AB$1,$J552,1)+1))+LEN(AB$1)),1)),0)</f>
        <v>0</v>
      </c>
      <c r="AC552" s="13">
        <f t="shared" si="1104"/>
        <v>0</v>
      </c>
      <c r="AD552" s="13">
        <f t="shared" si="1104"/>
        <v>0</v>
      </c>
      <c r="AE552" s="13">
        <f t="shared" si="1104"/>
        <v>1</v>
      </c>
      <c r="AF552" s="13">
        <f t="shared" si="1104"/>
        <v>0</v>
      </c>
      <c r="AG552" s="13">
        <f t="shared" si="1104"/>
        <v>0</v>
      </c>
      <c r="AH552" s="13">
        <f t="shared" si="1104"/>
        <v>0</v>
      </c>
      <c r="AI552" s="13">
        <f t="shared" si="1104"/>
        <v>0</v>
      </c>
      <c r="AJ552" s="13">
        <f t="shared" si="1104"/>
        <v>0</v>
      </c>
      <c r="AK552" s="13">
        <f t="shared" si="1104"/>
        <v>0</v>
      </c>
      <c r="AL552" s="13">
        <f t="shared" si="1104"/>
        <v>0</v>
      </c>
      <c r="AM552" s="13">
        <f t="shared" si="1104"/>
        <v>0</v>
      </c>
      <c r="AN552" s="13">
        <f t="shared" si="1104"/>
        <v>0</v>
      </c>
      <c r="AO552" s="13">
        <f t="shared" si="1104"/>
        <v>2</v>
      </c>
      <c r="AP552" s="13">
        <f t="shared" si="1104"/>
        <v>0</v>
      </c>
      <c r="AQ552" s="13"/>
      <c r="AR552" s="13" t="s">
        <v>3647</v>
      </c>
      <c r="AS552" s="13" t="s">
        <v>3648</v>
      </c>
      <c r="AT552" s="13" t="s">
        <v>142</v>
      </c>
      <c r="AU552" s="13" t="s">
        <v>130</v>
      </c>
      <c r="AV552" s="13" t="s">
        <v>3649</v>
      </c>
      <c r="AW552" s="13">
        <v>15.0</v>
      </c>
      <c r="AX552" s="13">
        <v>7.0</v>
      </c>
      <c r="AY552" s="13">
        <v>0.0</v>
      </c>
      <c r="AZ552" s="13" t="s">
        <v>3650</v>
      </c>
      <c r="BA552" s="13"/>
      <c r="BB552" s="13"/>
      <c r="BC552" s="13"/>
      <c r="BD552" s="13" t="s">
        <v>1113</v>
      </c>
      <c r="BE552" s="13"/>
      <c r="BF552" s="13" t="s">
        <v>3651</v>
      </c>
      <c r="BG552" s="13"/>
      <c r="BH552" s="13" t="s">
        <v>79</v>
      </c>
      <c r="BI552" s="13" t="b">
        <v>0</v>
      </c>
      <c r="BJ552" s="13">
        <v>0.0</v>
      </c>
      <c r="BK552" s="13">
        <v>0.0</v>
      </c>
    </row>
    <row r="553" ht="14.25" customHeight="1">
      <c r="A553" s="13">
        <v>551.0</v>
      </c>
      <c r="B553" s="13" t="s">
        <v>44</v>
      </c>
      <c r="C553" s="13">
        <v>3.0</v>
      </c>
      <c r="D553" s="14">
        <v>0.0</v>
      </c>
      <c r="E553" s="13" t="s">
        <v>3652</v>
      </c>
      <c r="F553" s="15" t="s">
        <v>3525</v>
      </c>
      <c r="G553" s="16" t="s">
        <v>3653</v>
      </c>
      <c r="H553" s="13"/>
      <c r="I553" s="13">
        <v>1.1</v>
      </c>
      <c r="J553" s="13" t="s">
        <v>1574</v>
      </c>
      <c r="K553" s="13">
        <f t="shared" si="3"/>
        <v>1</v>
      </c>
      <c r="L553" s="13">
        <f t="shared" si="4"/>
        <v>2</v>
      </c>
      <c r="M553" s="13">
        <f t="shared" ref="M553:AA553" si="1105">IFERROR(VALUE(RIGHT(LEFT($J553,FIND(M$1,$J553,1)+LEN(M$1)),1)),0)</f>
        <v>0</v>
      </c>
      <c r="N553" s="13">
        <f t="shared" si="1105"/>
        <v>0</v>
      </c>
      <c r="O553" s="13">
        <f t="shared" si="1105"/>
        <v>0</v>
      </c>
      <c r="P553" s="13">
        <f t="shared" si="1105"/>
        <v>0</v>
      </c>
      <c r="Q553" s="13">
        <f t="shared" si="1105"/>
        <v>0</v>
      </c>
      <c r="R553" s="13">
        <f t="shared" si="1105"/>
        <v>0</v>
      </c>
      <c r="S553" s="13">
        <f t="shared" si="1105"/>
        <v>1</v>
      </c>
      <c r="T553" s="13">
        <f t="shared" si="1105"/>
        <v>0</v>
      </c>
      <c r="U553" s="13">
        <f t="shared" si="1105"/>
        <v>0</v>
      </c>
      <c r="V553" s="13">
        <f t="shared" si="1105"/>
        <v>0</v>
      </c>
      <c r="W553" s="13">
        <f t="shared" si="1105"/>
        <v>0</v>
      </c>
      <c r="X553" s="13">
        <f t="shared" si="1105"/>
        <v>0</v>
      </c>
      <c r="Y553" s="13">
        <f t="shared" si="1105"/>
        <v>0</v>
      </c>
      <c r="Z553" s="13">
        <f t="shared" si="1105"/>
        <v>0</v>
      </c>
      <c r="AA553" s="13">
        <f t="shared" si="1105"/>
        <v>0</v>
      </c>
      <c r="AB553" s="13">
        <f t="shared" ref="AB553:AP553" si="1106">IFERROR(VALUE(RIGHT(LEFT($J553,FIND(AB$1,$J553,IF(M553=0,1,FIND(AB$1,$J553,1)+1))+LEN(AB$1)),1)),0)</f>
        <v>0</v>
      </c>
      <c r="AC553" s="13">
        <f t="shared" si="1106"/>
        <v>0</v>
      </c>
      <c r="AD553" s="13">
        <f t="shared" si="1106"/>
        <v>0</v>
      </c>
      <c r="AE553" s="13">
        <f t="shared" si="1106"/>
        <v>0</v>
      </c>
      <c r="AF553" s="13">
        <f t="shared" si="1106"/>
        <v>0</v>
      </c>
      <c r="AG553" s="13">
        <f t="shared" si="1106"/>
        <v>1</v>
      </c>
      <c r="AH553" s="13">
        <f t="shared" si="1106"/>
        <v>1</v>
      </c>
      <c r="AI553" s="13">
        <f t="shared" si="1106"/>
        <v>0</v>
      </c>
      <c r="AJ553" s="13">
        <f t="shared" si="1106"/>
        <v>0</v>
      </c>
      <c r="AK553" s="13">
        <f t="shared" si="1106"/>
        <v>0</v>
      </c>
      <c r="AL553" s="13">
        <f t="shared" si="1106"/>
        <v>0</v>
      </c>
      <c r="AM553" s="13">
        <f t="shared" si="1106"/>
        <v>0</v>
      </c>
      <c r="AN553" s="13">
        <f t="shared" si="1106"/>
        <v>0</v>
      </c>
      <c r="AO553" s="13">
        <f t="shared" si="1106"/>
        <v>0</v>
      </c>
      <c r="AP553" s="13">
        <f t="shared" si="1106"/>
        <v>0</v>
      </c>
      <c r="AQ553" s="13" t="s">
        <v>3654</v>
      </c>
      <c r="AR553" s="13"/>
      <c r="AS553" s="13" t="s">
        <v>3655</v>
      </c>
      <c r="AT553" s="13"/>
      <c r="AU553" s="13"/>
      <c r="AV553" s="13"/>
      <c r="AW553" s="13">
        <v>0.0</v>
      </c>
      <c r="AX553" s="13">
        <v>7.0</v>
      </c>
      <c r="AY553" s="13">
        <v>0.0</v>
      </c>
      <c r="AZ553" s="13"/>
      <c r="BA553" s="13"/>
      <c r="BB553" s="13"/>
      <c r="BC553" s="13"/>
      <c r="BD553" s="13"/>
      <c r="BE553" s="13"/>
      <c r="BF553" s="13"/>
      <c r="BG553" s="13"/>
      <c r="BH553" s="13" t="s">
        <v>79</v>
      </c>
      <c r="BI553" s="13" t="b">
        <v>0</v>
      </c>
      <c r="BJ553" s="13">
        <v>0.0</v>
      </c>
      <c r="BK553" s="13">
        <v>0.0</v>
      </c>
    </row>
    <row r="554" ht="14.25" customHeight="1">
      <c r="A554" s="13">
        <v>552.0</v>
      </c>
      <c r="B554" s="13" t="s">
        <v>45</v>
      </c>
      <c r="C554" s="13">
        <v>3.0</v>
      </c>
      <c r="D554" s="14">
        <v>0.0</v>
      </c>
      <c r="E554" s="13" t="s">
        <v>3656</v>
      </c>
      <c r="F554" s="15" t="s">
        <v>3525</v>
      </c>
      <c r="G554" s="16" t="s">
        <v>3657</v>
      </c>
      <c r="H554" s="13"/>
      <c r="I554" s="13">
        <v>0.9</v>
      </c>
      <c r="J554" s="13" t="s">
        <v>1599</v>
      </c>
      <c r="K554" s="13">
        <f t="shared" si="3"/>
        <v>1</v>
      </c>
      <c r="L554" s="13">
        <f t="shared" si="4"/>
        <v>2</v>
      </c>
      <c r="M554" s="13">
        <f t="shared" ref="M554:AA554" si="1107">IFERROR(VALUE(RIGHT(LEFT($J554,FIND(M$1,$J554,1)+LEN(M$1)),1)),0)</f>
        <v>0</v>
      </c>
      <c r="N554" s="13">
        <f t="shared" si="1107"/>
        <v>0</v>
      </c>
      <c r="O554" s="13">
        <f t="shared" si="1107"/>
        <v>0</v>
      </c>
      <c r="P554" s="13">
        <f t="shared" si="1107"/>
        <v>0</v>
      </c>
      <c r="Q554" s="13">
        <f t="shared" si="1107"/>
        <v>0</v>
      </c>
      <c r="R554" s="13">
        <f t="shared" si="1107"/>
        <v>0</v>
      </c>
      <c r="S554" s="13">
        <f t="shared" si="1107"/>
        <v>0</v>
      </c>
      <c r="T554" s="13">
        <f t="shared" si="1107"/>
        <v>1</v>
      </c>
      <c r="U554" s="13">
        <f t="shared" si="1107"/>
        <v>0</v>
      </c>
      <c r="V554" s="13">
        <f t="shared" si="1107"/>
        <v>0</v>
      </c>
      <c r="W554" s="13">
        <f t="shared" si="1107"/>
        <v>0</v>
      </c>
      <c r="X554" s="13">
        <f t="shared" si="1107"/>
        <v>0</v>
      </c>
      <c r="Y554" s="13">
        <f t="shared" si="1107"/>
        <v>0</v>
      </c>
      <c r="Z554" s="13">
        <f t="shared" si="1107"/>
        <v>0</v>
      </c>
      <c r="AA554" s="13">
        <f t="shared" si="1107"/>
        <v>0</v>
      </c>
      <c r="AB554" s="13">
        <f t="shared" ref="AB554:AP554" si="1108">IFERROR(VALUE(RIGHT(LEFT($J554,FIND(AB$1,$J554,IF(M554=0,1,FIND(AB$1,$J554,1)+1))+LEN(AB$1)),1)),0)</f>
        <v>0</v>
      </c>
      <c r="AC554" s="13">
        <f t="shared" si="1108"/>
        <v>0</v>
      </c>
      <c r="AD554" s="13">
        <f t="shared" si="1108"/>
        <v>0</v>
      </c>
      <c r="AE554" s="13">
        <f t="shared" si="1108"/>
        <v>1</v>
      </c>
      <c r="AF554" s="13">
        <f t="shared" si="1108"/>
        <v>0</v>
      </c>
      <c r="AG554" s="13">
        <f t="shared" si="1108"/>
        <v>0</v>
      </c>
      <c r="AH554" s="13">
        <f t="shared" si="1108"/>
        <v>0</v>
      </c>
      <c r="AI554" s="13">
        <f t="shared" si="1108"/>
        <v>1</v>
      </c>
      <c r="AJ554" s="13">
        <f t="shared" si="1108"/>
        <v>0</v>
      </c>
      <c r="AK554" s="13">
        <f t="shared" si="1108"/>
        <v>0</v>
      </c>
      <c r="AL554" s="13">
        <f t="shared" si="1108"/>
        <v>0</v>
      </c>
      <c r="AM554" s="13">
        <f t="shared" si="1108"/>
        <v>0</v>
      </c>
      <c r="AN554" s="13">
        <f t="shared" si="1108"/>
        <v>0</v>
      </c>
      <c r="AO554" s="13">
        <f t="shared" si="1108"/>
        <v>0</v>
      </c>
      <c r="AP554" s="13">
        <f t="shared" si="1108"/>
        <v>0</v>
      </c>
      <c r="AQ554" s="13" t="s">
        <v>3658</v>
      </c>
      <c r="AR554" s="13"/>
      <c r="AS554" s="13" t="s">
        <v>3272</v>
      </c>
      <c r="AT554" s="13"/>
      <c r="AU554" s="13"/>
      <c r="AV554" s="13"/>
      <c r="AW554" s="13">
        <v>0.0</v>
      </c>
      <c r="AX554" s="13">
        <v>7.0</v>
      </c>
      <c r="AY554" s="13">
        <v>0.0</v>
      </c>
      <c r="AZ554" s="13"/>
      <c r="BA554" s="13"/>
      <c r="BB554" s="13"/>
      <c r="BC554" s="13"/>
      <c r="BD554" s="13"/>
      <c r="BE554" s="13"/>
      <c r="BF554" s="13"/>
      <c r="BG554" s="13"/>
      <c r="BH554" s="13" t="s">
        <v>79</v>
      </c>
      <c r="BI554" s="13" t="b">
        <v>0</v>
      </c>
      <c r="BJ554" s="13">
        <v>0.0</v>
      </c>
      <c r="BK554" s="13">
        <v>0.0</v>
      </c>
    </row>
    <row r="555" ht="14.25" customHeight="1">
      <c r="A555" s="13">
        <v>553.0</v>
      </c>
      <c r="B555" s="13" t="s">
        <v>46</v>
      </c>
      <c r="C555" s="13">
        <v>3.0</v>
      </c>
      <c r="D555" s="14">
        <v>0.0</v>
      </c>
      <c r="E555" s="13" t="s">
        <v>3659</v>
      </c>
      <c r="F555" s="15" t="s">
        <v>3525</v>
      </c>
      <c r="G555" s="16" t="s">
        <v>3660</v>
      </c>
      <c r="H555" s="13"/>
      <c r="I555" s="13">
        <v>1.0</v>
      </c>
      <c r="J555" s="13" t="s">
        <v>2488</v>
      </c>
      <c r="K555" s="13">
        <f t="shared" si="3"/>
        <v>1</v>
      </c>
      <c r="L555" s="13">
        <f t="shared" si="4"/>
        <v>2</v>
      </c>
      <c r="M555" s="13">
        <f t="shared" ref="M555:AA555" si="1109">IFERROR(VALUE(RIGHT(LEFT($J555,FIND(M$1,$J555,1)+LEN(M$1)),1)),0)</f>
        <v>0</v>
      </c>
      <c r="N555" s="13">
        <f t="shared" si="1109"/>
        <v>0</v>
      </c>
      <c r="O555" s="13">
        <f t="shared" si="1109"/>
        <v>0</v>
      </c>
      <c r="P555" s="13">
        <f t="shared" si="1109"/>
        <v>0</v>
      </c>
      <c r="Q555" s="13">
        <f t="shared" si="1109"/>
        <v>0</v>
      </c>
      <c r="R555" s="13">
        <f t="shared" si="1109"/>
        <v>0</v>
      </c>
      <c r="S555" s="13">
        <f t="shared" si="1109"/>
        <v>0</v>
      </c>
      <c r="T555" s="13">
        <f t="shared" si="1109"/>
        <v>0</v>
      </c>
      <c r="U555" s="13">
        <f t="shared" si="1109"/>
        <v>1</v>
      </c>
      <c r="V555" s="13">
        <f t="shared" si="1109"/>
        <v>0</v>
      </c>
      <c r="W555" s="13">
        <f t="shared" si="1109"/>
        <v>0</v>
      </c>
      <c r="X555" s="13">
        <f t="shared" si="1109"/>
        <v>0</v>
      </c>
      <c r="Y555" s="13">
        <f t="shared" si="1109"/>
        <v>0</v>
      </c>
      <c r="Z555" s="13">
        <f t="shared" si="1109"/>
        <v>0</v>
      </c>
      <c r="AA555" s="13">
        <f t="shared" si="1109"/>
        <v>0</v>
      </c>
      <c r="AB555" s="13">
        <f t="shared" ref="AB555:AP555" si="1110">IFERROR(VALUE(RIGHT(LEFT($J555,FIND(AB$1,$J555,IF(M555=0,1,FIND(AB$1,$J555,1)+1))+LEN(AB$1)),1)),0)</f>
        <v>0</v>
      </c>
      <c r="AC555" s="13">
        <f t="shared" si="1110"/>
        <v>0</v>
      </c>
      <c r="AD555" s="13">
        <f t="shared" si="1110"/>
        <v>1</v>
      </c>
      <c r="AE555" s="13">
        <f t="shared" si="1110"/>
        <v>0</v>
      </c>
      <c r="AF555" s="13">
        <f t="shared" si="1110"/>
        <v>0</v>
      </c>
      <c r="AG555" s="13">
        <f t="shared" si="1110"/>
        <v>0</v>
      </c>
      <c r="AH555" s="13">
        <f t="shared" si="1110"/>
        <v>0</v>
      </c>
      <c r="AI555" s="13">
        <f t="shared" si="1110"/>
        <v>0</v>
      </c>
      <c r="AJ555" s="13">
        <f t="shared" si="1110"/>
        <v>1</v>
      </c>
      <c r="AK555" s="13">
        <f t="shared" si="1110"/>
        <v>0</v>
      </c>
      <c r="AL555" s="13">
        <f t="shared" si="1110"/>
        <v>0</v>
      </c>
      <c r="AM555" s="13">
        <f t="shared" si="1110"/>
        <v>0</v>
      </c>
      <c r="AN555" s="13">
        <f t="shared" si="1110"/>
        <v>0</v>
      </c>
      <c r="AO555" s="13">
        <f t="shared" si="1110"/>
        <v>0</v>
      </c>
      <c r="AP555" s="13">
        <f t="shared" si="1110"/>
        <v>0</v>
      </c>
      <c r="AQ555" s="13" t="s">
        <v>3661</v>
      </c>
      <c r="AR555" s="13"/>
      <c r="AS555" s="13" t="s">
        <v>3662</v>
      </c>
      <c r="AT555" s="13"/>
      <c r="AU555" s="13"/>
      <c r="AV555" s="13"/>
      <c r="AW555" s="13">
        <v>0.0</v>
      </c>
      <c r="AX555" s="13">
        <v>7.0</v>
      </c>
      <c r="AY555" s="13">
        <v>0.0</v>
      </c>
      <c r="AZ555" s="13"/>
      <c r="BA555" s="13"/>
      <c r="BB555" s="13"/>
      <c r="BC555" s="13"/>
      <c r="BD555" s="13"/>
      <c r="BE555" s="13"/>
      <c r="BF555" s="13"/>
      <c r="BG555" s="13"/>
      <c r="BH555" s="13" t="s">
        <v>79</v>
      </c>
      <c r="BI555" s="13" t="b">
        <v>0</v>
      </c>
      <c r="BJ555" s="13">
        <v>0.0</v>
      </c>
      <c r="BK555" s="13">
        <v>0.0</v>
      </c>
    </row>
    <row r="556" ht="14.25" customHeight="1">
      <c r="A556" s="13">
        <v>554.0</v>
      </c>
      <c r="B556" s="13" t="s">
        <v>47</v>
      </c>
      <c r="C556" s="13">
        <v>3.0</v>
      </c>
      <c r="D556" s="14">
        <v>0.0</v>
      </c>
      <c r="E556" s="13" t="s">
        <v>3663</v>
      </c>
      <c r="F556" s="15" t="s">
        <v>3525</v>
      </c>
      <c r="G556" s="16" t="s">
        <v>3664</v>
      </c>
      <c r="H556" s="13">
        <v>18.0</v>
      </c>
      <c r="I556" s="13">
        <v>1.2</v>
      </c>
      <c r="J556" s="13" t="s">
        <v>1652</v>
      </c>
      <c r="K556" s="13">
        <f t="shared" si="3"/>
        <v>1</v>
      </c>
      <c r="L556" s="13">
        <f t="shared" si="4"/>
        <v>2</v>
      </c>
      <c r="M556" s="13">
        <f t="shared" ref="M556:AA556" si="1111">IFERROR(VALUE(RIGHT(LEFT($J556,FIND(M$1,$J556,1)+LEN(M$1)),1)),0)</f>
        <v>0</v>
      </c>
      <c r="N556" s="13">
        <f t="shared" si="1111"/>
        <v>0</v>
      </c>
      <c r="O556" s="13">
        <f t="shared" si="1111"/>
        <v>0</v>
      </c>
      <c r="P556" s="13">
        <f t="shared" si="1111"/>
        <v>0</v>
      </c>
      <c r="Q556" s="13">
        <f t="shared" si="1111"/>
        <v>0</v>
      </c>
      <c r="R556" s="13">
        <f t="shared" si="1111"/>
        <v>0</v>
      </c>
      <c r="S556" s="13">
        <f t="shared" si="1111"/>
        <v>0</v>
      </c>
      <c r="T556" s="13">
        <f t="shared" si="1111"/>
        <v>0</v>
      </c>
      <c r="U556" s="13">
        <f t="shared" si="1111"/>
        <v>0</v>
      </c>
      <c r="V556" s="13">
        <f t="shared" si="1111"/>
        <v>1</v>
      </c>
      <c r="W556" s="13">
        <f t="shared" si="1111"/>
        <v>0</v>
      </c>
      <c r="X556" s="13">
        <f t="shared" si="1111"/>
        <v>0</v>
      </c>
      <c r="Y556" s="13">
        <f t="shared" si="1111"/>
        <v>0</v>
      </c>
      <c r="Z556" s="13">
        <f t="shared" si="1111"/>
        <v>0</v>
      </c>
      <c r="AA556" s="13">
        <f t="shared" si="1111"/>
        <v>0</v>
      </c>
      <c r="AB556" s="13">
        <f t="shared" ref="AB556:AP556" si="1112">IFERROR(VALUE(RIGHT(LEFT($J556,FIND(AB$1,$J556,IF(M556=0,1,FIND(AB$1,$J556,1)+1))+LEN(AB$1)),1)),0)</f>
        <v>0</v>
      </c>
      <c r="AC556" s="13">
        <f t="shared" si="1112"/>
        <v>0</v>
      </c>
      <c r="AD556" s="13">
        <f t="shared" si="1112"/>
        <v>0</v>
      </c>
      <c r="AE556" s="13">
        <f t="shared" si="1112"/>
        <v>1</v>
      </c>
      <c r="AF556" s="13">
        <f t="shared" si="1112"/>
        <v>0</v>
      </c>
      <c r="AG556" s="13">
        <f t="shared" si="1112"/>
        <v>0</v>
      </c>
      <c r="AH556" s="13">
        <f t="shared" si="1112"/>
        <v>0</v>
      </c>
      <c r="AI556" s="13">
        <f t="shared" si="1112"/>
        <v>0</v>
      </c>
      <c r="AJ556" s="13">
        <f t="shared" si="1112"/>
        <v>0</v>
      </c>
      <c r="AK556" s="13">
        <f t="shared" si="1112"/>
        <v>1</v>
      </c>
      <c r="AL556" s="13">
        <f t="shared" si="1112"/>
        <v>0</v>
      </c>
      <c r="AM556" s="13">
        <f t="shared" si="1112"/>
        <v>0</v>
      </c>
      <c r="AN556" s="13">
        <f t="shared" si="1112"/>
        <v>0</v>
      </c>
      <c r="AO556" s="13">
        <f t="shared" si="1112"/>
        <v>0</v>
      </c>
      <c r="AP556" s="13">
        <f t="shared" si="1112"/>
        <v>0</v>
      </c>
      <c r="AQ556" s="13"/>
      <c r="AR556" s="13" t="s">
        <v>3665</v>
      </c>
      <c r="AS556" s="13" t="s">
        <v>3666</v>
      </c>
      <c r="AT556" s="13" t="s">
        <v>129</v>
      </c>
      <c r="AU556" s="13" t="s">
        <v>130</v>
      </c>
      <c r="AV556" s="13" t="s">
        <v>3667</v>
      </c>
      <c r="AW556" s="13">
        <v>18.0</v>
      </c>
      <c r="AX556" s="13">
        <v>7.0</v>
      </c>
      <c r="AY556" s="13">
        <v>0.0</v>
      </c>
      <c r="AZ556" s="13" t="s">
        <v>3668</v>
      </c>
      <c r="BA556" s="13" t="s">
        <v>3669</v>
      </c>
      <c r="BB556" s="13"/>
      <c r="BC556" s="13"/>
      <c r="BD556" s="13" t="s">
        <v>134</v>
      </c>
      <c r="BE556" s="13"/>
      <c r="BF556" s="13" t="s">
        <v>3670</v>
      </c>
      <c r="BG556" s="13" t="s">
        <v>136</v>
      </c>
      <c r="BH556" s="13" t="s">
        <v>79</v>
      </c>
      <c r="BI556" s="13" t="b">
        <v>0</v>
      </c>
      <c r="BJ556" s="13">
        <v>0.0</v>
      </c>
      <c r="BK556" s="13">
        <v>0.0</v>
      </c>
    </row>
    <row r="557" ht="14.25" customHeight="1">
      <c r="A557" s="13">
        <v>555.0</v>
      </c>
      <c r="B557" s="13" t="s">
        <v>47</v>
      </c>
      <c r="C557" s="13">
        <v>3.0</v>
      </c>
      <c r="D557" s="14">
        <v>0.0</v>
      </c>
      <c r="E557" s="13" t="s">
        <v>3671</v>
      </c>
      <c r="F557" s="15" t="s">
        <v>3525</v>
      </c>
      <c r="G557" s="16" t="s">
        <v>3672</v>
      </c>
      <c r="H557" s="13">
        <v>16.0</v>
      </c>
      <c r="I557" s="13">
        <v>1.0</v>
      </c>
      <c r="J557" s="13" t="s">
        <v>3673</v>
      </c>
      <c r="K557" s="13">
        <f t="shared" si="3"/>
        <v>0</v>
      </c>
      <c r="L557" s="13">
        <f t="shared" si="4"/>
        <v>1</v>
      </c>
      <c r="M557" s="13">
        <f t="shared" ref="M557:AA557" si="1113">IFERROR(VALUE(RIGHT(LEFT($J557,FIND(M$1,$J557,1)+LEN(M$1)),1)),0)</f>
        <v>0</v>
      </c>
      <c r="N557" s="13">
        <f t="shared" si="1113"/>
        <v>0</v>
      </c>
      <c r="O557" s="13">
        <f t="shared" si="1113"/>
        <v>0</v>
      </c>
      <c r="P557" s="13">
        <f t="shared" si="1113"/>
        <v>0</v>
      </c>
      <c r="Q557" s="13">
        <f t="shared" si="1113"/>
        <v>0</v>
      </c>
      <c r="R557" s="13">
        <f t="shared" si="1113"/>
        <v>0</v>
      </c>
      <c r="S557" s="13">
        <f t="shared" si="1113"/>
        <v>0</v>
      </c>
      <c r="T557" s="13">
        <f t="shared" si="1113"/>
        <v>0</v>
      </c>
      <c r="U557" s="13">
        <f t="shared" si="1113"/>
        <v>0</v>
      </c>
      <c r="V557" s="13">
        <f t="shared" si="1113"/>
        <v>0</v>
      </c>
      <c r="W557" s="13">
        <f t="shared" si="1113"/>
        <v>0</v>
      </c>
      <c r="X557" s="13">
        <f t="shared" si="1113"/>
        <v>0</v>
      </c>
      <c r="Y557" s="13">
        <f t="shared" si="1113"/>
        <v>0</v>
      </c>
      <c r="Z557" s="13">
        <f t="shared" si="1113"/>
        <v>0</v>
      </c>
      <c r="AA557" s="13">
        <f t="shared" si="1113"/>
        <v>0</v>
      </c>
      <c r="AB557" s="13">
        <f t="shared" ref="AB557:AP557" si="1114">IFERROR(VALUE(RIGHT(LEFT($J557,FIND(AB$1,$J557,IF(M557=0,1,FIND(AB$1,$J557,1)+1))+LEN(AB$1)),1)),0)</f>
        <v>0</v>
      </c>
      <c r="AC557" s="13">
        <f t="shared" si="1114"/>
        <v>0</v>
      </c>
      <c r="AD557" s="13">
        <f t="shared" si="1114"/>
        <v>0</v>
      </c>
      <c r="AE557" s="13">
        <f t="shared" si="1114"/>
        <v>0</v>
      </c>
      <c r="AF557" s="13">
        <f t="shared" si="1114"/>
        <v>0</v>
      </c>
      <c r="AG557" s="13">
        <f t="shared" si="1114"/>
        <v>1</v>
      </c>
      <c r="AH557" s="13">
        <f t="shared" si="1114"/>
        <v>0</v>
      </c>
      <c r="AI557" s="13">
        <f t="shared" si="1114"/>
        <v>0</v>
      </c>
      <c r="AJ557" s="13">
        <f t="shared" si="1114"/>
        <v>0</v>
      </c>
      <c r="AK557" s="13">
        <f t="shared" si="1114"/>
        <v>0</v>
      </c>
      <c r="AL557" s="13">
        <f t="shared" si="1114"/>
        <v>0</v>
      </c>
      <c r="AM557" s="13">
        <f t="shared" si="1114"/>
        <v>0</v>
      </c>
      <c r="AN557" s="13">
        <f t="shared" si="1114"/>
        <v>0</v>
      </c>
      <c r="AO557" s="13">
        <f t="shared" si="1114"/>
        <v>0</v>
      </c>
      <c r="AP557" s="13">
        <f t="shared" si="1114"/>
        <v>0</v>
      </c>
      <c r="AQ557" s="13"/>
      <c r="AR557" s="13" t="s">
        <v>3674</v>
      </c>
      <c r="AS557" s="13" t="s">
        <v>3675</v>
      </c>
      <c r="AT557" s="13" t="s">
        <v>162</v>
      </c>
      <c r="AU557" s="13" t="s">
        <v>236</v>
      </c>
      <c r="AV557" s="13" t="s">
        <v>3676</v>
      </c>
      <c r="AW557" s="13">
        <v>19.0</v>
      </c>
      <c r="AX557" s="13">
        <v>7.0</v>
      </c>
      <c r="AY557" s="13">
        <v>0.0</v>
      </c>
      <c r="AZ557" s="13" t="s">
        <v>3677</v>
      </c>
      <c r="BA557" s="13" t="s">
        <v>3678</v>
      </c>
      <c r="BB557" s="13"/>
      <c r="BC557" s="13"/>
      <c r="BD557" s="13" t="s">
        <v>484</v>
      </c>
      <c r="BE557" s="13"/>
      <c r="BF557" s="13" t="s">
        <v>2089</v>
      </c>
      <c r="BG557" s="13" t="s">
        <v>136</v>
      </c>
      <c r="BH557" s="13" t="s">
        <v>79</v>
      </c>
      <c r="BI557" s="13" t="b">
        <v>0</v>
      </c>
      <c r="BJ557" s="13">
        <v>0.0</v>
      </c>
      <c r="BK557" s="13">
        <v>0.0</v>
      </c>
    </row>
    <row r="558" ht="14.25" customHeight="1">
      <c r="A558" s="13">
        <v>556.0</v>
      </c>
      <c r="B558" s="13" t="s">
        <v>52</v>
      </c>
      <c r="C558" s="13">
        <v>3.0</v>
      </c>
      <c r="D558" s="14">
        <v>0.0</v>
      </c>
      <c r="E558" s="13" t="s">
        <v>3679</v>
      </c>
      <c r="F558" s="15" t="s">
        <v>3525</v>
      </c>
      <c r="G558" s="16" t="s">
        <v>3680</v>
      </c>
      <c r="H558" s="13">
        <v>10.0</v>
      </c>
      <c r="I558" s="13">
        <v>0.9</v>
      </c>
      <c r="J558" s="13" t="s">
        <v>3681</v>
      </c>
      <c r="K558" s="13">
        <f t="shared" si="3"/>
        <v>0</v>
      </c>
      <c r="L558" s="13">
        <f t="shared" si="4"/>
        <v>1</v>
      </c>
      <c r="M558" s="13">
        <f t="shared" ref="M558:AA558" si="1115">IFERROR(VALUE(RIGHT(LEFT($J558,FIND(M$1,$J558,1)+LEN(M$1)),1)),0)</f>
        <v>0</v>
      </c>
      <c r="N558" s="13">
        <f t="shared" si="1115"/>
        <v>0</v>
      </c>
      <c r="O558" s="13">
        <f t="shared" si="1115"/>
        <v>0</v>
      </c>
      <c r="P558" s="13">
        <f t="shared" si="1115"/>
        <v>0</v>
      </c>
      <c r="Q558" s="13">
        <f t="shared" si="1115"/>
        <v>0</v>
      </c>
      <c r="R558" s="13">
        <f t="shared" si="1115"/>
        <v>0</v>
      </c>
      <c r="S558" s="13">
        <f t="shared" si="1115"/>
        <v>0</v>
      </c>
      <c r="T558" s="13">
        <f t="shared" si="1115"/>
        <v>0</v>
      </c>
      <c r="U558" s="13">
        <f t="shared" si="1115"/>
        <v>0</v>
      </c>
      <c r="V558" s="13">
        <f t="shared" si="1115"/>
        <v>0</v>
      </c>
      <c r="W558" s="13">
        <f t="shared" si="1115"/>
        <v>0</v>
      </c>
      <c r="X558" s="13">
        <f t="shared" si="1115"/>
        <v>0</v>
      </c>
      <c r="Y558" s="13">
        <f t="shared" si="1115"/>
        <v>0</v>
      </c>
      <c r="Z558" s="13">
        <f t="shared" si="1115"/>
        <v>0</v>
      </c>
      <c r="AA558" s="13">
        <f t="shared" si="1115"/>
        <v>0</v>
      </c>
      <c r="AB558" s="13">
        <f t="shared" ref="AB558:AP558" si="1116">IFERROR(VALUE(RIGHT(LEFT($J558,FIND(AB$1,$J558,IF(M558=0,1,FIND(AB$1,$J558,1)+1))+LEN(AB$1)),1)),0)</f>
        <v>0</v>
      </c>
      <c r="AC558" s="13">
        <f t="shared" si="1116"/>
        <v>0</v>
      </c>
      <c r="AD558" s="13">
        <f t="shared" si="1116"/>
        <v>1</v>
      </c>
      <c r="AE558" s="13">
        <f t="shared" si="1116"/>
        <v>0</v>
      </c>
      <c r="AF558" s="13">
        <f t="shared" si="1116"/>
        <v>0</v>
      </c>
      <c r="AG558" s="13">
        <f t="shared" si="1116"/>
        <v>0</v>
      </c>
      <c r="AH558" s="13">
        <f t="shared" si="1116"/>
        <v>0</v>
      </c>
      <c r="AI558" s="13">
        <f t="shared" si="1116"/>
        <v>0</v>
      </c>
      <c r="AJ558" s="13">
        <f t="shared" si="1116"/>
        <v>0</v>
      </c>
      <c r="AK558" s="13">
        <f t="shared" si="1116"/>
        <v>0</v>
      </c>
      <c r="AL558" s="13">
        <f t="shared" si="1116"/>
        <v>0</v>
      </c>
      <c r="AM558" s="13">
        <f t="shared" si="1116"/>
        <v>0</v>
      </c>
      <c r="AN558" s="13">
        <f t="shared" si="1116"/>
        <v>0</v>
      </c>
      <c r="AO558" s="13">
        <f t="shared" si="1116"/>
        <v>0</v>
      </c>
      <c r="AP558" s="13">
        <f t="shared" si="1116"/>
        <v>0</v>
      </c>
      <c r="AQ558" s="13"/>
      <c r="AR558" s="13" t="s">
        <v>3682</v>
      </c>
      <c r="AS558" s="13" t="s">
        <v>3683</v>
      </c>
      <c r="AT558" s="13" t="s">
        <v>175</v>
      </c>
      <c r="AU558" s="13" t="s">
        <v>803</v>
      </c>
      <c r="AV558" s="13" t="s">
        <v>3684</v>
      </c>
      <c r="AW558" s="13">
        <v>14.0</v>
      </c>
      <c r="AX558" s="13">
        <v>7.0</v>
      </c>
      <c r="AY558" s="13">
        <v>0.0</v>
      </c>
      <c r="AZ558" s="13" t="s">
        <v>2096</v>
      </c>
      <c r="BA558" s="13" t="s">
        <v>3685</v>
      </c>
      <c r="BB558" s="13"/>
      <c r="BC558" s="13"/>
      <c r="BD558" s="13" t="s">
        <v>294</v>
      </c>
      <c r="BE558" s="13" t="s">
        <v>3686</v>
      </c>
      <c r="BF558" s="13" t="s">
        <v>2463</v>
      </c>
      <c r="BG558" s="13"/>
      <c r="BH558" s="13" t="s">
        <v>241</v>
      </c>
      <c r="BI558" s="13" t="b">
        <v>0</v>
      </c>
      <c r="BJ558" s="13">
        <v>0.0</v>
      </c>
      <c r="BK558" s="13">
        <v>0.0</v>
      </c>
    </row>
    <row r="559" ht="14.25" customHeight="1">
      <c r="A559" s="13">
        <v>557.0</v>
      </c>
      <c r="B559" s="13" t="s">
        <v>52</v>
      </c>
      <c r="C559" s="13">
        <v>3.0</v>
      </c>
      <c r="D559" s="14">
        <v>0.0</v>
      </c>
      <c r="E559" s="13" t="s">
        <v>3687</v>
      </c>
      <c r="F559" s="15" t="s">
        <v>3525</v>
      </c>
      <c r="G559" s="16" t="s">
        <v>3688</v>
      </c>
      <c r="H559" s="13">
        <v>14.0</v>
      </c>
      <c r="I559" s="13">
        <v>1.1</v>
      </c>
      <c r="J559" s="13" t="s">
        <v>1884</v>
      </c>
      <c r="K559" s="13">
        <f t="shared" si="3"/>
        <v>1</v>
      </c>
      <c r="L559" s="13">
        <f t="shared" si="4"/>
        <v>2</v>
      </c>
      <c r="M559" s="13">
        <f t="shared" ref="M559:AA559" si="1117">IFERROR(VALUE(RIGHT(LEFT($J559,FIND(M$1,$J559,1)+LEN(M$1)),1)),0)</f>
        <v>0</v>
      </c>
      <c r="N559" s="13">
        <f t="shared" si="1117"/>
        <v>0</v>
      </c>
      <c r="O559" s="13">
        <f t="shared" si="1117"/>
        <v>0</v>
      </c>
      <c r="P559" s="13">
        <f t="shared" si="1117"/>
        <v>0</v>
      </c>
      <c r="Q559" s="13">
        <f t="shared" si="1117"/>
        <v>0</v>
      </c>
      <c r="R559" s="13">
        <f t="shared" si="1117"/>
        <v>0</v>
      </c>
      <c r="S559" s="13">
        <f t="shared" si="1117"/>
        <v>0</v>
      </c>
      <c r="T559" s="13">
        <f t="shared" si="1117"/>
        <v>0</v>
      </c>
      <c r="U559" s="13">
        <f t="shared" si="1117"/>
        <v>0</v>
      </c>
      <c r="V559" s="13">
        <f t="shared" si="1117"/>
        <v>0</v>
      </c>
      <c r="W559" s="13">
        <f t="shared" si="1117"/>
        <v>0</v>
      </c>
      <c r="X559" s="13">
        <f t="shared" si="1117"/>
        <v>0</v>
      </c>
      <c r="Y559" s="13">
        <f t="shared" si="1117"/>
        <v>0</v>
      </c>
      <c r="Z559" s="13">
        <f t="shared" si="1117"/>
        <v>0</v>
      </c>
      <c r="AA559" s="13">
        <f t="shared" si="1117"/>
        <v>1</v>
      </c>
      <c r="AB559" s="13">
        <f t="shared" ref="AB559:AP559" si="1118">IFERROR(VALUE(RIGHT(LEFT($J559,FIND(AB$1,$J559,IF(M559=0,1,FIND(AB$1,$J559,1)+1))+LEN(AB$1)),1)),0)</f>
        <v>0</v>
      </c>
      <c r="AC559" s="13">
        <f t="shared" si="1118"/>
        <v>1</v>
      </c>
      <c r="AD559" s="13">
        <f t="shared" si="1118"/>
        <v>0</v>
      </c>
      <c r="AE559" s="13">
        <f t="shared" si="1118"/>
        <v>0</v>
      </c>
      <c r="AF559" s="13">
        <f t="shared" si="1118"/>
        <v>0</v>
      </c>
      <c r="AG559" s="13">
        <f t="shared" si="1118"/>
        <v>0</v>
      </c>
      <c r="AH559" s="13">
        <f t="shared" si="1118"/>
        <v>0</v>
      </c>
      <c r="AI559" s="13">
        <f t="shared" si="1118"/>
        <v>0</v>
      </c>
      <c r="AJ559" s="13">
        <f t="shared" si="1118"/>
        <v>0</v>
      </c>
      <c r="AK559" s="13">
        <f t="shared" si="1118"/>
        <v>0</v>
      </c>
      <c r="AL559" s="13">
        <f t="shared" si="1118"/>
        <v>0</v>
      </c>
      <c r="AM559" s="13">
        <f t="shared" si="1118"/>
        <v>0</v>
      </c>
      <c r="AN559" s="13">
        <f t="shared" si="1118"/>
        <v>0</v>
      </c>
      <c r="AO559" s="13">
        <f t="shared" si="1118"/>
        <v>0</v>
      </c>
      <c r="AP559" s="13">
        <f t="shared" si="1118"/>
        <v>1</v>
      </c>
      <c r="AQ559" s="13"/>
      <c r="AR559" s="13" t="s">
        <v>3689</v>
      </c>
      <c r="AS559" s="13" t="s">
        <v>3690</v>
      </c>
      <c r="AT559" s="13" t="s">
        <v>854</v>
      </c>
      <c r="AU559" s="13" t="s">
        <v>130</v>
      </c>
      <c r="AV559" s="13" t="s">
        <v>3691</v>
      </c>
      <c r="AW559" s="13">
        <v>16.0</v>
      </c>
      <c r="AX559" s="13">
        <v>7.0</v>
      </c>
      <c r="AY559" s="13">
        <v>0.0</v>
      </c>
      <c r="AZ559" s="13" t="s">
        <v>3692</v>
      </c>
      <c r="BA559" s="13" t="s">
        <v>1879</v>
      </c>
      <c r="BB559" s="13"/>
      <c r="BC559" s="13"/>
      <c r="BD559" s="13" t="s">
        <v>306</v>
      </c>
      <c r="BE559" s="13" t="s">
        <v>1880</v>
      </c>
      <c r="BF559" s="13" t="s">
        <v>3693</v>
      </c>
      <c r="BG559" s="13"/>
      <c r="BH559" s="13" t="s">
        <v>79</v>
      </c>
      <c r="BI559" s="13" t="b">
        <v>0</v>
      </c>
      <c r="BJ559" s="13">
        <v>0.0</v>
      </c>
      <c r="BK559" s="13">
        <v>0.0</v>
      </c>
    </row>
    <row r="560" ht="14.25" customHeight="1">
      <c r="A560" s="13">
        <v>558.0</v>
      </c>
      <c r="B560" s="13" t="s">
        <v>51</v>
      </c>
      <c r="C560" s="13">
        <v>3.0</v>
      </c>
      <c r="D560" s="14">
        <v>0.0</v>
      </c>
      <c r="E560" s="13" t="s">
        <v>3694</v>
      </c>
      <c r="F560" s="15" t="s">
        <v>3525</v>
      </c>
      <c r="G560" s="16" t="s">
        <v>3695</v>
      </c>
      <c r="H560" s="13">
        <v>12.0</v>
      </c>
      <c r="I560" s="13">
        <v>1.1</v>
      </c>
      <c r="J560" s="13" t="s">
        <v>1836</v>
      </c>
      <c r="K560" s="13">
        <f t="shared" si="3"/>
        <v>1</v>
      </c>
      <c r="L560" s="13">
        <f t="shared" si="4"/>
        <v>2</v>
      </c>
      <c r="M560" s="13">
        <f t="shared" ref="M560:AA560" si="1119">IFERROR(VALUE(RIGHT(LEFT($J560,FIND(M$1,$J560,1)+LEN(M$1)),1)),0)</f>
        <v>0</v>
      </c>
      <c r="N560" s="13">
        <f t="shared" si="1119"/>
        <v>0</v>
      </c>
      <c r="O560" s="13">
        <f t="shared" si="1119"/>
        <v>0</v>
      </c>
      <c r="P560" s="13">
        <f t="shared" si="1119"/>
        <v>0</v>
      </c>
      <c r="Q560" s="13">
        <f t="shared" si="1119"/>
        <v>0</v>
      </c>
      <c r="R560" s="13">
        <f t="shared" si="1119"/>
        <v>0</v>
      </c>
      <c r="S560" s="13">
        <f t="shared" si="1119"/>
        <v>0</v>
      </c>
      <c r="T560" s="13">
        <f t="shared" si="1119"/>
        <v>0</v>
      </c>
      <c r="U560" s="13">
        <f t="shared" si="1119"/>
        <v>0</v>
      </c>
      <c r="V560" s="13">
        <f t="shared" si="1119"/>
        <v>0</v>
      </c>
      <c r="W560" s="13">
        <f t="shared" si="1119"/>
        <v>0</v>
      </c>
      <c r="X560" s="13">
        <f t="shared" si="1119"/>
        <v>0</v>
      </c>
      <c r="Y560" s="13">
        <f t="shared" si="1119"/>
        <v>0</v>
      </c>
      <c r="Z560" s="13">
        <f t="shared" si="1119"/>
        <v>1</v>
      </c>
      <c r="AA560" s="13">
        <f t="shared" si="1119"/>
        <v>0</v>
      </c>
      <c r="AB560" s="13">
        <f t="shared" ref="AB560:AP560" si="1120">IFERROR(VALUE(RIGHT(LEFT($J560,FIND(AB$1,$J560,IF(M560=0,1,FIND(AB$1,$J560,1)+1))+LEN(AB$1)),1)),0)</f>
        <v>0</v>
      </c>
      <c r="AC560" s="13">
        <f t="shared" si="1120"/>
        <v>0</v>
      </c>
      <c r="AD560" s="13">
        <f t="shared" si="1120"/>
        <v>0</v>
      </c>
      <c r="AE560" s="13">
        <f t="shared" si="1120"/>
        <v>1</v>
      </c>
      <c r="AF560" s="13">
        <f t="shared" si="1120"/>
        <v>0</v>
      </c>
      <c r="AG560" s="13">
        <f t="shared" si="1120"/>
        <v>0</v>
      </c>
      <c r="AH560" s="13">
        <f t="shared" si="1120"/>
        <v>0</v>
      </c>
      <c r="AI560" s="13">
        <f t="shared" si="1120"/>
        <v>0</v>
      </c>
      <c r="AJ560" s="13">
        <f t="shared" si="1120"/>
        <v>0</v>
      </c>
      <c r="AK560" s="13">
        <f t="shared" si="1120"/>
        <v>0</v>
      </c>
      <c r="AL560" s="13">
        <f t="shared" si="1120"/>
        <v>0</v>
      </c>
      <c r="AM560" s="13">
        <f t="shared" si="1120"/>
        <v>0</v>
      </c>
      <c r="AN560" s="13">
        <f t="shared" si="1120"/>
        <v>0</v>
      </c>
      <c r="AO560" s="13">
        <f t="shared" si="1120"/>
        <v>1</v>
      </c>
      <c r="AP560" s="13">
        <f t="shared" si="1120"/>
        <v>0</v>
      </c>
      <c r="AQ560" s="13"/>
      <c r="AR560" s="13" t="s">
        <v>3696</v>
      </c>
      <c r="AS560" s="13" t="s">
        <v>3697</v>
      </c>
      <c r="AT560" s="13" t="s">
        <v>573</v>
      </c>
      <c r="AU560" s="13" t="s">
        <v>130</v>
      </c>
      <c r="AV560" s="13" t="s">
        <v>3698</v>
      </c>
      <c r="AW560" s="13">
        <v>20.0</v>
      </c>
      <c r="AX560" s="13">
        <v>7.0</v>
      </c>
      <c r="AY560" s="13">
        <v>0.0</v>
      </c>
      <c r="AZ560" s="13" t="s">
        <v>679</v>
      </c>
      <c r="BA560" s="13"/>
      <c r="BB560" s="13"/>
      <c r="BC560" s="13"/>
      <c r="BD560" s="13" t="s">
        <v>1113</v>
      </c>
      <c r="BE560" s="13"/>
      <c r="BF560" s="13" t="s">
        <v>3699</v>
      </c>
      <c r="BG560" s="13"/>
      <c r="BH560" s="13" t="s">
        <v>79</v>
      </c>
      <c r="BI560" s="13" t="b">
        <v>0</v>
      </c>
      <c r="BJ560" s="13">
        <v>0.0</v>
      </c>
      <c r="BK560" s="13">
        <v>0.0</v>
      </c>
    </row>
    <row r="561" ht="14.25" customHeight="1">
      <c r="A561" s="13">
        <v>559.0</v>
      </c>
      <c r="B561" s="13" t="s">
        <v>44</v>
      </c>
      <c r="C561" s="13">
        <v>4.0</v>
      </c>
      <c r="D561" s="14">
        <v>0.0</v>
      </c>
      <c r="E561" s="13" t="s">
        <v>3700</v>
      </c>
      <c r="F561" s="15" t="s">
        <v>3525</v>
      </c>
      <c r="G561" s="16" t="s">
        <v>3701</v>
      </c>
      <c r="H561" s="13"/>
      <c r="I561" s="13">
        <v>1.1</v>
      </c>
      <c r="J561" s="13" t="s">
        <v>3702</v>
      </c>
      <c r="K561" s="13">
        <f t="shared" si="3"/>
        <v>1</v>
      </c>
      <c r="L561" s="13">
        <f t="shared" si="4"/>
        <v>2</v>
      </c>
      <c r="M561" s="13">
        <f t="shared" ref="M561:AA561" si="1121">IFERROR(VALUE(RIGHT(LEFT($J561,FIND(M$1,$J561,1)+LEN(M$1)),1)),0)</f>
        <v>0</v>
      </c>
      <c r="N561" s="13">
        <f t="shared" si="1121"/>
        <v>0</v>
      </c>
      <c r="O561" s="13">
        <f t="shared" si="1121"/>
        <v>0</v>
      </c>
      <c r="P561" s="13">
        <f t="shared" si="1121"/>
        <v>0</v>
      </c>
      <c r="Q561" s="13">
        <f t="shared" si="1121"/>
        <v>0</v>
      </c>
      <c r="R561" s="13">
        <f t="shared" si="1121"/>
        <v>0</v>
      </c>
      <c r="S561" s="13">
        <f t="shared" si="1121"/>
        <v>1</v>
      </c>
      <c r="T561" s="13">
        <f t="shared" si="1121"/>
        <v>0</v>
      </c>
      <c r="U561" s="13">
        <f t="shared" si="1121"/>
        <v>0</v>
      </c>
      <c r="V561" s="13">
        <f t="shared" si="1121"/>
        <v>0</v>
      </c>
      <c r="W561" s="13">
        <f t="shared" si="1121"/>
        <v>0</v>
      </c>
      <c r="X561" s="13">
        <f t="shared" si="1121"/>
        <v>0</v>
      </c>
      <c r="Y561" s="13">
        <f t="shared" si="1121"/>
        <v>0</v>
      </c>
      <c r="Z561" s="13">
        <f t="shared" si="1121"/>
        <v>0</v>
      </c>
      <c r="AA561" s="13">
        <f t="shared" si="1121"/>
        <v>0</v>
      </c>
      <c r="AB561" s="13">
        <f t="shared" ref="AB561:AP561" si="1122">IFERROR(VALUE(RIGHT(LEFT($J561,FIND(AB$1,$J561,IF(M561=0,1,FIND(AB$1,$J561,1)+1))+LEN(AB$1)),1)),0)</f>
        <v>0</v>
      </c>
      <c r="AC561" s="13">
        <f t="shared" si="1122"/>
        <v>0</v>
      </c>
      <c r="AD561" s="13">
        <f t="shared" si="1122"/>
        <v>0</v>
      </c>
      <c r="AE561" s="13">
        <f t="shared" si="1122"/>
        <v>0</v>
      </c>
      <c r="AF561" s="13">
        <f t="shared" si="1122"/>
        <v>0</v>
      </c>
      <c r="AG561" s="13">
        <f t="shared" si="1122"/>
        <v>1</v>
      </c>
      <c r="AH561" s="13">
        <f t="shared" si="1122"/>
        <v>1</v>
      </c>
      <c r="AI561" s="13">
        <f t="shared" si="1122"/>
        <v>0</v>
      </c>
      <c r="AJ561" s="13">
        <f t="shared" si="1122"/>
        <v>0</v>
      </c>
      <c r="AK561" s="13">
        <f t="shared" si="1122"/>
        <v>0</v>
      </c>
      <c r="AL561" s="13">
        <f t="shared" si="1122"/>
        <v>0</v>
      </c>
      <c r="AM561" s="13">
        <f t="shared" si="1122"/>
        <v>0</v>
      </c>
      <c r="AN561" s="13">
        <f t="shared" si="1122"/>
        <v>0</v>
      </c>
      <c r="AO561" s="13">
        <f t="shared" si="1122"/>
        <v>0</v>
      </c>
      <c r="AP561" s="13">
        <f t="shared" si="1122"/>
        <v>0</v>
      </c>
      <c r="AQ561" s="13" t="s">
        <v>3703</v>
      </c>
      <c r="AR561" s="13"/>
      <c r="AS561" s="13" t="s">
        <v>3704</v>
      </c>
      <c r="AT561" s="13"/>
      <c r="AU561" s="13"/>
      <c r="AV561" s="13"/>
      <c r="AW561" s="13">
        <v>0.0</v>
      </c>
      <c r="AX561" s="13">
        <v>7.0</v>
      </c>
      <c r="AY561" s="13">
        <v>0.0</v>
      </c>
      <c r="AZ561" s="13"/>
      <c r="BA561" s="13"/>
      <c r="BB561" s="13"/>
      <c r="BC561" s="13"/>
      <c r="BD561" s="13"/>
      <c r="BE561" s="13"/>
      <c r="BF561" s="13"/>
      <c r="BG561" s="13"/>
      <c r="BH561" s="13" t="s">
        <v>79</v>
      </c>
      <c r="BI561" s="13" t="b">
        <v>0</v>
      </c>
      <c r="BJ561" s="13">
        <v>0.0</v>
      </c>
      <c r="BK561" s="13">
        <v>0.0</v>
      </c>
    </row>
    <row r="562" ht="14.25" customHeight="1">
      <c r="A562" s="13">
        <v>560.0</v>
      </c>
      <c r="B562" s="13" t="s">
        <v>45</v>
      </c>
      <c r="C562" s="13">
        <v>4.0</v>
      </c>
      <c r="D562" s="14">
        <v>0.0</v>
      </c>
      <c r="E562" s="13" t="s">
        <v>3705</v>
      </c>
      <c r="F562" s="15" t="s">
        <v>3525</v>
      </c>
      <c r="G562" s="16" t="s">
        <v>3706</v>
      </c>
      <c r="H562" s="13"/>
      <c r="I562" s="13">
        <v>1.1</v>
      </c>
      <c r="J562" s="13" t="s">
        <v>3316</v>
      </c>
      <c r="K562" s="13">
        <f t="shared" si="3"/>
        <v>2</v>
      </c>
      <c r="L562" s="13">
        <f t="shared" si="4"/>
        <v>2</v>
      </c>
      <c r="M562" s="13">
        <f t="shared" ref="M562:AA562" si="1123">IFERROR(VALUE(RIGHT(LEFT($J562,FIND(M$1,$J562,1)+LEN(M$1)),1)),0)</f>
        <v>0</v>
      </c>
      <c r="N562" s="13">
        <f t="shared" si="1123"/>
        <v>0</v>
      </c>
      <c r="O562" s="13">
        <f t="shared" si="1123"/>
        <v>0</v>
      </c>
      <c r="P562" s="13">
        <f t="shared" si="1123"/>
        <v>0</v>
      </c>
      <c r="Q562" s="13">
        <f t="shared" si="1123"/>
        <v>0</v>
      </c>
      <c r="R562" s="13">
        <f t="shared" si="1123"/>
        <v>0</v>
      </c>
      <c r="S562" s="13">
        <f t="shared" si="1123"/>
        <v>0</v>
      </c>
      <c r="T562" s="13">
        <f t="shared" si="1123"/>
        <v>2</v>
      </c>
      <c r="U562" s="13">
        <f t="shared" si="1123"/>
        <v>0</v>
      </c>
      <c r="V562" s="13">
        <f t="shared" si="1123"/>
        <v>0</v>
      </c>
      <c r="W562" s="13">
        <f t="shared" si="1123"/>
        <v>0</v>
      </c>
      <c r="X562" s="13">
        <f t="shared" si="1123"/>
        <v>0</v>
      </c>
      <c r="Y562" s="13">
        <f t="shared" si="1123"/>
        <v>0</v>
      </c>
      <c r="Z562" s="13">
        <f t="shared" si="1123"/>
        <v>0</v>
      </c>
      <c r="AA562" s="13">
        <f t="shared" si="1123"/>
        <v>0</v>
      </c>
      <c r="AB562" s="13">
        <f t="shared" ref="AB562:AP562" si="1124">IFERROR(VALUE(RIGHT(LEFT($J562,FIND(AB$1,$J562,IF(M562=0,1,FIND(AB$1,$J562,1)+1))+LEN(AB$1)),1)),0)</f>
        <v>0</v>
      </c>
      <c r="AC562" s="13">
        <f t="shared" si="1124"/>
        <v>0</v>
      </c>
      <c r="AD562" s="13">
        <f t="shared" si="1124"/>
        <v>0</v>
      </c>
      <c r="AE562" s="13">
        <f t="shared" si="1124"/>
        <v>1</v>
      </c>
      <c r="AF562" s="13">
        <f t="shared" si="1124"/>
        <v>0</v>
      </c>
      <c r="AG562" s="13">
        <f t="shared" si="1124"/>
        <v>0</v>
      </c>
      <c r="AH562" s="13">
        <f t="shared" si="1124"/>
        <v>0</v>
      </c>
      <c r="AI562" s="13">
        <f t="shared" si="1124"/>
        <v>1</v>
      </c>
      <c r="AJ562" s="13">
        <f t="shared" si="1124"/>
        <v>0</v>
      </c>
      <c r="AK562" s="13">
        <f t="shared" si="1124"/>
        <v>0</v>
      </c>
      <c r="AL562" s="13">
        <f t="shared" si="1124"/>
        <v>0</v>
      </c>
      <c r="AM562" s="13">
        <f t="shared" si="1124"/>
        <v>0</v>
      </c>
      <c r="AN562" s="13">
        <f t="shared" si="1124"/>
        <v>0</v>
      </c>
      <c r="AO562" s="13">
        <f t="shared" si="1124"/>
        <v>0</v>
      </c>
      <c r="AP562" s="13">
        <f t="shared" si="1124"/>
        <v>0</v>
      </c>
      <c r="AQ562" s="13" t="s">
        <v>3707</v>
      </c>
      <c r="AR562" s="13"/>
      <c r="AS562" s="13" t="s">
        <v>3708</v>
      </c>
      <c r="AT562" s="13"/>
      <c r="AU562" s="13"/>
      <c r="AV562" s="13"/>
      <c r="AW562" s="13">
        <v>0.0</v>
      </c>
      <c r="AX562" s="13">
        <v>7.0</v>
      </c>
      <c r="AY562" s="13">
        <v>0.0</v>
      </c>
      <c r="AZ562" s="13"/>
      <c r="BA562" s="13"/>
      <c r="BB562" s="13"/>
      <c r="BC562" s="13"/>
      <c r="BD562" s="13"/>
      <c r="BE562" s="13"/>
      <c r="BF562" s="13"/>
      <c r="BG562" s="13"/>
      <c r="BH562" s="13" t="s">
        <v>79</v>
      </c>
      <c r="BI562" s="13" t="b">
        <v>0</v>
      </c>
      <c r="BJ562" s="13">
        <v>0.0</v>
      </c>
      <c r="BK562" s="13">
        <v>0.0</v>
      </c>
    </row>
    <row r="563" ht="14.25" customHeight="1">
      <c r="A563" s="13">
        <v>561.0</v>
      </c>
      <c r="B563" s="13" t="s">
        <v>47</v>
      </c>
      <c r="C563" s="13">
        <v>4.0</v>
      </c>
      <c r="D563" s="14">
        <v>0.0</v>
      </c>
      <c r="E563" s="13" t="s">
        <v>3709</v>
      </c>
      <c r="F563" s="15" t="s">
        <v>3525</v>
      </c>
      <c r="G563" s="16" t="s">
        <v>3710</v>
      </c>
      <c r="H563" s="13">
        <v>14.0</v>
      </c>
      <c r="I563" s="13">
        <v>0.8</v>
      </c>
      <c r="J563" s="13" t="s">
        <v>2730</v>
      </c>
      <c r="K563" s="13">
        <f t="shared" si="3"/>
        <v>2</v>
      </c>
      <c r="L563" s="13">
        <f t="shared" si="4"/>
        <v>2</v>
      </c>
      <c r="M563" s="13">
        <f t="shared" ref="M563:AA563" si="1125">IFERROR(VALUE(RIGHT(LEFT($J563,FIND(M$1,$J563,1)+LEN(M$1)),1)),0)</f>
        <v>0</v>
      </c>
      <c r="N563" s="13">
        <f t="shared" si="1125"/>
        <v>0</v>
      </c>
      <c r="O563" s="13">
        <f t="shared" si="1125"/>
        <v>0</v>
      </c>
      <c r="P563" s="13">
        <f t="shared" si="1125"/>
        <v>0</v>
      </c>
      <c r="Q563" s="13">
        <f t="shared" si="1125"/>
        <v>0</v>
      </c>
      <c r="R563" s="13">
        <f t="shared" si="1125"/>
        <v>0</v>
      </c>
      <c r="S563" s="13">
        <f t="shared" si="1125"/>
        <v>0</v>
      </c>
      <c r="T563" s="13">
        <f t="shared" si="1125"/>
        <v>0</v>
      </c>
      <c r="U563" s="13">
        <f t="shared" si="1125"/>
        <v>0</v>
      </c>
      <c r="V563" s="13">
        <f t="shared" si="1125"/>
        <v>2</v>
      </c>
      <c r="W563" s="13">
        <f t="shared" si="1125"/>
        <v>0</v>
      </c>
      <c r="X563" s="13">
        <f t="shared" si="1125"/>
        <v>0</v>
      </c>
      <c r="Y563" s="13">
        <f t="shared" si="1125"/>
        <v>0</v>
      </c>
      <c r="Z563" s="13">
        <f t="shared" si="1125"/>
        <v>0</v>
      </c>
      <c r="AA563" s="13">
        <f t="shared" si="1125"/>
        <v>0</v>
      </c>
      <c r="AB563" s="13">
        <f t="shared" ref="AB563:AP563" si="1126">IFERROR(VALUE(RIGHT(LEFT($J563,FIND(AB$1,$J563,IF(M563=0,1,FIND(AB$1,$J563,1)+1))+LEN(AB$1)),1)),0)</f>
        <v>0</v>
      </c>
      <c r="AC563" s="13">
        <f t="shared" si="1126"/>
        <v>0</v>
      </c>
      <c r="AD563" s="13">
        <f t="shared" si="1126"/>
        <v>0</v>
      </c>
      <c r="AE563" s="13">
        <f t="shared" si="1126"/>
        <v>0</v>
      </c>
      <c r="AF563" s="13">
        <f t="shared" si="1126"/>
        <v>0</v>
      </c>
      <c r="AG563" s="13">
        <f t="shared" si="1126"/>
        <v>1</v>
      </c>
      <c r="AH563" s="13">
        <f t="shared" si="1126"/>
        <v>0</v>
      </c>
      <c r="AI563" s="13">
        <f t="shared" si="1126"/>
        <v>0</v>
      </c>
      <c r="AJ563" s="13">
        <f t="shared" si="1126"/>
        <v>0</v>
      </c>
      <c r="AK563" s="13">
        <f t="shared" si="1126"/>
        <v>1</v>
      </c>
      <c r="AL563" s="13">
        <f t="shared" si="1126"/>
        <v>0</v>
      </c>
      <c r="AM563" s="13">
        <f t="shared" si="1126"/>
        <v>0</v>
      </c>
      <c r="AN563" s="13">
        <f t="shared" si="1126"/>
        <v>0</v>
      </c>
      <c r="AO563" s="13">
        <f t="shared" si="1126"/>
        <v>0</v>
      </c>
      <c r="AP563" s="13">
        <f t="shared" si="1126"/>
        <v>0</v>
      </c>
      <c r="AQ563" s="13"/>
      <c r="AR563" s="13" t="s">
        <v>3711</v>
      </c>
      <c r="AS563" s="13" t="s">
        <v>3712</v>
      </c>
      <c r="AT563" s="13" t="s">
        <v>129</v>
      </c>
      <c r="AU563" s="13" t="s">
        <v>143</v>
      </c>
      <c r="AV563" s="13" t="s">
        <v>897</v>
      </c>
      <c r="AW563" s="13">
        <v>22.0</v>
      </c>
      <c r="AX563" s="13">
        <v>7.0</v>
      </c>
      <c r="AY563" s="13">
        <v>0.0</v>
      </c>
      <c r="AZ563" s="13" t="s">
        <v>3713</v>
      </c>
      <c r="BA563" s="13" t="s">
        <v>3714</v>
      </c>
      <c r="BB563" s="13"/>
      <c r="BC563" s="13"/>
      <c r="BD563" s="13" t="s">
        <v>134</v>
      </c>
      <c r="BE563" s="13"/>
      <c r="BF563" s="13" t="s">
        <v>3715</v>
      </c>
      <c r="BG563" s="13" t="s">
        <v>136</v>
      </c>
      <c r="BH563" s="13" t="s">
        <v>79</v>
      </c>
      <c r="BI563" s="13" t="b">
        <v>0</v>
      </c>
      <c r="BJ563" s="13">
        <v>0.0</v>
      </c>
      <c r="BK563" s="13">
        <v>0.0</v>
      </c>
    </row>
    <row r="564" ht="14.25" customHeight="1">
      <c r="A564" s="13">
        <v>562.0</v>
      </c>
      <c r="B564" s="13" t="s">
        <v>47</v>
      </c>
      <c r="C564" s="13">
        <v>4.0</v>
      </c>
      <c r="D564" s="14">
        <v>0.0</v>
      </c>
      <c r="E564" s="13" t="s">
        <v>3716</v>
      </c>
      <c r="F564" s="15" t="s">
        <v>3525</v>
      </c>
      <c r="G564" s="16" t="s">
        <v>3717</v>
      </c>
      <c r="H564" s="13">
        <v>20.0</v>
      </c>
      <c r="I564" s="13">
        <v>1.1</v>
      </c>
      <c r="J564" s="13" t="s">
        <v>3718</v>
      </c>
      <c r="K564" s="13">
        <f t="shared" si="3"/>
        <v>2</v>
      </c>
      <c r="L564" s="13">
        <f t="shared" si="4"/>
        <v>2</v>
      </c>
      <c r="M564" s="13">
        <f t="shared" ref="M564:AA564" si="1127">IFERROR(VALUE(RIGHT(LEFT($J564,FIND(M$1,$J564,1)+LEN(M$1)),1)),0)</f>
        <v>0</v>
      </c>
      <c r="N564" s="13">
        <f t="shared" si="1127"/>
        <v>0</v>
      </c>
      <c r="O564" s="13">
        <f t="shared" si="1127"/>
        <v>0</v>
      </c>
      <c r="P564" s="13">
        <f t="shared" si="1127"/>
        <v>2</v>
      </c>
      <c r="Q564" s="13">
        <f t="shared" si="1127"/>
        <v>0</v>
      </c>
      <c r="R564" s="13">
        <f t="shared" si="1127"/>
        <v>0</v>
      </c>
      <c r="S564" s="13">
        <f t="shared" si="1127"/>
        <v>0</v>
      </c>
      <c r="T564" s="13">
        <f t="shared" si="1127"/>
        <v>0</v>
      </c>
      <c r="U564" s="13">
        <f t="shared" si="1127"/>
        <v>0</v>
      </c>
      <c r="V564" s="13">
        <f t="shared" si="1127"/>
        <v>0</v>
      </c>
      <c r="W564" s="13">
        <f t="shared" si="1127"/>
        <v>0</v>
      </c>
      <c r="X564" s="13">
        <f t="shared" si="1127"/>
        <v>0</v>
      </c>
      <c r="Y564" s="13">
        <f t="shared" si="1127"/>
        <v>0</v>
      </c>
      <c r="Z564" s="13">
        <f t="shared" si="1127"/>
        <v>0</v>
      </c>
      <c r="AA564" s="13">
        <f t="shared" si="1127"/>
        <v>0</v>
      </c>
      <c r="AB564" s="13">
        <f t="shared" ref="AB564:AP564" si="1128">IFERROR(VALUE(RIGHT(LEFT($J564,FIND(AB$1,$J564,IF(M564=0,1,FIND(AB$1,$J564,1)+1))+LEN(AB$1)),1)),0)</f>
        <v>0</v>
      </c>
      <c r="AC564" s="13">
        <f t="shared" si="1128"/>
        <v>0</v>
      </c>
      <c r="AD564" s="13">
        <f t="shared" si="1128"/>
        <v>1</v>
      </c>
      <c r="AE564" s="13">
        <f t="shared" si="1128"/>
        <v>0</v>
      </c>
      <c r="AF564" s="13">
        <f t="shared" si="1128"/>
        <v>0</v>
      </c>
      <c r="AG564" s="13">
        <f t="shared" si="1128"/>
        <v>0</v>
      </c>
      <c r="AH564" s="13">
        <f t="shared" si="1128"/>
        <v>0</v>
      </c>
      <c r="AI564" s="13">
        <f t="shared" si="1128"/>
        <v>0</v>
      </c>
      <c r="AJ564" s="13">
        <f t="shared" si="1128"/>
        <v>0</v>
      </c>
      <c r="AK564" s="13">
        <f t="shared" si="1128"/>
        <v>1</v>
      </c>
      <c r="AL564" s="13">
        <f t="shared" si="1128"/>
        <v>0</v>
      </c>
      <c r="AM564" s="13">
        <f t="shared" si="1128"/>
        <v>0</v>
      </c>
      <c r="AN564" s="13">
        <f t="shared" si="1128"/>
        <v>0</v>
      </c>
      <c r="AO564" s="13">
        <f t="shared" si="1128"/>
        <v>0</v>
      </c>
      <c r="AP564" s="13">
        <f t="shared" si="1128"/>
        <v>0</v>
      </c>
      <c r="AQ564" s="13"/>
      <c r="AR564" s="13" t="s">
        <v>3719</v>
      </c>
      <c r="AS564" s="13" t="s">
        <v>3720</v>
      </c>
      <c r="AT564" s="13" t="s">
        <v>162</v>
      </c>
      <c r="AU564" s="13" t="s">
        <v>236</v>
      </c>
      <c r="AV564" s="13" t="s">
        <v>3721</v>
      </c>
      <c r="AW564" s="13">
        <v>24.0</v>
      </c>
      <c r="AX564" s="13">
        <v>7.0</v>
      </c>
      <c r="AY564" s="13">
        <v>0.0</v>
      </c>
      <c r="AZ564" s="13" t="s">
        <v>3722</v>
      </c>
      <c r="BA564" s="13" t="s">
        <v>3723</v>
      </c>
      <c r="BB564" s="13"/>
      <c r="BC564" s="13"/>
      <c r="BD564" s="13" t="s">
        <v>484</v>
      </c>
      <c r="BE564" s="13"/>
      <c r="BF564" s="13" t="s">
        <v>3724</v>
      </c>
      <c r="BG564" s="13" t="s">
        <v>136</v>
      </c>
      <c r="BH564" s="13" t="s">
        <v>241</v>
      </c>
      <c r="BI564" s="13" t="b">
        <v>0</v>
      </c>
      <c r="BJ564" s="13">
        <v>0.0</v>
      </c>
      <c r="BK564" s="13">
        <v>0.0</v>
      </c>
    </row>
    <row r="565" ht="14.25" customHeight="1">
      <c r="A565" s="13">
        <v>563.0</v>
      </c>
      <c r="B565" s="13" t="s">
        <v>52</v>
      </c>
      <c r="C565" s="13">
        <v>4.0</v>
      </c>
      <c r="D565" s="14">
        <v>0.0</v>
      </c>
      <c r="E565" s="13" t="s">
        <v>3725</v>
      </c>
      <c r="F565" s="15" t="s">
        <v>3525</v>
      </c>
      <c r="G565" s="16" t="s">
        <v>3726</v>
      </c>
      <c r="H565" s="13">
        <v>17.0</v>
      </c>
      <c r="I565" s="13">
        <v>0.9</v>
      </c>
      <c r="J565" s="13" t="s">
        <v>3727</v>
      </c>
      <c r="K565" s="13">
        <f t="shared" si="3"/>
        <v>1</v>
      </c>
      <c r="L565" s="13">
        <f t="shared" si="4"/>
        <v>2</v>
      </c>
      <c r="M565" s="13">
        <f t="shared" ref="M565:AA565" si="1129">IFERROR(VALUE(RIGHT(LEFT($J565,FIND(M$1,$J565,1)+LEN(M$1)),1)),0)</f>
        <v>0</v>
      </c>
      <c r="N565" s="13">
        <f t="shared" si="1129"/>
        <v>0</v>
      </c>
      <c r="O565" s="13">
        <f t="shared" si="1129"/>
        <v>1</v>
      </c>
      <c r="P565" s="13">
        <f t="shared" si="1129"/>
        <v>0</v>
      </c>
      <c r="Q565" s="13">
        <f t="shared" si="1129"/>
        <v>0</v>
      </c>
      <c r="R565" s="13">
        <f t="shared" si="1129"/>
        <v>0</v>
      </c>
      <c r="S565" s="13">
        <f t="shared" si="1129"/>
        <v>0</v>
      </c>
      <c r="T565" s="13">
        <f t="shared" si="1129"/>
        <v>0</v>
      </c>
      <c r="U565" s="13">
        <f t="shared" si="1129"/>
        <v>0</v>
      </c>
      <c r="V565" s="13">
        <f t="shared" si="1129"/>
        <v>0</v>
      </c>
      <c r="W565" s="13">
        <f t="shared" si="1129"/>
        <v>0</v>
      </c>
      <c r="X565" s="13">
        <f t="shared" si="1129"/>
        <v>0</v>
      </c>
      <c r="Y565" s="13">
        <f t="shared" si="1129"/>
        <v>0</v>
      </c>
      <c r="Z565" s="13">
        <f t="shared" si="1129"/>
        <v>0</v>
      </c>
      <c r="AA565" s="13">
        <f t="shared" si="1129"/>
        <v>0</v>
      </c>
      <c r="AB565" s="13">
        <f t="shared" ref="AB565:AP565" si="1130">IFERROR(VALUE(RIGHT(LEFT($J565,FIND(AB$1,$J565,IF(M565=0,1,FIND(AB$1,$J565,1)+1))+LEN(AB$1)),1)),0)</f>
        <v>0</v>
      </c>
      <c r="AC565" s="13">
        <f t="shared" si="1130"/>
        <v>0</v>
      </c>
      <c r="AD565" s="13">
        <f t="shared" si="1130"/>
        <v>0</v>
      </c>
      <c r="AE565" s="13">
        <f t="shared" si="1130"/>
        <v>0</v>
      </c>
      <c r="AF565" s="13">
        <f t="shared" si="1130"/>
        <v>0</v>
      </c>
      <c r="AG565" s="13">
        <f t="shared" si="1130"/>
        <v>0</v>
      </c>
      <c r="AH565" s="13">
        <f t="shared" si="1130"/>
        <v>0</v>
      </c>
      <c r="AI565" s="13">
        <f t="shared" si="1130"/>
        <v>0</v>
      </c>
      <c r="AJ565" s="13">
        <f t="shared" si="1130"/>
        <v>0</v>
      </c>
      <c r="AK565" s="13">
        <f t="shared" si="1130"/>
        <v>0</v>
      </c>
      <c r="AL565" s="13">
        <f t="shared" si="1130"/>
        <v>0</v>
      </c>
      <c r="AM565" s="13">
        <f t="shared" si="1130"/>
        <v>0</v>
      </c>
      <c r="AN565" s="13">
        <f t="shared" si="1130"/>
        <v>0</v>
      </c>
      <c r="AO565" s="13">
        <f t="shared" si="1130"/>
        <v>0</v>
      </c>
      <c r="AP565" s="13">
        <f t="shared" si="1130"/>
        <v>2</v>
      </c>
      <c r="AQ565" s="13"/>
      <c r="AR565" s="13" t="s">
        <v>3728</v>
      </c>
      <c r="AS565" s="13" t="s">
        <v>3729</v>
      </c>
      <c r="AT565" s="13" t="s">
        <v>129</v>
      </c>
      <c r="AU565" s="13" t="s">
        <v>1398</v>
      </c>
      <c r="AV565" s="13" t="s">
        <v>3730</v>
      </c>
      <c r="AW565" s="13">
        <v>21.0</v>
      </c>
      <c r="AX565" s="13">
        <v>7.0</v>
      </c>
      <c r="AY565" s="13">
        <v>0.0</v>
      </c>
      <c r="AZ565" s="13" t="s">
        <v>2552</v>
      </c>
      <c r="BA565" s="13" t="s">
        <v>3731</v>
      </c>
      <c r="BB565" s="13"/>
      <c r="BC565" s="13"/>
      <c r="BD565" s="13" t="s">
        <v>294</v>
      </c>
      <c r="BE565" s="13" t="s">
        <v>3732</v>
      </c>
      <c r="BF565" s="13" t="s">
        <v>3733</v>
      </c>
      <c r="BG565" s="13"/>
      <c r="BH565" s="13" t="s">
        <v>241</v>
      </c>
      <c r="BI565" s="13" t="b">
        <v>0</v>
      </c>
      <c r="BJ565" s="13">
        <v>0.0</v>
      </c>
      <c r="BK565" s="13">
        <v>0.0</v>
      </c>
    </row>
    <row r="566" ht="14.25" customHeight="1">
      <c r="A566" s="13">
        <v>564.0</v>
      </c>
      <c r="B566" s="13" t="s">
        <v>52</v>
      </c>
      <c r="C566" s="13">
        <v>4.0</v>
      </c>
      <c r="D566" s="14">
        <v>0.0</v>
      </c>
      <c r="E566" s="13" t="s">
        <v>3734</v>
      </c>
      <c r="F566" s="15" t="s">
        <v>3525</v>
      </c>
      <c r="G566" s="16" t="s">
        <v>3735</v>
      </c>
      <c r="H566" s="13">
        <v>15.0</v>
      </c>
      <c r="I566" s="13">
        <v>1.0</v>
      </c>
      <c r="J566" s="13" t="s">
        <v>3736</v>
      </c>
      <c r="K566" s="13">
        <f t="shared" si="3"/>
        <v>2</v>
      </c>
      <c r="L566" s="13">
        <f t="shared" si="4"/>
        <v>2</v>
      </c>
      <c r="M566" s="13">
        <f t="shared" ref="M566:AA566" si="1131">IFERROR(VALUE(RIGHT(LEFT($J566,FIND(M$1,$J566,1)+LEN(M$1)),1)),0)</f>
        <v>0</v>
      </c>
      <c r="N566" s="13">
        <f t="shared" si="1131"/>
        <v>0</v>
      </c>
      <c r="O566" s="13">
        <f t="shared" si="1131"/>
        <v>0</v>
      </c>
      <c r="P566" s="13">
        <f t="shared" si="1131"/>
        <v>0</v>
      </c>
      <c r="Q566" s="13">
        <f t="shared" si="1131"/>
        <v>0</v>
      </c>
      <c r="R566" s="13">
        <f t="shared" si="1131"/>
        <v>0</v>
      </c>
      <c r="S566" s="13">
        <f t="shared" si="1131"/>
        <v>0</v>
      </c>
      <c r="T566" s="13">
        <f t="shared" si="1131"/>
        <v>0</v>
      </c>
      <c r="U566" s="13">
        <f t="shared" si="1131"/>
        <v>0</v>
      </c>
      <c r="V566" s="13">
        <f t="shared" si="1131"/>
        <v>0</v>
      </c>
      <c r="W566" s="13">
        <f t="shared" si="1131"/>
        <v>0</v>
      </c>
      <c r="X566" s="13">
        <f t="shared" si="1131"/>
        <v>0</v>
      </c>
      <c r="Y566" s="13">
        <f t="shared" si="1131"/>
        <v>0</v>
      </c>
      <c r="Z566" s="13">
        <f t="shared" si="1131"/>
        <v>0</v>
      </c>
      <c r="AA566" s="13">
        <f t="shared" si="1131"/>
        <v>2</v>
      </c>
      <c r="AB566" s="13">
        <f t="shared" ref="AB566:AP566" si="1132">IFERROR(VALUE(RIGHT(LEFT($J566,FIND(AB$1,$J566,IF(M566=0,1,FIND(AB$1,$J566,1)+1))+LEN(AB$1)),1)),0)</f>
        <v>0</v>
      </c>
      <c r="AC566" s="13">
        <f t="shared" si="1132"/>
        <v>1</v>
      </c>
      <c r="AD566" s="13">
        <f t="shared" si="1132"/>
        <v>1</v>
      </c>
      <c r="AE566" s="13">
        <f t="shared" si="1132"/>
        <v>0</v>
      </c>
      <c r="AF566" s="13">
        <f t="shared" si="1132"/>
        <v>0</v>
      </c>
      <c r="AG566" s="13">
        <f t="shared" si="1132"/>
        <v>0</v>
      </c>
      <c r="AH566" s="13">
        <f t="shared" si="1132"/>
        <v>0</v>
      </c>
      <c r="AI566" s="13">
        <f t="shared" si="1132"/>
        <v>0</v>
      </c>
      <c r="AJ566" s="13">
        <f t="shared" si="1132"/>
        <v>0</v>
      </c>
      <c r="AK566" s="13">
        <f t="shared" si="1132"/>
        <v>0</v>
      </c>
      <c r="AL566" s="13">
        <f t="shared" si="1132"/>
        <v>0</v>
      </c>
      <c r="AM566" s="13">
        <f t="shared" si="1132"/>
        <v>0</v>
      </c>
      <c r="AN566" s="13">
        <f t="shared" si="1132"/>
        <v>0</v>
      </c>
      <c r="AO566" s="13">
        <f t="shared" si="1132"/>
        <v>0</v>
      </c>
      <c r="AP566" s="13">
        <f t="shared" si="1132"/>
        <v>0</v>
      </c>
      <c r="AQ566" s="13"/>
      <c r="AR566" s="13" t="s">
        <v>2082</v>
      </c>
      <c r="AS566" s="13" t="s">
        <v>3737</v>
      </c>
      <c r="AT566" s="13" t="s">
        <v>302</v>
      </c>
      <c r="AU566" s="13" t="s">
        <v>130</v>
      </c>
      <c r="AV566" s="13" t="s">
        <v>3738</v>
      </c>
      <c r="AW566" s="13">
        <v>20.0</v>
      </c>
      <c r="AX566" s="13">
        <v>7.0</v>
      </c>
      <c r="AY566" s="13">
        <v>0.0</v>
      </c>
      <c r="AZ566" s="13" t="s">
        <v>3739</v>
      </c>
      <c r="BA566" s="13" t="s">
        <v>1240</v>
      </c>
      <c r="BB566" s="13"/>
      <c r="BC566" s="13"/>
      <c r="BD566" s="13" t="s">
        <v>306</v>
      </c>
      <c r="BE566" s="13" t="s">
        <v>2098</v>
      </c>
      <c r="BF566" s="13" t="s">
        <v>3740</v>
      </c>
      <c r="BG566" s="13"/>
      <c r="BH566" s="13" t="s">
        <v>79</v>
      </c>
      <c r="BI566" s="13" t="b">
        <v>0</v>
      </c>
      <c r="BJ566" s="13">
        <v>0.0</v>
      </c>
      <c r="BK566" s="13">
        <v>0.0</v>
      </c>
    </row>
    <row r="567" ht="14.25" customHeight="1">
      <c r="A567" s="13">
        <v>565.0</v>
      </c>
      <c r="B567" s="13" t="s">
        <v>51</v>
      </c>
      <c r="C567" s="13">
        <v>4.0</v>
      </c>
      <c r="D567" s="14">
        <v>0.0</v>
      </c>
      <c r="E567" s="13" t="s">
        <v>3741</v>
      </c>
      <c r="F567" s="15" t="s">
        <v>3525</v>
      </c>
      <c r="G567" s="16" t="s">
        <v>3742</v>
      </c>
      <c r="H567" s="13">
        <v>16.0</v>
      </c>
      <c r="I567" s="13">
        <v>1.2</v>
      </c>
      <c r="J567" s="13" t="s">
        <v>3743</v>
      </c>
      <c r="K567" s="13">
        <f t="shared" si="3"/>
        <v>2</v>
      </c>
      <c r="L567" s="13">
        <f t="shared" si="4"/>
        <v>2</v>
      </c>
      <c r="M567" s="13">
        <f t="shared" ref="M567:AA567" si="1133">IFERROR(VALUE(RIGHT(LEFT($J567,FIND(M$1,$J567,1)+LEN(M$1)),1)),0)</f>
        <v>0</v>
      </c>
      <c r="N567" s="13">
        <f t="shared" si="1133"/>
        <v>0</v>
      </c>
      <c r="O567" s="13">
        <f t="shared" si="1133"/>
        <v>0</v>
      </c>
      <c r="P567" s="13">
        <f t="shared" si="1133"/>
        <v>0</v>
      </c>
      <c r="Q567" s="13">
        <f t="shared" si="1133"/>
        <v>0</v>
      </c>
      <c r="R567" s="13">
        <f t="shared" si="1133"/>
        <v>0</v>
      </c>
      <c r="S567" s="13">
        <f t="shared" si="1133"/>
        <v>0</v>
      </c>
      <c r="T567" s="13">
        <f t="shared" si="1133"/>
        <v>0</v>
      </c>
      <c r="U567" s="13">
        <f t="shared" si="1133"/>
        <v>0</v>
      </c>
      <c r="V567" s="13">
        <f t="shared" si="1133"/>
        <v>0</v>
      </c>
      <c r="W567" s="13">
        <f t="shared" si="1133"/>
        <v>0</v>
      </c>
      <c r="X567" s="13">
        <f t="shared" si="1133"/>
        <v>0</v>
      </c>
      <c r="Y567" s="13">
        <f t="shared" si="1133"/>
        <v>0</v>
      </c>
      <c r="Z567" s="13">
        <f t="shared" si="1133"/>
        <v>2</v>
      </c>
      <c r="AA567" s="13">
        <f t="shared" si="1133"/>
        <v>0</v>
      </c>
      <c r="AB567" s="13">
        <f t="shared" ref="AB567:AP567" si="1134">IFERROR(VALUE(RIGHT(LEFT($J567,FIND(AB$1,$J567,IF(M567=0,1,FIND(AB$1,$J567,1)+1))+LEN(AB$1)),1)),0)</f>
        <v>0</v>
      </c>
      <c r="AC567" s="13">
        <f t="shared" si="1134"/>
        <v>0</v>
      </c>
      <c r="AD567" s="13">
        <f t="shared" si="1134"/>
        <v>0</v>
      </c>
      <c r="AE567" s="13">
        <f t="shared" si="1134"/>
        <v>1</v>
      </c>
      <c r="AF567" s="13">
        <f t="shared" si="1134"/>
        <v>0</v>
      </c>
      <c r="AG567" s="13">
        <f t="shared" si="1134"/>
        <v>0</v>
      </c>
      <c r="AH567" s="13">
        <f t="shared" si="1134"/>
        <v>0</v>
      </c>
      <c r="AI567" s="13">
        <f t="shared" si="1134"/>
        <v>0</v>
      </c>
      <c r="AJ567" s="13">
        <f t="shared" si="1134"/>
        <v>0</v>
      </c>
      <c r="AK567" s="13">
        <f t="shared" si="1134"/>
        <v>0</v>
      </c>
      <c r="AL567" s="13">
        <f t="shared" si="1134"/>
        <v>0</v>
      </c>
      <c r="AM567" s="13">
        <f t="shared" si="1134"/>
        <v>0</v>
      </c>
      <c r="AN567" s="13">
        <f t="shared" si="1134"/>
        <v>0</v>
      </c>
      <c r="AO567" s="13">
        <f t="shared" si="1134"/>
        <v>1</v>
      </c>
      <c r="AP567" s="13">
        <f t="shared" si="1134"/>
        <v>0</v>
      </c>
      <c r="AQ567" s="13"/>
      <c r="AR567" s="13" t="s">
        <v>3744</v>
      </c>
      <c r="AS567" s="13" t="s">
        <v>3745</v>
      </c>
      <c r="AT567" s="13" t="s">
        <v>573</v>
      </c>
      <c r="AU567" s="13" t="s">
        <v>130</v>
      </c>
      <c r="AV567" s="13" t="s">
        <v>3746</v>
      </c>
      <c r="AW567" s="13">
        <v>25.0</v>
      </c>
      <c r="AX567" s="13">
        <v>7.0</v>
      </c>
      <c r="AY567" s="13">
        <v>0.0</v>
      </c>
      <c r="AZ567" s="13" t="s">
        <v>1419</v>
      </c>
      <c r="BA567" s="13"/>
      <c r="BB567" s="13"/>
      <c r="BC567" s="13"/>
      <c r="BD567" s="13" t="s">
        <v>1113</v>
      </c>
      <c r="BE567" s="13"/>
      <c r="BF567" s="13" t="s">
        <v>3747</v>
      </c>
      <c r="BG567" s="13"/>
      <c r="BH567" s="13" t="s">
        <v>79</v>
      </c>
      <c r="BI567" s="13" t="b">
        <v>0</v>
      </c>
      <c r="BJ567" s="13">
        <v>0.0</v>
      </c>
      <c r="BK567" s="13">
        <v>0.0</v>
      </c>
    </row>
    <row r="568" ht="14.25" customHeight="1">
      <c r="A568" s="13">
        <v>566.0</v>
      </c>
      <c r="B568" s="13" t="s">
        <v>45</v>
      </c>
      <c r="C568" s="13">
        <v>5.0</v>
      </c>
      <c r="D568" s="14">
        <v>0.0</v>
      </c>
      <c r="E568" s="13" t="s">
        <v>3748</v>
      </c>
      <c r="F568" s="15" t="s">
        <v>3525</v>
      </c>
      <c r="G568" s="16" t="s">
        <v>3749</v>
      </c>
      <c r="H568" s="13"/>
      <c r="I568" s="13">
        <v>1.0</v>
      </c>
      <c r="J568" s="13" t="s">
        <v>3750</v>
      </c>
      <c r="K568" s="13">
        <f t="shared" si="3"/>
        <v>3</v>
      </c>
      <c r="L568" s="13">
        <f t="shared" si="4"/>
        <v>2</v>
      </c>
      <c r="M568" s="13">
        <f t="shared" ref="M568:AA568" si="1135">IFERROR(VALUE(RIGHT(LEFT($J568,FIND(M$1,$J568,1)+LEN(M$1)),1)),0)</f>
        <v>0</v>
      </c>
      <c r="N568" s="13">
        <f t="shared" si="1135"/>
        <v>0</v>
      </c>
      <c r="O568" s="13">
        <f t="shared" si="1135"/>
        <v>0</v>
      </c>
      <c r="P568" s="13">
        <f t="shared" si="1135"/>
        <v>2</v>
      </c>
      <c r="Q568" s="13">
        <f t="shared" si="1135"/>
        <v>0</v>
      </c>
      <c r="R568" s="13">
        <f t="shared" si="1135"/>
        <v>0</v>
      </c>
      <c r="S568" s="13">
        <f t="shared" si="1135"/>
        <v>0</v>
      </c>
      <c r="T568" s="13">
        <f t="shared" si="1135"/>
        <v>1</v>
      </c>
      <c r="U568" s="13">
        <f t="shared" si="1135"/>
        <v>0</v>
      </c>
      <c r="V568" s="13">
        <f t="shared" si="1135"/>
        <v>0</v>
      </c>
      <c r="W568" s="13">
        <f t="shared" si="1135"/>
        <v>0</v>
      </c>
      <c r="X568" s="13">
        <f t="shared" si="1135"/>
        <v>0</v>
      </c>
      <c r="Y568" s="13">
        <f t="shared" si="1135"/>
        <v>0</v>
      </c>
      <c r="Z568" s="13">
        <f t="shared" si="1135"/>
        <v>0</v>
      </c>
      <c r="AA568" s="13">
        <f t="shared" si="1135"/>
        <v>0</v>
      </c>
      <c r="AB568" s="13">
        <f t="shared" ref="AB568:AP568" si="1136">IFERROR(VALUE(RIGHT(LEFT($J568,FIND(AB$1,$J568,IF(M568=0,1,FIND(AB$1,$J568,1)+1))+LEN(AB$1)),1)),0)</f>
        <v>0</v>
      </c>
      <c r="AC568" s="13">
        <f t="shared" si="1136"/>
        <v>0</v>
      </c>
      <c r="AD568" s="13">
        <f t="shared" si="1136"/>
        <v>0</v>
      </c>
      <c r="AE568" s="13">
        <f t="shared" si="1136"/>
        <v>1</v>
      </c>
      <c r="AF568" s="13">
        <f t="shared" si="1136"/>
        <v>0</v>
      </c>
      <c r="AG568" s="13">
        <f t="shared" si="1136"/>
        <v>0</v>
      </c>
      <c r="AH568" s="13">
        <f t="shared" si="1136"/>
        <v>0</v>
      </c>
      <c r="AI568" s="13">
        <f t="shared" si="1136"/>
        <v>1</v>
      </c>
      <c r="AJ568" s="13">
        <f t="shared" si="1136"/>
        <v>0</v>
      </c>
      <c r="AK568" s="13">
        <f t="shared" si="1136"/>
        <v>0</v>
      </c>
      <c r="AL568" s="13">
        <f t="shared" si="1136"/>
        <v>0</v>
      </c>
      <c r="AM568" s="13">
        <f t="shared" si="1136"/>
        <v>0</v>
      </c>
      <c r="AN568" s="13">
        <f t="shared" si="1136"/>
        <v>0</v>
      </c>
      <c r="AO568" s="13">
        <f t="shared" si="1136"/>
        <v>0</v>
      </c>
      <c r="AP568" s="13">
        <f t="shared" si="1136"/>
        <v>0</v>
      </c>
      <c r="AQ568" s="13" t="s">
        <v>3751</v>
      </c>
      <c r="AR568" s="13"/>
      <c r="AS568" s="13" t="s">
        <v>3752</v>
      </c>
      <c r="AT568" s="13"/>
      <c r="AU568" s="13"/>
      <c r="AV568" s="13"/>
      <c r="AW568" s="13">
        <v>0.0</v>
      </c>
      <c r="AX568" s="13">
        <v>7.0</v>
      </c>
      <c r="AY568" s="13">
        <v>0.0</v>
      </c>
      <c r="AZ568" s="13"/>
      <c r="BA568" s="13"/>
      <c r="BB568" s="13"/>
      <c r="BC568" s="13"/>
      <c r="BD568" s="13"/>
      <c r="BE568" s="13"/>
      <c r="BF568" s="13"/>
      <c r="BG568" s="13"/>
      <c r="BH568" s="13" t="s">
        <v>79</v>
      </c>
      <c r="BI568" s="13" t="b">
        <v>0</v>
      </c>
      <c r="BJ568" s="13">
        <v>0.0</v>
      </c>
      <c r="BK568" s="13">
        <v>0.0</v>
      </c>
    </row>
    <row r="569" ht="14.25" customHeight="1">
      <c r="A569" s="13">
        <v>567.0</v>
      </c>
      <c r="B569" s="13" t="s">
        <v>46</v>
      </c>
      <c r="C569" s="13">
        <v>5.0</v>
      </c>
      <c r="D569" s="14">
        <v>0.0</v>
      </c>
      <c r="E569" s="13" t="s">
        <v>3753</v>
      </c>
      <c r="F569" s="15" t="s">
        <v>3525</v>
      </c>
      <c r="G569" s="16" t="s">
        <v>3754</v>
      </c>
      <c r="H569" s="13"/>
      <c r="I569" s="13">
        <v>0.9</v>
      </c>
      <c r="J569" s="13" t="s">
        <v>3755</v>
      </c>
      <c r="K569" s="13">
        <f t="shared" si="3"/>
        <v>2</v>
      </c>
      <c r="L569" s="13">
        <f t="shared" si="4"/>
        <v>2</v>
      </c>
      <c r="M569" s="13">
        <f t="shared" ref="M569:AA569" si="1137">IFERROR(VALUE(RIGHT(LEFT($J569,FIND(M$1,$J569,1)+LEN(M$1)),1)),0)</f>
        <v>0</v>
      </c>
      <c r="N569" s="13">
        <f t="shared" si="1137"/>
        <v>0</v>
      </c>
      <c r="O569" s="13">
        <f t="shared" si="1137"/>
        <v>1</v>
      </c>
      <c r="P569" s="13">
        <f t="shared" si="1137"/>
        <v>0</v>
      </c>
      <c r="Q569" s="13">
        <f t="shared" si="1137"/>
        <v>0</v>
      </c>
      <c r="R569" s="13">
        <f t="shared" si="1137"/>
        <v>0</v>
      </c>
      <c r="S569" s="13">
        <f t="shared" si="1137"/>
        <v>0</v>
      </c>
      <c r="T569" s="13">
        <f t="shared" si="1137"/>
        <v>0</v>
      </c>
      <c r="U569" s="13">
        <f t="shared" si="1137"/>
        <v>1</v>
      </c>
      <c r="V569" s="13">
        <f t="shared" si="1137"/>
        <v>0</v>
      </c>
      <c r="W569" s="13">
        <f t="shared" si="1137"/>
        <v>0</v>
      </c>
      <c r="X569" s="13">
        <f t="shared" si="1137"/>
        <v>0</v>
      </c>
      <c r="Y569" s="13">
        <f t="shared" si="1137"/>
        <v>0</v>
      </c>
      <c r="Z569" s="13">
        <f t="shared" si="1137"/>
        <v>0</v>
      </c>
      <c r="AA569" s="13">
        <f t="shared" si="1137"/>
        <v>0</v>
      </c>
      <c r="AB569" s="13">
        <f t="shared" ref="AB569:AP569" si="1138">IFERROR(VALUE(RIGHT(LEFT($J569,FIND(AB$1,$J569,IF(M569=0,1,FIND(AB$1,$J569,1)+1))+LEN(AB$1)),1)),0)</f>
        <v>0</v>
      </c>
      <c r="AC569" s="13">
        <f t="shared" si="1138"/>
        <v>0</v>
      </c>
      <c r="AD569" s="13">
        <f t="shared" si="1138"/>
        <v>2</v>
      </c>
      <c r="AE569" s="13">
        <f t="shared" si="1138"/>
        <v>0</v>
      </c>
      <c r="AF569" s="13">
        <f t="shared" si="1138"/>
        <v>0</v>
      </c>
      <c r="AG569" s="13">
        <f t="shared" si="1138"/>
        <v>0</v>
      </c>
      <c r="AH569" s="13">
        <f t="shared" si="1138"/>
        <v>0</v>
      </c>
      <c r="AI569" s="13">
        <f t="shared" si="1138"/>
        <v>0</v>
      </c>
      <c r="AJ569" s="13">
        <f t="shared" si="1138"/>
        <v>0</v>
      </c>
      <c r="AK569" s="13">
        <f t="shared" si="1138"/>
        <v>0</v>
      </c>
      <c r="AL569" s="13">
        <f t="shared" si="1138"/>
        <v>0</v>
      </c>
      <c r="AM569" s="13">
        <f t="shared" si="1138"/>
        <v>0</v>
      </c>
      <c r="AN569" s="13">
        <f t="shared" si="1138"/>
        <v>0</v>
      </c>
      <c r="AO569" s="13">
        <f t="shared" si="1138"/>
        <v>0</v>
      </c>
      <c r="AP569" s="13">
        <f t="shared" si="1138"/>
        <v>0</v>
      </c>
      <c r="AQ569" s="13" t="s">
        <v>3756</v>
      </c>
      <c r="AR569" s="13"/>
      <c r="AS569" s="13" t="s">
        <v>3757</v>
      </c>
      <c r="AT569" s="13"/>
      <c r="AU569" s="13"/>
      <c r="AV569" s="13"/>
      <c r="AW569" s="13">
        <v>0.0</v>
      </c>
      <c r="AX569" s="13">
        <v>7.0</v>
      </c>
      <c r="AY569" s="13">
        <v>0.0</v>
      </c>
      <c r="AZ569" s="13"/>
      <c r="BA569" s="13"/>
      <c r="BB569" s="13"/>
      <c r="BC569" s="13"/>
      <c r="BD569" s="13"/>
      <c r="BE569" s="13"/>
      <c r="BF569" s="13"/>
      <c r="BG569" s="13"/>
      <c r="BH569" s="13" t="s">
        <v>79</v>
      </c>
      <c r="BI569" s="13" t="b">
        <v>0</v>
      </c>
      <c r="BJ569" s="13">
        <v>0.0</v>
      </c>
      <c r="BK569" s="13">
        <v>0.0</v>
      </c>
    </row>
    <row r="570" ht="14.25" customHeight="1">
      <c r="A570" s="13">
        <v>568.0</v>
      </c>
      <c r="B570" s="13" t="s">
        <v>52</v>
      </c>
      <c r="C570" s="13">
        <v>5.0</v>
      </c>
      <c r="D570" s="14">
        <v>0.0</v>
      </c>
      <c r="E570" s="13" t="s">
        <v>3758</v>
      </c>
      <c r="F570" s="15" t="s">
        <v>3525</v>
      </c>
      <c r="G570" s="16" t="s">
        <v>3759</v>
      </c>
      <c r="H570" s="13">
        <v>17.0</v>
      </c>
      <c r="I570" s="13">
        <v>1.2</v>
      </c>
      <c r="J570" s="13" t="s">
        <v>3760</v>
      </c>
      <c r="K570" s="13">
        <f t="shared" si="3"/>
        <v>2</v>
      </c>
      <c r="L570" s="13">
        <f t="shared" si="4"/>
        <v>2</v>
      </c>
      <c r="M570" s="13">
        <f t="shared" ref="M570:AA570" si="1139">IFERROR(VALUE(RIGHT(LEFT($J570,FIND(M$1,$J570,1)+LEN(M$1)),1)),0)</f>
        <v>0</v>
      </c>
      <c r="N570" s="13">
        <f t="shared" si="1139"/>
        <v>0</v>
      </c>
      <c r="O570" s="13">
        <f t="shared" si="1139"/>
        <v>1</v>
      </c>
      <c r="P570" s="13">
        <f t="shared" si="1139"/>
        <v>0</v>
      </c>
      <c r="Q570" s="13">
        <f t="shared" si="1139"/>
        <v>0</v>
      </c>
      <c r="R570" s="13">
        <f t="shared" si="1139"/>
        <v>0</v>
      </c>
      <c r="S570" s="13">
        <f t="shared" si="1139"/>
        <v>0</v>
      </c>
      <c r="T570" s="13">
        <f t="shared" si="1139"/>
        <v>0</v>
      </c>
      <c r="U570" s="13">
        <f t="shared" si="1139"/>
        <v>0</v>
      </c>
      <c r="V570" s="13">
        <f t="shared" si="1139"/>
        <v>0</v>
      </c>
      <c r="W570" s="13">
        <f t="shared" si="1139"/>
        <v>0</v>
      </c>
      <c r="X570" s="13">
        <f t="shared" si="1139"/>
        <v>0</v>
      </c>
      <c r="Y570" s="13">
        <f t="shared" si="1139"/>
        <v>0</v>
      </c>
      <c r="Z570" s="13">
        <f t="shared" si="1139"/>
        <v>0</v>
      </c>
      <c r="AA570" s="13">
        <f t="shared" si="1139"/>
        <v>1</v>
      </c>
      <c r="AB570" s="13">
        <f t="shared" ref="AB570:AP570" si="1140">IFERROR(VALUE(RIGHT(LEFT($J570,FIND(AB$1,$J570,IF(M570=0,1,FIND(AB$1,$J570,1)+1))+LEN(AB$1)),1)),0)</f>
        <v>0</v>
      </c>
      <c r="AC570" s="13">
        <f t="shared" si="1140"/>
        <v>0</v>
      </c>
      <c r="AD570" s="13">
        <f t="shared" si="1140"/>
        <v>0</v>
      </c>
      <c r="AE570" s="13">
        <f t="shared" si="1140"/>
        <v>0</v>
      </c>
      <c r="AF570" s="13">
        <f t="shared" si="1140"/>
        <v>0</v>
      </c>
      <c r="AG570" s="13">
        <f t="shared" si="1140"/>
        <v>0</v>
      </c>
      <c r="AH570" s="13">
        <f t="shared" si="1140"/>
        <v>0</v>
      </c>
      <c r="AI570" s="13">
        <f t="shared" si="1140"/>
        <v>0</v>
      </c>
      <c r="AJ570" s="13">
        <f t="shared" si="1140"/>
        <v>0</v>
      </c>
      <c r="AK570" s="13">
        <f t="shared" si="1140"/>
        <v>0</v>
      </c>
      <c r="AL570" s="13">
        <f t="shared" si="1140"/>
        <v>0</v>
      </c>
      <c r="AM570" s="13">
        <f t="shared" si="1140"/>
        <v>0</v>
      </c>
      <c r="AN570" s="13">
        <f t="shared" si="1140"/>
        <v>0</v>
      </c>
      <c r="AO570" s="13">
        <f t="shared" si="1140"/>
        <v>0</v>
      </c>
      <c r="AP570" s="13">
        <f t="shared" si="1140"/>
        <v>2</v>
      </c>
      <c r="AQ570" s="13"/>
      <c r="AR570" s="13" t="s">
        <v>3761</v>
      </c>
      <c r="AS570" s="13" t="s">
        <v>3762</v>
      </c>
      <c r="AT570" s="13" t="s">
        <v>573</v>
      </c>
      <c r="AU570" s="13" t="s">
        <v>130</v>
      </c>
      <c r="AV570" s="13" t="s">
        <v>3763</v>
      </c>
      <c r="AW570" s="13">
        <v>30.0</v>
      </c>
      <c r="AX570" s="13">
        <v>7.0</v>
      </c>
      <c r="AY570" s="13">
        <v>0.0</v>
      </c>
      <c r="AZ570" s="13" t="s">
        <v>3764</v>
      </c>
      <c r="BA570" s="13"/>
      <c r="BB570" s="13"/>
      <c r="BC570" s="13"/>
      <c r="BD570" s="13" t="s">
        <v>282</v>
      </c>
      <c r="BE570" s="13" t="s">
        <v>3765</v>
      </c>
      <c r="BF570" s="13" t="s">
        <v>3766</v>
      </c>
      <c r="BG570" s="13"/>
      <c r="BH570" s="13" t="s">
        <v>79</v>
      </c>
      <c r="BI570" s="13" t="b">
        <v>0</v>
      </c>
      <c r="BJ570" s="13">
        <v>0.0</v>
      </c>
      <c r="BK570" s="13">
        <v>0.0</v>
      </c>
    </row>
    <row r="571" ht="14.25" customHeight="1">
      <c r="A571" s="13">
        <v>569.0</v>
      </c>
      <c r="B571" s="13" t="s">
        <v>44</v>
      </c>
      <c r="C571" s="13">
        <v>0.0</v>
      </c>
      <c r="D571" s="14">
        <v>0.0</v>
      </c>
      <c r="E571" s="13" t="s">
        <v>3767</v>
      </c>
      <c r="F571" s="15" t="s">
        <v>561</v>
      </c>
      <c r="G571" s="16" t="s">
        <v>3768</v>
      </c>
      <c r="H571" s="13"/>
      <c r="I571" s="13">
        <v>1.0</v>
      </c>
      <c r="J571" s="13" t="s">
        <v>2185</v>
      </c>
      <c r="K571" s="13">
        <f t="shared" si="3"/>
        <v>0</v>
      </c>
      <c r="L571" s="13">
        <f t="shared" si="4"/>
        <v>1</v>
      </c>
      <c r="M571" s="13">
        <f t="shared" ref="M571:AA571" si="1141">IFERROR(VALUE(RIGHT(LEFT($J571,FIND(M$1,$J571,1)+LEN(M$1)),1)),0)</f>
        <v>0</v>
      </c>
      <c r="N571" s="13">
        <f t="shared" si="1141"/>
        <v>0</v>
      </c>
      <c r="O571" s="13">
        <f t="shared" si="1141"/>
        <v>0</v>
      </c>
      <c r="P571" s="13">
        <f t="shared" si="1141"/>
        <v>0</v>
      </c>
      <c r="Q571" s="13">
        <f t="shared" si="1141"/>
        <v>0</v>
      </c>
      <c r="R571" s="13">
        <f t="shared" si="1141"/>
        <v>0</v>
      </c>
      <c r="S571" s="13">
        <f t="shared" si="1141"/>
        <v>0</v>
      </c>
      <c r="T571" s="13">
        <f t="shared" si="1141"/>
        <v>0</v>
      </c>
      <c r="U571" s="13">
        <f t="shared" si="1141"/>
        <v>0</v>
      </c>
      <c r="V571" s="13">
        <f t="shared" si="1141"/>
        <v>0</v>
      </c>
      <c r="W571" s="13">
        <f t="shared" si="1141"/>
        <v>0</v>
      </c>
      <c r="X571" s="13">
        <f t="shared" si="1141"/>
        <v>0</v>
      </c>
      <c r="Y571" s="13">
        <f t="shared" si="1141"/>
        <v>0</v>
      </c>
      <c r="Z571" s="13">
        <f t="shared" si="1141"/>
        <v>0</v>
      </c>
      <c r="AA571" s="13">
        <f t="shared" si="1141"/>
        <v>0</v>
      </c>
      <c r="AB571" s="13">
        <f t="shared" ref="AB571:AP571" si="1142">IFERROR(VALUE(RIGHT(LEFT($J571,FIND(AB$1,$J571,IF(M571=0,1,FIND(AB$1,$J571,1)+1))+LEN(AB$1)),1)),0)</f>
        <v>0</v>
      </c>
      <c r="AC571" s="13">
        <f t="shared" si="1142"/>
        <v>0</v>
      </c>
      <c r="AD571" s="13">
        <f t="shared" si="1142"/>
        <v>0</v>
      </c>
      <c r="AE571" s="13">
        <f t="shared" si="1142"/>
        <v>0</v>
      </c>
      <c r="AF571" s="13">
        <f t="shared" si="1142"/>
        <v>0</v>
      </c>
      <c r="AG571" s="13">
        <f t="shared" si="1142"/>
        <v>0</v>
      </c>
      <c r="AH571" s="13">
        <f t="shared" si="1142"/>
        <v>1</v>
      </c>
      <c r="AI571" s="13">
        <f t="shared" si="1142"/>
        <v>0</v>
      </c>
      <c r="AJ571" s="13">
        <f t="shared" si="1142"/>
        <v>0</v>
      </c>
      <c r="AK571" s="13">
        <f t="shared" si="1142"/>
        <v>0</v>
      </c>
      <c r="AL571" s="13">
        <f t="shared" si="1142"/>
        <v>0</v>
      </c>
      <c r="AM571" s="13">
        <f t="shared" si="1142"/>
        <v>0</v>
      </c>
      <c r="AN571" s="13">
        <f t="shared" si="1142"/>
        <v>0</v>
      </c>
      <c r="AO571" s="13">
        <f t="shared" si="1142"/>
        <v>0</v>
      </c>
      <c r="AP571" s="13">
        <f t="shared" si="1142"/>
        <v>0</v>
      </c>
      <c r="AQ571" s="13" t="s">
        <v>3769</v>
      </c>
      <c r="AR571" s="13"/>
      <c r="AS571" s="13" t="s">
        <v>85</v>
      </c>
      <c r="AT571" s="13"/>
      <c r="AU571" s="13"/>
      <c r="AV571" s="13"/>
      <c r="AW571" s="13">
        <v>0.0</v>
      </c>
      <c r="AX571" s="13">
        <v>8.0</v>
      </c>
      <c r="AY571" s="13">
        <v>0.0</v>
      </c>
      <c r="AZ571" s="13"/>
      <c r="BA571" s="13"/>
      <c r="BB571" s="13"/>
      <c r="BC571" s="13"/>
      <c r="BD571" s="13"/>
      <c r="BE571" s="13"/>
      <c r="BF571" s="13"/>
      <c r="BG571" s="13"/>
      <c r="BH571" s="13" t="s">
        <v>79</v>
      </c>
      <c r="BI571" s="13" t="b">
        <v>0</v>
      </c>
      <c r="BJ571" s="13">
        <v>0.0</v>
      </c>
      <c r="BK571" s="13">
        <v>0.0</v>
      </c>
    </row>
    <row r="572" ht="14.25" customHeight="1">
      <c r="A572" s="13">
        <v>570.0</v>
      </c>
      <c r="B572" s="13" t="s">
        <v>45</v>
      </c>
      <c r="C572" s="13">
        <v>0.0</v>
      </c>
      <c r="D572" s="14">
        <v>0.0</v>
      </c>
      <c r="E572" s="13" t="s">
        <v>3770</v>
      </c>
      <c r="F572" s="15" t="s">
        <v>561</v>
      </c>
      <c r="G572" s="16" t="s">
        <v>3771</v>
      </c>
      <c r="H572" s="13"/>
      <c r="I572" s="13">
        <v>0.9</v>
      </c>
      <c r="J572" s="13" t="s">
        <v>100</v>
      </c>
      <c r="K572" s="13">
        <f t="shared" si="3"/>
        <v>0</v>
      </c>
      <c r="L572" s="13">
        <f t="shared" si="4"/>
        <v>1</v>
      </c>
      <c r="M572" s="13">
        <f t="shared" ref="M572:AA572" si="1143">IFERROR(VALUE(RIGHT(LEFT($J572,FIND(M$1,$J572,1)+LEN(M$1)),1)),0)</f>
        <v>0</v>
      </c>
      <c r="N572" s="13">
        <f t="shared" si="1143"/>
        <v>0</v>
      </c>
      <c r="O572" s="13">
        <f t="shared" si="1143"/>
        <v>0</v>
      </c>
      <c r="P572" s="13">
        <f t="shared" si="1143"/>
        <v>0</v>
      </c>
      <c r="Q572" s="13">
        <f t="shared" si="1143"/>
        <v>0</v>
      </c>
      <c r="R572" s="13">
        <f t="shared" si="1143"/>
        <v>0</v>
      </c>
      <c r="S572" s="13">
        <f t="shared" si="1143"/>
        <v>0</v>
      </c>
      <c r="T572" s="13">
        <f t="shared" si="1143"/>
        <v>0</v>
      </c>
      <c r="U572" s="13">
        <f t="shared" si="1143"/>
        <v>0</v>
      </c>
      <c r="V572" s="13">
        <f t="shared" si="1143"/>
        <v>0</v>
      </c>
      <c r="W572" s="13">
        <f t="shared" si="1143"/>
        <v>0</v>
      </c>
      <c r="X572" s="13">
        <f t="shared" si="1143"/>
        <v>0</v>
      </c>
      <c r="Y572" s="13">
        <f t="shared" si="1143"/>
        <v>0</v>
      </c>
      <c r="Z572" s="13">
        <f t="shared" si="1143"/>
        <v>0</v>
      </c>
      <c r="AA572" s="13">
        <f t="shared" si="1143"/>
        <v>0</v>
      </c>
      <c r="AB572" s="13">
        <f t="shared" ref="AB572:AP572" si="1144">IFERROR(VALUE(RIGHT(LEFT($J572,FIND(AB$1,$J572,IF(M572=0,1,FIND(AB$1,$J572,1)+1))+LEN(AB$1)),1)),0)</f>
        <v>0</v>
      </c>
      <c r="AC572" s="13">
        <f t="shared" si="1144"/>
        <v>0</v>
      </c>
      <c r="AD572" s="13">
        <f t="shared" si="1144"/>
        <v>0</v>
      </c>
      <c r="AE572" s="13">
        <f t="shared" si="1144"/>
        <v>0</v>
      </c>
      <c r="AF572" s="13">
        <f t="shared" si="1144"/>
        <v>0</v>
      </c>
      <c r="AG572" s="13">
        <f t="shared" si="1144"/>
        <v>0</v>
      </c>
      <c r="AH572" s="13">
        <f t="shared" si="1144"/>
        <v>0</v>
      </c>
      <c r="AI572" s="13">
        <f t="shared" si="1144"/>
        <v>1</v>
      </c>
      <c r="AJ572" s="13">
        <f t="shared" si="1144"/>
        <v>0</v>
      </c>
      <c r="AK572" s="13">
        <f t="shared" si="1144"/>
        <v>0</v>
      </c>
      <c r="AL572" s="13">
        <f t="shared" si="1144"/>
        <v>0</v>
      </c>
      <c r="AM572" s="13">
        <f t="shared" si="1144"/>
        <v>0</v>
      </c>
      <c r="AN572" s="13">
        <f t="shared" si="1144"/>
        <v>0</v>
      </c>
      <c r="AO572" s="13">
        <f t="shared" si="1144"/>
        <v>0</v>
      </c>
      <c r="AP572" s="13">
        <f t="shared" si="1144"/>
        <v>0</v>
      </c>
      <c r="AQ572" s="13" t="s">
        <v>3772</v>
      </c>
      <c r="AR572" s="13"/>
      <c r="AS572" s="13" t="s">
        <v>102</v>
      </c>
      <c r="AT572" s="13"/>
      <c r="AU572" s="13"/>
      <c r="AV572" s="13"/>
      <c r="AW572" s="13">
        <v>0.0</v>
      </c>
      <c r="AX572" s="13">
        <v>8.0</v>
      </c>
      <c r="AY572" s="13">
        <v>0.0</v>
      </c>
      <c r="AZ572" s="13"/>
      <c r="BA572" s="13"/>
      <c r="BB572" s="13"/>
      <c r="BC572" s="13"/>
      <c r="BD572" s="13"/>
      <c r="BE572" s="13"/>
      <c r="BF572" s="13"/>
      <c r="BG572" s="13"/>
      <c r="BH572" s="13" t="s">
        <v>79</v>
      </c>
      <c r="BI572" s="13" t="b">
        <v>0</v>
      </c>
      <c r="BJ572" s="13">
        <v>0.0</v>
      </c>
      <c r="BK572" s="13">
        <v>0.0</v>
      </c>
    </row>
    <row r="573" ht="14.25" customHeight="1">
      <c r="A573" s="13">
        <v>571.0</v>
      </c>
      <c r="B573" s="13" t="s">
        <v>46</v>
      </c>
      <c r="C573" s="13">
        <v>0.0</v>
      </c>
      <c r="D573" s="14">
        <v>0.0</v>
      </c>
      <c r="E573" s="13" t="s">
        <v>3773</v>
      </c>
      <c r="F573" s="15" t="s">
        <v>561</v>
      </c>
      <c r="G573" s="16" t="s">
        <v>3774</v>
      </c>
      <c r="H573" s="13"/>
      <c r="I573" s="13">
        <v>1.1</v>
      </c>
      <c r="J573" s="13" t="s">
        <v>215</v>
      </c>
      <c r="K573" s="13">
        <f t="shared" si="3"/>
        <v>0</v>
      </c>
      <c r="L573" s="13">
        <f t="shared" si="4"/>
        <v>1</v>
      </c>
      <c r="M573" s="13">
        <f t="shared" ref="M573:AA573" si="1145">IFERROR(VALUE(RIGHT(LEFT($J573,FIND(M$1,$J573,1)+LEN(M$1)),1)),0)</f>
        <v>0</v>
      </c>
      <c r="N573" s="13">
        <f t="shared" si="1145"/>
        <v>0</v>
      </c>
      <c r="O573" s="13">
        <f t="shared" si="1145"/>
        <v>0</v>
      </c>
      <c r="P573" s="13">
        <f t="shared" si="1145"/>
        <v>0</v>
      </c>
      <c r="Q573" s="13">
        <f t="shared" si="1145"/>
        <v>0</v>
      </c>
      <c r="R573" s="13">
        <f t="shared" si="1145"/>
        <v>0</v>
      </c>
      <c r="S573" s="13">
        <f t="shared" si="1145"/>
        <v>0</v>
      </c>
      <c r="T573" s="13">
        <f t="shared" si="1145"/>
        <v>0</v>
      </c>
      <c r="U573" s="13">
        <f t="shared" si="1145"/>
        <v>0</v>
      </c>
      <c r="V573" s="13">
        <f t="shared" si="1145"/>
        <v>0</v>
      </c>
      <c r="W573" s="13">
        <f t="shared" si="1145"/>
        <v>0</v>
      </c>
      <c r="X573" s="13">
        <f t="shared" si="1145"/>
        <v>0</v>
      </c>
      <c r="Y573" s="13">
        <f t="shared" si="1145"/>
        <v>0</v>
      </c>
      <c r="Z573" s="13">
        <f t="shared" si="1145"/>
        <v>0</v>
      </c>
      <c r="AA573" s="13">
        <f t="shared" si="1145"/>
        <v>0</v>
      </c>
      <c r="AB573" s="13">
        <f t="shared" ref="AB573:AP573" si="1146">IFERROR(VALUE(RIGHT(LEFT($J573,FIND(AB$1,$J573,IF(M573=0,1,FIND(AB$1,$J573,1)+1))+LEN(AB$1)),1)),0)</f>
        <v>1</v>
      </c>
      <c r="AC573" s="13">
        <f t="shared" si="1146"/>
        <v>0</v>
      </c>
      <c r="AD573" s="13">
        <f t="shared" si="1146"/>
        <v>0</v>
      </c>
      <c r="AE573" s="13">
        <f t="shared" si="1146"/>
        <v>0</v>
      </c>
      <c r="AF573" s="13">
        <f t="shared" si="1146"/>
        <v>0</v>
      </c>
      <c r="AG573" s="13">
        <f t="shared" si="1146"/>
        <v>0</v>
      </c>
      <c r="AH573" s="13">
        <f t="shared" si="1146"/>
        <v>0</v>
      </c>
      <c r="AI573" s="13">
        <f t="shared" si="1146"/>
        <v>0</v>
      </c>
      <c r="AJ573" s="13">
        <f t="shared" si="1146"/>
        <v>0</v>
      </c>
      <c r="AK573" s="13">
        <f t="shared" si="1146"/>
        <v>0</v>
      </c>
      <c r="AL573" s="13">
        <f t="shared" si="1146"/>
        <v>0</v>
      </c>
      <c r="AM573" s="13">
        <f t="shared" si="1146"/>
        <v>0</v>
      </c>
      <c r="AN573" s="13">
        <f t="shared" si="1146"/>
        <v>0</v>
      </c>
      <c r="AO573" s="13">
        <f t="shared" si="1146"/>
        <v>0</v>
      </c>
      <c r="AP573" s="13">
        <f t="shared" si="1146"/>
        <v>0</v>
      </c>
      <c r="AQ573" s="13" t="s">
        <v>3775</v>
      </c>
      <c r="AR573" s="13"/>
      <c r="AS573" s="13" t="s">
        <v>3776</v>
      </c>
      <c r="AT573" s="13"/>
      <c r="AU573" s="13"/>
      <c r="AV573" s="13"/>
      <c r="AW573" s="13">
        <v>0.0</v>
      </c>
      <c r="AX573" s="13">
        <v>8.0</v>
      </c>
      <c r="AY573" s="13">
        <v>0.0</v>
      </c>
      <c r="AZ573" s="13"/>
      <c r="BA573" s="13"/>
      <c r="BB573" s="13"/>
      <c r="BC573" s="13"/>
      <c r="BD573" s="13"/>
      <c r="BE573" s="13"/>
      <c r="BF573" s="13"/>
      <c r="BG573" s="13"/>
      <c r="BH573" s="13" t="s">
        <v>79</v>
      </c>
      <c r="BI573" s="13" t="b">
        <v>0</v>
      </c>
      <c r="BJ573" s="13">
        <v>0.0</v>
      </c>
      <c r="BK573" s="13">
        <v>0.0</v>
      </c>
    </row>
    <row r="574" ht="14.25" customHeight="1">
      <c r="A574" s="13">
        <v>572.0</v>
      </c>
      <c r="B574" s="13" t="s">
        <v>49</v>
      </c>
      <c r="C574" s="13">
        <v>0.0</v>
      </c>
      <c r="D574" s="14">
        <v>0.0</v>
      </c>
      <c r="E574" s="13" t="s">
        <v>3777</v>
      </c>
      <c r="F574" s="15" t="s">
        <v>561</v>
      </c>
      <c r="G574" s="16" t="s">
        <v>3778</v>
      </c>
      <c r="H574" s="13">
        <v>10.0</v>
      </c>
      <c r="I574" s="13">
        <v>0.9</v>
      </c>
      <c r="J574" s="13" t="s">
        <v>193</v>
      </c>
      <c r="K574" s="13">
        <f t="shared" si="3"/>
        <v>0</v>
      </c>
      <c r="L574" s="13">
        <f t="shared" si="4"/>
        <v>1</v>
      </c>
      <c r="M574" s="13">
        <f t="shared" ref="M574:AA574" si="1147">IFERROR(VALUE(RIGHT(LEFT($J574,FIND(M$1,$J574,1)+LEN(M$1)),1)),0)</f>
        <v>0</v>
      </c>
      <c r="N574" s="13">
        <f t="shared" si="1147"/>
        <v>0</v>
      </c>
      <c r="O574" s="13">
        <f t="shared" si="1147"/>
        <v>0</v>
      </c>
      <c r="P574" s="13">
        <f t="shared" si="1147"/>
        <v>0</v>
      </c>
      <c r="Q574" s="13">
        <f t="shared" si="1147"/>
        <v>0</v>
      </c>
      <c r="R574" s="13">
        <f t="shared" si="1147"/>
        <v>0</v>
      </c>
      <c r="S574" s="13">
        <f t="shared" si="1147"/>
        <v>0</v>
      </c>
      <c r="T574" s="13">
        <f t="shared" si="1147"/>
        <v>0</v>
      </c>
      <c r="U574" s="13">
        <f t="shared" si="1147"/>
        <v>0</v>
      </c>
      <c r="V574" s="13">
        <f t="shared" si="1147"/>
        <v>0</v>
      </c>
      <c r="W574" s="13">
        <f t="shared" si="1147"/>
        <v>0</v>
      </c>
      <c r="X574" s="13">
        <f t="shared" si="1147"/>
        <v>0</v>
      </c>
      <c r="Y574" s="13">
        <f t="shared" si="1147"/>
        <v>0</v>
      </c>
      <c r="Z574" s="13">
        <f t="shared" si="1147"/>
        <v>0</v>
      </c>
      <c r="AA574" s="13">
        <f t="shared" si="1147"/>
        <v>0</v>
      </c>
      <c r="AB574" s="13">
        <f t="shared" ref="AB574:AP574" si="1148">IFERROR(VALUE(RIGHT(LEFT($J574,FIND(AB$1,$J574,IF(M574=0,1,FIND(AB$1,$J574,1)+1))+LEN(AB$1)),1)),0)</f>
        <v>0</v>
      </c>
      <c r="AC574" s="13">
        <f t="shared" si="1148"/>
        <v>0</v>
      </c>
      <c r="AD574" s="13">
        <f t="shared" si="1148"/>
        <v>0</v>
      </c>
      <c r="AE574" s="13">
        <f t="shared" si="1148"/>
        <v>0</v>
      </c>
      <c r="AF574" s="13">
        <f t="shared" si="1148"/>
        <v>0</v>
      </c>
      <c r="AG574" s="13">
        <f t="shared" si="1148"/>
        <v>0</v>
      </c>
      <c r="AH574" s="13">
        <f t="shared" si="1148"/>
        <v>0</v>
      </c>
      <c r="AI574" s="13">
        <f t="shared" si="1148"/>
        <v>0</v>
      </c>
      <c r="AJ574" s="13">
        <f t="shared" si="1148"/>
        <v>0</v>
      </c>
      <c r="AK574" s="13">
        <f t="shared" si="1148"/>
        <v>0</v>
      </c>
      <c r="AL574" s="13">
        <f t="shared" si="1148"/>
        <v>0</v>
      </c>
      <c r="AM574" s="13">
        <f t="shared" si="1148"/>
        <v>1</v>
      </c>
      <c r="AN574" s="13">
        <f t="shared" si="1148"/>
        <v>0</v>
      </c>
      <c r="AO574" s="13">
        <f t="shared" si="1148"/>
        <v>0</v>
      </c>
      <c r="AP574" s="13">
        <f t="shared" si="1148"/>
        <v>0</v>
      </c>
      <c r="AQ574" s="13"/>
      <c r="AR574" s="13" t="s">
        <v>659</v>
      </c>
      <c r="AS574" s="13" t="s">
        <v>217</v>
      </c>
      <c r="AT574" s="13" t="s">
        <v>162</v>
      </c>
      <c r="AU574" s="13" t="s">
        <v>163</v>
      </c>
      <c r="AV574" s="13" t="s">
        <v>3779</v>
      </c>
      <c r="AW574" s="13">
        <v>4.0</v>
      </c>
      <c r="AX574" s="13">
        <v>8.0</v>
      </c>
      <c r="AY574" s="13">
        <v>0.0</v>
      </c>
      <c r="AZ574" s="13" t="s">
        <v>482</v>
      </c>
      <c r="BA574" s="13" t="s">
        <v>1214</v>
      </c>
      <c r="BB574" s="13"/>
      <c r="BC574" s="13"/>
      <c r="BD574" s="13" t="s">
        <v>220</v>
      </c>
      <c r="BE574" s="13"/>
      <c r="BF574" s="13" t="s">
        <v>3561</v>
      </c>
      <c r="BG574" s="13" t="s">
        <v>201</v>
      </c>
      <c r="BH574" s="13" t="s">
        <v>79</v>
      </c>
      <c r="BI574" s="13" t="b">
        <v>0</v>
      </c>
      <c r="BJ574" s="13">
        <v>0.0</v>
      </c>
      <c r="BK574" s="13">
        <v>0.0</v>
      </c>
    </row>
    <row r="575" ht="14.25" customHeight="1">
      <c r="A575" s="13">
        <v>573.0</v>
      </c>
      <c r="B575" s="13" t="s">
        <v>49</v>
      </c>
      <c r="C575" s="13">
        <v>0.0</v>
      </c>
      <c r="D575" s="14">
        <v>0.0</v>
      </c>
      <c r="E575" s="13" t="s">
        <v>3780</v>
      </c>
      <c r="F575" s="15" t="s">
        <v>561</v>
      </c>
      <c r="G575" s="16" t="s">
        <v>3781</v>
      </c>
      <c r="H575" s="13">
        <v>13.0</v>
      </c>
      <c r="I575" s="13">
        <v>1.0</v>
      </c>
      <c r="J575" s="13" t="s">
        <v>193</v>
      </c>
      <c r="K575" s="13">
        <f t="shared" si="3"/>
        <v>0</v>
      </c>
      <c r="L575" s="13">
        <f t="shared" si="4"/>
        <v>1</v>
      </c>
      <c r="M575" s="13">
        <f t="shared" ref="M575:AA575" si="1149">IFERROR(VALUE(RIGHT(LEFT($J575,FIND(M$1,$J575,1)+LEN(M$1)),1)),0)</f>
        <v>0</v>
      </c>
      <c r="N575" s="13">
        <f t="shared" si="1149"/>
        <v>0</v>
      </c>
      <c r="O575" s="13">
        <f t="shared" si="1149"/>
        <v>0</v>
      </c>
      <c r="P575" s="13">
        <f t="shared" si="1149"/>
        <v>0</v>
      </c>
      <c r="Q575" s="13">
        <f t="shared" si="1149"/>
        <v>0</v>
      </c>
      <c r="R575" s="13">
        <f t="shared" si="1149"/>
        <v>0</v>
      </c>
      <c r="S575" s="13">
        <f t="shared" si="1149"/>
        <v>0</v>
      </c>
      <c r="T575" s="13">
        <f t="shared" si="1149"/>
        <v>0</v>
      </c>
      <c r="U575" s="13">
        <f t="shared" si="1149"/>
        <v>0</v>
      </c>
      <c r="V575" s="13">
        <f t="shared" si="1149"/>
        <v>0</v>
      </c>
      <c r="W575" s="13">
        <f t="shared" si="1149"/>
        <v>0</v>
      </c>
      <c r="X575" s="13">
        <f t="shared" si="1149"/>
        <v>0</v>
      </c>
      <c r="Y575" s="13">
        <f t="shared" si="1149"/>
        <v>0</v>
      </c>
      <c r="Z575" s="13">
        <f t="shared" si="1149"/>
        <v>0</v>
      </c>
      <c r="AA575" s="13">
        <f t="shared" si="1149"/>
        <v>0</v>
      </c>
      <c r="AB575" s="13">
        <f t="shared" ref="AB575:AP575" si="1150">IFERROR(VALUE(RIGHT(LEFT($J575,FIND(AB$1,$J575,IF(M575=0,1,FIND(AB$1,$J575,1)+1))+LEN(AB$1)),1)),0)</f>
        <v>0</v>
      </c>
      <c r="AC575" s="13">
        <f t="shared" si="1150"/>
        <v>0</v>
      </c>
      <c r="AD575" s="13">
        <f t="shared" si="1150"/>
        <v>0</v>
      </c>
      <c r="AE575" s="13">
        <f t="shared" si="1150"/>
        <v>0</v>
      </c>
      <c r="AF575" s="13">
        <f t="shared" si="1150"/>
        <v>0</v>
      </c>
      <c r="AG575" s="13">
        <f t="shared" si="1150"/>
        <v>0</v>
      </c>
      <c r="AH575" s="13">
        <f t="shared" si="1150"/>
        <v>0</v>
      </c>
      <c r="AI575" s="13">
        <f t="shared" si="1150"/>
        <v>0</v>
      </c>
      <c r="AJ575" s="13">
        <f t="shared" si="1150"/>
        <v>0</v>
      </c>
      <c r="AK575" s="13">
        <f t="shared" si="1150"/>
        <v>0</v>
      </c>
      <c r="AL575" s="13">
        <f t="shared" si="1150"/>
        <v>0</v>
      </c>
      <c r="AM575" s="13">
        <f t="shared" si="1150"/>
        <v>1</v>
      </c>
      <c r="AN575" s="13">
        <f t="shared" si="1150"/>
        <v>0</v>
      </c>
      <c r="AO575" s="13">
        <f t="shared" si="1150"/>
        <v>0</v>
      </c>
      <c r="AP575" s="13">
        <f t="shared" si="1150"/>
        <v>0</v>
      </c>
      <c r="AQ575" s="13"/>
      <c r="AR575" s="13" t="s">
        <v>3782</v>
      </c>
      <c r="AS575" s="13" t="s">
        <v>3783</v>
      </c>
      <c r="AT575" s="13" t="s">
        <v>142</v>
      </c>
      <c r="AU575" s="13" t="s">
        <v>130</v>
      </c>
      <c r="AV575" s="13" t="s">
        <v>3784</v>
      </c>
      <c r="AW575" s="13">
        <v>7.0</v>
      </c>
      <c r="AX575" s="13">
        <v>8.0</v>
      </c>
      <c r="AY575" s="13">
        <v>0.0</v>
      </c>
      <c r="AZ575" s="13" t="s">
        <v>529</v>
      </c>
      <c r="BA575" s="13" t="s">
        <v>906</v>
      </c>
      <c r="BB575" s="13"/>
      <c r="BC575" s="13"/>
      <c r="BD575" s="13" t="s">
        <v>199</v>
      </c>
      <c r="BE575" s="13"/>
      <c r="BF575" s="13" t="s">
        <v>2414</v>
      </c>
      <c r="BG575" s="13" t="s">
        <v>201</v>
      </c>
      <c r="BH575" s="13" t="s">
        <v>79</v>
      </c>
      <c r="BI575" s="13" t="b">
        <v>0</v>
      </c>
      <c r="BJ575" s="13">
        <v>0.0</v>
      </c>
      <c r="BK575" s="13">
        <v>0.0</v>
      </c>
    </row>
    <row r="576" ht="14.25" customHeight="1">
      <c r="A576" s="13">
        <v>574.0</v>
      </c>
      <c r="B576" s="13" t="s">
        <v>47</v>
      </c>
      <c r="C576" s="13">
        <v>0.0</v>
      </c>
      <c r="D576" s="14">
        <v>0.0</v>
      </c>
      <c r="E576" s="13" t="s">
        <v>3785</v>
      </c>
      <c r="F576" s="15" t="s">
        <v>561</v>
      </c>
      <c r="G576" s="16" t="s">
        <v>3786</v>
      </c>
      <c r="H576" s="13">
        <v>12.0</v>
      </c>
      <c r="I576" s="13">
        <v>1.1</v>
      </c>
      <c r="J576" s="13" t="s">
        <v>215</v>
      </c>
      <c r="K576" s="13">
        <f t="shared" si="3"/>
        <v>0</v>
      </c>
      <c r="L576" s="13">
        <f t="shared" si="4"/>
        <v>1</v>
      </c>
      <c r="M576" s="13">
        <f t="shared" ref="M576:AA576" si="1151">IFERROR(VALUE(RIGHT(LEFT($J576,FIND(M$1,$J576,1)+LEN(M$1)),1)),0)</f>
        <v>0</v>
      </c>
      <c r="N576" s="13">
        <f t="shared" si="1151"/>
        <v>0</v>
      </c>
      <c r="O576" s="13">
        <f t="shared" si="1151"/>
        <v>0</v>
      </c>
      <c r="P576" s="13">
        <f t="shared" si="1151"/>
        <v>0</v>
      </c>
      <c r="Q576" s="13">
        <f t="shared" si="1151"/>
        <v>0</v>
      </c>
      <c r="R576" s="13">
        <f t="shared" si="1151"/>
        <v>0</v>
      </c>
      <c r="S576" s="13">
        <f t="shared" si="1151"/>
        <v>0</v>
      </c>
      <c r="T576" s="13">
        <f t="shared" si="1151"/>
        <v>0</v>
      </c>
      <c r="U576" s="13">
        <f t="shared" si="1151"/>
        <v>0</v>
      </c>
      <c r="V576" s="13">
        <f t="shared" si="1151"/>
        <v>0</v>
      </c>
      <c r="W576" s="13">
        <f t="shared" si="1151"/>
        <v>0</v>
      </c>
      <c r="X576" s="13">
        <f t="shared" si="1151"/>
        <v>0</v>
      </c>
      <c r="Y576" s="13">
        <f t="shared" si="1151"/>
        <v>0</v>
      </c>
      <c r="Z576" s="13">
        <f t="shared" si="1151"/>
        <v>0</v>
      </c>
      <c r="AA576" s="13">
        <f t="shared" si="1151"/>
        <v>0</v>
      </c>
      <c r="AB576" s="13">
        <f t="shared" ref="AB576:AP576" si="1152">IFERROR(VALUE(RIGHT(LEFT($J576,FIND(AB$1,$J576,IF(M576=0,1,FIND(AB$1,$J576,1)+1))+LEN(AB$1)),1)),0)</f>
        <v>1</v>
      </c>
      <c r="AC576" s="13">
        <f t="shared" si="1152"/>
        <v>0</v>
      </c>
      <c r="AD576" s="13">
        <f t="shared" si="1152"/>
        <v>0</v>
      </c>
      <c r="AE576" s="13">
        <f t="shared" si="1152"/>
        <v>0</v>
      </c>
      <c r="AF576" s="13">
        <f t="shared" si="1152"/>
        <v>0</v>
      </c>
      <c r="AG576" s="13">
        <f t="shared" si="1152"/>
        <v>0</v>
      </c>
      <c r="AH576" s="13">
        <f t="shared" si="1152"/>
        <v>0</v>
      </c>
      <c r="AI576" s="13">
        <f t="shared" si="1152"/>
        <v>0</v>
      </c>
      <c r="AJ576" s="13">
        <f t="shared" si="1152"/>
        <v>0</v>
      </c>
      <c r="AK576" s="13">
        <f t="shared" si="1152"/>
        <v>0</v>
      </c>
      <c r="AL576" s="13">
        <f t="shared" si="1152"/>
        <v>0</v>
      </c>
      <c r="AM576" s="13">
        <f t="shared" si="1152"/>
        <v>0</v>
      </c>
      <c r="AN576" s="13">
        <f t="shared" si="1152"/>
        <v>0</v>
      </c>
      <c r="AO576" s="13">
        <f t="shared" si="1152"/>
        <v>0</v>
      </c>
      <c r="AP576" s="13">
        <f t="shared" si="1152"/>
        <v>0</v>
      </c>
      <c r="AQ576" s="13"/>
      <c r="AR576" s="13" t="s">
        <v>3787</v>
      </c>
      <c r="AS576" s="13" t="s">
        <v>3788</v>
      </c>
      <c r="AT576" s="13" t="s">
        <v>175</v>
      </c>
      <c r="AU576" s="13" t="s">
        <v>130</v>
      </c>
      <c r="AV576" s="13" t="s">
        <v>3789</v>
      </c>
      <c r="AW576" s="13">
        <v>6.0</v>
      </c>
      <c r="AX576" s="13">
        <v>8.0</v>
      </c>
      <c r="AY576" s="13">
        <v>0.0</v>
      </c>
      <c r="AZ576" s="13" t="s">
        <v>249</v>
      </c>
      <c r="BA576" s="13" t="s">
        <v>2204</v>
      </c>
      <c r="BB576" s="13"/>
      <c r="BC576" s="13"/>
      <c r="BD576" s="13" t="s">
        <v>134</v>
      </c>
      <c r="BE576" s="13"/>
      <c r="BF576" s="13" t="s">
        <v>3409</v>
      </c>
      <c r="BG576" s="13" t="s">
        <v>136</v>
      </c>
      <c r="BH576" s="13" t="s">
        <v>79</v>
      </c>
      <c r="BI576" s="13" t="b">
        <v>0</v>
      </c>
      <c r="BJ576" s="13">
        <v>0.0</v>
      </c>
      <c r="BK576" s="13">
        <v>0.0</v>
      </c>
    </row>
    <row r="577" ht="14.25" customHeight="1">
      <c r="A577" s="13">
        <v>575.0</v>
      </c>
      <c r="B577" s="13" t="s">
        <v>47</v>
      </c>
      <c r="C577" s="13">
        <v>0.0</v>
      </c>
      <c r="D577" s="14">
        <v>0.0</v>
      </c>
      <c r="E577" s="13" t="s">
        <v>3790</v>
      </c>
      <c r="F577" s="15" t="s">
        <v>561</v>
      </c>
      <c r="G577" s="16" t="s">
        <v>3791</v>
      </c>
      <c r="H577" s="13">
        <v>9.0</v>
      </c>
      <c r="I577" s="13">
        <v>0.9</v>
      </c>
      <c r="J577" s="13" t="s">
        <v>127</v>
      </c>
      <c r="K577" s="13">
        <f t="shared" si="3"/>
        <v>0</v>
      </c>
      <c r="L577" s="13">
        <f t="shared" si="4"/>
        <v>1</v>
      </c>
      <c r="M577" s="13">
        <f t="shared" ref="M577:AA577" si="1153">IFERROR(VALUE(RIGHT(LEFT($J577,FIND(M$1,$J577,1)+LEN(M$1)),1)),0)</f>
        <v>0</v>
      </c>
      <c r="N577" s="13">
        <f t="shared" si="1153"/>
        <v>0</v>
      </c>
      <c r="O577" s="13">
        <f t="shared" si="1153"/>
        <v>0</v>
      </c>
      <c r="P577" s="13">
        <f t="shared" si="1153"/>
        <v>0</v>
      </c>
      <c r="Q577" s="13">
        <f t="shared" si="1153"/>
        <v>0</v>
      </c>
      <c r="R577" s="13">
        <f t="shared" si="1153"/>
        <v>0</v>
      </c>
      <c r="S577" s="13">
        <f t="shared" si="1153"/>
        <v>0</v>
      </c>
      <c r="T577" s="13">
        <f t="shared" si="1153"/>
        <v>0</v>
      </c>
      <c r="U577" s="13">
        <f t="shared" si="1153"/>
        <v>0</v>
      </c>
      <c r="V577" s="13">
        <f t="shared" si="1153"/>
        <v>0</v>
      </c>
      <c r="W577" s="13">
        <f t="shared" si="1153"/>
        <v>0</v>
      </c>
      <c r="X577" s="13">
        <f t="shared" si="1153"/>
        <v>0</v>
      </c>
      <c r="Y577" s="13">
        <f t="shared" si="1153"/>
        <v>0</v>
      </c>
      <c r="Z577" s="13">
        <f t="shared" si="1153"/>
        <v>0</v>
      </c>
      <c r="AA577" s="13">
        <f t="shared" si="1153"/>
        <v>0</v>
      </c>
      <c r="AB577" s="13">
        <f t="shared" ref="AB577:AP577" si="1154">IFERROR(VALUE(RIGHT(LEFT($J577,FIND(AB$1,$J577,IF(M577=0,1,FIND(AB$1,$J577,1)+1))+LEN(AB$1)),1)),0)</f>
        <v>0</v>
      </c>
      <c r="AC577" s="13">
        <f t="shared" si="1154"/>
        <v>0</v>
      </c>
      <c r="AD577" s="13">
        <f t="shared" si="1154"/>
        <v>0</v>
      </c>
      <c r="AE577" s="13">
        <f t="shared" si="1154"/>
        <v>0</v>
      </c>
      <c r="AF577" s="13">
        <f t="shared" si="1154"/>
        <v>0</v>
      </c>
      <c r="AG577" s="13">
        <f t="shared" si="1154"/>
        <v>0</v>
      </c>
      <c r="AH577" s="13">
        <f t="shared" si="1154"/>
        <v>0</v>
      </c>
      <c r="AI577" s="13">
        <f t="shared" si="1154"/>
        <v>0</v>
      </c>
      <c r="AJ577" s="13">
        <f t="shared" si="1154"/>
        <v>0</v>
      </c>
      <c r="AK577" s="13">
        <f t="shared" si="1154"/>
        <v>1</v>
      </c>
      <c r="AL577" s="13">
        <f t="shared" si="1154"/>
        <v>0</v>
      </c>
      <c r="AM577" s="13">
        <f t="shared" si="1154"/>
        <v>0</v>
      </c>
      <c r="AN577" s="13">
        <f t="shared" si="1154"/>
        <v>0</v>
      </c>
      <c r="AO577" s="13">
        <f t="shared" si="1154"/>
        <v>0</v>
      </c>
      <c r="AP577" s="13">
        <f t="shared" si="1154"/>
        <v>0</v>
      </c>
      <c r="AQ577" s="13"/>
      <c r="AR577" s="13" t="s">
        <v>3792</v>
      </c>
      <c r="AS577" s="13" t="s">
        <v>141</v>
      </c>
      <c r="AT577" s="13" t="s">
        <v>257</v>
      </c>
      <c r="AU577" s="13" t="s">
        <v>143</v>
      </c>
      <c r="AV577" s="13" t="s">
        <v>3793</v>
      </c>
      <c r="AW577" s="13">
        <v>3.0</v>
      </c>
      <c r="AX577" s="13">
        <v>8.0</v>
      </c>
      <c r="AY577" s="13">
        <v>0.0</v>
      </c>
      <c r="AZ577" s="13" t="s">
        <v>259</v>
      </c>
      <c r="BA577" s="13" t="s">
        <v>601</v>
      </c>
      <c r="BB577" s="13"/>
      <c r="BC577" s="13"/>
      <c r="BD577" s="13" t="s">
        <v>484</v>
      </c>
      <c r="BE577" s="13"/>
      <c r="BF577" s="13" t="s">
        <v>2258</v>
      </c>
      <c r="BG577" s="13" t="s">
        <v>136</v>
      </c>
      <c r="BH577" s="13" t="s">
        <v>79</v>
      </c>
      <c r="BI577" s="13" t="b">
        <v>0</v>
      </c>
      <c r="BJ577" s="13">
        <v>0.0</v>
      </c>
      <c r="BK577" s="13">
        <v>0.0</v>
      </c>
    </row>
    <row r="578" ht="14.25" customHeight="1">
      <c r="A578" s="13">
        <v>576.0</v>
      </c>
      <c r="B578" s="13" t="s">
        <v>44</v>
      </c>
      <c r="C578" s="13">
        <v>1.0</v>
      </c>
      <c r="D578" s="14">
        <v>0.0</v>
      </c>
      <c r="E578" s="13" t="s">
        <v>3794</v>
      </c>
      <c r="F578" s="15" t="s">
        <v>561</v>
      </c>
      <c r="G578" s="16" t="s">
        <v>3795</v>
      </c>
      <c r="H578" s="13"/>
      <c r="I578" s="13">
        <v>1.1</v>
      </c>
      <c r="J578" s="13" t="s">
        <v>77</v>
      </c>
      <c r="K578" s="13">
        <f t="shared" si="3"/>
        <v>0</v>
      </c>
      <c r="L578" s="13">
        <f t="shared" si="4"/>
        <v>2</v>
      </c>
      <c r="M578" s="13">
        <f t="shared" ref="M578:AA578" si="1155">IFERROR(VALUE(RIGHT(LEFT($J578,FIND(M$1,$J578,1)+LEN(M$1)),1)),0)</f>
        <v>0</v>
      </c>
      <c r="N578" s="13">
        <f t="shared" si="1155"/>
        <v>0</v>
      </c>
      <c r="O578" s="13">
        <f t="shared" si="1155"/>
        <v>0</v>
      </c>
      <c r="P578" s="13">
        <f t="shared" si="1155"/>
        <v>0</v>
      </c>
      <c r="Q578" s="13">
        <f t="shared" si="1155"/>
        <v>0</v>
      </c>
      <c r="R578" s="13">
        <f t="shared" si="1155"/>
        <v>0</v>
      </c>
      <c r="S578" s="13">
        <f t="shared" si="1155"/>
        <v>0</v>
      </c>
      <c r="T578" s="13">
        <f t="shared" si="1155"/>
        <v>0</v>
      </c>
      <c r="U578" s="13">
        <f t="shared" si="1155"/>
        <v>0</v>
      </c>
      <c r="V578" s="13">
        <f t="shared" si="1155"/>
        <v>0</v>
      </c>
      <c r="W578" s="13">
        <f t="shared" si="1155"/>
        <v>0</v>
      </c>
      <c r="X578" s="13">
        <f t="shared" si="1155"/>
        <v>0</v>
      </c>
      <c r="Y578" s="13">
        <f t="shared" si="1155"/>
        <v>0</v>
      </c>
      <c r="Z578" s="13">
        <f t="shared" si="1155"/>
        <v>0</v>
      </c>
      <c r="AA578" s="13">
        <f t="shared" si="1155"/>
        <v>0</v>
      </c>
      <c r="AB578" s="13">
        <f t="shared" ref="AB578:AP578" si="1156">IFERROR(VALUE(RIGHT(LEFT($J578,FIND(AB$1,$J578,IF(M578=0,1,FIND(AB$1,$J578,1)+1))+LEN(AB$1)),1)),0)</f>
        <v>0</v>
      </c>
      <c r="AC578" s="13">
        <f t="shared" si="1156"/>
        <v>0</v>
      </c>
      <c r="AD578" s="13">
        <f t="shared" si="1156"/>
        <v>0</v>
      </c>
      <c r="AE578" s="13">
        <f t="shared" si="1156"/>
        <v>0</v>
      </c>
      <c r="AF578" s="13">
        <f t="shared" si="1156"/>
        <v>0</v>
      </c>
      <c r="AG578" s="13">
        <f t="shared" si="1156"/>
        <v>1</v>
      </c>
      <c r="AH578" s="13">
        <f t="shared" si="1156"/>
        <v>1</v>
      </c>
      <c r="AI578" s="13">
        <f t="shared" si="1156"/>
        <v>0</v>
      </c>
      <c r="AJ578" s="13">
        <f t="shared" si="1156"/>
        <v>0</v>
      </c>
      <c r="AK578" s="13">
        <f t="shared" si="1156"/>
        <v>0</v>
      </c>
      <c r="AL578" s="13">
        <f t="shared" si="1156"/>
        <v>0</v>
      </c>
      <c r="AM578" s="13">
        <f t="shared" si="1156"/>
        <v>0</v>
      </c>
      <c r="AN578" s="13">
        <f t="shared" si="1156"/>
        <v>0</v>
      </c>
      <c r="AO578" s="13">
        <f t="shared" si="1156"/>
        <v>0</v>
      </c>
      <c r="AP578" s="13">
        <f t="shared" si="1156"/>
        <v>0</v>
      </c>
      <c r="AQ578" s="13" t="s">
        <v>3796</v>
      </c>
      <c r="AR578" s="13"/>
      <c r="AS578" s="13" t="s">
        <v>3797</v>
      </c>
      <c r="AT578" s="13"/>
      <c r="AU578" s="13"/>
      <c r="AV578" s="13"/>
      <c r="AW578" s="13">
        <v>0.0</v>
      </c>
      <c r="AX578" s="13">
        <v>8.0</v>
      </c>
      <c r="AY578" s="13">
        <v>0.0</v>
      </c>
      <c r="AZ578" s="13"/>
      <c r="BA578" s="13"/>
      <c r="BB578" s="13"/>
      <c r="BC578" s="13"/>
      <c r="BD578" s="13"/>
      <c r="BE578" s="13"/>
      <c r="BF578" s="13"/>
      <c r="BG578" s="13"/>
      <c r="BH578" s="13" t="s">
        <v>79</v>
      </c>
      <c r="BI578" s="13" t="b">
        <v>0</v>
      </c>
      <c r="BJ578" s="13">
        <v>0.0</v>
      </c>
      <c r="BK578" s="13">
        <v>0.0</v>
      </c>
    </row>
    <row r="579" ht="14.25" customHeight="1">
      <c r="A579" s="13">
        <v>577.0</v>
      </c>
      <c r="B579" s="13" t="s">
        <v>45</v>
      </c>
      <c r="C579" s="13">
        <v>1.0</v>
      </c>
      <c r="D579" s="14">
        <v>0.0</v>
      </c>
      <c r="E579" s="13" t="s">
        <v>3798</v>
      </c>
      <c r="F579" s="15" t="s">
        <v>561</v>
      </c>
      <c r="G579" s="16" t="s">
        <v>3799</v>
      </c>
      <c r="H579" s="13"/>
      <c r="I579" s="13">
        <v>1.0</v>
      </c>
      <c r="J579" s="13" t="s">
        <v>2613</v>
      </c>
      <c r="K579" s="13">
        <f t="shared" si="3"/>
        <v>0</v>
      </c>
      <c r="L579" s="13">
        <f t="shared" si="4"/>
        <v>2</v>
      </c>
      <c r="M579" s="13">
        <f t="shared" ref="M579:AA579" si="1157">IFERROR(VALUE(RIGHT(LEFT($J579,FIND(M$1,$J579,1)+LEN(M$1)),1)),0)</f>
        <v>0</v>
      </c>
      <c r="N579" s="13">
        <f t="shared" si="1157"/>
        <v>0</v>
      </c>
      <c r="O579" s="13">
        <f t="shared" si="1157"/>
        <v>0</v>
      </c>
      <c r="P579" s="13">
        <f t="shared" si="1157"/>
        <v>0</v>
      </c>
      <c r="Q579" s="13">
        <f t="shared" si="1157"/>
        <v>0</v>
      </c>
      <c r="R579" s="13">
        <f t="shared" si="1157"/>
        <v>0</v>
      </c>
      <c r="S579" s="13">
        <f t="shared" si="1157"/>
        <v>0</v>
      </c>
      <c r="T579" s="13">
        <f t="shared" si="1157"/>
        <v>0</v>
      </c>
      <c r="U579" s="13">
        <f t="shared" si="1157"/>
        <v>0</v>
      </c>
      <c r="V579" s="13">
        <f t="shared" si="1157"/>
        <v>0</v>
      </c>
      <c r="W579" s="13">
        <f t="shared" si="1157"/>
        <v>0</v>
      </c>
      <c r="X579" s="13">
        <f t="shared" si="1157"/>
        <v>0</v>
      </c>
      <c r="Y579" s="13">
        <f t="shared" si="1157"/>
        <v>0</v>
      </c>
      <c r="Z579" s="13">
        <f t="shared" si="1157"/>
        <v>0</v>
      </c>
      <c r="AA579" s="13">
        <f t="shared" si="1157"/>
        <v>0</v>
      </c>
      <c r="AB579" s="13">
        <f t="shared" ref="AB579:AP579" si="1158">IFERROR(VALUE(RIGHT(LEFT($J579,FIND(AB$1,$J579,IF(M579=0,1,FIND(AB$1,$J579,1)+1))+LEN(AB$1)),1)),0)</f>
        <v>0</v>
      </c>
      <c r="AC579" s="13">
        <f t="shared" si="1158"/>
        <v>0</v>
      </c>
      <c r="AD579" s="13">
        <f t="shared" si="1158"/>
        <v>0</v>
      </c>
      <c r="AE579" s="13">
        <f t="shared" si="1158"/>
        <v>0</v>
      </c>
      <c r="AF579" s="13">
        <f t="shared" si="1158"/>
        <v>1</v>
      </c>
      <c r="AG579" s="13">
        <f t="shared" si="1158"/>
        <v>0</v>
      </c>
      <c r="AH579" s="13">
        <f t="shared" si="1158"/>
        <v>0</v>
      </c>
      <c r="AI579" s="13">
        <f t="shared" si="1158"/>
        <v>1</v>
      </c>
      <c r="AJ579" s="13">
        <f t="shared" si="1158"/>
        <v>0</v>
      </c>
      <c r="AK579" s="13">
        <f t="shared" si="1158"/>
        <v>0</v>
      </c>
      <c r="AL579" s="13">
        <f t="shared" si="1158"/>
        <v>0</v>
      </c>
      <c r="AM579" s="13">
        <f t="shared" si="1158"/>
        <v>0</v>
      </c>
      <c r="AN579" s="13">
        <f t="shared" si="1158"/>
        <v>0</v>
      </c>
      <c r="AO579" s="13">
        <f t="shared" si="1158"/>
        <v>0</v>
      </c>
      <c r="AP579" s="13">
        <f t="shared" si="1158"/>
        <v>0</v>
      </c>
      <c r="AQ579" s="13" t="s">
        <v>3800</v>
      </c>
      <c r="AR579" s="13"/>
      <c r="AS579" s="13" t="s">
        <v>3801</v>
      </c>
      <c r="AT579" s="13"/>
      <c r="AU579" s="13"/>
      <c r="AV579" s="13"/>
      <c r="AW579" s="13">
        <v>0.0</v>
      </c>
      <c r="AX579" s="13">
        <v>8.0</v>
      </c>
      <c r="AY579" s="13">
        <v>0.0</v>
      </c>
      <c r="AZ579" s="13"/>
      <c r="BA579" s="13"/>
      <c r="BB579" s="13"/>
      <c r="BC579" s="13"/>
      <c r="BD579" s="13"/>
      <c r="BE579" s="13"/>
      <c r="BF579" s="13"/>
      <c r="BG579" s="13"/>
      <c r="BH579" s="13" t="s">
        <v>79</v>
      </c>
      <c r="BI579" s="13" t="b">
        <v>0</v>
      </c>
      <c r="BJ579" s="13">
        <v>0.0</v>
      </c>
      <c r="BK579" s="13">
        <v>0.0</v>
      </c>
    </row>
    <row r="580" ht="14.25" customHeight="1">
      <c r="A580" s="13">
        <v>578.0</v>
      </c>
      <c r="B580" s="13" t="s">
        <v>46</v>
      </c>
      <c r="C580" s="13">
        <v>1.0</v>
      </c>
      <c r="D580" s="14">
        <v>0.0</v>
      </c>
      <c r="E580" s="13" t="s">
        <v>3802</v>
      </c>
      <c r="F580" s="15" t="s">
        <v>561</v>
      </c>
      <c r="G580" s="16" t="s">
        <v>3803</v>
      </c>
      <c r="H580" s="13"/>
      <c r="I580" s="13">
        <v>0.9</v>
      </c>
      <c r="J580" s="13" t="s">
        <v>425</v>
      </c>
      <c r="K580" s="13">
        <f t="shared" si="3"/>
        <v>0</v>
      </c>
      <c r="L580" s="13">
        <f t="shared" si="4"/>
        <v>2</v>
      </c>
      <c r="M580" s="13">
        <f t="shared" ref="M580:AA580" si="1159">IFERROR(VALUE(RIGHT(LEFT($J580,FIND(M$1,$J580,1)+LEN(M$1)),1)),0)</f>
        <v>0</v>
      </c>
      <c r="N580" s="13">
        <f t="shared" si="1159"/>
        <v>0</v>
      </c>
      <c r="O580" s="13">
        <f t="shared" si="1159"/>
        <v>0</v>
      </c>
      <c r="P580" s="13">
        <f t="shared" si="1159"/>
        <v>0</v>
      </c>
      <c r="Q580" s="13">
        <f t="shared" si="1159"/>
        <v>0</v>
      </c>
      <c r="R580" s="13">
        <f t="shared" si="1159"/>
        <v>0</v>
      </c>
      <c r="S580" s="13">
        <f t="shared" si="1159"/>
        <v>0</v>
      </c>
      <c r="T580" s="13">
        <f t="shared" si="1159"/>
        <v>0</v>
      </c>
      <c r="U580" s="13">
        <f t="shared" si="1159"/>
        <v>0</v>
      </c>
      <c r="V580" s="13">
        <f t="shared" si="1159"/>
        <v>0</v>
      </c>
      <c r="W580" s="13">
        <f t="shared" si="1159"/>
        <v>0</v>
      </c>
      <c r="X580" s="13">
        <f t="shared" si="1159"/>
        <v>0</v>
      </c>
      <c r="Y580" s="13">
        <f t="shared" si="1159"/>
        <v>0</v>
      </c>
      <c r="Z580" s="13">
        <f t="shared" si="1159"/>
        <v>0</v>
      </c>
      <c r="AA580" s="13">
        <f t="shared" si="1159"/>
        <v>0</v>
      </c>
      <c r="AB580" s="13">
        <f t="shared" ref="AB580:AP580" si="1160">IFERROR(VALUE(RIGHT(LEFT($J580,FIND(AB$1,$J580,IF(M580=0,1,FIND(AB$1,$J580,1)+1))+LEN(AB$1)),1)),0)</f>
        <v>1</v>
      </c>
      <c r="AC580" s="13">
        <f t="shared" si="1160"/>
        <v>0</v>
      </c>
      <c r="AD580" s="13">
        <f t="shared" si="1160"/>
        <v>0</v>
      </c>
      <c r="AE580" s="13">
        <f t="shared" si="1160"/>
        <v>0</v>
      </c>
      <c r="AF580" s="13">
        <f t="shared" si="1160"/>
        <v>0</v>
      </c>
      <c r="AG580" s="13">
        <f t="shared" si="1160"/>
        <v>0</v>
      </c>
      <c r="AH580" s="13">
        <f t="shared" si="1160"/>
        <v>0</v>
      </c>
      <c r="AI580" s="13">
        <f t="shared" si="1160"/>
        <v>0</v>
      </c>
      <c r="AJ580" s="13">
        <f t="shared" si="1160"/>
        <v>1</v>
      </c>
      <c r="AK580" s="13">
        <f t="shared" si="1160"/>
        <v>0</v>
      </c>
      <c r="AL580" s="13">
        <f t="shared" si="1160"/>
        <v>0</v>
      </c>
      <c r="AM580" s="13">
        <f t="shared" si="1160"/>
        <v>0</v>
      </c>
      <c r="AN580" s="13">
        <f t="shared" si="1160"/>
        <v>0</v>
      </c>
      <c r="AO580" s="13">
        <f t="shared" si="1160"/>
        <v>0</v>
      </c>
      <c r="AP580" s="13">
        <f t="shared" si="1160"/>
        <v>0</v>
      </c>
      <c r="AQ580" s="13" t="s">
        <v>3804</v>
      </c>
      <c r="AR580" s="13"/>
      <c r="AS580" s="13" t="s">
        <v>3805</v>
      </c>
      <c r="AT580" s="13"/>
      <c r="AU580" s="13"/>
      <c r="AV580" s="13"/>
      <c r="AW580" s="13">
        <v>0.0</v>
      </c>
      <c r="AX580" s="13">
        <v>8.0</v>
      </c>
      <c r="AY580" s="13">
        <v>0.0</v>
      </c>
      <c r="AZ580" s="13"/>
      <c r="BA580" s="13"/>
      <c r="BB580" s="13"/>
      <c r="BC580" s="13"/>
      <c r="BD580" s="13"/>
      <c r="BE580" s="13"/>
      <c r="BF580" s="13"/>
      <c r="BG580" s="13"/>
      <c r="BH580" s="13" t="s">
        <v>79</v>
      </c>
      <c r="BI580" s="13" t="b">
        <v>0</v>
      </c>
      <c r="BJ580" s="13">
        <v>0.0</v>
      </c>
      <c r="BK580" s="13">
        <v>0.0</v>
      </c>
    </row>
    <row r="581" ht="14.25" customHeight="1">
      <c r="A581" s="13">
        <v>579.0</v>
      </c>
      <c r="B581" s="13" t="s">
        <v>49</v>
      </c>
      <c r="C581" s="13">
        <v>1.0</v>
      </c>
      <c r="D581" s="14">
        <v>0.0</v>
      </c>
      <c r="E581" s="13" t="s">
        <v>3806</v>
      </c>
      <c r="F581" s="15" t="s">
        <v>3807</v>
      </c>
      <c r="G581" s="16" t="s">
        <v>3808</v>
      </c>
      <c r="H581" s="13">
        <v>13.0</v>
      </c>
      <c r="I581" s="13">
        <v>1.0</v>
      </c>
      <c r="J581" s="13" t="s">
        <v>638</v>
      </c>
      <c r="K581" s="13">
        <f t="shared" si="3"/>
        <v>0</v>
      </c>
      <c r="L581" s="13">
        <f t="shared" si="4"/>
        <v>2</v>
      </c>
      <c r="M581" s="13">
        <f t="shared" ref="M581:AA581" si="1161">IFERROR(VALUE(RIGHT(LEFT($J581,FIND(M$1,$J581,1)+LEN(M$1)),1)),0)</f>
        <v>0</v>
      </c>
      <c r="N581" s="13">
        <f t="shared" si="1161"/>
        <v>0</v>
      </c>
      <c r="O581" s="13">
        <f t="shared" si="1161"/>
        <v>0</v>
      </c>
      <c r="P581" s="13">
        <f t="shared" si="1161"/>
        <v>0</v>
      </c>
      <c r="Q581" s="13">
        <f t="shared" si="1161"/>
        <v>0</v>
      </c>
      <c r="R581" s="13">
        <f t="shared" si="1161"/>
        <v>0</v>
      </c>
      <c r="S581" s="13">
        <f t="shared" si="1161"/>
        <v>0</v>
      </c>
      <c r="T581" s="13">
        <f t="shared" si="1161"/>
        <v>0</v>
      </c>
      <c r="U581" s="13">
        <f t="shared" si="1161"/>
        <v>0</v>
      </c>
      <c r="V581" s="13">
        <f t="shared" si="1161"/>
        <v>0</v>
      </c>
      <c r="W581" s="13">
        <f t="shared" si="1161"/>
        <v>0</v>
      </c>
      <c r="X581" s="13">
        <f t="shared" si="1161"/>
        <v>0</v>
      </c>
      <c r="Y581" s="13">
        <f t="shared" si="1161"/>
        <v>0</v>
      </c>
      <c r="Z581" s="13">
        <f t="shared" si="1161"/>
        <v>0</v>
      </c>
      <c r="AA581" s="13">
        <f t="shared" si="1161"/>
        <v>0</v>
      </c>
      <c r="AB581" s="13">
        <f t="shared" ref="AB581:AP581" si="1162">IFERROR(VALUE(RIGHT(LEFT($J581,FIND(AB$1,$J581,IF(M581=0,1,FIND(AB$1,$J581,1)+1))+LEN(AB$1)),1)),0)</f>
        <v>1</v>
      </c>
      <c r="AC581" s="13">
        <f t="shared" si="1162"/>
        <v>0</v>
      </c>
      <c r="AD581" s="13">
        <f t="shared" si="1162"/>
        <v>0</v>
      </c>
      <c r="AE581" s="13">
        <f t="shared" si="1162"/>
        <v>0</v>
      </c>
      <c r="AF581" s="13">
        <f t="shared" si="1162"/>
        <v>0</v>
      </c>
      <c r="AG581" s="13">
        <f t="shared" si="1162"/>
        <v>0</v>
      </c>
      <c r="AH581" s="13">
        <f t="shared" si="1162"/>
        <v>0</v>
      </c>
      <c r="AI581" s="13">
        <f t="shared" si="1162"/>
        <v>0</v>
      </c>
      <c r="AJ581" s="13">
        <f t="shared" si="1162"/>
        <v>0</v>
      </c>
      <c r="AK581" s="13">
        <f t="shared" si="1162"/>
        <v>0</v>
      </c>
      <c r="AL581" s="13">
        <f t="shared" si="1162"/>
        <v>0</v>
      </c>
      <c r="AM581" s="13">
        <f t="shared" si="1162"/>
        <v>1</v>
      </c>
      <c r="AN581" s="13">
        <f t="shared" si="1162"/>
        <v>0</v>
      </c>
      <c r="AO581" s="13">
        <f t="shared" si="1162"/>
        <v>0</v>
      </c>
      <c r="AP581" s="13">
        <f t="shared" si="1162"/>
        <v>0</v>
      </c>
      <c r="AQ581" s="13"/>
      <c r="AR581" s="13" t="s">
        <v>3809</v>
      </c>
      <c r="AS581" s="13" t="s">
        <v>2238</v>
      </c>
      <c r="AT581" s="13" t="s">
        <v>162</v>
      </c>
      <c r="AU581" s="13" t="s">
        <v>163</v>
      </c>
      <c r="AV581" s="13" t="s">
        <v>3810</v>
      </c>
      <c r="AW581" s="13">
        <v>10.0</v>
      </c>
      <c r="AX581" s="13">
        <v>8.0</v>
      </c>
      <c r="AY581" s="13">
        <v>0.0</v>
      </c>
      <c r="AZ581" s="13" t="s">
        <v>519</v>
      </c>
      <c r="BA581" s="13" t="s">
        <v>520</v>
      </c>
      <c r="BB581" s="13"/>
      <c r="BC581" s="13"/>
      <c r="BD581" s="13" t="s">
        <v>220</v>
      </c>
      <c r="BE581" s="13"/>
      <c r="BF581" s="13" t="s">
        <v>3639</v>
      </c>
      <c r="BG581" s="13" t="s">
        <v>201</v>
      </c>
      <c r="BH581" s="13" t="s">
        <v>79</v>
      </c>
      <c r="BI581" s="13" t="b">
        <v>0</v>
      </c>
      <c r="BJ581" s="13">
        <v>0.0</v>
      </c>
      <c r="BK581" s="13">
        <v>0.0</v>
      </c>
    </row>
    <row r="582" ht="14.25" customHeight="1">
      <c r="A582" s="13">
        <v>580.0</v>
      </c>
      <c r="B582" s="13" t="s">
        <v>49</v>
      </c>
      <c r="C582" s="13">
        <v>1.0</v>
      </c>
      <c r="D582" s="14">
        <v>0.0</v>
      </c>
      <c r="E582" s="13" t="s">
        <v>3811</v>
      </c>
      <c r="F582" s="15" t="s">
        <v>561</v>
      </c>
      <c r="G582" s="16" t="s">
        <v>3812</v>
      </c>
      <c r="H582" s="13">
        <v>12.0</v>
      </c>
      <c r="I582" s="13">
        <v>1.0</v>
      </c>
      <c r="J582" s="13" t="s">
        <v>645</v>
      </c>
      <c r="K582" s="13">
        <f t="shared" si="3"/>
        <v>0</v>
      </c>
      <c r="L582" s="13">
        <f t="shared" si="4"/>
        <v>2</v>
      </c>
      <c r="M582" s="13">
        <f t="shared" ref="M582:AA582" si="1163">IFERROR(VALUE(RIGHT(LEFT($J582,FIND(M$1,$J582,1)+LEN(M$1)),1)),0)</f>
        <v>0</v>
      </c>
      <c r="N582" s="13">
        <f t="shared" si="1163"/>
        <v>0</v>
      </c>
      <c r="O582" s="13">
        <f t="shared" si="1163"/>
        <v>0</v>
      </c>
      <c r="P582" s="13">
        <f t="shared" si="1163"/>
        <v>0</v>
      </c>
      <c r="Q582" s="13">
        <f t="shared" si="1163"/>
        <v>0</v>
      </c>
      <c r="R582" s="13">
        <f t="shared" si="1163"/>
        <v>0</v>
      </c>
      <c r="S582" s="13">
        <f t="shared" si="1163"/>
        <v>0</v>
      </c>
      <c r="T582" s="13">
        <f t="shared" si="1163"/>
        <v>0</v>
      </c>
      <c r="U582" s="13">
        <f t="shared" si="1163"/>
        <v>0</v>
      </c>
      <c r="V582" s="13">
        <f t="shared" si="1163"/>
        <v>0</v>
      </c>
      <c r="W582" s="13">
        <f t="shared" si="1163"/>
        <v>0</v>
      </c>
      <c r="X582" s="13">
        <f t="shared" si="1163"/>
        <v>0</v>
      </c>
      <c r="Y582" s="13">
        <f t="shared" si="1163"/>
        <v>0</v>
      </c>
      <c r="Z582" s="13">
        <f t="shared" si="1163"/>
        <v>0</v>
      </c>
      <c r="AA582" s="13">
        <f t="shared" si="1163"/>
        <v>0</v>
      </c>
      <c r="AB582" s="13">
        <f t="shared" ref="AB582:AP582" si="1164">IFERROR(VALUE(RIGHT(LEFT($J582,FIND(AB$1,$J582,IF(M582=0,1,FIND(AB$1,$J582,1)+1))+LEN(AB$1)),1)),0)</f>
        <v>0</v>
      </c>
      <c r="AC582" s="13">
        <f t="shared" si="1164"/>
        <v>0</v>
      </c>
      <c r="AD582" s="13">
        <f t="shared" si="1164"/>
        <v>0</v>
      </c>
      <c r="AE582" s="13">
        <f t="shared" si="1164"/>
        <v>0</v>
      </c>
      <c r="AF582" s="13">
        <f t="shared" si="1164"/>
        <v>1</v>
      </c>
      <c r="AG582" s="13">
        <f t="shared" si="1164"/>
        <v>0</v>
      </c>
      <c r="AH582" s="13">
        <f t="shared" si="1164"/>
        <v>0</v>
      </c>
      <c r="AI582" s="13">
        <f t="shared" si="1164"/>
        <v>0</v>
      </c>
      <c r="AJ582" s="13">
        <f t="shared" si="1164"/>
        <v>0</v>
      </c>
      <c r="AK582" s="13">
        <f t="shared" si="1164"/>
        <v>0</v>
      </c>
      <c r="AL582" s="13">
        <f t="shared" si="1164"/>
        <v>0</v>
      </c>
      <c r="AM582" s="13">
        <f t="shared" si="1164"/>
        <v>1</v>
      </c>
      <c r="AN582" s="13">
        <f t="shared" si="1164"/>
        <v>0</v>
      </c>
      <c r="AO582" s="13">
        <f t="shared" si="1164"/>
        <v>0</v>
      </c>
      <c r="AP582" s="13">
        <f t="shared" si="1164"/>
        <v>0</v>
      </c>
      <c r="AQ582" s="13"/>
      <c r="AR582" s="13" t="s">
        <v>3813</v>
      </c>
      <c r="AS582" s="13" t="s">
        <v>3814</v>
      </c>
      <c r="AT582" s="13" t="s">
        <v>162</v>
      </c>
      <c r="AU582" s="13" t="s">
        <v>195</v>
      </c>
      <c r="AV582" s="13" t="s">
        <v>3815</v>
      </c>
      <c r="AW582" s="13">
        <v>9.0</v>
      </c>
      <c r="AX582" s="13">
        <v>8.0</v>
      </c>
      <c r="AY582" s="13">
        <v>0.0</v>
      </c>
      <c r="AZ582" s="13" t="s">
        <v>770</v>
      </c>
      <c r="BA582" s="13" t="s">
        <v>655</v>
      </c>
      <c r="BB582" s="13"/>
      <c r="BC582" s="13"/>
      <c r="BD582" s="13" t="s">
        <v>199</v>
      </c>
      <c r="BE582" s="13"/>
      <c r="BF582" s="13" t="s">
        <v>3409</v>
      </c>
      <c r="BG582" s="13" t="s">
        <v>201</v>
      </c>
      <c r="BH582" s="13" t="s">
        <v>79</v>
      </c>
      <c r="BI582" s="13" t="b">
        <v>0</v>
      </c>
      <c r="BJ582" s="13">
        <v>0.0</v>
      </c>
      <c r="BK582" s="13">
        <v>0.0</v>
      </c>
    </row>
    <row r="583" ht="14.25" customHeight="1">
      <c r="A583" s="13">
        <v>581.0</v>
      </c>
      <c r="B583" s="13" t="s">
        <v>47</v>
      </c>
      <c r="C583" s="13">
        <v>1.0</v>
      </c>
      <c r="D583" s="14">
        <v>0.0</v>
      </c>
      <c r="E583" s="13" t="s">
        <v>3816</v>
      </c>
      <c r="F583" s="15" t="s">
        <v>561</v>
      </c>
      <c r="G583" s="16" t="s">
        <v>3817</v>
      </c>
      <c r="H583" s="13">
        <v>11.0</v>
      </c>
      <c r="I583" s="13">
        <v>0.9</v>
      </c>
      <c r="J583" s="13" t="s">
        <v>489</v>
      </c>
      <c r="K583" s="13">
        <f t="shared" si="3"/>
        <v>0</v>
      </c>
      <c r="L583" s="13">
        <f t="shared" si="4"/>
        <v>2</v>
      </c>
      <c r="M583" s="13">
        <f t="shared" ref="M583:AA583" si="1165">IFERROR(VALUE(RIGHT(LEFT($J583,FIND(M$1,$J583,1)+LEN(M$1)),1)),0)</f>
        <v>0</v>
      </c>
      <c r="N583" s="13">
        <f t="shared" si="1165"/>
        <v>0</v>
      </c>
      <c r="O583" s="13">
        <f t="shared" si="1165"/>
        <v>0</v>
      </c>
      <c r="P583" s="13">
        <f t="shared" si="1165"/>
        <v>0</v>
      </c>
      <c r="Q583" s="13">
        <f t="shared" si="1165"/>
        <v>0</v>
      </c>
      <c r="R583" s="13">
        <f t="shared" si="1165"/>
        <v>0</v>
      </c>
      <c r="S583" s="13">
        <f t="shared" si="1165"/>
        <v>0</v>
      </c>
      <c r="T583" s="13">
        <f t="shared" si="1165"/>
        <v>0</v>
      </c>
      <c r="U583" s="13">
        <f t="shared" si="1165"/>
        <v>0</v>
      </c>
      <c r="V583" s="13">
        <f t="shared" si="1165"/>
        <v>0</v>
      </c>
      <c r="W583" s="13">
        <f t="shared" si="1165"/>
        <v>0</v>
      </c>
      <c r="X583" s="13">
        <f t="shared" si="1165"/>
        <v>0</v>
      </c>
      <c r="Y583" s="13">
        <f t="shared" si="1165"/>
        <v>0</v>
      </c>
      <c r="Z583" s="13">
        <f t="shared" si="1165"/>
        <v>0</v>
      </c>
      <c r="AA583" s="13">
        <f t="shared" si="1165"/>
        <v>0</v>
      </c>
      <c r="AB583" s="13">
        <f t="shared" ref="AB583:AP583" si="1166">IFERROR(VALUE(RIGHT(LEFT($J583,FIND(AB$1,$J583,IF(M583=0,1,FIND(AB$1,$J583,1)+1))+LEN(AB$1)),1)),0)</f>
        <v>1</v>
      </c>
      <c r="AC583" s="13">
        <f t="shared" si="1166"/>
        <v>0</v>
      </c>
      <c r="AD583" s="13">
        <f t="shared" si="1166"/>
        <v>0</v>
      </c>
      <c r="AE583" s="13">
        <f t="shared" si="1166"/>
        <v>0</v>
      </c>
      <c r="AF583" s="13">
        <f t="shared" si="1166"/>
        <v>0</v>
      </c>
      <c r="AG583" s="13">
        <f t="shared" si="1166"/>
        <v>0</v>
      </c>
      <c r="AH583" s="13">
        <f t="shared" si="1166"/>
        <v>0</v>
      </c>
      <c r="AI583" s="13">
        <f t="shared" si="1166"/>
        <v>0</v>
      </c>
      <c r="AJ583" s="13">
        <f t="shared" si="1166"/>
        <v>0</v>
      </c>
      <c r="AK583" s="13">
        <f t="shared" si="1166"/>
        <v>1</v>
      </c>
      <c r="AL583" s="13">
        <f t="shared" si="1166"/>
        <v>0</v>
      </c>
      <c r="AM583" s="13">
        <f t="shared" si="1166"/>
        <v>0</v>
      </c>
      <c r="AN583" s="13">
        <f t="shared" si="1166"/>
        <v>0</v>
      </c>
      <c r="AO583" s="13">
        <f t="shared" si="1166"/>
        <v>0</v>
      </c>
      <c r="AP583" s="13">
        <f t="shared" si="1166"/>
        <v>0</v>
      </c>
      <c r="AQ583" s="13"/>
      <c r="AR583" s="13" t="s">
        <v>3818</v>
      </c>
      <c r="AS583" s="13" t="s">
        <v>491</v>
      </c>
      <c r="AT583" s="13" t="s">
        <v>142</v>
      </c>
      <c r="AU583" s="13" t="s">
        <v>803</v>
      </c>
      <c r="AV583" s="13" t="s">
        <v>3819</v>
      </c>
      <c r="AW583" s="13">
        <v>8.0</v>
      </c>
      <c r="AX583" s="13">
        <v>8.0</v>
      </c>
      <c r="AY583" s="13">
        <v>0.0</v>
      </c>
      <c r="AZ583" s="13" t="s">
        <v>529</v>
      </c>
      <c r="BA583" s="13" t="s">
        <v>806</v>
      </c>
      <c r="BB583" s="13"/>
      <c r="BC583" s="13"/>
      <c r="BD583" s="13" t="s">
        <v>134</v>
      </c>
      <c r="BE583" s="13"/>
      <c r="BF583" s="13" t="s">
        <v>2211</v>
      </c>
      <c r="BG583" s="13" t="s">
        <v>136</v>
      </c>
      <c r="BH583" s="13" t="s">
        <v>79</v>
      </c>
      <c r="BI583" s="13" t="b">
        <v>0</v>
      </c>
      <c r="BJ583" s="13">
        <v>0.0</v>
      </c>
      <c r="BK583" s="13">
        <v>0.0</v>
      </c>
    </row>
    <row r="584" ht="14.25" customHeight="1">
      <c r="A584" s="13">
        <v>582.0</v>
      </c>
      <c r="B584" s="13" t="s">
        <v>47</v>
      </c>
      <c r="C584" s="13">
        <v>1.0</v>
      </c>
      <c r="D584" s="14">
        <v>0.0</v>
      </c>
      <c r="E584" s="13" t="s">
        <v>3820</v>
      </c>
      <c r="F584" s="15" t="s">
        <v>561</v>
      </c>
      <c r="G584" s="16" t="s">
        <v>3821</v>
      </c>
      <c r="H584" s="13">
        <v>14.0</v>
      </c>
      <c r="I584" s="13">
        <v>1.1</v>
      </c>
      <c r="J584" s="13" t="s">
        <v>478</v>
      </c>
      <c r="K584" s="13">
        <f t="shared" si="3"/>
        <v>0</v>
      </c>
      <c r="L584" s="13">
        <f t="shared" si="4"/>
        <v>2</v>
      </c>
      <c r="M584" s="13">
        <f t="shared" ref="M584:AA584" si="1167">IFERROR(VALUE(RIGHT(LEFT($J584,FIND(M$1,$J584,1)+LEN(M$1)),1)),0)</f>
        <v>0</v>
      </c>
      <c r="N584" s="13">
        <f t="shared" si="1167"/>
        <v>0</v>
      </c>
      <c r="O584" s="13">
        <f t="shared" si="1167"/>
        <v>0</v>
      </c>
      <c r="P584" s="13">
        <f t="shared" si="1167"/>
        <v>0</v>
      </c>
      <c r="Q584" s="13">
        <f t="shared" si="1167"/>
        <v>0</v>
      </c>
      <c r="R584" s="13">
        <f t="shared" si="1167"/>
        <v>0</v>
      </c>
      <c r="S584" s="13">
        <f t="shared" si="1167"/>
        <v>0</v>
      </c>
      <c r="T584" s="13">
        <f t="shared" si="1167"/>
        <v>0</v>
      </c>
      <c r="U584" s="13">
        <f t="shared" si="1167"/>
        <v>0</v>
      </c>
      <c r="V584" s="13">
        <f t="shared" si="1167"/>
        <v>0</v>
      </c>
      <c r="W584" s="13">
        <f t="shared" si="1167"/>
        <v>0</v>
      </c>
      <c r="X584" s="13">
        <f t="shared" si="1167"/>
        <v>0</v>
      </c>
      <c r="Y584" s="13">
        <f t="shared" si="1167"/>
        <v>0</v>
      </c>
      <c r="Z584" s="13">
        <f t="shared" si="1167"/>
        <v>0</v>
      </c>
      <c r="AA584" s="13">
        <f t="shared" si="1167"/>
        <v>0</v>
      </c>
      <c r="AB584" s="13">
        <f t="shared" ref="AB584:AP584" si="1168">IFERROR(VALUE(RIGHT(LEFT($J584,FIND(AB$1,$J584,IF(M584=0,1,FIND(AB$1,$J584,1)+1))+LEN(AB$1)),1)),0)</f>
        <v>0</v>
      </c>
      <c r="AC584" s="13">
        <f t="shared" si="1168"/>
        <v>0</v>
      </c>
      <c r="AD584" s="13">
        <f t="shared" si="1168"/>
        <v>0</v>
      </c>
      <c r="AE584" s="13">
        <f t="shared" si="1168"/>
        <v>0</v>
      </c>
      <c r="AF584" s="13">
        <f t="shared" si="1168"/>
        <v>0</v>
      </c>
      <c r="AG584" s="13">
        <f t="shared" si="1168"/>
        <v>1</v>
      </c>
      <c r="AH584" s="13">
        <f t="shared" si="1168"/>
        <v>0</v>
      </c>
      <c r="AI584" s="13">
        <f t="shared" si="1168"/>
        <v>0</v>
      </c>
      <c r="AJ584" s="13">
        <f t="shared" si="1168"/>
        <v>0</v>
      </c>
      <c r="AK584" s="13">
        <f t="shared" si="1168"/>
        <v>1</v>
      </c>
      <c r="AL584" s="13">
        <f t="shared" si="1168"/>
        <v>0</v>
      </c>
      <c r="AM584" s="13">
        <f t="shared" si="1168"/>
        <v>0</v>
      </c>
      <c r="AN584" s="13">
        <f t="shared" si="1168"/>
        <v>0</v>
      </c>
      <c r="AO584" s="13">
        <f t="shared" si="1168"/>
        <v>0</v>
      </c>
      <c r="AP584" s="13">
        <f t="shared" si="1168"/>
        <v>0</v>
      </c>
      <c r="AQ584" s="13"/>
      <c r="AR584" s="13" t="s">
        <v>3822</v>
      </c>
      <c r="AS584" s="13" t="s">
        <v>3823</v>
      </c>
      <c r="AT584" s="13" t="s">
        <v>129</v>
      </c>
      <c r="AU584" s="13" t="s">
        <v>130</v>
      </c>
      <c r="AV584" s="13" t="s">
        <v>3824</v>
      </c>
      <c r="AW584" s="13">
        <v>11.0</v>
      </c>
      <c r="AX584" s="13">
        <v>8.0</v>
      </c>
      <c r="AY584" s="13">
        <v>0.0</v>
      </c>
      <c r="AZ584" s="13" t="s">
        <v>2203</v>
      </c>
      <c r="BA584" s="13" t="s">
        <v>133</v>
      </c>
      <c r="BB584" s="13"/>
      <c r="BC584" s="13"/>
      <c r="BD584" s="13" t="s">
        <v>484</v>
      </c>
      <c r="BE584" s="13"/>
      <c r="BF584" s="13" t="s">
        <v>2089</v>
      </c>
      <c r="BG584" s="13" t="s">
        <v>136</v>
      </c>
      <c r="BH584" s="13" t="s">
        <v>79</v>
      </c>
      <c r="BI584" s="13" t="b">
        <v>0</v>
      </c>
      <c r="BJ584" s="13">
        <v>0.0</v>
      </c>
      <c r="BK584" s="13">
        <v>0.0</v>
      </c>
    </row>
    <row r="585" ht="14.25" customHeight="1">
      <c r="A585" s="13">
        <v>583.0</v>
      </c>
      <c r="B585" s="13" t="s">
        <v>44</v>
      </c>
      <c r="C585" s="13">
        <v>2.0</v>
      </c>
      <c r="D585" s="14">
        <v>0.0</v>
      </c>
      <c r="E585" s="13" t="s">
        <v>3825</v>
      </c>
      <c r="F585" s="15" t="s">
        <v>561</v>
      </c>
      <c r="G585" s="16" t="s">
        <v>3826</v>
      </c>
      <c r="H585" s="13"/>
      <c r="I585" s="13">
        <v>1.1</v>
      </c>
      <c r="J585" s="13" t="s">
        <v>954</v>
      </c>
      <c r="K585" s="13">
        <f t="shared" si="3"/>
        <v>0</v>
      </c>
      <c r="L585" s="13">
        <f t="shared" si="4"/>
        <v>3</v>
      </c>
      <c r="M585" s="13">
        <f t="shared" ref="M585:AA585" si="1169">IFERROR(VALUE(RIGHT(LEFT($J585,FIND(M$1,$J585,1)+LEN(M$1)),1)),0)</f>
        <v>0</v>
      </c>
      <c r="N585" s="13">
        <f t="shared" si="1169"/>
        <v>0</v>
      </c>
      <c r="O585" s="13">
        <f t="shared" si="1169"/>
        <v>0</v>
      </c>
      <c r="P585" s="13">
        <f t="shared" si="1169"/>
        <v>0</v>
      </c>
      <c r="Q585" s="13">
        <f t="shared" si="1169"/>
        <v>0</v>
      </c>
      <c r="R585" s="13">
        <f t="shared" si="1169"/>
        <v>0</v>
      </c>
      <c r="S585" s="13">
        <f t="shared" si="1169"/>
        <v>0</v>
      </c>
      <c r="T585" s="13">
        <f t="shared" si="1169"/>
        <v>0</v>
      </c>
      <c r="U585" s="13">
        <f t="shared" si="1169"/>
        <v>0</v>
      </c>
      <c r="V585" s="13">
        <f t="shared" si="1169"/>
        <v>0</v>
      </c>
      <c r="W585" s="13">
        <f t="shared" si="1169"/>
        <v>0</v>
      </c>
      <c r="X585" s="13">
        <f t="shared" si="1169"/>
        <v>0</v>
      </c>
      <c r="Y585" s="13">
        <f t="shared" si="1169"/>
        <v>0</v>
      </c>
      <c r="Z585" s="13">
        <f t="shared" si="1169"/>
        <v>0</v>
      </c>
      <c r="AA585" s="13">
        <f t="shared" si="1169"/>
        <v>0</v>
      </c>
      <c r="AB585" s="13">
        <f t="shared" ref="AB585:AP585" si="1170">IFERROR(VALUE(RIGHT(LEFT($J585,FIND(AB$1,$J585,IF(M585=0,1,FIND(AB$1,$J585,1)+1))+LEN(AB$1)),1)),0)</f>
        <v>0</v>
      </c>
      <c r="AC585" s="13">
        <f t="shared" si="1170"/>
        <v>0</v>
      </c>
      <c r="AD585" s="13">
        <f t="shared" si="1170"/>
        <v>0</v>
      </c>
      <c r="AE585" s="13">
        <f t="shared" si="1170"/>
        <v>0</v>
      </c>
      <c r="AF585" s="13">
        <f t="shared" si="1170"/>
        <v>0</v>
      </c>
      <c r="AG585" s="13">
        <f t="shared" si="1170"/>
        <v>1</v>
      </c>
      <c r="AH585" s="13">
        <f t="shared" si="1170"/>
        <v>2</v>
      </c>
      <c r="AI585" s="13">
        <f t="shared" si="1170"/>
        <v>0</v>
      </c>
      <c r="AJ585" s="13">
        <f t="shared" si="1170"/>
        <v>0</v>
      </c>
      <c r="AK585" s="13">
        <f t="shared" si="1170"/>
        <v>0</v>
      </c>
      <c r="AL585" s="13">
        <f t="shared" si="1170"/>
        <v>0</v>
      </c>
      <c r="AM585" s="13">
        <f t="shared" si="1170"/>
        <v>0</v>
      </c>
      <c r="AN585" s="13">
        <f t="shared" si="1170"/>
        <v>0</v>
      </c>
      <c r="AO585" s="13">
        <f t="shared" si="1170"/>
        <v>0</v>
      </c>
      <c r="AP585" s="13">
        <f t="shared" si="1170"/>
        <v>0</v>
      </c>
      <c r="AQ585" s="13" t="s">
        <v>3827</v>
      </c>
      <c r="AR585" s="13"/>
      <c r="AS585" s="13" t="s">
        <v>3828</v>
      </c>
      <c r="AT585" s="13"/>
      <c r="AU585" s="13"/>
      <c r="AV585" s="13"/>
      <c r="AW585" s="13">
        <v>0.0</v>
      </c>
      <c r="AX585" s="13">
        <v>8.0</v>
      </c>
      <c r="AY585" s="13">
        <v>0.0</v>
      </c>
      <c r="AZ585" s="13"/>
      <c r="BA585" s="13"/>
      <c r="BB585" s="13"/>
      <c r="BC585" s="13"/>
      <c r="BD585" s="13"/>
      <c r="BE585" s="13"/>
      <c r="BF585" s="13"/>
      <c r="BG585" s="13"/>
      <c r="BH585" s="13" t="s">
        <v>79</v>
      </c>
      <c r="BI585" s="13" t="b">
        <v>0</v>
      </c>
      <c r="BJ585" s="13">
        <v>0.0</v>
      </c>
      <c r="BK585" s="13">
        <v>0.0</v>
      </c>
    </row>
    <row r="586" ht="14.25" customHeight="1">
      <c r="A586" s="13">
        <v>584.0</v>
      </c>
      <c r="B586" s="13" t="s">
        <v>45</v>
      </c>
      <c r="C586" s="13">
        <v>2.0</v>
      </c>
      <c r="D586" s="14">
        <v>0.0</v>
      </c>
      <c r="E586" s="13" t="s">
        <v>3829</v>
      </c>
      <c r="F586" s="15" t="s">
        <v>561</v>
      </c>
      <c r="G586" s="16" t="s">
        <v>3830</v>
      </c>
      <c r="H586" s="13"/>
      <c r="I586" s="13">
        <v>1.0</v>
      </c>
      <c r="J586" s="13" t="s">
        <v>2645</v>
      </c>
      <c r="K586" s="13">
        <f t="shared" si="3"/>
        <v>0</v>
      </c>
      <c r="L586" s="13">
        <f t="shared" si="4"/>
        <v>3</v>
      </c>
      <c r="M586" s="13">
        <f t="shared" ref="M586:AA586" si="1171">IFERROR(VALUE(RIGHT(LEFT($J586,FIND(M$1,$J586,1)+LEN(M$1)),1)),0)</f>
        <v>0</v>
      </c>
      <c r="N586" s="13">
        <f t="shared" si="1171"/>
        <v>0</v>
      </c>
      <c r="O586" s="13">
        <f t="shared" si="1171"/>
        <v>0</v>
      </c>
      <c r="P586" s="13">
        <f t="shared" si="1171"/>
        <v>0</v>
      </c>
      <c r="Q586" s="13">
        <f t="shared" si="1171"/>
        <v>0</v>
      </c>
      <c r="R586" s="13">
        <f t="shared" si="1171"/>
        <v>0</v>
      </c>
      <c r="S586" s="13">
        <f t="shared" si="1171"/>
        <v>0</v>
      </c>
      <c r="T586" s="13">
        <f t="shared" si="1171"/>
        <v>0</v>
      </c>
      <c r="U586" s="13">
        <f t="shared" si="1171"/>
        <v>0</v>
      </c>
      <c r="V586" s="13">
        <f t="shared" si="1171"/>
        <v>0</v>
      </c>
      <c r="W586" s="13">
        <f t="shared" si="1171"/>
        <v>0</v>
      </c>
      <c r="X586" s="13">
        <f t="shared" si="1171"/>
        <v>0</v>
      </c>
      <c r="Y586" s="13">
        <f t="shared" si="1171"/>
        <v>0</v>
      </c>
      <c r="Z586" s="13">
        <f t="shared" si="1171"/>
        <v>0</v>
      </c>
      <c r="AA586" s="13">
        <f t="shared" si="1171"/>
        <v>0</v>
      </c>
      <c r="AB586" s="13">
        <f t="shared" ref="AB586:AP586" si="1172">IFERROR(VALUE(RIGHT(LEFT($J586,FIND(AB$1,$J586,IF(M586=0,1,FIND(AB$1,$J586,1)+1))+LEN(AB$1)),1)),0)</f>
        <v>0</v>
      </c>
      <c r="AC586" s="13">
        <f t="shared" si="1172"/>
        <v>0</v>
      </c>
      <c r="AD586" s="13">
        <f t="shared" si="1172"/>
        <v>0</v>
      </c>
      <c r="AE586" s="13">
        <f t="shared" si="1172"/>
        <v>0</v>
      </c>
      <c r="AF586" s="13">
        <f t="shared" si="1172"/>
        <v>1</v>
      </c>
      <c r="AG586" s="13">
        <f t="shared" si="1172"/>
        <v>0</v>
      </c>
      <c r="AH586" s="13">
        <f t="shared" si="1172"/>
        <v>0</v>
      </c>
      <c r="AI586" s="13">
        <f t="shared" si="1172"/>
        <v>2</v>
      </c>
      <c r="AJ586" s="13">
        <f t="shared" si="1172"/>
        <v>0</v>
      </c>
      <c r="AK586" s="13">
        <f t="shared" si="1172"/>
        <v>0</v>
      </c>
      <c r="AL586" s="13">
        <f t="shared" si="1172"/>
        <v>0</v>
      </c>
      <c r="AM586" s="13">
        <f t="shared" si="1172"/>
        <v>0</v>
      </c>
      <c r="AN586" s="13">
        <f t="shared" si="1172"/>
        <v>0</v>
      </c>
      <c r="AO586" s="13">
        <f t="shared" si="1172"/>
        <v>0</v>
      </c>
      <c r="AP586" s="13">
        <f t="shared" si="1172"/>
        <v>0</v>
      </c>
      <c r="AQ586" s="13" t="s">
        <v>3831</v>
      </c>
      <c r="AR586" s="13"/>
      <c r="AS586" s="13" t="s">
        <v>3832</v>
      </c>
      <c r="AT586" s="13"/>
      <c r="AU586" s="13"/>
      <c r="AV586" s="13"/>
      <c r="AW586" s="13">
        <v>0.0</v>
      </c>
      <c r="AX586" s="13">
        <v>8.0</v>
      </c>
      <c r="AY586" s="13">
        <v>0.0</v>
      </c>
      <c r="AZ586" s="13"/>
      <c r="BA586" s="13"/>
      <c r="BB586" s="13"/>
      <c r="BC586" s="13"/>
      <c r="BD586" s="13"/>
      <c r="BE586" s="13"/>
      <c r="BF586" s="13"/>
      <c r="BG586" s="13"/>
      <c r="BH586" s="13" t="s">
        <v>79</v>
      </c>
      <c r="BI586" s="13" t="b">
        <v>0</v>
      </c>
      <c r="BJ586" s="13">
        <v>0.0</v>
      </c>
      <c r="BK586" s="13">
        <v>0.0</v>
      </c>
    </row>
    <row r="587" ht="14.25" customHeight="1">
      <c r="A587" s="13">
        <v>585.0</v>
      </c>
      <c r="B587" s="13" t="s">
        <v>46</v>
      </c>
      <c r="C587" s="13">
        <v>2.0</v>
      </c>
      <c r="D587" s="14">
        <v>0.0</v>
      </c>
      <c r="E587" s="13" t="s">
        <v>3833</v>
      </c>
      <c r="F587" s="15" t="s">
        <v>561</v>
      </c>
      <c r="G587" s="16" t="s">
        <v>3834</v>
      </c>
      <c r="H587" s="13"/>
      <c r="I587" s="13">
        <v>0.9</v>
      </c>
      <c r="J587" s="13" t="s">
        <v>3024</v>
      </c>
      <c r="K587" s="13">
        <f t="shared" si="3"/>
        <v>0</v>
      </c>
      <c r="L587" s="13">
        <f t="shared" si="4"/>
        <v>3</v>
      </c>
      <c r="M587" s="13">
        <f t="shared" ref="M587:AA587" si="1173">IFERROR(VALUE(RIGHT(LEFT($J587,FIND(M$1,$J587,1)+LEN(M$1)),1)),0)</f>
        <v>0</v>
      </c>
      <c r="N587" s="13">
        <f t="shared" si="1173"/>
        <v>0</v>
      </c>
      <c r="O587" s="13">
        <f t="shared" si="1173"/>
        <v>0</v>
      </c>
      <c r="P587" s="13">
        <f t="shared" si="1173"/>
        <v>0</v>
      </c>
      <c r="Q587" s="13">
        <f t="shared" si="1173"/>
        <v>0</v>
      </c>
      <c r="R587" s="13">
        <f t="shared" si="1173"/>
        <v>0</v>
      </c>
      <c r="S587" s="13">
        <f t="shared" si="1173"/>
        <v>0</v>
      </c>
      <c r="T587" s="13">
        <f t="shared" si="1173"/>
        <v>0</v>
      </c>
      <c r="U587" s="13">
        <f t="shared" si="1173"/>
        <v>0</v>
      </c>
      <c r="V587" s="13">
        <f t="shared" si="1173"/>
        <v>0</v>
      </c>
      <c r="W587" s="13">
        <f t="shared" si="1173"/>
        <v>0</v>
      </c>
      <c r="X587" s="13">
        <f t="shared" si="1173"/>
        <v>0</v>
      </c>
      <c r="Y587" s="13">
        <f t="shared" si="1173"/>
        <v>0</v>
      </c>
      <c r="Z587" s="13">
        <f t="shared" si="1173"/>
        <v>0</v>
      </c>
      <c r="AA587" s="13">
        <f t="shared" si="1173"/>
        <v>0</v>
      </c>
      <c r="AB587" s="13">
        <f t="shared" ref="AB587:AP587" si="1174">IFERROR(VALUE(RIGHT(LEFT($J587,FIND(AB$1,$J587,IF(M587=0,1,FIND(AB$1,$J587,1)+1))+LEN(AB$1)),1)),0)</f>
        <v>1</v>
      </c>
      <c r="AC587" s="13">
        <f t="shared" si="1174"/>
        <v>0</v>
      </c>
      <c r="AD587" s="13">
        <f t="shared" si="1174"/>
        <v>0</v>
      </c>
      <c r="AE587" s="13">
        <f t="shared" si="1174"/>
        <v>0</v>
      </c>
      <c r="AF587" s="13">
        <f t="shared" si="1174"/>
        <v>0</v>
      </c>
      <c r="AG587" s="13">
        <f t="shared" si="1174"/>
        <v>0</v>
      </c>
      <c r="AH587" s="13">
        <f t="shared" si="1174"/>
        <v>0</v>
      </c>
      <c r="AI587" s="13">
        <f t="shared" si="1174"/>
        <v>0</v>
      </c>
      <c r="AJ587" s="13">
        <f t="shared" si="1174"/>
        <v>2</v>
      </c>
      <c r="AK587" s="13">
        <f t="shared" si="1174"/>
        <v>0</v>
      </c>
      <c r="AL587" s="13">
        <f t="shared" si="1174"/>
        <v>0</v>
      </c>
      <c r="AM587" s="13">
        <f t="shared" si="1174"/>
        <v>0</v>
      </c>
      <c r="AN587" s="13">
        <f t="shared" si="1174"/>
        <v>0</v>
      </c>
      <c r="AO587" s="13">
        <f t="shared" si="1174"/>
        <v>0</v>
      </c>
      <c r="AP587" s="13">
        <f t="shared" si="1174"/>
        <v>0</v>
      </c>
      <c r="AQ587" s="13" t="s">
        <v>3835</v>
      </c>
      <c r="AR587" s="13"/>
      <c r="AS587" s="13" t="s">
        <v>3836</v>
      </c>
      <c r="AT587" s="13"/>
      <c r="AU587" s="13"/>
      <c r="AV587" s="13"/>
      <c r="AW587" s="13">
        <v>0.0</v>
      </c>
      <c r="AX587" s="13">
        <v>8.0</v>
      </c>
      <c r="AY587" s="13">
        <v>0.0</v>
      </c>
      <c r="AZ587" s="13"/>
      <c r="BA587" s="13"/>
      <c r="BB587" s="13"/>
      <c r="BC587" s="13"/>
      <c r="BD587" s="13"/>
      <c r="BE587" s="13"/>
      <c r="BF587" s="13"/>
      <c r="BG587" s="13"/>
      <c r="BH587" s="13" t="s">
        <v>79</v>
      </c>
      <c r="BI587" s="13" t="b">
        <v>0</v>
      </c>
      <c r="BJ587" s="13">
        <v>0.0</v>
      </c>
      <c r="BK587" s="13">
        <v>0.0</v>
      </c>
    </row>
    <row r="588" ht="14.25" customHeight="1">
      <c r="A588" s="13">
        <v>586.0</v>
      </c>
      <c r="B588" s="13" t="s">
        <v>49</v>
      </c>
      <c r="C588" s="13">
        <v>2.0</v>
      </c>
      <c r="D588" s="14">
        <v>0.0</v>
      </c>
      <c r="E588" s="13" t="s">
        <v>3837</v>
      </c>
      <c r="F588" s="15" t="s">
        <v>561</v>
      </c>
      <c r="G588" s="16" t="s">
        <v>3838</v>
      </c>
      <c r="H588" s="13">
        <v>17.0</v>
      </c>
      <c r="I588" s="13">
        <v>1.1</v>
      </c>
      <c r="J588" s="13" t="s">
        <v>638</v>
      </c>
      <c r="K588" s="13">
        <f t="shared" si="3"/>
        <v>0</v>
      </c>
      <c r="L588" s="13">
        <f t="shared" si="4"/>
        <v>2</v>
      </c>
      <c r="M588" s="13">
        <f t="shared" ref="M588:AA588" si="1175">IFERROR(VALUE(RIGHT(LEFT($J588,FIND(M$1,$J588,1)+LEN(M$1)),1)),0)</f>
        <v>0</v>
      </c>
      <c r="N588" s="13">
        <f t="shared" si="1175"/>
        <v>0</v>
      </c>
      <c r="O588" s="13">
        <f t="shared" si="1175"/>
        <v>0</v>
      </c>
      <c r="P588" s="13">
        <f t="shared" si="1175"/>
        <v>0</v>
      </c>
      <c r="Q588" s="13">
        <f t="shared" si="1175"/>
        <v>0</v>
      </c>
      <c r="R588" s="13">
        <f t="shared" si="1175"/>
        <v>0</v>
      </c>
      <c r="S588" s="13">
        <f t="shared" si="1175"/>
        <v>0</v>
      </c>
      <c r="T588" s="13">
        <f t="shared" si="1175"/>
        <v>0</v>
      </c>
      <c r="U588" s="13">
        <f t="shared" si="1175"/>
        <v>0</v>
      </c>
      <c r="V588" s="13">
        <f t="shared" si="1175"/>
        <v>0</v>
      </c>
      <c r="W588" s="13">
        <f t="shared" si="1175"/>
        <v>0</v>
      </c>
      <c r="X588" s="13">
        <f t="shared" si="1175"/>
        <v>0</v>
      </c>
      <c r="Y588" s="13">
        <f t="shared" si="1175"/>
        <v>0</v>
      </c>
      <c r="Z588" s="13">
        <f t="shared" si="1175"/>
        <v>0</v>
      </c>
      <c r="AA588" s="13">
        <f t="shared" si="1175"/>
        <v>0</v>
      </c>
      <c r="AB588" s="13">
        <f t="shared" ref="AB588:AP588" si="1176">IFERROR(VALUE(RIGHT(LEFT($J588,FIND(AB$1,$J588,IF(M588=0,1,FIND(AB$1,$J588,1)+1))+LEN(AB$1)),1)),0)</f>
        <v>1</v>
      </c>
      <c r="AC588" s="13">
        <f t="shared" si="1176"/>
        <v>0</v>
      </c>
      <c r="AD588" s="13">
        <f t="shared" si="1176"/>
        <v>0</v>
      </c>
      <c r="AE588" s="13">
        <f t="shared" si="1176"/>
        <v>0</v>
      </c>
      <c r="AF588" s="13">
        <f t="shared" si="1176"/>
        <v>0</v>
      </c>
      <c r="AG588" s="13">
        <f t="shared" si="1176"/>
        <v>0</v>
      </c>
      <c r="AH588" s="13">
        <f t="shared" si="1176"/>
        <v>0</v>
      </c>
      <c r="AI588" s="13">
        <f t="shared" si="1176"/>
        <v>0</v>
      </c>
      <c r="AJ588" s="13">
        <f t="shared" si="1176"/>
        <v>0</v>
      </c>
      <c r="AK588" s="13">
        <f t="shared" si="1176"/>
        <v>0</v>
      </c>
      <c r="AL588" s="13">
        <f t="shared" si="1176"/>
        <v>0</v>
      </c>
      <c r="AM588" s="13">
        <f t="shared" si="1176"/>
        <v>1</v>
      </c>
      <c r="AN588" s="13">
        <f t="shared" si="1176"/>
        <v>0</v>
      </c>
      <c r="AO588" s="13">
        <f t="shared" si="1176"/>
        <v>0</v>
      </c>
      <c r="AP588" s="13">
        <f t="shared" si="1176"/>
        <v>0</v>
      </c>
      <c r="AQ588" s="13"/>
      <c r="AR588" s="13" t="s">
        <v>3839</v>
      </c>
      <c r="AS588" s="13" t="s">
        <v>3840</v>
      </c>
      <c r="AT588" s="13" t="s">
        <v>162</v>
      </c>
      <c r="AU588" s="13" t="s">
        <v>236</v>
      </c>
      <c r="AV588" s="13" t="s">
        <v>3841</v>
      </c>
      <c r="AW588" s="13">
        <v>17.0</v>
      </c>
      <c r="AX588" s="13">
        <v>8.0</v>
      </c>
      <c r="AY588" s="13">
        <v>0.0</v>
      </c>
      <c r="AZ588" s="13" t="s">
        <v>889</v>
      </c>
      <c r="BA588" s="13" t="s">
        <v>1214</v>
      </c>
      <c r="BB588" s="13"/>
      <c r="BC588" s="13"/>
      <c r="BD588" s="13" t="s">
        <v>220</v>
      </c>
      <c r="BE588" s="13"/>
      <c r="BF588" s="13" t="s">
        <v>1684</v>
      </c>
      <c r="BG588" s="13" t="s">
        <v>201</v>
      </c>
      <c r="BH588" s="13" t="s">
        <v>241</v>
      </c>
      <c r="BI588" s="13" t="b">
        <v>0</v>
      </c>
      <c r="BJ588" s="13">
        <v>0.0</v>
      </c>
      <c r="BK588" s="13">
        <v>0.0</v>
      </c>
    </row>
    <row r="589" ht="14.25" customHeight="1">
      <c r="A589" s="13">
        <v>587.0</v>
      </c>
      <c r="B589" s="13" t="s">
        <v>49</v>
      </c>
      <c r="C589" s="13">
        <v>2.0</v>
      </c>
      <c r="D589" s="14">
        <v>0.0</v>
      </c>
      <c r="E589" s="13" t="s">
        <v>3842</v>
      </c>
      <c r="F589" s="15" t="s">
        <v>561</v>
      </c>
      <c r="G589" s="16" t="s">
        <v>3843</v>
      </c>
      <c r="H589" s="13">
        <v>15.0</v>
      </c>
      <c r="I589" s="13">
        <v>1.0</v>
      </c>
      <c r="J589" s="13" t="s">
        <v>3844</v>
      </c>
      <c r="K589" s="13">
        <f t="shared" si="3"/>
        <v>0</v>
      </c>
      <c r="L589" s="13">
        <f t="shared" si="4"/>
        <v>3</v>
      </c>
      <c r="M589" s="13">
        <f t="shared" ref="M589:AA589" si="1177">IFERROR(VALUE(RIGHT(LEFT($J589,FIND(M$1,$J589,1)+LEN(M$1)),1)),0)</f>
        <v>0</v>
      </c>
      <c r="N589" s="13">
        <f t="shared" si="1177"/>
        <v>0</v>
      </c>
      <c r="O589" s="13">
        <f t="shared" si="1177"/>
        <v>0</v>
      </c>
      <c r="P589" s="13">
        <f t="shared" si="1177"/>
        <v>0</v>
      </c>
      <c r="Q589" s="13">
        <f t="shared" si="1177"/>
        <v>0</v>
      </c>
      <c r="R589" s="13">
        <f t="shared" si="1177"/>
        <v>0</v>
      </c>
      <c r="S589" s="13">
        <f t="shared" si="1177"/>
        <v>0</v>
      </c>
      <c r="T589" s="13">
        <f t="shared" si="1177"/>
        <v>0</v>
      </c>
      <c r="U589" s="13">
        <f t="shared" si="1177"/>
        <v>0</v>
      </c>
      <c r="V589" s="13">
        <f t="shared" si="1177"/>
        <v>0</v>
      </c>
      <c r="W589" s="13">
        <f t="shared" si="1177"/>
        <v>0</v>
      </c>
      <c r="X589" s="13">
        <f t="shared" si="1177"/>
        <v>0</v>
      </c>
      <c r="Y589" s="13">
        <f t="shared" si="1177"/>
        <v>0</v>
      </c>
      <c r="Z589" s="13">
        <f t="shared" si="1177"/>
        <v>0</v>
      </c>
      <c r="AA589" s="13">
        <f t="shared" si="1177"/>
        <v>0</v>
      </c>
      <c r="AB589" s="13">
        <f t="shared" ref="AB589:AP589" si="1178">IFERROR(VALUE(RIGHT(LEFT($J589,FIND(AB$1,$J589,IF(M589=0,1,FIND(AB$1,$J589,1)+1))+LEN(AB$1)),1)),0)</f>
        <v>0</v>
      </c>
      <c r="AC589" s="13">
        <f t="shared" si="1178"/>
        <v>0</v>
      </c>
      <c r="AD589" s="13">
        <f t="shared" si="1178"/>
        <v>0</v>
      </c>
      <c r="AE589" s="13">
        <f t="shared" si="1178"/>
        <v>0</v>
      </c>
      <c r="AF589" s="13">
        <f t="shared" si="1178"/>
        <v>2</v>
      </c>
      <c r="AG589" s="13">
        <f t="shared" si="1178"/>
        <v>0</v>
      </c>
      <c r="AH589" s="13">
        <f t="shared" si="1178"/>
        <v>0</v>
      </c>
      <c r="AI589" s="13">
        <f t="shared" si="1178"/>
        <v>0</v>
      </c>
      <c r="AJ589" s="13">
        <f t="shared" si="1178"/>
        <v>0</v>
      </c>
      <c r="AK589" s="13">
        <f t="shared" si="1178"/>
        <v>0</v>
      </c>
      <c r="AL589" s="13">
        <f t="shared" si="1178"/>
        <v>0</v>
      </c>
      <c r="AM589" s="13">
        <f t="shared" si="1178"/>
        <v>1</v>
      </c>
      <c r="AN589" s="13">
        <f t="shared" si="1178"/>
        <v>0</v>
      </c>
      <c r="AO589" s="13">
        <f t="shared" si="1178"/>
        <v>0</v>
      </c>
      <c r="AP589" s="13">
        <f t="shared" si="1178"/>
        <v>0</v>
      </c>
      <c r="AQ589" s="13"/>
      <c r="AR589" s="13" t="s">
        <v>3845</v>
      </c>
      <c r="AS589" s="13" t="s">
        <v>3846</v>
      </c>
      <c r="AT589" s="13" t="s">
        <v>162</v>
      </c>
      <c r="AU589" s="13" t="s">
        <v>195</v>
      </c>
      <c r="AV589" s="13" t="s">
        <v>3847</v>
      </c>
      <c r="AW589" s="13">
        <v>14.0</v>
      </c>
      <c r="AX589" s="13">
        <v>8.0</v>
      </c>
      <c r="AY589" s="13">
        <v>0.0</v>
      </c>
      <c r="AZ589" s="13" t="s">
        <v>3848</v>
      </c>
      <c r="BA589" s="13" t="s">
        <v>3849</v>
      </c>
      <c r="BB589" s="13"/>
      <c r="BC589" s="13"/>
      <c r="BD589" s="13" t="s">
        <v>199</v>
      </c>
      <c r="BE589" s="13"/>
      <c r="BF589" s="13" t="s">
        <v>1329</v>
      </c>
      <c r="BG589" s="13" t="s">
        <v>201</v>
      </c>
      <c r="BH589" s="13" t="s">
        <v>79</v>
      </c>
      <c r="BI589" s="13" t="b">
        <v>0</v>
      </c>
      <c r="BJ589" s="13">
        <v>0.0</v>
      </c>
      <c r="BK589" s="13">
        <v>0.0</v>
      </c>
    </row>
    <row r="590" ht="14.25" customHeight="1">
      <c r="A590" s="13">
        <v>588.0</v>
      </c>
      <c r="B590" s="13" t="s">
        <v>47</v>
      </c>
      <c r="C590" s="13">
        <v>2.0</v>
      </c>
      <c r="D590" s="14">
        <v>0.0</v>
      </c>
      <c r="E590" s="13" t="s">
        <v>3850</v>
      </c>
      <c r="F590" s="15" t="s">
        <v>561</v>
      </c>
      <c r="G590" s="16" t="s">
        <v>3851</v>
      </c>
      <c r="H590" s="13">
        <v>16.0</v>
      </c>
      <c r="I590" s="13">
        <v>0.9</v>
      </c>
      <c r="J590" s="13" t="s">
        <v>1083</v>
      </c>
      <c r="K590" s="13">
        <f t="shared" si="3"/>
        <v>0</v>
      </c>
      <c r="L590" s="13">
        <f t="shared" si="4"/>
        <v>3</v>
      </c>
      <c r="M590" s="13">
        <f t="shared" ref="M590:AA590" si="1179">IFERROR(VALUE(RIGHT(LEFT($J590,FIND(M$1,$J590,1)+LEN(M$1)),1)),0)</f>
        <v>0</v>
      </c>
      <c r="N590" s="13">
        <f t="shared" si="1179"/>
        <v>0</v>
      </c>
      <c r="O590" s="13">
        <f t="shared" si="1179"/>
        <v>0</v>
      </c>
      <c r="P590" s="13">
        <f t="shared" si="1179"/>
        <v>0</v>
      </c>
      <c r="Q590" s="13">
        <f t="shared" si="1179"/>
        <v>0</v>
      </c>
      <c r="R590" s="13">
        <f t="shared" si="1179"/>
        <v>0</v>
      </c>
      <c r="S590" s="13">
        <f t="shared" si="1179"/>
        <v>0</v>
      </c>
      <c r="T590" s="13">
        <f t="shared" si="1179"/>
        <v>0</v>
      </c>
      <c r="U590" s="13">
        <f t="shared" si="1179"/>
        <v>0</v>
      </c>
      <c r="V590" s="13">
        <f t="shared" si="1179"/>
        <v>0</v>
      </c>
      <c r="W590" s="13">
        <f t="shared" si="1179"/>
        <v>0</v>
      </c>
      <c r="X590" s="13">
        <f t="shared" si="1179"/>
        <v>0</v>
      </c>
      <c r="Y590" s="13">
        <f t="shared" si="1179"/>
        <v>0</v>
      </c>
      <c r="Z590" s="13">
        <f t="shared" si="1179"/>
        <v>0</v>
      </c>
      <c r="AA590" s="13">
        <f t="shared" si="1179"/>
        <v>0</v>
      </c>
      <c r="AB590" s="13">
        <f t="shared" ref="AB590:AP590" si="1180">IFERROR(VALUE(RIGHT(LEFT($J590,FIND(AB$1,$J590,IF(M590=0,1,FIND(AB$1,$J590,1)+1))+LEN(AB$1)),1)),0)</f>
        <v>1</v>
      </c>
      <c r="AC590" s="13">
        <f t="shared" si="1180"/>
        <v>0</v>
      </c>
      <c r="AD590" s="13">
        <f t="shared" si="1180"/>
        <v>0</v>
      </c>
      <c r="AE590" s="13">
        <f t="shared" si="1180"/>
        <v>0</v>
      </c>
      <c r="AF590" s="13">
        <f t="shared" si="1180"/>
        <v>0</v>
      </c>
      <c r="AG590" s="13">
        <f t="shared" si="1180"/>
        <v>0</v>
      </c>
      <c r="AH590" s="13">
        <f t="shared" si="1180"/>
        <v>0</v>
      </c>
      <c r="AI590" s="13">
        <f t="shared" si="1180"/>
        <v>0</v>
      </c>
      <c r="AJ590" s="13">
        <f t="shared" si="1180"/>
        <v>0</v>
      </c>
      <c r="AK590" s="13">
        <f t="shared" si="1180"/>
        <v>2</v>
      </c>
      <c r="AL590" s="13">
        <f t="shared" si="1180"/>
        <v>0</v>
      </c>
      <c r="AM590" s="13">
        <f t="shared" si="1180"/>
        <v>0</v>
      </c>
      <c r="AN590" s="13">
        <f t="shared" si="1180"/>
        <v>0</v>
      </c>
      <c r="AO590" s="13">
        <f t="shared" si="1180"/>
        <v>0</v>
      </c>
      <c r="AP590" s="13">
        <f t="shared" si="1180"/>
        <v>0</v>
      </c>
      <c r="AQ590" s="13"/>
      <c r="AR590" s="13" t="s">
        <v>3852</v>
      </c>
      <c r="AS590" s="13" t="s">
        <v>3853</v>
      </c>
      <c r="AT590" s="13" t="s">
        <v>162</v>
      </c>
      <c r="AU590" s="13" t="s">
        <v>163</v>
      </c>
      <c r="AV590" s="13" t="s">
        <v>1143</v>
      </c>
      <c r="AW590" s="13">
        <v>16.0</v>
      </c>
      <c r="AX590" s="13">
        <v>8.0</v>
      </c>
      <c r="AY590" s="13">
        <v>0.0</v>
      </c>
      <c r="AZ590" s="13" t="s">
        <v>316</v>
      </c>
      <c r="BA590" s="13" t="s">
        <v>663</v>
      </c>
      <c r="BB590" s="13"/>
      <c r="BC590" s="13"/>
      <c r="BD590" s="13" t="s">
        <v>134</v>
      </c>
      <c r="BE590" s="13"/>
      <c r="BF590" s="13" t="s">
        <v>2291</v>
      </c>
      <c r="BG590" s="13" t="s">
        <v>136</v>
      </c>
      <c r="BH590" s="13" t="s">
        <v>79</v>
      </c>
      <c r="BI590" s="13" t="b">
        <v>0</v>
      </c>
      <c r="BJ590" s="13">
        <v>0.0</v>
      </c>
      <c r="BK590" s="13">
        <v>0.0</v>
      </c>
    </row>
    <row r="591" ht="14.25" customHeight="1">
      <c r="A591" s="13">
        <v>589.0</v>
      </c>
      <c r="B591" s="13" t="s">
        <v>47</v>
      </c>
      <c r="C591" s="13">
        <v>2.0</v>
      </c>
      <c r="D591" s="14">
        <v>0.0</v>
      </c>
      <c r="E591" s="13" t="s">
        <v>3854</v>
      </c>
      <c r="F591" s="15" t="s">
        <v>561</v>
      </c>
      <c r="G591" s="16" t="s">
        <v>3855</v>
      </c>
      <c r="H591" s="13">
        <v>14.0</v>
      </c>
      <c r="I591" s="13">
        <v>1.1</v>
      </c>
      <c r="J591" s="13" t="s">
        <v>3856</v>
      </c>
      <c r="K591" s="13">
        <f t="shared" si="3"/>
        <v>0</v>
      </c>
      <c r="L591" s="13">
        <f t="shared" si="4"/>
        <v>3</v>
      </c>
      <c r="M591" s="13">
        <f t="shared" ref="M591:AA591" si="1181">IFERROR(VALUE(RIGHT(LEFT($J591,FIND(M$1,$J591,1)+LEN(M$1)),1)),0)</f>
        <v>0</v>
      </c>
      <c r="N591" s="13">
        <f t="shared" si="1181"/>
        <v>0</v>
      </c>
      <c r="O591" s="13">
        <f t="shared" si="1181"/>
        <v>0</v>
      </c>
      <c r="P591" s="13">
        <f t="shared" si="1181"/>
        <v>0</v>
      </c>
      <c r="Q591" s="13">
        <f t="shared" si="1181"/>
        <v>0</v>
      </c>
      <c r="R591" s="13">
        <f t="shared" si="1181"/>
        <v>0</v>
      </c>
      <c r="S591" s="13">
        <f t="shared" si="1181"/>
        <v>0</v>
      </c>
      <c r="T591" s="13">
        <f t="shared" si="1181"/>
        <v>0</v>
      </c>
      <c r="U591" s="13">
        <f t="shared" si="1181"/>
        <v>0</v>
      </c>
      <c r="V591" s="13">
        <f t="shared" si="1181"/>
        <v>0</v>
      </c>
      <c r="W591" s="13">
        <f t="shared" si="1181"/>
        <v>0</v>
      </c>
      <c r="X591" s="13">
        <f t="shared" si="1181"/>
        <v>0</v>
      </c>
      <c r="Y591" s="13">
        <f t="shared" si="1181"/>
        <v>0</v>
      </c>
      <c r="Z591" s="13">
        <f t="shared" si="1181"/>
        <v>0</v>
      </c>
      <c r="AA591" s="13">
        <f t="shared" si="1181"/>
        <v>0</v>
      </c>
      <c r="AB591" s="13">
        <f t="shared" ref="AB591:AP591" si="1182">IFERROR(VALUE(RIGHT(LEFT($J591,FIND(AB$1,$J591,IF(M591=0,1,FIND(AB$1,$J591,1)+1))+LEN(AB$1)),1)),0)</f>
        <v>0</v>
      </c>
      <c r="AC591" s="13">
        <f t="shared" si="1182"/>
        <v>0</v>
      </c>
      <c r="AD591" s="13">
        <f t="shared" si="1182"/>
        <v>0</v>
      </c>
      <c r="AE591" s="13">
        <f t="shared" si="1182"/>
        <v>0</v>
      </c>
      <c r="AF591" s="13">
        <f t="shared" si="1182"/>
        <v>0</v>
      </c>
      <c r="AG591" s="13">
        <f t="shared" si="1182"/>
        <v>2</v>
      </c>
      <c r="AH591" s="13">
        <f t="shared" si="1182"/>
        <v>0</v>
      </c>
      <c r="AI591" s="13">
        <f t="shared" si="1182"/>
        <v>0</v>
      </c>
      <c r="AJ591" s="13">
        <f t="shared" si="1182"/>
        <v>0</v>
      </c>
      <c r="AK591" s="13">
        <f t="shared" si="1182"/>
        <v>1</v>
      </c>
      <c r="AL591" s="13">
        <f t="shared" si="1182"/>
        <v>0</v>
      </c>
      <c r="AM591" s="13">
        <f t="shared" si="1182"/>
        <v>0</v>
      </c>
      <c r="AN591" s="13">
        <f t="shared" si="1182"/>
        <v>0</v>
      </c>
      <c r="AO591" s="13">
        <f t="shared" si="1182"/>
        <v>0</v>
      </c>
      <c r="AP591" s="13">
        <f t="shared" si="1182"/>
        <v>0</v>
      </c>
      <c r="AQ591" s="13"/>
      <c r="AR591" s="13" t="s">
        <v>1644</v>
      </c>
      <c r="AS591" s="13" t="s">
        <v>3857</v>
      </c>
      <c r="AT591" s="13" t="s">
        <v>129</v>
      </c>
      <c r="AU591" s="13" t="s">
        <v>803</v>
      </c>
      <c r="AV591" s="13" t="s">
        <v>3858</v>
      </c>
      <c r="AW591" s="13">
        <v>15.0</v>
      </c>
      <c r="AX591" s="13">
        <v>8.0</v>
      </c>
      <c r="AY591" s="13">
        <v>0.0</v>
      </c>
      <c r="AZ591" s="13" t="s">
        <v>3859</v>
      </c>
      <c r="BA591" s="13" t="s">
        <v>3860</v>
      </c>
      <c r="BB591" s="13"/>
      <c r="BC591" s="13"/>
      <c r="BD591" s="13" t="s">
        <v>484</v>
      </c>
      <c r="BE591" s="13"/>
      <c r="BF591" s="13" t="s">
        <v>3861</v>
      </c>
      <c r="BG591" s="13" t="s">
        <v>136</v>
      </c>
      <c r="BH591" s="13" t="s">
        <v>79</v>
      </c>
      <c r="BI591" s="13" t="b">
        <v>0</v>
      </c>
      <c r="BJ591" s="13">
        <v>0.0</v>
      </c>
      <c r="BK591" s="13">
        <v>0.0</v>
      </c>
    </row>
    <row r="592" ht="14.25" customHeight="1">
      <c r="A592" s="13">
        <v>590.0</v>
      </c>
      <c r="B592" s="13" t="s">
        <v>44</v>
      </c>
      <c r="C592" s="13">
        <v>3.0</v>
      </c>
      <c r="D592" s="14">
        <v>0.0</v>
      </c>
      <c r="E592" s="13" t="s">
        <v>3862</v>
      </c>
      <c r="F592" s="15" t="s">
        <v>561</v>
      </c>
      <c r="G592" s="16" t="s">
        <v>3863</v>
      </c>
      <c r="H592" s="13"/>
      <c r="I592" s="13">
        <v>1.1</v>
      </c>
      <c r="J592" s="13" t="s">
        <v>1564</v>
      </c>
      <c r="K592" s="13">
        <f t="shared" si="3"/>
        <v>1</v>
      </c>
      <c r="L592" s="13">
        <f t="shared" si="4"/>
        <v>2</v>
      </c>
      <c r="M592" s="13">
        <f t="shared" ref="M592:AA592" si="1183">IFERROR(VALUE(RIGHT(LEFT($J592,FIND(M$1,$J592,1)+LEN(M$1)),1)),0)</f>
        <v>0</v>
      </c>
      <c r="N592" s="13">
        <f t="shared" si="1183"/>
        <v>0</v>
      </c>
      <c r="O592" s="13">
        <f t="shared" si="1183"/>
        <v>0</v>
      </c>
      <c r="P592" s="13">
        <f t="shared" si="1183"/>
        <v>0</v>
      </c>
      <c r="Q592" s="13">
        <f t="shared" si="1183"/>
        <v>0</v>
      </c>
      <c r="R592" s="13">
        <f t="shared" si="1183"/>
        <v>0</v>
      </c>
      <c r="S592" s="13">
        <f t="shared" si="1183"/>
        <v>1</v>
      </c>
      <c r="T592" s="13">
        <f t="shared" si="1183"/>
        <v>0</v>
      </c>
      <c r="U592" s="13">
        <f t="shared" si="1183"/>
        <v>0</v>
      </c>
      <c r="V592" s="13">
        <f t="shared" si="1183"/>
        <v>0</v>
      </c>
      <c r="W592" s="13">
        <f t="shared" si="1183"/>
        <v>0</v>
      </c>
      <c r="X592" s="13">
        <f t="shared" si="1183"/>
        <v>0</v>
      </c>
      <c r="Y592" s="13">
        <f t="shared" si="1183"/>
        <v>0</v>
      </c>
      <c r="Z592" s="13">
        <f t="shared" si="1183"/>
        <v>0</v>
      </c>
      <c r="AA592" s="13">
        <f t="shared" si="1183"/>
        <v>0</v>
      </c>
      <c r="AB592" s="13">
        <f t="shared" ref="AB592:AP592" si="1184">IFERROR(VALUE(RIGHT(LEFT($J592,FIND(AB$1,$J592,IF(M592=0,1,FIND(AB$1,$J592,1)+1))+LEN(AB$1)),1)),0)</f>
        <v>1</v>
      </c>
      <c r="AC592" s="13">
        <f t="shared" si="1184"/>
        <v>0</v>
      </c>
      <c r="AD592" s="13">
        <f t="shared" si="1184"/>
        <v>0</v>
      </c>
      <c r="AE592" s="13">
        <f t="shared" si="1184"/>
        <v>0</v>
      </c>
      <c r="AF592" s="13">
        <f t="shared" si="1184"/>
        <v>0</v>
      </c>
      <c r="AG592" s="13">
        <f t="shared" si="1184"/>
        <v>0</v>
      </c>
      <c r="AH592" s="13">
        <f t="shared" si="1184"/>
        <v>1</v>
      </c>
      <c r="AI592" s="13">
        <f t="shared" si="1184"/>
        <v>0</v>
      </c>
      <c r="AJ592" s="13">
        <f t="shared" si="1184"/>
        <v>0</v>
      </c>
      <c r="AK592" s="13">
        <f t="shared" si="1184"/>
        <v>0</v>
      </c>
      <c r="AL592" s="13">
        <f t="shared" si="1184"/>
        <v>0</v>
      </c>
      <c r="AM592" s="13">
        <f t="shared" si="1184"/>
        <v>0</v>
      </c>
      <c r="AN592" s="13">
        <f t="shared" si="1184"/>
        <v>0</v>
      </c>
      <c r="AO592" s="13">
        <f t="shared" si="1184"/>
        <v>0</v>
      </c>
      <c r="AP592" s="13">
        <f t="shared" si="1184"/>
        <v>0</v>
      </c>
      <c r="AQ592" s="13" t="s">
        <v>3864</v>
      </c>
      <c r="AR592" s="13"/>
      <c r="AS592" s="13" t="s">
        <v>3865</v>
      </c>
      <c r="AT592" s="13"/>
      <c r="AU592" s="13"/>
      <c r="AV592" s="13"/>
      <c r="AW592" s="13">
        <v>0.0</v>
      </c>
      <c r="AX592" s="13">
        <v>8.0</v>
      </c>
      <c r="AY592" s="13">
        <v>0.0</v>
      </c>
      <c r="AZ592" s="13"/>
      <c r="BA592" s="13"/>
      <c r="BB592" s="13"/>
      <c r="BC592" s="13"/>
      <c r="BD592" s="13"/>
      <c r="BE592" s="13"/>
      <c r="BF592" s="13"/>
      <c r="BG592" s="13"/>
      <c r="BH592" s="13" t="s">
        <v>79</v>
      </c>
      <c r="BI592" s="13" t="b">
        <v>0</v>
      </c>
      <c r="BJ592" s="13">
        <v>0.0</v>
      </c>
      <c r="BK592" s="13">
        <v>0.0</v>
      </c>
    </row>
    <row r="593" ht="14.25" customHeight="1">
      <c r="A593" s="13">
        <v>591.0</v>
      </c>
      <c r="B593" s="13" t="s">
        <v>45</v>
      </c>
      <c r="C593" s="13">
        <v>3.0</v>
      </c>
      <c r="D593" s="14">
        <v>0.0</v>
      </c>
      <c r="E593" s="13" t="s">
        <v>3866</v>
      </c>
      <c r="F593" s="15" t="s">
        <v>561</v>
      </c>
      <c r="G593" s="16" t="s">
        <v>3867</v>
      </c>
      <c r="H593" s="13"/>
      <c r="I593" s="13">
        <v>0.9</v>
      </c>
      <c r="J593" s="13" t="s">
        <v>3868</v>
      </c>
      <c r="K593" s="13">
        <f t="shared" si="3"/>
        <v>1</v>
      </c>
      <c r="L593" s="13">
        <f t="shared" si="4"/>
        <v>2</v>
      </c>
      <c r="M593" s="13">
        <f t="shared" ref="M593:AA593" si="1185">IFERROR(VALUE(RIGHT(LEFT($J593,FIND(M$1,$J593,1)+LEN(M$1)),1)),0)</f>
        <v>0</v>
      </c>
      <c r="N593" s="13">
        <f t="shared" si="1185"/>
        <v>0</v>
      </c>
      <c r="O593" s="13">
        <f t="shared" si="1185"/>
        <v>0</v>
      </c>
      <c r="P593" s="13">
        <f t="shared" si="1185"/>
        <v>0</v>
      </c>
      <c r="Q593" s="13">
        <f t="shared" si="1185"/>
        <v>0</v>
      </c>
      <c r="R593" s="13">
        <f t="shared" si="1185"/>
        <v>0</v>
      </c>
      <c r="S593" s="13">
        <f t="shared" si="1185"/>
        <v>0</v>
      </c>
      <c r="T593" s="13">
        <f t="shared" si="1185"/>
        <v>1</v>
      </c>
      <c r="U593" s="13">
        <f t="shared" si="1185"/>
        <v>0</v>
      </c>
      <c r="V593" s="13">
        <f t="shared" si="1185"/>
        <v>0</v>
      </c>
      <c r="W593" s="13">
        <f t="shared" si="1185"/>
        <v>0</v>
      </c>
      <c r="X593" s="13">
        <f t="shared" si="1185"/>
        <v>0</v>
      </c>
      <c r="Y593" s="13">
        <f t="shared" si="1185"/>
        <v>0</v>
      </c>
      <c r="Z593" s="13">
        <f t="shared" si="1185"/>
        <v>0</v>
      </c>
      <c r="AA593" s="13">
        <f t="shared" si="1185"/>
        <v>0</v>
      </c>
      <c r="AB593" s="13">
        <f t="shared" ref="AB593:AP593" si="1186">IFERROR(VALUE(RIGHT(LEFT($J593,FIND(AB$1,$J593,IF(M593=0,1,FIND(AB$1,$J593,1)+1))+LEN(AB$1)),1)),0)</f>
        <v>0</v>
      </c>
      <c r="AC593" s="13">
        <f t="shared" si="1186"/>
        <v>0</v>
      </c>
      <c r="AD593" s="13">
        <f t="shared" si="1186"/>
        <v>0</v>
      </c>
      <c r="AE593" s="13">
        <f t="shared" si="1186"/>
        <v>0</v>
      </c>
      <c r="AF593" s="13">
        <f t="shared" si="1186"/>
        <v>0</v>
      </c>
      <c r="AG593" s="13">
        <f t="shared" si="1186"/>
        <v>1</v>
      </c>
      <c r="AH593" s="13">
        <f t="shared" si="1186"/>
        <v>0</v>
      </c>
      <c r="AI593" s="13">
        <f t="shared" si="1186"/>
        <v>1</v>
      </c>
      <c r="AJ593" s="13">
        <f t="shared" si="1186"/>
        <v>0</v>
      </c>
      <c r="AK593" s="13">
        <f t="shared" si="1186"/>
        <v>0</v>
      </c>
      <c r="AL593" s="13">
        <f t="shared" si="1186"/>
        <v>0</v>
      </c>
      <c r="AM593" s="13">
        <f t="shared" si="1186"/>
        <v>0</v>
      </c>
      <c r="AN593" s="13">
        <f t="shared" si="1186"/>
        <v>0</v>
      </c>
      <c r="AO593" s="13">
        <f t="shared" si="1186"/>
        <v>0</v>
      </c>
      <c r="AP593" s="13">
        <f t="shared" si="1186"/>
        <v>0</v>
      </c>
      <c r="AQ593" s="13" t="s">
        <v>3869</v>
      </c>
      <c r="AR593" s="13"/>
      <c r="AS593" s="13" t="s">
        <v>3870</v>
      </c>
      <c r="AT593" s="13"/>
      <c r="AU593" s="13"/>
      <c r="AV593" s="13"/>
      <c r="AW593" s="13">
        <v>0.0</v>
      </c>
      <c r="AX593" s="13">
        <v>8.0</v>
      </c>
      <c r="AY593" s="13">
        <v>0.0</v>
      </c>
      <c r="AZ593" s="13"/>
      <c r="BA593" s="13"/>
      <c r="BB593" s="13"/>
      <c r="BC593" s="13"/>
      <c r="BD593" s="13"/>
      <c r="BE593" s="13"/>
      <c r="BF593" s="13"/>
      <c r="BG593" s="13"/>
      <c r="BH593" s="13" t="s">
        <v>79</v>
      </c>
      <c r="BI593" s="13" t="b">
        <v>0</v>
      </c>
      <c r="BJ593" s="13">
        <v>0.0</v>
      </c>
      <c r="BK593" s="13">
        <v>0.0</v>
      </c>
    </row>
    <row r="594" ht="14.25" customHeight="1">
      <c r="A594" s="13">
        <v>592.0</v>
      </c>
      <c r="B594" s="13" t="s">
        <v>46</v>
      </c>
      <c r="C594" s="13">
        <v>3.0</v>
      </c>
      <c r="D594" s="14">
        <v>0.0</v>
      </c>
      <c r="E594" s="13" t="s">
        <v>3871</v>
      </c>
      <c r="F594" s="15" t="s">
        <v>561</v>
      </c>
      <c r="G594" s="16" t="s">
        <v>3872</v>
      </c>
      <c r="H594" s="13"/>
      <c r="I594" s="13">
        <v>1.0</v>
      </c>
      <c r="J594" s="13" t="s">
        <v>1624</v>
      </c>
      <c r="K594" s="13">
        <f t="shared" si="3"/>
        <v>1</v>
      </c>
      <c r="L594" s="13">
        <f t="shared" si="4"/>
        <v>2</v>
      </c>
      <c r="M594" s="13">
        <f t="shared" ref="M594:AA594" si="1187">IFERROR(VALUE(RIGHT(LEFT($J594,FIND(M$1,$J594,1)+LEN(M$1)),1)),0)</f>
        <v>0</v>
      </c>
      <c r="N594" s="13">
        <f t="shared" si="1187"/>
        <v>0</v>
      </c>
      <c r="O594" s="13">
        <f t="shared" si="1187"/>
        <v>0</v>
      </c>
      <c r="P594" s="13">
        <f t="shared" si="1187"/>
        <v>0</v>
      </c>
      <c r="Q594" s="13">
        <f t="shared" si="1187"/>
        <v>0</v>
      </c>
      <c r="R594" s="13">
        <f t="shared" si="1187"/>
        <v>0</v>
      </c>
      <c r="S594" s="13">
        <f t="shared" si="1187"/>
        <v>0</v>
      </c>
      <c r="T594" s="13">
        <f t="shared" si="1187"/>
        <v>0</v>
      </c>
      <c r="U594" s="13">
        <f t="shared" si="1187"/>
        <v>1</v>
      </c>
      <c r="V594" s="13">
        <f t="shared" si="1187"/>
        <v>0</v>
      </c>
      <c r="W594" s="13">
        <f t="shared" si="1187"/>
        <v>0</v>
      </c>
      <c r="X594" s="13">
        <f t="shared" si="1187"/>
        <v>0</v>
      </c>
      <c r="Y594" s="13">
        <f t="shared" si="1187"/>
        <v>0</v>
      </c>
      <c r="Z594" s="13">
        <f t="shared" si="1187"/>
        <v>0</v>
      </c>
      <c r="AA594" s="13">
        <f t="shared" si="1187"/>
        <v>0</v>
      </c>
      <c r="AB594" s="13">
        <f t="shared" ref="AB594:AP594" si="1188">IFERROR(VALUE(RIGHT(LEFT($J594,FIND(AB$1,$J594,IF(M594=0,1,FIND(AB$1,$J594,1)+1))+LEN(AB$1)),1)),0)</f>
        <v>0</v>
      </c>
      <c r="AC594" s="13">
        <f t="shared" si="1188"/>
        <v>0</v>
      </c>
      <c r="AD594" s="13">
        <f t="shared" si="1188"/>
        <v>0</v>
      </c>
      <c r="AE594" s="13">
        <f t="shared" si="1188"/>
        <v>0</v>
      </c>
      <c r="AF594" s="13">
        <f t="shared" si="1188"/>
        <v>1</v>
      </c>
      <c r="AG594" s="13">
        <f t="shared" si="1188"/>
        <v>0</v>
      </c>
      <c r="AH594" s="13">
        <f t="shared" si="1188"/>
        <v>0</v>
      </c>
      <c r="AI594" s="13">
        <f t="shared" si="1188"/>
        <v>0</v>
      </c>
      <c r="AJ594" s="13">
        <f t="shared" si="1188"/>
        <v>1</v>
      </c>
      <c r="AK594" s="13">
        <f t="shared" si="1188"/>
        <v>0</v>
      </c>
      <c r="AL594" s="13">
        <f t="shared" si="1188"/>
        <v>0</v>
      </c>
      <c r="AM594" s="13">
        <f t="shared" si="1188"/>
        <v>0</v>
      </c>
      <c r="AN594" s="13">
        <f t="shared" si="1188"/>
        <v>0</v>
      </c>
      <c r="AO594" s="13">
        <f t="shared" si="1188"/>
        <v>0</v>
      </c>
      <c r="AP594" s="13">
        <f t="shared" si="1188"/>
        <v>0</v>
      </c>
      <c r="AQ594" s="13" t="s">
        <v>3873</v>
      </c>
      <c r="AR594" s="13"/>
      <c r="AS594" s="13" t="s">
        <v>3874</v>
      </c>
      <c r="AT594" s="13"/>
      <c r="AU594" s="13"/>
      <c r="AV594" s="13"/>
      <c r="AW594" s="13">
        <v>0.0</v>
      </c>
      <c r="AX594" s="13">
        <v>8.0</v>
      </c>
      <c r="AY594" s="13">
        <v>0.0</v>
      </c>
      <c r="AZ594" s="13"/>
      <c r="BA594" s="13"/>
      <c r="BB594" s="13"/>
      <c r="BC594" s="13"/>
      <c r="BD594" s="13"/>
      <c r="BE594" s="13"/>
      <c r="BF594" s="13"/>
      <c r="BG594" s="13"/>
      <c r="BH594" s="13" t="s">
        <v>79</v>
      </c>
      <c r="BI594" s="13" t="b">
        <v>0</v>
      </c>
      <c r="BJ594" s="13">
        <v>0.0</v>
      </c>
      <c r="BK594" s="13">
        <v>0.0</v>
      </c>
    </row>
    <row r="595" ht="14.25" customHeight="1">
      <c r="A595" s="13">
        <v>593.0</v>
      </c>
      <c r="B595" s="13" t="s">
        <v>49</v>
      </c>
      <c r="C595" s="13">
        <v>3.0</v>
      </c>
      <c r="D595" s="14">
        <v>0.0</v>
      </c>
      <c r="E595" s="13" t="s">
        <v>3875</v>
      </c>
      <c r="F595" s="15" t="s">
        <v>561</v>
      </c>
      <c r="G595" s="16" t="s">
        <v>3876</v>
      </c>
      <c r="H595" s="13">
        <v>18.0</v>
      </c>
      <c r="I595" s="13">
        <v>1.0</v>
      </c>
      <c r="J595" s="13" t="s">
        <v>1754</v>
      </c>
      <c r="K595" s="13">
        <f t="shared" si="3"/>
        <v>1</v>
      </c>
      <c r="L595" s="13">
        <f t="shared" si="4"/>
        <v>2</v>
      </c>
      <c r="M595" s="13">
        <f t="shared" ref="M595:AA595" si="1189">IFERROR(VALUE(RIGHT(LEFT($J595,FIND(M$1,$J595,1)+LEN(M$1)),1)),0)</f>
        <v>0</v>
      </c>
      <c r="N595" s="13">
        <f t="shared" si="1189"/>
        <v>0</v>
      </c>
      <c r="O595" s="13">
        <f t="shared" si="1189"/>
        <v>0</v>
      </c>
      <c r="P595" s="13">
        <f t="shared" si="1189"/>
        <v>0</v>
      </c>
      <c r="Q595" s="13">
        <f t="shared" si="1189"/>
        <v>0</v>
      </c>
      <c r="R595" s="13">
        <f t="shared" si="1189"/>
        <v>0</v>
      </c>
      <c r="S595" s="13">
        <f t="shared" si="1189"/>
        <v>0</v>
      </c>
      <c r="T595" s="13">
        <f t="shared" si="1189"/>
        <v>0</v>
      </c>
      <c r="U595" s="13">
        <f t="shared" si="1189"/>
        <v>0</v>
      </c>
      <c r="V595" s="13">
        <f t="shared" si="1189"/>
        <v>0</v>
      </c>
      <c r="W595" s="13">
        <f t="shared" si="1189"/>
        <v>0</v>
      </c>
      <c r="X595" s="13">
        <f t="shared" si="1189"/>
        <v>1</v>
      </c>
      <c r="Y595" s="13">
        <f t="shared" si="1189"/>
        <v>0</v>
      </c>
      <c r="Z595" s="13">
        <f t="shared" si="1189"/>
        <v>0</v>
      </c>
      <c r="AA595" s="13">
        <f t="shared" si="1189"/>
        <v>0</v>
      </c>
      <c r="AB595" s="13">
        <f t="shared" ref="AB595:AP595" si="1190">IFERROR(VALUE(RIGHT(LEFT($J595,FIND(AB$1,$J595,IF(M595=0,1,FIND(AB$1,$J595,1)+1))+LEN(AB$1)),1)),0)</f>
        <v>1</v>
      </c>
      <c r="AC595" s="13">
        <f t="shared" si="1190"/>
        <v>0</v>
      </c>
      <c r="AD595" s="13">
        <f t="shared" si="1190"/>
        <v>0</v>
      </c>
      <c r="AE595" s="13">
        <f t="shared" si="1190"/>
        <v>0</v>
      </c>
      <c r="AF595" s="13">
        <f t="shared" si="1190"/>
        <v>0</v>
      </c>
      <c r="AG595" s="13">
        <f t="shared" si="1190"/>
        <v>0</v>
      </c>
      <c r="AH595" s="13">
        <f t="shared" si="1190"/>
        <v>0</v>
      </c>
      <c r="AI595" s="13">
        <f t="shared" si="1190"/>
        <v>0</v>
      </c>
      <c r="AJ595" s="13">
        <f t="shared" si="1190"/>
        <v>0</v>
      </c>
      <c r="AK595" s="13">
        <f t="shared" si="1190"/>
        <v>0</v>
      </c>
      <c r="AL595" s="13">
        <f t="shared" si="1190"/>
        <v>0</v>
      </c>
      <c r="AM595" s="13">
        <f t="shared" si="1190"/>
        <v>1</v>
      </c>
      <c r="AN595" s="13">
        <f t="shared" si="1190"/>
        <v>0</v>
      </c>
      <c r="AO595" s="13">
        <f t="shared" si="1190"/>
        <v>0</v>
      </c>
      <c r="AP595" s="13">
        <f t="shared" si="1190"/>
        <v>0</v>
      </c>
      <c r="AQ595" s="13"/>
      <c r="AR595" s="13" t="s">
        <v>3877</v>
      </c>
      <c r="AS595" s="13" t="s">
        <v>2304</v>
      </c>
      <c r="AT595" s="13" t="s">
        <v>162</v>
      </c>
      <c r="AU595" s="13" t="s">
        <v>1297</v>
      </c>
      <c r="AV595" s="13" t="s">
        <v>3878</v>
      </c>
      <c r="AW595" s="13">
        <v>20.0</v>
      </c>
      <c r="AX595" s="13">
        <v>8.0</v>
      </c>
      <c r="AY595" s="13">
        <v>0.0</v>
      </c>
      <c r="AZ595" s="13" t="s">
        <v>3879</v>
      </c>
      <c r="BA595" s="13" t="s">
        <v>3880</v>
      </c>
      <c r="BB595" s="13"/>
      <c r="BC595" s="13"/>
      <c r="BD595" s="13" t="s">
        <v>199</v>
      </c>
      <c r="BE595" s="13"/>
      <c r="BF595" s="13" t="s">
        <v>3881</v>
      </c>
      <c r="BG595" s="13" t="s">
        <v>201</v>
      </c>
      <c r="BH595" s="13" t="s">
        <v>79</v>
      </c>
      <c r="BI595" s="13" t="b">
        <v>0</v>
      </c>
      <c r="BJ595" s="13">
        <v>0.0</v>
      </c>
      <c r="BK595" s="13">
        <v>0.0</v>
      </c>
    </row>
    <row r="596" ht="14.25" customHeight="1">
      <c r="A596" s="13">
        <v>594.0</v>
      </c>
      <c r="B596" s="13" t="s">
        <v>49</v>
      </c>
      <c r="C596" s="13">
        <v>3.0</v>
      </c>
      <c r="D596" s="14">
        <v>0.0</v>
      </c>
      <c r="E596" s="13" t="s">
        <v>3882</v>
      </c>
      <c r="F596" s="15" t="s">
        <v>561</v>
      </c>
      <c r="G596" s="16" t="s">
        <v>3883</v>
      </c>
      <c r="H596" s="13">
        <v>19.0</v>
      </c>
      <c r="I596" s="13">
        <v>1.2</v>
      </c>
      <c r="J596" s="13" t="s">
        <v>2294</v>
      </c>
      <c r="K596" s="13">
        <f t="shared" si="3"/>
        <v>1</v>
      </c>
      <c r="L596" s="13">
        <f t="shared" si="4"/>
        <v>2</v>
      </c>
      <c r="M596" s="13">
        <f t="shared" ref="M596:AA596" si="1191">IFERROR(VALUE(RIGHT(LEFT($J596,FIND(M$1,$J596,1)+LEN(M$1)),1)),0)</f>
        <v>1</v>
      </c>
      <c r="N596" s="13">
        <f t="shared" si="1191"/>
        <v>0</v>
      </c>
      <c r="O596" s="13">
        <f t="shared" si="1191"/>
        <v>0</v>
      </c>
      <c r="P596" s="13">
        <f t="shared" si="1191"/>
        <v>0</v>
      </c>
      <c r="Q596" s="13">
        <f t="shared" si="1191"/>
        <v>0</v>
      </c>
      <c r="R596" s="13">
        <f t="shared" si="1191"/>
        <v>0</v>
      </c>
      <c r="S596" s="13">
        <f t="shared" si="1191"/>
        <v>0</v>
      </c>
      <c r="T596" s="13">
        <f t="shared" si="1191"/>
        <v>0</v>
      </c>
      <c r="U596" s="13">
        <f t="shared" si="1191"/>
        <v>0</v>
      </c>
      <c r="V596" s="13">
        <f t="shared" si="1191"/>
        <v>0</v>
      </c>
      <c r="W596" s="13">
        <f t="shared" si="1191"/>
        <v>0</v>
      </c>
      <c r="X596" s="13">
        <f t="shared" si="1191"/>
        <v>0</v>
      </c>
      <c r="Y596" s="13">
        <f t="shared" si="1191"/>
        <v>0</v>
      </c>
      <c r="Z596" s="13">
        <f t="shared" si="1191"/>
        <v>0</v>
      </c>
      <c r="AA596" s="13">
        <f t="shared" si="1191"/>
        <v>0</v>
      </c>
      <c r="AB596" s="13">
        <f t="shared" ref="AB596:AP596" si="1192">IFERROR(VALUE(RIGHT(LEFT($J596,FIND(AB$1,$J596,IF(M596=0,1,FIND(AB$1,$J596,1)+1))+LEN(AB$1)),1)),0)</f>
        <v>0</v>
      </c>
      <c r="AC596" s="13">
        <f t="shared" si="1192"/>
        <v>0</v>
      </c>
      <c r="AD596" s="13">
        <f t="shared" si="1192"/>
        <v>0</v>
      </c>
      <c r="AE596" s="13">
        <f t="shared" si="1192"/>
        <v>0</v>
      </c>
      <c r="AF596" s="13">
        <f t="shared" si="1192"/>
        <v>1</v>
      </c>
      <c r="AG596" s="13">
        <f t="shared" si="1192"/>
        <v>0</v>
      </c>
      <c r="AH596" s="13">
        <f t="shared" si="1192"/>
        <v>0</v>
      </c>
      <c r="AI596" s="13">
        <f t="shared" si="1192"/>
        <v>0</v>
      </c>
      <c r="AJ596" s="13">
        <f t="shared" si="1192"/>
        <v>0</v>
      </c>
      <c r="AK596" s="13">
        <f t="shared" si="1192"/>
        <v>0</v>
      </c>
      <c r="AL596" s="13">
        <f t="shared" si="1192"/>
        <v>0</v>
      </c>
      <c r="AM596" s="13">
        <f t="shared" si="1192"/>
        <v>1</v>
      </c>
      <c r="AN596" s="13">
        <f t="shared" si="1192"/>
        <v>0</v>
      </c>
      <c r="AO596" s="13">
        <f t="shared" si="1192"/>
        <v>0</v>
      </c>
      <c r="AP596" s="13">
        <f t="shared" si="1192"/>
        <v>0</v>
      </c>
      <c r="AQ596" s="13"/>
      <c r="AR596" s="13" t="s">
        <v>3884</v>
      </c>
      <c r="AS596" s="13" t="s">
        <v>3885</v>
      </c>
      <c r="AT596" s="13" t="s">
        <v>1263</v>
      </c>
      <c r="AU596" s="13" t="s">
        <v>143</v>
      </c>
      <c r="AV596" s="13" t="s">
        <v>3886</v>
      </c>
      <c r="AW596" s="13">
        <v>19.0</v>
      </c>
      <c r="AX596" s="13">
        <v>8.0</v>
      </c>
      <c r="AY596" s="13">
        <v>0.0</v>
      </c>
      <c r="AZ596" s="13" t="s">
        <v>1144</v>
      </c>
      <c r="BA596" s="13" t="s">
        <v>2299</v>
      </c>
      <c r="BB596" s="13"/>
      <c r="BC596" s="13"/>
      <c r="BD596" s="13" t="s">
        <v>664</v>
      </c>
      <c r="BE596" s="13"/>
      <c r="BF596" s="13" t="s">
        <v>3887</v>
      </c>
      <c r="BG596" s="13" t="s">
        <v>201</v>
      </c>
      <c r="BH596" s="13" t="s">
        <v>79</v>
      </c>
      <c r="BI596" s="13" t="b">
        <v>0</v>
      </c>
      <c r="BJ596" s="13">
        <v>0.0</v>
      </c>
      <c r="BK596" s="13">
        <v>0.0</v>
      </c>
    </row>
    <row r="597" ht="14.25" customHeight="1">
      <c r="A597" s="13">
        <v>595.0</v>
      </c>
      <c r="B597" s="13" t="s">
        <v>47</v>
      </c>
      <c r="C597" s="13">
        <v>3.0</v>
      </c>
      <c r="D597" s="14">
        <v>0.0</v>
      </c>
      <c r="E597" s="13" t="s">
        <v>3888</v>
      </c>
      <c r="F597" s="15" t="s">
        <v>561</v>
      </c>
      <c r="G597" s="16" t="s">
        <v>3889</v>
      </c>
      <c r="H597" s="13">
        <v>17.0</v>
      </c>
      <c r="I597" s="13">
        <v>1.0</v>
      </c>
      <c r="J597" s="13" t="s">
        <v>3890</v>
      </c>
      <c r="K597" s="13">
        <f t="shared" si="3"/>
        <v>1</v>
      </c>
      <c r="L597" s="13">
        <f t="shared" si="4"/>
        <v>2</v>
      </c>
      <c r="M597" s="13">
        <f t="shared" ref="M597:AA597" si="1193">IFERROR(VALUE(RIGHT(LEFT($J597,FIND(M$1,$J597,1)+LEN(M$1)),1)),0)</f>
        <v>0</v>
      </c>
      <c r="N597" s="13">
        <f t="shared" si="1193"/>
        <v>0</v>
      </c>
      <c r="O597" s="13">
        <f t="shared" si="1193"/>
        <v>0</v>
      </c>
      <c r="P597" s="13">
        <f t="shared" si="1193"/>
        <v>0</v>
      </c>
      <c r="Q597" s="13">
        <f t="shared" si="1193"/>
        <v>1</v>
      </c>
      <c r="R597" s="13">
        <f t="shared" si="1193"/>
        <v>0</v>
      </c>
      <c r="S597" s="13">
        <f t="shared" si="1193"/>
        <v>0</v>
      </c>
      <c r="T597" s="13">
        <f t="shared" si="1193"/>
        <v>0</v>
      </c>
      <c r="U597" s="13">
        <f t="shared" si="1193"/>
        <v>0</v>
      </c>
      <c r="V597" s="13">
        <f t="shared" si="1193"/>
        <v>0</v>
      </c>
      <c r="W597" s="13">
        <f t="shared" si="1193"/>
        <v>0</v>
      </c>
      <c r="X597" s="13">
        <f t="shared" si="1193"/>
        <v>0</v>
      </c>
      <c r="Y597" s="13">
        <f t="shared" si="1193"/>
        <v>0</v>
      </c>
      <c r="Z597" s="13">
        <f t="shared" si="1193"/>
        <v>0</v>
      </c>
      <c r="AA597" s="13">
        <f t="shared" si="1193"/>
        <v>0</v>
      </c>
      <c r="AB597" s="13">
        <f t="shared" ref="AB597:AP597" si="1194">IFERROR(VALUE(RIGHT(LEFT($J597,FIND(AB$1,$J597,IF(M597=0,1,FIND(AB$1,$J597,1)+1))+LEN(AB$1)),1)),0)</f>
        <v>1</v>
      </c>
      <c r="AC597" s="13">
        <f t="shared" si="1194"/>
        <v>0</v>
      </c>
      <c r="AD597" s="13">
        <f t="shared" si="1194"/>
        <v>0</v>
      </c>
      <c r="AE597" s="13">
        <f t="shared" si="1194"/>
        <v>0</v>
      </c>
      <c r="AF597" s="13">
        <f t="shared" si="1194"/>
        <v>0</v>
      </c>
      <c r="AG597" s="13">
        <f t="shared" si="1194"/>
        <v>0</v>
      </c>
      <c r="AH597" s="13">
        <f t="shared" si="1194"/>
        <v>0</v>
      </c>
      <c r="AI597" s="13">
        <f t="shared" si="1194"/>
        <v>0</v>
      </c>
      <c r="AJ597" s="13">
        <f t="shared" si="1194"/>
        <v>0</v>
      </c>
      <c r="AK597" s="13">
        <f t="shared" si="1194"/>
        <v>1</v>
      </c>
      <c r="AL597" s="13">
        <f t="shared" si="1194"/>
        <v>0</v>
      </c>
      <c r="AM597" s="13">
        <f t="shared" si="1194"/>
        <v>0</v>
      </c>
      <c r="AN597" s="13">
        <f t="shared" si="1194"/>
        <v>0</v>
      </c>
      <c r="AO597" s="13">
        <f t="shared" si="1194"/>
        <v>0</v>
      </c>
      <c r="AP597" s="13">
        <f t="shared" si="1194"/>
        <v>0</v>
      </c>
      <c r="AQ597" s="13"/>
      <c r="AR597" s="13" t="s">
        <v>1134</v>
      </c>
      <c r="AS597" s="13" t="s">
        <v>3891</v>
      </c>
      <c r="AT597" s="13" t="s">
        <v>162</v>
      </c>
      <c r="AU597" s="13" t="s">
        <v>195</v>
      </c>
      <c r="AV597" s="13" t="s">
        <v>3892</v>
      </c>
      <c r="AW597" s="13">
        <v>21.0</v>
      </c>
      <c r="AX597" s="13">
        <v>8.0</v>
      </c>
      <c r="AY597" s="13">
        <v>0.0</v>
      </c>
      <c r="AZ597" s="13" t="s">
        <v>3893</v>
      </c>
      <c r="BA597" s="13" t="s">
        <v>3894</v>
      </c>
      <c r="BB597" s="13"/>
      <c r="BC597" s="13"/>
      <c r="BD597" s="13" t="s">
        <v>134</v>
      </c>
      <c r="BE597" s="13"/>
      <c r="BF597" s="13" t="s">
        <v>3895</v>
      </c>
      <c r="BG597" s="13" t="s">
        <v>136</v>
      </c>
      <c r="BH597" s="13" t="s">
        <v>79</v>
      </c>
      <c r="BI597" s="13" t="b">
        <v>0</v>
      </c>
      <c r="BJ597" s="13">
        <v>0.0</v>
      </c>
      <c r="BK597" s="13">
        <v>0.0</v>
      </c>
    </row>
    <row r="598" ht="14.25" customHeight="1">
      <c r="A598" s="13">
        <v>596.0</v>
      </c>
      <c r="B598" s="13" t="s">
        <v>47</v>
      </c>
      <c r="C598" s="13">
        <v>3.0</v>
      </c>
      <c r="D598" s="14">
        <v>0.0</v>
      </c>
      <c r="E598" s="13" t="s">
        <v>3896</v>
      </c>
      <c r="F598" s="15" t="s">
        <v>561</v>
      </c>
      <c r="G598" s="16" t="s">
        <v>3897</v>
      </c>
      <c r="H598" s="13">
        <v>16.0</v>
      </c>
      <c r="I598" s="13">
        <v>1.1</v>
      </c>
      <c r="J598" s="13" t="s">
        <v>2690</v>
      </c>
      <c r="K598" s="13">
        <f t="shared" si="3"/>
        <v>1</v>
      </c>
      <c r="L598" s="13">
        <f t="shared" si="4"/>
        <v>2</v>
      </c>
      <c r="M598" s="13">
        <f t="shared" ref="M598:AA598" si="1195">IFERROR(VALUE(RIGHT(LEFT($J598,FIND(M$1,$J598,1)+LEN(M$1)),1)),0)</f>
        <v>0</v>
      </c>
      <c r="N598" s="13">
        <f t="shared" si="1195"/>
        <v>0</v>
      </c>
      <c r="O598" s="13">
        <f t="shared" si="1195"/>
        <v>0</v>
      </c>
      <c r="P598" s="13">
        <f t="shared" si="1195"/>
        <v>0</v>
      </c>
      <c r="Q598" s="13">
        <f t="shared" si="1195"/>
        <v>0</v>
      </c>
      <c r="R598" s="13">
        <f t="shared" si="1195"/>
        <v>0</v>
      </c>
      <c r="S598" s="13">
        <f t="shared" si="1195"/>
        <v>0</v>
      </c>
      <c r="T598" s="13">
        <f t="shared" si="1195"/>
        <v>0</v>
      </c>
      <c r="U598" s="13">
        <f t="shared" si="1195"/>
        <v>0</v>
      </c>
      <c r="V598" s="13">
        <f t="shared" si="1195"/>
        <v>1</v>
      </c>
      <c r="W598" s="13">
        <f t="shared" si="1195"/>
        <v>0</v>
      </c>
      <c r="X598" s="13">
        <f t="shared" si="1195"/>
        <v>0</v>
      </c>
      <c r="Y598" s="13">
        <f t="shared" si="1195"/>
        <v>0</v>
      </c>
      <c r="Z598" s="13">
        <f t="shared" si="1195"/>
        <v>0</v>
      </c>
      <c r="AA598" s="13">
        <f t="shared" si="1195"/>
        <v>0</v>
      </c>
      <c r="AB598" s="13">
        <f t="shared" ref="AB598:AP598" si="1196">IFERROR(VALUE(RIGHT(LEFT($J598,FIND(AB$1,$J598,IF(M598=0,1,FIND(AB$1,$J598,1)+1))+LEN(AB$1)),1)),0)</f>
        <v>0</v>
      </c>
      <c r="AC598" s="13">
        <f t="shared" si="1196"/>
        <v>0</v>
      </c>
      <c r="AD598" s="13">
        <f t="shared" si="1196"/>
        <v>0</v>
      </c>
      <c r="AE598" s="13">
        <f t="shared" si="1196"/>
        <v>0</v>
      </c>
      <c r="AF598" s="13">
        <f t="shared" si="1196"/>
        <v>0</v>
      </c>
      <c r="AG598" s="13">
        <f t="shared" si="1196"/>
        <v>1</v>
      </c>
      <c r="AH598" s="13">
        <f t="shared" si="1196"/>
        <v>0</v>
      </c>
      <c r="AI598" s="13">
        <f t="shared" si="1196"/>
        <v>0</v>
      </c>
      <c r="AJ598" s="13">
        <f t="shared" si="1196"/>
        <v>0</v>
      </c>
      <c r="AK598" s="13">
        <f t="shared" si="1196"/>
        <v>1</v>
      </c>
      <c r="AL598" s="13">
        <f t="shared" si="1196"/>
        <v>0</v>
      </c>
      <c r="AM598" s="13">
        <f t="shared" si="1196"/>
        <v>0</v>
      </c>
      <c r="AN598" s="13">
        <f t="shared" si="1196"/>
        <v>0</v>
      </c>
      <c r="AO598" s="13">
        <f t="shared" si="1196"/>
        <v>0</v>
      </c>
      <c r="AP598" s="13">
        <f t="shared" si="1196"/>
        <v>0</v>
      </c>
      <c r="AQ598" s="13"/>
      <c r="AR598" s="13" t="s">
        <v>3898</v>
      </c>
      <c r="AS598" s="13" t="s">
        <v>3899</v>
      </c>
      <c r="AT598" s="13" t="s">
        <v>175</v>
      </c>
      <c r="AU598" s="13" t="s">
        <v>803</v>
      </c>
      <c r="AV598" s="13" t="s">
        <v>3900</v>
      </c>
      <c r="AW598" s="13">
        <v>18.0</v>
      </c>
      <c r="AX598" s="13">
        <v>8.0</v>
      </c>
      <c r="AY598" s="13">
        <v>0.0</v>
      </c>
      <c r="AZ598" s="13" t="s">
        <v>1656</v>
      </c>
      <c r="BA598" s="13" t="s">
        <v>2695</v>
      </c>
      <c r="BB598" s="13"/>
      <c r="BC598" s="13"/>
      <c r="BD598" s="13" t="s">
        <v>484</v>
      </c>
      <c r="BE598" s="13"/>
      <c r="BF598" s="13" t="s">
        <v>3901</v>
      </c>
      <c r="BG598" s="13" t="s">
        <v>136</v>
      </c>
      <c r="BH598" s="13" t="s">
        <v>79</v>
      </c>
      <c r="BI598" s="13" t="b">
        <v>0</v>
      </c>
      <c r="BJ598" s="13">
        <v>0.0</v>
      </c>
      <c r="BK598" s="13">
        <v>0.0</v>
      </c>
    </row>
    <row r="599" ht="14.25" customHeight="1">
      <c r="A599" s="13">
        <v>597.0</v>
      </c>
      <c r="B599" s="13" t="s">
        <v>44</v>
      </c>
      <c r="C599" s="13">
        <v>4.0</v>
      </c>
      <c r="D599" s="14">
        <v>0.0</v>
      </c>
      <c r="E599" s="13" t="s">
        <v>3902</v>
      </c>
      <c r="F599" s="15" t="s">
        <v>561</v>
      </c>
      <c r="G599" s="16" t="s">
        <v>3903</v>
      </c>
      <c r="H599" s="13"/>
      <c r="I599" s="13">
        <v>1.2</v>
      </c>
      <c r="J599" s="13" t="s">
        <v>3904</v>
      </c>
      <c r="K599" s="13">
        <f t="shared" si="3"/>
        <v>2</v>
      </c>
      <c r="L599" s="13">
        <f t="shared" si="4"/>
        <v>2</v>
      </c>
      <c r="M599" s="13">
        <f t="shared" ref="M599:AA599" si="1197">IFERROR(VALUE(RIGHT(LEFT($J599,FIND(M$1,$J599,1)+LEN(M$1)),1)),0)</f>
        <v>0</v>
      </c>
      <c r="N599" s="13">
        <f t="shared" si="1197"/>
        <v>0</v>
      </c>
      <c r="O599" s="13">
        <f t="shared" si="1197"/>
        <v>0</v>
      </c>
      <c r="P599" s="13">
        <f t="shared" si="1197"/>
        <v>0</v>
      </c>
      <c r="Q599" s="13">
        <f t="shared" si="1197"/>
        <v>0</v>
      </c>
      <c r="R599" s="13">
        <f t="shared" si="1197"/>
        <v>0</v>
      </c>
      <c r="S599" s="13">
        <f t="shared" si="1197"/>
        <v>2</v>
      </c>
      <c r="T599" s="13">
        <f t="shared" si="1197"/>
        <v>0</v>
      </c>
      <c r="U599" s="13">
        <f t="shared" si="1197"/>
        <v>0</v>
      </c>
      <c r="V599" s="13">
        <f t="shared" si="1197"/>
        <v>0</v>
      </c>
      <c r="W599" s="13">
        <f t="shared" si="1197"/>
        <v>0</v>
      </c>
      <c r="X599" s="13">
        <f t="shared" si="1197"/>
        <v>0</v>
      </c>
      <c r="Y599" s="13">
        <f t="shared" si="1197"/>
        <v>0</v>
      </c>
      <c r="Z599" s="13">
        <f t="shared" si="1197"/>
        <v>0</v>
      </c>
      <c r="AA599" s="13">
        <f t="shared" si="1197"/>
        <v>0</v>
      </c>
      <c r="AB599" s="13">
        <f t="shared" ref="AB599:AP599" si="1198">IFERROR(VALUE(RIGHT(LEFT($J599,FIND(AB$1,$J599,IF(M599=0,1,FIND(AB$1,$J599,1)+1))+LEN(AB$1)),1)),0)</f>
        <v>0</v>
      </c>
      <c r="AC599" s="13">
        <f t="shared" si="1198"/>
        <v>0</v>
      </c>
      <c r="AD599" s="13">
        <f t="shared" si="1198"/>
        <v>0</v>
      </c>
      <c r="AE599" s="13">
        <f t="shared" si="1198"/>
        <v>0</v>
      </c>
      <c r="AF599" s="13">
        <f t="shared" si="1198"/>
        <v>0</v>
      </c>
      <c r="AG599" s="13">
        <f t="shared" si="1198"/>
        <v>1</v>
      </c>
      <c r="AH599" s="13">
        <f t="shared" si="1198"/>
        <v>1</v>
      </c>
      <c r="AI599" s="13">
        <f t="shared" si="1198"/>
        <v>0</v>
      </c>
      <c r="AJ599" s="13">
        <f t="shared" si="1198"/>
        <v>0</v>
      </c>
      <c r="AK599" s="13">
        <f t="shared" si="1198"/>
        <v>0</v>
      </c>
      <c r="AL599" s="13">
        <f t="shared" si="1198"/>
        <v>0</v>
      </c>
      <c r="AM599" s="13">
        <f t="shared" si="1198"/>
        <v>0</v>
      </c>
      <c r="AN599" s="13">
        <f t="shared" si="1198"/>
        <v>0</v>
      </c>
      <c r="AO599" s="13">
        <f t="shared" si="1198"/>
        <v>0</v>
      </c>
      <c r="AP599" s="13">
        <f t="shared" si="1198"/>
        <v>0</v>
      </c>
      <c r="AQ599" s="13" t="s">
        <v>3905</v>
      </c>
      <c r="AR599" s="13"/>
      <c r="AS599" s="13" t="s">
        <v>3906</v>
      </c>
      <c r="AT599" s="13"/>
      <c r="AU599" s="13"/>
      <c r="AV599" s="13"/>
      <c r="AW599" s="13">
        <v>0.0</v>
      </c>
      <c r="AX599" s="13">
        <v>8.0</v>
      </c>
      <c r="AY599" s="13">
        <v>0.0</v>
      </c>
      <c r="AZ599" s="13"/>
      <c r="BA599" s="13"/>
      <c r="BB599" s="13"/>
      <c r="BC599" s="13"/>
      <c r="BD599" s="13"/>
      <c r="BE599" s="13"/>
      <c r="BF599" s="13"/>
      <c r="BG599" s="13"/>
      <c r="BH599" s="13" t="s">
        <v>79</v>
      </c>
      <c r="BI599" s="13" t="b">
        <v>0</v>
      </c>
      <c r="BJ599" s="13">
        <v>0.0</v>
      </c>
      <c r="BK599" s="13">
        <v>0.0</v>
      </c>
    </row>
    <row r="600" ht="14.25" customHeight="1">
      <c r="A600" s="13">
        <v>598.0</v>
      </c>
      <c r="B600" s="13" t="s">
        <v>45</v>
      </c>
      <c r="C600" s="13">
        <v>4.0</v>
      </c>
      <c r="D600" s="14">
        <v>0.0</v>
      </c>
      <c r="E600" s="13" t="s">
        <v>3907</v>
      </c>
      <c r="F600" s="15" t="s">
        <v>561</v>
      </c>
      <c r="G600" s="16" t="s">
        <v>3908</v>
      </c>
      <c r="H600" s="13"/>
      <c r="I600" s="13">
        <v>0.9</v>
      </c>
      <c r="J600" s="13" t="s">
        <v>3909</v>
      </c>
      <c r="K600" s="13">
        <f t="shared" si="3"/>
        <v>2</v>
      </c>
      <c r="L600" s="13">
        <f t="shared" si="4"/>
        <v>2</v>
      </c>
      <c r="M600" s="13">
        <f t="shared" ref="M600:AA600" si="1199">IFERROR(VALUE(RIGHT(LEFT($J600,FIND(M$1,$J600,1)+LEN(M$1)),1)),0)</f>
        <v>0</v>
      </c>
      <c r="N600" s="13">
        <f t="shared" si="1199"/>
        <v>0</v>
      </c>
      <c r="O600" s="13">
        <f t="shared" si="1199"/>
        <v>0</v>
      </c>
      <c r="P600" s="13">
        <f t="shared" si="1199"/>
        <v>0</v>
      </c>
      <c r="Q600" s="13">
        <f t="shared" si="1199"/>
        <v>0</v>
      </c>
      <c r="R600" s="13">
        <f t="shared" si="1199"/>
        <v>0</v>
      </c>
      <c r="S600" s="13">
        <f t="shared" si="1199"/>
        <v>0</v>
      </c>
      <c r="T600" s="13">
        <f t="shared" si="1199"/>
        <v>2</v>
      </c>
      <c r="U600" s="13">
        <f t="shared" si="1199"/>
        <v>0</v>
      </c>
      <c r="V600" s="13">
        <f t="shared" si="1199"/>
        <v>0</v>
      </c>
      <c r="W600" s="13">
        <f t="shared" si="1199"/>
        <v>0</v>
      </c>
      <c r="X600" s="13">
        <f t="shared" si="1199"/>
        <v>0</v>
      </c>
      <c r="Y600" s="13">
        <f t="shared" si="1199"/>
        <v>0</v>
      </c>
      <c r="Z600" s="13">
        <f t="shared" si="1199"/>
        <v>0</v>
      </c>
      <c r="AA600" s="13">
        <f t="shared" si="1199"/>
        <v>0</v>
      </c>
      <c r="AB600" s="13">
        <f t="shared" ref="AB600:AP600" si="1200">IFERROR(VALUE(RIGHT(LEFT($J600,FIND(AB$1,$J600,IF(M600=0,1,FIND(AB$1,$J600,1)+1))+LEN(AB$1)),1)),0)</f>
        <v>0</v>
      </c>
      <c r="AC600" s="13">
        <f t="shared" si="1200"/>
        <v>0</v>
      </c>
      <c r="AD600" s="13">
        <f t="shared" si="1200"/>
        <v>0</v>
      </c>
      <c r="AE600" s="13">
        <f t="shared" si="1200"/>
        <v>0</v>
      </c>
      <c r="AF600" s="13">
        <f t="shared" si="1200"/>
        <v>1</v>
      </c>
      <c r="AG600" s="13">
        <f t="shared" si="1200"/>
        <v>0</v>
      </c>
      <c r="AH600" s="13">
        <f t="shared" si="1200"/>
        <v>0</v>
      </c>
      <c r="AI600" s="13">
        <f t="shared" si="1200"/>
        <v>1</v>
      </c>
      <c r="AJ600" s="13">
        <f t="shared" si="1200"/>
        <v>0</v>
      </c>
      <c r="AK600" s="13">
        <f t="shared" si="1200"/>
        <v>0</v>
      </c>
      <c r="AL600" s="13">
        <f t="shared" si="1200"/>
        <v>0</v>
      </c>
      <c r="AM600" s="13">
        <f t="shared" si="1200"/>
        <v>0</v>
      </c>
      <c r="AN600" s="13">
        <f t="shared" si="1200"/>
        <v>0</v>
      </c>
      <c r="AO600" s="13">
        <f t="shared" si="1200"/>
        <v>0</v>
      </c>
      <c r="AP600" s="13">
        <f t="shared" si="1200"/>
        <v>0</v>
      </c>
      <c r="AQ600" s="13" t="s">
        <v>3910</v>
      </c>
      <c r="AR600" s="13"/>
      <c r="AS600" s="13" t="s">
        <v>3911</v>
      </c>
      <c r="AT600" s="13"/>
      <c r="AU600" s="13"/>
      <c r="AV600" s="13"/>
      <c r="AW600" s="13">
        <v>0.0</v>
      </c>
      <c r="AX600" s="13">
        <v>8.0</v>
      </c>
      <c r="AY600" s="13">
        <v>0.0</v>
      </c>
      <c r="AZ600" s="13"/>
      <c r="BA600" s="13"/>
      <c r="BB600" s="13"/>
      <c r="BC600" s="13"/>
      <c r="BD600" s="13"/>
      <c r="BE600" s="13"/>
      <c r="BF600" s="13"/>
      <c r="BG600" s="13"/>
      <c r="BH600" s="13" t="s">
        <v>79</v>
      </c>
      <c r="BI600" s="13" t="b">
        <v>0</v>
      </c>
      <c r="BJ600" s="13">
        <v>0.0</v>
      </c>
      <c r="BK600" s="13">
        <v>0.0</v>
      </c>
    </row>
    <row r="601" ht="14.25" customHeight="1">
      <c r="A601" s="13">
        <v>599.0</v>
      </c>
      <c r="B601" s="13" t="s">
        <v>46</v>
      </c>
      <c r="C601" s="13">
        <v>4.0</v>
      </c>
      <c r="D601" s="14">
        <v>0.0</v>
      </c>
      <c r="E601" s="13" t="s">
        <v>3912</v>
      </c>
      <c r="F601" s="15" t="s">
        <v>561</v>
      </c>
      <c r="G601" s="16" t="s">
        <v>3913</v>
      </c>
      <c r="H601" s="13"/>
      <c r="I601" s="13">
        <v>1.0</v>
      </c>
      <c r="J601" s="13" t="s">
        <v>3914</v>
      </c>
      <c r="K601" s="13">
        <f t="shared" si="3"/>
        <v>2</v>
      </c>
      <c r="L601" s="13">
        <f t="shared" si="4"/>
        <v>2</v>
      </c>
      <c r="M601" s="13">
        <f t="shared" ref="M601:AA601" si="1201">IFERROR(VALUE(RIGHT(LEFT($J601,FIND(M$1,$J601,1)+LEN(M$1)),1)),0)</f>
        <v>0</v>
      </c>
      <c r="N601" s="13">
        <f t="shared" si="1201"/>
        <v>0</v>
      </c>
      <c r="O601" s="13">
        <f t="shared" si="1201"/>
        <v>0</v>
      </c>
      <c r="P601" s="13">
        <f t="shared" si="1201"/>
        <v>0</v>
      </c>
      <c r="Q601" s="13">
        <f t="shared" si="1201"/>
        <v>0</v>
      </c>
      <c r="R601" s="13">
        <f t="shared" si="1201"/>
        <v>0</v>
      </c>
      <c r="S601" s="13">
        <f t="shared" si="1201"/>
        <v>0</v>
      </c>
      <c r="T601" s="13">
        <f t="shared" si="1201"/>
        <v>0</v>
      </c>
      <c r="U601" s="13">
        <f t="shared" si="1201"/>
        <v>2</v>
      </c>
      <c r="V601" s="13">
        <f t="shared" si="1201"/>
        <v>0</v>
      </c>
      <c r="W601" s="13">
        <f t="shared" si="1201"/>
        <v>0</v>
      </c>
      <c r="X601" s="13">
        <f t="shared" si="1201"/>
        <v>0</v>
      </c>
      <c r="Y601" s="13">
        <f t="shared" si="1201"/>
        <v>0</v>
      </c>
      <c r="Z601" s="13">
        <f t="shared" si="1201"/>
        <v>0</v>
      </c>
      <c r="AA601" s="13">
        <f t="shared" si="1201"/>
        <v>0</v>
      </c>
      <c r="AB601" s="13">
        <f t="shared" ref="AB601:AP601" si="1202">IFERROR(VALUE(RIGHT(LEFT($J601,FIND(AB$1,$J601,IF(M601=0,1,FIND(AB$1,$J601,1)+1))+LEN(AB$1)),1)),0)</f>
        <v>1</v>
      </c>
      <c r="AC601" s="13">
        <f t="shared" si="1202"/>
        <v>0</v>
      </c>
      <c r="AD601" s="13">
        <f t="shared" si="1202"/>
        <v>0</v>
      </c>
      <c r="AE601" s="13">
        <f t="shared" si="1202"/>
        <v>0</v>
      </c>
      <c r="AF601" s="13">
        <f t="shared" si="1202"/>
        <v>0</v>
      </c>
      <c r="AG601" s="13">
        <f t="shared" si="1202"/>
        <v>0</v>
      </c>
      <c r="AH601" s="13">
        <f t="shared" si="1202"/>
        <v>0</v>
      </c>
      <c r="AI601" s="13">
        <f t="shared" si="1202"/>
        <v>0</v>
      </c>
      <c r="AJ601" s="13">
        <f t="shared" si="1202"/>
        <v>1</v>
      </c>
      <c r="AK601" s="13">
        <f t="shared" si="1202"/>
        <v>0</v>
      </c>
      <c r="AL601" s="13">
        <f t="shared" si="1202"/>
        <v>0</v>
      </c>
      <c r="AM601" s="13">
        <f t="shared" si="1202"/>
        <v>0</v>
      </c>
      <c r="AN601" s="13">
        <f t="shared" si="1202"/>
        <v>0</v>
      </c>
      <c r="AO601" s="13">
        <f t="shared" si="1202"/>
        <v>0</v>
      </c>
      <c r="AP601" s="13">
        <f t="shared" si="1202"/>
        <v>0</v>
      </c>
      <c r="AQ601" s="13" t="s">
        <v>3915</v>
      </c>
      <c r="AR601" s="13"/>
      <c r="AS601" s="13" t="s">
        <v>3916</v>
      </c>
      <c r="AT601" s="13"/>
      <c r="AU601" s="13"/>
      <c r="AV601" s="13"/>
      <c r="AW601" s="13">
        <v>0.0</v>
      </c>
      <c r="AX601" s="13">
        <v>8.0</v>
      </c>
      <c r="AY601" s="13">
        <v>0.0</v>
      </c>
      <c r="AZ601" s="13"/>
      <c r="BA601" s="13"/>
      <c r="BB601" s="13"/>
      <c r="BC601" s="13"/>
      <c r="BD601" s="13"/>
      <c r="BE601" s="13"/>
      <c r="BF601" s="13"/>
      <c r="BG601" s="13"/>
      <c r="BH601" s="13" t="s">
        <v>79</v>
      </c>
      <c r="BI601" s="13" t="b">
        <v>0</v>
      </c>
      <c r="BJ601" s="13">
        <v>0.0</v>
      </c>
      <c r="BK601" s="13">
        <v>0.0</v>
      </c>
    </row>
    <row r="602" ht="14.25" customHeight="1">
      <c r="A602" s="13">
        <v>600.0</v>
      </c>
      <c r="B602" s="13" t="s">
        <v>49</v>
      </c>
      <c r="C602" s="13">
        <v>4.0</v>
      </c>
      <c r="D602" s="14">
        <v>0.0</v>
      </c>
      <c r="E602" s="13" t="s">
        <v>3917</v>
      </c>
      <c r="F602" s="15" t="s">
        <v>561</v>
      </c>
      <c r="G602" s="16" t="s">
        <v>3918</v>
      </c>
      <c r="H602" s="13">
        <v>21.0</v>
      </c>
      <c r="I602" s="13">
        <v>1.0</v>
      </c>
      <c r="J602" s="13" t="s">
        <v>2338</v>
      </c>
      <c r="K602" s="13">
        <f t="shared" si="3"/>
        <v>2</v>
      </c>
      <c r="L602" s="13">
        <f t="shared" si="4"/>
        <v>2</v>
      </c>
      <c r="M602" s="13">
        <f t="shared" ref="M602:AA602" si="1203">IFERROR(VALUE(RIGHT(LEFT($J602,FIND(M$1,$J602,1)+LEN(M$1)),1)),0)</f>
        <v>0</v>
      </c>
      <c r="N602" s="13">
        <f t="shared" si="1203"/>
        <v>0</v>
      </c>
      <c r="O602" s="13">
        <f t="shared" si="1203"/>
        <v>0</v>
      </c>
      <c r="P602" s="13">
        <f t="shared" si="1203"/>
        <v>0</v>
      </c>
      <c r="Q602" s="13">
        <f t="shared" si="1203"/>
        <v>0</v>
      </c>
      <c r="R602" s="13">
        <f t="shared" si="1203"/>
        <v>0</v>
      </c>
      <c r="S602" s="13">
        <f t="shared" si="1203"/>
        <v>0</v>
      </c>
      <c r="T602" s="13">
        <f t="shared" si="1203"/>
        <v>0</v>
      </c>
      <c r="U602" s="13">
        <f t="shared" si="1203"/>
        <v>0</v>
      </c>
      <c r="V602" s="13">
        <f t="shared" si="1203"/>
        <v>0</v>
      </c>
      <c r="W602" s="13">
        <f t="shared" si="1203"/>
        <v>0</v>
      </c>
      <c r="X602" s="13">
        <f t="shared" si="1203"/>
        <v>2</v>
      </c>
      <c r="Y602" s="13">
        <f t="shared" si="1203"/>
        <v>0</v>
      </c>
      <c r="Z602" s="13">
        <f t="shared" si="1203"/>
        <v>0</v>
      </c>
      <c r="AA602" s="13">
        <f t="shared" si="1203"/>
        <v>0</v>
      </c>
      <c r="AB602" s="13">
        <f t="shared" ref="AB602:AP602" si="1204">IFERROR(VALUE(RIGHT(LEFT($J602,FIND(AB$1,$J602,IF(M602=0,1,FIND(AB$1,$J602,1)+1))+LEN(AB$1)),1)),0)</f>
        <v>1</v>
      </c>
      <c r="AC602" s="13">
        <f t="shared" si="1204"/>
        <v>0</v>
      </c>
      <c r="AD602" s="13">
        <f t="shared" si="1204"/>
        <v>0</v>
      </c>
      <c r="AE602" s="13">
        <f t="shared" si="1204"/>
        <v>0</v>
      </c>
      <c r="AF602" s="13">
        <f t="shared" si="1204"/>
        <v>0</v>
      </c>
      <c r="AG602" s="13">
        <f t="shared" si="1204"/>
        <v>0</v>
      </c>
      <c r="AH602" s="13">
        <f t="shared" si="1204"/>
        <v>0</v>
      </c>
      <c r="AI602" s="13">
        <f t="shared" si="1204"/>
        <v>0</v>
      </c>
      <c r="AJ602" s="13">
        <f t="shared" si="1204"/>
        <v>0</v>
      </c>
      <c r="AK602" s="13">
        <f t="shared" si="1204"/>
        <v>0</v>
      </c>
      <c r="AL602" s="13">
        <f t="shared" si="1204"/>
        <v>0</v>
      </c>
      <c r="AM602" s="13">
        <f t="shared" si="1204"/>
        <v>1</v>
      </c>
      <c r="AN602" s="13">
        <f t="shared" si="1204"/>
        <v>0</v>
      </c>
      <c r="AO602" s="13">
        <f t="shared" si="1204"/>
        <v>0</v>
      </c>
      <c r="AP602" s="13">
        <f t="shared" si="1204"/>
        <v>0</v>
      </c>
      <c r="AQ602" s="13"/>
      <c r="AR602" s="13" t="s">
        <v>2339</v>
      </c>
      <c r="AS602" s="13" t="s">
        <v>3919</v>
      </c>
      <c r="AT602" s="13" t="s">
        <v>162</v>
      </c>
      <c r="AU602" s="13" t="s">
        <v>1297</v>
      </c>
      <c r="AV602" s="13" t="s">
        <v>3920</v>
      </c>
      <c r="AW602" s="13">
        <v>25.0</v>
      </c>
      <c r="AX602" s="13">
        <v>8.0</v>
      </c>
      <c r="AY602" s="13">
        <v>0.0</v>
      </c>
      <c r="AZ602" s="13" t="s">
        <v>3921</v>
      </c>
      <c r="BA602" s="13" t="s">
        <v>3922</v>
      </c>
      <c r="BB602" s="13"/>
      <c r="BC602" s="13"/>
      <c r="BD602" s="13" t="s">
        <v>199</v>
      </c>
      <c r="BE602" s="13"/>
      <c r="BF602" s="13" t="s">
        <v>3923</v>
      </c>
      <c r="BG602" s="13" t="s">
        <v>201</v>
      </c>
      <c r="BH602" s="13" t="s">
        <v>79</v>
      </c>
      <c r="BI602" s="13" t="b">
        <v>0</v>
      </c>
      <c r="BJ602" s="13">
        <v>0.0</v>
      </c>
      <c r="BK602" s="13">
        <v>0.0</v>
      </c>
    </row>
    <row r="603" ht="14.25" customHeight="1">
      <c r="A603" s="13">
        <v>601.0</v>
      </c>
      <c r="B603" s="13" t="s">
        <v>49</v>
      </c>
      <c r="C603" s="13">
        <v>4.0</v>
      </c>
      <c r="D603" s="14">
        <v>0.0</v>
      </c>
      <c r="E603" s="13" t="s">
        <v>3924</v>
      </c>
      <c r="F603" s="15" t="s">
        <v>561</v>
      </c>
      <c r="G603" s="16" t="s">
        <v>3925</v>
      </c>
      <c r="H603" s="13">
        <v>20.0</v>
      </c>
      <c r="I603" s="13">
        <v>1.0</v>
      </c>
      <c r="J603" s="13" t="s">
        <v>3926</v>
      </c>
      <c r="K603" s="13">
        <f t="shared" si="3"/>
        <v>2</v>
      </c>
      <c r="L603" s="13">
        <f t="shared" si="4"/>
        <v>2</v>
      </c>
      <c r="M603" s="13">
        <f t="shared" ref="M603:AA603" si="1205">IFERROR(VALUE(RIGHT(LEFT($J603,FIND(M$1,$J603,1)+LEN(M$1)),1)),0)</f>
        <v>2</v>
      </c>
      <c r="N603" s="13">
        <f t="shared" si="1205"/>
        <v>0</v>
      </c>
      <c r="O603" s="13">
        <f t="shared" si="1205"/>
        <v>0</v>
      </c>
      <c r="P603" s="13">
        <f t="shared" si="1205"/>
        <v>0</v>
      </c>
      <c r="Q603" s="13">
        <f t="shared" si="1205"/>
        <v>0</v>
      </c>
      <c r="R603" s="13">
        <f t="shared" si="1205"/>
        <v>0</v>
      </c>
      <c r="S603" s="13">
        <f t="shared" si="1205"/>
        <v>0</v>
      </c>
      <c r="T603" s="13">
        <f t="shared" si="1205"/>
        <v>0</v>
      </c>
      <c r="U603" s="13">
        <f t="shared" si="1205"/>
        <v>0</v>
      </c>
      <c r="V603" s="13">
        <f t="shared" si="1205"/>
        <v>0</v>
      </c>
      <c r="W603" s="13">
        <f t="shared" si="1205"/>
        <v>0</v>
      </c>
      <c r="X603" s="13">
        <f t="shared" si="1205"/>
        <v>0</v>
      </c>
      <c r="Y603" s="13">
        <f t="shared" si="1205"/>
        <v>0</v>
      </c>
      <c r="Z603" s="13">
        <f t="shared" si="1205"/>
        <v>0</v>
      </c>
      <c r="AA603" s="13">
        <f t="shared" si="1205"/>
        <v>0</v>
      </c>
      <c r="AB603" s="13">
        <f t="shared" ref="AB603:AP603" si="1206">IFERROR(VALUE(RIGHT(LEFT($J603,FIND(AB$1,$J603,IF(M603=0,1,FIND(AB$1,$J603,1)+1))+LEN(AB$1)),1)),0)</f>
        <v>0</v>
      </c>
      <c r="AC603" s="13">
        <f t="shared" si="1206"/>
        <v>0</v>
      </c>
      <c r="AD603" s="13">
        <f t="shared" si="1206"/>
        <v>0</v>
      </c>
      <c r="AE603" s="13">
        <f t="shared" si="1206"/>
        <v>0</v>
      </c>
      <c r="AF603" s="13">
        <f t="shared" si="1206"/>
        <v>1</v>
      </c>
      <c r="AG603" s="13">
        <f t="shared" si="1206"/>
        <v>0</v>
      </c>
      <c r="AH603" s="13">
        <f t="shared" si="1206"/>
        <v>0</v>
      </c>
      <c r="AI603" s="13">
        <f t="shared" si="1206"/>
        <v>0</v>
      </c>
      <c r="AJ603" s="13">
        <f t="shared" si="1206"/>
        <v>0</v>
      </c>
      <c r="AK603" s="13">
        <f t="shared" si="1206"/>
        <v>0</v>
      </c>
      <c r="AL603" s="13">
        <f t="shared" si="1206"/>
        <v>0</v>
      </c>
      <c r="AM603" s="13">
        <f t="shared" si="1206"/>
        <v>1</v>
      </c>
      <c r="AN603" s="13">
        <f t="shared" si="1206"/>
        <v>0</v>
      </c>
      <c r="AO603" s="13">
        <f t="shared" si="1206"/>
        <v>0</v>
      </c>
      <c r="AP603" s="13">
        <f t="shared" si="1206"/>
        <v>0</v>
      </c>
      <c r="AQ603" s="13"/>
      <c r="AR603" s="13" t="s">
        <v>3927</v>
      </c>
      <c r="AS603" s="13" t="s">
        <v>3928</v>
      </c>
      <c r="AT603" s="13" t="s">
        <v>162</v>
      </c>
      <c r="AU603" s="13" t="s">
        <v>616</v>
      </c>
      <c r="AV603" s="13" t="s">
        <v>3929</v>
      </c>
      <c r="AW603" s="13">
        <v>24.0</v>
      </c>
      <c r="AX603" s="13">
        <v>8.0</v>
      </c>
      <c r="AY603" s="13">
        <v>0.0</v>
      </c>
      <c r="AZ603" s="13" t="s">
        <v>1513</v>
      </c>
      <c r="BA603" s="13" t="s">
        <v>1249</v>
      </c>
      <c r="BB603" s="13"/>
      <c r="BC603" s="13"/>
      <c r="BD603" s="13" t="s">
        <v>220</v>
      </c>
      <c r="BE603" s="13"/>
      <c r="BF603" s="13" t="s">
        <v>3930</v>
      </c>
      <c r="BG603" s="13" t="s">
        <v>201</v>
      </c>
      <c r="BH603" s="13" t="s">
        <v>79</v>
      </c>
      <c r="BI603" s="13" t="b">
        <v>0</v>
      </c>
      <c r="BJ603" s="13">
        <v>0.0</v>
      </c>
      <c r="BK603" s="13">
        <v>0.0</v>
      </c>
    </row>
    <row r="604" ht="14.25" customHeight="1">
      <c r="A604" s="13">
        <v>602.0</v>
      </c>
      <c r="B604" s="13" t="s">
        <v>47</v>
      </c>
      <c r="C604" s="13">
        <v>4.0</v>
      </c>
      <c r="D604" s="14">
        <v>0.0</v>
      </c>
      <c r="E604" s="13" t="s">
        <v>3931</v>
      </c>
      <c r="F604" s="15" t="s">
        <v>561</v>
      </c>
      <c r="G604" s="16" t="s">
        <v>3932</v>
      </c>
      <c r="H604" s="13">
        <v>22.0</v>
      </c>
      <c r="I604" s="13">
        <v>0.9</v>
      </c>
      <c r="J604" s="13" t="s">
        <v>3933</v>
      </c>
      <c r="K604" s="13">
        <f t="shared" si="3"/>
        <v>2</v>
      </c>
      <c r="L604" s="13">
        <f t="shared" si="4"/>
        <v>2</v>
      </c>
      <c r="M604" s="13">
        <f t="shared" ref="M604:AA604" si="1207">IFERROR(VALUE(RIGHT(LEFT($J604,FIND(M$1,$J604,1)+LEN(M$1)),1)),0)</f>
        <v>0</v>
      </c>
      <c r="N604" s="13">
        <f t="shared" si="1207"/>
        <v>0</v>
      </c>
      <c r="O604" s="13">
        <f t="shared" si="1207"/>
        <v>0</v>
      </c>
      <c r="P604" s="13">
        <f t="shared" si="1207"/>
        <v>0</v>
      </c>
      <c r="Q604" s="13">
        <f t="shared" si="1207"/>
        <v>2</v>
      </c>
      <c r="R604" s="13">
        <f t="shared" si="1207"/>
        <v>0</v>
      </c>
      <c r="S604" s="13">
        <f t="shared" si="1207"/>
        <v>0</v>
      </c>
      <c r="T604" s="13">
        <f t="shared" si="1207"/>
        <v>0</v>
      </c>
      <c r="U604" s="13">
        <f t="shared" si="1207"/>
        <v>0</v>
      </c>
      <c r="V604" s="13">
        <f t="shared" si="1207"/>
        <v>0</v>
      </c>
      <c r="W604" s="13">
        <f t="shared" si="1207"/>
        <v>0</v>
      </c>
      <c r="X604" s="13">
        <f t="shared" si="1207"/>
        <v>0</v>
      </c>
      <c r="Y604" s="13">
        <f t="shared" si="1207"/>
        <v>0</v>
      </c>
      <c r="Z604" s="13">
        <f t="shared" si="1207"/>
        <v>0</v>
      </c>
      <c r="AA604" s="13">
        <f t="shared" si="1207"/>
        <v>0</v>
      </c>
      <c r="AB604" s="13">
        <f t="shared" ref="AB604:AP604" si="1208">IFERROR(VALUE(RIGHT(LEFT($J604,FIND(AB$1,$J604,IF(M604=0,1,FIND(AB$1,$J604,1)+1))+LEN(AB$1)),1)),0)</f>
        <v>1</v>
      </c>
      <c r="AC604" s="13">
        <f t="shared" si="1208"/>
        <v>0</v>
      </c>
      <c r="AD604" s="13">
        <f t="shared" si="1208"/>
        <v>0</v>
      </c>
      <c r="AE604" s="13">
        <f t="shared" si="1208"/>
        <v>0</v>
      </c>
      <c r="AF604" s="13">
        <f t="shared" si="1208"/>
        <v>0</v>
      </c>
      <c r="AG604" s="13">
        <f t="shared" si="1208"/>
        <v>0</v>
      </c>
      <c r="AH604" s="13">
        <f t="shared" si="1208"/>
        <v>0</v>
      </c>
      <c r="AI604" s="13">
        <f t="shared" si="1208"/>
        <v>0</v>
      </c>
      <c r="AJ604" s="13">
        <f t="shared" si="1208"/>
        <v>0</v>
      </c>
      <c r="AK604" s="13">
        <f t="shared" si="1208"/>
        <v>1</v>
      </c>
      <c r="AL604" s="13">
        <f t="shared" si="1208"/>
        <v>0</v>
      </c>
      <c r="AM604" s="13">
        <f t="shared" si="1208"/>
        <v>0</v>
      </c>
      <c r="AN604" s="13">
        <f t="shared" si="1208"/>
        <v>0</v>
      </c>
      <c r="AO604" s="13">
        <f t="shared" si="1208"/>
        <v>0</v>
      </c>
      <c r="AP604" s="13">
        <f t="shared" si="1208"/>
        <v>0</v>
      </c>
      <c r="AQ604" s="13"/>
      <c r="AR604" s="13" t="s">
        <v>1958</v>
      </c>
      <c r="AS604" s="13" t="s">
        <v>3934</v>
      </c>
      <c r="AT604" s="13" t="s">
        <v>573</v>
      </c>
      <c r="AU604" s="13" t="s">
        <v>130</v>
      </c>
      <c r="AV604" s="13" t="s">
        <v>3935</v>
      </c>
      <c r="AW604" s="13">
        <v>26.0</v>
      </c>
      <c r="AX604" s="13">
        <v>8.0</v>
      </c>
      <c r="AY604" s="13">
        <v>0.0</v>
      </c>
      <c r="AZ604" s="13" t="s">
        <v>3936</v>
      </c>
      <c r="BA604" s="13" t="s">
        <v>3937</v>
      </c>
      <c r="BB604" s="13"/>
      <c r="BC604" s="13"/>
      <c r="BD604" s="13" t="s">
        <v>134</v>
      </c>
      <c r="BE604" s="13"/>
      <c r="BF604" s="13" t="s">
        <v>3938</v>
      </c>
      <c r="BG604" s="13" t="s">
        <v>136</v>
      </c>
      <c r="BH604" s="13" t="s">
        <v>79</v>
      </c>
      <c r="BI604" s="13" t="b">
        <v>0</v>
      </c>
      <c r="BJ604" s="13">
        <v>0.0</v>
      </c>
      <c r="BK604" s="13">
        <v>0.0</v>
      </c>
    </row>
    <row r="605" ht="14.25" customHeight="1">
      <c r="A605" s="13">
        <v>603.0</v>
      </c>
      <c r="B605" s="13" t="s">
        <v>47</v>
      </c>
      <c r="C605" s="13">
        <v>4.0</v>
      </c>
      <c r="D605" s="14">
        <v>0.0</v>
      </c>
      <c r="E605" s="13" t="s">
        <v>3939</v>
      </c>
      <c r="F605" s="15" t="s">
        <v>561</v>
      </c>
      <c r="G605" s="16" t="s">
        <v>3940</v>
      </c>
      <c r="H605" s="13">
        <v>19.0</v>
      </c>
      <c r="I605" s="13">
        <v>1.1</v>
      </c>
      <c r="J605" s="13" t="s">
        <v>2730</v>
      </c>
      <c r="K605" s="13">
        <f t="shared" si="3"/>
        <v>2</v>
      </c>
      <c r="L605" s="13">
        <f t="shared" si="4"/>
        <v>2</v>
      </c>
      <c r="M605" s="13">
        <f t="shared" ref="M605:AA605" si="1209">IFERROR(VALUE(RIGHT(LEFT($J605,FIND(M$1,$J605,1)+LEN(M$1)),1)),0)</f>
        <v>0</v>
      </c>
      <c r="N605" s="13">
        <f t="shared" si="1209"/>
        <v>0</v>
      </c>
      <c r="O605" s="13">
        <f t="shared" si="1209"/>
        <v>0</v>
      </c>
      <c r="P605" s="13">
        <f t="shared" si="1209"/>
        <v>0</v>
      </c>
      <c r="Q605" s="13">
        <f t="shared" si="1209"/>
        <v>0</v>
      </c>
      <c r="R605" s="13">
        <f t="shared" si="1209"/>
        <v>0</v>
      </c>
      <c r="S605" s="13">
        <f t="shared" si="1209"/>
        <v>0</v>
      </c>
      <c r="T605" s="13">
        <f t="shared" si="1209"/>
        <v>0</v>
      </c>
      <c r="U605" s="13">
        <f t="shared" si="1209"/>
        <v>0</v>
      </c>
      <c r="V605" s="13">
        <f t="shared" si="1209"/>
        <v>2</v>
      </c>
      <c r="W605" s="13">
        <f t="shared" si="1209"/>
        <v>0</v>
      </c>
      <c r="X605" s="13">
        <f t="shared" si="1209"/>
        <v>0</v>
      </c>
      <c r="Y605" s="13">
        <f t="shared" si="1209"/>
        <v>0</v>
      </c>
      <c r="Z605" s="13">
        <f t="shared" si="1209"/>
        <v>0</v>
      </c>
      <c r="AA605" s="13">
        <f t="shared" si="1209"/>
        <v>0</v>
      </c>
      <c r="AB605" s="13">
        <f t="shared" ref="AB605:AP605" si="1210">IFERROR(VALUE(RIGHT(LEFT($J605,FIND(AB$1,$J605,IF(M605=0,1,FIND(AB$1,$J605,1)+1))+LEN(AB$1)),1)),0)</f>
        <v>0</v>
      </c>
      <c r="AC605" s="13">
        <f t="shared" si="1210"/>
        <v>0</v>
      </c>
      <c r="AD605" s="13">
        <f t="shared" si="1210"/>
        <v>0</v>
      </c>
      <c r="AE605" s="13">
        <f t="shared" si="1210"/>
        <v>0</v>
      </c>
      <c r="AF605" s="13">
        <f t="shared" si="1210"/>
        <v>0</v>
      </c>
      <c r="AG605" s="13">
        <f t="shared" si="1210"/>
        <v>1</v>
      </c>
      <c r="AH605" s="13">
        <f t="shared" si="1210"/>
        <v>0</v>
      </c>
      <c r="AI605" s="13">
        <f t="shared" si="1210"/>
        <v>0</v>
      </c>
      <c r="AJ605" s="13">
        <f t="shared" si="1210"/>
        <v>0</v>
      </c>
      <c r="AK605" s="13">
        <f t="shared" si="1210"/>
        <v>1</v>
      </c>
      <c r="AL605" s="13">
        <f t="shared" si="1210"/>
        <v>0</v>
      </c>
      <c r="AM605" s="13">
        <f t="shared" si="1210"/>
        <v>0</v>
      </c>
      <c r="AN605" s="13">
        <f t="shared" si="1210"/>
        <v>0</v>
      </c>
      <c r="AO605" s="13">
        <f t="shared" si="1210"/>
        <v>0</v>
      </c>
      <c r="AP605" s="13">
        <f t="shared" si="1210"/>
        <v>0</v>
      </c>
      <c r="AQ605" s="13"/>
      <c r="AR605" s="13" t="s">
        <v>3941</v>
      </c>
      <c r="AS605" s="13" t="s">
        <v>2910</v>
      </c>
      <c r="AT605" s="13" t="s">
        <v>573</v>
      </c>
      <c r="AU605" s="13" t="s">
        <v>803</v>
      </c>
      <c r="AV605" s="13" t="s">
        <v>3942</v>
      </c>
      <c r="AW605" s="13">
        <v>23.0</v>
      </c>
      <c r="AX605" s="13">
        <v>8.0</v>
      </c>
      <c r="AY605" s="13">
        <v>0.0</v>
      </c>
      <c r="AZ605" s="13" t="s">
        <v>3943</v>
      </c>
      <c r="BA605" s="13" t="s">
        <v>3944</v>
      </c>
      <c r="BB605" s="13"/>
      <c r="BC605" s="13"/>
      <c r="BD605" s="13" t="s">
        <v>484</v>
      </c>
      <c r="BE605" s="13"/>
      <c r="BF605" s="13" t="s">
        <v>3945</v>
      </c>
      <c r="BG605" s="13" t="s">
        <v>136</v>
      </c>
      <c r="BH605" s="13" t="s">
        <v>241</v>
      </c>
      <c r="BI605" s="13" t="b">
        <v>0</v>
      </c>
      <c r="BJ605" s="13">
        <v>0.0</v>
      </c>
      <c r="BK605" s="13">
        <v>0.0</v>
      </c>
    </row>
    <row r="606" ht="14.25" customHeight="1">
      <c r="A606" s="13">
        <v>604.0</v>
      </c>
      <c r="B606" s="13" t="s">
        <v>44</v>
      </c>
      <c r="C606" s="13">
        <v>5.0</v>
      </c>
      <c r="D606" s="14">
        <v>0.0</v>
      </c>
      <c r="E606" s="13" t="s">
        <v>3946</v>
      </c>
      <c r="F606" s="15" t="s">
        <v>561</v>
      </c>
      <c r="G606" s="16" t="s">
        <v>3947</v>
      </c>
      <c r="H606" s="13"/>
      <c r="I606" s="13">
        <v>1.0</v>
      </c>
      <c r="J606" s="13" t="s">
        <v>3948</v>
      </c>
      <c r="K606" s="13">
        <f t="shared" si="3"/>
        <v>3</v>
      </c>
      <c r="L606" s="13">
        <f t="shared" si="4"/>
        <v>2</v>
      </c>
      <c r="M606" s="13">
        <f t="shared" ref="M606:AA606" si="1211">IFERROR(VALUE(RIGHT(LEFT($J606,FIND(M$1,$J606,1)+LEN(M$1)),1)),0)</f>
        <v>2</v>
      </c>
      <c r="N606" s="13">
        <f t="shared" si="1211"/>
        <v>0</v>
      </c>
      <c r="O606" s="13">
        <f t="shared" si="1211"/>
        <v>0</v>
      </c>
      <c r="P606" s="13">
        <f t="shared" si="1211"/>
        <v>0</v>
      </c>
      <c r="Q606" s="13">
        <f t="shared" si="1211"/>
        <v>0</v>
      </c>
      <c r="R606" s="13">
        <f t="shared" si="1211"/>
        <v>0</v>
      </c>
      <c r="S606" s="13">
        <f t="shared" si="1211"/>
        <v>1</v>
      </c>
      <c r="T606" s="13">
        <f t="shared" si="1211"/>
        <v>0</v>
      </c>
      <c r="U606" s="13">
        <f t="shared" si="1211"/>
        <v>0</v>
      </c>
      <c r="V606" s="13">
        <f t="shared" si="1211"/>
        <v>0</v>
      </c>
      <c r="W606" s="13">
        <f t="shared" si="1211"/>
        <v>0</v>
      </c>
      <c r="X606" s="13">
        <f t="shared" si="1211"/>
        <v>0</v>
      </c>
      <c r="Y606" s="13">
        <f t="shared" si="1211"/>
        <v>0</v>
      </c>
      <c r="Z606" s="13">
        <f t="shared" si="1211"/>
        <v>0</v>
      </c>
      <c r="AA606" s="13">
        <f t="shared" si="1211"/>
        <v>0</v>
      </c>
      <c r="AB606" s="13">
        <f t="shared" ref="AB606:AP606" si="1212">IFERROR(VALUE(RIGHT(LEFT($J606,FIND(AB$1,$J606,IF(M606=0,1,FIND(AB$1,$J606,1)+1))+LEN(AB$1)),1)),0)</f>
        <v>1</v>
      </c>
      <c r="AC606" s="13">
        <f t="shared" si="1212"/>
        <v>0</v>
      </c>
      <c r="AD606" s="13">
        <f t="shared" si="1212"/>
        <v>0</v>
      </c>
      <c r="AE606" s="13">
        <f t="shared" si="1212"/>
        <v>0</v>
      </c>
      <c r="AF606" s="13">
        <f t="shared" si="1212"/>
        <v>0</v>
      </c>
      <c r="AG606" s="13">
        <f t="shared" si="1212"/>
        <v>0</v>
      </c>
      <c r="AH606" s="13">
        <f t="shared" si="1212"/>
        <v>1</v>
      </c>
      <c r="AI606" s="13">
        <f t="shared" si="1212"/>
        <v>0</v>
      </c>
      <c r="AJ606" s="13">
        <f t="shared" si="1212"/>
        <v>0</v>
      </c>
      <c r="AK606" s="13">
        <f t="shared" si="1212"/>
        <v>0</v>
      </c>
      <c r="AL606" s="13">
        <f t="shared" si="1212"/>
        <v>0</v>
      </c>
      <c r="AM606" s="13">
        <f t="shared" si="1212"/>
        <v>0</v>
      </c>
      <c r="AN606" s="13">
        <f t="shared" si="1212"/>
        <v>0</v>
      </c>
      <c r="AO606" s="13">
        <f t="shared" si="1212"/>
        <v>0</v>
      </c>
      <c r="AP606" s="13">
        <f t="shared" si="1212"/>
        <v>0</v>
      </c>
      <c r="AQ606" s="13" t="s">
        <v>3949</v>
      </c>
      <c r="AR606" s="13"/>
      <c r="AS606" s="13" t="s">
        <v>3950</v>
      </c>
      <c r="AT606" s="13"/>
      <c r="AU606" s="13"/>
      <c r="AV606" s="13"/>
      <c r="AW606" s="13">
        <v>0.0</v>
      </c>
      <c r="AX606" s="13">
        <v>8.0</v>
      </c>
      <c r="AY606" s="13">
        <v>0.0</v>
      </c>
      <c r="AZ606" s="13"/>
      <c r="BA606" s="13"/>
      <c r="BB606" s="13"/>
      <c r="BC606" s="13"/>
      <c r="BD606" s="13"/>
      <c r="BE606" s="13"/>
      <c r="BF606" s="13"/>
      <c r="BG606" s="13"/>
      <c r="BH606" s="13" t="s">
        <v>79</v>
      </c>
      <c r="BI606" s="13" t="b">
        <v>0</v>
      </c>
      <c r="BJ606" s="13">
        <v>0.0</v>
      </c>
      <c r="BK606" s="13">
        <v>0.0</v>
      </c>
    </row>
    <row r="607" ht="14.25" customHeight="1">
      <c r="A607" s="13">
        <v>605.0</v>
      </c>
      <c r="B607" s="13" t="s">
        <v>46</v>
      </c>
      <c r="C607" s="13">
        <v>5.0</v>
      </c>
      <c r="D607" s="14">
        <v>0.0</v>
      </c>
      <c r="E607" s="13" t="s">
        <v>3951</v>
      </c>
      <c r="F607" s="15" t="s">
        <v>561</v>
      </c>
      <c r="G607" s="16" t="s">
        <v>3952</v>
      </c>
      <c r="H607" s="13"/>
      <c r="I607" s="13">
        <v>1.1</v>
      </c>
      <c r="J607" s="13" t="s">
        <v>3953</v>
      </c>
      <c r="K607" s="13">
        <f t="shared" si="3"/>
        <v>3</v>
      </c>
      <c r="L607" s="13">
        <f t="shared" si="4"/>
        <v>2</v>
      </c>
      <c r="M607" s="13">
        <f t="shared" ref="M607:AA607" si="1213">IFERROR(VALUE(RIGHT(LEFT($J607,FIND(M$1,$J607,1)+LEN(M$1)),1)),0)</f>
        <v>0</v>
      </c>
      <c r="N607" s="13">
        <f t="shared" si="1213"/>
        <v>0</v>
      </c>
      <c r="O607" s="13">
        <f t="shared" si="1213"/>
        <v>0</v>
      </c>
      <c r="P607" s="13">
        <f t="shared" si="1213"/>
        <v>0</v>
      </c>
      <c r="Q607" s="13">
        <f t="shared" si="1213"/>
        <v>0</v>
      </c>
      <c r="R607" s="13">
        <f t="shared" si="1213"/>
        <v>2</v>
      </c>
      <c r="S607" s="13">
        <f t="shared" si="1213"/>
        <v>0</v>
      </c>
      <c r="T607" s="13">
        <f t="shared" si="1213"/>
        <v>0</v>
      </c>
      <c r="U607" s="13">
        <f t="shared" si="1213"/>
        <v>1</v>
      </c>
      <c r="V607" s="13">
        <f t="shared" si="1213"/>
        <v>0</v>
      </c>
      <c r="W607" s="13">
        <f t="shared" si="1213"/>
        <v>0</v>
      </c>
      <c r="X607" s="13">
        <f t="shared" si="1213"/>
        <v>0</v>
      </c>
      <c r="Y607" s="13">
        <f t="shared" si="1213"/>
        <v>0</v>
      </c>
      <c r="Z607" s="13">
        <f t="shared" si="1213"/>
        <v>0</v>
      </c>
      <c r="AA607" s="13">
        <f t="shared" si="1213"/>
        <v>0</v>
      </c>
      <c r="AB607" s="13">
        <f t="shared" ref="AB607:AP607" si="1214">IFERROR(VALUE(RIGHT(LEFT($J607,FIND(AB$1,$J607,IF(M607=0,1,FIND(AB$1,$J607,1)+1))+LEN(AB$1)),1)),0)</f>
        <v>0</v>
      </c>
      <c r="AC607" s="13">
        <f t="shared" si="1214"/>
        <v>0</v>
      </c>
      <c r="AD607" s="13">
        <f t="shared" si="1214"/>
        <v>0</v>
      </c>
      <c r="AE607" s="13">
        <f t="shared" si="1214"/>
        <v>0</v>
      </c>
      <c r="AF607" s="13">
        <f t="shared" si="1214"/>
        <v>0</v>
      </c>
      <c r="AG607" s="13">
        <f t="shared" si="1214"/>
        <v>1</v>
      </c>
      <c r="AH607" s="13">
        <f t="shared" si="1214"/>
        <v>0</v>
      </c>
      <c r="AI607" s="13">
        <f t="shared" si="1214"/>
        <v>0</v>
      </c>
      <c r="AJ607" s="13">
        <f t="shared" si="1214"/>
        <v>1</v>
      </c>
      <c r="AK607" s="13">
        <f t="shared" si="1214"/>
        <v>0</v>
      </c>
      <c r="AL607" s="13">
        <f t="shared" si="1214"/>
        <v>0</v>
      </c>
      <c r="AM607" s="13">
        <f t="shared" si="1214"/>
        <v>0</v>
      </c>
      <c r="AN607" s="13">
        <f t="shared" si="1214"/>
        <v>0</v>
      </c>
      <c r="AO607" s="13">
        <f t="shared" si="1214"/>
        <v>0</v>
      </c>
      <c r="AP607" s="13">
        <f t="shared" si="1214"/>
        <v>0</v>
      </c>
      <c r="AQ607" s="13" t="s">
        <v>3954</v>
      </c>
      <c r="AR607" s="13"/>
      <c r="AS607" s="13" t="s">
        <v>3955</v>
      </c>
      <c r="AT607" s="13"/>
      <c r="AU607" s="13"/>
      <c r="AV607" s="13"/>
      <c r="AW607" s="13">
        <v>0.0</v>
      </c>
      <c r="AX607" s="13">
        <v>8.0</v>
      </c>
      <c r="AY607" s="13">
        <v>0.0</v>
      </c>
      <c r="AZ607" s="13"/>
      <c r="BA607" s="13"/>
      <c r="BB607" s="13"/>
      <c r="BC607" s="13"/>
      <c r="BD607" s="13"/>
      <c r="BE607" s="13"/>
      <c r="BF607" s="13"/>
      <c r="BG607" s="13"/>
      <c r="BH607" s="13" t="s">
        <v>79</v>
      </c>
      <c r="BI607" s="13" t="b">
        <v>0</v>
      </c>
      <c r="BJ607" s="13">
        <v>0.0</v>
      </c>
      <c r="BK607" s="13">
        <v>0.0</v>
      </c>
    </row>
    <row r="608" ht="14.25" customHeight="1">
      <c r="A608" s="13">
        <v>606.0</v>
      </c>
      <c r="B608" s="13" t="s">
        <v>49</v>
      </c>
      <c r="C608" s="13">
        <v>5.0</v>
      </c>
      <c r="D608" s="14">
        <v>0.0</v>
      </c>
      <c r="E608" s="13" t="s">
        <v>3956</v>
      </c>
      <c r="F608" s="15" t="s">
        <v>561</v>
      </c>
      <c r="G608" s="16" t="s">
        <v>3957</v>
      </c>
      <c r="H608" s="13">
        <v>24.0</v>
      </c>
      <c r="I608" s="13">
        <v>1.0</v>
      </c>
      <c r="J608" s="13" t="s">
        <v>3958</v>
      </c>
      <c r="K608" s="13">
        <f t="shared" si="3"/>
        <v>3</v>
      </c>
      <c r="L608" s="13">
        <f t="shared" si="4"/>
        <v>2</v>
      </c>
      <c r="M608" s="13">
        <f t="shared" ref="M608:AA608" si="1215">IFERROR(VALUE(RIGHT(LEFT($J608,FIND(M$1,$J608,1)+LEN(M$1)),1)),0)</f>
        <v>0</v>
      </c>
      <c r="N608" s="13">
        <f t="shared" si="1215"/>
        <v>0</v>
      </c>
      <c r="O608" s="13">
        <f t="shared" si="1215"/>
        <v>0</v>
      </c>
      <c r="P608" s="13">
        <f t="shared" si="1215"/>
        <v>0</v>
      </c>
      <c r="Q608" s="13">
        <f t="shared" si="1215"/>
        <v>2</v>
      </c>
      <c r="R608" s="13">
        <f t="shared" si="1215"/>
        <v>0</v>
      </c>
      <c r="S608" s="13">
        <f t="shared" si="1215"/>
        <v>0</v>
      </c>
      <c r="T608" s="13">
        <f t="shared" si="1215"/>
        <v>0</v>
      </c>
      <c r="U608" s="13">
        <f t="shared" si="1215"/>
        <v>0</v>
      </c>
      <c r="V608" s="13">
        <f t="shared" si="1215"/>
        <v>0</v>
      </c>
      <c r="W608" s="13">
        <f t="shared" si="1215"/>
        <v>0</v>
      </c>
      <c r="X608" s="13">
        <f t="shared" si="1215"/>
        <v>1</v>
      </c>
      <c r="Y608" s="13">
        <f t="shared" si="1215"/>
        <v>0</v>
      </c>
      <c r="Z608" s="13">
        <f t="shared" si="1215"/>
        <v>0</v>
      </c>
      <c r="AA608" s="13">
        <f t="shared" si="1215"/>
        <v>0</v>
      </c>
      <c r="AB608" s="13">
        <f t="shared" ref="AB608:AP608" si="1216">IFERROR(VALUE(RIGHT(LEFT($J608,FIND(AB$1,$J608,IF(M608=0,1,FIND(AB$1,$J608,1)+1))+LEN(AB$1)),1)),0)</f>
        <v>0</v>
      </c>
      <c r="AC608" s="13">
        <f t="shared" si="1216"/>
        <v>0</v>
      </c>
      <c r="AD608" s="13">
        <f t="shared" si="1216"/>
        <v>0</v>
      </c>
      <c r="AE608" s="13">
        <f t="shared" si="1216"/>
        <v>0</v>
      </c>
      <c r="AF608" s="13">
        <f t="shared" si="1216"/>
        <v>1</v>
      </c>
      <c r="AG608" s="13">
        <f t="shared" si="1216"/>
        <v>0</v>
      </c>
      <c r="AH608" s="13">
        <f t="shared" si="1216"/>
        <v>0</v>
      </c>
      <c r="AI608" s="13">
        <f t="shared" si="1216"/>
        <v>0</v>
      </c>
      <c r="AJ608" s="13">
        <f t="shared" si="1216"/>
        <v>0</v>
      </c>
      <c r="AK608" s="13">
        <f t="shared" si="1216"/>
        <v>0</v>
      </c>
      <c r="AL608" s="13">
        <f t="shared" si="1216"/>
        <v>0</v>
      </c>
      <c r="AM608" s="13">
        <f t="shared" si="1216"/>
        <v>1</v>
      </c>
      <c r="AN608" s="13">
        <f t="shared" si="1216"/>
        <v>0</v>
      </c>
      <c r="AO608" s="13">
        <f t="shared" si="1216"/>
        <v>0</v>
      </c>
      <c r="AP608" s="13">
        <f t="shared" si="1216"/>
        <v>0</v>
      </c>
      <c r="AQ608" s="13"/>
      <c r="AR608" s="13" t="s">
        <v>3959</v>
      </c>
      <c r="AS608" s="13" t="s">
        <v>3960</v>
      </c>
      <c r="AT608" s="13" t="s">
        <v>162</v>
      </c>
      <c r="AU608" s="13" t="s">
        <v>3961</v>
      </c>
      <c r="AV608" s="13" t="s">
        <v>3962</v>
      </c>
      <c r="AW608" s="13">
        <v>27.0</v>
      </c>
      <c r="AX608" s="13">
        <v>8.0</v>
      </c>
      <c r="AY608" s="13">
        <v>0.0</v>
      </c>
      <c r="AZ608" s="13" t="s">
        <v>3963</v>
      </c>
      <c r="BA608" s="13" t="s">
        <v>3964</v>
      </c>
      <c r="BB608" s="13"/>
      <c r="BC608" s="13"/>
      <c r="BD608" s="13" t="s">
        <v>664</v>
      </c>
      <c r="BE608" s="13"/>
      <c r="BF608" s="13" t="s">
        <v>3965</v>
      </c>
      <c r="BG608" s="13" t="s">
        <v>201</v>
      </c>
      <c r="BH608" s="13" t="s">
        <v>79</v>
      </c>
      <c r="BI608" s="13" t="b">
        <v>0</v>
      </c>
      <c r="BJ608" s="13">
        <v>0.0</v>
      </c>
      <c r="BK608" s="13">
        <v>0.0</v>
      </c>
    </row>
    <row r="609" ht="14.25" customHeight="1">
      <c r="A609" s="13">
        <v>607.0</v>
      </c>
      <c r="B609" s="13" t="s">
        <v>44</v>
      </c>
      <c r="C609" s="13">
        <v>0.0</v>
      </c>
      <c r="D609" s="14">
        <v>0.0</v>
      </c>
      <c r="E609" s="13" t="s">
        <v>3966</v>
      </c>
      <c r="F609" s="15" t="s">
        <v>541</v>
      </c>
      <c r="G609" s="16" t="s">
        <v>3967</v>
      </c>
      <c r="H609" s="13"/>
      <c r="I609" s="13">
        <v>1.0</v>
      </c>
      <c r="J609" s="13" t="s">
        <v>2185</v>
      </c>
      <c r="K609" s="13">
        <f t="shared" si="3"/>
        <v>0</v>
      </c>
      <c r="L609" s="13">
        <f t="shared" si="4"/>
        <v>1</v>
      </c>
      <c r="M609" s="13">
        <f t="shared" ref="M609:AA609" si="1217">IFERROR(VALUE(RIGHT(LEFT($J609,FIND(M$1,$J609,1)+LEN(M$1)),1)),0)</f>
        <v>0</v>
      </c>
      <c r="N609" s="13">
        <f t="shared" si="1217"/>
        <v>0</v>
      </c>
      <c r="O609" s="13">
        <f t="shared" si="1217"/>
        <v>0</v>
      </c>
      <c r="P609" s="13">
        <f t="shared" si="1217"/>
        <v>0</v>
      </c>
      <c r="Q609" s="13">
        <f t="shared" si="1217"/>
        <v>0</v>
      </c>
      <c r="R609" s="13">
        <f t="shared" si="1217"/>
        <v>0</v>
      </c>
      <c r="S609" s="13">
        <f t="shared" si="1217"/>
        <v>0</v>
      </c>
      <c r="T609" s="13">
        <f t="shared" si="1217"/>
        <v>0</v>
      </c>
      <c r="U609" s="13">
        <f t="shared" si="1217"/>
        <v>0</v>
      </c>
      <c r="V609" s="13">
        <f t="shared" si="1217"/>
        <v>0</v>
      </c>
      <c r="W609" s="13">
        <f t="shared" si="1217"/>
        <v>0</v>
      </c>
      <c r="X609" s="13">
        <f t="shared" si="1217"/>
        <v>0</v>
      </c>
      <c r="Y609" s="13">
        <f t="shared" si="1217"/>
        <v>0</v>
      </c>
      <c r="Z609" s="13">
        <f t="shared" si="1217"/>
        <v>0</v>
      </c>
      <c r="AA609" s="13">
        <f t="shared" si="1217"/>
        <v>0</v>
      </c>
      <c r="AB609" s="13">
        <f t="shared" ref="AB609:AP609" si="1218">IFERROR(VALUE(RIGHT(LEFT($J609,FIND(AB$1,$J609,IF(M609=0,1,FIND(AB$1,$J609,1)+1))+LEN(AB$1)),1)),0)</f>
        <v>0</v>
      </c>
      <c r="AC609" s="13">
        <f t="shared" si="1218"/>
        <v>0</v>
      </c>
      <c r="AD609" s="13">
        <f t="shared" si="1218"/>
        <v>0</v>
      </c>
      <c r="AE609" s="13">
        <f t="shared" si="1218"/>
        <v>0</v>
      </c>
      <c r="AF609" s="13">
        <f t="shared" si="1218"/>
        <v>0</v>
      </c>
      <c r="AG609" s="13">
        <f t="shared" si="1218"/>
        <v>0</v>
      </c>
      <c r="AH609" s="13">
        <f t="shared" si="1218"/>
        <v>1</v>
      </c>
      <c r="AI609" s="13">
        <f t="shared" si="1218"/>
        <v>0</v>
      </c>
      <c r="AJ609" s="13">
        <f t="shared" si="1218"/>
        <v>0</v>
      </c>
      <c r="AK609" s="13">
        <f t="shared" si="1218"/>
        <v>0</v>
      </c>
      <c r="AL609" s="13">
        <f t="shared" si="1218"/>
        <v>0</v>
      </c>
      <c r="AM609" s="13">
        <f t="shared" si="1218"/>
        <v>0</v>
      </c>
      <c r="AN609" s="13">
        <f t="shared" si="1218"/>
        <v>0</v>
      </c>
      <c r="AO609" s="13">
        <f t="shared" si="1218"/>
        <v>0</v>
      </c>
      <c r="AP609" s="13">
        <f t="shared" si="1218"/>
        <v>0</v>
      </c>
      <c r="AQ609" s="13" t="s">
        <v>3968</v>
      </c>
      <c r="AR609" s="13"/>
      <c r="AS609" s="13" t="s">
        <v>3969</v>
      </c>
      <c r="AT609" s="13"/>
      <c r="AU609" s="13"/>
      <c r="AV609" s="13"/>
      <c r="AW609" s="13">
        <v>0.0</v>
      </c>
      <c r="AX609" s="13">
        <v>9.0</v>
      </c>
      <c r="AY609" s="13">
        <v>0.0</v>
      </c>
      <c r="AZ609" s="13"/>
      <c r="BA609" s="13"/>
      <c r="BB609" s="13"/>
      <c r="BC609" s="13"/>
      <c r="BD609" s="13"/>
      <c r="BE609" s="13"/>
      <c r="BF609" s="13"/>
      <c r="BG609" s="13"/>
      <c r="BH609" s="13" t="s">
        <v>79</v>
      </c>
      <c r="BI609" s="13" t="b">
        <v>0</v>
      </c>
      <c r="BJ609" s="13">
        <v>0.0</v>
      </c>
      <c r="BK609" s="13">
        <v>0.0</v>
      </c>
    </row>
    <row r="610" ht="14.25" customHeight="1">
      <c r="A610" s="13">
        <v>608.0</v>
      </c>
      <c r="B610" s="13" t="s">
        <v>45</v>
      </c>
      <c r="C610" s="13">
        <v>0.0</v>
      </c>
      <c r="D610" s="14">
        <v>0.0</v>
      </c>
      <c r="E610" s="13" t="s">
        <v>3970</v>
      </c>
      <c r="F610" s="15" t="s">
        <v>3971</v>
      </c>
      <c r="G610" s="16" t="s">
        <v>3972</v>
      </c>
      <c r="H610" s="13"/>
      <c r="I610" s="13">
        <v>1.1</v>
      </c>
      <c r="J610" s="13" t="s">
        <v>100</v>
      </c>
      <c r="K610" s="13">
        <f t="shared" si="3"/>
        <v>0</v>
      </c>
      <c r="L610" s="13">
        <f t="shared" si="4"/>
        <v>1</v>
      </c>
      <c r="M610" s="13">
        <f t="shared" ref="M610:AA610" si="1219">IFERROR(VALUE(RIGHT(LEFT($J610,FIND(M$1,$J610,1)+LEN(M$1)),1)),0)</f>
        <v>0</v>
      </c>
      <c r="N610" s="13">
        <f t="shared" si="1219"/>
        <v>0</v>
      </c>
      <c r="O610" s="13">
        <f t="shared" si="1219"/>
        <v>0</v>
      </c>
      <c r="P610" s="13">
        <f t="shared" si="1219"/>
        <v>0</v>
      </c>
      <c r="Q610" s="13">
        <f t="shared" si="1219"/>
        <v>0</v>
      </c>
      <c r="R610" s="13">
        <f t="shared" si="1219"/>
        <v>0</v>
      </c>
      <c r="S610" s="13">
        <f t="shared" si="1219"/>
        <v>0</v>
      </c>
      <c r="T610" s="13">
        <f t="shared" si="1219"/>
        <v>0</v>
      </c>
      <c r="U610" s="13">
        <f t="shared" si="1219"/>
        <v>0</v>
      </c>
      <c r="V610" s="13">
        <f t="shared" si="1219"/>
        <v>0</v>
      </c>
      <c r="W610" s="13">
        <f t="shared" si="1219"/>
        <v>0</v>
      </c>
      <c r="X610" s="13">
        <f t="shared" si="1219"/>
        <v>0</v>
      </c>
      <c r="Y610" s="13">
        <f t="shared" si="1219"/>
        <v>0</v>
      </c>
      <c r="Z610" s="13">
        <f t="shared" si="1219"/>
        <v>0</v>
      </c>
      <c r="AA610" s="13">
        <f t="shared" si="1219"/>
        <v>0</v>
      </c>
      <c r="AB610" s="13">
        <f t="shared" ref="AB610:AP610" si="1220">IFERROR(VALUE(RIGHT(LEFT($J610,FIND(AB$1,$J610,IF(M610=0,1,FIND(AB$1,$J610,1)+1))+LEN(AB$1)),1)),0)</f>
        <v>0</v>
      </c>
      <c r="AC610" s="13">
        <f t="shared" si="1220"/>
        <v>0</v>
      </c>
      <c r="AD610" s="13">
        <f t="shared" si="1220"/>
        <v>0</v>
      </c>
      <c r="AE610" s="13">
        <f t="shared" si="1220"/>
        <v>0</v>
      </c>
      <c r="AF610" s="13">
        <f t="shared" si="1220"/>
        <v>0</v>
      </c>
      <c r="AG610" s="13">
        <f t="shared" si="1220"/>
        <v>0</v>
      </c>
      <c r="AH610" s="13">
        <f t="shared" si="1220"/>
        <v>0</v>
      </c>
      <c r="AI610" s="13">
        <f t="shared" si="1220"/>
        <v>1</v>
      </c>
      <c r="AJ610" s="13">
        <f t="shared" si="1220"/>
        <v>0</v>
      </c>
      <c r="AK610" s="13">
        <f t="shared" si="1220"/>
        <v>0</v>
      </c>
      <c r="AL610" s="13">
        <f t="shared" si="1220"/>
        <v>0</v>
      </c>
      <c r="AM610" s="13">
        <f t="shared" si="1220"/>
        <v>0</v>
      </c>
      <c r="AN610" s="13">
        <f t="shared" si="1220"/>
        <v>0</v>
      </c>
      <c r="AO610" s="13">
        <f t="shared" si="1220"/>
        <v>0</v>
      </c>
      <c r="AP610" s="13">
        <f t="shared" si="1220"/>
        <v>0</v>
      </c>
      <c r="AQ610" s="13" t="s">
        <v>3973</v>
      </c>
      <c r="AR610" s="13"/>
      <c r="AS610" s="13" t="s">
        <v>3974</v>
      </c>
      <c r="AT610" s="13"/>
      <c r="AU610" s="13"/>
      <c r="AV610" s="13"/>
      <c r="AW610" s="13">
        <v>0.0</v>
      </c>
      <c r="AX610" s="13">
        <v>9.0</v>
      </c>
      <c r="AY610" s="13">
        <v>0.0</v>
      </c>
      <c r="AZ610" s="13"/>
      <c r="BA610" s="13"/>
      <c r="BB610" s="13"/>
      <c r="BC610" s="13"/>
      <c r="BD610" s="13"/>
      <c r="BE610" s="13"/>
      <c r="BF610" s="13"/>
      <c r="BG610" s="13"/>
      <c r="BH610" s="13" t="s">
        <v>79</v>
      </c>
      <c r="BI610" s="13" t="b">
        <v>0</v>
      </c>
      <c r="BJ610" s="13">
        <v>0.0</v>
      </c>
      <c r="BK610" s="13">
        <v>0.0</v>
      </c>
    </row>
    <row r="611" ht="14.25" customHeight="1">
      <c r="A611" s="13">
        <v>609.0</v>
      </c>
      <c r="B611" s="13" t="s">
        <v>46</v>
      </c>
      <c r="C611" s="13">
        <v>0.0</v>
      </c>
      <c r="D611" s="14">
        <v>0.0</v>
      </c>
      <c r="E611" s="13" t="s">
        <v>3975</v>
      </c>
      <c r="F611" s="15" t="s">
        <v>541</v>
      </c>
      <c r="G611" s="16" t="s">
        <v>3976</v>
      </c>
      <c r="H611" s="13"/>
      <c r="I611" s="13">
        <v>1.1</v>
      </c>
      <c r="J611" s="13" t="s">
        <v>111</v>
      </c>
      <c r="K611" s="13">
        <f t="shared" si="3"/>
        <v>0</v>
      </c>
      <c r="L611" s="13">
        <f t="shared" si="4"/>
        <v>1</v>
      </c>
      <c r="M611" s="13">
        <f t="shared" ref="M611:AA611" si="1221">IFERROR(VALUE(RIGHT(LEFT($J611,FIND(M$1,$J611,1)+LEN(M$1)),1)),0)</f>
        <v>0</v>
      </c>
      <c r="N611" s="13">
        <f t="shared" si="1221"/>
        <v>0</v>
      </c>
      <c r="O611" s="13">
        <f t="shared" si="1221"/>
        <v>0</v>
      </c>
      <c r="P611" s="13">
        <f t="shared" si="1221"/>
        <v>0</v>
      </c>
      <c r="Q611" s="13">
        <f t="shared" si="1221"/>
        <v>0</v>
      </c>
      <c r="R611" s="13">
        <f t="shared" si="1221"/>
        <v>0</v>
      </c>
      <c r="S611" s="13">
        <f t="shared" si="1221"/>
        <v>0</v>
      </c>
      <c r="T611" s="13">
        <f t="shared" si="1221"/>
        <v>0</v>
      </c>
      <c r="U611" s="13">
        <f t="shared" si="1221"/>
        <v>0</v>
      </c>
      <c r="V611" s="13">
        <f t="shared" si="1221"/>
        <v>0</v>
      </c>
      <c r="W611" s="13">
        <f t="shared" si="1221"/>
        <v>0</v>
      </c>
      <c r="X611" s="13">
        <f t="shared" si="1221"/>
        <v>0</v>
      </c>
      <c r="Y611" s="13">
        <f t="shared" si="1221"/>
        <v>0</v>
      </c>
      <c r="Z611" s="13">
        <f t="shared" si="1221"/>
        <v>0</v>
      </c>
      <c r="AA611" s="13">
        <f t="shared" si="1221"/>
        <v>0</v>
      </c>
      <c r="AB611" s="13">
        <f t="shared" ref="AB611:AP611" si="1222">IFERROR(VALUE(RIGHT(LEFT($J611,FIND(AB$1,$J611,IF(M611=0,1,FIND(AB$1,$J611,1)+1))+LEN(AB$1)),1)),0)</f>
        <v>0</v>
      </c>
      <c r="AC611" s="13">
        <f t="shared" si="1222"/>
        <v>0</v>
      </c>
      <c r="AD611" s="13">
        <f t="shared" si="1222"/>
        <v>0</v>
      </c>
      <c r="AE611" s="13">
        <f t="shared" si="1222"/>
        <v>0</v>
      </c>
      <c r="AF611" s="13">
        <f t="shared" si="1222"/>
        <v>0</v>
      </c>
      <c r="AG611" s="13">
        <f t="shared" si="1222"/>
        <v>0</v>
      </c>
      <c r="AH611" s="13">
        <f t="shared" si="1222"/>
        <v>0</v>
      </c>
      <c r="AI611" s="13">
        <f t="shared" si="1222"/>
        <v>0</v>
      </c>
      <c r="AJ611" s="13">
        <f t="shared" si="1222"/>
        <v>1</v>
      </c>
      <c r="AK611" s="13">
        <f t="shared" si="1222"/>
        <v>0</v>
      </c>
      <c r="AL611" s="13">
        <f t="shared" si="1222"/>
        <v>0</v>
      </c>
      <c r="AM611" s="13">
        <f t="shared" si="1222"/>
        <v>0</v>
      </c>
      <c r="AN611" s="13">
        <f t="shared" si="1222"/>
        <v>0</v>
      </c>
      <c r="AO611" s="13">
        <f t="shared" si="1222"/>
        <v>0</v>
      </c>
      <c r="AP611" s="13">
        <f t="shared" si="1222"/>
        <v>0</v>
      </c>
      <c r="AQ611" s="13" t="s">
        <v>3977</v>
      </c>
      <c r="AR611" s="13"/>
      <c r="AS611" s="13" t="s">
        <v>2618</v>
      </c>
      <c r="AT611" s="13"/>
      <c r="AU611" s="13"/>
      <c r="AV611" s="13"/>
      <c r="AW611" s="13">
        <v>0.0</v>
      </c>
      <c r="AX611" s="13">
        <v>9.0</v>
      </c>
      <c r="AY611" s="13">
        <v>0.0</v>
      </c>
      <c r="AZ611" s="13"/>
      <c r="BA611" s="13"/>
      <c r="BB611" s="13"/>
      <c r="BC611" s="13"/>
      <c r="BD611" s="13"/>
      <c r="BE611" s="13"/>
      <c r="BF611" s="13"/>
      <c r="BG611" s="13"/>
      <c r="BH611" s="13" t="s">
        <v>79</v>
      </c>
      <c r="BI611" s="13" t="b">
        <v>0</v>
      </c>
      <c r="BJ611" s="13">
        <v>0.0</v>
      </c>
      <c r="BK611" s="13">
        <v>0.0</v>
      </c>
    </row>
    <row r="612" ht="14.25" customHeight="1">
      <c r="A612" s="13">
        <v>610.0</v>
      </c>
      <c r="B612" s="13" t="s">
        <v>52</v>
      </c>
      <c r="C612" s="13">
        <v>0.0</v>
      </c>
      <c r="D612" s="14">
        <v>0.0</v>
      </c>
      <c r="E612" s="13" t="s">
        <v>3978</v>
      </c>
      <c r="F612" s="15" t="s">
        <v>541</v>
      </c>
      <c r="G612" s="16" t="s">
        <v>3979</v>
      </c>
      <c r="H612" s="13">
        <v>8.0</v>
      </c>
      <c r="I612" s="13">
        <v>1.1</v>
      </c>
      <c r="J612" s="13" t="s">
        <v>288</v>
      </c>
      <c r="K612" s="13">
        <f t="shared" si="3"/>
        <v>0</v>
      </c>
      <c r="L612" s="13">
        <f t="shared" si="4"/>
        <v>1</v>
      </c>
      <c r="M612" s="13">
        <f t="shared" ref="M612:AA612" si="1223">IFERROR(VALUE(RIGHT(LEFT($J612,FIND(M$1,$J612,1)+LEN(M$1)),1)),0)</f>
        <v>0</v>
      </c>
      <c r="N612" s="13">
        <f t="shared" si="1223"/>
        <v>0</v>
      </c>
      <c r="O612" s="13">
        <f t="shared" si="1223"/>
        <v>0</v>
      </c>
      <c r="P612" s="13">
        <f t="shared" si="1223"/>
        <v>0</v>
      </c>
      <c r="Q612" s="13">
        <f t="shared" si="1223"/>
        <v>0</v>
      </c>
      <c r="R612" s="13">
        <f t="shared" si="1223"/>
        <v>0</v>
      </c>
      <c r="S612" s="13">
        <f t="shared" si="1223"/>
        <v>0</v>
      </c>
      <c r="T612" s="13">
        <f t="shared" si="1223"/>
        <v>0</v>
      </c>
      <c r="U612" s="13">
        <f t="shared" si="1223"/>
        <v>0</v>
      </c>
      <c r="V612" s="13">
        <f t="shared" si="1223"/>
        <v>0</v>
      </c>
      <c r="W612" s="13">
        <f t="shared" si="1223"/>
        <v>0</v>
      </c>
      <c r="X612" s="13">
        <f t="shared" si="1223"/>
        <v>0</v>
      </c>
      <c r="Y612" s="13">
        <f t="shared" si="1223"/>
        <v>0</v>
      </c>
      <c r="Z612" s="13">
        <f t="shared" si="1223"/>
        <v>0</v>
      </c>
      <c r="AA612" s="13">
        <f t="shared" si="1223"/>
        <v>0</v>
      </c>
      <c r="AB612" s="13">
        <f t="shared" ref="AB612:AP612" si="1224">IFERROR(VALUE(RIGHT(LEFT($J612,FIND(AB$1,$J612,IF(M612=0,1,FIND(AB$1,$J612,1)+1))+LEN(AB$1)),1)),0)</f>
        <v>0</v>
      </c>
      <c r="AC612" s="13">
        <f t="shared" si="1224"/>
        <v>0</v>
      </c>
      <c r="AD612" s="13">
        <f t="shared" si="1224"/>
        <v>0</v>
      </c>
      <c r="AE612" s="13">
        <f t="shared" si="1224"/>
        <v>0</v>
      </c>
      <c r="AF612" s="13">
        <f t="shared" si="1224"/>
        <v>0</v>
      </c>
      <c r="AG612" s="13">
        <f t="shared" si="1224"/>
        <v>0</v>
      </c>
      <c r="AH612" s="13">
        <f t="shared" si="1224"/>
        <v>0</v>
      </c>
      <c r="AI612" s="13">
        <f t="shared" si="1224"/>
        <v>0</v>
      </c>
      <c r="AJ612" s="13">
        <f t="shared" si="1224"/>
        <v>0</v>
      </c>
      <c r="AK612" s="13">
        <f t="shared" si="1224"/>
        <v>0</v>
      </c>
      <c r="AL612" s="13">
        <f t="shared" si="1224"/>
        <v>0</v>
      </c>
      <c r="AM612" s="13">
        <f t="shared" si="1224"/>
        <v>0</v>
      </c>
      <c r="AN612" s="13">
        <f t="shared" si="1224"/>
        <v>0</v>
      </c>
      <c r="AO612" s="13">
        <f t="shared" si="1224"/>
        <v>0</v>
      </c>
      <c r="AP612" s="13">
        <f t="shared" si="1224"/>
        <v>1</v>
      </c>
      <c r="AQ612" s="13"/>
      <c r="AR612" s="13" t="s">
        <v>3980</v>
      </c>
      <c r="AS612" s="13" t="s">
        <v>3981</v>
      </c>
      <c r="AT612" s="13" t="s">
        <v>315</v>
      </c>
      <c r="AU612" s="13" t="s">
        <v>143</v>
      </c>
      <c r="AV612" s="13" t="s">
        <v>3982</v>
      </c>
      <c r="AW612" s="13">
        <v>5.0</v>
      </c>
      <c r="AX612" s="13">
        <v>9.0</v>
      </c>
      <c r="AY612" s="13">
        <v>0.0</v>
      </c>
      <c r="AZ612" s="13" t="s">
        <v>1419</v>
      </c>
      <c r="BA612" s="13" t="s">
        <v>155</v>
      </c>
      <c r="BB612" s="13"/>
      <c r="BC612" s="13"/>
      <c r="BD612" s="13" t="s">
        <v>2169</v>
      </c>
      <c r="BE612" s="13" t="s">
        <v>3983</v>
      </c>
      <c r="BF612" s="13" t="s">
        <v>3984</v>
      </c>
      <c r="BG612" s="13" t="s">
        <v>2171</v>
      </c>
      <c r="BH612" s="13" t="s">
        <v>241</v>
      </c>
      <c r="BI612" s="13" t="b">
        <v>0</v>
      </c>
      <c r="BJ612" s="13">
        <v>0.0</v>
      </c>
      <c r="BK612" s="13">
        <v>0.0</v>
      </c>
    </row>
    <row r="613" ht="14.25" customHeight="1">
      <c r="A613" s="13">
        <v>611.0</v>
      </c>
      <c r="B613" s="13" t="s">
        <v>44</v>
      </c>
      <c r="C613" s="13">
        <v>1.0</v>
      </c>
      <c r="D613" s="14">
        <v>0.0</v>
      </c>
      <c r="E613" s="13" t="s">
        <v>3985</v>
      </c>
      <c r="F613" s="15" t="s">
        <v>541</v>
      </c>
      <c r="G613" s="16" t="s">
        <v>3986</v>
      </c>
      <c r="H613" s="13"/>
      <c r="I613" s="13">
        <v>1.0</v>
      </c>
      <c r="J613" s="13" t="s">
        <v>368</v>
      </c>
      <c r="K613" s="13">
        <f t="shared" si="3"/>
        <v>0</v>
      </c>
      <c r="L613" s="13">
        <f t="shared" si="4"/>
        <v>2</v>
      </c>
      <c r="M613" s="13">
        <f t="shared" ref="M613:AA613" si="1225">IFERROR(VALUE(RIGHT(LEFT($J613,FIND(M$1,$J613,1)+LEN(M$1)),1)),0)</f>
        <v>0</v>
      </c>
      <c r="N613" s="13">
        <f t="shared" si="1225"/>
        <v>0</v>
      </c>
      <c r="O613" s="13">
        <f t="shared" si="1225"/>
        <v>0</v>
      </c>
      <c r="P613" s="13">
        <f t="shared" si="1225"/>
        <v>0</v>
      </c>
      <c r="Q613" s="13">
        <f t="shared" si="1225"/>
        <v>0</v>
      </c>
      <c r="R613" s="13">
        <f t="shared" si="1225"/>
        <v>0</v>
      </c>
      <c r="S613" s="13">
        <f t="shared" si="1225"/>
        <v>0</v>
      </c>
      <c r="T613" s="13">
        <f t="shared" si="1225"/>
        <v>0</v>
      </c>
      <c r="U613" s="13">
        <f t="shared" si="1225"/>
        <v>0</v>
      </c>
      <c r="V613" s="13">
        <f t="shared" si="1225"/>
        <v>0</v>
      </c>
      <c r="W613" s="13">
        <f t="shared" si="1225"/>
        <v>0</v>
      </c>
      <c r="X613" s="13">
        <f t="shared" si="1225"/>
        <v>0</v>
      </c>
      <c r="Y613" s="13">
        <f t="shared" si="1225"/>
        <v>0</v>
      </c>
      <c r="Z613" s="13">
        <f t="shared" si="1225"/>
        <v>0</v>
      </c>
      <c r="AA613" s="13">
        <f t="shared" si="1225"/>
        <v>0</v>
      </c>
      <c r="AB613" s="13">
        <f t="shared" ref="AB613:AP613" si="1226">IFERROR(VALUE(RIGHT(LEFT($J613,FIND(AB$1,$J613,IF(M613=0,1,FIND(AB$1,$J613,1)+1))+LEN(AB$1)),1)),0)</f>
        <v>0</v>
      </c>
      <c r="AC613" s="13">
        <f t="shared" si="1226"/>
        <v>0</v>
      </c>
      <c r="AD613" s="13">
        <f t="shared" si="1226"/>
        <v>0</v>
      </c>
      <c r="AE613" s="13">
        <f t="shared" si="1226"/>
        <v>1</v>
      </c>
      <c r="AF613" s="13">
        <f t="shared" si="1226"/>
        <v>0</v>
      </c>
      <c r="AG613" s="13">
        <f t="shared" si="1226"/>
        <v>0</v>
      </c>
      <c r="AH613" s="13">
        <f t="shared" si="1226"/>
        <v>1</v>
      </c>
      <c r="AI613" s="13">
        <f t="shared" si="1226"/>
        <v>0</v>
      </c>
      <c r="AJ613" s="13">
        <f t="shared" si="1226"/>
        <v>0</v>
      </c>
      <c r="AK613" s="13">
        <f t="shared" si="1226"/>
        <v>0</v>
      </c>
      <c r="AL613" s="13">
        <f t="shared" si="1226"/>
        <v>0</v>
      </c>
      <c r="AM613" s="13">
        <f t="shared" si="1226"/>
        <v>0</v>
      </c>
      <c r="AN613" s="13">
        <f t="shared" si="1226"/>
        <v>0</v>
      </c>
      <c r="AO613" s="13">
        <f t="shared" si="1226"/>
        <v>0</v>
      </c>
      <c r="AP613" s="13">
        <f t="shared" si="1226"/>
        <v>0</v>
      </c>
      <c r="AQ613" s="13" t="s">
        <v>3987</v>
      </c>
      <c r="AR613" s="13"/>
      <c r="AS613" s="13" t="s">
        <v>3988</v>
      </c>
      <c r="AT613" s="13"/>
      <c r="AU613" s="13"/>
      <c r="AV613" s="13"/>
      <c r="AW613" s="13">
        <v>0.0</v>
      </c>
      <c r="AX613" s="13">
        <v>9.0</v>
      </c>
      <c r="AY613" s="13">
        <v>0.0</v>
      </c>
      <c r="AZ613" s="13"/>
      <c r="BA613" s="13"/>
      <c r="BB613" s="13"/>
      <c r="BC613" s="13"/>
      <c r="BD613" s="13"/>
      <c r="BE613" s="13"/>
      <c r="BF613" s="13"/>
      <c r="BG613" s="13"/>
      <c r="BH613" s="13" t="s">
        <v>79</v>
      </c>
      <c r="BI613" s="13" t="b">
        <v>0</v>
      </c>
      <c r="BJ613" s="13">
        <v>0.0</v>
      </c>
      <c r="BK613" s="13">
        <v>0.0</v>
      </c>
    </row>
    <row r="614" ht="14.25" customHeight="1">
      <c r="A614" s="13">
        <v>612.0</v>
      </c>
      <c r="B614" s="13" t="s">
        <v>45</v>
      </c>
      <c r="C614" s="13">
        <v>1.0</v>
      </c>
      <c r="D614" s="14">
        <v>0.0</v>
      </c>
      <c r="E614" s="13" t="s">
        <v>3989</v>
      </c>
      <c r="F614" s="15" t="s">
        <v>541</v>
      </c>
      <c r="G614" s="16" t="s">
        <v>3990</v>
      </c>
      <c r="H614" s="13"/>
      <c r="I614" s="13">
        <v>1.0</v>
      </c>
      <c r="J614" s="13" t="s">
        <v>374</v>
      </c>
      <c r="K614" s="13">
        <f t="shared" si="3"/>
        <v>0</v>
      </c>
      <c r="L614" s="13">
        <f t="shared" si="4"/>
        <v>2</v>
      </c>
      <c r="M614" s="13">
        <f t="shared" ref="M614:AA614" si="1227">IFERROR(VALUE(RIGHT(LEFT($J614,FIND(M$1,$J614,1)+LEN(M$1)),1)),0)</f>
        <v>0</v>
      </c>
      <c r="N614" s="13">
        <f t="shared" si="1227"/>
        <v>0</v>
      </c>
      <c r="O614" s="13">
        <f t="shared" si="1227"/>
        <v>0</v>
      </c>
      <c r="P614" s="13">
        <f t="shared" si="1227"/>
        <v>0</v>
      </c>
      <c r="Q614" s="13">
        <f t="shared" si="1227"/>
        <v>0</v>
      </c>
      <c r="R614" s="13">
        <f t="shared" si="1227"/>
        <v>0</v>
      </c>
      <c r="S614" s="13">
        <f t="shared" si="1227"/>
        <v>0</v>
      </c>
      <c r="T614" s="13">
        <f t="shared" si="1227"/>
        <v>0</v>
      </c>
      <c r="U614" s="13">
        <f t="shared" si="1227"/>
        <v>0</v>
      </c>
      <c r="V614" s="13">
        <f t="shared" si="1227"/>
        <v>0</v>
      </c>
      <c r="W614" s="13">
        <f t="shared" si="1227"/>
        <v>0</v>
      </c>
      <c r="X614" s="13">
        <f t="shared" si="1227"/>
        <v>0</v>
      </c>
      <c r="Y614" s="13">
        <f t="shared" si="1227"/>
        <v>0</v>
      </c>
      <c r="Z614" s="13">
        <f t="shared" si="1227"/>
        <v>0</v>
      </c>
      <c r="AA614" s="13">
        <f t="shared" si="1227"/>
        <v>0</v>
      </c>
      <c r="AB614" s="13">
        <f t="shared" ref="AB614:AP614" si="1228">IFERROR(VALUE(RIGHT(LEFT($J614,FIND(AB$1,$J614,IF(M614=0,1,FIND(AB$1,$J614,1)+1))+LEN(AB$1)),1)),0)</f>
        <v>0</v>
      </c>
      <c r="AC614" s="13">
        <f t="shared" si="1228"/>
        <v>1</v>
      </c>
      <c r="AD614" s="13">
        <f t="shared" si="1228"/>
        <v>0</v>
      </c>
      <c r="AE614" s="13">
        <f t="shared" si="1228"/>
        <v>0</v>
      </c>
      <c r="AF614" s="13">
        <f t="shared" si="1228"/>
        <v>0</v>
      </c>
      <c r="AG614" s="13">
        <f t="shared" si="1228"/>
        <v>0</v>
      </c>
      <c r="AH614" s="13">
        <f t="shared" si="1228"/>
        <v>0</v>
      </c>
      <c r="AI614" s="13">
        <f t="shared" si="1228"/>
        <v>1</v>
      </c>
      <c r="AJ614" s="13">
        <f t="shared" si="1228"/>
        <v>0</v>
      </c>
      <c r="AK614" s="13">
        <f t="shared" si="1228"/>
        <v>0</v>
      </c>
      <c r="AL614" s="13">
        <f t="shared" si="1228"/>
        <v>0</v>
      </c>
      <c r="AM614" s="13">
        <f t="shared" si="1228"/>
        <v>0</v>
      </c>
      <c r="AN614" s="13">
        <f t="shared" si="1228"/>
        <v>0</v>
      </c>
      <c r="AO614" s="13">
        <f t="shared" si="1228"/>
        <v>0</v>
      </c>
      <c r="AP614" s="13">
        <f t="shared" si="1228"/>
        <v>0</v>
      </c>
      <c r="AQ614" s="13" t="s">
        <v>3991</v>
      </c>
      <c r="AR614" s="13"/>
      <c r="AS614" s="13" t="s">
        <v>3992</v>
      </c>
      <c r="AT614" s="13"/>
      <c r="AU614" s="13"/>
      <c r="AV614" s="13"/>
      <c r="AW614" s="13">
        <v>0.0</v>
      </c>
      <c r="AX614" s="13">
        <v>9.0</v>
      </c>
      <c r="AY614" s="13">
        <v>0.0</v>
      </c>
      <c r="AZ614" s="13"/>
      <c r="BA614" s="13"/>
      <c r="BB614" s="13"/>
      <c r="BC614" s="13"/>
      <c r="BD614" s="13"/>
      <c r="BE614" s="13"/>
      <c r="BF614" s="13"/>
      <c r="BG614" s="13"/>
      <c r="BH614" s="13" t="s">
        <v>79</v>
      </c>
      <c r="BI614" s="13" t="b">
        <v>0</v>
      </c>
      <c r="BJ614" s="13">
        <v>0.0</v>
      </c>
      <c r="BK614" s="13">
        <v>0.0</v>
      </c>
    </row>
    <row r="615" ht="14.25" customHeight="1">
      <c r="A615" s="13">
        <v>613.0</v>
      </c>
      <c r="B615" s="13" t="s">
        <v>46</v>
      </c>
      <c r="C615" s="13">
        <v>1.0</v>
      </c>
      <c r="D615" s="14">
        <v>0.0</v>
      </c>
      <c r="E615" s="13" t="s">
        <v>3993</v>
      </c>
      <c r="F615" s="15" t="s">
        <v>541</v>
      </c>
      <c r="G615" s="16" t="s">
        <v>3994</v>
      </c>
      <c r="H615" s="13"/>
      <c r="I615" s="13">
        <v>1.1</v>
      </c>
      <c r="J615" s="13" t="s">
        <v>2405</v>
      </c>
      <c r="K615" s="13">
        <f t="shared" si="3"/>
        <v>0</v>
      </c>
      <c r="L615" s="13">
        <f t="shared" si="4"/>
        <v>2</v>
      </c>
      <c r="M615" s="13">
        <f t="shared" ref="M615:AA615" si="1229">IFERROR(VALUE(RIGHT(LEFT($J615,FIND(M$1,$J615,1)+LEN(M$1)),1)),0)</f>
        <v>0</v>
      </c>
      <c r="N615" s="13">
        <f t="shared" si="1229"/>
        <v>0</v>
      </c>
      <c r="O615" s="13">
        <f t="shared" si="1229"/>
        <v>0</v>
      </c>
      <c r="P615" s="13">
        <f t="shared" si="1229"/>
        <v>0</v>
      </c>
      <c r="Q615" s="13">
        <f t="shared" si="1229"/>
        <v>0</v>
      </c>
      <c r="R615" s="13">
        <f t="shared" si="1229"/>
        <v>0</v>
      </c>
      <c r="S615" s="13">
        <f t="shared" si="1229"/>
        <v>0</v>
      </c>
      <c r="T615" s="13">
        <f t="shared" si="1229"/>
        <v>0</v>
      </c>
      <c r="U615" s="13">
        <f t="shared" si="1229"/>
        <v>0</v>
      </c>
      <c r="V615" s="13">
        <f t="shared" si="1229"/>
        <v>0</v>
      </c>
      <c r="W615" s="13">
        <f t="shared" si="1229"/>
        <v>0</v>
      </c>
      <c r="X615" s="13">
        <f t="shared" si="1229"/>
        <v>0</v>
      </c>
      <c r="Y615" s="13">
        <f t="shared" si="1229"/>
        <v>0</v>
      </c>
      <c r="Z615" s="13">
        <f t="shared" si="1229"/>
        <v>0</v>
      </c>
      <c r="AA615" s="13">
        <f t="shared" si="1229"/>
        <v>0</v>
      </c>
      <c r="AB615" s="13">
        <f t="shared" ref="AB615:AP615" si="1230">IFERROR(VALUE(RIGHT(LEFT($J615,FIND(AB$1,$J615,IF(M615=0,1,FIND(AB$1,$J615,1)+1))+LEN(AB$1)),1)),0)</f>
        <v>0</v>
      </c>
      <c r="AC615" s="13">
        <f t="shared" si="1230"/>
        <v>0</v>
      </c>
      <c r="AD615" s="13">
        <f t="shared" si="1230"/>
        <v>1</v>
      </c>
      <c r="AE615" s="13">
        <f t="shared" si="1230"/>
        <v>0</v>
      </c>
      <c r="AF615" s="13">
        <f t="shared" si="1230"/>
        <v>0</v>
      </c>
      <c r="AG615" s="13">
        <f t="shared" si="1230"/>
        <v>0</v>
      </c>
      <c r="AH615" s="13">
        <f t="shared" si="1230"/>
        <v>0</v>
      </c>
      <c r="AI615" s="13">
        <f t="shared" si="1230"/>
        <v>0</v>
      </c>
      <c r="AJ615" s="13">
        <f t="shared" si="1230"/>
        <v>1</v>
      </c>
      <c r="AK615" s="13">
        <f t="shared" si="1230"/>
        <v>0</v>
      </c>
      <c r="AL615" s="13">
        <f t="shared" si="1230"/>
        <v>0</v>
      </c>
      <c r="AM615" s="13">
        <f t="shared" si="1230"/>
        <v>0</v>
      </c>
      <c r="AN615" s="13">
        <f t="shared" si="1230"/>
        <v>0</v>
      </c>
      <c r="AO615" s="13">
        <f t="shared" si="1230"/>
        <v>0</v>
      </c>
      <c r="AP615" s="13">
        <f t="shared" si="1230"/>
        <v>0</v>
      </c>
      <c r="AQ615" s="13" t="s">
        <v>3995</v>
      </c>
      <c r="AR615" s="13"/>
      <c r="AS615" s="13" t="s">
        <v>3996</v>
      </c>
      <c r="AT615" s="13"/>
      <c r="AU615" s="13"/>
      <c r="AV615" s="13"/>
      <c r="AW615" s="13">
        <v>0.0</v>
      </c>
      <c r="AX615" s="13">
        <v>9.0</v>
      </c>
      <c r="AY615" s="13">
        <v>0.0</v>
      </c>
      <c r="AZ615" s="13"/>
      <c r="BA615" s="13"/>
      <c r="BB615" s="13"/>
      <c r="BC615" s="13"/>
      <c r="BD615" s="13"/>
      <c r="BE615" s="13"/>
      <c r="BF615" s="13"/>
      <c r="BG615" s="13"/>
      <c r="BH615" s="13" t="s">
        <v>79</v>
      </c>
      <c r="BI615" s="13" t="b">
        <v>0</v>
      </c>
      <c r="BJ615" s="13">
        <v>0.0</v>
      </c>
      <c r="BK615" s="13">
        <v>0.0</v>
      </c>
    </row>
    <row r="616" ht="14.25" customHeight="1">
      <c r="A616" s="13">
        <v>614.0</v>
      </c>
      <c r="B616" s="13" t="s">
        <v>52</v>
      </c>
      <c r="C616" s="13">
        <v>1.0</v>
      </c>
      <c r="D616" s="14">
        <v>0.0</v>
      </c>
      <c r="E616" s="13" t="s">
        <v>3997</v>
      </c>
      <c r="F616" s="15" t="s">
        <v>541</v>
      </c>
      <c r="G616" s="16" t="s">
        <v>3998</v>
      </c>
      <c r="H616" s="13">
        <v>7.0</v>
      </c>
      <c r="I616" s="13">
        <v>0.9</v>
      </c>
      <c r="J616" s="13" t="s">
        <v>852</v>
      </c>
      <c r="K616" s="13">
        <f t="shared" si="3"/>
        <v>0</v>
      </c>
      <c r="L616" s="13">
        <f t="shared" si="4"/>
        <v>2</v>
      </c>
      <c r="M616" s="13">
        <f t="shared" ref="M616:AA616" si="1231">IFERROR(VALUE(RIGHT(LEFT($J616,FIND(M$1,$J616,1)+LEN(M$1)),1)),0)</f>
        <v>0</v>
      </c>
      <c r="N616" s="13">
        <f t="shared" si="1231"/>
        <v>0</v>
      </c>
      <c r="O616" s="13">
        <f t="shared" si="1231"/>
        <v>0</v>
      </c>
      <c r="P616" s="13">
        <f t="shared" si="1231"/>
        <v>0</v>
      </c>
      <c r="Q616" s="13">
        <f t="shared" si="1231"/>
        <v>0</v>
      </c>
      <c r="R616" s="13">
        <f t="shared" si="1231"/>
        <v>0</v>
      </c>
      <c r="S616" s="13">
        <f t="shared" si="1231"/>
        <v>0</v>
      </c>
      <c r="T616" s="13">
        <f t="shared" si="1231"/>
        <v>0</v>
      </c>
      <c r="U616" s="13">
        <f t="shared" si="1231"/>
        <v>0</v>
      </c>
      <c r="V616" s="13">
        <f t="shared" si="1231"/>
        <v>0</v>
      </c>
      <c r="W616" s="13">
        <f t="shared" si="1231"/>
        <v>0</v>
      </c>
      <c r="X616" s="13">
        <f t="shared" si="1231"/>
        <v>0</v>
      </c>
      <c r="Y616" s="13">
        <f t="shared" si="1231"/>
        <v>0</v>
      </c>
      <c r="Z616" s="13">
        <f t="shared" si="1231"/>
        <v>0</v>
      </c>
      <c r="AA616" s="13">
        <f t="shared" si="1231"/>
        <v>0</v>
      </c>
      <c r="AB616" s="13">
        <f t="shared" ref="AB616:AP616" si="1232">IFERROR(VALUE(RIGHT(LEFT($J616,FIND(AB$1,$J616,IF(M616=0,1,FIND(AB$1,$J616,1)+1))+LEN(AB$1)),1)),0)</f>
        <v>0</v>
      </c>
      <c r="AC616" s="13">
        <f t="shared" si="1232"/>
        <v>0</v>
      </c>
      <c r="AD616" s="13">
        <f t="shared" si="1232"/>
        <v>1</v>
      </c>
      <c r="AE616" s="13">
        <f t="shared" si="1232"/>
        <v>0</v>
      </c>
      <c r="AF616" s="13">
        <f t="shared" si="1232"/>
        <v>0</v>
      </c>
      <c r="AG616" s="13">
        <f t="shared" si="1232"/>
        <v>0</v>
      </c>
      <c r="AH616" s="13">
        <f t="shared" si="1232"/>
        <v>0</v>
      </c>
      <c r="AI616" s="13">
        <f t="shared" si="1232"/>
        <v>0</v>
      </c>
      <c r="AJ616" s="13">
        <f t="shared" si="1232"/>
        <v>0</v>
      </c>
      <c r="AK616" s="13">
        <f t="shared" si="1232"/>
        <v>0</v>
      </c>
      <c r="AL616" s="13">
        <f t="shared" si="1232"/>
        <v>0</v>
      </c>
      <c r="AM616" s="13">
        <f t="shared" si="1232"/>
        <v>0</v>
      </c>
      <c r="AN616" s="13">
        <f t="shared" si="1232"/>
        <v>0</v>
      </c>
      <c r="AO616" s="13">
        <f t="shared" si="1232"/>
        <v>0</v>
      </c>
      <c r="AP616" s="13">
        <f t="shared" si="1232"/>
        <v>1</v>
      </c>
      <c r="AQ616" s="13"/>
      <c r="AR616" s="13" t="s">
        <v>1864</v>
      </c>
      <c r="AS616" s="13" t="s">
        <v>903</v>
      </c>
      <c r="AT616" s="13" t="s">
        <v>315</v>
      </c>
      <c r="AU616" s="13" t="s">
        <v>143</v>
      </c>
      <c r="AV616" s="13" t="s">
        <v>1399</v>
      </c>
      <c r="AW616" s="13">
        <v>12.0</v>
      </c>
      <c r="AX616" s="13">
        <v>9.0</v>
      </c>
      <c r="AY616" s="13">
        <v>0.0</v>
      </c>
      <c r="AZ616" s="13" t="s">
        <v>624</v>
      </c>
      <c r="BA616" s="13" t="s">
        <v>625</v>
      </c>
      <c r="BB616" s="13"/>
      <c r="BC616" s="13"/>
      <c r="BD616" s="13" t="s">
        <v>2169</v>
      </c>
      <c r="BE616" s="13" t="s">
        <v>3999</v>
      </c>
      <c r="BF616" s="13" t="s">
        <v>610</v>
      </c>
      <c r="BG616" s="13" t="s">
        <v>2171</v>
      </c>
      <c r="BH616" s="13" t="s">
        <v>241</v>
      </c>
      <c r="BI616" s="13" t="b">
        <v>0</v>
      </c>
      <c r="BJ616" s="13">
        <v>0.0</v>
      </c>
      <c r="BK616" s="13">
        <v>0.0</v>
      </c>
    </row>
    <row r="617" ht="14.25" customHeight="1">
      <c r="A617" s="13">
        <v>615.0</v>
      </c>
      <c r="B617" s="13" t="s">
        <v>52</v>
      </c>
      <c r="C617" s="13">
        <v>1.0</v>
      </c>
      <c r="D617" s="14">
        <v>0.0</v>
      </c>
      <c r="E617" s="13" t="s">
        <v>4000</v>
      </c>
      <c r="F617" s="15" t="s">
        <v>541</v>
      </c>
      <c r="G617" s="16" t="s">
        <v>4001</v>
      </c>
      <c r="H617" s="13">
        <v>9.0</v>
      </c>
      <c r="I617" s="13">
        <v>1.0</v>
      </c>
      <c r="J617" s="13" t="s">
        <v>860</v>
      </c>
      <c r="K617" s="13">
        <f t="shared" si="3"/>
        <v>0</v>
      </c>
      <c r="L617" s="13">
        <f t="shared" si="4"/>
        <v>2</v>
      </c>
      <c r="M617" s="13">
        <f t="shared" ref="M617:AA617" si="1233">IFERROR(VALUE(RIGHT(LEFT($J617,FIND(M$1,$J617,1)+LEN(M$1)),1)),0)</f>
        <v>0</v>
      </c>
      <c r="N617" s="13">
        <f t="shared" si="1233"/>
        <v>0</v>
      </c>
      <c r="O617" s="13">
        <f t="shared" si="1233"/>
        <v>0</v>
      </c>
      <c r="P617" s="13">
        <f t="shared" si="1233"/>
        <v>0</v>
      </c>
      <c r="Q617" s="13">
        <f t="shared" si="1233"/>
        <v>0</v>
      </c>
      <c r="R617" s="13">
        <f t="shared" si="1233"/>
        <v>0</v>
      </c>
      <c r="S617" s="13">
        <f t="shared" si="1233"/>
        <v>0</v>
      </c>
      <c r="T617" s="13">
        <f t="shared" si="1233"/>
        <v>0</v>
      </c>
      <c r="U617" s="13">
        <f t="shared" si="1233"/>
        <v>0</v>
      </c>
      <c r="V617" s="13">
        <f t="shared" si="1233"/>
        <v>0</v>
      </c>
      <c r="W617" s="13">
        <f t="shared" si="1233"/>
        <v>0</v>
      </c>
      <c r="X617" s="13">
        <f t="shared" si="1233"/>
        <v>0</v>
      </c>
      <c r="Y617" s="13">
        <f t="shared" si="1233"/>
        <v>0</v>
      </c>
      <c r="Z617" s="13">
        <f t="shared" si="1233"/>
        <v>0</v>
      </c>
      <c r="AA617" s="13">
        <f t="shared" si="1233"/>
        <v>0</v>
      </c>
      <c r="AB617" s="13">
        <f t="shared" ref="AB617:AP617" si="1234">IFERROR(VALUE(RIGHT(LEFT($J617,FIND(AB$1,$J617,IF(M617=0,1,FIND(AB$1,$J617,1)+1))+LEN(AB$1)),1)),0)</f>
        <v>0</v>
      </c>
      <c r="AC617" s="13">
        <f t="shared" si="1234"/>
        <v>1</v>
      </c>
      <c r="AD617" s="13">
        <f t="shared" si="1234"/>
        <v>0</v>
      </c>
      <c r="AE617" s="13">
        <f t="shared" si="1234"/>
        <v>0</v>
      </c>
      <c r="AF617" s="13">
        <f t="shared" si="1234"/>
        <v>0</v>
      </c>
      <c r="AG617" s="13">
        <f t="shared" si="1234"/>
        <v>0</v>
      </c>
      <c r="AH617" s="13">
        <f t="shared" si="1234"/>
        <v>0</v>
      </c>
      <c r="AI617" s="13">
        <f t="shared" si="1234"/>
        <v>0</v>
      </c>
      <c r="AJ617" s="13">
        <f t="shared" si="1234"/>
        <v>0</v>
      </c>
      <c r="AK617" s="13">
        <f t="shared" si="1234"/>
        <v>0</v>
      </c>
      <c r="AL617" s="13">
        <f t="shared" si="1234"/>
        <v>0</v>
      </c>
      <c r="AM617" s="13">
        <f t="shared" si="1234"/>
        <v>0</v>
      </c>
      <c r="AN617" s="13">
        <f t="shared" si="1234"/>
        <v>0</v>
      </c>
      <c r="AO617" s="13">
        <f t="shared" si="1234"/>
        <v>0</v>
      </c>
      <c r="AP617" s="13">
        <f t="shared" si="1234"/>
        <v>1</v>
      </c>
      <c r="AQ617" s="13"/>
      <c r="AR617" s="13" t="s">
        <v>4002</v>
      </c>
      <c r="AS617" s="13" t="s">
        <v>4003</v>
      </c>
      <c r="AT617" s="13" t="s">
        <v>290</v>
      </c>
      <c r="AU617" s="13" t="s">
        <v>130</v>
      </c>
      <c r="AV617" s="13" t="s">
        <v>2811</v>
      </c>
      <c r="AW617" s="13">
        <v>8.0</v>
      </c>
      <c r="AX617" s="13">
        <v>9.0</v>
      </c>
      <c r="AY617" s="13">
        <v>0.0</v>
      </c>
      <c r="AZ617" s="13" t="s">
        <v>609</v>
      </c>
      <c r="BA617" s="13" t="s">
        <v>198</v>
      </c>
      <c r="BB617" s="13"/>
      <c r="BC617" s="13"/>
      <c r="BD617" s="13" t="s">
        <v>306</v>
      </c>
      <c r="BE617" s="13" t="s">
        <v>4004</v>
      </c>
      <c r="BF617" s="13" t="s">
        <v>549</v>
      </c>
      <c r="BG617" s="13"/>
      <c r="BH617" s="13" t="s">
        <v>79</v>
      </c>
      <c r="BI617" s="13" t="b">
        <v>0</v>
      </c>
      <c r="BJ617" s="13">
        <v>0.0</v>
      </c>
      <c r="BK617" s="13">
        <v>0.0</v>
      </c>
    </row>
    <row r="618" ht="14.25" customHeight="1">
      <c r="A618" s="13">
        <v>616.0</v>
      </c>
      <c r="B618" s="13" t="s">
        <v>51</v>
      </c>
      <c r="C618" s="13">
        <v>1.0</v>
      </c>
      <c r="D618" s="14">
        <v>0.0</v>
      </c>
      <c r="E618" s="13" t="s">
        <v>4005</v>
      </c>
      <c r="F618" s="15" t="s">
        <v>541</v>
      </c>
      <c r="G618" s="16" t="s">
        <v>4006</v>
      </c>
      <c r="H618" s="13">
        <v>11.0</v>
      </c>
      <c r="I618" s="13">
        <v>1.0</v>
      </c>
      <c r="J618" s="13" t="s">
        <v>787</v>
      </c>
      <c r="K618" s="13">
        <f t="shared" si="3"/>
        <v>0</v>
      </c>
      <c r="L618" s="13">
        <f t="shared" si="4"/>
        <v>2</v>
      </c>
      <c r="M618" s="13">
        <f t="shared" ref="M618:AA618" si="1235">IFERROR(VALUE(RIGHT(LEFT($J618,FIND(M$1,$J618,1)+LEN(M$1)),1)),0)</f>
        <v>0</v>
      </c>
      <c r="N618" s="13">
        <f t="shared" si="1235"/>
        <v>0</v>
      </c>
      <c r="O618" s="13">
        <f t="shared" si="1235"/>
        <v>0</v>
      </c>
      <c r="P618" s="13">
        <f t="shared" si="1235"/>
        <v>0</v>
      </c>
      <c r="Q618" s="13">
        <f t="shared" si="1235"/>
        <v>0</v>
      </c>
      <c r="R618" s="13">
        <f t="shared" si="1235"/>
        <v>0</v>
      </c>
      <c r="S618" s="13">
        <f t="shared" si="1235"/>
        <v>0</v>
      </c>
      <c r="T618" s="13">
        <f t="shared" si="1235"/>
        <v>0</v>
      </c>
      <c r="U618" s="13">
        <f t="shared" si="1235"/>
        <v>0</v>
      </c>
      <c r="V618" s="13">
        <f t="shared" si="1235"/>
        <v>0</v>
      </c>
      <c r="W618" s="13">
        <f t="shared" si="1235"/>
        <v>0</v>
      </c>
      <c r="X618" s="13">
        <f t="shared" si="1235"/>
        <v>0</v>
      </c>
      <c r="Y618" s="13">
        <f t="shared" si="1235"/>
        <v>0</v>
      </c>
      <c r="Z618" s="13">
        <f t="shared" si="1235"/>
        <v>0</v>
      </c>
      <c r="AA618" s="13">
        <f t="shared" si="1235"/>
        <v>0</v>
      </c>
      <c r="AB618" s="13">
        <f t="shared" ref="AB618:AP618" si="1236">IFERROR(VALUE(RIGHT(LEFT($J618,FIND(AB$1,$J618,IF(M618=0,1,FIND(AB$1,$J618,1)+1))+LEN(AB$1)),1)),0)</f>
        <v>0</v>
      </c>
      <c r="AC618" s="13">
        <f t="shared" si="1236"/>
        <v>0</v>
      </c>
      <c r="AD618" s="13">
        <f t="shared" si="1236"/>
        <v>1</v>
      </c>
      <c r="AE618" s="13">
        <f t="shared" si="1236"/>
        <v>0</v>
      </c>
      <c r="AF618" s="13">
        <f t="shared" si="1236"/>
        <v>0</v>
      </c>
      <c r="AG618" s="13">
        <f t="shared" si="1236"/>
        <v>0</v>
      </c>
      <c r="AH618" s="13">
        <f t="shared" si="1236"/>
        <v>0</v>
      </c>
      <c r="AI618" s="13">
        <f t="shared" si="1236"/>
        <v>0</v>
      </c>
      <c r="AJ618" s="13">
        <f t="shared" si="1236"/>
        <v>0</v>
      </c>
      <c r="AK618" s="13">
        <f t="shared" si="1236"/>
        <v>0</v>
      </c>
      <c r="AL618" s="13">
        <f t="shared" si="1236"/>
        <v>0</v>
      </c>
      <c r="AM618" s="13">
        <f t="shared" si="1236"/>
        <v>0</v>
      </c>
      <c r="AN618" s="13">
        <f t="shared" si="1236"/>
        <v>0</v>
      </c>
      <c r="AO618" s="13">
        <f t="shared" si="1236"/>
        <v>1</v>
      </c>
      <c r="AP618" s="13">
        <f t="shared" si="1236"/>
        <v>0</v>
      </c>
      <c r="AQ618" s="13"/>
      <c r="AR618" s="13" t="s">
        <v>4007</v>
      </c>
      <c r="AS618" s="13" t="s">
        <v>4008</v>
      </c>
      <c r="AT618" s="13" t="s">
        <v>129</v>
      </c>
      <c r="AU618" s="13" t="s">
        <v>130</v>
      </c>
      <c r="AV618" s="13" t="s">
        <v>4009</v>
      </c>
      <c r="AW618" s="13">
        <v>11.0</v>
      </c>
      <c r="AX618" s="13">
        <v>9.0</v>
      </c>
      <c r="AY618" s="13">
        <v>0.0</v>
      </c>
      <c r="AZ618" s="13" t="s">
        <v>566</v>
      </c>
      <c r="BA618" s="13" t="s">
        <v>281</v>
      </c>
      <c r="BB618" s="13"/>
      <c r="BC618" s="13"/>
      <c r="BD618" s="13" t="s">
        <v>1832</v>
      </c>
      <c r="BE618" s="13"/>
      <c r="BF618" s="13" t="s">
        <v>4010</v>
      </c>
      <c r="BG618" s="13" t="s">
        <v>1833</v>
      </c>
      <c r="BH618" s="13" t="s">
        <v>79</v>
      </c>
      <c r="BI618" s="13" t="b">
        <v>0</v>
      </c>
      <c r="BJ618" s="13">
        <v>0.0</v>
      </c>
      <c r="BK618" s="13">
        <v>0.0</v>
      </c>
    </row>
    <row r="619" ht="14.25" customHeight="1">
      <c r="A619" s="13">
        <v>617.0</v>
      </c>
      <c r="B619" s="13" t="s">
        <v>51</v>
      </c>
      <c r="C619" s="13">
        <v>1.0</v>
      </c>
      <c r="D619" s="14">
        <v>0.0</v>
      </c>
      <c r="E619" s="13" t="s">
        <v>4011</v>
      </c>
      <c r="F619" s="15" t="s">
        <v>541</v>
      </c>
      <c r="G619" s="16" t="s">
        <v>4012</v>
      </c>
      <c r="H619" s="13">
        <v>10.0</v>
      </c>
      <c r="I619" s="13">
        <v>1.1</v>
      </c>
      <c r="J619" s="13" t="s">
        <v>774</v>
      </c>
      <c r="K619" s="13">
        <f t="shared" si="3"/>
        <v>0</v>
      </c>
      <c r="L619" s="13">
        <f t="shared" si="4"/>
        <v>2</v>
      </c>
      <c r="M619" s="13">
        <f t="shared" ref="M619:AA619" si="1237">IFERROR(VALUE(RIGHT(LEFT($J619,FIND(M$1,$J619,1)+LEN(M$1)),1)),0)</f>
        <v>0</v>
      </c>
      <c r="N619" s="13">
        <f t="shared" si="1237"/>
        <v>0</v>
      </c>
      <c r="O619" s="13">
        <f t="shared" si="1237"/>
        <v>0</v>
      </c>
      <c r="P619" s="13">
        <f t="shared" si="1237"/>
        <v>0</v>
      </c>
      <c r="Q619" s="13">
        <f t="shared" si="1237"/>
        <v>0</v>
      </c>
      <c r="R619" s="13">
        <f t="shared" si="1237"/>
        <v>0</v>
      </c>
      <c r="S619" s="13">
        <f t="shared" si="1237"/>
        <v>0</v>
      </c>
      <c r="T619" s="13">
        <f t="shared" si="1237"/>
        <v>0</v>
      </c>
      <c r="U619" s="13">
        <f t="shared" si="1237"/>
        <v>0</v>
      </c>
      <c r="V619" s="13">
        <f t="shared" si="1237"/>
        <v>0</v>
      </c>
      <c r="W619" s="13">
        <f t="shared" si="1237"/>
        <v>0</v>
      </c>
      <c r="X619" s="13">
        <f t="shared" si="1237"/>
        <v>0</v>
      </c>
      <c r="Y619" s="13">
        <f t="shared" si="1237"/>
        <v>0</v>
      </c>
      <c r="Z619" s="13">
        <f t="shared" si="1237"/>
        <v>0</v>
      </c>
      <c r="AA619" s="13">
        <f t="shared" si="1237"/>
        <v>0</v>
      </c>
      <c r="AB619" s="13">
        <f t="shared" ref="AB619:AP619" si="1238">IFERROR(VALUE(RIGHT(LEFT($J619,FIND(AB$1,$J619,IF(M619=0,1,FIND(AB$1,$J619,1)+1))+LEN(AB$1)),1)),0)</f>
        <v>0</v>
      </c>
      <c r="AC619" s="13">
        <f t="shared" si="1238"/>
        <v>0</v>
      </c>
      <c r="AD619" s="13">
        <f t="shared" si="1238"/>
        <v>0</v>
      </c>
      <c r="AE619" s="13">
        <f t="shared" si="1238"/>
        <v>1</v>
      </c>
      <c r="AF619" s="13">
        <f t="shared" si="1238"/>
        <v>0</v>
      </c>
      <c r="AG619" s="13">
        <f t="shared" si="1238"/>
        <v>0</v>
      </c>
      <c r="AH619" s="13">
        <f t="shared" si="1238"/>
        <v>0</v>
      </c>
      <c r="AI619" s="13">
        <f t="shared" si="1238"/>
        <v>0</v>
      </c>
      <c r="AJ619" s="13">
        <f t="shared" si="1238"/>
        <v>0</v>
      </c>
      <c r="AK619" s="13">
        <f t="shared" si="1238"/>
        <v>0</v>
      </c>
      <c r="AL619" s="13">
        <f t="shared" si="1238"/>
        <v>0</v>
      </c>
      <c r="AM619" s="13">
        <f t="shared" si="1238"/>
        <v>0</v>
      </c>
      <c r="AN619" s="13">
        <f t="shared" si="1238"/>
        <v>0</v>
      </c>
      <c r="AO619" s="13">
        <f t="shared" si="1238"/>
        <v>1</v>
      </c>
      <c r="AP619" s="13">
        <f t="shared" si="1238"/>
        <v>0</v>
      </c>
      <c r="AQ619" s="13"/>
      <c r="AR619" s="13" t="s">
        <v>4013</v>
      </c>
      <c r="AS619" s="13" t="s">
        <v>4014</v>
      </c>
      <c r="AT619" s="13" t="s">
        <v>142</v>
      </c>
      <c r="AU619" s="13" t="s">
        <v>130</v>
      </c>
      <c r="AV619" s="13" t="s">
        <v>4015</v>
      </c>
      <c r="AW619" s="13">
        <v>10.0</v>
      </c>
      <c r="AX619" s="13">
        <v>9.0</v>
      </c>
      <c r="AY619" s="13">
        <v>0.0</v>
      </c>
      <c r="AZ619" s="13" t="s">
        <v>805</v>
      </c>
      <c r="BA619" s="13" t="s">
        <v>806</v>
      </c>
      <c r="BB619" s="13"/>
      <c r="BC619" s="13"/>
      <c r="BD619" s="13" t="s">
        <v>1832</v>
      </c>
      <c r="BE619" s="13"/>
      <c r="BF619" s="13" t="s">
        <v>3555</v>
      </c>
      <c r="BG619" s="13" t="s">
        <v>1833</v>
      </c>
      <c r="BH619" s="13" t="s">
        <v>79</v>
      </c>
      <c r="BI619" s="13" t="b">
        <v>0</v>
      </c>
      <c r="BJ619" s="13">
        <v>0.0</v>
      </c>
      <c r="BK619" s="13">
        <v>0.0</v>
      </c>
    </row>
    <row r="620" ht="14.25" customHeight="1">
      <c r="A620" s="13">
        <v>618.0</v>
      </c>
      <c r="B620" s="13" t="s">
        <v>48</v>
      </c>
      <c r="C620" s="13">
        <v>1.0</v>
      </c>
      <c r="D620" s="14">
        <v>0.0</v>
      </c>
      <c r="E620" s="13" t="s">
        <v>4016</v>
      </c>
      <c r="F620" s="15" t="s">
        <v>541</v>
      </c>
      <c r="G620" s="16" t="s">
        <v>4017</v>
      </c>
      <c r="H620" s="13">
        <v>8.0</v>
      </c>
      <c r="I620" s="13">
        <v>1.0</v>
      </c>
      <c r="J620" s="13" t="s">
        <v>591</v>
      </c>
      <c r="K620" s="13">
        <f t="shared" si="3"/>
        <v>0</v>
      </c>
      <c r="L620" s="13">
        <f t="shared" si="4"/>
        <v>2</v>
      </c>
      <c r="M620" s="13">
        <f t="shared" ref="M620:AA620" si="1239">IFERROR(VALUE(RIGHT(LEFT($J620,FIND(M$1,$J620,1)+LEN(M$1)),1)),0)</f>
        <v>0</v>
      </c>
      <c r="N620" s="13">
        <f t="shared" si="1239"/>
        <v>0</v>
      </c>
      <c r="O620" s="13">
        <f t="shared" si="1239"/>
        <v>0</v>
      </c>
      <c r="P620" s="13">
        <f t="shared" si="1239"/>
        <v>0</v>
      </c>
      <c r="Q620" s="13">
        <f t="shared" si="1239"/>
        <v>0</v>
      </c>
      <c r="R620" s="13">
        <f t="shared" si="1239"/>
        <v>0</v>
      </c>
      <c r="S620" s="13">
        <f t="shared" si="1239"/>
        <v>0</v>
      </c>
      <c r="T620" s="13">
        <f t="shared" si="1239"/>
        <v>0</v>
      </c>
      <c r="U620" s="13">
        <f t="shared" si="1239"/>
        <v>0</v>
      </c>
      <c r="V620" s="13">
        <f t="shared" si="1239"/>
        <v>0</v>
      </c>
      <c r="W620" s="13">
        <f t="shared" si="1239"/>
        <v>0</v>
      </c>
      <c r="X620" s="13">
        <f t="shared" si="1239"/>
        <v>0</v>
      </c>
      <c r="Y620" s="13">
        <f t="shared" si="1239"/>
        <v>0</v>
      </c>
      <c r="Z620" s="13">
        <f t="shared" si="1239"/>
        <v>0</v>
      </c>
      <c r="AA620" s="13">
        <f t="shared" si="1239"/>
        <v>0</v>
      </c>
      <c r="AB620" s="13">
        <f t="shared" ref="AB620:AP620" si="1240">IFERROR(VALUE(RIGHT(LEFT($J620,FIND(AB$1,$J620,IF(M620=0,1,FIND(AB$1,$J620,1)+1))+LEN(AB$1)),1)),0)</f>
        <v>0</v>
      </c>
      <c r="AC620" s="13">
        <f t="shared" si="1240"/>
        <v>1</v>
      </c>
      <c r="AD620" s="13">
        <f t="shared" si="1240"/>
        <v>0</v>
      </c>
      <c r="AE620" s="13">
        <f t="shared" si="1240"/>
        <v>0</v>
      </c>
      <c r="AF620" s="13">
        <f t="shared" si="1240"/>
        <v>0</v>
      </c>
      <c r="AG620" s="13">
        <f t="shared" si="1240"/>
        <v>0</v>
      </c>
      <c r="AH620" s="13">
        <f t="shared" si="1240"/>
        <v>0</v>
      </c>
      <c r="AI620" s="13">
        <f t="shared" si="1240"/>
        <v>0</v>
      </c>
      <c r="AJ620" s="13">
        <f t="shared" si="1240"/>
        <v>0</v>
      </c>
      <c r="AK620" s="13">
        <f t="shared" si="1240"/>
        <v>0</v>
      </c>
      <c r="AL620" s="13">
        <f t="shared" si="1240"/>
        <v>1</v>
      </c>
      <c r="AM620" s="13">
        <f t="shared" si="1240"/>
        <v>0</v>
      </c>
      <c r="AN620" s="13">
        <f t="shared" si="1240"/>
        <v>0</v>
      </c>
      <c r="AO620" s="13">
        <f t="shared" si="1240"/>
        <v>0</v>
      </c>
      <c r="AP620" s="13">
        <f t="shared" si="1240"/>
        <v>0</v>
      </c>
      <c r="AQ620" s="13"/>
      <c r="AR620" s="13" t="s">
        <v>4018</v>
      </c>
      <c r="AS620" s="13" t="s">
        <v>4019</v>
      </c>
      <c r="AT620" s="13" t="s">
        <v>129</v>
      </c>
      <c r="AU620" s="13" t="s">
        <v>143</v>
      </c>
      <c r="AV620" s="13" t="s">
        <v>4020</v>
      </c>
      <c r="AW620" s="13">
        <v>9.0</v>
      </c>
      <c r="AX620" s="13">
        <v>9.0</v>
      </c>
      <c r="AY620" s="13">
        <v>0.0</v>
      </c>
      <c r="AZ620" s="13" t="s">
        <v>694</v>
      </c>
      <c r="BA620" s="13" t="s">
        <v>694</v>
      </c>
      <c r="BB620" s="13"/>
      <c r="BC620" s="13"/>
      <c r="BD620" s="13" t="s">
        <v>179</v>
      </c>
      <c r="BE620" s="13"/>
      <c r="BF620" s="13" t="s">
        <v>200</v>
      </c>
      <c r="BG620" s="13" t="s">
        <v>169</v>
      </c>
      <c r="BH620" s="13" t="s">
        <v>79</v>
      </c>
      <c r="BI620" s="13" t="b">
        <v>0</v>
      </c>
      <c r="BJ620" s="13">
        <v>0.0</v>
      </c>
      <c r="BK620" s="13">
        <v>0.0</v>
      </c>
    </row>
    <row r="621" ht="14.25" customHeight="1">
      <c r="A621" s="13">
        <v>619.0</v>
      </c>
      <c r="B621" s="13" t="s">
        <v>44</v>
      </c>
      <c r="C621" s="13">
        <v>2.0</v>
      </c>
      <c r="D621" s="14">
        <v>0.0</v>
      </c>
      <c r="E621" s="13" t="s">
        <v>4021</v>
      </c>
      <c r="F621" s="15" t="s">
        <v>541</v>
      </c>
      <c r="G621" s="16" t="s">
        <v>4022</v>
      </c>
      <c r="H621" s="13"/>
      <c r="I621" s="13">
        <v>1.1</v>
      </c>
      <c r="J621" s="13" t="s">
        <v>964</v>
      </c>
      <c r="K621" s="13">
        <f t="shared" si="3"/>
        <v>0</v>
      </c>
      <c r="L621" s="13">
        <f t="shared" si="4"/>
        <v>3</v>
      </c>
      <c r="M621" s="13">
        <f t="shared" ref="M621:AA621" si="1241">IFERROR(VALUE(RIGHT(LEFT($J621,FIND(M$1,$J621,1)+LEN(M$1)),1)),0)</f>
        <v>0</v>
      </c>
      <c r="N621" s="13">
        <f t="shared" si="1241"/>
        <v>0</v>
      </c>
      <c r="O621" s="13">
        <f t="shared" si="1241"/>
        <v>0</v>
      </c>
      <c r="P621" s="13">
        <f t="shared" si="1241"/>
        <v>0</v>
      </c>
      <c r="Q621" s="13">
        <f t="shared" si="1241"/>
        <v>0</v>
      </c>
      <c r="R621" s="13">
        <f t="shared" si="1241"/>
        <v>0</v>
      </c>
      <c r="S621" s="13">
        <f t="shared" si="1241"/>
        <v>0</v>
      </c>
      <c r="T621" s="13">
        <f t="shared" si="1241"/>
        <v>0</v>
      </c>
      <c r="U621" s="13">
        <f t="shared" si="1241"/>
        <v>0</v>
      </c>
      <c r="V621" s="13">
        <f t="shared" si="1241"/>
        <v>0</v>
      </c>
      <c r="W621" s="13">
        <f t="shared" si="1241"/>
        <v>0</v>
      </c>
      <c r="X621" s="13">
        <f t="shared" si="1241"/>
        <v>0</v>
      </c>
      <c r="Y621" s="13">
        <f t="shared" si="1241"/>
        <v>0</v>
      </c>
      <c r="Z621" s="13">
        <f t="shared" si="1241"/>
        <v>0</v>
      </c>
      <c r="AA621" s="13">
        <f t="shared" si="1241"/>
        <v>0</v>
      </c>
      <c r="AB621" s="13">
        <f t="shared" ref="AB621:AP621" si="1242">IFERROR(VALUE(RIGHT(LEFT($J621,FIND(AB$1,$J621,IF(M621=0,1,FIND(AB$1,$J621,1)+1))+LEN(AB$1)),1)),0)</f>
        <v>0</v>
      </c>
      <c r="AC621" s="13">
        <f t="shared" si="1242"/>
        <v>0</v>
      </c>
      <c r="AD621" s="13">
        <f t="shared" si="1242"/>
        <v>0</v>
      </c>
      <c r="AE621" s="13">
        <f t="shared" si="1242"/>
        <v>1</v>
      </c>
      <c r="AF621" s="13">
        <f t="shared" si="1242"/>
        <v>0</v>
      </c>
      <c r="AG621" s="13">
        <f t="shared" si="1242"/>
        <v>0</v>
      </c>
      <c r="AH621" s="13">
        <f t="shared" si="1242"/>
        <v>2</v>
      </c>
      <c r="AI621" s="13">
        <f t="shared" si="1242"/>
        <v>0</v>
      </c>
      <c r="AJ621" s="13">
        <f t="shared" si="1242"/>
        <v>0</v>
      </c>
      <c r="AK621" s="13">
        <f t="shared" si="1242"/>
        <v>0</v>
      </c>
      <c r="AL621" s="13">
        <f t="shared" si="1242"/>
        <v>0</v>
      </c>
      <c r="AM621" s="13">
        <f t="shared" si="1242"/>
        <v>0</v>
      </c>
      <c r="AN621" s="13">
        <f t="shared" si="1242"/>
        <v>0</v>
      </c>
      <c r="AO621" s="13">
        <f t="shared" si="1242"/>
        <v>0</v>
      </c>
      <c r="AP621" s="13">
        <f t="shared" si="1242"/>
        <v>0</v>
      </c>
      <c r="AQ621" s="13" t="s">
        <v>4023</v>
      </c>
      <c r="AR621" s="13"/>
      <c r="AS621" s="13" t="s">
        <v>4024</v>
      </c>
      <c r="AT621" s="13"/>
      <c r="AU621" s="13"/>
      <c r="AV621" s="13"/>
      <c r="AW621" s="13">
        <v>0.0</v>
      </c>
      <c r="AX621" s="13">
        <v>9.0</v>
      </c>
      <c r="AY621" s="13">
        <v>0.0</v>
      </c>
      <c r="AZ621" s="13"/>
      <c r="BA621" s="13"/>
      <c r="BB621" s="13"/>
      <c r="BC621" s="13"/>
      <c r="BD621" s="13"/>
      <c r="BE621" s="13"/>
      <c r="BF621" s="13"/>
      <c r="BG621" s="13"/>
      <c r="BH621" s="13" t="s">
        <v>79</v>
      </c>
      <c r="BI621" s="13" t="b">
        <v>0</v>
      </c>
      <c r="BJ621" s="13">
        <v>0.0</v>
      </c>
      <c r="BK621" s="13">
        <v>0.0</v>
      </c>
    </row>
    <row r="622" ht="14.25" customHeight="1">
      <c r="A622" s="13">
        <v>620.0</v>
      </c>
      <c r="B622" s="13" t="s">
        <v>45</v>
      </c>
      <c r="C622" s="13">
        <v>2.0</v>
      </c>
      <c r="D622" s="14">
        <v>0.0</v>
      </c>
      <c r="E622" s="13" t="s">
        <v>4025</v>
      </c>
      <c r="F622" s="15" t="s">
        <v>541</v>
      </c>
      <c r="G622" s="16" t="s">
        <v>4026</v>
      </c>
      <c r="H622" s="13"/>
      <c r="I622" s="13">
        <v>1.0</v>
      </c>
      <c r="J622" s="13" t="s">
        <v>978</v>
      </c>
      <c r="K622" s="13">
        <f t="shared" si="3"/>
        <v>0</v>
      </c>
      <c r="L622" s="13">
        <f t="shared" si="4"/>
        <v>3</v>
      </c>
      <c r="M622" s="13">
        <f t="shared" ref="M622:AA622" si="1243">IFERROR(VALUE(RIGHT(LEFT($J622,FIND(M$1,$J622,1)+LEN(M$1)),1)),0)</f>
        <v>0</v>
      </c>
      <c r="N622" s="13">
        <f t="shared" si="1243"/>
        <v>0</v>
      </c>
      <c r="O622" s="13">
        <f t="shared" si="1243"/>
        <v>0</v>
      </c>
      <c r="P622" s="13">
        <f t="shared" si="1243"/>
        <v>0</v>
      </c>
      <c r="Q622" s="13">
        <f t="shared" si="1243"/>
        <v>0</v>
      </c>
      <c r="R622" s="13">
        <f t="shared" si="1243"/>
        <v>0</v>
      </c>
      <c r="S622" s="13">
        <f t="shared" si="1243"/>
        <v>0</v>
      </c>
      <c r="T622" s="13">
        <f t="shared" si="1243"/>
        <v>0</v>
      </c>
      <c r="U622" s="13">
        <f t="shared" si="1243"/>
        <v>0</v>
      </c>
      <c r="V622" s="13">
        <f t="shared" si="1243"/>
        <v>0</v>
      </c>
      <c r="W622" s="13">
        <f t="shared" si="1243"/>
        <v>0</v>
      </c>
      <c r="X622" s="13">
        <f t="shared" si="1243"/>
        <v>0</v>
      </c>
      <c r="Y622" s="13">
        <f t="shared" si="1243"/>
        <v>0</v>
      </c>
      <c r="Z622" s="13">
        <f t="shared" si="1243"/>
        <v>0</v>
      </c>
      <c r="AA622" s="13">
        <f t="shared" si="1243"/>
        <v>0</v>
      </c>
      <c r="AB622" s="13">
        <f t="shared" ref="AB622:AP622" si="1244">IFERROR(VALUE(RIGHT(LEFT($J622,FIND(AB$1,$J622,IF(M622=0,1,FIND(AB$1,$J622,1)+1))+LEN(AB$1)),1)),0)</f>
        <v>0</v>
      </c>
      <c r="AC622" s="13">
        <f t="shared" si="1244"/>
        <v>1</v>
      </c>
      <c r="AD622" s="13">
        <f t="shared" si="1244"/>
        <v>0</v>
      </c>
      <c r="AE622" s="13">
        <f t="shared" si="1244"/>
        <v>0</v>
      </c>
      <c r="AF622" s="13">
        <f t="shared" si="1244"/>
        <v>0</v>
      </c>
      <c r="AG622" s="13">
        <f t="shared" si="1244"/>
        <v>0</v>
      </c>
      <c r="AH622" s="13">
        <f t="shared" si="1244"/>
        <v>0</v>
      </c>
      <c r="AI622" s="13">
        <f t="shared" si="1244"/>
        <v>2</v>
      </c>
      <c r="AJ622" s="13">
        <f t="shared" si="1244"/>
        <v>0</v>
      </c>
      <c r="AK622" s="13">
        <f t="shared" si="1244"/>
        <v>0</v>
      </c>
      <c r="AL622" s="13">
        <f t="shared" si="1244"/>
        <v>0</v>
      </c>
      <c r="AM622" s="13">
        <f t="shared" si="1244"/>
        <v>0</v>
      </c>
      <c r="AN622" s="13">
        <f t="shared" si="1244"/>
        <v>0</v>
      </c>
      <c r="AO622" s="13">
        <f t="shared" si="1244"/>
        <v>0</v>
      </c>
      <c r="AP622" s="13">
        <f t="shared" si="1244"/>
        <v>0</v>
      </c>
      <c r="AQ622" s="13" t="s">
        <v>4027</v>
      </c>
      <c r="AR622" s="13"/>
      <c r="AS622" s="13" t="s">
        <v>4028</v>
      </c>
      <c r="AT622" s="13"/>
      <c r="AU622" s="13"/>
      <c r="AV622" s="13"/>
      <c r="AW622" s="13">
        <v>0.0</v>
      </c>
      <c r="AX622" s="13">
        <v>9.0</v>
      </c>
      <c r="AY622" s="13">
        <v>0.0</v>
      </c>
      <c r="AZ622" s="13"/>
      <c r="BA622" s="13"/>
      <c r="BB622" s="13"/>
      <c r="BC622" s="13"/>
      <c r="BD622" s="13"/>
      <c r="BE622" s="13"/>
      <c r="BF622" s="13"/>
      <c r="BG622" s="13"/>
      <c r="BH622" s="13" t="s">
        <v>79</v>
      </c>
      <c r="BI622" s="13" t="b">
        <v>0</v>
      </c>
      <c r="BJ622" s="13">
        <v>0.0</v>
      </c>
      <c r="BK622" s="13">
        <v>0.0</v>
      </c>
    </row>
    <row r="623" ht="14.25" customHeight="1">
      <c r="A623" s="13">
        <v>621.0</v>
      </c>
      <c r="B623" s="13" t="s">
        <v>46</v>
      </c>
      <c r="C623" s="13">
        <v>2.0</v>
      </c>
      <c r="D623" s="14">
        <v>0.0</v>
      </c>
      <c r="E623" s="13" t="s">
        <v>4029</v>
      </c>
      <c r="F623" s="15" t="s">
        <v>541</v>
      </c>
      <c r="G623" s="16" t="s">
        <v>4030</v>
      </c>
      <c r="H623" s="13"/>
      <c r="I623" s="13">
        <v>1.0</v>
      </c>
      <c r="J623" s="13" t="s">
        <v>2650</v>
      </c>
      <c r="K623" s="13">
        <f t="shared" si="3"/>
        <v>0</v>
      </c>
      <c r="L623" s="13">
        <f t="shared" si="4"/>
        <v>3</v>
      </c>
      <c r="M623" s="13">
        <f t="shared" ref="M623:AA623" si="1245">IFERROR(VALUE(RIGHT(LEFT($J623,FIND(M$1,$J623,1)+LEN(M$1)),1)),0)</f>
        <v>0</v>
      </c>
      <c r="N623" s="13">
        <f t="shared" si="1245"/>
        <v>0</v>
      </c>
      <c r="O623" s="13">
        <f t="shared" si="1245"/>
        <v>0</v>
      </c>
      <c r="P623" s="13">
        <f t="shared" si="1245"/>
        <v>0</v>
      </c>
      <c r="Q623" s="13">
        <f t="shared" si="1245"/>
        <v>0</v>
      </c>
      <c r="R623" s="13">
        <f t="shared" si="1245"/>
        <v>0</v>
      </c>
      <c r="S623" s="13">
        <f t="shared" si="1245"/>
        <v>0</v>
      </c>
      <c r="T623" s="13">
        <f t="shared" si="1245"/>
        <v>0</v>
      </c>
      <c r="U623" s="13">
        <f t="shared" si="1245"/>
        <v>0</v>
      </c>
      <c r="V623" s="13">
        <f t="shared" si="1245"/>
        <v>0</v>
      </c>
      <c r="W623" s="13">
        <f t="shared" si="1245"/>
        <v>0</v>
      </c>
      <c r="X623" s="13">
        <f t="shared" si="1245"/>
        <v>0</v>
      </c>
      <c r="Y623" s="13">
        <f t="shared" si="1245"/>
        <v>0</v>
      </c>
      <c r="Z623" s="13">
        <f t="shared" si="1245"/>
        <v>0</v>
      </c>
      <c r="AA623" s="13">
        <f t="shared" si="1245"/>
        <v>0</v>
      </c>
      <c r="AB623" s="13">
        <f t="shared" ref="AB623:AP623" si="1246">IFERROR(VALUE(RIGHT(LEFT($J623,FIND(AB$1,$J623,IF(M623=0,1,FIND(AB$1,$J623,1)+1))+LEN(AB$1)),1)),0)</f>
        <v>0</v>
      </c>
      <c r="AC623" s="13">
        <f t="shared" si="1246"/>
        <v>0</v>
      </c>
      <c r="AD623" s="13">
        <f t="shared" si="1246"/>
        <v>1</v>
      </c>
      <c r="AE623" s="13">
        <f t="shared" si="1246"/>
        <v>0</v>
      </c>
      <c r="AF623" s="13">
        <f t="shared" si="1246"/>
        <v>0</v>
      </c>
      <c r="AG623" s="13">
        <f t="shared" si="1246"/>
        <v>0</v>
      </c>
      <c r="AH623" s="13">
        <f t="shared" si="1246"/>
        <v>0</v>
      </c>
      <c r="AI623" s="13">
        <f t="shared" si="1246"/>
        <v>0</v>
      </c>
      <c r="AJ623" s="13">
        <f t="shared" si="1246"/>
        <v>2</v>
      </c>
      <c r="AK623" s="13">
        <f t="shared" si="1246"/>
        <v>0</v>
      </c>
      <c r="AL623" s="13">
        <f t="shared" si="1246"/>
        <v>0</v>
      </c>
      <c r="AM623" s="13">
        <f t="shared" si="1246"/>
        <v>0</v>
      </c>
      <c r="AN623" s="13">
        <f t="shared" si="1246"/>
        <v>0</v>
      </c>
      <c r="AO623" s="13">
        <f t="shared" si="1246"/>
        <v>0</v>
      </c>
      <c r="AP623" s="13">
        <f t="shared" si="1246"/>
        <v>0</v>
      </c>
      <c r="AQ623" s="13" t="s">
        <v>4031</v>
      </c>
      <c r="AR623" s="13"/>
      <c r="AS623" s="13" t="s">
        <v>4032</v>
      </c>
      <c r="AT623" s="13"/>
      <c r="AU623" s="13"/>
      <c r="AV623" s="13"/>
      <c r="AW623" s="13">
        <v>0.0</v>
      </c>
      <c r="AX623" s="13">
        <v>9.0</v>
      </c>
      <c r="AY623" s="13">
        <v>0.0</v>
      </c>
      <c r="AZ623" s="13"/>
      <c r="BA623" s="13"/>
      <c r="BB623" s="13"/>
      <c r="BC623" s="13"/>
      <c r="BD623" s="13"/>
      <c r="BE623" s="13"/>
      <c r="BF623" s="13"/>
      <c r="BG623" s="13"/>
      <c r="BH623" s="13" t="s">
        <v>79</v>
      </c>
      <c r="BI623" s="13" t="b">
        <v>0</v>
      </c>
      <c r="BJ623" s="13">
        <v>0.0</v>
      </c>
      <c r="BK623" s="13">
        <v>0.0</v>
      </c>
    </row>
    <row r="624" ht="14.25" customHeight="1">
      <c r="A624" s="13">
        <v>622.0</v>
      </c>
      <c r="B624" s="13" t="s">
        <v>52</v>
      </c>
      <c r="C624" s="13">
        <v>2.0</v>
      </c>
      <c r="D624" s="14">
        <v>0.0</v>
      </c>
      <c r="E624" s="13" t="s">
        <v>4033</v>
      </c>
      <c r="F624" s="15" t="s">
        <v>541</v>
      </c>
      <c r="G624" s="16" t="s">
        <v>4034</v>
      </c>
      <c r="H624" s="13">
        <v>12.0</v>
      </c>
      <c r="I624" s="13">
        <v>1.1</v>
      </c>
      <c r="J624" s="13" t="s">
        <v>4035</v>
      </c>
      <c r="K624" s="13">
        <f t="shared" si="3"/>
        <v>0</v>
      </c>
      <c r="L624" s="13">
        <f t="shared" si="4"/>
        <v>3</v>
      </c>
      <c r="M624" s="13">
        <f t="shared" ref="M624:AA624" si="1247">IFERROR(VALUE(RIGHT(LEFT($J624,FIND(M$1,$J624,1)+LEN(M$1)),1)),0)</f>
        <v>0</v>
      </c>
      <c r="N624" s="13">
        <f t="shared" si="1247"/>
        <v>0</v>
      </c>
      <c r="O624" s="13">
        <f t="shared" si="1247"/>
        <v>0</v>
      </c>
      <c r="P624" s="13">
        <f t="shared" si="1247"/>
        <v>0</v>
      </c>
      <c r="Q624" s="13">
        <f t="shared" si="1247"/>
        <v>0</v>
      </c>
      <c r="R624" s="13">
        <f t="shared" si="1247"/>
        <v>0</v>
      </c>
      <c r="S624" s="13">
        <f t="shared" si="1247"/>
        <v>0</v>
      </c>
      <c r="T624" s="13">
        <f t="shared" si="1247"/>
        <v>0</v>
      </c>
      <c r="U624" s="13">
        <f t="shared" si="1247"/>
        <v>0</v>
      </c>
      <c r="V624" s="13">
        <f t="shared" si="1247"/>
        <v>0</v>
      </c>
      <c r="W624" s="13">
        <f t="shared" si="1247"/>
        <v>0</v>
      </c>
      <c r="X624" s="13">
        <f t="shared" si="1247"/>
        <v>0</v>
      </c>
      <c r="Y624" s="13">
        <f t="shared" si="1247"/>
        <v>0</v>
      </c>
      <c r="Z624" s="13">
        <f t="shared" si="1247"/>
        <v>0</v>
      </c>
      <c r="AA624" s="13">
        <f t="shared" si="1247"/>
        <v>0</v>
      </c>
      <c r="AB624" s="13">
        <f t="shared" ref="AB624:AP624" si="1248">IFERROR(VALUE(RIGHT(LEFT($J624,FIND(AB$1,$J624,IF(M624=0,1,FIND(AB$1,$J624,1)+1))+LEN(AB$1)),1)),0)</f>
        <v>0</v>
      </c>
      <c r="AC624" s="13">
        <f t="shared" si="1248"/>
        <v>0</v>
      </c>
      <c r="AD624" s="13">
        <f t="shared" si="1248"/>
        <v>2</v>
      </c>
      <c r="AE624" s="13">
        <f t="shared" si="1248"/>
        <v>0</v>
      </c>
      <c r="AF624" s="13">
        <f t="shared" si="1248"/>
        <v>0</v>
      </c>
      <c r="AG624" s="13">
        <f t="shared" si="1248"/>
        <v>0</v>
      </c>
      <c r="AH624" s="13">
        <f t="shared" si="1248"/>
        <v>0</v>
      </c>
      <c r="AI624" s="13">
        <f t="shared" si="1248"/>
        <v>0</v>
      </c>
      <c r="AJ624" s="13">
        <f t="shared" si="1248"/>
        <v>0</v>
      </c>
      <c r="AK624" s="13">
        <f t="shared" si="1248"/>
        <v>0</v>
      </c>
      <c r="AL624" s="13">
        <f t="shared" si="1248"/>
        <v>0</v>
      </c>
      <c r="AM624" s="13">
        <f t="shared" si="1248"/>
        <v>0</v>
      </c>
      <c r="AN624" s="13">
        <f t="shared" si="1248"/>
        <v>0</v>
      </c>
      <c r="AO624" s="13">
        <f t="shared" si="1248"/>
        <v>0</v>
      </c>
      <c r="AP624" s="13">
        <f t="shared" si="1248"/>
        <v>1</v>
      </c>
      <c r="AQ624" s="13"/>
      <c r="AR624" s="13" t="s">
        <v>4036</v>
      </c>
      <c r="AS624" s="13" t="s">
        <v>2467</v>
      </c>
      <c r="AT624" s="13" t="s">
        <v>1221</v>
      </c>
      <c r="AU624" s="13" t="s">
        <v>143</v>
      </c>
      <c r="AV624" s="13" t="s">
        <v>4037</v>
      </c>
      <c r="AW624" s="13">
        <v>15.0</v>
      </c>
      <c r="AX624" s="13">
        <v>9.0</v>
      </c>
      <c r="AY624" s="13">
        <v>0.0</v>
      </c>
      <c r="AZ624" s="13" t="s">
        <v>1213</v>
      </c>
      <c r="BA624" s="13" t="s">
        <v>655</v>
      </c>
      <c r="BB624" s="13"/>
      <c r="BC624" s="13"/>
      <c r="BD624" s="13" t="s">
        <v>2169</v>
      </c>
      <c r="BE624" s="13" t="s">
        <v>4038</v>
      </c>
      <c r="BF624" s="13" t="s">
        <v>4039</v>
      </c>
      <c r="BG624" s="13" t="s">
        <v>2171</v>
      </c>
      <c r="BH624" s="13" t="s">
        <v>241</v>
      </c>
      <c r="BI624" s="13" t="b">
        <v>0</v>
      </c>
      <c r="BJ624" s="13">
        <v>0.0</v>
      </c>
      <c r="BK624" s="13">
        <v>0.0</v>
      </c>
    </row>
    <row r="625" ht="14.25" customHeight="1">
      <c r="A625" s="13">
        <v>623.0</v>
      </c>
      <c r="B625" s="13" t="s">
        <v>52</v>
      </c>
      <c r="C625" s="13">
        <v>2.0</v>
      </c>
      <c r="D625" s="14">
        <v>0.0</v>
      </c>
      <c r="E625" s="13" t="s">
        <v>4040</v>
      </c>
      <c r="F625" s="15" t="s">
        <v>541</v>
      </c>
      <c r="G625" s="16" t="s">
        <v>4041</v>
      </c>
      <c r="H625" s="13">
        <v>14.0</v>
      </c>
      <c r="I625" s="13">
        <v>1.0</v>
      </c>
      <c r="J625" s="13" t="s">
        <v>1502</v>
      </c>
      <c r="K625" s="13">
        <f t="shared" si="3"/>
        <v>0</v>
      </c>
      <c r="L625" s="13">
        <f t="shared" si="4"/>
        <v>3</v>
      </c>
      <c r="M625" s="13">
        <f t="shared" ref="M625:AA625" si="1249">IFERROR(VALUE(RIGHT(LEFT($J625,FIND(M$1,$J625,1)+LEN(M$1)),1)),0)</f>
        <v>0</v>
      </c>
      <c r="N625" s="13">
        <f t="shared" si="1249"/>
        <v>0</v>
      </c>
      <c r="O625" s="13">
        <f t="shared" si="1249"/>
        <v>0</v>
      </c>
      <c r="P625" s="13">
        <f t="shared" si="1249"/>
        <v>0</v>
      </c>
      <c r="Q625" s="13">
        <f t="shared" si="1249"/>
        <v>0</v>
      </c>
      <c r="R625" s="13">
        <f t="shared" si="1249"/>
        <v>0</v>
      </c>
      <c r="S625" s="13">
        <f t="shared" si="1249"/>
        <v>0</v>
      </c>
      <c r="T625" s="13">
        <f t="shared" si="1249"/>
        <v>0</v>
      </c>
      <c r="U625" s="13">
        <f t="shared" si="1249"/>
        <v>0</v>
      </c>
      <c r="V625" s="13">
        <f t="shared" si="1249"/>
        <v>0</v>
      </c>
      <c r="W625" s="13">
        <f t="shared" si="1249"/>
        <v>0</v>
      </c>
      <c r="X625" s="13">
        <f t="shared" si="1249"/>
        <v>0</v>
      </c>
      <c r="Y625" s="13">
        <f t="shared" si="1249"/>
        <v>0</v>
      </c>
      <c r="Z625" s="13">
        <f t="shared" si="1249"/>
        <v>0</v>
      </c>
      <c r="AA625" s="13">
        <f t="shared" si="1249"/>
        <v>0</v>
      </c>
      <c r="AB625" s="13">
        <f t="shared" ref="AB625:AP625" si="1250">IFERROR(VALUE(RIGHT(LEFT($J625,FIND(AB$1,$J625,IF(M625=0,1,FIND(AB$1,$J625,1)+1))+LEN(AB$1)),1)),0)</f>
        <v>0</v>
      </c>
      <c r="AC625" s="13">
        <f t="shared" si="1250"/>
        <v>1</v>
      </c>
      <c r="AD625" s="13">
        <f t="shared" si="1250"/>
        <v>0</v>
      </c>
      <c r="AE625" s="13">
        <f t="shared" si="1250"/>
        <v>0</v>
      </c>
      <c r="AF625" s="13">
        <f t="shared" si="1250"/>
        <v>0</v>
      </c>
      <c r="AG625" s="13">
        <f t="shared" si="1250"/>
        <v>0</v>
      </c>
      <c r="AH625" s="13">
        <f t="shared" si="1250"/>
        <v>0</v>
      </c>
      <c r="AI625" s="13">
        <f t="shared" si="1250"/>
        <v>0</v>
      </c>
      <c r="AJ625" s="13">
        <f t="shared" si="1250"/>
        <v>0</v>
      </c>
      <c r="AK625" s="13">
        <f t="shared" si="1250"/>
        <v>0</v>
      </c>
      <c r="AL625" s="13">
        <f t="shared" si="1250"/>
        <v>0</v>
      </c>
      <c r="AM625" s="13">
        <f t="shared" si="1250"/>
        <v>0</v>
      </c>
      <c r="AN625" s="13">
        <f t="shared" si="1250"/>
        <v>0</v>
      </c>
      <c r="AO625" s="13">
        <f t="shared" si="1250"/>
        <v>0</v>
      </c>
      <c r="AP625" s="13">
        <f t="shared" si="1250"/>
        <v>2</v>
      </c>
      <c r="AQ625" s="13"/>
      <c r="AR625" s="13" t="s">
        <v>1885</v>
      </c>
      <c r="AS625" s="13" t="s">
        <v>1537</v>
      </c>
      <c r="AT625" s="13" t="s">
        <v>573</v>
      </c>
      <c r="AU625" s="13" t="s">
        <v>130</v>
      </c>
      <c r="AV625" s="13" t="s">
        <v>4042</v>
      </c>
      <c r="AW625" s="13">
        <v>13.0</v>
      </c>
      <c r="AX625" s="13">
        <v>9.0</v>
      </c>
      <c r="AY625" s="13">
        <v>0.0</v>
      </c>
      <c r="AZ625" s="13" t="s">
        <v>4043</v>
      </c>
      <c r="BA625" s="13" t="s">
        <v>4044</v>
      </c>
      <c r="BB625" s="13"/>
      <c r="BC625" s="13"/>
      <c r="BD625" s="13" t="s">
        <v>306</v>
      </c>
      <c r="BE625" s="13" t="s">
        <v>4045</v>
      </c>
      <c r="BF625" s="13" t="s">
        <v>3895</v>
      </c>
      <c r="BG625" s="13"/>
      <c r="BH625" s="13" t="s">
        <v>79</v>
      </c>
      <c r="BI625" s="13" t="b">
        <v>0</v>
      </c>
      <c r="BJ625" s="13">
        <v>0.0</v>
      </c>
      <c r="BK625" s="13">
        <v>0.0</v>
      </c>
    </row>
    <row r="626" ht="14.25" customHeight="1">
      <c r="A626" s="13">
        <v>624.0</v>
      </c>
      <c r="B626" s="13" t="s">
        <v>51</v>
      </c>
      <c r="C626" s="13">
        <v>2.0</v>
      </c>
      <c r="D626" s="14">
        <v>0.0</v>
      </c>
      <c r="E626" s="13" t="s">
        <v>4046</v>
      </c>
      <c r="F626" s="15" t="s">
        <v>541</v>
      </c>
      <c r="G626" s="16" t="s">
        <v>4047</v>
      </c>
      <c r="H626" s="13">
        <v>16.0</v>
      </c>
      <c r="I626" s="13">
        <v>1.1</v>
      </c>
      <c r="J626" s="13" t="s">
        <v>1456</v>
      </c>
      <c r="K626" s="13">
        <f t="shared" si="3"/>
        <v>0</v>
      </c>
      <c r="L626" s="13">
        <f t="shared" si="4"/>
        <v>3</v>
      </c>
      <c r="M626" s="13">
        <f t="shared" ref="M626:AA626" si="1251">IFERROR(VALUE(RIGHT(LEFT($J626,FIND(M$1,$J626,1)+LEN(M$1)),1)),0)</f>
        <v>0</v>
      </c>
      <c r="N626" s="13">
        <f t="shared" si="1251"/>
        <v>0</v>
      </c>
      <c r="O626" s="13">
        <f t="shared" si="1251"/>
        <v>0</v>
      </c>
      <c r="P626" s="13">
        <f t="shared" si="1251"/>
        <v>0</v>
      </c>
      <c r="Q626" s="13">
        <f t="shared" si="1251"/>
        <v>0</v>
      </c>
      <c r="R626" s="13">
        <f t="shared" si="1251"/>
        <v>0</v>
      </c>
      <c r="S626" s="13">
        <f t="shared" si="1251"/>
        <v>0</v>
      </c>
      <c r="T626" s="13">
        <f t="shared" si="1251"/>
        <v>0</v>
      </c>
      <c r="U626" s="13">
        <f t="shared" si="1251"/>
        <v>0</v>
      </c>
      <c r="V626" s="13">
        <f t="shared" si="1251"/>
        <v>0</v>
      </c>
      <c r="W626" s="13">
        <f t="shared" si="1251"/>
        <v>0</v>
      </c>
      <c r="X626" s="13">
        <f t="shared" si="1251"/>
        <v>0</v>
      </c>
      <c r="Y626" s="13">
        <f t="shared" si="1251"/>
        <v>0</v>
      </c>
      <c r="Z626" s="13">
        <f t="shared" si="1251"/>
        <v>0</v>
      </c>
      <c r="AA626" s="13">
        <f t="shared" si="1251"/>
        <v>0</v>
      </c>
      <c r="AB626" s="13">
        <f t="shared" ref="AB626:AP626" si="1252">IFERROR(VALUE(RIGHT(LEFT($J626,FIND(AB$1,$J626,IF(M626=0,1,FIND(AB$1,$J626,1)+1))+LEN(AB$1)),1)),0)</f>
        <v>0</v>
      </c>
      <c r="AC626" s="13">
        <f t="shared" si="1252"/>
        <v>0</v>
      </c>
      <c r="AD626" s="13">
        <f t="shared" si="1252"/>
        <v>1</v>
      </c>
      <c r="AE626" s="13">
        <f t="shared" si="1252"/>
        <v>0</v>
      </c>
      <c r="AF626" s="13">
        <f t="shared" si="1252"/>
        <v>0</v>
      </c>
      <c r="AG626" s="13">
        <f t="shared" si="1252"/>
        <v>0</v>
      </c>
      <c r="AH626" s="13">
        <f t="shared" si="1252"/>
        <v>0</v>
      </c>
      <c r="AI626" s="13">
        <f t="shared" si="1252"/>
        <v>0</v>
      </c>
      <c r="AJ626" s="13">
        <f t="shared" si="1252"/>
        <v>0</v>
      </c>
      <c r="AK626" s="13">
        <f t="shared" si="1252"/>
        <v>0</v>
      </c>
      <c r="AL626" s="13">
        <f t="shared" si="1252"/>
        <v>0</v>
      </c>
      <c r="AM626" s="13">
        <f t="shared" si="1252"/>
        <v>0</v>
      </c>
      <c r="AN626" s="13">
        <f t="shared" si="1252"/>
        <v>0</v>
      </c>
      <c r="AO626" s="13">
        <f t="shared" si="1252"/>
        <v>2</v>
      </c>
      <c r="AP626" s="13">
        <f t="shared" si="1252"/>
        <v>0</v>
      </c>
      <c r="AQ626" s="13"/>
      <c r="AR626" s="13" t="s">
        <v>1457</v>
      </c>
      <c r="AS626" s="13" t="s">
        <v>4048</v>
      </c>
      <c r="AT626" s="13" t="s">
        <v>257</v>
      </c>
      <c r="AU626" s="13" t="s">
        <v>143</v>
      </c>
      <c r="AV626" s="13" t="s">
        <v>4049</v>
      </c>
      <c r="AW626" s="13">
        <v>18.0</v>
      </c>
      <c r="AX626" s="13">
        <v>9.0</v>
      </c>
      <c r="AY626" s="13">
        <v>0.0</v>
      </c>
      <c r="AZ626" s="13" t="s">
        <v>3714</v>
      </c>
      <c r="BA626" s="13" t="s">
        <v>1266</v>
      </c>
      <c r="BB626" s="13"/>
      <c r="BC626" s="13"/>
      <c r="BD626" s="13" t="s">
        <v>1832</v>
      </c>
      <c r="BE626" s="13"/>
      <c r="BF626" s="13" t="s">
        <v>1250</v>
      </c>
      <c r="BG626" s="13" t="s">
        <v>1833</v>
      </c>
      <c r="BH626" s="13" t="s">
        <v>79</v>
      </c>
      <c r="BI626" s="13" t="b">
        <v>0</v>
      </c>
      <c r="BJ626" s="13">
        <v>0.0</v>
      </c>
      <c r="BK626" s="13">
        <v>0.0</v>
      </c>
    </row>
    <row r="627" ht="14.25" customHeight="1">
      <c r="A627" s="13">
        <v>625.0</v>
      </c>
      <c r="B627" s="13" t="s">
        <v>51</v>
      </c>
      <c r="C627" s="13">
        <v>2.0</v>
      </c>
      <c r="D627" s="14">
        <v>0.0</v>
      </c>
      <c r="E627" s="13" t="s">
        <v>4050</v>
      </c>
      <c r="F627" s="15" t="s">
        <v>541</v>
      </c>
      <c r="G627" s="16" t="s">
        <v>4051</v>
      </c>
      <c r="H627" s="13">
        <v>13.0</v>
      </c>
      <c r="I627" s="13">
        <v>1.1</v>
      </c>
      <c r="J627" s="13" t="s">
        <v>4052</v>
      </c>
      <c r="K627" s="13">
        <f t="shared" si="3"/>
        <v>0</v>
      </c>
      <c r="L627" s="13">
        <f t="shared" si="4"/>
        <v>3</v>
      </c>
      <c r="M627" s="13">
        <f t="shared" ref="M627:AA627" si="1253">IFERROR(VALUE(RIGHT(LEFT($J627,FIND(M$1,$J627,1)+LEN(M$1)),1)),0)</f>
        <v>0</v>
      </c>
      <c r="N627" s="13">
        <f t="shared" si="1253"/>
        <v>0</v>
      </c>
      <c r="O627" s="13">
        <f t="shared" si="1253"/>
        <v>0</v>
      </c>
      <c r="P627" s="13">
        <f t="shared" si="1253"/>
        <v>0</v>
      </c>
      <c r="Q627" s="13">
        <f t="shared" si="1253"/>
        <v>0</v>
      </c>
      <c r="R627" s="13">
        <f t="shared" si="1253"/>
        <v>0</v>
      </c>
      <c r="S627" s="13">
        <f t="shared" si="1253"/>
        <v>0</v>
      </c>
      <c r="T627" s="13">
        <f t="shared" si="1253"/>
        <v>0</v>
      </c>
      <c r="U627" s="13">
        <f t="shared" si="1253"/>
        <v>0</v>
      </c>
      <c r="V627" s="13">
        <f t="shared" si="1253"/>
        <v>0</v>
      </c>
      <c r="W627" s="13">
        <f t="shared" si="1253"/>
        <v>0</v>
      </c>
      <c r="X627" s="13">
        <f t="shared" si="1253"/>
        <v>0</v>
      </c>
      <c r="Y627" s="13">
        <f t="shared" si="1253"/>
        <v>0</v>
      </c>
      <c r="Z627" s="13">
        <f t="shared" si="1253"/>
        <v>0</v>
      </c>
      <c r="AA627" s="13">
        <f t="shared" si="1253"/>
        <v>0</v>
      </c>
      <c r="AB627" s="13">
        <f t="shared" ref="AB627:AP627" si="1254">IFERROR(VALUE(RIGHT(LEFT($J627,FIND(AB$1,$J627,IF(M627=0,1,FIND(AB$1,$J627,1)+1))+LEN(AB$1)),1)),0)</f>
        <v>0</v>
      </c>
      <c r="AC627" s="13">
        <f t="shared" si="1254"/>
        <v>0</v>
      </c>
      <c r="AD627" s="13">
        <f t="shared" si="1254"/>
        <v>0</v>
      </c>
      <c r="AE627" s="13">
        <f t="shared" si="1254"/>
        <v>2</v>
      </c>
      <c r="AF627" s="13">
        <f t="shared" si="1254"/>
        <v>0</v>
      </c>
      <c r="AG627" s="13">
        <f t="shared" si="1254"/>
        <v>0</v>
      </c>
      <c r="AH627" s="13">
        <f t="shared" si="1254"/>
        <v>0</v>
      </c>
      <c r="AI627" s="13">
        <f t="shared" si="1254"/>
        <v>0</v>
      </c>
      <c r="AJ627" s="13">
        <f t="shared" si="1254"/>
        <v>0</v>
      </c>
      <c r="AK627" s="13">
        <f t="shared" si="1254"/>
        <v>0</v>
      </c>
      <c r="AL627" s="13">
        <f t="shared" si="1254"/>
        <v>0</v>
      </c>
      <c r="AM627" s="13">
        <f t="shared" si="1254"/>
        <v>0</v>
      </c>
      <c r="AN627" s="13">
        <f t="shared" si="1254"/>
        <v>0</v>
      </c>
      <c r="AO627" s="13">
        <f t="shared" si="1254"/>
        <v>1</v>
      </c>
      <c r="AP627" s="13">
        <f t="shared" si="1254"/>
        <v>0</v>
      </c>
      <c r="AQ627" s="13"/>
      <c r="AR627" s="13" t="s">
        <v>4053</v>
      </c>
      <c r="AS627" s="13" t="s">
        <v>3243</v>
      </c>
      <c r="AT627" s="13" t="s">
        <v>142</v>
      </c>
      <c r="AU627" s="13" t="s">
        <v>269</v>
      </c>
      <c r="AV627" s="13" t="s">
        <v>4054</v>
      </c>
      <c r="AW627" s="13">
        <v>14.0</v>
      </c>
      <c r="AX627" s="13">
        <v>9.0</v>
      </c>
      <c r="AY627" s="13">
        <v>0.0</v>
      </c>
      <c r="AZ627" s="13" t="s">
        <v>4055</v>
      </c>
      <c r="BA627" s="13" t="s">
        <v>4056</v>
      </c>
      <c r="BB627" s="13"/>
      <c r="BC627" s="13"/>
      <c r="BD627" s="13" t="s">
        <v>1832</v>
      </c>
      <c r="BE627" s="13"/>
      <c r="BF627" s="13" t="s">
        <v>4057</v>
      </c>
      <c r="BG627" s="13" t="s">
        <v>1833</v>
      </c>
      <c r="BH627" s="13" t="s">
        <v>79</v>
      </c>
      <c r="BI627" s="13" t="b">
        <v>0</v>
      </c>
      <c r="BJ627" s="13">
        <v>0.0</v>
      </c>
      <c r="BK627" s="13">
        <v>0.0</v>
      </c>
    </row>
    <row r="628" ht="14.25" customHeight="1">
      <c r="A628" s="13">
        <v>626.0</v>
      </c>
      <c r="B628" s="13" t="s">
        <v>48</v>
      </c>
      <c r="C628" s="13">
        <v>2.0</v>
      </c>
      <c r="D628" s="14">
        <v>0.0</v>
      </c>
      <c r="E628" s="13" t="s">
        <v>4058</v>
      </c>
      <c r="F628" s="15" t="s">
        <v>541</v>
      </c>
      <c r="G628" s="16" t="s">
        <v>4059</v>
      </c>
      <c r="H628" s="13">
        <v>15.0</v>
      </c>
      <c r="I628" s="13">
        <v>1.1</v>
      </c>
      <c r="J628" s="13" t="s">
        <v>1193</v>
      </c>
      <c r="K628" s="13">
        <f t="shared" si="3"/>
        <v>0</v>
      </c>
      <c r="L628" s="13">
        <f t="shared" si="4"/>
        <v>3</v>
      </c>
      <c r="M628" s="13">
        <f t="shared" ref="M628:AA628" si="1255">IFERROR(VALUE(RIGHT(LEFT($J628,FIND(M$1,$J628,1)+LEN(M$1)),1)),0)</f>
        <v>0</v>
      </c>
      <c r="N628" s="13">
        <f t="shared" si="1255"/>
        <v>0</v>
      </c>
      <c r="O628" s="13">
        <f t="shared" si="1255"/>
        <v>0</v>
      </c>
      <c r="P628" s="13">
        <f t="shared" si="1255"/>
        <v>0</v>
      </c>
      <c r="Q628" s="13">
        <f t="shared" si="1255"/>
        <v>0</v>
      </c>
      <c r="R628" s="13">
        <f t="shared" si="1255"/>
        <v>0</v>
      </c>
      <c r="S628" s="13">
        <f t="shared" si="1255"/>
        <v>0</v>
      </c>
      <c r="T628" s="13">
        <f t="shared" si="1255"/>
        <v>0</v>
      </c>
      <c r="U628" s="13">
        <f t="shared" si="1255"/>
        <v>0</v>
      </c>
      <c r="V628" s="13">
        <f t="shared" si="1255"/>
        <v>0</v>
      </c>
      <c r="W628" s="13">
        <f t="shared" si="1255"/>
        <v>0</v>
      </c>
      <c r="X628" s="13">
        <f t="shared" si="1255"/>
        <v>0</v>
      </c>
      <c r="Y628" s="13">
        <f t="shared" si="1255"/>
        <v>0</v>
      </c>
      <c r="Z628" s="13">
        <f t="shared" si="1255"/>
        <v>0</v>
      </c>
      <c r="AA628" s="13">
        <f t="shared" si="1255"/>
        <v>0</v>
      </c>
      <c r="AB628" s="13">
        <f t="shared" ref="AB628:AP628" si="1256">IFERROR(VALUE(RIGHT(LEFT($J628,FIND(AB$1,$J628,IF(M628=0,1,FIND(AB$1,$J628,1)+1))+LEN(AB$1)),1)),0)</f>
        <v>0</v>
      </c>
      <c r="AC628" s="13">
        <f t="shared" si="1256"/>
        <v>1</v>
      </c>
      <c r="AD628" s="13">
        <f t="shared" si="1256"/>
        <v>0</v>
      </c>
      <c r="AE628" s="13">
        <f t="shared" si="1256"/>
        <v>0</v>
      </c>
      <c r="AF628" s="13">
        <f t="shared" si="1256"/>
        <v>0</v>
      </c>
      <c r="AG628" s="13">
        <f t="shared" si="1256"/>
        <v>0</v>
      </c>
      <c r="AH628" s="13">
        <f t="shared" si="1256"/>
        <v>0</v>
      </c>
      <c r="AI628" s="13">
        <f t="shared" si="1256"/>
        <v>0</v>
      </c>
      <c r="AJ628" s="13">
        <f t="shared" si="1256"/>
        <v>0</v>
      </c>
      <c r="AK628" s="13">
        <f t="shared" si="1256"/>
        <v>0</v>
      </c>
      <c r="AL628" s="13">
        <f t="shared" si="1256"/>
        <v>2</v>
      </c>
      <c r="AM628" s="13">
        <f t="shared" si="1256"/>
        <v>0</v>
      </c>
      <c r="AN628" s="13">
        <f t="shared" si="1256"/>
        <v>0</v>
      </c>
      <c r="AO628" s="13">
        <f t="shared" si="1256"/>
        <v>0</v>
      </c>
      <c r="AP628" s="13">
        <f t="shared" si="1256"/>
        <v>0</v>
      </c>
      <c r="AQ628" s="13"/>
      <c r="AR628" s="13" t="s">
        <v>4060</v>
      </c>
      <c r="AS628" s="13" t="s">
        <v>4061</v>
      </c>
      <c r="AT628" s="13" t="s">
        <v>162</v>
      </c>
      <c r="AU628" s="13" t="s">
        <v>236</v>
      </c>
      <c r="AV628" s="13" t="s">
        <v>4062</v>
      </c>
      <c r="AW628" s="13">
        <v>17.0</v>
      </c>
      <c r="AX628" s="13">
        <v>9.0</v>
      </c>
      <c r="AY628" s="13">
        <v>0.0</v>
      </c>
      <c r="AZ628" s="13" t="s">
        <v>624</v>
      </c>
      <c r="BA628" s="13" t="s">
        <v>601</v>
      </c>
      <c r="BB628" s="13"/>
      <c r="BC628" s="13"/>
      <c r="BD628" s="13" t="s">
        <v>179</v>
      </c>
      <c r="BE628" s="13"/>
      <c r="BF628" s="13" t="s">
        <v>4063</v>
      </c>
      <c r="BG628" s="13" t="s">
        <v>169</v>
      </c>
      <c r="BH628" s="13" t="s">
        <v>79</v>
      </c>
      <c r="BI628" s="13" t="b">
        <v>0</v>
      </c>
      <c r="BJ628" s="13">
        <v>0.0</v>
      </c>
      <c r="BK628" s="13">
        <v>0.0</v>
      </c>
    </row>
    <row r="629" ht="14.25" customHeight="1">
      <c r="A629" s="13">
        <v>627.0</v>
      </c>
      <c r="B629" s="13" t="s">
        <v>44</v>
      </c>
      <c r="C629" s="13">
        <v>3.0</v>
      </c>
      <c r="D629" s="14">
        <v>0.0</v>
      </c>
      <c r="E629" s="13" t="s">
        <v>4064</v>
      </c>
      <c r="F629" s="15" t="s">
        <v>541</v>
      </c>
      <c r="G629" s="16" t="s">
        <v>4065</v>
      </c>
      <c r="H629" s="13"/>
      <c r="I629" s="13">
        <v>1.2</v>
      </c>
      <c r="J629" s="13" t="s">
        <v>4066</v>
      </c>
      <c r="K629" s="13">
        <f t="shared" si="3"/>
        <v>1</v>
      </c>
      <c r="L629" s="13">
        <f t="shared" si="4"/>
        <v>2</v>
      </c>
      <c r="M629" s="13">
        <f t="shared" ref="M629:AA629" si="1257">IFERROR(VALUE(RIGHT(LEFT($J629,FIND(M$1,$J629,1)+LEN(M$1)),1)),0)</f>
        <v>0</v>
      </c>
      <c r="N629" s="13">
        <f t="shared" si="1257"/>
        <v>0</v>
      </c>
      <c r="O629" s="13">
        <f t="shared" si="1257"/>
        <v>0</v>
      </c>
      <c r="P629" s="13">
        <f t="shared" si="1257"/>
        <v>0</v>
      </c>
      <c r="Q629" s="13">
        <f t="shared" si="1257"/>
        <v>0</v>
      </c>
      <c r="R629" s="13">
        <f t="shared" si="1257"/>
        <v>0</v>
      </c>
      <c r="S629" s="13">
        <f t="shared" si="1257"/>
        <v>1</v>
      </c>
      <c r="T629" s="13">
        <f t="shared" si="1257"/>
        <v>0</v>
      </c>
      <c r="U629" s="13">
        <f t="shared" si="1257"/>
        <v>0</v>
      </c>
      <c r="V629" s="13">
        <f t="shared" si="1257"/>
        <v>0</v>
      </c>
      <c r="W629" s="13">
        <f t="shared" si="1257"/>
        <v>0</v>
      </c>
      <c r="X629" s="13">
        <f t="shared" si="1257"/>
        <v>0</v>
      </c>
      <c r="Y629" s="13">
        <f t="shared" si="1257"/>
        <v>0</v>
      </c>
      <c r="Z629" s="13">
        <f t="shared" si="1257"/>
        <v>0</v>
      </c>
      <c r="AA629" s="13">
        <f t="shared" si="1257"/>
        <v>0</v>
      </c>
      <c r="AB629" s="13">
        <f t="shared" ref="AB629:AP629" si="1258">IFERROR(VALUE(RIGHT(LEFT($J629,FIND(AB$1,$J629,IF(M629=0,1,FIND(AB$1,$J629,1)+1))+LEN(AB$1)),1)),0)</f>
        <v>0</v>
      </c>
      <c r="AC629" s="13">
        <f t="shared" si="1258"/>
        <v>0</v>
      </c>
      <c r="AD629" s="13">
        <f t="shared" si="1258"/>
        <v>0</v>
      </c>
      <c r="AE629" s="13">
        <f t="shared" si="1258"/>
        <v>1</v>
      </c>
      <c r="AF629" s="13">
        <f t="shared" si="1258"/>
        <v>0</v>
      </c>
      <c r="AG629" s="13">
        <f t="shared" si="1258"/>
        <v>0</v>
      </c>
      <c r="AH629" s="13">
        <f t="shared" si="1258"/>
        <v>1</v>
      </c>
      <c r="AI629" s="13">
        <f t="shared" si="1258"/>
        <v>0</v>
      </c>
      <c r="AJ629" s="13">
        <f t="shared" si="1258"/>
        <v>0</v>
      </c>
      <c r="AK629" s="13">
        <f t="shared" si="1258"/>
        <v>0</v>
      </c>
      <c r="AL629" s="13">
        <f t="shared" si="1258"/>
        <v>0</v>
      </c>
      <c r="AM629" s="13">
        <f t="shared" si="1258"/>
        <v>0</v>
      </c>
      <c r="AN629" s="13">
        <f t="shared" si="1258"/>
        <v>0</v>
      </c>
      <c r="AO629" s="13">
        <f t="shared" si="1258"/>
        <v>0</v>
      </c>
      <c r="AP629" s="13">
        <f t="shared" si="1258"/>
        <v>0</v>
      </c>
      <c r="AQ629" s="13" t="s">
        <v>4067</v>
      </c>
      <c r="AR629" s="13"/>
      <c r="AS629" s="13" t="s">
        <v>4068</v>
      </c>
      <c r="AT629" s="13"/>
      <c r="AU629" s="13"/>
      <c r="AV629" s="13"/>
      <c r="AW629" s="13">
        <v>0.0</v>
      </c>
      <c r="AX629" s="13">
        <v>9.0</v>
      </c>
      <c r="AY629" s="13">
        <v>0.0</v>
      </c>
      <c r="AZ629" s="13"/>
      <c r="BA629" s="13"/>
      <c r="BB629" s="13"/>
      <c r="BC629" s="13"/>
      <c r="BD629" s="13"/>
      <c r="BE629" s="13"/>
      <c r="BF629" s="13"/>
      <c r="BG629" s="13"/>
      <c r="BH629" s="13" t="s">
        <v>79</v>
      </c>
      <c r="BI629" s="13" t="b">
        <v>0</v>
      </c>
      <c r="BJ629" s="13">
        <v>0.0</v>
      </c>
      <c r="BK629" s="13">
        <v>0.0</v>
      </c>
    </row>
    <row r="630" ht="14.25" customHeight="1">
      <c r="A630" s="13">
        <v>628.0</v>
      </c>
      <c r="B630" s="13" t="s">
        <v>45</v>
      </c>
      <c r="C630" s="13">
        <v>3.0</v>
      </c>
      <c r="D630" s="14">
        <v>0.0</v>
      </c>
      <c r="E630" s="13" t="s">
        <v>4069</v>
      </c>
      <c r="F630" s="15" t="s">
        <v>541</v>
      </c>
      <c r="G630" s="16" t="s">
        <v>4070</v>
      </c>
      <c r="H630" s="13"/>
      <c r="I630" s="13">
        <v>1.1</v>
      </c>
      <c r="J630" s="13" t="s">
        <v>1584</v>
      </c>
      <c r="K630" s="13">
        <f t="shared" si="3"/>
        <v>1</v>
      </c>
      <c r="L630" s="13">
        <f t="shared" si="4"/>
        <v>2</v>
      </c>
      <c r="M630" s="13">
        <f t="shared" ref="M630:AA630" si="1259">IFERROR(VALUE(RIGHT(LEFT($J630,FIND(M$1,$J630,1)+LEN(M$1)),1)),0)</f>
        <v>0</v>
      </c>
      <c r="N630" s="13">
        <f t="shared" si="1259"/>
        <v>0</v>
      </c>
      <c r="O630" s="13">
        <f t="shared" si="1259"/>
        <v>0</v>
      </c>
      <c r="P630" s="13">
        <f t="shared" si="1259"/>
        <v>0</v>
      </c>
      <c r="Q630" s="13">
        <f t="shared" si="1259"/>
        <v>0</v>
      </c>
      <c r="R630" s="13">
        <f t="shared" si="1259"/>
        <v>0</v>
      </c>
      <c r="S630" s="13">
        <f t="shared" si="1259"/>
        <v>0</v>
      </c>
      <c r="T630" s="13">
        <f t="shared" si="1259"/>
        <v>1</v>
      </c>
      <c r="U630" s="13">
        <f t="shared" si="1259"/>
        <v>0</v>
      </c>
      <c r="V630" s="13">
        <f t="shared" si="1259"/>
        <v>0</v>
      </c>
      <c r="W630" s="13">
        <f t="shared" si="1259"/>
        <v>0</v>
      </c>
      <c r="X630" s="13">
        <f t="shared" si="1259"/>
        <v>0</v>
      </c>
      <c r="Y630" s="13">
        <f t="shared" si="1259"/>
        <v>0</v>
      </c>
      <c r="Z630" s="13">
        <f t="shared" si="1259"/>
        <v>0</v>
      </c>
      <c r="AA630" s="13">
        <f t="shared" si="1259"/>
        <v>0</v>
      </c>
      <c r="AB630" s="13">
        <f t="shared" ref="AB630:AP630" si="1260">IFERROR(VALUE(RIGHT(LEFT($J630,FIND(AB$1,$J630,IF(M630=0,1,FIND(AB$1,$J630,1)+1))+LEN(AB$1)),1)),0)</f>
        <v>0</v>
      </c>
      <c r="AC630" s="13">
        <f t="shared" si="1260"/>
        <v>1</v>
      </c>
      <c r="AD630" s="13">
        <f t="shared" si="1260"/>
        <v>0</v>
      </c>
      <c r="AE630" s="13">
        <f t="shared" si="1260"/>
        <v>0</v>
      </c>
      <c r="AF630" s="13">
        <f t="shared" si="1260"/>
        <v>0</v>
      </c>
      <c r="AG630" s="13">
        <f t="shared" si="1260"/>
        <v>0</v>
      </c>
      <c r="AH630" s="13">
        <f t="shared" si="1260"/>
        <v>0</v>
      </c>
      <c r="AI630" s="13">
        <f t="shared" si="1260"/>
        <v>1</v>
      </c>
      <c r="AJ630" s="13">
        <f t="shared" si="1260"/>
        <v>0</v>
      </c>
      <c r="AK630" s="13">
        <f t="shared" si="1260"/>
        <v>0</v>
      </c>
      <c r="AL630" s="13">
        <f t="shared" si="1260"/>
        <v>0</v>
      </c>
      <c r="AM630" s="13">
        <f t="shared" si="1260"/>
        <v>0</v>
      </c>
      <c r="AN630" s="13">
        <f t="shared" si="1260"/>
        <v>0</v>
      </c>
      <c r="AO630" s="13">
        <f t="shared" si="1260"/>
        <v>0</v>
      </c>
      <c r="AP630" s="13">
        <f t="shared" si="1260"/>
        <v>0</v>
      </c>
      <c r="AQ630" s="13" t="s">
        <v>4071</v>
      </c>
      <c r="AR630" s="13"/>
      <c r="AS630" s="13" t="s">
        <v>4072</v>
      </c>
      <c r="AT630" s="13"/>
      <c r="AU630" s="13"/>
      <c r="AV630" s="13"/>
      <c r="AW630" s="13">
        <v>0.0</v>
      </c>
      <c r="AX630" s="13">
        <v>9.0</v>
      </c>
      <c r="AY630" s="13">
        <v>0.0</v>
      </c>
      <c r="AZ630" s="13"/>
      <c r="BA630" s="13"/>
      <c r="BB630" s="13"/>
      <c r="BC630" s="13"/>
      <c r="BD630" s="13"/>
      <c r="BE630" s="13"/>
      <c r="BF630" s="13"/>
      <c r="BG630" s="13"/>
      <c r="BH630" s="13" t="s">
        <v>79</v>
      </c>
      <c r="BI630" s="13" t="b">
        <v>0</v>
      </c>
      <c r="BJ630" s="13">
        <v>0.0</v>
      </c>
      <c r="BK630" s="13">
        <v>0.0</v>
      </c>
    </row>
    <row r="631" ht="14.25" customHeight="1">
      <c r="A631" s="13">
        <v>629.0</v>
      </c>
      <c r="B631" s="13" t="s">
        <v>46</v>
      </c>
      <c r="C631" s="13">
        <v>3.0</v>
      </c>
      <c r="D631" s="14">
        <v>0.0</v>
      </c>
      <c r="E631" s="13" t="s">
        <v>4073</v>
      </c>
      <c r="F631" s="15" t="s">
        <v>541</v>
      </c>
      <c r="G631" s="16" t="s">
        <v>4074</v>
      </c>
      <c r="H631" s="13"/>
      <c r="I631" s="13">
        <v>1.1</v>
      </c>
      <c r="J631" s="13" t="s">
        <v>2488</v>
      </c>
      <c r="K631" s="13">
        <f t="shared" si="3"/>
        <v>1</v>
      </c>
      <c r="L631" s="13">
        <f t="shared" si="4"/>
        <v>2</v>
      </c>
      <c r="M631" s="13">
        <f t="shared" ref="M631:AA631" si="1261">IFERROR(VALUE(RIGHT(LEFT($J631,FIND(M$1,$J631,1)+LEN(M$1)),1)),0)</f>
        <v>0</v>
      </c>
      <c r="N631" s="13">
        <f t="shared" si="1261"/>
        <v>0</v>
      </c>
      <c r="O631" s="13">
        <f t="shared" si="1261"/>
        <v>0</v>
      </c>
      <c r="P631" s="13">
        <f t="shared" si="1261"/>
        <v>0</v>
      </c>
      <c r="Q631" s="13">
        <f t="shared" si="1261"/>
        <v>0</v>
      </c>
      <c r="R631" s="13">
        <f t="shared" si="1261"/>
        <v>0</v>
      </c>
      <c r="S631" s="13">
        <f t="shared" si="1261"/>
        <v>0</v>
      </c>
      <c r="T631" s="13">
        <f t="shared" si="1261"/>
        <v>0</v>
      </c>
      <c r="U631" s="13">
        <f t="shared" si="1261"/>
        <v>1</v>
      </c>
      <c r="V631" s="13">
        <f t="shared" si="1261"/>
        <v>0</v>
      </c>
      <c r="W631" s="13">
        <f t="shared" si="1261"/>
        <v>0</v>
      </c>
      <c r="X631" s="13">
        <f t="shared" si="1261"/>
        <v>0</v>
      </c>
      <c r="Y631" s="13">
        <f t="shared" si="1261"/>
        <v>0</v>
      </c>
      <c r="Z631" s="13">
        <f t="shared" si="1261"/>
        <v>0</v>
      </c>
      <c r="AA631" s="13">
        <f t="shared" si="1261"/>
        <v>0</v>
      </c>
      <c r="AB631" s="13">
        <f t="shared" ref="AB631:AP631" si="1262">IFERROR(VALUE(RIGHT(LEFT($J631,FIND(AB$1,$J631,IF(M631=0,1,FIND(AB$1,$J631,1)+1))+LEN(AB$1)),1)),0)</f>
        <v>0</v>
      </c>
      <c r="AC631" s="13">
        <f t="shared" si="1262"/>
        <v>0</v>
      </c>
      <c r="AD631" s="13">
        <f t="shared" si="1262"/>
        <v>1</v>
      </c>
      <c r="AE631" s="13">
        <f t="shared" si="1262"/>
        <v>0</v>
      </c>
      <c r="AF631" s="13">
        <f t="shared" si="1262"/>
        <v>0</v>
      </c>
      <c r="AG631" s="13">
        <f t="shared" si="1262"/>
        <v>0</v>
      </c>
      <c r="AH631" s="13">
        <f t="shared" si="1262"/>
        <v>0</v>
      </c>
      <c r="AI631" s="13">
        <f t="shared" si="1262"/>
        <v>0</v>
      </c>
      <c r="AJ631" s="13">
        <f t="shared" si="1262"/>
        <v>1</v>
      </c>
      <c r="AK631" s="13">
        <f t="shared" si="1262"/>
        <v>0</v>
      </c>
      <c r="AL631" s="13">
        <f t="shared" si="1262"/>
        <v>0</v>
      </c>
      <c r="AM631" s="13">
        <f t="shared" si="1262"/>
        <v>0</v>
      </c>
      <c r="AN631" s="13">
        <f t="shared" si="1262"/>
        <v>0</v>
      </c>
      <c r="AO631" s="13">
        <f t="shared" si="1262"/>
        <v>0</v>
      </c>
      <c r="AP631" s="13">
        <f t="shared" si="1262"/>
        <v>0</v>
      </c>
      <c r="AQ631" s="13" t="s">
        <v>4075</v>
      </c>
      <c r="AR631" s="13"/>
      <c r="AS631" s="13" t="s">
        <v>4076</v>
      </c>
      <c r="AT631" s="13"/>
      <c r="AU631" s="13"/>
      <c r="AV631" s="13"/>
      <c r="AW631" s="13">
        <v>0.0</v>
      </c>
      <c r="AX631" s="13">
        <v>9.0</v>
      </c>
      <c r="AY631" s="13">
        <v>0.0</v>
      </c>
      <c r="AZ631" s="13"/>
      <c r="BA631" s="13"/>
      <c r="BB631" s="13"/>
      <c r="BC631" s="13"/>
      <c r="BD631" s="13"/>
      <c r="BE631" s="13"/>
      <c r="BF631" s="13"/>
      <c r="BG631" s="13"/>
      <c r="BH631" s="13" t="s">
        <v>79</v>
      </c>
      <c r="BI631" s="13" t="b">
        <v>0</v>
      </c>
      <c r="BJ631" s="13">
        <v>0.0</v>
      </c>
      <c r="BK631" s="13">
        <v>0.0</v>
      </c>
    </row>
    <row r="632" ht="14.25" customHeight="1">
      <c r="A632" s="13">
        <v>630.0</v>
      </c>
      <c r="B632" s="13" t="s">
        <v>52</v>
      </c>
      <c r="C632" s="13">
        <v>3.0</v>
      </c>
      <c r="D632" s="14">
        <v>0.0</v>
      </c>
      <c r="E632" s="13" t="s">
        <v>4077</v>
      </c>
      <c r="F632" s="15" t="s">
        <v>541</v>
      </c>
      <c r="G632" s="16" t="s">
        <v>4078</v>
      </c>
      <c r="H632" s="13">
        <v>17.0</v>
      </c>
      <c r="I632" s="13">
        <v>1.2</v>
      </c>
      <c r="J632" s="13" t="s">
        <v>4079</v>
      </c>
      <c r="K632" s="13">
        <f t="shared" si="3"/>
        <v>1</v>
      </c>
      <c r="L632" s="13">
        <f t="shared" si="4"/>
        <v>2</v>
      </c>
      <c r="M632" s="13">
        <f t="shared" ref="M632:AA632" si="1263">IFERROR(VALUE(RIGHT(LEFT($J632,FIND(M$1,$J632,1)+LEN(M$1)),1)),0)</f>
        <v>0</v>
      </c>
      <c r="N632" s="13">
        <f t="shared" si="1263"/>
        <v>0</v>
      </c>
      <c r="O632" s="13">
        <f t="shared" si="1263"/>
        <v>1</v>
      </c>
      <c r="P632" s="13">
        <f t="shared" si="1263"/>
        <v>0</v>
      </c>
      <c r="Q632" s="13">
        <f t="shared" si="1263"/>
        <v>0</v>
      </c>
      <c r="R632" s="13">
        <f t="shared" si="1263"/>
        <v>0</v>
      </c>
      <c r="S632" s="13">
        <f t="shared" si="1263"/>
        <v>0</v>
      </c>
      <c r="T632" s="13">
        <f t="shared" si="1263"/>
        <v>0</v>
      </c>
      <c r="U632" s="13">
        <f t="shared" si="1263"/>
        <v>0</v>
      </c>
      <c r="V632" s="13">
        <f t="shared" si="1263"/>
        <v>0</v>
      </c>
      <c r="W632" s="13">
        <f t="shared" si="1263"/>
        <v>0</v>
      </c>
      <c r="X632" s="13">
        <f t="shared" si="1263"/>
        <v>0</v>
      </c>
      <c r="Y632" s="13">
        <f t="shared" si="1263"/>
        <v>0</v>
      </c>
      <c r="Z632" s="13">
        <f t="shared" si="1263"/>
        <v>0</v>
      </c>
      <c r="AA632" s="13">
        <f t="shared" si="1263"/>
        <v>0</v>
      </c>
      <c r="AB632" s="13">
        <f t="shared" ref="AB632:AP632" si="1264">IFERROR(VALUE(RIGHT(LEFT($J632,FIND(AB$1,$J632,IF(M632=0,1,FIND(AB$1,$J632,1)+1))+LEN(AB$1)),1)),0)</f>
        <v>0</v>
      </c>
      <c r="AC632" s="13">
        <f t="shared" si="1264"/>
        <v>0</v>
      </c>
      <c r="AD632" s="13">
        <f t="shared" si="1264"/>
        <v>1</v>
      </c>
      <c r="AE632" s="13">
        <f t="shared" si="1264"/>
        <v>0</v>
      </c>
      <c r="AF632" s="13">
        <f t="shared" si="1264"/>
        <v>0</v>
      </c>
      <c r="AG632" s="13">
        <f t="shared" si="1264"/>
        <v>0</v>
      </c>
      <c r="AH632" s="13">
        <f t="shared" si="1264"/>
        <v>0</v>
      </c>
      <c r="AI632" s="13">
        <f t="shared" si="1264"/>
        <v>0</v>
      </c>
      <c r="AJ632" s="13">
        <f t="shared" si="1264"/>
        <v>0</v>
      </c>
      <c r="AK632" s="13">
        <f t="shared" si="1264"/>
        <v>0</v>
      </c>
      <c r="AL632" s="13">
        <f t="shared" si="1264"/>
        <v>0</v>
      </c>
      <c r="AM632" s="13">
        <f t="shared" si="1264"/>
        <v>0</v>
      </c>
      <c r="AN632" s="13">
        <f t="shared" si="1264"/>
        <v>0</v>
      </c>
      <c r="AO632" s="13">
        <f t="shared" si="1264"/>
        <v>0</v>
      </c>
      <c r="AP632" s="13">
        <f t="shared" si="1264"/>
        <v>1</v>
      </c>
      <c r="AQ632" s="13"/>
      <c r="AR632" s="13" t="s">
        <v>4080</v>
      </c>
      <c r="AS632" s="13" t="s">
        <v>4081</v>
      </c>
      <c r="AT632" s="13" t="s">
        <v>315</v>
      </c>
      <c r="AU632" s="13" t="s">
        <v>143</v>
      </c>
      <c r="AV632" s="13" t="s">
        <v>4082</v>
      </c>
      <c r="AW632" s="13">
        <v>20.0</v>
      </c>
      <c r="AX632" s="13">
        <v>9.0</v>
      </c>
      <c r="AY632" s="13">
        <v>0.0</v>
      </c>
      <c r="AZ632" s="13" t="s">
        <v>4083</v>
      </c>
      <c r="BA632" s="13" t="s">
        <v>4084</v>
      </c>
      <c r="BB632" s="13"/>
      <c r="BC632" s="13"/>
      <c r="BD632" s="13" t="s">
        <v>2169</v>
      </c>
      <c r="BE632" s="13" t="s">
        <v>2537</v>
      </c>
      <c r="BF632" s="13" t="s">
        <v>1257</v>
      </c>
      <c r="BG632" s="13" t="s">
        <v>2171</v>
      </c>
      <c r="BH632" s="13" t="s">
        <v>241</v>
      </c>
      <c r="BI632" s="13" t="b">
        <v>0</v>
      </c>
      <c r="BJ632" s="13">
        <v>0.0</v>
      </c>
      <c r="BK632" s="13">
        <v>0.0</v>
      </c>
    </row>
    <row r="633" ht="14.25" customHeight="1">
      <c r="A633" s="13">
        <v>631.0</v>
      </c>
      <c r="B633" s="13" t="s">
        <v>52</v>
      </c>
      <c r="C633" s="13">
        <v>3.0</v>
      </c>
      <c r="D633" s="14">
        <v>0.0</v>
      </c>
      <c r="E633" s="13" t="s">
        <v>4085</v>
      </c>
      <c r="F633" s="15" t="s">
        <v>541</v>
      </c>
      <c r="G633" s="16" t="s">
        <v>4086</v>
      </c>
      <c r="H633" s="13">
        <v>18.0</v>
      </c>
      <c r="I633" s="13">
        <v>1.1</v>
      </c>
      <c r="J633" s="13" t="s">
        <v>1884</v>
      </c>
      <c r="K633" s="13">
        <f t="shared" si="3"/>
        <v>1</v>
      </c>
      <c r="L633" s="13">
        <f t="shared" si="4"/>
        <v>2</v>
      </c>
      <c r="M633" s="13">
        <f t="shared" ref="M633:AA633" si="1265">IFERROR(VALUE(RIGHT(LEFT($J633,FIND(M$1,$J633,1)+LEN(M$1)),1)),0)</f>
        <v>0</v>
      </c>
      <c r="N633" s="13">
        <f t="shared" si="1265"/>
        <v>0</v>
      </c>
      <c r="O633" s="13">
        <f t="shared" si="1265"/>
        <v>0</v>
      </c>
      <c r="P633" s="13">
        <f t="shared" si="1265"/>
        <v>0</v>
      </c>
      <c r="Q633" s="13">
        <f t="shared" si="1265"/>
        <v>0</v>
      </c>
      <c r="R633" s="13">
        <f t="shared" si="1265"/>
        <v>0</v>
      </c>
      <c r="S633" s="13">
        <f t="shared" si="1265"/>
        <v>0</v>
      </c>
      <c r="T633" s="13">
        <f t="shared" si="1265"/>
        <v>0</v>
      </c>
      <c r="U633" s="13">
        <f t="shared" si="1265"/>
        <v>0</v>
      </c>
      <c r="V633" s="13">
        <f t="shared" si="1265"/>
        <v>0</v>
      </c>
      <c r="W633" s="13">
        <f t="shared" si="1265"/>
        <v>0</v>
      </c>
      <c r="X633" s="13">
        <f t="shared" si="1265"/>
        <v>0</v>
      </c>
      <c r="Y633" s="13">
        <f t="shared" si="1265"/>
        <v>0</v>
      </c>
      <c r="Z633" s="13">
        <f t="shared" si="1265"/>
        <v>0</v>
      </c>
      <c r="AA633" s="13">
        <f t="shared" si="1265"/>
        <v>1</v>
      </c>
      <c r="AB633" s="13">
        <f t="shared" ref="AB633:AP633" si="1266">IFERROR(VALUE(RIGHT(LEFT($J633,FIND(AB$1,$J633,IF(M633=0,1,FIND(AB$1,$J633,1)+1))+LEN(AB$1)),1)),0)</f>
        <v>0</v>
      </c>
      <c r="AC633" s="13">
        <f t="shared" si="1266"/>
        <v>1</v>
      </c>
      <c r="AD633" s="13">
        <f t="shared" si="1266"/>
        <v>0</v>
      </c>
      <c r="AE633" s="13">
        <f t="shared" si="1266"/>
        <v>0</v>
      </c>
      <c r="AF633" s="13">
        <f t="shared" si="1266"/>
        <v>0</v>
      </c>
      <c r="AG633" s="13">
        <f t="shared" si="1266"/>
        <v>0</v>
      </c>
      <c r="AH633" s="13">
        <f t="shared" si="1266"/>
        <v>0</v>
      </c>
      <c r="AI633" s="13">
        <f t="shared" si="1266"/>
        <v>0</v>
      </c>
      <c r="AJ633" s="13">
        <f t="shared" si="1266"/>
        <v>0</v>
      </c>
      <c r="AK633" s="13">
        <f t="shared" si="1266"/>
        <v>0</v>
      </c>
      <c r="AL633" s="13">
        <f t="shared" si="1266"/>
        <v>0</v>
      </c>
      <c r="AM633" s="13">
        <f t="shared" si="1266"/>
        <v>0</v>
      </c>
      <c r="AN633" s="13">
        <f t="shared" si="1266"/>
        <v>0</v>
      </c>
      <c r="AO633" s="13">
        <f t="shared" si="1266"/>
        <v>0</v>
      </c>
      <c r="AP633" s="13">
        <f t="shared" si="1266"/>
        <v>1</v>
      </c>
      <c r="AQ633" s="13"/>
      <c r="AR633" s="13" t="s">
        <v>4087</v>
      </c>
      <c r="AS633" s="13" t="s">
        <v>4088</v>
      </c>
      <c r="AT633" s="13" t="s">
        <v>162</v>
      </c>
      <c r="AU633" s="13" t="s">
        <v>1211</v>
      </c>
      <c r="AV633" s="13" t="s">
        <v>4089</v>
      </c>
      <c r="AW633" s="13">
        <v>19.0</v>
      </c>
      <c r="AX633" s="13">
        <v>9.0</v>
      </c>
      <c r="AY633" s="13">
        <v>0.0</v>
      </c>
      <c r="AZ633" s="13" t="s">
        <v>4090</v>
      </c>
      <c r="BA633" s="13" t="s">
        <v>4091</v>
      </c>
      <c r="BB633" s="13"/>
      <c r="BC633" s="13"/>
      <c r="BD633" s="13" t="s">
        <v>306</v>
      </c>
      <c r="BE633" s="13" t="s">
        <v>4092</v>
      </c>
      <c r="BF633" s="13" t="s">
        <v>1153</v>
      </c>
      <c r="BG633" s="13"/>
      <c r="BH633" s="13" t="s">
        <v>241</v>
      </c>
      <c r="BI633" s="13" t="b">
        <v>0</v>
      </c>
      <c r="BJ633" s="13">
        <v>0.0</v>
      </c>
      <c r="BK633" s="13">
        <v>0.0</v>
      </c>
    </row>
    <row r="634" ht="14.25" customHeight="1">
      <c r="A634" s="13">
        <v>632.0</v>
      </c>
      <c r="B634" s="13" t="s">
        <v>51</v>
      </c>
      <c r="C634" s="13">
        <v>3.0</v>
      </c>
      <c r="D634" s="14">
        <v>0.0</v>
      </c>
      <c r="E634" s="13" t="s">
        <v>4093</v>
      </c>
      <c r="F634" s="15" t="s">
        <v>541</v>
      </c>
      <c r="G634" s="16" t="s">
        <v>4094</v>
      </c>
      <c r="H634" s="13">
        <v>20.0</v>
      </c>
      <c r="I634" s="13">
        <v>1.0</v>
      </c>
      <c r="J634" s="13" t="s">
        <v>1826</v>
      </c>
      <c r="K634" s="13">
        <f t="shared" si="3"/>
        <v>1</v>
      </c>
      <c r="L634" s="13">
        <f t="shared" si="4"/>
        <v>2</v>
      </c>
      <c r="M634" s="13">
        <f t="shared" ref="M634:AA634" si="1267">IFERROR(VALUE(RIGHT(LEFT($J634,FIND(M$1,$J634,1)+LEN(M$1)),1)),0)</f>
        <v>0</v>
      </c>
      <c r="N634" s="13">
        <f t="shared" si="1267"/>
        <v>0</v>
      </c>
      <c r="O634" s="13">
        <f t="shared" si="1267"/>
        <v>0</v>
      </c>
      <c r="P634" s="13">
        <f t="shared" si="1267"/>
        <v>0</v>
      </c>
      <c r="Q634" s="13">
        <f t="shared" si="1267"/>
        <v>0</v>
      </c>
      <c r="R634" s="13">
        <f t="shared" si="1267"/>
        <v>0</v>
      </c>
      <c r="S634" s="13">
        <f t="shared" si="1267"/>
        <v>0</v>
      </c>
      <c r="T634" s="13">
        <f t="shared" si="1267"/>
        <v>0</v>
      </c>
      <c r="U634" s="13">
        <f t="shared" si="1267"/>
        <v>0</v>
      </c>
      <c r="V634" s="13">
        <f t="shared" si="1267"/>
        <v>0</v>
      </c>
      <c r="W634" s="13">
        <f t="shared" si="1267"/>
        <v>0</v>
      </c>
      <c r="X634" s="13">
        <f t="shared" si="1267"/>
        <v>0</v>
      </c>
      <c r="Y634" s="13">
        <f t="shared" si="1267"/>
        <v>0</v>
      </c>
      <c r="Z634" s="13">
        <f t="shared" si="1267"/>
        <v>1</v>
      </c>
      <c r="AA634" s="13">
        <f t="shared" si="1267"/>
        <v>0</v>
      </c>
      <c r="AB634" s="13">
        <f t="shared" ref="AB634:AP634" si="1268">IFERROR(VALUE(RIGHT(LEFT($J634,FIND(AB$1,$J634,IF(M634=0,1,FIND(AB$1,$J634,1)+1))+LEN(AB$1)),1)),0)</f>
        <v>0</v>
      </c>
      <c r="AC634" s="13">
        <f t="shared" si="1268"/>
        <v>0</v>
      </c>
      <c r="AD634" s="13">
        <f t="shared" si="1268"/>
        <v>1</v>
      </c>
      <c r="AE634" s="13">
        <f t="shared" si="1268"/>
        <v>0</v>
      </c>
      <c r="AF634" s="13">
        <f t="shared" si="1268"/>
        <v>0</v>
      </c>
      <c r="AG634" s="13">
        <f t="shared" si="1268"/>
        <v>0</v>
      </c>
      <c r="AH634" s="13">
        <f t="shared" si="1268"/>
        <v>0</v>
      </c>
      <c r="AI634" s="13">
        <f t="shared" si="1268"/>
        <v>0</v>
      </c>
      <c r="AJ634" s="13">
        <f t="shared" si="1268"/>
        <v>0</v>
      </c>
      <c r="AK634" s="13">
        <f t="shared" si="1268"/>
        <v>0</v>
      </c>
      <c r="AL634" s="13">
        <f t="shared" si="1268"/>
        <v>0</v>
      </c>
      <c r="AM634" s="13">
        <f t="shared" si="1268"/>
        <v>0</v>
      </c>
      <c r="AN634" s="13">
        <f t="shared" si="1268"/>
        <v>0</v>
      </c>
      <c r="AO634" s="13">
        <f t="shared" si="1268"/>
        <v>1</v>
      </c>
      <c r="AP634" s="13">
        <f t="shared" si="1268"/>
        <v>0</v>
      </c>
      <c r="AQ634" s="13"/>
      <c r="AR634" s="13" t="s">
        <v>4095</v>
      </c>
      <c r="AS634" s="13" t="s">
        <v>4096</v>
      </c>
      <c r="AT634" s="13" t="s">
        <v>573</v>
      </c>
      <c r="AU634" s="13" t="s">
        <v>130</v>
      </c>
      <c r="AV634" s="13" t="s">
        <v>4097</v>
      </c>
      <c r="AW634" s="13">
        <v>22.0</v>
      </c>
      <c r="AX634" s="13">
        <v>9.0</v>
      </c>
      <c r="AY634" s="13">
        <v>0.0</v>
      </c>
      <c r="AZ634" s="13" t="s">
        <v>4098</v>
      </c>
      <c r="BA634" s="13" t="s">
        <v>4099</v>
      </c>
      <c r="BB634" s="13"/>
      <c r="BC634" s="13"/>
      <c r="BD634" s="13" t="s">
        <v>1832</v>
      </c>
      <c r="BE634" s="13"/>
      <c r="BF634" s="13" t="s">
        <v>1979</v>
      </c>
      <c r="BG634" s="13" t="s">
        <v>1833</v>
      </c>
      <c r="BH634" s="13" t="s">
        <v>79</v>
      </c>
      <c r="BI634" s="13" t="b">
        <v>0</v>
      </c>
      <c r="BJ634" s="13">
        <v>0.0</v>
      </c>
      <c r="BK634" s="13">
        <v>0.0</v>
      </c>
    </row>
    <row r="635" ht="14.25" customHeight="1">
      <c r="A635" s="13">
        <v>633.0</v>
      </c>
      <c r="B635" s="13" t="s">
        <v>51</v>
      </c>
      <c r="C635" s="13">
        <v>3.0</v>
      </c>
      <c r="D635" s="14">
        <v>0.0</v>
      </c>
      <c r="E635" s="13" t="s">
        <v>4100</v>
      </c>
      <c r="F635" s="15" t="s">
        <v>541</v>
      </c>
      <c r="G635" s="16" t="s">
        <v>4101</v>
      </c>
      <c r="H635" s="13">
        <v>16.0</v>
      </c>
      <c r="I635" s="13">
        <v>1.0</v>
      </c>
      <c r="J635" s="13" t="s">
        <v>3279</v>
      </c>
      <c r="K635" s="13">
        <f t="shared" si="3"/>
        <v>1</v>
      </c>
      <c r="L635" s="13">
        <f t="shared" si="4"/>
        <v>2</v>
      </c>
      <c r="M635" s="13">
        <f t="shared" ref="M635:AA635" si="1269">IFERROR(VALUE(RIGHT(LEFT($J635,FIND(M$1,$J635,1)+LEN(M$1)),1)),0)</f>
        <v>0</v>
      </c>
      <c r="N635" s="13">
        <f t="shared" si="1269"/>
        <v>0</v>
      </c>
      <c r="O635" s="13">
        <f t="shared" si="1269"/>
        <v>0</v>
      </c>
      <c r="P635" s="13">
        <f t="shared" si="1269"/>
        <v>1</v>
      </c>
      <c r="Q635" s="13">
        <f t="shared" si="1269"/>
        <v>0</v>
      </c>
      <c r="R635" s="13">
        <f t="shared" si="1269"/>
        <v>0</v>
      </c>
      <c r="S635" s="13">
        <f t="shared" si="1269"/>
        <v>0</v>
      </c>
      <c r="T635" s="13">
        <f t="shared" si="1269"/>
        <v>0</v>
      </c>
      <c r="U635" s="13">
        <f t="shared" si="1269"/>
        <v>0</v>
      </c>
      <c r="V635" s="13">
        <f t="shared" si="1269"/>
        <v>0</v>
      </c>
      <c r="W635" s="13">
        <f t="shared" si="1269"/>
        <v>0</v>
      </c>
      <c r="X635" s="13">
        <f t="shared" si="1269"/>
        <v>0</v>
      </c>
      <c r="Y635" s="13">
        <f t="shared" si="1269"/>
        <v>0</v>
      </c>
      <c r="Z635" s="13">
        <f t="shared" si="1269"/>
        <v>0</v>
      </c>
      <c r="AA635" s="13">
        <f t="shared" si="1269"/>
        <v>0</v>
      </c>
      <c r="AB635" s="13">
        <f t="shared" ref="AB635:AP635" si="1270">IFERROR(VALUE(RIGHT(LEFT($J635,FIND(AB$1,$J635,IF(M635=0,1,FIND(AB$1,$J635,1)+1))+LEN(AB$1)),1)),0)</f>
        <v>0</v>
      </c>
      <c r="AC635" s="13">
        <f t="shared" si="1270"/>
        <v>0</v>
      </c>
      <c r="AD635" s="13">
        <f t="shared" si="1270"/>
        <v>0</v>
      </c>
      <c r="AE635" s="13">
        <f t="shared" si="1270"/>
        <v>1</v>
      </c>
      <c r="AF635" s="13">
        <f t="shared" si="1270"/>
        <v>0</v>
      </c>
      <c r="AG635" s="13">
        <f t="shared" si="1270"/>
        <v>0</v>
      </c>
      <c r="AH635" s="13">
        <f t="shared" si="1270"/>
        <v>0</v>
      </c>
      <c r="AI635" s="13">
        <f t="shared" si="1270"/>
        <v>0</v>
      </c>
      <c r="AJ635" s="13">
        <f t="shared" si="1270"/>
        <v>0</v>
      </c>
      <c r="AK635" s="13">
        <f t="shared" si="1270"/>
        <v>0</v>
      </c>
      <c r="AL635" s="13">
        <f t="shared" si="1270"/>
        <v>0</v>
      </c>
      <c r="AM635" s="13">
        <f t="shared" si="1270"/>
        <v>0</v>
      </c>
      <c r="AN635" s="13">
        <f t="shared" si="1270"/>
        <v>0</v>
      </c>
      <c r="AO635" s="13">
        <f t="shared" si="1270"/>
        <v>1</v>
      </c>
      <c r="AP635" s="13">
        <f t="shared" si="1270"/>
        <v>0</v>
      </c>
      <c r="AQ635" s="13"/>
      <c r="AR635" s="13" t="s">
        <v>4102</v>
      </c>
      <c r="AS635" s="13" t="s">
        <v>3281</v>
      </c>
      <c r="AT635" s="13" t="s">
        <v>257</v>
      </c>
      <c r="AU635" s="13" t="s">
        <v>803</v>
      </c>
      <c r="AV635" s="13" t="s">
        <v>4103</v>
      </c>
      <c r="AW635" s="13">
        <v>18.0</v>
      </c>
      <c r="AX635" s="13">
        <v>9.0</v>
      </c>
      <c r="AY635" s="13">
        <v>0.0</v>
      </c>
      <c r="AZ635" s="13" t="s">
        <v>4104</v>
      </c>
      <c r="BA635" s="13" t="s">
        <v>3473</v>
      </c>
      <c r="BB635" s="13"/>
      <c r="BC635" s="13"/>
      <c r="BD635" s="13" t="s">
        <v>1832</v>
      </c>
      <c r="BE635" s="13"/>
      <c r="BF635" s="13" t="s">
        <v>4105</v>
      </c>
      <c r="BG635" s="13" t="s">
        <v>1833</v>
      </c>
      <c r="BH635" s="13" t="s">
        <v>79</v>
      </c>
      <c r="BI635" s="13" t="b">
        <v>0</v>
      </c>
      <c r="BJ635" s="13">
        <v>0.0</v>
      </c>
      <c r="BK635" s="13">
        <v>0.0</v>
      </c>
    </row>
    <row r="636" ht="14.25" customHeight="1">
      <c r="A636" s="13">
        <v>634.0</v>
      </c>
      <c r="B636" s="13" t="s">
        <v>48</v>
      </c>
      <c r="C636" s="13">
        <v>3.0</v>
      </c>
      <c r="D636" s="14">
        <v>0.0</v>
      </c>
      <c r="E636" s="13" t="s">
        <v>4106</v>
      </c>
      <c r="F636" s="15" t="s">
        <v>541</v>
      </c>
      <c r="G636" s="16" t="s">
        <v>4107</v>
      </c>
      <c r="H636" s="13">
        <v>19.0</v>
      </c>
      <c r="I636" s="13">
        <v>1.1</v>
      </c>
      <c r="J636" s="13" t="s">
        <v>1711</v>
      </c>
      <c r="K636" s="13">
        <f t="shared" si="3"/>
        <v>1</v>
      </c>
      <c r="L636" s="13">
        <f t="shared" si="4"/>
        <v>2</v>
      </c>
      <c r="M636" s="13">
        <f t="shared" ref="M636:AA636" si="1271">IFERROR(VALUE(RIGHT(LEFT($J636,FIND(M$1,$J636,1)+LEN(M$1)),1)),0)</f>
        <v>0</v>
      </c>
      <c r="N636" s="13">
        <f t="shared" si="1271"/>
        <v>0</v>
      </c>
      <c r="O636" s="13">
        <f t="shared" si="1271"/>
        <v>0</v>
      </c>
      <c r="P636" s="13">
        <f t="shared" si="1271"/>
        <v>0</v>
      </c>
      <c r="Q636" s="13">
        <f t="shared" si="1271"/>
        <v>0</v>
      </c>
      <c r="R636" s="13">
        <f t="shared" si="1271"/>
        <v>0</v>
      </c>
      <c r="S636" s="13">
        <f t="shared" si="1271"/>
        <v>0</v>
      </c>
      <c r="T636" s="13">
        <f t="shared" si="1271"/>
        <v>0</v>
      </c>
      <c r="U636" s="13">
        <f t="shared" si="1271"/>
        <v>0</v>
      </c>
      <c r="V636" s="13">
        <f t="shared" si="1271"/>
        <v>0</v>
      </c>
      <c r="W636" s="13">
        <f t="shared" si="1271"/>
        <v>1</v>
      </c>
      <c r="X636" s="13">
        <f t="shared" si="1271"/>
        <v>0</v>
      </c>
      <c r="Y636" s="13">
        <f t="shared" si="1271"/>
        <v>0</v>
      </c>
      <c r="Z636" s="13">
        <f t="shared" si="1271"/>
        <v>0</v>
      </c>
      <c r="AA636" s="13">
        <f t="shared" si="1271"/>
        <v>0</v>
      </c>
      <c r="AB636" s="13">
        <f t="shared" ref="AB636:AP636" si="1272">IFERROR(VALUE(RIGHT(LEFT($J636,FIND(AB$1,$J636,IF(M636=0,1,FIND(AB$1,$J636,1)+1))+LEN(AB$1)),1)),0)</f>
        <v>0</v>
      </c>
      <c r="AC636" s="13">
        <f t="shared" si="1272"/>
        <v>1</v>
      </c>
      <c r="AD636" s="13">
        <f t="shared" si="1272"/>
        <v>0</v>
      </c>
      <c r="AE636" s="13">
        <f t="shared" si="1272"/>
        <v>0</v>
      </c>
      <c r="AF636" s="13">
        <f t="shared" si="1272"/>
        <v>0</v>
      </c>
      <c r="AG636" s="13">
        <f t="shared" si="1272"/>
        <v>0</v>
      </c>
      <c r="AH636" s="13">
        <f t="shared" si="1272"/>
        <v>0</v>
      </c>
      <c r="AI636" s="13">
        <f t="shared" si="1272"/>
        <v>0</v>
      </c>
      <c r="AJ636" s="13">
        <f t="shared" si="1272"/>
        <v>0</v>
      </c>
      <c r="AK636" s="13">
        <f t="shared" si="1272"/>
        <v>0</v>
      </c>
      <c r="AL636" s="13">
        <f t="shared" si="1272"/>
        <v>1</v>
      </c>
      <c r="AM636" s="13">
        <f t="shared" si="1272"/>
        <v>0</v>
      </c>
      <c r="AN636" s="13">
        <f t="shared" si="1272"/>
        <v>0</v>
      </c>
      <c r="AO636" s="13">
        <f t="shared" si="1272"/>
        <v>0</v>
      </c>
      <c r="AP636" s="13">
        <f t="shared" si="1272"/>
        <v>0</v>
      </c>
      <c r="AQ636" s="13"/>
      <c r="AR636" s="13" t="s">
        <v>4108</v>
      </c>
      <c r="AS636" s="13" t="s">
        <v>4109</v>
      </c>
      <c r="AT636" s="13" t="s">
        <v>1263</v>
      </c>
      <c r="AU636" s="13" t="s">
        <v>143</v>
      </c>
      <c r="AV636" s="13" t="s">
        <v>4110</v>
      </c>
      <c r="AW636" s="13">
        <v>23.0</v>
      </c>
      <c r="AX636" s="13">
        <v>9.0</v>
      </c>
      <c r="AY636" s="13">
        <v>0.0</v>
      </c>
      <c r="AZ636" s="13" t="s">
        <v>4111</v>
      </c>
      <c r="BA636" s="13" t="s">
        <v>1266</v>
      </c>
      <c r="BB636" s="13"/>
      <c r="BC636" s="13"/>
      <c r="BD636" s="13" t="s">
        <v>179</v>
      </c>
      <c r="BE636" s="13"/>
      <c r="BF636" s="13" t="s">
        <v>4112</v>
      </c>
      <c r="BG636" s="13" t="s">
        <v>169</v>
      </c>
      <c r="BH636" s="13" t="s">
        <v>79</v>
      </c>
      <c r="BI636" s="13" t="b">
        <v>0</v>
      </c>
      <c r="BJ636" s="13">
        <v>0.0</v>
      </c>
      <c r="BK636" s="13">
        <v>0.0</v>
      </c>
    </row>
    <row r="637" ht="14.25" customHeight="1">
      <c r="A637" s="13">
        <v>635.0</v>
      </c>
      <c r="B637" s="13" t="s">
        <v>44</v>
      </c>
      <c r="C637" s="13">
        <v>4.0</v>
      </c>
      <c r="D637" s="14">
        <v>0.0</v>
      </c>
      <c r="E637" s="13" t="s">
        <v>4113</v>
      </c>
      <c r="F637" s="15" t="s">
        <v>541</v>
      </c>
      <c r="G637" s="16" t="s">
        <v>4114</v>
      </c>
      <c r="H637" s="13"/>
      <c r="I637" s="13">
        <v>1.2</v>
      </c>
      <c r="J637" s="13" t="s">
        <v>4115</v>
      </c>
      <c r="K637" s="13">
        <f t="shared" si="3"/>
        <v>2</v>
      </c>
      <c r="L637" s="13">
        <f t="shared" si="4"/>
        <v>2</v>
      </c>
      <c r="M637" s="13">
        <f t="shared" ref="M637:AA637" si="1273">IFERROR(VALUE(RIGHT(LEFT($J637,FIND(M$1,$J637,1)+LEN(M$1)),1)),0)</f>
        <v>0</v>
      </c>
      <c r="N637" s="13">
        <f t="shared" si="1273"/>
        <v>0</v>
      </c>
      <c r="O637" s="13">
        <f t="shared" si="1273"/>
        <v>0</v>
      </c>
      <c r="P637" s="13">
        <f t="shared" si="1273"/>
        <v>0</v>
      </c>
      <c r="Q637" s="13">
        <f t="shared" si="1273"/>
        <v>0</v>
      </c>
      <c r="R637" s="13">
        <f t="shared" si="1273"/>
        <v>0</v>
      </c>
      <c r="S637" s="13">
        <f t="shared" si="1273"/>
        <v>2</v>
      </c>
      <c r="T637" s="13">
        <f t="shared" si="1273"/>
        <v>0</v>
      </c>
      <c r="U637" s="13">
        <f t="shared" si="1273"/>
        <v>0</v>
      </c>
      <c r="V637" s="13">
        <f t="shared" si="1273"/>
        <v>0</v>
      </c>
      <c r="W637" s="13">
        <f t="shared" si="1273"/>
        <v>0</v>
      </c>
      <c r="X637" s="13">
        <f t="shared" si="1273"/>
        <v>0</v>
      </c>
      <c r="Y637" s="13">
        <f t="shared" si="1273"/>
        <v>0</v>
      </c>
      <c r="Z637" s="13">
        <f t="shared" si="1273"/>
        <v>0</v>
      </c>
      <c r="AA637" s="13">
        <f t="shared" si="1273"/>
        <v>0</v>
      </c>
      <c r="AB637" s="13">
        <f t="shared" ref="AB637:AP637" si="1274">IFERROR(VALUE(RIGHT(LEFT($J637,FIND(AB$1,$J637,IF(M637=0,1,FIND(AB$1,$J637,1)+1))+LEN(AB$1)),1)),0)</f>
        <v>0</v>
      </c>
      <c r="AC637" s="13">
        <f t="shared" si="1274"/>
        <v>0</v>
      </c>
      <c r="AD637" s="13">
        <f t="shared" si="1274"/>
        <v>0</v>
      </c>
      <c r="AE637" s="13">
        <f t="shared" si="1274"/>
        <v>1</v>
      </c>
      <c r="AF637" s="13">
        <f t="shared" si="1274"/>
        <v>0</v>
      </c>
      <c r="AG637" s="13">
        <f t="shared" si="1274"/>
        <v>0</v>
      </c>
      <c r="AH637" s="13">
        <f t="shared" si="1274"/>
        <v>1</v>
      </c>
      <c r="AI637" s="13">
        <f t="shared" si="1274"/>
        <v>0</v>
      </c>
      <c r="AJ637" s="13">
        <f t="shared" si="1274"/>
        <v>0</v>
      </c>
      <c r="AK637" s="13">
        <f t="shared" si="1274"/>
        <v>0</v>
      </c>
      <c r="AL637" s="13">
        <f t="shared" si="1274"/>
        <v>0</v>
      </c>
      <c r="AM637" s="13">
        <f t="shared" si="1274"/>
        <v>0</v>
      </c>
      <c r="AN637" s="13">
        <f t="shared" si="1274"/>
        <v>0</v>
      </c>
      <c r="AO637" s="13">
        <f t="shared" si="1274"/>
        <v>0</v>
      </c>
      <c r="AP637" s="13">
        <f t="shared" si="1274"/>
        <v>0</v>
      </c>
      <c r="AQ637" s="13" t="s">
        <v>4116</v>
      </c>
      <c r="AR637" s="13"/>
      <c r="AS637" s="13" t="s">
        <v>4117</v>
      </c>
      <c r="AT637" s="13"/>
      <c r="AU637" s="13"/>
      <c r="AV637" s="13"/>
      <c r="AW637" s="13">
        <v>0.0</v>
      </c>
      <c r="AX637" s="13">
        <v>9.0</v>
      </c>
      <c r="AY637" s="13">
        <v>0.0</v>
      </c>
      <c r="AZ637" s="13"/>
      <c r="BA637" s="13"/>
      <c r="BB637" s="13"/>
      <c r="BC637" s="13"/>
      <c r="BD637" s="13"/>
      <c r="BE637" s="13"/>
      <c r="BF637" s="13"/>
      <c r="BG637" s="13"/>
      <c r="BH637" s="13" t="s">
        <v>79</v>
      </c>
      <c r="BI637" s="13" t="b">
        <v>0</v>
      </c>
      <c r="BJ637" s="13">
        <v>0.0</v>
      </c>
      <c r="BK637" s="13">
        <v>0.0</v>
      </c>
    </row>
    <row r="638" ht="14.25" customHeight="1">
      <c r="A638" s="13">
        <v>636.0</v>
      </c>
      <c r="B638" s="13" t="s">
        <v>44</v>
      </c>
      <c r="C638" s="13">
        <v>4.0</v>
      </c>
      <c r="D638" s="14">
        <v>0.0</v>
      </c>
      <c r="E638" s="13" t="s">
        <v>4118</v>
      </c>
      <c r="F638" s="15" t="s">
        <v>541</v>
      </c>
      <c r="G638" s="16" t="s">
        <v>4119</v>
      </c>
      <c r="H638" s="13"/>
      <c r="I638" s="13">
        <v>1.2</v>
      </c>
      <c r="J638" s="13" t="s">
        <v>1903</v>
      </c>
      <c r="K638" s="13">
        <f t="shared" si="3"/>
        <v>2</v>
      </c>
      <c r="L638" s="13">
        <f t="shared" si="4"/>
        <v>2</v>
      </c>
      <c r="M638" s="13">
        <f t="shared" ref="M638:AA638" si="1275">IFERROR(VALUE(RIGHT(LEFT($J638,FIND(M$1,$J638,1)+LEN(M$1)),1)),0)</f>
        <v>0</v>
      </c>
      <c r="N638" s="13">
        <f t="shared" si="1275"/>
        <v>0</v>
      </c>
      <c r="O638" s="13">
        <f t="shared" si="1275"/>
        <v>0</v>
      </c>
      <c r="P638" s="13">
        <f t="shared" si="1275"/>
        <v>0</v>
      </c>
      <c r="Q638" s="13">
        <f t="shared" si="1275"/>
        <v>0</v>
      </c>
      <c r="R638" s="13">
        <f t="shared" si="1275"/>
        <v>0</v>
      </c>
      <c r="S638" s="13">
        <f t="shared" si="1275"/>
        <v>2</v>
      </c>
      <c r="T638" s="13">
        <f t="shared" si="1275"/>
        <v>0</v>
      </c>
      <c r="U638" s="13">
        <f t="shared" si="1275"/>
        <v>0</v>
      </c>
      <c r="V638" s="13">
        <f t="shared" si="1275"/>
        <v>0</v>
      </c>
      <c r="W638" s="13">
        <f t="shared" si="1275"/>
        <v>0</v>
      </c>
      <c r="X638" s="13">
        <f t="shared" si="1275"/>
        <v>0</v>
      </c>
      <c r="Y638" s="13">
        <f t="shared" si="1275"/>
        <v>0</v>
      </c>
      <c r="Z638" s="13">
        <f t="shared" si="1275"/>
        <v>0</v>
      </c>
      <c r="AA638" s="13">
        <f t="shared" si="1275"/>
        <v>0</v>
      </c>
      <c r="AB638" s="13">
        <f t="shared" ref="AB638:AP638" si="1276">IFERROR(VALUE(RIGHT(LEFT($J638,FIND(AB$1,$J638,IF(M638=0,1,FIND(AB$1,$J638,1)+1))+LEN(AB$1)),1)),0)</f>
        <v>0</v>
      </c>
      <c r="AC638" s="13">
        <f t="shared" si="1276"/>
        <v>0</v>
      </c>
      <c r="AD638" s="13">
        <f t="shared" si="1276"/>
        <v>1</v>
      </c>
      <c r="AE638" s="13">
        <f t="shared" si="1276"/>
        <v>0</v>
      </c>
      <c r="AF638" s="13">
        <f t="shared" si="1276"/>
        <v>0</v>
      </c>
      <c r="AG638" s="13">
        <f t="shared" si="1276"/>
        <v>0</v>
      </c>
      <c r="AH638" s="13">
        <f t="shared" si="1276"/>
        <v>1</v>
      </c>
      <c r="AI638" s="13">
        <f t="shared" si="1276"/>
        <v>0</v>
      </c>
      <c r="AJ638" s="13">
        <f t="shared" si="1276"/>
        <v>0</v>
      </c>
      <c r="AK638" s="13">
        <f t="shared" si="1276"/>
        <v>0</v>
      </c>
      <c r="AL638" s="13">
        <f t="shared" si="1276"/>
        <v>0</v>
      </c>
      <c r="AM638" s="13">
        <f t="shared" si="1276"/>
        <v>0</v>
      </c>
      <c r="AN638" s="13">
        <f t="shared" si="1276"/>
        <v>0</v>
      </c>
      <c r="AO638" s="13">
        <f t="shared" si="1276"/>
        <v>0</v>
      </c>
      <c r="AP638" s="13">
        <f t="shared" si="1276"/>
        <v>0</v>
      </c>
      <c r="AQ638" s="13" t="s">
        <v>4120</v>
      </c>
      <c r="AR638" s="13"/>
      <c r="AS638" s="13" t="s">
        <v>4121</v>
      </c>
      <c r="AT638" s="13"/>
      <c r="AU638" s="13"/>
      <c r="AV638" s="13"/>
      <c r="AW638" s="13">
        <v>0.0</v>
      </c>
      <c r="AX638" s="13">
        <v>9.0</v>
      </c>
      <c r="AY638" s="13">
        <v>0.0</v>
      </c>
      <c r="AZ638" s="13"/>
      <c r="BA638" s="13"/>
      <c r="BB638" s="13"/>
      <c r="BC638" s="13"/>
      <c r="BD638" s="13"/>
      <c r="BE638" s="13"/>
      <c r="BF638" s="13"/>
      <c r="BG638" s="13"/>
      <c r="BH638" s="13" t="s">
        <v>79</v>
      </c>
      <c r="BI638" s="13" t="b">
        <v>0</v>
      </c>
      <c r="BJ638" s="13">
        <v>0.0</v>
      </c>
      <c r="BK638" s="13">
        <v>0.0</v>
      </c>
    </row>
    <row r="639" ht="14.25" customHeight="1">
      <c r="A639" s="13">
        <v>637.0</v>
      </c>
      <c r="B639" s="13" t="s">
        <v>45</v>
      </c>
      <c r="C639" s="13">
        <v>4.0</v>
      </c>
      <c r="D639" s="14">
        <v>0.0</v>
      </c>
      <c r="E639" s="13" t="s">
        <v>4122</v>
      </c>
      <c r="F639" s="15" t="s">
        <v>541</v>
      </c>
      <c r="G639" s="16" t="s">
        <v>4123</v>
      </c>
      <c r="H639" s="13"/>
      <c r="I639" s="13">
        <v>1.0</v>
      </c>
      <c r="J639" s="13" t="s">
        <v>1918</v>
      </c>
      <c r="K639" s="13">
        <f t="shared" si="3"/>
        <v>2</v>
      </c>
      <c r="L639" s="13">
        <f t="shared" si="4"/>
        <v>2</v>
      </c>
      <c r="M639" s="13">
        <f t="shared" ref="M639:AA639" si="1277">IFERROR(VALUE(RIGHT(LEFT($J639,FIND(M$1,$J639,1)+LEN(M$1)),1)),0)</f>
        <v>0</v>
      </c>
      <c r="N639" s="13">
        <f t="shared" si="1277"/>
        <v>0</v>
      </c>
      <c r="O639" s="13">
        <f t="shared" si="1277"/>
        <v>0</v>
      </c>
      <c r="P639" s="13">
        <f t="shared" si="1277"/>
        <v>0</v>
      </c>
      <c r="Q639" s="13">
        <f t="shared" si="1277"/>
        <v>0</v>
      </c>
      <c r="R639" s="13">
        <f t="shared" si="1277"/>
        <v>0</v>
      </c>
      <c r="S639" s="13">
        <f t="shared" si="1277"/>
        <v>0</v>
      </c>
      <c r="T639" s="13">
        <f t="shared" si="1277"/>
        <v>2</v>
      </c>
      <c r="U639" s="13">
        <f t="shared" si="1277"/>
        <v>0</v>
      </c>
      <c r="V639" s="13">
        <f t="shared" si="1277"/>
        <v>0</v>
      </c>
      <c r="W639" s="13">
        <f t="shared" si="1277"/>
        <v>0</v>
      </c>
      <c r="X639" s="13">
        <f t="shared" si="1277"/>
        <v>0</v>
      </c>
      <c r="Y639" s="13">
        <f t="shared" si="1277"/>
        <v>0</v>
      </c>
      <c r="Z639" s="13">
        <f t="shared" si="1277"/>
        <v>0</v>
      </c>
      <c r="AA639" s="13">
        <f t="shared" si="1277"/>
        <v>0</v>
      </c>
      <c r="AB639" s="13">
        <f t="shared" ref="AB639:AP639" si="1278">IFERROR(VALUE(RIGHT(LEFT($J639,FIND(AB$1,$J639,IF(M639=0,1,FIND(AB$1,$J639,1)+1))+LEN(AB$1)),1)),0)</f>
        <v>0</v>
      </c>
      <c r="AC639" s="13">
        <f t="shared" si="1278"/>
        <v>1</v>
      </c>
      <c r="AD639" s="13">
        <f t="shared" si="1278"/>
        <v>0</v>
      </c>
      <c r="AE639" s="13">
        <f t="shared" si="1278"/>
        <v>0</v>
      </c>
      <c r="AF639" s="13">
        <f t="shared" si="1278"/>
        <v>0</v>
      </c>
      <c r="AG639" s="13">
        <f t="shared" si="1278"/>
        <v>0</v>
      </c>
      <c r="AH639" s="13">
        <f t="shared" si="1278"/>
        <v>0</v>
      </c>
      <c r="AI639" s="13">
        <f t="shared" si="1278"/>
        <v>1</v>
      </c>
      <c r="AJ639" s="13">
        <f t="shared" si="1278"/>
        <v>0</v>
      </c>
      <c r="AK639" s="13">
        <f t="shared" si="1278"/>
        <v>0</v>
      </c>
      <c r="AL639" s="13">
        <f t="shared" si="1278"/>
        <v>0</v>
      </c>
      <c r="AM639" s="13">
        <f t="shared" si="1278"/>
        <v>0</v>
      </c>
      <c r="AN639" s="13">
        <f t="shared" si="1278"/>
        <v>0</v>
      </c>
      <c r="AO639" s="13">
        <f t="shared" si="1278"/>
        <v>0</v>
      </c>
      <c r="AP639" s="13">
        <f t="shared" si="1278"/>
        <v>0</v>
      </c>
      <c r="AQ639" s="13" t="s">
        <v>4124</v>
      </c>
      <c r="AR639" s="13"/>
      <c r="AS639" s="13" t="s">
        <v>4125</v>
      </c>
      <c r="AT639" s="13"/>
      <c r="AU639" s="13"/>
      <c r="AV639" s="13"/>
      <c r="AW639" s="13">
        <v>0.0</v>
      </c>
      <c r="AX639" s="13">
        <v>9.0</v>
      </c>
      <c r="AY639" s="13">
        <v>0.0</v>
      </c>
      <c r="AZ639" s="13"/>
      <c r="BA639" s="13"/>
      <c r="BB639" s="13"/>
      <c r="BC639" s="13"/>
      <c r="BD639" s="13"/>
      <c r="BE639" s="13"/>
      <c r="BF639" s="13"/>
      <c r="BG639" s="13"/>
      <c r="BH639" s="13" t="s">
        <v>79</v>
      </c>
      <c r="BI639" s="13" t="b">
        <v>0</v>
      </c>
      <c r="BJ639" s="13">
        <v>0.0</v>
      </c>
      <c r="BK639" s="13">
        <v>0.0</v>
      </c>
    </row>
    <row r="640" ht="14.25" customHeight="1">
      <c r="A640" s="13">
        <v>638.0</v>
      </c>
      <c r="B640" s="13" t="s">
        <v>46</v>
      </c>
      <c r="C640" s="13">
        <v>4.0</v>
      </c>
      <c r="D640" s="14">
        <v>0.0</v>
      </c>
      <c r="E640" s="13" t="s">
        <v>4126</v>
      </c>
      <c r="F640" s="15" t="s">
        <v>541</v>
      </c>
      <c r="G640" s="16" t="s">
        <v>4127</v>
      </c>
      <c r="H640" s="13"/>
      <c r="I640" s="13">
        <v>1.0</v>
      </c>
      <c r="J640" s="13" t="s">
        <v>4128</v>
      </c>
      <c r="K640" s="13">
        <f t="shared" si="3"/>
        <v>3</v>
      </c>
      <c r="L640" s="13">
        <f t="shared" si="4"/>
        <v>0</v>
      </c>
      <c r="M640" s="13">
        <f t="shared" ref="M640:AA640" si="1279">IFERROR(VALUE(RIGHT(LEFT($J640,FIND(M$1,$J640,1)+LEN(M$1)),1)),0)</f>
        <v>0</v>
      </c>
      <c r="N640" s="13">
        <f t="shared" si="1279"/>
        <v>2</v>
      </c>
      <c r="O640" s="13">
        <f t="shared" si="1279"/>
        <v>0</v>
      </c>
      <c r="P640" s="13">
        <f t="shared" si="1279"/>
        <v>0</v>
      </c>
      <c r="Q640" s="13">
        <f t="shared" si="1279"/>
        <v>0</v>
      </c>
      <c r="R640" s="13">
        <f t="shared" si="1279"/>
        <v>0</v>
      </c>
      <c r="S640" s="13">
        <f t="shared" si="1279"/>
        <v>0</v>
      </c>
      <c r="T640" s="13">
        <f t="shared" si="1279"/>
        <v>0</v>
      </c>
      <c r="U640" s="13">
        <f t="shared" si="1279"/>
        <v>1</v>
      </c>
      <c r="V640" s="13">
        <f t="shared" si="1279"/>
        <v>0</v>
      </c>
      <c r="W640" s="13">
        <f t="shared" si="1279"/>
        <v>0</v>
      </c>
      <c r="X640" s="13">
        <f t="shared" si="1279"/>
        <v>0</v>
      </c>
      <c r="Y640" s="13">
        <f t="shared" si="1279"/>
        <v>0</v>
      </c>
      <c r="Z640" s="13">
        <f t="shared" si="1279"/>
        <v>0</v>
      </c>
      <c r="AA640" s="13">
        <f t="shared" si="1279"/>
        <v>0</v>
      </c>
      <c r="AB640" s="13">
        <f t="shared" ref="AB640:AP640" si="1280">IFERROR(VALUE(RIGHT(LEFT($J640,FIND(AB$1,$J640,IF(M640=0,1,FIND(AB$1,$J640,1)+1))+LEN(AB$1)),1)),0)</f>
        <v>0</v>
      </c>
      <c r="AC640" s="13">
        <f t="shared" si="1280"/>
        <v>0</v>
      </c>
      <c r="AD640" s="13">
        <f t="shared" si="1280"/>
        <v>0</v>
      </c>
      <c r="AE640" s="13">
        <f t="shared" si="1280"/>
        <v>0</v>
      </c>
      <c r="AF640" s="13">
        <f t="shared" si="1280"/>
        <v>0</v>
      </c>
      <c r="AG640" s="13">
        <f t="shared" si="1280"/>
        <v>0</v>
      </c>
      <c r="AH640" s="13">
        <f t="shared" si="1280"/>
        <v>0</v>
      </c>
      <c r="AI640" s="13">
        <f t="shared" si="1280"/>
        <v>0</v>
      </c>
      <c r="AJ640" s="13">
        <f t="shared" si="1280"/>
        <v>0</v>
      </c>
      <c r="AK640" s="13">
        <f t="shared" si="1280"/>
        <v>0</v>
      </c>
      <c r="AL640" s="13">
        <f t="shared" si="1280"/>
        <v>0</v>
      </c>
      <c r="AM640" s="13">
        <f t="shared" si="1280"/>
        <v>0</v>
      </c>
      <c r="AN640" s="13">
        <f t="shared" si="1280"/>
        <v>0</v>
      </c>
      <c r="AO640" s="13">
        <f t="shared" si="1280"/>
        <v>0</v>
      </c>
      <c r="AP640" s="13">
        <f t="shared" si="1280"/>
        <v>0</v>
      </c>
      <c r="AQ640" s="13" t="s">
        <v>4129</v>
      </c>
      <c r="AR640" s="13"/>
      <c r="AS640" s="13" t="s">
        <v>4130</v>
      </c>
      <c r="AT640" s="13"/>
      <c r="AU640" s="13"/>
      <c r="AV640" s="13"/>
      <c r="AW640" s="13">
        <v>0.0</v>
      </c>
      <c r="AX640" s="13">
        <v>9.0</v>
      </c>
      <c r="AY640" s="13">
        <v>0.0</v>
      </c>
      <c r="AZ640" s="13"/>
      <c r="BA640" s="13"/>
      <c r="BB640" s="13"/>
      <c r="BC640" s="13"/>
      <c r="BD640" s="13"/>
      <c r="BE640" s="13"/>
      <c r="BF640" s="13"/>
      <c r="BG640" s="13"/>
      <c r="BH640" s="13" t="s">
        <v>79</v>
      </c>
      <c r="BI640" s="13" t="b">
        <v>0</v>
      </c>
      <c r="BJ640" s="13">
        <v>0.0</v>
      </c>
      <c r="BK640" s="13">
        <v>0.0</v>
      </c>
    </row>
    <row r="641" ht="14.25" customHeight="1">
      <c r="A641" s="13">
        <v>639.0</v>
      </c>
      <c r="B641" s="13" t="s">
        <v>52</v>
      </c>
      <c r="C641" s="13">
        <v>4.0</v>
      </c>
      <c r="D641" s="14">
        <v>0.0</v>
      </c>
      <c r="E641" s="13" t="s">
        <v>4131</v>
      </c>
      <c r="F641" s="15" t="s">
        <v>541</v>
      </c>
      <c r="G641" s="16" t="s">
        <v>4132</v>
      </c>
      <c r="H641" s="13">
        <v>18.0</v>
      </c>
      <c r="I641" s="13">
        <v>1.2</v>
      </c>
      <c r="J641" s="13" t="s">
        <v>4133</v>
      </c>
      <c r="K641" s="13">
        <f t="shared" si="3"/>
        <v>2</v>
      </c>
      <c r="L641" s="13">
        <f t="shared" si="4"/>
        <v>2</v>
      </c>
      <c r="M641" s="13">
        <f t="shared" ref="M641:AA641" si="1281">IFERROR(VALUE(RIGHT(LEFT($J641,FIND(M$1,$J641,1)+LEN(M$1)),1)),0)</f>
        <v>0</v>
      </c>
      <c r="N641" s="13">
        <f t="shared" si="1281"/>
        <v>0</v>
      </c>
      <c r="O641" s="13">
        <f t="shared" si="1281"/>
        <v>2</v>
      </c>
      <c r="P641" s="13">
        <f t="shared" si="1281"/>
        <v>0</v>
      </c>
      <c r="Q641" s="13">
        <f t="shared" si="1281"/>
        <v>0</v>
      </c>
      <c r="R641" s="13">
        <f t="shared" si="1281"/>
        <v>0</v>
      </c>
      <c r="S641" s="13">
        <f t="shared" si="1281"/>
        <v>0</v>
      </c>
      <c r="T641" s="13">
        <f t="shared" si="1281"/>
        <v>0</v>
      </c>
      <c r="U641" s="13">
        <f t="shared" si="1281"/>
        <v>0</v>
      </c>
      <c r="V641" s="13">
        <f t="shared" si="1281"/>
        <v>0</v>
      </c>
      <c r="W641" s="13">
        <f t="shared" si="1281"/>
        <v>0</v>
      </c>
      <c r="X641" s="13">
        <f t="shared" si="1281"/>
        <v>0</v>
      </c>
      <c r="Y641" s="13">
        <f t="shared" si="1281"/>
        <v>0</v>
      </c>
      <c r="Z641" s="13">
        <f t="shared" si="1281"/>
        <v>0</v>
      </c>
      <c r="AA641" s="13">
        <f t="shared" si="1281"/>
        <v>0</v>
      </c>
      <c r="AB641" s="13">
        <f t="shared" ref="AB641:AP641" si="1282">IFERROR(VALUE(RIGHT(LEFT($J641,FIND(AB$1,$J641,IF(M641=0,1,FIND(AB$1,$J641,1)+1))+LEN(AB$1)),1)),0)</f>
        <v>0</v>
      </c>
      <c r="AC641" s="13">
        <f t="shared" si="1282"/>
        <v>0</v>
      </c>
      <c r="AD641" s="13">
        <f t="shared" si="1282"/>
        <v>1</v>
      </c>
      <c r="AE641" s="13">
        <f t="shared" si="1282"/>
        <v>0</v>
      </c>
      <c r="AF641" s="13">
        <f t="shared" si="1282"/>
        <v>0</v>
      </c>
      <c r="AG641" s="13">
        <f t="shared" si="1282"/>
        <v>0</v>
      </c>
      <c r="AH641" s="13">
        <f t="shared" si="1282"/>
        <v>0</v>
      </c>
      <c r="AI641" s="13">
        <f t="shared" si="1282"/>
        <v>0</v>
      </c>
      <c r="AJ641" s="13">
        <f t="shared" si="1282"/>
        <v>0</v>
      </c>
      <c r="AK641" s="13">
        <f t="shared" si="1282"/>
        <v>0</v>
      </c>
      <c r="AL641" s="13">
        <f t="shared" si="1282"/>
        <v>0</v>
      </c>
      <c r="AM641" s="13">
        <f t="shared" si="1282"/>
        <v>0</v>
      </c>
      <c r="AN641" s="13">
        <f t="shared" si="1282"/>
        <v>0</v>
      </c>
      <c r="AO641" s="13">
        <f t="shared" si="1282"/>
        <v>0</v>
      </c>
      <c r="AP641" s="13">
        <f t="shared" si="1282"/>
        <v>1</v>
      </c>
      <c r="AQ641" s="13"/>
      <c r="AR641" s="13" t="s">
        <v>4134</v>
      </c>
      <c r="AS641" s="13" t="s">
        <v>4135</v>
      </c>
      <c r="AT641" s="13" t="s">
        <v>4136</v>
      </c>
      <c r="AU641" s="13" t="s">
        <v>143</v>
      </c>
      <c r="AV641" s="13" t="s">
        <v>4137</v>
      </c>
      <c r="AW641" s="13">
        <v>26.0</v>
      </c>
      <c r="AX641" s="13">
        <v>9.0</v>
      </c>
      <c r="AY641" s="13">
        <v>0.0</v>
      </c>
      <c r="AZ641" s="13" t="s">
        <v>4138</v>
      </c>
      <c r="BA641" s="13" t="s">
        <v>4139</v>
      </c>
      <c r="BB641" s="13"/>
      <c r="BC641" s="13"/>
      <c r="BD641" s="13" t="s">
        <v>2169</v>
      </c>
      <c r="BE641" s="13" t="s">
        <v>4140</v>
      </c>
      <c r="BF641" s="13" t="s">
        <v>4141</v>
      </c>
      <c r="BG641" s="13" t="s">
        <v>2171</v>
      </c>
      <c r="BH641" s="13" t="s">
        <v>241</v>
      </c>
      <c r="BI641" s="13" t="b">
        <v>0</v>
      </c>
      <c r="BJ641" s="13">
        <v>0.0</v>
      </c>
      <c r="BK641" s="13">
        <v>0.0</v>
      </c>
    </row>
    <row r="642" ht="14.25" customHeight="1">
      <c r="A642" s="13">
        <v>640.0</v>
      </c>
      <c r="B642" s="13" t="s">
        <v>52</v>
      </c>
      <c r="C642" s="13">
        <v>4.0</v>
      </c>
      <c r="D642" s="14">
        <v>0.0</v>
      </c>
      <c r="E642" s="13" t="s">
        <v>4142</v>
      </c>
      <c r="F642" s="15" t="s">
        <v>541</v>
      </c>
      <c r="G642" s="16" t="s">
        <v>4143</v>
      </c>
      <c r="H642" s="13">
        <v>23.0</v>
      </c>
      <c r="I642" s="13">
        <v>1.2</v>
      </c>
      <c r="J642" s="13" t="s">
        <v>2081</v>
      </c>
      <c r="K642" s="13">
        <f t="shared" si="3"/>
        <v>2</v>
      </c>
      <c r="L642" s="13">
        <f t="shared" si="4"/>
        <v>2</v>
      </c>
      <c r="M642" s="13">
        <f t="shared" ref="M642:AA642" si="1283">IFERROR(VALUE(RIGHT(LEFT($J642,FIND(M$1,$J642,1)+LEN(M$1)),1)),0)</f>
        <v>0</v>
      </c>
      <c r="N642" s="13">
        <f t="shared" si="1283"/>
        <v>0</v>
      </c>
      <c r="O642" s="13">
        <f t="shared" si="1283"/>
        <v>0</v>
      </c>
      <c r="P642" s="13">
        <f t="shared" si="1283"/>
        <v>0</v>
      </c>
      <c r="Q642" s="13">
        <f t="shared" si="1283"/>
        <v>0</v>
      </c>
      <c r="R642" s="13">
        <f t="shared" si="1283"/>
        <v>0</v>
      </c>
      <c r="S642" s="13">
        <f t="shared" si="1283"/>
        <v>0</v>
      </c>
      <c r="T642" s="13">
        <f t="shared" si="1283"/>
        <v>0</v>
      </c>
      <c r="U642" s="13">
        <f t="shared" si="1283"/>
        <v>0</v>
      </c>
      <c r="V642" s="13">
        <f t="shared" si="1283"/>
        <v>0</v>
      </c>
      <c r="W642" s="13">
        <f t="shared" si="1283"/>
        <v>0</v>
      </c>
      <c r="X642" s="13">
        <f t="shared" si="1283"/>
        <v>0</v>
      </c>
      <c r="Y642" s="13">
        <f t="shared" si="1283"/>
        <v>0</v>
      </c>
      <c r="Z642" s="13">
        <f t="shared" si="1283"/>
        <v>0</v>
      </c>
      <c r="AA642" s="13">
        <f t="shared" si="1283"/>
        <v>2</v>
      </c>
      <c r="AB642" s="13">
        <f t="shared" ref="AB642:AP642" si="1284">IFERROR(VALUE(RIGHT(LEFT($J642,FIND(AB$1,$J642,IF(M642=0,1,FIND(AB$1,$J642,1)+1))+LEN(AB$1)),1)),0)</f>
        <v>0</v>
      </c>
      <c r="AC642" s="13">
        <f t="shared" si="1284"/>
        <v>1</v>
      </c>
      <c r="AD642" s="13">
        <f t="shared" si="1284"/>
        <v>0</v>
      </c>
      <c r="AE642" s="13">
        <f t="shared" si="1284"/>
        <v>0</v>
      </c>
      <c r="AF642" s="13">
        <f t="shared" si="1284"/>
        <v>0</v>
      </c>
      <c r="AG642" s="13">
        <f t="shared" si="1284"/>
        <v>0</v>
      </c>
      <c r="AH642" s="13">
        <f t="shared" si="1284"/>
        <v>0</v>
      </c>
      <c r="AI642" s="13">
        <f t="shared" si="1284"/>
        <v>0</v>
      </c>
      <c r="AJ642" s="13">
        <f t="shared" si="1284"/>
        <v>0</v>
      </c>
      <c r="AK642" s="13">
        <f t="shared" si="1284"/>
        <v>0</v>
      </c>
      <c r="AL642" s="13">
        <f t="shared" si="1284"/>
        <v>0</v>
      </c>
      <c r="AM642" s="13">
        <f t="shared" si="1284"/>
        <v>0</v>
      </c>
      <c r="AN642" s="13">
        <f t="shared" si="1284"/>
        <v>0</v>
      </c>
      <c r="AO642" s="13">
        <f t="shared" si="1284"/>
        <v>0</v>
      </c>
      <c r="AP642" s="13">
        <f t="shared" si="1284"/>
        <v>1</v>
      </c>
      <c r="AQ642" s="13"/>
      <c r="AR642" s="13" t="s">
        <v>4144</v>
      </c>
      <c r="AS642" s="13" t="s">
        <v>2083</v>
      </c>
      <c r="AT642" s="13" t="s">
        <v>904</v>
      </c>
      <c r="AU642" s="13" t="s">
        <v>130</v>
      </c>
      <c r="AV642" s="13" t="s">
        <v>4145</v>
      </c>
      <c r="AW642" s="13">
        <v>28.0</v>
      </c>
      <c r="AX642" s="13">
        <v>9.0</v>
      </c>
      <c r="AY642" s="13">
        <v>0.0</v>
      </c>
      <c r="AZ642" s="13" t="s">
        <v>4146</v>
      </c>
      <c r="BA642" s="13" t="s">
        <v>1370</v>
      </c>
      <c r="BB642" s="13"/>
      <c r="BC642" s="13"/>
      <c r="BD642" s="13" t="s">
        <v>306</v>
      </c>
      <c r="BE642" s="13" t="s">
        <v>4147</v>
      </c>
      <c r="BF642" s="13" t="s">
        <v>4148</v>
      </c>
      <c r="BG642" s="13"/>
      <c r="BH642" s="13" t="s">
        <v>79</v>
      </c>
      <c r="BI642" s="13" t="b">
        <v>0</v>
      </c>
      <c r="BJ642" s="13">
        <v>0.0</v>
      </c>
      <c r="BK642" s="13">
        <v>0.0</v>
      </c>
    </row>
    <row r="643" ht="14.25" customHeight="1">
      <c r="A643" s="13">
        <v>641.0</v>
      </c>
      <c r="B643" s="13" t="s">
        <v>51</v>
      </c>
      <c r="C643" s="13">
        <v>4.0</v>
      </c>
      <c r="D643" s="14">
        <v>0.0</v>
      </c>
      <c r="E643" s="13" t="s">
        <v>4149</v>
      </c>
      <c r="F643" s="15" t="s">
        <v>541</v>
      </c>
      <c r="G643" s="16" t="s">
        <v>4150</v>
      </c>
      <c r="H643" s="13">
        <v>20.0</v>
      </c>
      <c r="I643" s="13">
        <v>1.1</v>
      </c>
      <c r="J643" s="13" t="s">
        <v>2055</v>
      </c>
      <c r="K643" s="13">
        <f t="shared" si="3"/>
        <v>2</v>
      </c>
      <c r="L643" s="13">
        <f t="shared" si="4"/>
        <v>2</v>
      </c>
      <c r="M643" s="13">
        <f t="shared" ref="M643:AA643" si="1285">IFERROR(VALUE(RIGHT(LEFT($J643,FIND(M$1,$J643,1)+LEN(M$1)),1)),0)</f>
        <v>0</v>
      </c>
      <c r="N643" s="13">
        <f t="shared" si="1285"/>
        <v>0</v>
      </c>
      <c r="O643" s="13">
        <f t="shared" si="1285"/>
        <v>0</v>
      </c>
      <c r="P643" s="13">
        <f t="shared" si="1285"/>
        <v>0</v>
      </c>
      <c r="Q643" s="13">
        <f t="shared" si="1285"/>
        <v>0</v>
      </c>
      <c r="R643" s="13">
        <f t="shared" si="1285"/>
        <v>0</v>
      </c>
      <c r="S643" s="13">
        <f t="shared" si="1285"/>
        <v>0</v>
      </c>
      <c r="T643" s="13">
        <f t="shared" si="1285"/>
        <v>0</v>
      </c>
      <c r="U643" s="13">
        <f t="shared" si="1285"/>
        <v>0</v>
      </c>
      <c r="V643" s="13">
        <f t="shared" si="1285"/>
        <v>0</v>
      </c>
      <c r="W643" s="13">
        <f t="shared" si="1285"/>
        <v>0</v>
      </c>
      <c r="X643" s="13">
        <f t="shared" si="1285"/>
        <v>0</v>
      </c>
      <c r="Y643" s="13">
        <f t="shared" si="1285"/>
        <v>0</v>
      </c>
      <c r="Z643" s="13">
        <f t="shared" si="1285"/>
        <v>2</v>
      </c>
      <c r="AA643" s="13">
        <f t="shared" si="1285"/>
        <v>0</v>
      </c>
      <c r="AB643" s="13">
        <f t="shared" ref="AB643:AP643" si="1286">IFERROR(VALUE(RIGHT(LEFT($J643,FIND(AB$1,$J643,IF(M643=0,1,FIND(AB$1,$J643,1)+1))+LEN(AB$1)),1)),0)</f>
        <v>0</v>
      </c>
      <c r="AC643" s="13">
        <f t="shared" si="1286"/>
        <v>0</v>
      </c>
      <c r="AD643" s="13">
        <f t="shared" si="1286"/>
        <v>1</v>
      </c>
      <c r="AE643" s="13">
        <f t="shared" si="1286"/>
        <v>0</v>
      </c>
      <c r="AF643" s="13">
        <f t="shared" si="1286"/>
        <v>0</v>
      </c>
      <c r="AG643" s="13">
        <f t="shared" si="1286"/>
        <v>0</v>
      </c>
      <c r="AH643" s="13">
        <f t="shared" si="1286"/>
        <v>0</v>
      </c>
      <c r="AI643" s="13">
        <f t="shared" si="1286"/>
        <v>0</v>
      </c>
      <c r="AJ643" s="13">
        <f t="shared" si="1286"/>
        <v>0</v>
      </c>
      <c r="AK643" s="13">
        <f t="shared" si="1286"/>
        <v>0</v>
      </c>
      <c r="AL643" s="13">
        <f t="shared" si="1286"/>
        <v>0</v>
      </c>
      <c r="AM643" s="13">
        <f t="shared" si="1286"/>
        <v>0</v>
      </c>
      <c r="AN643" s="13">
        <f t="shared" si="1286"/>
        <v>0</v>
      </c>
      <c r="AO643" s="13">
        <f t="shared" si="1286"/>
        <v>1</v>
      </c>
      <c r="AP643" s="13">
        <f t="shared" si="1286"/>
        <v>0</v>
      </c>
      <c r="AQ643" s="13"/>
      <c r="AR643" s="13" t="s">
        <v>4151</v>
      </c>
      <c r="AS643" s="13" t="s">
        <v>4152</v>
      </c>
      <c r="AT643" s="13" t="s">
        <v>1263</v>
      </c>
      <c r="AU643" s="13" t="s">
        <v>4153</v>
      </c>
      <c r="AV643" s="13" t="s">
        <v>4154</v>
      </c>
      <c r="AW643" s="13">
        <v>23.0</v>
      </c>
      <c r="AX643" s="13">
        <v>9.0</v>
      </c>
      <c r="AY643" s="13">
        <v>0.0</v>
      </c>
      <c r="AZ643" s="13" t="s">
        <v>4155</v>
      </c>
      <c r="BA643" s="13" t="s">
        <v>4156</v>
      </c>
      <c r="BB643" s="13"/>
      <c r="BC643" s="13"/>
      <c r="BD643" s="13" t="s">
        <v>1832</v>
      </c>
      <c r="BE643" s="13"/>
      <c r="BF643" s="13" t="s">
        <v>4157</v>
      </c>
      <c r="BG643" s="13" t="s">
        <v>1833</v>
      </c>
      <c r="BH643" s="13" t="s">
        <v>79</v>
      </c>
      <c r="BI643" s="13" t="b">
        <v>0</v>
      </c>
      <c r="BJ643" s="13">
        <v>0.0</v>
      </c>
      <c r="BK643" s="13">
        <v>0.0</v>
      </c>
    </row>
    <row r="644" ht="14.25" customHeight="1">
      <c r="A644" s="13">
        <v>642.0</v>
      </c>
      <c r="B644" s="13" t="s">
        <v>51</v>
      </c>
      <c r="C644" s="13">
        <v>4.0</v>
      </c>
      <c r="D644" s="14">
        <v>0.0</v>
      </c>
      <c r="E644" s="13" t="s">
        <v>4158</v>
      </c>
      <c r="F644" s="15" t="s">
        <v>541</v>
      </c>
      <c r="G644" s="16" t="s">
        <v>4159</v>
      </c>
      <c r="H644" s="13">
        <v>21.0</v>
      </c>
      <c r="I644" s="13">
        <v>1.0</v>
      </c>
      <c r="J644" s="13" t="s">
        <v>4160</v>
      </c>
      <c r="K644" s="13">
        <f t="shared" si="3"/>
        <v>2</v>
      </c>
      <c r="L644" s="13">
        <f t="shared" si="4"/>
        <v>2</v>
      </c>
      <c r="M644" s="13">
        <f t="shared" ref="M644:AA644" si="1287">IFERROR(VALUE(RIGHT(LEFT($J644,FIND(M$1,$J644,1)+LEN(M$1)),1)),0)</f>
        <v>0</v>
      </c>
      <c r="N644" s="13">
        <f t="shared" si="1287"/>
        <v>0</v>
      </c>
      <c r="O644" s="13">
        <f t="shared" si="1287"/>
        <v>0</v>
      </c>
      <c r="P644" s="13">
        <f t="shared" si="1287"/>
        <v>2</v>
      </c>
      <c r="Q644" s="13">
        <f t="shared" si="1287"/>
        <v>0</v>
      </c>
      <c r="R644" s="13">
        <f t="shared" si="1287"/>
        <v>0</v>
      </c>
      <c r="S644" s="13">
        <f t="shared" si="1287"/>
        <v>0</v>
      </c>
      <c r="T644" s="13">
        <f t="shared" si="1287"/>
        <v>0</v>
      </c>
      <c r="U644" s="13">
        <f t="shared" si="1287"/>
        <v>0</v>
      </c>
      <c r="V644" s="13">
        <f t="shared" si="1287"/>
        <v>0</v>
      </c>
      <c r="W644" s="13">
        <f t="shared" si="1287"/>
        <v>0</v>
      </c>
      <c r="X644" s="13">
        <f t="shared" si="1287"/>
        <v>0</v>
      </c>
      <c r="Y644" s="13">
        <f t="shared" si="1287"/>
        <v>0</v>
      </c>
      <c r="Z644" s="13">
        <f t="shared" si="1287"/>
        <v>0</v>
      </c>
      <c r="AA644" s="13">
        <f t="shared" si="1287"/>
        <v>0</v>
      </c>
      <c r="AB644" s="13">
        <f t="shared" ref="AB644:AP644" si="1288">IFERROR(VALUE(RIGHT(LEFT($J644,FIND(AB$1,$J644,IF(M644=0,1,FIND(AB$1,$J644,1)+1))+LEN(AB$1)),1)),0)</f>
        <v>0</v>
      </c>
      <c r="AC644" s="13">
        <f t="shared" si="1288"/>
        <v>0</v>
      </c>
      <c r="AD644" s="13">
        <f t="shared" si="1288"/>
        <v>0</v>
      </c>
      <c r="AE644" s="13">
        <f t="shared" si="1288"/>
        <v>1</v>
      </c>
      <c r="AF644" s="13">
        <f t="shared" si="1288"/>
        <v>0</v>
      </c>
      <c r="AG644" s="13">
        <f t="shared" si="1288"/>
        <v>0</v>
      </c>
      <c r="AH644" s="13">
        <f t="shared" si="1288"/>
        <v>0</v>
      </c>
      <c r="AI644" s="13">
        <f t="shared" si="1288"/>
        <v>0</v>
      </c>
      <c r="AJ644" s="13">
        <f t="shared" si="1288"/>
        <v>0</v>
      </c>
      <c r="AK644" s="13">
        <f t="shared" si="1288"/>
        <v>0</v>
      </c>
      <c r="AL644" s="13">
        <f t="shared" si="1288"/>
        <v>0</v>
      </c>
      <c r="AM644" s="13">
        <f t="shared" si="1288"/>
        <v>0</v>
      </c>
      <c r="AN644" s="13">
        <f t="shared" si="1288"/>
        <v>0</v>
      </c>
      <c r="AO644" s="13">
        <f t="shared" si="1288"/>
        <v>1</v>
      </c>
      <c r="AP644" s="13">
        <f t="shared" si="1288"/>
        <v>0</v>
      </c>
      <c r="AQ644" s="13"/>
      <c r="AR644" s="13" t="s">
        <v>4161</v>
      </c>
      <c r="AS644" s="13" t="s">
        <v>4162</v>
      </c>
      <c r="AT644" s="13" t="s">
        <v>573</v>
      </c>
      <c r="AU644" s="13" t="s">
        <v>4163</v>
      </c>
      <c r="AV644" s="13" t="s">
        <v>4164</v>
      </c>
      <c r="AW644" s="13">
        <v>25.0</v>
      </c>
      <c r="AX644" s="13">
        <v>9.0</v>
      </c>
      <c r="AY644" s="13">
        <v>0.0</v>
      </c>
      <c r="AZ644" s="13" t="s">
        <v>4165</v>
      </c>
      <c r="BA644" s="13" t="s">
        <v>4166</v>
      </c>
      <c r="BB644" s="13"/>
      <c r="BC644" s="13"/>
      <c r="BD644" s="13" t="s">
        <v>1832</v>
      </c>
      <c r="BE644" s="13"/>
      <c r="BF644" s="13" t="s">
        <v>4167</v>
      </c>
      <c r="BG644" s="13" t="s">
        <v>1833</v>
      </c>
      <c r="BH644" s="13" t="s">
        <v>79</v>
      </c>
      <c r="BI644" s="13" t="b">
        <v>0</v>
      </c>
      <c r="BJ644" s="13">
        <v>0.0</v>
      </c>
      <c r="BK644" s="13">
        <v>0.0</v>
      </c>
    </row>
    <row r="645" ht="14.25" customHeight="1">
      <c r="A645" s="13">
        <v>643.0</v>
      </c>
      <c r="B645" s="13" t="s">
        <v>48</v>
      </c>
      <c r="C645" s="13">
        <v>4.0</v>
      </c>
      <c r="D645" s="14">
        <v>0.0</v>
      </c>
      <c r="E645" s="13" t="s">
        <v>4168</v>
      </c>
      <c r="F645" s="15" t="s">
        <v>541</v>
      </c>
      <c r="G645" s="16" t="s">
        <v>4169</v>
      </c>
      <c r="H645" s="13">
        <v>22.0</v>
      </c>
      <c r="I645" s="13">
        <v>1.0</v>
      </c>
      <c r="J645" s="13" t="s">
        <v>3493</v>
      </c>
      <c r="K645" s="13">
        <f t="shared" si="3"/>
        <v>2</v>
      </c>
      <c r="L645" s="13">
        <f t="shared" si="4"/>
        <v>2</v>
      </c>
      <c r="M645" s="13">
        <f t="shared" ref="M645:AA645" si="1289">IFERROR(VALUE(RIGHT(LEFT($J645,FIND(M$1,$J645,1)+LEN(M$1)),1)),0)</f>
        <v>0</v>
      </c>
      <c r="N645" s="13">
        <f t="shared" si="1289"/>
        <v>0</v>
      </c>
      <c r="O645" s="13">
        <f t="shared" si="1289"/>
        <v>0</v>
      </c>
      <c r="P645" s="13">
        <f t="shared" si="1289"/>
        <v>0</v>
      </c>
      <c r="Q645" s="13">
        <f t="shared" si="1289"/>
        <v>0</v>
      </c>
      <c r="R645" s="13">
        <f t="shared" si="1289"/>
        <v>0</v>
      </c>
      <c r="S645" s="13">
        <f t="shared" si="1289"/>
        <v>0</v>
      </c>
      <c r="T645" s="13">
        <f t="shared" si="1289"/>
        <v>0</v>
      </c>
      <c r="U645" s="13">
        <f t="shared" si="1289"/>
        <v>0</v>
      </c>
      <c r="V645" s="13">
        <f t="shared" si="1289"/>
        <v>0</v>
      </c>
      <c r="W645" s="13">
        <f t="shared" si="1289"/>
        <v>2</v>
      </c>
      <c r="X645" s="13">
        <f t="shared" si="1289"/>
        <v>0</v>
      </c>
      <c r="Y645" s="13">
        <f t="shared" si="1289"/>
        <v>0</v>
      </c>
      <c r="Z645" s="13">
        <f t="shared" si="1289"/>
        <v>0</v>
      </c>
      <c r="AA645" s="13">
        <f t="shared" si="1289"/>
        <v>0</v>
      </c>
      <c r="AB645" s="13">
        <f t="shared" ref="AB645:AP645" si="1290">IFERROR(VALUE(RIGHT(LEFT($J645,FIND(AB$1,$J645,IF(M645=0,1,FIND(AB$1,$J645,1)+1))+LEN(AB$1)),1)),0)</f>
        <v>0</v>
      </c>
      <c r="AC645" s="13">
        <f t="shared" si="1290"/>
        <v>1</v>
      </c>
      <c r="AD645" s="13">
        <f t="shared" si="1290"/>
        <v>0</v>
      </c>
      <c r="AE645" s="13">
        <f t="shared" si="1290"/>
        <v>0</v>
      </c>
      <c r="AF645" s="13">
        <f t="shared" si="1290"/>
        <v>0</v>
      </c>
      <c r="AG645" s="13">
        <f t="shared" si="1290"/>
        <v>0</v>
      </c>
      <c r="AH645" s="13">
        <f t="shared" si="1290"/>
        <v>0</v>
      </c>
      <c r="AI645" s="13">
        <f t="shared" si="1290"/>
        <v>0</v>
      </c>
      <c r="AJ645" s="13">
        <f t="shared" si="1290"/>
        <v>0</v>
      </c>
      <c r="AK645" s="13">
        <f t="shared" si="1290"/>
        <v>0</v>
      </c>
      <c r="AL645" s="13">
        <f t="shared" si="1290"/>
        <v>1</v>
      </c>
      <c r="AM645" s="13">
        <f t="shared" si="1290"/>
        <v>0</v>
      </c>
      <c r="AN645" s="13">
        <f t="shared" si="1290"/>
        <v>0</v>
      </c>
      <c r="AO645" s="13">
        <f t="shared" si="1290"/>
        <v>0</v>
      </c>
      <c r="AP645" s="13">
        <f t="shared" si="1290"/>
        <v>0</v>
      </c>
      <c r="AQ645" s="13"/>
      <c r="AR645" s="13" t="s">
        <v>4170</v>
      </c>
      <c r="AS645" s="13" t="s">
        <v>1993</v>
      </c>
      <c r="AT645" s="13" t="s">
        <v>175</v>
      </c>
      <c r="AU645" s="13" t="s">
        <v>1398</v>
      </c>
      <c r="AV645" s="13" t="s">
        <v>4171</v>
      </c>
      <c r="AW645" s="13">
        <v>27.0</v>
      </c>
      <c r="AX645" s="13">
        <v>9.0</v>
      </c>
      <c r="AY645" s="13">
        <v>0.0</v>
      </c>
      <c r="AZ645" s="13" t="s">
        <v>4172</v>
      </c>
      <c r="BA645" s="13" t="s">
        <v>4173</v>
      </c>
      <c r="BB645" s="13"/>
      <c r="BC645" s="13"/>
      <c r="BD645" s="13" t="s">
        <v>179</v>
      </c>
      <c r="BE645" s="13"/>
      <c r="BF645" s="13" t="s">
        <v>4174</v>
      </c>
      <c r="BG645" s="13" t="s">
        <v>169</v>
      </c>
      <c r="BH645" s="13" t="s">
        <v>79</v>
      </c>
      <c r="BI645" s="13" t="b">
        <v>0</v>
      </c>
      <c r="BJ645" s="13">
        <v>0.0</v>
      </c>
      <c r="BK645" s="13">
        <v>0.0</v>
      </c>
    </row>
    <row r="646" ht="14.25" customHeight="1">
      <c r="A646" s="13">
        <v>644.0</v>
      </c>
      <c r="B646" s="13" t="s">
        <v>44</v>
      </c>
      <c r="C646" s="13">
        <v>5.0</v>
      </c>
      <c r="D646" s="14">
        <v>0.0</v>
      </c>
      <c r="E646" s="13" t="s">
        <v>4175</v>
      </c>
      <c r="F646" s="15" t="s">
        <v>541</v>
      </c>
      <c r="G646" s="16" t="s">
        <v>4176</v>
      </c>
      <c r="H646" s="13"/>
      <c r="I646" s="13">
        <v>1.3</v>
      </c>
      <c r="J646" s="13" t="s">
        <v>4177</v>
      </c>
      <c r="K646" s="13">
        <f t="shared" si="3"/>
        <v>3</v>
      </c>
      <c r="L646" s="13">
        <f t="shared" si="4"/>
        <v>2</v>
      </c>
      <c r="M646" s="13">
        <f t="shared" ref="M646:AA646" si="1291">IFERROR(VALUE(RIGHT(LEFT($J646,FIND(M$1,$J646,1)+LEN(M$1)),1)),0)</f>
        <v>0</v>
      </c>
      <c r="N646" s="13">
        <f t="shared" si="1291"/>
        <v>0</v>
      </c>
      <c r="O646" s="13">
        <f t="shared" si="1291"/>
        <v>2</v>
      </c>
      <c r="P646" s="13">
        <f t="shared" si="1291"/>
        <v>0</v>
      </c>
      <c r="Q646" s="13">
        <f t="shared" si="1291"/>
        <v>0</v>
      </c>
      <c r="R646" s="13">
        <f t="shared" si="1291"/>
        <v>0</v>
      </c>
      <c r="S646" s="13">
        <f t="shared" si="1291"/>
        <v>1</v>
      </c>
      <c r="T646" s="13">
        <f t="shared" si="1291"/>
        <v>0</v>
      </c>
      <c r="U646" s="13">
        <f t="shared" si="1291"/>
        <v>0</v>
      </c>
      <c r="V646" s="13">
        <f t="shared" si="1291"/>
        <v>0</v>
      </c>
      <c r="W646" s="13">
        <f t="shared" si="1291"/>
        <v>0</v>
      </c>
      <c r="X646" s="13">
        <f t="shared" si="1291"/>
        <v>0</v>
      </c>
      <c r="Y646" s="13">
        <f t="shared" si="1291"/>
        <v>0</v>
      </c>
      <c r="Z646" s="13">
        <f t="shared" si="1291"/>
        <v>0</v>
      </c>
      <c r="AA646" s="13">
        <f t="shared" si="1291"/>
        <v>0</v>
      </c>
      <c r="AB646" s="13">
        <f t="shared" ref="AB646:AP646" si="1292">IFERROR(VALUE(RIGHT(LEFT($J646,FIND(AB$1,$J646,IF(M646=0,1,FIND(AB$1,$J646,1)+1))+LEN(AB$1)),1)),0)</f>
        <v>0</v>
      </c>
      <c r="AC646" s="13">
        <f t="shared" si="1292"/>
        <v>0</v>
      </c>
      <c r="AD646" s="13">
        <f t="shared" si="1292"/>
        <v>1</v>
      </c>
      <c r="AE646" s="13">
        <f t="shared" si="1292"/>
        <v>0</v>
      </c>
      <c r="AF646" s="13">
        <f t="shared" si="1292"/>
        <v>0</v>
      </c>
      <c r="AG646" s="13">
        <f t="shared" si="1292"/>
        <v>0</v>
      </c>
      <c r="AH646" s="13">
        <f t="shared" si="1292"/>
        <v>1</v>
      </c>
      <c r="AI646" s="13">
        <f t="shared" si="1292"/>
        <v>0</v>
      </c>
      <c r="AJ646" s="13">
        <f t="shared" si="1292"/>
        <v>0</v>
      </c>
      <c r="AK646" s="13">
        <f t="shared" si="1292"/>
        <v>0</v>
      </c>
      <c r="AL646" s="13">
        <f t="shared" si="1292"/>
        <v>0</v>
      </c>
      <c r="AM646" s="13">
        <f t="shared" si="1292"/>
        <v>0</v>
      </c>
      <c r="AN646" s="13">
        <f t="shared" si="1292"/>
        <v>0</v>
      </c>
      <c r="AO646" s="13">
        <f t="shared" si="1292"/>
        <v>0</v>
      </c>
      <c r="AP646" s="13">
        <f t="shared" si="1292"/>
        <v>0</v>
      </c>
      <c r="AQ646" s="13" t="s">
        <v>4178</v>
      </c>
      <c r="AR646" s="13"/>
      <c r="AS646" s="13" t="s">
        <v>4179</v>
      </c>
      <c r="AT646" s="13"/>
      <c r="AU646" s="13"/>
      <c r="AV646" s="13"/>
      <c r="AW646" s="13">
        <v>0.0</v>
      </c>
      <c r="AX646" s="13">
        <v>9.0</v>
      </c>
      <c r="AY646" s="13">
        <v>0.0</v>
      </c>
      <c r="AZ646" s="13"/>
      <c r="BA646" s="13"/>
      <c r="BB646" s="13"/>
      <c r="BC646" s="13"/>
      <c r="BD646" s="13"/>
      <c r="BE646" s="13"/>
      <c r="BF646" s="13"/>
      <c r="BG646" s="13"/>
      <c r="BH646" s="13" t="s">
        <v>79</v>
      </c>
      <c r="BI646" s="13" t="b">
        <v>0</v>
      </c>
      <c r="BJ646" s="13">
        <v>0.0</v>
      </c>
      <c r="BK646" s="13">
        <v>0.0</v>
      </c>
    </row>
    <row r="647" ht="14.25" customHeight="1">
      <c r="A647" s="13">
        <v>645.0</v>
      </c>
      <c r="B647" s="13" t="s">
        <v>45</v>
      </c>
      <c r="C647" s="13">
        <v>5.0</v>
      </c>
      <c r="D647" s="14">
        <v>0.0</v>
      </c>
      <c r="E647" s="13" t="s">
        <v>4180</v>
      </c>
      <c r="F647" s="15" t="s">
        <v>541</v>
      </c>
      <c r="G647" s="16" t="s">
        <v>4181</v>
      </c>
      <c r="H647" s="13"/>
      <c r="I647" s="13">
        <v>1.2</v>
      </c>
      <c r="J647" s="13" t="s">
        <v>4182</v>
      </c>
      <c r="K647" s="13">
        <f t="shared" si="3"/>
        <v>3</v>
      </c>
      <c r="L647" s="13">
        <f t="shared" si="4"/>
        <v>2</v>
      </c>
      <c r="M647" s="13">
        <f t="shared" ref="M647:AA647" si="1293">IFERROR(VALUE(RIGHT(LEFT($J647,FIND(M$1,$J647,1)+LEN(M$1)),1)),0)</f>
        <v>0</v>
      </c>
      <c r="N647" s="13">
        <f t="shared" si="1293"/>
        <v>2</v>
      </c>
      <c r="O647" s="13">
        <f t="shared" si="1293"/>
        <v>0</v>
      </c>
      <c r="P647" s="13">
        <f t="shared" si="1293"/>
        <v>0</v>
      </c>
      <c r="Q647" s="13">
        <f t="shared" si="1293"/>
        <v>0</v>
      </c>
      <c r="R647" s="13">
        <f t="shared" si="1293"/>
        <v>0</v>
      </c>
      <c r="S647" s="13">
        <f t="shared" si="1293"/>
        <v>0</v>
      </c>
      <c r="T647" s="13">
        <f t="shared" si="1293"/>
        <v>1</v>
      </c>
      <c r="U647" s="13">
        <f t="shared" si="1293"/>
        <v>0</v>
      </c>
      <c r="V647" s="13">
        <f t="shared" si="1293"/>
        <v>0</v>
      </c>
      <c r="W647" s="13">
        <f t="shared" si="1293"/>
        <v>0</v>
      </c>
      <c r="X647" s="13">
        <f t="shared" si="1293"/>
        <v>0</v>
      </c>
      <c r="Y647" s="13">
        <f t="shared" si="1293"/>
        <v>0</v>
      </c>
      <c r="Z647" s="13">
        <f t="shared" si="1293"/>
        <v>0</v>
      </c>
      <c r="AA647" s="13">
        <f t="shared" si="1293"/>
        <v>0</v>
      </c>
      <c r="AB647" s="13">
        <f t="shared" ref="AB647:AP647" si="1294">IFERROR(VALUE(RIGHT(LEFT($J647,FIND(AB$1,$J647,IF(M647=0,1,FIND(AB$1,$J647,1)+1))+LEN(AB$1)),1)),0)</f>
        <v>0</v>
      </c>
      <c r="AC647" s="13">
        <f t="shared" si="1294"/>
        <v>1</v>
      </c>
      <c r="AD647" s="13">
        <f t="shared" si="1294"/>
        <v>0</v>
      </c>
      <c r="AE647" s="13">
        <f t="shared" si="1294"/>
        <v>0</v>
      </c>
      <c r="AF647" s="13">
        <f t="shared" si="1294"/>
        <v>0</v>
      </c>
      <c r="AG647" s="13">
        <f t="shared" si="1294"/>
        <v>0</v>
      </c>
      <c r="AH647" s="13">
        <f t="shared" si="1294"/>
        <v>0</v>
      </c>
      <c r="AI647" s="13">
        <f t="shared" si="1294"/>
        <v>1</v>
      </c>
      <c r="AJ647" s="13">
        <f t="shared" si="1294"/>
        <v>0</v>
      </c>
      <c r="AK647" s="13">
        <f t="shared" si="1294"/>
        <v>0</v>
      </c>
      <c r="AL647" s="13">
        <f t="shared" si="1294"/>
        <v>0</v>
      </c>
      <c r="AM647" s="13">
        <f t="shared" si="1294"/>
        <v>0</v>
      </c>
      <c r="AN647" s="13">
        <f t="shared" si="1294"/>
        <v>0</v>
      </c>
      <c r="AO647" s="13">
        <f t="shared" si="1294"/>
        <v>0</v>
      </c>
      <c r="AP647" s="13">
        <f t="shared" si="1294"/>
        <v>0</v>
      </c>
      <c r="AQ647" s="13" t="s">
        <v>4183</v>
      </c>
      <c r="AR647" s="13"/>
      <c r="AS647" s="13" t="s">
        <v>4184</v>
      </c>
      <c r="AT647" s="13"/>
      <c r="AU647" s="13"/>
      <c r="AV647" s="13"/>
      <c r="AW647" s="13">
        <v>0.0</v>
      </c>
      <c r="AX647" s="13">
        <v>9.0</v>
      </c>
      <c r="AY647" s="13">
        <v>0.0</v>
      </c>
      <c r="AZ647" s="13"/>
      <c r="BA647" s="13"/>
      <c r="BB647" s="13"/>
      <c r="BC647" s="13"/>
      <c r="BD647" s="13"/>
      <c r="BE647" s="13"/>
      <c r="BF647" s="13"/>
      <c r="BG647" s="13"/>
      <c r="BH647" s="13" t="s">
        <v>79</v>
      </c>
      <c r="BI647" s="13" t="b">
        <v>0</v>
      </c>
      <c r="BJ647" s="13">
        <v>0.0</v>
      </c>
      <c r="BK647" s="13">
        <v>0.0</v>
      </c>
    </row>
    <row r="648" ht="14.25" customHeight="1">
      <c r="A648" s="13">
        <v>646.0</v>
      </c>
      <c r="B648" s="13" t="s">
        <v>46</v>
      </c>
      <c r="C648" s="13">
        <v>5.0</v>
      </c>
      <c r="D648" s="14">
        <v>0.0</v>
      </c>
      <c r="E648" s="13" t="s">
        <v>4185</v>
      </c>
      <c r="F648" s="15" t="s">
        <v>541</v>
      </c>
      <c r="G648" s="16" t="s">
        <v>4186</v>
      </c>
      <c r="H648" s="13"/>
      <c r="I648" s="13">
        <v>1.1</v>
      </c>
      <c r="J648" s="13" t="s">
        <v>4187</v>
      </c>
      <c r="K648" s="13">
        <f t="shared" si="3"/>
        <v>3</v>
      </c>
      <c r="L648" s="13">
        <f t="shared" si="4"/>
        <v>2</v>
      </c>
      <c r="M648" s="13">
        <f t="shared" ref="M648:AA648" si="1295">IFERROR(VALUE(RIGHT(LEFT($J648,FIND(M$1,$J648,1)+LEN(M$1)),1)),0)</f>
        <v>0</v>
      </c>
      <c r="N648" s="13">
        <f t="shared" si="1295"/>
        <v>0</v>
      </c>
      <c r="O648" s="13">
        <f t="shared" si="1295"/>
        <v>0</v>
      </c>
      <c r="P648" s="13">
        <f t="shared" si="1295"/>
        <v>2</v>
      </c>
      <c r="Q648" s="13">
        <f t="shared" si="1295"/>
        <v>0</v>
      </c>
      <c r="R648" s="13">
        <f t="shared" si="1295"/>
        <v>0</v>
      </c>
      <c r="S648" s="13">
        <f t="shared" si="1295"/>
        <v>0</v>
      </c>
      <c r="T648" s="13">
        <f t="shared" si="1295"/>
        <v>0</v>
      </c>
      <c r="U648" s="13">
        <f t="shared" si="1295"/>
        <v>1</v>
      </c>
      <c r="V648" s="13">
        <f t="shared" si="1295"/>
        <v>0</v>
      </c>
      <c r="W648" s="13">
        <f t="shared" si="1295"/>
        <v>0</v>
      </c>
      <c r="X648" s="13">
        <f t="shared" si="1295"/>
        <v>0</v>
      </c>
      <c r="Y648" s="13">
        <f t="shared" si="1295"/>
        <v>0</v>
      </c>
      <c r="Z648" s="13">
        <f t="shared" si="1295"/>
        <v>0</v>
      </c>
      <c r="AA648" s="13">
        <f t="shared" si="1295"/>
        <v>0</v>
      </c>
      <c r="AB648" s="13">
        <f t="shared" ref="AB648:AP648" si="1296">IFERROR(VALUE(RIGHT(LEFT($J648,FIND(AB$1,$J648,IF(M648=0,1,FIND(AB$1,$J648,1)+1))+LEN(AB$1)),1)),0)</f>
        <v>0</v>
      </c>
      <c r="AC648" s="13">
        <f t="shared" si="1296"/>
        <v>0</v>
      </c>
      <c r="AD648" s="13">
        <f t="shared" si="1296"/>
        <v>0</v>
      </c>
      <c r="AE648" s="13">
        <f t="shared" si="1296"/>
        <v>1</v>
      </c>
      <c r="AF648" s="13">
        <f t="shared" si="1296"/>
        <v>0</v>
      </c>
      <c r="AG648" s="13">
        <f t="shared" si="1296"/>
        <v>0</v>
      </c>
      <c r="AH648" s="13">
        <f t="shared" si="1296"/>
        <v>0</v>
      </c>
      <c r="AI648" s="13">
        <f t="shared" si="1296"/>
        <v>0</v>
      </c>
      <c r="AJ648" s="13">
        <f t="shared" si="1296"/>
        <v>1</v>
      </c>
      <c r="AK648" s="13">
        <f t="shared" si="1296"/>
        <v>0</v>
      </c>
      <c r="AL648" s="13">
        <f t="shared" si="1296"/>
        <v>0</v>
      </c>
      <c r="AM648" s="13">
        <f t="shared" si="1296"/>
        <v>0</v>
      </c>
      <c r="AN648" s="13">
        <f t="shared" si="1296"/>
        <v>0</v>
      </c>
      <c r="AO648" s="13">
        <f t="shared" si="1296"/>
        <v>0</v>
      </c>
      <c r="AP648" s="13">
        <f t="shared" si="1296"/>
        <v>0</v>
      </c>
      <c r="AQ648" s="13" t="s">
        <v>4188</v>
      </c>
      <c r="AR648" s="13"/>
      <c r="AS648" s="13" t="s">
        <v>4189</v>
      </c>
      <c r="AT648" s="13"/>
      <c r="AU648" s="13"/>
      <c r="AV648" s="13"/>
      <c r="AW648" s="13">
        <v>0.0</v>
      </c>
      <c r="AX648" s="13">
        <v>9.0</v>
      </c>
      <c r="AY648" s="13">
        <v>0.0</v>
      </c>
      <c r="AZ648" s="13"/>
      <c r="BA648" s="13"/>
      <c r="BB648" s="13"/>
      <c r="BC648" s="13"/>
      <c r="BD648" s="13"/>
      <c r="BE648" s="13"/>
      <c r="BF648" s="13"/>
      <c r="BG648" s="13"/>
      <c r="BH648" s="13" t="s">
        <v>79</v>
      </c>
      <c r="BI648" s="13" t="b">
        <v>0</v>
      </c>
      <c r="BJ648" s="13">
        <v>0.0</v>
      </c>
      <c r="BK648" s="13">
        <v>0.0</v>
      </c>
    </row>
    <row r="649" ht="14.25" customHeight="1">
      <c r="A649" s="13">
        <v>647.0</v>
      </c>
      <c r="B649" s="13" t="s">
        <v>44</v>
      </c>
      <c r="C649" s="13">
        <v>0.0</v>
      </c>
      <c r="D649" s="14">
        <v>0.0</v>
      </c>
      <c r="E649" s="13" t="s">
        <v>4190</v>
      </c>
      <c r="F649" s="15" t="s">
        <v>931</v>
      </c>
      <c r="G649" s="16" t="s">
        <v>4191</v>
      </c>
      <c r="H649" s="13"/>
      <c r="I649" s="13">
        <v>1.0</v>
      </c>
      <c r="J649" s="13" t="s">
        <v>2185</v>
      </c>
      <c r="K649" s="13">
        <f t="shared" si="3"/>
        <v>0</v>
      </c>
      <c r="L649" s="13">
        <f t="shared" si="4"/>
        <v>1</v>
      </c>
      <c r="M649" s="13">
        <f t="shared" ref="M649:AA649" si="1297">IFERROR(VALUE(RIGHT(LEFT($J649,FIND(M$1,$J649,1)+LEN(M$1)),1)),0)</f>
        <v>0</v>
      </c>
      <c r="N649" s="13">
        <f t="shared" si="1297"/>
        <v>0</v>
      </c>
      <c r="O649" s="13">
        <f t="shared" si="1297"/>
        <v>0</v>
      </c>
      <c r="P649" s="13">
        <f t="shared" si="1297"/>
        <v>0</v>
      </c>
      <c r="Q649" s="13">
        <f t="shared" si="1297"/>
        <v>0</v>
      </c>
      <c r="R649" s="13">
        <f t="shared" si="1297"/>
        <v>0</v>
      </c>
      <c r="S649" s="13">
        <f t="shared" si="1297"/>
        <v>0</v>
      </c>
      <c r="T649" s="13">
        <f t="shared" si="1297"/>
        <v>0</v>
      </c>
      <c r="U649" s="13">
        <f t="shared" si="1297"/>
        <v>0</v>
      </c>
      <c r="V649" s="13">
        <f t="shared" si="1297"/>
        <v>0</v>
      </c>
      <c r="W649" s="13">
        <f t="shared" si="1297"/>
        <v>0</v>
      </c>
      <c r="X649" s="13">
        <f t="shared" si="1297"/>
        <v>0</v>
      </c>
      <c r="Y649" s="13">
        <f t="shared" si="1297"/>
        <v>0</v>
      </c>
      <c r="Z649" s="13">
        <f t="shared" si="1297"/>
        <v>0</v>
      </c>
      <c r="AA649" s="13">
        <f t="shared" si="1297"/>
        <v>0</v>
      </c>
      <c r="AB649" s="13">
        <f t="shared" ref="AB649:AP649" si="1298">IFERROR(VALUE(RIGHT(LEFT($J649,FIND(AB$1,$J649,IF(M649=0,1,FIND(AB$1,$J649,1)+1))+LEN(AB$1)),1)),0)</f>
        <v>0</v>
      </c>
      <c r="AC649" s="13">
        <f t="shared" si="1298"/>
        <v>0</v>
      </c>
      <c r="AD649" s="13">
        <f t="shared" si="1298"/>
        <v>0</v>
      </c>
      <c r="AE649" s="13">
        <f t="shared" si="1298"/>
        <v>0</v>
      </c>
      <c r="AF649" s="13">
        <f t="shared" si="1298"/>
        <v>0</v>
      </c>
      <c r="AG649" s="13">
        <f t="shared" si="1298"/>
        <v>0</v>
      </c>
      <c r="AH649" s="13">
        <f t="shared" si="1298"/>
        <v>1</v>
      </c>
      <c r="AI649" s="13">
        <f t="shared" si="1298"/>
        <v>0</v>
      </c>
      <c r="AJ649" s="13">
        <f t="shared" si="1298"/>
        <v>0</v>
      </c>
      <c r="AK649" s="13">
        <f t="shared" si="1298"/>
        <v>0</v>
      </c>
      <c r="AL649" s="13">
        <f t="shared" si="1298"/>
        <v>0</v>
      </c>
      <c r="AM649" s="13">
        <f t="shared" si="1298"/>
        <v>0</v>
      </c>
      <c r="AN649" s="13">
        <f t="shared" si="1298"/>
        <v>0</v>
      </c>
      <c r="AO649" s="13">
        <f t="shared" si="1298"/>
        <v>0</v>
      </c>
      <c r="AP649" s="13">
        <f t="shared" si="1298"/>
        <v>0</v>
      </c>
      <c r="AQ649" s="13" t="s">
        <v>4192</v>
      </c>
      <c r="AR649" s="13"/>
      <c r="AS649" s="13" t="s">
        <v>2187</v>
      </c>
      <c r="AT649" s="13"/>
      <c r="AU649" s="13"/>
      <c r="AV649" s="13"/>
      <c r="AW649" s="13">
        <v>0.0</v>
      </c>
      <c r="AX649" s="13">
        <v>10.0</v>
      </c>
      <c r="AY649" s="13">
        <v>0.0</v>
      </c>
      <c r="AZ649" s="13"/>
      <c r="BA649" s="13"/>
      <c r="BB649" s="13"/>
      <c r="BC649" s="13"/>
      <c r="BD649" s="13"/>
      <c r="BE649" s="13"/>
      <c r="BF649" s="13"/>
      <c r="BG649" s="13"/>
      <c r="BH649" s="13" t="s">
        <v>79</v>
      </c>
      <c r="BI649" s="13" t="b">
        <v>0</v>
      </c>
      <c r="BJ649" s="13">
        <v>0.0</v>
      </c>
      <c r="BK649" s="13">
        <v>0.0</v>
      </c>
    </row>
    <row r="650" ht="14.25" customHeight="1">
      <c r="A650" s="13">
        <v>648.0</v>
      </c>
      <c r="B650" s="13" t="s">
        <v>45</v>
      </c>
      <c r="C650" s="13">
        <v>0.0</v>
      </c>
      <c r="D650" s="14">
        <v>0.0</v>
      </c>
      <c r="E650" s="13" t="s">
        <v>4193</v>
      </c>
      <c r="F650" s="15" t="s">
        <v>931</v>
      </c>
      <c r="G650" s="16" t="s">
        <v>4194</v>
      </c>
      <c r="H650" s="13"/>
      <c r="I650" s="13">
        <v>0.8</v>
      </c>
      <c r="J650" s="13" t="s">
        <v>100</v>
      </c>
      <c r="K650" s="13">
        <f t="shared" si="3"/>
        <v>0</v>
      </c>
      <c r="L650" s="13">
        <f t="shared" si="4"/>
        <v>1</v>
      </c>
      <c r="M650" s="13">
        <f t="shared" ref="M650:AA650" si="1299">IFERROR(VALUE(RIGHT(LEFT($J650,FIND(M$1,$J650,1)+LEN(M$1)),1)),0)</f>
        <v>0</v>
      </c>
      <c r="N650" s="13">
        <f t="shared" si="1299"/>
        <v>0</v>
      </c>
      <c r="O650" s="13">
        <f t="shared" si="1299"/>
        <v>0</v>
      </c>
      <c r="P650" s="13">
        <f t="shared" si="1299"/>
        <v>0</v>
      </c>
      <c r="Q650" s="13">
        <f t="shared" si="1299"/>
        <v>0</v>
      </c>
      <c r="R650" s="13">
        <f t="shared" si="1299"/>
        <v>0</v>
      </c>
      <c r="S650" s="13">
        <f t="shared" si="1299"/>
        <v>0</v>
      </c>
      <c r="T650" s="13">
        <f t="shared" si="1299"/>
        <v>0</v>
      </c>
      <c r="U650" s="13">
        <f t="shared" si="1299"/>
        <v>0</v>
      </c>
      <c r="V650" s="13">
        <f t="shared" si="1299"/>
        <v>0</v>
      </c>
      <c r="W650" s="13">
        <f t="shared" si="1299"/>
        <v>0</v>
      </c>
      <c r="X650" s="13">
        <f t="shared" si="1299"/>
        <v>0</v>
      </c>
      <c r="Y650" s="13">
        <f t="shared" si="1299"/>
        <v>0</v>
      </c>
      <c r="Z650" s="13">
        <f t="shared" si="1299"/>
        <v>0</v>
      </c>
      <c r="AA650" s="13">
        <f t="shared" si="1299"/>
        <v>0</v>
      </c>
      <c r="AB650" s="13">
        <f t="shared" ref="AB650:AP650" si="1300">IFERROR(VALUE(RIGHT(LEFT($J650,FIND(AB$1,$J650,IF(M650=0,1,FIND(AB$1,$J650,1)+1))+LEN(AB$1)),1)),0)</f>
        <v>0</v>
      </c>
      <c r="AC650" s="13">
        <f t="shared" si="1300"/>
        <v>0</v>
      </c>
      <c r="AD650" s="13">
        <f t="shared" si="1300"/>
        <v>0</v>
      </c>
      <c r="AE650" s="13">
        <f t="shared" si="1300"/>
        <v>0</v>
      </c>
      <c r="AF650" s="13">
        <f t="shared" si="1300"/>
        <v>0</v>
      </c>
      <c r="AG650" s="13">
        <f t="shared" si="1300"/>
        <v>0</v>
      </c>
      <c r="AH650" s="13">
        <f t="shared" si="1300"/>
        <v>0</v>
      </c>
      <c r="AI650" s="13">
        <f t="shared" si="1300"/>
        <v>1</v>
      </c>
      <c r="AJ650" s="13">
        <f t="shared" si="1300"/>
        <v>0</v>
      </c>
      <c r="AK650" s="13">
        <f t="shared" si="1300"/>
        <v>0</v>
      </c>
      <c r="AL650" s="13">
        <f t="shared" si="1300"/>
        <v>0</v>
      </c>
      <c r="AM650" s="13">
        <f t="shared" si="1300"/>
        <v>0</v>
      </c>
      <c r="AN650" s="13">
        <f t="shared" si="1300"/>
        <v>0</v>
      </c>
      <c r="AO650" s="13">
        <f t="shared" si="1300"/>
        <v>0</v>
      </c>
      <c r="AP650" s="13">
        <f t="shared" si="1300"/>
        <v>0</v>
      </c>
      <c r="AQ650" s="13" t="s">
        <v>4195</v>
      </c>
      <c r="AR650" s="13"/>
      <c r="AS650" s="13" t="s">
        <v>2774</v>
      </c>
      <c r="AT650" s="13"/>
      <c r="AU650" s="13"/>
      <c r="AV650" s="13"/>
      <c r="AW650" s="13">
        <v>0.0</v>
      </c>
      <c r="AX650" s="13">
        <v>10.0</v>
      </c>
      <c r="AY650" s="13">
        <v>0.0</v>
      </c>
      <c r="AZ650" s="13"/>
      <c r="BA650" s="13"/>
      <c r="BB650" s="13"/>
      <c r="BC650" s="13"/>
      <c r="BD650" s="13"/>
      <c r="BE650" s="13"/>
      <c r="BF650" s="13"/>
      <c r="BG650" s="13"/>
      <c r="BH650" s="13" t="s">
        <v>79</v>
      </c>
      <c r="BI650" s="13" t="b">
        <v>0</v>
      </c>
      <c r="BJ650" s="13">
        <v>0.0</v>
      </c>
      <c r="BK650" s="13">
        <v>0.0</v>
      </c>
    </row>
    <row r="651" ht="14.25" customHeight="1">
      <c r="A651" s="13">
        <v>649.0</v>
      </c>
      <c r="B651" s="13" t="s">
        <v>46</v>
      </c>
      <c r="C651" s="13">
        <v>0.0</v>
      </c>
      <c r="D651" s="14">
        <v>0.0</v>
      </c>
      <c r="E651" s="13" t="s">
        <v>4196</v>
      </c>
      <c r="F651" s="15" t="s">
        <v>931</v>
      </c>
      <c r="G651" s="16" t="s">
        <v>4197</v>
      </c>
      <c r="H651" s="13"/>
      <c r="I651" s="13">
        <v>0.9</v>
      </c>
      <c r="J651" s="13" t="s">
        <v>111</v>
      </c>
      <c r="K651" s="13">
        <f t="shared" si="3"/>
        <v>0</v>
      </c>
      <c r="L651" s="13">
        <f t="shared" si="4"/>
        <v>1</v>
      </c>
      <c r="M651" s="13">
        <f t="shared" ref="M651:AA651" si="1301">IFERROR(VALUE(RIGHT(LEFT($J651,FIND(M$1,$J651,1)+LEN(M$1)),1)),0)</f>
        <v>0</v>
      </c>
      <c r="N651" s="13">
        <f t="shared" si="1301"/>
        <v>0</v>
      </c>
      <c r="O651" s="13">
        <f t="shared" si="1301"/>
        <v>0</v>
      </c>
      <c r="P651" s="13">
        <f t="shared" si="1301"/>
        <v>0</v>
      </c>
      <c r="Q651" s="13">
        <f t="shared" si="1301"/>
        <v>0</v>
      </c>
      <c r="R651" s="13">
        <f t="shared" si="1301"/>
        <v>0</v>
      </c>
      <c r="S651" s="13">
        <f t="shared" si="1301"/>
        <v>0</v>
      </c>
      <c r="T651" s="13">
        <f t="shared" si="1301"/>
        <v>0</v>
      </c>
      <c r="U651" s="13">
        <f t="shared" si="1301"/>
        <v>0</v>
      </c>
      <c r="V651" s="13">
        <f t="shared" si="1301"/>
        <v>0</v>
      </c>
      <c r="W651" s="13">
        <f t="shared" si="1301"/>
        <v>0</v>
      </c>
      <c r="X651" s="13">
        <f t="shared" si="1301"/>
        <v>0</v>
      </c>
      <c r="Y651" s="13">
        <f t="shared" si="1301"/>
        <v>0</v>
      </c>
      <c r="Z651" s="13">
        <f t="shared" si="1301"/>
        <v>0</v>
      </c>
      <c r="AA651" s="13">
        <f t="shared" si="1301"/>
        <v>0</v>
      </c>
      <c r="AB651" s="13">
        <f t="shared" ref="AB651:AP651" si="1302">IFERROR(VALUE(RIGHT(LEFT($J651,FIND(AB$1,$J651,IF(M651=0,1,FIND(AB$1,$J651,1)+1))+LEN(AB$1)),1)),0)</f>
        <v>0</v>
      </c>
      <c r="AC651" s="13">
        <f t="shared" si="1302"/>
        <v>0</v>
      </c>
      <c r="AD651" s="13">
        <f t="shared" si="1302"/>
        <v>0</v>
      </c>
      <c r="AE651" s="13">
        <f t="shared" si="1302"/>
        <v>0</v>
      </c>
      <c r="AF651" s="13">
        <f t="shared" si="1302"/>
        <v>0</v>
      </c>
      <c r="AG651" s="13">
        <f t="shared" si="1302"/>
        <v>0</v>
      </c>
      <c r="AH651" s="13">
        <f t="shared" si="1302"/>
        <v>0</v>
      </c>
      <c r="AI651" s="13">
        <f t="shared" si="1302"/>
        <v>0</v>
      </c>
      <c r="AJ651" s="13">
        <f t="shared" si="1302"/>
        <v>1</v>
      </c>
      <c r="AK651" s="13">
        <f t="shared" si="1302"/>
        <v>0</v>
      </c>
      <c r="AL651" s="13">
        <f t="shared" si="1302"/>
        <v>0</v>
      </c>
      <c r="AM651" s="13">
        <f t="shared" si="1302"/>
        <v>0</v>
      </c>
      <c r="AN651" s="13">
        <f t="shared" si="1302"/>
        <v>0</v>
      </c>
      <c r="AO651" s="13">
        <f t="shared" si="1302"/>
        <v>0</v>
      </c>
      <c r="AP651" s="13">
        <f t="shared" si="1302"/>
        <v>0</v>
      </c>
      <c r="AQ651" s="13" t="s">
        <v>4198</v>
      </c>
      <c r="AR651" s="13"/>
      <c r="AS651" s="13" t="s">
        <v>117</v>
      </c>
      <c r="AT651" s="13"/>
      <c r="AU651" s="13"/>
      <c r="AV651" s="13"/>
      <c r="AW651" s="13">
        <v>0.0</v>
      </c>
      <c r="AX651" s="13">
        <v>10.0</v>
      </c>
      <c r="AY651" s="13">
        <v>0.0</v>
      </c>
      <c r="AZ651" s="13"/>
      <c r="BA651" s="13"/>
      <c r="BB651" s="13"/>
      <c r="BC651" s="13"/>
      <c r="BD651" s="13"/>
      <c r="BE651" s="13"/>
      <c r="BF651" s="13"/>
      <c r="BG651" s="13"/>
      <c r="BH651" s="13" t="s">
        <v>79</v>
      </c>
      <c r="BI651" s="13" t="b">
        <v>0</v>
      </c>
      <c r="BJ651" s="13">
        <v>0.0</v>
      </c>
      <c r="BK651" s="13">
        <v>0.0</v>
      </c>
    </row>
    <row r="652" ht="14.25" customHeight="1">
      <c r="A652" s="13">
        <v>650.0</v>
      </c>
      <c r="B652" s="13" t="s">
        <v>47</v>
      </c>
      <c r="C652" s="13">
        <v>0.0</v>
      </c>
      <c r="D652" s="14">
        <v>0.0</v>
      </c>
      <c r="E652" s="13" t="s">
        <v>4199</v>
      </c>
      <c r="F652" s="15" t="s">
        <v>931</v>
      </c>
      <c r="G652" s="16" t="s">
        <v>4200</v>
      </c>
      <c r="H652" s="13">
        <v>10.0</v>
      </c>
      <c r="I652" s="13">
        <v>0.9</v>
      </c>
      <c r="J652" s="13" t="s">
        <v>127</v>
      </c>
      <c r="K652" s="13">
        <f t="shared" si="3"/>
        <v>0</v>
      </c>
      <c r="L652" s="13">
        <f t="shared" si="4"/>
        <v>1</v>
      </c>
      <c r="M652" s="13">
        <f t="shared" ref="M652:AA652" si="1303">IFERROR(VALUE(RIGHT(LEFT($J652,FIND(M$1,$J652,1)+LEN(M$1)),1)),0)</f>
        <v>0</v>
      </c>
      <c r="N652" s="13">
        <f t="shared" si="1303"/>
        <v>0</v>
      </c>
      <c r="O652" s="13">
        <f t="shared" si="1303"/>
        <v>0</v>
      </c>
      <c r="P652" s="13">
        <f t="shared" si="1303"/>
        <v>0</v>
      </c>
      <c r="Q652" s="13">
        <f t="shared" si="1303"/>
        <v>0</v>
      </c>
      <c r="R652" s="13">
        <f t="shared" si="1303"/>
        <v>0</v>
      </c>
      <c r="S652" s="13">
        <f t="shared" si="1303"/>
        <v>0</v>
      </c>
      <c r="T652" s="13">
        <f t="shared" si="1303"/>
        <v>0</v>
      </c>
      <c r="U652" s="13">
        <f t="shared" si="1303"/>
        <v>0</v>
      </c>
      <c r="V652" s="13">
        <f t="shared" si="1303"/>
        <v>0</v>
      </c>
      <c r="W652" s="13">
        <f t="shared" si="1303"/>
        <v>0</v>
      </c>
      <c r="X652" s="13">
        <f t="shared" si="1303"/>
        <v>0</v>
      </c>
      <c r="Y652" s="13">
        <f t="shared" si="1303"/>
        <v>0</v>
      </c>
      <c r="Z652" s="13">
        <f t="shared" si="1303"/>
        <v>0</v>
      </c>
      <c r="AA652" s="13">
        <f t="shared" si="1303"/>
        <v>0</v>
      </c>
      <c r="AB652" s="13">
        <f t="shared" ref="AB652:AP652" si="1304">IFERROR(VALUE(RIGHT(LEFT($J652,FIND(AB$1,$J652,IF(M652=0,1,FIND(AB$1,$J652,1)+1))+LEN(AB$1)),1)),0)</f>
        <v>0</v>
      </c>
      <c r="AC652" s="13">
        <f t="shared" si="1304"/>
        <v>0</v>
      </c>
      <c r="AD652" s="13">
        <f t="shared" si="1304"/>
        <v>0</v>
      </c>
      <c r="AE652" s="13">
        <f t="shared" si="1304"/>
        <v>0</v>
      </c>
      <c r="AF652" s="13">
        <f t="shared" si="1304"/>
        <v>0</v>
      </c>
      <c r="AG652" s="13">
        <f t="shared" si="1304"/>
        <v>0</v>
      </c>
      <c r="AH652" s="13">
        <f t="shared" si="1304"/>
        <v>0</v>
      </c>
      <c r="AI652" s="13">
        <f t="shared" si="1304"/>
        <v>0</v>
      </c>
      <c r="AJ652" s="13">
        <f t="shared" si="1304"/>
        <v>0</v>
      </c>
      <c r="AK652" s="13">
        <f t="shared" si="1304"/>
        <v>1</v>
      </c>
      <c r="AL652" s="13">
        <f t="shared" si="1304"/>
        <v>0</v>
      </c>
      <c r="AM652" s="13">
        <f t="shared" si="1304"/>
        <v>0</v>
      </c>
      <c r="AN652" s="13">
        <f t="shared" si="1304"/>
        <v>0</v>
      </c>
      <c r="AO652" s="13">
        <f t="shared" si="1304"/>
        <v>0</v>
      </c>
      <c r="AP652" s="13">
        <f t="shared" si="1304"/>
        <v>0</v>
      </c>
      <c r="AQ652" s="13"/>
      <c r="AR652" s="13" t="s">
        <v>4201</v>
      </c>
      <c r="AS652" s="13" t="s">
        <v>141</v>
      </c>
      <c r="AT652" s="13" t="s">
        <v>162</v>
      </c>
      <c r="AU652" s="13" t="s">
        <v>163</v>
      </c>
      <c r="AV652" s="13" t="s">
        <v>4202</v>
      </c>
      <c r="AW652" s="13">
        <v>5.0</v>
      </c>
      <c r="AX652" s="13">
        <v>10.0</v>
      </c>
      <c r="AY652" s="13">
        <v>0.0</v>
      </c>
      <c r="AZ652" s="13" t="s">
        <v>132</v>
      </c>
      <c r="BA652" s="13" t="s">
        <v>133</v>
      </c>
      <c r="BB652" s="13"/>
      <c r="BC652" s="13"/>
      <c r="BD652" s="13" t="s">
        <v>134</v>
      </c>
      <c r="BE652" s="13"/>
      <c r="BF652" s="13" t="s">
        <v>494</v>
      </c>
      <c r="BG652" s="13" t="s">
        <v>136</v>
      </c>
      <c r="BH652" s="13" t="s">
        <v>79</v>
      </c>
      <c r="BI652" s="13" t="b">
        <v>0</v>
      </c>
      <c r="BJ652" s="13">
        <v>0.0</v>
      </c>
      <c r="BK652" s="13">
        <v>0.0</v>
      </c>
    </row>
    <row r="653" ht="14.25" customHeight="1">
      <c r="A653" s="13">
        <v>651.0</v>
      </c>
      <c r="B653" s="13" t="s">
        <v>50</v>
      </c>
      <c r="C653" s="13">
        <v>0.0</v>
      </c>
      <c r="D653" s="14">
        <v>0.0</v>
      </c>
      <c r="E653" s="13" t="s">
        <v>4203</v>
      </c>
      <c r="F653" s="15" t="s">
        <v>931</v>
      </c>
      <c r="G653" s="16" t="s">
        <v>4204</v>
      </c>
      <c r="H653" s="13">
        <v>11.0</v>
      </c>
      <c r="I653" s="13">
        <v>0.9</v>
      </c>
      <c r="J653" s="13" t="s">
        <v>225</v>
      </c>
      <c r="K653" s="13">
        <f t="shared" si="3"/>
        <v>0</v>
      </c>
      <c r="L653" s="13">
        <f t="shared" si="4"/>
        <v>1</v>
      </c>
      <c r="M653" s="13">
        <f t="shared" ref="M653:AA653" si="1305">IFERROR(VALUE(RIGHT(LEFT($J653,FIND(M$1,$J653,1)+LEN(M$1)),1)),0)</f>
        <v>0</v>
      </c>
      <c r="N653" s="13">
        <f t="shared" si="1305"/>
        <v>0</v>
      </c>
      <c r="O653" s="13">
        <f t="shared" si="1305"/>
        <v>0</v>
      </c>
      <c r="P653" s="13">
        <f t="shared" si="1305"/>
        <v>0</v>
      </c>
      <c r="Q653" s="13">
        <f t="shared" si="1305"/>
        <v>0</v>
      </c>
      <c r="R653" s="13">
        <f t="shared" si="1305"/>
        <v>0</v>
      </c>
      <c r="S653" s="13">
        <f t="shared" si="1305"/>
        <v>0</v>
      </c>
      <c r="T653" s="13">
        <f t="shared" si="1305"/>
        <v>0</v>
      </c>
      <c r="U653" s="13">
        <f t="shared" si="1305"/>
        <v>0</v>
      </c>
      <c r="V653" s="13">
        <f t="shared" si="1305"/>
        <v>0</v>
      </c>
      <c r="W653" s="13">
        <f t="shared" si="1305"/>
        <v>0</v>
      </c>
      <c r="X653" s="13">
        <f t="shared" si="1305"/>
        <v>0</v>
      </c>
      <c r="Y653" s="13">
        <f t="shared" si="1305"/>
        <v>0</v>
      </c>
      <c r="Z653" s="13">
        <f t="shared" si="1305"/>
        <v>0</v>
      </c>
      <c r="AA653" s="13">
        <f t="shared" si="1305"/>
        <v>0</v>
      </c>
      <c r="AB653" s="13">
        <f t="shared" ref="AB653:AP653" si="1306">IFERROR(VALUE(RIGHT(LEFT($J653,FIND(AB$1,$J653,IF(M653=0,1,FIND(AB$1,$J653,1)+1))+LEN(AB$1)),1)),0)</f>
        <v>0</v>
      </c>
      <c r="AC653" s="13">
        <f t="shared" si="1306"/>
        <v>0</v>
      </c>
      <c r="AD653" s="13">
        <f t="shared" si="1306"/>
        <v>0</v>
      </c>
      <c r="AE653" s="13">
        <f t="shared" si="1306"/>
        <v>0</v>
      </c>
      <c r="AF653" s="13">
        <f t="shared" si="1306"/>
        <v>0</v>
      </c>
      <c r="AG653" s="13">
        <f t="shared" si="1306"/>
        <v>0</v>
      </c>
      <c r="AH653" s="13">
        <f t="shared" si="1306"/>
        <v>0</v>
      </c>
      <c r="AI653" s="13">
        <f t="shared" si="1306"/>
        <v>0</v>
      </c>
      <c r="AJ653" s="13">
        <f t="shared" si="1306"/>
        <v>0</v>
      </c>
      <c r="AK653" s="13">
        <f t="shared" si="1306"/>
        <v>0</v>
      </c>
      <c r="AL653" s="13">
        <f t="shared" si="1306"/>
        <v>0</v>
      </c>
      <c r="AM653" s="13">
        <f t="shared" si="1306"/>
        <v>0</v>
      </c>
      <c r="AN653" s="13">
        <f t="shared" si="1306"/>
        <v>1</v>
      </c>
      <c r="AO653" s="13">
        <f t="shared" si="1306"/>
        <v>0</v>
      </c>
      <c r="AP653" s="13">
        <f t="shared" si="1306"/>
        <v>0</v>
      </c>
      <c r="AQ653" s="13"/>
      <c r="AR653" s="13" t="s">
        <v>4205</v>
      </c>
      <c r="AS653" s="13" t="s">
        <v>235</v>
      </c>
      <c r="AT653" s="13" t="s">
        <v>162</v>
      </c>
      <c r="AU653" s="13" t="s">
        <v>248</v>
      </c>
      <c r="AV653" s="13" t="s">
        <v>2786</v>
      </c>
      <c r="AW653" s="13">
        <v>6.0</v>
      </c>
      <c r="AX653" s="13">
        <v>10.0</v>
      </c>
      <c r="AY653" s="13">
        <v>0.0</v>
      </c>
      <c r="AZ653" s="13" t="s">
        <v>228</v>
      </c>
      <c r="BA653" s="13" t="s">
        <v>625</v>
      </c>
      <c r="BB653" s="13"/>
      <c r="BC653" s="13"/>
      <c r="BD653" s="13" t="s">
        <v>230</v>
      </c>
      <c r="BE653" s="13"/>
      <c r="BF653" s="13" t="s">
        <v>665</v>
      </c>
      <c r="BG653" s="13" t="s">
        <v>50</v>
      </c>
      <c r="BH653" s="13" t="s">
        <v>79</v>
      </c>
      <c r="BI653" s="13" t="b">
        <v>0</v>
      </c>
      <c r="BJ653" s="13">
        <v>0.0</v>
      </c>
      <c r="BK653" s="13">
        <v>0.0</v>
      </c>
    </row>
    <row r="654" ht="14.25" customHeight="1">
      <c r="A654" s="13">
        <v>652.0</v>
      </c>
      <c r="B654" s="13" t="s">
        <v>50</v>
      </c>
      <c r="C654" s="13">
        <v>0.0</v>
      </c>
      <c r="D654" s="14">
        <v>0.0</v>
      </c>
      <c r="E654" s="13" t="s">
        <v>4206</v>
      </c>
      <c r="F654" s="15" t="s">
        <v>931</v>
      </c>
      <c r="G654" s="16" t="s">
        <v>4207</v>
      </c>
      <c r="H654" s="13">
        <v>9.0</v>
      </c>
      <c r="I654" s="13">
        <v>0.8</v>
      </c>
      <c r="J654" s="13" t="s">
        <v>225</v>
      </c>
      <c r="K654" s="13">
        <f t="shared" si="3"/>
        <v>0</v>
      </c>
      <c r="L654" s="13">
        <f t="shared" si="4"/>
        <v>1</v>
      </c>
      <c r="M654" s="13">
        <f t="shared" ref="M654:AA654" si="1307">IFERROR(VALUE(RIGHT(LEFT($J654,FIND(M$1,$J654,1)+LEN(M$1)),1)),0)</f>
        <v>0</v>
      </c>
      <c r="N654" s="13">
        <f t="shared" si="1307"/>
        <v>0</v>
      </c>
      <c r="O654" s="13">
        <f t="shared" si="1307"/>
        <v>0</v>
      </c>
      <c r="P654" s="13">
        <f t="shared" si="1307"/>
        <v>0</v>
      </c>
      <c r="Q654" s="13">
        <f t="shared" si="1307"/>
        <v>0</v>
      </c>
      <c r="R654" s="13">
        <f t="shared" si="1307"/>
        <v>0</v>
      </c>
      <c r="S654" s="13">
        <f t="shared" si="1307"/>
        <v>0</v>
      </c>
      <c r="T654" s="13">
        <f t="shared" si="1307"/>
        <v>0</v>
      </c>
      <c r="U654" s="13">
        <f t="shared" si="1307"/>
        <v>0</v>
      </c>
      <c r="V654" s="13">
        <f t="shared" si="1307"/>
        <v>0</v>
      </c>
      <c r="W654" s="13">
        <f t="shared" si="1307"/>
        <v>0</v>
      </c>
      <c r="X654" s="13">
        <f t="shared" si="1307"/>
        <v>0</v>
      </c>
      <c r="Y654" s="13">
        <f t="shared" si="1307"/>
        <v>0</v>
      </c>
      <c r="Z654" s="13">
        <f t="shared" si="1307"/>
        <v>0</v>
      </c>
      <c r="AA654" s="13">
        <f t="shared" si="1307"/>
        <v>0</v>
      </c>
      <c r="AB654" s="13">
        <f t="shared" ref="AB654:AP654" si="1308">IFERROR(VALUE(RIGHT(LEFT($J654,FIND(AB$1,$J654,IF(M654=0,1,FIND(AB$1,$J654,1)+1))+LEN(AB$1)),1)),0)</f>
        <v>0</v>
      </c>
      <c r="AC654" s="13">
        <f t="shared" si="1308"/>
        <v>0</v>
      </c>
      <c r="AD654" s="13">
        <f t="shared" si="1308"/>
        <v>0</v>
      </c>
      <c r="AE654" s="13">
        <f t="shared" si="1308"/>
        <v>0</v>
      </c>
      <c r="AF654" s="13">
        <f t="shared" si="1308"/>
        <v>0</v>
      </c>
      <c r="AG654" s="13">
        <f t="shared" si="1308"/>
        <v>0</v>
      </c>
      <c r="AH654" s="13">
        <f t="shared" si="1308"/>
        <v>0</v>
      </c>
      <c r="AI654" s="13">
        <f t="shared" si="1308"/>
        <v>0</v>
      </c>
      <c r="AJ654" s="13">
        <f t="shared" si="1308"/>
        <v>0</v>
      </c>
      <c r="AK654" s="13">
        <f t="shared" si="1308"/>
        <v>0</v>
      </c>
      <c r="AL654" s="13">
        <f t="shared" si="1308"/>
        <v>0</v>
      </c>
      <c r="AM654" s="13">
        <f t="shared" si="1308"/>
        <v>0</v>
      </c>
      <c r="AN654" s="13">
        <f t="shared" si="1308"/>
        <v>1</v>
      </c>
      <c r="AO654" s="13">
        <f t="shared" si="1308"/>
        <v>0</v>
      </c>
      <c r="AP654" s="13">
        <f t="shared" si="1308"/>
        <v>0</v>
      </c>
      <c r="AQ654" s="13"/>
      <c r="AR654" s="13" t="s">
        <v>4208</v>
      </c>
      <c r="AS654" s="13" t="s">
        <v>2980</v>
      </c>
      <c r="AT654" s="13" t="s">
        <v>142</v>
      </c>
      <c r="AU654" s="13" t="s">
        <v>143</v>
      </c>
      <c r="AV654" s="13" t="s">
        <v>4209</v>
      </c>
      <c r="AW654" s="13">
        <v>4.0</v>
      </c>
      <c r="AX654" s="13">
        <v>10.0</v>
      </c>
      <c r="AY654" s="13">
        <v>0.0</v>
      </c>
      <c r="AZ654" s="13" t="s">
        <v>165</v>
      </c>
      <c r="BA654" s="13" t="s">
        <v>281</v>
      </c>
      <c r="BB654" s="13"/>
      <c r="BC654" s="13"/>
      <c r="BD654" s="13" t="s">
        <v>715</v>
      </c>
      <c r="BE654" s="13"/>
      <c r="BF654" s="13" t="s">
        <v>2817</v>
      </c>
      <c r="BG654" s="13" t="s">
        <v>50</v>
      </c>
      <c r="BH654" s="13" t="s">
        <v>79</v>
      </c>
      <c r="BI654" s="13" t="b">
        <v>0</v>
      </c>
      <c r="BJ654" s="13">
        <v>0.0</v>
      </c>
      <c r="BK654" s="13">
        <v>0.0</v>
      </c>
    </row>
    <row r="655" ht="14.25" customHeight="1">
      <c r="A655" s="13">
        <v>653.0</v>
      </c>
      <c r="B655" s="13" t="s">
        <v>51</v>
      </c>
      <c r="C655" s="13">
        <v>0.0</v>
      </c>
      <c r="D655" s="14">
        <v>0.0</v>
      </c>
      <c r="E655" s="13" t="s">
        <v>4210</v>
      </c>
      <c r="F655" s="15" t="s">
        <v>931</v>
      </c>
      <c r="G655" s="16" t="s">
        <v>4211</v>
      </c>
      <c r="H655" s="13">
        <v>12.0</v>
      </c>
      <c r="I655" s="13">
        <v>1.0</v>
      </c>
      <c r="J655" s="13" t="s">
        <v>255</v>
      </c>
      <c r="K655" s="13">
        <f t="shared" si="3"/>
        <v>0</v>
      </c>
      <c r="L655" s="13">
        <f t="shared" si="4"/>
        <v>1</v>
      </c>
      <c r="M655" s="13">
        <f t="shared" ref="M655:AA655" si="1309">IFERROR(VALUE(RIGHT(LEFT($J655,FIND(M$1,$J655,1)+LEN(M$1)),1)),0)</f>
        <v>0</v>
      </c>
      <c r="N655" s="13">
        <f t="shared" si="1309"/>
        <v>0</v>
      </c>
      <c r="O655" s="13">
        <f t="shared" si="1309"/>
        <v>0</v>
      </c>
      <c r="P655" s="13">
        <f t="shared" si="1309"/>
        <v>0</v>
      </c>
      <c r="Q655" s="13">
        <f t="shared" si="1309"/>
        <v>0</v>
      </c>
      <c r="R655" s="13">
        <f t="shared" si="1309"/>
        <v>0</v>
      </c>
      <c r="S655" s="13">
        <f t="shared" si="1309"/>
        <v>0</v>
      </c>
      <c r="T655" s="13">
        <f t="shared" si="1309"/>
        <v>0</v>
      </c>
      <c r="U655" s="13">
        <f t="shared" si="1309"/>
        <v>0</v>
      </c>
      <c r="V655" s="13">
        <f t="shared" si="1309"/>
        <v>0</v>
      </c>
      <c r="W655" s="13">
        <f t="shared" si="1309"/>
        <v>0</v>
      </c>
      <c r="X655" s="13">
        <f t="shared" si="1309"/>
        <v>0</v>
      </c>
      <c r="Y655" s="13">
        <f t="shared" si="1309"/>
        <v>0</v>
      </c>
      <c r="Z655" s="13">
        <f t="shared" si="1309"/>
        <v>0</v>
      </c>
      <c r="AA655" s="13">
        <f t="shared" si="1309"/>
        <v>0</v>
      </c>
      <c r="AB655" s="13">
        <f t="shared" ref="AB655:AP655" si="1310">IFERROR(VALUE(RIGHT(LEFT($J655,FIND(AB$1,$J655,IF(M655=0,1,FIND(AB$1,$J655,1)+1))+LEN(AB$1)),1)),0)</f>
        <v>0</v>
      </c>
      <c r="AC655" s="13">
        <f t="shared" si="1310"/>
        <v>0</v>
      </c>
      <c r="AD655" s="13">
        <f t="shared" si="1310"/>
        <v>0</v>
      </c>
      <c r="AE655" s="13">
        <f t="shared" si="1310"/>
        <v>0</v>
      </c>
      <c r="AF655" s="13">
        <f t="shared" si="1310"/>
        <v>0</v>
      </c>
      <c r="AG655" s="13">
        <f t="shared" si="1310"/>
        <v>0</v>
      </c>
      <c r="AH655" s="13">
        <f t="shared" si="1310"/>
        <v>0</v>
      </c>
      <c r="AI655" s="13">
        <f t="shared" si="1310"/>
        <v>0</v>
      </c>
      <c r="AJ655" s="13">
        <f t="shared" si="1310"/>
        <v>0</v>
      </c>
      <c r="AK655" s="13">
        <f t="shared" si="1310"/>
        <v>0</v>
      </c>
      <c r="AL655" s="13">
        <f t="shared" si="1310"/>
        <v>0</v>
      </c>
      <c r="AM655" s="13">
        <f t="shared" si="1310"/>
        <v>0</v>
      </c>
      <c r="AN655" s="13">
        <f t="shared" si="1310"/>
        <v>0</v>
      </c>
      <c r="AO655" s="13">
        <f t="shared" si="1310"/>
        <v>1</v>
      </c>
      <c r="AP655" s="13">
        <f t="shared" si="1310"/>
        <v>0</v>
      </c>
      <c r="AQ655" s="13"/>
      <c r="AR655" s="13" t="s">
        <v>4212</v>
      </c>
      <c r="AS655" s="13" t="s">
        <v>3788</v>
      </c>
      <c r="AT655" s="13" t="s">
        <v>142</v>
      </c>
      <c r="AU655" s="13" t="s">
        <v>130</v>
      </c>
      <c r="AV655" s="13" t="s">
        <v>4213</v>
      </c>
      <c r="AW655" s="13">
        <v>7.0</v>
      </c>
      <c r="AX655" s="13">
        <v>10.0</v>
      </c>
      <c r="AY655" s="13">
        <v>0.0</v>
      </c>
      <c r="AZ655" s="13" t="s">
        <v>3165</v>
      </c>
      <c r="BA655" s="13" t="s">
        <v>4214</v>
      </c>
      <c r="BB655" s="13"/>
      <c r="BC655" s="13"/>
      <c r="BD655" s="13" t="s">
        <v>239</v>
      </c>
      <c r="BE655" s="13"/>
      <c r="BF655" s="13" t="s">
        <v>4215</v>
      </c>
      <c r="BG655" s="13" t="s">
        <v>50</v>
      </c>
      <c r="BH655" s="13" t="s">
        <v>79</v>
      </c>
      <c r="BI655" s="13" t="b">
        <v>0</v>
      </c>
      <c r="BJ655" s="13">
        <v>0.0</v>
      </c>
      <c r="BK655" s="13">
        <v>0.0</v>
      </c>
    </row>
    <row r="656" ht="14.25" customHeight="1">
      <c r="A656" s="13">
        <v>654.0</v>
      </c>
      <c r="B656" s="13" t="s">
        <v>44</v>
      </c>
      <c r="C656" s="13">
        <v>1.0</v>
      </c>
      <c r="D656" s="14">
        <v>0.0</v>
      </c>
      <c r="E656" s="13" t="s">
        <v>4216</v>
      </c>
      <c r="F656" s="15" t="s">
        <v>931</v>
      </c>
      <c r="G656" s="16" t="s">
        <v>4217</v>
      </c>
      <c r="H656" s="13"/>
      <c r="I656" s="13">
        <v>1.0</v>
      </c>
      <c r="J656" s="13" t="s">
        <v>83</v>
      </c>
      <c r="K656" s="13">
        <f t="shared" si="3"/>
        <v>0</v>
      </c>
      <c r="L656" s="13">
        <f t="shared" si="4"/>
        <v>2</v>
      </c>
      <c r="M656" s="13">
        <f t="shared" ref="M656:AA656" si="1311">IFERROR(VALUE(RIGHT(LEFT($J656,FIND(M$1,$J656,1)+LEN(M$1)),1)),0)</f>
        <v>0</v>
      </c>
      <c r="N656" s="13">
        <f t="shared" si="1311"/>
        <v>0</v>
      </c>
      <c r="O656" s="13">
        <f t="shared" si="1311"/>
        <v>0</v>
      </c>
      <c r="P656" s="13">
        <f t="shared" si="1311"/>
        <v>0</v>
      </c>
      <c r="Q656" s="13">
        <f t="shared" si="1311"/>
        <v>0</v>
      </c>
      <c r="R656" s="13">
        <f t="shared" si="1311"/>
        <v>0</v>
      </c>
      <c r="S656" s="13">
        <f t="shared" si="1311"/>
        <v>0</v>
      </c>
      <c r="T656" s="13">
        <f t="shared" si="1311"/>
        <v>0</v>
      </c>
      <c r="U656" s="13">
        <f t="shared" si="1311"/>
        <v>0</v>
      </c>
      <c r="V656" s="13">
        <f t="shared" si="1311"/>
        <v>0</v>
      </c>
      <c r="W656" s="13">
        <f t="shared" si="1311"/>
        <v>0</v>
      </c>
      <c r="X656" s="13">
        <f t="shared" si="1311"/>
        <v>0</v>
      </c>
      <c r="Y656" s="13">
        <f t="shared" si="1311"/>
        <v>0</v>
      </c>
      <c r="Z656" s="13">
        <f t="shared" si="1311"/>
        <v>0</v>
      </c>
      <c r="AA656" s="13">
        <f t="shared" si="1311"/>
        <v>0</v>
      </c>
      <c r="AB656" s="13">
        <f t="shared" ref="AB656:AP656" si="1312">IFERROR(VALUE(RIGHT(LEFT($J656,FIND(AB$1,$J656,IF(M656=0,1,FIND(AB$1,$J656,1)+1))+LEN(AB$1)),1)),0)</f>
        <v>1</v>
      </c>
      <c r="AC656" s="13">
        <f t="shared" si="1312"/>
        <v>0</v>
      </c>
      <c r="AD656" s="13">
        <f t="shared" si="1312"/>
        <v>0</v>
      </c>
      <c r="AE656" s="13">
        <f t="shared" si="1312"/>
        <v>0</v>
      </c>
      <c r="AF656" s="13">
        <f t="shared" si="1312"/>
        <v>0</v>
      </c>
      <c r="AG656" s="13">
        <f t="shared" si="1312"/>
        <v>0</v>
      </c>
      <c r="AH656" s="13">
        <f t="shared" si="1312"/>
        <v>1</v>
      </c>
      <c r="AI656" s="13">
        <f t="shared" si="1312"/>
        <v>0</v>
      </c>
      <c r="AJ656" s="13">
        <f t="shared" si="1312"/>
        <v>0</v>
      </c>
      <c r="AK656" s="13">
        <f t="shared" si="1312"/>
        <v>0</v>
      </c>
      <c r="AL656" s="13">
        <f t="shared" si="1312"/>
        <v>0</v>
      </c>
      <c r="AM656" s="13">
        <f t="shared" si="1312"/>
        <v>0</v>
      </c>
      <c r="AN656" s="13">
        <f t="shared" si="1312"/>
        <v>0</v>
      </c>
      <c r="AO656" s="13">
        <f t="shared" si="1312"/>
        <v>0</v>
      </c>
      <c r="AP656" s="13">
        <f t="shared" si="1312"/>
        <v>0</v>
      </c>
      <c r="AQ656" s="13" t="s">
        <v>4218</v>
      </c>
      <c r="AR656" s="13"/>
      <c r="AS656" s="13" t="s">
        <v>344</v>
      </c>
      <c r="AT656" s="13"/>
      <c r="AU656" s="13"/>
      <c r="AV656" s="13"/>
      <c r="AW656" s="13">
        <v>0.0</v>
      </c>
      <c r="AX656" s="13">
        <v>10.0</v>
      </c>
      <c r="AY656" s="13">
        <v>0.0</v>
      </c>
      <c r="AZ656" s="13"/>
      <c r="BA656" s="13"/>
      <c r="BB656" s="13"/>
      <c r="BC656" s="13"/>
      <c r="BD656" s="13"/>
      <c r="BE656" s="13"/>
      <c r="BF656" s="13"/>
      <c r="BG656" s="13"/>
      <c r="BH656" s="13" t="s">
        <v>79</v>
      </c>
      <c r="BI656" s="13" t="b">
        <v>0</v>
      </c>
      <c r="BJ656" s="13">
        <v>0.0</v>
      </c>
      <c r="BK656" s="13">
        <v>0.0</v>
      </c>
    </row>
    <row r="657" ht="14.25" customHeight="1">
      <c r="A657" s="13">
        <v>655.0</v>
      </c>
      <c r="B657" s="13" t="s">
        <v>45</v>
      </c>
      <c r="C657" s="13">
        <v>1.0</v>
      </c>
      <c r="D657" s="14">
        <v>0.0</v>
      </c>
      <c r="E657" s="13" t="s">
        <v>4219</v>
      </c>
      <c r="F657" s="15" t="s">
        <v>931</v>
      </c>
      <c r="G657" s="16" t="s">
        <v>4220</v>
      </c>
      <c r="H657" s="13"/>
      <c r="I657" s="13">
        <v>0.9</v>
      </c>
      <c r="J657" s="13" t="s">
        <v>384</v>
      </c>
      <c r="K657" s="13">
        <f t="shared" si="3"/>
        <v>0</v>
      </c>
      <c r="L657" s="13">
        <f t="shared" si="4"/>
        <v>2</v>
      </c>
      <c r="M657" s="13">
        <f t="shared" ref="M657:AA657" si="1313">IFERROR(VALUE(RIGHT(LEFT($J657,FIND(M$1,$J657,1)+LEN(M$1)),1)),0)</f>
        <v>0</v>
      </c>
      <c r="N657" s="13">
        <f t="shared" si="1313"/>
        <v>0</v>
      </c>
      <c r="O657" s="13">
        <f t="shared" si="1313"/>
        <v>0</v>
      </c>
      <c r="P657" s="13">
        <f t="shared" si="1313"/>
        <v>0</v>
      </c>
      <c r="Q657" s="13">
        <f t="shared" si="1313"/>
        <v>0</v>
      </c>
      <c r="R657" s="13">
        <f t="shared" si="1313"/>
        <v>0</v>
      </c>
      <c r="S657" s="13">
        <f t="shared" si="1313"/>
        <v>0</v>
      </c>
      <c r="T657" s="13">
        <f t="shared" si="1313"/>
        <v>0</v>
      </c>
      <c r="U657" s="13">
        <f t="shared" si="1313"/>
        <v>0</v>
      </c>
      <c r="V657" s="13">
        <f t="shared" si="1313"/>
        <v>0</v>
      </c>
      <c r="W657" s="13">
        <f t="shared" si="1313"/>
        <v>0</v>
      </c>
      <c r="X657" s="13">
        <f t="shared" si="1313"/>
        <v>0</v>
      </c>
      <c r="Y657" s="13">
        <f t="shared" si="1313"/>
        <v>0</v>
      </c>
      <c r="Z657" s="13">
        <f t="shared" si="1313"/>
        <v>0</v>
      </c>
      <c r="AA657" s="13">
        <f t="shared" si="1313"/>
        <v>0</v>
      </c>
      <c r="AB657" s="13">
        <f t="shared" ref="AB657:AP657" si="1314">IFERROR(VALUE(RIGHT(LEFT($J657,FIND(AB$1,$J657,IF(M657=0,1,FIND(AB$1,$J657,1)+1))+LEN(AB$1)),1)),0)</f>
        <v>0</v>
      </c>
      <c r="AC657" s="13">
        <f t="shared" si="1314"/>
        <v>0</v>
      </c>
      <c r="AD657" s="13">
        <f t="shared" si="1314"/>
        <v>0</v>
      </c>
      <c r="AE657" s="13">
        <f t="shared" si="1314"/>
        <v>0</v>
      </c>
      <c r="AF657" s="13">
        <f t="shared" si="1314"/>
        <v>0</v>
      </c>
      <c r="AG657" s="13">
        <f t="shared" si="1314"/>
        <v>1</v>
      </c>
      <c r="AH657" s="13">
        <f t="shared" si="1314"/>
        <v>0</v>
      </c>
      <c r="AI657" s="13">
        <f t="shared" si="1314"/>
        <v>1</v>
      </c>
      <c r="AJ657" s="13">
        <f t="shared" si="1314"/>
        <v>0</v>
      </c>
      <c r="AK657" s="13">
        <f t="shared" si="1314"/>
        <v>0</v>
      </c>
      <c r="AL657" s="13">
        <f t="shared" si="1314"/>
        <v>0</v>
      </c>
      <c r="AM657" s="13">
        <f t="shared" si="1314"/>
        <v>0</v>
      </c>
      <c r="AN657" s="13">
        <f t="shared" si="1314"/>
        <v>0</v>
      </c>
      <c r="AO657" s="13">
        <f t="shared" si="1314"/>
        <v>0</v>
      </c>
      <c r="AP657" s="13">
        <f t="shared" si="1314"/>
        <v>0</v>
      </c>
      <c r="AQ657" s="13" t="s">
        <v>4221</v>
      </c>
      <c r="AR657" s="13"/>
      <c r="AS657" s="13" t="s">
        <v>4222</v>
      </c>
      <c r="AT657" s="13"/>
      <c r="AU657" s="13"/>
      <c r="AV657" s="13"/>
      <c r="AW657" s="13">
        <v>0.0</v>
      </c>
      <c r="AX657" s="13">
        <v>10.0</v>
      </c>
      <c r="AY657" s="13">
        <v>0.0</v>
      </c>
      <c r="AZ657" s="13"/>
      <c r="BA657" s="13"/>
      <c r="BB657" s="13"/>
      <c r="BC657" s="13"/>
      <c r="BD657" s="13"/>
      <c r="BE657" s="13"/>
      <c r="BF657" s="13"/>
      <c r="BG657" s="13"/>
      <c r="BH657" s="13" t="s">
        <v>79</v>
      </c>
      <c r="BI657" s="13" t="b">
        <v>0</v>
      </c>
      <c r="BJ657" s="13">
        <v>0.0</v>
      </c>
      <c r="BK657" s="13">
        <v>0.0</v>
      </c>
    </row>
    <row r="658" ht="14.25" customHeight="1">
      <c r="A658" s="13">
        <v>656.0</v>
      </c>
      <c r="B658" s="13" t="s">
        <v>46</v>
      </c>
      <c r="C658" s="13">
        <v>1.0</v>
      </c>
      <c r="D658" s="14">
        <v>0.0</v>
      </c>
      <c r="E658" s="13" t="s">
        <v>4223</v>
      </c>
      <c r="F658" s="15" t="s">
        <v>931</v>
      </c>
      <c r="G658" s="16" t="s">
        <v>4224</v>
      </c>
      <c r="H658" s="13"/>
      <c r="I658" s="13">
        <v>0.9</v>
      </c>
      <c r="J658" s="13" t="s">
        <v>430</v>
      </c>
      <c r="K658" s="13">
        <f t="shared" si="3"/>
        <v>0</v>
      </c>
      <c r="L658" s="13">
        <f t="shared" si="4"/>
        <v>2</v>
      </c>
      <c r="M658" s="13">
        <f t="shared" ref="M658:AA658" si="1315">IFERROR(VALUE(RIGHT(LEFT($J658,FIND(M$1,$J658,1)+LEN(M$1)),1)),0)</f>
        <v>0</v>
      </c>
      <c r="N658" s="13">
        <f t="shared" si="1315"/>
        <v>0</v>
      </c>
      <c r="O658" s="13">
        <f t="shared" si="1315"/>
        <v>0</v>
      </c>
      <c r="P658" s="13">
        <f t="shared" si="1315"/>
        <v>0</v>
      </c>
      <c r="Q658" s="13">
        <f t="shared" si="1315"/>
        <v>0</v>
      </c>
      <c r="R658" s="13">
        <f t="shared" si="1315"/>
        <v>0</v>
      </c>
      <c r="S658" s="13">
        <f t="shared" si="1315"/>
        <v>0</v>
      </c>
      <c r="T658" s="13">
        <f t="shared" si="1315"/>
        <v>0</v>
      </c>
      <c r="U658" s="13">
        <f t="shared" si="1315"/>
        <v>0</v>
      </c>
      <c r="V658" s="13">
        <f t="shared" si="1315"/>
        <v>0</v>
      </c>
      <c r="W658" s="13">
        <f t="shared" si="1315"/>
        <v>0</v>
      </c>
      <c r="X658" s="13">
        <f t="shared" si="1315"/>
        <v>0</v>
      </c>
      <c r="Y658" s="13">
        <f t="shared" si="1315"/>
        <v>0</v>
      </c>
      <c r="Z658" s="13">
        <f t="shared" si="1315"/>
        <v>0</v>
      </c>
      <c r="AA658" s="13">
        <f t="shared" si="1315"/>
        <v>0</v>
      </c>
      <c r="AB658" s="13">
        <f t="shared" ref="AB658:AP658" si="1316">IFERROR(VALUE(RIGHT(LEFT($J658,FIND(AB$1,$J658,IF(M658=0,1,FIND(AB$1,$J658,1)+1))+LEN(AB$1)),1)),0)</f>
        <v>0</v>
      </c>
      <c r="AC658" s="13">
        <f t="shared" si="1316"/>
        <v>0</v>
      </c>
      <c r="AD658" s="13">
        <f t="shared" si="1316"/>
        <v>0</v>
      </c>
      <c r="AE658" s="13">
        <f t="shared" si="1316"/>
        <v>0</v>
      </c>
      <c r="AF658" s="13">
        <f t="shared" si="1316"/>
        <v>1</v>
      </c>
      <c r="AG658" s="13">
        <f t="shared" si="1316"/>
        <v>0</v>
      </c>
      <c r="AH658" s="13">
        <f t="shared" si="1316"/>
        <v>0</v>
      </c>
      <c r="AI658" s="13">
        <f t="shared" si="1316"/>
        <v>0</v>
      </c>
      <c r="AJ658" s="13">
        <f t="shared" si="1316"/>
        <v>1</v>
      </c>
      <c r="AK658" s="13">
        <f t="shared" si="1316"/>
        <v>0</v>
      </c>
      <c r="AL658" s="13">
        <f t="shared" si="1316"/>
        <v>0</v>
      </c>
      <c r="AM658" s="13">
        <f t="shared" si="1316"/>
        <v>0</v>
      </c>
      <c r="AN658" s="13">
        <f t="shared" si="1316"/>
        <v>0</v>
      </c>
      <c r="AO658" s="13">
        <f t="shared" si="1316"/>
        <v>0</v>
      </c>
      <c r="AP658" s="13">
        <f t="shared" si="1316"/>
        <v>0</v>
      </c>
      <c r="AQ658" s="13" t="s">
        <v>4225</v>
      </c>
      <c r="AR658" s="13"/>
      <c r="AS658" s="13" t="s">
        <v>4226</v>
      </c>
      <c r="AT658" s="13"/>
      <c r="AU658" s="13"/>
      <c r="AV658" s="13"/>
      <c r="AW658" s="13">
        <v>0.0</v>
      </c>
      <c r="AX658" s="13">
        <v>10.0</v>
      </c>
      <c r="AY658" s="13">
        <v>0.0</v>
      </c>
      <c r="AZ658" s="13"/>
      <c r="BA658" s="13"/>
      <c r="BB658" s="13"/>
      <c r="BC658" s="13"/>
      <c r="BD658" s="13"/>
      <c r="BE658" s="13"/>
      <c r="BF658" s="13"/>
      <c r="BG658" s="13"/>
      <c r="BH658" s="13" t="s">
        <v>79</v>
      </c>
      <c r="BI658" s="13" t="b">
        <v>0</v>
      </c>
      <c r="BJ658" s="13">
        <v>0.0</v>
      </c>
      <c r="BK658" s="13">
        <v>0.0</v>
      </c>
    </row>
    <row r="659" ht="14.25" customHeight="1">
      <c r="A659" s="13">
        <v>657.0</v>
      </c>
      <c r="B659" s="13" t="s">
        <v>47</v>
      </c>
      <c r="C659" s="13">
        <v>1.0</v>
      </c>
      <c r="D659" s="14">
        <v>0.0</v>
      </c>
      <c r="E659" s="13" t="s">
        <v>4227</v>
      </c>
      <c r="F659" s="15" t="s">
        <v>931</v>
      </c>
      <c r="G659" s="16" t="s">
        <v>4228</v>
      </c>
      <c r="H659" s="13">
        <v>12.0</v>
      </c>
      <c r="I659" s="13">
        <v>0.9</v>
      </c>
      <c r="J659" s="13" t="s">
        <v>489</v>
      </c>
      <c r="K659" s="13">
        <f t="shared" si="3"/>
        <v>0</v>
      </c>
      <c r="L659" s="13">
        <f t="shared" si="4"/>
        <v>2</v>
      </c>
      <c r="M659" s="13">
        <f t="shared" ref="M659:AA659" si="1317">IFERROR(VALUE(RIGHT(LEFT($J659,FIND(M$1,$J659,1)+LEN(M$1)),1)),0)</f>
        <v>0</v>
      </c>
      <c r="N659" s="13">
        <f t="shared" si="1317"/>
        <v>0</v>
      </c>
      <c r="O659" s="13">
        <f t="shared" si="1317"/>
        <v>0</v>
      </c>
      <c r="P659" s="13">
        <f t="shared" si="1317"/>
        <v>0</v>
      </c>
      <c r="Q659" s="13">
        <f t="shared" si="1317"/>
        <v>0</v>
      </c>
      <c r="R659" s="13">
        <f t="shared" si="1317"/>
        <v>0</v>
      </c>
      <c r="S659" s="13">
        <f t="shared" si="1317"/>
        <v>0</v>
      </c>
      <c r="T659" s="13">
        <f t="shared" si="1317"/>
        <v>0</v>
      </c>
      <c r="U659" s="13">
        <f t="shared" si="1317"/>
        <v>0</v>
      </c>
      <c r="V659" s="13">
        <f t="shared" si="1317"/>
        <v>0</v>
      </c>
      <c r="W659" s="13">
        <f t="shared" si="1317"/>
        <v>0</v>
      </c>
      <c r="X659" s="13">
        <f t="shared" si="1317"/>
        <v>0</v>
      </c>
      <c r="Y659" s="13">
        <f t="shared" si="1317"/>
        <v>0</v>
      </c>
      <c r="Z659" s="13">
        <f t="shared" si="1317"/>
        <v>0</v>
      </c>
      <c r="AA659" s="13">
        <f t="shared" si="1317"/>
        <v>0</v>
      </c>
      <c r="AB659" s="13">
        <f t="shared" ref="AB659:AP659" si="1318">IFERROR(VALUE(RIGHT(LEFT($J659,FIND(AB$1,$J659,IF(M659=0,1,FIND(AB$1,$J659,1)+1))+LEN(AB$1)),1)),0)</f>
        <v>1</v>
      </c>
      <c r="AC659" s="13">
        <f t="shared" si="1318"/>
        <v>0</v>
      </c>
      <c r="AD659" s="13">
        <f t="shared" si="1318"/>
        <v>0</v>
      </c>
      <c r="AE659" s="13">
        <f t="shared" si="1318"/>
        <v>0</v>
      </c>
      <c r="AF659" s="13">
        <f t="shared" si="1318"/>
        <v>0</v>
      </c>
      <c r="AG659" s="13">
        <f t="shared" si="1318"/>
        <v>0</v>
      </c>
      <c r="AH659" s="13">
        <f t="shared" si="1318"/>
        <v>0</v>
      </c>
      <c r="AI659" s="13">
        <f t="shared" si="1318"/>
        <v>0</v>
      </c>
      <c r="AJ659" s="13">
        <f t="shared" si="1318"/>
        <v>0</v>
      </c>
      <c r="AK659" s="13">
        <f t="shared" si="1318"/>
        <v>1</v>
      </c>
      <c r="AL659" s="13">
        <f t="shared" si="1318"/>
        <v>0</v>
      </c>
      <c r="AM659" s="13">
        <f t="shared" si="1318"/>
        <v>0</v>
      </c>
      <c r="AN659" s="13">
        <f t="shared" si="1318"/>
        <v>0</v>
      </c>
      <c r="AO659" s="13">
        <f t="shared" si="1318"/>
        <v>0</v>
      </c>
      <c r="AP659" s="13">
        <f t="shared" si="1318"/>
        <v>0</v>
      </c>
      <c r="AQ659" s="13"/>
      <c r="AR659" s="13" t="s">
        <v>4229</v>
      </c>
      <c r="AS659" s="13" t="s">
        <v>4230</v>
      </c>
      <c r="AT659" s="13" t="s">
        <v>129</v>
      </c>
      <c r="AU659" s="13" t="s">
        <v>130</v>
      </c>
      <c r="AV659" s="13" t="s">
        <v>492</v>
      </c>
      <c r="AW659" s="13">
        <v>10.0</v>
      </c>
      <c r="AX659" s="13">
        <v>10.0</v>
      </c>
      <c r="AY659" s="13">
        <v>0.0</v>
      </c>
      <c r="AZ659" s="13" t="s">
        <v>4231</v>
      </c>
      <c r="BA659" s="13" t="s">
        <v>133</v>
      </c>
      <c r="BB659" s="13"/>
      <c r="BC659" s="13"/>
      <c r="BD659" s="13" t="s">
        <v>134</v>
      </c>
      <c r="BE659" s="13"/>
      <c r="BF659" s="13" t="s">
        <v>4232</v>
      </c>
      <c r="BG659" s="13" t="s">
        <v>136</v>
      </c>
      <c r="BH659" s="13" t="s">
        <v>79</v>
      </c>
      <c r="BI659" s="13" t="b">
        <v>0</v>
      </c>
      <c r="BJ659" s="13">
        <v>0.0</v>
      </c>
      <c r="BK659" s="13">
        <v>0.0</v>
      </c>
    </row>
    <row r="660" ht="14.25" customHeight="1">
      <c r="A660" s="13">
        <v>658.0</v>
      </c>
      <c r="B660" s="13" t="s">
        <v>47</v>
      </c>
      <c r="C660" s="13">
        <v>1.0</v>
      </c>
      <c r="D660" s="14">
        <v>0.0</v>
      </c>
      <c r="E660" s="13" t="s">
        <v>4233</v>
      </c>
      <c r="F660" s="15" t="s">
        <v>931</v>
      </c>
      <c r="G660" s="16" t="s">
        <v>4234</v>
      </c>
      <c r="H660" s="13">
        <v>10.0</v>
      </c>
      <c r="I660" s="13">
        <v>0.8</v>
      </c>
      <c r="J660" s="13" t="s">
        <v>478</v>
      </c>
      <c r="K660" s="13">
        <f t="shared" si="3"/>
        <v>0</v>
      </c>
      <c r="L660" s="13">
        <f t="shared" si="4"/>
        <v>2</v>
      </c>
      <c r="M660" s="13">
        <f t="shared" ref="M660:AA660" si="1319">IFERROR(VALUE(RIGHT(LEFT($J660,FIND(M$1,$J660,1)+LEN(M$1)),1)),0)</f>
        <v>0</v>
      </c>
      <c r="N660" s="13">
        <f t="shared" si="1319"/>
        <v>0</v>
      </c>
      <c r="O660" s="13">
        <f t="shared" si="1319"/>
        <v>0</v>
      </c>
      <c r="P660" s="13">
        <f t="shared" si="1319"/>
        <v>0</v>
      </c>
      <c r="Q660" s="13">
        <f t="shared" si="1319"/>
        <v>0</v>
      </c>
      <c r="R660" s="13">
        <f t="shared" si="1319"/>
        <v>0</v>
      </c>
      <c r="S660" s="13">
        <f t="shared" si="1319"/>
        <v>0</v>
      </c>
      <c r="T660" s="13">
        <f t="shared" si="1319"/>
        <v>0</v>
      </c>
      <c r="U660" s="13">
        <f t="shared" si="1319"/>
        <v>0</v>
      </c>
      <c r="V660" s="13">
        <f t="shared" si="1319"/>
        <v>0</v>
      </c>
      <c r="W660" s="13">
        <f t="shared" si="1319"/>
        <v>0</v>
      </c>
      <c r="X660" s="13">
        <f t="shared" si="1319"/>
        <v>0</v>
      </c>
      <c r="Y660" s="13">
        <f t="shared" si="1319"/>
        <v>0</v>
      </c>
      <c r="Z660" s="13">
        <f t="shared" si="1319"/>
        <v>0</v>
      </c>
      <c r="AA660" s="13">
        <f t="shared" si="1319"/>
        <v>0</v>
      </c>
      <c r="AB660" s="13">
        <f t="shared" ref="AB660:AP660" si="1320">IFERROR(VALUE(RIGHT(LEFT($J660,FIND(AB$1,$J660,IF(M660=0,1,FIND(AB$1,$J660,1)+1))+LEN(AB$1)),1)),0)</f>
        <v>0</v>
      </c>
      <c r="AC660" s="13">
        <f t="shared" si="1320"/>
        <v>0</v>
      </c>
      <c r="AD660" s="13">
        <f t="shared" si="1320"/>
        <v>0</v>
      </c>
      <c r="AE660" s="13">
        <f t="shared" si="1320"/>
        <v>0</v>
      </c>
      <c r="AF660" s="13">
        <f t="shared" si="1320"/>
        <v>0</v>
      </c>
      <c r="AG660" s="13">
        <f t="shared" si="1320"/>
        <v>1</v>
      </c>
      <c r="AH660" s="13">
        <f t="shared" si="1320"/>
        <v>0</v>
      </c>
      <c r="AI660" s="13">
        <f t="shared" si="1320"/>
        <v>0</v>
      </c>
      <c r="AJ660" s="13">
        <f t="shared" si="1320"/>
        <v>0</v>
      </c>
      <c r="AK660" s="13">
        <f t="shared" si="1320"/>
        <v>1</v>
      </c>
      <c r="AL660" s="13">
        <f t="shared" si="1320"/>
        <v>0</v>
      </c>
      <c r="AM660" s="13">
        <f t="shared" si="1320"/>
        <v>0</v>
      </c>
      <c r="AN660" s="13">
        <f t="shared" si="1320"/>
        <v>0</v>
      </c>
      <c r="AO660" s="13">
        <f t="shared" si="1320"/>
        <v>0</v>
      </c>
      <c r="AP660" s="13">
        <f t="shared" si="1320"/>
        <v>0</v>
      </c>
      <c r="AQ660" s="13"/>
      <c r="AR660" s="13" t="s">
        <v>2832</v>
      </c>
      <c r="AS660" s="13" t="s">
        <v>4235</v>
      </c>
      <c r="AT660" s="13" t="s">
        <v>162</v>
      </c>
      <c r="AU660" s="13" t="s">
        <v>163</v>
      </c>
      <c r="AV660" s="13" t="s">
        <v>4236</v>
      </c>
      <c r="AW660" s="13">
        <v>8.0</v>
      </c>
      <c r="AX660" s="13">
        <v>10.0</v>
      </c>
      <c r="AY660" s="13">
        <v>0.0</v>
      </c>
      <c r="AZ660" s="13" t="s">
        <v>566</v>
      </c>
      <c r="BA660" s="13" t="s">
        <v>165</v>
      </c>
      <c r="BB660" s="13"/>
      <c r="BC660" s="13"/>
      <c r="BD660" s="13" t="s">
        <v>484</v>
      </c>
      <c r="BE660" s="13"/>
      <c r="BF660" s="13" t="s">
        <v>908</v>
      </c>
      <c r="BG660" s="13" t="s">
        <v>136</v>
      </c>
      <c r="BH660" s="13" t="s">
        <v>79</v>
      </c>
      <c r="BI660" s="13" t="b">
        <v>0</v>
      </c>
      <c r="BJ660" s="13">
        <v>0.0</v>
      </c>
      <c r="BK660" s="13">
        <v>0.0</v>
      </c>
    </row>
    <row r="661" ht="14.25" customHeight="1">
      <c r="A661" s="13">
        <v>659.0</v>
      </c>
      <c r="B661" s="13" t="s">
        <v>47</v>
      </c>
      <c r="C661" s="13">
        <v>1.0</v>
      </c>
      <c r="D661" s="14">
        <v>0.0</v>
      </c>
      <c r="E661" s="13" t="s">
        <v>4237</v>
      </c>
      <c r="F661" s="15" t="s">
        <v>931</v>
      </c>
      <c r="G661" s="16" t="s">
        <v>4238</v>
      </c>
      <c r="H661" s="13">
        <v>9.0</v>
      </c>
      <c r="I661" s="13">
        <v>1.0</v>
      </c>
      <c r="J661" s="13" t="s">
        <v>358</v>
      </c>
      <c r="K661" s="13">
        <f t="shared" si="3"/>
        <v>0</v>
      </c>
      <c r="L661" s="13">
        <f t="shared" si="4"/>
        <v>2</v>
      </c>
      <c r="M661" s="13">
        <f t="shared" ref="M661:AA661" si="1321">IFERROR(VALUE(RIGHT(LEFT($J661,FIND(M$1,$J661,1)+LEN(M$1)),1)),0)</f>
        <v>0</v>
      </c>
      <c r="N661" s="13">
        <f t="shared" si="1321"/>
        <v>0</v>
      </c>
      <c r="O661" s="13">
        <f t="shared" si="1321"/>
        <v>0</v>
      </c>
      <c r="P661" s="13">
        <f t="shared" si="1321"/>
        <v>0</v>
      </c>
      <c r="Q661" s="13">
        <f t="shared" si="1321"/>
        <v>0</v>
      </c>
      <c r="R661" s="13">
        <f t="shared" si="1321"/>
        <v>0</v>
      </c>
      <c r="S661" s="13">
        <f t="shared" si="1321"/>
        <v>0</v>
      </c>
      <c r="T661" s="13">
        <f t="shared" si="1321"/>
        <v>0</v>
      </c>
      <c r="U661" s="13">
        <f t="shared" si="1321"/>
        <v>0</v>
      </c>
      <c r="V661" s="13">
        <f t="shared" si="1321"/>
        <v>0</v>
      </c>
      <c r="W661" s="13">
        <f t="shared" si="1321"/>
        <v>0</v>
      </c>
      <c r="X661" s="13">
        <f t="shared" si="1321"/>
        <v>0</v>
      </c>
      <c r="Y661" s="13">
        <f t="shared" si="1321"/>
        <v>0</v>
      </c>
      <c r="Z661" s="13">
        <f t="shared" si="1321"/>
        <v>0</v>
      </c>
      <c r="AA661" s="13">
        <f t="shared" si="1321"/>
        <v>0</v>
      </c>
      <c r="AB661" s="13">
        <f t="shared" ref="AB661:AP661" si="1322">IFERROR(VALUE(RIGHT(LEFT($J661,FIND(AB$1,$J661,IF(M661=0,1,FIND(AB$1,$J661,1)+1))+LEN(AB$1)),1)),0)</f>
        <v>0</v>
      </c>
      <c r="AC661" s="13">
        <f t="shared" si="1322"/>
        <v>1</v>
      </c>
      <c r="AD661" s="13">
        <f t="shared" si="1322"/>
        <v>1</v>
      </c>
      <c r="AE661" s="13">
        <f t="shared" si="1322"/>
        <v>0</v>
      </c>
      <c r="AF661" s="13">
        <f t="shared" si="1322"/>
        <v>0</v>
      </c>
      <c r="AG661" s="13">
        <f t="shared" si="1322"/>
        <v>0</v>
      </c>
      <c r="AH661" s="13">
        <f t="shared" si="1322"/>
        <v>0</v>
      </c>
      <c r="AI661" s="13">
        <f t="shared" si="1322"/>
        <v>0</v>
      </c>
      <c r="AJ661" s="13">
        <f t="shared" si="1322"/>
        <v>0</v>
      </c>
      <c r="AK661" s="13">
        <f t="shared" si="1322"/>
        <v>0</v>
      </c>
      <c r="AL661" s="13">
        <f t="shared" si="1322"/>
        <v>0</v>
      </c>
      <c r="AM661" s="13">
        <f t="shared" si="1322"/>
        <v>0</v>
      </c>
      <c r="AN661" s="13">
        <f t="shared" si="1322"/>
        <v>0</v>
      </c>
      <c r="AO661" s="13">
        <f t="shared" si="1322"/>
        <v>0</v>
      </c>
      <c r="AP661" s="13">
        <f t="shared" si="1322"/>
        <v>0</v>
      </c>
      <c r="AQ661" s="13"/>
      <c r="AR661" s="13" t="s">
        <v>4239</v>
      </c>
      <c r="AS661" s="13" t="s">
        <v>4240</v>
      </c>
      <c r="AT661" s="13" t="s">
        <v>573</v>
      </c>
      <c r="AU661" s="13" t="s">
        <v>130</v>
      </c>
      <c r="AV661" s="13" t="s">
        <v>4241</v>
      </c>
      <c r="AW661" s="13">
        <v>7.0</v>
      </c>
      <c r="AX661" s="13">
        <v>10.0</v>
      </c>
      <c r="AY661" s="13">
        <v>0.0</v>
      </c>
      <c r="AZ661" s="13" t="s">
        <v>547</v>
      </c>
      <c r="BA661" s="13" t="s">
        <v>687</v>
      </c>
      <c r="BB661" s="13"/>
      <c r="BC661" s="13"/>
      <c r="BD661" s="13" t="s">
        <v>1113</v>
      </c>
      <c r="BE661" s="13"/>
      <c r="BF661" s="13" t="s">
        <v>4242</v>
      </c>
      <c r="BG661" s="13" t="s">
        <v>136</v>
      </c>
      <c r="BH661" s="13" t="s">
        <v>79</v>
      </c>
      <c r="BI661" s="13" t="b">
        <v>0</v>
      </c>
      <c r="BJ661" s="13">
        <v>0.0</v>
      </c>
      <c r="BK661" s="13">
        <v>0.0</v>
      </c>
    </row>
    <row r="662" ht="14.25" customHeight="1">
      <c r="A662" s="13">
        <v>660.0</v>
      </c>
      <c r="B662" s="13" t="s">
        <v>50</v>
      </c>
      <c r="C662" s="13">
        <v>1.0</v>
      </c>
      <c r="D662" s="14">
        <v>0.0</v>
      </c>
      <c r="E662" s="13" t="s">
        <v>4243</v>
      </c>
      <c r="F662" s="15" t="s">
        <v>931</v>
      </c>
      <c r="G662" s="16" t="s">
        <v>4244</v>
      </c>
      <c r="H662" s="13">
        <v>13.0</v>
      </c>
      <c r="I662" s="13">
        <v>1.0</v>
      </c>
      <c r="J662" s="13" t="s">
        <v>719</v>
      </c>
      <c r="K662" s="13">
        <f t="shared" si="3"/>
        <v>0</v>
      </c>
      <c r="L662" s="13">
        <f t="shared" si="4"/>
        <v>2</v>
      </c>
      <c r="M662" s="13">
        <f t="shared" ref="M662:AA662" si="1323">IFERROR(VALUE(RIGHT(LEFT($J662,FIND(M$1,$J662,1)+LEN(M$1)),1)),0)</f>
        <v>0</v>
      </c>
      <c r="N662" s="13">
        <f t="shared" si="1323"/>
        <v>0</v>
      </c>
      <c r="O662" s="13">
        <f t="shared" si="1323"/>
        <v>0</v>
      </c>
      <c r="P662" s="13">
        <f t="shared" si="1323"/>
        <v>0</v>
      </c>
      <c r="Q662" s="13">
        <f t="shared" si="1323"/>
        <v>0</v>
      </c>
      <c r="R662" s="13">
        <f t="shared" si="1323"/>
        <v>0</v>
      </c>
      <c r="S662" s="13">
        <f t="shared" si="1323"/>
        <v>0</v>
      </c>
      <c r="T662" s="13">
        <f t="shared" si="1323"/>
        <v>0</v>
      </c>
      <c r="U662" s="13">
        <f t="shared" si="1323"/>
        <v>0</v>
      </c>
      <c r="V662" s="13">
        <f t="shared" si="1323"/>
        <v>0</v>
      </c>
      <c r="W662" s="13">
        <f t="shared" si="1323"/>
        <v>0</v>
      </c>
      <c r="X662" s="13">
        <f t="shared" si="1323"/>
        <v>0</v>
      </c>
      <c r="Y662" s="13">
        <f t="shared" si="1323"/>
        <v>0</v>
      </c>
      <c r="Z662" s="13">
        <f t="shared" si="1323"/>
        <v>0</v>
      </c>
      <c r="AA662" s="13">
        <f t="shared" si="1323"/>
        <v>0</v>
      </c>
      <c r="AB662" s="13">
        <f t="shared" ref="AB662:AP662" si="1324">IFERROR(VALUE(RIGHT(LEFT($J662,FIND(AB$1,$J662,IF(M662=0,1,FIND(AB$1,$J662,1)+1))+LEN(AB$1)),1)),0)</f>
        <v>0</v>
      </c>
      <c r="AC662" s="13">
        <f t="shared" si="1324"/>
        <v>0</v>
      </c>
      <c r="AD662" s="13">
        <f t="shared" si="1324"/>
        <v>0</v>
      </c>
      <c r="AE662" s="13">
        <f t="shared" si="1324"/>
        <v>0</v>
      </c>
      <c r="AF662" s="13">
        <f t="shared" si="1324"/>
        <v>1</v>
      </c>
      <c r="AG662" s="13">
        <f t="shared" si="1324"/>
        <v>0</v>
      </c>
      <c r="AH662" s="13">
        <f t="shared" si="1324"/>
        <v>0</v>
      </c>
      <c r="AI662" s="13">
        <f t="shared" si="1324"/>
        <v>0</v>
      </c>
      <c r="AJ662" s="13">
        <f t="shared" si="1324"/>
        <v>0</v>
      </c>
      <c r="AK662" s="13">
        <f t="shared" si="1324"/>
        <v>0</v>
      </c>
      <c r="AL662" s="13">
        <f t="shared" si="1324"/>
        <v>0</v>
      </c>
      <c r="AM662" s="13">
        <f t="shared" si="1324"/>
        <v>0</v>
      </c>
      <c r="AN662" s="13">
        <f t="shared" si="1324"/>
        <v>1</v>
      </c>
      <c r="AO662" s="13">
        <f t="shared" si="1324"/>
        <v>0</v>
      </c>
      <c r="AP662" s="13">
        <f t="shared" si="1324"/>
        <v>0</v>
      </c>
      <c r="AQ662" s="13"/>
      <c r="AR662" s="13" t="s">
        <v>4205</v>
      </c>
      <c r="AS662" s="13" t="s">
        <v>3004</v>
      </c>
      <c r="AT662" s="13" t="s">
        <v>142</v>
      </c>
      <c r="AU662" s="13" t="s">
        <v>143</v>
      </c>
      <c r="AV662" s="13" t="s">
        <v>608</v>
      </c>
      <c r="AW662" s="13">
        <v>11.0</v>
      </c>
      <c r="AX662" s="13">
        <v>10.0</v>
      </c>
      <c r="AY662" s="13">
        <v>0.0</v>
      </c>
      <c r="AZ662" s="13" t="s">
        <v>501</v>
      </c>
      <c r="BA662" s="13" t="s">
        <v>502</v>
      </c>
      <c r="BB662" s="13"/>
      <c r="BC662" s="13"/>
      <c r="BD662" s="13" t="s">
        <v>230</v>
      </c>
      <c r="BE662" s="13"/>
      <c r="BF662" s="13" t="s">
        <v>736</v>
      </c>
      <c r="BG662" s="13" t="s">
        <v>50</v>
      </c>
      <c r="BH662" s="13" t="s">
        <v>79</v>
      </c>
      <c r="BI662" s="13" t="b">
        <v>0</v>
      </c>
      <c r="BJ662" s="13">
        <v>0.0</v>
      </c>
      <c r="BK662" s="13">
        <v>0.0</v>
      </c>
    </row>
    <row r="663" ht="14.25" customHeight="1">
      <c r="A663" s="13">
        <v>661.0</v>
      </c>
      <c r="B663" s="13" t="s">
        <v>50</v>
      </c>
      <c r="C663" s="13">
        <v>1.0</v>
      </c>
      <c r="D663" s="14">
        <v>0.0</v>
      </c>
      <c r="E663" s="13" t="s">
        <v>4245</v>
      </c>
      <c r="F663" s="15" t="s">
        <v>931</v>
      </c>
      <c r="G663" s="16" t="s">
        <v>4246</v>
      </c>
      <c r="H663" s="13">
        <v>11.0</v>
      </c>
      <c r="I663" s="13">
        <v>0.9</v>
      </c>
      <c r="J663" s="13" t="s">
        <v>733</v>
      </c>
      <c r="K663" s="13">
        <f t="shared" si="3"/>
        <v>0</v>
      </c>
      <c r="L663" s="13">
        <f t="shared" si="4"/>
        <v>2</v>
      </c>
      <c r="M663" s="13">
        <f t="shared" ref="M663:AA663" si="1325">IFERROR(VALUE(RIGHT(LEFT($J663,FIND(M$1,$J663,1)+LEN(M$1)),1)),0)</f>
        <v>0</v>
      </c>
      <c r="N663" s="13">
        <f t="shared" si="1325"/>
        <v>0</v>
      </c>
      <c r="O663" s="13">
        <f t="shared" si="1325"/>
        <v>0</v>
      </c>
      <c r="P663" s="13">
        <f t="shared" si="1325"/>
        <v>0</v>
      </c>
      <c r="Q663" s="13">
        <f t="shared" si="1325"/>
        <v>0</v>
      </c>
      <c r="R663" s="13">
        <f t="shared" si="1325"/>
        <v>0</v>
      </c>
      <c r="S663" s="13">
        <f t="shared" si="1325"/>
        <v>0</v>
      </c>
      <c r="T663" s="13">
        <f t="shared" si="1325"/>
        <v>0</v>
      </c>
      <c r="U663" s="13">
        <f t="shared" si="1325"/>
        <v>0</v>
      </c>
      <c r="V663" s="13">
        <f t="shared" si="1325"/>
        <v>0</v>
      </c>
      <c r="W663" s="13">
        <f t="shared" si="1325"/>
        <v>0</v>
      </c>
      <c r="X663" s="13">
        <f t="shared" si="1325"/>
        <v>0</v>
      </c>
      <c r="Y663" s="13">
        <f t="shared" si="1325"/>
        <v>0</v>
      </c>
      <c r="Z663" s="13">
        <f t="shared" si="1325"/>
        <v>0</v>
      </c>
      <c r="AA663" s="13">
        <f t="shared" si="1325"/>
        <v>0</v>
      </c>
      <c r="AB663" s="13">
        <f t="shared" ref="AB663:AP663" si="1326">IFERROR(VALUE(RIGHT(LEFT($J663,FIND(AB$1,$J663,IF(M663=0,1,FIND(AB$1,$J663,1)+1))+LEN(AB$1)),1)),0)</f>
        <v>0</v>
      </c>
      <c r="AC663" s="13">
        <f t="shared" si="1326"/>
        <v>0</v>
      </c>
      <c r="AD663" s="13">
        <f t="shared" si="1326"/>
        <v>0</v>
      </c>
      <c r="AE663" s="13">
        <f t="shared" si="1326"/>
        <v>1</v>
      </c>
      <c r="AF663" s="13">
        <f t="shared" si="1326"/>
        <v>0</v>
      </c>
      <c r="AG663" s="13">
        <f t="shared" si="1326"/>
        <v>0</v>
      </c>
      <c r="AH663" s="13">
        <f t="shared" si="1326"/>
        <v>0</v>
      </c>
      <c r="AI663" s="13">
        <f t="shared" si="1326"/>
        <v>0</v>
      </c>
      <c r="AJ663" s="13">
        <f t="shared" si="1326"/>
        <v>0</v>
      </c>
      <c r="AK663" s="13">
        <f t="shared" si="1326"/>
        <v>0</v>
      </c>
      <c r="AL663" s="13">
        <f t="shared" si="1326"/>
        <v>0</v>
      </c>
      <c r="AM663" s="13">
        <f t="shared" si="1326"/>
        <v>0</v>
      </c>
      <c r="AN663" s="13">
        <f t="shared" si="1326"/>
        <v>1</v>
      </c>
      <c r="AO663" s="13">
        <f t="shared" si="1326"/>
        <v>0</v>
      </c>
      <c r="AP663" s="13">
        <f t="shared" si="1326"/>
        <v>0</v>
      </c>
      <c r="AQ663" s="13"/>
      <c r="AR663" s="13" t="s">
        <v>4247</v>
      </c>
      <c r="AS663" s="13" t="s">
        <v>2998</v>
      </c>
      <c r="AT663" s="13" t="s">
        <v>129</v>
      </c>
      <c r="AU663" s="13" t="s">
        <v>143</v>
      </c>
      <c r="AV663" s="13" t="s">
        <v>208</v>
      </c>
      <c r="AW663" s="13">
        <v>9.0</v>
      </c>
      <c r="AX663" s="13">
        <v>10.0</v>
      </c>
      <c r="AY663" s="13">
        <v>0.0</v>
      </c>
      <c r="AZ663" s="13" t="s">
        <v>4248</v>
      </c>
      <c r="BA663" s="13" t="s">
        <v>1174</v>
      </c>
      <c r="BB663" s="13"/>
      <c r="BC663" s="13"/>
      <c r="BD663" s="13" t="s">
        <v>715</v>
      </c>
      <c r="BE663" s="13"/>
      <c r="BF663" s="13" t="s">
        <v>4249</v>
      </c>
      <c r="BG663" s="13" t="s">
        <v>50</v>
      </c>
      <c r="BH663" s="13" t="s">
        <v>79</v>
      </c>
      <c r="BI663" s="13" t="b">
        <v>0</v>
      </c>
      <c r="BJ663" s="13">
        <v>0.0</v>
      </c>
      <c r="BK663" s="13">
        <v>0.0</v>
      </c>
    </row>
    <row r="664" ht="14.25" customHeight="1">
      <c r="A664" s="13">
        <v>662.0</v>
      </c>
      <c r="B664" s="13" t="s">
        <v>51</v>
      </c>
      <c r="C664" s="13">
        <v>1.0</v>
      </c>
      <c r="D664" s="14">
        <v>0.0</v>
      </c>
      <c r="E664" s="13" t="s">
        <v>4250</v>
      </c>
      <c r="F664" s="15" t="s">
        <v>931</v>
      </c>
      <c r="G664" s="16" t="s">
        <v>4251</v>
      </c>
      <c r="H664" s="13">
        <v>14.0</v>
      </c>
      <c r="I664" s="13">
        <v>1.0</v>
      </c>
      <c r="J664" s="13" t="s">
        <v>774</v>
      </c>
      <c r="K664" s="13">
        <f t="shared" si="3"/>
        <v>0</v>
      </c>
      <c r="L664" s="13">
        <f t="shared" si="4"/>
        <v>2</v>
      </c>
      <c r="M664" s="13">
        <f t="shared" ref="M664:AA664" si="1327">IFERROR(VALUE(RIGHT(LEFT($J664,FIND(M$1,$J664,1)+LEN(M$1)),1)),0)</f>
        <v>0</v>
      </c>
      <c r="N664" s="13">
        <f t="shared" si="1327"/>
        <v>0</v>
      </c>
      <c r="O664" s="13">
        <f t="shared" si="1327"/>
        <v>0</v>
      </c>
      <c r="P664" s="13">
        <f t="shared" si="1327"/>
        <v>0</v>
      </c>
      <c r="Q664" s="13">
        <f t="shared" si="1327"/>
        <v>0</v>
      </c>
      <c r="R664" s="13">
        <f t="shared" si="1327"/>
        <v>0</v>
      </c>
      <c r="S664" s="13">
        <f t="shared" si="1327"/>
        <v>0</v>
      </c>
      <c r="T664" s="13">
        <f t="shared" si="1327"/>
        <v>0</v>
      </c>
      <c r="U664" s="13">
        <f t="shared" si="1327"/>
        <v>0</v>
      </c>
      <c r="V664" s="13">
        <f t="shared" si="1327"/>
        <v>0</v>
      </c>
      <c r="W664" s="13">
        <f t="shared" si="1327"/>
        <v>0</v>
      </c>
      <c r="X664" s="13">
        <f t="shared" si="1327"/>
        <v>0</v>
      </c>
      <c r="Y664" s="13">
        <f t="shared" si="1327"/>
        <v>0</v>
      </c>
      <c r="Z664" s="13">
        <f t="shared" si="1327"/>
        <v>0</v>
      </c>
      <c r="AA664" s="13">
        <f t="shared" si="1327"/>
        <v>0</v>
      </c>
      <c r="AB664" s="13">
        <f t="shared" ref="AB664:AP664" si="1328">IFERROR(VALUE(RIGHT(LEFT($J664,FIND(AB$1,$J664,IF(M664=0,1,FIND(AB$1,$J664,1)+1))+LEN(AB$1)),1)),0)</f>
        <v>0</v>
      </c>
      <c r="AC664" s="13">
        <f t="shared" si="1328"/>
        <v>0</v>
      </c>
      <c r="AD664" s="13">
        <f t="shared" si="1328"/>
        <v>0</v>
      </c>
      <c r="AE664" s="13">
        <f t="shared" si="1328"/>
        <v>1</v>
      </c>
      <c r="AF664" s="13">
        <f t="shared" si="1328"/>
        <v>0</v>
      </c>
      <c r="AG664" s="13">
        <f t="shared" si="1328"/>
        <v>0</v>
      </c>
      <c r="AH664" s="13">
        <f t="shared" si="1328"/>
        <v>0</v>
      </c>
      <c r="AI664" s="13">
        <f t="shared" si="1328"/>
        <v>0</v>
      </c>
      <c r="AJ664" s="13">
        <f t="shared" si="1328"/>
        <v>0</v>
      </c>
      <c r="AK664" s="13">
        <f t="shared" si="1328"/>
        <v>0</v>
      </c>
      <c r="AL664" s="13">
        <f t="shared" si="1328"/>
        <v>0</v>
      </c>
      <c r="AM664" s="13">
        <f t="shared" si="1328"/>
        <v>0</v>
      </c>
      <c r="AN664" s="13">
        <f t="shared" si="1328"/>
        <v>0</v>
      </c>
      <c r="AO664" s="13">
        <f t="shared" si="1328"/>
        <v>1</v>
      </c>
      <c r="AP664" s="13">
        <f t="shared" si="1328"/>
        <v>0</v>
      </c>
      <c r="AQ664" s="13"/>
      <c r="AR664" s="13" t="s">
        <v>4252</v>
      </c>
      <c r="AS664" s="13" t="s">
        <v>4253</v>
      </c>
      <c r="AT664" s="13" t="s">
        <v>175</v>
      </c>
      <c r="AU664" s="13" t="s">
        <v>130</v>
      </c>
      <c r="AV664" s="13" t="s">
        <v>4254</v>
      </c>
      <c r="AW664" s="13">
        <v>12.0</v>
      </c>
      <c r="AX664" s="13">
        <v>10.0</v>
      </c>
      <c r="AY664" s="13">
        <v>0.0</v>
      </c>
      <c r="AZ664" s="13" t="s">
        <v>757</v>
      </c>
      <c r="BA664" s="13" t="s">
        <v>758</v>
      </c>
      <c r="BB664" s="13"/>
      <c r="BC664" s="13"/>
      <c r="BD664" s="13" t="s">
        <v>239</v>
      </c>
      <c r="BE664" s="13"/>
      <c r="BF664" s="13" t="s">
        <v>4255</v>
      </c>
      <c r="BG664" s="13" t="s">
        <v>50</v>
      </c>
      <c r="BH664" s="13" t="s">
        <v>79</v>
      </c>
      <c r="BI664" s="13" t="b">
        <v>0</v>
      </c>
      <c r="BJ664" s="13">
        <v>0.0</v>
      </c>
      <c r="BK664" s="13">
        <v>0.0</v>
      </c>
    </row>
    <row r="665" ht="14.25" customHeight="1">
      <c r="A665" s="13">
        <v>663.0</v>
      </c>
      <c r="B665" s="13" t="s">
        <v>44</v>
      </c>
      <c r="C665" s="13">
        <v>2.0</v>
      </c>
      <c r="D665" s="14">
        <v>0.0</v>
      </c>
      <c r="E665" s="13" t="s">
        <v>4256</v>
      </c>
      <c r="F665" s="15" t="s">
        <v>931</v>
      </c>
      <c r="G665" s="16" t="s">
        <v>4257</v>
      </c>
      <c r="H665" s="13"/>
      <c r="I665" s="13">
        <v>1.0</v>
      </c>
      <c r="J665" s="13" t="s">
        <v>2243</v>
      </c>
      <c r="K665" s="13">
        <f t="shared" si="3"/>
        <v>0</v>
      </c>
      <c r="L665" s="13">
        <f t="shared" si="4"/>
        <v>3</v>
      </c>
      <c r="M665" s="13">
        <f t="shared" ref="M665:AA665" si="1329">IFERROR(VALUE(RIGHT(LEFT($J665,FIND(M$1,$J665,1)+LEN(M$1)),1)),0)</f>
        <v>0</v>
      </c>
      <c r="N665" s="13">
        <f t="shared" si="1329"/>
        <v>0</v>
      </c>
      <c r="O665" s="13">
        <f t="shared" si="1329"/>
        <v>0</v>
      </c>
      <c r="P665" s="13">
        <f t="shared" si="1329"/>
        <v>0</v>
      </c>
      <c r="Q665" s="13">
        <f t="shared" si="1329"/>
        <v>0</v>
      </c>
      <c r="R665" s="13">
        <f t="shared" si="1329"/>
        <v>0</v>
      </c>
      <c r="S665" s="13">
        <f t="shared" si="1329"/>
        <v>0</v>
      </c>
      <c r="T665" s="13">
        <f t="shared" si="1329"/>
        <v>0</v>
      </c>
      <c r="U665" s="13">
        <f t="shared" si="1329"/>
        <v>0</v>
      </c>
      <c r="V665" s="13">
        <f t="shared" si="1329"/>
        <v>0</v>
      </c>
      <c r="W665" s="13">
        <f t="shared" si="1329"/>
        <v>0</v>
      </c>
      <c r="X665" s="13">
        <f t="shared" si="1329"/>
        <v>0</v>
      </c>
      <c r="Y665" s="13">
        <f t="shared" si="1329"/>
        <v>0</v>
      </c>
      <c r="Z665" s="13">
        <f t="shared" si="1329"/>
        <v>0</v>
      </c>
      <c r="AA665" s="13">
        <f t="shared" si="1329"/>
        <v>0</v>
      </c>
      <c r="AB665" s="13">
        <f t="shared" ref="AB665:AP665" si="1330">IFERROR(VALUE(RIGHT(LEFT($J665,FIND(AB$1,$J665,IF(M665=0,1,FIND(AB$1,$J665,1)+1))+LEN(AB$1)),1)),0)</f>
        <v>0</v>
      </c>
      <c r="AC665" s="13">
        <f t="shared" si="1330"/>
        <v>0</v>
      </c>
      <c r="AD665" s="13">
        <f t="shared" si="1330"/>
        <v>0</v>
      </c>
      <c r="AE665" s="13">
        <f t="shared" si="1330"/>
        <v>0</v>
      </c>
      <c r="AF665" s="13">
        <f t="shared" si="1330"/>
        <v>1</v>
      </c>
      <c r="AG665" s="13">
        <f t="shared" si="1330"/>
        <v>0</v>
      </c>
      <c r="AH665" s="13">
        <f t="shared" si="1330"/>
        <v>2</v>
      </c>
      <c r="AI665" s="13">
        <f t="shared" si="1330"/>
        <v>0</v>
      </c>
      <c r="AJ665" s="13">
        <f t="shared" si="1330"/>
        <v>0</v>
      </c>
      <c r="AK665" s="13">
        <f t="shared" si="1330"/>
        <v>0</v>
      </c>
      <c r="AL665" s="13">
        <f t="shared" si="1330"/>
        <v>0</v>
      </c>
      <c r="AM665" s="13">
        <f t="shared" si="1330"/>
        <v>0</v>
      </c>
      <c r="AN665" s="13">
        <f t="shared" si="1330"/>
        <v>0</v>
      </c>
      <c r="AO665" s="13">
        <f t="shared" si="1330"/>
        <v>0</v>
      </c>
      <c r="AP665" s="13">
        <f t="shared" si="1330"/>
        <v>0</v>
      </c>
      <c r="AQ665" s="13" t="s">
        <v>4258</v>
      </c>
      <c r="AR665" s="13"/>
      <c r="AS665" s="13" t="s">
        <v>4259</v>
      </c>
      <c r="AT665" s="13"/>
      <c r="AU665" s="13"/>
      <c r="AV665" s="13"/>
      <c r="AW665" s="13">
        <v>0.0</v>
      </c>
      <c r="AX665" s="13">
        <v>10.0</v>
      </c>
      <c r="AY665" s="13">
        <v>0.0</v>
      </c>
      <c r="AZ665" s="13"/>
      <c r="BA665" s="13"/>
      <c r="BB665" s="13"/>
      <c r="BC665" s="13"/>
      <c r="BD665" s="13"/>
      <c r="BE665" s="13"/>
      <c r="BF665" s="13"/>
      <c r="BG665" s="13"/>
      <c r="BH665" s="13" t="s">
        <v>79</v>
      </c>
      <c r="BI665" s="13" t="b">
        <v>0</v>
      </c>
      <c r="BJ665" s="13">
        <v>0.0</v>
      </c>
      <c r="BK665" s="13">
        <v>0.0</v>
      </c>
    </row>
    <row r="666" ht="14.25" customHeight="1">
      <c r="A666" s="13">
        <v>664.0</v>
      </c>
      <c r="B666" s="13" t="s">
        <v>45</v>
      </c>
      <c r="C666" s="13">
        <v>2.0</v>
      </c>
      <c r="D666" s="14">
        <v>0.0</v>
      </c>
      <c r="E666" s="13" t="s">
        <v>4260</v>
      </c>
      <c r="F666" s="15" t="s">
        <v>931</v>
      </c>
      <c r="G666" s="16" t="s">
        <v>4261</v>
      </c>
      <c r="H666" s="13"/>
      <c r="I666" s="13">
        <v>1.1</v>
      </c>
      <c r="J666" s="13" t="s">
        <v>4262</v>
      </c>
      <c r="K666" s="13">
        <f t="shared" si="3"/>
        <v>0</v>
      </c>
      <c r="L666" s="13">
        <f t="shared" si="4"/>
        <v>3</v>
      </c>
      <c r="M666" s="13">
        <f t="shared" ref="M666:AA666" si="1331">IFERROR(VALUE(RIGHT(LEFT($J666,FIND(M$1,$J666,1)+LEN(M$1)),1)),0)</f>
        <v>0</v>
      </c>
      <c r="N666" s="13">
        <f t="shared" si="1331"/>
        <v>0</v>
      </c>
      <c r="O666" s="13">
        <f t="shared" si="1331"/>
        <v>0</v>
      </c>
      <c r="P666" s="13">
        <f t="shared" si="1331"/>
        <v>0</v>
      </c>
      <c r="Q666" s="13">
        <f t="shared" si="1331"/>
        <v>0</v>
      </c>
      <c r="R666" s="13">
        <f t="shared" si="1331"/>
        <v>0</v>
      </c>
      <c r="S666" s="13">
        <f t="shared" si="1331"/>
        <v>0</v>
      </c>
      <c r="T666" s="13">
        <f t="shared" si="1331"/>
        <v>0</v>
      </c>
      <c r="U666" s="13">
        <f t="shared" si="1331"/>
        <v>0</v>
      </c>
      <c r="V666" s="13">
        <f t="shared" si="1331"/>
        <v>0</v>
      </c>
      <c r="W666" s="13">
        <f t="shared" si="1331"/>
        <v>0</v>
      </c>
      <c r="X666" s="13">
        <f t="shared" si="1331"/>
        <v>0</v>
      </c>
      <c r="Y666" s="13">
        <f t="shared" si="1331"/>
        <v>0</v>
      </c>
      <c r="Z666" s="13">
        <f t="shared" si="1331"/>
        <v>0</v>
      </c>
      <c r="AA666" s="13">
        <f t="shared" si="1331"/>
        <v>0</v>
      </c>
      <c r="AB666" s="13">
        <f t="shared" ref="AB666:AP666" si="1332">IFERROR(VALUE(RIGHT(LEFT($J666,FIND(AB$1,$J666,IF(M666=0,1,FIND(AB$1,$J666,1)+1))+LEN(AB$1)),1)),0)</f>
        <v>1</v>
      </c>
      <c r="AC666" s="13">
        <f t="shared" si="1332"/>
        <v>0</v>
      </c>
      <c r="AD666" s="13">
        <f t="shared" si="1332"/>
        <v>0</v>
      </c>
      <c r="AE666" s="13">
        <f t="shared" si="1332"/>
        <v>0</v>
      </c>
      <c r="AF666" s="13">
        <f t="shared" si="1332"/>
        <v>0</v>
      </c>
      <c r="AG666" s="13">
        <f t="shared" si="1332"/>
        <v>1</v>
      </c>
      <c r="AH666" s="13">
        <f t="shared" si="1332"/>
        <v>0</v>
      </c>
      <c r="AI666" s="13">
        <f t="shared" si="1332"/>
        <v>1</v>
      </c>
      <c r="AJ666" s="13">
        <f t="shared" si="1332"/>
        <v>0</v>
      </c>
      <c r="AK666" s="13">
        <f t="shared" si="1332"/>
        <v>0</v>
      </c>
      <c r="AL666" s="13">
        <f t="shared" si="1332"/>
        <v>0</v>
      </c>
      <c r="AM666" s="13">
        <f t="shared" si="1332"/>
        <v>0</v>
      </c>
      <c r="AN666" s="13">
        <f t="shared" si="1332"/>
        <v>0</v>
      </c>
      <c r="AO666" s="13">
        <f t="shared" si="1332"/>
        <v>0</v>
      </c>
      <c r="AP666" s="13">
        <f t="shared" si="1332"/>
        <v>0</v>
      </c>
      <c r="AQ666" s="13" t="s">
        <v>4263</v>
      </c>
      <c r="AR666" s="13"/>
      <c r="AS666" s="13" t="s">
        <v>4264</v>
      </c>
      <c r="AT666" s="13"/>
      <c r="AU666" s="13"/>
      <c r="AV666" s="13"/>
      <c r="AW666" s="13">
        <v>0.0</v>
      </c>
      <c r="AX666" s="13">
        <v>10.0</v>
      </c>
      <c r="AY666" s="13">
        <v>0.0</v>
      </c>
      <c r="AZ666" s="13"/>
      <c r="BA666" s="13"/>
      <c r="BB666" s="13"/>
      <c r="BC666" s="13"/>
      <c r="BD666" s="13"/>
      <c r="BE666" s="13"/>
      <c r="BF666" s="13"/>
      <c r="BG666" s="13"/>
      <c r="BH666" s="13" t="s">
        <v>79</v>
      </c>
      <c r="BI666" s="13" t="b">
        <v>0</v>
      </c>
      <c r="BJ666" s="13">
        <v>0.0</v>
      </c>
      <c r="BK666" s="13">
        <v>0.0</v>
      </c>
    </row>
    <row r="667" ht="14.25" customHeight="1">
      <c r="A667" s="13">
        <v>665.0</v>
      </c>
      <c r="B667" s="13" t="s">
        <v>46</v>
      </c>
      <c r="C667" s="13">
        <v>2.0</v>
      </c>
      <c r="D667" s="14">
        <v>0.0</v>
      </c>
      <c r="E667" s="13" t="s">
        <v>4265</v>
      </c>
      <c r="F667" s="15" t="s">
        <v>931</v>
      </c>
      <c r="G667" s="16" t="s">
        <v>4266</v>
      </c>
      <c r="H667" s="13"/>
      <c r="I667" s="13">
        <v>1.0</v>
      </c>
      <c r="J667" s="13" t="s">
        <v>3024</v>
      </c>
      <c r="K667" s="13">
        <f t="shared" si="3"/>
        <v>0</v>
      </c>
      <c r="L667" s="13">
        <f t="shared" si="4"/>
        <v>3</v>
      </c>
      <c r="M667" s="13">
        <f t="shared" ref="M667:AA667" si="1333">IFERROR(VALUE(RIGHT(LEFT($J667,FIND(M$1,$J667,1)+LEN(M$1)),1)),0)</f>
        <v>0</v>
      </c>
      <c r="N667" s="13">
        <f t="shared" si="1333"/>
        <v>0</v>
      </c>
      <c r="O667" s="13">
        <f t="shared" si="1333"/>
        <v>0</v>
      </c>
      <c r="P667" s="13">
        <f t="shared" si="1333"/>
        <v>0</v>
      </c>
      <c r="Q667" s="13">
        <f t="shared" si="1333"/>
        <v>0</v>
      </c>
      <c r="R667" s="13">
        <f t="shared" si="1333"/>
        <v>0</v>
      </c>
      <c r="S667" s="13">
        <f t="shared" si="1333"/>
        <v>0</v>
      </c>
      <c r="T667" s="13">
        <f t="shared" si="1333"/>
        <v>0</v>
      </c>
      <c r="U667" s="13">
        <f t="shared" si="1333"/>
        <v>0</v>
      </c>
      <c r="V667" s="13">
        <f t="shared" si="1333"/>
        <v>0</v>
      </c>
      <c r="W667" s="13">
        <f t="shared" si="1333"/>
        <v>0</v>
      </c>
      <c r="X667" s="13">
        <f t="shared" si="1333"/>
        <v>0</v>
      </c>
      <c r="Y667" s="13">
        <f t="shared" si="1333"/>
        <v>0</v>
      </c>
      <c r="Z667" s="13">
        <f t="shared" si="1333"/>
        <v>0</v>
      </c>
      <c r="AA667" s="13">
        <f t="shared" si="1333"/>
        <v>0</v>
      </c>
      <c r="AB667" s="13">
        <f t="shared" ref="AB667:AP667" si="1334">IFERROR(VALUE(RIGHT(LEFT($J667,FIND(AB$1,$J667,IF(M667=0,1,FIND(AB$1,$J667,1)+1))+LEN(AB$1)),1)),0)</f>
        <v>1</v>
      </c>
      <c r="AC667" s="13">
        <f t="shared" si="1334"/>
        <v>0</v>
      </c>
      <c r="AD667" s="13">
        <f t="shared" si="1334"/>
        <v>0</v>
      </c>
      <c r="AE667" s="13">
        <f t="shared" si="1334"/>
        <v>0</v>
      </c>
      <c r="AF667" s="13">
        <f t="shared" si="1334"/>
        <v>0</v>
      </c>
      <c r="AG667" s="13">
        <f t="shared" si="1334"/>
        <v>0</v>
      </c>
      <c r="AH667" s="13">
        <f t="shared" si="1334"/>
        <v>0</v>
      </c>
      <c r="AI667" s="13">
        <f t="shared" si="1334"/>
        <v>0</v>
      </c>
      <c r="AJ667" s="13">
        <f t="shared" si="1334"/>
        <v>2</v>
      </c>
      <c r="AK667" s="13">
        <f t="shared" si="1334"/>
        <v>0</v>
      </c>
      <c r="AL667" s="13">
        <f t="shared" si="1334"/>
        <v>0</v>
      </c>
      <c r="AM667" s="13">
        <f t="shared" si="1334"/>
        <v>0</v>
      </c>
      <c r="AN667" s="13">
        <f t="shared" si="1334"/>
        <v>0</v>
      </c>
      <c r="AO667" s="13">
        <f t="shared" si="1334"/>
        <v>0</v>
      </c>
      <c r="AP667" s="13">
        <f t="shared" si="1334"/>
        <v>0</v>
      </c>
      <c r="AQ667" s="13" t="s">
        <v>4267</v>
      </c>
      <c r="AR667" s="13"/>
      <c r="AS667" s="13" t="s">
        <v>4268</v>
      </c>
      <c r="AT667" s="13"/>
      <c r="AU667" s="13"/>
      <c r="AV667" s="13"/>
      <c r="AW667" s="13">
        <v>0.0</v>
      </c>
      <c r="AX667" s="13">
        <v>10.0</v>
      </c>
      <c r="AY667" s="13">
        <v>0.0</v>
      </c>
      <c r="AZ667" s="13"/>
      <c r="BA667" s="13"/>
      <c r="BB667" s="13"/>
      <c r="BC667" s="13"/>
      <c r="BD667" s="13"/>
      <c r="BE667" s="13"/>
      <c r="BF667" s="13"/>
      <c r="BG667" s="13"/>
      <c r="BH667" s="13" t="s">
        <v>79</v>
      </c>
      <c r="BI667" s="13" t="b">
        <v>0</v>
      </c>
      <c r="BJ667" s="13">
        <v>0.0</v>
      </c>
      <c r="BK667" s="13">
        <v>0.0</v>
      </c>
    </row>
    <row r="668" ht="14.25" customHeight="1">
      <c r="A668" s="13">
        <v>666.0</v>
      </c>
      <c r="B668" s="13" t="s">
        <v>47</v>
      </c>
      <c r="C668" s="13">
        <v>2.0</v>
      </c>
      <c r="D668" s="14">
        <v>0.0</v>
      </c>
      <c r="E668" s="13" t="s">
        <v>4269</v>
      </c>
      <c r="F668" s="15" t="s">
        <v>931</v>
      </c>
      <c r="G668" s="16" t="s">
        <v>4270</v>
      </c>
      <c r="H668" s="13">
        <v>17.0</v>
      </c>
      <c r="I668" s="13">
        <v>1.1</v>
      </c>
      <c r="J668" s="13" t="s">
        <v>2837</v>
      </c>
      <c r="K668" s="13">
        <f t="shared" si="3"/>
        <v>0</v>
      </c>
      <c r="L668" s="13">
        <f t="shared" si="4"/>
        <v>3</v>
      </c>
      <c r="M668" s="13">
        <f t="shared" ref="M668:AA668" si="1335">IFERROR(VALUE(RIGHT(LEFT($J668,FIND(M$1,$J668,1)+LEN(M$1)),1)),0)</f>
        <v>0</v>
      </c>
      <c r="N668" s="13">
        <f t="shared" si="1335"/>
        <v>0</v>
      </c>
      <c r="O668" s="13">
        <f t="shared" si="1335"/>
        <v>0</v>
      </c>
      <c r="P668" s="13">
        <f t="shared" si="1335"/>
        <v>0</v>
      </c>
      <c r="Q668" s="13">
        <f t="shared" si="1335"/>
        <v>0</v>
      </c>
      <c r="R668" s="13">
        <f t="shared" si="1335"/>
        <v>0</v>
      </c>
      <c r="S668" s="13">
        <f t="shared" si="1335"/>
        <v>0</v>
      </c>
      <c r="T668" s="13">
        <f t="shared" si="1335"/>
        <v>0</v>
      </c>
      <c r="U668" s="13">
        <f t="shared" si="1335"/>
        <v>0</v>
      </c>
      <c r="V668" s="13">
        <f t="shared" si="1335"/>
        <v>0</v>
      </c>
      <c r="W668" s="13">
        <f t="shared" si="1335"/>
        <v>0</v>
      </c>
      <c r="X668" s="13">
        <f t="shared" si="1335"/>
        <v>0</v>
      </c>
      <c r="Y668" s="13">
        <f t="shared" si="1335"/>
        <v>0</v>
      </c>
      <c r="Z668" s="13">
        <f t="shared" si="1335"/>
        <v>0</v>
      </c>
      <c r="AA668" s="13">
        <f t="shared" si="1335"/>
        <v>0</v>
      </c>
      <c r="AB668" s="13">
        <f t="shared" ref="AB668:AP668" si="1336">IFERROR(VALUE(RIGHT(LEFT($J668,FIND(AB$1,$J668,IF(M668=0,1,FIND(AB$1,$J668,1)+1))+LEN(AB$1)),1)),0)</f>
        <v>2</v>
      </c>
      <c r="AC668" s="13">
        <f t="shared" si="1336"/>
        <v>0</v>
      </c>
      <c r="AD668" s="13">
        <f t="shared" si="1336"/>
        <v>0</v>
      </c>
      <c r="AE668" s="13">
        <f t="shared" si="1336"/>
        <v>0</v>
      </c>
      <c r="AF668" s="13">
        <f t="shared" si="1336"/>
        <v>0</v>
      </c>
      <c r="AG668" s="13">
        <f t="shared" si="1336"/>
        <v>0</v>
      </c>
      <c r="AH668" s="13">
        <f t="shared" si="1336"/>
        <v>0</v>
      </c>
      <c r="AI668" s="13">
        <f t="shared" si="1336"/>
        <v>0</v>
      </c>
      <c r="AJ668" s="13">
        <f t="shared" si="1336"/>
        <v>0</v>
      </c>
      <c r="AK668" s="13">
        <f t="shared" si="1336"/>
        <v>1</v>
      </c>
      <c r="AL668" s="13">
        <f t="shared" si="1336"/>
        <v>0</v>
      </c>
      <c r="AM668" s="13">
        <f t="shared" si="1336"/>
        <v>0</v>
      </c>
      <c r="AN668" s="13">
        <f t="shared" si="1336"/>
        <v>0</v>
      </c>
      <c r="AO668" s="13">
        <f t="shared" si="1336"/>
        <v>0</v>
      </c>
      <c r="AP668" s="13">
        <f t="shared" si="1336"/>
        <v>0</v>
      </c>
      <c r="AQ668" s="13"/>
      <c r="AR668" s="13" t="s">
        <v>4271</v>
      </c>
      <c r="AS668" s="13" t="s">
        <v>4272</v>
      </c>
      <c r="AT668" s="13" t="s">
        <v>573</v>
      </c>
      <c r="AU668" s="13" t="s">
        <v>130</v>
      </c>
      <c r="AV668" s="13" t="s">
        <v>1136</v>
      </c>
      <c r="AW668" s="13">
        <v>16.0</v>
      </c>
      <c r="AX668" s="13">
        <v>10.0</v>
      </c>
      <c r="AY668" s="13">
        <v>0.0</v>
      </c>
      <c r="AZ668" s="13" t="s">
        <v>4273</v>
      </c>
      <c r="BA668" s="13" t="s">
        <v>1204</v>
      </c>
      <c r="BB668" s="13"/>
      <c r="BC668" s="13"/>
      <c r="BD668" s="13" t="s">
        <v>134</v>
      </c>
      <c r="BE668" s="13"/>
      <c r="BF668" s="13" t="s">
        <v>1114</v>
      </c>
      <c r="BG668" s="13" t="s">
        <v>136</v>
      </c>
      <c r="BH668" s="13" t="s">
        <v>79</v>
      </c>
      <c r="BI668" s="13" t="b">
        <v>0</v>
      </c>
      <c r="BJ668" s="13">
        <v>0.0</v>
      </c>
      <c r="BK668" s="13">
        <v>0.0</v>
      </c>
    </row>
    <row r="669" ht="14.25" customHeight="1">
      <c r="A669" s="13">
        <v>667.0</v>
      </c>
      <c r="B669" s="13" t="s">
        <v>47</v>
      </c>
      <c r="C669" s="13">
        <v>2.0</v>
      </c>
      <c r="D669" s="14">
        <v>0.0</v>
      </c>
      <c r="E669" s="13" t="s">
        <v>4274</v>
      </c>
      <c r="F669" s="15" t="s">
        <v>931</v>
      </c>
      <c r="G669" s="16" t="s">
        <v>4275</v>
      </c>
      <c r="H669" s="13">
        <v>13.0</v>
      </c>
      <c r="I669" s="13">
        <v>1.1</v>
      </c>
      <c r="J669" s="13" t="s">
        <v>2655</v>
      </c>
      <c r="K669" s="13">
        <f t="shared" si="3"/>
        <v>0</v>
      </c>
      <c r="L669" s="13">
        <f t="shared" si="4"/>
        <v>3</v>
      </c>
      <c r="M669" s="13">
        <f t="shared" ref="M669:AA669" si="1337">IFERROR(VALUE(RIGHT(LEFT($J669,FIND(M$1,$J669,1)+LEN(M$1)),1)),0)</f>
        <v>0</v>
      </c>
      <c r="N669" s="13">
        <f t="shared" si="1337"/>
        <v>0</v>
      </c>
      <c r="O669" s="13">
        <f t="shared" si="1337"/>
        <v>0</v>
      </c>
      <c r="P669" s="13">
        <f t="shared" si="1337"/>
        <v>0</v>
      </c>
      <c r="Q669" s="13">
        <f t="shared" si="1337"/>
        <v>0</v>
      </c>
      <c r="R669" s="13">
        <f t="shared" si="1337"/>
        <v>0</v>
      </c>
      <c r="S669" s="13">
        <f t="shared" si="1337"/>
        <v>0</v>
      </c>
      <c r="T669" s="13">
        <f t="shared" si="1337"/>
        <v>0</v>
      </c>
      <c r="U669" s="13">
        <f t="shared" si="1337"/>
        <v>0</v>
      </c>
      <c r="V669" s="13">
        <f t="shared" si="1337"/>
        <v>0</v>
      </c>
      <c r="W669" s="13">
        <f t="shared" si="1337"/>
        <v>0</v>
      </c>
      <c r="X669" s="13">
        <f t="shared" si="1337"/>
        <v>0</v>
      </c>
      <c r="Y669" s="13">
        <f t="shared" si="1337"/>
        <v>0</v>
      </c>
      <c r="Z669" s="13">
        <f t="shared" si="1337"/>
        <v>0</v>
      </c>
      <c r="AA669" s="13">
        <f t="shared" si="1337"/>
        <v>0</v>
      </c>
      <c r="AB669" s="13">
        <f t="shared" ref="AB669:AP669" si="1338">IFERROR(VALUE(RIGHT(LEFT($J669,FIND(AB$1,$J669,IF(M669=0,1,FIND(AB$1,$J669,1)+1))+LEN(AB$1)),1)),0)</f>
        <v>0</v>
      </c>
      <c r="AC669" s="13">
        <f t="shared" si="1338"/>
        <v>0</v>
      </c>
      <c r="AD669" s="13">
        <f t="shared" si="1338"/>
        <v>0</v>
      </c>
      <c r="AE669" s="13">
        <f t="shared" si="1338"/>
        <v>0</v>
      </c>
      <c r="AF669" s="13">
        <f t="shared" si="1338"/>
        <v>0</v>
      </c>
      <c r="AG669" s="13">
        <f t="shared" si="1338"/>
        <v>1</v>
      </c>
      <c r="AH669" s="13">
        <f t="shared" si="1338"/>
        <v>0</v>
      </c>
      <c r="AI669" s="13">
        <f t="shared" si="1338"/>
        <v>0</v>
      </c>
      <c r="AJ669" s="13">
        <f t="shared" si="1338"/>
        <v>0</v>
      </c>
      <c r="AK669" s="13">
        <f t="shared" si="1338"/>
        <v>2</v>
      </c>
      <c r="AL669" s="13">
        <f t="shared" si="1338"/>
        <v>0</v>
      </c>
      <c r="AM669" s="13">
        <f t="shared" si="1338"/>
        <v>0</v>
      </c>
      <c r="AN669" s="13">
        <f t="shared" si="1338"/>
        <v>0</v>
      </c>
      <c r="AO669" s="13">
        <f t="shared" si="1338"/>
        <v>0</v>
      </c>
      <c r="AP669" s="13">
        <f t="shared" si="1338"/>
        <v>0</v>
      </c>
      <c r="AQ669" s="13"/>
      <c r="AR669" s="13" t="s">
        <v>3898</v>
      </c>
      <c r="AS669" s="13" t="s">
        <v>4276</v>
      </c>
      <c r="AT669" s="13" t="s">
        <v>162</v>
      </c>
      <c r="AU669" s="13" t="s">
        <v>236</v>
      </c>
      <c r="AV669" s="13" t="s">
        <v>4277</v>
      </c>
      <c r="AW669" s="13">
        <v>13.0</v>
      </c>
      <c r="AX669" s="13">
        <v>10.0</v>
      </c>
      <c r="AY669" s="13">
        <v>0.0</v>
      </c>
      <c r="AZ669" s="13" t="s">
        <v>1419</v>
      </c>
      <c r="BA669" s="13" t="s">
        <v>3650</v>
      </c>
      <c r="BB669" s="13"/>
      <c r="BC669" s="13"/>
      <c r="BD669" s="13" t="s">
        <v>1113</v>
      </c>
      <c r="BE669" s="13"/>
      <c r="BF669" s="13" t="s">
        <v>4278</v>
      </c>
      <c r="BG669" s="13" t="s">
        <v>136</v>
      </c>
      <c r="BH669" s="13" t="s">
        <v>79</v>
      </c>
      <c r="BI669" s="13" t="b">
        <v>0</v>
      </c>
      <c r="BJ669" s="13">
        <v>0.0</v>
      </c>
      <c r="BK669" s="13">
        <v>0.0</v>
      </c>
    </row>
    <row r="670" ht="14.25" customHeight="1">
      <c r="A670" s="13">
        <v>668.0</v>
      </c>
      <c r="B670" s="13" t="s">
        <v>50</v>
      </c>
      <c r="C670" s="13">
        <v>2.0</v>
      </c>
      <c r="D670" s="14">
        <v>0.0</v>
      </c>
      <c r="E670" s="13" t="s">
        <v>4279</v>
      </c>
      <c r="F670" s="15" t="s">
        <v>931</v>
      </c>
      <c r="G670" s="16" t="s">
        <v>4280</v>
      </c>
      <c r="H670" s="13">
        <v>15.0</v>
      </c>
      <c r="I670" s="13">
        <v>1.0</v>
      </c>
      <c r="J670" s="13" t="s">
        <v>2851</v>
      </c>
      <c r="K670" s="13">
        <f t="shared" si="3"/>
        <v>0</v>
      </c>
      <c r="L670" s="13">
        <f t="shared" si="4"/>
        <v>3</v>
      </c>
      <c r="M670" s="13">
        <f t="shared" ref="M670:AA670" si="1339">IFERROR(VALUE(RIGHT(LEFT($J670,FIND(M$1,$J670,1)+LEN(M$1)),1)),0)</f>
        <v>0</v>
      </c>
      <c r="N670" s="13">
        <f t="shared" si="1339"/>
        <v>0</v>
      </c>
      <c r="O670" s="13">
        <f t="shared" si="1339"/>
        <v>0</v>
      </c>
      <c r="P670" s="13">
        <f t="shared" si="1339"/>
        <v>0</v>
      </c>
      <c r="Q670" s="13">
        <f t="shared" si="1339"/>
        <v>0</v>
      </c>
      <c r="R670" s="13">
        <f t="shared" si="1339"/>
        <v>0</v>
      </c>
      <c r="S670" s="13">
        <f t="shared" si="1339"/>
        <v>0</v>
      </c>
      <c r="T670" s="13">
        <f t="shared" si="1339"/>
        <v>0</v>
      </c>
      <c r="U670" s="13">
        <f t="shared" si="1339"/>
        <v>0</v>
      </c>
      <c r="V670" s="13">
        <f t="shared" si="1339"/>
        <v>0</v>
      </c>
      <c r="W670" s="13">
        <f t="shared" si="1339"/>
        <v>0</v>
      </c>
      <c r="X670" s="13">
        <f t="shared" si="1339"/>
        <v>0</v>
      </c>
      <c r="Y670" s="13">
        <f t="shared" si="1339"/>
        <v>0</v>
      </c>
      <c r="Z670" s="13">
        <f t="shared" si="1339"/>
        <v>0</v>
      </c>
      <c r="AA670" s="13">
        <f t="shared" si="1339"/>
        <v>0</v>
      </c>
      <c r="AB670" s="13">
        <f t="shared" ref="AB670:AP670" si="1340">IFERROR(VALUE(RIGHT(LEFT($J670,FIND(AB$1,$J670,IF(M670=0,1,FIND(AB$1,$J670,1)+1))+LEN(AB$1)),1)),0)</f>
        <v>0</v>
      </c>
      <c r="AC670" s="13">
        <f t="shared" si="1340"/>
        <v>0</v>
      </c>
      <c r="AD670" s="13">
        <f t="shared" si="1340"/>
        <v>0</v>
      </c>
      <c r="AE670" s="13">
        <f t="shared" si="1340"/>
        <v>0</v>
      </c>
      <c r="AF670" s="13">
        <f t="shared" si="1340"/>
        <v>2</v>
      </c>
      <c r="AG670" s="13">
        <f t="shared" si="1340"/>
        <v>0</v>
      </c>
      <c r="AH670" s="13">
        <f t="shared" si="1340"/>
        <v>0</v>
      </c>
      <c r="AI670" s="13">
        <f t="shared" si="1340"/>
        <v>0</v>
      </c>
      <c r="AJ670" s="13">
        <f t="shared" si="1340"/>
        <v>0</v>
      </c>
      <c r="AK670" s="13">
        <f t="shared" si="1340"/>
        <v>0</v>
      </c>
      <c r="AL670" s="13">
        <f t="shared" si="1340"/>
        <v>0</v>
      </c>
      <c r="AM670" s="13">
        <f t="shared" si="1340"/>
        <v>0</v>
      </c>
      <c r="AN670" s="13">
        <f t="shared" si="1340"/>
        <v>1</v>
      </c>
      <c r="AO670" s="13">
        <f t="shared" si="1340"/>
        <v>0</v>
      </c>
      <c r="AP670" s="13">
        <f t="shared" si="1340"/>
        <v>0</v>
      </c>
      <c r="AQ670" s="13"/>
      <c r="AR670" s="13" t="s">
        <v>4281</v>
      </c>
      <c r="AS670" s="13" t="s">
        <v>1340</v>
      </c>
      <c r="AT670" s="13" t="s">
        <v>162</v>
      </c>
      <c r="AU670" s="13" t="s">
        <v>195</v>
      </c>
      <c r="AV670" s="13" t="s">
        <v>2801</v>
      </c>
      <c r="AW670" s="13">
        <v>15.0</v>
      </c>
      <c r="AX670" s="13">
        <v>10.0</v>
      </c>
      <c r="AY670" s="13">
        <v>0.0</v>
      </c>
      <c r="AZ670" s="13" t="s">
        <v>913</v>
      </c>
      <c r="BA670" s="13" t="s">
        <v>4282</v>
      </c>
      <c r="BB670" s="13"/>
      <c r="BC670" s="13"/>
      <c r="BD670" s="13" t="s">
        <v>230</v>
      </c>
      <c r="BE670" s="13"/>
      <c r="BF670" s="13" t="s">
        <v>4283</v>
      </c>
      <c r="BG670" s="13" t="s">
        <v>50</v>
      </c>
      <c r="BH670" s="13" t="s">
        <v>79</v>
      </c>
      <c r="BI670" s="13" t="b">
        <v>0</v>
      </c>
      <c r="BJ670" s="13">
        <v>0.0</v>
      </c>
      <c r="BK670" s="13">
        <v>0.0</v>
      </c>
    </row>
    <row r="671" ht="14.25" customHeight="1">
      <c r="A671" s="13">
        <v>669.0</v>
      </c>
      <c r="B671" s="13" t="s">
        <v>50</v>
      </c>
      <c r="C671" s="13">
        <v>2.0</v>
      </c>
      <c r="D671" s="14">
        <v>0.0</v>
      </c>
      <c r="E671" s="13" t="s">
        <v>4284</v>
      </c>
      <c r="F671" s="15" t="s">
        <v>931</v>
      </c>
      <c r="G671" s="16" t="s">
        <v>4285</v>
      </c>
      <c r="H671" s="13">
        <v>14.0</v>
      </c>
      <c r="I671" s="13">
        <v>0.9</v>
      </c>
      <c r="J671" s="13" t="s">
        <v>1387</v>
      </c>
      <c r="K671" s="13">
        <f t="shared" si="3"/>
        <v>0</v>
      </c>
      <c r="L671" s="13">
        <f t="shared" si="4"/>
        <v>3</v>
      </c>
      <c r="M671" s="13">
        <f t="shared" ref="M671:AA671" si="1341">IFERROR(VALUE(RIGHT(LEFT($J671,FIND(M$1,$J671,1)+LEN(M$1)),1)),0)</f>
        <v>0</v>
      </c>
      <c r="N671" s="13">
        <f t="shared" si="1341"/>
        <v>0</v>
      </c>
      <c r="O671" s="13">
        <f t="shared" si="1341"/>
        <v>0</v>
      </c>
      <c r="P671" s="13">
        <f t="shared" si="1341"/>
        <v>0</v>
      </c>
      <c r="Q671" s="13">
        <f t="shared" si="1341"/>
        <v>0</v>
      </c>
      <c r="R671" s="13">
        <f t="shared" si="1341"/>
        <v>0</v>
      </c>
      <c r="S671" s="13">
        <f t="shared" si="1341"/>
        <v>0</v>
      </c>
      <c r="T671" s="13">
        <f t="shared" si="1341"/>
        <v>0</v>
      </c>
      <c r="U671" s="13">
        <f t="shared" si="1341"/>
        <v>0</v>
      </c>
      <c r="V671" s="13">
        <f t="shared" si="1341"/>
        <v>0</v>
      </c>
      <c r="W671" s="13">
        <f t="shared" si="1341"/>
        <v>0</v>
      </c>
      <c r="X671" s="13">
        <f t="shared" si="1341"/>
        <v>0</v>
      </c>
      <c r="Y671" s="13">
        <f t="shared" si="1341"/>
        <v>0</v>
      </c>
      <c r="Z671" s="13">
        <f t="shared" si="1341"/>
        <v>0</v>
      </c>
      <c r="AA671" s="13">
        <f t="shared" si="1341"/>
        <v>0</v>
      </c>
      <c r="AB671" s="13">
        <f t="shared" ref="AB671:AP671" si="1342">IFERROR(VALUE(RIGHT(LEFT($J671,FIND(AB$1,$J671,IF(M671=0,1,FIND(AB$1,$J671,1)+1))+LEN(AB$1)),1)),0)</f>
        <v>0</v>
      </c>
      <c r="AC671" s="13">
        <f t="shared" si="1342"/>
        <v>0</v>
      </c>
      <c r="AD671" s="13">
        <f t="shared" si="1342"/>
        <v>0</v>
      </c>
      <c r="AE671" s="13">
        <f t="shared" si="1342"/>
        <v>1</v>
      </c>
      <c r="AF671" s="13">
        <f t="shared" si="1342"/>
        <v>0</v>
      </c>
      <c r="AG671" s="13">
        <f t="shared" si="1342"/>
        <v>0</v>
      </c>
      <c r="AH671" s="13">
        <f t="shared" si="1342"/>
        <v>0</v>
      </c>
      <c r="AI671" s="13">
        <f t="shared" si="1342"/>
        <v>0</v>
      </c>
      <c r="AJ671" s="13">
        <f t="shared" si="1342"/>
        <v>0</v>
      </c>
      <c r="AK671" s="13">
        <f t="shared" si="1342"/>
        <v>0</v>
      </c>
      <c r="AL671" s="13">
        <f t="shared" si="1342"/>
        <v>0</v>
      </c>
      <c r="AM671" s="13">
        <f t="shared" si="1342"/>
        <v>0</v>
      </c>
      <c r="AN671" s="13">
        <f t="shared" si="1342"/>
        <v>2</v>
      </c>
      <c r="AO671" s="13">
        <f t="shared" si="1342"/>
        <v>0</v>
      </c>
      <c r="AP671" s="13">
        <f t="shared" si="1342"/>
        <v>0</v>
      </c>
      <c r="AQ671" s="13"/>
      <c r="AR671" s="13" t="s">
        <v>2997</v>
      </c>
      <c r="AS671" s="13" t="s">
        <v>4286</v>
      </c>
      <c r="AT671" s="13" t="s">
        <v>129</v>
      </c>
      <c r="AU671" s="13" t="s">
        <v>803</v>
      </c>
      <c r="AV671" s="13" t="s">
        <v>4287</v>
      </c>
      <c r="AW671" s="13">
        <v>14.0</v>
      </c>
      <c r="AX671" s="13">
        <v>10.0</v>
      </c>
      <c r="AY671" s="13">
        <v>0.0</v>
      </c>
      <c r="AZ671" s="13" t="s">
        <v>4288</v>
      </c>
      <c r="BA671" s="13" t="s">
        <v>4289</v>
      </c>
      <c r="BB671" s="13"/>
      <c r="BC671" s="13"/>
      <c r="BD671" s="13" t="s">
        <v>715</v>
      </c>
      <c r="BE671" s="13"/>
      <c r="BF671" s="13" t="s">
        <v>4290</v>
      </c>
      <c r="BG671" s="13" t="s">
        <v>50</v>
      </c>
      <c r="BH671" s="13" t="s">
        <v>79</v>
      </c>
      <c r="BI671" s="13" t="b">
        <v>0</v>
      </c>
      <c r="BJ671" s="13">
        <v>0.0</v>
      </c>
      <c r="BK671" s="13">
        <v>0.0</v>
      </c>
    </row>
    <row r="672" ht="14.25" customHeight="1">
      <c r="A672" s="13">
        <v>670.0</v>
      </c>
      <c r="B672" s="13" t="s">
        <v>51</v>
      </c>
      <c r="C672" s="13">
        <v>2.0</v>
      </c>
      <c r="D672" s="14">
        <v>0.0</v>
      </c>
      <c r="E672" s="13" t="s">
        <v>4291</v>
      </c>
      <c r="F672" s="15" t="s">
        <v>931</v>
      </c>
      <c r="G672" s="16" t="s">
        <v>4292</v>
      </c>
      <c r="H672" s="13">
        <v>16.0</v>
      </c>
      <c r="I672" s="13">
        <v>1.0</v>
      </c>
      <c r="J672" s="13" t="s">
        <v>4293</v>
      </c>
      <c r="K672" s="13">
        <f t="shared" si="3"/>
        <v>0</v>
      </c>
      <c r="L672" s="13">
        <f t="shared" si="4"/>
        <v>3</v>
      </c>
      <c r="M672" s="13">
        <f t="shared" ref="M672:AA672" si="1343">IFERROR(VALUE(RIGHT(LEFT($J672,FIND(M$1,$J672,1)+LEN(M$1)),1)),0)</f>
        <v>0</v>
      </c>
      <c r="N672" s="13">
        <f t="shared" si="1343"/>
        <v>0</v>
      </c>
      <c r="O672" s="13">
        <f t="shared" si="1343"/>
        <v>0</v>
      </c>
      <c r="P672" s="13">
        <f t="shared" si="1343"/>
        <v>0</v>
      </c>
      <c r="Q672" s="13">
        <f t="shared" si="1343"/>
        <v>0</v>
      </c>
      <c r="R672" s="13">
        <f t="shared" si="1343"/>
        <v>0</v>
      </c>
      <c r="S672" s="13">
        <f t="shared" si="1343"/>
        <v>0</v>
      </c>
      <c r="T672" s="13">
        <f t="shared" si="1343"/>
        <v>0</v>
      </c>
      <c r="U672" s="13">
        <f t="shared" si="1343"/>
        <v>0</v>
      </c>
      <c r="V672" s="13">
        <f t="shared" si="1343"/>
        <v>0</v>
      </c>
      <c r="W672" s="13">
        <f t="shared" si="1343"/>
        <v>0</v>
      </c>
      <c r="X672" s="13">
        <f t="shared" si="1343"/>
        <v>0</v>
      </c>
      <c r="Y672" s="13">
        <f t="shared" si="1343"/>
        <v>0</v>
      </c>
      <c r="Z672" s="13">
        <f t="shared" si="1343"/>
        <v>0</v>
      </c>
      <c r="AA672" s="13">
        <f t="shared" si="1343"/>
        <v>0</v>
      </c>
      <c r="AB672" s="13">
        <f t="shared" ref="AB672:AP672" si="1344">IFERROR(VALUE(RIGHT(LEFT($J672,FIND(AB$1,$J672,IF(M672=0,1,FIND(AB$1,$J672,1)+1))+LEN(AB$1)),1)),0)</f>
        <v>1</v>
      </c>
      <c r="AC672" s="13">
        <f t="shared" si="1344"/>
        <v>0</v>
      </c>
      <c r="AD672" s="13">
        <f t="shared" si="1344"/>
        <v>0</v>
      </c>
      <c r="AE672" s="13">
        <f t="shared" si="1344"/>
        <v>0</v>
      </c>
      <c r="AF672" s="13">
        <f t="shared" si="1344"/>
        <v>0</v>
      </c>
      <c r="AG672" s="13">
        <f t="shared" si="1344"/>
        <v>0</v>
      </c>
      <c r="AH672" s="13">
        <f t="shared" si="1344"/>
        <v>0</v>
      </c>
      <c r="AI672" s="13">
        <f t="shared" si="1344"/>
        <v>0</v>
      </c>
      <c r="AJ672" s="13">
        <f t="shared" si="1344"/>
        <v>0</v>
      </c>
      <c r="AK672" s="13">
        <f t="shared" si="1344"/>
        <v>0</v>
      </c>
      <c r="AL672" s="13">
        <f t="shared" si="1344"/>
        <v>0</v>
      </c>
      <c r="AM672" s="13">
        <f t="shared" si="1344"/>
        <v>0</v>
      </c>
      <c r="AN672" s="13">
        <f t="shared" si="1344"/>
        <v>0</v>
      </c>
      <c r="AO672" s="13">
        <f t="shared" si="1344"/>
        <v>2</v>
      </c>
      <c r="AP672" s="13">
        <f t="shared" si="1344"/>
        <v>0</v>
      </c>
      <c r="AQ672" s="13"/>
      <c r="AR672" s="13" t="s">
        <v>4294</v>
      </c>
      <c r="AS672" s="13" t="s">
        <v>4295</v>
      </c>
      <c r="AT672" s="13" t="s">
        <v>162</v>
      </c>
      <c r="AU672" s="13" t="s">
        <v>163</v>
      </c>
      <c r="AV672" s="13" t="s">
        <v>4296</v>
      </c>
      <c r="AW672" s="13">
        <v>17.0</v>
      </c>
      <c r="AX672" s="13">
        <v>10.0</v>
      </c>
      <c r="AY672" s="13">
        <v>0.0</v>
      </c>
      <c r="AZ672" s="13" t="s">
        <v>4297</v>
      </c>
      <c r="BA672" s="13" t="s">
        <v>1666</v>
      </c>
      <c r="BB672" s="13"/>
      <c r="BC672" s="13"/>
      <c r="BD672" s="13" t="s">
        <v>282</v>
      </c>
      <c r="BE672" s="13"/>
      <c r="BF672" s="13" t="s">
        <v>4298</v>
      </c>
      <c r="BG672" s="13" t="s">
        <v>284</v>
      </c>
      <c r="BH672" s="13" t="s">
        <v>79</v>
      </c>
      <c r="BI672" s="13" t="b">
        <v>0</v>
      </c>
      <c r="BJ672" s="13">
        <v>0.0</v>
      </c>
      <c r="BK672" s="13">
        <v>0.0</v>
      </c>
    </row>
    <row r="673" ht="14.25" customHeight="1">
      <c r="A673" s="13">
        <v>671.0</v>
      </c>
      <c r="B673" s="13" t="s">
        <v>44</v>
      </c>
      <c r="C673" s="13">
        <v>3.0</v>
      </c>
      <c r="D673" s="14">
        <v>0.0</v>
      </c>
      <c r="E673" s="13" t="s">
        <v>4299</v>
      </c>
      <c r="F673" s="15" t="s">
        <v>931</v>
      </c>
      <c r="G673" s="16" t="s">
        <v>4300</v>
      </c>
      <c r="H673" s="13"/>
      <c r="I673" s="13">
        <v>1.0</v>
      </c>
      <c r="J673" s="13" t="s">
        <v>1564</v>
      </c>
      <c r="K673" s="13">
        <f t="shared" si="3"/>
        <v>1</v>
      </c>
      <c r="L673" s="13">
        <f t="shared" si="4"/>
        <v>2</v>
      </c>
      <c r="M673" s="13">
        <f t="shared" ref="M673:AA673" si="1345">IFERROR(VALUE(RIGHT(LEFT($J673,FIND(M$1,$J673,1)+LEN(M$1)),1)),0)</f>
        <v>0</v>
      </c>
      <c r="N673" s="13">
        <f t="shared" si="1345"/>
        <v>0</v>
      </c>
      <c r="O673" s="13">
        <f t="shared" si="1345"/>
        <v>0</v>
      </c>
      <c r="P673" s="13">
        <f t="shared" si="1345"/>
        <v>0</v>
      </c>
      <c r="Q673" s="13">
        <f t="shared" si="1345"/>
        <v>0</v>
      </c>
      <c r="R673" s="13">
        <f t="shared" si="1345"/>
        <v>0</v>
      </c>
      <c r="S673" s="13">
        <f t="shared" si="1345"/>
        <v>1</v>
      </c>
      <c r="T673" s="13">
        <f t="shared" si="1345"/>
        <v>0</v>
      </c>
      <c r="U673" s="13">
        <f t="shared" si="1345"/>
        <v>0</v>
      </c>
      <c r="V673" s="13">
        <f t="shared" si="1345"/>
        <v>0</v>
      </c>
      <c r="W673" s="13">
        <f t="shared" si="1345"/>
        <v>0</v>
      </c>
      <c r="X673" s="13">
        <f t="shared" si="1345"/>
        <v>0</v>
      </c>
      <c r="Y673" s="13">
        <f t="shared" si="1345"/>
        <v>0</v>
      </c>
      <c r="Z673" s="13">
        <f t="shared" si="1345"/>
        <v>0</v>
      </c>
      <c r="AA673" s="13">
        <f t="shared" si="1345"/>
        <v>0</v>
      </c>
      <c r="AB673" s="13">
        <f t="shared" ref="AB673:AP673" si="1346">IFERROR(VALUE(RIGHT(LEFT($J673,FIND(AB$1,$J673,IF(M673=0,1,FIND(AB$1,$J673,1)+1))+LEN(AB$1)),1)),0)</f>
        <v>1</v>
      </c>
      <c r="AC673" s="13">
        <f t="shared" si="1346"/>
        <v>0</v>
      </c>
      <c r="AD673" s="13">
        <f t="shared" si="1346"/>
        <v>0</v>
      </c>
      <c r="AE673" s="13">
        <f t="shared" si="1346"/>
        <v>0</v>
      </c>
      <c r="AF673" s="13">
        <f t="shared" si="1346"/>
        <v>0</v>
      </c>
      <c r="AG673" s="13">
        <f t="shared" si="1346"/>
        <v>0</v>
      </c>
      <c r="AH673" s="13">
        <f t="shared" si="1346"/>
        <v>1</v>
      </c>
      <c r="AI673" s="13">
        <f t="shared" si="1346"/>
        <v>0</v>
      </c>
      <c r="AJ673" s="13">
        <f t="shared" si="1346"/>
        <v>0</v>
      </c>
      <c r="AK673" s="13">
        <f t="shared" si="1346"/>
        <v>0</v>
      </c>
      <c r="AL673" s="13">
        <f t="shared" si="1346"/>
        <v>0</v>
      </c>
      <c r="AM673" s="13">
        <f t="shared" si="1346"/>
        <v>0</v>
      </c>
      <c r="AN673" s="13">
        <f t="shared" si="1346"/>
        <v>0</v>
      </c>
      <c r="AO673" s="13">
        <f t="shared" si="1346"/>
        <v>0</v>
      </c>
      <c r="AP673" s="13">
        <f t="shared" si="1346"/>
        <v>0</v>
      </c>
      <c r="AQ673" s="13" t="s">
        <v>4301</v>
      </c>
      <c r="AR673" s="13"/>
      <c r="AS673" s="13" t="s">
        <v>1566</v>
      </c>
      <c r="AT673" s="13"/>
      <c r="AU673" s="13"/>
      <c r="AV673" s="13"/>
      <c r="AW673" s="13">
        <v>0.0</v>
      </c>
      <c r="AX673" s="13">
        <v>10.0</v>
      </c>
      <c r="AY673" s="13">
        <v>0.0</v>
      </c>
      <c r="AZ673" s="13"/>
      <c r="BA673" s="13"/>
      <c r="BB673" s="13"/>
      <c r="BC673" s="13"/>
      <c r="BD673" s="13"/>
      <c r="BE673" s="13"/>
      <c r="BF673" s="13"/>
      <c r="BG673" s="13"/>
      <c r="BH673" s="13" t="s">
        <v>79</v>
      </c>
      <c r="BI673" s="13" t="b">
        <v>0</v>
      </c>
      <c r="BJ673" s="13">
        <v>0.0</v>
      </c>
      <c r="BK673" s="13">
        <v>0.0</v>
      </c>
    </row>
    <row r="674" ht="14.25" customHeight="1">
      <c r="A674" s="13">
        <v>672.0</v>
      </c>
      <c r="B674" s="13" t="s">
        <v>44</v>
      </c>
      <c r="C674" s="13">
        <v>3.0</v>
      </c>
      <c r="D674" s="14">
        <v>0.0</v>
      </c>
      <c r="E674" s="13" t="s">
        <v>4302</v>
      </c>
      <c r="F674" s="15"/>
      <c r="G674" s="16" t="s">
        <v>4303</v>
      </c>
      <c r="H674" s="13"/>
      <c r="I674" s="13">
        <v>0.9</v>
      </c>
      <c r="J674" s="13" t="s">
        <v>4304</v>
      </c>
      <c r="K674" s="13">
        <f t="shared" si="3"/>
        <v>2</v>
      </c>
      <c r="L674" s="13">
        <f t="shared" si="4"/>
        <v>0</v>
      </c>
      <c r="M674" s="13">
        <f t="shared" ref="M674:AA674" si="1347">IFERROR(VALUE(RIGHT(LEFT($J674,FIND(M$1,$J674,1)+LEN(M$1)),1)),0)</f>
        <v>1</v>
      </c>
      <c r="N674" s="13">
        <f t="shared" si="1347"/>
        <v>0</v>
      </c>
      <c r="O674" s="13">
        <f t="shared" si="1347"/>
        <v>0</v>
      </c>
      <c r="P674" s="13">
        <f t="shared" si="1347"/>
        <v>0</v>
      </c>
      <c r="Q674" s="13">
        <f t="shared" si="1347"/>
        <v>1</v>
      </c>
      <c r="R674" s="13">
        <f t="shared" si="1347"/>
        <v>0</v>
      </c>
      <c r="S674" s="13">
        <f t="shared" si="1347"/>
        <v>0</v>
      </c>
      <c r="T674" s="13">
        <f t="shared" si="1347"/>
        <v>0</v>
      </c>
      <c r="U674" s="13">
        <f t="shared" si="1347"/>
        <v>0</v>
      </c>
      <c r="V674" s="13">
        <f t="shared" si="1347"/>
        <v>0</v>
      </c>
      <c r="W674" s="13">
        <f t="shared" si="1347"/>
        <v>0</v>
      </c>
      <c r="X674" s="13">
        <f t="shared" si="1347"/>
        <v>0</v>
      </c>
      <c r="Y674" s="13">
        <f t="shared" si="1347"/>
        <v>0</v>
      </c>
      <c r="Z674" s="13">
        <f t="shared" si="1347"/>
        <v>0</v>
      </c>
      <c r="AA674" s="13">
        <f t="shared" si="1347"/>
        <v>0</v>
      </c>
      <c r="AB674" s="13">
        <f t="shared" ref="AB674:AP674" si="1348">IFERROR(VALUE(RIGHT(LEFT($J674,FIND(AB$1,$J674,IF(M674=0,1,FIND(AB$1,$J674,1)+1))+LEN(AB$1)),1)),0)</f>
        <v>0</v>
      </c>
      <c r="AC674" s="13">
        <f t="shared" si="1348"/>
        <v>0</v>
      </c>
      <c r="AD674" s="13">
        <f t="shared" si="1348"/>
        <v>0</v>
      </c>
      <c r="AE674" s="13">
        <f t="shared" si="1348"/>
        <v>0</v>
      </c>
      <c r="AF674" s="13">
        <f t="shared" si="1348"/>
        <v>0</v>
      </c>
      <c r="AG674" s="13">
        <f t="shared" si="1348"/>
        <v>0</v>
      </c>
      <c r="AH674" s="13">
        <f t="shared" si="1348"/>
        <v>0</v>
      </c>
      <c r="AI674" s="13">
        <f t="shared" si="1348"/>
        <v>0</v>
      </c>
      <c r="AJ674" s="13">
        <f t="shared" si="1348"/>
        <v>0</v>
      </c>
      <c r="AK674" s="13">
        <f t="shared" si="1348"/>
        <v>0</v>
      </c>
      <c r="AL674" s="13">
        <f t="shared" si="1348"/>
        <v>0</v>
      </c>
      <c r="AM674" s="13">
        <f t="shared" si="1348"/>
        <v>0</v>
      </c>
      <c r="AN674" s="13">
        <f t="shared" si="1348"/>
        <v>0</v>
      </c>
      <c r="AO674" s="13">
        <f t="shared" si="1348"/>
        <v>0</v>
      </c>
      <c r="AP674" s="13">
        <f t="shared" si="1348"/>
        <v>0</v>
      </c>
      <c r="AQ674" s="13" t="s">
        <v>4305</v>
      </c>
      <c r="AR674" s="13"/>
      <c r="AS674" s="13" t="s">
        <v>4306</v>
      </c>
      <c r="AT674" s="13"/>
      <c r="AU674" s="13"/>
      <c r="AV674" s="13"/>
      <c r="AW674" s="13">
        <v>0.0</v>
      </c>
      <c r="AX674" s="13">
        <v>10.0</v>
      </c>
      <c r="AY674" s="13">
        <v>0.0</v>
      </c>
      <c r="AZ674" s="13"/>
      <c r="BA674" s="13"/>
      <c r="BB674" s="13"/>
      <c r="BC674" s="13"/>
      <c r="BD674" s="13"/>
      <c r="BE674" s="13"/>
      <c r="BF674" s="13"/>
      <c r="BG674" s="13"/>
      <c r="BH674" s="13" t="s">
        <v>79</v>
      </c>
      <c r="BI674" s="13" t="b">
        <v>0</v>
      </c>
      <c r="BJ674" s="13">
        <v>0.0</v>
      </c>
      <c r="BK674" s="13">
        <v>1.0</v>
      </c>
    </row>
    <row r="675" ht="14.25" customHeight="1">
      <c r="A675" s="13">
        <v>673.0</v>
      </c>
      <c r="B675" s="13" t="s">
        <v>45</v>
      </c>
      <c r="C675" s="13">
        <v>3.0</v>
      </c>
      <c r="D675" s="14">
        <v>0.0</v>
      </c>
      <c r="E675" s="13" t="s">
        <v>4307</v>
      </c>
      <c r="F675" s="15" t="s">
        <v>931</v>
      </c>
      <c r="G675" s="16" t="s">
        <v>4308</v>
      </c>
      <c r="H675" s="13"/>
      <c r="I675" s="13">
        <v>1.1</v>
      </c>
      <c r="J675" s="13" t="s">
        <v>3868</v>
      </c>
      <c r="K675" s="13">
        <f t="shared" si="3"/>
        <v>1</v>
      </c>
      <c r="L675" s="13">
        <f t="shared" si="4"/>
        <v>2</v>
      </c>
      <c r="M675" s="13">
        <f t="shared" ref="M675:AA675" si="1349">IFERROR(VALUE(RIGHT(LEFT($J675,FIND(M$1,$J675,1)+LEN(M$1)),1)),0)</f>
        <v>0</v>
      </c>
      <c r="N675" s="13">
        <f t="shared" si="1349"/>
        <v>0</v>
      </c>
      <c r="O675" s="13">
        <f t="shared" si="1349"/>
        <v>0</v>
      </c>
      <c r="P675" s="13">
        <f t="shared" si="1349"/>
        <v>0</v>
      </c>
      <c r="Q675" s="13">
        <f t="shared" si="1349"/>
        <v>0</v>
      </c>
      <c r="R675" s="13">
        <f t="shared" si="1349"/>
        <v>0</v>
      </c>
      <c r="S675" s="13">
        <f t="shared" si="1349"/>
        <v>0</v>
      </c>
      <c r="T675" s="13">
        <f t="shared" si="1349"/>
        <v>1</v>
      </c>
      <c r="U675" s="13">
        <f t="shared" si="1349"/>
        <v>0</v>
      </c>
      <c r="V675" s="13">
        <f t="shared" si="1349"/>
        <v>0</v>
      </c>
      <c r="W675" s="13">
        <f t="shared" si="1349"/>
        <v>0</v>
      </c>
      <c r="X675" s="13">
        <f t="shared" si="1349"/>
        <v>0</v>
      </c>
      <c r="Y675" s="13">
        <f t="shared" si="1349"/>
        <v>0</v>
      </c>
      <c r="Z675" s="13">
        <f t="shared" si="1349"/>
        <v>0</v>
      </c>
      <c r="AA675" s="13">
        <f t="shared" si="1349"/>
        <v>0</v>
      </c>
      <c r="AB675" s="13">
        <f t="shared" ref="AB675:AP675" si="1350">IFERROR(VALUE(RIGHT(LEFT($J675,FIND(AB$1,$J675,IF(M675=0,1,FIND(AB$1,$J675,1)+1))+LEN(AB$1)),1)),0)</f>
        <v>0</v>
      </c>
      <c r="AC675" s="13">
        <f t="shared" si="1350"/>
        <v>0</v>
      </c>
      <c r="AD675" s="13">
        <f t="shared" si="1350"/>
        <v>0</v>
      </c>
      <c r="AE675" s="13">
        <f t="shared" si="1350"/>
        <v>0</v>
      </c>
      <c r="AF675" s="13">
        <f t="shared" si="1350"/>
        <v>0</v>
      </c>
      <c r="AG675" s="13">
        <f t="shared" si="1350"/>
        <v>1</v>
      </c>
      <c r="AH675" s="13">
        <f t="shared" si="1350"/>
        <v>0</v>
      </c>
      <c r="AI675" s="13">
        <f t="shared" si="1350"/>
        <v>1</v>
      </c>
      <c r="AJ675" s="13">
        <f t="shared" si="1350"/>
        <v>0</v>
      </c>
      <c r="AK675" s="13">
        <f t="shared" si="1350"/>
        <v>0</v>
      </c>
      <c r="AL675" s="13">
        <f t="shared" si="1350"/>
        <v>0</v>
      </c>
      <c r="AM675" s="13">
        <f t="shared" si="1350"/>
        <v>0</v>
      </c>
      <c r="AN675" s="13">
        <f t="shared" si="1350"/>
        <v>0</v>
      </c>
      <c r="AO675" s="13">
        <f t="shared" si="1350"/>
        <v>0</v>
      </c>
      <c r="AP675" s="13">
        <f t="shared" si="1350"/>
        <v>0</v>
      </c>
      <c r="AQ675" s="13" t="s">
        <v>4309</v>
      </c>
      <c r="AR675" s="13"/>
      <c r="AS675" s="13" t="s">
        <v>4310</v>
      </c>
      <c r="AT675" s="13"/>
      <c r="AU675" s="13"/>
      <c r="AV675" s="13"/>
      <c r="AW675" s="13">
        <v>0.0</v>
      </c>
      <c r="AX675" s="13">
        <v>10.0</v>
      </c>
      <c r="AY675" s="13">
        <v>0.0</v>
      </c>
      <c r="AZ675" s="13"/>
      <c r="BA675" s="13"/>
      <c r="BB675" s="13"/>
      <c r="BC675" s="13"/>
      <c r="BD675" s="13"/>
      <c r="BE675" s="13"/>
      <c r="BF675" s="13"/>
      <c r="BG675" s="13"/>
      <c r="BH675" s="13" t="s">
        <v>79</v>
      </c>
      <c r="BI675" s="13" t="b">
        <v>0</v>
      </c>
      <c r="BJ675" s="13">
        <v>0.0</v>
      </c>
      <c r="BK675" s="13">
        <v>0.0</v>
      </c>
    </row>
    <row r="676" ht="14.25" customHeight="1">
      <c r="A676" s="13">
        <v>674.0</v>
      </c>
      <c r="B676" s="13" t="s">
        <v>46</v>
      </c>
      <c r="C676" s="13">
        <v>3.0</v>
      </c>
      <c r="D676" s="14">
        <v>0.0</v>
      </c>
      <c r="E676" s="13" t="s">
        <v>4311</v>
      </c>
      <c r="F676" s="15" t="s">
        <v>931</v>
      </c>
      <c r="G676" s="16" t="s">
        <v>4312</v>
      </c>
      <c r="H676" s="13"/>
      <c r="I676" s="13">
        <v>1.2</v>
      </c>
      <c r="J676" s="13" t="s">
        <v>1624</v>
      </c>
      <c r="K676" s="13">
        <f t="shared" si="3"/>
        <v>1</v>
      </c>
      <c r="L676" s="13">
        <f t="shared" si="4"/>
        <v>2</v>
      </c>
      <c r="M676" s="13">
        <f t="shared" ref="M676:AA676" si="1351">IFERROR(VALUE(RIGHT(LEFT($J676,FIND(M$1,$J676,1)+LEN(M$1)),1)),0)</f>
        <v>0</v>
      </c>
      <c r="N676" s="13">
        <f t="shared" si="1351"/>
        <v>0</v>
      </c>
      <c r="O676" s="13">
        <f t="shared" si="1351"/>
        <v>0</v>
      </c>
      <c r="P676" s="13">
        <f t="shared" si="1351"/>
        <v>0</v>
      </c>
      <c r="Q676" s="13">
        <f t="shared" si="1351"/>
        <v>0</v>
      </c>
      <c r="R676" s="13">
        <f t="shared" si="1351"/>
        <v>0</v>
      </c>
      <c r="S676" s="13">
        <f t="shared" si="1351"/>
        <v>0</v>
      </c>
      <c r="T676" s="13">
        <f t="shared" si="1351"/>
        <v>0</v>
      </c>
      <c r="U676" s="13">
        <f t="shared" si="1351"/>
        <v>1</v>
      </c>
      <c r="V676" s="13">
        <f t="shared" si="1351"/>
        <v>0</v>
      </c>
      <c r="W676" s="13">
        <f t="shared" si="1351"/>
        <v>0</v>
      </c>
      <c r="X676" s="13">
        <f t="shared" si="1351"/>
        <v>0</v>
      </c>
      <c r="Y676" s="13">
        <f t="shared" si="1351"/>
        <v>0</v>
      </c>
      <c r="Z676" s="13">
        <f t="shared" si="1351"/>
        <v>0</v>
      </c>
      <c r="AA676" s="13">
        <f t="shared" si="1351"/>
        <v>0</v>
      </c>
      <c r="AB676" s="13">
        <f t="shared" ref="AB676:AP676" si="1352">IFERROR(VALUE(RIGHT(LEFT($J676,FIND(AB$1,$J676,IF(M676=0,1,FIND(AB$1,$J676,1)+1))+LEN(AB$1)),1)),0)</f>
        <v>0</v>
      </c>
      <c r="AC676" s="13">
        <f t="shared" si="1352"/>
        <v>0</v>
      </c>
      <c r="AD676" s="13">
        <f t="shared" si="1352"/>
        <v>0</v>
      </c>
      <c r="AE676" s="13">
        <f t="shared" si="1352"/>
        <v>0</v>
      </c>
      <c r="AF676" s="13">
        <f t="shared" si="1352"/>
        <v>1</v>
      </c>
      <c r="AG676" s="13">
        <f t="shared" si="1352"/>
        <v>0</v>
      </c>
      <c r="AH676" s="13">
        <f t="shared" si="1352"/>
        <v>0</v>
      </c>
      <c r="AI676" s="13">
        <f t="shared" si="1352"/>
        <v>0</v>
      </c>
      <c r="AJ676" s="13">
        <f t="shared" si="1352"/>
        <v>1</v>
      </c>
      <c r="AK676" s="13">
        <f t="shared" si="1352"/>
        <v>0</v>
      </c>
      <c r="AL676" s="13">
        <f t="shared" si="1352"/>
        <v>0</v>
      </c>
      <c r="AM676" s="13">
        <f t="shared" si="1352"/>
        <v>0</v>
      </c>
      <c r="AN676" s="13">
        <f t="shared" si="1352"/>
        <v>0</v>
      </c>
      <c r="AO676" s="13">
        <f t="shared" si="1352"/>
        <v>0</v>
      </c>
      <c r="AP676" s="13">
        <f t="shared" si="1352"/>
        <v>0</v>
      </c>
      <c r="AQ676" s="13" t="s">
        <v>4313</v>
      </c>
      <c r="AR676" s="13"/>
      <c r="AS676" s="13" t="s">
        <v>4314</v>
      </c>
      <c r="AT676" s="13"/>
      <c r="AU676" s="13"/>
      <c r="AV676" s="13"/>
      <c r="AW676" s="13">
        <v>0.0</v>
      </c>
      <c r="AX676" s="13">
        <v>10.0</v>
      </c>
      <c r="AY676" s="13">
        <v>0.0</v>
      </c>
      <c r="AZ676" s="13"/>
      <c r="BA676" s="13"/>
      <c r="BB676" s="13"/>
      <c r="BC676" s="13"/>
      <c r="BD676" s="13"/>
      <c r="BE676" s="13"/>
      <c r="BF676" s="13"/>
      <c r="BG676" s="13"/>
      <c r="BH676" s="13" t="s">
        <v>79</v>
      </c>
      <c r="BI676" s="13" t="b">
        <v>0</v>
      </c>
      <c r="BJ676" s="13">
        <v>0.0</v>
      </c>
      <c r="BK676" s="13">
        <v>0.0</v>
      </c>
    </row>
    <row r="677" ht="14.25" customHeight="1">
      <c r="A677" s="13">
        <v>675.0</v>
      </c>
      <c r="B677" s="13" t="s">
        <v>47</v>
      </c>
      <c r="C677" s="13">
        <v>3.0</v>
      </c>
      <c r="D677" s="14">
        <v>0.0</v>
      </c>
      <c r="E677" s="13" t="s">
        <v>4315</v>
      </c>
      <c r="F677" s="15" t="s">
        <v>931</v>
      </c>
      <c r="G677" s="16" t="s">
        <v>4316</v>
      </c>
      <c r="H677" s="13">
        <v>18.0</v>
      </c>
      <c r="I677" s="13">
        <v>1.0</v>
      </c>
      <c r="J677" s="13" t="s">
        <v>4317</v>
      </c>
      <c r="K677" s="13">
        <f t="shared" si="3"/>
        <v>1</v>
      </c>
      <c r="L677" s="13">
        <f t="shared" si="4"/>
        <v>2</v>
      </c>
      <c r="M677" s="13">
        <f t="shared" ref="M677:AA677" si="1353">IFERROR(VALUE(RIGHT(LEFT($J677,FIND(M$1,$J677,1)+LEN(M$1)),1)),0)</f>
        <v>1</v>
      </c>
      <c r="N677" s="13">
        <f t="shared" si="1353"/>
        <v>0</v>
      </c>
      <c r="O677" s="13">
        <f t="shared" si="1353"/>
        <v>0</v>
      </c>
      <c r="P677" s="13">
        <f t="shared" si="1353"/>
        <v>0</v>
      </c>
      <c r="Q677" s="13">
        <f t="shared" si="1353"/>
        <v>0</v>
      </c>
      <c r="R677" s="13">
        <f t="shared" si="1353"/>
        <v>0</v>
      </c>
      <c r="S677" s="13">
        <f t="shared" si="1353"/>
        <v>0</v>
      </c>
      <c r="T677" s="13">
        <f t="shared" si="1353"/>
        <v>0</v>
      </c>
      <c r="U677" s="13">
        <f t="shared" si="1353"/>
        <v>0</v>
      </c>
      <c r="V677" s="13">
        <f t="shared" si="1353"/>
        <v>0</v>
      </c>
      <c r="W677" s="13">
        <f t="shared" si="1353"/>
        <v>0</v>
      </c>
      <c r="X677" s="13">
        <f t="shared" si="1353"/>
        <v>0</v>
      </c>
      <c r="Y677" s="13">
        <f t="shared" si="1353"/>
        <v>0</v>
      </c>
      <c r="Z677" s="13">
        <f t="shared" si="1353"/>
        <v>0</v>
      </c>
      <c r="AA677" s="13">
        <f t="shared" si="1353"/>
        <v>0</v>
      </c>
      <c r="AB677" s="13">
        <f t="shared" ref="AB677:AP677" si="1354">IFERROR(VALUE(RIGHT(LEFT($J677,FIND(AB$1,$J677,IF(M677=0,1,FIND(AB$1,$J677,1)+1))+LEN(AB$1)),1)),0)</f>
        <v>1</v>
      </c>
      <c r="AC677" s="13">
        <f t="shared" si="1354"/>
        <v>0</v>
      </c>
      <c r="AD677" s="13">
        <f t="shared" si="1354"/>
        <v>0</v>
      </c>
      <c r="AE677" s="13">
        <f t="shared" si="1354"/>
        <v>0</v>
      </c>
      <c r="AF677" s="13">
        <f t="shared" si="1354"/>
        <v>0</v>
      </c>
      <c r="AG677" s="13">
        <f t="shared" si="1354"/>
        <v>0</v>
      </c>
      <c r="AH677" s="13">
        <f t="shared" si="1354"/>
        <v>0</v>
      </c>
      <c r="AI677" s="13">
        <f t="shared" si="1354"/>
        <v>0</v>
      </c>
      <c r="AJ677" s="13">
        <f t="shared" si="1354"/>
        <v>0</v>
      </c>
      <c r="AK677" s="13">
        <f t="shared" si="1354"/>
        <v>1</v>
      </c>
      <c r="AL677" s="13">
        <f t="shared" si="1354"/>
        <v>0</v>
      </c>
      <c r="AM677" s="13">
        <f t="shared" si="1354"/>
        <v>0</v>
      </c>
      <c r="AN677" s="13">
        <f t="shared" si="1354"/>
        <v>0</v>
      </c>
      <c r="AO677" s="13">
        <f t="shared" si="1354"/>
        <v>0</v>
      </c>
      <c r="AP677" s="13">
        <f t="shared" si="1354"/>
        <v>0</v>
      </c>
      <c r="AQ677" s="13"/>
      <c r="AR677" s="13" t="s">
        <v>1958</v>
      </c>
      <c r="AS677" s="13" t="s">
        <v>3891</v>
      </c>
      <c r="AT677" s="13" t="s">
        <v>162</v>
      </c>
      <c r="AU677" s="13" t="s">
        <v>236</v>
      </c>
      <c r="AV677" s="13" t="s">
        <v>4318</v>
      </c>
      <c r="AW677" s="13">
        <v>21.0</v>
      </c>
      <c r="AX677" s="13">
        <v>10.0</v>
      </c>
      <c r="AY677" s="13">
        <v>0.0</v>
      </c>
      <c r="AZ677" s="13" t="s">
        <v>4319</v>
      </c>
      <c r="BA677" s="13" t="s">
        <v>4320</v>
      </c>
      <c r="BB677" s="13"/>
      <c r="BC677" s="13"/>
      <c r="BD677" s="13" t="s">
        <v>484</v>
      </c>
      <c r="BE677" s="13"/>
      <c r="BF677" s="13" t="s">
        <v>4321</v>
      </c>
      <c r="BG677" s="13" t="s">
        <v>136</v>
      </c>
      <c r="BH677" s="13" t="s">
        <v>79</v>
      </c>
      <c r="BI677" s="13" t="b">
        <v>0</v>
      </c>
      <c r="BJ677" s="13">
        <v>0.0</v>
      </c>
      <c r="BK677" s="13">
        <v>0.0</v>
      </c>
    </row>
    <row r="678" ht="14.25" customHeight="1">
      <c r="A678" s="13">
        <v>676.0</v>
      </c>
      <c r="B678" s="13" t="s">
        <v>47</v>
      </c>
      <c r="C678" s="13">
        <v>3.0</v>
      </c>
      <c r="D678" s="14">
        <v>0.0</v>
      </c>
      <c r="E678" s="13" t="s">
        <v>4322</v>
      </c>
      <c r="F678" s="15" t="s">
        <v>931</v>
      </c>
      <c r="G678" s="16" t="s">
        <v>4323</v>
      </c>
      <c r="H678" s="13">
        <v>20.0</v>
      </c>
      <c r="I678" s="13">
        <v>1.2</v>
      </c>
      <c r="J678" s="13" t="s">
        <v>2690</v>
      </c>
      <c r="K678" s="13">
        <f t="shared" si="3"/>
        <v>1</v>
      </c>
      <c r="L678" s="13">
        <f t="shared" si="4"/>
        <v>2</v>
      </c>
      <c r="M678" s="13">
        <f t="shared" ref="M678:AA678" si="1355">IFERROR(VALUE(RIGHT(LEFT($J678,FIND(M$1,$J678,1)+LEN(M$1)),1)),0)</f>
        <v>0</v>
      </c>
      <c r="N678" s="13">
        <f t="shared" si="1355"/>
        <v>0</v>
      </c>
      <c r="O678" s="13">
        <f t="shared" si="1355"/>
        <v>0</v>
      </c>
      <c r="P678" s="13">
        <f t="shared" si="1355"/>
        <v>0</v>
      </c>
      <c r="Q678" s="13">
        <f t="shared" si="1355"/>
        <v>0</v>
      </c>
      <c r="R678" s="13">
        <f t="shared" si="1355"/>
        <v>0</v>
      </c>
      <c r="S678" s="13">
        <f t="shared" si="1355"/>
        <v>0</v>
      </c>
      <c r="T678" s="13">
        <f t="shared" si="1355"/>
        <v>0</v>
      </c>
      <c r="U678" s="13">
        <f t="shared" si="1355"/>
        <v>0</v>
      </c>
      <c r="V678" s="13">
        <f t="shared" si="1355"/>
        <v>1</v>
      </c>
      <c r="W678" s="13">
        <f t="shared" si="1355"/>
        <v>0</v>
      </c>
      <c r="X678" s="13">
        <f t="shared" si="1355"/>
        <v>0</v>
      </c>
      <c r="Y678" s="13">
        <f t="shared" si="1355"/>
        <v>0</v>
      </c>
      <c r="Z678" s="13">
        <f t="shared" si="1355"/>
        <v>0</v>
      </c>
      <c r="AA678" s="13">
        <f t="shared" si="1355"/>
        <v>0</v>
      </c>
      <c r="AB678" s="13">
        <f t="shared" ref="AB678:AP678" si="1356">IFERROR(VALUE(RIGHT(LEFT($J678,FIND(AB$1,$J678,IF(M678=0,1,FIND(AB$1,$J678,1)+1))+LEN(AB$1)),1)),0)</f>
        <v>0</v>
      </c>
      <c r="AC678" s="13">
        <f t="shared" si="1356"/>
        <v>0</v>
      </c>
      <c r="AD678" s="13">
        <f t="shared" si="1356"/>
        <v>0</v>
      </c>
      <c r="AE678" s="13">
        <f t="shared" si="1356"/>
        <v>0</v>
      </c>
      <c r="AF678" s="13">
        <f t="shared" si="1356"/>
        <v>0</v>
      </c>
      <c r="AG678" s="13">
        <f t="shared" si="1356"/>
        <v>1</v>
      </c>
      <c r="AH678" s="13">
        <f t="shared" si="1356"/>
        <v>0</v>
      </c>
      <c r="AI678" s="13">
        <f t="shared" si="1356"/>
        <v>0</v>
      </c>
      <c r="AJ678" s="13">
        <f t="shared" si="1356"/>
        <v>0</v>
      </c>
      <c r="AK678" s="13">
        <f t="shared" si="1356"/>
        <v>1</v>
      </c>
      <c r="AL678" s="13">
        <f t="shared" si="1356"/>
        <v>0</v>
      </c>
      <c r="AM678" s="13">
        <f t="shared" si="1356"/>
        <v>0</v>
      </c>
      <c r="AN678" s="13">
        <f t="shared" si="1356"/>
        <v>0</v>
      </c>
      <c r="AO678" s="13">
        <f t="shared" si="1356"/>
        <v>0</v>
      </c>
      <c r="AP678" s="13">
        <f t="shared" si="1356"/>
        <v>0</v>
      </c>
      <c r="AQ678" s="13"/>
      <c r="AR678" s="13" t="s">
        <v>4324</v>
      </c>
      <c r="AS678" s="13" t="s">
        <v>4325</v>
      </c>
      <c r="AT678" s="13" t="s">
        <v>573</v>
      </c>
      <c r="AU678" s="13" t="s">
        <v>130</v>
      </c>
      <c r="AV678" s="13" t="s">
        <v>4326</v>
      </c>
      <c r="AW678" s="13">
        <v>23.0</v>
      </c>
      <c r="AX678" s="13">
        <v>10.0</v>
      </c>
      <c r="AY678" s="13">
        <v>0.0</v>
      </c>
      <c r="AZ678" s="13" t="s">
        <v>4327</v>
      </c>
      <c r="BA678" s="13" t="s">
        <v>4328</v>
      </c>
      <c r="BB678" s="13"/>
      <c r="BC678" s="13"/>
      <c r="BD678" s="13" t="s">
        <v>1113</v>
      </c>
      <c r="BE678" s="13"/>
      <c r="BF678" s="13" t="s">
        <v>4329</v>
      </c>
      <c r="BG678" s="13" t="s">
        <v>136</v>
      </c>
      <c r="BH678" s="13" t="s">
        <v>79</v>
      </c>
      <c r="BI678" s="13" t="b">
        <v>0</v>
      </c>
      <c r="BJ678" s="13">
        <v>0.0</v>
      </c>
      <c r="BK678" s="13">
        <v>0.0</v>
      </c>
    </row>
    <row r="679" ht="14.25" customHeight="1">
      <c r="A679" s="13">
        <v>677.0</v>
      </c>
      <c r="B679" s="13" t="s">
        <v>50</v>
      </c>
      <c r="C679" s="13">
        <v>3.0</v>
      </c>
      <c r="D679" s="14">
        <v>0.0</v>
      </c>
      <c r="E679" s="13" t="s">
        <v>4330</v>
      </c>
      <c r="F679" s="15" t="s">
        <v>931</v>
      </c>
      <c r="G679" s="16" t="s">
        <v>4331</v>
      </c>
      <c r="H679" s="13">
        <v>19.0</v>
      </c>
      <c r="I679" s="13">
        <v>1.1</v>
      </c>
      <c r="J679" s="13" t="s">
        <v>3068</v>
      </c>
      <c r="K679" s="13">
        <f t="shared" si="3"/>
        <v>1</v>
      </c>
      <c r="L679" s="13">
        <f t="shared" si="4"/>
        <v>2</v>
      </c>
      <c r="M679" s="13">
        <f t="shared" ref="M679:AA679" si="1357">IFERROR(VALUE(RIGHT(LEFT($J679,FIND(M$1,$J679,1)+LEN(M$1)),1)),0)</f>
        <v>0</v>
      </c>
      <c r="N679" s="13">
        <f t="shared" si="1357"/>
        <v>0</v>
      </c>
      <c r="O679" s="13">
        <f t="shared" si="1357"/>
        <v>0</v>
      </c>
      <c r="P679" s="13">
        <f t="shared" si="1357"/>
        <v>0</v>
      </c>
      <c r="Q679" s="13">
        <f t="shared" si="1357"/>
        <v>1</v>
      </c>
      <c r="R679" s="13">
        <f t="shared" si="1357"/>
        <v>0</v>
      </c>
      <c r="S679" s="13">
        <f t="shared" si="1357"/>
        <v>0</v>
      </c>
      <c r="T679" s="13">
        <f t="shared" si="1357"/>
        <v>0</v>
      </c>
      <c r="U679" s="13">
        <f t="shared" si="1357"/>
        <v>0</v>
      </c>
      <c r="V679" s="13">
        <f t="shared" si="1357"/>
        <v>0</v>
      </c>
      <c r="W679" s="13">
        <f t="shared" si="1357"/>
        <v>0</v>
      </c>
      <c r="X679" s="13">
        <f t="shared" si="1357"/>
        <v>0</v>
      </c>
      <c r="Y679" s="13">
        <f t="shared" si="1357"/>
        <v>0</v>
      </c>
      <c r="Z679" s="13">
        <f t="shared" si="1357"/>
        <v>0</v>
      </c>
      <c r="AA679" s="13">
        <f t="shared" si="1357"/>
        <v>0</v>
      </c>
      <c r="AB679" s="13">
        <f t="shared" ref="AB679:AP679" si="1358">IFERROR(VALUE(RIGHT(LEFT($J679,FIND(AB$1,$J679,IF(M679=0,1,FIND(AB$1,$J679,1)+1))+LEN(AB$1)),1)),0)</f>
        <v>0</v>
      </c>
      <c r="AC679" s="13">
        <f t="shared" si="1358"/>
        <v>0</v>
      </c>
      <c r="AD679" s="13">
        <f t="shared" si="1358"/>
        <v>0</v>
      </c>
      <c r="AE679" s="13">
        <f t="shared" si="1358"/>
        <v>0</v>
      </c>
      <c r="AF679" s="13">
        <f t="shared" si="1358"/>
        <v>1</v>
      </c>
      <c r="AG679" s="13">
        <f t="shared" si="1358"/>
        <v>0</v>
      </c>
      <c r="AH679" s="13">
        <f t="shared" si="1358"/>
        <v>0</v>
      </c>
      <c r="AI679" s="13">
        <f t="shared" si="1358"/>
        <v>0</v>
      </c>
      <c r="AJ679" s="13">
        <f t="shared" si="1358"/>
        <v>0</v>
      </c>
      <c r="AK679" s="13">
        <f t="shared" si="1358"/>
        <v>0</v>
      </c>
      <c r="AL679" s="13">
        <f t="shared" si="1358"/>
        <v>0</v>
      </c>
      <c r="AM679" s="13">
        <f t="shared" si="1358"/>
        <v>0</v>
      </c>
      <c r="AN679" s="13">
        <f t="shared" si="1358"/>
        <v>1</v>
      </c>
      <c r="AO679" s="13">
        <f t="shared" si="1358"/>
        <v>0</v>
      </c>
      <c r="AP679" s="13">
        <f t="shared" si="1358"/>
        <v>0</v>
      </c>
      <c r="AQ679" s="13"/>
      <c r="AR679" s="13" t="s">
        <v>4332</v>
      </c>
      <c r="AS679" s="13" t="s">
        <v>1799</v>
      </c>
      <c r="AT679" s="13" t="s">
        <v>175</v>
      </c>
      <c r="AU679" s="13" t="s">
        <v>143</v>
      </c>
      <c r="AV679" s="13" t="s">
        <v>4333</v>
      </c>
      <c r="AW679" s="13">
        <v>22.0</v>
      </c>
      <c r="AX679" s="13">
        <v>10.0</v>
      </c>
      <c r="AY679" s="13">
        <v>0.0</v>
      </c>
      <c r="AZ679" s="13" t="s">
        <v>4334</v>
      </c>
      <c r="BA679" s="13" t="s">
        <v>4335</v>
      </c>
      <c r="BB679" s="13"/>
      <c r="BC679" s="13"/>
      <c r="BD679" s="13" t="s">
        <v>715</v>
      </c>
      <c r="BE679" s="13"/>
      <c r="BF679" s="13" t="s">
        <v>4336</v>
      </c>
      <c r="BG679" s="13" t="s">
        <v>50</v>
      </c>
      <c r="BH679" s="13" t="s">
        <v>79</v>
      </c>
      <c r="BI679" s="13" t="b">
        <v>0</v>
      </c>
      <c r="BJ679" s="13">
        <v>0.0</v>
      </c>
      <c r="BK679" s="13">
        <v>0.0</v>
      </c>
    </row>
    <row r="680" ht="14.25" customHeight="1">
      <c r="A680" s="13">
        <v>678.0</v>
      </c>
      <c r="B680" s="13" t="s">
        <v>50</v>
      </c>
      <c r="C680" s="13">
        <v>3.0</v>
      </c>
      <c r="D680" s="14">
        <v>0.0</v>
      </c>
      <c r="E680" s="13" t="s">
        <v>4337</v>
      </c>
      <c r="F680" s="15" t="s">
        <v>931</v>
      </c>
      <c r="G680" s="16" t="s">
        <v>4338</v>
      </c>
      <c r="H680" s="13">
        <v>16.0</v>
      </c>
      <c r="I680" s="13">
        <v>1.0</v>
      </c>
      <c r="J680" s="13" t="s">
        <v>1788</v>
      </c>
      <c r="K680" s="13">
        <f t="shared" si="3"/>
        <v>1</v>
      </c>
      <c r="L680" s="13">
        <f t="shared" si="4"/>
        <v>2</v>
      </c>
      <c r="M680" s="13">
        <f t="shared" ref="M680:AA680" si="1359">IFERROR(VALUE(RIGHT(LEFT($J680,FIND(M$1,$J680,1)+LEN(M$1)),1)),0)</f>
        <v>0</v>
      </c>
      <c r="N680" s="13">
        <f t="shared" si="1359"/>
        <v>0</v>
      </c>
      <c r="O680" s="13">
        <f t="shared" si="1359"/>
        <v>0</v>
      </c>
      <c r="P680" s="13">
        <f t="shared" si="1359"/>
        <v>0</v>
      </c>
      <c r="Q680" s="13">
        <f t="shared" si="1359"/>
        <v>0</v>
      </c>
      <c r="R680" s="13">
        <f t="shared" si="1359"/>
        <v>0</v>
      </c>
      <c r="S680" s="13">
        <f t="shared" si="1359"/>
        <v>0</v>
      </c>
      <c r="T680" s="13">
        <f t="shared" si="1359"/>
        <v>0</v>
      </c>
      <c r="U680" s="13">
        <f t="shared" si="1359"/>
        <v>0</v>
      </c>
      <c r="V680" s="13">
        <f t="shared" si="1359"/>
        <v>0</v>
      </c>
      <c r="W680" s="13">
        <f t="shared" si="1359"/>
        <v>0</v>
      </c>
      <c r="X680" s="13">
        <f t="shared" si="1359"/>
        <v>0</v>
      </c>
      <c r="Y680" s="13">
        <f t="shared" si="1359"/>
        <v>1</v>
      </c>
      <c r="Z680" s="13">
        <f t="shared" si="1359"/>
        <v>0</v>
      </c>
      <c r="AA680" s="13">
        <f t="shared" si="1359"/>
        <v>0</v>
      </c>
      <c r="AB680" s="13">
        <f t="shared" ref="AB680:AP680" si="1360">IFERROR(VALUE(RIGHT(LEFT($J680,FIND(AB$1,$J680,IF(M680=0,1,FIND(AB$1,$J680,1)+1))+LEN(AB$1)),1)),0)</f>
        <v>0</v>
      </c>
      <c r="AC680" s="13">
        <f t="shared" si="1360"/>
        <v>0</v>
      </c>
      <c r="AD680" s="13">
        <f t="shared" si="1360"/>
        <v>0</v>
      </c>
      <c r="AE680" s="13">
        <f t="shared" si="1360"/>
        <v>1</v>
      </c>
      <c r="AF680" s="13">
        <f t="shared" si="1360"/>
        <v>0</v>
      </c>
      <c r="AG680" s="13">
        <f t="shared" si="1360"/>
        <v>0</v>
      </c>
      <c r="AH680" s="13">
        <f t="shared" si="1360"/>
        <v>0</v>
      </c>
      <c r="AI680" s="13">
        <f t="shared" si="1360"/>
        <v>0</v>
      </c>
      <c r="AJ680" s="13">
        <f t="shared" si="1360"/>
        <v>0</v>
      </c>
      <c r="AK680" s="13">
        <f t="shared" si="1360"/>
        <v>0</v>
      </c>
      <c r="AL680" s="13">
        <f t="shared" si="1360"/>
        <v>0</v>
      </c>
      <c r="AM680" s="13">
        <f t="shared" si="1360"/>
        <v>0</v>
      </c>
      <c r="AN680" s="13">
        <f t="shared" si="1360"/>
        <v>1</v>
      </c>
      <c r="AO680" s="13">
        <f t="shared" si="1360"/>
        <v>0</v>
      </c>
      <c r="AP680" s="13">
        <f t="shared" si="1360"/>
        <v>0</v>
      </c>
      <c r="AQ680" s="13"/>
      <c r="AR680" s="13" t="s">
        <v>4339</v>
      </c>
      <c r="AS680" s="13" t="s">
        <v>4340</v>
      </c>
      <c r="AT680" s="13" t="s">
        <v>573</v>
      </c>
      <c r="AU680" s="13" t="s">
        <v>1398</v>
      </c>
      <c r="AV680" s="13" t="s">
        <v>4341</v>
      </c>
      <c r="AW680" s="13">
        <v>18.0</v>
      </c>
      <c r="AX680" s="13">
        <v>10.0</v>
      </c>
      <c r="AY680" s="13">
        <v>0.0</v>
      </c>
      <c r="AZ680" s="13" t="s">
        <v>4342</v>
      </c>
      <c r="BA680" s="13" t="s">
        <v>4343</v>
      </c>
      <c r="BB680" s="13"/>
      <c r="BC680" s="13"/>
      <c r="BD680" s="13" t="s">
        <v>230</v>
      </c>
      <c r="BE680" s="13"/>
      <c r="BF680" s="13" t="s">
        <v>4344</v>
      </c>
      <c r="BG680" s="13" t="s">
        <v>50</v>
      </c>
      <c r="BH680" s="13" t="s">
        <v>79</v>
      </c>
      <c r="BI680" s="13" t="b">
        <v>0</v>
      </c>
      <c r="BJ680" s="13">
        <v>0.0</v>
      </c>
      <c r="BK680" s="13">
        <v>0.0</v>
      </c>
    </row>
    <row r="681" ht="14.25" customHeight="1">
      <c r="A681" s="13">
        <v>679.0</v>
      </c>
      <c r="B681" s="13" t="s">
        <v>51</v>
      </c>
      <c r="C681" s="13">
        <v>3.0</v>
      </c>
      <c r="D681" s="14">
        <v>0.0</v>
      </c>
      <c r="E681" s="13" t="s">
        <v>4345</v>
      </c>
      <c r="F681" s="15" t="s">
        <v>931</v>
      </c>
      <c r="G681" s="16" t="s">
        <v>4346</v>
      </c>
      <c r="H681" s="13">
        <v>17.0</v>
      </c>
      <c r="I681" s="13">
        <v>1.0</v>
      </c>
      <c r="J681" s="13" t="s">
        <v>1826</v>
      </c>
      <c r="K681" s="13">
        <f t="shared" si="3"/>
        <v>1</v>
      </c>
      <c r="L681" s="13">
        <f t="shared" si="4"/>
        <v>2</v>
      </c>
      <c r="M681" s="13">
        <f t="shared" ref="M681:AA681" si="1361">IFERROR(VALUE(RIGHT(LEFT($J681,FIND(M$1,$J681,1)+LEN(M$1)),1)),0)</f>
        <v>0</v>
      </c>
      <c r="N681" s="13">
        <f t="shared" si="1361"/>
        <v>0</v>
      </c>
      <c r="O681" s="13">
        <f t="shared" si="1361"/>
        <v>0</v>
      </c>
      <c r="P681" s="13">
        <f t="shared" si="1361"/>
        <v>0</v>
      </c>
      <c r="Q681" s="13">
        <f t="shared" si="1361"/>
        <v>0</v>
      </c>
      <c r="R681" s="13">
        <f t="shared" si="1361"/>
        <v>0</v>
      </c>
      <c r="S681" s="13">
        <f t="shared" si="1361"/>
        <v>0</v>
      </c>
      <c r="T681" s="13">
        <f t="shared" si="1361"/>
        <v>0</v>
      </c>
      <c r="U681" s="13">
        <f t="shared" si="1361"/>
        <v>0</v>
      </c>
      <c r="V681" s="13">
        <f t="shared" si="1361"/>
        <v>0</v>
      </c>
      <c r="W681" s="13">
        <f t="shared" si="1361"/>
        <v>0</v>
      </c>
      <c r="X681" s="13">
        <f t="shared" si="1361"/>
        <v>0</v>
      </c>
      <c r="Y681" s="13">
        <f t="shared" si="1361"/>
        <v>0</v>
      </c>
      <c r="Z681" s="13">
        <f t="shared" si="1361"/>
        <v>1</v>
      </c>
      <c r="AA681" s="13">
        <f t="shared" si="1361"/>
        <v>0</v>
      </c>
      <c r="AB681" s="13">
        <f t="shared" ref="AB681:AP681" si="1362">IFERROR(VALUE(RIGHT(LEFT($J681,FIND(AB$1,$J681,IF(M681=0,1,FIND(AB$1,$J681,1)+1))+LEN(AB$1)),1)),0)</f>
        <v>0</v>
      </c>
      <c r="AC681" s="13">
        <f t="shared" si="1362"/>
        <v>0</v>
      </c>
      <c r="AD681" s="13">
        <f t="shared" si="1362"/>
        <v>1</v>
      </c>
      <c r="AE681" s="13">
        <f t="shared" si="1362"/>
        <v>0</v>
      </c>
      <c r="AF681" s="13">
        <f t="shared" si="1362"/>
        <v>0</v>
      </c>
      <c r="AG681" s="13">
        <f t="shared" si="1362"/>
        <v>0</v>
      </c>
      <c r="AH681" s="13">
        <f t="shared" si="1362"/>
        <v>0</v>
      </c>
      <c r="AI681" s="13">
        <f t="shared" si="1362"/>
        <v>0</v>
      </c>
      <c r="AJ681" s="13">
        <f t="shared" si="1362"/>
        <v>0</v>
      </c>
      <c r="AK681" s="13">
        <f t="shared" si="1362"/>
        <v>0</v>
      </c>
      <c r="AL681" s="13">
        <f t="shared" si="1362"/>
        <v>0</v>
      </c>
      <c r="AM681" s="13">
        <f t="shared" si="1362"/>
        <v>0</v>
      </c>
      <c r="AN681" s="13">
        <f t="shared" si="1362"/>
        <v>0</v>
      </c>
      <c r="AO681" s="13">
        <f t="shared" si="1362"/>
        <v>1</v>
      </c>
      <c r="AP681" s="13">
        <f t="shared" si="1362"/>
        <v>0</v>
      </c>
      <c r="AQ681" s="13"/>
      <c r="AR681" s="13" t="s">
        <v>4347</v>
      </c>
      <c r="AS681" s="13" t="s">
        <v>4348</v>
      </c>
      <c r="AT681" s="13" t="s">
        <v>162</v>
      </c>
      <c r="AU681" s="13" t="s">
        <v>163</v>
      </c>
      <c r="AV681" s="13" t="s">
        <v>4349</v>
      </c>
      <c r="AW681" s="13">
        <v>19.0</v>
      </c>
      <c r="AX681" s="13">
        <v>10.0</v>
      </c>
      <c r="AY681" s="13">
        <v>0.0</v>
      </c>
      <c r="AZ681" s="13" t="s">
        <v>4350</v>
      </c>
      <c r="BA681" s="13" t="s">
        <v>4351</v>
      </c>
      <c r="BB681" s="13"/>
      <c r="BC681" s="13"/>
      <c r="BD681" s="13" t="s">
        <v>282</v>
      </c>
      <c r="BE681" s="13"/>
      <c r="BF681" s="13" t="s">
        <v>4298</v>
      </c>
      <c r="BG681" s="13" t="s">
        <v>284</v>
      </c>
      <c r="BH681" s="13" t="s">
        <v>79</v>
      </c>
      <c r="BI681" s="13" t="b">
        <v>0</v>
      </c>
      <c r="BJ681" s="13">
        <v>0.0</v>
      </c>
      <c r="BK681" s="13">
        <v>0.0</v>
      </c>
    </row>
    <row r="682" ht="14.25" customHeight="1">
      <c r="A682" s="13">
        <v>680.0</v>
      </c>
      <c r="B682" s="13" t="s">
        <v>44</v>
      </c>
      <c r="C682" s="13">
        <v>4.0</v>
      </c>
      <c r="D682" s="14">
        <v>0.0</v>
      </c>
      <c r="E682" s="13" t="s">
        <v>4352</v>
      </c>
      <c r="F682" s="15" t="s">
        <v>931</v>
      </c>
      <c r="G682" s="16" t="s">
        <v>4353</v>
      </c>
      <c r="H682" s="13"/>
      <c r="I682" s="13">
        <v>1.2</v>
      </c>
      <c r="J682" s="13" t="s">
        <v>4354</v>
      </c>
      <c r="K682" s="13">
        <f t="shared" si="3"/>
        <v>2</v>
      </c>
      <c r="L682" s="13">
        <f t="shared" si="4"/>
        <v>2</v>
      </c>
      <c r="M682" s="13">
        <f t="shared" ref="M682:AA682" si="1363">IFERROR(VALUE(RIGHT(LEFT($J682,FIND(M$1,$J682,1)+LEN(M$1)),1)),0)</f>
        <v>0</v>
      </c>
      <c r="N682" s="13">
        <f t="shared" si="1363"/>
        <v>0</v>
      </c>
      <c r="O682" s="13">
        <f t="shared" si="1363"/>
        <v>0</v>
      </c>
      <c r="P682" s="13">
        <f t="shared" si="1363"/>
        <v>0</v>
      </c>
      <c r="Q682" s="13">
        <f t="shared" si="1363"/>
        <v>0</v>
      </c>
      <c r="R682" s="13">
        <f t="shared" si="1363"/>
        <v>0</v>
      </c>
      <c r="S682" s="13">
        <f t="shared" si="1363"/>
        <v>2</v>
      </c>
      <c r="T682" s="13">
        <f t="shared" si="1363"/>
        <v>0</v>
      </c>
      <c r="U682" s="13">
        <f t="shared" si="1363"/>
        <v>0</v>
      </c>
      <c r="V682" s="13">
        <f t="shared" si="1363"/>
        <v>0</v>
      </c>
      <c r="W682" s="13">
        <f t="shared" si="1363"/>
        <v>0</v>
      </c>
      <c r="X682" s="13">
        <f t="shared" si="1363"/>
        <v>0</v>
      </c>
      <c r="Y682" s="13">
        <f t="shared" si="1363"/>
        <v>0</v>
      </c>
      <c r="Z682" s="13">
        <f t="shared" si="1363"/>
        <v>0</v>
      </c>
      <c r="AA682" s="13">
        <f t="shared" si="1363"/>
        <v>0</v>
      </c>
      <c r="AB682" s="13">
        <f t="shared" ref="AB682:AP682" si="1364">IFERROR(VALUE(RIGHT(LEFT($J682,FIND(AB$1,$J682,IF(M682=0,1,FIND(AB$1,$J682,1)+1))+LEN(AB$1)),1)),0)</f>
        <v>0</v>
      </c>
      <c r="AC682" s="13">
        <f t="shared" si="1364"/>
        <v>0</v>
      </c>
      <c r="AD682" s="13">
        <f t="shared" si="1364"/>
        <v>0</v>
      </c>
      <c r="AE682" s="13">
        <f t="shared" si="1364"/>
        <v>0</v>
      </c>
      <c r="AF682" s="13">
        <f t="shared" si="1364"/>
        <v>1</v>
      </c>
      <c r="AG682" s="13">
        <f t="shared" si="1364"/>
        <v>0</v>
      </c>
      <c r="AH682" s="13">
        <f t="shared" si="1364"/>
        <v>1</v>
      </c>
      <c r="AI682" s="13">
        <f t="shared" si="1364"/>
        <v>0</v>
      </c>
      <c r="AJ682" s="13">
        <f t="shared" si="1364"/>
        <v>0</v>
      </c>
      <c r="AK682" s="13">
        <f t="shared" si="1364"/>
        <v>0</v>
      </c>
      <c r="AL682" s="13">
        <f t="shared" si="1364"/>
        <v>0</v>
      </c>
      <c r="AM682" s="13">
        <f t="shared" si="1364"/>
        <v>0</v>
      </c>
      <c r="AN682" s="13">
        <f t="shared" si="1364"/>
        <v>0</v>
      </c>
      <c r="AO682" s="13">
        <f t="shared" si="1364"/>
        <v>0</v>
      </c>
      <c r="AP682" s="13">
        <f t="shared" si="1364"/>
        <v>0</v>
      </c>
      <c r="AQ682" s="13" t="s">
        <v>4355</v>
      </c>
      <c r="AR682" s="13"/>
      <c r="AS682" s="13" t="s">
        <v>4356</v>
      </c>
      <c r="AT682" s="13"/>
      <c r="AU682" s="13"/>
      <c r="AV682" s="13"/>
      <c r="AW682" s="13">
        <v>0.0</v>
      </c>
      <c r="AX682" s="13">
        <v>10.0</v>
      </c>
      <c r="AY682" s="13">
        <v>0.0</v>
      </c>
      <c r="AZ682" s="13"/>
      <c r="BA682" s="13"/>
      <c r="BB682" s="13"/>
      <c r="BC682" s="13"/>
      <c r="BD682" s="13"/>
      <c r="BE682" s="13"/>
      <c r="BF682" s="13"/>
      <c r="BG682" s="13"/>
      <c r="BH682" s="13" t="s">
        <v>79</v>
      </c>
      <c r="BI682" s="13" t="b">
        <v>0</v>
      </c>
      <c r="BJ682" s="13">
        <v>0.0</v>
      </c>
      <c r="BK682" s="13">
        <v>0.0</v>
      </c>
    </row>
    <row r="683" ht="14.25" customHeight="1">
      <c r="A683" s="13">
        <v>681.0</v>
      </c>
      <c r="B683" s="13" t="s">
        <v>45</v>
      </c>
      <c r="C683" s="13">
        <v>4.0</v>
      </c>
      <c r="D683" s="14">
        <v>0.0</v>
      </c>
      <c r="E683" s="13" t="s">
        <v>4357</v>
      </c>
      <c r="F683" s="15" t="s">
        <v>931</v>
      </c>
      <c r="G683" s="16" t="s">
        <v>4358</v>
      </c>
      <c r="H683" s="13"/>
      <c r="I683" s="13">
        <v>1.1</v>
      </c>
      <c r="J683" s="13" t="s">
        <v>4359</v>
      </c>
      <c r="K683" s="13">
        <f t="shared" si="3"/>
        <v>2</v>
      </c>
      <c r="L683" s="13">
        <f t="shared" si="4"/>
        <v>2</v>
      </c>
      <c r="M683" s="13">
        <f t="shared" ref="M683:AA683" si="1365">IFERROR(VALUE(RIGHT(LEFT($J683,FIND(M$1,$J683,1)+LEN(M$1)),1)),0)</f>
        <v>0</v>
      </c>
      <c r="N683" s="13">
        <f t="shared" si="1365"/>
        <v>0</v>
      </c>
      <c r="O683" s="13">
        <f t="shared" si="1365"/>
        <v>0</v>
      </c>
      <c r="P683" s="13">
        <f t="shared" si="1365"/>
        <v>0</v>
      </c>
      <c r="Q683" s="13">
        <f t="shared" si="1365"/>
        <v>0</v>
      </c>
      <c r="R683" s="13">
        <f t="shared" si="1365"/>
        <v>0</v>
      </c>
      <c r="S683" s="13">
        <f t="shared" si="1365"/>
        <v>0</v>
      </c>
      <c r="T683" s="13">
        <f t="shared" si="1365"/>
        <v>2</v>
      </c>
      <c r="U683" s="13">
        <f t="shared" si="1365"/>
        <v>0</v>
      </c>
      <c r="V683" s="13">
        <f t="shared" si="1365"/>
        <v>0</v>
      </c>
      <c r="W683" s="13">
        <f t="shared" si="1365"/>
        <v>0</v>
      </c>
      <c r="X683" s="13">
        <f t="shared" si="1365"/>
        <v>0</v>
      </c>
      <c r="Y683" s="13">
        <f t="shared" si="1365"/>
        <v>0</v>
      </c>
      <c r="Z683" s="13">
        <f t="shared" si="1365"/>
        <v>0</v>
      </c>
      <c r="AA683" s="13">
        <f t="shared" si="1365"/>
        <v>0</v>
      </c>
      <c r="AB683" s="13">
        <f t="shared" ref="AB683:AP683" si="1366">IFERROR(VALUE(RIGHT(LEFT($J683,FIND(AB$1,$J683,IF(M683=0,1,FIND(AB$1,$J683,1)+1))+LEN(AB$1)),1)),0)</f>
        <v>0</v>
      </c>
      <c r="AC683" s="13">
        <f t="shared" si="1366"/>
        <v>0</v>
      </c>
      <c r="AD683" s="13">
        <f t="shared" si="1366"/>
        <v>0</v>
      </c>
      <c r="AE683" s="13">
        <f t="shared" si="1366"/>
        <v>0</v>
      </c>
      <c r="AF683" s="13">
        <f t="shared" si="1366"/>
        <v>0</v>
      </c>
      <c r="AG683" s="13">
        <f t="shared" si="1366"/>
        <v>1</v>
      </c>
      <c r="AH683" s="13">
        <f t="shared" si="1366"/>
        <v>0</v>
      </c>
      <c r="AI683" s="13">
        <f t="shared" si="1366"/>
        <v>1</v>
      </c>
      <c r="AJ683" s="13">
        <f t="shared" si="1366"/>
        <v>0</v>
      </c>
      <c r="AK683" s="13">
        <f t="shared" si="1366"/>
        <v>0</v>
      </c>
      <c r="AL683" s="13">
        <f t="shared" si="1366"/>
        <v>0</v>
      </c>
      <c r="AM683" s="13">
        <f t="shared" si="1366"/>
        <v>0</v>
      </c>
      <c r="AN683" s="13">
        <f t="shared" si="1366"/>
        <v>0</v>
      </c>
      <c r="AO683" s="13">
        <f t="shared" si="1366"/>
        <v>0</v>
      </c>
      <c r="AP683" s="13">
        <f t="shared" si="1366"/>
        <v>0</v>
      </c>
      <c r="AQ683" s="13" t="s">
        <v>4360</v>
      </c>
      <c r="AR683" s="13"/>
      <c r="AS683" s="13" t="s">
        <v>4361</v>
      </c>
      <c r="AT683" s="13"/>
      <c r="AU683" s="13"/>
      <c r="AV683" s="13"/>
      <c r="AW683" s="13">
        <v>0.0</v>
      </c>
      <c r="AX683" s="13">
        <v>10.0</v>
      </c>
      <c r="AY683" s="13">
        <v>0.0</v>
      </c>
      <c r="AZ683" s="13"/>
      <c r="BA683" s="13"/>
      <c r="BB683" s="13"/>
      <c r="BC683" s="13"/>
      <c r="BD683" s="13"/>
      <c r="BE683" s="13"/>
      <c r="BF683" s="13"/>
      <c r="BG683" s="13"/>
      <c r="BH683" s="13" t="s">
        <v>79</v>
      </c>
      <c r="BI683" s="13" t="b">
        <v>0</v>
      </c>
      <c r="BJ683" s="13">
        <v>0.0</v>
      </c>
      <c r="BK683" s="13">
        <v>0.0</v>
      </c>
    </row>
    <row r="684" ht="14.25" customHeight="1">
      <c r="A684" s="13">
        <v>682.0</v>
      </c>
      <c r="B684" s="13" t="s">
        <v>46</v>
      </c>
      <c r="C684" s="13">
        <v>4.0</v>
      </c>
      <c r="D684" s="14">
        <v>0.0</v>
      </c>
      <c r="E684" s="13" t="s">
        <v>4362</v>
      </c>
      <c r="F684" s="15" t="s">
        <v>931</v>
      </c>
      <c r="G684" s="16" t="s">
        <v>4363</v>
      </c>
      <c r="H684" s="13"/>
      <c r="I684" s="13">
        <v>1.2</v>
      </c>
      <c r="J684" s="13" t="s">
        <v>3914</v>
      </c>
      <c r="K684" s="13">
        <f t="shared" si="3"/>
        <v>2</v>
      </c>
      <c r="L684" s="13">
        <f t="shared" si="4"/>
        <v>2</v>
      </c>
      <c r="M684" s="13">
        <f t="shared" ref="M684:AA684" si="1367">IFERROR(VALUE(RIGHT(LEFT($J684,FIND(M$1,$J684,1)+LEN(M$1)),1)),0)</f>
        <v>0</v>
      </c>
      <c r="N684" s="13">
        <f t="shared" si="1367"/>
        <v>0</v>
      </c>
      <c r="O684" s="13">
        <f t="shared" si="1367"/>
        <v>0</v>
      </c>
      <c r="P684" s="13">
        <f t="shared" si="1367"/>
        <v>0</v>
      </c>
      <c r="Q684" s="13">
        <f t="shared" si="1367"/>
        <v>0</v>
      </c>
      <c r="R684" s="13">
        <f t="shared" si="1367"/>
        <v>0</v>
      </c>
      <c r="S684" s="13">
        <f t="shared" si="1367"/>
        <v>0</v>
      </c>
      <c r="T684" s="13">
        <f t="shared" si="1367"/>
        <v>0</v>
      </c>
      <c r="U684" s="13">
        <f t="shared" si="1367"/>
        <v>2</v>
      </c>
      <c r="V684" s="13">
        <f t="shared" si="1367"/>
        <v>0</v>
      </c>
      <c r="W684" s="13">
        <f t="shared" si="1367"/>
        <v>0</v>
      </c>
      <c r="X684" s="13">
        <f t="shared" si="1367"/>
        <v>0</v>
      </c>
      <c r="Y684" s="13">
        <f t="shared" si="1367"/>
        <v>0</v>
      </c>
      <c r="Z684" s="13">
        <f t="shared" si="1367"/>
        <v>0</v>
      </c>
      <c r="AA684" s="13">
        <f t="shared" si="1367"/>
        <v>0</v>
      </c>
      <c r="AB684" s="13">
        <f t="shared" ref="AB684:AP684" si="1368">IFERROR(VALUE(RIGHT(LEFT($J684,FIND(AB$1,$J684,IF(M684=0,1,FIND(AB$1,$J684,1)+1))+LEN(AB$1)),1)),0)</f>
        <v>1</v>
      </c>
      <c r="AC684" s="13">
        <f t="shared" si="1368"/>
        <v>0</v>
      </c>
      <c r="AD684" s="13">
        <f t="shared" si="1368"/>
        <v>0</v>
      </c>
      <c r="AE684" s="13">
        <f t="shared" si="1368"/>
        <v>0</v>
      </c>
      <c r="AF684" s="13">
        <f t="shared" si="1368"/>
        <v>0</v>
      </c>
      <c r="AG684" s="13">
        <f t="shared" si="1368"/>
        <v>0</v>
      </c>
      <c r="AH684" s="13">
        <f t="shared" si="1368"/>
        <v>0</v>
      </c>
      <c r="AI684" s="13">
        <f t="shared" si="1368"/>
        <v>0</v>
      </c>
      <c r="AJ684" s="13">
        <f t="shared" si="1368"/>
        <v>1</v>
      </c>
      <c r="AK684" s="13">
        <f t="shared" si="1368"/>
        <v>0</v>
      </c>
      <c r="AL684" s="13">
        <f t="shared" si="1368"/>
        <v>0</v>
      </c>
      <c r="AM684" s="13">
        <f t="shared" si="1368"/>
        <v>0</v>
      </c>
      <c r="AN684" s="13">
        <f t="shared" si="1368"/>
        <v>0</v>
      </c>
      <c r="AO684" s="13">
        <f t="shared" si="1368"/>
        <v>0</v>
      </c>
      <c r="AP684" s="13">
        <f t="shared" si="1368"/>
        <v>0</v>
      </c>
      <c r="AQ684" s="13" t="s">
        <v>4364</v>
      </c>
      <c r="AR684" s="13"/>
      <c r="AS684" s="13" t="s">
        <v>4365</v>
      </c>
      <c r="AT684" s="13"/>
      <c r="AU684" s="13"/>
      <c r="AV684" s="13"/>
      <c r="AW684" s="13">
        <v>0.0</v>
      </c>
      <c r="AX684" s="13">
        <v>10.0</v>
      </c>
      <c r="AY684" s="13">
        <v>0.0</v>
      </c>
      <c r="AZ684" s="13"/>
      <c r="BA684" s="13"/>
      <c r="BB684" s="13"/>
      <c r="BC684" s="13"/>
      <c r="BD684" s="13"/>
      <c r="BE684" s="13"/>
      <c r="BF684" s="13"/>
      <c r="BG684" s="13"/>
      <c r="BH684" s="13" t="s">
        <v>79</v>
      </c>
      <c r="BI684" s="13" t="b">
        <v>0</v>
      </c>
      <c r="BJ684" s="13">
        <v>0.0</v>
      </c>
      <c r="BK684" s="13">
        <v>0.0</v>
      </c>
    </row>
    <row r="685" ht="14.25" customHeight="1">
      <c r="A685" s="13">
        <v>683.0</v>
      </c>
      <c r="B685" s="13" t="s">
        <v>47</v>
      </c>
      <c r="C685" s="13">
        <v>4.0</v>
      </c>
      <c r="D685" s="14">
        <v>0.0</v>
      </c>
      <c r="E685" s="13" t="s">
        <v>4366</v>
      </c>
      <c r="F685" s="15" t="s">
        <v>931</v>
      </c>
      <c r="G685" s="16" t="s">
        <v>4367</v>
      </c>
      <c r="H685" s="13">
        <v>23.0</v>
      </c>
      <c r="I685" s="13">
        <v>1.0</v>
      </c>
      <c r="J685" s="13" t="s">
        <v>4368</v>
      </c>
      <c r="K685" s="13">
        <f t="shared" si="3"/>
        <v>2</v>
      </c>
      <c r="L685" s="13">
        <f t="shared" si="4"/>
        <v>2</v>
      </c>
      <c r="M685" s="13">
        <f t="shared" ref="M685:AA685" si="1369">IFERROR(VALUE(RIGHT(LEFT($J685,FIND(M$1,$J685,1)+LEN(M$1)),1)),0)</f>
        <v>2</v>
      </c>
      <c r="N685" s="13">
        <f t="shared" si="1369"/>
        <v>0</v>
      </c>
      <c r="O685" s="13">
        <f t="shared" si="1369"/>
        <v>0</v>
      </c>
      <c r="P685" s="13">
        <f t="shared" si="1369"/>
        <v>0</v>
      </c>
      <c r="Q685" s="13">
        <f t="shared" si="1369"/>
        <v>0</v>
      </c>
      <c r="R685" s="13">
        <f t="shared" si="1369"/>
        <v>0</v>
      </c>
      <c r="S685" s="13">
        <f t="shared" si="1369"/>
        <v>0</v>
      </c>
      <c r="T685" s="13">
        <f t="shared" si="1369"/>
        <v>0</v>
      </c>
      <c r="U685" s="13">
        <f t="shared" si="1369"/>
        <v>0</v>
      </c>
      <c r="V685" s="13">
        <f t="shared" si="1369"/>
        <v>0</v>
      </c>
      <c r="W685" s="13">
        <f t="shared" si="1369"/>
        <v>0</v>
      </c>
      <c r="X685" s="13">
        <f t="shared" si="1369"/>
        <v>0</v>
      </c>
      <c r="Y685" s="13">
        <f t="shared" si="1369"/>
        <v>0</v>
      </c>
      <c r="Z685" s="13">
        <f t="shared" si="1369"/>
        <v>0</v>
      </c>
      <c r="AA685" s="13">
        <f t="shared" si="1369"/>
        <v>0</v>
      </c>
      <c r="AB685" s="13">
        <f t="shared" ref="AB685:AP685" si="1370">IFERROR(VALUE(RIGHT(LEFT($J685,FIND(AB$1,$J685,IF(M685=0,1,FIND(AB$1,$J685,1)+1))+LEN(AB$1)),1)),0)</f>
        <v>1</v>
      </c>
      <c r="AC685" s="13">
        <f t="shared" si="1370"/>
        <v>0</v>
      </c>
      <c r="AD685" s="13">
        <f t="shared" si="1370"/>
        <v>0</v>
      </c>
      <c r="AE685" s="13">
        <f t="shared" si="1370"/>
        <v>0</v>
      </c>
      <c r="AF685" s="13">
        <f t="shared" si="1370"/>
        <v>0</v>
      </c>
      <c r="AG685" s="13">
        <f t="shared" si="1370"/>
        <v>0</v>
      </c>
      <c r="AH685" s="13">
        <f t="shared" si="1370"/>
        <v>0</v>
      </c>
      <c r="AI685" s="13">
        <f t="shared" si="1370"/>
        <v>0</v>
      </c>
      <c r="AJ685" s="13">
        <f t="shared" si="1370"/>
        <v>0</v>
      </c>
      <c r="AK685" s="13">
        <f t="shared" si="1370"/>
        <v>1</v>
      </c>
      <c r="AL685" s="13">
        <f t="shared" si="1370"/>
        <v>0</v>
      </c>
      <c r="AM685" s="13">
        <f t="shared" si="1370"/>
        <v>0</v>
      </c>
      <c r="AN685" s="13">
        <f t="shared" si="1370"/>
        <v>0</v>
      </c>
      <c r="AO685" s="13">
        <f t="shared" si="1370"/>
        <v>0</v>
      </c>
      <c r="AP685" s="13">
        <f t="shared" si="1370"/>
        <v>0</v>
      </c>
      <c r="AQ685" s="13"/>
      <c r="AR685" s="13" t="s">
        <v>4369</v>
      </c>
      <c r="AS685" s="13" t="s">
        <v>4370</v>
      </c>
      <c r="AT685" s="13" t="s">
        <v>162</v>
      </c>
      <c r="AU685" s="13" t="s">
        <v>195</v>
      </c>
      <c r="AV685" s="13" t="s">
        <v>4371</v>
      </c>
      <c r="AW685" s="13">
        <v>28.0</v>
      </c>
      <c r="AX685" s="13">
        <v>10.0</v>
      </c>
      <c r="AY685" s="13">
        <v>0.0</v>
      </c>
      <c r="AZ685" s="13" t="s">
        <v>4372</v>
      </c>
      <c r="BA685" s="13" t="s">
        <v>4373</v>
      </c>
      <c r="BB685" s="13"/>
      <c r="BC685" s="13"/>
      <c r="BD685" s="13" t="s">
        <v>484</v>
      </c>
      <c r="BE685" s="13"/>
      <c r="BF685" s="13" t="s">
        <v>4374</v>
      </c>
      <c r="BG685" s="13" t="s">
        <v>136</v>
      </c>
      <c r="BH685" s="13" t="s">
        <v>79</v>
      </c>
      <c r="BI685" s="13" t="b">
        <v>0</v>
      </c>
      <c r="BJ685" s="13">
        <v>0.0</v>
      </c>
      <c r="BK685" s="13">
        <v>0.0</v>
      </c>
    </row>
    <row r="686" ht="14.25" customHeight="1">
      <c r="A686" s="13">
        <v>684.0</v>
      </c>
      <c r="B686" s="13" t="s">
        <v>47</v>
      </c>
      <c r="C686" s="13">
        <v>4.0</v>
      </c>
      <c r="D686" s="14">
        <v>0.0</v>
      </c>
      <c r="E686" s="13" t="s">
        <v>4375</v>
      </c>
      <c r="F686" s="15" t="s">
        <v>931</v>
      </c>
      <c r="G686" s="16" t="s">
        <v>4376</v>
      </c>
      <c r="H686" s="13">
        <v>20.0</v>
      </c>
      <c r="I686" s="13">
        <v>1.2</v>
      </c>
      <c r="J686" s="13" t="s">
        <v>2730</v>
      </c>
      <c r="K686" s="13">
        <f t="shared" si="3"/>
        <v>2</v>
      </c>
      <c r="L686" s="13">
        <f t="shared" si="4"/>
        <v>2</v>
      </c>
      <c r="M686" s="13">
        <f t="shared" ref="M686:AA686" si="1371">IFERROR(VALUE(RIGHT(LEFT($J686,FIND(M$1,$J686,1)+LEN(M$1)),1)),0)</f>
        <v>0</v>
      </c>
      <c r="N686" s="13">
        <f t="shared" si="1371"/>
        <v>0</v>
      </c>
      <c r="O686" s="13">
        <f t="shared" si="1371"/>
        <v>0</v>
      </c>
      <c r="P686" s="13">
        <f t="shared" si="1371"/>
        <v>0</v>
      </c>
      <c r="Q686" s="13">
        <f t="shared" si="1371"/>
        <v>0</v>
      </c>
      <c r="R686" s="13">
        <f t="shared" si="1371"/>
        <v>0</v>
      </c>
      <c r="S686" s="13">
        <f t="shared" si="1371"/>
        <v>0</v>
      </c>
      <c r="T686" s="13">
        <f t="shared" si="1371"/>
        <v>0</v>
      </c>
      <c r="U686" s="13">
        <f t="shared" si="1371"/>
        <v>0</v>
      </c>
      <c r="V686" s="13">
        <f t="shared" si="1371"/>
        <v>2</v>
      </c>
      <c r="W686" s="13">
        <f t="shared" si="1371"/>
        <v>0</v>
      </c>
      <c r="X686" s="13">
        <f t="shared" si="1371"/>
        <v>0</v>
      </c>
      <c r="Y686" s="13">
        <f t="shared" si="1371"/>
        <v>0</v>
      </c>
      <c r="Z686" s="13">
        <f t="shared" si="1371"/>
        <v>0</v>
      </c>
      <c r="AA686" s="13">
        <f t="shared" si="1371"/>
        <v>0</v>
      </c>
      <c r="AB686" s="13">
        <f t="shared" ref="AB686:AP686" si="1372">IFERROR(VALUE(RIGHT(LEFT($J686,FIND(AB$1,$J686,IF(M686=0,1,FIND(AB$1,$J686,1)+1))+LEN(AB$1)),1)),0)</f>
        <v>0</v>
      </c>
      <c r="AC686" s="13">
        <f t="shared" si="1372"/>
        <v>0</v>
      </c>
      <c r="AD686" s="13">
        <f t="shared" si="1372"/>
        <v>0</v>
      </c>
      <c r="AE686" s="13">
        <f t="shared" si="1372"/>
        <v>0</v>
      </c>
      <c r="AF686" s="13">
        <f t="shared" si="1372"/>
        <v>0</v>
      </c>
      <c r="AG686" s="13">
        <f t="shared" si="1372"/>
        <v>1</v>
      </c>
      <c r="AH686" s="13">
        <f t="shared" si="1372"/>
        <v>0</v>
      </c>
      <c r="AI686" s="13">
        <f t="shared" si="1372"/>
        <v>0</v>
      </c>
      <c r="AJ686" s="13">
        <f t="shared" si="1372"/>
        <v>0</v>
      </c>
      <c r="AK686" s="13">
        <f t="shared" si="1372"/>
        <v>1</v>
      </c>
      <c r="AL686" s="13">
        <f t="shared" si="1372"/>
        <v>0</v>
      </c>
      <c r="AM686" s="13">
        <f t="shared" si="1372"/>
        <v>0</v>
      </c>
      <c r="AN686" s="13">
        <f t="shared" si="1372"/>
        <v>0</v>
      </c>
      <c r="AO686" s="13">
        <f t="shared" si="1372"/>
        <v>0</v>
      </c>
      <c r="AP686" s="13">
        <f t="shared" si="1372"/>
        <v>0</v>
      </c>
      <c r="AQ686" s="13"/>
      <c r="AR686" s="13" t="s">
        <v>4377</v>
      </c>
      <c r="AS686" s="13" t="s">
        <v>1968</v>
      </c>
      <c r="AT686" s="13" t="s">
        <v>4136</v>
      </c>
      <c r="AU686" s="13" t="s">
        <v>803</v>
      </c>
      <c r="AV686" s="13" t="s">
        <v>4378</v>
      </c>
      <c r="AW686" s="13">
        <v>23.0</v>
      </c>
      <c r="AX686" s="13">
        <v>10.0</v>
      </c>
      <c r="AY686" s="13">
        <v>0.0</v>
      </c>
      <c r="AZ686" s="13" t="s">
        <v>2298</v>
      </c>
      <c r="BA686" s="13" t="s">
        <v>178</v>
      </c>
      <c r="BB686" s="13"/>
      <c r="BC686" s="13"/>
      <c r="BD686" s="13" t="s">
        <v>1113</v>
      </c>
      <c r="BE686" s="13"/>
      <c r="BF686" s="13" t="s">
        <v>4379</v>
      </c>
      <c r="BG686" s="13" t="s">
        <v>136</v>
      </c>
      <c r="BH686" s="13" t="s">
        <v>79</v>
      </c>
      <c r="BI686" s="13" t="b">
        <v>0</v>
      </c>
      <c r="BJ686" s="13">
        <v>0.0</v>
      </c>
      <c r="BK686" s="13">
        <v>0.0</v>
      </c>
    </row>
    <row r="687" ht="14.25" customHeight="1">
      <c r="A687" s="13">
        <v>685.0</v>
      </c>
      <c r="B687" s="13" t="s">
        <v>47</v>
      </c>
      <c r="C687" s="13">
        <v>4.0</v>
      </c>
      <c r="D687" s="14">
        <v>0.0</v>
      </c>
      <c r="E687" s="13" t="s">
        <v>4380</v>
      </c>
      <c r="F687" s="15" t="s">
        <v>931</v>
      </c>
      <c r="G687" s="16" t="s">
        <v>4381</v>
      </c>
      <c r="H687" s="13">
        <v>19.0</v>
      </c>
      <c r="I687" s="13">
        <v>1.1</v>
      </c>
      <c r="J687" s="13" t="s">
        <v>4382</v>
      </c>
      <c r="K687" s="13">
        <f t="shared" si="3"/>
        <v>2</v>
      </c>
      <c r="L687" s="13">
        <f t="shared" si="4"/>
        <v>2</v>
      </c>
      <c r="M687" s="13">
        <f t="shared" ref="M687:AA687" si="1373">IFERROR(VALUE(RIGHT(LEFT($J687,FIND(M$1,$J687,1)+LEN(M$1)),1)),0)</f>
        <v>0</v>
      </c>
      <c r="N687" s="13">
        <f t="shared" si="1373"/>
        <v>0</v>
      </c>
      <c r="O687" s="13">
        <f t="shared" si="1373"/>
        <v>0</v>
      </c>
      <c r="P687" s="13">
        <f t="shared" si="1373"/>
        <v>0</v>
      </c>
      <c r="Q687" s="13">
        <f t="shared" si="1373"/>
        <v>2</v>
      </c>
      <c r="R687" s="13">
        <f t="shared" si="1373"/>
        <v>0</v>
      </c>
      <c r="S687" s="13">
        <f t="shared" si="1373"/>
        <v>0</v>
      </c>
      <c r="T687" s="13">
        <f t="shared" si="1373"/>
        <v>0</v>
      </c>
      <c r="U687" s="13">
        <f t="shared" si="1373"/>
        <v>0</v>
      </c>
      <c r="V687" s="13">
        <f t="shared" si="1373"/>
        <v>0</v>
      </c>
      <c r="W687" s="13">
        <f t="shared" si="1373"/>
        <v>0</v>
      </c>
      <c r="X687" s="13">
        <f t="shared" si="1373"/>
        <v>0</v>
      </c>
      <c r="Y687" s="13">
        <f t="shared" si="1373"/>
        <v>0</v>
      </c>
      <c r="Z687" s="13">
        <f t="shared" si="1373"/>
        <v>0</v>
      </c>
      <c r="AA687" s="13">
        <f t="shared" si="1373"/>
        <v>0</v>
      </c>
      <c r="AB687" s="13">
        <f t="shared" ref="AB687:AP687" si="1374">IFERROR(VALUE(RIGHT(LEFT($J687,FIND(AB$1,$J687,IF(M687=0,1,FIND(AB$1,$J687,1)+1))+LEN(AB$1)),1)),0)</f>
        <v>0</v>
      </c>
      <c r="AC687" s="13">
        <f t="shared" si="1374"/>
        <v>0</v>
      </c>
      <c r="AD687" s="13">
        <f t="shared" si="1374"/>
        <v>0</v>
      </c>
      <c r="AE687" s="13">
        <f t="shared" si="1374"/>
        <v>0</v>
      </c>
      <c r="AF687" s="13">
        <f t="shared" si="1374"/>
        <v>1</v>
      </c>
      <c r="AG687" s="13">
        <f t="shared" si="1374"/>
        <v>0</v>
      </c>
      <c r="AH687" s="13">
        <f t="shared" si="1374"/>
        <v>0</v>
      </c>
      <c r="AI687" s="13">
        <f t="shared" si="1374"/>
        <v>0</v>
      </c>
      <c r="AJ687" s="13">
        <f t="shared" si="1374"/>
        <v>0</v>
      </c>
      <c r="AK687" s="13">
        <f t="shared" si="1374"/>
        <v>1</v>
      </c>
      <c r="AL687" s="13">
        <f t="shared" si="1374"/>
        <v>0</v>
      </c>
      <c r="AM687" s="13">
        <f t="shared" si="1374"/>
        <v>0</v>
      </c>
      <c r="AN687" s="13">
        <f t="shared" si="1374"/>
        <v>0</v>
      </c>
      <c r="AO687" s="13">
        <f t="shared" si="1374"/>
        <v>0</v>
      </c>
      <c r="AP687" s="13">
        <f t="shared" si="1374"/>
        <v>0</v>
      </c>
      <c r="AQ687" s="13"/>
      <c r="AR687" s="13" t="s">
        <v>4383</v>
      </c>
      <c r="AS687" s="13" t="s">
        <v>4384</v>
      </c>
      <c r="AT687" s="13" t="s">
        <v>573</v>
      </c>
      <c r="AU687" s="13" t="s">
        <v>143</v>
      </c>
      <c r="AV687" s="13" t="s">
        <v>4385</v>
      </c>
      <c r="AW687" s="13">
        <v>24.0</v>
      </c>
      <c r="AX687" s="13">
        <v>10.0</v>
      </c>
      <c r="AY687" s="13">
        <v>0.0</v>
      </c>
      <c r="AZ687" s="13" t="s">
        <v>4386</v>
      </c>
      <c r="BA687" s="13" t="s">
        <v>4387</v>
      </c>
      <c r="BB687" s="13"/>
      <c r="BC687" s="13"/>
      <c r="BD687" s="13" t="s">
        <v>484</v>
      </c>
      <c r="BE687" s="13"/>
      <c r="BF687" s="13" t="s">
        <v>4388</v>
      </c>
      <c r="BG687" s="13" t="s">
        <v>136</v>
      </c>
      <c r="BH687" s="13" t="s">
        <v>79</v>
      </c>
      <c r="BI687" s="13" t="b">
        <v>0</v>
      </c>
      <c r="BJ687" s="13">
        <v>0.0</v>
      </c>
      <c r="BK687" s="13">
        <v>0.0</v>
      </c>
    </row>
    <row r="688" ht="14.25" customHeight="1">
      <c r="A688" s="13">
        <v>686.0</v>
      </c>
      <c r="B688" s="13" t="s">
        <v>50</v>
      </c>
      <c r="C688" s="13">
        <v>4.0</v>
      </c>
      <c r="D688" s="14">
        <v>0.0</v>
      </c>
      <c r="E688" s="13" t="s">
        <v>4389</v>
      </c>
      <c r="F688" s="15" t="s">
        <v>931</v>
      </c>
      <c r="G688" s="16" t="s">
        <v>4390</v>
      </c>
      <c r="H688" s="13">
        <v>21.0</v>
      </c>
      <c r="I688" s="13">
        <v>1.1</v>
      </c>
      <c r="J688" s="13" t="s">
        <v>4391</v>
      </c>
      <c r="K688" s="13">
        <f t="shared" si="3"/>
        <v>2</v>
      </c>
      <c r="L688" s="13">
        <f t="shared" si="4"/>
        <v>2</v>
      </c>
      <c r="M688" s="13">
        <f t="shared" ref="M688:AA688" si="1375">IFERROR(VALUE(RIGHT(LEFT($J688,FIND(M$1,$J688,1)+LEN(M$1)),1)),0)</f>
        <v>0</v>
      </c>
      <c r="N688" s="13">
        <f t="shared" si="1375"/>
        <v>0</v>
      </c>
      <c r="O688" s="13">
        <f t="shared" si="1375"/>
        <v>0</v>
      </c>
      <c r="P688" s="13">
        <f t="shared" si="1375"/>
        <v>0</v>
      </c>
      <c r="Q688" s="13">
        <f t="shared" si="1375"/>
        <v>0</v>
      </c>
      <c r="R688" s="13">
        <f t="shared" si="1375"/>
        <v>0</v>
      </c>
      <c r="S688" s="13">
        <f t="shared" si="1375"/>
        <v>0</v>
      </c>
      <c r="T688" s="13">
        <f t="shared" si="1375"/>
        <v>0</v>
      </c>
      <c r="U688" s="13">
        <f t="shared" si="1375"/>
        <v>0</v>
      </c>
      <c r="V688" s="13">
        <f t="shared" si="1375"/>
        <v>0</v>
      </c>
      <c r="W688" s="13">
        <f t="shared" si="1375"/>
        <v>0</v>
      </c>
      <c r="X688" s="13">
        <f t="shared" si="1375"/>
        <v>0</v>
      </c>
      <c r="Y688" s="13">
        <f t="shared" si="1375"/>
        <v>2</v>
      </c>
      <c r="Z688" s="13">
        <f t="shared" si="1375"/>
        <v>0</v>
      </c>
      <c r="AA688" s="13">
        <f t="shared" si="1375"/>
        <v>0</v>
      </c>
      <c r="AB688" s="13">
        <f t="shared" ref="AB688:AP688" si="1376">IFERROR(VALUE(RIGHT(LEFT($J688,FIND(AB$1,$J688,IF(M688=0,1,FIND(AB$1,$J688,1)+1))+LEN(AB$1)),1)),0)</f>
        <v>0</v>
      </c>
      <c r="AC688" s="13">
        <f t="shared" si="1376"/>
        <v>0</v>
      </c>
      <c r="AD688" s="13">
        <f t="shared" si="1376"/>
        <v>1</v>
      </c>
      <c r="AE688" s="13">
        <f t="shared" si="1376"/>
        <v>0</v>
      </c>
      <c r="AF688" s="13">
        <f t="shared" si="1376"/>
        <v>0</v>
      </c>
      <c r="AG688" s="13">
        <f t="shared" si="1376"/>
        <v>0</v>
      </c>
      <c r="AH688" s="13">
        <f t="shared" si="1376"/>
        <v>0</v>
      </c>
      <c r="AI688" s="13">
        <f t="shared" si="1376"/>
        <v>0</v>
      </c>
      <c r="AJ688" s="13">
        <f t="shared" si="1376"/>
        <v>0</v>
      </c>
      <c r="AK688" s="13">
        <f t="shared" si="1376"/>
        <v>0</v>
      </c>
      <c r="AL688" s="13">
        <f t="shared" si="1376"/>
        <v>0</v>
      </c>
      <c r="AM688" s="13">
        <f t="shared" si="1376"/>
        <v>0</v>
      </c>
      <c r="AN688" s="13">
        <f t="shared" si="1376"/>
        <v>1</v>
      </c>
      <c r="AO688" s="13">
        <f t="shared" si="1376"/>
        <v>0</v>
      </c>
      <c r="AP688" s="13">
        <f t="shared" si="1376"/>
        <v>0</v>
      </c>
      <c r="AQ688" s="13"/>
      <c r="AR688" s="13" t="s">
        <v>4392</v>
      </c>
      <c r="AS688" s="13" t="s">
        <v>4393</v>
      </c>
      <c r="AT688" s="13" t="s">
        <v>175</v>
      </c>
      <c r="AU688" s="13" t="s">
        <v>269</v>
      </c>
      <c r="AV688" s="13" t="s">
        <v>4394</v>
      </c>
      <c r="AW688" s="13">
        <v>25.0</v>
      </c>
      <c r="AX688" s="13">
        <v>10.0</v>
      </c>
      <c r="AY688" s="13">
        <v>0.0</v>
      </c>
      <c r="AZ688" s="13" t="s">
        <v>4395</v>
      </c>
      <c r="BA688" s="13" t="s">
        <v>4396</v>
      </c>
      <c r="BB688" s="13"/>
      <c r="BC688" s="13"/>
      <c r="BD688" s="13" t="s">
        <v>230</v>
      </c>
      <c r="BE688" s="13"/>
      <c r="BF688" s="13" t="s">
        <v>4397</v>
      </c>
      <c r="BG688" s="13" t="s">
        <v>50</v>
      </c>
      <c r="BH688" s="13" t="s">
        <v>79</v>
      </c>
      <c r="BI688" s="13" t="b">
        <v>0</v>
      </c>
      <c r="BJ688" s="13">
        <v>0.0</v>
      </c>
      <c r="BK688" s="13">
        <v>0.0</v>
      </c>
    </row>
    <row r="689" ht="14.25" customHeight="1">
      <c r="A689" s="13">
        <v>687.0</v>
      </c>
      <c r="B689" s="13" t="s">
        <v>50</v>
      </c>
      <c r="C689" s="13">
        <v>4.0</v>
      </c>
      <c r="D689" s="14">
        <v>0.0</v>
      </c>
      <c r="E689" s="13" t="s">
        <v>4398</v>
      </c>
      <c r="F689" s="15" t="s">
        <v>931</v>
      </c>
      <c r="G689" s="16" t="s">
        <v>4399</v>
      </c>
      <c r="H689" s="13">
        <v>22.0</v>
      </c>
      <c r="I689" s="13">
        <v>1.0</v>
      </c>
      <c r="J689" s="13" t="s">
        <v>4400</v>
      </c>
      <c r="K689" s="13">
        <f t="shared" si="3"/>
        <v>2</v>
      </c>
      <c r="L689" s="13">
        <f t="shared" si="4"/>
        <v>2</v>
      </c>
      <c r="M689" s="13">
        <f t="shared" ref="M689:AA689" si="1377">IFERROR(VALUE(RIGHT(LEFT($J689,FIND(M$1,$J689,1)+LEN(M$1)),1)),0)</f>
        <v>0</v>
      </c>
      <c r="N689" s="13">
        <f t="shared" si="1377"/>
        <v>0</v>
      </c>
      <c r="O689" s="13">
        <f t="shared" si="1377"/>
        <v>0</v>
      </c>
      <c r="P689" s="13">
        <f t="shared" si="1377"/>
        <v>0</v>
      </c>
      <c r="Q689" s="13">
        <f t="shared" si="1377"/>
        <v>1</v>
      </c>
      <c r="R689" s="13">
        <f t="shared" si="1377"/>
        <v>0</v>
      </c>
      <c r="S689" s="13">
        <f t="shared" si="1377"/>
        <v>0</v>
      </c>
      <c r="T689" s="13">
        <f t="shared" si="1377"/>
        <v>0</v>
      </c>
      <c r="U689" s="13">
        <f t="shared" si="1377"/>
        <v>0</v>
      </c>
      <c r="V689" s="13">
        <f t="shared" si="1377"/>
        <v>0</v>
      </c>
      <c r="W689" s="13">
        <f t="shared" si="1377"/>
        <v>0</v>
      </c>
      <c r="X689" s="13">
        <f t="shared" si="1377"/>
        <v>0</v>
      </c>
      <c r="Y689" s="13">
        <f t="shared" si="1377"/>
        <v>1</v>
      </c>
      <c r="Z689" s="13">
        <f t="shared" si="1377"/>
        <v>0</v>
      </c>
      <c r="AA689" s="13">
        <f t="shared" si="1377"/>
        <v>0</v>
      </c>
      <c r="AB689" s="13">
        <f t="shared" ref="AB689:AP689" si="1378">IFERROR(VALUE(RIGHT(LEFT($J689,FIND(AB$1,$J689,IF(M689=0,1,FIND(AB$1,$J689,1)+1))+LEN(AB$1)),1)),0)</f>
        <v>0</v>
      </c>
      <c r="AC689" s="13">
        <f t="shared" si="1378"/>
        <v>0</v>
      </c>
      <c r="AD689" s="13">
        <f t="shared" si="1378"/>
        <v>0</v>
      </c>
      <c r="AE689" s="13">
        <f t="shared" si="1378"/>
        <v>0</v>
      </c>
      <c r="AF689" s="13">
        <f t="shared" si="1378"/>
        <v>1</v>
      </c>
      <c r="AG689" s="13">
        <f t="shared" si="1378"/>
        <v>0</v>
      </c>
      <c r="AH689" s="13">
        <f t="shared" si="1378"/>
        <v>0</v>
      </c>
      <c r="AI689" s="13">
        <f t="shared" si="1378"/>
        <v>0</v>
      </c>
      <c r="AJ689" s="13">
        <f t="shared" si="1378"/>
        <v>0</v>
      </c>
      <c r="AK689" s="13">
        <f t="shared" si="1378"/>
        <v>0</v>
      </c>
      <c r="AL689" s="13">
        <f t="shared" si="1378"/>
        <v>0</v>
      </c>
      <c r="AM689" s="13">
        <f t="shared" si="1378"/>
        <v>0</v>
      </c>
      <c r="AN689" s="13">
        <f t="shared" si="1378"/>
        <v>1</v>
      </c>
      <c r="AO689" s="13">
        <f t="shared" si="1378"/>
        <v>0</v>
      </c>
      <c r="AP689" s="13">
        <f t="shared" si="1378"/>
        <v>0</v>
      </c>
      <c r="AQ689" s="13"/>
      <c r="AR689" s="13" t="s">
        <v>4401</v>
      </c>
      <c r="AS689" s="13" t="s">
        <v>4402</v>
      </c>
      <c r="AT689" s="13" t="s">
        <v>1263</v>
      </c>
      <c r="AU689" s="13" t="s">
        <v>1398</v>
      </c>
      <c r="AV689" s="13" t="s">
        <v>4403</v>
      </c>
      <c r="AW689" s="13">
        <v>27.0</v>
      </c>
      <c r="AX689" s="13">
        <v>10.0</v>
      </c>
      <c r="AY689" s="13">
        <v>0.0</v>
      </c>
      <c r="AZ689" s="13" t="s">
        <v>4404</v>
      </c>
      <c r="BA689" s="13" t="s">
        <v>4056</v>
      </c>
      <c r="BB689" s="13"/>
      <c r="BC689" s="13"/>
      <c r="BD689" s="13" t="s">
        <v>715</v>
      </c>
      <c r="BE689" s="13"/>
      <c r="BF689" s="13" t="s">
        <v>1378</v>
      </c>
      <c r="BG689" s="13" t="s">
        <v>50</v>
      </c>
      <c r="BH689" s="13" t="s">
        <v>79</v>
      </c>
      <c r="BI689" s="13" t="b">
        <v>0</v>
      </c>
      <c r="BJ689" s="13">
        <v>0.0</v>
      </c>
      <c r="BK689" s="13">
        <v>0.0</v>
      </c>
    </row>
    <row r="690" ht="14.25" customHeight="1">
      <c r="A690" s="13">
        <v>688.0</v>
      </c>
      <c r="B690" s="13" t="s">
        <v>51</v>
      </c>
      <c r="C690" s="13">
        <v>4.0</v>
      </c>
      <c r="D690" s="14">
        <v>0.0</v>
      </c>
      <c r="E690" s="13" t="s">
        <v>4405</v>
      </c>
      <c r="F690" s="15" t="s">
        <v>931</v>
      </c>
      <c r="G690" s="16" t="s">
        <v>4406</v>
      </c>
      <c r="H690" s="13">
        <v>21.0</v>
      </c>
      <c r="I690" s="13">
        <v>1.2</v>
      </c>
      <c r="J690" s="13" t="s">
        <v>3743</v>
      </c>
      <c r="K690" s="13">
        <f t="shared" si="3"/>
        <v>2</v>
      </c>
      <c r="L690" s="13">
        <f t="shared" si="4"/>
        <v>2</v>
      </c>
      <c r="M690" s="13">
        <f t="shared" ref="M690:AA690" si="1379">IFERROR(VALUE(RIGHT(LEFT($J690,FIND(M$1,$J690,1)+LEN(M$1)),1)),0)</f>
        <v>0</v>
      </c>
      <c r="N690" s="13">
        <f t="shared" si="1379"/>
        <v>0</v>
      </c>
      <c r="O690" s="13">
        <f t="shared" si="1379"/>
        <v>0</v>
      </c>
      <c r="P690" s="13">
        <f t="shared" si="1379"/>
        <v>0</v>
      </c>
      <c r="Q690" s="13">
        <f t="shared" si="1379"/>
        <v>0</v>
      </c>
      <c r="R690" s="13">
        <f t="shared" si="1379"/>
        <v>0</v>
      </c>
      <c r="S690" s="13">
        <f t="shared" si="1379"/>
        <v>0</v>
      </c>
      <c r="T690" s="13">
        <f t="shared" si="1379"/>
        <v>0</v>
      </c>
      <c r="U690" s="13">
        <f t="shared" si="1379"/>
        <v>0</v>
      </c>
      <c r="V690" s="13">
        <f t="shared" si="1379"/>
        <v>0</v>
      </c>
      <c r="W690" s="13">
        <f t="shared" si="1379"/>
        <v>0</v>
      </c>
      <c r="X690" s="13">
        <f t="shared" si="1379"/>
        <v>0</v>
      </c>
      <c r="Y690" s="13">
        <f t="shared" si="1379"/>
        <v>0</v>
      </c>
      <c r="Z690" s="13">
        <f t="shared" si="1379"/>
        <v>2</v>
      </c>
      <c r="AA690" s="13">
        <f t="shared" si="1379"/>
        <v>0</v>
      </c>
      <c r="AB690" s="13">
        <f t="shared" ref="AB690:AP690" si="1380">IFERROR(VALUE(RIGHT(LEFT($J690,FIND(AB$1,$J690,IF(M690=0,1,FIND(AB$1,$J690,1)+1))+LEN(AB$1)),1)),0)</f>
        <v>0</v>
      </c>
      <c r="AC690" s="13">
        <f t="shared" si="1380"/>
        <v>0</v>
      </c>
      <c r="AD690" s="13">
        <f t="shared" si="1380"/>
        <v>0</v>
      </c>
      <c r="AE690" s="13">
        <f t="shared" si="1380"/>
        <v>1</v>
      </c>
      <c r="AF690" s="13">
        <f t="shared" si="1380"/>
        <v>0</v>
      </c>
      <c r="AG690" s="13">
        <f t="shared" si="1380"/>
        <v>0</v>
      </c>
      <c r="AH690" s="13">
        <f t="shared" si="1380"/>
        <v>0</v>
      </c>
      <c r="AI690" s="13">
        <f t="shared" si="1380"/>
        <v>0</v>
      </c>
      <c r="AJ690" s="13">
        <f t="shared" si="1380"/>
        <v>0</v>
      </c>
      <c r="AK690" s="13">
        <f t="shared" si="1380"/>
        <v>0</v>
      </c>
      <c r="AL690" s="13">
        <f t="shared" si="1380"/>
        <v>0</v>
      </c>
      <c r="AM690" s="13">
        <f t="shared" si="1380"/>
        <v>0</v>
      </c>
      <c r="AN690" s="13">
        <f t="shared" si="1380"/>
        <v>0</v>
      </c>
      <c r="AO690" s="13">
        <f t="shared" si="1380"/>
        <v>1</v>
      </c>
      <c r="AP690" s="13">
        <f t="shared" si="1380"/>
        <v>0</v>
      </c>
      <c r="AQ690" s="13"/>
      <c r="AR690" s="13" t="s">
        <v>4407</v>
      </c>
      <c r="AS690" s="13" t="s">
        <v>4408</v>
      </c>
      <c r="AT690" s="13" t="s">
        <v>4409</v>
      </c>
      <c r="AU690" s="13" t="s">
        <v>143</v>
      </c>
      <c r="AV690" s="13" t="s">
        <v>4410</v>
      </c>
      <c r="AW690" s="13">
        <v>26.0</v>
      </c>
      <c r="AX690" s="13">
        <v>10.0</v>
      </c>
      <c r="AY690" s="13">
        <v>0.0</v>
      </c>
      <c r="AZ690" s="13" t="s">
        <v>4411</v>
      </c>
      <c r="BA690" s="13" t="s">
        <v>4412</v>
      </c>
      <c r="BB690" s="13"/>
      <c r="BC690" s="13"/>
      <c r="BD690" s="13" t="s">
        <v>1822</v>
      </c>
      <c r="BE690" s="13"/>
      <c r="BF690" s="13" t="s">
        <v>4298</v>
      </c>
      <c r="BG690" s="13" t="s">
        <v>1823</v>
      </c>
      <c r="BH690" s="13" t="s">
        <v>79</v>
      </c>
      <c r="BI690" s="13" t="b">
        <v>0</v>
      </c>
      <c r="BJ690" s="13">
        <v>0.0</v>
      </c>
      <c r="BK690" s="13">
        <v>0.0</v>
      </c>
    </row>
    <row r="691" ht="14.25" customHeight="1">
      <c r="A691" s="13">
        <v>689.0</v>
      </c>
      <c r="B691" s="13" t="s">
        <v>44</v>
      </c>
      <c r="C691" s="13">
        <v>5.0</v>
      </c>
      <c r="D691" s="14">
        <v>0.0</v>
      </c>
      <c r="E691" s="13" t="s">
        <v>4413</v>
      </c>
      <c r="F691" s="15" t="s">
        <v>931</v>
      </c>
      <c r="G691" s="16" t="s">
        <v>4414</v>
      </c>
      <c r="H691" s="13"/>
      <c r="I691" s="13">
        <v>1.3</v>
      </c>
      <c r="J691" s="13" t="s">
        <v>4415</v>
      </c>
      <c r="K691" s="13">
        <f t="shared" si="3"/>
        <v>4</v>
      </c>
      <c r="L691" s="13">
        <f t="shared" si="4"/>
        <v>2</v>
      </c>
      <c r="M691" s="13">
        <f t="shared" ref="M691:AA691" si="1381">IFERROR(VALUE(RIGHT(LEFT($J691,FIND(M$1,$J691,1)+LEN(M$1)),1)),0)</f>
        <v>0</v>
      </c>
      <c r="N691" s="13">
        <f t="shared" si="1381"/>
        <v>0</v>
      </c>
      <c r="O691" s="13">
        <f t="shared" si="1381"/>
        <v>0</v>
      </c>
      <c r="P691" s="13">
        <f t="shared" si="1381"/>
        <v>0</v>
      </c>
      <c r="Q691" s="13">
        <f t="shared" si="1381"/>
        <v>0</v>
      </c>
      <c r="R691" s="13">
        <f t="shared" si="1381"/>
        <v>2</v>
      </c>
      <c r="S691" s="13">
        <f t="shared" si="1381"/>
        <v>2</v>
      </c>
      <c r="T691" s="13">
        <f t="shared" si="1381"/>
        <v>0</v>
      </c>
      <c r="U691" s="13">
        <f t="shared" si="1381"/>
        <v>0</v>
      </c>
      <c r="V691" s="13">
        <f t="shared" si="1381"/>
        <v>0</v>
      </c>
      <c r="W691" s="13">
        <f t="shared" si="1381"/>
        <v>0</v>
      </c>
      <c r="X691" s="13">
        <f t="shared" si="1381"/>
        <v>0</v>
      </c>
      <c r="Y691" s="13">
        <f t="shared" si="1381"/>
        <v>0</v>
      </c>
      <c r="Z691" s="13">
        <f t="shared" si="1381"/>
        <v>0</v>
      </c>
      <c r="AA691" s="13">
        <f t="shared" si="1381"/>
        <v>0</v>
      </c>
      <c r="AB691" s="13">
        <f t="shared" ref="AB691:AP691" si="1382">IFERROR(VALUE(RIGHT(LEFT($J691,FIND(AB$1,$J691,IF(M691=0,1,FIND(AB$1,$J691,1)+1))+LEN(AB$1)),1)),0)</f>
        <v>0</v>
      </c>
      <c r="AC691" s="13">
        <f t="shared" si="1382"/>
        <v>0</v>
      </c>
      <c r="AD691" s="13">
        <f t="shared" si="1382"/>
        <v>0</v>
      </c>
      <c r="AE691" s="13">
        <f t="shared" si="1382"/>
        <v>0</v>
      </c>
      <c r="AF691" s="13">
        <f t="shared" si="1382"/>
        <v>0</v>
      </c>
      <c r="AG691" s="13">
        <f t="shared" si="1382"/>
        <v>1</v>
      </c>
      <c r="AH691" s="13">
        <f t="shared" si="1382"/>
        <v>1</v>
      </c>
      <c r="AI691" s="13">
        <f t="shared" si="1382"/>
        <v>0</v>
      </c>
      <c r="AJ691" s="13">
        <f t="shared" si="1382"/>
        <v>0</v>
      </c>
      <c r="AK691" s="13">
        <f t="shared" si="1382"/>
        <v>0</v>
      </c>
      <c r="AL691" s="13">
        <f t="shared" si="1382"/>
        <v>0</v>
      </c>
      <c r="AM691" s="13">
        <f t="shared" si="1382"/>
        <v>0</v>
      </c>
      <c r="AN691" s="13">
        <f t="shared" si="1382"/>
        <v>0</v>
      </c>
      <c r="AO691" s="13">
        <f t="shared" si="1382"/>
        <v>0</v>
      </c>
      <c r="AP691" s="13">
        <f t="shared" si="1382"/>
        <v>0</v>
      </c>
      <c r="AQ691" s="13" t="s">
        <v>4416</v>
      </c>
      <c r="AR691" s="13"/>
      <c r="AS691" s="13" t="s">
        <v>4417</v>
      </c>
      <c r="AT691" s="13"/>
      <c r="AU691" s="13"/>
      <c r="AV691" s="13"/>
      <c r="AW691" s="13">
        <v>0.0</v>
      </c>
      <c r="AX691" s="13">
        <v>10.0</v>
      </c>
      <c r="AY691" s="13">
        <v>0.0</v>
      </c>
      <c r="AZ691" s="13"/>
      <c r="BA691" s="13"/>
      <c r="BB691" s="13"/>
      <c r="BC691" s="13"/>
      <c r="BD691" s="13"/>
      <c r="BE691" s="13"/>
      <c r="BF691" s="13"/>
      <c r="BG691" s="13"/>
      <c r="BH691" s="13" t="s">
        <v>79</v>
      </c>
      <c r="BI691" s="13" t="b">
        <v>0</v>
      </c>
      <c r="BJ691" s="13">
        <v>0.0</v>
      </c>
      <c r="BK691" s="13">
        <v>0.0</v>
      </c>
    </row>
    <row r="692" ht="14.25" customHeight="1">
      <c r="A692" s="13">
        <v>690.0</v>
      </c>
      <c r="B692" s="13" t="s">
        <v>44</v>
      </c>
      <c r="C692" s="13">
        <v>5.0</v>
      </c>
      <c r="D692" s="14">
        <v>0.0</v>
      </c>
      <c r="E692" s="13" t="s">
        <v>4418</v>
      </c>
      <c r="F692" s="15" t="s">
        <v>931</v>
      </c>
      <c r="G692" s="16" t="s">
        <v>4419</v>
      </c>
      <c r="H692" s="13"/>
      <c r="I692" s="13">
        <v>1.1</v>
      </c>
      <c r="J692" s="13" t="s">
        <v>4420</v>
      </c>
      <c r="K692" s="13">
        <f t="shared" si="3"/>
        <v>3</v>
      </c>
      <c r="L692" s="13">
        <f t="shared" si="4"/>
        <v>2</v>
      </c>
      <c r="M692" s="13">
        <f t="shared" ref="M692:AA692" si="1383">IFERROR(VALUE(RIGHT(LEFT($J692,FIND(M$1,$J692,1)+LEN(M$1)),1)),0)</f>
        <v>2</v>
      </c>
      <c r="N692" s="13">
        <f t="shared" si="1383"/>
        <v>0</v>
      </c>
      <c r="O692" s="13">
        <f t="shared" si="1383"/>
        <v>0</v>
      </c>
      <c r="P692" s="13">
        <f t="shared" si="1383"/>
        <v>1</v>
      </c>
      <c r="Q692" s="13">
        <f t="shared" si="1383"/>
        <v>0</v>
      </c>
      <c r="R692" s="13">
        <f t="shared" si="1383"/>
        <v>0</v>
      </c>
      <c r="S692" s="13">
        <f t="shared" si="1383"/>
        <v>0</v>
      </c>
      <c r="T692" s="13">
        <f t="shared" si="1383"/>
        <v>0</v>
      </c>
      <c r="U692" s="13">
        <f t="shared" si="1383"/>
        <v>0</v>
      </c>
      <c r="V692" s="13">
        <f t="shared" si="1383"/>
        <v>0</v>
      </c>
      <c r="W692" s="13">
        <f t="shared" si="1383"/>
        <v>0</v>
      </c>
      <c r="X692" s="13">
        <f t="shared" si="1383"/>
        <v>0</v>
      </c>
      <c r="Y692" s="13">
        <f t="shared" si="1383"/>
        <v>0</v>
      </c>
      <c r="Z692" s="13">
        <f t="shared" si="1383"/>
        <v>0</v>
      </c>
      <c r="AA692" s="13">
        <f t="shared" si="1383"/>
        <v>0</v>
      </c>
      <c r="AB692" s="13">
        <f t="shared" ref="AB692:AP692" si="1384">IFERROR(VALUE(RIGHT(LEFT($J692,FIND(AB$1,$J692,IF(M692=0,1,FIND(AB$1,$J692,1)+1))+LEN(AB$1)),1)),0)</f>
        <v>1</v>
      </c>
      <c r="AC692" s="13">
        <f t="shared" si="1384"/>
        <v>0</v>
      </c>
      <c r="AD692" s="13">
        <f t="shared" si="1384"/>
        <v>0</v>
      </c>
      <c r="AE692" s="13">
        <f t="shared" si="1384"/>
        <v>0</v>
      </c>
      <c r="AF692" s="13">
        <f t="shared" si="1384"/>
        <v>0</v>
      </c>
      <c r="AG692" s="13">
        <f t="shared" si="1384"/>
        <v>0</v>
      </c>
      <c r="AH692" s="13">
        <f t="shared" si="1384"/>
        <v>1</v>
      </c>
      <c r="AI692" s="13">
        <f t="shared" si="1384"/>
        <v>0</v>
      </c>
      <c r="AJ692" s="13">
        <f t="shared" si="1384"/>
        <v>0</v>
      </c>
      <c r="AK692" s="13">
        <f t="shared" si="1384"/>
        <v>0</v>
      </c>
      <c r="AL692" s="13">
        <f t="shared" si="1384"/>
        <v>0</v>
      </c>
      <c r="AM692" s="13">
        <f t="shared" si="1384"/>
        <v>0</v>
      </c>
      <c r="AN692" s="13">
        <f t="shared" si="1384"/>
        <v>0</v>
      </c>
      <c r="AO692" s="13">
        <f t="shared" si="1384"/>
        <v>0</v>
      </c>
      <c r="AP692" s="13">
        <f t="shared" si="1384"/>
        <v>0</v>
      </c>
      <c r="AQ692" s="13" t="s">
        <v>4421</v>
      </c>
      <c r="AR692" s="13"/>
      <c r="AS692" s="13" t="s">
        <v>4422</v>
      </c>
      <c r="AT692" s="13"/>
      <c r="AU692" s="13"/>
      <c r="AV692" s="13"/>
      <c r="AW692" s="13">
        <v>0.0</v>
      </c>
      <c r="AX692" s="13">
        <v>10.0</v>
      </c>
      <c r="AY692" s="13">
        <v>0.0</v>
      </c>
      <c r="AZ692" s="13"/>
      <c r="BA692" s="13"/>
      <c r="BB692" s="13"/>
      <c r="BC692" s="13"/>
      <c r="BD692" s="13"/>
      <c r="BE692" s="13"/>
      <c r="BF692" s="13"/>
      <c r="BG692" s="13"/>
      <c r="BH692" s="13" t="s">
        <v>79</v>
      </c>
      <c r="BI692" s="13" t="b">
        <v>0</v>
      </c>
      <c r="BJ692" s="13">
        <v>0.0</v>
      </c>
      <c r="BK692" s="13">
        <v>0.0</v>
      </c>
    </row>
    <row r="693" ht="14.25" customHeight="1">
      <c r="A693" s="13">
        <v>691.0</v>
      </c>
      <c r="B693" s="13" t="s">
        <v>46</v>
      </c>
      <c r="C693" s="13">
        <v>5.0</v>
      </c>
      <c r="D693" s="14">
        <v>0.0</v>
      </c>
      <c r="E693" s="13" t="s">
        <v>4423</v>
      </c>
      <c r="F693" s="15" t="s">
        <v>931</v>
      </c>
      <c r="G693" s="16" t="s">
        <v>4424</v>
      </c>
      <c r="H693" s="13"/>
      <c r="I693" s="13">
        <v>1.2</v>
      </c>
      <c r="J693" s="13" t="s">
        <v>4425</v>
      </c>
      <c r="K693" s="13">
        <f t="shared" si="3"/>
        <v>3</v>
      </c>
      <c r="L693" s="13">
        <f t="shared" si="4"/>
        <v>2</v>
      </c>
      <c r="M693" s="13">
        <f t="shared" ref="M693:AA693" si="1385">IFERROR(VALUE(RIGHT(LEFT($J693,FIND(M$1,$J693,1)+LEN(M$1)),1)),0)</f>
        <v>0</v>
      </c>
      <c r="N693" s="13">
        <f t="shared" si="1385"/>
        <v>0</v>
      </c>
      <c r="O693" s="13">
        <f t="shared" si="1385"/>
        <v>0</v>
      </c>
      <c r="P693" s="13">
        <f t="shared" si="1385"/>
        <v>0</v>
      </c>
      <c r="Q693" s="13">
        <f t="shared" si="1385"/>
        <v>2</v>
      </c>
      <c r="R693" s="13">
        <f t="shared" si="1385"/>
        <v>0</v>
      </c>
      <c r="S693" s="13">
        <f t="shared" si="1385"/>
        <v>0</v>
      </c>
      <c r="T693" s="13">
        <f t="shared" si="1385"/>
        <v>0</v>
      </c>
      <c r="U693" s="13">
        <f t="shared" si="1385"/>
        <v>1</v>
      </c>
      <c r="V693" s="13">
        <f t="shared" si="1385"/>
        <v>0</v>
      </c>
      <c r="W693" s="13">
        <f t="shared" si="1385"/>
        <v>0</v>
      </c>
      <c r="X693" s="13">
        <f t="shared" si="1385"/>
        <v>0</v>
      </c>
      <c r="Y693" s="13">
        <f t="shared" si="1385"/>
        <v>0</v>
      </c>
      <c r="Z693" s="13">
        <f t="shared" si="1385"/>
        <v>0</v>
      </c>
      <c r="AA693" s="13">
        <f t="shared" si="1385"/>
        <v>0</v>
      </c>
      <c r="AB693" s="13">
        <f t="shared" ref="AB693:AP693" si="1386">IFERROR(VALUE(RIGHT(LEFT($J693,FIND(AB$1,$J693,IF(M693=0,1,FIND(AB$1,$J693,1)+1))+LEN(AB$1)),1)),0)</f>
        <v>0</v>
      </c>
      <c r="AC693" s="13">
        <f t="shared" si="1386"/>
        <v>0</v>
      </c>
      <c r="AD693" s="13">
        <f t="shared" si="1386"/>
        <v>0</v>
      </c>
      <c r="AE693" s="13">
        <f t="shared" si="1386"/>
        <v>0</v>
      </c>
      <c r="AF693" s="13">
        <f t="shared" si="1386"/>
        <v>1</v>
      </c>
      <c r="AG693" s="13">
        <f t="shared" si="1386"/>
        <v>0</v>
      </c>
      <c r="AH693" s="13">
        <f t="shared" si="1386"/>
        <v>0</v>
      </c>
      <c r="AI693" s="13">
        <f t="shared" si="1386"/>
        <v>0</v>
      </c>
      <c r="AJ693" s="13">
        <f t="shared" si="1386"/>
        <v>1</v>
      </c>
      <c r="AK693" s="13">
        <f t="shared" si="1386"/>
        <v>0</v>
      </c>
      <c r="AL693" s="13">
        <f t="shared" si="1386"/>
        <v>0</v>
      </c>
      <c r="AM693" s="13">
        <f t="shared" si="1386"/>
        <v>0</v>
      </c>
      <c r="AN693" s="13">
        <f t="shared" si="1386"/>
        <v>0</v>
      </c>
      <c r="AO693" s="13">
        <f t="shared" si="1386"/>
        <v>0</v>
      </c>
      <c r="AP693" s="13">
        <f t="shared" si="1386"/>
        <v>0</v>
      </c>
      <c r="AQ693" s="13" t="s">
        <v>4426</v>
      </c>
      <c r="AR693" s="13"/>
      <c r="AS693" s="13" t="s">
        <v>4427</v>
      </c>
      <c r="AT693" s="13"/>
      <c r="AU693" s="13"/>
      <c r="AV693" s="13"/>
      <c r="AW693" s="13">
        <v>0.0</v>
      </c>
      <c r="AX693" s="13">
        <v>10.0</v>
      </c>
      <c r="AY693" s="13">
        <v>0.0</v>
      </c>
      <c r="AZ693" s="13"/>
      <c r="BA693" s="13"/>
      <c r="BB693" s="13"/>
      <c r="BC693" s="13"/>
      <c r="BD693" s="13"/>
      <c r="BE693" s="13"/>
      <c r="BF693" s="13"/>
      <c r="BG693" s="13"/>
      <c r="BH693" s="13" t="s">
        <v>79</v>
      </c>
      <c r="BI693" s="13" t="b">
        <v>0</v>
      </c>
      <c r="BJ693" s="13">
        <v>0.0</v>
      </c>
      <c r="BK693" s="13">
        <v>0.0</v>
      </c>
    </row>
    <row r="694" ht="14.25" customHeight="1">
      <c r="A694" s="13">
        <v>692.0</v>
      </c>
      <c r="B694" s="13" t="s">
        <v>50</v>
      </c>
      <c r="C694" s="13">
        <v>5.0</v>
      </c>
      <c r="D694" s="14">
        <v>0.0</v>
      </c>
      <c r="E694" s="13" t="s">
        <v>4428</v>
      </c>
      <c r="F694" s="15" t="s">
        <v>931</v>
      </c>
      <c r="G694" s="16" t="s">
        <v>4429</v>
      </c>
      <c r="H694" s="13">
        <v>24.0</v>
      </c>
      <c r="I694" s="13">
        <v>1.0</v>
      </c>
      <c r="J694" s="13" t="s">
        <v>4430</v>
      </c>
      <c r="K694" s="13">
        <f t="shared" si="3"/>
        <v>4</v>
      </c>
      <c r="L694" s="13">
        <f t="shared" si="4"/>
        <v>0</v>
      </c>
      <c r="M694" s="13">
        <f t="shared" ref="M694:AA694" si="1387">IFERROR(VALUE(RIGHT(LEFT($J694,FIND(M$1,$J694,1)+LEN(M$1)),1)),0)</f>
        <v>0</v>
      </c>
      <c r="N694" s="13">
        <f t="shared" si="1387"/>
        <v>0</v>
      </c>
      <c r="O694" s="13">
        <f t="shared" si="1387"/>
        <v>0</v>
      </c>
      <c r="P694" s="13">
        <f t="shared" si="1387"/>
        <v>0</v>
      </c>
      <c r="Q694" s="13">
        <f t="shared" si="1387"/>
        <v>1</v>
      </c>
      <c r="R694" s="13">
        <f t="shared" si="1387"/>
        <v>1</v>
      </c>
      <c r="S694" s="13">
        <f t="shared" si="1387"/>
        <v>0</v>
      </c>
      <c r="T694" s="13">
        <f t="shared" si="1387"/>
        <v>0</v>
      </c>
      <c r="U694" s="13">
        <f t="shared" si="1387"/>
        <v>0</v>
      </c>
      <c r="V694" s="13">
        <f t="shared" si="1387"/>
        <v>0</v>
      </c>
      <c r="W694" s="13">
        <f t="shared" si="1387"/>
        <v>0</v>
      </c>
      <c r="X694" s="13">
        <f t="shared" si="1387"/>
        <v>0</v>
      </c>
      <c r="Y694" s="13">
        <f t="shared" si="1387"/>
        <v>2</v>
      </c>
      <c r="Z694" s="13">
        <f t="shared" si="1387"/>
        <v>0</v>
      </c>
      <c r="AA694" s="13">
        <f t="shared" si="1387"/>
        <v>0</v>
      </c>
      <c r="AB694" s="13">
        <f t="shared" ref="AB694:AP694" si="1388">IFERROR(VALUE(RIGHT(LEFT($J694,FIND(AB$1,$J694,IF(M694=0,1,FIND(AB$1,$J694,1)+1))+LEN(AB$1)),1)),0)</f>
        <v>0</v>
      </c>
      <c r="AC694" s="13">
        <f t="shared" si="1388"/>
        <v>0</v>
      </c>
      <c r="AD694" s="13">
        <f t="shared" si="1388"/>
        <v>0</v>
      </c>
      <c r="AE694" s="13">
        <f t="shared" si="1388"/>
        <v>0</v>
      </c>
      <c r="AF694" s="13">
        <f t="shared" si="1388"/>
        <v>0</v>
      </c>
      <c r="AG694" s="13">
        <f t="shared" si="1388"/>
        <v>0</v>
      </c>
      <c r="AH694" s="13">
        <f t="shared" si="1388"/>
        <v>0</v>
      </c>
      <c r="AI694" s="13">
        <f t="shared" si="1388"/>
        <v>0</v>
      </c>
      <c r="AJ694" s="13">
        <f t="shared" si="1388"/>
        <v>0</v>
      </c>
      <c r="AK694" s="13">
        <f t="shared" si="1388"/>
        <v>0</v>
      </c>
      <c r="AL694" s="13">
        <f t="shared" si="1388"/>
        <v>0</v>
      </c>
      <c r="AM694" s="13">
        <f t="shared" si="1388"/>
        <v>0</v>
      </c>
      <c r="AN694" s="13">
        <f t="shared" si="1388"/>
        <v>0</v>
      </c>
      <c r="AO694" s="13">
        <f t="shared" si="1388"/>
        <v>0</v>
      </c>
      <c r="AP694" s="13">
        <f t="shared" si="1388"/>
        <v>0</v>
      </c>
      <c r="AQ694" s="13"/>
      <c r="AR694" s="13" t="s">
        <v>4431</v>
      </c>
      <c r="AS694" s="13" t="s">
        <v>4432</v>
      </c>
      <c r="AT694" s="13" t="s">
        <v>315</v>
      </c>
      <c r="AU694" s="13" t="s">
        <v>143</v>
      </c>
      <c r="AV694" s="13" t="s">
        <v>4433</v>
      </c>
      <c r="AW694" s="13">
        <v>29.0</v>
      </c>
      <c r="AX694" s="13">
        <v>10.0</v>
      </c>
      <c r="AY694" s="13">
        <v>0.0</v>
      </c>
      <c r="AZ694" s="13" t="s">
        <v>4434</v>
      </c>
      <c r="BA694" s="13" t="s">
        <v>4435</v>
      </c>
      <c r="BB694" s="13"/>
      <c r="BC694" s="13"/>
      <c r="BD694" s="13" t="s">
        <v>715</v>
      </c>
      <c r="BE694" s="13"/>
      <c r="BF694" s="13" t="s">
        <v>4436</v>
      </c>
      <c r="BG694" s="13" t="s">
        <v>50</v>
      </c>
      <c r="BH694" s="13" t="s">
        <v>79</v>
      </c>
      <c r="BI694" s="13" t="b">
        <v>0</v>
      </c>
      <c r="BJ694" s="13">
        <v>0.0</v>
      </c>
      <c r="BK694" s="13">
        <v>0.0</v>
      </c>
    </row>
    <row r="695" ht="14.25" customHeight="1">
      <c r="A695" s="13">
        <v>693.0</v>
      </c>
      <c r="B695" s="13" t="s">
        <v>44</v>
      </c>
      <c r="C695" s="13">
        <v>0.0</v>
      </c>
      <c r="D695" s="14">
        <v>0.0</v>
      </c>
      <c r="E695" s="13" t="s">
        <v>4437</v>
      </c>
      <c r="F695" s="15" t="s">
        <v>1493</v>
      </c>
      <c r="G695" s="16" t="s">
        <v>4438</v>
      </c>
      <c r="H695" s="13"/>
      <c r="I695" s="13">
        <v>1.0</v>
      </c>
      <c r="J695" s="13" t="s">
        <v>2185</v>
      </c>
      <c r="K695" s="13">
        <f t="shared" si="3"/>
        <v>0</v>
      </c>
      <c r="L695" s="13">
        <f t="shared" si="4"/>
        <v>1</v>
      </c>
      <c r="M695" s="13">
        <f t="shared" ref="M695:AA695" si="1389">IFERROR(VALUE(RIGHT(LEFT($J695,FIND(M$1,$J695,1)+LEN(M$1)),1)),0)</f>
        <v>0</v>
      </c>
      <c r="N695" s="13">
        <f t="shared" si="1389"/>
        <v>0</v>
      </c>
      <c r="O695" s="13">
        <f t="shared" si="1389"/>
        <v>0</v>
      </c>
      <c r="P695" s="13">
        <f t="shared" si="1389"/>
        <v>0</v>
      </c>
      <c r="Q695" s="13">
        <f t="shared" si="1389"/>
        <v>0</v>
      </c>
      <c r="R695" s="13">
        <f t="shared" si="1389"/>
        <v>0</v>
      </c>
      <c r="S695" s="13">
        <f t="shared" si="1389"/>
        <v>0</v>
      </c>
      <c r="T695" s="13">
        <f t="shared" si="1389"/>
        <v>0</v>
      </c>
      <c r="U695" s="13">
        <f t="shared" si="1389"/>
        <v>0</v>
      </c>
      <c r="V695" s="13">
        <f t="shared" si="1389"/>
        <v>0</v>
      </c>
      <c r="W695" s="13">
        <f t="shared" si="1389"/>
        <v>0</v>
      </c>
      <c r="X695" s="13">
        <f t="shared" si="1389"/>
        <v>0</v>
      </c>
      <c r="Y695" s="13">
        <f t="shared" si="1389"/>
        <v>0</v>
      </c>
      <c r="Z695" s="13">
        <f t="shared" si="1389"/>
        <v>0</v>
      </c>
      <c r="AA695" s="13">
        <f t="shared" si="1389"/>
        <v>0</v>
      </c>
      <c r="AB695" s="13">
        <f t="shared" ref="AB695:AP695" si="1390">IFERROR(VALUE(RIGHT(LEFT($J695,FIND(AB$1,$J695,IF(M695=0,1,FIND(AB$1,$J695,1)+1))+LEN(AB$1)),1)),0)</f>
        <v>0</v>
      </c>
      <c r="AC695" s="13">
        <f t="shared" si="1390"/>
        <v>0</v>
      </c>
      <c r="AD695" s="13">
        <f t="shared" si="1390"/>
        <v>0</v>
      </c>
      <c r="AE695" s="13">
        <f t="shared" si="1390"/>
        <v>0</v>
      </c>
      <c r="AF695" s="13">
        <f t="shared" si="1390"/>
        <v>0</v>
      </c>
      <c r="AG695" s="13">
        <f t="shared" si="1390"/>
        <v>0</v>
      </c>
      <c r="AH695" s="13">
        <f t="shared" si="1390"/>
        <v>1</v>
      </c>
      <c r="AI695" s="13">
        <f t="shared" si="1390"/>
        <v>0</v>
      </c>
      <c r="AJ695" s="13">
        <f t="shared" si="1390"/>
        <v>0</v>
      </c>
      <c r="AK695" s="13">
        <f t="shared" si="1390"/>
        <v>0</v>
      </c>
      <c r="AL695" s="13">
        <f t="shared" si="1390"/>
        <v>0</v>
      </c>
      <c r="AM695" s="13">
        <f t="shared" si="1390"/>
        <v>0</v>
      </c>
      <c r="AN695" s="13">
        <f t="shared" si="1390"/>
        <v>0</v>
      </c>
      <c r="AO695" s="13">
        <f t="shared" si="1390"/>
        <v>0</v>
      </c>
      <c r="AP695" s="13">
        <f t="shared" si="1390"/>
        <v>0</v>
      </c>
      <c r="AQ695" s="13" t="s">
        <v>4439</v>
      </c>
      <c r="AR695" s="13"/>
      <c r="AS695" s="13" t="s">
        <v>85</v>
      </c>
      <c r="AT695" s="13"/>
      <c r="AU695" s="13"/>
      <c r="AV695" s="13"/>
      <c r="AW695" s="13">
        <v>0.0</v>
      </c>
      <c r="AX695" s="13">
        <v>11.0</v>
      </c>
      <c r="AY695" s="13">
        <v>0.0</v>
      </c>
      <c r="AZ695" s="13"/>
      <c r="BA695" s="13"/>
      <c r="BB695" s="13"/>
      <c r="BC695" s="13"/>
      <c r="BD695" s="13"/>
      <c r="BE695" s="13"/>
      <c r="BF695" s="13"/>
      <c r="BG695" s="13"/>
      <c r="BH695" s="13" t="s">
        <v>79</v>
      </c>
      <c r="BI695" s="13" t="b">
        <v>0</v>
      </c>
      <c r="BJ695" s="13">
        <v>0.0</v>
      </c>
      <c r="BK695" s="13">
        <v>0.0</v>
      </c>
    </row>
    <row r="696" ht="14.25" customHeight="1">
      <c r="A696" s="13">
        <v>694.0</v>
      </c>
      <c r="B696" s="13" t="s">
        <v>45</v>
      </c>
      <c r="C696" s="13">
        <v>0.0</v>
      </c>
      <c r="D696" s="14">
        <v>0.0</v>
      </c>
      <c r="E696" s="13" t="s">
        <v>4440</v>
      </c>
      <c r="F696" s="15" t="s">
        <v>1493</v>
      </c>
      <c r="G696" s="16" t="s">
        <v>4441</v>
      </c>
      <c r="H696" s="13"/>
      <c r="I696" s="13">
        <v>1.0</v>
      </c>
      <c r="J696" s="13" t="s">
        <v>100</v>
      </c>
      <c r="K696" s="13">
        <f t="shared" si="3"/>
        <v>0</v>
      </c>
      <c r="L696" s="13">
        <f t="shared" si="4"/>
        <v>1</v>
      </c>
      <c r="M696" s="13">
        <f t="shared" ref="M696:AA696" si="1391">IFERROR(VALUE(RIGHT(LEFT($J696,FIND(M$1,$J696,1)+LEN(M$1)),1)),0)</f>
        <v>0</v>
      </c>
      <c r="N696" s="13">
        <f t="shared" si="1391"/>
        <v>0</v>
      </c>
      <c r="O696" s="13">
        <f t="shared" si="1391"/>
        <v>0</v>
      </c>
      <c r="P696" s="13">
        <f t="shared" si="1391"/>
        <v>0</v>
      </c>
      <c r="Q696" s="13">
        <f t="shared" si="1391"/>
        <v>0</v>
      </c>
      <c r="R696" s="13">
        <f t="shared" si="1391"/>
        <v>0</v>
      </c>
      <c r="S696" s="13">
        <f t="shared" si="1391"/>
        <v>0</v>
      </c>
      <c r="T696" s="13">
        <f t="shared" si="1391"/>
        <v>0</v>
      </c>
      <c r="U696" s="13">
        <f t="shared" si="1391"/>
        <v>0</v>
      </c>
      <c r="V696" s="13">
        <f t="shared" si="1391"/>
        <v>0</v>
      </c>
      <c r="W696" s="13">
        <f t="shared" si="1391"/>
        <v>0</v>
      </c>
      <c r="X696" s="13">
        <f t="shared" si="1391"/>
        <v>0</v>
      </c>
      <c r="Y696" s="13">
        <f t="shared" si="1391"/>
        <v>0</v>
      </c>
      <c r="Z696" s="13">
        <f t="shared" si="1391"/>
        <v>0</v>
      </c>
      <c r="AA696" s="13">
        <f t="shared" si="1391"/>
        <v>0</v>
      </c>
      <c r="AB696" s="13">
        <f t="shared" ref="AB696:AP696" si="1392">IFERROR(VALUE(RIGHT(LEFT($J696,FIND(AB$1,$J696,IF(M696=0,1,FIND(AB$1,$J696,1)+1))+LEN(AB$1)),1)),0)</f>
        <v>0</v>
      </c>
      <c r="AC696" s="13">
        <f t="shared" si="1392"/>
        <v>0</v>
      </c>
      <c r="AD696" s="13">
        <f t="shared" si="1392"/>
        <v>0</v>
      </c>
      <c r="AE696" s="13">
        <f t="shared" si="1392"/>
        <v>0</v>
      </c>
      <c r="AF696" s="13">
        <f t="shared" si="1392"/>
        <v>0</v>
      </c>
      <c r="AG696" s="13">
        <f t="shared" si="1392"/>
        <v>0</v>
      </c>
      <c r="AH696" s="13">
        <f t="shared" si="1392"/>
        <v>0</v>
      </c>
      <c r="AI696" s="13">
        <f t="shared" si="1392"/>
        <v>1</v>
      </c>
      <c r="AJ696" s="13">
        <f t="shared" si="1392"/>
        <v>0</v>
      </c>
      <c r="AK696" s="13">
        <f t="shared" si="1392"/>
        <v>0</v>
      </c>
      <c r="AL696" s="13">
        <f t="shared" si="1392"/>
        <v>0</v>
      </c>
      <c r="AM696" s="13">
        <f t="shared" si="1392"/>
        <v>0</v>
      </c>
      <c r="AN696" s="13">
        <f t="shared" si="1392"/>
        <v>0</v>
      </c>
      <c r="AO696" s="13">
        <f t="shared" si="1392"/>
        <v>0</v>
      </c>
      <c r="AP696" s="13">
        <f t="shared" si="1392"/>
        <v>0</v>
      </c>
      <c r="AQ696" s="13" t="s">
        <v>4442</v>
      </c>
      <c r="AR696" s="13"/>
      <c r="AS696" s="13" t="s">
        <v>4443</v>
      </c>
      <c r="AT696" s="13"/>
      <c r="AU696" s="13"/>
      <c r="AV696" s="13"/>
      <c r="AW696" s="13">
        <v>0.0</v>
      </c>
      <c r="AX696" s="13">
        <v>11.0</v>
      </c>
      <c r="AY696" s="13">
        <v>0.0</v>
      </c>
      <c r="AZ696" s="13"/>
      <c r="BA696" s="13"/>
      <c r="BB696" s="13"/>
      <c r="BC696" s="13"/>
      <c r="BD696" s="13"/>
      <c r="BE696" s="13"/>
      <c r="BF696" s="13"/>
      <c r="BG696" s="13"/>
      <c r="BH696" s="13" t="s">
        <v>79</v>
      </c>
      <c r="BI696" s="13" t="b">
        <v>0</v>
      </c>
      <c r="BJ696" s="13">
        <v>0.0</v>
      </c>
      <c r="BK696" s="13">
        <v>0.0</v>
      </c>
    </row>
    <row r="697" ht="14.25" customHeight="1">
      <c r="A697" s="13">
        <v>695.0</v>
      </c>
      <c r="B697" s="13" t="s">
        <v>46</v>
      </c>
      <c r="C697" s="13">
        <v>0.0</v>
      </c>
      <c r="D697" s="14">
        <v>0.0</v>
      </c>
      <c r="E697" s="13" t="s">
        <v>4444</v>
      </c>
      <c r="F697" s="15" t="s">
        <v>1493</v>
      </c>
      <c r="G697" s="16" t="s">
        <v>4445</v>
      </c>
      <c r="H697" s="13"/>
      <c r="I697" s="13">
        <v>1.0</v>
      </c>
      <c r="J697" s="13" t="s">
        <v>111</v>
      </c>
      <c r="K697" s="13">
        <f t="shared" si="3"/>
        <v>0</v>
      </c>
      <c r="L697" s="13">
        <f t="shared" si="4"/>
        <v>1</v>
      </c>
      <c r="M697" s="13">
        <f t="shared" ref="M697:AA697" si="1393">IFERROR(VALUE(RIGHT(LEFT($J697,FIND(M$1,$J697,1)+LEN(M$1)),1)),0)</f>
        <v>0</v>
      </c>
      <c r="N697" s="13">
        <f t="shared" si="1393"/>
        <v>0</v>
      </c>
      <c r="O697" s="13">
        <f t="shared" si="1393"/>
        <v>0</v>
      </c>
      <c r="P697" s="13">
        <f t="shared" si="1393"/>
        <v>0</v>
      </c>
      <c r="Q697" s="13">
        <f t="shared" si="1393"/>
        <v>0</v>
      </c>
      <c r="R697" s="13">
        <f t="shared" si="1393"/>
        <v>0</v>
      </c>
      <c r="S697" s="13">
        <f t="shared" si="1393"/>
        <v>0</v>
      </c>
      <c r="T697" s="13">
        <f t="shared" si="1393"/>
        <v>0</v>
      </c>
      <c r="U697" s="13">
        <f t="shared" si="1393"/>
        <v>0</v>
      </c>
      <c r="V697" s="13">
        <f t="shared" si="1393"/>
        <v>0</v>
      </c>
      <c r="W697" s="13">
        <f t="shared" si="1393"/>
        <v>0</v>
      </c>
      <c r="X697" s="13">
        <f t="shared" si="1393"/>
        <v>0</v>
      </c>
      <c r="Y697" s="13">
        <f t="shared" si="1393"/>
        <v>0</v>
      </c>
      <c r="Z697" s="13">
        <f t="shared" si="1393"/>
        <v>0</v>
      </c>
      <c r="AA697" s="13">
        <f t="shared" si="1393"/>
        <v>0</v>
      </c>
      <c r="AB697" s="13">
        <f t="shared" ref="AB697:AP697" si="1394">IFERROR(VALUE(RIGHT(LEFT($J697,FIND(AB$1,$J697,IF(M697=0,1,FIND(AB$1,$J697,1)+1))+LEN(AB$1)),1)),0)</f>
        <v>0</v>
      </c>
      <c r="AC697" s="13">
        <f t="shared" si="1394"/>
        <v>0</v>
      </c>
      <c r="AD697" s="13">
        <f t="shared" si="1394"/>
        <v>0</v>
      </c>
      <c r="AE697" s="13">
        <f t="shared" si="1394"/>
        <v>0</v>
      </c>
      <c r="AF697" s="13">
        <f t="shared" si="1394"/>
        <v>0</v>
      </c>
      <c r="AG697" s="13">
        <f t="shared" si="1394"/>
        <v>0</v>
      </c>
      <c r="AH697" s="13">
        <f t="shared" si="1394"/>
        <v>0</v>
      </c>
      <c r="AI697" s="13">
        <f t="shared" si="1394"/>
        <v>0</v>
      </c>
      <c r="AJ697" s="13">
        <f t="shared" si="1394"/>
        <v>1</v>
      </c>
      <c r="AK697" s="13">
        <f t="shared" si="1394"/>
        <v>0</v>
      </c>
      <c r="AL697" s="13">
        <f t="shared" si="1394"/>
        <v>0</v>
      </c>
      <c r="AM697" s="13">
        <f t="shared" si="1394"/>
        <v>0</v>
      </c>
      <c r="AN697" s="13">
        <f t="shared" si="1394"/>
        <v>0</v>
      </c>
      <c r="AO697" s="13">
        <f t="shared" si="1394"/>
        <v>0</v>
      </c>
      <c r="AP697" s="13">
        <f t="shared" si="1394"/>
        <v>0</v>
      </c>
      <c r="AQ697" s="13" t="s">
        <v>4446</v>
      </c>
      <c r="AR697" s="13"/>
      <c r="AS697" s="13" t="s">
        <v>2770</v>
      </c>
      <c r="AT697" s="13"/>
      <c r="AU697" s="13"/>
      <c r="AV697" s="13"/>
      <c r="AW697" s="13">
        <v>0.0</v>
      </c>
      <c r="AX697" s="13">
        <v>11.0</v>
      </c>
      <c r="AY697" s="13">
        <v>0.0</v>
      </c>
      <c r="AZ697" s="13"/>
      <c r="BA697" s="13"/>
      <c r="BB697" s="13"/>
      <c r="BC697" s="13"/>
      <c r="BD697" s="13"/>
      <c r="BE697" s="13"/>
      <c r="BF697" s="13"/>
      <c r="BG697" s="13"/>
      <c r="BH697" s="13" t="s">
        <v>79</v>
      </c>
      <c r="BI697" s="13" t="b">
        <v>0</v>
      </c>
      <c r="BJ697" s="13">
        <v>0.0</v>
      </c>
      <c r="BK697" s="13">
        <v>0.0</v>
      </c>
    </row>
    <row r="698" ht="14.25" customHeight="1">
      <c r="A698" s="13">
        <v>696.0</v>
      </c>
      <c r="B698" s="13" t="s">
        <v>47</v>
      </c>
      <c r="C698" s="13">
        <v>0.0</v>
      </c>
      <c r="D698" s="14">
        <v>0.0</v>
      </c>
      <c r="E698" s="13" t="s">
        <v>4447</v>
      </c>
      <c r="F698" s="15" t="s">
        <v>1493</v>
      </c>
      <c r="G698" s="16" t="s">
        <v>4448</v>
      </c>
      <c r="H698" s="13">
        <v>9.0</v>
      </c>
      <c r="I698" s="13">
        <v>0.9</v>
      </c>
      <c r="J698" s="13" t="s">
        <v>127</v>
      </c>
      <c r="K698" s="13">
        <f t="shared" si="3"/>
        <v>0</v>
      </c>
      <c r="L698" s="13">
        <f t="shared" si="4"/>
        <v>1</v>
      </c>
      <c r="M698" s="13">
        <f t="shared" ref="M698:AA698" si="1395">IFERROR(VALUE(RIGHT(LEFT($J698,FIND(M$1,$J698,1)+LEN(M$1)),1)),0)</f>
        <v>0</v>
      </c>
      <c r="N698" s="13">
        <f t="shared" si="1395"/>
        <v>0</v>
      </c>
      <c r="O698" s="13">
        <f t="shared" si="1395"/>
        <v>0</v>
      </c>
      <c r="P698" s="13">
        <f t="shared" si="1395"/>
        <v>0</v>
      </c>
      <c r="Q698" s="13">
        <f t="shared" si="1395"/>
        <v>0</v>
      </c>
      <c r="R698" s="13">
        <f t="shared" si="1395"/>
        <v>0</v>
      </c>
      <c r="S698" s="13">
        <f t="shared" si="1395"/>
        <v>0</v>
      </c>
      <c r="T698" s="13">
        <f t="shared" si="1395"/>
        <v>0</v>
      </c>
      <c r="U698" s="13">
        <f t="shared" si="1395"/>
        <v>0</v>
      </c>
      <c r="V698" s="13">
        <f t="shared" si="1395"/>
        <v>0</v>
      </c>
      <c r="W698" s="13">
        <f t="shared" si="1395"/>
        <v>0</v>
      </c>
      <c r="X698" s="13">
        <f t="shared" si="1395"/>
        <v>0</v>
      </c>
      <c r="Y698" s="13">
        <f t="shared" si="1395"/>
        <v>0</v>
      </c>
      <c r="Z698" s="13">
        <f t="shared" si="1395"/>
        <v>0</v>
      </c>
      <c r="AA698" s="13">
        <f t="shared" si="1395"/>
        <v>0</v>
      </c>
      <c r="AB698" s="13">
        <f t="shared" ref="AB698:AP698" si="1396">IFERROR(VALUE(RIGHT(LEFT($J698,FIND(AB$1,$J698,IF(M698=0,1,FIND(AB$1,$J698,1)+1))+LEN(AB$1)),1)),0)</f>
        <v>0</v>
      </c>
      <c r="AC698" s="13">
        <f t="shared" si="1396"/>
        <v>0</v>
      </c>
      <c r="AD698" s="13">
        <f t="shared" si="1396"/>
        <v>0</v>
      </c>
      <c r="AE698" s="13">
        <f t="shared" si="1396"/>
        <v>0</v>
      </c>
      <c r="AF698" s="13">
        <f t="shared" si="1396"/>
        <v>0</v>
      </c>
      <c r="AG698" s="13">
        <f t="shared" si="1396"/>
        <v>0</v>
      </c>
      <c r="AH698" s="13">
        <f t="shared" si="1396"/>
        <v>0</v>
      </c>
      <c r="AI698" s="13">
        <f t="shared" si="1396"/>
        <v>0</v>
      </c>
      <c r="AJ698" s="13">
        <f t="shared" si="1396"/>
        <v>0</v>
      </c>
      <c r="AK698" s="13">
        <f t="shared" si="1396"/>
        <v>1</v>
      </c>
      <c r="AL698" s="13">
        <f t="shared" si="1396"/>
        <v>0</v>
      </c>
      <c r="AM698" s="13">
        <f t="shared" si="1396"/>
        <v>0</v>
      </c>
      <c r="AN698" s="13">
        <f t="shared" si="1396"/>
        <v>0</v>
      </c>
      <c r="AO698" s="13">
        <f t="shared" si="1396"/>
        <v>0</v>
      </c>
      <c r="AP698" s="13">
        <f t="shared" si="1396"/>
        <v>0</v>
      </c>
      <c r="AQ698" s="13"/>
      <c r="AR698" s="13" t="s">
        <v>516</v>
      </c>
      <c r="AS698" s="13" t="s">
        <v>141</v>
      </c>
      <c r="AT698" s="13" t="s">
        <v>573</v>
      </c>
      <c r="AU698" s="13" t="s">
        <v>130</v>
      </c>
      <c r="AV698" s="13" t="s">
        <v>4449</v>
      </c>
      <c r="AW698" s="13">
        <v>4.0</v>
      </c>
      <c r="AX698" s="13">
        <v>11.0</v>
      </c>
      <c r="AY698" s="13">
        <v>0.0</v>
      </c>
      <c r="AZ698" s="13" t="s">
        <v>132</v>
      </c>
      <c r="BA698" s="13" t="s">
        <v>133</v>
      </c>
      <c r="BB698" s="13"/>
      <c r="BC698" s="13"/>
      <c r="BD698" s="13" t="s">
        <v>134</v>
      </c>
      <c r="BE698" s="13"/>
      <c r="BF698" s="13" t="s">
        <v>531</v>
      </c>
      <c r="BG698" s="13" t="s">
        <v>136</v>
      </c>
      <c r="BH698" s="13" t="s">
        <v>79</v>
      </c>
      <c r="BI698" s="13" t="b">
        <v>0</v>
      </c>
      <c r="BJ698" s="13">
        <v>0.0</v>
      </c>
      <c r="BK698" s="13">
        <v>0.0</v>
      </c>
    </row>
    <row r="699" ht="14.25" customHeight="1">
      <c r="A699" s="13">
        <v>697.0</v>
      </c>
      <c r="B699" s="13" t="s">
        <v>47</v>
      </c>
      <c r="C699" s="13">
        <v>0.0</v>
      </c>
      <c r="D699" s="14">
        <v>0.0</v>
      </c>
      <c r="E699" s="13" t="s">
        <v>4450</v>
      </c>
      <c r="F699" s="15" t="s">
        <v>1493</v>
      </c>
      <c r="G699" s="16" t="s">
        <v>4451</v>
      </c>
      <c r="H699" s="13">
        <v>8.0</v>
      </c>
      <c r="I699" s="13">
        <v>1.0</v>
      </c>
      <c r="J699" s="13" t="s">
        <v>127</v>
      </c>
      <c r="K699" s="13">
        <f t="shared" si="3"/>
        <v>0</v>
      </c>
      <c r="L699" s="13">
        <f t="shared" si="4"/>
        <v>1</v>
      </c>
      <c r="M699" s="13">
        <f t="shared" ref="M699:AA699" si="1397">IFERROR(VALUE(RIGHT(LEFT($J699,FIND(M$1,$J699,1)+LEN(M$1)),1)),0)</f>
        <v>0</v>
      </c>
      <c r="N699" s="13">
        <f t="shared" si="1397"/>
        <v>0</v>
      </c>
      <c r="O699" s="13">
        <f t="shared" si="1397"/>
        <v>0</v>
      </c>
      <c r="P699" s="13">
        <f t="shared" si="1397"/>
        <v>0</v>
      </c>
      <c r="Q699" s="13">
        <f t="shared" si="1397"/>
        <v>0</v>
      </c>
      <c r="R699" s="13">
        <f t="shared" si="1397"/>
        <v>0</v>
      </c>
      <c r="S699" s="13">
        <f t="shared" si="1397"/>
        <v>0</v>
      </c>
      <c r="T699" s="13">
        <f t="shared" si="1397"/>
        <v>0</v>
      </c>
      <c r="U699" s="13">
        <f t="shared" si="1397"/>
        <v>0</v>
      </c>
      <c r="V699" s="13">
        <f t="shared" si="1397"/>
        <v>0</v>
      </c>
      <c r="W699" s="13">
        <f t="shared" si="1397"/>
        <v>0</v>
      </c>
      <c r="X699" s="13">
        <f t="shared" si="1397"/>
        <v>0</v>
      </c>
      <c r="Y699" s="13">
        <f t="shared" si="1397"/>
        <v>0</v>
      </c>
      <c r="Z699" s="13">
        <f t="shared" si="1397"/>
        <v>0</v>
      </c>
      <c r="AA699" s="13">
        <f t="shared" si="1397"/>
        <v>0</v>
      </c>
      <c r="AB699" s="13">
        <f t="shared" ref="AB699:AP699" si="1398">IFERROR(VALUE(RIGHT(LEFT($J699,FIND(AB$1,$J699,IF(M699=0,1,FIND(AB$1,$J699,1)+1))+LEN(AB$1)),1)),0)</f>
        <v>0</v>
      </c>
      <c r="AC699" s="13">
        <f t="shared" si="1398"/>
        <v>0</v>
      </c>
      <c r="AD699" s="13">
        <f t="shared" si="1398"/>
        <v>0</v>
      </c>
      <c r="AE699" s="13">
        <f t="shared" si="1398"/>
        <v>0</v>
      </c>
      <c r="AF699" s="13">
        <f t="shared" si="1398"/>
        <v>0</v>
      </c>
      <c r="AG699" s="13">
        <f t="shared" si="1398"/>
        <v>0</v>
      </c>
      <c r="AH699" s="13">
        <f t="shared" si="1398"/>
        <v>0</v>
      </c>
      <c r="AI699" s="13">
        <f t="shared" si="1398"/>
        <v>0</v>
      </c>
      <c r="AJ699" s="13">
        <f t="shared" si="1398"/>
        <v>0</v>
      </c>
      <c r="AK699" s="13">
        <f t="shared" si="1398"/>
        <v>1</v>
      </c>
      <c r="AL699" s="13">
        <f t="shared" si="1398"/>
        <v>0</v>
      </c>
      <c r="AM699" s="13">
        <f t="shared" si="1398"/>
        <v>0</v>
      </c>
      <c r="AN699" s="13">
        <f t="shared" si="1398"/>
        <v>0</v>
      </c>
      <c r="AO699" s="13">
        <f t="shared" si="1398"/>
        <v>0</v>
      </c>
      <c r="AP699" s="13">
        <f t="shared" si="1398"/>
        <v>0</v>
      </c>
      <c r="AQ699" s="13"/>
      <c r="AR699" s="13" t="s">
        <v>3581</v>
      </c>
      <c r="AS699" s="13" t="s">
        <v>4452</v>
      </c>
      <c r="AT699" s="13" t="s">
        <v>142</v>
      </c>
      <c r="AU699" s="13" t="s">
        <v>803</v>
      </c>
      <c r="AV699" s="13" t="s">
        <v>4453</v>
      </c>
      <c r="AW699" s="13">
        <v>3.0</v>
      </c>
      <c r="AX699" s="13">
        <v>11.0</v>
      </c>
      <c r="AY699" s="13">
        <v>0.0</v>
      </c>
      <c r="AZ699" s="13" t="s">
        <v>186</v>
      </c>
      <c r="BA699" s="13" t="s">
        <v>146</v>
      </c>
      <c r="BB699" s="13"/>
      <c r="BC699" s="13"/>
      <c r="BD699" s="13" t="s">
        <v>484</v>
      </c>
      <c r="BE699" s="13"/>
      <c r="BF699" s="13" t="s">
        <v>262</v>
      </c>
      <c r="BG699" s="13" t="s">
        <v>136</v>
      </c>
      <c r="BH699" s="13" t="s">
        <v>79</v>
      </c>
      <c r="BI699" s="13" t="b">
        <v>0</v>
      </c>
      <c r="BJ699" s="13">
        <v>0.0</v>
      </c>
      <c r="BK699" s="13">
        <v>0.0</v>
      </c>
    </row>
    <row r="700" ht="14.25" customHeight="1">
      <c r="A700" s="13">
        <v>698.0</v>
      </c>
      <c r="B700" s="13" t="s">
        <v>48</v>
      </c>
      <c r="C700" s="13">
        <v>0.0</v>
      </c>
      <c r="D700" s="14">
        <v>0.0</v>
      </c>
      <c r="E700" s="13" t="s">
        <v>4454</v>
      </c>
      <c r="F700" s="15" t="s">
        <v>1493</v>
      </c>
      <c r="G700" s="16" t="s">
        <v>4455</v>
      </c>
      <c r="H700" s="13">
        <v>11.0</v>
      </c>
      <c r="I700" s="13">
        <v>1.0</v>
      </c>
      <c r="J700" s="13" t="s">
        <v>160</v>
      </c>
      <c r="K700" s="13">
        <f t="shared" si="3"/>
        <v>0</v>
      </c>
      <c r="L700" s="13">
        <f t="shared" si="4"/>
        <v>1</v>
      </c>
      <c r="M700" s="13">
        <f t="shared" ref="M700:AA700" si="1399">IFERROR(VALUE(RIGHT(LEFT($J700,FIND(M$1,$J700,1)+LEN(M$1)),1)),0)</f>
        <v>0</v>
      </c>
      <c r="N700" s="13">
        <f t="shared" si="1399"/>
        <v>0</v>
      </c>
      <c r="O700" s="13">
        <f t="shared" si="1399"/>
        <v>0</v>
      </c>
      <c r="P700" s="13">
        <f t="shared" si="1399"/>
        <v>0</v>
      </c>
      <c r="Q700" s="13">
        <f t="shared" si="1399"/>
        <v>0</v>
      </c>
      <c r="R700" s="13">
        <f t="shared" si="1399"/>
        <v>0</v>
      </c>
      <c r="S700" s="13">
        <f t="shared" si="1399"/>
        <v>0</v>
      </c>
      <c r="T700" s="13">
        <f t="shared" si="1399"/>
        <v>0</v>
      </c>
      <c r="U700" s="13">
        <f t="shared" si="1399"/>
        <v>0</v>
      </c>
      <c r="V700" s="13">
        <f t="shared" si="1399"/>
        <v>0</v>
      </c>
      <c r="W700" s="13">
        <f t="shared" si="1399"/>
        <v>0</v>
      </c>
      <c r="X700" s="13">
        <f t="shared" si="1399"/>
        <v>0</v>
      </c>
      <c r="Y700" s="13">
        <f t="shared" si="1399"/>
        <v>0</v>
      </c>
      <c r="Z700" s="13">
        <f t="shared" si="1399"/>
        <v>0</v>
      </c>
      <c r="AA700" s="13">
        <f t="shared" si="1399"/>
        <v>0</v>
      </c>
      <c r="AB700" s="13">
        <f t="shared" ref="AB700:AP700" si="1400">IFERROR(VALUE(RIGHT(LEFT($J700,FIND(AB$1,$J700,IF(M700=0,1,FIND(AB$1,$J700,1)+1))+LEN(AB$1)),1)),0)</f>
        <v>0</v>
      </c>
      <c r="AC700" s="13">
        <f t="shared" si="1400"/>
        <v>0</v>
      </c>
      <c r="AD700" s="13">
        <f t="shared" si="1400"/>
        <v>0</v>
      </c>
      <c r="AE700" s="13">
        <f t="shared" si="1400"/>
        <v>0</v>
      </c>
      <c r="AF700" s="13">
        <f t="shared" si="1400"/>
        <v>0</v>
      </c>
      <c r="AG700" s="13">
        <f t="shared" si="1400"/>
        <v>0</v>
      </c>
      <c r="AH700" s="13">
        <f t="shared" si="1400"/>
        <v>0</v>
      </c>
      <c r="AI700" s="13">
        <f t="shared" si="1400"/>
        <v>0</v>
      </c>
      <c r="AJ700" s="13">
        <f t="shared" si="1400"/>
        <v>0</v>
      </c>
      <c r="AK700" s="13">
        <f t="shared" si="1400"/>
        <v>0</v>
      </c>
      <c r="AL700" s="13">
        <f t="shared" si="1400"/>
        <v>1</v>
      </c>
      <c r="AM700" s="13">
        <f t="shared" si="1400"/>
        <v>0</v>
      </c>
      <c r="AN700" s="13">
        <f t="shared" si="1400"/>
        <v>0</v>
      </c>
      <c r="AO700" s="13">
        <f t="shared" si="1400"/>
        <v>0</v>
      </c>
      <c r="AP700" s="13">
        <f t="shared" si="1400"/>
        <v>0</v>
      </c>
      <c r="AQ700" s="13"/>
      <c r="AR700" s="13" t="s">
        <v>4456</v>
      </c>
      <c r="AS700" s="13" t="s">
        <v>185</v>
      </c>
      <c r="AT700" s="13" t="s">
        <v>162</v>
      </c>
      <c r="AU700" s="13" t="s">
        <v>163</v>
      </c>
      <c r="AV700" s="13" t="s">
        <v>164</v>
      </c>
      <c r="AW700" s="13">
        <v>6.0</v>
      </c>
      <c r="AX700" s="13">
        <v>11.0</v>
      </c>
      <c r="AY700" s="13">
        <v>0.0</v>
      </c>
      <c r="AZ700" s="13" t="s">
        <v>547</v>
      </c>
      <c r="BA700" s="13" t="s">
        <v>655</v>
      </c>
      <c r="BB700" s="13"/>
      <c r="BC700" s="13"/>
      <c r="BD700" s="13" t="s">
        <v>167</v>
      </c>
      <c r="BE700" s="13"/>
      <c r="BF700" s="13" t="s">
        <v>2414</v>
      </c>
      <c r="BG700" s="13" t="s">
        <v>169</v>
      </c>
      <c r="BH700" s="13" t="s">
        <v>79</v>
      </c>
      <c r="BI700" s="13" t="b">
        <v>0</v>
      </c>
      <c r="BJ700" s="13">
        <v>0.0</v>
      </c>
      <c r="BK700" s="13">
        <v>0.0</v>
      </c>
    </row>
    <row r="701" ht="14.25" customHeight="1">
      <c r="A701" s="13">
        <v>699.0</v>
      </c>
      <c r="B701" s="13" t="s">
        <v>48</v>
      </c>
      <c r="C701" s="13">
        <v>0.0</v>
      </c>
      <c r="D701" s="14">
        <v>0.0</v>
      </c>
      <c r="E701" s="13" t="s">
        <v>4457</v>
      </c>
      <c r="F701" s="15" t="s">
        <v>1493</v>
      </c>
      <c r="G701" s="16" t="s">
        <v>4458</v>
      </c>
      <c r="H701" s="13">
        <v>10.0</v>
      </c>
      <c r="I701" s="13">
        <v>0.9</v>
      </c>
      <c r="J701" s="13" t="s">
        <v>160</v>
      </c>
      <c r="K701" s="13">
        <f t="shared" si="3"/>
        <v>0</v>
      </c>
      <c r="L701" s="13">
        <f t="shared" si="4"/>
        <v>1</v>
      </c>
      <c r="M701" s="13">
        <f t="shared" ref="M701:AA701" si="1401">IFERROR(VALUE(RIGHT(LEFT($J701,FIND(M$1,$J701,1)+LEN(M$1)),1)),0)</f>
        <v>0</v>
      </c>
      <c r="N701" s="13">
        <f t="shared" si="1401"/>
        <v>0</v>
      </c>
      <c r="O701" s="13">
        <f t="shared" si="1401"/>
        <v>0</v>
      </c>
      <c r="P701" s="13">
        <f t="shared" si="1401"/>
        <v>0</v>
      </c>
      <c r="Q701" s="13">
        <f t="shared" si="1401"/>
        <v>0</v>
      </c>
      <c r="R701" s="13">
        <f t="shared" si="1401"/>
        <v>0</v>
      </c>
      <c r="S701" s="13">
        <f t="shared" si="1401"/>
        <v>0</v>
      </c>
      <c r="T701" s="13">
        <f t="shared" si="1401"/>
        <v>0</v>
      </c>
      <c r="U701" s="13">
        <f t="shared" si="1401"/>
        <v>0</v>
      </c>
      <c r="V701" s="13">
        <f t="shared" si="1401"/>
        <v>0</v>
      </c>
      <c r="W701" s="13">
        <f t="shared" si="1401"/>
        <v>0</v>
      </c>
      <c r="X701" s="13">
        <f t="shared" si="1401"/>
        <v>0</v>
      </c>
      <c r="Y701" s="13">
        <f t="shared" si="1401"/>
        <v>0</v>
      </c>
      <c r="Z701" s="13">
        <f t="shared" si="1401"/>
        <v>0</v>
      </c>
      <c r="AA701" s="13">
        <f t="shared" si="1401"/>
        <v>0</v>
      </c>
      <c r="AB701" s="13">
        <f t="shared" ref="AB701:AP701" si="1402">IFERROR(VALUE(RIGHT(LEFT($J701,FIND(AB$1,$J701,IF(M701=0,1,FIND(AB$1,$J701,1)+1))+LEN(AB$1)),1)),0)</f>
        <v>0</v>
      </c>
      <c r="AC701" s="13">
        <f t="shared" si="1402"/>
        <v>0</v>
      </c>
      <c r="AD701" s="13">
        <f t="shared" si="1402"/>
        <v>0</v>
      </c>
      <c r="AE701" s="13">
        <f t="shared" si="1402"/>
        <v>0</v>
      </c>
      <c r="AF701" s="13">
        <f t="shared" si="1402"/>
        <v>0</v>
      </c>
      <c r="AG701" s="13">
        <f t="shared" si="1402"/>
        <v>0</v>
      </c>
      <c r="AH701" s="13">
        <f t="shared" si="1402"/>
        <v>0</v>
      </c>
      <c r="AI701" s="13">
        <f t="shared" si="1402"/>
        <v>0</v>
      </c>
      <c r="AJ701" s="13">
        <f t="shared" si="1402"/>
        <v>0</v>
      </c>
      <c r="AK701" s="13">
        <f t="shared" si="1402"/>
        <v>0</v>
      </c>
      <c r="AL701" s="13">
        <f t="shared" si="1402"/>
        <v>1</v>
      </c>
      <c r="AM701" s="13">
        <f t="shared" si="1402"/>
        <v>0</v>
      </c>
      <c r="AN701" s="13">
        <f t="shared" si="1402"/>
        <v>0</v>
      </c>
      <c r="AO701" s="13">
        <f t="shared" si="1402"/>
        <v>0</v>
      </c>
      <c r="AP701" s="13">
        <f t="shared" si="1402"/>
        <v>0</v>
      </c>
      <c r="AQ701" s="13"/>
      <c r="AR701" s="13" t="s">
        <v>4459</v>
      </c>
      <c r="AS701" s="13" t="s">
        <v>174</v>
      </c>
      <c r="AT701" s="13" t="s">
        <v>2267</v>
      </c>
      <c r="AU701" s="13" t="s">
        <v>143</v>
      </c>
      <c r="AV701" s="13" t="s">
        <v>2786</v>
      </c>
      <c r="AW701" s="13">
        <v>5.0</v>
      </c>
      <c r="AX701" s="13">
        <v>11.0</v>
      </c>
      <c r="AY701" s="13">
        <v>0.0</v>
      </c>
      <c r="AZ701" s="13" t="s">
        <v>165</v>
      </c>
      <c r="BA701" s="13" t="s">
        <v>538</v>
      </c>
      <c r="BB701" s="13"/>
      <c r="BC701" s="13"/>
      <c r="BD701" s="13" t="s">
        <v>188</v>
      </c>
      <c r="BE701" s="13"/>
      <c r="BF701" s="13" t="s">
        <v>811</v>
      </c>
      <c r="BG701" s="13" t="s">
        <v>169</v>
      </c>
      <c r="BH701" s="13" t="s">
        <v>79</v>
      </c>
      <c r="BI701" s="13" t="b">
        <v>0</v>
      </c>
      <c r="BJ701" s="13">
        <v>0.0</v>
      </c>
      <c r="BK701" s="13">
        <v>0.0</v>
      </c>
    </row>
    <row r="702" ht="14.25" customHeight="1">
      <c r="A702" s="13">
        <v>700.0</v>
      </c>
      <c r="B702" s="13" t="s">
        <v>44</v>
      </c>
      <c r="C702" s="13">
        <v>1.0</v>
      </c>
      <c r="D702" s="14">
        <v>0.0</v>
      </c>
      <c r="E702" s="13" t="s">
        <v>4460</v>
      </c>
      <c r="F702" s="15" t="s">
        <v>4461</v>
      </c>
      <c r="G702" s="16" t="s">
        <v>4462</v>
      </c>
      <c r="H702" s="13"/>
      <c r="I702" s="13">
        <v>1.0</v>
      </c>
      <c r="J702" s="13" t="s">
        <v>77</v>
      </c>
      <c r="K702" s="13">
        <f t="shared" si="3"/>
        <v>0</v>
      </c>
      <c r="L702" s="13">
        <f t="shared" si="4"/>
        <v>2</v>
      </c>
      <c r="M702" s="13">
        <f t="shared" ref="M702:AA702" si="1403">IFERROR(VALUE(RIGHT(LEFT($J702,FIND(M$1,$J702,1)+LEN(M$1)),1)),0)</f>
        <v>0</v>
      </c>
      <c r="N702" s="13">
        <f t="shared" si="1403"/>
        <v>0</v>
      </c>
      <c r="O702" s="13">
        <f t="shared" si="1403"/>
        <v>0</v>
      </c>
      <c r="P702" s="13">
        <f t="shared" si="1403"/>
        <v>0</v>
      </c>
      <c r="Q702" s="13">
        <f t="shared" si="1403"/>
        <v>0</v>
      </c>
      <c r="R702" s="13">
        <f t="shared" si="1403"/>
        <v>0</v>
      </c>
      <c r="S702" s="13">
        <f t="shared" si="1403"/>
        <v>0</v>
      </c>
      <c r="T702" s="13">
        <f t="shared" si="1403"/>
        <v>0</v>
      </c>
      <c r="U702" s="13">
        <f t="shared" si="1403"/>
        <v>0</v>
      </c>
      <c r="V702" s="13">
        <f t="shared" si="1403"/>
        <v>0</v>
      </c>
      <c r="W702" s="13">
        <f t="shared" si="1403"/>
        <v>0</v>
      </c>
      <c r="X702" s="13">
        <f t="shared" si="1403"/>
        <v>0</v>
      </c>
      <c r="Y702" s="13">
        <f t="shared" si="1403"/>
        <v>0</v>
      </c>
      <c r="Z702" s="13">
        <f t="shared" si="1403"/>
        <v>0</v>
      </c>
      <c r="AA702" s="13">
        <f t="shared" si="1403"/>
        <v>0</v>
      </c>
      <c r="AB702" s="13">
        <f t="shared" ref="AB702:AP702" si="1404">IFERROR(VALUE(RIGHT(LEFT($J702,FIND(AB$1,$J702,IF(M702=0,1,FIND(AB$1,$J702,1)+1))+LEN(AB$1)),1)),0)</f>
        <v>0</v>
      </c>
      <c r="AC702" s="13">
        <f t="shared" si="1404"/>
        <v>0</v>
      </c>
      <c r="AD702" s="13">
        <f t="shared" si="1404"/>
        <v>0</v>
      </c>
      <c r="AE702" s="13">
        <f t="shared" si="1404"/>
        <v>0</v>
      </c>
      <c r="AF702" s="13">
        <f t="shared" si="1404"/>
        <v>0</v>
      </c>
      <c r="AG702" s="13">
        <f t="shared" si="1404"/>
        <v>1</v>
      </c>
      <c r="AH702" s="13">
        <f t="shared" si="1404"/>
        <v>1</v>
      </c>
      <c r="AI702" s="13">
        <f t="shared" si="1404"/>
        <v>0</v>
      </c>
      <c r="AJ702" s="13">
        <f t="shared" si="1404"/>
        <v>0</v>
      </c>
      <c r="AK702" s="13">
        <f t="shared" si="1404"/>
        <v>0</v>
      </c>
      <c r="AL702" s="13">
        <f t="shared" si="1404"/>
        <v>0</v>
      </c>
      <c r="AM702" s="13">
        <f t="shared" si="1404"/>
        <v>0</v>
      </c>
      <c r="AN702" s="13">
        <f t="shared" si="1404"/>
        <v>0</v>
      </c>
      <c r="AO702" s="13">
        <f t="shared" si="1404"/>
        <v>0</v>
      </c>
      <c r="AP702" s="13">
        <f t="shared" si="1404"/>
        <v>0</v>
      </c>
      <c r="AQ702" s="13" t="s">
        <v>4463</v>
      </c>
      <c r="AR702" s="13"/>
      <c r="AS702" s="13" t="s">
        <v>3797</v>
      </c>
      <c r="AT702" s="13"/>
      <c r="AU702" s="13"/>
      <c r="AV702" s="13"/>
      <c r="AW702" s="13">
        <v>0.0</v>
      </c>
      <c r="AX702" s="13">
        <v>11.0</v>
      </c>
      <c r="AY702" s="13">
        <v>0.0</v>
      </c>
      <c r="AZ702" s="13"/>
      <c r="BA702" s="13"/>
      <c r="BB702" s="13"/>
      <c r="BC702" s="13"/>
      <c r="BD702" s="13"/>
      <c r="BE702" s="13"/>
      <c r="BF702" s="13"/>
      <c r="BG702" s="13"/>
      <c r="BH702" s="13" t="s">
        <v>79</v>
      </c>
      <c r="BI702" s="13" t="b">
        <v>0</v>
      </c>
      <c r="BJ702" s="13">
        <v>0.0</v>
      </c>
      <c r="BK702" s="13">
        <v>0.0</v>
      </c>
    </row>
    <row r="703" ht="14.25" customHeight="1">
      <c r="A703" s="13">
        <v>701.0</v>
      </c>
      <c r="B703" s="13" t="s">
        <v>45</v>
      </c>
      <c r="C703" s="13">
        <v>1.0</v>
      </c>
      <c r="D703" s="14">
        <v>0.0</v>
      </c>
      <c r="E703" s="13" t="s">
        <v>4464</v>
      </c>
      <c r="F703" s="15" t="s">
        <v>1493</v>
      </c>
      <c r="G703" s="16" t="s">
        <v>4465</v>
      </c>
      <c r="H703" s="13"/>
      <c r="I703" s="13">
        <v>1.1</v>
      </c>
      <c r="J703" s="13" t="s">
        <v>399</v>
      </c>
      <c r="K703" s="13">
        <f t="shared" si="3"/>
        <v>0</v>
      </c>
      <c r="L703" s="13">
        <f t="shared" si="4"/>
        <v>2</v>
      </c>
      <c r="M703" s="13">
        <f t="shared" ref="M703:AA703" si="1405">IFERROR(VALUE(RIGHT(LEFT($J703,FIND(M$1,$J703,1)+LEN(M$1)),1)),0)</f>
        <v>0</v>
      </c>
      <c r="N703" s="13">
        <f t="shared" si="1405"/>
        <v>0</v>
      </c>
      <c r="O703" s="13">
        <f t="shared" si="1405"/>
        <v>0</v>
      </c>
      <c r="P703" s="13">
        <f t="shared" si="1405"/>
        <v>0</v>
      </c>
      <c r="Q703" s="13">
        <f t="shared" si="1405"/>
        <v>0</v>
      </c>
      <c r="R703" s="13">
        <f t="shared" si="1405"/>
        <v>0</v>
      </c>
      <c r="S703" s="13">
        <f t="shared" si="1405"/>
        <v>0</v>
      </c>
      <c r="T703" s="13">
        <f t="shared" si="1405"/>
        <v>0</v>
      </c>
      <c r="U703" s="13">
        <f t="shared" si="1405"/>
        <v>0</v>
      </c>
      <c r="V703" s="13">
        <f t="shared" si="1405"/>
        <v>0</v>
      </c>
      <c r="W703" s="13">
        <f t="shared" si="1405"/>
        <v>0</v>
      </c>
      <c r="X703" s="13">
        <f t="shared" si="1405"/>
        <v>0</v>
      </c>
      <c r="Y703" s="13">
        <f t="shared" si="1405"/>
        <v>0</v>
      </c>
      <c r="Z703" s="13">
        <f t="shared" si="1405"/>
        <v>0</v>
      </c>
      <c r="AA703" s="13">
        <f t="shared" si="1405"/>
        <v>0</v>
      </c>
      <c r="AB703" s="13">
        <f t="shared" ref="AB703:AP703" si="1406">IFERROR(VALUE(RIGHT(LEFT($J703,FIND(AB$1,$J703,IF(M703=0,1,FIND(AB$1,$J703,1)+1))+LEN(AB$1)),1)),0)</f>
        <v>0</v>
      </c>
      <c r="AC703" s="13">
        <f t="shared" si="1406"/>
        <v>0</v>
      </c>
      <c r="AD703" s="13">
        <f t="shared" si="1406"/>
        <v>1</v>
      </c>
      <c r="AE703" s="13">
        <f t="shared" si="1406"/>
        <v>0</v>
      </c>
      <c r="AF703" s="13">
        <f t="shared" si="1406"/>
        <v>0</v>
      </c>
      <c r="AG703" s="13">
        <f t="shared" si="1406"/>
        <v>0</v>
      </c>
      <c r="AH703" s="13">
        <f t="shared" si="1406"/>
        <v>0</v>
      </c>
      <c r="AI703" s="13">
        <f t="shared" si="1406"/>
        <v>1</v>
      </c>
      <c r="AJ703" s="13">
        <f t="shared" si="1406"/>
        <v>0</v>
      </c>
      <c r="AK703" s="13">
        <f t="shared" si="1406"/>
        <v>0</v>
      </c>
      <c r="AL703" s="13">
        <f t="shared" si="1406"/>
        <v>0</v>
      </c>
      <c r="AM703" s="13">
        <f t="shared" si="1406"/>
        <v>0</v>
      </c>
      <c r="AN703" s="13">
        <f t="shared" si="1406"/>
        <v>0</v>
      </c>
      <c r="AO703" s="13">
        <f t="shared" si="1406"/>
        <v>0</v>
      </c>
      <c r="AP703" s="13">
        <f t="shared" si="1406"/>
        <v>0</v>
      </c>
      <c r="AQ703" s="13" t="s">
        <v>4466</v>
      </c>
      <c r="AR703" s="13"/>
      <c r="AS703" s="13" t="s">
        <v>4467</v>
      </c>
      <c r="AT703" s="13"/>
      <c r="AU703" s="13"/>
      <c r="AV703" s="13"/>
      <c r="AW703" s="13">
        <v>0.0</v>
      </c>
      <c r="AX703" s="13">
        <v>11.0</v>
      </c>
      <c r="AY703" s="13">
        <v>0.0</v>
      </c>
      <c r="AZ703" s="13"/>
      <c r="BA703" s="13"/>
      <c r="BB703" s="13"/>
      <c r="BC703" s="13"/>
      <c r="BD703" s="13"/>
      <c r="BE703" s="13"/>
      <c r="BF703" s="13"/>
      <c r="BG703" s="13"/>
      <c r="BH703" s="13" t="s">
        <v>79</v>
      </c>
      <c r="BI703" s="13" t="b">
        <v>0</v>
      </c>
      <c r="BJ703" s="13">
        <v>0.0</v>
      </c>
      <c r="BK703" s="13">
        <v>0.0</v>
      </c>
    </row>
    <row r="704" ht="14.25" customHeight="1">
      <c r="A704" s="13">
        <v>702.0</v>
      </c>
      <c r="B704" s="13" t="s">
        <v>46</v>
      </c>
      <c r="C704" s="13">
        <v>1.0</v>
      </c>
      <c r="D704" s="14">
        <v>0.0</v>
      </c>
      <c r="E704" s="13" t="s">
        <v>4468</v>
      </c>
      <c r="F704" s="15" t="s">
        <v>1493</v>
      </c>
      <c r="G704" s="16" t="s">
        <v>4469</v>
      </c>
      <c r="H704" s="13"/>
      <c r="I704" s="13">
        <v>1.0</v>
      </c>
      <c r="J704" s="13" t="s">
        <v>451</v>
      </c>
      <c r="K704" s="13">
        <f t="shared" si="3"/>
        <v>0</v>
      </c>
      <c r="L704" s="13">
        <f t="shared" si="4"/>
        <v>2</v>
      </c>
      <c r="M704" s="13">
        <f t="shared" ref="M704:AA704" si="1407">IFERROR(VALUE(RIGHT(LEFT($J704,FIND(M$1,$J704,1)+LEN(M$1)),1)),0)</f>
        <v>0</v>
      </c>
      <c r="N704" s="13">
        <f t="shared" si="1407"/>
        <v>0</v>
      </c>
      <c r="O704" s="13">
        <f t="shared" si="1407"/>
        <v>0</v>
      </c>
      <c r="P704" s="13">
        <f t="shared" si="1407"/>
        <v>0</v>
      </c>
      <c r="Q704" s="13">
        <f t="shared" si="1407"/>
        <v>0</v>
      </c>
      <c r="R704" s="13">
        <f t="shared" si="1407"/>
        <v>0</v>
      </c>
      <c r="S704" s="13">
        <f t="shared" si="1407"/>
        <v>0</v>
      </c>
      <c r="T704" s="13">
        <f t="shared" si="1407"/>
        <v>0</v>
      </c>
      <c r="U704" s="13">
        <f t="shared" si="1407"/>
        <v>0</v>
      </c>
      <c r="V704" s="13">
        <f t="shared" si="1407"/>
        <v>0</v>
      </c>
      <c r="W704" s="13">
        <f t="shared" si="1407"/>
        <v>0</v>
      </c>
      <c r="X704" s="13">
        <f t="shared" si="1407"/>
        <v>0</v>
      </c>
      <c r="Y704" s="13">
        <f t="shared" si="1407"/>
        <v>0</v>
      </c>
      <c r="Z704" s="13">
        <f t="shared" si="1407"/>
        <v>0</v>
      </c>
      <c r="AA704" s="13">
        <f t="shared" si="1407"/>
        <v>0</v>
      </c>
      <c r="AB704" s="13">
        <f t="shared" ref="AB704:AP704" si="1408">IFERROR(VALUE(RIGHT(LEFT($J704,FIND(AB$1,$J704,IF(M704=0,1,FIND(AB$1,$J704,1)+1))+LEN(AB$1)),1)),0)</f>
        <v>0</v>
      </c>
      <c r="AC704" s="13">
        <f t="shared" si="1408"/>
        <v>1</v>
      </c>
      <c r="AD704" s="13">
        <f t="shared" si="1408"/>
        <v>0</v>
      </c>
      <c r="AE704" s="13">
        <f t="shared" si="1408"/>
        <v>0</v>
      </c>
      <c r="AF704" s="13">
        <f t="shared" si="1408"/>
        <v>0</v>
      </c>
      <c r="AG704" s="13">
        <f t="shared" si="1408"/>
        <v>0</v>
      </c>
      <c r="AH704" s="13">
        <f t="shared" si="1408"/>
        <v>0</v>
      </c>
      <c r="AI704" s="13">
        <f t="shared" si="1408"/>
        <v>0</v>
      </c>
      <c r="AJ704" s="13">
        <f t="shared" si="1408"/>
        <v>1</v>
      </c>
      <c r="AK704" s="13">
        <f t="shared" si="1408"/>
        <v>0</v>
      </c>
      <c r="AL704" s="13">
        <f t="shared" si="1408"/>
        <v>0</v>
      </c>
      <c r="AM704" s="13">
        <f t="shared" si="1408"/>
        <v>0</v>
      </c>
      <c r="AN704" s="13">
        <f t="shared" si="1408"/>
        <v>0</v>
      </c>
      <c r="AO704" s="13">
        <f t="shared" si="1408"/>
        <v>0</v>
      </c>
      <c r="AP704" s="13">
        <f t="shared" si="1408"/>
        <v>0</v>
      </c>
      <c r="AQ704" s="13" t="s">
        <v>4470</v>
      </c>
      <c r="AR704" s="13"/>
      <c r="AS704" s="13" t="s">
        <v>4471</v>
      </c>
      <c r="AT704" s="13"/>
      <c r="AU704" s="13"/>
      <c r="AV704" s="13"/>
      <c r="AW704" s="13">
        <v>0.0</v>
      </c>
      <c r="AX704" s="13">
        <v>11.0</v>
      </c>
      <c r="AY704" s="13">
        <v>0.0</v>
      </c>
      <c r="AZ704" s="13"/>
      <c r="BA704" s="13"/>
      <c r="BB704" s="13"/>
      <c r="BC704" s="13"/>
      <c r="BD704" s="13"/>
      <c r="BE704" s="13"/>
      <c r="BF704" s="13"/>
      <c r="BG704" s="13"/>
      <c r="BH704" s="13" t="s">
        <v>79</v>
      </c>
      <c r="BI704" s="13" t="b">
        <v>0</v>
      </c>
      <c r="BJ704" s="13">
        <v>0.0</v>
      </c>
      <c r="BK704" s="13">
        <v>0.0</v>
      </c>
    </row>
    <row r="705" ht="14.25" customHeight="1">
      <c r="A705" s="13">
        <v>703.0</v>
      </c>
      <c r="B705" s="13" t="s">
        <v>47</v>
      </c>
      <c r="C705" s="13">
        <v>1.0</v>
      </c>
      <c r="D705" s="14">
        <v>0.0</v>
      </c>
      <c r="E705" s="13" t="s">
        <v>4472</v>
      </c>
      <c r="F705" s="15" t="s">
        <v>1493</v>
      </c>
      <c r="G705" s="16" t="s">
        <v>4473</v>
      </c>
      <c r="H705" s="13">
        <v>11.0</v>
      </c>
      <c r="I705" s="13">
        <v>1.1</v>
      </c>
      <c r="J705" s="13" t="s">
        <v>507</v>
      </c>
      <c r="K705" s="13">
        <f t="shared" si="3"/>
        <v>0</v>
      </c>
      <c r="L705" s="13">
        <f t="shared" si="4"/>
        <v>2</v>
      </c>
      <c r="M705" s="13">
        <f t="shared" ref="M705:AA705" si="1409">IFERROR(VALUE(RIGHT(LEFT($J705,FIND(M$1,$J705,1)+LEN(M$1)),1)),0)</f>
        <v>0</v>
      </c>
      <c r="N705" s="13">
        <f t="shared" si="1409"/>
        <v>0</v>
      </c>
      <c r="O705" s="13">
        <f t="shared" si="1409"/>
        <v>0</v>
      </c>
      <c r="P705" s="13">
        <f t="shared" si="1409"/>
        <v>0</v>
      </c>
      <c r="Q705" s="13">
        <f t="shared" si="1409"/>
        <v>0</v>
      </c>
      <c r="R705" s="13">
        <f t="shared" si="1409"/>
        <v>0</v>
      </c>
      <c r="S705" s="13">
        <f t="shared" si="1409"/>
        <v>0</v>
      </c>
      <c r="T705" s="13">
        <f t="shared" si="1409"/>
        <v>0</v>
      </c>
      <c r="U705" s="13">
        <f t="shared" si="1409"/>
        <v>0</v>
      </c>
      <c r="V705" s="13">
        <f t="shared" si="1409"/>
        <v>0</v>
      </c>
      <c r="W705" s="13">
        <f t="shared" si="1409"/>
        <v>0</v>
      </c>
      <c r="X705" s="13">
        <f t="shared" si="1409"/>
        <v>0</v>
      </c>
      <c r="Y705" s="13">
        <f t="shared" si="1409"/>
        <v>0</v>
      </c>
      <c r="Z705" s="13">
        <f t="shared" si="1409"/>
        <v>0</v>
      </c>
      <c r="AA705" s="13">
        <f t="shared" si="1409"/>
        <v>0</v>
      </c>
      <c r="AB705" s="13">
        <f t="shared" ref="AB705:AP705" si="1410">IFERROR(VALUE(RIGHT(LEFT($J705,FIND(AB$1,$J705,IF(M705=0,1,FIND(AB$1,$J705,1)+1))+LEN(AB$1)),1)),0)</f>
        <v>0</v>
      </c>
      <c r="AC705" s="13">
        <f t="shared" si="1410"/>
        <v>0</v>
      </c>
      <c r="AD705" s="13">
        <f t="shared" si="1410"/>
        <v>1</v>
      </c>
      <c r="AE705" s="13">
        <f t="shared" si="1410"/>
        <v>0</v>
      </c>
      <c r="AF705" s="13">
        <f t="shared" si="1410"/>
        <v>0</v>
      </c>
      <c r="AG705" s="13">
        <f t="shared" si="1410"/>
        <v>0</v>
      </c>
      <c r="AH705" s="13">
        <f t="shared" si="1410"/>
        <v>0</v>
      </c>
      <c r="AI705" s="13">
        <f t="shared" si="1410"/>
        <v>0</v>
      </c>
      <c r="AJ705" s="13">
        <f t="shared" si="1410"/>
        <v>0</v>
      </c>
      <c r="AK705" s="13">
        <f t="shared" si="1410"/>
        <v>1</v>
      </c>
      <c r="AL705" s="13">
        <f t="shared" si="1410"/>
        <v>0</v>
      </c>
      <c r="AM705" s="13">
        <f t="shared" si="1410"/>
        <v>0</v>
      </c>
      <c r="AN705" s="13">
        <f t="shared" si="1410"/>
        <v>0</v>
      </c>
      <c r="AO705" s="13">
        <f t="shared" si="1410"/>
        <v>0</v>
      </c>
      <c r="AP705" s="13">
        <f t="shared" si="1410"/>
        <v>0</v>
      </c>
      <c r="AQ705" s="13"/>
      <c r="AR705" s="13" t="s">
        <v>4474</v>
      </c>
      <c r="AS705" s="13" t="s">
        <v>4475</v>
      </c>
      <c r="AT705" s="13" t="s">
        <v>129</v>
      </c>
      <c r="AU705" s="13" t="s">
        <v>143</v>
      </c>
      <c r="AV705" s="13" t="s">
        <v>4476</v>
      </c>
      <c r="AW705" s="13">
        <v>9.0</v>
      </c>
      <c r="AX705" s="13">
        <v>11.0</v>
      </c>
      <c r="AY705" s="13">
        <v>0.0</v>
      </c>
      <c r="AZ705" s="13" t="s">
        <v>2203</v>
      </c>
      <c r="BA705" s="13" t="s">
        <v>594</v>
      </c>
      <c r="BB705" s="13"/>
      <c r="BC705" s="13"/>
      <c r="BD705" s="13" t="s">
        <v>134</v>
      </c>
      <c r="BE705" s="13"/>
      <c r="BF705" s="13" t="s">
        <v>4477</v>
      </c>
      <c r="BG705" s="13" t="s">
        <v>136</v>
      </c>
      <c r="BH705" s="13" t="s">
        <v>79</v>
      </c>
      <c r="BI705" s="13" t="b">
        <v>0</v>
      </c>
      <c r="BJ705" s="13">
        <v>0.0</v>
      </c>
      <c r="BK705" s="13">
        <v>0.0</v>
      </c>
    </row>
    <row r="706" ht="14.25" customHeight="1">
      <c r="A706" s="13">
        <v>704.0</v>
      </c>
      <c r="B706" s="13" t="s">
        <v>47</v>
      </c>
      <c r="C706" s="13">
        <v>1.0</v>
      </c>
      <c r="D706" s="14">
        <v>0.0</v>
      </c>
      <c r="E706" s="13" t="s">
        <v>4478</v>
      </c>
      <c r="F706" s="15" t="s">
        <v>1493</v>
      </c>
      <c r="G706" s="16" t="s">
        <v>4479</v>
      </c>
      <c r="H706" s="13">
        <v>6.0</v>
      </c>
      <c r="I706" s="13">
        <v>1.0</v>
      </c>
      <c r="J706" s="13" t="s">
        <v>478</v>
      </c>
      <c r="K706" s="13">
        <f t="shared" si="3"/>
        <v>0</v>
      </c>
      <c r="L706" s="13">
        <f t="shared" si="4"/>
        <v>2</v>
      </c>
      <c r="M706" s="13">
        <f t="shared" ref="M706:AA706" si="1411">IFERROR(VALUE(RIGHT(LEFT($J706,FIND(M$1,$J706,1)+LEN(M$1)),1)),0)</f>
        <v>0</v>
      </c>
      <c r="N706" s="13">
        <f t="shared" si="1411"/>
        <v>0</v>
      </c>
      <c r="O706" s="13">
        <f t="shared" si="1411"/>
        <v>0</v>
      </c>
      <c r="P706" s="13">
        <f t="shared" si="1411"/>
        <v>0</v>
      </c>
      <c r="Q706" s="13">
        <f t="shared" si="1411"/>
        <v>0</v>
      </c>
      <c r="R706" s="13">
        <f t="shared" si="1411"/>
        <v>0</v>
      </c>
      <c r="S706" s="13">
        <f t="shared" si="1411"/>
        <v>0</v>
      </c>
      <c r="T706" s="13">
        <f t="shared" si="1411"/>
        <v>0</v>
      </c>
      <c r="U706" s="13">
        <f t="shared" si="1411"/>
        <v>0</v>
      </c>
      <c r="V706" s="13">
        <f t="shared" si="1411"/>
        <v>0</v>
      </c>
      <c r="W706" s="13">
        <f t="shared" si="1411"/>
        <v>0</v>
      </c>
      <c r="X706" s="13">
        <f t="shared" si="1411"/>
        <v>0</v>
      </c>
      <c r="Y706" s="13">
        <f t="shared" si="1411"/>
        <v>0</v>
      </c>
      <c r="Z706" s="13">
        <f t="shared" si="1411"/>
        <v>0</v>
      </c>
      <c r="AA706" s="13">
        <f t="shared" si="1411"/>
        <v>0</v>
      </c>
      <c r="AB706" s="13">
        <f t="shared" ref="AB706:AP706" si="1412">IFERROR(VALUE(RIGHT(LEFT($J706,FIND(AB$1,$J706,IF(M706=0,1,FIND(AB$1,$J706,1)+1))+LEN(AB$1)),1)),0)</f>
        <v>0</v>
      </c>
      <c r="AC706" s="13">
        <f t="shared" si="1412"/>
        <v>0</v>
      </c>
      <c r="AD706" s="13">
        <f t="shared" si="1412"/>
        <v>0</v>
      </c>
      <c r="AE706" s="13">
        <f t="shared" si="1412"/>
        <v>0</v>
      </c>
      <c r="AF706" s="13">
        <f t="shared" si="1412"/>
        <v>0</v>
      </c>
      <c r="AG706" s="13">
        <f t="shared" si="1412"/>
        <v>1</v>
      </c>
      <c r="AH706" s="13">
        <f t="shared" si="1412"/>
        <v>0</v>
      </c>
      <c r="AI706" s="13">
        <f t="shared" si="1412"/>
        <v>0</v>
      </c>
      <c r="AJ706" s="13">
        <f t="shared" si="1412"/>
        <v>0</v>
      </c>
      <c r="AK706" s="13">
        <f t="shared" si="1412"/>
        <v>1</v>
      </c>
      <c r="AL706" s="13">
        <f t="shared" si="1412"/>
        <v>0</v>
      </c>
      <c r="AM706" s="13">
        <f t="shared" si="1412"/>
        <v>0</v>
      </c>
      <c r="AN706" s="13">
        <f t="shared" si="1412"/>
        <v>0</v>
      </c>
      <c r="AO706" s="13">
        <f t="shared" si="1412"/>
        <v>0</v>
      </c>
      <c r="AP706" s="13">
        <f t="shared" si="1412"/>
        <v>0</v>
      </c>
      <c r="AQ706" s="13"/>
      <c r="AR706" s="13" t="s">
        <v>3625</v>
      </c>
      <c r="AS706" s="13" t="s">
        <v>3582</v>
      </c>
      <c r="AT706" s="13" t="s">
        <v>573</v>
      </c>
      <c r="AU706" s="13" t="s">
        <v>130</v>
      </c>
      <c r="AV706" s="13" t="s">
        <v>4480</v>
      </c>
      <c r="AW706" s="13">
        <v>7.0</v>
      </c>
      <c r="AX706" s="13">
        <v>11.0</v>
      </c>
      <c r="AY706" s="13">
        <v>0.0</v>
      </c>
      <c r="AZ706" s="13" t="s">
        <v>4248</v>
      </c>
      <c r="BA706" s="13" t="s">
        <v>4248</v>
      </c>
      <c r="BB706" s="13"/>
      <c r="BC706" s="13"/>
      <c r="BD706" s="13" t="s">
        <v>1113</v>
      </c>
      <c r="BE706" s="13"/>
      <c r="BF706" s="13" t="s">
        <v>251</v>
      </c>
      <c r="BG706" s="13" t="s">
        <v>136</v>
      </c>
      <c r="BH706" s="13" t="s">
        <v>79</v>
      </c>
      <c r="BI706" s="13" t="b">
        <v>0</v>
      </c>
      <c r="BJ706" s="13">
        <v>0.0</v>
      </c>
      <c r="BK706" s="13">
        <v>0.0</v>
      </c>
    </row>
    <row r="707" ht="14.25" customHeight="1">
      <c r="A707" s="13">
        <v>705.0</v>
      </c>
      <c r="B707" s="13" t="s">
        <v>48</v>
      </c>
      <c r="C707" s="13">
        <v>1.0</v>
      </c>
      <c r="D707" s="14">
        <v>0.0</v>
      </c>
      <c r="E707" s="13" t="s">
        <v>4481</v>
      </c>
      <c r="F707" s="15" t="s">
        <v>1493</v>
      </c>
      <c r="G707" s="16" t="s">
        <v>4482</v>
      </c>
      <c r="H707" s="13">
        <v>10.0</v>
      </c>
      <c r="I707" s="13">
        <v>0.9</v>
      </c>
      <c r="J707" s="13" t="s">
        <v>591</v>
      </c>
      <c r="K707" s="13">
        <f t="shared" si="3"/>
        <v>0</v>
      </c>
      <c r="L707" s="13">
        <f t="shared" si="4"/>
        <v>2</v>
      </c>
      <c r="M707" s="13">
        <f t="shared" ref="M707:AA707" si="1413">IFERROR(VALUE(RIGHT(LEFT($J707,FIND(M$1,$J707,1)+LEN(M$1)),1)),0)</f>
        <v>0</v>
      </c>
      <c r="N707" s="13">
        <f t="shared" si="1413"/>
        <v>0</v>
      </c>
      <c r="O707" s="13">
        <f t="shared" si="1413"/>
        <v>0</v>
      </c>
      <c r="P707" s="13">
        <f t="shared" si="1413"/>
        <v>0</v>
      </c>
      <c r="Q707" s="13">
        <f t="shared" si="1413"/>
        <v>0</v>
      </c>
      <c r="R707" s="13">
        <f t="shared" si="1413"/>
        <v>0</v>
      </c>
      <c r="S707" s="13">
        <f t="shared" si="1413"/>
        <v>0</v>
      </c>
      <c r="T707" s="13">
        <f t="shared" si="1413"/>
        <v>0</v>
      </c>
      <c r="U707" s="13">
        <f t="shared" si="1413"/>
        <v>0</v>
      </c>
      <c r="V707" s="13">
        <f t="shared" si="1413"/>
        <v>0</v>
      </c>
      <c r="W707" s="13">
        <f t="shared" si="1413"/>
        <v>0</v>
      </c>
      <c r="X707" s="13">
        <f t="shared" si="1413"/>
        <v>0</v>
      </c>
      <c r="Y707" s="13">
        <f t="shared" si="1413"/>
        <v>0</v>
      </c>
      <c r="Z707" s="13">
        <f t="shared" si="1413"/>
        <v>0</v>
      </c>
      <c r="AA707" s="13">
        <f t="shared" si="1413"/>
        <v>0</v>
      </c>
      <c r="AB707" s="13">
        <f t="shared" ref="AB707:AP707" si="1414">IFERROR(VALUE(RIGHT(LEFT($J707,FIND(AB$1,$J707,IF(M707=0,1,FIND(AB$1,$J707,1)+1))+LEN(AB$1)),1)),0)</f>
        <v>0</v>
      </c>
      <c r="AC707" s="13">
        <f t="shared" si="1414"/>
        <v>1</v>
      </c>
      <c r="AD707" s="13">
        <f t="shared" si="1414"/>
        <v>0</v>
      </c>
      <c r="AE707" s="13">
        <f t="shared" si="1414"/>
        <v>0</v>
      </c>
      <c r="AF707" s="13">
        <f t="shared" si="1414"/>
        <v>0</v>
      </c>
      <c r="AG707" s="13">
        <f t="shared" si="1414"/>
        <v>0</v>
      </c>
      <c r="AH707" s="13">
        <f t="shared" si="1414"/>
        <v>0</v>
      </c>
      <c r="AI707" s="13">
        <f t="shared" si="1414"/>
        <v>0</v>
      </c>
      <c r="AJ707" s="13">
        <f t="shared" si="1414"/>
        <v>0</v>
      </c>
      <c r="AK707" s="13">
        <f t="shared" si="1414"/>
        <v>0</v>
      </c>
      <c r="AL707" s="13">
        <f t="shared" si="1414"/>
        <v>1</v>
      </c>
      <c r="AM707" s="13">
        <f t="shared" si="1414"/>
        <v>0</v>
      </c>
      <c r="AN707" s="13">
        <f t="shared" si="1414"/>
        <v>0</v>
      </c>
      <c r="AO707" s="13">
        <f t="shared" si="1414"/>
        <v>0</v>
      </c>
      <c r="AP707" s="13">
        <f t="shared" si="1414"/>
        <v>0</v>
      </c>
      <c r="AQ707" s="13"/>
      <c r="AR707" s="13" t="s">
        <v>1171</v>
      </c>
      <c r="AS707" s="13" t="s">
        <v>4483</v>
      </c>
      <c r="AT707" s="13" t="s">
        <v>175</v>
      </c>
      <c r="AU707" s="13" t="s">
        <v>143</v>
      </c>
      <c r="AV707" s="13" t="s">
        <v>1434</v>
      </c>
      <c r="AW707" s="13">
        <v>8.0</v>
      </c>
      <c r="AX707" s="13">
        <v>11.0</v>
      </c>
      <c r="AY707" s="13">
        <v>0.0</v>
      </c>
      <c r="AZ707" s="13" t="s">
        <v>537</v>
      </c>
      <c r="BA707" s="13" t="s">
        <v>280</v>
      </c>
      <c r="BB707" s="13"/>
      <c r="BC707" s="13"/>
      <c r="BD707" s="13" t="s">
        <v>179</v>
      </c>
      <c r="BE707" s="13"/>
      <c r="BF707" s="13" t="s">
        <v>575</v>
      </c>
      <c r="BG707" s="13" t="s">
        <v>169</v>
      </c>
      <c r="BH707" s="13" t="s">
        <v>79</v>
      </c>
      <c r="BI707" s="13" t="b">
        <v>0</v>
      </c>
      <c r="BJ707" s="13">
        <v>0.0</v>
      </c>
      <c r="BK707" s="13">
        <v>0.0</v>
      </c>
    </row>
    <row r="708" ht="14.25" customHeight="1">
      <c r="A708" s="13">
        <v>706.0</v>
      </c>
      <c r="B708" s="13" t="s">
        <v>48</v>
      </c>
      <c r="C708" s="13">
        <v>1.0</v>
      </c>
      <c r="D708" s="14">
        <v>0.0</v>
      </c>
      <c r="E708" s="13" t="s">
        <v>4484</v>
      </c>
      <c r="F708" s="15" t="s">
        <v>1493</v>
      </c>
      <c r="G708" s="16" t="s">
        <v>4485</v>
      </c>
      <c r="H708" s="13">
        <v>13.0</v>
      </c>
      <c r="I708" s="13">
        <v>1.0</v>
      </c>
      <c r="J708" s="13" t="s">
        <v>570</v>
      </c>
      <c r="K708" s="13">
        <f t="shared" si="3"/>
        <v>0</v>
      </c>
      <c r="L708" s="13">
        <f t="shared" si="4"/>
        <v>2</v>
      </c>
      <c r="M708" s="13">
        <f t="shared" ref="M708:AA708" si="1415">IFERROR(VALUE(RIGHT(LEFT($J708,FIND(M$1,$J708,1)+LEN(M$1)),1)),0)</f>
        <v>0</v>
      </c>
      <c r="N708" s="13">
        <f t="shared" si="1415"/>
        <v>0</v>
      </c>
      <c r="O708" s="13">
        <f t="shared" si="1415"/>
        <v>0</v>
      </c>
      <c r="P708" s="13">
        <f t="shared" si="1415"/>
        <v>0</v>
      </c>
      <c r="Q708" s="13">
        <f t="shared" si="1415"/>
        <v>0</v>
      </c>
      <c r="R708" s="13">
        <f t="shared" si="1415"/>
        <v>0</v>
      </c>
      <c r="S708" s="13">
        <f t="shared" si="1415"/>
        <v>0</v>
      </c>
      <c r="T708" s="13">
        <f t="shared" si="1415"/>
        <v>0</v>
      </c>
      <c r="U708" s="13">
        <f t="shared" si="1415"/>
        <v>0</v>
      </c>
      <c r="V708" s="13">
        <f t="shared" si="1415"/>
        <v>0</v>
      </c>
      <c r="W708" s="13">
        <f t="shared" si="1415"/>
        <v>0</v>
      </c>
      <c r="X708" s="13">
        <f t="shared" si="1415"/>
        <v>0</v>
      </c>
      <c r="Y708" s="13">
        <f t="shared" si="1415"/>
        <v>0</v>
      </c>
      <c r="Z708" s="13">
        <f t="shared" si="1415"/>
        <v>0</v>
      </c>
      <c r="AA708" s="13">
        <f t="shared" si="1415"/>
        <v>0</v>
      </c>
      <c r="AB708" s="13">
        <f t="shared" ref="AB708:AP708" si="1416">IFERROR(VALUE(RIGHT(LEFT($J708,FIND(AB$1,$J708,IF(M708=0,1,FIND(AB$1,$J708,1)+1))+LEN(AB$1)),1)),0)</f>
        <v>0</v>
      </c>
      <c r="AC708" s="13">
        <f t="shared" si="1416"/>
        <v>0</v>
      </c>
      <c r="AD708" s="13">
        <f t="shared" si="1416"/>
        <v>0</v>
      </c>
      <c r="AE708" s="13">
        <f t="shared" si="1416"/>
        <v>0</v>
      </c>
      <c r="AF708" s="13">
        <f t="shared" si="1416"/>
        <v>0</v>
      </c>
      <c r="AG708" s="13">
        <f t="shared" si="1416"/>
        <v>1</v>
      </c>
      <c r="AH708" s="13">
        <f t="shared" si="1416"/>
        <v>0</v>
      </c>
      <c r="AI708" s="13">
        <f t="shared" si="1416"/>
        <v>0</v>
      </c>
      <c r="AJ708" s="13">
        <f t="shared" si="1416"/>
        <v>0</v>
      </c>
      <c r="AK708" s="13">
        <f t="shared" si="1416"/>
        <v>0</v>
      </c>
      <c r="AL708" s="13">
        <f t="shared" si="1416"/>
        <v>1</v>
      </c>
      <c r="AM708" s="13">
        <f t="shared" si="1416"/>
        <v>0</v>
      </c>
      <c r="AN708" s="13">
        <f t="shared" si="1416"/>
        <v>0</v>
      </c>
      <c r="AO708" s="13">
        <f t="shared" si="1416"/>
        <v>0</v>
      </c>
      <c r="AP708" s="13">
        <f t="shared" si="1416"/>
        <v>0</v>
      </c>
      <c r="AQ708" s="13"/>
      <c r="AR708" s="13" t="s">
        <v>4486</v>
      </c>
      <c r="AS708" s="13" t="s">
        <v>4487</v>
      </c>
      <c r="AT708" s="13" t="s">
        <v>162</v>
      </c>
      <c r="AU708" s="13" t="s">
        <v>236</v>
      </c>
      <c r="AV708" s="13" t="s">
        <v>4488</v>
      </c>
      <c r="AW708" s="13">
        <v>11.0</v>
      </c>
      <c r="AX708" s="13">
        <v>11.0</v>
      </c>
      <c r="AY708" s="13">
        <v>0.0</v>
      </c>
      <c r="AZ708" s="13" t="s">
        <v>238</v>
      </c>
      <c r="BA708" s="13" t="s">
        <v>483</v>
      </c>
      <c r="BB708" s="13"/>
      <c r="BC708" s="13"/>
      <c r="BD708" s="13" t="s">
        <v>167</v>
      </c>
      <c r="BE708" s="13"/>
      <c r="BF708" s="13" t="s">
        <v>4489</v>
      </c>
      <c r="BG708" s="13" t="s">
        <v>169</v>
      </c>
      <c r="BH708" s="13" t="s">
        <v>79</v>
      </c>
      <c r="BI708" s="13" t="b">
        <v>0</v>
      </c>
      <c r="BJ708" s="13">
        <v>0.0</v>
      </c>
      <c r="BK708" s="13">
        <v>0.0</v>
      </c>
    </row>
    <row r="709" ht="14.25" customHeight="1">
      <c r="A709" s="13">
        <v>707.0</v>
      </c>
      <c r="B709" s="13" t="s">
        <v>44</v>
      </c>
      <c r="C709" s="13">
        <v>2.0</v>
      </c>
      <c r="D709" s="14">
        <v>0.0</v>
      </c>
      <c r="E709" s="13" t="s">
        <v>4490</v>
      </c>
      <c r="F709" s="15" t="s">
        <v>1493</v>
      </c>
      <c r="G709" s="16" t="s">
        <v>4491</v>
      </c>
      <c r="H709" s="13"/>
      <c r="I709" s="13">
        <v>1.1</v>
      </c>
      <c r="J709" s="13" t="s">
        <v>954</v>
      </c>
      <c r="K709" s="13">
        <f t="shared" si="3"/>
        <v>0</v>
      </c>
      <c r="L709" s="13">
        <f t="shared" si="4"/>
        <v>3</v>
      </c>
      <c r="M709" s="13">
        <f t="shared" ref="M709:AA709" si="1417">IFERROR(VALUE(RIGHT(LEFT($J709,FIND(M$1,$J709,1)+LEN(M$1)),1)),0)</f>
        <v>0</v>
      </c>
      <c r="N709" s="13">
        <f t="shared" si="1417"/>
        <v>0</v>
      </c>
      <c r="O709" s="13">
        <f t="shared" si="1417"/>
        <v>0</v>
      </c>
      <c r="P709" s="13">
        <f t="shared" si="1417"/>
        <v>0</v>
      </c>
      <c r="Q709" s="13">
        <f t="shared" si="1417"/>
        <v>0</v>
      </c>
      <c r="R709" s="13">
        <f t="shared" si="1417"/>
        <v>0</v>
      </c>
      <c r="S709" s="13">
        <f t="shared" si="1417"/>
        <v>0</v>
      </c>
      <c r="T709" s="13">
        <f t="shared" si="1417"/>
        <v>0</v>
      </c>
      <c r="U709" s="13">
        <f t="shared" si="1417"/>
        <v>0</v>
      </c>
      <c r="V709" s="13">
        <f t="shared" si="1417"/>
        <v>0</v>
      </c>
      <c r="W709" s="13">
        <f t="shared" si="1417"/>
        <v>0</v>
      </c>
      <c r="X709" s="13">
        <f t="shared" si="1417"/>
        <v>0</v>
      </c>
      <c r="Y709" s="13">
        <f t="shared" si="1417"/>
        <v>0</v>
      </c>
      <c r="Z709" s="13">
        <f t="shared" si="1417"/>
        <v>0</v>
      </c>
      <c r="AA709" s="13">
        <f t="shared" si="1417"/>
        <v>0</v>
      </c>
      <c r="AB709" s="13">
        <f t="shared" ref="AB709:AP709" si="1418">IFERROR(VALUE(RIGHT(LEFT($J709,FIND(AB$1,$J709,IF(M709=0,1,FIND(AB$1,$J709,1)+1))+LEN(AB$1)),1)),0)</f>
        <v>0</v>
      </c>
      <c r="AC709" s="13">
        <f t="shared" si="1418"/>
        <v>0</v>
      </c>
      <c r="AD709" s="13">
        <f t="shared" si="1418"/>
        <v>0</v>
      </c>
      <c r="AE709" s="13">
        <f t="shared" si="1418"/>
        <v>0</v>
      </c>
      <c r="AF709" s="13">
        <f t="shared" si="1418"/>
        <v>0</v>
      </c>
      <c r="AG709" s="13">
        <f t="shared" si="1418"/>
        <v>1</v>
      </c>
      <c r="AH709" s="13">
        <f t="shared" si="1418"/>
        <v>2</v>
      </c>
      <c r="AI709" s="13">
        <f t="shared" si="1418"/>
        <v>0</v>
      </c>
      <c r="AJ709" s="13">
        <f t="shared" si="1418"/>
        <v>0</v>
      </c>
      <c r="AK709" s="13">
        <f t="shared" si="1418"/>
        <v>0</v>
      </c>
      <c r="AL709" s="13">
        <f t="shared" si="1418"/>
        <v>0</v>
      </c>
      <c r="AM709" s="13">
        <f t="shared" si="1418"/>
        <v>0</v>
      </c>
      <c r="AN709" s="13">
        <f t="shared" si="1418"/>
        <v>0</v>
      </c>
      <c r="AO709" s="13">
        <f t="shared" si="1418"/>
        <v>0</v>
      </c>
      <c r="AP709" s="13">
        <f t="shared" si="1418"/>
        <v>0</v>
      </c>
      <c r="AQ709" s="13" t="s">
        <v>4492</v>
      </c>
      <c r="AR709" s="13"/>
      <c r="AS709" s="13" t="s">
        <v>4493</v>
      </c>
      <c r="AT709" s="13"/>
      <c r="AU709" s="13"/>
      <c r="AV709" s="13"/>
      <c r="AW709" s="13">
        <v>0.0</v>
      </c>
      <c r="AX709" s="13">
        <v>11.0</v>
      </c>
      <c r="AY709" s="13">
        <v>0.0</v>
      </c>
      <c r="AZ709" s="13"/>
      <c r="BA709" s="13"/>
      <c r="BB709" s="13"/>
      <c r="BC709" s="13"/>
      <c r="BD709" s="13"/>
      <c r="BE709" s="13"/>
      <c r="BF709" s="13"/>
      <c r="BG709" s="13"/>
      <c r="BH709" s="13" t="s">
        <v>79</v>
      </c>
      <c r="BI709" s="13" t="b">
        <v>0</v>
      </c>
      <c r="BJ709" s="13">
        <v>0.0</v>
      </c>
      <c r="BK709" s="13">
        <v>0.0</v>
      </c>
    </row>
    <row r="710" ht="14.25" customHeight="1">
      <c r="A710" s="13">
        <v>708.0</v>
      </c>
      <c r="B710" s="13" t="s">
        <v>44</v>
      </c>
      <c r="C710" s="13">
        <v>2.0</v>
      </c>
      <c r="D710" s="14">
        <v>0.0</v>
      </c>
      <c r="E710" s="13" t="s">
        <v>4494</v>
      </c>
      <c r="F710" s="15"/>
      <c r="G710" s="16" t="s">
        <v>4495</v>
      </c>
      <c r="H710" s="13"/>
      <c r="I710" s="13">
        <v>1.0</v>
      </c>
      <c r="J710" s="13" t="s">
        <v>3261</v>
      </c>
      <c r="K710" s="13">
        <f t="shared" si="3"/>
        <v>2</v>
      </c>
      <c r="L710" s="13">
        <f t="shared" si="4"/>
        <v>0</v>
      </c>
      <c r="M710" s="13">
        <f t="shared" ref="M710:AA710" si="1419">IFERROR(VALUE(RIGHT(LEFT($J710,FIND(M$1,$J710,1)+LEN(M$1)),1)),0)</f>
        <v>0</v>
      </c>
      <c r="N710" s="13">
        <f t="shared" si="1419"/>
        <v>0</v>
      </c>
      <c r="O710" s="13">
        <f t="shared" si="1419"/>
        <v>0</v>
      </c>
      <c r="P710" s="13">
        <f t="shared" si="1419"/>
        <v>0</v>
      </c>
      <c r="Q710" s="13">
        <f t="shared" si="1419"/>
        <v>0</v>
      </c>
      <c r="R710" s="13">
        <f t="shared" si="1419"/>
        <v>1</v>
      </c>
      <c r="S710" s="13">
        <f t="shared" si="1419"/>
        <v>1</v>
      </c>
      <c r="T710" s="13">
        <f t="shared" si="1419"/>
        <v>0</v>
      </c>
      <c r="U710" s="13">
        <f t="shared" si="1419"/>
        <v>0</v>
      </c>
      <c r="V710" s="13">
        <f t="shared" si="1419"/>
        <v>0</v>
      </c>
      <c r="W710" s="13">
        <f t="shared" si="1419"/>
        <v>0</v>
      </c>
      <c r="X710" s="13">
        <f t="shared" si="1419"/>
        <v>0</v>
      </c>
      <c r="Y710" s="13">
        <f t="shared" si="1419"/>
        <v>0</v>
      </c>
      <c r="Z710" s="13">
        <f t="shared" si="1419"/>
        <v>0</v>
      </c>
      <c r="AA710" s="13">
        <f t="shared" si="1419"/>
        <v>0</v>
      </c>
      <c r="AB710" s="13">
        <f t="shared" ref="AB710:AP710" si="1420">IFERROR(VALUE(RIGHT(LEFT($J710,FIND(AB$1,$J710,IF(M710=0,1,FIND(AB$1,$J710,1)+1))+LEN(AB$1)),1)),0)</f>
        <v>0</v>
      </c>
      <c r="AC710" s="13">
        <f t="shared" si="1420"/>
        <v>0</v>
      </c>
      <c r="AD710" s="13">
        <f t="shared" si="1420"/>
        <v>0</v>
      </c>
      <c r="AE710" s="13">
        <f t="shared" si="1420"/>
        <v>0</v>
      </c>
      <c r="AF710" s="13">
        <f t="shared" si="1420"/>
        <v>0</v>
      </c>
      <c r="AG710" s="13">
        <f t="shared" si="1420"/>
        <v>0</v>
      </c>
      <c r="AH710" s="13">
        <f t="shared" si="1420"/>
        <v>0</v>
      </c>
      <c r="AI710" s="13">
        <f t="shared" si="1420"/>
        <v>0</v>
      </c>
      <c r="AJ710" s="13">
        <f t="shared" si="1420"/>
        <v>0</v>
      </c>
      <c r="AK710" s="13">
        <f t="shared" si="1420"/>
        <v>0</v>
      </c>
      <c r="AL710" s="13">
        <f t="shared" si="1420"/>
        <v>0</v>
      </c>
      <c r="AM710" s="13">
        <f t="shared" si="1420"/>
        <v>0</v>
      </c>
      <c r="AN710" s="13">
        <f t="shared" si="1420"/>
        <v>0</v>
      </c>
      <c r="AO710" s="13">
        <f t="shared" si="1420"/>
        <v>0</v>
      </c>
      <c r="AP710" s="13">
        <f t="shared" si="1420"/>
        <v>0</v>
      </c>
      <c r="AQ710" s="13" t="s">
        <v>4496</v>
      </c>
      <c r="AR710" s="13"/>
      <c r="AS710" s="13" t="s">
        <v>4497</v>
      </c>
      <c r="AT710" s="13"/>
      <c r="AU710" s="13"/>
      <c r="AV710" s="13"/>
      <c r="AW710" s="13">
        <v>0.0</v>
      </c>
      <c r="AX710" s="13">
        <v>11.0</v>
      </c>
      <c r="AY710" s="13">
        <v>0.0</v>
      </c>
      <c r="AZ710" s="13"/>
      <c r="BA710" s="13"/>
      <c r="BB710" s="13"/>
      <c r="BC710" s="13"/>
      <c r="BD710" s="13"/>
      <c r="BE710" s="13"/>
      <c r="BF710" s="13"/>
      <c r="BG710" s="13"/>
      <c r="BH710" s="13" t="s">
        <v>79</v>
      </c>
      <c r="BI710" s="13" t="b">
        <v>0</v>
      </c>
      <c r="BJ710" s="13">
        <v>0.0</v>
      </c>
      <c r="BK710" s="13">
        <v>1.0</v>
      </c>
    </row>
    <row r="711" ht="14.25" customHeight="1">
      <c r="A711" s="13">
        <v>709.0</v>
      </c>
      <c r="B711" s="13" t="s">
        <v>45</v>
      </c>
      <c r="C711" s="13">
        <v>2.0</v>
      </c>
      <c r="D711" s="14">
        <v>0.0</v>
      </c>
      <c r="E711" s="13" t="s">
        <v>4498</v>
      </c>
      <c r="F711" s="15" t="s">
        <v>1493</v>
      </c>
      <c r="G711" s="16" t="s">
        <v>4499</v>
      </c>
      <c r="H711" s="13"/>
      <c r="I711" s="13">
        <v>1.1</v>
      </c>
      <c r="J711" s="13" t="s">
        <v>1021</v>
      </c>
      <c r="K711" s="13">
        <f t="shared" si="3"/>
        <v>0</v>
      </c>
      <c r="L711" s="13">
        <f t="shared" si="4"/>
        <v>3</v>
      </c>
      <c r="M711" s="13">
        <f t="shared" ref="M711:AA711" si="1421">IFERROR(VALUE(RIGHT(LEFT($J711,FIND(M$1,$J711,1)+LEN(M$1)),1)),0)</f>
        <v>0</v>
      </c>
      <c r="N711" s="13">
        <f t="shared" si="1421"/>
        <v>0</v>
      </c>
      <c r="O711" s="13">
        <f t="shared" si="1421"/>
        <v>0</v>
      </c>
      <c r="P711" s="13">
        <f t="shared" si="1421"/>
        <v>0</v>
      </c>
      <c r="Q711" s="13">
        <f t="shared" si="1421"/>
        <v>0</v>
      </c>
      <c r="R711" s="13">
        <f t="shared" si="1421"/>
        <v>0</v>
      </c>
      <c r="S711" s="13">
        <f t="shared" si="1421"/>
        <v>0</v>
      </c>
      <c r="T711" s="13">
        <f t="shared" si="1421"/>
        <v>0</v>
      </c>
      <c r="U711" s="13">
        <f t="shared" si="1421"/>
        <v>0</v>
      </c>
      <c r="V711" s="13">
        <f t="shared" si="1421"/>
        <v>0</v>
      </c>
      <c r="W711" s="13">
        <f t="shared" si="1421"/>
        <v>0</v>
      </c>
      <c r="X711" s="13">
        <f t="shared" si="1421"/>
        <v>0</v>
      </c>
      <c r="Y711" s="13">
        <f t="shared" si="1421"/>
        <v>0</v>
      </c>
      <c r="Z711" s="13">
        <f t="shared" si="1421"/>
        <v>0</v>
      </c>
      <c r="AA711" s="13">
        <f t="shared" si="1421"/>
        <v>0</v>
      </c>
      <c r="AB711" s="13">
        <f t="shared" ref="AB711:AP711" si="1422">IFERROR(VALUE(RIGHT(LEFT($J711,FIND(AB$1,$J711,IF(M711=0,1,FIND(AB$1,$J711,1)+1))+LEN(AB$1)),1)),0)</f>
        <v>0</v>
      </c>
      <c r="AC711" s="13">
        <f t="shared" si="1422"/>
        <v>0</v>
      </c>
      <c r="AD711" s="13">
        <f t="shared" si="1422"/>
        <v>1</v>
      </c>
      <c r="AE711" s="13">
        <f t="shared" si="1422"/>
        <v>0</v>
      </c>
      <c r="AF711" s="13">
        <f t="shared" si="1422"/>
        <v>0</v>
      </c>
      <c r="AG711" s="13">
        <f t="shared" si="1422"/>
        <v>0</v>
      </c>
      <c r="AH711" s="13">
        <f t="shared" si="1422"/>
        <v>0</v>
      </c>
      <c r="AI711" s="13">
        <f t="shared" si="1422"/>
        <v>2</v>
      </c>
      <c r="AJ711" s="13">
        <f t="shared" si="1422"/>
        <v>0</v>
      </c>
      <c r="AK711" s="13">
        <f t="shared" si="1422"/>
        <v>0</v>
      </c>
      <c r="AL711" s="13">
        <f t="shared" si="1422"/>
        <v>0</v>
      </c>
      <c r="AM711" s="13">
        <f t="shared" si="1422"/>
        <v>0</v>
      </c>
      <c r="AN711" s="13">
        <f t="shared" si="1422"/>
        <v>0</v>
      </c>
      <c r="AO711" s="13">
        <f t="shared" si="1422"/>
        <v>0</v>
      </c>
      <c r="AP711" s="13">
        <f t="shared" si="1422"/>
        <v>0</v>
      </c>
      <c r="AQ711" s="13" t="s">
        <v>4500</v>
      </c>
      <c r="AR711" s="13"/>
      <c r="AS711" s="13" t="s">
        <v>4501</v>
      </c>
      <c r="AT711" s="13"/>
      <c r="AU711" s="13"/>
      <c r="AV711" s="13"/>
      <c r="AW711" s="13">
        <v>0.0</v>
      </c>
      <c r="AX711" s="13">
        <v>11.0</v>
      </c>
      <c r="AY711" s="13">
        <v>0.0</v>
      </c>
      <c r="AZ711" s="13"/>
      <c r="BA711" s="13"/>
      <c r="BB711" s="13"/>
      <c r="BC711" s="13"/>
      <c r="BD711" s="13"/>
      <c r="BE711" s="13"/>
      <c r="BF711" s="13"/>
      <c r="BG711" s="13"/>
      <c r="BH711" s="13" t="s">
        <v>79</v>
      </c>
      <c r="BI711" s="13" t="b">
        <v>0</v>
      </c>
      <c r="BJ711" s="13">
        <v>0.0</v>
      </c>
      <c r="BK711" s="13">
        <v>0.0</v>
      </c>
    </row>
    <row r="712" ht="14.25" customHeight="1">
      <c r="A712" s="13">
        <v>710.0</v>
      </c>
      <c r="B712" s="13" t="s">
        <v>46</v>
      </c>
      <c r="C712" s="13">
        <v>2.0</v>
      </c>
      <c r="D712" s="14">
        <v>0.0</v>
      </c>
      <c r="E712" s="13" t="s">
        <v>4502</v>
      </c>
      <c r="F712" s="15" t="s">
        <v>1493</v>
      </c>
      <c r="G712" s="16" t="s">
        <v>4503</v>
      </c>
      <c r="H712" s="13"/>
      <c r="I712" s="13">
        <v>1.0</v>
      </c>
      <c r="J712" s="13" t="s">
        <v>1062</v>
      </c>
      <c r="K712" s="13">
        <f t="shared" si="3"/>
        <v>0</v>
      </c>
      <c r="L712" s="13">
        <f t="shared" si="4"/>
        <v>3</v>
      </c>
      <c r="M712" s="13">
        <f t="shared" ref="M712:AA712" si="1423">IFERROR(VALUE(RIGHT(LEFT($J712,FIND(M$1,$J712,1)+LEN(M$1)),1)),0)</f>
        <v>0</v>
      </c>
      <c r="N712" s="13">
        <f t="shared" si="1423"/>
        <v>0</v>
      </c>
      <c r="O712" s="13">
        <f t="shared" si="1423"/>
        <v>0</v>
      </c>
      <c r="P712" s="13">
        <f t="shared" si="1423"/>
        <v>0</v>
      </c>
      <c r="Q712" s="13">
        <f t="shared" si="1423"/>
        <v>0</v>
      </c>
      <c r="R712" s="13">
        <f t="shared" si="1423"/>
        <v>0</v>
      </c>
      <c r="S712" s="13">
        <f t="shared" si="1423"/>
        <v>0</v>
      </c>
      <c r="T712" s="13">
        <f t="shared" si="1423"/>
        <v>0</v>
      </c>
      <c r="U712" s="13">
        <f t="shared" si="1423"/>
        <v>0</v>
      </c>
      <c r="V712" s="13">
        <f t="shared" si="1423"/>
        <v>0</v>
      </c>
      <c r="W712" s="13">
        <f t="shared" si="1423"/>
        <v>0</v>
      </c>
      <c r="X712" s="13">
        <f t="shared" si="1423"/>
        <v>0</v>
      </c>
      <c r="Y712" s="13">
        <f t="shared" si="1423"/>
        <v>0</v>
      </c>
      <c r="Z712" s="13">
        <f t="shared" si="1423"/>
        <v>0</v>
      </c>
      <c r="AA712" s="13">
        <f t="shared" si="1423"/>
        <v>0</v>
      </c>
      <c r="AB712" s="13">
        <f t="shared" ref="AB712:AP712" si="1424">IFERROR(VALUE(RIGHT(LEFT($J712,FIND(AB$1,$J712,IF(M712=0,1,FIND(AB$1,$J712,1)+1))+LEN(AB$1)),1)),0)</f>
        <v>0</v>
      </c>
      <c r="AC712" s="13">
        <f t="shared" si="1424"/>
        <v>1</v>
      </c>
      <c r="AD712" s="13">
        <f t="shared" si="1424"/>
        <v>0</v>
      </c>
      <c r="AE712" s="13">
        <f t="shared" si="1424"/>
        <v>0</v>
      </c>
      <c r="AF712" s="13">
        <f t="shared" si="1424"/>
        <v>0</v>
      </c>
      <c r="AG712" s="13">
        <f t="shared" si="1424"/>
        <v>0</v>
      </c>
      <c r="AH712" s="13">
        <f t="shared" si="1424"/>
        <v>0</v>
      </c>
      <c r="AI712" s="13">
        <f t="shared" si="1424"/>
        <v>0</v>
      </c>
      <c r="AJ712" s="13">
        <f t="shared" si="1424"/>
        <v>2</v>
      </c>
      <c r="AK712" s="13">
        <f t="shared" si="1424"/>
        <v>0</v>
      </c>
      <c r="AL712" s="13">
        <f t="shared" si="1424"/>
        <v>0</v>
      </c>
      <c r="AM712" s="13">
        <f t="shared" si="1424"/>
        <v>0</v>
      </c>
      <c r="AN712" s="13">
        <f t="shared" si="1424"/>
        <v>0</v>
      </c>
      <c r="AO712" s="13">
        <f t="shared" si="1424"/>
        <v>0</v>
      </c>
      <c r="AP712" s="13">
        <f t="shared" si="1424"/>
        <v>0</v>
      </c>
      <c r="AQ712" s="13" t="s">
        <v>4504</v>
      </c>
      <c r="AR712" s="13"/>
      <c r="AS712" s="13" t="s">
        <v>1064</v>
      </c>
      <c r="AT712" s="13"/>
      <c r="AU712" s="13"/>
      <c r="AV712" s="13"/>
      <c r="AW712" s="13">
        <v>0.0</v>
      </c>
      <c r="AX712" s="13">
        <v>11.0</v>
      </c>
      <c r="AY712" s="13">
        <v>0.0</v>
      </c>
      <c r="AZ712" s="13"/>
      <c r="BA712" s="13"/>
      <c r="BB712" s="13"/>
      <c r="BC712" s="13"/>
      <c r="BD712" s="13"/>
      <c r="BE712" s="13"/>
      <c r="BF712" s="13"/>
      <c r="BG712" s="13"/>
      <c r="BH712" s="13" t="s">
        <v>79</v>
      </c>
      <c r="BI712" s="13" t="b">
        <v>0</v>
      </c>
      <c r="BJ712" s="13">
        <v>0.0</v>
      </c>
      <c r="BK712" s="13">
        <v>0.0</v>
      </c>
    </row>
    <row r="713" ht="14.25" customHeight="1">
      <c r="A713" s="13">
        <v>711.0</v>
      </c>
      <c r="B713" s="13" t="s">
        <v>47</v>
      </c>
      <c r="C713" s="13">
        <v>2.0</v>
      </c>
      <c r="D713" s="14">
        <v>0.0</v>
      </c>
      <c r="E713" s="13" t="s">
        <v>4505</v>
      </c>
      <c r="F713" s="15" t="s">
        <v>1493</v>
      </c>
      <c r="G713" s="16" t="s">
        <v>4506</v>
      </c>
      <c r="H713" s="13">
        <v>17.0</v>
      </c>
      <c r="I713" s="13">
        <v>1.0</v>
      </c>
      <c r="J713" s="13" t="s">
        <v>1083</v>
      </c>
      <c r="K713" s="13">
        <f t="shared" si="3"/>
        <v>0</v>
      </c>
      <c r="L713" s="13">
        <f t="shared" si="4"/>
        <v>3</v>
      </c>
      <c r="M713" s="13">
        <f t="shared" ref="M713:AA713" si="1425">IFERROR(VALUE(RIGHT(LEFT($J713,FIND(M$1,$J713,1)+LEN(M$1)),1)),0)</f>
        <v>0</v>
      </c>
      <c r="N713" s="13">
        <f t="shared" si="1425"/>
        <v>0</v>
      </c>
      <c r="O713" s="13">
        <f t="shared" si="1425"/>
        <v>0</v>
      </c>
      <c r="P713" s="13">
        <f t="shared" si="1425"/>
        <v>0</v>
      </c>
      <c r="Q713" s="13">
        <f t="shared" si="1425"/>
        <v>0</v>
      </c>
      <c r="R713" s="13">
        <f t="shared" si="1425"/>
        <v>0</v>
      </c>
      <c r="S713" s="13">
        <f t="shared" si="1425"/>
        <v>0</v>
      </c>
      <c r="T713" s="13">
        <f t="shared" si="1425"/>
        <v>0</v>
      </c>
      <c r="U713" s="13">
        <f t="shared" si="1425"/>
        <v>0</v>
      </c>
      <c r="V713" s="13">
        <f t="shared" si="1425"/>
        <v>0</v>
      </c>
      <c r="W713" s="13">
        <f t="shared" si="1425"/>
        <v>0</v>
      </c>
      <c r="X713" s="13">
        <f t="shared" si="1425"/>
        <v>0</v>
      </c>
      <c r="Y713" s="13">
        <f t="shared" si="1425"/>
        <v>0</v>
      </c>
      <c r="Z713" s="13">
        <f t="shared" si="1425"/>
        <v>0</v>
      </c>
      <c r="AA713" s="13">
        <f t="shared" si="1425"/>
        <v>0</v>
      </c>
      <c r="AB713" s="13">
        <f t="shared" ref="AB713:AP713" si="1426">IFERROR(VALUE(RIGHT(LEFT($J713,FIND(AB$1,$J713,IF(M713=0,1,FIND(AB$1,$J713,1)+1))+LEN(AB$1)),1)),0)</f>
        <v>1</v>
      </c>
      <c r="AC713" s="13">
        <f t="shared" si="1426"/>
        <v>0</v>
      </c>
      <c r="AD713" s="13">
        <f t="shared" si="1426"/>
        <v>0</v>
      </c>
      <c r="AE713" s="13">
        <f t="shared" si="1426"/>
        <v>0</v>
      </c>
      <c r="AF713" s="13">
        <f t="shared" si="1426"/>
        <v>0</v>
      </c>
      <c r="AG713" s="13">
        <f t="shared" si="1426"/>
        <v>0</v>
      </c>
      <c r="AH713" s="13">
        <f t="shared" si="1426"/>
        <v>0</v>
      </c>
      <c r="AI713" s="13">
        <f t="shared" si="1426"/>
        <v>0</v>
      </c>
      <c r="AJ713" s="13">
        <f t="shared" si="1426"/>
        <v>0</v>
      </c>
      <c r="AK713" s="13">
        <f t="shared" si="1426"/>
        <v>2</v>
      </c>
      <c r="AL713" s="13">
        <f t="shared" si="1426"/>
        <v>0</v>
      </c>
      <c r="AM713" s="13">
        <f t="shared" si="1426"/>
        <v>0</v>
      </c>
      <c r="AN713" s="13">
        <f t="shared" si="1426"/>
        <v>0</v>
      </c>
      <c r="AO713" s="13">
        <f t="shared" si="1426"/>
        <v>0</v>
      </c>
      <c r="AP713" s="13">
        <f t="shared" si="1426"/>
        <v>0</v>
      </c>
      <c r="AQ713" s="13"/>
      <c r="AR713" s="13" t="s">
        <v>4507</v>
      </c>
      <c r="AS713" s="13" t="s">
        <v>4508</v>
      </c>
      <c r="AT713" s="13" t="s">
        <v>129</v>
      </c>
      <c r="AU713" s="13" t="s">
        <v>130</v>
      </c>
      <c r="AV713" s="13" t="s">
        <v>4509</v>
      </c>
      <c r="AW713" s="13">
        <v>18.0</v>
      </c>
      <c r="AX713" s="13">
        <v>11.0</v>
      </c>
      <c r="AY713" s="13">
        <v>0.0</v>
      </c>
      <c r="AZ713" s="13" t="s">
        <v>4510</v>
      </c>
      <c r="BA713" s="13" t="s">
        <v>4373</v>
      </c>
      <c r="BB713" s="13"/>
      <c r="BC713" s="13"/>
      <c r="BD713" s="13" t="s">
        <v>484</v>
      </c>
      <c r="BE713" s="13"/>
      <c r="BF713" s="13" t="s">
        <v>1160</v>
      </c>
      <c r="BG713" s="13" t="s">
        <v>136</v>
      </c>
      <c r="BH713" s="13" t="s">
        <v>79</v>
      </c>
      <c r="BI713" s="13" t="b">
        <v>0</v>
      </c>
      <c r="BJ713" s="13">
        <v>0.0</v>
      </c>
      <c r="BK713" s="13">
        <v>0.0</v>
      </c>
    </row>
    <row r="714" ht="14.25" customHeight="1">
      <c r="A714" s="13">
        <v>712.0</v>
      </c>
      <c r="B714" s="13" t="s">
        <v>47</v>
      </c>
      <c r="C714" s="13">
        <v>2.0</v>
      </c>
      <c r="D714" s="14">
        <v>0.0</v>
      </c>
      <c r="E714" s="13" t="s">
        <v>4511</v>
      </c>
      <c r="F714" s="15" t="s">
        <v>1493</v>
      </c>
      <c r="G714" s="16" t="s">
        <v>4512</v>
      </c>
      <c r="H714" s="13">
        <v>16.0</v>
      </c>
      <c r="I714" s="13">
        <v>1.0</v>
      </c>
      <c r="J714" s="13" t="s">
        <v>3856</v>
      </c>
      <c r="K714" s="13">
        <f t="shared" si="3"/>
        <v>0</v>
      </c>
      <c r="L714" s="13">
        <f t="shared" si="4"/>
        <v>3</v>
      </c>
      <c r="M714" s="13">
        <f t="shared" ref="M714:AA714" si="1427">IFERROR(VALUE(RIGHT(LEFT($J714,FIND(M$1,$J714,1)+LEN(M$1)),1)),0)</f>
        <v>0</v>
      </c>
      <c r="N714" s="13">
        <f t="shared" si="1427"/>
        <v>0</v>
      </c>
      <c r="O714" s="13">
        <f t="shared" si="1427"/>
        <v>0</v>
      </c>
      <c r="P714" s="13">
        <f t="shared" si="1427"/>
        <v>0</v>
      </c>
      <c r="Q714" s="13">
        <f t="shared" si="1427"/>
        <v>0</v>
      </c>
      <c r="R714" s="13">
        <f t="shared" si="1427"/>
        <v>0</v>
      </c>
      <c r="S714" s="13">
        <f t="shared" si="1427"/>
        <v>0</v>
      </c>
      <c r="T714" s="13">
        <f t="shared" si="1427"/>
        <v>0</v>
      </c>
      <c r="U714" s="13">
        <f t="shared" si="1427"/>
        <v>0</v>
      </c>
      <c r="V714" s="13">
        <f t="shared" si="1427"/>
        <v>0</v>
      </c>
      <c r="W714" s="13">
        <f t="shared" si="1427"/>
        <v>0</v>
      </c>
      <c r="X714" s="13">
        <f t="shared" si="1427"/>
        <v>0</v>
      </c>
      <c r="Y714" s="13">
        <f t="shared" si="1427"/>
        <v>0</v>
      </c>
      <c r="Z714" s="13">
        <f t="shared" si="1427"/>
        <v>0</v>
      </c>
      <c r="AA714" s="13">
        <f t="shared" si="1427"/>
        <v>0</v>
      </c>
      <c r="AB714" s="13">
        <f t="shared" ref="AB714:AP714" si="1428">IFERROR(VALUE(RIGHT(LEFT($J714,FIND(AB$1,$J714,IF(M714=0,1,FIND(AB$1,$J714,1)+1))+LEN(AB$1)),1)),0)</f>
        <v>0</v>
      </c>
      <c r="AC714" s="13">
        <f t="shared" si="1428"/>
        <v>0</v>
      </c>
      <c r="AD714" s="13">
        <f t="shared" si="1428"/>
        <v>0</v>
      </c>
      <c r="AE714" s="13">
        <f t="shared" si="1428"/>
        <v>0</v>
      </c>
      <c r="AF714" s="13">
        <f t="shared" si="1428"/>
        <v>0</v>
      </c>
      <c r="AG714" s="13">
        <f t="shared" si="1428"/>
        <v>2</v>
      </c>
      <c r="AH714" s="13">
        <f t="shared" si="1428"/>
        <v>0</v>
      </c>
      <c r="AI714" s="13">
        <f t="shared" si="1428"/>
        <v>0</v>
      </c>
      <c r="AJ714" s="13">
        <f t="shared" si="1428"/>
        <v>0</v>
      </c>
      <c r="AK714" s="13">
        <f t="shared" si="1428"/>
        <v>1</v>
      </c>
      <c r="AL714" s="13">
        <f t="shared" si="1428"/>
        <v>0</v>
      </c>
      <c r="AM714" s="13">
        <f t="shared" si="1428"/>
        <v>0</v>
      </c>
      <c r="AN714" s="13">
        <f t="shared" si="1428"/>
        <v>0</v>
      </c>
      <c r="AO714" s="13">
        <f t="shared" si="1428"/>
        <v>0</v>
      </c>
      <c r="AP714" s="13">
        <f t="shared" si="1428"/>
        <v>0</v>
      </c>
      <c r="AQ714" s="13"/>
      <c r="AR714" s="13" t="s">
        <v>4513</v>
      </c>
      <c r="AS714" s="13" t="s">
        <v>3626</v>
      </c>
      <c r="AT714" s="13" t="s">
        <v>162</v>
      </c>
      <c r="AU714" s="13" t="s">
        <v>163</v>
      </c>
      <c r="AV714" s="13" t="s">
        <v>4514</v>
      </c>
      <c r="AW714" s="13">
        <v>16.0</v>
      </c>
      <c r="AX714" s="13">
        <v>11.0</v>
      </c>
      <c r="AY714" s="13">
        <v>0.0</v>
      </c>
      <c r="AZ714" s="13" t="s">
        <v>4515</v>
      </c>
      <c r="BA714" s="13" t="s">
        <v>4516</v>
      </c>
      <c r="BB714" s="13"/>
      <c r="BC714" s="13"/>
      <c r="BD714" s="13" t="s">
        <v>134</v>
      </c>
      <c r="BE714" s="13"/>
      <c r="BF714" s="13" t="s">
        <v>4517</v>
      </c>
      <c r="BG714" s="13" t="s">
        <v>136</v>
      </c>
      <c r="BH714" s="13" t="s">
        <v>79</v>
      </c>
      <c r="BI714" s="13" t="b">
        <v>0</v>
      </c>
      <c r="BJ714" s="13">
        <v>0.0</v>
      </c>
      <c r="BK714" s="13">
        <v>0.0</v>
      </c>
    </row>
    <row r="715" ht="14.25" customHeight="1">
      <c r="A715" s="13">
        <v>713.0</v>
      </c>
      <c r="B715" s="13" t="s">
        <v>48</v>
      </c>
      <c r="C715" s="13">
        <v>2.0</v>
      </c>
      <c r="D715" s="14">
        <v>0.0</v>
      </c>
      <c r="E715" s="13" t="s">
        <v>4518</v>
      </c>
      <c r="F715" s="15" t="s">
        <v>1493</v>
      </c>
      <c r="G715" s="16" t="s">
        <v>4519</v>
      </c>
      <c r="H715" s="13">
        <v>14.0</v>
      </c>
      <c r="I715" s="13">
        <v>1.0</v>
      </c>
      <c r="J715" s="13" t="s">
        <v>1193</v>
      </c>
      <c r="K715" s="13">
        <f t="shared" si="3"/>
        <v>0</v>
      </c>
      <c r="L715" s="13">
        <f t="shared" si="4"/>
        <v>3</v>
      </c>
      <c r="M715" s="13">
        <f t="shared" ref="M715:AA715" si="1429">IFERROR(VALUE(RIGHT(LEFT($J715,FIND(M$1,$J715,1)+LEN(M$1)),1)),0)</f>
        <v>0</v>
      </c>
      <c r="N715" s="13">
        <f t="shared" si="1429"/>
        <v>0</v>
      </c>
      <c r="O715" s="13">
        <f t="shared" si="1429"/>
        <v>0</v>
      </c>
      <c r="P715" s="13">
        <f t="shared" si="1429"/>
        <v>0</v>
      </c>
      <c r="Q715" s="13">
        <f t="shared" si="1429"/>
        <v>0</v>
      </c>
      <c r="R715" s="13">
        <f t="shared" si="1429"/>
        <v>0</v>
      </c>
      <c r="S715" s="13">
        <f t="shared" si="1429"/>
        <v>0</v>
      </c>
      <c r="T715" s="13">
        <f t="shared" si="1429"/>
        <v>0</v>
      </c>
      <c r="U715" s="13">
        <f t="shared" si="1429"/>
        <v>0</v>
      </c>
      <c r="V715" s="13">
        <f t="shared" si="1429"/>
        <v>0</v>
      </c>
      <c r="W715" s="13">
        <f t="shared" si="1429"/>
        <v>0</v>
      </c>
      <c r="X715" s="13">
        <f t="shared" si="1429"/>
        <v>0</v>
      </c>
      <c r="Y715" s="13">
        <f t="shared" si="1429"/>
        <v>0</v>
      </c>
      <c r="Z715" s="13">
        <f t="shared" si="1429"/>
        <v>0</v>
      </c>
      <c r="AA715" s="13">
        <f t="shared" si="1429"/>
        <v>0</v>
      </c>
      <c r="AB715" s="13">
        <f t="shared" ref="AB715:AP715" si="1430">IFERROR(VALUE(RIGHT(LEFT($J715,FIND(AB$1,$J715,IF(M715=0,1,FIND(AB$1,$J715,1)+1))+LEN(AB$1)),1)),0)</f>
        <v>0</v>
      </c>
      <c r="AC715" s="13">
        <f t="shared" si="1430"/>
        <v>1</v>
      </c>
      <c r="AD715" s="13">
        <f t="shared" si="1430"/>
        <v>0</v>
      </c>
      <c r="AE715" s="13">
        <f t="shared" si="1430"/>
        <v>0</v>
      </c>
      <c r="AF715" s="13">
        <f t="shared" si="1430"/>
        <v>0</v>
      </c>
      <c r="AG715" s="13">
        <f t="shared" si="1430"/>
        <v>0</v>
      </c>
      <c r="AH715" s="13">
        <f t="shared" si="1430"/>
        <v>0</v>
      </c>
      <c r="AI715" s="13">
        <f t="shared" si="1430"/>
        <v>0</v>
      </c>
      <c r="AJ715" s="13">
        <f t="shared" si="1430"/>
        <v>0</v>
      </c>
      <c r="AK715" s="13">
        <f t="shared" si="1430"/>
        <v>0</v>
      </c>
      <c r="AL715" s="13">
        <f t="shared" si="1430"/>
        <v>2</v>
      </c>
      <c r="AM715" s="13">
        <f t="shared" si="1430"/>
        <v>0</v>
      </c>
      <c r="AN715" s="13">
        <f t="shared" si="1430"/>
        <v>0</v>
      </c>
      <c r="AO715" s="13">
        <f t="shared" si="1430"/>
        <v>0</v>
      </c>
      <c r="AP715" s="13">
        <f t="shared" si="1430"/>
        <v>0</v>
      </c>
      <c r="AQ715" s="13"/>
      <c r="AR715" s="13" t="s">
        <v>1712</v>
      </c>
      <c r="AS715" s="13" t="s">
        <v>4520</v>
      </c>
      <c r="AT715" s="13" t="s">
        <v>257</v>
      </c>
      <c r="AU715" s="13" t="s">
        <v>4521</v>
      </c>
      <c r="AV715" s="13" t="s">
        <v>4522</v>
      </c>
      <c r="AW715" s="13">
        <v>15.0</v>
      </c>
      <c r="AX715" s="13">
        <v>11.0</v>
      </c>
      <c r="AY715" s="13">
        <v>0.0</v>
      </c>
      <c r="AZ715" s="13" t="s">
        <v>4523</v>
      </c>
      <c r="BA715" s="13" t="s">
        <v>4524</v>
      </c>
      <c r="BB715" s="13"/>
      <c r="BC715" s="13"/>
      <c r="BD715" s="13" t="s">
        <v>179</v>
      </c>
      <c r="BE715" s="13"/>
      <c r="BF715" s="13" t="s">
        <v>908</v>
      </c>
      <c r="BG715" s="13" t="s">
        <v>169</v>
      </c>
      <c r="BH715" s="13" t="s">
        <v>79</v>
      </c>
      <c r="BI715" s="13" t="b">
        <v>0</v>
      </c>
      <c r="BJ715" s="13">
        <v>0.0</v>
      </c>
      <c r="BK715" s="13">
        <v>0.0</v>
      </c>
    </row>
    <row r="716" ht="14.25" customHeight="1">
      <c r="A716" s="13">
        <v>714.0</v>
      </c>
      <c r="B716" s="13" t="s">
        <v>48</v>
      </c>
      <c r="C716" s="13">
        <v>2.0</v>
      </c>
      <c r="D716" s="14">
        <v>0.0</v>
      </c>
      <c r="E716" s="13" t="s">
        <v>4525</v>
      </c>
      <c r="F716" s="15" t="s">
        <v>1493</v>
      </c>
      <c r="G716" s="16" t="s">
        <v>4526</v>
      </c>
      <c r="H716" s="13">
        <v>15.0</v>
      </c>
      <c r="I716" s="13">
        <v>1.1</v>
      </c>
      <c r="J716" s="13" t="s">
        <v>4527</v>
      </c>
      <c r="K716" s="13">
        <f t="shared" si="3"/>
        <v>0</v>
      </c>
      <c r="L716" s="13">
        <f t="shared" si="4"/>
        <v>3</v>
      </c>
      <c r="M716" s="13">
        <f t="shared" ref="M716:AA716" si="1431">IFERROR(VALUE(RIGHT(LEFT($J716,FIND(M$1,$J716,1)+LEN(M$1)),1)),0)</f>
        <v>0</v>
      </c>
      <c r="N716" s="13">
        <f t="shared" si="1431"/>
        <v>0</v>
      </c>
      <c r="O716" s="13">
        <f t="shared" si="1431"/>
        <v>0</v>
      </c>
      <c r="P716" s="13">
        <f t="shared" si="1431"/>
        <v>0</v>
      </c>
      <c r="Q716" s="13">
        <f t="shared" si="1431"/>
        <v>0</v>
      </c>
      <c r="R716" s="13">
        <f t="shared" si="1431"/>
        <v>0</v>
      </c>
      <c r="S716" s="13">
        <f t="shared" si="1431"/>
        <v>0</v>
      </c>
      <c r="T716" s="13">
        <f t="shared" si="1431"/>
        <v>0</v>
      </c>
      <c r="U716" s="13">
        <f t="shared" si="1431"/>
        <v>0</v>
      </c>
      <c r="V716" s="13">
        <f t="shared" si="1431"/>
        <v>0</v>
      </c>
      <c r="W716" s="13">
        <f t="shared" si="1431"/>
        <v>0</v>
      </c>
      <c r="X716" s="13">
        <f t="shared" si="1431"/>
        <v>0</v>
      </c>
      <c r="Y716" s="13">
        <f t="shared" si="1431"/>
        <v>0</v>
      </c>
      <c r="Z716" s="13">
        <f t="shared" si="1431"/>
        <v>0</v>
      </c>
      <c r="AA716" s="13">
        <f t="shared" si="1431"/>
        <v>0</v>
      </c>
      <c r="AB716" s="13">
        <f t="shared" ref="AB716:AP716" si="1432">IFERROR(VALUE(RIGHT(LEFT($J716,FIND(AB$1,$J716,IF(M716=0,1,FIND(AB$1,$J716,1)+1))+LEN(AB$1)),1)),0)</f>
        <v>0</v>
      </c>
      <c r="AC716" s="13">
        <f t="shared" si="1432"/>
        <v>0</v>
      </c>
      <c r="AD716" s="13">
        <f t="shared" si="1432"/>
        <v>2</v>
      </c>
      <c r="AE716" s="13">
        <f t="shared" si="1432"/>
        <v>0</v>
      </c>
      <c r="AF716" s="13">
        <f t="shared" si="1432"/>
        <v>0</v>
      </c>
      <c r="AG716" s="13">
        <f t="shared" si="1432"/>
        <v>0</v>
      </c>
      <c r="AH716" s="13">
        <f t="shared" si="1432"/>
        <v>0</v>
      </c>
      <c r="AI716" s="13">
        <f t="shared" si="1432"/>
        <v>0</v>
      </c>
      <c r="AJ716" s="13">
        <f t="shared" si="1432"/>
        <v>0</v>
      </c>
      <c r="AK716" s="13">
        <f t="shared" si="1432"/>
        <v>0</v>
      </c>
      <c r="AL716" s="13">
        <f t="shared" si="1432"/>
        <v>1</v>
      </c>
      <c r="AM716" s="13">
        <f t="shared" si="1432"/>
        <v>0</v>
      </c>
      <c r="AN716" s="13">
        <f t="shared" si="1432"/>
        <v>0</v>
      </c>
      <c r="AO716" s="13">
        <f t="shared" si="1432"/>
        <v>0</v>
      </c>
      <c r="AP716" s="13">
        <f t="shared" si="1432"/>
        <v>0</v>
      </c>
      <c r="AQ716" s="13"/>
      <c r="AR716" s="13" t="s">
        <v>4528</v>
      </c>
      <c r="AS716" s="13" t="s">
        <v>4529</v>
      </c>
      <c r="AT716" s="13" t="s">
        <v>175</v>
      </c>
      <c r="AU716" s="13" t="s">
        <v>143</v>
      </c>
      <c r="AV716" s="13" t="s">
        <v>4530</v>
      </c>
      <c r="AW716" s="13">
        <v>14.0</v>
      </c>
      <c r="AX716" s="13">
        <v>11.0</v>
      </c>
      <c r="AY716" s="13">
        <v>0.0</v>
      </c>
      <c r="AZ716" s="13" t="s">
        <v>2068</v>
      </c>
      <c r="BA716" s="13" t="s">
        <v>4531</v>
      </c>
      <c r="BB716" s="13"/>
      <c r="BC716" s="13"/>
      <c r="BD716" s="13" t="s">
        <v>167</v>
      </c>
      <c r="BE716" s="13"/>
      <c r="BF716" s="13" t="s">
        <v>4532</v>
      </c>
      <c r="BG716" s="13" t="s">
        <v>169</v>
      </c>
      <c r="BH716" s="13" t="s">
        <v>79</v>
      </c>
      <c r="BI716" s="13" t="b">
        <v>0</v>
      </c>
      <c r="BJ716" s="13">
        <v>0.0</v>
      </c>
      <c r="BK716" s="13">
        <v>0.0</v>
      </c>
    </row>
    <row r="717" ht="14.25" customHeight="1">
      <c r="A717" s="13">
        <v>715.0</v>
      </c>
      <c r="B717" s="13" t="s">
        <v>44</v>
      </c>
      <c r="C717" s="13">
        <v>3.0</v>
      </c>
      <c r="D717" s="14">
        <v>0.0</v>
      </c>
      <c r="E717" s="13" t="s">
        <v>4533</v>
      </c>
      <c r="F717" s="15" t="s">
        <v>1493</v>
      </c>
      <c r="G717" s="16" t="s">
        <v>4534</v>
      </c>
      <c r="H717" s="13"/>
      <c r="I717" s="13">
        <v>1.2</v>
      </c>
      <c r="J717" s="13" t="s">
        <v>1574</v>
      </c>
      <c r="K717" s="13">
        <f t="shared" si="3"/>
        <v>1</v>
      </c>
      <c r="L717" s="13">
        <f t="shared" si="4"/>
        <v>2</v>
      </c>
      <c r="M717" s="13">
        <f t="shared" ref="M717:AA717" si="1433">IFERROR(VALUE(RIGHT(LEFT($J717,FIND(M$1,$J717,1)+LEN(M$1)),1)),0)</f>
        <v>0</v>
      </c>
      <c r="N717" s="13">
        <f t="shared" si="1433"/>
        <v>0</v>
      </c>
      <c r="O717" s="13">
        <f t="shared" si="1433"/>
        <v>0</v>
      </c>
      <c r="P717" s="13">
        <f t="shared" si="1433"/>
        <v>0</v>
      </c>
      <c r="Q717" s="13">
        <f t="shared" si="1433"/>
        <v>0</v>
      </c>
      <c r="R717" s="13">
        <f t="shared" si="1433"/>
        <v>0</v>
      </c>
      <c r="S717" s="13">
        <f t="shared" si="1433"/>
        <v>1</v>
      </c>
      <c r="T717" s="13">
        <f t="shared" si="1433"/>
        <v>0</v>
      </c>
      <c r="U717" s="13">
        <f t="shared" si="1433"/>
        <v>0</v>
      </c>
      <c r="V717" s="13">
        <f t="shared" si="1433"/>
        <v>0</v>
      </c>
      <c r="W717" s="13">
        <f t="shared" si="1433"/>
        <v>0</v>
      </c>
      <c r="X717" s="13">
        <f t="shared" si="1433"/>
        <v>0</v>
      </c>
      <c r="Y717" s="13">
        <f t="shared" si="1433"/>
        <v>0</v>
      </c>
      <c r="Z717" s="13">
        <f t="shared" si="1433"/>
        <v>0</v>
      </c>
      <c r="AA717" s="13">
        <f t="shared" si="1433"/>
        <v>0</v>
      </c>
      <c r="AB717" s="13">
        <f t="shared" ref="AB717:AP717" si="1434">IFERROR(VALUE(RIGHT(LEFT($J717,FIND(AB$1,$J717,IF(M717=0,1,FIND(AB$1,$J717,1)+1))+LEN(AB$1)),1)),0)</f>
        <v>0</v>
      </c>
      <c r="AC717" s="13">
        <f t="shared" si="1434"/>
        <v>0</v>
      </c>
      <c r="AD717" s="13">
        <f t="shared" si="1434"/>
        <v>0</v>
      </c>
      <c r="AE717" s="13">
        <f t="shared" si="1434"/>
        <v>0</v>
      </c>
      <c r="AF717" s="13">
        <f t="shared" si="1434"/>
        <v>0</v>
      </c>
      <c r="AG717" s="13">
        <f t="shared" si="1434"/>
        <v>1</v>
      </c>
      <c r="AH717" s="13">
        <f t="shared" si="1434"/>
        <v>1</v>
      </c>
      <c r="AI717" s="13">
        <f t="shared" si="1434"/>
        <v>0</v>
      </c>
      <c r="AJ717" s="13">
        <f t="shared" si="1434"/>
        <v>0</v>
      </c>
      <c r="AK717" s="13">
        <f t="shared" si="1434"/>
        <v>0</v>
      </c>
      <c r="AL717" s="13">
        <f t="shared" si="1434"/>
        <v>0</v>
      </c>
      <c r="AM717" s="13">
        <f t="shared" si="1434"/>
        <v>0</v>
      </c>
      <c r="AN717" s="13">
        <f t="shared" si="1434"/>
        <v>0</v>
      </c>
      <c r="AO717" s="13">
        <f t="shared" si="1434"/>
        <v>0</v>
      </c>
      <c r="AP717" s="13">
        <f t="shared" si="1434"/>
        <v>0</v>
      </c>
      <c r="AQ717" s="13" t="s">
        <v>4535</v>
      </c>
      <c r="AR717" s="13"/>
      <c r="AS717" s="13" t="s">
        <v>4536</v>
      </c>
      <c r="AT717" s="13"/>
      <c r="AU717" s="13"/>
      <c r="AV717" s="13"/>
      <c r="AW717" s="13">
        <v>0.0</v>
      </c>
      <c r="AX717" s="13">
        <v>11.0</v>
      </c>
      <c r="AY717" s="13">
        <v>0.0</v>
      </c>
      <c r="AZ717" s="13"/>
      <c r="BA717" s="13"/>
      <c r="BB717" s="13"/>
      <c r="BC717" s="13"/>
      <c r="BD717" s="13"/>
      <c r="BE717" s="13"/>
      <c r="BF717" s="13"/>
      <c r="BG717" s="13"/>
      <c r="BH717" s="13" t="s">
        <v>79</v>
      </c>
      <c r="BI717" s="13" t="b">
        <v>0</v>
      </c>
      <c r="BJ717" s="13">
        <v>0.0</v>
      </c>
      <c r="BK717" s="13">
        <v>0.0</v>
      </c>
    </row>
    <row r="718" ht="14.25" customHeight="1">
      <c r="A718" s="13">
        <v>716.0</v>
      </c>
      <c r="B718" s="13" t="s">
        <v>45</v>
      </c>
      <c r="C718" s="13">
        <v>3.0</v>
      </c>
      <c r="D718" s="14">
        <v>0.0</v>
      </c>
      <c r="E718" s="13" t="s">
        <v>4537</v>
      </c>
      <c r="F718" s="15" t="s">
        <v>1493</v>
      </c>
      <c r="G718" s="16" t="s">
        <v>4538</v>
      </c>
      <c r="H718" s="13"/>
      <c r="I718" s="13">
        <v>0.9</v>
      </c>
      <c r="J718" s="13" t="s">
        <v>1584</v>
      </c>
      <c r="K718" s="13">
        <f t="shared" si="3"/>
        <v>1</v>
      </c>
      <c r="L718" s="13">
        <f t="shared" si="4"/>
        <v>2</v>
      </c>
      <c r="M718" s="13">
        <f t="shared" ref="M718:AA718" si="1435">IFERROR(VALUE(RIGHT(LEFT($J718,FIND(M$1,$J718,1)+LEN(M$1)),1)),0)</f>
        <v>0</v>
      </c>
      <c r="N718" s="13">
        <f t="shared" si="1435"/>
        <v>0</v>
      </c>
      <c r="O718" s="13">
        <f t="shared" si="1435"/>
        <v>0</v>
      </c>
      <c r="P718" s="13">
        <f t="shared" si="1435"/>
        <v>0</v>
      </c>
      <c r="Q718" s="13">
        <f t="shared" si="1435"/>
        <v>0</v>
      </c>
      <c r="R718" s="13">
        <f t="shared" si="1435"/>
        <v>0</v>
      </c>
      <c r="S718" s="13">
        <f t="shared" si="1435"/>
        <v>0</v>
      </c>
      <c r="T718" s="13">
        <f t="shared" si="1435"/>
        <v>1</v>
      </c>
      <c r="U718" s="13">
        <f t="shared" si="1435"/>
        <v>0</v>
      </c>
      <c r="V718" s="13">
        <f t="shared" si="1435"/>
        <v>0</v>
      </c>
      <c r="W718" s="13">
        <f t="shared" si="1435"/>
        <v>0</v>
      </c>
      <c r="X718" s="13">
        <f t="shared" si="1435"/>
        <v>0</v>
      </c>
      <c r="Y718" s="13">
        <f t="shared" si="1435"/>
        <v>0</v>
      </c>
      <c r="Z718" s="13">
        <f t="shared" si="1435"/>
        <v>0</v>
      </c>
      <c r="AA718" s="13">
        <f t="shared" si="1435"/>
        <v>0</v>
      </c>
      <c r="AB718" s="13">
        <f t="shared" ref="AB718:AP718" si="1436">IFERROR(VALUE(RIGHT(LEFT($J718,FIND(AB$1,$J718,IF(M718=0,1,FIND(AB$1,$J718,1)+1))+LEN(AB$1)),1)),0)</f>
        <v>0</v>
      </c>
      <c r="AC718" s="13">
        <f t="shared" si="1436"/>
        <v>1</v>
      </c>
      <c r="AD718" s="13">
        <f t="shared" si="1436"/>
        <v>0</v>
      </c>
      <c r="AE718" s="13">
        <f t="shared" si="1436"/>
        <v>0</v>
      </c>
      <c r="AF718" s="13">
        <f t="shared" si="1436"/>
        <v>0</v>
      </c>
      <c r="AG718" s="13">
        <f t="shared" si="1436"/>
        <v>0</v>
      </c>
      <c r="AH718" s="13">
        <f t="shared" si="1436"/>
        <v>0</v>
      </c>
      <c r="AI718" s="13">
        <f t="shared" si="1436"/>
        <v>1</v>
      </c>
      <c r="AJ718" s="13">
        <f t="shared" si="1436"/>
        <v>0</v>
      </c>
      <c r="AK718" s="13">
        <f t="shared" si="1436"/>
        <v>0</v>
      </c>
      <c r="AL718" s="13">
        <f t="shared" si="1436"/>
        <v>0</v>
      </c>
      <c r="AM718" s="13">
        <f t="shared" si="1436"/>
        <v>0</v>
      </c>
      <c r="AN718" s="13">
        <f t="shared" si="1436"/>
        <v>0</v>
      </c>
      <c r="AO718" s="13">
        <f t="shared" si="1436"/>
        <v>0</v>
      </c>
      <c r="AP718" s="13">
        <f t="shared" si="1436"/>
        <v>0</v>
      </c>
      <c r="AQ718" s="13" t="s">
        <v>4539</v>
      </c>
      <c r="AR718" s="13"/>
      <c r="AS718" s="13" t="s">
        <v>4540</v>
      </c>
      <c r="AT718" s="13"/>
      <c r="AU718" s="13"/>
      <c r="AV718" s="13"/>
      <c r="AW718" s="13">
        <v>0.0</v>
      </c>
      <c r="AX718" s="13">
        <v>11.0</v>
      </c>
      <c r="AY718" s="13">
        <v>0.0</v>
      </c>
      <c r="AZ718" s="13"/>
      <c r="BA718" s="13"/>
      <c r="BB718" s="13"/>
      <c r="BC718" s="13"/>
      <c r="BD718" s="13"/>
      <c r="BE718" s="13"/>
      <c r="BF718" s="13"/>
      <c r="BG718" s="13"/>
      <c r="BH718" s="13" t="s">
        <v>79</v>
      </c>
      <c r="BI718" s="13" t="b">
        <v>0</v>
      </c>
      <c r="BJ718" s="13">
        <v>0.0</v>
      </c>
      <c r="BK718" s="13">
        <v>0.0</v>
      </c>
    </row>
    <row r="719" ht="14.25" customHeight="1">
      <c r="A719" s="13">
        <v>717.0</v>
      </c>
      <c r="B719" s="13" t="s">
        <v>46</v>
      </c>
      <c r="C719" s="13">
        <v>3.0</v>
      </c>
      <c r="D719" s="14">
        <v>0.0</v>
      </c>
      <c r="E719" s="13" t="s">
        <v>4541</v>
      </c>
      <c r="F719" s="15" t="s">
        <v>1493</v>
      </c>
      <c r="G719" s="16" t="s">
        <v>4542</v>
      </c>
      <c r="H719" s="13"/>
      <c r="I719" s="13">
        <v>1.0</v>
      </c>
      <c r="J719" s="13" t="s">
        <v>2488</v>
      </c>
      <c r="K719" s="13">
        <f t="shared" si="3"/>
        <v>1</v>
      </c>
      <c r="L719" s="13">
        <f t="shared" si="4"/>
        <v>2</v>
      </c>
      <c r="M719" s="13">
        <f t="shared" ref="M719:AA719" si="1437">IFERROR(VALUE(RIGHT(LEFT($J719,FIND(M$1,$J719,1)+LEN(M$1)),1)),0)</f>
        <v>0</v>
      </c>
      <c r="N719" s="13">
        <f t="shared" si="1437"/>
        <v>0</v>
      </c>
      <c r="O719" s="13">
        <f t="shared" si="1437"/>
        <v>0</v>
      </c>
      <c r="P719" s="13">
        <f t="shared" si="1437"/>
        <v>0</v>
      </c>
      <c r="Q719" s="13">
        <f t="shared" si="1437"/>
        <v>0</v>
      </c>
      <c r="R719" s="13">
        <f t="shared" si="1437"/>
        <v>0</v>
      </c>
      <c r="S719" s="13">
        <f t="shared" si="1437"/>
        <v>0</v>
      </c>
      <c r="T719" s="13">
        <f t="shared" si="1437"/>
        <v>0</v>
      </c>
      <c r="U719" s="13">
        <f t="shared" si="1437"/>
        <v>1</v>
      </c>
      <c r="V719" s="13">
        <f t="shared" si="1437"/>
        <v>0</v>
      </c>
      <c r="W719" s="13">
        <f t="shared" si="1437"/>
        <v>0</v>
      </c>
      <c r="X719" s="13">
        <f t="shared" si="1437"/>
        <v>0</v>
      </c>
      <c r="Y719" s="13">
        <f t="shared" si="1437"/>
        <v>0</v>
      </c>
      <c r="Z719" s="13">
        <f t="shared" si="1437"/>
        <v>0</v>
      </c>
      <c r="AA719" s="13">
        <f t="shared" si="1437"/>
        <v>0</v>
      </c>
      <c r="AB719" s="13">
        <f t="shared" ref="AB719:AP719" si="1438">IFERROR(VALUE(RIGHT(LEFT($J719,FIND(AB$1,$J719,IF(M719=0,1,FIND(AB$1,$J719,1)+1))+LEN(AB$1)),1)),0)</f>
        <v>0</v>
      </c>
      <c r="AC719" s="13">
        <f t="shared" si="1438"/>
        <v>0</v>
      </c>
      <c r="AD719" s="13">
        <f t="shared" si="1438"/>
        <v>1</v>
      </c>
      <c r="AE719" s="13">
        <f t="shared" si="1438"/>
        <v>0</v>
      </c>
      <c r="AF719" s="13">
        <f t="shared" si="1438"/>
        <v>0</v>
      </c>
      <c r="AG719" s="13">
        <f t="shared" si="1438"/>
        <v>0</v>
      </c>
      <c r="AH719" s="13">
        <f t="shared" si="1438"/>
        <v>0</v>
      </c>
      <c r="AI719" s="13">
        <f t="shared" si="1438"/>
        <v>0</v>
      </c>
      <c r="AJ719" s="13">
        <f t="shared" si="1438"/>
        <v>1</v>
      </c>
      <c r="AK719" s="13">
        <f t="shared" si="1438"/>
        <v>0</v>
      </c>
      <c r="AL719" s="13">
        <f t="shared" si="1438"/>
        <v>0</v>
      </c>
      <c r="AM719" s="13">
        <f t="shared" si="1438"/>
        <v>0</v>
      </c>
      <c r="AN719" s="13">
        <f t="shared" si="1438"/>
        <v>0</v>
      </c>
      <c r="AO719" s="13">
        <f t="shared" si="1438"/>
        <v>0</v>
      </c>
      <c r="AP719" s="13">
        <f t="shared" si="1438"/>
        <v>0</v>
      </c>
      <c r="AQ719" s="13" t="s">
        <v>4543</v>
      </c>
      <c r="AR719" s="13"/>
      <c r="AS719" s="13" t="s">
        <v>4544</v>
      </c>
      <c r="AT719" s="13"/>
      <c r="AU719" s="13"/>
      <c r="AV719" s="13"/>
      <c r="AW719" s="13">
        <v>0.0</v>
      </c>
      <c r="AX719" s="13">
        <v>11.0</v>
      </c>
      <c r="AY719" s="13">
        <v>0.0</v>
      </c>
      <c r="AZ719" s="13"/>
      <c r="BA719" s="13"/>
      <c r="BB719" s="13"/>
      <c r="BC719" s="13"/>
      <c r="BD719" s="13"/>
      <c r="BE719" s="13"/>
      <c r="BF719" s="13"/>
      <c r="BG719" s="13"/>
      <c r="BH719" s="13" t="s">
        <v>79</v>
      </c>
      <c r="BI719" s="13" t="b">
        <v>0</v>
      </c>
      <c r="BJ719" s="13">
        <v>0.0</v>
      </c>
      <c r="BK719" s="13">
        <v>0.0</v>
      </c>
    </row>
    <row r="720" ht="14.25" customHeight="1">
      <c r="A720" s="13">
        <v>718.0</v>
      </c>
      <c r="B720" s="13" t="s">
        <v>47</v>
      </c>
      <c r="C720" s="13">
        <v>3.0</v>
      </c>
      <c r="D720" s="14">
        <v>0.0</v>
      </c>
      <c r="E720" s="13" t="s">
        <v>4545</v>
      </c>
      <c r="F720" s="15" t="s">
        <v>1493</v>
      </c>
      <c r="G720" s="16" t="s">
        <v>4546</v>
      </c>
      <c r="H720" s="13">
        <v>18.0</v>
      </c>
      <c r="I720" s="13">
        <v>0.9</v>
      </c>
      <c r="J720" s="13" t="s">
        <v>2690</v>
      </c>
      <c r="K720" s="13">
        <f t="shared" si="3"/>
        <v>1</v>
      </c>
      <c r="L720" s="13">
        <f t="shared" si="4"/>
        <v>2</v>
      </c>
      <c r="M720" s="13">
        <f t="shared" ref="M720:AA720" si="1439">IFERROR(VALUE(RIGHT(LEFT($J720,FIND(M$1,$J720,1)+LEN(M$1)),1)),0)</f>
        <v>0</v>
      </c>
      <c r="N720" s="13">
        <f t="shared" si="1439"/>
        <v>0</v>
      </c>
      <c r="O720" s="13">
        <f t="shared" si="1439"/>
        <v>0</v>
      </c>
      <c r="P720" s="13">
        <f t="shared" si="1439"/>
        <v>0</v>
      </c>
      <c r="Q720" s="13">
        <f t="shared" si="1439"/>
        <v>0</v>
      </c>
      <c r="R720" s="13">
        <f t="shared" si="1439"/>
        <v>0</v>
      </c>
      <c r="S720" s="13">
        <f t="shared" si="1439"/>
        <v>0</v>
      </c>
      <c r="T720" s="13">
        <f t="shared" si="1439"/>
        <v>0</v>
      </c>
      <c r="U720" s="13">
        <f t="shared" si="1439"/>
        <v>0</v>
      </c>
      <c r="V720" s="13">
        <f t="shared" si="1439"/>
        <v>1</v>
      </c>
      <c r="W720" s="13">
        <f t="shared" si="1439"/>
        <v>0</v>
      </c>
      <c r="X720" s="13">
        <f t="shared" si="1439"/>
        <v>0</v>
      </c>
      <c r="Y720" s="13">
        <f t="shared" si="1439"/>
        <v>0</v>
      </c>
      <c r="Z720" s="13">
        <f t="shared" si="1439"/>
        <v>0</v>
      </c>
      <c r="AA720" s="13">
        <f t="shared" si="1439"/>
        <v>0</v>
      </c>
      <c r="AB720" s="13">
        <f t="shared" ref="AB720:AP720" si="1440">IFERROR(VALUE(RIGHT(LEFT($J720,FIND(AB$1,$J720,IF(M720=0,1,FIND(AB$1,$J720,1)+1))+LEN(AB$1)),1)),0)</f>
        <v>0</v>
      </c>
      <c r="AC720" s="13">
        <f t="shared" si="1440"/>
        <v>0</v>
      </c>
      <c r="AD720" s="13">
        <f t="shared" si="1440"/>
        <v>0</v>
      </c>
      <c r="AE720" s="13">
        <f t="shared" si="1440"/>
        <v>0</v>
      </c>
      <c r="AF720" s="13">
        <f t="shared" si="1440"/>
        <v>0</v>
      </c>
      <c r="AG720" s="13">
        <f t="shared" si="1440"/>
        <v>1</v>
      </c>
      <c r="AH720" s="13">
        <f t="shared" si="1440"/>
        <v>0</v>
      </c>
      <c r="AI720" s="13">
        <f t="shared" si="1440"/>
        <v>0</v>
      </c>
      <c r="AJ720" s="13">
        <f t="shared" si="1440"/>
        <v>0</v>
      </c>
      <c r="AK720" s="13">
        <f t="shared" si="1440"/>
        <v>1</v>
      </c>
      <c r="AL720" s="13">
        <f t="shared" si="1440"/>
        <v>0</v>
      </c>
      <c r="AM720" s="13">
        <f t="shared" si="1440"/>
        <v>0</v>
      </c>
      <c r="AN720" s="13">
        <f t="shared" si="1440"/>
        <v>0</v>
      </c>
      <c r="AO720" s="13">
        <f t="shared" si="1440"/>
        <v>0</v>
      </c>
      <c r="AP720" s="13">
        <f t="shared" si="1440"/>
        <v>0</v>
      </c>
      <c r="AQ720" s="13"/>
      <c r="AR720" s="13" t="s">
        <v>3674</v>
      </c>
      <c r="AS720" s="13" t="s">
        <v>4547</v>
      </c>
      <c r="AT720" s="13" t="s">
        <v>162</v>
      </c>
      <c r="AU720" s="13" t="s">
        <v>195</v>
      </c>
      <c r="AV720" s="13" t="s">
        <v>4548</v>
      </c>
      <c r="AW720" s="13">
        <v>20.0</v>
      </c>
      <c r="AX720" s="13">
        <v>11.0</v>
      </c>
      <c r="AY720" s="13">
        <v>0.0</v>
      </c>
      <c r="AZ720" s="13" t="s">
        <v>4549</v>
      </c>
      <c r="BA720" s="13" t="s">
        <v>1962</v>
      </c>
      <c r="BB720" s="13"/>
      <c r="BC720" s="13"/>
      <c r="BD720" s="13" t="s">
        <v>134</v>
      </c>
      <c r="BE720" s="13"/>
      <c r="BF720" s="13" t="s">
        <v>1089</v>
      </c>
      <c r="BG720" s="13" t="s">
        <v>136</v>
      </c>
      <c r="BH720" s="13" t="s">
        <v>79</v>
      </c>
      <c r="BI720" s="13" t="b">
        <v>0</v>
      </c>
      <c r="BJ720" s="13">
        <v>0.0</v>
      </c>
      <c r="BK720" s="13">
        <v>0.0</v>
      </c>
    </row>
    <row r="721" ht="14.25" customHeight="1">
      <c r="A721" s="13">
        <v>719.0</v>
      </c>
      <c r="B721" s="13" t="s">
        <v>47</v>
      </c>
      <c r="C721" s="13">
        <v>3.0</v>
      </c>
      <c r="D721" s="14">
        <v>0.0</v>
      </c>
      <c r="E721" s="13" t="s">
        <v>4550</v>
      </c>
      <c r="F721" s="15" t="s">
        <v>1493</v>
      </c>
      <c r="G721" s="16" t="s">
        <v>4551</v>
      </c>
      <c r="H721" s="13">
        <v>16.0</v>
      </c>
      <c r="I721" s="13">
        <v>1.0</v>
      </c>
      <c r="J721" s="13" t="s">
        <v>4552</v>
      </c>
      <c r="K721" s="13">
        <f t="shared" si="3"/>
        <v>1</v>
      </c>
      <c r="L721" s="13">
        <f t="shared" si="4"/>
        <v>2</v>
      </c>
      <c r="M721" s="13">
        <f t="shared" ref="M721:AA721" si="1441">IFERROR(VALUE(RIGHT(LEFT($J721,FIND(M$1,$J721,1)+LEN(M$1)),1)),0)</f>
        <v>0</v>
      </c>
      <c r="N721" s="13">
        <f t="shared" si="1441"/>
        <v>0</v>
      </c>
      <c r="O721" s="13">
        <f t="shared" si="1441"/>
        <v>0</v>
      </c>
      <c r="P721" s="13">
        <f t="shared" si="1441"/>
        <v>0</v>
      </c>
      <c r="Q721" s="13">
        <f t="shared" si="1441"/>
        <v>0</v>
      </c>
      <c r="R721" s="13">
        <f t="shared" si="1441"/>
        <v>1</v>
      </c>
      <c r="S721" s="13">
        <f t="shared" si="1441"/>
        <v>0</v>
      </c>
      <c r="T721" s="13">
        <f t="shared" si="1441"/>
        <v>0</v>
      </c>
      <c r="U721" s="13">
        <f t="shared" si="1441"/>
        <v>0</v>
      </c>
      <c r="V721" s="13">
        <f t="shared" si="1441"/>
        <v>0</v>
      </c>
      <c r="W721" s="13">
        <f t="shared" si="1441"/>
        <v>0</v>
      </c>
      <c r="X721" s="13">
        <f t="shared" si="1441"/>
        <v>0</v>
      </c>
      <c r="Y721" s="13">
        <f t="shared" si="1441"/>
        <v>0</v>
      </c>
      <c r="Z721" s="13">
        <f t="shared" si="1441"/>
        <v>0</v>
      </c>
      <c r="AA721" s="13">
        <f t="shared" si="1441"/>
        <v>0</v>
      </c>
      <c r="AB721" s="13">
        <f t="shared" ref="AB721:AP721" si="1442">IFERROR(VALUE(RIGHT(LEFT($J721,FIND(AB$1,$J721,IF(M721=0,1,FIND(AB$1,$J721,1)+1))+LEN(AB$1)),1)),0)</f>
        <v>0</v>
      </c>
      <c r="AC721" s="13">
        <f t="shared" si="1442"/>
        <v>0</v>
      </c>
      <c r="AD721" s="13">
        <f t="shared" si="1442"/>
        <v>1</v>
      </c>
      <c r="AE721" s="13">
        <f t="shared" si="1442"/>
        <v>0</v>
      </c>
      <c r="AF721" s="13">
        <f t="shared" si="1442"/>
        <v>0</v>
      </c>
      <c r="AG721" s="13">
        <f t="shared" si="1442"/>
        <v>0</v>
      </c>
      <c r="AH721" s="13">
        <f t="shared" si="1442"/>
        <v>0</v>
      </c>
      <c r="AI721" s="13">
        <f t="shared" si="1442"/>
        <v>0</v>
      </c>
      <c r="AJ721" s="13">
        <f t="shared" si="1442"/>
        <v>0</v>
      </c>
      <c r="AK721" s="13">
        <f t="shared" si="1442"/>
        <v>1</v>
      </c>
      <c r="AL721" s="13">
        <f t="shared" si="1442"/>
        <v>0</v>
      </c>
      <c r="AM721" s="13">
        <f t="shared" si="1442"/>
        <v>0</v>
      </c>
      <c r="AN721" s="13">
        <f t="shared" si="1442"/>
        <v>0</v>
      </c>
      <c r="AO721" s="13">
        <f t="shared" si="1442"/>
        <v>0</v>
      </c>
      <c r="AP721" s="13">
        <f t="shared" si="1442"/>
        <v>0</v>
      </c>
      <c r="AQ721" s="13"/>
      <c r="AR721" s="13" t="s">
        <v>4553</v>
      </c>
      <c r="AS721" s="13" t="s">
        <v>4554</v>
      </c>
      <c r="AT721" s="13" t="s">
        <v>573</v>
      </c>
      <c r="AU721" s="13" t="s">
        <v>803</v>
      </c>
      <c r="AV721" s="13" t="s">
        <v>4555</v>
      </c>
      <c r="AW721" s="13">
        <v>18.0</v>
      </c>
      <c r="AX721" s="13">
        <v>11.0</v>
      </c>
      <c r="AY721" s="13">
        <v>0.0</v>
      </c>
      <c r="AZ721" s="13" t="s">
        <v>4556</v>
      </c>
      <c r="BA721" s="13" t="s">
        <v>4557</v>
      </c>
      <c r="BB721" s="13"/>
      <c r="BC721" s="13"/>
      <c r="BD721" s="13" t="s">
        <v>484</v>
      </c>
      <c r="BE721" s="13"/>
      <c r="BF721" s="13" t="s">
        <v>4558</v>
      </c>
      <c r="BG721" s="13" t="s">
        <v>136</v>
      </c>
      <c r="BH721" s="13" t="s">
        <v>79</v>
      </c>
      <c r="BI721" s="13" t="b">
        <v>0</v>
      </c>
      <c r="BJ721" s="13">
        <v>0.0</v>
      </c>
      <c r="BK721" s="13">
        <v>0.0</v>
      </c>
    </row>
    <row r="722" ht="14.25" customHeight="1">
      <c r="A722" s="13">
        <v>720.0</v>
      </c>
      <c r="B722" s="13" t="s">
        <v>48</v>
      </c>
      <c r="C722" s="13">
        <v>3.0</v>
      </c>
      <c r="D722" s="14">
        <v>0.0</v>
      </c>
      <c r="E722" s="13" t="s">
        <v>4559</v>
      </c>
      <c r="F722" s="15" t="s">
        <v>1493</v>
      </c>
      <c r="G722" s="16" t="s">
        <v>4560</v>
      </c>
      <c r="H722" s="13">
        <v>19.0</v>
      </c>
      <c r="I722" s="13">
        <v>1.1</v>
      </c>
      <c r="J722" s="13" t="s">
        <v>1702</v>
      </c>
      <c r="K722" s="13">
        <f t="shared" si="3"/>
        <v>1</v>
      </c>
      <c r="L722" s="13">
        <f t="shared" si="4"/>
        <v>2</v>
      </c>
      <c r="M722" s="13">
        <f t="shared" ref="M722:AA722" si="1443">IFERROR(VALUE(RIGHT(LEFT($J722,FIND(M$1,$J722,1)+LEN(M$1)),1)),0)</f>
        <v>0</v>
      </c>
      <c r="N722" s="13">
        <f t="shared" si="1443"/>
        <v>0</v>
      </c>
      <c r="O722" s="13">
        <f t="shared" si="1443"/>
        <v>0</v>
      </c>
      <c r="P722" s="13">
        <f t="shared" si="1443"/>
        <v>0</v>
      </c>
      <c r="Q722" s="13">
        <f t="shared" si="1443"/>
        <v>0</v>
      </c>
      <c r="R722" s="13">
        <f t="shared" si="1443"/>
        <v>0</v>
      </c>
      <c r="S722" s="13">
        <f t="shared" si="1443"/>
        <v>0</v>
      </c>
      <c r="T722" s="13">
        <f t="shared" si="1443"/>
        <v>0</v>
      </c>
      <c r="U722" s="13">
        <f t="shared" si="1443"/>
        <v>0</v>
      </c>
      <c r="V722" s="13">
        <f t="shared" si="1443"/>
        <v>0</v>
      </c>
      <c r="W722" s="13">
        <f t="shared" si="1443"/>
        <v>1</v>
      </c>
      <c r="X722" s="13">
        <f t="shared" si="1443"/>
        <v>0</v>
      </c>
      <c r="Y722" s="13">
        <f t="shared" si="1443"/>
        <v>0</v>
      </c>
      <c r="Z722" s="13">
        <f t="shared" si="1443"/>
        <v>0</v>
      </c>
      <c r="AA722" s="13">
        <f t="shared" si="1443"/>
        <v>0</v>
      </c>
      <c r="AB722" s="13">
        <f t="shared" ref="AB722:AP722" si="1444">IFERROR(VALUE(RIGHT(LEFT($J722,FIND(AB$1,$J722,IF(M722=0,1,FIND(AB$1,$J722,1)+1))+LEN(AB$1)),1)),0)</f>
        <v>0</v>
      </c>
      <c r="AC722" s="13">
        <f t="shared" si="1444"/>
        <v>0</v>
      </c>
      <c r="AD722" s="13">
        <f t="shared" si="1444"/>
        <v>0</v>
      </c>
      <c r="AE722" s="13">
        <f t="shared" si="1444"/>
        <v>0</v>
      </c>
      <c r="AF722" s="13">
        <f t="shared" si="1444"/>
        <v>0</v>
      </c>
      <c r="AG722" s="13">
        <f t="shared" si="1444"/>
        <v>1</v>
      </c>
      <c r="AH722" s="13">
        <f t="shared" si="1444"/>
        <v>0</v>
      </c>
      <c r="AI722" s="13">
        <f t="shared" si="1444"/>
        <v>0</v>
      </c>
      <c r="AJ722" s="13">
        <f t="shared" si="1444"/>
        <v>0</v>
      </c>
      <c r="AK722" s="13">
        <f t="shared" si="1444"/>
        <v>0</v>
      </c>
      <c r="AL722" s="13">
        <f t="shared" si="1444"/>
        <v>1</v>
      </c>
      <c r="AM722" s="13">
        <f t="shared" si="1444"/>
        <v>0</v>
      </c>
      <c r="AN722" s="13">
        <f t="shared" si="1444"/>
        <v>0</v>
      </c>
      <c r="AO722" s="13">
        <f t="shared" si="1444"/>
        <v>0</v>
      </c>
      <c r="AP722" s="13">
        <f t="shared" si="1444"/>
        <v>0</v>
      </c>
      <c r="AQ722" s="13"/>
      <c r="AR722" s="13" t="s">
        <v>3300</v>
      </c>
      <c r="AS722" s="13" t="s">
        <v>4561</v>
      </c>
      <c r="AT722" s="13" t="s">
        <v>162</v>
      </c>
      <c r="AU722" s="13" t="s">
        <v>236</v>
      </c>
      <c r="AV722" s="13" t="s">
        <v>4562</v>
      </c>
      <c r="AW722" s="13">
        <v>21.0</v>
      </c>
      <c r="AX722" s="13">
        <v>11.0</v>
      </c>
      <c r="AY722" s="13">
        <v>0.0</v>
      </c>
      <c r="AZ722" s="13" t="s">
        <v>4563</v>
      </c>
      <c r="BA722" s="13" t="s">
        <v>4564</v>
      </c>
      <c r="BB722" s="13"/>
      <c r="BC722" s="13"/>
      <c r="BD722" s="13" t="s">
        <v>179</v>
      </c>
      <c r="BE722" s="13"/>
      <c r="BF722" s="13" t="s">
        <v>1794</v>
      </c>
      <c r="BG722" s="13" t="s">
        <v>169</v>
      </c>
      <c r="BH722" s="13" t="s">
        <v>241</v>
      </c>
      <c r="BI722" s="13" t="b">
        <v>0</v>
      </c>
      <c r="BJ722" s="13">
        <v>0.0</v>
      </c>
      <c r="BK722" s="13">
        <v>0.0</v>
      </c>
    </row>
    <row r="723" ht="14.25" customHeight="1">
      <c r="A723" s="13">
        <v>721.0</v>
      </c>
      <c r="B723" s="13" t="s">
        <v>48</v>
      </c>
      <c r="C723" s="13">
        <v>3.0</v>
      </c>
      <c r="D723" s="14">
        <v>0.0</v>
      </c>
      <c r="E723" s="13" t="s">
        <v>4565</v>
      </c>
      <c r="F723" s="15" t="s">
        <v>1493</v>
      </c>
      <c r="G723" s="16" t="s">
        <v>4566</v>
      </c>
      <c r="H723" s="13">
        <v>17.0</v>
      </c>
      <c r="I723" s="13">
        <v>1.0</v>
      </c>
      <c r="J723" s="13" t="s">
        <v>4567</v>
      </c>
      <c r="K723" s="13">
        <f t="shared" si="3"/>
        <v>1</v>
      </c>
      <c r="L723" s="13">
        <f t="shared" si="4"/>
        <v>2</v>
      </c>
      <c r="M723" s="13">
        <f t="shared" ref="M723:AA723" si="1445">IFERROR(VALUE(RIGHT(LEFT($J723,FIND(M$1,$J723,1)+LEN(M$1)),1)),0)</f>
        <v>0</v>
      </c>
      <c r="N723" s="13">
        <f t="shared" si="1445"/>
        <v>1</v>
      </c>
      <c r="O723" s="13">
        <f t="shared" si="1445"/>
        <v>0</v>
      </c>
      <c r="P723" s="13">
        <f t="shared" si="1445"/>
        <v>0</v>
      </c>
      <c r="Q723" s="13">
        <f t="shared" si="1445"/>
        <v>0</v>
      </c>
      <c r="R723" s="13">
        <f t="shared" si="1445"/>
        <v>0</v>
      </c>
      <c r="S723" s="13">
        <f t="shared" si="1445"/>
        <v>0</v>
      </c>
      <c r="T723" s="13">
        <f t="shared" si="1445"/>
        <v>0</v>
      </c>
      <c r="U723" s="13">
        <f t="shared" si="1445"/>
        <v>0</v>
      </c>
      <c r="V723" s="13">
        <f t="shared" si="1445"/>
        <v>0</v>
      </c>
      <c r="W723" s="13">
        <f t="shared" si="1445"/>
        <v>0</v>
      </c>
      <c r="X723" s="13">
        <f t="shared" si="1445"/>
        <v>0</v>
      </c>
      <c r="Y723" s="13">
        <f t="shared" si="1445"/>
        <v>0</v>
      </c>
      <c r="Z723" s="13">
        <f t="shared" si="1445"/>
        <v>0</v>
      </c>
      <c r="AA723" s="13">
        <f t="shared" si="1445"/>
        <v>0</v>
      </c>
      <c r="AB723" s="13">
        <f t="shared" ref="AB723:AP723" si="1446">IFERROR(VALUE(RIGHT(LEFT($J723,FIND(AB$1,$J723,IF(M723=0,1,FIND(AB$1,$J723,1)+1))+LEN(AB$1)),1)),0)</f>
        <v>0</v>
      </c>
      <c r="AC723" s="13">
        <f t="shared" si="1446"/>
        <v>1</v>
      </c>
      <c r="AD723" s="13">
        <f t="shared" si="1446"/>
        <v>0</v>
      </c>
      <c r="AE723" s="13">
        <f t="shared" si="1446"/>
        <v>0</v>
      </c>
      <c r="AF723" s="13">
        <f t="shared" si="1446"/>
        <v>0</v>
      </c>
      <c r="AG723" s="13">
        <f t="shared" si="1446"/>
        <v>0</v>
      </c>
      <c r="AH723" s="13">
        <f t="shared" si="1446"/>
        <v>0</v>
      </c>
      <c r="AI723" s="13">
        <f t="shared" si="1446"/>
        <v>0</v>
      </c>
      <c r="AJ723" s="13">
        <f t="shared" si="1446"/>
        <v>0</v>
      </c>
      <c r="AK723" s="13">
        <f t="shared" si="1446"/>
        <v>0</v>
      </c>
      <c r="AL723" s="13">
        <f t="shared" si="1446"/>
        <v>1</v>
      </c>
      <c r="AM723" s="13">
        <f t="shared" si="1446"/>
        <v>0</v>
      </c>
      <c r="AN723" s="13">
        <f t="shared" si="1446"/>
        <v>0</v>
      </c>
      <c r="AO723" s="13">
        <f t="shared" si="1446"/>
        <v>0</v>
      </c>
      <c r="AP723" s="13">
        <f t="shared" si="1446"/>
        <v>0</v>
      </c>
      <c r="AQ723" s="13"/>
      <c r="AR723" s="13" t="s">
        <v>4108</v>
      </c>
      <c r="AS723" s="13" t="s">
        <v>3463</v>
      </c>
      <c r="AT723" s="13" t="s">
        <v>162</v>
      </c>
      <c r="AU723" s="13" t="s">
        <v>616</v>
      </c>
      <c r="AV723" s="13" t="s">
        <v>4568</v>
      </c>
      <c r="AW723" s="13">
        <v>19.0</v>
      </c>
      <c r="AX723" s="13">
        <v>11.0</v>
      </c>
      <c r="AY723" s="13">
        <v>0.0</v>
      </c>
      <c r="AZ723" s="13" t="s">
        <v>4569</v>
      </c>
      <c r="BA723" s="13" t="s">
        <v>4570</v>
      </c>
      <c r="BB723" s="13"/>
      <c r="BC723" s="13"/>
      <c r="BD723" s="13" t="s">
        <v>188</v>
      </c>
      <c r="BE723" s="13"/>
      <c r="BF723" s="13" t="s">
        <v>4571</v>
      </c>
      <c r="BG723" s="13" t="s">
        <v>169</v>
      </c>
      <c r="BH723" s="13" t="s">
        <v>79</v>
      </c>
      <c r="BI723" s="13" t="b">
        <v>0</v>
      </c>
      <c r="BJ723" s="13">
        <v>0.0</v>
      </c>
      <c r="BK723" s="13">
        <v>0.0</v>
      </c>
    </row>
    <row r="724" ht="14.25" customHeight="1">
      <c r="A724" s="13">
        <v>722.0</v>
      </c>
      <c r="B724" s="13" t="s">
        <v>44</v>
      </c>
      <c r="C724" s="13">
        <v>4.0</v>
      </c>
      <c r="D724" s="14">
        <v>0.0</v>
      </c>
      <c r="E724" s="13" t="s">
        <v>4572</v>
      </c>
      <c r="F724" s="15" t="s">
        <v>1493</v>
      </c>
      <c r="G724" s="16" t="s">
        <v>4573</v>
      </c>
      <c r="H724" s="13"/>
      <c r="I724" s="13">
        <v>1.2</v>
      </c>
      <c r="J724" s="13" t="s">
        <v>3904</v>
      </c>
      <c r="K724" s="13">
        <f t="shared" si="3"/>
        <v>2</v>
      </c>
      <c r="L724" s="13">
        <f t="shared" si="4"/>
        <v>2</v>
      </c>
      <c r="M724" s="13">
        <f t="shared" ref="M724:AA724" si="1447">IFERROR(VALUE(RIGHT(LEFT($J724,FIND(M$1,$J724,1)+LEN(M$1)),1)),0)</f>
        <v>0</v>
      </c>
      <c r="N724" s="13">
        <f t="shared" si="1447"/>
        <v>0</v>
      </c>
      <c r="O724" s="13">
        <f t="shared" si="1447"/>
        <v>0</v>
      </c>
      <c r="P724" s="13">
        <f t="shared" si="1447"/>
        <v>0</v>
      </c>
      <c r="Q724" s="13">
        <f t="shared" si="1447"/>
        <v>0</v>
      </c>
      <c r="R724" s="13">
        <f t="shared" si="1447"/>
        <v>0</v>
      </c>
      <c r="S724" s="13">
        <f t="shared" si="1447"/>
        <v>2</v>
      </c>
      <c r="T724" s="13">
        <f t="shared" si="1447"/>
        <v>0</v>
      </c>
      <c r="U724" s="13">
        <f t="shared" si="1447"/>
        <v>0</v>
      </c>
      <c r="V724" s="13">
        <f t="shared" si="1447"/>
        <v>0</v>
      </c>
      <c r="W724" s="13">
        <f t="shared" si="1447"/>
        <v>0</v>
      </c>
      <c r="X724" s="13">
        <f t="shared" si="1447"/>
        <v>0</v>
      </c>
      <c r="Y724" s="13">
        <f t="shared" si="1447"/>
        <v>0</v>
      </c>
      <c r="Z724" s="13">
        <f t="shared" si="1447"/>
        <v>0</v>
      </c>
      <c r="AA724" s="13">
        <f t="shared" si="1447"/>
        <v>0</v>
      </c>
      <c r="AB724" s="13">
        <f t="shared" ref="AB724:AP724" si="1448">IFERROR(VALUE(RIGHT(LEFT($J724,FIND(AB$1,$J724,IF(M724=0,1,FIND(AB$1,$J724,1)+1))+LEN(AB$1)),1)),0)</f>
        <v>0</v>
      </c>
      <c r="AC724" s="13">
        <f t="shared" si="1448"/>
        <v>0</v>
      </c>
      <c r="AD724" s="13">
        <f t="shared" si="1448"/>
        <v>0</v>
      </c>
      <c r="AE724" s="13">
        <f t="shared" si="1448"/>
        <v>0</v>
      </c>
      <c r="AF724" s="13">
        <f t="shared" si="1448"/>
        <v>0</v>
      </c>
      <c r="AG724" s="13">
        <f t="shared" si="1448"/>
        <v>1</v>
      </c>
      <c r="AH724" s="13">
        <f t="shared" si="1448"/>
        <v>1</v>
      </c>
      <c r="AI724" s="13">
        <f t="shared" si="1448"/>
        <v>0</v>
      </c>
      <c r="AJ724" s="13">
        <f t="shared" si="1448"/>
        <v>0</v>
      </c>
      <c r="AK724" s="13">
        <f t="shared" si="1448"/>
        <v>0</v>
      </c>
      <c r="AL724" s="13">
        <f t="shared" si="1448"/>
        <v>0</v>
      </c>
      <c r="AM724" s="13">
        <f t="shared" si="1448"/>
        <v>0</v>
      </c>
      <c r="AN724" s="13">
        <f t="shared" si="1448"/>
        <v>0</v>
      </c>
      <c r="AO724" s="13">
        <f t="shared" si="1448"/>
        <v>0</v>
      </c>
      <c r="AP724" s="13">
        <f t="shared" si="1448"/>
        <v>0</v>
      </c>
      <c r="AQ724" s="13" t="s">
        <v>4574</v>
      </c>
      <c r="AR724" s="13"/>
      <c r="AS724" s="13" t="s">
        <v>3906</v>
      </c>
      <c r="AT724" s="13"/>
      <c r="AU724" s="13"/>
      <c r="AV724" s="13"/>
      <c r="AW724" s="13">
        <v>0.0</v>
      </c>
      <c r="AX724" s="13">
        <v>11.0</v>
      </c>
      <c r="AY724" s="13">
        <v>0.0</v>
      </c>
      <c r="AZ724" s="13"/>
      <c r="BA724" s="13"/>
      <c r="BB724" s="13"/>
      <c r="BC724" s="13"/>
      <c r="BD724" s="13"/>
      <c r="BE724" s="13"/>
      <c r="BF724" s="13"/>
      <c r="BG724" s="13"/>
      <c r="BH724" s="13" t="s">
        <v>79</v>
      </c>
      <c r="BI724" s="13" t="b">
        <v>0</v>
      </c>
      <c r="BJ724" s="13">
        <v>0.0</v>
      </c>
      <c r="BK724" s="13">
        <v>0.0</v>
      </c>
    </row>
    <row r="725" ht="14.25" customHeight="1">
      <c r="A725" s="13">
        <v>723.0</v>
      </c>
      <c r="B725" s="13" t="s">
        <v>45</v>
      </c>
      <c r="C725" s="13">
        <v>4.0</v>
      </c>
      <c r="D725" s="14">
        <v>0.0</v>
      </c>
      <c r="E725" s="13" t="s">
        <v>4575</v>
      </c>
      <c r="F725" s="15" t="s">
        <v>1493</v>
      </c>
      <c r="G725" s="16" t="s">
        <v>4576</v>
      </c>
      <c r="H725" s="13"/>
      <c r="I725" s="13">
        <v>1.0</v>
      </c>
      <c r="J725" s="13" t="s">
        <v>1918</v>
      </c>
      <c r="K725" s="13">
        <f t="shared" si="3"/>
        <v>2</v>
      </c>
      <c r="L725" s="13">
        <f t="shared" si="4"/>
        <v>2</v>
      </c>
      <c r="M725" s="13">
        <f t="shared" ref="M725:AA725" si="1449">IFERROR(VALUE(RIGHT(LEFT($J725,FIND(M$1,$J725,1)+LEN(M$1)),1)),0)</f>
        <v>0</v>
      </c>
      <c r="N725" s="13">
        <f t="shared" si="1449"/>
        <v>0</v>
      </c>
      <c r="O725" s="13">
        <f t="shared" si="1449"/>
        <v>0</v>
      </c>
      <c r="P725" s="13">
        <f t="shared" si="1449"/>
        <v>0</v>
      </c>
      <c r="Q725" s="13">
        <f t="shared" si="1449"/>
        <v>0</v>
      </c>
      <c r="R725" s="13">
        <f t="shared" si="1449"/>
        <v>0</v>
      </c>
      <c r="S725" s="13">
        <f t="shared" si="1449"/>
        <v>0</v>
      </c>
      <c r="T725" s="13">
        <f t="shared" si="1449"/>
        <v>2</v>
      </c>
      <c r="U725" s="13">
        <f t="shared" si="1449"/>
        <v>0</v>
      </c>
      <c r="V725" s="13">
        <f t="shared" si="1449"/>
        <v>0</v>
      </c>
      <c r="W725" s="13">
        <f t="shared" si="1449"/>
        <v>0</v>
      </c>
      <c r="X725" s="13">
        <f t="shared" si="1449"/>
        <v>0</v>
      </c>
      <c r="Y725" s="13">
        <f t="shared" si="1449"/>
        <v>0</v>
      </c>
      <c r="Z725" s="13">
        <f t="shared" si="1449"/>
        <v>0</v>
      </c>
      <c r="AA725" s="13">
        <f t="shared" si="1449"/>
        <v>0</v>
      </c>
      <c r="AB725" s="13">
        <f t="shared" ref="AB725:AP725" si="1450">IFERROR(VALUE(RIGHT(LEFT($J725,FIND(AB$1,$J725,IF(M725=0,1,FIND(AB$1,$J725,1)+1))+LEN(AB$1)),1)),0)</f>
        <v>0</v>
      </c>
      <c r="AC725" s="13">
        <f t="shared" si="1450"/>
        <v>1</v>
      </c>
      <c r="AD725" s="13">
        <f t="shared" si="1450"/>
        <v>0</v>
      </c>
      <c r="AE725" s="13">
        <f t="shared" si="1450"/>
        <v>0</v>
      </c>
      <c r="AF725" s="13">
        <f t="shared" si="1450"/>
        <v>0</v>
      </c>
      <c r="AG725" s="13">
        <f t="shared" si="1450"/>
        <v>0</v>
      </c>
      <c r="AH725" s="13">
        <f t="shared" si="1450"/>
        <v>0</v>
      </c>
      <c r="AI725" s="13">
        <f t="shared" si="1450"/>
        <v>1</v>
      </c>
      <c r="AJ725" s="13">
        <f t="shared" si="1450"/>
        <v>0</v>
      </c>
      <c r="AK725" s="13">
        <f t="shared" si="1450"/>
        <v>0</v>
      </c>
      <c r="AL725" s="13">
        <f t="shared" si="1450"/>
        <v>0</v>
      </c>
      <c r="AM725" s="13">
        <f t="shared" si="1450"/>
        <v>0</v>
      </c>
      <c r="AN725" s="13">
        <f t="shared" si="1450"/>
        <v>0</v>
      </c>
      <c r="AO725" s="13">
        <f t="shared" si="1450"/>
        <v>0</v>
      </c>
      <c r="AP725" s="13">
        <f t="shared" si="1450"/>
        <v>0</v>
      </c>
      <c r="AQ725" s="13" t="s">
        <v>4577</v>
      </c>
      <c r="AR725" s="13"/>
      <c r="AS725" s="13" t="s">
        <v>4125</v>
      </c>
      <c r="AT725" s="13"/>
      <c r="AU725" s="13"/>
      <c r="AV725" s="13"/>
      <c r="AW725" s="13">
        <v>0.0</v>
      </c>
      <c r="AX725" s="13">
        <v>11.0</v>
      </c>
      <c r="AY725" s="13">
        <v>0.0</v>
      </c>
      <c r="AZ725" s="13"/>
      <c r="BA725" s="13"/>
      <c r="BB725" s="13"/>
      <c r="BC725" s="13"/>
      <c r="BD725" s="13"/>
      <c r="BE725" s="13"/>
      <c r="BF725" s="13"/>
      <c r="BG725" s="13"/>
      <c r="BH725" s="13" t="s">
        <v>79</v>
      </c>
      <c r="BI725" s="13" t="b">
        <v>0</v>
      </c>
      <c r="BJ725" s="13">
        <v>0.0</v>
      </c>
      <c r="BK725" s="13">
        <v>0.0</v>
      </c>
    </row>
    <row r="726" ht="14.25" customHeight="1">
      <c r="A726" s="13">
        <v>724.0</v>
      </c>
      <c r="B726" s="13" t="s">
        <v>46</v>
      </c>
      <c r="C726" s="13">
        <v>4.0</v>
      </c>
      <c r="D726" s="14">
        <v>0.0</v>
      </c>
      <c r="E726" s="13" t="s">
        <v>4578</v>
      </c>
      <c r="F726" s="15" t="s">
        <v>1493</v>
      </c>
      <c r="G726" s="16" t="s">
        <v>4579</v>
      </c>
      <c r="H726" s="13"/>
      <c r="I726" s="13">
        <v>0.9</v>
      </c>
      <c r="J726" s="13" t="s">
        <v>1943</v>
      </c>
      <c r="K726" s="13">
        <f t="shared" si="3"/>
        <v>2</v>
      </c>
      <c r="L726" s="13">
        <f t="shared" si="4"/>
        <v>2</v>
      </c>
      <c r="M726" s="13">
        <f t="shared" ref="M726:AA726" si="1451">IFERROR(VALUE(RIGHT(LEFT($J726,FIND(M$1,$J726,1)+LEN(M$1)),1)),0)</f>
        <v>0</v>
      </c>
      <c r="N726" s="13">
        <f t="shared" si="1451"/>
        <v>0</v>
      </c>
      <c r="O726" s="13">
        <f t="shared" si="1451"/>
        <v>0</v>
      </c>
      <c r="P726" s="13">
        <f t="shared" si="1451"/>
        <v>0</v>
      </c>
      <c r="Q726" s="13">
        <f t="shared" si="1451"/>
        <v>0</v>
      </c>
      <c r="R726" s="13">
        <f t="shared" si="1451"/>
        <v>0</v>
      </c>
      <c r="S726" s="13">
        <f t="shared" si="1451"/>
        <v>0</v>
      </c>
      <c r="T726" s="13">
        <f t="shared" si="1451"/>
        <v>0</v>
      </c>
      <c r="U726" s="13">
        <f t="shared" si="1451"/>
        <v>2</v>
      </c>
      <c r="V726" s="13">
        <f t="shared" si="1451"/>
        <v>0</v>
      </c>
      <c r="W726" s="13">
        <f t="shared" si="1451"/>
        <v>0</v>
      </c>
      <c r="X726" s="13">
        <f t="shared" si="1451"/>
        <v>0</v>
      </c>
      <c r="Y726" s="13">
        <f t="shared" si="1451"/>
        <v>0</v>
      </c>
      <c r="Z726" s="13">
        <f t="shared" si="1451"/>
        <v>0</v>
      </c>
      <c r="AA726" s="13">
        <f t="shared" si="1451"/>
        <v>0</v>
      </c>
      <c r="AB726" s="13">
        <f t="shared" ref="AB726:AP726" si="1452">IFERROR(VALUE(RIGHT(LEFT($J726,FIND(AB$1,$J726,IF(M726=0,1,FIND(AB$1,$J726,1)+1))+LEN(AB$1)),1)),0)</f>
        <v>0</v>
      </c>
      <c r="AC726" s="13">
        <f t="shared" si="1452"/>
        <v>0</v>
      </c>
      <c r="AD726" s="13">
        <f t="shared" si="1452"/>
        <v>1</v>
      </c>
      <c r="AE726" s="13">
        <f t="shared" si="1452"/>
        <v>0</v>
      </c>
      <c r="AF726" s="13">
        <f t="shared" si="1452"/>
        <v>0</v>
      </c>
      <c r="AG726" s="13">
        <f t="shared" si="1452"/>
        <v>0</v>
      </c>
      <c r="AH726" s="13">
        <f t="shared" si="1452"/>
        <v>0</v>
      </c>
      <c r="AI726" s="13">
        <f t="shared" si="1452"/>
        <v>0</v>
      </c>
      <c r="AJ726" s="13">
        <f t="shared" si="1452"/>
        <v>1</v>
      </c>
      <c r="AK726" s="13">
        <f t="shared" si="1452"/>
        <v>0</v>
      </c>
      <c r="AL726" s="13">
        <f t="shared" si="1452"/>
        <v>0</v>
      </c>
      <c r="AM726" s="13">
        <f t="shared" si="1452"/>
        <v>0</v>
      </c>
      <c r="AN726" s="13">
        <f t="shared" si="1452"/>
        <v>0</v>
      </c>
      <c r="AO726" s="13">
        <f t="shared" si="1452"/>
        <v>0</v>
      </c>
      <c r="AP726" s="13">
        <f t="shared" si="1452"/>
        <v>0</v>
      </c>
      <c r="AQ726" s="13" t="s">
        <v>4580</v>
      </c>
      <c r="AR726" s="13"/>
      <c r="AS726" s="13" t="s">
        <v>4581</v>
      </c>
      <c r="AT726" s="13"/>
      <c r="AU726" s="13"/>
      <c r="AV726" s="13"/>
      <c r="AW726" s="13">
        <v>0.0</v>
      </c>
      <c r="AX726" s="13">
        <v>11.0</v>
      </c>
      <c r="AY726" s="13">
        <v>0.0</v>
      </c>
      <c r="AZ726" s="13"/>
      <c r="BA726" s="13"/>
      <c r="BB726" s="13"/>
      <c r="BC726" s="13"/>
      <c r="BD726" s="13"/>
      <c r="BE726" s="13"/>
      <c r="BF726" s="13"/>
      <c r="BG726" s="13"/>
      <c r="BH726" s="13" t="s">
        <v>79</v>
      </c>
      <c r="BI726" s="13" t="b">
        <v>0</v>
      </c>
      <c r="BJ726" s="13">
        <v>0.0</v>
      </c>
      <c r="BK726" s="13">
        <v>0.0</v>
      </c>
    </row>
    <row r="727" ht="14.25" customHeight="1">
      <c r="A727" s="13">
        <v>725.0</v>
      </c>
      <c r="B727" s="13" t="s">
        <v>47</v>
      </c>
      <c r="C727" s="13">
        <v>4.0</v>
      </c>
      <c r="D727" s="14">
        <v>0.0</v>
      </c>
      <c r="E727" s="13" t="s">
        <v>4582</v>
      </c>
      <c r="F727" s="15" t="s">
        <v>1493</v>
      </c>
      <c r="G727" s="16" t="s">
        <v>4583</v>
      </c>
      <c r="H727" s="13">
        <v>22.0</v>
      </c>
      <c r="I727" s="13">
        <v>1.0</v>
      </c>
      <c r="J727" s="13" t="s">
        <v>4584</v>
      </c>
      <c r="K727" s="13">
        <f t="shared" si="3"/>
        <v>2</v>
      </c>
      <c r="L727" s="13">
        <f t="shared" si="4"/>
        <v>2</v>
      </c>
      <c r="M727" s="13">
        <f t="shared" ref="M727:AA727" si="1453">IFERROR(VALUE(RIGHT(LEFT($J727,FIND(M$1,$J727,1)+LEN(M$1)),1)),0)</f>
        <v>0</v>
      </c>
      <c r="N727" s="13">
        <f t="shared" si="1453"/>
        <v>0</v>
      </c>
      <c r="O727" s="13">
        <f t="shared" si="1453"/>
        <v>0</v>
      </c>
      <c r="P727" s="13">
        <f t="shared" si="1453"/>
        <v>0</v>
      </c>
      <c r="Q727" s="13">
        <f t="shared" si="1453"/>
        <v>0</v>
      </c>
      <c r="R727" s="13">
        <f t="shared" si="1453"/>
        <v>2</v>
      </c>
      <c r="S727" s="13">
        <f t="shared" si="1453"/>
        <v>0</v>
      </c>
      <c r="T727" s="13">
        <f t="shared" si="1453"/>
        <v>0</v>
      </c>
      <c r="U727" s="13">
        <f t="shared" si="1453"/>
        <v>0</v>
      </c>
      <c r="V727" s="13">
        <f t="shared" si="1453"/>
        <v>0</v>
      </c>
      <c r="W727" s="13">
        <f t="shared" si="1453"/>
        <v>0</v>
      </c>
      <c r="X727" s="13">
        <f t="shared" si="1453"/>
        <v>0</v>
      </c>
      <c r="Y727" s="13">
        <f t="shared" si="1453"/>
        <v>0</v>
      </c>
      <c r="Z727" s="13">
        <f t="shared" si="1453"/>
        <v>0</v>
      </c>
      <c r="AA727" s="13">
        <f t="shared" si="1453"/>
        <v>0</v>
      </c>
      <c r="AB727" s="13">
        <f t="shared" ref="AB727:AP727" si="1454">IFERROR(VALUE(RIGHT(LEFT($J727,FIND(AB$1,$J727,IF(M727=0,1,FIND(AB$1,$J727,1)+1))+LEN(AB$1)),1)),0)</f>
        <v>0</v>
      </c>
      <c r="AC727" s="13">
        <f t="shared" si="1454"/>
        <v>0</v>
      </c>
      <c r="AD727" s="13">
        <f t="shared" si="1454"/>
        <v>1</v>
      </c>
      <c r="AE727" s="13">
        <f t="shared" si="1454"/>
        <v>0</v>
      </c>
      <c r="AF727" s="13">
        <f t="shared" si="1454"/>
        <v>0</v>
      </c>
      <c r="AG727" s="13">
        <f t="shared" si="1454"/>
        <v>0</v>
      </c>
      <c r="AH727" s="13">
        <f t="shared" si="1454"/>
        <v>0</v>
      </c>
      <c r="AI727" s="13">
        <f t="shared" si="1454"/>
        <v>0</v>
      </c>
      <c r="AJ727" s="13">
        <f t="shared" si="1454"/>
        <v>0</v>
      </c>
      <c r="AK727" s="13">
        <f t="shared" si="1454"/>
        <v>1</v>
      </c>
      <c r="AL727" s="13">
        <f t="shared" si="1454"/>
        <v>0</v>
      </c>
      <c r="AM727" s="13">
        <f t="shared" si="1454"/>
        <v>0</v>
      </c>
      <c r="AN727" s="13">
        <f t="shared" si="1454"/>
        <v>0</v>
      </c>
      <c r="AO727" s="13">
        <f t="shared" si="1454"/>
        <v>0</v>
      </c>
      <c r="AP727" s="13">
        <f t="shared" si="1454"/>
        <v>0</v>
      </c>
      <c r="AQ727" s="13"/>
      <c r="AR727" s="13" t="s">
        <v>4585</v>
      </c>
      <c r="AS727" s="13" t="s">
        <v>4586</v>
      </c>
      <c r="AT727" s="13" t="s">
        <v>162</v>
      </c>
      <c r="AU727" s="13" t="s">
        <v>616</v>
      </c>
      <c r="AV727" s="13" t="s">
        <v>4587</v>
      </c>
      <c r="AW727" s="13">
        <v>27.0</v>
      </c>
      <c r="AX727" s="13">
        <v>11.0</v>
      </c>
      <c r="AY727" s="13">
        <v>0.0</v>
      </c>
      <c r="AZ727" s="13" t="s">
        <v>4588</v>
      </c>
      <c r="BA727" s="13" t="s">
        <v>4589</v>
      </c>
      <c r="BB727" s="13"/>
      <c r="BC727" s="13"/>
      <c r="BD727" s="13" t="s">
        <v>484</v>
      </c>
      <c r="BE727" s="13"/>
      <c r="BF727" s="13" t="s">
        <v>4590</v>
      </c>
      <c r="BG727" s="13" t="s">
        <v>136</v>
      </c>
      <c r="BH727" s="13" t="s">
        <v>241</v>
      </c>
      <c r="BI727" s="13" t="b">
        <v>0</v>
      </c>
      <c r="BJ727" s="13">
        <v>0.0</v>
      </c>
      <c r="BK727" s="13">
        <v>0.0</v>
      </c>
    </row>
    <row r="728" ht="14.25" customHeight="1">
      <c r="A728" s="13">
        <v>726.0</v>
      </c>
      <c r="B728" s="13" t="s">
        <v>47</v>
      </c>
      <c r="C728" s="13">
        <v>4.0</v>
      </c>
      <c r="D728" s="14">
        <v>0.0</v>
      </c>
      <c r="E728" s="13" t="s">
        <v>4591</v>
      </c>
      <c r="F728" s="15" t="s">
        <v>1493</v>
      </c>
      <c r="G728" s="16" t="s">
        <v>4592</v>
      </c>
      <c r="H728" s="13">
        <v>19.0</v>
      </c>
      <c r="I728" s="13">
        <v>1.1</v>
      </c>
      <c r="J728" s="13" t="s">
        <v>2730</v>
      </c>
      <c r="K728" s="13">
        <f t="shared" si="3"/>
        <v>2</v>
      </c>
      <c r="L728" s="13">
        <f t="shared" si="4"/>
        <v>2</v>
      </c>
      <c r="M728" s="13">
        <f t="shared" ref="M728:AA728" si="1455">IFERROR(VALUE(RIGHT(LEFT($J728,FIND(M$1,$J728,1)+LEN(M$1)),1)),0)</f>
        <v>0</v>
      </c>
      <c r="N728" s="13">
        <f t="shared" si="1455"/>
        <v>0</v>
      </c>
      <c r="O728" s="13">
        <f t="shared" si="1455"/>
        <v>0</v>
      </c>
      <c r="P728" s="13">
        <f t="shared" si="1455"/>
        <v>0</v>
      </c>
      <c r="Q728" s="13">
        <f t="shared" si="1455"/>
        <v>0</v>
      </c>
      <c r="R728" s="13">
        <f t="shared" si="1455"/>
        <v>0</v>
      </c>
      <c r="S728" s="13">
        <f t="shared" si="1455"/>
        <v>0</v>
      </c>
      <c r="T728" s="13">
        <f t="shared" si="1455"/>
        <v>0</v>
      </c>
      <c r="U728" s="13">
        <f t="shared" si="1455"/>
        <v>0</v>
      </c>
      <c r="V728" s="13">
        <f t="shared" si="1455"/>
        <v>2</v>
      </c>
      <c r="W728" s="13">
        <f t="shared" si="1455"/>
        <v>0</v>
      </c>
      <c r="X728" s="13">
        <f t="shared" si="1455"/>
        <v>0</v>
      </c>
      <c r="Y728" s="13">
        <f t="shared" si="1455"/>
        <v>0</v>
      </c>
      <c r="Z728" s="13">
        <f t="shared" si="1455"/>
        <v>0</v>
      </c>
      <c r="AA728" s="13">
        <f t="shared" si="1455"/>
        <v>0</v>
      </c>
      <c r="AB728" s="13">
        <f t="shared" ref="AB728:AP728" si="1456">IFERROR(VALUE(RIGHT(LEFT($J728,FIND(AB$1,$J728,IF(M728=0,1,FIND(AB$1,$J728,1)+1))+LEN(AB$1)),1)),0)</f>
        <v>0</v>
      </c>
      <c r="AC728" s="13">
        <f t="shared" si="1456"/>
        <v>0</v>
      </c>
      <c r="AD728" s="13">
        <f t="shared" si="1456"/>
        <v>0</v>
      </c>
      <c r="AE728" s="13">
        <f t="shared" si="1456"/>
        <v>0</v>
      </c>
      <c r="AF728" s="13">
        <f t="shared" si="1456"/>
        <v>0</v>
      </c>
      <c r="AG728" s="13">
        <f t="shared" si="1456"/>
        <v>1</v>
      </c>
      <c r="AH728" s="13">
        <f t="shared" si="1456"/>
        <v>0</v>
      </c>
      <c r="AI728" s="13">
        <f t="shared" si="1456"/>
        <v>0</v>
      </c>
      <c r="AJ728" s="13">
        <f t="shared" si="1456"/>
        <v>0</v>
      </c>
      <c r="AK728" s="13">
        <f t="shared" si="1456"/>
        <v>1</v>
      </c>
      <c r="AL728" s="13">
        <f t="shared" si="1456"/>
        <v>0</v>
      </c>
      <c r="AM728" s="13">
        <f t="shared" si="1456"/>
        <v>0</v>
      </c>
      <c r="AN728" s="13">
        <f t="shared" si="1456"/>
        <v>0</v>
      </c>
      <c r="AO728" s="13">
        <f t="shared" si="1456"/>
        <v>0</v>
      </c>
      <c r="AP728" s="13">
        <f t="shared" si="1456"/>
        <v>0</v>
      </c>
      <c r="AQ728" s="13"/>
      <c r="AR728" s="13" t="s">
        <v>4593</v>
      </c>
      <c r="AS728" s="13" t="s">
        <v>4594</v>
      </c>
      <c r="AT728" s="13" t="s">
        <v>129</v>
      </c>
      <c r="AU728" s="13" t="s">
        <v>143</v>
      </c>
      <c r="AV728" s="13" t="s">
        <v>4595</v>
      </c>
      <c r="AW728" s="13">
        <v>22.0</v>
      </c>
      <c r="AX728" s="13">
        <v>11.0</v>
      </c>
      <c r="AY728" s="13">
        <v>0.0</v>
      </c>
      <c r="AZ728" s="13" t="s">
        <v>4596</v>
      </c>
      <c r="BA728" s="13" t="s">
        <v>1231</v>
      </c>
      <c r="BB728" s="13"/>
      <c r="BC728" s="13"/>
      <c r="BD728" s="13" t="s">
        <v>134</v>
      </c>
      <c r="BE728" s="13"/>
      <c r="BF728" s="13" t="s">
        <v>4597</v>
      </c>
      <c r="BG728" s="13" t="s">
        <v>136</v>
      </c>
      <c r="BH728" s="13" t="s">
        <v>79</v>
      </c>
      <c r="BI728" s="13" t="b">
        <v>0</v>
      </c>
      <c r="BJ728" s="13">
        <v>0.0</v>
      </c>
      <c r="BK728" s="13">
        <v>0.0</v>
      </c>
    </row>
    <row r="729" ht="14.25" customHeight="1">
      <c r="A729" s="13">
        <v>727.0</v>
      </c>
      <c r="B729" s="13" t="s">
        <v>48</v>
      </c>
      <c r="C729" s="13">
        <v>4.0</v>
      </c>
      <c r="D729" s="14">
        <v>0.0</v>
      </c>
      <c r="E729" s="13" t="s">
        <v>4598</v>
      </c>
      <c r="F729" s="15" t="s">
        <v>1493</v>
      </c>
      <c r="G729" s="16" t="s">
        <v>4599</v>
      </c>
      <c r="H729" s="13">
        <v>21.0</v>
      </c>
      <c r="I729" s="13">
        <v>1.0</v>
      </c>
      <c r="J729" s="13" t="s">
        <v>4600</v>
      </c>
      <c r="K729" s="13">
        <f t="shared" si="3"/>
        <v>2</v>
      </c>
      <c r="L729" s="13">
        <f t="shared" si="4"/>
        <v>2</v>
      </c>
      <c r="M729" s="13">
        <f t="shared" ref="M729:AA729" si="1457">IFERROR(VALUE(RIGHT(LEFT($J729,FIND(M$1,$J729,1)+LEN(M$1)),1)),0)</f>
        <v>0</v>
      </c>
      <c r="N729" s="13">
        <f t="shared" si="1457"/>
        <v>0</v>
      </c>
      <c r="O729" s="13">
        <f t="shared" si="1457"/>
        <v>2</v>
      </c>
      <c r="P729" s="13">
        <f t="shared" si="1457"/>
        <v>0</v>
      </c>
      <c r="Q729" s="13">
        <f t="shared" si="1457"/>
        <v>0</v>
      </c>
      <c r="R729" s="13">
        <f t="shared" si="1457"/>
        <v>0</v>
      </c>
      <c r="S729" s="13">
        <f t="shared" si="1457"/>
        <v>0</v>
      </c>
      <c r="T729" s="13">
        <f t="shared" si="1457"/>
        <v>0</v>
      </c>
      <c r="U729" s="13">
        <f t="shared" si="1457"/>
        <v>0</v>
      </c>
      <c r="V729" s="13">
        <f t="shared" si="1457"/>
        <v>0</v>
      </c>
      <c r="W729" s="13">
        <f t="shared" si="1457"/>
        <v>0</v>
      </c>
      <c r="X729" s="13">
        <f t="shared" si="1457"/>
        <v>0</v>
      </c>
      <c r="Y729" s="13">
        <f t="shared" si="1457"/>
        <v>0</v>
      </c>
      <c r="Z729" s="13">
        <f t="shared" si="1457"/>
        <v>0</v>
      </c>
      <c r="AA729" s="13">
        <f t="shared" si="1457"/>
        <v>0</v>
      </c>
      <c r="AB729" s="13">
        <f t="shared" ref="AB729:AP729" si="1458">IFERROR(VALUE(RIGHT(LEFT($J729,FIND(AB$1,$J729,IF(M729=0,1,FIND(AB$1,$J729,1)+1))+LEN(AB$1)),1)),0)</f>
        <v>0</v>
      </c>
      <c r="AC729" s="13">
        <f t="shared" si="1458"/>
        <v>0</v>
      </c>
      <c r="AD729" s="13">
        <f t="shared" si="1458"/>
        <v>0</v>
      </c>
      <c r="AE729" s="13">
        <f t="shared" si="1458"/>
        <v>0</v>
      </c>
      <c r="AF729" s="13">
        <f t="shared" si="1458"/>
        <v>0</v>
      </c>
      <c r="AG729" s="13">
        <f t="shared" si="1458"/>
        <v>1</v>
      </c>
      <c r="AH729" s="13">
        <f t="shared" si="1458"/>
        <v>0</v>
      </c>
      <c r="AI729" s="13">
        <f t="shared" si="1458"/>
        <v>0</v>
      </c>
      <c r="AJ729" s="13">
        <f t="shared" si="1458"/>
        <v>0</v>
      </c>
      <c r="AK729" s="13">
        <f t="shared" si="1458"/>
        <v>0</v>
      </c>
      <c r="AL729" s="13">
        <f t="shared" si="1458"/>
        <v>1</v>
      </c>
      <c r="AM729" s="13">
        <f t="shared" si="1458"/>
        <v>0</v>
      </c>
      <c r="AN729" s="13">
        <f t="shared" si="1458"/>
        <v>0</v>
      </c>
      <c r="AO729" s="13">
        <f t="shared" si="1458"/>
        <v>0</v>
      </c>
      <c r="AP729" s="13">
        <f t="shared" si="1458"/>
        <v>0</v>
      </c>
      <c r="AQ729" s="13"/>
      <c r="AR729" s="13" t="s">
        <v>4601</v>
      </c>
      <c r="AS729" s="13" t="s">
        <v>4602</v>
      </c>
      <c r="AT729" s="13" t="s">
        <v>162</v>
      </c>
      <c r="AU729" s="13" t="s">
        <v>1680</v>
      </c>
      <c r="AV729" s="13" t="s">
        <v>4603</v>
      </c>
      <c r="AW729" s="13">
        <v>26.0</v>
      </c>
      <c r="AX729" s="13">
        <v>11.0</v>
      </c>
      <c r="AY729" s="13">
        <v>0.0</v>
      </c>
      <c r="AZ729" s="13" t="s">
        <v>4604</v>
      </c>
      <c r="BA729" s="13" t="s">
        <v>4605</v>
      </c>
      <c r="BB729" s="13"/>
      <c r="BC729" s="13"/>
      <c r="BD729" s="13" t="s">
        <v>188</v>
      </c>
      <c r="BE729" s="13"/>
      <c r="BF729" s="13" t="s">
        <v>1190</v>
      </c>
      <c r="BG729" s="13" t="s">
        <v>169</v>
      </c>
      <c r="BH729" s="13" t="s">
        <v>79</v>
      </c>
      <c r="BI729" s="13" t="b">
        <v>0</v>
      </c>
      <c r="BJ729" s="13">
        <v>0.0</v>
      </c>
      <c r="BK729" s="13">
        <v>0.0</v>
      </c>
    </row>
    <row r="730" ht="14.25" customHeight="1">
      <c r="A730" s="13">
        <v>728.0</v>
      </c>
      <c r="B730" s="13" t="s">
        <v>48</v>
      </c>
      <c r="C730" s="13">
        <v>4.0</v>
      </c>
      <c r="D730" s="14">
        <v>0.0</v>
      </c>
      <c r="E730" s="13" t="s">
        <v>4606</v>
      </c>
      <c r="F730" s="15" t="s">
        <v>1493</v>
      </c>
      <c r="G730" s="16" t="s">
        <v>4607</v>
      </c>
      <c r="H730" s="13">
        <v>20.0</v>
      </c>
      <c r="I730" s="13">
        <v>0.9</v>
      </c>
      <c r="J730" s="13" t="s">
        <v>3493</v>
      </c>
      <c r="K730" s="13">
        <f t="shared" si="3"/>
        <v>2</v>
      </c>
      <c r="L730" s="13">
        <f t="shared" si="4"/>
        <v>2</v>
      </c>
      <c r="M730" s="13">
        <f t="shared" ref="M730:AA730" si="1459">IFERROR(VALUE(RIGHT(LEFT($J730,FIND(M$1,$J730,1)+LEN(M$1)),1)),0)</f>
        <v>0</v>
      </c>
      <c r="N730" s="13">
        <f t="shared" si="1459"/>
        <v>0</v>
      </c>
      <c r="O730" s="13">
        <f t="shared" si="1459"/>
        <v>0</v>
      </c>
      <c r="P730" s="13">
        <f t="shared" si="1459"/>
        <v>0</v>
      </c>
      <c r="Q730" s="13">
        <f t="shared" si="1459"/>
        <v>0</v>
      </c>
      <c r="R730" s="13">
        <f t="shared" si="1459"/>
        <v>0</v>
      </c>
      <c r="S730" s="13">
        <f t="shared" si="1459"/>
        <v>0</v>
      </c>
      <c r="T730" s="13">
        <f t="shared" si="1459"/>
        <v>0</v>
      </c>
      <c r="U730" s="13">
        <f t="shared" si="1459"/>
        <v>0</v>
      </c>
      <c r="V730" s="13">
        <f t="shared" si="1459"/>
        <v>0</v>
      </c>
      <c r="W730" s="13">
        <f t="shared" si="1459"/>
        <v>2</v>
      </c>
      <c r="X730" s="13">
        <f t="shared" si="1459"/>
        <v>0</v>
      </c>
      <c r="Y730" s="13">
        <f t="shared" si="1459"/>
        <v>0</v>
      </c>
      <c r="Z730" s="13">
        <f t="shared" si="1459"/>
        <v>0</v>
      </c>
      <c r="AA730" s="13">
        <f t="shared" si="1459"/>
        <v>0</v>
      </c>
      <c r="AB730" s="13">
        <f t="shared" ref="AB730:AP730" si="1460">IFERROR(VALUE(RIGHT(LEFT($J730,FIND(AB$1,$J730,IF(M730=0,1,FIND(AB$1,$J730,1)+1))+LEN(AB$1)),1)),0)</f>
        <v>0</v>
      </c>
      <c r="AC730" s="13">
        <f t="shared" si="1460"/>
        <v>1</v>
      </c>
      <c r="AD730" s="13">
        <f t="shared" si="1460"/>
        <v>0</v>
      </c>
      <c r="AE730" s="13">
        <f t="shared" si="1460"/>
        <v>0</v>
      </c>
      <c r="AF730" s="13">
        <f t="shared" si="1460"/>
        <v>0</v>
      </c>
      <c r="AG730" s="13">
        <f t="shared" si="1460"/>
        <v>0</v>
      </c>
      <c r="AH730" s="13">
        <f t="shared" si="1460"/>
        <v>0</v>
      </c>
      <c r="AI730" s="13">
        <f t="shared" si="1460"/>
        <v>0</v>
      </c>
      <c r="AJ730" s="13">
        <f t="shared" si="1460"/>
        <v>0</v>
      </c>
      <c r="AK730" s="13">
        <f t="shared" si="1460"/>
        <v>0</v>
      </c>
      <c r="AL730" s="13">
        <f t="shared" si="1460"/>
        <v>1</v>
      </c>
      <c r="AM730" s="13">
        <f t="shared" si="1460"/>
        <v>0</v>
      </c>
      <c r="AN730" s="13">
        <f t="shared" si="1460"/>
        <v>0</v>
      </c>
      <c r="AO730" s="13">
        <f t="shared" si="1460"/>
        <v>0</v>
      </c>
      <c r="AP730" s="13">
        <f t="shared" si="1460"/>
        <v>0</v>
      </c>
      <c r="AQ730" s="13"/>
      <c r="AR730" s="13" t="s">
        <v>4608</v>
      </c>
      <c r="AS730" s="13" t="s">
        <v>3495</v>
      </c>
      <c r="AT730" s="13" t="s">
        <v>1221</v>
      </c>
      <c r="AU730" s="13" t="s">
        <v>143</v>
      </c>
      <c r="AV730" s="13" t="s">
        <v>4609</v>
      </c>
      <c r="AW730" s="13">
        <v>24.0</v>
      </c>
      <c r="AX730" s="13">
        <v>11.0</v>
      </c>
      <c r="AY730" s="13">
        <v>0.0</v>
      </c>
      <c r="AZ730" s="13" t="s">
        <v>4610</v>
      </c>
      <c r="BA730" s="13" t="s">
        <v>4611</v>
      </c>
      <c r="BB730" s="13"/>
      <c r="BC730" s="13"/>
      <c r="BD730" s="13" t="s">
        <v>167</v>
      </c>
      <c r="BE730" s="13"/>
      <c r="BF730" s="13" t="s">
        <v>4612</v>
      </c>
      <c r="BG730" s="13" t="s">
        <v>169</v>
      </c>
      <c r="BH730" s="13" t="s">
        <v>79</v>
      </c>
      <c r="BI730" s="13" t="b">
        <v>0</v>
      </c>
      <c r="BJ730" s="13">
        <v>0.0</v>
      </c>
      <c r="BK730" s="13">
        <v>0.0</v>
      </c>
    </row>
    <row r="731" ht="14.25" customHeight="1">
      <c r="A731" s="13">
        <v>729.0</v>
      </c>
      <c r="B731" s="13" t="s">
        <v>44</v>
      </c>
      <c r="C731" s="13">
        <v>5.0</v>
      </c>
      <c r="D731" s="14">
        <v>0.0</v>
      </c>
      <c r="E731" s="13" t="s">
        <v>4613</v>
      </c>
      <c r="F731" s="15" t="s">
        <v>1493</v>
      </c>
      <c r="G731" s="16" t="s">
        <v>4614</v>
      </c>
      <c r="H731" s="13"/>
      <c r="I731" s="13">
        <v>1.0</v>
      </c>
      <c r="J731" s="13" t="s">
        <v>4615</v>
      </c>
      <c r="K731" s="13">
        <f t="shared" si="3"/>
        <v>3</v>
      </c>
      <c r="L731" s="13">
        <f t="shared" si="4"/>
        <v>2</v>
      </c>
      <c r="M731" s="13">
        <f t="shared" ref="M731:AA731" si="1461">IFERROR(VALUE(RIGHT(LEFT($J731,FIND(M$1,$J731,1)+LEN(M$1)),1)),0)</f>
        <v>0</v>
      </c>
      <c r="N731" s="13">
        <f t="shared" si="1461"/>
        <v>0</v>
      </c>
      <c r="O731" s="13">
        <f t="shared" si="1461"/>
        <v>1</v>
      </c>
      <c r="P731" s="13">
        <f t="shared" si="1461"/>
        <v>0</v>
      </c>
      <c r="Q731" s="13">
        <f t="shared" si="1461"/>
        <v>0</v>
      </c>
      <c r="R731" s="13">
        <f t="shared" si="1461"/>
        <v>0</v>
      </c>
      <c r="S731" s="13">
        <f t="shared" si="1461"/>
        <v>2</v>
      </c>
      <c r="T731" s="13">
        <f t="shared" si="1461"/>
        <v>0</v>
      </c>
      <c r="U731" s="13">
        <f t="shared" si="1461"/>
        <v>0</v>
      </c>
      <c r="V731" s="13">
        <f t="shared" si="1461"/>
        <v>0</v>
      </c>
      <c r="W731" s="13">
        <f t="shared" si="1461"/>
        <v>0</v>
      </c>
      <c r="X731" s="13">
        <f t="shared" si="1461"/>
        <v>0</v>
      </c>
      <c r="Y731" s="13">
        <f t="shared" si="1461"/>
        <v>0</v>
      </c>
      <c r="Z731" s="13">
        <f t="shared" si="1461"/>
        <v>0</v>
      </c>
      <c r="AA731" s="13">
        <f t="shared" si="1461"/>
        <v>0</v>
      </c>
      <c r="AB731" s="13">
        <f t="shared" ref="AB731:AP731" si="1462">IFERROR(VALUE(RIGHT(LEFT($J731,FIND(AB$1,$J731,IF(M731=0,1,FIND(AB$1,$J731,1)+1))+LEN(AB$1)),1)),0)</f>
        <v>0</v>
      </c>
      <c r="AC731" s="13">
        <f t="shared" si="1462"/>
        <v>0</v>
      </c>
      <c r="AD731" s="13">
        <f t="shared" si="1462"/>
        <v>1</v>
      </c>
      <c r="AE731" s="13">
        <f t="shared" si="1462"/>
        <v>0</v>
      </c>
      <c r="AF731" s="13">
        <f t="shared" si="1462"/>
        <v>0</v>
      </c>
      <c r="AG731" s="13">
        <f t="shared" si="1462"/>
        <v>0</v>
      </c>
      <c r="AH731" s="13">
        <f t="shared" si="1462"/>
        <v>1</v>
      </c>
      <c r="AI731" s="13">
        <f t="shared" si="1462"/>
        <v>0</v>
      </c>
      <c r="AJ731" s="13">
        <f t="shared" si="1462"/>
        <v>0</v>
      </c>
      <c r="AK731" s="13">
        <f t="shared" si="1462"/>
        <v>0</v>
      </c>
      <c r="AL731" s="13">
        <f t="shared" si="1462"/>
        <v>0</v>
      </c>
      <c r="AM731" s="13">
        <f t="shared" si="1462"/>
        <v>0</v>
      </c>
      <c r="AN731" s="13">
        <f t="shared" si="1462"/>
        <v>0</v>
      </c>
      <c r="AO731" s="13">
        <f t="shared" si="1462"/>
        <v>0</v>
      </c>
      <c r="AP731" s="13">
        <f t="shared" si="1462"/>
        <v>0</v>
      </c>
      <c r="AQ731" s="13" t="s">
        <v>4616</v>
      </c>
      <c r="AR731" s="13"/>
      <c r="AS731" s="13" t="s">
        <v>4617</v>
      </c>
      <c r="AT731" s="13"/>
      <c r="AU731" s="13"/>
      <c r="AV731" s="13"/>
      <c r="AW731" s="13">
        <v>0.0</v>
      </c>
      <c r="AX731" s="13">
        <v>11.0</v>
      </c>
      <c r="AY731" s="13">
        <v>0.0</v>
      </c>
      <c r="AZ731" s="13"/>
      <c r="BA731" s="13"/>
      <c r="BB731" s="13"/>
      <c r="BC731" s="13"/>
      <c r="BD731" s="13"/>
      <c r="BE731" s="13"/>
      <c r="BF731" s="13"/>
      <c r="BG731" s="13"/>
      <c r="BH731" s="13" t="s">
        <v>79</v>
      </c>
      <c r="BI731" s="13" t="b">
        <v>0</v>
      </c>
      <c r="BJ731" s="13">
        <v>0.0</v>
      </c>
      <c r="BK731" s="13">
        <v>0.0</v>
      </c>
    </row>
    <row r="732" ht="14.25" customHeight="1">
      <c r="A732" s="13">
        <v>730.0</v>
      </c>
      <c r="B732" s="13" t="s">
        <v>46</v>
      </c>
      <c r="C732" s="13">
        <v>5.0</v>
      </c>
      <c r="D732" s="14">
        <v>0.0</v>
      </c>
      <c r="E732" s="13" t="s">
        <v>4618</v>
      </c>
      <c r="F732" s="15" t="s">
        <v>1493</v>
      </c>
      <c r="G732" s="16" t="s">
        <v>4619</v>
      </c>
      <c r="H732" s="13"/>
      <c r="I732" s="13">
        <v>1.1</v>
      </c>
      <c r="J732" s="13" t="s">
        <v>4620</v>
      </c>
      <c r="K732" s="13">
        <f t="shared" si="3"/>
        <v>4</v>
      </c>
      <c r="L732" s="13">
        <f t="shared" si="4"/>
        <v>0</v>
      </c>
      <c r="M732" s="13">
        <f t="shared" ref="M732:AA732" si="1463">IFERROR(VALUE(RIGHT(LEFT($J732,FIND(M$1,$J732,1)+LEN(M$1)),1)),0)</f>
        <v>0</v>
      </c>
      <c r="N732" s="13">
        <f t="shared" si="1463"/>
        <v>1</v>
      </c>
      <c r="O732" s="13">
        <f t="shared" si="1463"/>
        <v>0</v>
      </c>
      <c r="P732" s="13">
        <f t="shared" si="1463"/>
        <v>0</v>
      </c>
      <c r="Q732" s="13">
        <f t="shared" si="1463"/>
        <v>0</v>
      </c>
      <c r="R732" s="13">
        <f t="shared" si="1463"/>
        <v>2</v>
      </c>
      <c r="S732" s="13">
        <f t="shared" si="1463"/>
        <v>0</v>
      </c>
      <c r="T732" s="13">
        <f t="shared" si="1463"/>
        <v>0</v>
      </c>
      <c r="U732" s="13">
        <f t="shared" si="1463"/>
        <v>1</v>
      </c>
      <c r="V732" s="13">
        <f t="shared" si="1463"/>
        <v>0</v>
      </c>
      <c r="W732" s="13">
        <f t="shared" si="1463"/>
        <v>0</v>
      </c>
      <c r="X732" s="13">
        <f t="shared" si="1463"/>
        <v>0</v>
      </c>
      <c r="Y732" s="13">
        <f t="shared" si="1463"/>
        <v>0</v>
      </c>
      <c r="Z732" s="13">
        <f t="shared" si="1463"/>
        <v>0</v>
      </c>
      <c r="AA732" s="13">
        <f t="shared" si="1463"/>
        <v>0</v>
      </c>
      <c r="AB732" s="13">
        <f t="shared" ref="AB732:AP732" si="1464">IFERROR(VALUE(RIGHT(LEFT($J732,FIND(AB$1,$J732,IF(M732=0,1,FIND(AB$1,$J732,1)+1))+LEN(AB$1)),1)),0)</f>
        <v>0</v>
      </c>
      <c r="AC732" s="13">
        <f t="shared" si="1464"/>
        <v>0</v>
      </c>
      <c r="AD732" s="13">
        <f t="shared" si="1464"/>
        <v>0</v>
      </c>
      <c r="AE732" s="13">
        <f t="shared" si="1464"/>
        <v>0</v>
      </c>
      <c r="AF732" s="13">
        <f t="shared" si="1464"/>
        <v>0</v>
      </c>
      <c r="AG732" s="13">
        <f t="shared" si="1464"/>
        <v>0</v>
      </c>
      <c r="AH732" s="13">
        <f t="shared" si="1464"/>
        <v>0</v>
      </c>
      <c r="AI732" s="13">
        <f t="shared" si="1464"/>
        <v>0</v>
      </c>
      <c r="AJ732" s="13">
        <f t="shared" si="1464"/>
        <v>0</v>
      </c>
      <c r="AK732" s="13">
        <f t="shared" si="1464"/>
        <v>0</v>
      </c>
      <c r="AL732" s="13">
        <f t="shared" si="1464"/>
        <v>0</v>
      </c>
      <c r="AM732" s="13">
        <f t="shared" si="1464"/>
        <v>0</v>
      </c>
      <c r="AN732" s="13">
        <f t="shared" si="1464"/>
        <v>0</v>
      </c>
      <c r="AO732" s="13">
        <f t="shared" si="1464"/>
        <v>0</v>
      </c>
      <c r="AP732" s="13">
        <f t="shared" si="1464"/>
        <v>0</v>
      </c>
      <c r="AQ732" s="13" t="s">
        <v>4621</v>
      </c>
      <c r="AR732" s="13"/>
      <c r="AS732" s="13" t="s">
        <v>4622</v>
      </c>
      <c r="AT732" s="13"/>
      <c r="AU732" s="13"/>
      <c r="AV732" s="13"/>
      <c r="AW732" s="13">
        <v>0.0</v>
      </c>
      <c r="AX732" s="13">
        <v>11.0</v>
      </c>
      <c r="AY732" s="13">
        <v>0.0</v>
      </c>
      <c r="AZ732" s="13"/>
      <c r="BA732" s="13"/>
      <c r="BB732" s="13"/>
      <c r="BC732" s="13"/>
      <c r="BD732" s="13"/>
      <c r="BE732" s="13"/>
      <c r="BF732" s="13"/>
      <c r="BG732" s="13"/>
      <c r="BH732" s="13" t="s">
        <v>79</v>
      </c>
      <c r="BI732" s="13" t="b">
        <v>0</v>
      </c>
      <c r="BJ732" s="13">
        <v>0.0</v>
      </c>
      <c r="BK732" s="13">
        <v>0.0</v>
      </c>
    </row>
    <row r="733" ht="14.25" customHeight="1">
      <c r="A733" s="13">
        <v>731.0</v>
      </c>
      <c r="B733" s="13" t="s">
        <v>48</v>
      </c>
      <c r="C733" s="13">
        <v>5.0</v>
      </c>
      <c r="D733" s="14">
        <v>0.0</v>
      </c>
      <c r="E733" s="13" t="s">
        <v>4623</v>
      </c>
      <c r="F733" s="15" t="s">
        <v>1493</v>
      </c>
      <c r="G733" s="16" t="s">
        <v>4624</v>
      </c>
      <c r="H733" s="13">
        <v>23.0</v>
      </c>
      <c r="I733" s="13">
        <v>1.1</v>
      </c>
      <c r="J733" s="13" t="s">
        <v>4625</v>
      </c>
      <c r="K733" s="13">
        <f t="shared" si="3"/>
        <v>3</v>
      </c>
      <c r="L733" s="13">
        <f t="shared" si="4"/>
        <v>2</v>
      </c>
      <c r="M733" s="13">
        <f t="shared" ref="M733:AA733" si="1465">IFERROR(VALUE(RIGHT(LEFT($J733,FIND(M$1,$J733,1)+LEN(M$1)),1)),0)</f>
        <v>0</v>
      </c>
      <c r="N733" s="13">
        <f t="shared" si="1465"/>
        <v>0</v>
      </c>
      <c r="O733" s="13">
        <f t="shared" si="1465"/>
        <v>1</v>
      </c>
      <c r="P733" s="13">
        <f t="shared" si="1465"/>
        <v>0</v>
      </c>
      <c r="Q733" s="13">
        <f t="shared" si="1465"/>
        <v>0</v>
      </c>
      <c r="R733" s="13">
        <f t="shared" si="1465"/>
        <v>0</v>
      </c>
      <c r="S733" s="13">
        <f t="shared" si="1465"/>
        <v>0</v>
      </c>
      <c r="T733" s="13">
        <f t="shared" si="1465"/>
        <v>0</v>
      </c>
      <c r="U733" s="13">
        <f t="shared" si="1465"/>
        <v>0</v>
      </c>
      <c r="V733" s="13">
        <f t="shared" si="1465"/>
        <v>0</v>
      </c>
      <c r="W733" s="13">
        <f t="shared" si="1465"/>
        <v>2</v>
      </c>
      <c r="X733" s="13">
        <f t="shared" si="1465"/>
        <v>0</v>
      </c>
      <c r="Y733" s="13">
        <f t="shared" si="1465"/>
        <v>0</v>
      </c>
      <c r="Z733" s="13">
        <f t="shared" si="1465"/>
        <v>0</v>
      </c>
      <c r="AA733" s="13">
        <f t="shared" si="1465"/>
        <v>0</v>
      </c>
      <c r="AB733" s="13">
        <f t="shared" ref="AB733:AP733" si="1466">IFERROR(VALUE(RIGHT(LEFT($J733,FIND(AB$1,$J733,IF(M733=0,1,FIND(AB$1,$J733,1)+1))+LEN(AB$1)),1)),0)</f>
        <v>0</v>
      </c>
      <c r="AC733" s="13">
        <f t="shared" si="1466"/>
        <v>0</v>
      </c>
      <c r="AD733" s="13">
        <f t="shared" si="1466"/>
        <v>0</v>
      </c>
      <c r="AE733" s="13">
        <f t="shared" si="1466"/>
        <v>0</v>
      </c>
      <c r="AF733" s="13">
        <f t="shared" si="1466"/>
        <v>0</v>
      </c>
      <c r="AG733" s="13">
        <f t="shared" si="1466"/>
        <v>1</v>
      </c>
      <c r="AH733" s="13">
        <f t="shared" si="1466"/>
        <v>0</v>
      </c>
      <c r="AI733" s="13">
        <f t="shared" si="1466"/>
        <v>0</v>
      </c>
      <c r="AJ733" s="13">
        <f t="shared" si="1466"/>
        <v>0</v>
      </c>
      <c r="AK733" s="13">
        <f t="shared" si="1466"/>
        <v>0</v>
      </c>
      <c r="AL733" s="13">
        <f t="shared" si="1466"/>
        <v>1</v>
      </c>
      <c r="AM733" s="13">
        <f t="shared" si="1466"/>
        <v>0</v>
      </c>
      <c r="AN733" s="13">
        <f t="shared" si="1466"/>
        <v>0</v>
      </c>
      <c r="AO733" s="13">
        <f t="shared" si="1466"/>
        <v>0</v>
      </c>
      <c r="AP733" s="13">
        <f t="shared" si="1466"/>
        <v>0</v>
      </c>
      <c r="AQ733" s="13"/>
      <c r="AR733" s="13" t="s">
        <v>4626</v>
      </c>
      <c r="AS733" s="13" t="s">
        <v>4627</v>
      </c>
      <c r="AT733" s="13" t="s">
        <v>573</v>
      </c>
      <c r="AU733" s="13" t="s">
        <v>143</v>
      </c>
      <c r="AV733" s="13" t="s">
        <v>4628</v>
      </c>
      <c r="AW733" s="13">
        <v>25.0</v>
      </c>
      <c r="AX733" s="13">
        <v>11.0</v>
      </c>
      <c r="AY733" s="13">
        <v>0.0</v>
      </c>
      <c r="AZ733" s="13" t="s">
        <v>4629</v>
      </c>
      <c r="BA733" s="13" t="s">
        <v>4630</v>
      </c>
      <c r="BB733" s="13"/>
      <c r="BC733" s="13"/>
      <c r="BD733" s="13" t="s">
        <v>179</v>
      </c>
      <c r="BE733" s="13"/>
      <c r="BF733" s="13" t="s">
        <v>4631</v>
      </c>
      <c r="BG733" s="13" t="s">
        <v>169</v>
      </c>
      <c r="BH733" s="13" t="s">
        <v>79</v>
      </c>
      <c r="BI733" s="13" t="b">
        <v>0</v>
      </c>
      <c r="BJ733" s="13">
        <v>0.0</v>
      </c>
      <c r="BK733" s="13">
        <v>0.0</v>
      </c>
    </row>
    <row r="734" ht="14.25" customHeight="1">
      <c r="A734" s="13">
        <v>732.0</v>
      </c>
      <c r="B734" s="13" t="s">
        <v>44</v>
      </c>
      <c r="C734" s="13">
        <v>0.0</v>
      </c>
      <c r="D734" s="14">
        <v>0.0</v>
      </c>
      <c r="E734" s="13" t="s">
        <v>4632</v>
      </c>
      <c r="F734" s="15" t="s">
        <v>4633</v>
      </c>
      <c r="G734" s="16" t="s">
        <v>4634</v>
      </c>
      <c r="H734" s="13"/>
      <c r="I734" s="13">
        <v>0.8</v>
      </c>
      <c r="J734" s="13" t="s">
        <v>2185</v>
      </c>
      <c r="K734" s="13">
        <f t="shared" si="3"/>
        <v>0</v>
      </c>
      <c r="L734" s="13">
        <f t="shared" si="4"/>
        <v>1</v>
      </c>
      <c r="M734" s="13">
        <f t="shared" ref="M734:AA734" si="1467">IFERROR(VALUE(RIGHT(LEFT($J734,FIND(M$1,$J734,1)+LEN(M$1)),1)),0)</f>
        <v>0</v>
      </c>
      <c r="N734" s="13">
        <f t="shared" si="1467"/>
        <v>0</v>
      </c>
      <c r="O734" s="13">
        <f t="shared" si="1467"/>
        <v>0</v>
      </c>
      <c r="P734" s="13">
        <f t="shared" si="1467"/>
        <v>0</v>
      </c>
      <c r="Q734" s="13">
        <f t="shared" si="1467"/>
        <v>0</v>
      </c>
      <c r="R734" s="13">
        <f t="shared" si="1467"/>
        <v>0</v>
      </c>
      <c r="S734" s="13">
        <f t="shared" si="1467"/>
        <v>0</v>
      </c>
      <c r="T734" s="13">
        <f t="shared" si="1467"/>
        <v>0</v>
      </c>
      <c r="U734" s="13">
        <f t="shared" si="1467"/>
        <v>0</v>
      </c>
      <c r="V734" s="13">
        <f t="shared" si="1467"/>
        <v>0</v>
      </c>
      <c r="W734" s="13">
        <f t="shared" si="1467"/>
        <v>0</v>
      </c>
      <c r="X734" s="13">
        <f t="shared" si="1467"/>
        <v>0</v>
      </c>
      <c r="Y734" s="13">
        <f t="shared" si="1467"/>
        <v>0</v>
      </c>
      <c r="Z734" s="13">
        <f t="shared" si="1467"/>
        <v>0</v>
      </c>
      <c r="AA734" s="13">
        <f t="shared" si="1467"/>
        <v>0</v>
      </c>
      <c r="AB734" s="13">
        <f t="shared" ref="AB734:AP734" si="1468">IFERROR(VALUE(RIGHT(LEFT($J734,FIND(AB$1,$J734,IF(M734=0,1,FIND(AB$1,$J734,1)+1))+LEN(AB$1)),1)),0)</f>
        <v>0</v>
      </c>
      <c r="AC734" s="13">
        <f t="shared" si="1468"/>
        <v>0</v>
      </c>
      <c r="AD734" s="13">
        <f t="shared" si="1468"/>
        <v>0</v>
      </c>
      <c r="AE734" s="13">
        <f t="shared" si="1468"/>
        <v>0</v>
      </c>
      <c r="AF734" s="13">
        <f t="shared" si="1468"/>
        <v>0</v>
      </c>
      <c r="AG734" s="13">
        <f t="shared" si="1468"/>
        <v>0</v>
      </c>
      <c r="AH734" s="13">
        <f t="shared" si="1468"/>
        <v>1</v>
      </c>
      <c r="AI734" s="13">
        <f t="shared" si="1468"/>
        <v>0</v>
      </c>
      <c r="AJ734" s="13">
        <f t="shared" si="1468"/>
        <v>0</v>
      </c>
      <c r="AK734" s="13">
        <f t="shared" si="1468"/>
        <v>0</v>
      </c>
      <c r="AL734" s="13">
        <f t="shared" si="1468"/>
        <v>0</v>
      </c>
      <c r="AM734" s="13">
        <f t="shared" si="1468"/>
        <v>0</v>
      </c>
      <c r="AN734" s="13">
        <f t="shared" si="1468"/>
        <v>0</v>
      </c>
      <c r="AO734" s="13">
        <f t="shared" si="1468"/>
        <v>0</v>
      </c>
      <c r="AP734" s="13">
        <f t="shared" si="1468"/>
        <v>0</v>
      </c>
      <c r="AQ734" s="13" t="s">
        <v>4635</v>
      </c>
      <c r="AR734" s="13"/>
      <c r="AS734" s="13" t="s">
        <v>91</v>
      </c>
      <c r="AT734" s="13"/>
      <c r="AU734" s="13"/>
      <c r="AV734" s="13"/>
      <c r="AW734" s="13">
        <v>0.0</v>
      </c>
      <c r="AX734" s="13">
        <v>12.0</v>
      </c>
      <c r="AY734" s="13">
        <v>0.0</v>
      </c>
      <c r="AZ734" s="13"/>
      <c r="BA734" s="13"/>
      <c r="BB734" s="13"/>
      <c r="BC734" s="13"/>
      <c r="BD734" s="13"/>
      <c r="BE734" s="13"/>
      <c r="BF734" s="13"/>
      <c r="BG734" s="13"/>
      <c r="BH734" s="13" t="s">
        <v>79</v>
      </c>
      <c r="BI734" s="13" t="b">
        <v>0</v>
      </c>
      <c r="BJ734" s="13">
        <v>0.0</v>
      </c>
      <c r="BK734" s="13">
        <v>0.0</v>
      </c>
    </row>
    <row r="735" ht="14.25" customHeight="1">
      <c r="A735" s="13">
        <v>733.0</v>
      </c>
      <c r="B735" s="13" t="s">
        <v>45</v>
      </c>
      <c r="C735" s="13">
        <v>0.0</v>
      </c>
      <c r="D735" s="14">
        <v>0.0</v>
      </c>
      <c r="E735" s="13" t="s">
        <v>4636</v>
      </c>
      <c r="F735" s="15" t="s">
        <v>4633</v>
      </c>
      <c r="G735" s="16" t="s">
        <v>4637</v>
      </c>
      <c r="H735" s="13"/>
      <c r="I735" s="13">
        <v>0.9</v>
      </c>
      <c r="J735" s="13" t="s">
        <v>245</v>
      </c>
      <c r="K735" s="13">
        <f t="shared" si="3"/>
        <v>0</v>
      </c>
      <c r="L735" s="13">
        <f t="shared" si="4"/>
        <v>1</v>
      </c>
      <c r="M735" s="13">
        <f t="shared" ref="M735:AA735" si="1469">IFERROR(VALUE(RIGHT(LEFT($J735,FIND(M$1,$J735,1)+LEN(M$1)),1)),0)</f>
        <v>0</v>
      </c>
      <c r="N735" s="13">
        <f t="shared" si="1469"/>
        <v>0</v>
      </c>
      <c r="O735" s="13">
        <f t="shared" si="1469"/>
        <v>0</v>
      </c>
      <c r="P735" s="13">
        <f t="shared" si="1469"/>
        <v>0</v>
      </c>
      <c r="Q735" s="13">
        <f t="shared" si="1469"/>
        <v>0</v>
      </c>
      <c r="R735" s="13">
        <f t="shared" si="1469"/>
        <v>0</v>
      </c>
      <c r="S735" s="13">
        <f t="shared" si="1469"/>
        <v>0</v>
      </c>
      <c r="T735" s="13">
        <f t="shared" si="1469"/>
        <v>0</v>
      </c>
      <c r="U735" s="13">
        <f t="shared" si="1469"/>
        <v>0</v>
      </c>
      <c r="V735" s="13">
        <f t="shared" si="1469"/>
        <v>0</v>
      </c>
      <c r="W735" s="13">
        <f t="shared" si="1469"/>
        <v>0</v>
      </c>
      <c r="X735" s="13">
        <f t="shared" si="1469"/>
        <v>0</v>
      </c>
      <c r="Y735" s="13">
        <f t="shared" si="1469"/>
        <v>0</v>
      </c>
      <c r="Z735" s="13">
        <f t="shared" si="1469"/>
        <v>0</v>
      </c>
      <c r="AA735" s="13">
        <f t="shared" si="1469"/>
        <v>0</v>
      </c>
      <c r="AB735" s="13">
        <f t="shared" ref="AB735:AP735" si="1470">IFERROR(VALUE(RIGHT(LEFT($J735,FIND(AB$1,$J735,IF(M735=0,1,FIND(AB$1,$J735,1)+1))+LEN(AB$1)),1)),0)</f>
        <v>0</v>
      </c>
      <c r="AC735" s="13">
        <f t="shared" si="1470"/>
        <v>0</v>
      </c>
      <c r="AD735" s="13">
        <f t="shared" si="1470"/>
        <v>0</v>
      </c>
      <c r="AE735" s="13">
        <f t="shared" si="1470"/>
        <v>0</v>
      </c>
      <c r="AF735" s="13">
        <f t="shared" si="1470"/>
        <v>1</v>
      </c>
      <c r="AG735" s="13">
        <f t="shared" si="1470"/>
        <v>0</v>
      </c>
      <c r="AH735" s="13">
        <f t="shared" si="1470"/>
        <v>0</v>
      </c>
      <c r="AI735" s="13">
        <f t="shared" si="1470"/>
        <v>0</v>
      </c>
      <c r="AJ735" s="13">
        <f t="shared" si="1470"/>
        <v>0</v>
      </c>
      <c r="AK735" s="13">
        <f t="shared" si="1470"/>
        <v>0</v>
      </c>
      <c r="AL735" s="13">
        <f t="shared" si="1470"/>
        <v>0</v>
      </c>
      <c r="AM735" s="13">
        <f t="shared" si="1470"/>
        <v>0</v>
      </c>
      <c r="AN735" s="13">
        <f t="shared" si="1470"/>
        <v>0</v>
      </c>
      <c r="AO735" s="13">
        <f t="shared" si="1470"/>
        <v>0</v>
      </c>
      <c r="AP735" s="13">
        <f t="shared" si="1470"/>
        <v>0</v>
      </c>
      <c r="AQ735" s="13" t="s">
        <v>4638</v>
      </c>
      <c r="AR735" s="13"/>
      <c r="AS735" s="13" t="s">
        <v>2780</v>
      </c>
      <c r="AT735" s="13"/>
      <c r="AU735" s="13"/>
      <c r="AV735" s="13"/>
      <c r="AW735" s="13">
        <v>0.0</v>
      </c>
      <c r="AX735" s="13">
        <v>12.0</v>
      </c>
      <c r="AY735" s="13">
        <v>0.0</v>
      </c>
      <c r="AZ735" s="13"/>
      <c r="BA735" s="13"/>
      <c r="BB735" s="13"/>
      <c r="BC735" s="13"/>
      <c r="BD735" s="13"/>
      <c r="BE735" s="13"/>
      <c r="BF735" s="13"/>
      <c r="BG735" s="13"/>
      <c r="BH735" s="13" t="s">
        <v>79</v>
      </c>
      <c r="BI735" s="13" t="b">
        <v>0</v>
      </c>
      <c r="BJ735" s="13">
        <v>0.0</v>
      </c>
      <c r="BK735" s="13">
        <v>0.0</v>
      </c>
    </row>
    <row r="736" ht="14.25" customHeight="1">
      <c r="A736" s="13">
        <v>734.0</v>
      </c>
      <c r="B736" s="13" t="s">
        <v>46</v>
      </c>
      <c r="C736" s="13">
        <v>0.0</v>
      </c>
      <c r="D736" s="14">
        <v>0.0</v>
      </c>
      <c r="E736" s="13" t="s">
        <v>4639</v>
      </c>
      <c r="F736" s="15" t="s">
        <v>4633</v>
      </c>
      <c r="G736" s="16" t="s">
        <v>4640</v>
      </c>
      <c r="H736" s="13"/>
      <c r="I736" s="13">
        <v>1.0</v>
      </c>
      <c r="J736" s="13" t="s">
        <v>111</v>
      </c>
      <c r="K736" s="13">
        <f t="shared" si="3"/>
        <v>0</v>
      </c>
      <c r="L736" s="13">
        <f t="shared" si="4"/>
        <v>1</v>
      </c>
      <c r="M736" s="13">
        <f t="shared" ref="M736:AA736" si="1471">IFERROR(VALUE(RIGHT(LEFT($J736,FIND(M$1,$J736,1)+LEN(M$1)),1)),0)</f>
        <v>0</v>
      </c>
      <c r="N736" s="13">
        <f t="shared" si="1471"/>
        <v>0</v>
      </c>
      <c r="O736" s="13">
        <f t="shared" si="1471"/>
        <v>0</v>
      </c>
      <c r="P736" s="13">
        <f t="shared" si="1471"/>
        <v>0</v>
      </c>
      <c r="Q736" s="13">
        <f t="shared" si="1471"/>
        <v>0</v>
      </c>
      <c r="R736" s="13">
        <f t="shared" si="1471"/>
        <v>0</v>
      </c>
      <c r="S736" s="13">
        <f t="shared" si="1471"/>
        <v>0</v>
      </c>
      <c r="T736" s="13">
        <f t="shared" si="1471"/>
        <v>0</v>
      </c>
      <c r="U736" s="13">
        <f t="shared" si="1471"/>
        <v>0</v>
      </c>
      <c r="V736" s="13">
        <f t="shared" si="1471"/>
        <v>0</v>
      </c>
      <c r="W736" s="13">
        <f t="shared" si="1471"/>
        <v>0</v>
      </c>
      <c r="X736" s="13">
        <f t="shared" si="1471"/>
        <v>0</v>
      </c>
      <c r="Y736" s="13">
        <f t="shared" si="1471"/>
        <v>0</v>
      </c>
      <c r="Z736" s="13">
        <f t="shared" si="1471"/>
        <v>0</v>
      </c>
      <c r="AA736" s="13">
        <f t="shared" si="1471"/>
        <v>0</v>
      </c>
      <c r="AB736" s="13">
        <f t="shared" ref="AB736:AP736" si="1472">IFERROR(VALUE(RIGHT(LEFT($J736,FIND(AB$1,$J736,IF(M736=0,1,FIND(AB$1,$J736,1)+1))+LEN(AB$1)),1)),0)</f>
        <v>0</v>
      </c>
      <c r="AC736" s="13">
        <f t="shared" si="1472"/>
        <v>0</v>
      </c>
      <c r="AD736" s="13">
        <f t="shared" si="1472"/>
        <v>0</v>
      </c>
      <c r="AE736" s="13">
        <f t="shared" si="1472"/>
        <v>0</v>
      </c>
      <c r="AF736" s="13">
        <f t="shared" si="1472"/>
        <v>0</v>
      </c>
      <c r="AG736" s="13">
        <f t="shared" si="1472"/>
        <v>0</v>
      </c>
      <c r="AH736" s="13">
        <f t="shared" si="1472"/>
        <v>0</v>
      </c>
      <c r="AI736" s="13">
        <f t="shared" si="1472"/>
        <v>0</v>
      </c>
      <c r="AJ736" s="13">
        <f t="shared" si="1472"/>
        <v>1</v>
      </c>
      <c r="AK736" s="13">
        <f t="shared" si="1472"/>
        <v>0</v>
      </c>
      <c r="AL736" s="13">
        <f t="shared" si="1472"/>
        <v>0</v>
      </c>
      <c r="AM736" s="13">
        <f t="shared" si="1472"/>
        <v>0</v>
      </c>
      <c r="AN736" s="13">
        <f t="shared" si="1472"/>
        <v>0</v>
      </c>
      <c r="AO736" s="13">
        <f t="shared" si="1472"/>
        <v>0</v>
      </c>
      <c r="AP736" s="13">
        <f t="shared" si="1472"/>
        <v>0</v>
      </c>
      <c r="AQ736" s="13" t="s">
        <v>4641</v>
      </c>
      <c r="AR736" s="13"/>
      <c r="AS736" s="13" t="s">
        <v>123</v>
      </c>
      <c r="AT736" s="13"/>
      <c r="AU736" s="13"/>
      <c r="AV736" s="13"/>
      <c r="AW736" s="13">
        <v>0.0</v>
      </c>
      <c r="AX736" s="13">
        <v>12.0</v>
      </c>
      <c r="AY736" s="13">
        <v>0.0</v>
      </c>
      <c r="AZ736" s="13"/>
      <c r="BA736" s="13"/>
      <c r="BB736" s="13"/>
      <c r="BC736" s="13"/>
      <c r="BD736" s="13"/>
      <c r="BE736" s="13"/>
      <c r="BF736" s="13"/>
      <c r="BG736" s="13"/>
      <c r="BH736" s="13" t="s">
        <v>79</v>
      </c>
      <c r="BI736" s="13" t="b">
        <v>0</v>
      </c>
      <c r="BJ736" s="13">
        <v>0.0</v>
      </c>
      <c r="BK736" s="13">
        <v>0.0</v>
      </c>
    </row>
    <row r="737" ht="14.25" customHeight="1">
      <c r="A737" s="13">
        <v>735.0</v>
      </c>
      <c r="B737" s="13" t="s">
        <v>49</v>
      </c>
      <c r="C737" s="13">
        <v>0.0</v>
      </c>
      <c r="D737" s="14">
        <v>0.0</v>
      </c>
      <c r="E737" s="13" t="s">
        <v>4642</v>
      </c>
      <c r="F737" s="15" t="s">
        <v>4633</v>
      </c>
      <c r="G737" s="16" t="s">
        <v>4643</v>
      </c>
      <c r="H737" s="13">
        <v>12.0</v>
      </c>
      <c r="I737" s="13">
        <v>0.9</v>
      </c>
      <c r="J737" s="13" t="s">
        <v>193</v>
      </c>
      <c r="K737" s="13">
        <f t="shared" si="3"/>
        <v>0</v>
      </c>
      <c r="L737" s="13">
        <f t="shared" si="4"/>
        <v>1</v>
      </c>
      <c r="M737" s="13">
        <f t="shared" ref="M737:AA737" si="1473">IFERROR(VALUE(RIGHT(LEFT($J737,FIND(M$1,$J737,1)+LEN(M$1)),1)),0)</f>
        <v>0</v>
      </c>
      <c r="N737" s="13">
        <f t="shared" si="1473"/>
        <v>0</v>
      </c>
      <c r="O737" s="13">
        <f t="shared" si="1473"/>
        <v>0</v>
      </c>
      <c r="P737" s="13">
        <f t="shared" si="1473"/>
        <v>0</v>
      </c>
      <c r="Q737" s="13">
        <f t="shared" si="1473"/>
        <v>0</v>
      </c>
      <c r="R737" s="13">
        <f t="shared" si="1473"/>
        <v>0</v>
      </c>
      <c r="S737" s="13">
        <f t="shared" si="1473"/>
        <v>0</v>
      </c>
      <c r="T737" s="13">
        <f t="shared" si="1473"/>
        <v>0</v>
      </c>
      <c r="U737" s="13">
        <f t="shared" si="1473"/>
        <v>0</v>
      </c>
      <c r="V737" s="13">
        <f t="shared" si="1473"/>
        <v>0</v>
      </c>
      <c r="W737" s="13">
        <f t="shared" si="1473"/>
        <v>0</v>
      </c>
      <c r="X737" s="13">
        <f t="shared" si="1473"/>
        <v>0</v>
      </c>
      <c r="Y737" s="13">
        <f t="shared" si="1473"/>
        <v>0</v>
      </c>
      <c r="Z737" s="13">
        <f t="shared" si="1473"/>
        <v>0</v>
      </c>
      <c r="AA737" s="13">
        <f t="shared" si="1473"/>
        <v>0</v>
      </c>
      <c r="AB737" s="13">
        <f t="shared" ref="AB737:AP737" si="1474">IFERROR(VALUE(RIGHT(LEFT($J737,FIND(AB$1,$J737,IF(M737=0,1,FIND(AB$1,$J737,1)+1))+LEN(AB$1)),1)),0)</f>
        <v>0</v>
      </c>
      <c r="AC737" s="13">
        <f t="shared" si="1474"/>
        <v>0</v>
      </c>
      <c r="AD737" s="13">
        <f t="shared" si="1474"/>
        <v>0</v>
      </c>
      <c r="AE737" s="13">
        <f t="shared" si="1474"/>
        <v>0</v>
      </c>
      <c r="AF737" s="13">
        <f t="shared" si="1474"/>
        <v>0</v>
      </c>
      <c r="AG737" s="13">
        <f t="shared" si="1474"/>
        <v>0</v>
      </c>
      <c r="AH737" s="13">
        <f t="shared" si="1474"/>
        <v>0</v>
      </c>
      <c r="AI737" s="13">
        <f t="shared" si="1474"/>
        <v>0</v>
      </c>
      <c r="AJ737" s="13">
        <f t="shared" si="1474"/>
        <v>0</v>
      </c>
      <c r="AK737" s="13">
        <f t="shared" si="1474"/>
        <v>0</v>
      </c>
      <c r="AL737" s="13">
        <f t="shared" si="1474"/>
        <v>0</v>
      </c>
      <c r="AM737" s="13">
        <f t="shared" si="1474"/>
        <v>1</v>
      </c>
      <c r="AN737" s="13">
        <f t="shared" si="1474"/>
        <v>0</v>
      </c>
      <c r="AO737" s="13">
        <f t="shared" si="1474"/>
        <v>0</v>
      </c>
      <c r="AP737" s="13">
        <f t="shared" si="1474"/>
        <v>0</v>
      </c>
      <c r="AQ737" s="13"/>
      <c r="AR737" s="13" t="s">
        <v>4644</v>
      </c>
      <c r="AS737" s="13" t="s">
        <v>206</v>
      </c>
      <c r="AT737" s="13" t="s">
        <v>142</v>
      </c>
      <c r="AU737" s="13" t="s">
        <v>130</v>
      </c>
      <c r="AV737" s="13" t="s">
        <v>2981</v>
      </c>
      <c r="AW737" s="13">
        <v>4.0</v>
      </c>
      <c r="AX737" s="13">
        <v>12.0</v>
      </c>
      <c r="AY737" s="13">
        <v>0.0</v>
      </c>
      <c r="AZ737" s="13" t="s">
        <v>2203</v>
      </c>
      <c r="BA737" s="13" t="s">
        <v>2977</v>
      </c>
      <c r="BB737" s="13"/>
      <c r="BC737" s="13"/>
      <c r="BD737" s="13" t="s">
        <v>199</v>
      </c>
      <c r="BE737" s="13"/>
      <c r="BF737" s="13" t="s">
        <v>790</v>
      </c>
      <c r="BG737" s="13" t="s">
        <v>201</v>
      </c>
      <c r="BH737" s="13" t="s">
        <v>79</v>
      </c>
      <c r="BI737" s="13" t="b">
        <v>0</v>
      </c>
      <c r="BJ737" s="13">
        <v>0.0</v>
      </c>
      <c r="BK737" s="13">
        <v>0.0</v>
      </c>
    </row>
    <row r="738" ht="14.25" customHeight="1">
      <c r="A738" s="13">
        <v>736.0</v>
      </c>
      <c r="B738" s="13" t="s">
        <v>49</v>
      </c>
      <c r="C738" s="13">
        <v>0.0</v>
      </c>
      <c r="D738" s="14">
        <v>0.0</v>
      </c>
      <c r="E738" s="13" t="s">
        <v>4645</v>
      </c>
      <c r="F738" s="15" t="s">
        <v>4633</v>
      </c>
      <c r="G738" s="16" t="s">
        <v>4646</v>
      </c>
      <c r="H738" s="13">
        <v>10.0</v>
      </c>
      <c r="I738" s="13">
        <v>1.0</v>
      </c>
      <c r="J738" s="13" t="s">
        <v>193</v>
      </c>
      <c r="K738" s="13">
        <f t="shared" si="3"/>
        <v>0</v>
      </c>
      <c r="L738" s="13">
        <f t="shared" si="4"/>
        <v>1</v>
      </c>
      <c r="M738" s="13">
        <f t="shared" ref="M738:AA738" si="1475">IFERROR(VALUE(RIGHT(LEFT($J738,FIND(M$1,$J738,1)+LEN(M$1)),1)),0)</f>
        <v>0</v>
      </c>
      <c r="N738" s="13">
        <f t="shared" si="1475"/>
        <v>0</v>
      </c>
      <c r="O738" s="13">
        <f t="shared" si="1475"/>
        <v>0</v>
      </c>
      <c r="P738" s="13">
        <f t="shared" si="1475"/>
        <v>0</v>
      </c>
      <c r="Q738" s="13">
        <f t="shared" si="1475"/>
        <v>0</v>
      </c>
      <c r="R738" s="13">
        <f t="shared" si="1475"/>
        <v>0</v>
      </c>
      <c r="S738" s="13">
        <f t="shared" si="1475"/>
        <v>0</v>
      </c>
      <c r="T738" s="13">
        <f t="shared" si="1475"/>
        <v>0</v>
      </c>
      <c r="U738" s="13">
        <f t="shared" si="1475"/>
        <v>0</v>
      </c>
      <c r="V738" s="13">
        <f t="shared" si="1475"/>
        <v>0</v>
      </c>
      <c r="W738" s="13">
        <f t="shared" si="1475"/>
        <v>0</v>
      </c>
      <c r="X738" s="13">
        <f t="shared" si="1475"/>
        <v>0</v>
      </c>
      <c r="Y738" s="13">
        <f t="shared" si="1475"/>
        <v>0</v>
      </c>
      <c r="Z738" s="13">
        <f t="shared" si="1475"/>
        <v>0</v>
      </c>
      <c r="AA738" s="13">
        <f t="shared" si="1475"/>
        <v>0</v>
      </c>
      <c r="AB738" s="13">
        <f t="shared" ref="AB738:AP738" si="1476">IFERROR(VALUE(RIGHT(LEFT($J738,FIND(AB$1,$J738,IF(M738=0,1,FIND(AB$1,$J738,1)+1))+LEN(AB$1)),1)),0)</f>
        <v>0</v>
      </c>
      <c r="AC738" s="13">
        <f t="shared" si="1476"/>
        <v>0</v>
      </c>
      <c r="AD738" s="13">
        <f t="shared" si="1476"/>
        <v>0</v>
      </c>
      <c r="AE738" s="13">
        <f t="shared" si="1476"/>
        <v>0</v>
      </c>
      <c r="AF738" s="13">
        <f t="shared" si="1476"/>
        <v>0</v>
      </c>
      <c r="AG738" s="13">
        <f t="shared" si="1476"/>
        <v>0</v>
      </c>
      <c r="AH738" s="13">
        <f t="shared" si="1476"/>
        <v>0</v>
      </c>
      <c r="AI738" s="13">
        <f t="shared" si="1476"/>
        <v>0</v>
      </c>
      <c r="AJ738" s="13">
        <f t="shared" si="1476"/>
        <v>0</v>
      </c>
      <c r="AK738" s="13">
        <f t="shared" si="1476"/>
        <v>0</v>
      </c>
      <c r="AL738" s="13">
        <f t="shared" si="1476"/>
        <v>0</v>
      </c>
      <c r="AM738" s="13">
        <f t="shared" si="1476"/>
        <v>1</v>
      </c>
      <c r="AN738" s="13">
        <f t="shared" si="1476"/>
        <v>0</v>
      </c>
      <c r="AO738" s="13">
        <f t="shared" si="1476"/>
        <v>0</v>
      </c>
      <c r="AP738" s="13">
        <f t="shared" si="1476"/>
        <v>0</v>
      </c>
      <c r="AQ738" s="13"/>
      <c r="AR738" s="13" t="s">
        <v>4647</v>
      </c>
      <c r="AS738" s="13" t="s">
        <v>217</v>
      </c>
      <c r="AT738" s="13" t="s">
        <v>162</v>
      </c>
      <c r="AU738" s="13" t="s">
        <v>163</v>
      </c>
      <c r="AV738" s="13" t="s">
        <v>4648</v>
      </c>
      <c r="AW738" s="13">
        <v>2.0</v>
      </c>
      <c r="AX738" s="13">
        <v>12.0</v>
      </c>
      <c r="AY738" s="13">
        <v>0.0</v>
      </c>
      <c r="AZ738" s="13" t="s">
        <v>154</v>
      </c>
      <c r="BA738" s="13" t="s">
        <v>625</v>
      </c>
      <c r="BB738" s="13"/>
      <c r="BC738" s="13"/>
      <c r="BD738" s="13" t="s">
        <v>220</v>
      </c>
      <c r="BE738" s="13"/>
      <c r="BF738" s="13" t="s">
        <v>811</v>
      </c>
      <c r="BG738" s="13" t="s">
        <v>201</v>
      </c>
      <c r="BH738" s="13" t="s">
        <v>79</v>
      </c>
      <c r="BI738" s="13" t="b">
        <v>0</v>
      </c>
      <c r="BJ738" s="13">
        <v>0.0</v>
      </c>
      <c r="BK738" s="13">
        <v>0.0</v>
      </c>
    </row>
    <row r="739" ht="14.25" customHeight="1">
      <c r="A739" s="13">
        <v>737.0</v>
      </c>
      <c r="B739" s="13" t="s">
        <v>50</v>
      </c>
      <c r="C739" s="13">
        <v>0.0</v>
      </c>
      <c r="D739" s="14">
        <v>0.0</v>
      </c>
      <c r="E739" s="13" t="s">
        <v>4649</v>
      </c>
      <c r="F739" s="15" t="s">
        <v>4633</v>
      </c>
      <c r="G739" s="16" t="s">
        <v>4650</v>
      </c>
      <c r="H739" s="13">
        <v>11.0</v>
      </c>
      <c r="I739" s="13">
        <v>1.1</v>
      </c>
      <c r="J739" s="13" t="s">
        <v>225</v>
      </c>
      <c r="K739" s="13">
        <f t="shared" si="3"/>
        <v>0</v>
      </c>
      <c r="L739" s="13">
        <f t="shared" si="4"/>
        <v>1</v>
      </c>
      <c r="M739" s="13">
        <f t="shared" ref="M739:AA739" si="1477">IFERROR(VALUE(RIGHT(LEFT($J739,FIND(M$1,$J739,1)+LEN(M$1)),1)),0)</f>
        <v>0</v>
      </c>
      <c r="N739" s="13">
        <f t="shared" si="1477"/>
        <v>0</v>
      </c>
      <c r="O739" s="13">
        <f t="shared" si="1477"/>
        <v>0</v>
      </c>
      <c r="P739" s="13">
        <f t="shared" si="1477"/>
        <v>0</v>
      </c>
      <c r="Q739" s="13">
        <f t="shared" si="1477"/>
        <v>0</v>
      </c>
      <c r="R739" s="13">
        <f t="shared" si="1477"/>
        <v>0</v>
      </c>
      <c r="S739" s="13">
        <f t="shared" si="1477"/>
        <v>0</v>
      </c>
      <c r="T739" s="13">
        <f t="shared" si="1477"/>
        <v>0</v>
      </c>
      <c r="U739" s="13">
        <f t="shared" si="1477"/>
        <v>0</v>
      </c>
      <c r="V739" s="13">
        <f t="shared" si="1477"/>
        <v>0</v>
      </c>
      <c r="W739" s="13">
        <f t="shared" si="1477"/>
        <v>0</v>
      </c>
      <c r="X739" s="13">
        <f t="shared" si="1477"/>
        <v>0</v>
      </c>
      <c r="Y739" s="13">
        <f t="shared" si="1477"/>
        <v>0</v>
      </c>
      <c r="Z739" s="13">
        <f t="shared" si="1477"/>
        <v>0</v>
      </c>
      <c r="AA739" s="13">
        <f t="shared" si="1477"/>
        <v>0</v>
      </c>
      <c r="AB739" s="13">
        <f t="shared" ref="AB739:AP739" si="1478">IFERROR(VALUE(RIGHT(LEFT($J739,FIND(AB$1,$J739,IF(M739=0,1,FIND(AB$1,$J739,1)+1))+LEN(AB$1)),1)),0)</f>
        <v>0</v>
      </c>
      <c r="AC739" s="13">
        <f t="shared" si="1478"/>
        <v>0</v>
      </c>
      <c r="AD739" s="13">
        <f t="shared" si="1478"/>
        <v>0</v>
      </c>
      <c r="AE739" s="13">
        <f t="shared" si="1478"/>
        <v>0</v>
      </c>
      <c r="AF739" s="13">
        <f t="shared" si="1478"/>
        <v>0</v>
      </c>
      <c r="AG739" s="13">
        <f t="shared" si="1478"/>
        <v>0</v>
      </c>
      <c r="AH739" s="13">
        <f t="shared" si="1478"/>
        <v>0</v>
      </c>
      <c r="AI739" s="13">
        <f t="shared" si="1478"/>
        <v>0</v>
      </c>
      <c r="AJ739" s="13">
        <f t="shared" si="1478"/>
        <v>0</v>
      </c>
      <c r="AK739" s="13">
        <f t="shared" si="1478"/>
        <v>0</v>
      </c>
      <c r="AL739" s="13">
        <f t="shared" si="1478"/>
        <v>0</v>
      </c>
      <c r="AM739" s="13">
        <f t="shared" si="1478"/>
        <v>0</v>
      </c>
      <c r="AN739" s="13">
        <f t="shared" si="1478"/>
        <v>1</v>
      </c>
      <c r="AO739" s="13">
        <f t="shared" si="1478"/>
        <v>0</v>
      </c>
      <c r="AP739" s="13">
        <f t="shared" si="1478"/>
        <v>0</v>
      </c>
      <c r="AQ739" s="13"/>
      <c r="AR739" s="13" t="s">
        <v>226</v>
      </c>
      <c r="AS739" s="13" t="s">
        <v>4651</v>
      </c>
      <c r="AT739" s="13" t="s">
        <v>162</v>
      </c>
      <c r="AU739" s="13" t="s">
        <v>248</v>
      </c>
      <c r="AV739" s="13" t="s">
        <v>270</v>
      </c>
      <c r="AW739" s="13">
        <v>3.0</v>
      </c>
      <c r="AX739" s="13">
        <v>12.0</v>
      </c>
      <c r="AY739" s="13">
        <v>0.0</v>
      </c>
      <c r="AZ739" s="13" t="s">
        <v>218</v>
      </c>
      <c r="BA739" s="13" t="s">
        <v>4652</v>
      </c>
      <c r="BB739" s="13"/>
      <c r="BC739" s="13"/>
      <c r="BD739" s="13" t="s">
        <v>239</v>
      </c>
      <c r="BE739" s="13"/>
      <c r="BF739" s="13" t="s">
        <v>610</v>
      </c>
      <c r="BG739" s="13" t="s">
        <v>50</v>
      </c>
      <c r="BH739" s="13" t="s">
        <v>79</v>
      </c>
      <c r="BI739" s="13" t="b">
        <v>0</v>
      </c>
      <c r="BJ739" s="13">
        <v>0.0</v>
      </c>
      <c r="BK739" s="13">
        <v>0.0</v>
      </c>
    </row>
    <row r="740" ht="14.25" customHeight="1">
      <c r="A740" s="13">
        <v>738.0</v>
      </c>
      <c r="B740" s="13" t="s">
        <v>44</v>
      </c>
      <c r="C740" s="13">
        <v>1.0</v>
      </c>
      <c r="D740" s="14">
        <v>0.0</v>
      </c>
      <c r="E740" s="13" t="s">
        <v>4653</v>
      </c>
      <c r="F740" s="15" t="s">
        <v>4633</v>
      </c>
      <c r="G740" s="16" t="s">
        <v>4654</v>
      </c>
      <c r="H740" s="13"/>
      <c r="I740" s="13">
        <v>1.0</v>
      </c>
      <c r="J740" s="13" t="s">
        <v>83</v>
      </c>
      <c r="K740" s="13">
        <f t="shared" si="3"/>
        <v>0</v>
      </c>
      <c r="L740" s="13">
        <f t="shared" si="4"/>
        <v>2</v>
      </c>
      <c r="M740" s="13">
        <f t="shared" ref="M740:AA740" si="1479">IFERROR(VALUE(RIGHT(LEFT($J740,FIND(M$1,$J740,1)+LEN(M$1)),1)),0)</f>
        <v>0</v>
      </c>
      <c r="N740" s="13">
        <f t="shared" si="1479"/>
        <v>0</v>
      </c>
      <c r="O740" s="13">
        <f t="shared" si="1479"/>
        <v>0</v>
      </c>
      <c r="P740" s="13">
        <f t="shared" si="1479"/>
        <v>0</v>
      </c>
      <c r="Q740" s="13">
        <f t="shared" si="1479"/>
        <v>0</v>
      </c>
      <c r="R740" s="13">
        <f t="shared" si="1479"/>
        <v>0</v>
      </c>
      <c r="S740" s="13">
        <f t="shared" si="1479"/>
        <v>0</v>
      </c>
      <c r="T740" s="13">
        <f t="shared" si="1479"/>
        <v>0</v>
      </c>
      <c r="U740" s="13">
        <f t="shared" si="1479"/>
        <v>0</v>
      </c>
      <c r="V740" s="13">
        <f t="shared" si="1479"/>
        <v>0</v>
      </c>
      <c r="W740" s="13">
        <f t="shared" si="1479"/>
        <v>0</v>
      </c>
      <c r="X740" s="13">
        <f t="shared" si="1479"/>
        <v>0</v>
      </c>
      <c r="Y740" s="13">
        <f t="shared" si="1479"/>
        <v>0</v>
      </c>
      <c r="Z740" s="13">
        <f t="shared" si="1479"/>
        <v>0</v>
      </c>
      <c r="AA740" s="13">
        <f t="shared" si="1479"/>
        <v>0</v>
      </c>
      <c r="AB740" s="13">
        <f t="shared" ref="AB740:AP740" si="1480">IFERROR(VALUE(RIGHT(LEFT($J740,FIND(AB$1,$J740,IF(M740=0,1,FIND(AB$1,$J740,1)+1))+LEN(AB$1)),1)),0)</f>
        <v>1</v>
      </c>
      <c r="AC740" s="13">
        <f t="shared" si="1480"/>
        <v>0</v>
      </c>
      <c r="AD740" s="13">
        <f t="shared" si="1480"/>
        <v>0</v>
      </c>
      <c r="AE740" s="13">
        <f t="shared" si="1480"/>
        <v>0</v>
      </c>
      <c r="AF740" s="13">
        <f t="shared" si="1480"/>
        <v>0</v>
      </c>
      <c r="AG740" s="13">
        <f t="shared" si="1480"/>
        <v>0</v>
      </c>
      <c r="AH740" s="13">
        <f t="shared" si="1480"/>
        <v>1</v>
      </c>
      <c r="AI740" s="13">
        <f t="shared" si="1480"/>
        <v>0</v>
      </c>
      <c r="AJ740" s="13">
        <f t="shared" si="1480"/>
        <v>0</v>
      </c>
      <c r="AK740" s="13">
        <f t="shared" si="1480"/>
        <v>0</v>
      </c>
      <c r="AL740" s="13">
        <f t="shared" si="1480"/>
        <v>0</v>
      </c>
      <c r="AM740" s="13">
        <f t="shared" si="1480"/>
        <v>0</v>
      </c>
      <c r="AN740" s="13">
        <f t="shared" si="1480"/>
        <v>0</v>
      </c>
      <c r="AO740" s="13">
        <f t="shared" si="1480"/>
        <v>0</v>
      </c>
      <c r="AP740" s="13">
        <f t="shared" si="1480"/>
        <v>0</v>
      </c>
      <c r="AQ740" s="13" t="s">
        <v>4655</v>
      </c>
      <c r="AR740" s="13"/>
      <c r="AS740" s="13" t="s">
        <v>344</v>
      </c>
      <c r="AT740" s="13"/>
      <c r="AU740" s="13"/>
      <c r="AV740" s="13"/>
      <c r="AW740" s="13">
        <v>0.0</v>
      </c>
      <c r="AX740" s="13">
        <v>12.0</v>
      </c>
      <c r="AY740" s="13">
        <v>0.0</v>
      </c>
      <c r="AZ740" s="13"/>
      <c r="BA740" s="13"/>
      <c r="BB740" s="13"/>
      <c r="BC740" s="13"/>
      <c r="BD740" s="13"/>
      <c r="BE740" s="13"/>
      <c r="BF740" s="13"/>
      <c r="BG740" s="13"/>
      <c r="BH740" s="13" t="s">
        <v>79</v>
      </c>
      <c r="BI740" s="13" t="b">
        <v>0</v>
      </c>
      <c r="BJ740" s="13">
        <v>0.0</v>
      </c>
      <c r="BK740" s="13">
        <v>0.0</v>
      </c>
    </row>
    <row r="741" ht="14.25" customHeight="1">
      <c r="A741" s="13">
        <v>739.0</v>
      </c>
      <c r="B741" s="13" t="s">
        <v>45</v>
      </c>
      <c r="C741" s="13">
        <v>1.0</v>
      </c>
      <c r="D741" s="14">
        <v>0.0</v>
      </c>
      <c r="E741" s="13" t="s">
        <v>4656</v>
      </c>
      <c r="F741" s="15" t="s">
        <v>4633</v>
      </c>
      <c r="G741" s="16" t="s">
        <v>4657</v>
      </c>
      <c r="H741" s="13"/>
      <c r="I741" s="13">
        <v>0.9</v>
      </c>
      <c r="J741" s="13" t="s">
        <v>405</v>
      </c>
      <c r="K741" s="13">
        <f t="shared" si="3"/>
        <v>0</v>
      </c>
      <c r="L741" s="13">
        <f t="shared" si="4"/>
        <v>2</v>
      </c>
      <c r="M741" s="13">
        <f t="shared" ref="M741:AA741" si="1481">IFERROR(VALUE(RIGHT(LEFT($J741,FIND(M$1,$J741,1)+LEN(M$1)),1)),0)</f>
        <v>0</v>
      </c>
      <c r="N741" s="13">
        <f t="shared" si="1481"/>
        <v>0</v>
      </c>
      <c r="O741" s="13">
        <f t="shared" si="1481"/>
        <v>0</v>
      </c>
      <c r="P741" s="13">
        <f t="shared" si="1481"/>
        <v>0</v>
      </c>
      <c r="Q741" s="13">
        <f t="shared" si="1481"/>
        <v>0</v>
      </c>
      <c r="R741" s="13">
        <f t="shared" si="1481"/>
        <v>0</v>
      </c>
      <c r="S741" s="13">
        <f t="shared" si="1481"/>
        <v>0</v>
      </c>
      <c r="T741" s="13">
        <f t="shared" si="1481"/>
        <v>0</v>
      </c>
      <c r="U741" s="13">
        <f t="shared" si="1481"/>
        <v>0</v>
      </c>
      <c r="V741" s="13">
        <f t="shared" si="1481"/>
        <v>0</v>
      </c>
      <c r="W741" s="13">
        <f t="shared" si="1481"/>
        <v>0</v>
      </c>
      <c r="X741" s="13">
        <f t="shared" si="1481"/>
        <v>0</v>
      </c>
      <c r="Y741" s="13">
        <f t="shared" si="1481"/>
        <v>0</v>
      </c>
      <c r="Z741" s="13">
        <f t="shared" si="1481"/>
        <v>0</v>
      </c>
      <c r="AA741" s="13">
        <f t="shared" si="1481"/>
        <v>0</v>
      </c>
      <c r="AB741" s="13">
        <f t="shared" ref="AB741:AP741" si="1482">IFERROR(VALUE(RIGHT(LEFT($J741,FIND(AB$1,$J741,IF(M741=0,1,FIND(AB$1,$J741,1)+1))+LEN(AB$1)),1)),0)</f>
        <v>0</v>
      </c>
      <c r="AC741" s="13">
        <f t="shared" si="1482"/>
        <v>0</v>
      </c>
      <c r="AD741" s="13">
        <f t="shared" si="1482"/>
        <v>0</v>
      </c>
      <c r="AE741" s="13">
        <f t="shared" si="1482"/>
        <v>1</v>
      </c>
      <c r="AF741" s="13">
        <f t="shared" si="1482"/>
        <v>0</v>
      </c>
      <c r="AG741" s="13">
        <f t="shared" si="1482"/>
        <v>0</v>
      </c>
      <c r="AH741" s="13">
        <f t="shared" si="1482"/>
        <v>0</v>
      </c>
      <c r="AI741" s="13">
        <f t="shared" si="1482"/>
        <v>1</v>
      </c>
      <c r="AJ741" s="13">
        <f t="shared" si="1482"/>
        <v>0</v>
      </c>
      <c r="AK741" s="13">
        <f t="shared" si="1482"/>
        <v>0</v>
      </c>
      <c r="AL741" s="13">
        <f t="shared" si="1482"/>
        <v>0</v>
      </c>
      <c r="AM741" s="13">
        <f t="shared" si="1482"/>
        <v>0</v>
      </c>
      <c r="AN741" s="13">
        <f t="shared" si="1482"/>
        <v>0</v>
      </c>
      <c r="AO741" s="13">
        <f t="shared" si="1482"/>
        <v>0</v>
      </c>
      <c r="AP741" s="13">
        <f t="shared" si="1482"/>
        <v>0</v>
      </c>
      <c r="AQ741" s="13" t="s">
        <v>4658</v>
      </c>
      <c r="AR741" s="13"/>
      <c r="AS741" s="13" t="s">
        <v>4659</v>
      </c>
      <c r="AT741" s="13"/>
      <c r="AU741" s="13"/>
      <c r="AV741" s="13"/>
      <c r="AW741" s="13">
        <v>0.0</v>
      </c>
      <c r="AX741" s="13">
        <v>12.0</v>
      </c>
      <c r="AY741" s="13">
        <v>0.0</v>
      </c>
      <c r="AZ741" s="13"/>
      <c r="BA741" s="13"/>
      <c r="BB741" s="13"/>
      <c r="BC741" s="13"/>
      <c r="BD741" s="13"/>
      <c r="BE741" s="13"/>
      <c r="BF741" s="13"/>
      <c r="BG741" s="13"/>
      <c r="BH741" s="13" t="s">
        <v>79</v>
      </c>
      <c r="BI741" s="13" t="b">
        <v>0</v>
      </c>
      <c r="BJ741" s="13">
        <v>0.0</v>
      </c>
      <c r="BK741" s="13">
        <v>0.0</v>
      </c>
    </row>
    <row r="742" ht="14.25" customHeight="1">
      <c r="A742" s="13">
        <v>740.0</v>
      </c>
      <c r="B742" s="13" t="s">
        <v>46</v>
      </c>
      <c r="C742" s="13">
        <v>1.0</v>
      </c>
      <c r="D742" s="14">
        <v>0.0</v>
      </c>
      <c r="E742" s="13" t="s">
        <v>4660</v>
      </c>
      <c r="F742" s="15" t="s">
        <v>4633</v>
      </c>
      <c r="G742" s="16" t="s">
        <v>4661</v>
      </c>
      <c r="H742" s="13"/>
      <c r="I742" s="13">
        <v>0.9</v>
      </c>
      <c r="J742" s="13" t="s">
        <v>430</v>
      </c>
      <c r="K742" s="13">
        <f t="shared" si="3"/>
        <v>0</v>
      </c>
      <c r="L742" s="13">
        <f t="shared" si="4"/>
        <v>2</v>
      </c>
      <c r="M742" s="13">
        <f t="shared" ref="M742:AA742" si="1483">IFERROR(VALUE(RIGHT(LEFT($J742,FIND(M$1,$J742,1)+LEN(M$1)),1)),0)</f>
        <v>0</v>
      </c>
      <c r="N742" s="13">
        <f t="shared" si="1483"/>
        <v>0</v>
      </c>
      <c r="O742" s="13">
        <f t="shared" si="1483"/>
        <v>0</v>
      </c>
      <c r="P742" s="13">
        <f t="shared" si="1483"/>
        <v>0</v>
      </c>
      <c r="Q742" s="13">
        <f t="shared" si="1483"/>
        <v>0</v>
      </c>
      <c r="R742" s="13">
        <f t="shared" si="1483"/>
        <v>0</v>
      </c>
      <c r="S742" s="13">
        <f t="shared" si="1483"/>
        <v>0</v>
      </c>
      <c r="T742" s="13">
        <f t="shared" si="1483"/>
        <v>0</v>
      </c>
      <c r="U742" s="13">
        <f t="shared" si="1483"/>
        <v>0</v>
      </c>
      <c r="V742" s="13">
        <f t="shared" si="1483"/>
        <v>0</v>
      </c>
      <c r="W742" s="13">
        <f t="shared" si="1483"/>
        <v>0</v>
      </c>
      <c r="X742" s="13">
        <f t="shared" si="1483"/>
        <v>0</v>
      </c>
      <c r="Y742" s="13">
        <f t="shared" si="1483"/>
        <v>0</v>
      </c>
      <c r="Z742" s="13">
        <f t="shared" si="1483"/>
        <v>0</v>
      </c>
      <c r="AA742" s="13">
        <f t="shared" si="1483"/>
        <v>0</v>
      </c>
      <c r="AB742" s="13">
        <f t="shared" ref="AB742:AP742" si="1484">IFERROR(VALUE(RIGHT(LEFT($J742,FIND(AB$1,$J742,IF(M742=0,1,FIND(AB$1,$J742,1)+1))+LEN(AB$1)),1)),0)</f>
        <v>0</v>
      </c>
      <c r="AC742" s="13">
        <f t="shared" si="1484"/>
        <v>0</v>
      </c>
      <c r="AD742" s="13">
        <f t="shared" si="1484"/>
        <v>0</v>
      </c>
      <c r="AE742" s="13">
        <f t="shared" si="1484"/>
        <v>0</v>
      </c>
      <c r="AF742" s="13">
        <f t="shared" si="1484"/>
        <v>1</v>
      </c>
      <c r="AG742" s="13">
        <f t="shared" si="1484"/>
        <v>0</v>
      </c>
      <c r="AH742" s="13">
        <f t="shared" si="1484"/>
        <v>0</v>
      </c>
      <c r="AI742" s="13">
        <f t="shared" si="1484"/>
        <v>0</v>
      </c>
      <c r="AJ742" s="13">
        <f t="shared" si="1484"/>
        <v>1</v>
      </c>
      <c r="AK742" s="13">
        <f t="shared" si="1484"/>
        <v>0</v>
      </c>
      <c r="AL742" s="13">
        <f t="shared" si="1484"/>
        <v>0</v>
      </c>
      <c r="AM742" s="13">
        <f t="shared" si="1484"/>
        <v>0</v>
      </c>
      <c r="AN742" s="13">
        <f t="shared" si="1484"/>
        <v>0</v>
      </c>
      <c r="AO742" s="13">
        <f t="shared" si="1484"/>
        <v>0</v>
      </c>
      <c r="AP742" s="13">
        <f t="shared" si="1484"/>
        <v>0</v>
      </c>
      <c r="AQ742" s="13" t="s">
        <v>4662</v>
      </c>
      <c r="AR742" s="13"/>
      <c r="AS742" s="13" t="s">
        <v>4663</v>
      </c>
      <c r="AT742" s="13"/>
      <c r="AU742" s="13"/>
      <c r="AV742" s="13"/>
      <c r="AW742" s="13">
        <v>0.0</v>
      </c>
      <c r="AX742" s="13">
        <v>12.0</v>
      </c>
      <c r="AY742" s="13">
        <v>0.0</v>
      </c>
      <c r="AZ742" s="13"/>
      <c r="BA742" s="13"/>
      <c r="BB742" s="13"/>
      <c r="BC742" s="13"/>
      <c r="BD742" s="13"/>
      <c r="BE742" s="13"/>
      <c r="BF742" s="13"/>
      <c r="BG742" s="13"/>
      <c r="BH742" s="13" t="s">
        <v>79</v>
      </c>
      <c r="BI742" s="13" t="b">
        <v>0</v>
      </c>
      <c r="BJ742" s="13">
        <v>0.0</v>
      </c>
      <c r="BK742" s="13">
        <v>0.0</v>
      </c>
    </row>
    <row r="743" ht="14.25" customHeight="1">
      <c r="A743" s="13">
        <v>741.0</v>
      </c>
      <c r="B743" s="13" t="s">
        <v>49</v>
      </c>
      <c r="C743" s="13">
        <v>1.0</v>
      </c>
      <c r="D743" s="14">
        <v>0.0</v>
      </c>
      <c r="E743" s="13" t="s">
        <v>4664</v>
      </c>
      <c r="F743" s="15" t="s">
        <v>4633</v>
      </c>
      <c r="G743" s="16" t="s">
        <v>4665</v>
      </c>
      <c r="H743" s="13">
        <v>14.0</v>
      </c>
      <c r="I743" s="13">
        <v>1.0</v>
      </c>
      <c r="J743" s="13" t="s">
        <v>638</v>
      </c>
      <c r="K743" s="13">
        <f t="shared" si="3"/>
        <v>0</v>
      </c>
      <c r="L743" s="13">
        <f t="shared" si="4"/>
        <v>2</v>
      </c>
      <c r="M743" s="13">
        <f t="shared" ref="M743:AA743" si="1485">IFERROR(VALUE(RIGHT(LEFT($J743,FIND(M$1,$J743,1)+LEN(M$1)),1)),0)</f>
        <v>0</v>
      </c>
      <c r="N743" s="13">
        <f t="shared" si="1485"/>
        <v>0</v>
      </c>
      <c r="O743" s="13">
        <f t="shared" si="1485"/>
        <v>0</v>
      </c>
      <c r="P743" s="13">
        <f t="shared" si="1485"/>
        <v>0</v>
      </c>
      <c r="Q743" s="13">
        <f t="shared" si="1485"/>
        <v>0</v>
      </c>
      <c r="R743" s="13">
        <f t="shared" si="1485"/>
        <v>0</v>
      </c>
      <c r="S743" s="13">
        <f t="shared" si="1485"/>
        <v>0</v>
      </c>
      <c r="T743" s="13">
        <f t="shared" si="1485"/>
        <v>0</v>
      </c>
      <c r="U743" s="13">
        <f t="shared" si="1485"/>
        <v>0</v>
      </c>
      <c r="V743" s="13">
        <f t="shared" si="1485"/>
        <v>0</v>
      </c>
      <c r="W743" s="13">
        <f t="shared" si="1485"/>
        <v>0</v>
      </c>
      <c r="X743" s="13">
        <f t="shared" si="1485"/>
        <v>0</v>
      </c>
      <c r="Y743" s="13">
        <f t="shared" si="1485"/>
        <v>0</v>
      </c>
      <c r="Z743" s="13">
        <f t="shared" si="1485"/>
        <v>0</v>
      </c>
      <c r="AA743" s="13">
        <f t="shared" si="1485"/>
        <v>0</v>
      </c>
      <c r="AB743" s="13">
        <f t="shared" ref="AB743:AP743" si="1486">IFERROR(VALUE(RIGHT(LEFT($J743,FIND(AB$1,$J743,IF(M743=0,1,FIND(AB$1,$J743,1)+1))+LEN(AB$1)),1)),0)</f>
        <v>1</v>
      </c>
      <c r="AC743" s="13">
        <f t="shared" si="1486"/>
        <v>0</v>
      </c>
      <c r="AD743" s="13">
        <f t="shared" si="1486"/>
        <v>0</v>
      </c>
      <c r="AE743" s="13">
        <f t="shared" si="1486"/>
        <v>0</v>
      </c>
      <c r="AF743" s="13">
        <f t="shared" si="1486"/>
        <v>0</v>
      </c>
      <c r="AG743" s="13">
        <f t="shared" si="1486"/>
        <v>0</v>
      </c>
      <c r="AH743" s="13">
        <f t="shared" si="1486"/>
        <v>0</v>
      </c>
      <c r="AI743" s="13">
        <f t="shared" si="1486"/>
        <v>0</v>
      </c>
      <c r="AJ743" s="13">
        <f t="shared" si="1486"/>
        <v>0</v>
      </c>
      <c r="AK743" s="13">
        <f t="shared" si="1486"/>
        <v>0</v>
      </c>
      <c r="AL743" s="13">
        <f t="shared" si="1486"/>
        <v>0</v>
      </c>
      <c r="AM743" s="13">
        <f t="shared" si="1486"/>
        <v>1</v>
      </c>
      <c r="AN743" s="13">
        <f t="shared" si="1486"/>
        <v>0</v>
      </c>
      <c r="AO743" s="13">
        <f t="shared" si="1486"/>
        <v>0</v>
      </c>
      <c r="AP743" s="13">
        <f t="shared" si="1486"/>
        <v>0</v>
      </c>
      <c r="AQ743" s="13"/>
      <c r="AR743" s="13" t="s">
        <v>1271</v>
      </c>
      <c r="AS743" s="13" t="s">
        <v>660</v>
      </c>
      <c r="AT743" s="13" t="s">
        <v>573</v>
      </c>
      <c r="AU743" s="13" t="s">
        <v>130</v>
      </c>
      <c r="AV743" s="13" t="s">
        <v>661</v>
      </c>
      <c r="AW743" s="13">
        <v>7.0</v>
      </c>
      <c r="AX743" s="13">
        <v>12.0</v>
      </c>
      <c r="AY743" s="13">
        <v>0.0</v>
      </c>
      <c r="AZ743" s="13" t="s">
        <v>913</v>
      </c>
      <c r="BA743" s="13" t="s">
        <v>2377</v>
      </c>
      <c r="BB743" s="13"/>
      <c r="BC743" s="13"/>
      <c r="BD743" s="13" t="s">
        <v>199</v>
      </c>
      <c r="BE743" s="13"/>
      <c r="BF743" s="13" t="s">
        <v>1437</v>
      </c>
      <c r="BG743" s="13" t="s">
        <v>201</v>
      </c>
      <c r="BH743" s="13" t="s">
        <v>79</v>
      </c>
      <c r="BI743" s="13" t="b">
        <v>0</v>
      </c>
      <c r="BJ743" s="13">
        <v>0.0</v>
      </c>
      <c r="BK743" s="13">
        <v>0.0</v>
      </c>
    </row>
    <row r="744" ht="14.25" customHeight="1">
      <c r="A744" s="13">
        <v>742.0</v>
      </c>
      <c r="B744" s="13" t="s">
        <v>49</v>
      </c>
      <c r="C744" s="13">
        <v>1.0</v>
      </c>
      <c r="D744" s="14">
        <v>0.0</v>
      </c>
      <c r="E744" s="13" t="s">
        <v>4666</v>
      </c>
      <c r="F744" s="15" t="s">
        <v>4633</v>
      </c>
      <c r="G744" s="16" t="s">
        <v>4667</v>
      </c>
      <c r="H744" s="13">
        <v>11.0</v>
      </c>
      <c r="I744" s="13">
        <v>0.9</v>
      </c>
      <c r="J744" s="13" t="s">
        <v>645</v>
      </c>
      <c r="K744" s="13">
        <f t="shared" si="3"/>
        <v>0</v>
      </c>
      <c r="L744" s="13">
        <f t="shared" si="4"/>
        <v>2</v>
      </c>
      <c r="M744" s="13">
        <f t="shared" ref="M744:AA744" si="1487">IFERROR(VALUE(RIGHT(LEFT($J744,FIND(M$1,$J744,1)+LEN(M$1)),1)),0)</f>
        <v>0</v>
      </c>
      <c r="N744" s="13">
        <f t="shared" si="1487"/>
        <v>0</v>
      </c>
      <c r="O744" s="13">
        <f t="shared" si="1487"/>
        <v>0</v>
      </c>
      <c r="P744" s="13">
        <f t="shared" si="1487"/>
        <v>0</v>
      </c>
      <c r="Q744" s="13">
        <f t="shared" si="1487"/>
        <v>0</v>
      </c>
      <c r="R744" s="13">
        <f t="shared" si="1487"/>
        <v>0</v>
      </c>
      <c r="S744" s="13">
        <f t="shared" si="1487"/>
        <v>0</v>
      </c>
      <c r="T744" s="13">
        <f t="shared" si="1487"/>
        <v>0</v>
      </c>
      <c r="U744" s="13">
        <f t="shared" si="1487"/>
        <v>0</v>
      </c>
      <c r="V744" s="13">
        <f t="shared" si="1487"/>
        <v>0</v>
      </c>
      <c r="W744" s="13">
        <f t="shared" si="1487"/>
        <v>0</v>
      </c>
      <c r="X744" s="13">
        <f t="shared" si="1487"/>
        <v>0</v>
      </c>
      <c r="Y744" s="13">
        <f t="shared" si="1487"/>
        <v>0</v>
      </c>
      <c r="Z744" s="13">
        <f t="shared" si="1487"/>
        <v>0</v>
      </c>
      <c r="AA744" s="13">
        <f t="shared" si="1487"/>
        <v>0</v>
      </c>
      <c r="AB744" s="13">
        <f t="shared" ref="AB744:AP744" si="1488">IFERROR(VALUE(RIGHT(LEFT($J744,FIND(AB$1,$J744,IF(M744=0,1,FIND(AB$1,$J744,1)+1))+LEN(AB$1)),1)),0)</f>
        <v>0</v>
      </c>
      <c r="AC744" s="13">
        <f t="shared" si="1488"/>
        <v>0</v>
      </c>
      <c r="AD744" s="13">
        <f t="shared" si="1488"/>
        <v>0</v>
      </c>
      <c r="AE744" s="13">
        <f t="shared" si="1488"/>
        <v>0</v>
      </c>
      <c r="AF744" s="13">
        <f t="shared" si="1488"/>
        <v>1</v>
      </c>
      <c r="AG744" s="13">
        <f t="shared" si="1488"/>
        <v>0</v>
      </c>
      <c r="AH744" s="13">
        <f t="shared" si="1488"/>
        <v>0</v>
      </c>
      <c r="AI744" s="13">
        <f t="shared" si="1488"/>
        <v>0</v>
      </c>
      <c r="AJ744" s="13">
        <f t="shared" si="1488"/>
        <v>0</v>
      </c>
      <c r="AK744" s="13">
        <f t="shared" si="1488"/>
        <v>0</v>
      </c>
      <c r="AL744" s="13">
        <f t="shared" si="1488"/>
        <v>0</v>
      </c>
      <c r="AM744" s="13">
        <f t="shared" si="1488"/>
        <v>1</v>
      </c>
      <c r="AN744" s="13">
        <f t="shared" si="1488"/>
        <v>0</v>
      </c>
      <c r="AO744" s="13">
        <f t="shared" si="1488"/>
        <v>0</v>
      </c>
      <c r="AP744" s="13">
        <f t="shared" si="1488"/>
        <v>0</v>
      </c>
      <c r="AQ744" s="13"/>
      <c r="AR744" s="13" t="s">
        <v>3813</v>
      </c>
      <c r="AS744" s="13" t="s">
        <v>647</v>
      </c>
      <c r="AT744" s="13" t="s">
        <v>162</v>
      </c>
      <c r="AU744" s="13" t="s">
        <v>195</v>
      </c>
      <c r="AV744" s="13" t="s">
        <v>4668</v>
      </c>
      <c r="AW744" s="13">
        <v>5.0</v>
      </c>
      <c r="AX744" s="13">
        <v>12.0</v>
      </c>
      <c r="AY744" s="13">
        <v>0.0</v>
      </c>
      <c r="AZ744" s="13" t="s">
        <v>662</v>
      </c>
      <c r="BA744" s="13" t="s">
        <v>2234</v>
      </c>
      <c r="BB744" s="13"/>
      <c r="BC744" s="13"/>
      <c r="BD744" s="13" t="s">
        <v>664</v>
      </c>
      <c r="BE744" s="13"/>
      <c r="BF744" s="13" t="s">
        <v>521</v>
      </c>
      <c r="BG744" s="13" t="s">
        <v>201</v>
      </c>
      <c r="BH744" s="13" t="s">
        <v>79</v>
      </c>
      <c r="BI744" s="13" t="b">
        <v>0</v>
      </c>
      <c r="BJ744" s="13">
        <v>0.0</v>
      </c>
      <c r="BK744" s="13">
        <v>0.0</v>
      </c>
    </row>
    <row r="745" ht="14.25" customHeight="1">
      <c r="A745" s="13">
        <v>743.0</v>
      </c>
      <c r="B745" s="13" t="s">
        <v>50</v>
      </c>
      <c r="C745" s="13">
        <v>1.0</v>
      </c>
      <c r="D745" s="14">
        <v>0.0</v>
      </c>
      <c r="E745" s="13" t="s">
        <v>4669</v>
      </c>
      <c r="F745" s="15" t="s">
        <v>4633</v>
      </c>
      <c r="G745" s="16" t="s">
        <v>4670</v>
      </c>
      <c r="H745" s="13">
        <v>13.0</v>
      </c>
      <c r="I745" s="13">
        <v>0.9</v>
      </c>
      <c r="J745" s="13" t="s">
        <v>733</v>
      </c>
      <c r="K745" s="13">
        <f t="shared" si="3"/>
        <v>0</v>
      </c>
      <c r="L745" s="13">
        <f t="shared" si="4"/>
        <v>2</v>
      </c>
      <c r="M745" s="13">
        <f t="shared" ref="M745:AA745" si="1489">IFERROR(VALUE(RIGHT(LEFT($J745,FIND(M$1,$J745,1)+LEN(M$1)),1)),0)</f>
        <v>0</v>
      </c>
      <c r="N745" s="13">
        <f t="shared" si="1489"/>
        <v>0</v>
      </c>
      <c r="O745" s="13">
        <f t="shared" si="1489"/>
        <v>0</v>
      </c>
      <c r="P745" s="13">
        <f t="shared" si="1489"/>
        <v>0</v>
      </c>
      <c r="Q745" s="13">
        <f t="shared" si="1489"/>
        <v>0</v>
      </c>
      <c r="R745" s="13">
        <f t="shared" si="1489"/>
        <v>0</v>
      </c>
      <c r="S745" s="13">
        <f t="shared" si="1489"/>
        <v>0</v>
      </c>
      <c r="T745" s="13">
        <f t="shared" si="1489"/>
        <v>0</v>
      </c>
      <c r="U745" s="13">
        <f t="shared" si="1489"/>
        <v>0</v>
      </c>
      <c r="V745" s="13">
        <f t="shared" si="1489"/>
        <v>0</v>
      </c>
      <c r="W745" s="13">
        <f t="shared" si="1489"/>
        <v>0</v>
      </c>
      <c r="X745" s="13">
        <f t="shared" si="1489"/>
        <v>0</v>
      </c>
      <c r="Y745" s="13">
        <f t="shared" si="1489"/>
        <v>0</v>
      </c>
      <c r="Z745" s="13">
        <f t="shared" si="1489"/>
        <v>0</v>
      </c>
      <c r="AA745" s="13">
        <f t="shared" si="1489"/>
        <v>0</v>
      </c>
      <c r="AB745" s="13">
        <f t="shared" ref="AB745:AP745" si="1490">IFERROR(VALUE(RIGHT(LEFT($J745,FIND(AB$1,$J745,IF(M745=0,1,FIND(AB$1,$J745,1)+1))+LEN(AB$1)),1)),0)</f>
        <v>0</v>
      </c>
      <c r="AC745" s="13">
        <f t="shared" si="1490"/>
        <v>0</v>
      </c>
      <c r="AD745" s="13">
        <f t="shared" si="1490"/>
        <v>0</v>
      </c>
      <c r="AE745" s="13">
        <f t="shared" si="1490"/>
        <v>1</v>
      </c>
      <c r="AF745" s="13">
        <f t="shared" si="1490"/>
        <v>0</v>
      </c>
      <c r="AG745" s="13">
        <f t="shared" si="1490"/>
        <v>0</v>
      </c>
      <c r="AH745" s="13">
        <f t="shared" si="1490"/>
        <v>0</v>
      </c>
      <c r="AI745" s="13">
        <f t="shared" si="1490"/>
        <v>0</v>
      </c>
      <c r="AJ745" s="13">
        <f t="shared" si="1490"/>
        <v>0</v>
      </c>
      <c r="AK745" s="13">
        <f t="shared" si="1490"/>
        <v>0</v>
      </c>
      <c r="AL745" s="13">
        <f t="shared" si="1490"/>
        <v>0</v>
      </c>
      <c r="AM745" s="13">
        <f t="shared" si="1490"/>
        <v>0</v>
      </c>
      <c r="AN745" s="13">
        <f t="shared" si="1490"/>
        <v>1</v>
      </c>
      <c r="AO745" s="13">
        <f t="shared" si="1490"/>
        <v>0</v>
      </c>
      <c r="AP745" s="13">
        <f t="shared" si="1490"/>
        <v>0</v>
      </c>
      <c r="AQ745" s="13"/>
      <c r="AR745" s="13" t="s">
        <v>4671</v>
      </c>
      <c r="AS745" s="13" t="s">
        <v>2998</v>
      </c>
      <c r="AT745" s="13" t="s">
        <v>162</v>
      </c>
      <c r="AU745" s="13" t="s">
        <v>3030</v>
      </c>
      <c r="AV745" s="13" t="s">
        <v>699</v>
      </c>
      <c r="AW745" s="13">
        <v>6.0</v>
      </c>
      <c r="AX745" s="13">
        <v>12.0</v>
      </c>
      <c r="AY745" s="13">
        <v>0.0</v>
      </c>
      <c r="AZ745" s="13" t="s">
        <v>679</v>
      </c>
      <c r="BA745" s="13" t="s">
        <v>625</v>
      </c>
      <c r="BB745" s="13"/>
      <c r="BC745" s="13"/>
      <c r="BD745" s="13" t="s">
        <v>239</v>
      </c>
      <c r="BE745" s="13"/>
      <c r="BF745" s="13" t="s">
        <v>656</v>
      </c>
      <c r="BG745" s="13" t="s">
        <v>50</v>
      </c>
      <c r="BH745" s="13" t="s">
        <v>79</v>
      </c>
      <c r="BI745" s="13" t="b">
        <v>0</v>
      </c>
      <c r="BJ745" s="13">
        <v>0.0</v>
      </c>
      <c r="BK745" s="13">
        <v>0.0</v>
      </c>
    </row>
    <row r="746" ht="14.25" customHeight="1">
      <c r="A746" s="13">
        <v>744.0</v>
      </c>
      <c r="B746" s="13" t="s">
        <v>44</v>
      </c>
      <c r="C746" s="13">
        <v>2.0</v>
      </c>
      <c r="D746" s="14">
        <v>0.0</v>
      </c>
      <c r="E746" s="13" t="s">
        <v>4672</v>
      </c>
      <c r="F746" s="15" t="s">
        <v>4673</v>
      </c>
      <c r="G746" s="16" t="s">
        <v>4674</v>
      </c>
      <c r="H746" s="13"/>
      <c r="I746" s="13">
        <v>1.0</v>
      </c>
      <c r="J746" s="13" t="s">
        <v>964</v>
      </c>
      <c r="K746" s="13">
        <f t="shared" si="3"/>
        <v>0</v>
      </c>
      <c r="L746" s="13">
        <f t="shared" si="4"/>
        <v>3</v>
      </c>
      <c r="M746" s="13">
        <f t="shared" ref="M746:AA746" si="1491">IFERROR(VALUE(RIGHT(LEFT($J746,FIND(M$1,$J746,1)+LEN(M$1)),1)),0)</f>
        <v>0</v>
      </c>
      <c r="N746" s="13">
        <f t="shared" si="1491"/>
        <v>0</v>
      </c>
      <c r="O746" s="13">
        <f t="shared" si="1491"/>
        <v>0</v>
      </c>
      <c r="P746" s="13">
        <f t="shared" si="1491"/>
        <v>0</v>
      </c>
      <c r="Q746" s="13">
        <f t="shared" si="1491"/>
        <v>0</v>
      </c>
      <c r="R746" s="13">
        <f t="shared" si="1491"/>
        <v>0</v>
      </c>
      <c r="S746" s="13">
        <f t="shared" si="1491"/>
        <v>0</v>
      </c>
      <c r="T746" s="13">
        <f t="shared" si="1491"/>
        <v>0</v>
      </c>
      <c r="U746" s="13">
        <f t="shared" si="1491"/>
        <v>0</v>
      </c>
      <c r="V746" s="13">
        <f t="shared" si="1491"/>
        <v>0</v>
      </c>
      <c r="W746" s="13">
        <f t="shared" si="1491"/>
        <v>0</v>
      </c>
      <c r="X746" s="13">
        <f t="shared" si="1491"/>
        <v>0</v>
      </c>
      <c r="Y746" s="13">
        <f t="shared" si="1491"/>
        <v>0</v>
      </c>
      <c r="Z746" s="13">
        <f t="shared" si="1491"/>
        <v>0</v>
      </c>
      <c r="AA746" s="13">
        <f t="shared" si="1491"/>
        <v>0</v>
      </c>
      <c r="AB746" s="13">
        <f t="shared" ref="AB746:AP746" si="1492">IFERROR(VALUE(RIGHT(LEFT($J746,FIND(AB$1,$J746,IF(M746=0,1,FIND(AB$1,$J746,1)+1))+LEN(AB$1)),1)),0)</f>
        <v>0</v>
      </c>
      <c r="AC746" s="13">
        <f t="shared" si="1492"/>
        <v>0</v>
      </c>
      <c r="AD746" s="13">
        <f t="shared" si="1492"/>
        <v>0</v>
      </c>
      <c r="AE746" s="13">
        <f t="shared" si="1492"/>
        <v>1</v>
      </c>
      <c r="AF746" s="13">
        <f t="shared" si="1492"/>
        <v>0</v>
      </c>
      <c r="AG746" s="13">
        <f t="shared" si="1492"/>
        <v>0</v>
      </c>
      <c r="AH746" s="13">
        <f t="shared" si="1492"/>
        <v>2</v>
      </c>
      <c r="AI746" s="13">
        <f t="shared" si="1492"/>
        <v>0</v>
      </c>
      <c r="AJ746" s="13">
        <f t="shared" si="1492"/>
        <v>0</v>
      </c>
      <c r="AK746" s="13">
        <f t="shared" si="1492"/>
        <v>0</v>
      </c>
      <c r="AL746" s="13">
        <f t="shared" si="1492"/>
        <v>0</v>
      </c>
      <c r="AM746" s="13">
        <f t="shared" si="1492"/>
        <v>0</v>
      </c>
      <c r="AN746" s="13">
        <f t="shared" si="1492"/>
        <v>0</v>
      </c>
      <c r="AO746" s="13">
        <f t="shared" si="1492"/>
        <v>0</v>
      </c>
      <c r="AP746" s="13">
        <f t="shared" si="1492"/>
        <v>0</v>
      </c>
      <c r="AQ746" s="13" t="s">
        <v>4675</v>
      </c>
      <c r="AR746" s="13"/>
      <c r="AS746" s="13" t="s">
        <v>4676</v>
      </c>
      <c r="AT746" s="13"/>
      <c r="AU746" s="13"/>
      <c r="AV746" s="13"/>
      <c r="AW746" s="13">
        <v>0.0</v>
      </c>
      <c r="AX746" s="13">
        <v>12.0</v>
      </c>
      <c r="AY746" s="13">
        <v>0.0</v>
      </c>
      <c r="AZ746" s="13"/>
      <c r="BA746" s="13"/>
      <c r="BB746" s="13"/>
      <c r="BC746" s="13"/>
      <c r="BD746" s="13"/>
      <c r="BE746" s="13"/>
      <c r="BF746" s="13"/>
      <c r="BG746" s="13"/>
      <c r="BH746" s="13" t="s">
        <v>79</v>
      </c>
      <c r="BI746" s="13" t="b">
        <v>0</v>
      </c>
      <c r="BJ746" s="13">
        <v>0.0</v>
      </c>
      <c r="BK746" s="13">
        <v>0.0</v>
      </c>
    </row>
    <row r="747" ht="14.25" customHeight="1">
      <c r="A747" s="13">
        <v>745.0</v>
      </c>
      <c r="B747" s="13" t="s">
        <v>45</v>
      </c>
      <c r="C747" s="13">
        <v>2.0</v>
      </c>
      <c r="D747" s="14">
        <v>0.0</v>
      </c>
      <c r="E747" s="13" t="s">
        <v>4677</v>
      </c>
      <c r="F747" s="15" t="s">
        <v>4633</v>
      </c>
      <c r="G747" s="16" t="s">
        <v>4678</v>
      </c>
      <c r="H747" s="13"/>
      <c r="I747" s="13">
        <v>0.9</v>
      </c>
      <c r="J747" s="13" t="s">
        <v>2247</v>
      </c>
      <c r="K747" s="13">
        <f t="shared" si="3"/>
        <v>0</v>
      </c>
      <c r="L747" s="13">
        <f t="shared" si="4"/>
        <v>3</v>
      </c>
      <c r="M747" s="13">
        <f t="shared" ref="M747:AA747" si="1493">IFERROR(VALUE(RIGHT(LEFT($J747,FIND(M$1,$J747,1)+LEN(M$1)),1)),0)</f>
        <v>0</v>
      </c>
      <c r="N747" s="13">
        <f t="shared" si="1493"/>
        <v>0</v>
      </c>
      <c r="O747" s="13">
        <f t="shared" si="1493"/>
        <v>0</v>
      </c>
      <c r="P747" s="13">
        <f t="shared" si="1493"/>
        <v>0</v>
      </c>
      <c r="Q747" s="13">
        <f t="shared" si="1493"/>
        <v>0</v>
      </c>
      <c r="R747" s="13">
        <f t="shared" si="1493"/>
        <v>0</v>
      </c>
      <c r="S747" s="13">
        <f t="shared" si="1493"/>
        <v>0</v>
      </c>
      <c r="T747" s="13">
        <f t="shared" si="1493"/>
        <v>0</v>
      </c>
      <c r="U747" s="13">
        <f t="shared" si="1493"/>
        <v>0</v>
      </c>
      <c r="V747" s="13">
        <f t="shared" si="1493"/>
        <v>0</v>
      </c>
      <c r="W747" s="13">
        <f t="shared" si="1493"/>
        <v>0</v>
      </c>
      <c r="X747" s="13">
        <f t="shared" si="1493"/>
        <v>0</v>
      </c>
      <c r="Y747" s="13">
        <f t="shared" si="1493"/>
        <v>0</v>
      </c>
      <c r="Z747" s="13">
        <f t="shared" si="1493"/>
        <v>0</v>
      </c>
      <c r="AA747" s="13">
        <f t="shared" si="1493"/>
        <v>0</v>
      </c>
      <c r="AB747" s="13">
        <f t="shared" ref="AB747:AP747" si="1494">IFERROR(VALUE(RIGHT(LEFT($J747,FIND(AB$1,$J747,IF(M747=0,1,FIND(AB$1,$J747,1)+1))+LEN(AB$1)),1)),0)</f>
        <v>1</v>
      </c>
      <c r="AC747" s="13">
        <f t="shared" si="1494"/>
        <v>0</v>
      </c>
      <c r="AD747" s="13">
        <f t="shared" si="1494"/>
        <v>0</v>
      </c>
      <c r="AE747" s="13">
        <f t="shared" si="1494"/>
        <v>0</v>
      </c>
      <c r="AF747" s="13">
        <f t="shared" si="1494"/>
        <v>0</v>
      </c>
      <c r="AG747" s="13">
        <f t="shared" si="1494"/>
        <v>0</v>
      </c>
      <c r="AH747" s="13">
        <f t="shared" si="1494"/>
        <v>0</v>
      </c>
      <c r="AI747" s="13">
        <f t="shared" si="1494"/>
        <v>2</v>
      </c>
      <c r="AJ747" s="13">
        <f t="shared" si="1494"/>
        <v>0</v>
      </c>
      <c r="AK747" s="13">
        <f t="shared" si="1494"/>
        <v>0</v>
      </c>
      <c r="AL747" s="13">
        <f t="shared" si="1494"/>
        <v>0</v>
      </c>
      <c r="AM747" s="13">
        <f t="shared" si="1494"/>
        <v>0</v>
      </c>
      <c r="AN747" s="13">
        <f t="shared" si="1494"/>
        <v>0</v>
      </c>
      <c r="AO747" s="13">
        <f t="shared" si="1494"/>
        <v>0</v>
      </c>
      <c r="AP747" s="13">
        <f t="shared" si="1494"/>
        <v>0</v>
      </c>
      <c r="AQ747" s="13" t="s">
        <v>4679</v>
      </c>
      <c r="AR747" s="13"/>
      <c r="AS747" s="13" t="s">
        <v>4680</v>
      </c>
      <c r="AT747" s="13"/>
      <c r="AU747" s="13"/>
      <c r="AV747" s="13"/>
      <c r="AW747" s="13">
        <v>0.0</v>
      </c>
      <c r="AX747" s="13">
        <v>12.0</v>
      </c>
      <c r="AY747" s="13">
        <v>0.0</v>
      </c>
      <c r="AZ747" s="13"/>
      <c r="BA747" s="13"/>
      <c r="BB747" s="13"/>
      <c r="BC747" s="13"/>
      <c r="BD747" s="13"/>
      <c r="BE747" s="13"/>
      <c r="BF747" s="13"/>
      <c r="BG747" s="13"/>
      <c r="BH747" s="13" t="s">
        <v>79</v>
      </c>
      <c r="BI747" s="13" t="b">
        <v>0</v>
      </c>
      <c r="BJ747" s="13">
        <v>0.0</v>
      </c>
      <c r="BK747" s="13">
        <v>0.0</v>
      </c>
    </row>
    <row r="748" ht="14.25" customHeight="1">
      <c r="A748" s="13">
        <v>746.0</v>
      </c>
      <c r="B748" s="13" t="s">
        <v>46</v>
      </c>
      <c r="C748" s="13">
        <v>2.0</v>
      </c>
      <c r="D748" s="14">
        <v>0.0</v>
      </c>
      <c r="E748" s="13" t="s">
        <v>4681</v>
      </c>
      <c r="F748" s="15" t="s">
        <v>4633</v>
      </c>
      <c r="G748" s="16" t="s">
        <v>4682</v>
      </c>
      <c r="H748" s="13"/>
      <c r="I748" s="13">
        <v>1.0</v>
      </c>
      <c r="J748" s="13" t="s">
        <v>1036</v>
      </c>
      <c r="K748" s="13">
        <f t="shared" si="3"/>
        <v>0</v>
      </c>
      <c r="L748" s="13">
        <f t="shared" si="4"/>
        <v>3</v>
      </c>
      <c r="M748" s="13">
        <f t="shared" ref="M748:AA748" si="1495">IFERROR(VALUE(RIGHT(LEFT($J748,FIND(M$1,$J748,1)+LEN(M$1)),1)),0)</f>
        <v>0</v>
      </c>
      <c r="N748" s="13">
        <f t="shared" si="1495"/>
        <v>0</v>
      </c>
      <c r="O748" s="13">
        <f t="shared" si="1495"/>
        <v>0</v>
      </c>
      <c r="P748" s="13">
        <f t="shared" si="1495"/>
        <v>0</v>
      </c>
      <c r="Q748" s="13">
        <f t="shared" si="1495"/>
        <v>0</v>
      </c>
      <c r="R748" s="13">
        <f t="shared" si="1495"/>
        <v>0</v>
      </c>
      <c r="S748" s="13">
        <f t="shared" si="1495"/>
        <v>0</v>
      </c>
      <c r="T748" s="13">
        <f t="shared" si="1495"/>
        <v>0</v>
      </c>
      <c r="U748" s="13">
        <f t="shared" si="1495"/>
        <v>0</v>
      </c>
      <c r="V748" s="13">
        <f t="shared" si="1495"/>
        <v>0</v>
      </c>
      <c r="W748" s="13">
        <f t="shared" si="1495"/>
        <v>0</v>
      </c>
      <c r="X748" s="13">
        <f t="shared" si="1495"/>
        <v>0</v>
      </c>
      <c r="Y748" s="13">
        <f t="shared" si="1495"/>
        <v>0</v>
      </c>
      <c r="Z748" s="13">
        <f t="shared" si="1495"/>
        <v>0</v>
      </c>
      <c r="AA748" s="13">
        <f t="shared" si="1495"/>
        <v>0</v>
      </c>
      <c r="AB748" s="13">
        <f t="shared" ref="AB748:AP748" si="1496">IFERROR(VALUE(RIGHT(LEFT($J748,FIND(AB$1,$J748,IF(M748=0,1,FIND(AB$1,$J748,1)+1))+LEN(AB$1)),1)),0)</f>
        <v>0</v>
      </c>
      <c r="AC748" s="13">
        <f t="shared" si="1496"/>
        <v>0</v>
      </c>
      <c r="AD748" s="13">
        <f t="shared" si="1496"/>
        <v>0</v>
      </c>
      <c r="AE748" s="13">
        <f t="shared" si="1496"/>
        <v>0</v>
      </c>
      <c r="AF748" s="13">
        <f t="shared" si="1496"/>
        <v>1</v>
      </c>
      <c r="AG748" s="13">
        <f t="shared" si="1496"/>
        <v>0</v>
      </c>
      <c r="AH748" s="13">
        <f t="shared" si="1496"/>
        <v>0</v>
      </c>
      <c r="AI748" s="13">
        <f t="shared" si="1496"/>
        <v>0</v>
      </c>
      <c r="AJ748" s="13">
        <f t="shared" si="1496"/>
        <v>2</v>
      </c>
      <c r="AK748" s="13">
        <f t="shared" si="1496"/>
        <v>0</v>
      </c>
      <c r="AL748" s="13">
        <f t="shared" si="1496"/>
        <v>0</v>
      </c>
      <c r="AM748" s="13">
        <f t="shared" si="1496"/>
        <v>0</v>
      </c>
      <c r="AN748" s="13">
        <f t="shared" si="1496"/>
        <v>0</v>
      </c>
      <c r="AO748" s="13">
        <f t="shared" si="1496"/>
        <v>0</v>
      </c>
      <c r="AP748" s="13">
        <f t="shared" si="1496"/>
        <v>0</v>
      </c>
      <c r="AQ748" s="13" t="s">
        <v>4683</v>
      </c>
      <c r="AR748" s="13"/>
      <c r="AS748" s="13" t="s">
        <v>1038</v>
      </c>
      <c r="AT748" s="13"/>
      <c r="AU748" s="13"/>
      <c r="AV748" s="13"/>
      <c r="AW748" s="13">
        <v>0.0</v>
      </c>
      <c r="AX748" s="13">
        <v>12.0</v>
      </c>
      <c r="AY748" s="13">
        <v>0.0</v>
      </c>
      <c r="AZ748" s="13"/>
      <c r="BA748" s="13"/>
      <c r="BB748" s="13"/>
      <c r="BC748" s="13"/>
      <c r="BD748" s="13"/>
      <c r="BE748" s="13"/>
      <c r="BF748" s="13"/>
      <c r="BG748" s="13"/>
      <c r="BH748" s="13" t="s">
        <v>79</v>
      </c>
      <c r="BI748" s="13" t="b">
        <v>0</v>
      </c>
      <c r="BJ748" s="13">
        <v>0.0</v>
      </c>
      <c r="BK748" s="13">
        <v>0.0</v>
      </c>
    </row>
    <row r="749" ht="14.25" customHeight="1">
      <c r="A749" s="13">
        <v>747.0</v>
      </c>
      <c r="B749" s="13" t="s">
        <v>49</v>
      </c>
      <c r="C749" s="13">
        <v>2.0</v>
      </c>
      <c r="D749" s="14">
        <v>0.0</v>
      </c>
      <c r="E749" s="13" t="s">
        <v>4684</v>
      </c>
      <c r="F749" s="15" t="s">
        <v>4633</v>
      </c>
      <c r="G749" s="16" t="s">
        <v>4685</v>
      </c>
      <c r="H749" s="13">
        <v>16.0</v>
      </c>
      <c r="I749" s="13">
        <v>1.1</v>
      </c>
      <c r="J749" s="13" t="s">
        <v>4686</v>
      </c>
      <c r="K749" s="13">
        <f t="shared" si="3"/>
        <v>0</v>
      </c>
      <c r="L749" s="13">
        <f t="shared" si="4"/>
        <v>3</v>
      </c>
      <c r="M749" s="13">
        <f t="shared" ref="M749:AA749" si="1497">IFERROR(VALUE(RIGHT(LEFT($J749,FIND(M$1,$J749,1)+LEN(M$1)),1)),0)</f>
        <v>0</v>
      </c>
      <c r="N749" s="13">
        <f t="shared" si="1497"/>
        <v>0</v>
      </c>
      <c r="O749" s="13">
        <f t="shared" si="1497"/>
        <v>0</v>
      </c>
      <c r="P749" s="13">
        <f t="shared" si="1497"/>
        <v>0</v>
      </c>
      <c r="Q749" s="13">
        <f t="shared" si="1497"/>
        <v>0</v>
      </c>
      <c r="R749" s="13">
        <f t="shared" si="1497"/>
        <v>0</v>
      </c>
      <c r="S749" s="13">
        <f t="shared" si="1497"/>
        <v>0</v>
      </c>
      <c r="T749" s="13">
        <f t="shared" si="1497"/>
        <v>0</v>
      </c>
      <c r="U749" s="13">
        <f t="shared" si="1497"/>
        <v>0</v>
      </c>
      <c r="V749" s="13">
        <f t="shared" si="1497"/>
        <v>0</v>
      </c>
      <c r="W749" s="13">
        <f t="shared" si="1497"/>
        <v>0</v>
      </c>
      <c r="X749" s="13">
        <f t="shared" si="1497"/>
        <v>0</v>
      </c>
      <c r="Y749" s="13">
        <f t="shared" si="1497"/>
        <v>0</v>
      </c>
      <c r="Z749" s="13">
        <f t="shared" si="1497"/>
        <v>0</v>
      </c>
      <c r="AA749" s="13">
        <f t="shared" si="1497"/>
        <v>0</v>
      </c>
      <c r="AB749" s="13">
        <f t="shared" ref="AB749:AP749" si="1498">IFERROR(VALUE(RIGHT(LEFT($J749,FIND(AB$1,$J749,IF(M749=0,1,FIND(AB$1,$J749,1)+1))+LEN(AB$1)),1)),0)</f>
        <v>2</v>
      </c>
      <c r="AC749" s="13">
        <f t="shared" si="1498"/>
        <v>0</v>
      </c>
      <c r="AD749" s="13">
        <f t="shared" si="1498"/>
        <v>0</v>
      </c>
      <c r="AE749" s="13">
        <f t="shared" si="1498"/>
        <v>0</v>
      </c>
      <c r="AF749" s="13">
        <f t="shared" si="1498"/>
        <v>0</v>
      </c>
      <c r="AG749" s="13">
        <f t="shared" si="1498"/>
        <v>0</v>
      </c>
      <c r="AH749" s="13">
        <f t="shared" si="1498"/>
        <v>0</v>
      </c>
      <c r="AI749" s="13">
        <f t="shared" si="1498"/>
        <v>0</v>
      </c>
      <c r="AJ749" s="13">
        <f t="shared" si="1498"/>
        <v>0</v>
      </c>
      <c r="AK749" s="13">
        <f t="shared" si="1498"/>
        <v>0</v>
      </c>
      <c r="AL749" s="13">
        <f t="shared" si="1498"/>
        <v>0</v>
      </c>
      <c r="AM749" s="13">
        <f t="shared" si="1498"/>
        <v>1</v>
      </c>
      <c r="AN749" s="13">
        <f t="shared" si="1498"/>
        <v>0</v>
      </c>
      <c r="AO749" s="13">
        <f t="shared" si="1498"/>
        <v>0</v>
      </c>
      <c r="AP749" s="13">
        <f t="shared" si="1498"/>
        <v>0</v>
      </c>
      <c r="AQ749" s="13"/>
      <c r="AR749" s="13" t="s">
        <v>4687</v>
      </c>
      <c r="AS749" s="13" t="s">
        <v>4688</v>
      </c>
      <c r="AT749" s="13" t="s">
        <v>175</v>
      </c>
      <c r="AU749" s="13" t="s">
        <v>143</v>
      </c>
      <c r="AV749" s="13" t="s">
        <v>4689</v>
      </c>
      <c r="AW749" s="13">
        <v>10.0</v>
      </c>
      <c r="AX749" s="13">
        <v>12.0</v>
      </c>
      <c r="AY749" s="13">
        <v>0.0</v>
      </c>
      <c r="AZ749" s="13" t="s">
        <v>4690</v>
      </c>
      <c r="BA749" s="13" t="s">
        <v>4691</v>
      </c>
      <c r="BB749" s="13"/>
      <c r="BC749" s="13"/>
      <c r="BD749" s="13" t="s">
        <v>220</v>
      </c>
      <c r="BE749" s="13"/>
      <c r="BF749" s="13" t="s">
        <v>841</v>
      </c>
      <c r="BG749" s="13" t="s">
        <v>201</v>
      </c>
      <c r="BH749" s="13" t="s">
        <v>241</v>
      </c>
      <c r="BI749" s="13" t="b">
        <v>0</v>
      </c>
      <c r="BJ749" s="13">
        <v>0.0</v>
      </c>
      <c r="BK749" s="13">
        <v>0.0</v>
      </c>
    </row>
    <row r="750" ht="14.25" customHeight="1">
      <c r="A750" s="13">
        <v>748.0</v>
      </c>
      <c r="B750" s="13" t="s">
        <v>49</v>
      </c>
      <c r="C750" s="13">
        <v>2.0</v>
      </c>
      <c r="D750" s="14">
        <v>0.0</v>
      </c>
      <c r="E750" s="13" t="s">
        <v>4692</v>
      </c>
      <c r="F750" s="15" t="s">
        <v>4633</v>
      </c>
      <c r="G750" s="16" t="s">
        <v>4693</v>
      </c>
      <c r="H750" s="13">
        <v>15.0</v>
      </c>
      <c r="I750" s="13">
        <v>1.0</v>
      </c>
      <c r="J750" s="13" t="s">
        <v>2261</v>
      </c>
      <c r="K750" s="13">
        <f t="shared" si="3"/>
        <v>0</v>
      </c>
      <c r="L750" s="13">
        <f t="shared" si="4"/>
        <v>3</v>
      </c>
      <c r="M750" s="13">
        <f t="shared" ref="M750:AA750" si="1499">IFERROR(VALUE(RIGHT(LEFT($J750,FIND(M$1,$J750,1)+LEN(M$1)),1)),0)</f>
        <v>0</v>
      </c>
      <c r="N750" s="13">
        <f t="shared" si="1499"/>
        <v>0</v>
      </c>
      <c r="O750" s="13">
        <f t="shared" si="1499"/>
        <v>0</v>
      </c>
      <c r="P750" s="13">
        <f t="shared" si="1499"/>
        <v>0</v>
      </c>
      <c r="Q750" s="13">
        <f t="shared" si="1499"/>
        <v>0</v>
      </c>
      <c r="R750" s="13">
        <f t="shared" si="1499"/>
        <v>0</v>
      </c>
      <c r="S750" s="13">
        <f t="shared" si="1499"/>
        <v>0</v>
      </c>
      <c r="T750" s="13">
        <f t="shared" si="1499"/>
        <v>0</v>
      </c>
      <c r="U750" s="13">
        <f t="shared" si="1499"/>
        <v>0</v>
      </c>
      <c r="V750" s="13">
        <f t="shared" si="1499"/>
        <v>0</v>
      </c>
      <c r="W750" s="13">
        <f t="shared" si="1499"/>
        <v>0</v>
      </c>
      <c r="X750" s="13">
        <f t="shared" si="1499"/>
        <v>0</v>
      </c>
      <c r="Y750" s="13">
        <f t="shared" si="1499"/>
        <v>0</v>
      </c>
      <c r="Z750" s="13">
        <f t="shared" si="1499"/>
        <v>0</v>
      </c>
      <c r="AA750" s="13">
        <f t="shared" si="1499"/>
        <v>0</v>
      </c>
      <c r="AB750" s="13">
        <f t="shared" ref="AB750:AP750" si="1500">IFERROR(VALUE(RIGHT(LEFT($J750,FIND(AB$1,$J750,IF(M750=0,1,FIND(AB$1,$J750,1)+1))+LEN(AB$1)),1)),0)</f>
        <v>0</v>
      </c>
      <c r="AC750" s="13">
        <f t="shared" si="1500"/>
        <v>0</v>
      </c>
      <c r="AD750" s="13">
        <f t="shared" si="1500"/>
        <v>0</v>
      </c>
      <c r="AE750" s="13">
        <f t="shared" si="1500"/>
        <v>0</v>
      </c>
      <c r="AF750" s="13">
        <f t="shared" si="1500"/>
        <v>1</v>
      </c>
      <c r="AG750" s="13">
        <f t="shared" si="1500"/>
        <v>0</v>
      </c>
      <c r="AH750" s="13">
        <f t="shared" si="1500"/>
        <v>0</v>
      </c>
      <c r="AI750" s="13">
        <f t="shared" si="1500"/>
        <v>0</v>
      </c>
      <c r="AJ750" s="13">
        <f t="shared" si="1500"/>
        <v>0</v>
      </c>
      <c r="AK750" s="13">
        <f t="shared" si="1500"/>
        <v>0</v>
      </c>
      <c r="AL750" s="13">
        <f t="shared" si="1500"/>
        <v>0</v>
      </c>
      <c r="AM750" s="13">
        <f t="shared" si="1500"/>
        <v>2</v>
      </c>
      <c r="AN750" s="13">
        <f t="shared" si="1500"/>
        <v>0</v>
      </c>
      <c r="AO750" s="13">
        <f t="shared" si="1500"/>
        <v>0</v>
      </c>
      <c r="AP750" s="13">
        <f t="shared" si="1500"/>
        <v>0</v>
      </c>
      <c r="AQ750" s="13"/>
      <c r="AR750" s="13" t="s">
        <v>4694</v>
      </c>
      <c r="AS750" s="13" t="s">
        <v>4695</v>
      </c>
      <c r="AT750" s="13" t="s">
        <v>162</v>
      </c>
      <c r="AU750" s="13" t="s">
        <v>236</v>
      </c>
      <c r="AV750" s="13" t="s">
        <v>1307</v>
      </c>
      <c r="AW750" s="13">
        <v>9.0</v>
      </c>
      <c r="AX750" s="13">
        <v>12.0</v>
      </c>
      <c r="AY750" s="13">
        <v>0.0</v>
      </c>
      <c r="AZ750" s="13" t="s">
        <v>4696</v>
      </c>
      <c r="BA750" s="13" t="s">
        <v>3432</v>
      </c>
      <c r="BB750" s="13"/>
      <c r="BC750" s="13"/>
      <c r="BD750" s="13" t="s">
        <v>199</v>
      </c>
      <c r="BE750" s="13"/>
      <c r="BF750" s="13" t="s">
        <v>1104</v>
      </c>
      <c r="BG750" s="13" t="s">
        <v>201</v>
      </c>
      <c r="BH750" s="13" t="s">
        <v>241</v>
      </c>
      <c r="BI750" s="13" t="b">
        <v>0</v>
      </c>
      <c r="BJ750" s="13">
        <v>0.0</v>
      </c>
      <c r="BK750" s="13">
        <v>0.0</v>
      </c>
    </row>
    <row r="751" ht="14.25" customHeight="1">
      <c r="A751" s="13">
        <v>749.0</v>
      </c>
      <c r="B751" s="13" t="s">
        <v>50</v>
      </c>
      <c r="C751" s="13">
        <v>2.0</v>
      </c>
      <c r="D751" s="14">
        <v>0.0</v>
      </c>
      <c r="E751" s="13" t="s">
        <v>4697</v>
      </c>
      <c r="F751" s="15" t="s">
        <v>4633</v>
      </c>
      <c r="G751" s="16" t="s">
        <v>4698</v>
      </c>
      <c r="H751" s="13">
        <v>13.0</v>
      </c>
      <c r="I751" s="13">
        <v>1.0</v>
      </c>
      <c r="J751" s="13" t="s">
        <v>1387</v>
      </c>
      <c r="K751" s="13">
        <f t="shared" si="3"/>
        <v>0</v>
      </c>
      <c r="L751" s="13">
        <f t="shared" si="4"/>
        <v>3</v>
      </c>
      <c r="M751" s="13">
        <f t="shared" ref="M751:AA751" si="1501">IFERROR(VALUE(RIGHT(LEFT($J751,FIND(M$1,$J751,1)+LEN(M$1)),1)),0)</f>
        <v>0</v>
      </c>
      <c r="N751" s="13">
        <f t="shared" si="1501"/>
        <v>0</v>
      </c>
      <c r="O751" s="13">
        <f t="shared" si="1501"/>
        <v>0</v>
      </c>
      <c r="P751" s="13">
        <f t="shared" si="1501"/>
        <v>0</v>
      </c>
      <c r="Q751" s="13">
        <f t="shared" si="1501"/>
        <v>0</v>
      </c>
      <c r="R751" s="13">
        <f t="shared" si="1501"/>
        <v>0</v>
      </c>
      <c r="S751" s="13">
        <f t="shared" si="1501"/>
        <v>0</v>
      </c>
      <c r="T751" s="13">
        <f t="shared" si="1501"/>
        <v>0</v>
      </c>
      <c r="U751" s="13">
        <f t="shared" si="1501"/>
        <v>0</v>
      </c>
      <c r="V751" s="13">
        <f t="shared" si="1501"/>
        <v>0</v>
      </c>
      <c r="W751" s="13">
        <f t="shared" si="1501"/>
        <v>0</v>
      </c>
      <c r="X751" s="13">
        <f t="shared" si="1501"/>
        <v>0</v>
      </c>
      <c r="Y751" s="13">
        <f t="shared" si="1501"/>
        <v>0</v>
      </c>
      <c r="Z751" s="13">
        <f t="shared" si="1501"/>
        <v>0</v>
      </c>
      <c r="AA751" s="13">
        <f t="shared" si="1501"/>
        <v>0</v>
      </c>
      <c r="AB751" s="13">
        <f t="shared" ref="AB751:AP751" si="1502">IFERROR(VALUE(RIGHT(LEFT($J751,FIND(AB$1,$J751,IF(M751=0,1,FIND(AB$1,$J751,1)+1))+LEN(AB$1)),1)),0)</f>
        <v>0</v>
      </c>
      <c r="AC751" s="13">
        <f t="shared" si="1502"/>
        <v>0</v>
      </c>
      <c r="AD751" s="13">
        <f t="shared" si="1502"/>
        <v>0</v>
      </c>
      <c r="AE751" s="13">
        <f t="shared" si="1502"/>
        <v>1</v>
      </c>
      <c r="AF751" s="13">
        <f t="shared" si="1502"/>
        <v>0</v>
      </c>
      <c r="AG751" s="13">
        <f t="shared" si="1502"/>
        <v>0</v>
      </c>
      <c r="AH751" s="13">
        <f t="shared" si="1502"/>
        <v>0</v>
      </c>
      <c r="AI751" s="13">
        <f t="shared" si="1502"/>
        <v>0</v>
      </c>
      <c r="AJ751" s="13">
        <f t="shared" si="1502"/>
        <v>0</v>
      </c>
      <c r="AK751" s="13">
        <f t="shared" si="1502"/>
        <v>0</v>
      </c>
      <c r="AL751" s="13">
        <f t="shared" si="1502"/>
        <v>0</v>
      </c>
      <c r="AM751" s="13">
        <f t="shared" si="1502"/>
        <v>0</v>
      </c>
      <c r="AN751" s="13">
        <f t="shared" si="1502"/>
        <v>2</v>
      </c>
      <c r="AO751" s="13">
        <f t="shared" si="1502"/>
        <v>0</v>
      </c>
      <c r="AP751" s="13">
        <f t="shared" si="1502"/>
        <v>0</v>
      </c>
      <c r="AQ751" s="13"/>
      <c r="AR751" s="13" t="s">
        <v>4699</v>
      </c>
      <c r="AS751" s="13" t="s">
        <v>4700</v>
      </c>
      <c r="AT751" s="13" t="s">
        <v>175</v>
      </c>
      <c r="AU751" s="13" t="s">
        <v>803</v>
      </c>
      <c r="AV751" s="13" t="s">
        <v>4701</v>
      </c>
      <c r="AW751" s="13">
        <v>8.0</v>
      </c>
      <c r="AX751" s="13">
        <v>12.0</v>
      </c>
      <c r="AY751" s="13">
        <v>0.0</v>
      </c>
      <c r="AZ751" s="13" t="s">
        <v>2014</v>
      </c>
      <c r="BA751" s="13" t="s">
        <v>1240</v>
      </c>
      <c r="BB751" s="13"/>
      <c r="BC751" s="13"/>
      <c r="BD751" s="13" t="s">
        <v>239</v>
      </c>
      <c r="BE751" s="13"/>
      <c r="BF751" s="13" t="s">
        <v>4702</v>
      </c>
      <c r="BG751" s="13" t="s">
        <v>50</v>
      </c>
      <c r="BH751" s="13" t="s">
        <v>241</v>
      </c>
      <c r="BI751" s="13" t="b">
        <v>0</v>
      </c>
      <c r="BJ751" s="13">
        <v>0.0</v>
      </c>
      <c r="BK751" s="13">
        <v>0.0</v>
      </c>
    </row>
    <row r="752" ht="14.25" customHeight="1">
      <c r="A752" s="13">
        <v>750.0</v>
      </c>
      <c r="B752" s="13" t="s">
        <v>44</v>
      </c>
      <c r="C752" s="13">
        <v>3.0</v>
      </c>
      <c r="D752" s="14">
        <v>0.0</v>
      </c>
      <c r="E752" s="13" t="s">
        <v>4703</v>
      </c>
      <c r="F752" s="15" t="s">
        <v>4633</v>
      </c>
      <c r="G752" s="16" t="s">
        <v>4704</v>
      </c>
      <c r="H752" s="13"/>
      <c r="I752" s="13">
        <v>1.0</v>
      </c>
      <c r="J752" s="13" t="s">
        <v>1564</v>
      </c>
      <c r="K752" s="13">
        <f t="shared" si="3"/>
        <v>1</v>
      </c>
      <c r="L752" s="13">
        <f t="shared" si="4"/>
        <v>2</v>
      </c>
      <c r="M752" s="13">
        <f t="shared" ref="M752:AA752" si="1503">IFERROR(VALUE(RIGHT(LEFT($J752,FIND(M$1,$J752,1)+LEN(M$1)),1)),0)</f>
        <v>0</v>
      </c>
      <c r="N752" s="13">
        <f t="shared" si="1503"/>
        <v>0</v>
      </c>
      <c r="O752" s="13">
        <f t="shared" si="1503"/>
        <v>0</v>
      </c>
      <c r="P752" s="13">
        <f t="shared" si="1503"/>
        <v>0</v>
      </c>
      <c r="Q752" s="13">
        <f t="shared" si="1503"/>
        <v>0</v>
      </c>
      <c r="R752" s="13">
        <f t="shared" si="1503"/>
        <v>0</v>
      </c>
      <c r="S752" s="13">
        <f t="shared" si="1503"/>
        <v>1</v>
      </c>
      <c r="T752" s="13">
        <f t="shared" si="1503"/>
        <v>0</v>
      </c>
      <c r="U752" s="13">
        <f t="shared" si="1503"/>
        <v>0</v>
      </c>
      <c r="V752" s="13">
        <f t="shared" si="1503"/>
        <v>0</v>
      </c>
      <c r="W752" s="13">
        <f t="shared" si="1503"/>
        <v>0</v>
      </c>
      <c r="X752" s="13">
        <f t="shared" si="1503"/>
        <v>0</v>
      </c>
      <c r="Y752" s="13">
        <f t="shared" si="1503"/>
        <v>0</v>
      </c>
      <c r="Z752" s="13">
        <f t="shared" si="1503"/>
        <v>0</v>
      </c>
      <c r="AA752" s="13">
        <f t="shared" si="1503"/>
        <v>0</v>
      </c>
      <c r="AB752" s="13">
        <f t="shared" ref="AB752:AP752" si="1504">IFERROR(VALUE(RIGHT(LEFT($J752,FIND(AB$1,$J752,IF(M752=0,1,FIND(AB$1,$J752,1)+1))+LEN(AB$1)),1)),0)</f>
        <v>1</v>
      </c>
      <c r="AC752" s="13">
        <f t="shared" si="1504"/>
        <v>0</v>
      </c>
      <c r="AD752" s="13">
        <f t="shared" si="1504"/>
        <v>0</v>
      </c>
      <c r="AE752" s="13">
        <f t="shared" si="1504"/>
        <v>0</v>
      </c>
      <c r="AF752" s="13">
        <f t="shared" si="1504"/>
        <v>0</v>
      </c>
      <c r="AG752" s="13">
        <f t="shared" si="1504"/>
        <v>0</v>
      </c>
      <c r="AH752" s="13">
        <f t="shared" si="1504"/>
        <v>1</v>
      </c>
      <c r="AI752" s="13">
        <f t="shared" si="1504"/>
        <v>0</v>
      </c>
      <c r="AJ752" s="13">
        <f t="shared" si="1504"/>
        <v>0</v>
      </c>
      <c r="AK752" s="13">
        <f t="shared" si="1504"/>
        <v>0</v>
      </c>
      <c r="AL752" s="13">
        <f t="shared" si="1504"/>
        <v>0</v>
      </c>
      <c r="AM752" s="13">
        <f t="shared" si="1504"/>
        <v>0</v>
      </c>
      <c r="AN752" s="13">
        <f t="shared" si="1504"/>
        <v>0</v>
      </c>
      <c r="AO752" s="13">
        <f t="shared" si="1504"/>
        <v>0</v>
      </c>
      <c r="AP752" s="13">
        <f t="shared" si="1504"/>
        <v>0</v>
      </c>
      <c r="AQ752" s="13" t="s">
        <v>4705</v>
      </c>
      <c r="AR752" s="13"/>
      <c r="AS752" s="13" t="s">
        <v>4706</v>
      </c>
      <c r="AT752" s="13"/>
      <c r="AU752" s="13"/>
      <c r="AV752" s="13"/>
      <c r="AW752" s="13">
        <v>0.0</v>
      </c>
      <c r="AX752" s="13">
        <v>12.0</v>
      </c>
      <c r="AY752" s="13">
        <v>0.0</v>
      </c>
      <c r="AZ752" s="13"/>
      <c r="BA752" s="13"/>
      <c r="BB752" s="13"/>
      <c r="BC752" s="13"/>
      <c r="BD752" s="13"/>
      <c r="BE752" s="13"/>
      <c r="BF752" s="13"/>
      <c r="BG752" s="13"/>
      <c r="BH752" s="13" t="s">
        <v>79</v>
      </c>
      <c r="BI752" s="13" t="b">
        <v>0</v>
      </c>
      <c r="BJ752" s="13">
        <v>0.0</v>
      </c>
      <c r="BK752" s="13">
        <v>0.0</v>
      </c>
    </row>
    <row r="753" ht="14.25" customHeight="1">
      <c r="A753" s="13">
        <v>751.0</v>
      </c>
      <c r="B753" s="13" t="s">
        <v>45</v>
      </c>
      <c r="C753" s="13">
        <v>3.0</v>
      </c>
      <c r="D753" s="14">
        <v>0.0</v>
      </c>
      <c r="E753" s="13" t="s">
        <v>4707</v>
      </c>
      <c r="F753" s="15" t="s">
        <v>4633</v>
      </c>
      <c r="G753" s="16" t="s">
        <v>4708</v>
      </c>
      <c r="H753" s="13"/>
      <c r="I753" s="13">
        <v>0.9</v>
      </c>
      <c r="J753" s="13" t="s">
        <v>1599</v>
      </c>
      <c r="K753" s="13">
        <f t="shared" si="3"/>
        <v>1</v>
      </c>
      <c r="L753" s="13">
        <f t="shared" si="4"/>
        <v>2</v>
      </c>
      <c r="M753" s="13">
        <f t="shared" ref="M753:AA753" si="1505">IFERROR(VALUE(RIGHT(LEFT($J753,FIND(M$1,$J753,1)+LEN(M$1)),1)),0)</f>
        <v>0</v>
      </c>
      <c r="N753" s="13">
        <f t="shared" si="1505"/>
        <v>0</v>
      </c>
      <c r="O753" s="13">
        <f t="shared" si="1505"/>
        <v>0</v>
      </c>
      <c r="P753" s="13">
        <f t="shared" si="1505"/>
        <v>0</v>
      </c>
      <c r="Q753" s="13">
        <f t="shared" si="1505"/>
        <v>0</v>
      </c>
      <c r="R753" s="13">
        <f t="shared" si="1505"/>
        <v>0</v>
      </c>
      <c r="S753" s="13">
        <f t="shared" si="1505"/>
        <v>0</v>
      </c>
      <c r="T753" s="13">
        <f t="shared" si="1505"/>
        <v>1</v>
      </c>
      <c r="U753" s="13">
        <f t="shared" si="1505"/>
        <v>0</v>
      </c>
      <c r="V753" s="13">
        <f t="shared" si="1505"/>
        <v>0</v>
      </c>
      <c r="W753" s="13">
        <f t="shared" si="1505"/>
        <v>0</v>
      </c>
      <c r="X753" s="13">
        <f t="shared" si="1505"/>
        <v>0</v>
      </c>
      <c r="Y753" s="13">
        <f t="shared" si="1505"/>
        <v>0</v>
      </c>
      <c r="Z753" s="13">
        <f t="shared" si="1505"/>
        <v>0</v>
      </c>
      <c r="AA753" s="13">
        <f t="shared" si="1505"/>
        <v>0</v>
      </c>
      <c r="AB753" s="13">
        <f t="shared" ref="AB753:AP753" si="1506">IFERROR(VALUE(RIGHT(LEFT($J753,FIND(AB$1,$J753,IF(M753=0,1,FIND(AB$1,$J753,1)+1))+LEN(AB$1)),1)),0)</f>
        <v>0</v>
      </c>
      <c r="AC753" s="13">
        <f t="shared" si="1506"/>
        <v>0</v>
      </c>
      <c r="AD753" s="13">
        <f t="shared" si="1506"/>
        <v>0</v>
      </c>
      <c r="AE753" s="13">
        <f t="shared" si="1506"/>
        <v>1</v>
      </c>
      <c r="AF753" s="13">
        <f t="shared" si="1506"/>
        <v>0</v>
      </c>
      <c r="AG753" s="13">
        <f t="shared" si="1506"/>
        <v>0</v>
      </c>
      <c r="AH753" s="13">
        <f t="shared" si="1506"/>
        <v>0</v>
      </c>
      <c r="AI753" s="13">
        <f t="shared" si="1506"/>
        <v>1</v>
      </c>
      <c r="AJ753" s="13">
        <f t="shared" si="1506"/>
        <v>0</v>
      </c>
      <c r="AK753" s="13">
        <f t="shared" si="1506"/>
        <v>0</v>
      </c>
      <c r="AL753" s="13">
        <f t="shared" si="1506"/>
        <v>0</v>
      </c>
      <c r="AM753" s="13">
        <f t="shared" si="1506"/>
        <v>0</v>
      </c>
      <c r="AN753" s="13">
        <f t="shared" si="1506"/>
        <v>0</v>
      </c>
      <c r="AO753" s="13">
        <f t="shared" si="1506"/>
        <v>0</v>
      </c>
      <c r="AP753" s="13">
        <f t="shared" si="1506"/>
        <v>0</v>
      </c>
      <c r="AQ753" s="13" t="s">
        <v>4709</v>
      </c>
      <c r="AR753" s="13"/>
      <c r="AS753" s="13" t="s">
        <v>4710</v>
      </c>
      <c r="AT753" s="13"/>
      <c r="AU753" s="13"/>
      <c r="AV753" s="13"/>
      <c r="AW753" s="13">
        <v>0.0</v>
      </c>
      <c r="AX753" s="13">
        <v>12.0</v>
      </c>
      <c r="AY753" s="13">
        <v>0.0</v>
      </c>
      <c r="AZ753" s="13"/>
      <c r="BA753" s="13"/>
      <c r="BB753" s="13"/>
      <c r="BC753" s="13"/>
      <c r="BD753" s="13"/>
      <c r="BE753" s="13"/>
      <c r="BF753" s="13"/>
      <c r="BG753" s="13"/>
      <c r="BH753" s="13" t="s">
        <v>79</v>
      </c>
      <c r="BI753" s="13" t="b">
        <v>0</v>
      </c>
      <c r="BJ753" s="13">
        <v>0.0</v>
      </c>
      <c r="BK753" s="13">
        <v>0.0</v>
      </c>
    </row>
    <row r="754" ht="14.25" customHeight="1">
      <c r="A754" s="13">
        <v>752.0</v>
      </c>
      <c r="B754" s="13" t="s">
        <v>46</v>
      </c>
      <c r="C754" s="13">
        <v>3.0</v>
      </c>
      <c r="D754" s="14">
        <v>0.0</v>
      </c>
      <c r="E754" s="13" t="s">
        <v>4711</v>
      </c>
      <c r="F754" s="15" t="s">
        <v>4633</v>
      </c>
      <c r="G754" s="16" t="s">
        <v>4712</v>
      </c>
      <c r="H754" s="13"/>
      <c r="I754" s="13">
        <v>1.0</v>
      </c>
      <c r="J754" s="13" t="s">
        <v>1624</v>
      </c>
      <c r="K754" s="13">
        <f t="shared" si="3"/>
        <v>1</v>
      </c>
      <c r="L754" s="13">
        <f t="shared" si="4"/>
        <v>2</v>
      </c>
      <c r="M754" s="13">
        <f t="shared" ref="M754:AA754" si="1507">IFERROR(VALUE(RIGHT(LEFT($J754,FIND(M$1,$J754,1)+LEN(M$1)),1)),0)</f>
        <v>0</v>
      </c>
      <c r="N754" s="13">
        <f t="shared" si="1507"/>
        <v>0</v>
      </c>
      <c r="O754" s="13">
        <f t="shared" si="1507"/>
        <v>0</v>
      </c>
      <c r="P754" s="13">
        <f t="shared" si="1507"/>
        <v>0</v>
      </c>
      <c r="Q754" s="13">
        <f t="shared" si="1507"/>
        <v>0</v>
      </c>
      <c r="R754" s="13">
        <f t="shared" si="1507"/>
        <v>0</v>
      </c>
      <c r="S754" s="13">
        <f t="shared" si="1507"/>
        <v>0</v>
      </c>
      <c r="T754" s="13">
        <f t="shared" si="1507"/>
        <v>0</v>
      </c>
      <c r="U754" s="13">
        <f t="shared" si="1507"/>
        <v>1</v>
      </c>
      <c r="V754" s="13">
        <f t="shared" si="1507"/>
        <v>0</v>
      </c>
      <c r="W754" s="13">
        <f t="shared" si="1507"/>
        <v>0</v>
      </c>
      <c r="X754" s="13">
        <f t="shared" si="1507"/>
        <v>0</v>
      </c>
      <c r="Y754" s="13">
        <f t="shared" si="1507"/>
        <v>0</v>
      </c>
      <c r="Z754" s="13">
        <f t="shared" si="1507"/>
        <v>0</v>
      </c>
      <c r="AA754" s="13">
        <f t="shared" si="1507"/>
        <v>0</v>
      </c>
      <c r="AB754" s="13">
        <f t="shared" ref="AB754:AP754" si="1508">IFERROR(VALUE(RIGHT(LEFT($J754,FIND(AB$1,$J754,IF(M754=0,1,FIND(AB$1,$J754,1)+1))+LEN(AB$1)),1)),0)</f>
        <v>0</v>
      </c>
      <c r="AC754" s="13">
        <f t="shared" si="1508"/>
        <v>0</v>
      </c>
      <c r="AD754" s="13">
        <f t="shared" si="1508"/>
        <v>0</v>
      </c>
      <c r="AE754" s="13">
        <f t="shared" si="1508"/>
        <v>0</v>
      </c>
      <c r="AF754" s="13">
        <f t="shared" si="1508"/>
        <v>1</v>
      </c>
      <c r="AG754" s="13">
        <f t="shared" si="1508"/>
        <v>0</v>
      </c>
      <c r="AH754" s="13">
        <f t="shared" si="1508"/>
        <v>0</v>
      </c>
      <c r="AI754" s="13">
        <f t="shared" si="1508"/>
        <v>0</v>
      </c>
      <c r="AJ754" s="13">
        <f t="shared" si="1508"/>
        <v>1</v>
      </c>
      <c r="AK754" s="13">
        <f t="shared" si="1508"/>
        <v>0</v>
      </c>
      <c r="AL754" s="13">
        <f t="shared" si="1508"/>
        <v>0</v>
      </c>
      <c r="AM754" s="13">
        <f t="shared" si="1508"/>
        <v>0</v>
      </c>
      <c r="AN754" s="13">
        <f t="shared" si="1508"/>
        <v>0</v>
      </c>
      <c r="AO754" s="13">
        <f t="shared" si="1508"/>
        <v>0</v>
      </c>
      <c r="AP754" s="13">
        <f t="shared" si="1508"/>
        <v>0</v>
      </c>
      <c r="AQ754" s="13" t="s">
        <v>4713</v>
      </c>
      <c r="AR754" s="13"/>
      <c r="AS754" s="13" t="s">
        <v>4714</v>
      </c>
      <c r="AT754" s="13"/>
      <c r="AU754" s="13"/>
      <c r="AV754" s="13"/>
      <c r="AW754" s="13">
        <v>0.0</v>
      </c>
      <c r="AX754" s="13">
        <v>12.0</v>
      </c>
      <c r="AY754" s="13">
        <v>0.0</v>
      </c>
      <c r="AZ754" s="13"/>
      <c r="BA754" s="13"/>
      <c r="BB754" s="13"/>
      <c r="BC754" s="13"/>
      <c r="BD754" s="13"/>
      <c r="BE754" s="13"/>
      <c r="BF754" s="13"/>
      <c r="BG754" s="13"/>
      <c r="BH754" s="13" t="s">
        <v>79</v>
      </c>
      <c r="BI754" s="13" t="b">
        <v>0</v>
      </c>
      <c r="BJ754" s="13">
        <v>0.0</v>
      </c>
      <c r="BK754" s="13">
        <v>0.0</v>
      </c>
    </row>
    <row r="755" ht="14.25" customHeight="1">
      <c r="A755" s="13">
        <v>753.0</v>
      </c>
      <c r="B755" s="13" t="s">
        <v>49</v>
      </c>
      <c r="C755" s="13">
        <v>3.0</v>
      </c>
      <c r="D755" s="14">
        <v>0.0</v>
      </c>
      <c r="E755" s="13" t="s">
        <v>4715</v>
      </c>
      <c r="F755" s="15" t="s">
        <v>4633</v>
      </c>
      <c r="G755" s="16" t="s">
        <v>4716</v>
      </c>
      <c r="H755" s="13">
        <v>18.0</v>
      </c>
      <c r="I755" s="13">
        <v>1.0</v>
      </c>
      <c r="J755" s="13" t="s">
        <v>1754</v>
      </c>
      <c r="K755" s="13">
        <f t="shared" si="3"/>
        <v>1</v>
      </c>
      <c r="L755" s="13">
        <f t="shared" si="4"/>
        <v>2</v>
      </c>
      <c r="M755" s="13">
        <f t="shared" ref="M755:AA755" si="1509">IFERROR(VALUE(RIGHT(LEFT($J755,FIND(M$1,$J755,1)+LEN(M$1)),1)),0)</f>
        <v>0</v>
      </c>
      <c r="N755" s="13">
        <f t="shared" si="1509"/>
        <v>0</v>
      </c>
      <c r="O755" s="13">
        <f t="shared" si="1509"/>
        <v>0</v>
      </c>
      <c r="P755" s="13">
        <f t="shared" si="1509"/>
        <v>0</v>
      </c>
      <c r="Q755" s="13">
        <f t="shared" si="1509"/>
        <v>0</v>
      </c>
      <c r="R755" s="13">
        <f t="shared" si="1509"/>
        <v>0</v>
      </c>
      <c r="S755" s="13">
        <f t="shared" si="1509"/>
        <v>0</v>
      </c>
      <c r="T755" s="13">
        <f t="shared" si="1509"/>
        <v>0</v>
      </c>
      <c r="U755" s="13">
        <f t="shared" si="1509"/>
        <v>0</v>
      </c>
      <c r="V755" s="13">
        <f t="shared" si="1509"/>
        <v>0</v>
      </c>
      <c r="W755" s="13">
        <f t="shared" si="1509"/>
        <v>0</v>
      </c>
      <c r="X755" s="13">
        <f t="shared" si="1509"/>
        <v>1</v>
      </c>
      <c r="Y755" s="13">
        <f t="shared" si="1509"/>
        <v>0</v>
      </c>
      <c r="Z755" s="13">
        <f t="shared" si="1509"/>
        <v>0</v>
      </c>
      <c r="AA755" s="13">
        <f t="shared" si="1509"/>
        <v>0</v>
      </c>
      <c r="AB755" s="13">
        <f t="shared" ref="AB755:AP755" si="1510">IFERROR(VALUE(RIGHT(LEFT($J755,FIND(AB$1,$J755,IF(M755=0,1,FIND(AB$1,$J755,1)+1))+LEN(AB$1)),1)),0)</f>
        <v>1</v>
      </c>
      <c r="AC755" s="13">
        <f t="shared" si="1510"/>
        <v>0</v>
      </c>
      <c r="AD755" s="13">
        <f t="shared" si="1510"/>
        <v>0</v>
      </c>
      <c r="AE755" s="13">
        <f t="shared" si="1510"/>
        <v>0</v>
      </c>
      <c r="AF755" s="13">
        <f t="shared" si="1510"/>
        <v>0</v>
      </c>
      <c r="AG755" s="13">
        <f t="shared" si="1510"/>
        <v>0</v>
      </c>
      <c r="AH755" s="13">
        <f t="shared" si="1510"/>
        <v>0</v>
      </c>
      <c r="AI755" s="13">
        <f t="shared" si="1510"/>
        <v>0</v>
      </c>
      <c r="AJ755" s="13">
        <f t="shared" si="1510"/>
        <v>0</v>
      </c>
      <c r="AK755" s="13">
        <f t="shared" si="1510"/>
        <v>0</v>
      </c>
      <c r="AL755" s="13">
        <f t="shared" si="1510"/>
        <v>0</v>
      </c>
      <c r="AM755" s="13">
        <f t="shared" si="1510"/>
        <v>1</v>
      </c>
      <c r="AN755" s="13">
        <f t="shared" si="1510"/>
        <v>0</v>
      </c>
      <c r="AO755" s="13">
        <f t="shared" si="1510"/>
        <v>0</v>
      </c>
      <c r="AP755" s="13">
        <f t="shared" si="1510"/>
        <v>0</v>
      </c>
      <c r="AQ755" s="13"/>
      <c r="AR755" s="13" t="s">
        <v>4717</v>
      </c>
      <c r="AS755" s="13" t="s">
        <v>1756</v>
      </c>
      <c r="AT755" s="13" t="s">
        <v>162</v>
      </c>
      <c r="AU755" s="13" t="s">
        <v>195</v>
      </c>
      <c r="AV755" s="13" t="s">
        <v>4718</v>
      </c>
      <c r="AW755" s="13">
        <v>12.0</v>
      </c>
      <c r="AX755" s="13">
        <v>12.0</v>
      </c>
      <c r="AY755" s="13">
        <v>0.0</v>
      </c>
      <c r="AZ755" s="13" t="s">
        <v>4719</v>
      </c>
      <c r="BA755" s="13" t="s">
        <v>4720</v>
      </c>
      <c r="BB755" s="13"/>
      <c r="BC755" s="13"/>
      <c r="BD755" s="13" t="s">
        <v>220</v>
      </c>
      <c r="BE755" s="13"/>
      <c r="BF755" s="13" t="s">
        <v>1870</v>
      </c>
      <c r="BG755" s="13" t="s">
        <v>201</v>
      </c>
      <c r="BH755" s="13" t="s">
        <v>79</v>
      </c>
      <c r="BI755" s="13" t="b">
        <v>0</v>
      </c>
      <c r="BJ755" s="13">
        <v>0.0</v>
      </c>
      <c r="BK755" s="13">
        <v>0.0</v>
      </c>
    </row>
    <row r="756" ht="14.25" customHeight="1">
      <c r="A756" s="13">
        <v>754.0</v>
      </c>
      <c r="B756" s="13" t="s">
        <v>49</v>
      </c>
      <c r="C756" s="13">
        <v>3.0</v>
      </c>
      <c r="D756" s="14">
        <v>0.0</v>
      </c>
      <c r="E756" s="13" t="s">
        <v>4721</v>
      </c>
      <c r="F756" s="15" t="s">
        <v>4633</v>
      </c>
      <c r="G756" s="16" t="s">
        <v>4722</v>
      </c>
      <c r="H756" s="13">
        <v>19.0</v>
      </c>
      <c r="I756" s="13">
        <v>1.0</v>
      </c>
      <c r="J756" s="13" t="s">
        <v>4304</v>
      </c>
      <c r="K756" s="13">
        <f t="shared" si="3"/>
        <v>2</v>
      </c>
      <c r="L756" s="13">
        <f t="shared" si="4"/>
        <v>0</v>
      </c>
      <c r="M756" s="13">
        <f t="shared" ref="M756:AA756" si="1511">IFERROR(VALUE(RIGHT(LEFT($J756,FIND(M$1,$J756,1)+LEN(M$1)),1)),0)</f>
        <v>1</v>
      </c>
      <c r="N756" s="13">
        <f t="shared" si="1511"/>
        <v>0</v>
      </c>
      <c r="O756" s="13">
        <f t="shared" si="1511"/>
        <v>0</v>
      </c>
      <c r="P756" s="13">
        <f t="shared" si="1511"/>
        <v>0</v>
      </c>
      <c r="Q756" s="13">
        <f t="shared" si="1511"/>
        <v>1</v>
      </c>
      <c r="R756" s="13">
        <f t="shared" si="1511"/>
        <v>0</v>
      </c>
      <c r="S756" s="13">
        <f t="shared" si="1511"/>
        <v>0</v>
      </c>
      <c r="T756" s="13">
        <f t="shared" si="1511"/>
        <v>0</v>
      </c>
      <c r="U756" s="13">
        <f t="shared" si="1511"/>
        <v>0</v>
      </c>
      <c r="V756" s="13">
        <f t="shared" si="1511"/>
        <v>0</v>
      </c>
      <c r="W756" s="13">
        <f t="shared" si="1511"/>
        <v>0</v>
      </c>
      <c r="X756" s="13">
        <f t="shared" si="1511"/>
        <v>0</v>
      </c>
      <c r="Y756" s="13">
        <f t="shared" si="1511"/>
        <v>0</v>
      </c>
      <c r="Z756" s="13">
        <f t="shared" si="1511"/>
        <v>0</v>
      </c>
      <c r="AA756" s="13">
        <f t="shared" si="1511"/>
        <v>0</v>
      </c>
      <c r="AB756" s="13">
        <f t="shared" ref="AB756:AP756" si="1512">IFERROR(VALUE(RIGHT(LEFT($J756,FIND(AB$1,$J756,IF(M756=0,1,FIND(AB$1,$J756,1)+1))+LEN(AB$1)),1)),0)</f>
        <v>0</v>
      </c>
      <c r="AC756" s="13">
        <f t="shared" si="1512"/>
        <v>0</v>
      </c>
      <c r="AD756" s="13">
        <f t="shared" si="1512"/>
        <v>0</v>
      </c>
      <c r="AE756" s="13">
        <f t="shared" si="1512"/>
        <v>0</v>
      </c>
      <c r="AF756" s="13">
        <f t="shared" si="1512"/>
        <v>0</v>
      </c>
      <c r="AG756" s="13">
        <f t="shared" si="1512"/>
        <v>0</v>
      </c>
      <c r="AH756" s="13">
        <f t="shared" si="1512"/>
        <v>0</v>
      </c>
      <c r="AI756" s="13">
        <f t="shared" si="1512"/>
        <v>0</v>
      </c>
      <c r="AJ756" s="13">
        <f t="shared" si="1512"/>
        <v>0</v>
      </c>
      <c r="AK756" s="13">
        <f t="shared" si="1512"/>
        <v>0</v>
      </c>
      <c r="AL756" s="13">
        <f t="shared" si="1512"/>
        <v>0</v>
      </c>
      <c r="AM756" s="13">
        <f t="shared" si="1512"/>
        <v>0</v>
      </c>
      <c r="AN756" s="13">
        <f t="shared" si="1512"/>
        <v>0</v>
      </c>
      <c r="AO756" s="13">
        <f t="shared" si="1512"/>
        <v>0</v>
      </c>
      <c r="AP756" s="13">
        <f t="shared" si="1512"/>
        <v>0</v>
      </c>
      <c r="AQ756" s="13"/>
      <c r="AR756" s="13" t="s">
        <v>4723</v>
      </c>
      <c r="AS756" s="13" t="s">
        <v>4724</v>
      </c>
      <c r="AT756" s="13" t="s">
        <v>129</v>
      </c>
      <c r="AU756" s="13" t="s">
        <v>143</v>
      </c>
      <c r="AV756" s="13" t="s">
        <v>4725</v>
      </c>
      <c r="AW756" s="13">
        <v>13.0</v>
      </c>
      <c r="AX756" s="13">
        <v>12.0</v>
      </c>
      <c r="AY756" s="13">
        <v>0.0</v>
      </c>
      <c r="AZ756" s="13" t="s">
        <v>2552</v>
      </c>
      <c r="BA756" s="13" t="s">
        <v>3731</v>
      </c>
      <c r="BB756" s="13"/>
      <c r="BC756" s="13"/>
      <c r="BD756" s="13" t="s">
        <v>199</v>
      </c>
      <c r="BE756" s="13"/>
      <c r="BF756" s="13" t="s">
        <v>1684</v>
      </c>
      <c r="BG756" s="13" t="s">
        <v>201</v>
      </c>
      <c r="BH756" s="13" t="s">
        <v>79</v>
      </c>
      <c r="BI756" s="13" t="b">
        <v>0</v>
      </c>
      <c r="BJ756" s="13">
        <v>0.0</v>
      </c>
      <c r="BK756" s="13">
        <v>0.0</v>
      </c>
    </row>
    <row r="757" ht="14.25" customHeight="1">
      <c r="A757" s="13">
        <v>755.0</v>
      </c>
      <c r="B757" s="13" t="s">
        <v>50</v>
      </c>
      <c r="C757" s="13">
        <v>3.0</v>
      </c>
      <c r="D757" s="14">
        <v>0.0</v>
      </c>
      <c r="E757" s="13" t="s">
        <v>4726</v>
      </c>
      <c r="F757" s="15" t="s">
        <v>4633</v>
      </c>
      <c r="G757" s="16" t="s">
        <v>4727</v>
      </c>
      <c r="H757" s="13">
        <v>17.0</v>
      </c>
      <c r="I757" s="13">
        <v>1.1</v>
      </c>
      <c r="J757" s="13" t="s">
        <v>1788</v>
      </c>
      <c r="K757" s="13">
        <f t="shared" si="3"/>
        <v>1</v>
      </c>
      <c r="L757" s="13">
        <f t="shared" si="4"/>
        <v>2</v>
      </c>
      <c r="M757" s="13">
        <f t="shared" ref="M757:AA757" si="1513">IFERROR(VALUE(RIGHT(LEFT($J757,FIND(M$1,$J757,1)+LEN(M$1)),1)),0)</f>
        <v>0</v>
      </c>
      <c r="N757" s="13">
        <f t="shared" si="1513"/>
        <v>0</v>
      </c>
      <c r="O757" s="13">
        <f t="shared" si="1513"/>
        <v>0</v>
      </c>
      <c r="P757" s="13">
        <f t="shared" si="1513"/>
        <v>0</v>
      </c>
      <c r="Q757" s="13">
        <f t="shared" si="1513"/>
        <v>0</v>
      </c>
      <c r="R757" s="13">
        <f t="shared" si="1513"/>
        <v>0</v>
      </c>
      <c r="S757" s="13">
        <f t="shared" si="1513"/>
        <v>0</v>
      </c>
      <c r="T757" s="13">
        <f t="shared" si="1513"/>
        <v>0</v>
      </c>
      <c r="U757" s="13">
        <f t="shared" si="1513"/>
        <v>0</v>
      </c>
      <c r="V757" s="13">
        <f t="shared" si="1513"/>
        <v>0</v>
      </c>
      <c r="W757" s="13">
        <f t="shared" si="1513"/>
        <v>0</v>
      </c>
      <c r="X757" s="13">
        <f t="shared" si="1513"/>
        <v>0</v>
      </c>
      <c r="Y757" s="13">
        <f t="shared" si="1513"/>
        <v>1</v>
      </c>
      <c r="Z757" s="13">
        <f t="shared" si="1513"/>
        <v>0</v>
      </c>
      <c r="AA757" s="13">
        <f t="shared" si="1513"/>
        <v>0</v>
      </c>
      <c r="AB757" s="13">
        <f t="shared" ref="AB757:AP757" si="1514">IFERROR(VALUE(RIGHT(LEFT($J757,FIND(AB$1,$J757,IF(M757=0,1,FIND(AB$1,$J757,1)+1))+LEN(AB$1)),1)),0)</f>
        <v>0</v>
      </c>
      <c r="AC757" s="13">
        <f t="shared" si="1514"/>
        <v>0</v>
      </c>
      <c r="AD757" s="13">
        <f t="shared" si="1514"/>
        <v>0</v>
      </c>
      <c r="AE757" s="13">
        <f t="shared" si="1514"/>
        <v>1</v>
      </c>
      <c r="AF757" s="13">
        <f t="shared" si="1514"/>
        <v>0</v>
      </c>
      <c r="AG757" s="13">
        <f t="shared" si="1514"/>
        <v>0</v>
      </c>
      <c r="AH757" s="13">
        <f t="shared" si="1514"/>
        <v>0</v>
      </c>
      <c r="AI757" s="13">
        <f t="shared" si="1514"/>
        <v>0</v>
      </c>
      <c r="AJ757" s="13">
        <f t="shared" si="1514"/>
        <v>0</v>
      </c>
      <c r="AK757" s="13">
        <f t="shared" si="1514"/>
        <v>0</v>
      </c>
      <c r="AL757" s="13">
        <f t="shared" si="1514"/>
        <v>0</v>
      </c>
      <c r="AM757" s="13">
        <f t="shared" si="1514"/>
        <v>0</v>
      </c>
      <c r="AN757" s="13">
        <f t="shared" si="1514"/>
        <v>1</v>
      </c>
      <c r="AO757" s="13">
        <f t="shared" si="1514"/>
        <v>0</v>
      </c>
      <c r="AP757" s="13">
        <f t="shared" si="1514"/>
        <v>0</v>
      </c>
      <c r="AQ757" s="13"/>
      <c r="AR757" s="13" t="s">
        <v>4339</v>
      </c>
      <c r="AS757" s="13" t="s">
        <v>4728</v>
      </c>
      <c r="AT757" s="13" t="s">
        <v>257</v>
      </c>
      <c r="AU757" s="13" t="s">
        <v>4153</v>
      </c>
      <c r="AV757" s="13" t="s">
        <v>4729</v>
      </c>
      <c r="AW757" s="13">
        <v>11.0</v>
      </c>
      <c r="AX757" s="13">
        <v>12.0</v>
      </c>
      <c r="AY757" s="13">
        <v>0.0</v>
      </c>
      <c r="AZ757" s="13" t="s">
        <v>4556</v>
      </c>
      <c r="BA757" s="13" t="s">
        <v>2695</v>
      </c>
      <c r="BB757" s="13"/>
      <c r="BC757" s="13"/>
      <c r="BD757" s="13" t="s">
        <v>230</v>
      </c>
      <c r="BE757" s="13"/>
      <c r="BF757" s="13" t="s">
        <v>4730</v>
      </c>
      <c r="BG757" s="13" t="s">
        <v>50</v>
      </c>
      <c r="BH757" s="13" t="s">
        <v>79</v>
      </c>
      <c r="BI757" s="13" t="b">
        <v>0</v>
      </c>
      <c r="BJ757" s="13">
        <v>0.0</v>
      </c>
      <c r="BK757" s="13">
        <v>0.0</v>
      </c>
    </row>
    <row r="758" ht="14.25" customHeight="1">
      <c r="A758" s="13">
        <v>756.0</v>
      </c>
      <c r="B758" s="13" t="s">
        <v>46</v>
      </c>
      <c r="C758" s="13">
        <v>4.0</v>
      </c>
      <c r="D758" s="14">
        <v>0.0</v>
      </c>
      <c r="E758" s="13" t="s">
        <v>4731</v>
      </c>
      <c r="F758" s="15" t="s">
        <v>4633</v>
      </c>
      <c r="G758" s="16" t="s">
        <v>4732</v>
      </c>
      <c r="H758" s="13"/>
      <c r="I758" s="13">
        <v>0.9</v>
      </c>
      <c r="J758" s="13" t="s">
        <v>4733</v>
      </c>
      <c r="K758" s="13">
        <f t="shared" si="3"/>
        <v>3</v>
      </c>
      <c r="L758" s="13">
        <f t="shared" si="4"/>
        <v>0</v>
      </c>
      <c r="M758" s="13">
        <f t="shared" ref="M758:AA758" si="1515">IFERROR(VALUE(RIGHT(LEFT($J758,FIND(M$1,$J758,1)+LEN(M$1)),1)),0)</f>
        <v>1</v>
      </c>
      <c r="N758" s="13">
        <f t="shared" si="1515"/>
        <v>0</v>
      </c>
      <c r="O758" s="13">
        <f t="shared" si="1515"/>
        <v>0</v>
      </c>
      <c r="P758" s="13">
        <f t="shared" si="1515"/>
        <v>0</v>
      </c>
      <c r="Q758" s="13">
        <f t="shared" si="1515"/>
        <v>0</v>
      </c>
      <c r="R758" s="13">
        <f t="shared" si="1515"/>
        <v>0</v>
      </c>
      <c r="S758" s="13">
        <f t="shared" si="1515"/>
        <v>0</v>
      </c>
      <c r="T758" s="13">
        <f t="shared" si="1515"/>
        <v>0</v>
      </c>
      <c r="U758" s="13">
        <f t="shared" si="1515"/>
        <v>2</v>
      </c>
      <c r="V758" s="13">
        <f t="shared" si="1515"/>
        <v>0</v>
      </c>
      <c r="W758" s="13">
        <f t="shared" si="1515"/>
        <v>0</v>
      </c>
      <c r="X758" s="13">
        <f t="shared" si="1515"/>
        <v>0</v>
      </c>
      <c r="Y758" s="13">
        <f t="shared" si="1515"/>
        <v>0</v>
      </c>
      <c r="Z758" s="13">
        <f t="shared" si="1515"/>
        <v>0</v>
      </c>
      <c r="AA758" s="13">
        <f t="shared" si="1515"/>
        <v>0</v>
      </c>
      <c r="AB758" s="13">
        <f t="shared" ref="AB758:AP758" si="1516">IFERROR(VALUE(RIGHT(LEFT($J758,FIND(AB$1,$J758,IF(M758=0,1,FIND(AB$1,$J758,1)+1))+LEN(AB$1)),1)),0)</f>
        <v>0</v>
      </c>
      <c r="AC758" s="13">
        <f t="shared" si="1516"/>
        <v>0</v>
      </c>
      <c r="AD758" s="13">
        <f t="shared" si="1516"/>
        <v>0</v>
      </c>
      <c r="AE758" s="13">
        <f t="shared" si="1516"/>
        <v>0</v>
      </c>
      <c r="AF758" s="13">
        <f t="shared" si="1516"/>
        <v>0</v>
      </c>
      <c r="AG758" s="13">
        <f t="shared" si="1516"/>
        <v>0</v>
      </c>
      <c r="AH758" s="13">
        <f t="shared" si="1516"/>
        <v>0</v>
      </c>
      <c r="AI758" s="13">
        <f t="shared" si="1516"/>
        <v>0</v>
      </c>
      <c r="AJ758" s="13">
        <f t="shared" si="1516"/>
        <v>0</v>
      </c>
      <c r="AK758" s="13">
        <f t="shared" si="1516"/>
        <v>0</v>
      </c>
      <c r="AL758" s="13">
        <f t="shared" si="1516"/>
        <v>0</v>
      </c>
      <c r="AM758" s="13">
        <f t="shared" si="1516"/>
        <v>0</v>
      </c>
      <c r="AN758" s="13">
        <f t="shared" si="1516"/>
        <v>0</v>
      </c>
      <c r="AO758" s="13">
        <f t="shared" si="1516"/>
        <v>0</v>
      </c>
      <c r="AP758" s="13">
        <f t="shared" si="1516"/>
        <v>0</v>
      </c>
      <c r="AQ758" s="13" t="s">
        <v>4734</v>
      </c>
      <c r="AR758" s="13"/>
      <c r="AS758" s="13" t="s">
        <v>2905</v>
      </c>
      <c r="AT758" s="13"/>
      <c r="AU758" s="13"/>
      <c r="AV758" s="13"/>
      <c r="AW758" s="13">
        <v>0.0</v>
      </c>
      <c r="AX758" s="13">
        <v>12.0</v>
      </c>
      <c r="AY758" s="13">
        <v>0.0</v>
      </c>
      <c r="AZ758" s="13"/>
      <c r="BA758" s="13"/>
      <c r="BB758" s="13"/>
      <c r="BC758" s="13"/>
      <c r="BD758" s="13"/>
      <c r="BE758" s="13"/>
      <c r="BF758" s="13"/>
      <c r="BG758" s="13"/>
      <c r="BH758" s="13" t="s">
        <v>79</v>
      </c>
      <c r="BI758" s="13" t="b">
        <v>0</v>
      </c>
      <c r="BJ758" s="13">
        <v>0.0</v>
      </c>
      <c r="BK758" s="13">
        <v>0.0</v>
      </c>
    </row>
    <row r="759" ht="14.25" customHeight="1">
      <c r="A759" s="13">
        <v>757.0</v>
      </c>
      <c r="B759" s="13" t="s">
        <v>49</v>
      </c>
      <c r="C759" s="13">
        <v>4.0</v>
      </c>
      <c r="D759" s="14">
        <v>0.0</v>
      </c>
      <c r="E759" s="13" t="s">
        <v>4735</v>
      </c>
      <c r="F759" s="15" t="s">
        <v>4633</v>
      </c>
      <c r="G759" s="16" t="s">
        <v>4736</v>
      </c>
      <c r="H759" s="13">
        <v>22.0</v>
      </c>
      <c r="I759" s="13">
        <v>1.0</v>
      </c>
      <c r="J759" s="13" t="s">
        <v>2338</v>
      </c>
      <c r="K759" s="13">
        <f t="shared" si="3"/>
        <v>2</v>
      </c>
      <c r="L759" s="13">
        <f t="shared" si="4"/>
        <v>2</v>
      </c>
      <c r="M759" s="13">
        <f t="shared" ref="M759:AA759" si="1517">IFERROR(VALUE(RIGHT(LEFT($J759,FIND(M$1,$J759,1)+LEN(M$1)),1)),0)</f>
        <v>0</v>
      </c>
      <c r="N759" s="13">
        <f t="shared" si="1517"/>
        <v>0</v>
      </c>
      <c r="O759" s="13">
        <f t="shared" si="1517"/>
        <v>0</v>
      </c>
      <c r="P759" s="13">
        <f t="shared" si="1517"/>
        <v>0</v>
      </c>
      <c r="Q759" s="13">
        <f t="shared" si="1517"/>
        <v>0</v>
      </c>
      <c r="R759" s="13">
        <f t="shared" si="1517"/>
        <v>0</v>
      </c>
      <c r="S759" s="13">
        <f t="shared" si="1517"/>
        <v>0</v>
      </c>
      <c r="T759" s="13">
        <f t="shared" si="1517"/>
        <v>0</v>
      </c>
      <c r="U759" s="13">
        <f t="shared" si="1517"/>
        <v>0</v>
      </c>
      <c r="V759" s="13">
        <f t="shared" si="1517"/>
        <v>0</v>
      </c>
      <c r="W759" s="13">
        <f t="shared" si="1517"/>
        <v>0</v>
      </c>
      <c r="X759" s="13">
        <f t="shared" si="1517"/>
        <v>2</v>
      </c>
      <c r="Y759" s="13">
        <f t="shared" si="1517"/>
        <v>0</v>
      </c>
      <c r="Z759" s="13">
        <f t="shared" si="1517"/>
        <v>0</v>
      </c>
      <c r="AA759" s="13">
        <f t="shared" si="1517"/>
        <v>0</v>
      </c>
      <c r="AB759" s="13">
        <f t="shared" ref="AB759:AP759" si="1518">IFERROR(VALUE(RIGHT(LEFT($J759,FIND(AB$1,$J759,IF(M759=0,1,FIND(AB$1,$J759,1)+1))+LEN(AB$1)),1)),0)</f>
        <v>1</v>
      </c>
      <c r="AC759" s="13">
        <f t="shared" si="1518"/>
        <v>0</v>
      </c>
      <c r="AD759" s="13">
        <f t="shared" si="1518"/>
        <v>0</v>
      </c>
      <c r="AE759" s="13">
        <f t="shared" si="1518"/>
        <v>0</v>
      </c>
      <c r="AF759" s="13">
        <f t="shared" si="1518"/>
        <v>0</v>
      </c>
      <c r="AG759" s="13">
        <f t="shared" si="1518"/>
        <v>0</v>
      </c>
      <c r="AH759" s="13">
        <f t="shared" si="1518"/>
        <v>0</v>
      </c>
      <c r="AI759" s="13">
        <f t="shared" si="1518"/>
        <v>0</v>
      </c>
      <c r="AJ759" s="13">
        <f t="shared" si="1518"/>
        <v>0</v>
      </c>
      <c r="AK759" s="13">
        <f t="shared" si="1518"/>
        <v>0</v>
      </c>
      <c r="AL759" s="13">
        <f t="shared" si="1518"/>
        <v>0</v>
      </c>
      <c r="AM759" s="13">
        <f t="shared" si="1518"/>
        <v>1</v>
      </c>
      <c r="AN759" s="13">
        <f t="shared" si="1518"/>
        <v>0</v>
      </c>
      <c r="AO759" s="13">
        <f t="shared" si="1518"/>
        <v>0</v>
      </c>
      <c r="AP759" s="13">
        <f t="shared" si="1518"/>
        <v>0</v>
      </c>
      <c r="AQ759" s="13"/>
      <c r="AR759" s="13" t="s">
        <v>4737</v>
      </c>
      <c r="AS759" s="13" t="s">
        <v>3919</v>
      </c>
      <c r="AT759" s="13" t="s">
        <v>162</v>
      </c>
      <c r="AU759" s="13" t="s">
        <v>1297</v>
      </c>
      <c r="AV759" s="13" t="s">
        <v>4738</v>
      </c>
      <c r="AW759" s="13">
        <v>16.0</v>
      </c>
      <c r="AX759" s="13">
        <v>12.0</v>
      </c>
      <c r="AY759" s="13">
        <v>0.0</v>
      </c>
      <c r="AZ759" s="13" t="s">
        <v>4739</v>
      </c>
      <c r="BA759" s="13" t="s">
        <v>3731</v>
      </c>
      <c r="BB759" s="13"/>
      <c r="BC759" s="13"/>
      <c r="BD759" s="13" t="s">
        <v>199</v>
      </c>
      <c r="BE759" s="13"/>
      <c r="BF759" s="13" t="s">
        <v>4740</v>
      </c>
      <c r="BG759" s="13" t="s">
        <v>201</v>
      </c>
      <c r="BH759" s="13" t="s">
        <v>241</v>
      </c>
      <c r="BI759" s="13" t="b">
        <v>0</v>
      </c>
      <c r="BJ759" s="13">
        <v>0.0</v>
      </c>
      <c r="BK759" s="13">
        <v>0.0</v>
      </c>
    </row>
    <row r="760" ht="14.25" customHeight="1">
      <c r="A760" s="13">
        <v>758.0</v>
      </c>
      <c r="B760" s="13" t="s">
        <v>49</v>
      </c>
      <c r="C760" s="13">
        <v>4.0</v>
      </c>
      <c r="D760" s="14">
        <v>0.0</v>
      </c>
      <c r="E760" s="13" t="s">
        <v>4741</v>
      </c>
      <c r="F760" s="15" t="s">
        <v>4633</v>
      </c>
      <c r="G760" s="16" t="s">
        <v>4742</v>
      </c>
      <c r="H760" s="13">
        <v>21.0</v>
      </c>
      <c r="I760" s="13">
        <v>1.1</v>
      </c>
      <c r="J760" s="13" t="s">
        <v>4743</v>
      </c>
      <c r="K760" s="13">
        <f t="shared" si="3"/>
        <v>3</v>
      </c>
      <c r="L760" s="13">
        <f t="shared" si="4"/>
        <v>0</v>
      </c>
      <c r="M760" s="13">
        <f t="shared" ref="M760:AA760" si="1519">IFERROR(VALUE(RIGHT(LEFT($J760,FIND(M$1,$J760,1)+LEN(M$1)),1)),0)</f>
        <v>2</v>
      </c>
      <c r="N760" s="13">
        <f t="shared" si="1519"/>
        <v>0</v>
      </c>
      <c r="O760" s="13">
        <f t="shared" si="1519"/>
        <v>0</v>
      </c>
      <c r="P760" s="13">
        <f t="shared" si="1519"/>
        <v>0</v>
      </c>
      <c r="Q760" s="13">
        <f t="shared" si="1519"/>
        <v>1</v>
      </c>
      <c r="R760" s="13">
        <f t="shared" si="1519"/>
        <v>0</v>
      </c>
      <c r="S760" s="13">
        <f t="shared" si="1519"/>
        <v>0</v>
      </c>
      <c r="T760" s="13">
        <f t="shared" si="1519"/>
        <v>0</v>
      </c>
      <c r="U760" s="13">
        <f t="shared" si="1519"/>
        <v>0</v>
      </c>
      <c r="V760" s="13">
        <f t="shared" si="1519"/>
        <v>0</v>
      </c>
      <c r="W760" s="13">
        <f t="shared" si="1519"/>
        <v>0</v>
      </c>
      <c r="X760" s="13">
        <f t="shared" si="1519"/>
        <v>0</v>
      </c>
      <c r="Y760" s="13">
        <f t="shared" si="1519"/>
        <v>0</v>
      </c>
      <c r="Z760" s="13">
        <f t="shared" si="1519"/>
        <v>0</v>
      </c>
      <c r="AA760" s="13">
        <f t="shared" si="1519"/>
        <v>0</v>
      </c>
      <c r="AB760" s="13">
        <f t="shared" ref="AB760:AP760" si="1520">IFERROR(VALUE(RIGHT(LEFT($J760,FIND(AB$1,$J760,IF(M760=0,1,FIND(AB$1,$J760,1)+1))+LEN(AB$1)),1)),0)</f>
        <v>0</v>
      </c>
      <c r="AC760" s="13">
        <f t="shared" si="1520"/>
        <v>0</v>
      </c>
      <c r="AD760" s="13">
        <f t="shared" si="1520"/>
        <v>0</v>
      </c>
      <c r="AE760" s="13">
        <f t="shared" si="1520"/>
        <v>0</v>
      </c>
      <c r="AF760" s="13">
        <f t="shared" si="1520"/>
        <v>0</v>
      </c>
      <c r="AG760" s="13">
        <f t="shared" si="1520"/>
        <v>0</v>
      </c>
      <c r="AH760" s="13">
        <f t="shared" si="1520"/>
        <v>0</v>
      </c>
      <c r="AI760" s="13">
        <f t="shared" si="1520"/>
        <v>0</v>
      </c>
      <c r="AJ760" s="13">
        <f t="shared" si="1520"/>
        <v>0</v>
      </c>
      <c r="AK760" s="13">
        <f t="shared" si="1520"/>
        <v>0</v>
      </c>
      <c r="AL760" s="13">
        <f t="shared" si="1520"/>
        <v>0</v>
      </c>
      <c r="AM760" s="13">
        <f t="shared" si="1520"/>
        <v>0</v>
      </c>
      <c r="AN760" s="13">
        <f t="shared" si="1520"/>
        <v>0</v>
      </c>
      <c r="AO760" s="13">
        <f t="shared" si="1520"/>
        <v>0</v>
      </c>
      <c r="AP760" s="13">
        <f t="shared" si="1520"/>
        <v>0</v>
      </c>
      <c r="AQ760" s="13"/>
      <c r="AR760" s="13" t="s">
        <v>4744</v>
      </c>
      <c r="AS760" s="13" t="s">
        <v>4745</v>
      </c>
      <c r="AT760" s="13" t="s">
        <v>175</v>
      </c>
      <c r="AU760" s="13" t="s">
        <v>4163</v>
      </c>
      <c r="AV760" s="13" t="s">
        <v>4746</v>
      </c>
      <c r="AW760" s="13">
        <v>14.0</v>
      </c>
      <c r="AX760" s="13">
        <v>12.0</v>
      </c>
      <c r="AY760" s="13">
        <v>0.0</v>
      </c>
      <c r="AZ760" s="13" t="s">
        <v>4747</v>
      </c>
      <c r="BA760" s="13" t="s">
        <v>4748</v>
      </c>
      <c r="BB760" s="13"/>
      <c r="BC760" s="13"/>
      <c r="BD760" s="13" t="s">
        <v>664</v>
      </c>
      <c r="BE760" s="13"/>
      <c r="BF760" s="13" t="s">
        <v>1842</v>
      </c>
      <c r="BG760" s="13" t="s">
        <v>201</v>
      </c>
      <c r="BH760" s="13" t="s">
        <v>79</v>
      </c>
      <c r="BI760" s="13" t="b">
        <v>0</v>
      </c>
      <c r="BJ760" s="13">
        <v>0.0</v>
      </c>
      <c r="BK760" s="13">
        <v>0.0</v>
      </c>
    </row>
    <row r="761" ht="14.25" customHeight="1">
      <c r="A761" s="13">
        <v>759.0</v>
      </c>
      <c r="B761" s="13" t="s">
        <v>50</v>
      </c>
      <c r="C761" s="13">
        <v>4.0</v>
      </c>
      <c r="D761" s="14">
        <v>0.0</v>
      </c>
      <c r="E761" s="13" t="s">
        <v>4749</v>
      </c>
      <c r="F761" s="15" t="s">
        <v>4633</v>
      </c>
      <c r="G761" s="16" t="s">
        <v>4750</v>
      </c>
      <c r="H761" s="13">
        <v>23.0</v>
      </c>
      <c r="I761" s="13">
        <v>1.0</v>
      </c>
      <c r="J761" s="13" t="s">
        <v>2047</v>
      </c>
      <c r="K761" s="13">
        <f t="shared" si="3"/>
        <v>2</v>
      </c>
      <c r="L761" s="13">
        <f t="shared" si="4"/>
        <v>2</v>
      </c>
      <c r="M761" s="13">
        <f t="shared" ref="M761:AA761" si="1521">IFERROR(VALUE(RIGHT(LEFT($J761,FIND(M$1,$J761,1)+LEN(M$1)),1)),0)</f>
        <v>0</v>
      </c>
      <c r="N761" s="13">
        <f t="shared" si="1521"/>
        <v>0</v>
      </c>
      <c r="O761" s="13">
        <f t="shared" si="1521"/>
        <v>0</v>
      </c>
      <c r="P761" s="13">
        <f t="shared" si="1521"/>
        <v>0</v>
      </c>
      <c r="Q761" s="13">
        <f t="shared" si="1521"/>
        <v>0</v>
      </c>
      <c r="R761" s="13">
        <f t="shared" si="1521"/>
        <v>0</v>
      </c>
      <c r="S761" s="13">
        <f t="shared" si="1521"/>
        <v>0</v>
      </c>
      <c r="T761" s="13">
        <f t="shared" si="1521"/>
        <v>0</v>
      </c>
      <c r="U761" s="13">
        <f t="shared" si="1521"/>
        <v>0</v>
      </c>
      <c r="V761" s="13">
        <f t="shared" si="1521"/>
        <v>0</v>
      </c>
      <c r="W761" s="13">
        <f t="shared" si="1521"/>
        <v>0</v>
      </c>
      <c r="X761" s="13">
        <f t="shared" si="1521"/>
        <v>0</v>
      </c>
      <c r="Y761" s="13">
        <f t="shared" si="1521"/>
        <v>2</v>
      </c>
      <c r="Z761" s="13">
        <f t="shared" si="1521"/>
        <v>0</v>
      </c>
      <c r="AA761" s="13">
        <f t="shared" si="1521"/>
        <v>0</v>
      </c>
      <c r="AB761" s="13">
        <f t="shared" ref="AB761:AP761" si="1522">IFERROR(VALUE(RIGHT(LEFT($J761,FIND(AB$1,$J761,IF(M761=0,1,FIND(AB$1,$J761,1)+1))+LEN(AB$1)),1)),0)</f>
        <v>0</v>
      </c>
      <c r="AC761" s="13">
        <f t="shared" si="1522"/>
        <v>0</v>
      </c>
      <c r="AD761" s="13">
        <f t="shared" si="1522"/>
        <v>0</v>
      </c>
      <c r="AE761" s="13">
        <f t="shared" si="1522"/>
        <v>1</v>
      </c>
      <c r="AF761" s="13">
        <f t="shared" si="1522"/>
        <v>0</v>
      </c>
      <c r="AG761" s="13">
        <f t="shared" si="1522"/>
        <v>0</v>
      </c>
      <c r="AH761" s="13">
        <f t="shared" si="1522"/>
        <v>0</v>
      </c>
      <c r="AI761" s="13">
        <f t="shared" si="1522"/>
        <v>0</v>
      </c>
      <c r="AJ761" s="13">
        <f t="shared" si="1522"/>
        <v>0</v>
      </c>
      <c r="AK761" s="13">
        <f t="shared" si="1522"/>
        <v>0</v>
      </c>
      <c r="AL761" s="13">
        <f t="shared" si="1522"/>
        <v>0</v>
      </c>
      <c r="AM761" s="13">
        <f t="shared" si="1522"/>
        <v>0</v>
      </c>
      <c r="AN761" s="13">
        <f t="shared" si="1522"/>
        <v>1</v>
      </c>
      <c r="AO761" s="13">
        <f t="shared" si="1522"/>
        <v>0</v>
      </c>
      <c r="AP761" s="13">
        <f t="shared" si="1522"/>
        <v>0</v>
      </c>
      <c r="AQ761" s="13"/>
      <c r="AR761" s="13" t="s">
        <v>4751</v>
      </c>
      <c r="AS761" s="13" t="s">
        <v>3115</v>
      </c>
      <c r="AT761" s="13" t="s">
        <v>162</v>
      </c>
      <c r="AU761" s="13" t="s">
        <v>616</v>
      </c>
      <c r="AV761" s="13" t="s">
        <v>4752</v>
      </c>
      <c r="AW761" s="13">
        <v>15.0</v>
      </c>
      <c r="AX761" s="13">
        <v>12.0</v>
      </c>
      <c r="AY761" s="13">
        <v>0.0</v>
      </c>
      <c r="AZ761" s="13" t="s">
        <v>4753</v>
      </c>
      <c r="BA761" s="13" t="s">
        <v>1831</v>
      </c>
      <c r="BB761" s="13"/>
      <c r="BC761" s="13"/>
      <c r="BD761" s="13" t="s">
        <v>239</v>
      </c>
      <c r="BE761" s="13"/>
      <c r="BF761" s="13" t="s">
        <v>4754</v>
      </c>
      <c r="BG761" s="13" t="s">
        <v>50</v>
      </c>
      <c r="BH761" s="13" t="s">
        <v>79</v>
      </c>
      <c r="BI761" s="13" t="b">
        <v>0</v>
      </c>
      <c r="BJ761" s="13">
        <v>0.0</v>
      </c>
      <c r="BK761" s="13">
        <v>0.0</v>
      </c>
    </row>
    <row r="762" ht="14.25" customHeight="1">
      <c r="A762" s="13">
        <v>760.0</v>
      </c>
      <c r="B762" s="13" t="s">
        <v>49</v>
      </c>
      <c r="C762" s="13">
        <v>5.0</v>
      </c>
      <c r="D762" s="14">
        <v>0.0</v>
      </c>
      <c r="E762" s="13" t="s">
        <v>4755</v>
      </c>
      <c r="F762" s="15" t="s">
        <v>4633</v>
      </c>
      <c r="G762" s="16" t="s">
        <v>4756</v>
      </c>
      <c r="H762" s="13">
        <v>28.0</v>
      </c>
      <c r="I762" s="13">
        <v>0.8</v>
      </c>
      <c r="J762" s="13" t="s">
        <v>4757</v>
      </c>
      <c r="K762" s="13">
        <f t="shared" si="3"/>
        <v>4</v>
      </c>
      <c r="L762" s="13">
        <f t="shared" si="4"/>
        <v>0</v>
      </c>
      <c r="M762" s="13">
        <f t="shared" ref="M762:AA762" si="1523">IFERROR(VALUE(RIGHT(LEFT($J762,FIND(M$1,$J762,1)+LEN(M$1)),1)),0)</f>
        <v>1</v>
      </c>
      <c r="N762" s="13">
        <f t="shared" si="1523"/>
        <v>0</v>
      </c>
      <c r="O762" s="13">
        <f t="shared" si="1523"/>
        <v>0</v>
      </c>
      <c r="P762" s="13">
        <f t="shared" si="1523"/>
        <v>0</v>
      </c>
      <c r="Q762" s="13">
        <f t="shared" si="1523"/>
        <v>1</v>
      </c>
      <c r="R762" s="13">
        <f t="shared" si="1523"/>
        <v>0</v>
      </c>
      <c r="S762" s="13">
        <f t="shared" si="1523"/>
        <v>0</v>
      </c>
      <c r="T762" s="13">
        <f t="shared" si="1523"/>
        <v>0</v>
      </c>
      <c r="U762" s="13">
        <f t="shared" si="1523"/>
        <v>0</v>
      </c>
      <c r="V762" s="13">
        <f t="shared" si="1523"/>
        <v>0</v>
      </c>
      <c r="W762" s="13">
        <f t="shared" si="1523"/>
        <v>0</v>
      </c>
      <c r="X762" s="13">
        <f t="shared" si="1523"/>
        <v>2</v>
      </c>
      <c r="Y762" s="13">
        <f t="shared" si="1523"/>
        <v>0</v>
      </c>
      <c r="Z762" s="13">
        <f t="shared" si="1523"/>
        <v>0</v>
      </c>
      <c r="AA762" s="13">
        <f t="shared" si="1523"/>
        <v>0</v>
      </c>
      <c r="AB762" s="13">
        <f t="shared" ref="AB762:AP762" si="1524">IFERROR(VALUE(RIGHT(LEFT($J762,FIND(AB$1,$J762,IF(M762=0,1,FIND(AB$1,$J762,1)+1))+LEN(AB$1)),1)),0)</f>
        <v>0</v>
      </c>
      <c r="AC762" s="13">
        <f t="shared" si="1524"/>
        <v>0</v>
      </c>
      <c r="AD762" s="13">
        <f t="shared" si="1524"/>
        <v>0</v>
      </c>
      <c r="AE762" s="13">
        <f t="shared" si="1524"/>
        <v>0</v>
      </c>
      <c r="AF762" s="13">
        <f t="shared" si="1524"/>
        <v>0</v>
      </c>
      <c r="AG762" s="13">
        <f t="shared" si="1524"/>
        <v>0</v>
      </c>
      <c r="AH762" s="13">
        <f t="shared" si="1524"/>
        <v>0</v>
      </c>
      <c r="AI762" s="13">
        <f t="shared" si="1524"/>
        <v>0</v>
      </c>
      <c r="AJ762" s="13">
        <f t="shared" si="1524"/>
        <v>0</v>
      </c>
      <c r="AK762" s="13">
        <f t="shared" si="1524"/>
        <v>0</v>
      </c>
      <c r="AL762" s="13">
        <f t="shared" si="1524"/>
        <v>0</v>
      </c>
      <c r="AM762" s="13">
        <f t="shared" si="1524"/>
        <v>0</v>
      </c>
      <c r="AN762" s="13">
        <f t="shared" si="1524"/>
        <v>0</v>
      </c>
      <c r="AO762" s="13">
        <f t="shared" si="1524"/>
        <v>0</v>
      </c>
      <c r="AP762" s="13">
        <f t="shared" si="1524"/>
        <v>0</v>
      </c>
      <c r="AQ762" s="13"/>
      <c r="AR762" s="13" t="s">
        <v>4758</v>
      </c>
      <c r="AS762" s="13" t="s">
        <v>4759</v>
      </c>
      <c r="AT762" s="13" t="s">
        <v>4760</v>
      </c>
      <c r="AU762" s="13" t="s">
        <v>2637</v>
      </c>
      <c r="AV762" s="13" t="s">
        <v>4761</v>
      </c>
      <c r="AW762" s="13">
        <v>19.0</v>
      </c>
      <c r="AX762" s="13">
        <v>12.0</v>
      </c>
      <c r="AY762" s="13">
        <v>0.0</v>
      </c>
      <c r="AZ762" s="13" t="s">
        <v>4762</v>
      </c>
      <c r="BA762" s="13" t="s">
        <v>4763</v>
      </c>
      <c r="BB762" s="13"/>
      <c r="BC762" s="13"/>
      <c r="BD762" s="13" t="s">
        <v>199</v>
      </c>
      <c r="BE762" s="13"/>
      <c r="BF762" s="13" t="s">
        <v>4764</v>
      </c>
      <c r="BG762" s="13" t="s">
        <v>201</v>
      </c>
      <c r="BH762" s="13" t="s">
        <v>241</v>
      </c>
      <c r="BI762" s="13" t="b">
        <v>0</v>
      </c>
      <c r="BJ762" s="13">
        <v>0.0</v>
      </c>
      <c r="BK762" s="13">
        <v>0.0</v>
      </c>
    </row>
    <row r="763" ht="14.25" customHeight="1">
      <c r="A763" s="13">
        <v>761.0</v>
      </c>
      <c r="B763" s="13" t="s">
        <v>44</v>
      </c>
      <c r="C763" s="13">
        <v>0.0</v>
      </c>
      <c r="D763" s="14">
        <v>0.0</v>
      </c>
      <c r="E763" s="13" t="s">
        <v>4765</v>
      </c>
      <c r="F763" s="15" t="s">
        <v>465</v>
      </c>
      <c r="G763" s="16" t="s">
        <v>4766</v>
      </c>
      <c r="H763" s="13"/>
      <c r="I763" s="13">
        <v>1.0</v>
      </c>
      <c r="J763" s="13" t="s">
        <v>2185</v>
      </c>
      <c r="K763" s="13">
        <f t="shared" si="3"/>
        <v>0</v>
      </c>
      <c r="L763" s="13">
        <f t="shared" si="4"/>
        <v>1</v>
      </c>
      <c r="M763" s="13">
        <f t="shared" ref="M763:AA763" si="1525">IFERROR(VALUE(RIGHT(LEFT($J763,FIND(M$1,$J763,1)+LEN(M$1)),1)),0)</f>
        <v>0</v>
      </c>
      <c r="N763" s="13">
        <f t="shared" si="1525"/>
        <v>0</v>
      </c>
      <c r="O763" s="13">
        <f t="shared" si="1525"/>
        <v>0</v>
      </c>
      <c r="P763" s="13">
        <f t="shared" si="1525"/>
        <v>0</v>
      </c>
      <c r="Q763" s="13">
        <f t="shared" si="1525"/>
        <v>0</v>
      </c>
      <c r="R763" s="13">
        <f t="shared" si="1525"/>
        <v>0</v>
      </c>
      <c r="S763" s="13">
        <f t="shared" si="1525"/>
        <v>0</v>
      </c>
      <c r="T763" s="13">
        <f t="shared" si="1525"/>
        <v>0</v>
      </c>
      <c r="U763" s="13">
        <f t="shared" si="1525"/>
        <v>0</v>
      </c>
      <c r="V763" s="13">
        <f t="shared" si="1525"/>
        <v>0</v>
      </c>
      <c r="W763" s="13">
        <f t="shared" si="1525"/>
        <v>0</v>
      </c>
      <c r="X763" s="13">
        <f t="shared" si="1525"/>
        <v>0</v>
      </c>
      <c r="Y763" s="13">
        <f t="shared" si="1525"/>
        <v>0</v>
      </c>
      <c r="Z763" s="13">
        <f t="shared" si="1525"/>
        <v>0</v>
      </c>
      <c r="AA763" s="13">
        <f t="shared" si="1525"/>
        <v>0</v>
      </c>
      <c r="AB763" s="13">
        <f t="shared" ref="AB763:AP763" si="1526">IFERROR(VALUE(RIGHT(LEFT($J763,FIND(AB$1,$J763,IF(M763=0,1,FIND(AB$1,$J763,1)+1))+LEN(AB$1)),1)),0)</f>
        <v>0</v>
      </c>
      <c r="AC763" s="13">
        <f t="shared" si="1526"/>
        <v>0</v>
      </c>
      <c r="AD763" s="13">
        <f t="shared" si="1526"/>
        <v>0</v>
      </c>
      <c r="AE763" s="13">
        <f t="shared" si="1526"/>
        <v>0</v>
      </c>
      <c r="AF763" s="13">
        <f t="shared" si="1526"/>
        <v>0</v>
      </c>
      <c r="AG763" s="13">
        <f t="shared" si="1526"/>
        <v>0</v>
      </c>
      <c r="AH763" s="13">
        <f t="shared" si="1526"/>
        <v>1</v>
      </c>
      <c r="AI763" s="13">
        <f t="shared" si="1526"/>
        <v>0</v>
      </c>
      <c r="AJ763" s="13">
        <f t="shared" si="1526"/>
        <v>0</v>
      </c>
      <c r="AK763" s="13">
        <f t="shared" si="1526"/>
        <v>0</v>
      </c>
      <c r="AL763" s="13">
        <f t="shared" si="1526"/>
        <v>0</v>
      </c>
      <c r="AM763" s="13">
        <f t="shared" si="1526"/>
        <v>0</v>
      </c>
      <c r="AN763" s="13">
        <f t="shared" si="1526"/>
        <v>0</v>
      </c>
      <c r="AO763" s="13">
        <f t="shared" si="1526"/>
        <v>0</v>
      </c>
      <c r="AP763" s="13">
        <f t="shared" si="1526"/>
        <v>0</v>
      </c>
      <c r="AQ763" s="13" t="s">
        <v>4767</v>
      </c>
      <c r="AR763" s="13"/>
      <c r="AS763" s="13" t="s">
        <v>4768</v>
      </c>
      <c r="AT763" s="13"/>
      <c r="AU763" s="13"/>
      <c r="AV763" s="13"/>
      <c r="AW763" s="13">
        <v>0.0</v>
      </c>
      <c r="AX763" s="13">
        <v>13.0</v>
      </c>
      <c r="AY763" s="13">
        <v>0.0</v>
      </c>
      <c r="AZ763" s="13"/>
      <c r="BA763" s="13"/>
      <c r="BB763" s="13"/>
      <c r="BC763" s="13"/>
      <c r="BD763" s="13"/>
      <c r="BE763" s="13"/>
      <c r="BF763" s="13"/>
      <c r="BG763" s="13"/>
      <c r="BH763" s="13" t="s">
        <v>79</v>
      </c>
      <c r="BI763" s="13" t="b">
        <v>0</v>
      </c>
      <c r="BJ763" s="13">
        <v>0.0</v>
      </c>
      <c r="BK763" s="13">
        <v>0.0</v>
      </c>
    </row>
    <row r="764" ht="14.25" customHeight="1">
      <c r="A764" s="13">
        <v>762.0</v>
      </c>
      <c r="B764" s="13" t="s">
        <v>45</v>
      </c>
      <c r="C764" s="13">
        <v>0.0</v>
      </c>
      <c r="D764" s="14">
        <v>0.0</v>
      </c>
      <c r="E764" s="13" t="s">
        <v>4769</v>
      </c>
      <c r="F764" s="15" t="s">
        <v>465</v>
      </c>
      <c r="G764" s="16" t="s">
        <v>4770</v>
      </c>
      <c r="H764" s="13"/>
      <c r="I764" s="13">
        <v>0.9</v>
      </c>
      <c r="J764" s="13" t="s">
        <v>100</v>
      </c>
      <c r="K764" s="13">
        <f t="shared" si="3"/>
        <v>0</v>
      </c>
      <c r="L764" s="13">
        <f t="shared" si="4"/>
        <v>1</v>
      </c>
      <c r="M764" s="13">
        <f t="shared" ref="M764:AA764" si="1527">IFERROR(VALUE(RIGHT(LEFT($J764,FIND(M$1,$J764,1)+LEN(M$1)),1)),0)</f>
        <v>0</v>
      </c>
      <c r="N764" s="13">
        <f t="shared" si="1527"/>
        <v>0</v>
      </c>
      <c r="O764" s="13">
        <f t="shared" si="1527"/>
        <v>0</v>
      </c>
      <c r="P764" s="13">
        <f t="shared" si="1527"/>
        <v>0</v>
      </c>
      <c r="Q764" s="13">
        <f t="shared" si="1527"/>
        <v>0</v>
      </c>
      <c r="R764" s="13">
        <f t="shared" si="1527"/>
        <v>0</v>
      </c>
      <c r="S764" s="13">
        <f t="shared" si="1527"/>
        <v>0</v>
      </c>
      <c r="T764" s="13">
        <f t="shared" si="1527"/>
        <v>0</v>
      </c>
      <c r="U764" s="13">
        <f t="shared" si="1527"/>
        <v>0</v>
      </c>
      <c r="V764" s="13">
        <f t="shared" si="1527"/>
        <v>0</v>
      </c>
      <c r="W764" s="13">
        <f t="shared" si="1527"/>
        <v>0</v>
      </c>
      <c r="X764" s="13">
        <f t="shared" si="1527"/>
        <v>0</v>
      </c>
      <c r="Y764" s="13">
        <f t="shared" si="1527"/>
        <v>0</v>
      </c>
      <c r="Z764" s="13">
        <f t="shared" si="1527"/>
        <v>0</v>
      </c>
      <c r="AA764" s="13">
        <f t="shared" si="1527"/>
        <v>0</v>
      </c>
      <c r="AB764" s="13">
        <f t="shared" ref="AB764:AP764" si="1528">IFERROR(VALUE(RIGHT(LEFT($J764,FIND(AB$1,$J764,IF(M764=0,1,FIND(AB$1,$J764,1)+1))+LEN(AB$1)),1)),0)</f>
        <v>0</v>
      </c>
      <c r="AC764" s="13">
        <f t="shared" si="1528"/>
        <v>0</v>
      </c>
      <c r="AD764" s="13">
        <f t="shared" si="1528"/>
        <v>0</v>
      </c>
      <c r="AE764" s="13">
        <f t="shared" si="1528"/>
        <v>0</v>
      </c>
      <c r="AF764" s="13">
        <f t="shared" si="1528"/>
        <v>0</v>
      </c>
      <c r="AG764" s="13">
        <f t="shared" si="1528"/>
        <v>0</v>
      </c>
      <c r="AH764" s="13">
        <f t="shared" si="1528"/>
        <v>0</v>
      </c>
      <c r="AI764" s="13">
        <f t="shared" si="1528"/>
        <v>1</v>
      </c>
      <c r="AJ764" s="13">
        <f t="shared" si="1528"/>
        <v>0</v>
      </c>
      <c r="AK764" s="13">
        <f t="shared" si="1528"/>
        <v>0</v>
      </c>
      <c r="AL764" s="13">
        <f t="shared" si="1528"/>
        <v>0</v>
      </c>
      <c r="AM764" s="13">
        <f t="shared" si="1528"/>
        <v>0</v>
      </c>
      <c r="AN764" s="13">
        <f t="shared" si="1528"/>
        <v>0</v>
      </c>
      <c r="AO764" s="13">
        <f t="shared" si="1528"/>
        <v>0</v>
      </c>
      <c r="AP764" s="13">
        <f t="shared" si="1528"/>
        <v>0</v>
      </c>
      <c r="AQ764" s="13" t="s">
        <v>4771</v>
      </c>
      <c r="AR764" s="13"/>
      <c r="AS764" s="13" t="s">
        <v>102</v>
      </c>
      <c r="AT764" s="13"/>
      <c r="AU764" s="13"/>
      <c r="AV764" s="13"/>
      <c r="AW764" s="13">
        <v>0.0</v>
      </c>
      <c r="AX764" s="13">
        <v>13.0</v>
      </c>
      <c r="AY764" s="13">
        <v>0.0</v>
      </c>
      <c r="AZ764" s="13"/>
      <c r="BA764" s="13"/>
      <c r="BB764" s="13"/>
      <c r="BC764" s="13"/>
      <c r="BD764" s="13"/>
      <c r="BE764" s="13"/>
      <c r="BF764" s="13"/>
      <c r="BG764" s="13"/>
      <c r="BH764" s="13" t="s">
        <v>79</v>
      </c>
      <c r="BI764" s="13" t="b">
        <v>0</v>
      </c>
      <c r="BJ764" s="13">
        <v>0.0</v>
      </c>
      <c r="BK764" s="13">
        <v>0.0</v>
      </c>
    </row>
    <row r="765" ht="14.25" customHeight="1">
      <c r="A765" s="13">
        <v>763.0</v>
      </c>
      <c r="B765" s="13" t="s">
        <v>46</v>
      </c>
      <c r="C765" s="13">
        <v>0.0</v>
      </c>
      <c r="D765" s="14">
        <v>0.0</v>
      </c>
      <c r="E765" s="13" t="s">
        <v>4772</v>
      </c>
      <c r="F765" s="15" t="s">
        <v>465</v>
      </c>
      <c r="G765" s="16" t="s">
        <v>4773</v>
      </c>
      <c r="H765" s="13"/>
      <c r="I765" s="13">
        <v>0.8</v>
      </c>
      <c r="J765" s="13" t="s">
        <v>111</v>
      </c>
      <c r="K765" s="13">
        <f t="shared" si="3"/>
        <v>0</v>
      </c>
      <c r="L765" s="13">
        <f t="shared" si="4"/>
        <v>1</v>
      </c>
      <c r="M765" s="13">
        <f t="shared" ref="M765:AA765" si="1529">IFERROR(VALUE(RIGHT(LEFT($J765,FIND(M$1,$J765,1)+LEN(M$1)),1)),0)</f>
        <v>0</v>
      </c>
      <c r="N765" s="13">
        <f t="shared" si="1529"/>
        <v>0</v>
      </c>
      <c r="O765" s="13">
        <f t="shared" si="1529"/>
        <v>0</v>
      </c>
      <c r="P765" s="13">
        <f t="shared" si="1529"/>
        <v>0</v>
      </c>
      <c r="Q765" s="13">
        <f t="shared" si="1529"/>
        <v>0</v>
      </c>
      <c r="R765" s="13">
        <f t="shared" si="1529"/>
        <v>0</v>
      </c>
      <c r="S765" s="13">
        <f t="shared" si="1529"/>
        <v>0</v>
      </c>
      <c r="T765" s="13">
        <f t="shared" si="1529"/>
        <v>0</v>
      </c>
      <c r="U765" s="13">
        <f t="shared" si="1529"/>
        <v>0</v>
      </c>
      <c r="V765" s="13">
        <f t="shared" si="1529"/>
        <v>0</v>
      </c>
      <c r="W765" s="13">
        <f t="shared" si="1529"/>
        <v>0</v>
      </c>
      <c r="X765" s="13">
        <f t="shared" si="1529"/>
        <v>0</v>
      </c>
      <c r="Y765" s="13">
        <f t="shared" si="1529"/>
        <v>0</v>
      </c>
      <c r="Z765" s="13">
        <f t="shared" si="1529"/>
        <v>0</v>
      </c>
      <c r="AA765" s="13">
        <f t="shared" si="1529"/>
        <v>0</v>
      </c>
      <c r="AB765" s="13">
        <f t="shared" ref="AB765:AP765" si="1530">IFERROR(VALUE(RIGHT(LEFT($J765,FIND(AB$1,$J765,IF(M765=0,1,FIND(AB$1,$J765,1)+1))+LEN(AB$1)),1)),0)</f>
        <v>0</v>
      </c>
      <c r="AC765" s="13">
        <f t="shared" si="1530"/>
        <v>0</v>
      </c>
      <c r="AD765" s="13">
        <f t="shared" si="1530"/>
        <v>0</v>
      </c>
      <c r="AE765" s="13">
        <f t="shared" si="1530"/>
        <v>0</v>
      </c>
      <c r="AF765" s="13">
        <f t="shared" si="1530"/>
        <v>0</v>
      </c>
      <c r="AG765" s="13">
        <f t="shared" si="1530"/>
        <v>0</v>
      </c>
      <c r="AH765" s="13">
        <f t="shared" si="1530"/>
        <v>0</v>
      </c>
      <c r="AI765" s="13">
        <f t="shared" si="1530"/>
        <v>0</v>
      </c>
      <c r="AJ765" s="13">
        <f t="shared" si="1530"/>
        <v>1</v>
      </c>
      <c r="AK765" s="13">
        <f t="shared" si="1530"/>
        <v>0</v>
      </c>
      <c r="AL765" s="13">
        <f t="shared" si="1530"/>
        <v>0</v>
      </c>
      <c r="AM765" s="13">
        <f t="shared" si="1530"/>
        <v>0</v>
      </c>
      <c r="AN765" s="13">
        <f t="shared" si="1530"/>
        <v>0</v>
      </c>
      <c r="AO765" s="13">
        <f t="shared" si="1530"/>
        <v>0</v>
      </c>
      <c r="AP765" s="13">
        <f t="shared" si="1530"/>
        <v>0</v>
      </c>
      <c r="AQ765" s="13" t="s">
        <v>4774</v>
      </c>
      <c r="AR765" s="13"/>
      <c r="AS765" s="13" t="s">
        <v>117</v>
      </c>
      <c r="AT765" s="13"/>
      <c r="AU765" s="13"/>
      <c r="AV765" s="13"/>
      <c r="AW765" s="13">
        <v>0.0</v>
      </c>
      <c r="AX765" s="13">
        <v>13.0</v>
      </c>
      <c r="AY765" s="13">
        <v>0.0</v>
      </c>
      <c r="AZ765" s="13"/>
      <c r="BA765" s="13"/>
      <c r="BB765" s="13"/>
      <c r="BC765" s="13"/>
      <c r="BD765" s="13"/>
      <c r="BE765" s="13"/>
      <c r="BF765" s="13"/>
      <c r="BG765" s="13"/>
      <c r="BH765" s="13" t="s">
        <v>79</v>
      </c>
      <c r="BI765" s="13" t="b">
        <v>0</v>
      </c>
      <c r="BJ765" s="13">
        <v>0.0</v>
      </c>
      <c r="BK765" s="13">
        <v>0.0</v>
      </c>
    </row>
    <row r="766" ht="14.25" customHeight="1">
      <c r="A766" s="13">
        <v>764.0</v>
      </c>
      <c r="B766" s="13" t="s">
        <v>48</v>
      </c>
      <c r="C766" s="13">
        <v>0.0</v>
      </c>
      <c r="D766" s="14">
        <v>0.0</v>
      </c>
      <c r="E766" s="13" t="s">
        <v>4775</v>
      </c>
      <c r="F766" s="15" t="s">
        <v>465</v>
      </c>
      <c r="G766" s="16" t="s">
        <v>4776</v>
      </c>
      <c r="H766" s="13">
        <v>10.0</v>
      </c>
      <c r="I766" s="13">
        <v>1.0</v>
      </c>
      <c r="J766" s="13" t="s">
        <v>160</v>
      </c>
      <c r="K766" s="13">
        <f t="shared" si="3"/>
        <v>0</v>
      </c>
      <c r="L766" s="13">
        <f t="shared" si="4"/>
        <v>1</v>
      </c>
      <c r="M766" s="13">
        <f t="shared" ref="M766:AA766" si="1531">IFERROR(VALUE(RIGHT(LEFT($J766,FIND(M$1,$J766,1)+LEN(M$1)),1)),0)</f>
        <v>0</v>
      </c>
      <c r="N766" s="13">
        <f t="shared" si="1531"/>
        <v>0</v>
      </c>
      <c r="O766" s="13">
        <f t="shared" si="1531"/>
        <v>0</v>
      </c>
      <c r="P766" s="13">
        <f t="shared" si="1531"/>
        <v>0</v>
      </c>
      <c r="Q766" s="13">
        <f t="shared" si="1531"/>
        <v>0</v>
      </c>
      <c r="R766" s="13">
        <f t="shared" si="1531"/>
        <v>0</v>
      </c>
      <c r="S766" s="13">
        <f t="shared" si="1531"/>
        <v>0</v>
      </c>
      <c r="T766" s="13">
        <f t="shared" si="1531"/>
        <v>0</v>
      </c>
      <c r="U766" s="13">
        <f t="shared" si="1531"/>
        <v>0</v>
      </c>
      <c r="V766" s="13">
        <f t="shared" si="1531"/>
        <v>0</v>
      </c>
      <c r="W766" s="13">
        <f t="shared" si="1531"/>
        <v>0</v>
      </c>
      <c r="X766" s="13">
        <f t="shared" si="1531"/>
        <v>0</v>
      </c>
      <c r="Y766" s="13">
        <f t="shared" si="1531"/>
        <v>0</v>
      </c>
      <c r="Z766" s="13">
        <f t="shared" si="1531"/>
        <v>0</v>
      </c>
      <c r="AA766" s="13">
        <f t="shared" si="1531"/>
        <v>0</v>
      </c>
      <c r="AB766" s="13">
        <f t="shared" ref="AB766:AP766" si="1532">IFERROR(VALUE(RIGHT(LEFT($J766,FIND(AB$1,$J766,IF(M766=0,1,FIND(AB$1,$J766,1)+1))+LEN(AB$1)),1)),0)</f>
        <v>0</v>
      </c>
      <c r="AC766" s="13">
        <f t="shared" si="1532"/>
        <v>0</v>
      </c>
      <c r="AD766" s="13">
        <f t="shared" si="1532"/>
        <v>0</v>
      </c>
      <c r="AE766" s="13">
        <f t="shared" si="1532"/>
        <v>0</v>
      </c>
      <c r="AF766" s="13">
        <f t="shared" si="1532"/>
        <v>0</v>
      </c>
      <c r="AG766" s="13">
        <f t="shared" si="1532"/>
        <v>0</v>
      </c>
      <c r="AH766" s="13">
        <f t="shared" si="1532"/>
        <v>0</v>
      </c>
      <c r="AI766" s="13">
        <f t="shared" si="1532"/>
        <v>0</v>
      </c>
      <c r="AJ766" s="13">
        <f t="shared" si="1532"/>
        <v>0</v>
      </c>
      <c r="AK766" s="13">
        <f t="shared" si="1532"/>
        <v>0</v>
      </c>
      <c r="AL766" s="13">
        <f t="shared" si="1532"/>
        <v>1</v>
      </c>
      <c r="AM766" s="13">
        <f t="shared" si="1532"/>
        <v>0</v>
      </c>
      <c r="AN766" s="13">
        <f t="shared" si="1532"/>
        <v>0</v>
      </c>
      <c r="AO766" s="13">
        <f t="shared" si="1532"/>
        <v>0</v>
      </c>
      <c r="AP766" s="13">
        <f t="shared" si="1532"/>
        <v>0</v>
      </c>
      <c r="AQ766" s="13"/>
      <c r="AR766" s="13" t="s">
        <v>3380</v>
      </c>
      <c r="AS766" s="13" t="s">
        <v>185</v>
      </c>
      <c r="AT766" s="13" t="s">
        <v>162</v>
      </c>
      <c r="AU766" s="13" t="s">
        <v>163</v>
      </c>
      <c r="AV766" s="13" t="s">
        <v>4509</v>
      </c>
      <c r="AW766" s="13">
        <v>5.0</v>
      </c>
      <c r="AX766" s="13">
        <v>13.0</v>
      </c>
      <c r="AY766" s="13">
        <v>0.0</v>
      </c>
      <c r="AZ766" s="13" t="s">
        <v>547</v>
      </c>
      <c r="BA766" s="13" t="s">
        <v>198</v>
      </c>
      <c r="BB766" s="13"/>
      <c r="BC766" s="13"/>
      <c r="BD766" s="13" t="s">
        <v>188</v>
      </c>
      <c r="BE766" s="13"/>
      <c r="BF766" s="13" t="s">
        <v>4777</v>
      </c>
      <c r="BG766" s="13" t="s">
        <v>169</v>
      </c>
      <c r="BH766" s="13" t="s">
        <v>79</v>
      </c>
      <c r="BI766" s="13" t="b">
        <v>0</v>
      </c>
      <c r="BJ766" s="13">
        <v>0.0</v>
      </c>
      <c r="BK766" s="13">
        <v>0.0</v>
      </c>
    </row>
    <row r="767" ht="14.25" customHeight="1">
      <c r="A767" s="13">
        <v>765.0</v>
      </c>
      <c r="B767" s="13" t="s">
        <v>48</v>
      </c>
      <c r="C767" s="13">
        <v>0.0</v>
      </c>
      <c r="D767" s="14">
        <v>0.0</v>
      </c>
      <c r="E767" s="13" t="s">
        <v>4778</v>
      </c>
      <c r="F767" s="15" t="s">
        <v>465</v>
      </c>
      <c r="G767" s="16" t="s">
        <v>4779</v>
      </c>
      <c r="H767" s="13">
        <v>9.0</v>
      </c>
      <c r="I767" s="13">
        <v>1.0</v>
      </c>
      <c r="J767" s="13" t="s">
        <v>160</v>
      </c>
      <c r="K767" s="13">
        <f t="shared" si="3"/>
        <v>0</v>
      </c>
      <c r="L767" s="13">
        <f t="shared" si="4"/>
        <v>1</v>
      </c>
      <c r="M767" s="13">
        <f t="shared" ref="M767:AA767" si="1533">IFERROR(VALUE(RIGHT(LEFT($J767,FIND(M$1,$J767,1)+LEN(M$1)),1)),0)</f>
        <v>0</v>
      </c>
      <c r="N767" s="13">
        <f t="shared" si="1533"/>
        <v>0</v>
      </c>
      <c r="O767" s="13">
        <f t="shared" si="1533"/>
        <v>0</v>
      </c>
      <c r="P767" s="13">
        <f t="shared" si="1533"/>
        <v>0</v>
      </c>
      <c r="Q767" s="13">
        <f t="shared" si="1533"/>
        <v>0</v>
      </c>
      <c r="R767" s="13">
        <f t="shared" si="1533"/>
        <v>0</v>
      </c>
      <c r="S767" s="13">
        <f t="shared" si="1533"/>
        <v>0</v>
      </c>
      <c r="T767" s="13">
        <f t="shared" si="1533"/>
        <v>0</v>
      </c>
      <c r="U767" s="13">
        <f t="shared" si="1533"/>
        <v>0</v>
      </c>
      <c r="V767" s="13">
        <f t="shared" si="1533"/>
        <v>0</v>
      </c>
      <c r="W767" s="13">
        <f t="shared" si="1533"/>
        <v>0</v>
      </c>
      <c r="X767" s="13">
        <f t="shared" si="1533"/>
        <v>0</v>
      </c>
      <c r="Y767" s="13">
        <f t="shared" si="1533"/>
        <v>0</v>
      </c>
      <c r="Z767" s="13">
        <f t="shared" si="1533"/>
        <v>0</v>
      </c>
      <c r="AA767" s="13">
        <f t="shared" si="1533"/>
        <v>0</v>
      </c>
      <c r="AB767" s="13">
        <f t="shared" ref="AB767:AP767" si="1534">IFERROR(VALUE(RIGHT(LEFT($J767,FIND(AB$1,$J767,IF(M767=0,1,FIND(AB$1,$J767,1)+1))+LEN(AB$1)),1)),0)</f>
        <v>0</v>
      </c>
      <c r="AC767" s="13">
        <f t="shared" si="1534"/>
        <v>0</v>
      </c>
      <c r="AD767" s="13">
        <f t="shared" si="1534"/>
        <v>0</v>
      </c>
      <c r="AE767" s="13">
        <f t="shared" si="1534"/>
        <v>0</v>
      </c>
      <c r="AF767" s="13">
        <f t="shared" si="1534"/>
        <v>0</v>
      </c>
      <c r="AG767" s="13">
        <f t="shared" si="1534"/>
        <v>0</v>
      </c>
      <c r="AH767" s="13">
        <f t="shared" si="1534"/>
        <v>0</v>
      </c>
      <c r="AI767" s="13">
        <f t="shared" si="1534"/>
        <v>0</v>
      </c>
      <c r="AJ767" s="13">
        <f t="shared" si="1534"/>
        <v>0</v>
      </c>
      <c r="AK767" s="13">
        <f t="shared" si="1534"/>
        <v>0</v>
      </c>
      <c r="AL767" s="13">
        <f t="shared" si="1534"/>
        <v>1</v>
      </c>
      <c r="AM767" s="13">
        <f t="shared" si="1534"/>
        <v>0</v>
      </c>
      <c r="AN767" s="13">
        <f t="shared" si="1534"/>
        <v>0</v>
      </c>
      <c r="AO767" s="13">
        <f t="shared" si="1534"/>
        <v>0</v>
      </c>
      <c r="AP767" s="13">
        <f t="shared" si="1534"/>
        <v>0</v>
      </c>
      <c r="AQ767" s="13"/>
      <c r="AR767" s="13" t="s">
        <v>1180</v>
      </c>
      <c r="AS767" s="13" t="s">
        <v>4780</v>
      </c>
      <c r="AT767" s="13" t="s">
        <v>142</v>
      </c>
      <c r="AU767" s="13" t="s">
        <v>269</v>
      </c>
      <c r="AV767" s="13" t="s">
        <v>4781</v>
      </c>
      <c r="AW767" s="13">
        <v>4.0</v>
      </c>
      <c r="AX767" s="13">
        <v>13.0</v>
      </c>
      <c r="AY767" s="13">
        <v>0.0</v>
      </c>
      <c r="AZ767" s="13" t="s">
        <v>165</v>
      </c>
      <c r="BA767" s="13" t="s">
        <v>281</v>
      </c>
      <c r="BB767" s="13"/>
      <c r="BC767" s="13"/>
      <c r="BD767" s="13" t="s">
        <v>167</v>
      </c>
      <c r="BE767" s="13"/>
      <c r="BF767" s="13" t="s">
        <v>811</v>
      </c>
      <c r="BG767" s="13" t="s">
        <v>169</v>
      </c>
      <c r="BH767" s="13" t="s">
        <v>79</v>
      </c>
      <c r="BI767" s="13" t="b">
        <v>0</v>
      </c>
      <c r="BJ767" s="13">
        <v>0.0</v>
      </c>
      <c r="BK767" s="13">
        <v>0.0</v>
      </c>
    </row>
    <row r="768" ht="14.25" customHeight="1">
      <c r="A768" s="13">
        <v>766.0</v>
      </c>
      <c r="B768" s="13" t="s">
        <v>51</v>
      </c>
      <c r="C768" s="13">
        <v>0.0</v>
      </c>
      <c r="D768" s="14">
        <v>0.0</v>
      </c>
      <c r="E768" s="13" t="s">
        <v>4782</v>
      </c>
      <c r="F768" s="15" t="s">
        <v>465</v>
      </c>
      <c r="G768" s="16" t="s">
        <v>4783</v>
      </c>
      <c r="H768" s="13">
        <v>8.0</v>
      </c>
      <c r="I768" s="13">
        <v>1.1</v>
      </c>
      <c r="J768" s="13" t="s">
        <v>255</v>
      </c>
      <c r="K768" s="13">
        <f t="shared" si="3"/>
        <v>0</v>
      </c>
      <c r="L768" s="13">
        <f t="shared" si="4"/>
        <v>1</v>
      </c>
      <c r="M768" s="13">
        <f t="shared" ref="M768:AA768" si="1535">IFERROR(VALUE(RIGHT(LEFT($J768,FIND(M$1,$J768,1)+LEN(M$1)),1)),0)</f>
        <v>0</v>
      </c>
      <c r="N768" s="13">
        <f t="shared" si="1535"/>
        <v>0</v>
      </c>
      <c r="O768" s="13">
        <f t="shared" si="1535"/>
        <v>0</v>
      </c>
      <c r="P768" s="13">
        <f t="shared" si="1535"/>
        <v>0</v>
      </c>
      <c r="Q768" s="13">
        <f t="shared" si="1535"/>
        <v>0</v>
      </c>
      <c r="R768" s="13">
        <f t="shared" si="1535"/>
        <v>0</v>
      </c>
      <c r="S768" s="13">
        <f t="shared" si="1535"/>
        <v>0</v>
      </c>
      <c r="T768" s="13">
        <f t="shared" si="1535"/>
        <v>0</v>
      </c>
      <c r="U768" s="13">
        <f t="shared" si="1535"/>
        <v>0</v>
      </c>
      <c r="V768" s="13">
        <f t="shared" si="1535"/>
        <v>0</v>
      </c>
      <c r="W768" s="13">
        <f t="shared" si="1535"/>
        <v>0</v>
      </c>
      <c r="X768" s="13">
        <f t="shared" si="1535"/>
        <v>0</v>
      </c>
      <c r="Y768" s="13">
        <f t="shared" si="1535"/>
        <v>0</v>
      </c>
      <c r="Z768" s="13">
        <f t="shared" si="1535"/>
        <v>0</v>
      </c>
      <c r="AA768" s="13">
        <f t="shared" si="1535"/>
        <v>0</v>
      </c>
      <c r="AB768" s="13">
        <f t="shared" ref="AB768:AP768" si="1536">IFERROR(VALUE(RIGHT(LEFT($J768,FIND(AB$1,$J768,IF(M768=0,1,FIND(AB$1,$J768,1)+1))+LEN(AB$1)),1)),0)</f>
        <v>0</v>
      </c>
      <c r="AC768" s="13">
        <f t="shared" si="1536"/>
        <v>0</v>
      </c>
      <c r="AD768" s="13">
        <f t="shared" si="1536"/>
        <v>0</v>
      </c>
      <c r="AE768" s="13">
        <f t="shared" si="1536"/>
        <v>0</v>
      </c>
      <c r="AF768" s="13">
        <f t="shared" si="1536"/>
        <v>0</v>
      </c>
      <c r="AG768" s="13">
        <f t="shared" si="1536"/>
        <v>0</v>
      </c>
      <c r="AH768" s="13">
        <f t="shared" si="1536"/>
        <v>0</v>
      </c>
      <c r="AI768" s="13">
        <f t="shared" si="1536"/>
        <v>0</v>
      </c>
      <c r="AJ768" s="13">
        <f t="shared" si="1536"/>
        <v>0</v>
      </c>
      <c r="AK768" s="13">
        <f t="shared" si="1536"/>
        <v>0</v>
      </c>
      <c r="AL768" s="13">
        <f t="shared" si="1536"/>
        <v>0</v>
      </c>
      <c r="AM768" s="13">
        <f t="shared" si="1536"/>
        <v>0</v>
      </c>
      <c r="AN768" s="13">
        <f t="shared" si="1536"/>
        <v>0</v>
      </c>
      <c r="AO768" s="13">
        <f t="shared" si="1536"/>
        <v>1</v>
      </c>
      <c r="AP768" s="13">
        <f t="shared" si="1536"/>
        <v>0</v>
      </c>
      <c r="AQ768" s="13"/>
      <c r="AR768" s="13" t="s">
        <v>775</v>
      </c>
      <c r="AS768" s="13" t="s">
        <v>268</v>
      </c>
      <c r="AT768" s="13" t="s">
        <v>1263</v>
      </c>
      <c r="AU768" s="13" t="s">
        <v>143</v>
      </c>
      <c r="AV768" s="13" t="s">
        <v>4236</v>
      </c>
      <c r="AW768" s="13">
        <v>3.0</v>
      </c>
      <c r="AX768" s="13">
        <v>13.0</v>
      </c>
      <c r="AY768" s="13">
        <v>0.0</v>
      </c>
      <c r="AZ768" s="13" t="s">
        <v>3650</v>
      </c>
      <c r="BA768" s="13" t="s">
        <v>3650</v>
      </c>
      <c r="BB768" s="13"/>
      <c r="BC768" s="13"/>
      <c r="BD768" s="13" t="s">
        <v>831</v>
      </c>
      <c r="BE768" s="13"/>
      <c r="BF768" s="13" t="s">
        <v>4784</v>
      </c>
      <c r="BG768" s="13" t="s">
        <v>833</v>
      </c>
      <c r="BH768" s="13" t="s">
        <v>241</v>
      </c>
      <c r="BI768" s="13" t="b">
        <v>0</v>
      </c>
      <c r="BJ768" s="13">
        <v>0.0</v>
      </c>
      <c r="BK768" s="13">
        <v>0.0</v>
      </c>
    </row>
    <row r="769" ht="14.25" customHeight="1">
      <c r="A769" s="13">
        <v>767.0</v>
      </c>
      <c r="B769" s="13" t="s">
        <v>44</v>
      </c>
      <c r="C769" s="13">
        <v>1.0</v>
      </c>
      <c r="D769" s="14">
        <v>0.0</v>
      </c>
      <c r="E769" s="13" t="s">
        <v>4785</v>
      </c>
      <c r="F769" s="15" t="s">
        <v>465</v>
      </c>
      <c r="G769" s="16" t="s">
        <v>4786</v>
      </c>
      <c r="H769" s="13"/>
      <c r="I769" s="13">
        <v>1.0</v>
      </c>
      <c r="J769" s="13" t="s">
        <v>77</v>
      </c>
      <c r="K769" s="13">
        <f t="shared" si="3"/>
        <v>0</v>
      </c>
      <c r="L769" s="13">
        <f t="shared" si="4"/>
        <v>2</v>
      </c>
      <c r="M769" s="13">
        <f t="shared" ref="M769:AA769" si="1537">IFERROR(VALUE(RIGHT(LEFT($J769,FIND(M$1,$J769,1)+LEN(M$1)),1)),0)</f>
        <v>0</v>
      </c>
      <c r="N769" s="13">
        <f t="shared" si="1537"/>
        <v>0</v>
      </c>
      <c r="O769" s="13">
        <f t="shared" si="1537"/>
        <v>0</v>
      </c>
      <c r="P769" s="13">
        <f t="shared" si="1537"/>
        <v>0</v>
      </c>
      <c r="Q769" s="13">
        <f t="shared" si="1537"/>
        <v>0</v>
      </c>
      <c r="R769" s="13">
        <f t="shared" si="1537"/>
        <v>0</v>
      </c>
      <c r="S769" s="13">
        <f t="shared" si="1537"/>
        <v>0</v>
      </c>
      <c r="T769" s="13">
        <f t="shared" si="1537"/>
        <v>0</v>
      </c>
      <c r="U769" s="13">
        <f t="shared" si="1537"/>
        <v>0</v>
      </c>
      <c r="V769" s="13">
        <f t="shared" si="1537"/>
        <v>0</v>
      </c>
      <c r="W769" s="13">
        <f t="shared" si="1537"/>
        <v>0</v>
      </c>
      <c r="X769" s="13">
        <f t="shared" si="1537"/>
        <v>0</v>
      </c>
      <c r="Y769" s="13">
        <f t="shared" si="1537"/>
        <v>0</v>
      </c>
      <c r="Z769" s="13">
        <f t="shared" si="1537"/>
        <v>0</v>
      </c>
      <c r="AA769" s="13">
        <f t="shared" si="1537"/>
        <v>0</v>
      </c>
      <c r="AB769" s="13">
        <f t="shared" ref="AB769:AP769" si="1538">IFERROR(VALUE(RIGHT(LEFT($J769,FIND(AB$1,$J769,IF(M769=0,1,FIND(AB$1,$J769,1)+1))+LEN(AB$1)),1)),0)</f>
        <v>0</v>
      </c>
      <c r="AC769" s="13">
        <f t="shared" si="1538"/>
        <v>0</v>
      </c>
      <c r="AD769" s="13">
        <f t="shared" si="1538"/>
        <v>0</v>
      </c>
      <c r="AE769" s="13">
        <f t="shared" si="1538"/>
        <v>0</v>
      </c>
      <c r="AF769" s="13">
        <f t="shared" si="1538"/>
        <v>0</v>
      </c>
      <c r="AG769" s="13">
        <f t="shared" si="1538"/>
        <v>1</v>
      </c>
      <c r="AH769" s="13">
        <f t="shared" si="1538"/>
        <v>1</v>
      </c>
      <c r="AI769" s="13">
        <f t="shared" si="1538"/>
        <v>0</v>
      </c>
      <c r="AJ769" s="13">
        <f t="shared" si="1538"/>
        <v>0</v>
      </c>
      <c r="AK769" s="13">
        <f t="shared" si="1538"/>
        <v>0</v>
      </c>
      <c r="AL769" s="13">
        <f t="shared" si="1538"/>
        <v>0</v>
      </c>
      <c r="AM769" s="13">
        <f t="shared" si="1538"/>
        <v>0</v>
      </c>
      <c r="AN769" s="13">
        <f t="shared" si="1538"/>
        <v>0</v>
      </c>
      <c r="AO769" s="13">
        <f t="shared" si="1538"/>
        <v>0</v>
      </c>
      <c r="AP769" s="13">
        <f t="shared" si="1538"/>
        <v>0</v>
      </c>
      <c r="AQ769" s="13" t="s">
        <v>4787</v>
      </c>
      <c r="AR769" s="13"/>
      <c r="AS769" s="13" t="s">
        <v>2610</v>
      </c>
      <c r="AT769" s="13"/>
      <c r="AU769" s="13"/>
      <c r="AV769" s="13"/>
      <c r="AW769" s="13">
        <v>0.0</v>
      </c>
      <c r="AX769" s="13">
        <v>13.0</v>
      </c>
      <c r="AY769" s="13">
        <v>0.0</v>
      </c>
      <c r="AZ769" s="13"/>
      <c r="BA769" s="13"/>
      <c r="BB769" s="13"/>
      <c r="BC769" s="13"/>
      <c r="BD769" s="13"/>
      <c r="BE769" s="13"/>
      <c r="BF769" s="13"/>
      <c r="BG769" s="13"/>
      <c r="BH769" s="13" t="s">
        <v>79</v>
      </c>
      <c r="BI769" s="13" t="b">
        <v>0</v>
      </c>
      <c r="BJ769" s="13">
        <v>0.0</v>
      </c>
      <c r="BK769" s="13">
        <v>0.0</v>
      </c>
    </row>
    <row r="770" ht="14.25" customHeight="1">
      <c r="A770" s="13">
        <v>768.0</v>
      </c>
      <c r="B770" s="13" t="s">
        <v>45</v>
      </c>
      <c r="C770" s="13">
        <v>1.0</v>
      </c>
      <c r="D770" s="14">
        <v>0.0</v>
      </c>
      <c r="E770" s="13" t="s">
        <v>4788</v>
      </c>
      <c r="F770" s="15" t="s">
        <v>465</v>
      </c>
      <c r="G770" s="16" t="s">
        <v>4789</v>
      </c>
      <c r="H770" s="13"/>
      <c r="I770" s="13">
        <v>0.9</v>
      </c>
      <c r="J770" s="13" t="s">
        <v>374</v>
      </c>
      <c r="K770" s="13">
        <f t="shared" si="3"/>
        <v>0</v>
      </c>
      <c r="L770" s="13">
        <f t="shared" si="4"/>
        <v>2</v>
      </c>
      <c r="M770" s="13">
        <f t="shared" ref="M770:AA770" si="1539">IFERROR(VALUE(RIGHT(LEFT($J770,FIND(M$1,$J770,1)+LEN(M$1)),1)),0)</f>
        <v>0</v>
      </c>
      <c r="N770" s="13">
        <f t="shared" si="1539"/>
        <v>0</v>
      </c>
      <c r="O770" s="13">
        <f t="shared" si="1539"/>
        <v>0</v>
      </c>
      <c r="P770" s="13">
        <f t="shared" si="1539"/>
        <v>0</v>
      </c>
      <c r="Q770" s="13">
        <f t="shared" si="1539"/>
        <v>0</v>
      </c>
      <c r="R770" s="13">
        <f t="shared" si="1539"/>
        <v>0</v>
      </c>
      <c r="S770" s="13">
        <f t="shared" si="1539"/>
        <v>0</v>
      </c>
      <c r="T770" s="13">
        <f t="shared" si="1539"/>
        <v>0</v>
      </c>
      <c r="U770" s="13">
        <f t="shared" si="1539"/>
        <v>0</v>
      </c>
      <c r="V770" s="13">
        <f t="shared" si="1539"/>
        <v>0</v>
      </c>
      <c r="W770" s="13">
        <f t="shared" si="1539"/>
        <v>0</v>
      </c>
      <c r="X770" s="13">
        <f t="shared" si="1539"/>
        <v>0</v>
      </c>
      <c r="Y770" s="13">
        <f t="shared" si="1539"/>
        <v>0</v>
      </c>
      <c r="Z770" s="13">
        <f t="shared" si="1539"/>
        <v>0</v>
      </c>
      <c r="AA770" s="13">
        <f t="shared" si="1539"/>
        <v>0</v>
      </c>
      <c r="AB770" s="13">
        <f t="shared" ref="AB770:AP770" si="1540">IFERROR(VALUE(RIGHT(LEFT($J770,FIND(AB$1,$J770,IF(M770=0,1,FIND(AB$1,$J770,1)+1))+LEN(AB$1)),1)),0)</f>
        <v>0</v>
      </c>
      <c r="AC770" s="13">
        <f t="shared" si="1540"/>
        <v>1</v>
      </c>
      <c r="AD770" s="13">
        <f t="shared" si="1540"/>
        <v>0</v>
      </c>
      <c r="AE770" s="13">
        <f t="shared" si="1540"/>
        <v>0</v>
      </c>
      <c r="AF770" s="13">
        <f t="shared" si="1540"/>
        <v>0</v>
      </c>
      <c r="AG770" s="13">
        <f t="shared" si="1540"/>
        <v>0</v>
      </c>
      <c r="AH770" s="13">
        <f t="shared" si="1540"/>
        <v>0</v>
      </c>
      <c r="AI770" s="13">
        <f t="shared" si="1540"/>
        <v>1</v>
      </c>
      <c r="AJ770" s="13">
        <f t="shared" si="1540"/>
        <v>0</v>
      </c>
      <c r="AK770" s="13">
        <f t="shared" si="1540"/>
        <v>0</v>
      </c>
      <c r="AL770" s="13">
        <f t="shared" si="1540"/>
        <v>0</v>
      </c>
      <c r="AM770" s="13">
        <f t="shared" si="1540"/>
        <v>0</v>
      </c>
      <c r="AN770" s="13">
        <f t="shared" si="1540"/>
        <v>0</v>
      </c>
      <c r="AO770" s="13">
        <f t="shared" si="1540"/>
        <v>0</v>
      </c>
      <c r="AP770" s="13">
        <f t="shared" si="1540"/>
        <v>0</v>
      </c>
      <c r="AQ770" s="13" t="s">
        <v>4790</v>
      </c>
      <c r="AR770" s="13"/>
      <c r="AS770" s="13" t="s">
        <v>3974</v>
      </c>
      <c r="AT770" s="13"/>
      <c r="AU770" s="13"/>
      <c r="AV770" s="13"/>
      <c r="AW770" s="13">
        <v>0.0</v>
      </c>
      <c r="AX770" s="13">
        <v>13.0</v>
      </c>
      <c r="AY770" s="13">
        <v>0.0</v>
      </c>
      <c r="AZ770" s="13"/>
      <c r="BA770" s="13"/>
      <c r="BB770" s="13"/>
      <c r="BC770" s="13"/>
      <c r="BD770" s="13"/>
      <c r="BE770" s="13"/>
      <c r="BF770" s="13"/>
      <c r="BG770" s="13"/>
      <c r="BH770" s="13" t="s">
        <v>79</v>
      </c>
      <c r="BI770" s="13" t="b">
        <v>0</v>
      </c>
      <c r="BJ770" s="13">
        <v>0.0</v>
      </c>
      <c r="BK770" s="13">
        <v>0.0</v>
      </c>
    </row>
    <row r="771" ht="14.25" customHeight="1">
      <c r="A771" s="13">
        <v>769.0</v>
      </c>
      <c r="B771" s="13" t="s">
        <v>46</v>
      </c>
      <c r="C771" s="13">
        <v>1.0</v>
      </c>
      <c r="D771" s="14">
        <v>0.0</v>
      </c>
      <c r="E771" s="13" t="s">
        <v>4791</v>
      </c>
      <c r="F771" s="15" t="s">
        <v>465</v>
      </c>
      <c r="G771" s="16" t="s">
        <v>4792</v>
      </c>
      <c r="H771" s="13"/>
      <c r="I771" s="13">
        <v>0.9</v>
      </c>
      <c r="J771" s="13" t="s">
        <v>4793</v>
      </c>
      <c r="K771" s="13">
        <f t="shared" si="3"/>
        <v>0</v>
      </c>
      <c r="L771" s="13">
        <f t="shared" si="4"/>
        <v>2</v>
      </c>
      <c r="M771" s="13">
        <f t="shared" ref="M771:AA771" si="1541">IFERROR(VALUE(RIGHT(LEFT($J771,FIND(M$1,$J771,1)+LEN(M$1)),1)),0)</f>
        <v>0</v>
      </c>
      <c r="N771" s="13">
        <f t="shared" si="1541"/>
        <v>0</v>
      </c>
      <c r="O771" s="13">
        <f t="shared" si="1541"/>
        <v>0</v>
      </c>
      <c r="P771" s="13">
        <f t="shared" si="1541"/>
        <v>0</v>
      </c>
      <c r="Q771" s="13">
        <f t="shared" si="1541"/>
        <v>0</v>
      </c>
      <c r="R771" s="13">
        <f t="shared" si="1541"/>
        <v>0</v>
      </c>
      <c r="S771" s="13">
        <f t="shared" si="1541"/>
        <v>0</v>
      </c>
      <c r="T771" s="13">
        <f t="shared" si="1541"/>
        <v>0</v>
      </c>
      <c r="U771" s="13">
        <f t="shared" si="1541"/>
        <v>0</v>
      </c>
      <c r="V771" s="13">
        <f t="shared" si="1541"/>
        <v>0</v>
      </c>
      <c r="W771" s="13">
        <f t="shared" si="1541"/>
        <v>0</v>
      </c>
      <c r="X771" s="13">
        <f t="shared" si="1541"/>
        <v>0</v>
      </c>
      <c r="Y771" s="13">
        <f t="shared" si="1541"/>
        <v>0</v>
      </c>
      <c r="Z771" s="13">
        <f t="shared" si="1541"/>
        <v>0</v>
      </c>
      <c r="AA771" s="13">
        <f t="shared" si="1541"/>
        <v>0</v>
      </c>
      <c r="AB771" s="13">
        <f t="shared" ref="AB771:AP771" si="1542">IFERROR(VALUE(RIGHT(LEFT($J771,FIND(AB$1,$J771,IF(M771=0,1,FIND(AB$1,$J771,1)+1))+LEN(AB$1)),1)),0)</f>
        <v>0</v>
      </c>
      <c r="AC771" s="13">
        <f t="shared" si="1542"/>
        <v>0</v>
      </c>
      <c r="AD771" s="13">
        <f t="shared" si="1542"/>
        <v>0</v>
      </c>
      <c r="AE771" s="13">
        <f t="shared" si="1542"/>
        <v>1</v>
      </c>
      <c r="AF771" s="13">
        <f t="shared" si="1542"/>
        <v>0</v>
      </c>
      <c r="AG771" s="13">
        <f t="shared" si="1542"/>
        <v>1</v>
      </c>
      <c r="AH771" s="13">
        <f t="shared" si="1542"/>
        <v>0</v>
      </c>
      <c r="AI771" s="13">
        <f t="shared" si="1542"/>
        <v>0</v>
      </c>
      <c r="AJ771" s="13">
        <f t="shared" si="1542"/>
        <v>0</v>
      </c>
      <c r="AK771" s="13">
        <f t="shared" si="1542"/>
        <v>0</v>
      </c>
      <c r="AL771" s="13">
        <f t="shared" si="1542"/>
        <v>0</v>
      </c>
      <c r="AM771" s="13">
        <f t="shared" si="1542"/>
        <v>0</v>
      </c>
      <c r="AN771" s="13">
        <f t="shared" si="1542"/>
        <v>0</v>
      </c>
      <c r="AO771" s="13">
        <f t="shared" si="1542"/>
        <v>0</v>
      </c>
      <c r="AP771" s="13">
        <f t="shared" si="1542"/>
        <v>0</v>
      </c>
      <c r="AQ771" s="13" t="s">
        <v>4794</v>
      </c>
      <c r="AR771" s="13"/>
      <c r="AS771" s="13" t="s">
        <v>4795</v>
      </c>
      <c r="AT771" s="13"/>
      <c r="AU771" s="13"/>
      <c r="AV771" s="13"/>
      <c r="AW771" s="13">
        <v>0.0</v>
      </c>
      <c r="AX771" s="13">
        <v>13.0</v>
      </c>
      <c r="AY771" s="13">
        <v>0.0</v>
      </c>
      <c r="AZ771" s="13"/>
      <c r="BA771" s="13"/>
      <c r="BB771" s="13"/>
      <c r="BC771" s="13"/>
      <c r="BD771" s="13"/>
      <c r="BE771" s="13"/>
      <c r="BF771" s="13"/>
      <c r="BG771" s="13"/>
      <c r="BH771" s="13" t="s">
        <v>79</v>
      </c>
      <c r="BI771" s="13" t="b">
        <v>0</v>
      </c>
      <c r="BJ771" s="13">
        <v>0.0</v>
      </c>
      <c r="BK771" s="13">
        <v>0.0</v>
      </c>
    </row>
    <row r="772" ht="14.25" customHeight="1">
      <c r="A772" s="13">
        <v>770.0</v>
      </c>
      <c r="B772" s="13" t="s">
        <v>48</v>
      </c>
      <c r="C772" s="13">
        <v>1.0</v>
      </c>
      <c r="D772" s="14">
        <v>0.0</v>
      </c>
      <c r="E772" s="13" t="s">
        <v>4796</v>
      </c>
      <c r="F772" s="15" t="s">
        <v>465</v>
      </c>
      <c r="G772" s="16" t="s">
        <v>4797</v>
      </c>
      <c r="H772" s="13">
        <v>12.0</v>
      </c>
      <c r="I772" s="13">
        <v>1.1</v>
      </c>
      <c r="J772" s="13" t="s">
        <v>570</v>
      </c>
      <c r="K772" s="13">
        <f t="shared" si="3"/>
        <v>0</v>
      </c>
      <c r="L772" s="13">
        <f t="shared" si="4"/>
        <v>2</v>
      </c>
      <c r="M772" s="13">
        <f t="shared" ref="M772:AA772" si="1543">IFERROR(VALUE(RIGHT(LEFT($J772,FIND(M$1,$J772,1)+LEN(M$1)),1)),0)</f>
        <v>0</v>
      </c>
      <c r="N772" s="13">
        <f t="shared" si="1543"/>
        <v>0</v>
      </c>
      <c r="O772" s="13">
        <f t="shared" si="1543"/>
        <v>0</v>
      </c>
      <c r="P772" s="13">
        <f t="shared" si="1543"/>
        <v>0</v>
      </c>
      <c r="Q772" s="13">
        <f t="shared" si="1543"/>
        <v>0</v>
      </c>
      <c r="R772" s="13">
        <f t="shared" si="1543"/>
        <v>0</v>
      </c>
      <c r="S772" s="13">
        <f t="shared" si="1543"/>
        <v>0</v>
      </c>
      <c r="T772" s="13">
        <f t="shared" si="1543"/>
        <v>0</v>
      </c>
      <c r="U772" s="13">
        <f t="shared" si="1543"/>
        <v>0</v>
      </c>
      <c r="V772" s="13">
        <f t="shared" si="1543"/>
        <v>0</v>
      </c>
      <c r="W772" s="13">
        <f t="shared" si="1543"/>
        <v>0</v>
      </c>
      <c r="X772" s="13">
        <f t="shared" si="1543"/>
        <v>0</v>
      </c>
      <c r="Y772" s="13">
        <f t="shared" si="1543"/>
        <v>0</v>
      </c>
      <c r="Z772" s="13">
        <f t="shared" si="1543"/>
        <v>0</v>
      </c>
      <c r="AA772" s="13">
        <f t="shared" si="1543"/>
        <v>0</v>
      </c>
      <c r="AB772" s="13">
        <f t="shared" ref="AB772:AP772" si="1544">IFERROR(VALUE(RIGHT(LEFT($J772,FIND(AB$1,$J772,IF(M772=0,1,FIND(AB$1,$J772,1)+1))+LEN(AB$1)),1)),0)</f>
        <v>0</v>
      </c>
      <c r="AC772" s="13">
        <f t="shared" si="1544"/>
        <v>0</v>
      </c>
      <c r="AD772" s="13">
        <f t="shared" si="1544"/>
        <v>0</v>
      </c>
      <c r="AE772" s="13">
        <f t="shared" si="1544"/>
        <v>0</v>
      </c>
      <c r="AF772" s="13">
        <f t="shared" si="1544"/>
        <v>0</v>
      </c>
      <c r="AG772" s="13">
        <f t="shared" si="1544"/>
        <v>1</v>
      </c>
      <c r="AH772" s="13">
        <f t="shared" si="1544"/>
        <v>0</v>
      </c>
      <c r="AI772" s="13">
        <f t="shared" si="1544"/>
        <v>0</v>
      </c>
      <c r="AJ772" s="13">
        <f t="shared" si="1544"/>
        <v>0</v>
      </c>
      <c r="AK772" s="13">
        <f t="shared" si="1544"/>
        <v>0</v>
      </c>
      <c r="AL772" s="13">
        <f t="shared" si="1544"/>
        <v>1</v>
      </c>
      <c r="AM772" s="13">
        <f t="shared" si="1544"/>
        <v>0</v>
      </c>
      <c r="AN772" s="13">
        <f t="shared" si="1544"/>
        <v>0</v>
      </c>
      <c r="AO772" s="13">
        <f t="shared" si="1544"/>
        <v>0</v>
      </c>
      <c r="AP772" s="13">
        <f t="shared" si="1544"/>
        <v>0</v>
      </c>
      <c r="AQ772" s="13"/>
      <c r="AR772" s="13" t="s">
        <v>3215</v>
      </c>
      <c r="AS772" s="13" t="s">
        <v>4798</v>
      </c>
      <c r="AT772" s="13" t="s">
        <v>142</v>
      </c>
      <c r="AU772" s="13" t="s">
        <v>143</v>
      </c>
      <c r="AV772" s="13" t="s">
        <v>4488</v>
      </c>
      <c r="AW772" s="13">
        <v>10.0</v>
      </c>
      <c r="AX772" s="13">
        <v>13.0</v>
      </c>
      <c r="AY772" s="13">
        <v>0.0</v>
      </c>
      <c r="AZ772" s="13" t="s">
        <v>566</v>
      </c>
      <c r="BA772" s="13" t="s">
        <v>281</v>
      </c>
      <c r="BB772" s="13"/>
      <c r="BC772" s="13"/>
      <c r="BD772" s="13" t="s">
        <v>179</v>
      </c>
      <c r="BE772" s="13"/>
      <c r="BF772" s="13" t="s">
        <v>4799</v>
      </c>
      <c r="BG772" s="13" t="s">
        <v>169</v>
      </c>
      <c r="BH772" s="13" t="s">
        <v>79</v>
      </c>
      <c r="BI772" s="13" t="b">
        <v>0</v>
      </c>
      <c r="BJ772" s="13">
        <v>0.0</v>
      </c>
      <c r="BK772" s="13">
        <v>0.0</v>
      </c>
    </row>
    <row r="773" ht="14.25" customHeight="1">
      <c r="A773" s="13">
        <v>771.0</v>
      </c>
      <c r="B773" s="13" t="s">
        <v>48</v>
      </c>
      <c r="C773" s="13">
        <v>1.0</v>
      </c>
      <c r="D773" s="14">
        <v>0.0</v>
      </c>
      <c r="E773" s="13" t="s">
        <v>4800</v>
      </c>
      <c r="F773" s="15" t="s">
        <v>465</v>
      </c>
      <c r="G773" s="16" t="s">
        <v>4801</v>
      </c>
      <c r="H773" s="13">
        <v>11.0</v>
      </c>
      <c r="I773" s="13">
        <v>1.0</v>
      </c>
      <c r="J773" s="13" t="s">
        <v>591</v>
      </c>
      <c r="K773" s="13">
        <f t="shared" si="3"/>
        <v>0</v>
      </c>
      <c r="L773" s="13">
        <f t="shared" si="4"/>
        <v>2</v>
      </c>
      <c r="M773" s="13">
        <f t="shared" ref="M773:AA773" si="1545">IFERROR(VALUE(RIGHT(LEFT($J773,FIND(M$1,$J773,1)+LEN(M$1)),1)),0)</f>
        <v>0</v>
      </c>
      <c r="N773" s="13">
        <f t="shared" si="1545"/>
        <v>0</v>
      </c>
      <c r="O773" s="13">
        <f t="shared" si="1545"/>
        <v>0</v>
      </c>
      <c r="P773" s="13">
        <f t="shared" si="1545"/>
        <v>0</v>
      </c>
      <c r="Q773" s="13">
        <f t="shared" si="1545"/>
        <v>0</v>
      </c>
      <c r="R773" s="13">
        <f t="shared" si="1545"/>
        <v>0</v>
      </c>
      <c r="S773" s="13">
        <f t="shared" si="1545"/>
        <v>0</v>
      </c>
      <c r="T773" s="13">
        <f t="shared" si="1545"/>
        <v>0</v>
      </c>
      <c r="U773" s="13">
        <f t="shared" si="1545"/>
        <v>0</v>
      </c>
      <c r="V773" s="13">
        <f t="shared" si="1545"/>
        <v>0</v>
      </c>
      <c r="W773" s="13">
        <f t="shared" si="1545"/>
        <v>0</v>
      </c>
      <c r="X773" s="13">
        <f t="shared" si="1545"/>
        <v>0</v>
      </c>
      <c r="Y773" s="13">
        <f t="shared" si="1545"/>
        <v>0</v>
      </c>
      <c r="Z773" s="13">
        <f t="shared" si="1545"/>
        <v>0</v>
      </c>
      <c r="AA773" s="13">
        <f t="shared" si="1545"/>
        <v>0</v>
      </c>
      <c r="AB773" s="13">
        <f t="shared" ref="AB773:AP773" si="1546">IFERROR(VALUE(RIGHT(LEFT($J773,FIND(AB$1,$J773,IF(M773=0,1,FIND(AB$1,$J773,1)+1))+LEN(AB$1)),1)),0)</f>
        <v>0</v>
      </c>
      <c r="AC773" s="13">
        <f t="shared" si="1546"/>
        <v>1</v>
      </c>
      <c r="AD773" s="13">
        <f t="shared" si="1546"/>
        <v>0</v>
      </c>
      <c r="AE773" s="13">
        <f t="shared" si="1546"/>
        <v>0</v>
      </c>
      <c r="AF773" s="13">
        <f t="shared" si="1546"/>
        <v>0</v>
      </c>
      <c r="AG773" s="13">
        <f t="shared" si="1546"/>
        <v>0</v>
      </c>
      <c r="AH773" s="13">
        <f t="shared" si="1546"/>
        <v>0</v>
      </c>
      <c r="AI773" s="13">
        <f t="shared" si="1546"/>
        <v>0</v>
      </c>
      <c r="AJ773" s="13">
        <f t="shared" si="1546"/>
        <v>0</v>
      </c>
      <c r="AK773" s="13">
        <f t="shared" si="1546"/>
        <v>0</v>
      </c>
      <c r="AL773" s="13">
        <f t="shared" si="1546"/>
        <v>1</v>
      </c>
      <c r="AM773" s="13">
        <f t="shared" si="1546"/>
        <v>0</v>
      </c>
      <c r="AN773" s="13">
        <f t="shared" si="1546"/>
        <v>0</v>
      </c>
      <c r="AO773" s="13">
        <f t="shared" si="1546"/>
        <v>0</v>
      </c>
      <c r="AP773" s="13">
        <f t="shared" si="1546"/>
        <v>0</v>
      </c>
      <c r="AQ773" s="13"/>
      <c r="AR773" s="13" t="s">
        <v>4802</v>
      </c>
      <c r="AS773" s="13" t="s">
        <v>4019</v>
      </c>
      <c r="AT773" s="13" t="s">
        <v>162</v>
      </c>
      <c r="AU773" s="13" t="s">
        <v>236</v>
      </c>
      <c r="AV773" s="13" t="s">
        <v>4803</v>
      </c>
      <c r="AW773" s="13">
        <v>9.0</v>
      </c>
      <c r="AX773" s="13">
        <v>13.0</v>
      </c>
      <c r="AY773" s="13">
        <v>0.0</v>
      </c>
      <c r="AZ773" s="13" t="s">
        <v>482</v>
      </c>
      <c r="BA773" s="13" t="s">
        <v>548</v>
      </c>
      <c r="BB773" s="13"/>
      <c r="BC773" s="13"/>
      <c r="BD773" s="13" t="s">
        <v>167</v>
      </c>
      <c r="BE773" s="13"/>
      <c r="BF773" s="13" t="s">
        <v>4804</v>
      </c>
      <c r="BG773" s="13" t="s">
        <v>169</v>
      </c>
      <c r="BH773" s="13" t="s">
        <v>79</v>
      </c>
      <c r="BI773" s="13" t="b">
        <v>0</v>
      </c>
      <c r="BJ773" s="13">
        <v>0.0</v>
      </c>
      <c r="BK773" s="13">
        <v>0.0</v>
      </c>
    </row>
    <row r="774" ht="14.25" customHeight="1">
      <c r="A774" s="13">
        <v>772.0</v>
      </c>
      <c r="B774" s="13" t="s">
        <v>51</v>
      </c>
      <c r="C774" s="13">
        <v>1.0</v>
      </c>
      <c r="D774" s="14">
        <v>0.0</v>
      </c>
      <c r="E774" s="13" t="s">
        <v>4805</v>
      </c>
      <c r="F774" s="15" t="s">
        <v>465</v>
      </c>
      <c r="G774" s="16" t="s">
        <v>4806</v>
      </c>
      <c r="H774" s="13">
        <v>10.0</v>
      </c>
      <c r="I774" s="13">
        <v>0.9</v>
      </c>
      <c r="J774" s="13" t="s">
        <v>787</v>
      </c>
      <c r="K774" s="13">
        <f t="shared" si="3"/>
        <v>0</v>
      </c>
      <c r="L774" s="13">
        <f t="shared" si="4"/>
        <v>2</v>
      </c>
      <c r="M774" s="13">
        <f t="shared" ref="M774:AA774" si="1547">IFERROR(VALUE(RIGHT(LEFT($J774,FIND(M$1,$J774,1)+LEN(M$1)),1)),0)</f>
        <v>0</v>
      </c>
      <c r="N774" s="13">
        <f t="shared" si="1547"/>
        <v>0</v>
      </c>
      <c r="O774" s="13">
        <f t="shared" si="1547"/>
        <v>0</v>
      </c>
      <c r="P774" s="13">
        <f t="shared" si="1547"/>
        <v>0</v>
      </c>
      <c r="Q774" s="13">
        <f t="shared" si="1547"/>
        <v>0</v>
      </c>
      <c r="R774" s="13">
        <f t="shared" si="1547"/>
        <v>0</v>
      </c>
      <c r="S774" s="13">
        <f t="shared" si="1547"/>
        <v>0</v>
      </c>
      <c r="T774" s="13">
        <f t="shared" si="1547"/>
        <v>0</v>
      </c>
      <c r="U774" s="13">
        <f t="shared" si="1547"/>
        <v>0</v>
      </c>
      <c r="V774" s="13">
        <f t="shared" si="1547"/>
        <v>0</v>
      </c>
      <c r="W774" s="13">
        <f t="shared" si="1547"/>
        <v>0</v>
      </c>
      <c r="X774" s="13">
        <f t="shared" si="1547"/>
        <v>0</v>
      </c>
      <c r="Y774" s="13">
        <f t="shared" si="1547"/>
        <v>0</v>
      </c>
      <c r="Z774" s="13">
        <f t="shared" si="1547"/>
        <v>0</v>
      </c>
      <c r="AA774" s="13">
        <f t="shared" si="1547"/>
        <v>0</v>
      </c>
      <c r="AB774" s="13">
        <f t="shared" ref="AB774:AP774" si="1548">IFERROR(VALUE(RIGHT(LEFT($J774,FIND(AB$1,$J774,IF(M774=0,1,FIND(AB$1,$J774,1)+1))+LEN(AB$1)),1)),0)</f>
        <v>0</v>
      </c>
      <c r="AC774" s="13">
        <f t="shared" si="1548"/>
        <v>0</v>
      </c>
      <c r="AD774" s="13">
        <f t="shared" si="1548"/>
        <v>1</v>
      </c>
      <c r="AE774" s="13">
        <f t="shared" si="1548"/>
        <v>0</v>
      </c>
      <c r="AF774" s="13">
        <f t="shared" si="1548"/>
        <v>0</v>
      </c>
      <c r="AG774" s="13">
        <f t="shared" si="1548"/>
        <v>0</v>
      </c>
      <c r="AH774" s="13">
        <f t="shared" si="1548"/>
        <v>0</v>
      </c>
      <c r="AI774" s="13">
        <f t="shared" si="1548"/>
        <v>0</v>
      </c>
      <c r="AJ774" s="13">
        <f t="shared" si="1548"/>
        <v>0</v>
      </c>
      <c r="AK774" s="13">
        <f t="shared" si="1548"/>
        <v>0</v>
      </c>
      <c r="AL774" s="13">
        <f t="shared" si="1548"/>
        <v>0</v>
      </c>
      <c r="AM774" s="13">
        <f t="shared" si="1548"/>
        <v>0</v>
      </c>
      <c r="AN774" s="13">
        <f t="shared" si="1548"/>
        <v>0</v>
      </c>
      <c r="AO774" s="13">
        <f t="shared" si="1548"/>
        <v>1</v>
      </c>
      <c r="AP774" s="13">
        <f t="shared" si="1548"/>
        <v>0</v>
      </c>
      <c r="AQ774" s="13"/>
      <c r="AR774" s="13" t="s">
        <v>4013</v>
      </c>
      <c r="AS774" s="13" t="s">
        <v>4807</v>
      </c>
      <c r="AT774" s="13" t="s">
        <v>162</v>
      </c>
      <c r="AU774" s="13" t="s">
        <v>195</v>
      </c>
      <c r="AV774" s="13" t="s">
        <v>4808</v>
      </c>
      <c r="AW774" s="13">
        <v>8.0</v>
      </c>
      <c r="AX774" s="13">
        <v>13.0</v>
      </c>
      <c r="AY774" s="13">
        <v>0.0</v>
      </c>
      <c r="AZ774" s="13" t="s">
        <v>228</v>
      </c>
      <c r="BA774" s="13" t="s">
        <v>259</v>
      </c>
      <c r="BB774" s="13"/>
      <c r="BC774" s="13"/>
      <c r="BD774" s="13" t="s">
        <v>831</v>
      </c>
      <c r="BE774" s="13"/>
      <c r="BF774" s="13" t="s">
        <v>4809</v>
      </c>
      <c r="BG774" s="13" t="s">
        <v>833</v>
      </c>
      <c r="BH774" s="13" t="s">
        <v>241</v>
      </c>
      <c r="BI774" s="13" t="b">
        <v>0</v>
      </c>
      <c r="BJ774" s="13">
        <v>0.0</v>
      </c>
      <c r="BK774" s="13">
        <v>0.0</v>
      </c>
    </row>
    <row r="775" ht="14.25" customHeight="1">
      <c r="A775" s="13">
        <v>773.0</v>
      </c>
      <c r="B775" s="13" t="s">
        <v>44</v>
      </c>
      <c r="C775" s="13">
        <v>2.0</v>
      </c>
      <c r="D775" s="14">
        <v>0.0</v>
      </c>
      <c r="E775" s="13" t="s">
        <v>4810</v>
      </c>
      <c r="F775" s="15" t="s">
        <v>465</v>
      </c>
      <c r="G775" s="16" t="s">
        <v>4811</v>
      </c>
      <c r="H775" s="13"/>
      <c r="I775" s="13">
        <v>1.0</v>
      </c>
      <c r="J775" s="13" t="s">
        <v>954</v>
      </c>
      <c r="K775" s="13">
        <f t="shared" si="3"/>
        <v>0</v>
      </c>
      <c r="L775" s="13">
        <f t="shared" si="4"/>
        <v>3</v>
      </c>
      <c r="M775" s="13">
        <f t="shared" ref="M775:AA775" si="1549">IFERROR(VALUE(RIGHT(LEFT($J775,FIND(M$1,$J775,1)+LEN(M$1)),1)),0)</f>
        <v>0</v>
      </c>
      <c r="N775" s="13">
        <f t="shared" si="1549"/>
        <v>0</v>
      </c>
      <c r="O775" s="13">
        <f t="shared" si="1549"/>
        <v>0</v>
      </c>
      <c r="P775" s="13">
        <f t="shared" si="1549"/>
        <v>0</v>
      </c>
      <c r="Q775" s="13">
        <f t="shared" si="1549"/>
        <v>0</v>
      </c>
      <c r="R775" s="13">
        <f t="shared" si="1549"/>
        <v>0</v>
      </c>
      <c r="S775" s="13">
        <f t="shared" si="1549"/>
        <v>0</v>
      </c>
      <c r="T775" s="13">
        <f t="shared" si="1549"/>
        <v>0</v>
      </c>
      <c r="U775" s="13">
        <f t="shared" si="1549"/>
        <v>0</v>
      </c>
      <c r="V775" s="13">
        <f t="shared" si="1549"/>
        <v>0</v>
      </c>
      <c r="W775" s="13">
        <f t="shared" si="1549"/>
        <v>0</v>
      </c>
      <c r="X775" s="13">
        <f t="shared" si="1549"/>
        <v>0</v>
      </c>
      <c r="Y775" s="13">
        <f t="shared" si="1549"/>
        <v>0</v>
      </c>
      <c r="Z775" s="13">
        <f t="shared" si="1549"/>
        <v>0</v>
      </c>
      <c r="AA775" s="13">
        <f t="shared" si="1549"/>
        <v>0</v>
      </c>
      <c r="AB775" s="13">
        <f t="shared" ref="AB775:AP775" si="1550">IFERROR(VALUE(RIGHT(LEFT($J775,FIND(AB$1,$J775,IF(M775=0,1,FIND(AB$1,$J775,1)+1))+LEN(AB$1)),1)),0)</f>
        <v>0</v>
      </c>
      <c r="AC775" s="13">
        <f t="shared" si="1550"/>
        <v>0</v>
      </c>
      <c r="AD775" s="13">
        <f t="shared" si="1550"/>
        <v>0</v>
      </c>
      <c r="AE775" s="13">
        <f t="shared" si="1550"/>
        <v>0</v>
      </c>
      <c r="AF775" s="13">
        <f t="shared" si="1550"/>
        <v>0</v>
      </c>
      <c r="AG775" s="13">
        <f t="shared" si="1550"/>
        <v>1</v>
      </c>
      <c r="AH775" s="13">
        <f t="shared" si="1550"/>
        <v>2</v>
      </c>
      <c r="AI775" s="13">
        <f t="shared" si="1550"/>
        <v>0</v>
      </c>
      <c r="AJ775" s="13">
        <f t="shared" si="1550"/>
        <v>0</v>
      </c>
      <c r="AK775" s="13">
        <f t="shared" si="1550"/>
        <v>0</v>
      </c>
      <c r="AL775" s="13">
        <f t="shared" si="1550"/>
        <v>0</v>
      </c>
      <c r="AM775" s="13">
        <f t="shared" si="1550"/>
        <v>0</v>
      </c>
      <c r="AN775" s="13">
        <f t="shared" si="1550"/>
        <v>0</v>
      </c>
      <c r="AO775" s="13">
        <f t="shared" si="1550"/>
        <v>0</v>
      </c>
      <c r="AP775" s="13">
        <f t="shared" si="1550"/>
        <v>0</v>
      </c>
      <c r="AQ775" s="13" t="s">
        <v>4812</v>
      </c>
      <c r="AR775" s="13"/>
      <c r="AS775" s="13" t="s">
        <v>4813</v>
      </c>
      <c r="AT775" s="13"/>
      <c r="AU775" s="13"/>
      <c r="AV775" s="13"/>
      <c r="AW775" s="13">
        <v>0.0</v>
      </c>
      <c r="AX775" s="13">
        <v>13.0</v>
      </c>
      <c r="AY775" s="13">
        <v>0.0</v>
      </c>
      <c r="AZ775" s="13"/>
      <c r="BA775" s="13"/>
      <c r="BB775" s="13"/>
      <c r="BC775" s="13"/>
      <c r="BD775" s="13"/>
      <c r="BE775" s="13"/>
      <c r="BF775" s="13"/>
      <c r="BG775" s="13"/>
      <c r="BH775" s="13" t="s">
        <v>79</v>
      </c>
      <c r="BI775" s="13" t="b">
        <v>0</v>
      </c>
      <c r="BJ775" s="13">
        <v>0.0</v>
      </c>
      <c r="BK775" s="13">
        <v>0.0</v>
      </c>
    </row>
    <row r="776" ht="14.25" customHeight="1">
      <c r="A776" s="13">
        <v>774.0</v>
      </c>
      <c r="B776" s="13" t="s">
        <v>45</v>
      </c>
      <c r="C776" s="13">
        <v>2.0</v>
      </c>
      <c r="D776" s="14">
        <v>0.0</v>
      </c>
      <c r="E776" s="13" t="s">
        <v>4814</v>
      </c>
      <c r="F776" s="15" t="s">
        <v>465</v>
      </c>
      <c r="G776" s="16" t="s">
        <v>4815</v>
      </c>
      <c r="H776" s="13"/>
      <c r="I776" s="13">
        <v>0.9</v>
      </c>
      <c r="J776" s="13" t="s">
        <v>978</v>
      </c>
      <c r="K776" s="13">
        <f t="shared" si="3"/>
        <v>0</v>
      </c>
      <c r="L776" s="13">
        <f t="shared" si="4"/>
        <v>3</v>
      </c>
      <c r="M776" s="13">
        <f t="shared" ref="M776:AA776" si="1551">IFERROR(VALUE(RIGHT(LEFT($J776,FIND(M$1,$J776,1)+LEN(M$1)),1)),0)</f>
        <v>0</v>
      </c>
      <c r="N776" s="13">
        <f t="shared" si="1551"/>
        <v>0</v>
      </c>
      <c r="O776" s="13">
        <f t="shared" si="1551"/>
        <v>0</v>
      </c>
      <c r="P776" s="13">
        <f t="shared" si="1551"/>
        <v>0</v>
      </c>
      <c r="Q776" s="13">
        <f t="shared" si="1551"/>
        <v>0</v>
      </c>
      <c r="R776" s="13">
        <f t="shared" si="1551"/>
        <v>0</v>
      </c>
      <c r="S776" s="13">
        <f t="shared" si="1551"/>
        <v>0</v>
      </c>
      <c r="T776" s="13">
        <f t="shared" si="1551"/>
        <v>0</v>
      </c>
      <c r="U776" s="13">
        <f t="shared" si="1551"/>
        <v>0</v>
      </c>
      <c r="V776" s="13">
        <f t="shared" si="1551"/>
        <v>0</v>
      </c>
      <c r="W776" s="13">
        <f t="shared" si="1551"/>
        <v>0</v>
      </c>
      <c r="X776" s="13">
        <f t="shared" si="1551"/>
        <v>0</v>
      </c>
      <c r="Y776" s="13">
        <f t="shared" si="1551"/>
        <v>0</v>
      </c>
      <c r="Z776" s="13">
        <f t="shared" si="1551"/>
        <v>0</v>
      </c>
      <c r="AA776" s="13">
        <f t="shared" si="1551"/>
        <v>0</v>
      </c>
      <c r="AB776" s="13">
        <f t="shared" ref="AB776:AP776" si="1552">IFERROR(VALUE(RIGHT(LEFT($J776,FIND(AB$1,$J776,IF(M776=0,1,FIND(AB$1,$J776,1)+1))+LEN(AB$1)),1)),0)</f>
        <v>0</v>
      </c>
      <c r="AC776" s="13">
        <f t="shared" si="1552"/>
        <v>1</v>
      </c>
      <c r="AD776" s="13">
        <f t="shared" si="1552"/>
        <v>0</v>
      </c>
      <c r="AE776" s="13">
        <f t="shared" si="1552"/>
        <v>0</v>
      </c>
      <c r="AF776" s="13">
        <f t="shared" si="1552"/>
        <v>0</v>
      </c>
      <c r="AG776" s="13">
        <f t="shared" si="1552"/>
        <v>0</v>
      </c>
      <c r="AH776" s="13">
        <f t="shared" si="1552"/>
        <v>0</v>
      </c>
      <c r="AI776" s="13">
        <f t="shared" si="1552"/>
        <v>2</v>
      </c>
      <c r="AJ776" s="13">
        <f t="shared" si="1552"/>
        <v>0</v>
      </c>
      <c r="AK776" s="13">
        <f t="shared" si="1552"/>
        <v>0</v>
      </c>
      <c r="AL776" s="13">
        <f t="shared" si="1552"/>
        <v>0</v>
      </c>
      <c r="AM776" s="13">
        <f t="shared" si="1552"/>
        <v>0</v>
      </c>
      <c r="AN776" s="13">
        <f t="shared" si="1552"/>
        <v>0</v>
      </c>
      <c r="AO776" s="13">
        <f t="shared" si="1552"/>
        <v>0</v>
      </c>
      <c r="AP776" s="13">
        <f t="shared" si="1552"/>
        <v>0</v>
      </c>
      <c r="AQ776" s="13" t="s">
        <v>4816</v>
      </c>
      <c r="AR776" s="13"/>
      <c r="AS776" s="13" t="s">
        <v>4028</v>
      </c>
      <c r="AT776" s="13"/>
      <c r="AU776" s="13"/>
      <c r="AV776" s="13"/>
      <c r="AW776" s="13">
        <v>0.0</v>
      </c>
      <c r="AX776" s="13">
        <v>13.0</v>
      </c>
      <c r="AY776" s="13">
        <v>0.0</v>
      </c>
      <c r="AZ776" s="13"/>
      <c r="BA776" s="13"/>
      <c r="BB776" s="13"/>
      <c r="BC776" s="13"/>
      <c r="BD776" s="13"/>
      <c r="BE776" s="13"/>
      <c r="BF776" s="13"/>
      <c r="BG776" s="13"/>
      <c r="BH776" s="13" t="s">
        <v>79</v>
      </c>
      <c r="BI776" s="13" t="b">
        <v>0</v>
      </c>
      <c r="BJ776" s="13">
        <v>0.0</v>
      </c>
      <c r="BK776" s="13">
        <v>0.0</v>
      </c>
    </row>
    <row r="777" ht="14.25" customHeight="1">
      <c r="A777" s="13">
        <v>775.0</v>
      </c>
      <c r="B777" s="13" t="s">
        <v>46</v>
      </c>
      <c r="C777" s="13">
        <v>2.0</v>
      </c>
      <c r="D777" s="14">
        <v>0.0</v>
      </c>
      <c r="E777" s="13" t="s">
        <v>4817</v>
      </c>
      <c r="F777" s="15" t="s">
        <v>465</v>
      </c>
      <c r="G777" s="16" t="s">
        <v>4818</v>
      </c>
      <c r="H777" s="13"/>
      <c r="I777" s="13">
        <v>0.9</v>
      </c>
      <c r="J777" s="13" t="s">
        <v>4819</v>
      </c>
      <c r="K777" s="13">
        <f t="shared" si="3"/>
        <v>0</v>
      </c>
      <c r="L777" s="13">
        <f t="shared" si="4"/>
        <v>3</v>
      </c>
      <c r="M777" s="13">
        <f t="shared" ref="M777:AA777" si="1553">IFERROR(VALUE(RIGHT(LEFT($J777,FIND(M$1,$J777,1)+LEN(M$1)),1)),0)</f>
        <v>0</v>
      </c>
      <c r="N777" s="13">
        <f t="shared" si="1553"/>
        <v>0</v>
      </c>
      <c r="O777" s="13">
        <f t="shared" si="1553"/>
        <v>0</v>
      </c>
      <c r="P777" s="13">
        <f t="shared" si="1553"/>
        <v>0</v>
      </c>
      <c r="Q777" s="13">
        <f t="shared" si="1553"/>
        <v>0</v>
      </c>
      <c r="R777" s="13">
        <f t="shared" si="1553"/>
        <v>0</v>
      </c>
      <c r="S777" s="13">
        <f t="shared" si="1553"/>
        <v>0</v>
      </c>
      <c r="T777" s="13">
        <f t="shared" si="1553"/>
        <v>0</v>
      </c>
      <c r="U777" s="13">
        <f t="shared" si="1553"/>
        <v>0</v>
      </c>
      <c r="V777" s="13">
        <f t="shared" si="1553"/>
        <v>0</v>
      </c>
      <c r="W777" s="13">
        <f t="shared" si="1553"/>
        <v>0</v>
      </c>
      <c r="X777" s="13">
        <f t="shared" si="1553"/>
        <v>0</v>
      </c>
      <c r="Y777" s="13">
        <f t="shared" si="1553"/>
        <v>0</v>
      </c>
      <c r="Z777" s="13">
        <f t="shared" si="1553"/>
        <v>0</v>
      </c>
      <c r="AA777" s="13">
        <f t="shared" si="1553"/>
        <v>0</v>
      </c>
      <c r="AB777" s="13">
        <f t="shared" ref="AB777:AP777" si="1554">IFERROR(VALUE(RIGHT(LEFT($J777,FIND(AB$1,$J777,IF(M777=0,1,FIND(AB$1,$J777,1)+1))+LEN(AB$1)),1)),0)</f>
        <v>0</v>
      </c>
      <c r="AC777" s="13">
        <f t="shared" si="1554"/>
        <v>0</v>
      </c>
      <c r="AD777" s="13">
        <f t="shared" si="1554"/>
        <v>0</v>
      </c>
      <c r="AE777" s="13">
        <f t="shared" si="1554"/>
        <v>1</v>
      </c>
      <c r="AF777" s="13">
        <f t="shared" si="1554"/>
        <v>0</v>
      </c>
      <c r="AG777" s="13">
        <f t="shared" si="1554"/>
        <v>0</v>
      </c>
      <c r="AH777" s="13">
        <f t="shared" si="1554"/>
        <v>0</v>
      </c>
      <c r="AI777" s="13">
        <f t="shared" si="1554"/>
        <v>0</v>
      </c>
      <c r="AJ777" s="13">
        <f t="shared" si="1554"/>
        <v>1</v>
      </c>
      <c r="AK777" s="13">
        <f t="shared" si="1554"/>
        <v>0</v>
      </c>
      <c r="AL777" s="13">
        <f t="shared" si="1554"/>
        <v>1</v>
      </c>
      <c r="AM777" s="13">
        <f t="shared" si="1554"/>
        <v>0</v>
      </c>
      <c r="AN777" s="13">
        <f t="shared" si="1554"/>
        <v>0</v>
      </c>
      <c r="AO777" s="13">
        <f t="shared" si="1554"/>
        <v>0</v>
      </c>
      <c r="AP777" s="13">
        <f t="shared" si="1554"/>
        <v>0</v>
      </c>
      <c r="AQ777" s="13" t="s">
        <v>4820</v>
      </c>
      <c r="AR777" s="13"/>
      <c r="AS777" s="13" t="s">
        <v>4821</v>
      </c>
      <c r="AT777" s="13"/>
      <c r="AU777" s="13"/>
      <c r="AV777" s="13"/>
      <c r="AW777" s="13">
        <v>0.0</v>
      </c>
      <c r="AX777" s="13">
        <v>13.0</v>
      </c>
      <c r="AY777" s="13">
        <v>0.0</v>
      </c>
      <c r="AZ777" s="13"/>
      <c r="BA777" s="13"/>
      <c r="BB777" s="13"/>
      <c r="BC777" s="13"/>
      <c r="BD777" s="13"/>
      <c r="BE777" s="13"/>
      <c r="BF777" s="13"/>
      <c r="BG777" s="13"/>
      <c r="BH777" s="13" t="s">
        <v>79</v>
      </c>
      <c r="BI777" s="13" t="b">
        <v>0</v>
      </c>
      <c r="BJ777" s="13">
        <v>0.0</v>
      </c>
      <c r="BK777" s="13">
        <v>0.0</v>
      </c>
    </row>
    <row r="778" ht="14.25" customHeight="1">
      <c r="A778" s="13">
        <v>776.0</v>
      </c>
      <c r="B778" s="13" t="s">
        <v>48</v>
      </c>
      <c r="C778" s="13">
        <v>2.0</v>
      </c>
      <c r="D778" s="14">
        <v>0.0</v>
      </c>
      <c r="E778" s="13" t="s">
        <v>4822</v>
      </c>
      <c r="F778" s="15" t="s">
        <v>465</v>
      </c>
      <c r="G778" s="16" t="s">
        <v>4823</v>
      </c>
      <c r="H778" s="13">
        <v>14.0</v>
      </c>
      <c r="I778" s="13">
        <v>1.0</v>
      </c>
      <c r="J778" s="13" t="s">
        <v>1193</v>
      </c>
      <c r="K778" s="13">
        <f t="shared" si="3"/>
        <v>0</v>
      </c>
      <c r="L778" s="13">
        <f t="shared" si="4"/>
        <v>3</v>
      </c>
      <c r="M778" s="13">
        <f t="shared" ref="M778:AA778" si="1555">IFERROR(VALUE(RIGHT(LEFT($J778,FIND(M$1,$J778,1)+LEN(M$1)),1)),0)</f>
        <v>0</v>
      </c>
      <c r="N778" s="13">
        <f t="shared" si="1555"/>
        <v>0</v>
      </c>
      <c r="O778" s="13">
        <f t="shared" si="1555"/>
        <v>0</v>
      </c>
      <c r="P778" s="13">
        <f t="shared" si="1555"/>
        <v>0</v>
      </c>
      <c r="Q778" s="13">
        <f t="shared" si="1555"/>
        <v>0</v>
      </c>
      <c r="R778" s="13">
        <f t="shared" si="1555"/>
        <v>0</v>
      </c>
      <c r="S778" s="13">
        <f t="shared" si="1555"/>
        <v>0</v>
      </c>
      <c r="T778" s="13">
        <f t="shared" si="1555"/>
        <v>0</v>
      </c>
      <c r="U778" s="13">
        <f t="shared" si="1555"/>
        <v>0</v>
      </c>
      <c r="V778" s="13">
        <f t="shared" si="1555"/>
        <v>0</v>
      </c>
      <c r="W778" s="13">
        <f t="shared" si="1555"/>
        <v>0</v>
      </c>
      <c r="X778" s="13">
        <f t="shared" si="1555"/>
        <v>0</v>
      </c>
      <c r="Y778" s="13">
        <f t="shared" si="1555"/>
        <v>0</v>
      </c>
      <c r="Z778" s="13">
        <f t="shared" si="1555"/>
        <v>0</v>
      </c>
      <c r="AA778" s="13">
        <f t="shared" si="1555"/>
        <v>0</v>
      </c>
      <c r="AB778" s="13">
        <f t="shared" ref="AB778:AP778" si="1556">IFERROR(VALUE(RIGHT(LEFT($J778,FIND(AB$1,$J778,IF(M778=0,1,FIND(AB$1,$J778,1)+1))+LEN(AB$1)),1)),0)</f>
        <v>0</v>
      </c>
      <c r="AC778" s="13">
        <f t="shared" si="1556"/>
        <v>1</v>
      </c>
      <c r="AD778" s="13">
        <f t="shared" si="1556"/>
        <v>0</v>
      </c>
      <c r="AE778" s="13">
        <f t="shared" si="1556"/>
        <v>0</v>
      </c>
      <c r="AF778" s="13">
        <f t="shared" si="1556"/>
        <v>0</v>
      </c>
      <c r="AG778" s="13">
        <f t="shared" si="1556"/>
        <v>0</v>
      </c>
      <c r="AH778" s="13">
        <f t="shared" si="1556"/>
        <v>0</v>
      </c>
      <c r="AI778" s="13">
        <f t="shared" si="1556"/>
        <v>0</v>
      </c>
      <c r="AJ778" s="13">
        <f t="shared" si="1556"/>
        <v>0</v>
      </c>
      <c r="AK778" s="13">
        <f t="shared" si="1556"/>
        <v>0</v>
      </c>
      <c r="AL778" s="13">
        <f t="shared" si="1556"/>
        <v>2</v>
      </c>
      <c r="AM778" s="13">
        <f t="shared" si="1556"/>
        <v>0</v>
      </c>
      <c r="AN778" s="13">
        <f t="shared" si="1556"/>
        <v>0</v>
      </c>
      <c r="AO778" s="13">
        <f t="shared" si="1556"/>
        <v>0</v>
      </c>
      <c r="AP778" s="13">
        <f t="shared" si="1556"/>
        <v>0</v>
      </c>
      <c r="AQ778" s="13"/>
      <c r="AR778" s="13" t="s">
        <v>4824</v>
      </c>
      <c r="AS778" s="13" t="s">
        <v>1166</v>
      </c>
      <c r="AT778" s="13" t="s">
        <v>257</v>
      </c>
      <c r="AU778" s="13" t="s">
        <v>4521</v>
      </c>
      <c r="AV778" s="13" t="s">
        <v>830</v>
      </c>
      <c r="AW778" s="13">
        <v>14.0</v>
      </c>
      <c r="AX778" s="13">
        <v>13.0</v>
      </c>
      <c r="AY778" s="13">
        <v>0.0</v>
      </c>
      <c r="AZ778" s="13" t="s">
        <v>1648</v>
      </c>
      <c r="BA778" s="13" t="s">
        <v>4825</v>
      </c>
      <c r="BB778" s="13"/>
      <c r="BC778" s="13"/>
      <c r="BD778" s="13" t="s">
        <v>179</v>
      </c>
      <c r="BE778" s="13"/>
      <c r="BF778" s="13" t="s">
        <v>4826</v>
      </c>
      <c r="BG778" s="13" t="s">
        <v>169</v>
      </c>
      <c r="BH778" s="13" t="s">
        <v>79</v>
      </c>
      <c r="BI778" s="13" t="b">
        <v>0</v>
      </c>
      <c r="BJ778" s="13">
        <v>0.0</v>
      </c>
      <c r="BK778" s="13">
        <v>0.0</v>
      </c>
    </row>
    <row r="779" ht="14.25" customHeight="1">
      <c r="A779" s="13">
        <v>777.0</v>
      </c>
      <c r="B779" s="13" t="s">
        <v>48</v>
      </c>
      <c r="C779" s="13">
        <v>2.0</v>
      </c>
      <c r="D779" s="14">
        <v>0.0</v>
      </c>
      <c r="E779" s="13" t="s">
        <v>4827</v>
      </c>
      <c r="F779" s="15" t="s">
        <v>465</v>
      </c>
      <c r="G779" s="16" t="s">
        <v>4828</v>
      </c>
      <c r="H779" s="13">
        <v>16.0</v>
      </c>
      <c r="I779" s="13">
        <v>1.0</v>
      </c>
      <c r="J779" s="13" t="s">
        <v>4829</v>
      </c>
      <c r="K779" s="13">
        <f t="shared" si="3"/>
        <v>0</v>
      </c>
      <c r="L779" s="13">
        <f t="shared" si="4"/>
        <v>3</v>
      </c>
      <c r="M779" s="13">
        <f t="shared" ref="M779:AA779" si="1557">IFERROR(VALUE(RIGHT(LEFT($J779,FIND(M$1,$J779,1)+LEN(M$1)),1)),0)</f>
        <v>0</v>
      </c>
      <c r="N779" s="13">
        <f t="shared" si="1557"/>
        <v>0</v>
      </c>
      <c r="O779" s="13">
        <f t="shared" si="1557"/>
        <v>0</v>
      </c>
      <c r="P779" s="13">
        <f t="shared" si="1557"/>
        <v>0</v>
      </c>
      <c r="Q779" s="13">
        <f t="shared" si="1557"/>
        <v>0</v>
      </c>
      <c r="R779" s="13">
        <f t="shared" si="1557"/>
        <v>0</v>
      </c>
      <c r="S779" s="13">
        <f t="shared" si="1557"/>
        <v>0</v>
      </c>
      <c r="T779" s="13">
        <f t="shared" si="1557"/>
        <v>0</v>
      </c>
      <c r="U779" s="13">
        <f t="shared" si="1557"/>
        <v>0</v>
      </c>
      <c r="V779" s="13">
        <f t="shared" si="1557"/>
        <v>0</v>
      </c>
      <c r="W779" s="13">
        <f t="shared" si="1557"/>
        <v>0</v>
      </c>
      <c r="X779" s="13">
        <f t="shared" si="1557"/>
        <v>0</v>
      </c>
      <c r="Y779" s="13">
        <f t="shared" si="1557"/>
        <v>0</v>
      </c>
      <c r="Z779" s="13">
        <f t="shared" si="1557"/>
        <v>0</v>
      </c>
      <c r="AA779" s="13">
        <f t="shared" si="1557"/>
        <v>0</v>
      </c>
      <c r="AB779" s="13">
        <f t="shared" ref="AB779:AP779" si="1558">IFERROR(VALUE(RIGHT(LEFT($J779,FIND(AB$1,$J779,IF(M779=0,1,FIND(AB$1,$J779,1)+1))+LEN(AB$1)),1)),0)</f>
        <v>0</v>
      </c>
      <c r="AC779" s="13">
        <f t="shared" si="1558"/>
        <v>0</v>
      </c>
      <c r="AD779" s="13">
        <f t="shared" si="1558"/>
        <v>0</v>
      </c>
      <c r="AE779" s="13">
        <f t="shared" si="1558"/>
        <v>0</v>
      </c>
      <c r="AF779" s="13">
        <f t="shared" si="1558"/>
        <v>0</v>
      </c>
      <c r="AG779" s="13">
        <f t="shared" si="1558"/>
        <v>2</v>
      </c>
      <c r="AH779" s="13">
        <f t="shared" si="1558"/>
        <v>0</v>
      </c>
      <c r="AI779" s="13">
        <f t="shared" si="1558"/>
        <v>0</v>
      </c>
      <c r="AJ779" s="13">
        <f t="shared" si="1558"/>
        <v>0</v>
      </c>
      <c r="AK779" s="13">
        <f t="shared" si="1558"/>
        <v>0</v>
      </c>
      <c r="AL779" s="13">
        <f t="shared" si="1558"/>
        <v>1</v>
      </c>
      <c r="AM779" s="13">
        <f t="shared" si="1558"/>
        <v>0</v>
      </c>
      <c r="AN779" s="13">
        <f t="shared" si="1558"/>
        <v>0</v>
      </c>
      <c r="AO779" s="13">
        <f t="shared" si="1558"/>
        <v>0</v>
      </c>
      <c r="AP779" s="13">
        <f t="shared" si="1558"/>
        <v>0</v>
      </c>
      <c r="AQ779" s="13"/>
      <c r="AR779" s="13" t="s">
        <v>4830</v>
      </c>
      <c r="AS779" s="13" t="s">
        <v>1201</v>
      </c>
      <c r="AT779" s="13" t="s">
        <v>162</v>
      </c>
      <c r="AU779" s="13" t="s">
        <v>236</v>
      </c>
      <c r="AV779" s="13" t="s">
        <v>4831</v>
      </c>
      <c r="AW779" s="13">
        <v>16.0</v>
      </c>
      <c r="AX779" s="13">
        <v>13.0</v>
      </c>
      <c r="AY779" s="13">
        <v>0.0</v>
      </c>
      <c r="AZ779" s="13" t="s">
        <v>4832</v>
      </c>
      <c r="BA779" s="13" t="s">
        <v>4833</v>
      </c>
      <c r="BB779" s="13"/>
      <c r="BC779" s="13"/>
      <c r="BD779" s="13" t="s">
        <v>188</v>
      </c>
      <c r="BE779" s="13"/>
      <c r="BF779" s="13" t="s">
        <v>1104</v>
      </c>
      <c r="BG779" s="13" t="s">
        <v>169</v>
      </c>
      <c r="BH779" s="13" t="s">
        <v>241</v>
      </c>
      <c r="BI779" s="13" t="b">
        <v>0</v>
      </c>
      <c r="BJ779" s="13">
        <v>0.0</v>
      </c>
      <c r="BK779" s="13">
        <v>0.0</v>
      </c>
    </row>
    <row r="780" ht="14.25" customHeight="1">
      <c r="A780" s="13">
        <v>778.0</v>
      </c>
      <c r="B780" s="13" t="s">
        <v>51</v>
      </c>
      <c r="C780" s="13">
        <v>2.0</v>
      </c>
      <c r="D780" s="14">
        <v>0.0</v>
      </c>
      <c r="E780" s="13" t="s">
        <v>4834</v>
      </c>
      <c r="F780" s="15" t="s">
        <v>465</v>
      </c>
      <c r="G780" s="16" t="s">
        <v>4835</v>
      </c>
      <c r="H780" s="13">
        <v>3.0</v>
      </c>
      <c r="I780" s="13">
        <v>1.1</v>
      </c>
      <c r="J780" s="13" t="s">
        <v>1473</v>
      </c>
      <c r="K780" s="13">
        <f t="shared" si="3"/>
        <v>0</v>
      </c>
      <c r="L780" s="13">
        <f t="shared" si="4"/>
        <v>3</v>
      </c>
      <c r="M780" s="13">
        <f t="shared" ref="M780:AA780" si="1559">IFERROR(VALUE(RIGHT(LEFT($J780,FIND(M$1,$J780,1)+LEN(M$1)),1)),0)</f>
        <v>0</v>
      </c>
      <c r="N780" s="13">
        <f t="shared" si="1559"/>
        <v>0</v>
      </c>
      <c r="O780" s="13">
        <f t="shared" si="1559"/>
        <v>0</v>
      </c>
      <c r="P780" s="13">
        <f t="shared" si="1559"/>
        <v>0</v>
      </c>
      <c r="Q780" s="13">
        <f t="shared" si="1559"/>
        <v>0</v>
      </c>
      <c r="R780" s="13">
        <f t="shared" si="1559"/>
        <v>0</v>
      </c>
      <c r="S780" s="13">
        <f t="shared" si="1559"/>
        <v>0</v>
      </c>
      <c r="T780" s="13">
        <f t="shared" si="1559"/>
        <v>0</v>
      </c>
      <c r="U780" s="13">
        <f t="shared" si="1559"/>
        <v>0</v>
      </c>
      <c r="V780" s="13">
        <f t="shared" si="1559"/>
        <v>0</v>
      </c>
      <c r="W780" s="13">
        <f t="shared" si="1559"/>
        <v>0</v>
      </c>
      <c r="X780" s="13">
        <f t="shared" si="1559"/>
        <v>0</v>
      </c>
      <c r="Y780" s="13">
        <f t="shared" si="1559"/>
        <v>0</v>
      </c>
      <c r="Z780" s="13">
        <f t="shared" si="1559"/>
        <v>0</v>
      </c>
      <c r="AA780" s="13">
        <f t="shared" si="1559"/>
        <v>0</v>
      </c>
      <c r="AB780" s="13">
        <f t="shared" ref="AB780:AP780" si="1560">IFERROR(VALUE(RIGHT(LEFT($J780,FIND(AB$1,$J780,IF(M780=0,1,FIND(AB$1,$J780,1)+1))+LEN(AB$1)),1)),0)</f>
        <v>0</v>
      </c>
      <c r="AC780" s="13">
        <f t="shared" si="1560"/>
        <v>0</v>
      </c>
      <c r="AD780" s="13">
        <f t="shared" si="1560"/>
        <v>0</v>
      </c>
      <c r="AE780" s="13">
        <f t="shared" si="1560"/>
        <v>0</v>
      </c>
      <c r="AF780" s="13">
        <f t="shared" si="1560"/>
        <v>1</v>
      </c>
      <c r="AG780" s="13">
        <f t="shared" si="1560"/>
        <v>0</v>
      </c>
      <c r="AH780" s="13">
        <f t="shared" si="1560"/>
        <v>0</v>
      </c>
      <c r="AI780" s="13">
        <f t="shared" si="1560"/>
        <v>0</v>
      </c>
      <c r="AJ780" s="13">
        <f t="shared" si="1560"/>
        <v>0</v>
      </c>
      <c r="AK780" s="13">
        <f t="shared" si="1560"/>
        <v>0</v>
      </c>
      <c r="AL780" s="13">
        <f t="shared" si="1560"/>
        <v>0</v>
      </c>
      <c r="AM780" s="13">
        <f t="shared" si="1560"/>
        <v>0</v>
      </c>
      <c r="AN780" s="13">
        <f t="shared" si="1560"/>
        <v>0</v>
      </c>
      <c r="AO780" s="13">
        <f t="shared" si="1560"/>
        <v>2</v>
      </c>
      <c r="AP780" s="13">
        <f t="shared" si="1560"/>
        <v>0</v>
      </c>
      <c r="AQ780" s="13"/>
      <c r="AR780" s="13" t="s">
        <v>815</v>
      </c>
      <c r="AS780" s="13" t="s">
        <v>4836</v>
      </c>
      <c r="AT780" s="13" t="s">
        <v>4136</v>
      </c>
      <c r="AU780" s="13" t="s">
        <v>143</v>
      </c>
      <c r="AV780" s="13" t="s">
        <v>4837</v>
      </c>
      <c r="AW780" s="13">
        <v>12.0</v>
      </c>
      <c r="AX780" s="13">
        <v>13.0</v>
      </c>
      <c r="AY780" s="13">
        <v>0.0</v>
      </c>
      <c r="AZ780" s="13" t="s">
        <v>4838</v>
      </c>
      <c r="BA780" s="13" t="s">
        <v>1539</v>
      </c>
      <c r="BB780" s="13"/>
      <c r="BC780" s="13"/>
      <c r="BD780" s="13" t="s">
        <v>2169</v>
      </c>
      <c r="BE780" s="13"/>
      <c r="BF780" s="13" t="s">
        <v>4839</v>
      </c>
      <c r="BG780" s="13" t="s">
        <v>2171</v>
      </c>
      <c r="BH780" s="13" t="s">
        <v>241</v>
      </c>
      <c r="BI780" s="13" t="b">
        <v>0</v>
      </c>
      <c r="BJ780" s="13">
        <v>0.0</v>
      </c>
      <c r="BK780" s="13">
        <v>0.0</v>
      </c>
    </row>
    <row r="781" ht="14.25" customHeight="1">
      <c r="A781" s="13">
        <v>779.0</v>
      </c>
      <c r="B781" s="13" t="s">
        <v>44</v>
      </c>
      <c r="C781" s="13">
        <v>3.0</v>
      </c>
      <c r="D781" s="14">
        <v>0.0</v>
      </c>
      <c r="E781" s="13" t="s">
        <v>4840</v>
      </c>
      <c r="F781" s="15" t="s">
        <v>465</v>
      </c>
      <c r="G781" s="16" t="s">
        <v>4841</v>
      </c>
      <c r="H781" s="13"/>
      <c r="I781" s="13">
        <v>1.1</v>
      </c>
      <c r="J781" s="13" t="s">
        <v>1574</v>
      </c>
      <c r="K781" s="13">
        <f t="shared" si="3"/>
        <v>1</v>
      </c>
      <c r="L781" s="13">
        <f t="shared" si="4"/>
        <v>2</v>
      </c>
      <c r="M781" s="13">
        <f t="shared" ref="M781:AA781" si="1561">IFERROR(VALUE(RIGHT(LEFT($J781,FIND(M$1,$J781,1)+LEN(M$1)),1)),0)</f>
        <v>0</v>
      </c>
      <c r="N781" s="13">
        <f t="shared" si="1561"/>
        <v>0</v>
      </c>
      <c r="O781" s="13">
        <f t="shared" si="1561"/>
        <v>0</v>
      </c>
      <c r="P781" s="13">
        <f t="shared" si="1561"/>
        <v>0</v>
      </c>
      <c r="Q781" s="13">
        <f t="shared" si="1561"/>
        <v>0</v>
      </c>
      <c r="R781" s="13">
        <f t="shared" si="1561"/>
        <v>0</v>
      </c>
      <c r="S781" s="13">
        <f t="shared" si="1561"/>
        <v>1</v>
      </c>
      <c r="T781" s="13">
        <f t="shared" si="1561"/>
        <v>0</v>
      </c>
      <c r="U781" s="13">
        <f t="shared" si="1561"/>
        <v>0</v>
      </c>
      <c r="V781" s="13">
        <f t="shared" si="1561"/>
        <v>0</v>
      </c>
      <c r="W781" s="13">
        <f t="shared" si="1561"/>
        <v>0</v>
      </c>
      <c r="X781" s="13">
        <f t="shared" si="1561"/>
        <v>0</v>
      </c>
      <c r="Y781" s="13">
        <f t="shared" si="1561"/>
        <v>0</v>
      </c>
      <c r="Z781" s="13">
        <f t="shared" si="1561"/>
        <v>0</v>
      </c>
      <c r="AA781" s="13">
        <f t="shared" si="1561"/>
        <v>0</v>
      </c>
      <c r="AB781" s="13">
        <f t="shared" ref="AB781:AP781" si="1562">IFERROR(VALUE(RIGHT(LEFT($J781,FIND(AB$1,$J781,IF(M781=0,1,FIND(AB$1,$J781,1)+1))+LEN(AB$1)),1)),0)</f>
        <v>0</v>
      </c>
      <c r="AC781" s="13">
        <f t="shared" si="1562"/>
        <v>0</v>
      </c>
      <c r="AD781" s="13">
        <f t="shared" si="1562"/>
        <v>0</v>
      </c>
      <c r="AE781" s="13">
        <f t="shared" si="1562"/>
        <v>0</v>
      </c>
      <c r="AF781" s="13">
        <f t="shared" si="1562"/>
        <v>0</v>
      </c>
      <c r="AG781" s="13">
        <f t="shared" si="1562"/>
        <v>1</v>
      </c>
      <c r="AH781" s="13">
        <f t="shared" si="1562"/>
        <v>1</v>
      </c>
      <c r="AI781" s="13">
        <f t="shared" si="1562"/>
        <v>0</v>
      </c>
      <c r="AJ781" s="13">
        <f t="shared" si="1562"/>
        <v>0</v>
      </c>
      <c r="AK781" s="13">
        <f t="shared" si="1562"/>
        <v>0</v>
      </c>
      <c r="AL781" s="13">
        <f t="shared" si="1562"/>
        <v>0</v>
      </c>
      <c r="AM781" s="13">
        <f t="shared" si="1562"/>
        <v>0</v>
      </c>
      <c r="AN781" s="13">
        <f t="shared" si="1562"/>
        <v>0</v>
      </c>
      <c r="AO781" s="13">
        <f t="shared" si="1562"/>
        <v>0</v>
      </c>
      <c r="AP781" s="13">
        <f t="shared" si="1562"/>
        <v>0</v>
      </c>
      <c r="AQ781" s="13" t="s">
        <v>4842</v>
      </c>
      <c r="AR781" s="13"/>
      <c r="AS781" s="13" t="s">
        <v>1576</v>
      </c>
      <c r="AT781" s="13"/>
      <c r="AU781" s="13"/>
      <c r="AV781" s="13"/>
      <c r="AW781" s="13">
        <v>0.0</v>
      </c>
      <c r="AX781" s="13">
        <v>13.0</v>
      </c>
      <c r="AY781" s="13">
        <v>0.0</v>
      </c>
      <c r="AZ781" s="13"/>
      <c r="BA781" s="13"/>
      <c r="BB781" s="13"/>
      <c r="BC781" s="13"/>
      <c r="BD781" s="13"/>
      <c r="BE781" s="13"/>
      <c r="BF781" s="13"/>
      <c r="BG781" s="13"/>
      <c r="BH781" s="13" t="s">
        <v>79</v>
      </c>
      <c r="BI781" s="13" t="b">
        <v>0</v>
      </c>
      <c r="BJ781" s="13">
        <v>0.0</v>
      </c>
      <c r="BK781" s="13">
        <v>0.0</v>
      </c>
    </row>
    <row r="782" ht="14.25" customHeight="1">
      <c r="A782" s="13">
        <v>780.0</v>
      </c>
      <c r="B782" s="13" t="s">
        <v>45</v>
      </c>
      <c r="C782" s="13">
        <v>3.0</v>
      </c>
      <c r="D782" s="14">
        <v>0.0</v>
      </c>
      <c r="E782" s="13" t="s">
        <v>4843</v>
      </c>
      <c r="F782" s="15" t="s">
        <v>465</v>
      </c>
      <c r="G782" s="16" t="s">
        <v>4844</v>
      </c>
      <c r="H782" s="13"/>
      <c r="I782" s="13">
        <v>1.1</v>
      </c>
      <c r="J782" s="13" t="s">
        <v>1584</v>
      </c>
      <c r="K782" s="13">
        <f t="shared" si="3"/>
        <v>1</v>
      </c>
      <c r="L782" s="13">
        <f t="shared" si="4"/>
        <v>2</v>
      </c>
      <c r="M782" s="13">
        <f t="shared" ref="M782:AA782" si="1563">IFERROR(VALUE(RIGHT(LEFT($J782,FIND(M$1,$J782,1)+LEN(M$1)),1)),0)</f>
        <v>0</v>
      </c>
      <c r="N782" s="13">
        <f t="shared" si="1563"/>
        <v>0</v>
      </c>
      <c r="O782" s="13">
        <f t="shared" si="1563"/>
        <v>0</v>
      </c>
      <c r="P782" s="13">
        <f t="shared" si="1563"/>
        <v>0</v>
      </c>
      <c r="Q782" s="13">
        <f t="shared" si="1563"/>
        <v>0</v>
      </c>
      <c r="R782" s="13">
        <f t="shared" si="1563"/>
        <v>0</v>
      </c>
      <c r="S782" s="13">
        <f t="shared" si="1563"/>
        <v>0</v>
      </c>
      <c r="T782" s="13">
        <f t="shared" si="1563"/>
        <v>1</v>
      </c>
      <c r="U782" s="13">
        <f t="shared" si="1563"/>
        <v>0</v>
      </c>
      <c r="V782" s="13">
        <f t="shared" si="1563"/>
        <v>0</v>
      </c>
      <c r="W782" s="13">
        <f t="shared" si="1563"/>
        <v>0</v>
      </c>
      <c r="X782" s="13">
        <f t="shared" si="1563"/>
        <v>0</v>
      </c>
      <c r="Y782" s="13">
        <f t="shared" si="1563"/>
        <v>0</v>
      </c>
      <c r="Z782" s="13">
        <f t="shared" si="1563"/>
        <v>0</v>
      </c>
      <c r="AA782" s="13">
        <f t="shared" si="1563"/>
        <v>0</v>
      </c>
      <c r="AB782" s="13">
        <f t="shared" ref="AB782:AP782" si="1564">IFERROR(VALUE(RIGHT(LEFT($J782,FIND(AB$1,$J782,IF(M782=0,1,FIND(AB$1,$J782,1)+1))+LEN(AB$1)),1)),0)</f>
        <v>0</v>
      </c>
      <c r="AC782" s="13">
        <f t="shared" si="1564"/>
        <v>1</v>
      </c>
      <c r="AD782" s="13">
        <f t="shared" si="1564"/>
        <v>0</v>
      </c>
      <c r="AE782" s="13">
        <f t="shared" si="1564"/>
        <v>0</v>
      </c>
      <c r="AF782" s="13">
        <f t="shared" si="1564"/>
        <v>0</v>
      </c>
      <c r="AG782" s="13">
        <f t="shared" si="1564"/>
        <v>0</v>
      </c>
      <c r="AH782" s="13">
        <f t="shared" si="1564"/>
        <v>0</v>
      </c>
      <c r="AI782" s="13">
        <f t="shared" si="1564"/>
        <v>1</v>
      </c>
      <c r="AJ782" s="13">
        <f t="shared" si="1564"/>
        <v>0</v>
      </c>
      <c r="AK782" s="13">
        <f t="shared" si="1564"/>
        <v>0</v>
      </c>
      <c r="AL782" s="13">
        <f t="shared" si="1564"/>
        <v>0</v>
      </c>
      <c r="AM782" s="13">
        <f t="shared" si="1564"/>
        <v>0</v>
      </c>
      <c r="AN782" s="13">
        <f t="shared" si="1564"/>
        <v>0</v>
      </c>
      <c r="AO782" s="13">
        <f t="shared" si="1564"/>
        <v>0</v>
      </c>
      <c r="AP782" s="13">
        <f t="shared" si="1564"/>
        <v>0</v>
      </c>
      <c r="AQ782" s="13" t="s">
        <v>4845</v>
      </c>
      <c r="AR782" s="13"/>
      <c r="AS782" s="13" t="s">
        <v>4846</v>
      </c>
      <c r="AT782" s="13"/>
      <c r="AU782" s="13"/>
      <c r="AV782" s="13"/>
      <c r="AW782" s="13">
        <v>0.0</v>
      </c>
      <c r="AX782" s="13">
        <v>13.0</v>
      </c>
      <c r="AY782" s="13">
        <v>0.0</v>
      </c>
      <c r="AZ782" s="13"/>
      <c r="BA782" s="13"/>
      <c r="BB782" s="13"/>
      <c r="BC782" s="13"/>
      <c r="BD782" s="13"/>
      <c r="BE782" s="13"/>
      <c r="BF782" s="13"/>
      <c r="BG782" s="13"/>
      <c r="BH782" s="13" t="s">
        <v>79</v>
      </c>
      <c r="BI782" s="13" t="b">
        <v>0</v>
      </c>
      <c r="BJ782" s="13">
        <v>0.0</v>
      </c>
      <c r="BK782" s="13">
        <v>0.0</v>
      </c>
    </row>
    <row r="783" ht="14.25" customHeight="1">
      <c r="A783" s="13">
        <v>781.0</v>
      </c>
      <c r="B783" s="13" t="s">
        <v>46</v>
      </c>
      <c r="C783" s="13">
        <v>3.0</v>
      </c>
      <c r="D783" s="14">
        <v>0.0</v>
      </c>
      <c r="E783" s="13" t="s">
        <v>4847</v>
      </c>
      <c r="F783" s="15" t="s">
        <v>465</v>
      </c>
      <c r="G783" s="16" t="s">
        <v>4848</v>
      </c>
      <c r="H783" s="13"/>
      <c r="I783" s="13">
        <v>1.0</v>
      </c>
      <c r="J783" s="13" t="s">
        <v>4849</v>
      </c>
      <c r="K783" s="13">
        <f t="shared" si="3"/>
        <v>1</v>
      </c>
      <c r="L783" s="13">
        <f t="shared" si="4"/>
        <v>2</v>
      </c>
      <c r="M783" s="13">
        <f t="shared" ref="M783:AA783" si="1565">IFERROR(VALUE(RIGHT(LEFT($J783,FIND(M$1,$J783,1)+LEN(M$1)),1)),0)</f>
        <v>0</v>
      </c>
      <c r="N783" s="13">
        <f t="shared" si="1565"/>
        <v>0</v>
      </c>
      <c r="O783" s="13">
        <f t="shared" si="1565"/>
        <v>0</v>
      </c>
      <c r="P783" s="13">
        <f t="shared" si="1565"/>
        <v>0</v>
      </c>
      <c r="Q783" s="13">
        <f t="shared" si="1565"/>
        <v>0</v>
      </c>
      <c r="R783" s="13">
        <f t="shared" si="1565"/>
        <v>1</v>
      </c>
      <c r="S783" s="13">
        <f t="shared" si="1565"/>
        <v>0</v>
      </c>
      <c r="T783" s="13">
        <f t="shared" si="1565"/>
        <v>0</v>
      </c>
      <c r="U783" s="13">
        <f t="shared" si="1565"/>
        <v>0</v>
      </c>
      <c r="V783" s="13">
        <f t="shared" si="1565"/>
        <v>0</v>
      </c>
      <c r="W783" s="13">
        <f t="shared" si="1565"/>
        <v>0</v>
      </c>
      <c r="X783" s="13">
        <f t="shared" si="1565"/>
        <v>0</v>
      </c>
      <c r="Y783" s="13">
        <f t="shared" si="1565"/>
        <v>0</v>
      </c>
      <c r="Z783" s="13">
        <f t="shared" si="1565"/>
        <v>0</v>
      </c>
      <c r="AA783" s="13">
        <f t="shared" si="1565"/>
        <v>0</v>
      </c>
      <c r="AB783" s="13">
        <f t="shared" ref="AB783:AP783" si="1566">IFERROR(VALUE(RIGHT(LEFT($J783,FIND(AB$1,$J783,IF(M783=0,1,FIND(AB$1,$J783,1)+1))+LEN(AB$1)),1)),0)</f>
        <v>0</v>
      </c>
      <c r="AC783" s="13">
        <f t="shared" si="1566"/>
        <v>0</v>
      </c>
      <c r="AD783" s="13">
        <f t="shared" si="1566"/>
        <v>0</v>
      </c>
      <c r="AE783" s="13">
        <f t="shared" si="1566"/>
        <v>1</v>
      </c>
      <c r="AF783" s="13">
        <f t="shared" si="1566"/>
        <v>0</v>
      </c>
      <c r="AG783" s="13">
        <f t="shared" si="1566"/>
        <v>0</v>
      </c>
      <c r="AH783" s="13">
        <f t="shared" si="1566"/>
        <v>0</v>
      </c>
      <c r="AI783" s="13">
        <f t="shared" si="1566"/>
        <v>0</v>
      </c>
      <c r="AJ783" s="13">
        <f t="shared" si="1566"/>
        <v>0</v>
      </c>
      <c r="AK783" s="13">
        <f t="shared" si="1566"/>
        <v>0</v>
      </c>
      <c r="AL783" s="13">
        <f t="shared" si="1566"/>
        <v>1</v>
      </c>
      <c r="AM783" s="13">
        <f t="shared" si="1566"/>
        <v>0</v>
      </c>
      <c r="AN783" s="13">
        <f t="shared" si="1566"/>
        <v>0</v>
      </c>
      <c r="AO783" s="13">
        <f t="shared" si="1566"/>
        <v>0</v>
      </c>
      <c r="AP783" s="13">
        <f t="shared" si="1566"/>
        <v>0</v>
      </c>
      <c r="AQ783" s="13" t="s">
        <v>4850</v>
      </c>
      <c r="AR783" s="13"/>
      <c r="AS783" s="13" t="s">
        <v>4851</v>
      </c>
      <c r="AT783" s="13"/>
      <c r="AU783" s="13"/>
      <c r="AV783" s="13"/>
      <c r="AW783" s="13">
        <v>0.0</v>
      </c>
      <c r="AX783" s="13">
        <v>13.0</v>
      </c>
      <c r="AY783" s="13">
        <v>0.0</v>
      </c>
      <c r="AZ783" s="13"/>
      <c r="BA783" s="13"/>
      <c r="BB783" s="13"/>
      <c r="BC783" s="13"/>
      <c r="BD783" s="13"/>
      <c r="BE783" s="13"/>
      <c r="BF783" s="13"/>
      <c r="BG783" s="13"/>
      <c r="BH783" s="13" t="s">
        <v>79</v>
      </c>
      <c r="BI783" s="13" t="b">
        <v>0</v>
      </c>
      <c r="BJ783" s="13">
        <v>0.0</v>
      </c>
      <c r="BK783" s="13">
        <v>0.0</v>
      </c>
    </row>
    <row r="784" ht="14.25" customHeight="1">
      <c r="A784" s="13">
        <v>782.0</v>
      </c>
      <c r="B784" s="13" t="s">
        <v>48</v>
      </c>
      <c r="C784" s="13">
        <v>3.0</v>
      </c>
      <c r="D784" s="14">
        <v>0.0</v>
      </c>
      <c r="E784" s="13" t="s">
        <v>4852</v>
      </c>
      <c r="F784" s="15" t="s">
        <v>465</v>
      </c>
      <c r="G784" s="16" t="s">
        <v>4853</v>
      </c>
      <c r="H784" s="13">
        <v>17.0</v>
      </c>
      <c r="I784" s="13">
        <v>1.1</v>
      </c>
      <c r="J784" s="13" t="s">
        <v>1711</v>
      </c>
      <c r="K784" s="13">
        <f t="shared" si="3"/>
        <v>1</v>
      </c>
      <c r="L784" s="13">
        <f t="shared" si="4"/>
        <v>2</v>
      </c>
      <c r="M784" s="13">
        <f t="shared" ref="M784:AA784" si="1567">IFERROR(VALUE(RIGHT(LEFT($J784,FIND(M$1,$J784,1)+LEN(M$1)),1)),0)</f>
        <v>0</v>
      </c>
      <c r="N784" s="13">
        <f t="shared" si="1567"/>
        <v>0</v>
      </c>
      <c r="O784" s="13">
        <f t="shared" si="1567"/>
        <v>0</v>
      </c>
      <c r="P784" s="13">
        <f t="shared" si="1567"/>
        <v>0</v>
      </c>
      <c r="Q784" s="13">
        <f t="shared" si="1567"/>
        <v>0</v>
      </c>
      <c r="R784" s="13">
        <f t="shared" si="1567"/>
        <v>0</v>
      </c>
      <c r="S784" s="13">
        <f t="shared" si="1567"/>
        <v>0</v>
      </c>
      <c r="T784" s="13">
        <f t="shared" si="1567"/>
        <v>0</v>
      </c>
      <c r="U784" s="13">
        <f t="shared" si="1567"/>
        <v>0</v>
      </c>
      <c r="V784" s="13">
        <f t="shared" si="1567"/>
        <v>0</v>
      </c>
      <c r="W784" s="13">
        <f t="shared" si="1567"/>
        <v>1</v>
      </c>
      <c r="X784" s="13">
        <f t="shared" si="1567"/>
        <v>0</v>
      </c>
      <c r="Y784" s="13">
        <f t="shared" si="1567"/>
        <v>0</v>
      </c>
      <c r="Z784" s="13">
        <f t="shared" si="1567"/>
        <v>0</v>
      </c>
      <c r="AA784" s="13">
        <f t="shared" si="1567"/>
        <v>0</v>
      </c>
      <c r="AB784" s="13">
        <f t="shared" ref="AB784:AP784" si="1568">IFERROR(VALUE(RIGHT(LEFT($J784,FIND(AB$1,$J784,IF(M784=0,1,FIND(AB$1,$J784,1)+1))+LEN(AB$1)),1)),0)</f>
        <v>0</v>
      </c>
      <c r="AC784" s="13">
        <f t="shared" si="1568"/>
        <v>1</v>
      </c>
      <c r="AD784" s="13">
        <f t="shared" si="1568"/>
        <v>0</v>
      </c>
      <c r="AE784" s="13">
        <f t="shared" si="1568"/>
        <v>0</v>
      </c>
      <c r="AF784" s="13">
        <f t="shared" si="1568"/>
        <v>0</v>
      </c>
      <c r="AG784" s="13">
        <f t="shared" si="1568"/>
        <v>0</v>
      </c>
      <c r="AH784" s="13">
        <f t="shared" si="1568"/>
        <v>0</v>
      </c>
      <c r="AI784" s="13">
        <f t="shared" si="1568"/>
        <v>0</v>
      </c>
      <c r="AJ784" s="13">
        <f t="shared" si="1568"/>
        <v>0</v>
      </c>
      <c r="AK784" s="13">
        <f t="shared" si="1568"/>
        <v>0</v>
      </c>
      <c r="AL784" s="13">
        <f t="shared" si="1568"/>
        <v>1</v>
      </c>
      <c r="AM784" s="13">
        <f t="shared" si="1568"/>
        <v>0</v>
      </c>
      <c r="AN784" s="13">
        <f t="shared" si="1568"/>
        <v>0</v>
      </c>
      <c r="AO784" s="13">
        <f t="shared" si="1568"/>
        <v>0</v>
      </c>
      <c r="AP784" s="13">
        <f t="shared" si="1568"/>
        <v>0</v>
      </c>
      <c r="AQ784" s="13"/>
      <c r="AR784" s="13" t="s">
        <v>4854</v>
      </c>
      <c r="AS784" s="13" t="s">
        <v>3471</v>
      </c>
      <c r="AT784" s="13" t="s">
        <v>1221</v>
      </c>
      <c r="AU784" s="13" t="s">
        <v>143</v>
      </c>
      <c r="AV784" s="13" t="s">
        <v>4855</v>
      </c>
      <c r="AW784" s="13">
        <v>18.0</v>
      </c>
      <c r="AX784" s="13">
        <v>13.0</v>
      </c>
      <c r="AY784" s="13">
        <v>0.0</v>
      </c>
      <c r="AZ784" s="13" t="s">
        <v>4856</v>
      </c>
      <c r="BA784" s="13" t="s">
        <v>1224</v>
      </c>
      <c r="BB784" s="13"/>
      <c r="BC784" s="13"/>
      <c r="BD784" s="13" t="s">
        <v>179</v>
      </c>
      <c r="BE784" s="13"/>
      <c r="BF784" s="13" t="s">
        <v>4857</v>
      </c>
      <c r="BG784" s="13" t="s">
        <v>169</v>
      </c>
      <c r="BH784" s="13" t="s">
        <v>241</v>
      </c>
      <c r="BI784" s="13" t="b">
        <v>0</v>
      </c>
      <c r="BJ784" s="13">
        <v>0.0</v>
      </c>
      <c r="BK784" s="13">
        <v>0.0</v>
      </c>
    </row>
    <row r="785" ht="14.25" customHeight="1">
      <c r="A785" s="13">
        <v>783.0</v>
      </c>
      <c r="B785" s="13" t="s">
        <v>48</v>
      </c>
      <c r="C785" s="13">
        <v>3.0</v>
      </c>
      <c r="D785" s="14">
        <v>0.0</v>
      </c>
      <c r="E785" s="13" t="s">
        <v>4858</v>
      </c>
      <c r="F785" s="15" t="s">
        <v>465</v>
      </c>
      <c r="G785" s="16" t="s">
        <v>4859</v>
      </c>
      <c r="H785" s="13">
        <v>18.0</v>
      </c>
      <c r="I785" s="13">
        <v>1.0</v>
      </c>
      <c r="J785" s="13" t="s">
        <v>1702</v>
      </c>
      <c r="K785" s="13">
        <f t="shared" si="3"/>
        <v>1</v>
      </c>
      <c r="L785" s="13">
        <f t="shared" si="4"/>
        <v>2</v>
      </c>
      <c r="M785" s="13">
        <f t="shared" ref="M785:AA785" si="1569">IFERROR(VALUE(RIGHT(LEFT($J785,FIND(M$1,$J785,1)+LEN(M$1)),1)),0)</f>
        <v>0</v>
      </c>
      <c r="N785" s="13">
        <f t="shared" si="1569"/>
        <v>0</v>
      </c>
      <c r="O785" s="13">
        <f t="shared" si="1569"/>
        <v>0</v>
      </c>
      <c r="P785" s="13">
        <f t="shared" si="1569"/>
        <v>0</v>
      </c>
      <c r="Q785" s="13">
        <f t="shared" si="1569"/>
        <v>0</v>
      </c>
      <c r="R785" s="13">
        <f t="shared" si="1569"/>
        <v>0</v>
      </c>
      <c r="S785" s="13">
        <f t="shared" si="1569"/>
        <v>0</v>
      </c>
      <c r="T785" s="13">
        <f t="shared" si="1569"/>
        <v>0</v>
      </c>
      <c r="U785" s="13">
        <f t="shared" si="1569"/>
        <v>0</v>
      </c>
      <c r="V785" s="13">
        <f t="shared" si="1569"/>
        <v>0</v>
      </c>
      <c r="W785" s="13">
        <f t="shared" si="1569"/>
        <v>1</v>
      </c>
      <c r="X785" s="13">
        <f t="shared" si="1569"/>
        <v>0</v>
      </c>
      <c r="Y785" s="13">
        <f t="shared" si="1569"/>
        <v>0</v>
      </c>
      <c r="Z785" s="13">
        <f t="shared" si="1569"/>
        <v>0</v>
      </c>
      <c r="AA785" s="13">
        <f t="shared" si="1569"/>
        <v>0</v>
      </c>
      <c r="AB785" s="13">
        <f t="shared" ref="AB785:AP785" si="1570">IFERROR(VALUE(RIGHT(LEFT($J785,FIND(AB$1,$J785,IF(M785=0,1,FIND(AB$1,$J785,1)+1))+LEN(AB$1)),1)),0)</f>
        <v>0</v>
      </c>
      <c r="AC785" s="13">
        <f t="shared" si="1570"/>
        <v>0</v>
      </c>
      <c r="AD785" s="13">
        <f t="shared" si="1570"/>
        <v>0</v>
      </c>
      <c r="AE785" s="13">
        <f t="shared" si="1570"/>
        <v>0</v>
      </c>
      <c r="AF785" s="13">
        <f t="shared" si="1570"/>
        <v>0</v>
      </c>
      <c r="AG785" s="13">
        <f t="shared" si="1570"/>
        <v>1</v>
      </c>
      <c r="AH785" s="13">
        <f t="shared" si="1570"/>
        <v>0</v>
      </c>
      <c r="AI785" s="13">
        <f t="shared" si="1570"/>
        <v>0</v>
      </c>
      <c r="AJ785" s="13">
        <f t="shared" si="1570"/>
        <v>0</v>
      </c>
      <c r="AK785" s="13">
        <f t="shared" si="1570"/>
        <v>0</v>
      </c>
      <c r="AL785" s="13">
        <f t="shared" si="1570"/>
        <v>1</v>
      </c>
      <c r="AM785" s="13">
        <f t="shared" si="1570"/>
        <v>0</v>
      </c>
      <c r="AN785" s="13">
        <f t="shared" si="1570"/>
        <v>0</v>
      </c>
      <c r="AO785" s="13">
        <f t="shared" si="1570"/>
        <v>0</v>
      </c>
      <c r="AP785" s="13">
        <f t="shared" si="1570"/>
        <v>0</v>
      </c>
      <c r="AQ785" s="13"/>
      <c r="AR785" s="13" t="s">
        <v>3300</v>
      </c>
      <c r="AS785" s="13" t="s">
        <v>1704</v>
      </c>
      <c r="AT785" s="13" t="s">
        <v>162</v>
      </c>
      <c r="AU785" s="13" t="s">
        <v>616</v>
      </c>
      <c r="AV785" s="13" t="s">
        <v>4860</v>
      </c>
      <c r="AW785" s="13">
        <v>20.0</v>
      </c>
      <c r="AX785" s="13">
        <v>13.0</v>
      </c>
      <c r="AY785" s="13">
        <v>0.0</v>
      </c>
      <c r="AZ785" s="13" t="s">
        <v>3619</v>
      </c>
      <c r="BA785" s="13" t="s">
        <v>4861</v>
      </c>
      <c r="BB785" s="13"/>
      <c r="BC785" s="13"/>
      <c r="BD785" s="13" t="s">
        <v>188</v>
      </c>
      <c r="BE785" s="13"/>
      <c r="BF785" s="13" t="s">
        <v>4862</v>
      </c>
      <c r="BG785" s="13" t="s">
        <v>169</v>
      </c>
      <c r="BH785" s="13" t="s">
        <v>241</v>
      </c>
      <c r="BI785" s="13" t="b">
        <v>0</v>
      </c>
      <c r="BJ785" s="13">
        <v>0.0</v>
      </c>
      <c r="BK785" s="13">
        <v>0.0</v>
      </c>
    </row>
    <row r="786" ht="14.25" customHeight="1">
      <c r="A786" s="13">
        <v>784.0</v>
      </c>
      <c r="B786" s="13" t="s">
        <v>51</v>
      </c>
      <c r="C786" s="13">
        <v>3.0</v>
      </c>
      <c r="D786" s="14">
        <v>0.0</v>
      </c>
      <c r="E786" s="13" t="s">
        <v>4863</v>
      </c>
      <c r="F786" s="15" t="s">
        <v>465</v>
      </c>
      <c r="G786" s="16" t="s">
        <v>4864</v>
      </c>
      <c r="H786" s="13">
        <v>10.0</v>
      </c>
      <c r="I786" s="13">
        <v>0.9</v>
      </c>
      <c r="J786" s="13" t="s">
        <v>4865</v>
      </c>
      <c r="K786" s="13">
        <f t="shared" si="3"/>
        <v>1</v>
      </c>
      <c r="L786" s="13">
        <f t="shared" si="4"/>
        <v>2</v>
      </c>
      <c r="M786" s="13">
        <f t="shared" ref="M786:AA786" si="1571">IFERROR(VALUE(RIGHT(LEFT($J786,FIND(M$1,$J786,1)+LEN(M$1)),1)),0)</f>
        <v>0</v>
      </c>
      <c r="N786" s="13">
        <f t="shared" si="1571"/>
        <v>0</v>
      </c>
      <c r="O786" s="13">
        <f t="shared" si="1571"/>
        <v>0</v>
      </c>
      <c r="P786" s="13">
        <f t="shared" si="1571"/>
        <v>0</v>
      </c>
      <c r="Q786" s="13">
        <f t="shared" si="1571"/>
        <v>0</v>
      </c>
      <c r="R786" s="13">
        <f t="shared" si="1571"/>
        <v>0</v>
      </c>
      <c r="S786" s="13">
        <f t="shared" si="1571"/>
        <v>0</v>
      </c>
      <c r="T786" s="13">
        <f t="shared" si="1571"/>
        <v>0</v>
      </c>
      <c r="U786" s="13">
        <f t="shared" si="1571"/>
        <v>0</v>
      </c>
      <c r="V786" s="13">
        <f t="shared" si="1571"/>
        <v>0</v>
      </c>
      <c r="W786" s="13">
        <f t="shared" si="1571"/>
        <v>0</v>
      </c>
      <c r="X786" s="13">
        <f t="shared" si="1571"/>
        <v>0</v>
      </c>
      <c r="Y786" s="13">
        <f t="shared" si="1571"/>
        <v>0</v>
      </c>
      <c r="Z786" s="13">
        <f t="shared" si="1571"/>
        <v>1</v>
      </c>
      <c r="AA786" s="13">
        <f t="shared" si="1571"/>
        <v>0</v>
      </c>
      <c r="AB786" s="13">
        <f t="shared" ref="AB786:AP786" si="1572">IFERROR(VALUE(RIGHT(LEFT($J786,FIND(AB$1,$J786,IF(M786=0,1,FIND(AB$1,$J786,1)+1))+LEN(AB$1)),1)),0)</f>
        <v>1</v>
      </c>
      <c r="AC786" s="13">
        <f t="shared" si="1572"/>
        <v>0</v>
      </c>
      <c r="AD786" s="13">
        <f t="shared" si="1572"/>
        <v>0</v>
      </c>
      <c r="AE786" s="13">
        <f t="shared" si="1572"/>
        <v>0</v>
      </c>
      <c r="AF786" s="13">
        <f t="shared" si="1572"/>
        <v>0</v>
      </c>
      <c r="AG786" s="13">
        <f t="shared" si="1572"/>
        <v>0</v>
      </c>
      <c r="AH786" s="13">
        <f t="shared" si="1572"/>
        <v>0</v>
      </c>
      <c r="AI786" s="13">
        <f t="shared" si="1572"/>
        <v>0</v>
      </c>
      <c r="AJ786" s="13">
        <f t="shared" si="1572"/>
        <v>0</v>
      </c>
      <c r="AK786" s="13">
        <f t="shared" si="1572"/>
        <v>0</v>
      </c>
      <c r="AL786" s="13">
        <f t="shared" si="1572"/>
        <v>0</v>
      </c>
      <c r="AM786" s="13">
        <f t="shared" si="1572"/>
        <v>0</v>
      </c>
      <c r="AN786" s="13">
        <f t="shared" si="1572"/>
        <v>0</v>
      </c>
      <c r="AO786" s="13">
        <f t="shared" si="1572"/>
        <v>1</v>
      </c>
      <c r="AP786" s="13">
        <f t="shared" si="1572"/>
        <v>0</v>
      </c>
      <c r="AQ786" s="13"/>
      <c r="AR786" s="13" t="s">
        <v>4866</v>
      </c>
      <c r="AS786" s="13" t="s">
        <v>4867</v>
      </c>
      <c r="AT786" s="13" t="s">
        <v>1350</v>
      </c>
      <c r="AU786" s="13" t="s">
        <v>143</v>
      </c>
      <c r="AV786" s="13" t="s">
        <v>4868</v>
      </c>
      <c r="AW786" s="13">
        <v>19.0</v>
      </c>
      <c r="AX786" s="13">
        <v>13.0</v>
      </c>
      <c r="AY786" s="13">
        <v>0.0</v>
      </c>
      <c r="AZ786" s="13" t="s">
        <v>2343</v>
      </c>
      <c r="BA786" s="13" t="s">
        <v>4869</v>
      </c>
      <c r="BB786" s="13"/>
      <c r="BC786" s="13"/>
      <c r="BD786" s="13" t="s">
        <v>2169</v>
      </c>
      <c r="BE786" s="13"/>
      <c r="BF786" s="13" t="s">
        <v>4870</v>
      </c>
      <c r="BG786" s="13" t="s">
        <v>2171</v>
      </c>
      <c r="BH786" s="13" t="s">
        <v>241</v>
      </c>
      <c r="BI786" s="13" t="b">
        <v>0</v>
      </c>
      <c r="BJ786" s="13">
        <v>0.0</v>
      </c>
      <c r="BK786" s="13">
        <v>0.0</v>
      </c>
    </row>
    <row r="787" ht="14.25" customHeight="1">
      <c r="A787" s="13">
        <v>785.0</v>
      </c>
      <c r="B787" s="13" t="s">
        <v>44</v>
      </c>
      <c r="C787" s="13">
        <v>4.0</v>
      </c>
      <c r="D787" s="14">
        <v>0.0</v>
      </c>
      <c r="E787" s="13" t="s">
        <v>4871</v>
      </c>
      <c r="F787" s="15" t="s">
        <v>465</v>
      </c>
      <c r="G787" s="16" t="s">
        <v>4872</v>
      </c>
      <c r="H787" s="13"/>
      <c r="I787" s="13">
        <v>1.2</v>
      </c>
      <c r="J787" s="13" t="s">
        <v>3904</v>
      </c>
      <c r="K787" s="13">
        <f t="shared" si="3"/>
        <v>2</v>
      </c>
      <c r="L787" s="13">
        <f t="shared" si="4"/>
        <v>2</v>
      </c>
      <c r="M787" s="13">
        <f t="shared" ref="M787:AA787" si="1573">IFERROR(VALUE(RIGHT(LEFT($J787,FIND(M$1,$J787,1)+LEN(M$1)),1)),0)</f>
        <v>0</v>
      </c>
      <c r="N787" s="13">
        <f t="shared" si="1573"/>
        <v>0</v>
      </c>
      <c r="O787" s="13">
        <f t="shared" si="1573"/>
        <v>0</v>
      </c>
      <c r="P787" s="13">
        <f t="shared" si="1573"/>
        <v>0</v>
      </c>
      <c r="Q787" s="13">
        <f t="shared" si="1573"/>
        <v>0</v>
      </c>
      <c r="R787" s="13">
        <f t="shared" si="1573"/>
        <v>0</v>
      </c>
      <c r="S787" s="13">
        <f t="shared" si="1573"/>
        <v>2</v>
      </c>
      <c r="T787" s="13">
        <f t="shared" si="1573"/>
        <v>0</v>
      </c>
      <c r="U787" s="13">
        <f t="shared" si="1573"/>
        <v>0</v>
      </c>
      <c r="V787" s="13">
        <f t="shared" si="1573"/>
        <v>0</v>
      </c>
      <c r="W787" s="13">
        <f t="shared" si="1573"/>
        <v>0</v>
      </c>
      <c r="X787" s="13">
        <f t="shared" si="1573"/>
        <v>0</v>
      </c>
      <c r="Y787" s="13">
        <f t="shared" si="1573"/>
        <v>0</v>
      </c>
      <c r="Z787" s="13">
        <f t="shared" si="1573"/>
        <v>0</v>
      </c>
      <c r="AA787" s="13">
        <f t="shared" si="1573"/>
        <v>0</v>
      </c>
      <c r="AB787" s="13">
        <f t="shared" ref="AB787:AP787" si="1574">IFERROR(VALUE(RIGHT(LEFT($J787,FIND(AB$1,$J787,IF(M787=0,1,FIND(AB$1,$J787,1)+1))+LEN(AB$1)),1)),0)</f>
        <v>0</v>
      </c>
      <c r="AC787" s="13">
        <f t="shared" si="1574"/>
        <v>0</v>
      </c>
      <c r="AD787" s="13">
        <f t="shared" si="1574"/>
        <v>0</v>
      </c>
      <c r="AE787" s="13">
        <f t="shared" si="1574"/>
        <v>0</v>
      </c>
      <c r="AF787" s="13">
        <f t="shared" si="1574"/>
        <v>0</v>
      </c>
      <c r="AG787" s="13">
        <f t="shared" si="1574"/>
        <v>1</v>
      </c>
      <c r="AH787" s="13">
        <f t="shared" si="1574"/>
        <v>1</v>
      </c>
      <c r="AI787" s="13">
        <f t="shared" si="1574"/>
        <v>0</v>
      </c>
      <c r="AJ787" s="13">
        <f t="shared" si="1574"/>
        <v>0</v>
      </c>
      <c r="AK787" s="13">
        <f t="shared" si="1574"/>
        <v>0</v>
      </c>
      <c r="AL787" s="13">
        <f t="shared" si="1574"/>
        <v>0</v>
      </c>
      <c r="AM787" s="13">
        <f t="shared" si="1574"/>
        <v>0</v>
      </c>
      <c r="AN787" s="13">
        <f t="shared" si="1574"/>
        <v>0</v>
      </c>
      <c r="AO787" s="13">
        <f t="shared" si="1574"/>
        <v>0</v>
      </c>
      <c r="AP787" s="13">
        <f t="shared" si="1574"/>
        <v>0</v>
      </c>
      <c r="AQ787" s="13" t="s">
        <v>4873</v>
      </c>
      <c r="AR787" s="13"/>
      <c r="AS787" s="13" t="s">
        <v>3906</v>
      </c>
      <c r="AT787" s="13"/>
      <c r="AU787" s="13"/>
      <c r="AV787" s="13"/>
      <c r="AW787" s="13">
        <v>0.0</v>
      </c>
      <c r="AX787" s="13">
        <v>13.0</v>
      </c>
      <c r="AY787" s="13">
        <v>0.0</v>
      </c>
      <c r="AZ787" s="13"/>
      <c r="BA787" s="13"/>
      <c r="BB787" s="13"/>
      <c r="BC787" s="13"/>
      <c r="BD787" s="13"/>
      <c r="BE787" s="13"/>
      <c r="BF787" s="13"/>
      <c r="BG787" s="13"/>
      <c r="BH787" s="13" t="s">
        <v>79</v>
      </c>
      <c r="BI787" s="13" t="b">
        <v>0</v>
      </c>
      <c r="BJ787" s="13">
        <v>0.0</v>
      </c>
      <c r="BK787" s="13">
        <v>0.0</v>
      </c>
    </row>
    <row r="788" ht="14.25" customHeight="1">
      <c r="A788" s="13">
        <v>786.0</v>
      </c>
      <c r="B788" s="13" t="s">
        <v>45</v>
      </c>
      <c r="C788" s="13">
        <v>4.0</v>
      </c>
      <c r="D788" s="14">
        <v>0.0</v>
      </c>
      <c r="E788" s="13" t="s">
        <v>4874</v>
      </c>
      <c r="F788" s="15" t="s">
        <v>465</v>
      </c>
      <c r="G788" s="16" t="s">
        <v>4875</v>
      </c>
      <c r="H788" s="13"/>
      <c r="I788" s="13">
        <v>1.1</v>
      </c>
      <c r="J788" s="13" t="s">
        <v>3316</v>
      </c>
      <c r="K788" s="13">
        <f t="shared" si="3"/>
        <v>2</v>
      </c>
      <c r="L788" s="13">
        <f t="shared" si="4"/>
        <v>2</v>
      </c>
      <c r="M788" s="13">
        <f t="shared" ref="M788:AA788" si="1575">IFERROR(VALUE(RIGHT(LEFT($J788,FIND(M$1,$J788,1)+LEN(M$1)),1)),0)</f>
        <v>0</v>
      </c>
      <c r="N788" s="13">
        <f t="shared" si="1575"/>
        <v>0</v>
      </c>
      <c r="O788" s="13">
        <f t="shared" si="1575"/>
        <v>0</v>
      </c>
      <c r="P788" s="13">
        <f t="shared" si="1575"/>
        <v>0</v>
      </c>
      <c r="Q788" s="13">
        <f t="shared" si="1575"/>
        <v>0</v>
      </c>
      <c r="R788" s="13">
        <f t="shared" si="1575"/>
        <v>0</v>
      </c>
      <c r="S788" s="13">
        <f t="shared" si="1575"/>
        <v>0</v>
      </c>
      <c r="T788" s="13">
        <f t="shared" si="1575"/>
        <v>2</v>
      </c>
      <c r="U788" s="13">
        <f t="shared" si="1575"/>
        <v>0</v>
      </c>
      <c r="V788" s="13">
        <f t="shared" si="1575"/>
        <v>0</v>
      </c>
      <c r="W788" s="13">
        <f t="shared" si="1575"/>
        <v>0</v>
      </c>
      <c r="X788" s="13">
        <f t="shared" si="1575"/>
        <v>0</v>
      </c>
      <c r="Y788" s="13">
        <f t="shared" si="1575"/>
        <v>0</v>
      </c>
      <c r="Z788" s="13">
        <f t="shared" si="1575"/>
        <v>0</v>
      </c>
      <c r="AA788" s="13">
        <f t="shared" si="1575"/>
        <v>0</v>
      </c>
      <c r="AB788" s="13">
        <f t="shared" ref="AB788:AP788" si="1576">IFERROR(VALUE(RIGHT(LEFT($J788,FIND(AB$1,$J788,IF(M788=0,1,FIND(AB$1,$J788,1)+1))+LEN(AB$1)),1)),0)</f>
        <v>0</v>
      </c>
      <c r="AC788" s="13">
        <f t="shared" si="1576"/>
        <v>0</v>
      </c>
      <c r="AD788" s="13">
        <f t="shared" si="1576"/>
        <v>0</v>
      </c>
      <c r="AE788" s="13">
        <f t="shared" si="1576"/>
        <v>1</v>
      </c>
      <c r="AF788" s="13">
        <f t="shared" si="1576"/>
        <v>0</v>
      </c>
      <c r="AG788" s="13">
        <f t="shared" si="1576"/>
        <v>0</v>
      </c>
      <c r="AH788" s="13">
        <f t="shared" si="1576"/>
        <v>0</v>
      </c>
      <c r="AI788" s="13">
        <f t="shared" si="1576"/>
        <v>1</v>
      </c>
      <c r="AJ788" s="13">
        <f t="shared" si="1576"/>
        <v>0</v>
      </c>
      <c r="AK788" s="13">
        <f t="shared" si="1576"/>
        <v>0</v>
      </c>
      <c r="AL788" s="13">
        <f t="shared" si="1576"/>
        <v>0</v>
      </c>
      <c r="AM788" s="13">
        <f t="shared" si="1576"/>
        <v>0</v>
      </c>
      <c r="AN788" s="13">
        <f t="shared" si="1576"/>
        <v>0</v>
      </c>
      <c r="AO788" s="13">
        <f t="shared" si="1576"/>
        <v>0</v>
      </c>
      <c r="AP788" s="13">
        <f t="shared" si="1576"/>
        <v>0</v>
      </c>
      <c r="AQ788" s="13" t="s">
        <v>4876</v>
      </c>
      <c r="AR788" s="13"/>
      <c r="AS788" s="13" t="s">
        <v>4877</v>
      </c>
      <c r="AT788" s="13"/>
      <c r="AU788" s="13"/>
      <c r="AV788" s="13"/>
      <c r="AW788" s="13">
        <v>0.0</v>
      </c>
      <c r="AX788" s="13">
        <v>13.0</v>
      </c>
      <c r="AY788" s="13">
        <v>0.0</v>
      </c>
      <c r="AZ788" s="13"/>
      <c r="BA788" s="13"/>
      <c r="BB788" s="13"/>
      <c r="BC788" s="13"/>
      <c r="BD788" s="13"/>
      <c r="BE788" s="13"/>
      <c r="BF788" s="13"/>
      <c r="BG788" s="13"/>
      <c r="BH788" s="13" t="s">
        <v>79</v>
      </c>
      <c r="BI788" s="13" t="b">
        <v>0</v>
      </c>
      <c r="BJ788" s="13">
        <v>0.0</v>
      </c>
      <c r="BK788" s="13">
        <v>0.0</v>
      </c>
    </row>
    <row r="789" ht="14.25" customHeight="1">
      <c r="A789" s="13">
        <v>787.0</v>
      </c>
      <c r="B789" s="13" t="s">
        <v>46</v>
      </c>
      <c r="C789" s="13">
        <v>4.0</v>
      </c>
      <c r="D789" s="14">
        <v>0.0</v>
      </c>
      <c r="E789" s="13" t="s">
        <v>4878</v>
      </c>
      <c r="F789" s="15" t="s">
        <v>465</v>
      </c>
      <c r="G789" s="16" t="s">
        <v>4879</v>
      </c>
      <c r="H789" s="13"/>
      <c r="I789" s="13">
        <v>1.1</v>
      </c>
      <c r="J789" s="13" t="s">
        <v>4880</v>
      </c>
      <c r="K789" s="13">
        <f t="shared" si="3"/>
        <v>2</v>
      </c>
      <c r="L789" s="13">
        <f t="shared" si="4"/>
        <v>2</v>
      </c>
      <c r="M789" s="13">
        <f t="shared" ref="M789:AA789" si="1577">IFERROR(VALUE(RIGHT(LEFT($J789,FIND(M$1,$J789,1)+LEN(M$1)),1)),0)</f>
        <v>0</v>
      </c>
      <c r="N789" s="13">
        <f t="shared" si="1577"/>
        <v>1</v>
      </c>
      <c r="O789" s="13">
        <f t="shared" si="1577"/>
        <v>0</v>
      </c>
      <c r="P789" s="13">
        <f t="shared" si="1577"/>
        <v>0</v>
      </c>
      <c r="Q789" s="13">
        <f t="shared" si="1577"/>
        <v>0</v>
      </c>
      <c r="R789" s="13">
        <f t="shared" si="1577"/>
        <v>1</v>
      </c>
      <c r="S789" s="13">
        <f t="shared" si="1577"/>
        <v>0</v>
      </c>
      <c r="T789" s="13">
        <f t="shared" si="1577"/>
        <v>0</v>
      </c>
      <c r="U789" s="13">
        <f t="shared" si="1577"/>
        <v>0</v>
      </c>
      <c r="V789" s="13">
        <f t="shared" si="1577"/>
        <v>0</v>
      </c>
      <c r="W789" s="13">
        <f t="shared" si="1577"/>
        <v>0</v>
      </c>
      <c r="X789" s="13">
        <f t="shared" si="1577"/>
        <v>0</v>
      </c>
      <c r="Y789" s="13">
        <f t="shared" si="1577"/>
        <v>0</v>
      </c>
      <c r="Z789" s="13">
        <f t="shared" si="1577"/>
        <v>0</v>
      </c>
      <c r="AA789" s="13">
        <f t="shared" si="1577"/>
        <v>0</v>
      </c>
      <c r="AB789" s="13">
        <f t="shared" ref="AB789:AP789" si="1578">IFERROR(VALUE(RIGHT(LEFT($J789,FIND(AB$1,$J789,IF(M789=0,1,FIND(AB$1,$J789,1)+1))+LEN(AB$1)),1)),0)</f>
        <v>0</v>
      </c>
      <c r="AC789" s="13">
        <f t="shared" si="1578"/>
        <v>1</v>
      </c>
      <c r="AD789" s="13">
        <f t="shared" si="1578"/>
        <v>0</v>
      </c>
      <c r="AE789" s="13">
        <f t="shared" si="1578"/>
        <v>0</v>
      </c>
      <c r="AF789" s="13">
        <f t="shared" si="1578"/>
        <v>0</v>
      </c>
      <c r="AG789" s="13">
        <f t="shared" si="1578"/>
        <v>0</v>
      </c>
      <c r="AH789" s="13">
        <f t="shared" si="1578"/>
        <v>0</v>
      </c>
      <c r="AI789" s="13">
        <f t="shared" si="1578"/>
        <v>0</v>
      </c>
      <c r="AJ789" s="13">
        <f t="shared" si="1578"/>
        <v>0</v>
      </c>
      <c r="AK789" s="13">
        <f t="shared" si="1578"/>
        <v>0</v>
      </c>
      <c r="AL789" s="13">
        <f t="shared" si="1578"/>
        <v>1</v>
      </c>
      <c r="AM789" s="13">
        <f t="shared" si="1578"/>
        <v>0</v>
      </c>
      <c r="AN789" s="13">
        <f t="shared" si="1578"/>
        <v>0</v>
      </c>
      <c r="AO789" s="13">
        <f t="shared" si="1578"/>
        <v>0</v>
      </c>
      <c r="AP789" s="13">
        <f t="shared" si="1578"/>
        <v>0</v>
      </c>
      <c r="AQ789" s="13" t="s">
        <v>4881</v>
      </c>
      <c r="AR789" s="13"/>
      <c r="AS789" s="13" t="s">
        <v>4882</v>
      </c>
      <c r="AT789" s="13"/>
      <c r="AU789" s="13"/>
      <c r="AV789" s="13"/>
      <c r="AW789" s="13">
        <v>0.0</v>
      </c>
      <c r="AX789" s="13">
        <v>13.0</v>
      </c>
      <c r="AY789" s="13">
        <v>0.0</v>
      </c>
      <c r="AZ789" s="13"/>
      <c r="BA789" s="13"/>
      <c r="BB789" s="13"/>
      <c r="BC789" s="13"/>
      <c r="BD789" s="13"/>
      <c r="BE789" s="13"/>
      <c r="BF789" s="13"/>
      <c r="BG789" s="13"/>
      <c r="BH789" s="13" t="s">
        <v>79</v>
      </c>
      <c r="BI789" s="13" t="b">
        <v>0</v>
      </c>
      <c r="BJ789" s="13">
        <v>0.0</v>
      </c>
      <c r="BK789" s="13">
        <v>0.0</v>
      </c>
    </row>
    <row r="790" ht="14.25" customHeight="1">
      <c r="A790" s="13">
        <v>788.0</v>
      </c>
      <c r="B790" s="13" t="s">
        <v>48</v>
      </c>
      <c r="C790" s="13">
        <v>4.0</v>
      </c>
      <c r="D790" s="14">
        <v>0.0</v>
      </c>
      <c r="E790" s="13" t="s">
        <v>4883</v>
      </c>
      <c r="F790" s="15" t="s">
        <v>465</v>
      </c>
      <c r="G790" s="16" t="s">
        <v>4884</v>
      </c>
      <c r="H790" s="13">
        <v>20.0</v>
      </c>
      <c r="I790" s="13">
        <v>1.0</v>
      </c>
      <c r="J790" s="13" t="s">
        <v>4885</v>
      </c>
      <c r="K790" s="13">
        <f t="shared" si="3"/>
        <v>2</v>
      </c>
      <c r="L790" s="13">
        <f t="shared" si="4"/>
        <v>2</v>
      </c>
      <c r="M790" s="13">
        <f t="shared" ref="M790:AA790" si="1579">IFERROR(VALUE(RIGHT(LEFT($J790,FIND(M$1,$J790,1)+LEN(M$1)),1)),0)</f>
        <v>0</v>
      </c>
      <c r="N790" s="13">
        <f t="shared" si="1579"/>
        <v>2</v>
      </c>
      <c r="O790" s="13">
        <f t="shared" si="1579"/>
        <v>0</v>
      </c>
      <c r="P790" s="13">
        <f t="shared" si="1579"/>
        <v>0</v>
      </c>
      <c r="Q790" s="13">
        <f t="shared" si="1579"/>
        <v>0</v>
      </c>
      <c r="R790" s="13">
        <f t="shared" si="1579"/>
        <v>0</v>
      </c>
      <c r="S790" s="13">
        <f t="shared" si="1579"/>
        <v>0</v>
      </c>
      <c r="T790" s="13">
        <f t="shared" si="1579"/>
        <v>0</v>
      </c>
      <c r="U790" s="13">
        <f t="shared" si="1579"/>
        <v>0</v>
      </c>
      <c r="V790" s="13">
        <f t="shared" si="1579"/>
        <v>0</v>
      </c>
      <c r="W790" s="13">
        <f t="shared" si="1579"/>
        <v>0</v>
      </c>
      <c r="X790" s="13">
        <f t="shared" si="1579"/>
        <v>0</v>
      </c>
      <c r="Y790" s="13">
        <f t="shared" si="1579"/>
        <v>0</v>
      </c>
      <c r="Z790" s="13">
        <f t="shared" si="1579"/>
        <v>0</v>
      </c>
      <c r="AA790" s="13">
        <f t="shared" si="1579"/>
        <v>0</v>
      </c>
      <c r="AB790" s="13">
        <f t="shared" ref="AB790:AP790" si="1580">IFERROR(VALUE(RIGHT(LEFT($J790,FIND(AB$1,$J790,IF(M790=0,1,FIND(AB$1,$J790,1)+1))+LEN(AB$1)),1)),0)</f>
        <v>0</v>
      </c>
      <c r="AC790" s="13">
        <f t="shared" si="1580"/>
        <v>1</v>
      </c>
      <c r="AD790" s="13">
        <f t="shared" si="1580"/>
        <v>0</v>
      </c>
      <c r="AE790" s="13">
        <f t="shared" si="1580"/>
        <v>0</v>
      </c>
      <c r="AF790" s="13">
        <f t="shared" si="1580"/>
        <v>0</v>
      </c>
      <c r="AG790" s="13">
        <f t="shared" si="1580"/>
        <v>0</v>
      </c>
      <c r="AH790" s="13">
        <f t="shared" si="1580"/>
        <v>0</v>
      </c>
      <c r="AI790" s="13">
        <f t="shared" si="1580"/>
        <v>0</v>
      </c>
      <c r="AJ790" s="13">
        <f t="shared" si="1580"/>
        <v>0</v>
      </c>
      <c r="AK790" s="13">
        <f t="shared" si="1580"/>
        <v>0</v>
      </c>
      <c r="AL790" s="13">
        <f t="shared" si="1580"/>
        <v>1</v>
      </c>
      <c r="AM790" s="13">
        <f t="shared" si="1580"/>
        <v>0</v>
      </c>
      <c r="AN790" s="13">
        <f t="shared" si="1580"/>
        <v>0</v>
      </c>
      <c r="AO790" s="13">
        <f t="shared" si="1580"/>
        <v>0</v>
      </c>
      <c r="AP790" s="13">
        <f t="shared" si="1580"/>
        <v>0</v>
      </c>
      <c r="AQ790" s="13"/>
      <c r="AR790" s="13" t="s">
        <v>4886</v>
      </c>
      <c r="AS790" s="13" t="s">
        <v>4887</v>
      </c>
      <c r="AT790" s="13" t="s">
        <v>315</v>
      </c>
      <c r="AU790" s="13" t="s">
        <v>1398</v>
      </c>
      <c r="AV790" s="13" t="s">
        <v>4888</v>
      </c>
      <c r="AW790" s="13">
        <v>24.0</v>
      </c>
      <c r="AX790" s="13">
        <v>13.0</v>
      </c>
      <c r="AY790" s="13">
        <v>0.0</v>
      </c>
      <c r="AZ790" s="13" t="s">
        <v>4889</v>
      </c>
      <c r="BA790" s="13" t="s">
        <v>4890</v>
      </c>
      <c r="BB790" s="13"/>
      <c r="BC790" s="13"/>
      <c r="BD790" s="13" t="s">
        <v>179</v>
      </c>
      <c r="BE790" s="13"/>
      <c r="BF790" s="13" t="s">
        <v>4891</v>
      </c>
      <c r="BG790" s="13" t="s">
        <v>169</v>
      </c>
      <c r="BH790" s="13" t="s">
        <v>79</v>
      </c>
      <c r="BI790" s="13" t="b">
        <v>0</v>
      </c>
      <c r="BJ790" s="13">
        <v>0.0</v>
      </c>
      <c r="BK790" s="13">
        <v>0.0</v>
      </c>
    </row>
    <row r="791" ht="14.25" customHeight="1">
      <c r="A791" s="13">
        <v>789.0</v>
      </c>
      <c r="B791" s="13" t="s">
        <v>48</v>
      </c>
      <c r="C791" s="13">
        <v>4.0</v>
      </c>
      <c r="D791" s="14">
        <v>0.0</v>
      </c>
      <c r="E791" s="13" t="s">
        <v>4892</v>
      </c>
      <c r="F791" s="15" t="s">
        <v>465</v>
      </c>
      <c r="G791" s="16" t="s">
        <v>4893</v>
      </c>
      <c r="H791" s="13">
        <v>22.0</v>
      </c>
      <c r="I791" s="13">
        <v>1.1</v>
      </c>
      <c r="J791" s="13" t="s">
        <v>1982</v>
      </c>
      <c r="K791" s="13">
        <f t="shared" si="3"/>
        <v>2</v>
      </c>
      <c r="L791" s="13">
        <f t="shared" si="4"/>
        <v>2</v>
      </c>
      <c r="M791" s="13">
        <f t="shared" ref="M791:AA791" si="1581">IFERROR(VALUE(RIGHT(LEFT($J791,FIND(M$1,$J791,1)+LEN(M$1)),1)),0)</f>
        <v>0</v>
      </c>
      <c r="N791" s="13">
        <f t="shared" si="1581"/>
        <v>0</v>
      </c>
      <c r="O791" s="13">
        <f t="shared" si="1581"/>
        <v>0</v>
      </c>
      <c r="P791" s="13">
        <f t="shared" si="1581"/>
        <v>0</v>
      </c>
      <c r="Q791" s="13">
        <f t="shared" si="1581"/>
        <v>0</v>
      </c>
      <c r="R791" s="13">
        <f t="shared" si="1581"/>
        <v>0</v>
      </c>
      <c r="S791" s="13">
        <f t="shared" si="1581"/>
        <v>0</v>
      </c>
      <c r="T791" s="13">
        <f t="shared" si="1581"/>
        <v>0</v>
      </c>
      <c r="U791" s="13">
        <f t="shared" si="1581"/>
        <v>0</v>
      </c>
      <c r="V791" s="13">
        <f t="shared" si="1581"/>
        <v>0</v>
      </c>
      <c r="W791" s="13">
        <f t="shared" si="1581"/>
        <v>2</v>
      </c>
      <c r="X791" s="13">
        <f t="shared" si="1581"/>
        <v>0</v>
      </c>
      <c r="Y791" s="13">
        <f t="shared" si="1581"/>
        <v>0</v>
      </c>
      <c r="Z791" s="13">
        <f t="shared" si="1581"/>
        <v>0</v>
      </c>
      <c r="AA791" s="13">
        <f t="shared" si="1581"/>
        <v>0</v>
      </c>
      <c r="AB791" s="13">
        <f t="shared" ref="AB791:AP791" si="1582">IFERROR(VALUE(RIGHT(LEFT($J791,FIND(AB$1,$J791,IF(M791=0,1,FIND(AB$1,$J791,1)+1))+LEN(AB$1)),1)),0)</f>
        <v>0</v>
      </c>
      <c r="AC791" s="13">
        <f t="shared" si="1582"/>
        <v>0</v>
      </c>
      <c r="AD791" s="13">
        <f t="shared" si="1582"/>
        <v>0</v>
      </c>
      <c r="AE791" s="13">
        <f t="shared" si="1582"/>
        <v>0</v>
      </c>
      <c r="AF791" s="13">
        <f t="shared" si="1582"/>
        <v>0</v>
      </c>
      <c r="AG791" s="13">
        <f t="shared" si="1582"/>
        <v>1</v>
      </c>
      <c r="AH791" s="13">
        <f t="shared" si="1582"/>
        <v>0</v>
      </c>
      <c r="AI791" s="13">
        <f t="shared" si="1582"/>
        <v>0</v>
      </c>
      <c r="AJ791" s="13">
        <f t="shared" si="1582"/>
        <v>0</v>
      </c>
      <c r="AK791" s="13">
        <f t="shared" si="1582"/>
        <v>0</v>
      </c>
      <c r="AL791" s="13">
        <f t="shared" si="1582"/>
        <v>1</v>
      </c>
      <c r="AM791" s="13">
        <f t="shared" si="1582"/>
        <v>0</v>
      </c>
      <c r="AN791" s="13">
        <f t="shared" si="1582"/>
        <v>0</v>
      </c>
      <c r="AO791" s="13">
        <f t="shared" si="1582"/>
        <v>0</v>
      </c>
      <c r="AP791" s="13">
        <f t="shared" si="1582"/>
        <v>0</v>
      </c>
      <c r="AQ791" s="13"/>
      <c r="AR791" s="13" t="s">
        <v>4894</v>
      </c>
      <c r="AS791" s="13" t="s">
        <v>4895</v>
      </c>
      <c r="AT791" s="13" t="s">
        <v>162</v>
      </c>
      <c r="AU791" s="13" t="s">
        <v>1680</v>
      </c>
      <c r="AV791" s="13" t="s">
        <v>4896</v>
      </c>
      <c r="AW791" s="13">
        <v>27.0</v>
      </c>
      <c r="AX791" s="13">
        <v>13.0</v>
      </c>
      <c r="AY791" s="13">
        <v>0.0</v>
      </c>
      <c r="AZ791" s="13" t="s">
        <v>4897</v>
      </c>
      <c r="BA791" s="13" t="s">
        <v>2307</v>
      </c>
      <c r="BB791" s="13"/>
      <c r="BC791" s="13"/>
      <c r="BD791" s="13" t="s">
        <v>188</v>
      </c>
      <c r="BE791" s="13"/>
      <c r="BF791" s="13" t="s">
        <v>3693</v>
      </c>
      <c r="BG791" s="13" t="s">
        <v>169</v>
      </c>
      <c r="BH791" s="13" t="s">
        <v>79</v>
      </c>
      <c r="BI791" s="13" t="b">
        <v>0</v>
      </c>
      <c r="BJ791" s="13">
        <v>0.0</v>
      </c>
      <c r="BK791" s="13">
        <v>0.0</v>
      </c>
    </row>
    <row r="792" ht="14.25" customHeight="1">
      <c r="A792" s="13">
        <v>790.0</v>
      </c>
      <c r="B792" s="13" t="s">
        <v>51</v>
      </c>
      <c r="C792" s="13">
        <v>4.0</v>
      </c>
      <c r="D792" s="14">
        <v>0.0</v>
      </c>
      <c r="E792" s="13" t="s">
        <v>4898</v>
      </c>
      <c r="F792" s="15" t="s">
        <v>465</v>
      </c>
      <c r="G792" s="16" t="s">
        <v>4899</v>
      </c>
      <c r="H792" s="13">
        <v>23.0</v>
      </c>
      <c r="I792" s="13">
        <v>1.0</v>
      </c>
      <c r="J792" s="13" t="s">
        <v>2055</v>
      </c>
      <c r="K792" s="13">
        <f t="shared" si="3"/>
        <v>2</v>
      </c>
      <c r="L792" s="13">
        <f t="shared" si="4"/>
        <v>2</v>
      </c>
      <c r="M792" s="13">
        <f t="shared" ref="M792:AA792" si="1583">IFERROR(VALUE(RIGHT(LEFT($J792,FIND(M$1,$J792,1)+LEN(M$1)),1)),0)</f>
        <v>0</v>
      </c>
      <c r="N792" s="13">
        <f t="shared" si="1583"/>
        <v>0</v>
      </c>
      <c r="O792" s="13">
        <f t="shared" si="1583"/>
        <v>0</v>
      </c>
      <c r="P792" s="13">
        <f t="shared" si="1583"/>
        <v>0</v>
      </c>
      <c r="Q792" s="13">
        <f t="shared" si="1583"/>
        <v>0</v>
      </c>
      <c r="R792" s="13">
        <f t="shared" si="1583"/>
        <v>0</v>
      </c>
      <c r="S792" s="13">
        <f t="shared" si="1583"/>
        <v>0</v>
      </c>
      <c r="T792" s="13">
        <f t="shared" si="1583"/>
        <v>0</v>
      </c>
      <c r="U792" s="13">
        <f t="shared" si="1583"/>
        <v>0</v>
      </c>
      <c r="V792" s="13">
        <f t="shared" si="1583"/>
        <v>0</v>
      </c>
      <c r="W792" s="13">
        <f t="shared" si="1583"/>
        <v>0</v>
      </c>
      <c r="X792" s="13">
        <f t="shared" si="1583"/>
        <v>0</v>
      </c>
      <c r="Y792" s="13">
        <f t="shared" si="1583"/>
        <v>0</v>
      </c>
      <c r="Z792" s="13">
        <f t="shared" si="1583"/>
        <v>2</v>
      </c>
      <c r="AA792" s="13">
        <f t="shared" si="1583"/>
        <v>0</v>
      </c>
      <c r="AB792" s="13">
        <f t="shared" ref="AB792:AP792" si="1584">IFERROR(VALUE(RIGHT(LEFT($J792,FIND(AB$1,$J792,IF(M792=0,1,FIND(AB$1,$J792,1)+1))+LEN(AB$1)),1)),0)</f>
        <v>0</v>
      </c>
      <c r="AC792" s="13">
        <f t="shared" si="1584"/>
        <v>0</v>
      </c>
      <c r="AD792" s="13">
        <f t="shared" si="1584"/>
        <v>1</v>
      </c>
      <c r="AE792" s="13">
        <f t="shared" si="1584"/>
        <v>0</v>
      </c>
      <c r="AF792" s="13">
        <f t="shared" si="1584"/>
        <v>0</v>
      </c>
      <c r="AG792" s="13">
        <f t="shared" si="1584"/>
        <v>0</v>
      </c>
      <c r="AH792" s="13">
        <f t="shared" si="1584"/>
        <v>0</v>
      </c>
      <c r="AI792" s="13">
        <f t="shared" si="1584"/>
        <v>0</v>
      </c>
      <c r="AJ792" s="13">
        <f t="shared" si="1584"/>
        <v>0</v>
      </c>
      <c r="AK792" s="13">
        <f t="shared" si="1584"/>
        <v>0</v>
      </c>
      <c r="AL792" s="13">
        <f t="shared" si="1584"/>
        <v>0</v>
      </c>
      <c r="AM792" s="13">
        <f t="shared" si="1584"/>
        <v>0</v>
      </c>
      <c r="AN792" s="13">
        <f t="shared" si="1584"/>
        <v>0</v>
      </c>
      <c r="AO792" s="13">
        <f t="shared" si="1584"/>
        <v>1</v>
      </c>
      <c r="AP792" s="13">
        <f t="shared" si="1584"/>
        <v>0</v>
      </c>
      <c r="AQ792" s="13"/>
      <c r="AR792" s="13" t="s">
        <v>2065</v>
      </c>
      <c r="AS792" s="13" t="s">
        <v>3340</v>
      </c>
      <c r="AT792" s="13" t="s">
        <v>4900</v>
      </c>
      <c r="AU792" s="13" t="s">
        <v>130</v>
      </c>
      <c r="AV792" s="13" t="s">
        <v>4901</v>
      </c>
      <c r="AW792" s="13">
        <v>26.0</v>
      </c>
      <c r="AX792" s="13">
        <v>13.0</v>
      </c>
      <c r="AY792" s="13">
        <v>0.0</v>
      </c>
      <c r="AZ792" s="13" t="s">
        <v>4902</v>
      </c>
      <c r="BA792" s="13" t="s">
        <v>4903</v>
      </c>
      <c r="BB792" s="13"/>
      <c r="BC792" s="13"/>
      <c r="BD792" s="13" t="s">
        <v>261</v>
      </c>
      <c r="BE792" s="13"/>
      <c r="BF792" s="13" t="s">
        <v>1988</v>
      </c>
      <c r="BG792" s="13" t="s">
        <v>263</v>
      </c>
      <c r="BH792" s="13" t="s">
        <v>79</v>
      </c>
      <c r="BI792" s="13" t="b">
        <v>0</v>
      </c>
      <c r="BJ792" s="13">
        <v>0.0</v>
      </c>
      <c r="BK792" s="13">
        <v>0.0</v>
      </c>
    </row>
    <row r="793" ht="14.25" customHeight="1">
      <c r="A793" s="13">
        <v>791.0</v>
      </c>
      <c r="B793" s="13" t="s">
        <v>51</v>
      </c>
      <c r="C793" s="13">
        <v>4.0</v>
      </c>
      <c r="D793" s="14">
        <v>0.0</v>
      </c>
      <c r="E793" s="13" t="s">
        <v>4904</v>
      </c>
      <c r="F793" s="15" t="s">
        <v>465</v>
      </c>
      <c r="G793" s="16" t="s">
        <v>4905</v>
      </c>
      <c r="H793" s="13">
        <v>18.0</v>
      </c>
      <c r="I793" s="13">
        <v>0.9</v>
      </c>
      <c r="J793" s="13" t="s">
        <v>4906</v>
      </c>
      <c r="K793" s="13">
        <f t="shared" si="3"/>
        <v>2</v>
      </c>
      <c r="L793" s="13">
        <f t="shared" si="4"/>
        <v>2</v>
      </c>
      <c r="M793" s="13">
        <f t="shared" ref="M793:AA793" si="1585">IFERROR(VALUE(RIGHT(LEFT($J793,FIND(M$1,$J793,1)+LEN(M$1)),1)),0)</f>
        <v>0</v>
      </c>
      <c r="N793" s="13">
        <f t="shared" si="1585"/>
        <v>0</v>
      </c>
      <c r="O793" s="13">
        <f t="shared" si="1585"/>
        <v>0</v>
      </c>
      <c r="P793" s="13">
        <f t="shared" si="1585"/>
        <v>0</v>
      </c>
      <c r="Q793" s="13">
        <f t="shared" si="1585"/>
        <v>0</v>
      </c>
      <c r="R793" s="13">
        <f t="shared" si="1585"/>
        <v>2</v>
      </c>
      <c r="S793" s="13">
        <f t="shared" si="1585"/>
        <v>0</v>
      </c>
      <c r="T793" s="13">
        <f t="shared" si="1585"/>
        <v>0</v>
      </c>
      <c r="U793" s="13">
        <f t="shared" si="1585"/>
        <v>0</v>
      </c>
      <c r="V793" s="13">
        <f t="shared" si="1585"/>
        <v>0</v>
      </c>
      <c r="W793" s="13">
        <f t="shared" si="1585"/>
        <v>0</v>
      </c>
      <c r="X793" s="13">
        <f t="shared" si="1585"/>
        <v>0</v>
      </c>
      <c r="Y793" s="13">
        <f t="shared" si="1585"/>
        <v>0</v>
      </c>
      <c r="Z793" s="13">
        <f t="shared" si="1585"/>
        <v>0</v>
      </c>
      <c r="AA793" s="13">
        <f t="shared" si="1585"/>
        <v>0</v>
      </c>
      <c r="AB793" s="13">
        <f t="shared" ref="AB793:AP793" si="1586">IFERROR(VALUE(RIGHT(LEFT($J793,FIND(AB$1,$J793,IF(M793=0,1,FIND(AB$1,$J793,1)+1))+LEN(AB$1)),1)),0)</f>
        <v>0</v>
      </c>
      <c r="AC793" s="13">
        <f t="shared" si="1586"/>
        <v>0</v>
      </c>
      <c r="AD793" s="13">
        <f t="shared" si="1586"/>
        <v>0</v>
      </c>
      <c r="AE793" s="13">
        <f t="shared" si="1586"/>
        <v>1</v>
      </c>
      <c r="AF793" s="13">
        <f t="shared" si="1586"/>
        <v>0</v>
      </c>
      <c r="AG793" s="13">
        <f t="shared" si="1586"/>
        <v>0</v>
      </c>
      <c r="AH793" s="13">
        <f t="shared" si="1586"/>
        <v>0</v>
      </c>
      <c r="AI793" s="13">
        <f t="shared" si="1586"/>
        <v>0</v>
      </c>
      <c r="AJ793" s="13">
        <f t="shared" si="1586"/>
        <v>0</v>
      </c>
      <c r="AK793" s="13">
        <f t="shared" si="1586"/>
        <v>0</v>
      </c>
      <c r="AL793" s="13">
        <f t="shared" si="1586"/>
        <v>0</v>
      </c>
      <c r="AM793" s="13">
        <f t="shared" si="1586"/>
        <v>0</v>
      </c>
      <c r="AN793" s="13">
        <f t="shared" si="1586"/>
        <v>0</v>
      </c>
      <c r="AO793" s="13">
        <f t="shared" si="1586"/>
        <v>1</v>
      </c>
      <c r="AP793" s="13">
        <f t="shared" si="1586"/>
        <v>0</v>
      </c>
      <c r="AQ793" s="13"/>
      <c r="AR793" s="13" t="s">
        <v>4907</v>
      </c>
      <c r="AS793" s="13" t="s">
        <v>4908</v>
      </c>
      <c r="AT793" s="13" t="s">
        <v>315</v>
      </c>
      <c r="AU793" s="13" t="s">
        <v>143</v>
      </c>
      <c r="AV793" s="13" t="s">
        <v>4909</v>
      </c>
      <c r="AW793" s="13">
        <v>25.0</v>
      </c>
      <c r="AX793" s="13">
        <v>13.0</v>
      </c>
      <c r="AY793" s="13">
        <v>0.0</v>
      </c>
      <c r="AZ793" s="13" t="s">
        <v>4910</v>
      </c>
      <c r="BA793" s="13" t="s">
        <v>4911</v>
      </c>
      <c r="BB793" s="13"/>
      <c r="BC793" s="13"/>
      <c r="BD793" s="13" t="s">
        <v>789</v>
      </c>
      <c r="BE793" s="13"/>
      <c r="BF793" s="13" t="s">
        <v>1954</v>
      </c>
      <c r="BG793" s="13" t="s">
        <v>263</v>
      </c>
      <c r="BH793" s="13" t="s">
        <v>241</v>
      </c>
      <c r="BI793" s="13" t="b">
        <v>0</v>
      </c>
      <c r="BJ793" s="13">
        <v>0.0</v>
      </c>
      <c r="BK793" s="13">
        <v>0.0</v>
      </c>
    </row>
    <row r="794" ht="14.25" customHeight="1">
      <c r="A794" s="13">
        <v>792.0</v>
      </c>
      <c r="B794" s="13" t="s">
        <v>44</v>
      </c>
      <c r="C794" s="13">
        <v>5.0</v>
      </c>
      <c r="D794" s="14">
        <v>0.0</v>
      </c>
      <c r="E794" s="13" t="s">
        <v>4912</v>
      </c>
      <c r="F794" s="15" t="s">
        <v>465</v>
      </c>
      <c r="G794" s="16" t="s">
        <v>4913</v>
      </c>
      <c r="H794" s="13"/>
      <c r="I794" s="13">
        <v>1.2</v>
      </c>
      <c r="J794" s="13" t="s">
        <v>4914</v>
      </c>
      <c r="K794" s="13">
        <f t="shared" si="3"/>
        <v>4</v>
      </c>
      <c r="L794" s="13">
        <f t="shared" si="4"/>
        <v>0</v>
      </c>
      <c r="M794" s="13">
        <f t="shared" ref="M794:AA794" si="1587">IFERROR(VALUE(RIGHT(LEFT($J794,FIND(M$1,$J794,1)+LEN(M$1)),1)),0)</f>
        <v>0</v>
      </c>
      <c r="N794" s="13">
        <f t="shared" si="1587"/>
        <v>0</v>
      </c>
      <c r="O794" s="13">
        <f t="shared" si="1587"/>
        <v>0</v>
      </c>
      <c r="P794" s="13">
        <f t="shared" si="1587"/>
        <v>1</v>
      </c>
      <c r="Q794" s="13">
        <f t="shared" si="1587"/>
        <v>0</v>
      </c>
      <c r="R794" s="13">
        <f t="shared" si="1587"/>
        <v>1</v>
      </c>
      <c r="S794" s="13">
        <f t="shared" si="1587"/>
        <v>2</v>
      </c>
      <c r="T794" s="13">
        <f t="shared" si="1587"/>
        <v>0</v>
      </c>
      <c r="U794" s="13">
        <f t="shared" si="1587"/>
        <v>0</v>
      </c>
      <c r="V794" s="13">
        <f t="shared" si="1587"/>
        <v>0</v>
      </c>
      <c r="W794" s="13">
        <f t="shared" si="1587"/>
        <v>0</v>
      </c>
      <c r="X794" s="13">
        <f t="shared" si="1587"/>
        <v>0</v>
      </c>
      <c r="Y794" s="13">
        <f t="shared" si="1587"/>
        <v>0</v>
      </c>
      <c r="Z794" s="13">
        <f t="shared" si="1587"/>
        <v>0</v>
      </c>
      <c r="AA794" s="13">
        <f t="shared" si="1587"/>
        <v>0</v>
      </c>
      <c r="AB794" s="13">
        <f t="shared" ref="AB794:AP794" si="1588">IFERROR(VALUE(RIGHT(LEFT($J794,FIND(AB$1,$J794,IF(M794=0,1,FIND(AB$1,$J794,1)+1))+LEN(AB$1)),1)),0)</f>
        <v>0</v>
      </c>
      <c r="AC794" s="13">
        <f t="shared" si="1588"/>
        <v>0</v>
      </c>
      <c r="AD794" s="13">
        <f t="shared" si="1588"/>
        <v>0</v>
      </c>
      <c r="AE794" s="13">
        <f t="shared" si="1588"/>
        <v>0</v>
      </c>
      <c r="AF794" s="13">
        <f t="shared" si="1588"/>
        <v>0</v>
      </c>
      <c r="AG794" s="13">
        <f t="shared" si="1588"/>
        <v>0</v>
      </c>
      <c r="AH794" s="13">
        <f t="shared" si="1588"/>
        <v>0</v>
      </c>
      <c r="AI794" s="13">
        <f t="shared" si="1588"/>
        <v>0</v>
      </c>
      <c r="AJ794" s="13">
        <f t="shared" si="1588"/>
        <v>0</v>
      </c>
      <c r="AK794" s="13">
        <f t="shared" si="1588"/>
        <v>0</v>
      </c>
      <c r="AL794" s="13">
        <f t="shared" si="1588"/>
        <v>0</v>
      </c>
      <c r="AM794" s="13">
        <f t="shared" si="1588"/>
        <v>0</v>
      </c>
      <c r="AN794" s="13">
        <f t="shared" si="1588"/>
        <v>0</v>
      </c>
      <c r="AO794" s="13">
        <f t="shared" si="1588"/>
        <v>0</v>
      </c>
      <c r="AP794" s="13">
        <f t="shared" si="1588"/>
        <v>0</v>
      </c>
      <c r="AQ794" s="13" t="s">
        <v>4915</v>
      </c>
      <c r="AR794" s="13"/>
      <c r="AS794" s="13" t="s">
        <v>4916</v>
      </c>
      <c r="AT794" s="13"/>
      <c r="AU794" s="13"/>
      <c r="AV794" s="13"/>
      <c r="AW794" s="13">
        <v>22.0</v>
      </c>
      <c r="AX794" s="13">
        <v>13.0</v>
      </c>
      <c r="AY794" s="13">
        <v>0.0</v>
      </c>
      <c r="AZ794" s="13"/>
      <c r="BA794" s="13"/>
      <c r="BB794" s="13"/>
      <c r="BC794" s="13"/>
      <c r="BD794" s="13"/>
      <c r="BE794" s="13"/>
      <c r="BF794" s="13"/>
      <c r="BG794" s="13"/>
      <c r="BH794" s="13" t="s">
        <v>79</v>
      </c>
      <c r="BI794" s="13" t="b">
        <v>0</v>
      </c>
      <c r="BJ794" s="13">
        <v>0.0</v>
      </c>
      <c r="BK794" s="13">
        <v>0.0</v>
      </c>
    </row>
    <row r="795" ht="14.25" customHeight="1">
      <c r="A795" s="13">
        <v>793.0</v>
      </c>
      <c r="B795" s="13" t="s">
        <v>48</v>
      </c>
      <c r="C795" s="13">
        <v>5.0</v>
      </c>
      <c r="D795" s="14">
        <v>0.0</v>
      </c>
      <c r="E795" s="13" t="s">
        <v>4917</v>
      </c>
      <c r="F795" s="15" t="s">
        <v>465</v>
      </c>
      <c r="G795" s="16" t="s">
        <v>4918</v>
      </c>
      <c r="H795" s="13">
        <v>20.0</v>
      </c>
      <c r="I795" s="13">
        <v>1.3</v>
      </c>
      <c r="J795" s="13" t="s">
        <v>4919</v>
      </c>
      <c r="K795" s="13">
        <f t="shared" si="3"/>
        <v>4</v>
      </c>
      <c r="L795" s="13">
        <f t="shared" si="4"/>
        <v>0</v>
      </c>
      <c r="M795" s="13">
        <f t="shared" ref="M795:AA795" si="1589">IFERROR(VALUE(RIGHT(LEFT($J795,FIND(M$1,$J795,1)+LEN(M$1)),1)),0)</f>
        <v>0</v>
      </c>
      <c r="N795" s="13">
        <f t="shared" si="1589"/>
        <v>1</v>
      </c>
      <c r="O795" s="13">
        <f t="shared" si="1589"/>
        <v>0</v>
      </c>
      <c r="P795" s="13">
        <f t="shared" si="1589"/>
        <v>0</v>
      </c>
      <c r="Q795" s="13">
        <f t="shared" si="1589"/>
        <v>0</v>
      </c>
      <c r="R795" s="13">
        <f t="shared" si="1589"/>
        <v>1</v>
      </c>
      <c r="S795" s="13">
        <f t="shared" si="1589"/>
        <v>0</v>
      </c>
      <c r="T795" s="13">
        <f t="shared" si="1589"/>
        <v>0</v>
      </c>
      <c r="U795" s="13">
        <f t="shared" si="1589"/>
        <v>0</v>
      </c>
      <c r="V795" s="13">
        <f t="shared" si="1589"/>
        <v>0</v>
      </c>
      <c r="W795" s="13">
        <f t="shared" si="1589"/>
        <v>2</v>
      </c>
      <c r="X795" s="13">
        <f t="shared" si="1589"/>
        <v>0</v>
      </c>
      <c r="Y795" s="13">
        <f t="shared" si="1589"/>
        <v>0</v>
      </c>
      <c r="Z795" s="13">
        <f t="shared" si="1589"/>
        <v>0</v>
      </c>
      <c r="AA795" s="13">
        <f t="shared" si="1589"/>
        <v>0</v>
      </c>
      <c r="AB795" s="13">
        <f t="shared" ref="AB795:AP795" si="1590">IFERROR(VALUE(RIGHT(LEFT($J795,FIND(AB$1,$J795,IF(M795=0,1,FIND(AB$1,$J795,1)+1))+LEN(AB$1)),1)),0)</f>
        <v>0</v>
      </c>
      <c r="AC795" s="13">
        <f t="shared" si="1590"/>
        <v>0</v>
      </c>
      <c r="AD795" s="13">
        <f t="shared" si="1590"/>
        <v>0</v>
      </c>
      <c r="AE795" s="13">
        <f t="shared" si="1590"/>
        <v>0</v>
      </c>
      <c r="AF795" s="13">
        <f t="shared" si="1590"/>
        <v>0</v>
      </c>
      <c r="AG795" s="13">
        <f t="shared" si="1590"/>
        <v>0</v>
      </c>
      <c r="AH795" s="13">
        <f t="shared" si="1590"/>
        <v>0</v>
      </c>
      <c r="AI795" s="13">
        <f t="shared" si="1590"/>
        <v>0</v>
      </c>
      <c r="AJ795" s="13">
        <f t="shared" si="1590"/>
        <v>0</v>
      </c>
      <c r="AK795" s="13">
        <f t="shared" si="1590"/>
        <v>0</v>
      </c>
      <c r="AL795" s="13">
        <f t="shared" si="1590"/>
        <v>0</v>
      </c>
      <c r="AM795" s="13">
        <f t="shared" si="1590"/>
        <v>0</v>
      </c>
      <c r="AN795" s="13">
        <f t="shared" si="1590"/>
        <v>0</v>
      </c>
      <c r="AO795" s="13">
        <f t="shared" si="1590"/>
        <v>0</v>
      </c>
      <c r="AP795" s="13">
        <f t="shared" si="1590"/>
        <v>0</v>
      </c>
      <c r="AQ795" s="13"/>
      <c r="AR795" s="13" t="s">
        <v>4920</v>
      </c>
      <c r="AS795" s="13" t="s">
        <v>4921</v>
      </c>
      <c r="AT795" s="13" t="s">
        <v>4922</v>
      </c>
      <c r="AU795" s="13" t="s">
        <v>803</v>
      </c>
      <c r="AV795" s="13" t="s">
        <v>4923</v>
      </c>
      <c r="AW795" s="13">
        <v>30.0</v>
      </c>
      <c r="AX795" s="13">
        <v>13.0</v>
      </c>
      <c r="AY795" s="13">
        <v>0.0</v>
      </c>
      <c r="AZ795" s="13" t="s">
        <v>4924</v>
      </c>
      <c r="BA795" s="13" t="s">
        <v>4925</v>
      </c>
      <c r="BB795" s="13"/>
      <c r="BC795" s="13"/>
      <c r="BD795" s="13" t="s">
        <v>188</v>
      </c>
      <c r="BE795" s="13"/>
      <c r="BF795" s="13" t="s">
        <v>4926</v>
      </c>
      <c r="BG795" s="13" t="s">
        <v>169</v>
      </c>
      <c r="BH795" s="13" t="s">
        <v>241</v>
      </c>
      <c r="BI795" s="13" t="b">
        <v>0</v>
      </c>
      <c r="BJ795" s="13">
        <v>0.0</v>
      </c>
      <c r="BK795" s="13">
        <v>0.0</v>
      </c>
    </row>
    <row r="796" ht="14.25" customHeight="1">
      <c r="A796" s="13">
        <v>794.0</v>
      </c>
      <c r="B796" s="13" t="s">
        <v>44</v>
      </c>
      <c r="C796" s="13">
        <v>0.0</v>
      </c>
      <c r="D796" s="14">
        <v>0.0</v>
      </c>
      <c r="E796" s="13" t="s">
        <v>4927</v>
      </c>
      <c r="F796" s="15" t="s">
        <v>4928</v>
      </c>
      <c r="G796" s="16" t="s">
        <v>4929</v>
      </c>
      <c r="H796" s="13"/>
      <c r="I796" s="13">
        <v>1.1</v>
      </c>
      <c r="J796" s="13" t="s">
        <v>2185</v>
      </c>
      <c r="K796" s="13">
        <f t="shared" si="3"/>
        <v>0</v>
      </c>
      <c r="L796" s="13">
        <f t="shared" si="4"/>
        <v>1</v>
      </c>
      <c r="M796" s="13">
        <f t="shared" ref="M796:AA796" si="1591">IFERROR(VALUE(RIGHT(LEFT($J796,FIND(M$1,$J796,1)+LEN(M$1)),1)),0)</f>
        <v>0</v>
      </c>
      <c r="N796" s="13">
        <f t="shared" si="1591"/>
        <v>0</v>
      </c>
      <c r="O796" s="13">
        <f t="shared" si="1591"/>
        <v>0</v>
      </c>
      <c r="P796" s="13">
        <f t="shared" si="1591"/>
        <v>0</v>
      </c>
      <c r="Q796" s="13">
        <f t="shared" si="1591"/>
        <v>0</v>
      </c>
      <c r="R796" s="13">
        <f t="shared" si="1591"/>
        <v>0</v>
      </c>
      <c r="S796" s="13">
        <f t="shared" si="1591"/>
        <v>0</v>
      </c>
      <c r="T796" s="13">
        <f t="shared" si="1591"/>
        <v>0</v>
      </c>
      <c r="U796" s="13">
        <f t="shared" si="1591"/>
        <v>0</v>
      </c>
      <c r="V796" s="13">
        <f t="shared" si="1591"/>
        <v>0</v>
      </c>
      <c r="W796" s="13">
        <f t="shared" si="1591"/>
        <v>0</v>
      </c>
      <c r="X796" s="13">
        <f t="shared" si="1591"/>
        <v>0</v>
      </c>
      <c r="Y796" s="13">
        <f t="shared" si="1591"/>
        <v>0</v>
      </c>
      <c r="Z796" s="13">
        <f t="shared" si="1591"/>
        <v>0</v>
      </c>
      <c r="AA796" s="13">
        <f t="shared" si="1591"/>
        <v>0</v>
      </c>
      <c r="AB796" s="13">
        <f t="shared" ref="AB796:AP796" si="1592">IFERROR(VALUE(RIGHT(LEFT($J796,FIND(AB$1,$J796,IF(M796=0,1,FIND(AB$1,$J796,1)+1))+LEN(AB$1)),1)),0)</f>
        <v>0</v>
      </c>
      <c r="AC796" s="13">
        <f t="shared" si="1592"/>
        <v>0</v>
      </c>
      <c r="AD796" s="13">
        <f t="shared" si="1592"/>
        <v>0</v>
      </c>
      <c r="AE796" s="13">
        <f t="shared" si="1592"/>
        <v>0</v>
      </c>
      <c r="AF796" s="13">
        <f t="shared" si="1592"/>
        <v>0</v>
      </c>
      <c r="AG796" s="13">
        <f t="shared" si="1592"/>
        <v>0</v>
      </c>
      <c r="AH796" s="13">
        <f t="shared" si="1592"/>
        <v>1</v>
      </c>
      <c r="AI796" s="13">
        <f t="shared" si="1592"/>
        <v>0</v>
      </c>
      <c r="AJ796" s="13">
        <f t="shared" si="1592"/>
        <v>0</v>
      </c>
      <c r="AK796" s="13">
        <f t="shared" si="1592"/>
        <v>0</v>
      </c>
      <c r="AL796" s="13">
        <f t="shared" si="1592"/>
        <v>0</v>
      </c>
      <c r="AM796" s="13">
        <f t="shared" si="1592"/>
        <v>0</v>
      </c>
      <c r="AN796" s="13">
        <f t="shared" si="1592"/>
        <v>0</v>
      </c>
      <c r="AO796" s="13">
        <f t="shared" si="1592"/>
        <v>0</v>
      </c>
      <c r="AP796" s="13">
        <f t="shared" si="1592"/>
        <v>0</v>
      </c>
      <c r="AQ796" s="13" t="s">
        <v>4930</v>
      </c>
      <c r="AR796" s="13"/>
      <c r="AS796" s="13" t="s">
        <v>3154</v>
      </c>
      <c r="AT796" s="13"/>
      <c r="AU796" s="13"/>
      <c r="AV796" s="13"/>
      <c r="AW796" s="13">
        <v>0.0</v>
      </c>
      <c r="AX796" s="13">
        <v>14.0</v>
      </c>
      <c r="AY796" s="13">
        <v>0.0</v>
      </c>
      <c r="AZ796" s="13"/>
      <c r="BA796" s="13"/>
      <c r="BB796" s="13"/>
      <c r="BC796" s="13"/>
      <c r="BD796" s="13"/>
      <c r="BE796" s="13"/>
      <c r="BF796" s="13"/>
      <c r="BG796" s="13"/>
      <c r="BH796" s="13" t="s">
        <v>79</v>
      </c>
      <c r="BI796" s="13" t="b">
        <v>0</v>
      </c>
      <c r="BJ796" s="13">
        <v>0.0</v>
      </c>
      <c r="BK796" s="13">
        <v>0.0</v>
      </c>
    </row>
    <row r="797" ht="14.25" customHeight="1">
      <c r="A797" s="13">
        <v>795.0</v>
      </c>
      <c r="B797" s="13" t="s">
        <v>45</v>
      </c>
      <c r="C797" s="13">
        <v>0.0</v>
      </c>
      <c r="D797" s="14">
        <v>0.0</v>
      </c>
      <c r="E797" s="13" t="s">
        <v>4931</v>
      </c>
      <c r="F797" s="15" t="s">
        <v>4928</v>
      </c>
      <c r="G797" s="16" t="s">
        <v>4932</v>
      </c>
      <c r="H797" s="13"/>
      <c r="I797" s="13">
        <v>0.9</v>
      </c>
      <c r="J797" s="13" t="s">
        <v>100</v>
      </c>
      <c r="K797" s="13">
        <f t="shared" si="3"/>
        <v>0</v>
      </c>
      <c r="L797" s="13">
        <f t="shared" si="4"/>
        <v>1</v>
      </c>
      <c r="M797" s="13">
        <f t="shared" ref="M797:AA797" si="1593">IFERROR(VALUE(RIGHT(LEFT($J797,FIND(M$1,$J797,1)+LEN(M$1)),1)),0)</f>
        <v>0</v>
      </c>
      <c r="N797" s="13">
        <f t="shared" si="1593"/>
        <v>0</v>
      </c>
      <c r="O797" s="13">
        <f t="shared" si="1593"/>
        <v>0</v>
      </c>
      <c r="P797" s="13">
        <f t="shared" si="1593"/>
        <v>0</v>
      </c>
      <c r="Q797" s="13">
        <f t="shared" si="1593"/>
        <v>0</v>
      </c>
      <c r="R797" s="13">
        <f t="shared" si="1593"/>
        <v>0</v>
      </c>
      <c r="S797" s="13">
        <f t="shared" si="1593"/>
        <v>0</v>
      </c>
      <c r="T797" s="13">
        <f t="shared" si="1593"/>
        <v>0</v>
      </c>
      <c r="U797" s="13">
        <f t="shared" si="1593"/>
        <v>0</v>
      </c>
      <c r="V797" s="13">
        <f t="shared" si="1593"/>
        <v>0</v>
      </c>
      <c r="W797" s="13">
        <f t="shared" si="1593"/>
        <v>0</v>
      </c>
      <c r="X797" s="13">
        <f t="shared" si="1593"/>
        <v>0</v>
      </c>
      <c r="Y797" s="13">
        <f t="shared" si="1593"/>
        <v>0</v>
      </c>
      <c r="Z797" s="13">
        <f t="shared" si="1593"/>
        <v>0</v>
      </c>
      <c r="AA797" s="13">
        <f t="shared" si="1593"/>
        <v>0</v>
      </c>
      <c r="AB797" s="13">
        <f t="shared" ref="AB797:AP797" si="1594">IFERROR(VALUE(RIGHT(LEFT($J797,FIND(AB$1,$J797,IF(M797=0,1,FIND(AB$1,$J797,1)+1))+LEN(AB$1)),1)),0)</f>
        <v>0</v>
      </c>
      <c r="AC797" s="13">
        <f t="shared" si="1594"/>
        <v>0</v>
      </c>
      <c r="AD797" s="13">
        <f t="shared" si="1594"/>
        <v>0</v>
      </c>
      <c r="AE797" s="13">
        <f t="shared" si="1594"/>
        <v>0</v>
      </c>
      <c r="AF797" s="13">
        <f t="shared" si="1594"/>
        <v>0</v>
      </c>
      <c r="AG797" s="13">
        <f t="shared" si="1594"/>
        <v>0</v>
      </c>
      <c r="AH797" s="13">
        <f t="shared" si="1594"/>
        <v>0</v>
      </c>
      <c r="AI797" s="13">
        <f t="shared" si="1594"/>
        <v>1</v>
      </c>
      <c r="AJ797" s="13">
        <f t="shared" si="1594"/>
        <v>0</v>
      </c>
      <c r="AK797" s="13">
        <f t="shared" si="1594"/>
        <v>0</v>
      </c>
      <c r="AL797" s="13">
        <f t="shared" si="1594"/>
        <v>0</v>
      </c>
      <c r="AM797" s="13">
        <f t="shared" si="1594"/>
        <v>0</v>
      </c>
      <c r="AN797" s="13">
        <f t="shared" si="1594"/>
        <v>0</v>
      </c>
      <c r="AO797" s="13">
        <f t="shared" si="1594"/>
        <v>0</v>
      </c>
      <c r="AP797" s="13">
        <f t="shared" si="1594"/>
        <v>0</v>
      </c>
      <c r="AQ797" s="13" t="s">
        <v>4933</v>
      </c>
      <c r="AR797" s="13"/>
      <c r="AS797" s="13" t="s">
        <v>2368</v>
      </c>
      <c r="AT797" s="13"/>
      <c r="AU797" s="13"/>
      <c r="AV797" s="13"/>
      <c r="AW797" s="13">
        <v>0.0</v>
      </c>
      <c r="AX797" s="13">
        <v>14.0</v>
      </c>
      <c r="AY797" s="13">
        <v>0.0</v>
      </c>
      <c r="AZ797" s="13"/>
      <c r="BA797" s="13"/>
      <c r="BB797" s="13"/>
      <c r="BC797" s="13"/>
      <c r="BD797" s="13"/>
      <c r="BE797" s="13"/>
      <c r="BF797" s="13"/>
      <c r="BG797" s="13"/>
      <c r="BH797" s="13" t="s">
        <v>79</v>
      </c>
      <c r="BI797" s="13" t="b">
        <v>0</v>
      </c>
      <c r="BJ797" s="13">
        <v>0.0</v>
      </c>
      <c r="BK797" s="13">
        <v>0.0</v>
      </c>
    </row>
    <row r="798" ht="14.25" customHeight="1">
      <c r="A798" s="13">
        <v>796.0</v>
      </c>
      <c r="B798" s="13" t="s">
        <v>46</v>
      </c>
      <c r="C798" s="13">
        <v>0.0</v>
      </c>
      <c r="D798" s="14">
        <v>0.0</v>
      </c>
      <c r="E798" s="13" t="s">
        <v>4934</v>
      </c>
      <c r="F798" s="15" t="s">
        <v>4928</v>
      </c>
      <c r="G798" s="16" t="s">
        <v>4935</v>
      </c>
      <c r="H798" s="13"/>
      <c r="I798" s="13">
        <v>1.0</v>
      </c>
      <c r="J798" s="13" t="s">
        <v>111</v>
      </c>
      <c r="K798" s="13">
        <f t="shared" si="3"/>
        <v>0</v>
      </c>
      <c r="L798" s="13">
        <f t="shared" si="4"/>
        <v>1</v>
      </c>
      <c r="M798" s="13">
        <f t="shared" ref="M798:AA798" si="1595">IFERROR(VALUE(RIGHT(LEFT($J798,FIND(M$1,$J798,1)+LEN(M$1)),1)),0)</f>
        <v>0</v>
      </c>
      <c r="N798" s="13">
        <f t="shared" si="1595"/>
        <v>0</v>
      </c>
      <c r="O798" s="13">
        <f t="shared" si="1595"/>
        <v>0</v>
      </c>
      <c r="P798" s="13">
        <f t="shared" si="1595"/>
        <v>0</v>
      </c>
      <c r="Q798" s="13">
        <f t="shared" si="1595"/>
        <v>0</v>
      </c>
      <c r="R798" s="13">
        <f t="shared" si="1595"/>
        <v>0</v>
      </c>
      <c r="S798" s="13">
        <f t="shared" si="1595"/>
        <v>0</v>
      </c>
      <c r="T798" s="13">
        <f t="shared" si="1595"/>
        <v>0</v>
      </c>
      <c r="U798" s="13">
        <f t="shared" si="1595"/>
        <v>0</v>
      </c>
      <c r="V798" s="13">
        <f t="shared" si="1595"/>
        <v>0</v>
      </c>
      <c r="W798" s="13">
        <f t="shared" si="1595"/>
        <v>0</v>
      </c>
      <c r="X798" s="13">
        <f t="shared" si="1595"/>
        <v>0</v>
      </c>
      <c r="Y798" s="13">
        <f t="shared" si="1595"/>
        <v>0</v>
      </c>
      <c r="Z798" s="13">
        <f t="shared" si="1595"/>
        <v>0</v>
      </c>
      <c r="AA798" s="13">
        <f t="shared" si="1595"/>
        <v>0</v>
      </c>
      <c r="AB798" s="13">
        <f t="shared" ref="AB798:AP798" si="1596">IFERROR(VALUE(RIGHT(LEFT($J798,FIND(AB$1,$J798,IF(M798=0,1,FIND(AB$1,$J798,1)+1))+LEN(AB$1)),1)),0)</f>
        <v>0</v>
      </c>
      <c r="AC798" s="13">
        <f t="shared" si="1596"/>
        <v>0</v>
      </c>
      <c r="AD798" s="13">
        <f t="shared" si="1596"/>
        <v>0</v>
      </c>
      <c r="AE798" s="13">
        <f t="shared" si="1596"/>
        <v>0</v>
      </c>
      <c r="AF798" s="13">
        <f t="shared" si="1596"/>
        <v>0</v>
      </c>
      <c r="AG798" s="13">
        <f t="shared" si="1596"/>
        <v>0</v>
      </c>
      <c r="AH798" s="13">
        <f t="shared" si="1596"/>
        <v>0</v>
      </c>
      <c r="AI798" s="13">
        <f t="shared" si="1596"/>
        <v>0</v>
      </c>
      <c r="AJ798" s="13">
        <f t="shared" si="1596"/>
        <v>1</v>
      </c>
      <c r="AK798" s="13">
        <f t="shared" si="1596"/>
        <v>0</v>
      </c>
      <c r="AL798" s="13">
        <f t="shared" si="1596"/>
        <v>0</v>
      </c>
      <c r="AM798" s="13">
        <f t="shared" si="1596"/>
        <v>0</v>
      </c>
      <c r="AN798" s="13">
        <f t="shared" si="1596"/>
        <v>0</v>
      </c>
      <c r="AO798" s="13">
        <f t="shared" si="1596"/>
        <v>0</v>
      </c>
      <c r="AP798" s="13">
        <f t="shared" si="1596"/>
        <v>0</v>
      </c>
      <c r="AQ798" s="13" t="s">
        <v>4936</v>
      </c>
      <c r="AR798" s="13"/>
      <c r="AS798" s="13" t="s">
        <v>123</v>
      </c>
      <c r="AT798" s="13"/>
      <c r="AU798" s="13"/>
      <c r="AV798" s="13"/>
      <c r="AW798" s="13">
        <v>0.0</v>
      </c>
      <c r="AX798" s="13">
        <v>14.0</v>
      </c>
      <c r="AY798" s="13">
        <v>0.0</v>
      </c>
      <c r="AZ798" s="13"/>
      <c r="BA798" s="13"/>
      <c r="BB798" s="13"/>
      <c r="BC798" s="13"/>
      <c r="BD798" s="13"/>
      <c r="BE798" s="13"/>
      <c r="BF798" s="13"/>
      <c r="BG798" s="13"/>
      <c r="BH798" s="13" t="s">
        <v>79</v>
      </c>
      <c r="BI798" s="13" t="b">
        <v>0</v>
      </c>
      <c r="BJ798" s="13">
        <v>0.0</v>
      </c>
      <c r="BK798" s="13">
        <v>0.0</v>
      </c>
    </row>
    <row r="799" ht="14.25" customHeight="1">
      <c r="A799" s="13">
        <v>797.0</v>
      </c>
      <c r="B799" s="13" t="s">
        <v>47</v>
      </c>
      <c r="C799" s="13">
        <v>0.0</v>
      </c>
      <c r="D799" s="14">
        <v>0.0</v>
      </c>
      <c r="E799" s="13" t="s">
        <v>4937</v>
      </c>
      <c r="F799" s="15" t="s">
        <v>4928</v>
      </c>
      <c r="G799" s="16" t="s">
        <v>4938</v>
      </c>
      <c r="H799" s="13">
        <v>11.0</v>
      </c>
      <c r="I799" s="13">
        <v>0.9</v>
      </c>
      <c r="J799" s="13" t="s">
        <v>127</v>
      </c>
      <c r="K799" s="13">
        <f t="shared" si="3"/>
        <v>0</v>
      </c>
      <c r="L799" s="13">
        <f t="shared" si="4"/>
        <v>1</v>
      </c>
      <c r="M799" s="13">
        <f t="shared" ref="M799:AA799" si="1597">IFERROR(VALUE(RIGHT(LEFT($J799,FIND(M$1,$J799,1)+LEN(M$1)),1)),0)</f>
        <v>0</v>
      </c>
      <c r="N799" s="13">
        <f t="shared" si="1597"/>
        <v>0</v>
      </c>
      <c r="O799" s="13">
        <f t="shared" si="1597"/>
        <v>0</v>
      </c>
      <c r="P799" s="13">
        <f t="shared" si="1597"/>
        <v>0</v>
      </c>
      <c r="Q799" s="13">
        <f t="shared" si="1597"/>
        <v>0</v>
      </c>
      <c r="R799" s="13">
        <f t="shared" si="1597"/>
        <v>0</v>
      </c>
      <c r="S799" s="13">
        <f t="shared" si="1597"/>
        <v>0</v>
      </c>
      <c r="T799" s="13">
        <f t="shared" si="1597"/>
        <v>0</v>
      </c>
      <c r="U799" s="13">
        <f t="shared" si="1597"/>
        <v>0</v>
      </c>
      <c r="V799" s="13">
        <f t="shared" si="1597"/>
        <v>0</v>
      </c>
      <c r="W799" s="13">
        <f t="shared" si="1597"/>
        <v>0</v>
      </c>
      <c r="X799" s="13">
        <f t="shared" si="1597"/>
        <v>0</v>
      </c>
      <c r="Y799" s="13">
        <f t="shared" si="1597"/>
        <v>0</v>
      </c>
      <c r="Z799" s="13">
        <f t="shared" si="1597"/>
        <v>0</v>
      </c>
      <c r="AA799" s="13">
        <f t="shared" si="1597"/>
        <v>0</v>
      </c>
      <c r="AB799" s="13">
        <f t="shared" ref="AB799:AP799" si="1598">IFERROR(VALUE(RIGHT(LEFT($J799,FIND(AB$1,$J799,IF(M799=0,1,FIND(AB$1,$J799,1)+1))+LEN(AB$1)),1)),0)</f>
        <v>0</v>
      </c>
      <c r="AC799" s="13">
        <f t="shared" si="1598"/>
        <v>0</v>
      </c>
      <c r="AD799" s="13">
        <f t="shared" si="1598"/>
        <v>0</v>
      </c>
      <c r="AE799" s="13">
        <f t="shared" si="1598"/>
        <v>0</v>
      </c>
      <c r="AF799" s="13">
        <f t="shared" si="1598"/>
        <v>0</v>
      </c>
      <c r="AG799" s="13">
        <f t="shared" si="1598"/>
        <v>0</v>
      </c>
      <c r="AH799" s="13">
        <f t="shared" si="1598"/>
        <v>0</v>
      </c>
      <c r="AI799" s="13">
        <f t="shared" si="1598"/>
        <v>0</v>
      </c>
      <c r="AJ799" s="13">
        <f t="shared" si="1598"/>
        <v>0</v>
      </c>
      <c r="AK799" s="13">
        <f t="shared" si="1598"/>
        <v>1</v>
      </c>
      <c r="AL799" s="13">
        <f t="shared" si="1598"/>
        <v>0</v>
      </c>
      <c r="AM799" s="13">
        <f t="shared" si="1598"/>
        <v>0</v>
      </c>
      <c r="AN799" s="13">
        <f t="shared" si="1598"/>
        <v>0</v>
      </c>
      <c r="AO799" s="13">
        <f t="shared" si="1598"/>
        <v>0</v>
      </c>
      <c r="AP799" s="13">
        <f t="shared" si="1598"/>
        <v>0</v>
      </c>
      <c r="AQ799" s="13"/>
      <c r="AR799" s="13" t="s">
        <v>4939</v>
      </c>
      <c r="AS799" s="13" t="s">
        <v>141</v>
      </c>
      <c r="AT799" s="13" t="s">
        <v>257</v>
      </c>
      <c r="AU799" s="13" t="s">
        <v>130</v>
      </c>
      <c r="AV799" s="13" t="s">
        <v>4940</v>
      </c>
      <c r="AW799" s="13">
        <v>6.0</v>
      </c>
      <c r="AX799" s="13">
        <v>14.0</v>
      </c>
      <c r="AY799" s="13">
        <v>0.0</v>
      </c>
      <c r="AZ799" s="13" t="s">
        <v>2972</v>
      </c>
      <c r="BA799" s="13" t="s">
        <v>2972</v>
      </c>
      <c r="BB799" s="13"/>
      <c r="BC799" s="13"/>
      <c r="BD799" s="13" t="s">
        <v>134</v>
      </c>
      <c r="BE799" s="13"/>
      <c r="BF799" s="13" t="s">
        <v>262</v>
      </c>
      <c r="BG799" s="13" t="s">
        <v>136</v>
      </c>
      <c r="BH799" s="13" t="s">
        <v>79</v>
      </c>
      <c r="BI799" s="13" t="b">
        <v>0</v>
      </c>
      <c r="BJ799" s="13">
        <v>0.0</v>
      </c>
      <c r="BK799" s="13">
        <v>0.0</v>
      </c>
    </row>
    <row r="800" ht="14.25" customHeight="1">
      <c r="A800" s="13">
        <v>798.0</v>
      </c>
      <c r="B800" s="13" t="s">
        <v>47</v>
      </c>
      <c r="C800" s="13">
        <v>0.0</v>
      </c>
      <c r="D800" s="14">
        <v>0.0</v>
      </c>
      <c r="E800" s="13" t="s">
        <v>4941</v>
      </c>
      <c r="F800" s="15" t="s">
        <v>4928</v>
      </c>
      <c r="G800" s="16" t="s">
        <v>4942</v>
      </c>
      <c r="H800" s="13">
        <v>9.0</v>
      </c>
      <c r="I800" s="13">
        <v>1.1</v>
      </c>
      <c r="J800" s="13" t="s">
        <v>127</v>
      </c>
      <c r="K800" s="13">
        <f t="shared" si="3"/>
        <v>0</v>
      </c>
      <c r="L800" s="13">
        <f t="shared" si="4"/>
        <v>1</v>
      </c>
      <c r="M800" s="13">
        <f t="shared" ref="M800:AA800" si="1599">IFERROR(VALUE(RIGHT(LEFT($J800,FIND(M$1,$J800,1)+LEN(M$1)),1)),0)</f>
        <v>0</v>
      </c>
      <c r="N800" s="13">
        <f t="shared" si="1599"/>
        <v>0</v>
      </c>
      <c r="O800" s="13">
        <f t="shared" si="1599"/>
        <v>0</v>
      </c>
      <c r="P800" s="13">
        <f t="shared" si="1599"/>
        <v>0</v>
      </c>
      <c r="Q800" s="13">
        <f t="shared" si="1599"/>
        <v>0</v>
      </c>
      <c r="R800" s="13">
        <f t="shared" si="1599"/>
        <v>0</v>
      </c>
      <c r="S800" s="13">
        <f t="shared" si="1599"/>
        <v>0</v>
      </c>
      <c r="T800" s="13">
        <f t="shared" si="1599"/>
        <v>0</v>
      </c>
      <c r="U800" s="13">
        <f t="shared" si="1599"/>
        <v>0</v>
      </c>
      <c r="V800" s="13">
        <f t="shared" si="1599"/>
        <v>0</v>
      </c>
      <c r="W800" s="13">
        <f t="shared" si="1599"/>
        <v>0</v>
      </c>
      <c r="X800" s="13">
        <f t="shared" si="1599"/>
        <v>0</v>
      </c>
      <c r="Y800" s="13">
        <f t="shared" si="1599"/>
        <v>0</v>
      </c>
      <c r="Z800" s="13">
        <f t="shared" si="1599"/>
        <v>0</v>
      </c>
      <c r="AA800" s="13">
        <f t="shared" si="1599"/>
        <v>0</v>
      </c>
      <c r="AB800" s="13">
        <f t="shared" ref="AB800:AP800" si="1600">IFERROR(VALUE(RIGHT(LEFT($J800,FIND(AB$1,$J800,IF(M800=0,1,FIND(AB$1,$J800,1)+1))+LEN(AB$1)),1)),0)</f>
        <v>0</v>
      </c>
      <c r="AC800" s="13">
        <f t="shared" si="1600"/>
        <v>0</v>
      </c>
      <c r="AD800" s="13">
        <f t="shared" si="1600"/>
        <v>0</v>
      </c>
      <c r="AE800" s="13">
        <f t="shared" si="1600"/>
        <v>0</v>
      </c>
      <c r="AF800" s="13">
        <f t="shared" si="1600"/>
        <v>0</v>
      </c>
      <c r="AG800" s="13">
        <f t="shared" si="1600"/>
        <v>0</v>
      </c>
      <c r="AH800" s="13">
        <f t="shared" si="1600"/>
        <v>0</v>
      </c>
      <c r="AI800" s="13">
        <f t="shared" si="1600"/>
        <v>0</v>
      </c>
      <c r="AJ800" s="13">
        <f t="shared" si="1600"/>
        <v>0</v>
      </c>
      <c r="AK800" s="13">
        <f t="shared" si="1600"/>
        <v>1</v>
      </c>
      <c r="AL800" s="13">
        <f t="shared" si="1600"/>
        <v>0</v>
      </c>
      <c r="AM800" s="13">
        <f t="shared" si="1600"/>
        <v>0</v>
      </c>
      <c r="AN800" s="13">
        <f t="shared" si="1600"/>
        <v>0</v>
      </c>
      <c r="AO800" s="13">
        <f t="shared" si="1600"/>
        <v>0</v>
      </c>
      <c r="AP800" s="13">
        <f t="shared" si="1600"/>
        <v>0</v>
      </c>
      <c r="AQ800" s="13"/>
      <c r="AR800" s="13" t="s">
        <v>3581</v>
      </c>
      <c r="AS800" s="13" t="s">
        <v>4452</v>
      </c>
      <c r="AT800" s="13" t="s">
        <v>129</v>
      </c>
      <c r="AU800" s="13" t="s">
        <v>130</v>
      </c>
      <c r="AV800" s="13" t="s">
        <v>4943</v>
      </c>
      <c r="AW800" s="13">
        <v>4.0</v>
      </c>
      <c r="AX800" s="13">
        <v>14.0</v>
      </c>
      <c r="AY800" s="13">
        <v>0.0</v>
      </c>
      <c r="AZ800" s="13" t="s">
        <v>281</v>
      </c>
      <c r="BA800" s="13" t="s">
        <v>165</v>
      </c>
      <c r="BB800" s="13"/>
      <c r="BC800" s="13"/>
      <c r="BD800" s="13" t="s">
        <v>484</v>
      </c>
      <c r="BE800" s="13"/>
      <c r="BF800" s="13" t="s">
        <v>549</v>
      </c>
      <c r="BG800" s="13" t="s">
        <v>136</v>
      </c>
      <c r="BH800" s="13" t="s">
        <v>79</v>
      </c>
      <c r="BI800" s="13" t="b">
        <v>0</v>
      </c>
      <c r="BJ800" s="13">
        <v>0.0</v>
      </c>
      <c r="BK800" s="13">
        <v>0.0</v>
      </c>
    </row>
    <row r="801" ht="14.25" customHeight="1">
      <c r="A801" s="13">
        <v>799.0</v>
      </c>
      <c r="B801" s="13" t="s">
        <v>48</v>
      </c>
      <c r="C801" s="13">
        <v>0.0</v>
      </c>
      <c r="D801" s="14">
        <v>0.0</v>
      </c>
      <c r="E801" s="13" t="s">
        <v>4944</v>
      </c>
      <c r="F801" s="15" t="s">
        <v>1484</v>
      </c>
      <c r="G801" s="16" t="s">
        <v>4945</v>
      </c>
      <c r="H801" s="13">
        <v>10.0</v>
      </c>
      <c r="I801" s="13">
        <v>0.9</v>
      </c>
      <c r="J801" s="13" t="s">
        <v>160</v>
      </c>
      <c r="K801" s="13">
        <f t="shared" si="3"/>
        <v>0</v>
      </c>
      <c r="L801" s="13">
        <f t="shared" si="4"/>
        <v>1</v>
      </c>
      <c r="M801" s="13">
        <f t="shared" ref="M801:AA801" si="1601">IFERROR(VALUE(RIGHT(LEFT($J801,FIND(M$1,$J801,1)+LEN(M$1)),1)),0)</f>
        <v>0</v>
      </c>
      <c r="N801" s="13">
        <f t="shared" si="1601"/>
        <v>0</v>
      </c>
      <c r="O801" s="13">
        <f t="shared" si="1601"/>
        <v>0</v>
      </c>
      <c r="P801" s="13">
        <f t="shared" si="1601"/>
        <v>0</v>
      </c>
      <c r="Q801" s="13">
        <f t="shared" si="1601"/>
        <v>0</v>
      </c>
      <c r="R801" s="13">
        <f t="shared" si="1601"/>
        <v>0</v>
      </c>
      <c r="S801" s="13">
        <f t="shared" si="1601"/>
        <v>0</v>
      </c>
      <c r="T801" s="13">
        <f t="shared" si="1601"/>
        <v>0</v>
      </c>
      <c r="U801" s="13">
        <f t="shared" si="1601"/>
        <v>0</v>
      </c>
      <c r="V801" s="13">
        <f t="shared" si="1601"/>
        <v>0</v>
      </c>
      <c r="W801" s="13">
        <f t="shared" si="1601"/>
        <v>0</v>
      </c>
      <c r="X801" s="13">
        <f t="shared" si="1601"/>
        <v>0</v>
      </c>
      <c r="Y801" s="13">
        <f t="shared" si="1601"/>
        <v>0</v>
      </c>
      <c r="Z801" s="13">
        <f t="shared" si="1601"/>
        <v>0</v>
      </c>
      <c r="AA801" s="13">
        <f t="shared" si="1601"/>
        <v>0</v>
      </c>
      <c r="AB801" s="13">
        <f t="shared" ref="AB801:AP801" si="1602">IFERROR(VALUE(RIGHT(LEFT($J801,FIND(AB$1,$J801,IF(M801=0,1,FIND(AB$1,$J801,1)+1))+LEN(AB$1)),1)),0)</f>
        <v>0</v>
      </c>
      <c r="AC801" s="13">
        <f t="shared" si="1602"/>
        <v>0</v>
      </c>
      <c r="AD801" s="13">
        <f t="shared" si="1602"/>
        <v>0</v>
      </c>
      <c r="AE801" s="13">
        <f t="shared" si="1602"/>
        <v>0</v>
      </c>
      <c r="AF801" s="13">
        <f t="shared" si="1602"/>
        <v>0</v>
      </c>
      <c r="AG801" s="13">
        <f t="shared" si="1602"/>
        <v>0</v>
      </c>
      <c r="AH801" s="13">
        <f t="shared" si="1602"/>
        <v>0</v>
      </c>
      <c r="AI801" s="13">
        <f t="shared" si="1602"/>
        <v>0</v>
      </c>
      <c r="AJ801" s="13">
        <f t="shared" si="1602"/>
        <v>0</v>
      </c>
      <c r="AK801" s="13">
        <f t="shared" si="1602"/>
        <v>0</v>
      </c>
      <c r="AL801" s="13">
        <f t="shared" si="1602"/>
        <v>1</v>
      </c>
      <c r="AM801" s="13">
        <f t="shared" si="1602"/>
        <v>0</v>
      </c>
      <c r="AN801" s="13">
        <f t="shared" si="1602"/>
        <v>0</v>
      </c>
      <c r="AO801" s="13">
        <f t="shared" si="1602"/>
        <v>0</v>
      </c>
      <c r="AP801" s="13">
        <f t="shared" si="1602"/>
        <v>0</v>
      </c>
      <c r="AQ801" s="13"/>
      <c r="AR801" s="13" t="s">
        <v>3380</v>
      </c>
      <c r="AS801" s="13" t="s">
        <v>174</v>
      </c>
      <c r="AT801" s="13" t="s">
        <v>162</v>
      </c>
      <c r="AU801" s="13" t="s">
        <v>163</v>
      </c>
      <c r="AV801" s="13" t="s">
        <v>4449</v>
      </c>
      <c r="AW801" s="13">
        <v>5.0</v>
      </c>
      <c r="AX801" s="13">
        <v>14.0</v>
      </c>
      <c r="AY801" s="13">
        <v>0.0</v>
      </c>
      <c r="AZ801" s="13" t="s">
        <v>197</v>
      </c>
      <c r="BA801" s="13" t="s">
        <v>483</v>
      </c>
      <c r="BB801" s="13"/>
      <c r="BC801" s="13"/>
      <c r="BD801" s="13" t="s">
        <v>188</v>
      </c>
      <c r="BE801" s="13"/>
      <c r="BF801" s="13" t="s">
        <v>688</v>
      </c>
      <c r="BG801" s="13" t="s">
        <v>169</v>
      </c>
      <c r="BH801" s="13" t="s">
        <v>79</v>
      </c>
      <c r="BI801" s="13" t="b">
        <v>0</v>
      </c>
      <c r="BJ801" s="13">
        <v>0.0</v>
      </c>
      <c r="BK801" s="13">
        <v>0.0</v>
      </c>
    </row>
    <row r="802" ht="14.25" customHeight="1">
      <c r="A802" s="13">
        <v>800.0</v>
      </c>
      <c r="B802" s="13" t="s">
        <v>44</v>
      </c>
      <c r="C802" s="13">
        <v>1.0</v>
      </c>
      <c r="D802" s="14">
        <v>0.0</v>
      </c>
      <c r="E802" s="13" t="s">
        <v>4946</v>
      </c>
      <c r="F802" s="15" t="s">
        <v>4928</v>
      </c>
      <c r="G802" s="16" t="s">
        <v>4947</v>
      </c>
      <c r="H802" s="13"/>
      <c r="I802" s="13">
        <v>1.1</v>
      </c>
      <c r="J802" s="13" t="s">
        <v>77</v>
      </c>
      <c r="K802" s="13">
        <f t="shared" si="3"/>
        <v>0</v>
      </c>
      <c r="L802" s="13">
        <f t="shared" si="4"/>
        <v>2</v>
      </c>
      <c r="M802" s="13">
        <f t="shared" ref="M802:AA802" si="1603">IFERROR(VALUE(RIGHT(LEFT($J802,FIND(M$1,$J802,1)+LEN(M$1)),1)),0)</f>
        <v>0</v>
      </c>
      <c r="N802" s="13">
        <f t="shared" si="1603"/>
        <v>0</v>
      </c>
      <c r="O802" s="13">
        <f t="shared" si="1603"/>
        <v>0</v>
      </c>
      <c r="P802" s="13">
        <f t="shared" si="1603"/>
        <v>0</v>
      </c>
      <c r="Q802" s="13">
        <f t="shared" si="1603"/>
        <v>0</v>
      </c>
      <c r="R802" s="13">
        <f t="shared" si="1603"/>
        <v>0</v>
      </c>
      <c r="S802" s="13">
        <f t="shared" si="1603"/>
        <v>0</v>
      </c>
      <c r="T802" s="13">
        <f t="shared" si="1603"/>
        <v>0</v>
      </c>
      <c r="U802" s="13">
        <f t="shared" si="1603"/>
        <v>0</v>
      </c>
      <c r="V802" s="13">
        <f t="shared" si="1603"/>
        <v>0</v>
      </c>
      <c r="W802" s="13">
        <f t="shared" si="1603"/>
        <v>0</v>
      </c>
      <c r="X802" s="13">
        <f t="shared" si="1603"/>
        <v>0</v>
      </c>
      <c r="Y802" s="13">
        <f t="shared" si="1603"/>
        <v>0</v>
      </c>
      <c r="Z802" s="13">
        <f t="shared" si="1603"/>
        <v>0</v>
      </c>
      <c r="AA802" s="13">
        <f t="shared" si="1603"/>
        <v>0</v>
      </c>
      <c r="AB802" s="13">
        <f t="shared" ref="AB802:AP802" si="1604">IFERROR(VALUE(RIGHT(LEFT($J802,FIND(AB$1,$J802,IF(M802=0,1,FIND(AB$1,$J802,1)+1))+LEN(AB$1)),1)),0)</f>
        <v>0</v>
      </c>
      <c r="AC802" s="13">
        <f t="shared" si="1604"/>
        <v>0</v>
      </c>
      <c r="AD802" s="13">
        <f t="shared" si="1604"/>
        <v>0</v>
      </c>
      <c r="AE802" s="13">
        <f t="shared" si="1604"/>
        <v>0</v>
      </c>
      <c r="AF802" s="13">
        <f t="shared" si="1604"/>
        <v>0</v>
      </c>
      <c r="AG802" s="13">
        <f t="shared" si="1604"/>
        <v>1</v>
      </c>
      <c r="AH802" s="13">
        <f t="shared" si="1604"/>
        <v>1</v>
      </c>
      <c r="AI802" s="13">
        <f t="shared" si="1604"/>
        <v>0</v>
      </c>
      <c r="AJ802" s="13">
        <f t="shared" si="1604"/>
        <v>0</v>
      </c>
      <c r="AK802" s="13">
        <f t="shared" si="1604"/>
        <v>0</v>
      </c>
      <c r="AL802" s="13">
        <f t="shared" si="1604"/>
        <v>0</v>
      </c>
      <c r="AM802" s="13">
        <f t="shared" si="1604"/>
        <v>0</v>
      </c>
      <c r="AN802" s="13">
        <f t="shared" si="1604"/>
        <v>0</v>
      </c>
      <c r="AO802" s="13">
        <f t="shared" si="1604"/>
        <v>0</v>
      </c>
      <c r="AP802" s="13">
        <f t="shared" si="1604"/>
        <v>0</v>
      </c>
      <c r="AQ802" s="13" t="s">
        <v>4948</v>
      </c>
      <c r="AR802" s="13"/>
      <c r="AS802" s="13" t="s">
        <v>3797</v>
      </c>
      <c r="AT802" s="13"/>
      <c r="AU802" s="13"/>
      <c r="AV802" s="13"/>
      <c r="AW802" s="13">
        <v>0.0</v>
      </c>
      <c r="AX802" s="13">
        <v>14.0</v>
      </c>
      <c r="AY802" s="13">
        <v>0.0</v>
      </c>
      <c r="AZ802" s="13"/>
      <c r="BA802" s="13"/>
      <c r="BB802" s="13"/>
      <c r="BC802" s="13"/>
      <c r="BD802" s="13"/>
      <c r="BE802" s="13"/>
      <c r="BF802" s="13"/>
      <c r="BG802" s="13"/>
      <c r="BH802" s="13" t="s">
        <v>79</v>
      </c>
      <c r="BI802" s="13" t="b">
        <v>0</v>
      </c>
      <c r="BJ802" s="13">
        <v>0.0</v>
      </c>
      <c r="BK802" s="13">
        <v>0.0</v>
      </c>
    </row>
    <row r="803" ht="14.25" customHeight="1">
      <c r="A803" s="13">
        <v>801.0</v>
      </c>
      <c r="B803" s="13" t="s">
        <v>44</v>
      </c>
      <c r="C803" s="13">
        <v>1.0</v>
      </c>
      <c r="D803" s="14">
        <v>0.0</v>
      </c>
      <c r="E803" s="13" t="s">
        <v>4949</v>
      </c>
      <c r="F803" s="15"/>
      <c r="G803" s="16" t="s">
        <v>4950</v>
      </c>
      <c r="H803" s="13"/>
      <c r="I803" s="13">
        <v>1.1</v>
      </c>
      <c r="J803" s="13" t="s">
        <v>4951</v>
      </c>
      <c r="K803" s="13">
        <f t="shared" si="3"/>
        <v>1</v>
      </c>
      <c r="L803" s="13">
        <f t="shared" si="4"/>
        <v>0</v>
      </c>
      <c r="M803" s="13">
        <f t="shared" ref="M803:AA803" si="1605">IFERROR(VALUE(RIGHT(LEFT($J803,FIND(M$1,$J803,1)+LEN(M$1)),1)),0)</f>
        <v>0</v>
      </c>
      <c r="N803" s="13">
        <f t="shared" si="1605"/>
        <v>1</v>
      </c>
      <c r="O803" s="13">
        <f t="shared" si="1605"/>
        <v>0</v>
      </c>
      <c r="P803" s="13">
        <f t="shared" si="1605"/>
        <v>0</v>
      </c>
      <c r="Q803" s="13">
        <f t="shared" si="1605"/>
        <v>0</v>
      </c>
      <c r="R803" s="13">
        <f t="shared" si="1605"/>
        <v>0</v>
      </c>
      <c r="S803" s="13">
        <f t="shared" si="1605"/>
        <v>0</v>
      </c>
      <c r="T803" s="13">
        <f t="shared" si="1605"/>
        <v>0</v>
      </c>
      <c r="U803" s="13">
        <f t="shared" si="1605"/>
        <v>0</v>
      </c>
      <c r="V803" s="13">
        <f t="shared" si="1605"/>
        <v>0</v>
      </c>
      <c r="W803" s="13">
        <f t="shared" si="1605"/>
        <v>0</v>
      </c>
      <c r="X803" s="13">
        <f t="shared" si="1605"/>
        <v>0</v>
      </c>
      <c r="Y803" s="13">
        <f t="shared" si="1605"/>
        <v>0</v>
      </c>
      <c r="Z803" s="13">
        <f t="shared" si="1605"/>
        <v>0</v>
      </c>
      <c r="AA803" s="13">
        <f t="shared" si="1605"/>
        <v>0</v>
      </c>
      <c r="AB803" s="13">
        <f t="shared" ref="AB803:AP803" si="1606">IFERROR(VALUE(RIGHT(LEFT($J803,FIND(AB$1,$J803,IF(M803=0,1,FIND(AB$1,$J803,1)+1))+LEN(AB$1)),1)),0)</f>
        <v>0</v>
      </c>
      <c r="AC803" s="13">
        <f t="shared" si="1606"/>
        <v>0</v>
      </c>
      <c r="AD803" s="13">
        <f t="shared" si="1606"/>
        <v>0</v>
      </c>
      <c r="AE803" s="13">
        <f t="shared" si="1606"/>
        <v>0</v>
      </c>
      <c r="AF803" s="13">
        <f t="shared" si="1606"/>
        <v>0</v>
      </c>
      <c r="AG803" s="13">
        <f t="shared" si="1606"/>
        <v>0</v>
      </c>
      <c r="AH803" s="13">
        <f t="shared" si="1606"/>
        <v>0</v>
      </c>
      <c r="AI803" s="13">
        <f t="shared" si="1606"/>
        <v>0</v>
      </c>
      <c r="AJ803" s="13">
        <f t="shared" si="1606"/>
        <v>0</v>
      </c>
      <c r="AK803" s="13">
        <f t="shared" si="1606"/>
        <v>0</v>
      </c>
      <c r="AL803" s="13">
        <f t="shared" si="1606"/>
        <v>0</v>
      </c>
      <c r="AM803" s="13">
        <f t="shared" si="1606"/>
        <v>0</v>
      </c>
      <c r="AN803" s="13">
        <f t="shared" si="1606"/>
        <v>0</v>
      </c>
      <c r="AO803" s="13">
        <f t="shared" si="1606"/>
        <v>0</v>
      </c>
      <c r="AP803" s="13">
        <f t="shared" si="1606"/>
        <v>0</v>
      </c>
      <c r="AQ803" s="13" t="s">
        <v>4952</v>
      </c>
      <c r="AR803" s="13"/>
      <c r="AS803" s="13" t="s">
        <v>4953</v>
      </c>
      <c r="AT803" s="13"/>
      <c r="AU803" s="13"/>
      <c r="AV803" s="13"/>
      <c r="AW803" s="13">
        <v>0.0</v>
      </c>
      <c r="AX803" s="13">
        <v>14.0</v>
      </c>
      <c r="AY803" s="13">
        <v>0.0</v>
      </c>
      <c r="AZ803" s="13"/>
      <c r="BA803" s="13"/>
      <c r="BB803" s="13"/>
      <c r="BC803" s="13"/>
      <c r="BD803" s="13"/>
      <c r="BE803" s="13"/>
      <c r="BF803" s="13"/>
      <c r="BG803" s="13"/>
      <c r="BH803" s="13" t="s">
        <v>79</v>
      </c>
      <c r="BI803" s="13" t="b">
        <v>0</v>
      </c>
      <c r="BJ803" s="13">
        <v>0.0</v>
      </c>
      <c r="BK803" s="13">
        <v>1.0</v>
      </c>
    </row>
    <row r="804" ht="14.25" customHeight="1">
      <c r="A804" s="13">
        <v>802.0</v>
      </c>
      <c r="B804" s="13" t="s">
        <v>45</v>
      </c>
      <c r="C804" s="13">
        <v>1.0</v>
      </c>
      <c r="D804" s="14">
        <v>0.0</v>
      </c>
      <c r="E804" s="13" t="s">
        <v>4954</v>
      </c>
      <c r="F804" s="15" t="s">
        <v>4928</v>
      </c>
      <c r="G804" s="16" t="s">
        <v>4955</v>
      </c>
      <c r="H804" s="13"/>
      <c r="I804" s="13">
        <v>0.9</v>
      </c>
      <c r="J804" s="13" t="s">
        <v>374</v>
      </c>
      <c r="K804" s="13">
        <f t="shared" si="3"/>
        <v>0</v>
      </c>
      <c r="L804" s="13">
        <f t="shared" si="4"/>
        <v>2</v>
      </c>
      <c r="M804" s="13">
        <f t="shared" ref="M804:AA804" si="1607">IFERROR(VALUE(RIGHT(LEFT($J804,FIND(M$1,$J804,1)+LEN(M$1)),1)),0)</f>
        <v>0</v>
      </c>
      <c r="N804" s="13">
        <f t="shared" si="1607"/>
        <v>0</v>
      </c>
      <c r="O804" s="13">
        <f t="shared" si="1607"/>
        <v>0</v>
      </c>
      <c r="P804" s="13">
        <f t="shared" si="1607"/>
        <v>0</v>
      </c>
      <c r="Q804" s="13">
        <f t="shared" si="1607"/>
        <v>0</v>
      </c>
      <c r="R804" s="13">
        <f t="shared" si="1607"/>
        <v>0</v>
      </c>
      <c r="S804" s="13">
        <f t="shared" si="1607"/>
        <v>0</v>
      </c>
      <c r="T804" s="13">
        <f t="shared" si="1607"/>
        <v>0</v>
      </c>
      <c r="U804" s="13">
        <f t="shared" si="1607"/>
        <v>0</v>
      </c>
      <c r="V804" s="13">
        <f t="shared" si="1607"/>
        <v>0</v>
      </c>
      <c r="W804" s="13">
        <f t="shared" si="1607"/>
        <v>0</v>
      </c>
      <c r="X804" s="13">
        <f t="shared" si="1607"/>
        <v>0</v>
      </c>
      <c r="Y804" s="13">
        <f t="shared" si="1607"/>
        <v>0</v>
      </c>
      <c r="Z804" s="13">
        <f t="shared" si="1607"/>
        <v>0</v>
      </c>
      <c r="AA804" s="13">
        <f t="shared" si="1607"/>
        <v>0</v>
      </c>
      <c r="AB804" s="13">
        <f t="shared" ref="AB804:AP804" si="1608">IFERROR(VALUE(RIGHT(LEFT($J804,FIND(AB$1,$J804,IF(M804=0,1,FIND(AB$1,$J804,1)+1))+LEN(AB$1)),1)),0)</f>
        <v>0</v>
      </c>
      <c r="AC804" s="13">
        <f t="shared" si="1608"/>
        <v>1</v>
      </c>
      <c r="AD804" s="13">
        <f t="shared" si="1608"/>
        <v>0</v>
      </c>
      <c r="AE804" s="13">
        <f t="shared" si="1608"/>
        <v>0</v>
      </c>
      <c r="AF804" s="13">
        <f t="shared" si="1608"/>
        <v>0</v>
      </c>
      <c r="AG804" s="13">
        <f t="shared" si="1608"/>
        <v>0</v>
      </c>
      <c r="AH804" s="13">
        <f t="shared" si="1608"/>
        <v>0</v>
      </c>
      <c r="AI804" s="13">
        <f t="shared" si="1608"/>
        <v>1</v>
      </c>
      <c r="AJ804" s="13">
        <f t="shared" si="1608"/>
        <v>0</v>
      </c>
      <c r="AK804" s="13">
        <f t="shared" si="1608"/>
        <v>0</v>
      </c>
      <c r="AL804" s="13">
        <f t="shared" si="1608"/>
        <v>0</v>
      </c>
      <c r="AM804" s="13">
        <f t="shared" si="1608"/>
        <v>0</v>
      </c>
      <c r="AN804" s="13">
        <f t="shared" si="1608"/>
        <v>0</v>
      </c>
      <c r="AO804" s="13">
        <f t="shared" si="1608"/>
        <v>0</v>
      </c>
      <c r="AP804" s="13">
        <f t="shared" si="1608"/>
        <v>0</v>
      </c>
      <c r="AQ804" s="13" t="s">
        <v>4956</v>
      </c>
      <c r="AR804" s="13"/>
      <c r="AS804" s="13" t="s">
        <v>391</v>
      </c>
      <c r="AT804" s="13"/>
      <c r="AU804" s="13"/>
      <c r="AV804" s="13"/>
      <c r="AW804" s="13">
        <v>0.0</v>
      </c>
      <c r="AX804" s="13">
        <v>14.0</v>
      </c>
      <c r="AY804" s="13">
        <v>0.0</v>
      </c>
      <c r="AZ804" s="13"/>
      <c r="BA804" s="13"/>
      <c r="BB804" s="13"/>
      <c r="BC804" s="13"/>
      <c r="BD804" s="13"/>
      <c r="BE804" s="13"/>
      <c r="BF804" s="13"/>
      <c r="BG804" s="13"/>
      <c r="BH804" s="13" t="s">
        <v>79</v>
      </c>
      <c r="BI804" s="13" t="b">
        <v>0</v>
      </c>
      <c r="BJ804" s="13">
        <v>0.0</v>
      </c>
      <c r="BK804" s="13">
        <v>0.0</v>
      </c>
    </row>
    <row r="805" ht="14.25" customHeight="1">
      <c r="A805" s="13">
        <v>803.0</v>
      </c>
      <c r="B805" s="13" t="s">
        <v>46</v>
      </c>
      <c r="C805" s="13">
        <v>1.0</v>
      </c>
      <c r="D805" s="14">
        <v>0.0</v>
      </c>
      <c r="E805" s="13" t="s">
        <v>4957</v>
      </c>
      <c r="F805" s="15" t="s">
        <v>4928</v>
      </c>
      <c r="G805" s="16" t="s">
        <v>4958</v>
      </c>
      <c r="H805" s="13"/>
      <c r="I805" s="13">
        <v>1.0</v>
      </c>
      <c r="J805" s="13" t="s">
        <v>2405</v>
      </c>
      <c r="K805" s="13">
        <f t="shared" si="3"/>
        <v>0</v>
      </c>
      <c r="L805" s="13">
        <f t="shared" si="4"/>
        <v>2</v>
      </c>
      <c r="M805" s="13">
        <f t="shared" ref="M805:AA805" si="1609">IFERROR(VALUE(RIGHT(LEFT($J805,FIND(M$1,$J805,1)+LEN(M$1)),1)),0)</f>
        <v>0</v>
      </c>
      <c r="N805" s="13">
        <f t="shared" si="1609"/>
        <v>0</v>
      </c>
      <c r="O805" s="13">
        <f t="shared" si="1609"/>
        <v>0</v>
      </c>
      <c r="P805" s="13">
        <f t="shared" si="1609"/>
        <v>0</v>
      </c>
      <c r="Q805" s="13">
        <f t="shared" si="1609"/>
        <v>0</v>
      </c>
      <c r="R805" s="13">
        <f t="shared" si="1609"/>
        <v>0</v>
      </c>
      <c r="S805" s="13">
        <f t="shared" si="1609"/>
        <v>0</v>
      </c>
      <c r="T805" s="13">
        <f t="shared" si="1609"/>
        <v>0</v>
      </c>
      <c r="U805" s="13">
        <f t="shared" si="1609"/>
        <v>0</v>
      </c>
      <c r="V805" s="13">
        <f t="shared" si="1609"/>
        <v>0</v>
      </c>
      <c r="W805" s="13">
        <f t="shared" si="1609"/>
        <v>0</v>
      </c>
      <c r="X805" s="13">
        <f t="shared" si="1609"/>
        <v>0</v>
      </c>
      <c r="Y805" s="13">
        <f t="shared" si="1609"/>
        <v>0</v>
      </c>
      <c r="Z805" s="13">
        <f t="shared" si="1609"/>
        <v>0</v>
      </c>
      <c r="AA805" s="13">
        <f t="shared" si="1609"/>
        <v>0</v>
      </c>
      <c r="AB805" s="13">
        <f t="shared" ref="AB805:AP805" si="1610">IFERROR(VALUE(RIGHT(LEFT($J805,FIND(AB$1,$J805,IF(M805=0,1,FIND(AB$1,$J805,1)+1))+LEN(AB$1)),1)),0)</f>
        <v>0</v>
      </c>
      <c r="AC805" s="13">
        <f t="shared" si="1610"/>
        <v>0</v>
      </c>
      <c r="AD805" s="13">
        <f t="shared" si="1610"/>
        <v>1</v>
      </c>
      <c r="AE805" s="13">
        <f t="shared" si="1610"/>
        <v>0</v>
      </c>
      <c r="AF805" s="13">
        <f t="shared" si="1610"/>
        <v>0</v>
      </c>
      <c r="AG805" s="13">
        <f t="shared" si="1610"/>
        <v>0</v>
      </c>
      <c r="AH805" s="13">
        <f t="shared" si="1610"/>
        <v>0</v>
      </c>
      <c r="AI805" s="13">
        <f t="shared" si="1610"/>
        <v>0</v>
      </c>
      <c r="AJ805" s="13">
        <f t="shared" si="1610"/>
        <v>1</v>
      </c>
      <c r="AK805" s="13">
        <f t="shared" si="1610"/>
        <v>0</v>
      </c>
      <c r="AL805" s="13">
        <f t="shared" si="1610"/>
        <v>0</v>
      </c>
      <c r="AM805" s="13">
        <f t="shared" si="1610"/>
        <v>0</v>
      </c>
      <c r="AN805" s="13">
        <f t="shared" si="1610"/>
        <v>0</v>
      </c>
      <c r="AO805" s="13">
        <f t="shared" si="1610"/>
        <v>0</v>
      </c>
      <c r="AP805" s="13">
        <f t="shared" si="1610"/>
        <v>0</v>
      </c>
      <c r="AQ805" s="13" t="s">
        <v>4959</v>
      </c>
      <c r="AR805" s="13"/>
      <c r="AS805" s="13" t="s">
        <v>3193</v>
      </c>
      <c r="AT805" s="13"/>
      <c r="AU805" s="13"/>
      <c r="AV805" s="13"/>
      <c r="AW805" s="13">
        <v>0.0</v>
      </c>
      <c r="AX805" s="13">
        <v>14.0</v>
      </c>
      <c r="AY805" s="13">
        <v>0.0</v>
      </c>
      <c r="AZ805" s="13"/>
      <c r="BA805" s="13"/>
      <c r="BB805" s="13"/>
      <c r="BC805" s="13"/>
      <c r="BD805" s="13"/>
      <c r="BE805" s="13"/>
      <c r="BF805" s="13"/>
      <c r="BG805" s="13"/>
      <c r="BH805" s="13" t="s">
        <v>79</v>
      </c>
      <c r="BI805" s="13" t="b">
        <v>0</v>
      </c>
      <c r="BJ805" s="13">
        <v>0.0</v>
      </c>
      <c r="BK805" s="13">
        <v>0.0</v>
      </c>
    </row>
    <row r="806" ht="14.25" customHeight="1">
      <c r="A806" s="13">
        <v>804.0</v>
      </c>
      <c r="B806" s="13" t="s">
        <v>47</v>
      </c>
      <c r="C806" s="13">
        <v>1.0</v>
      </c>
      <c r="D806" s="14">
        <v>0.0</v>
      </c>
      <c r="E806" s="13" t="s">
        <v>4960</v>
      </c>
      <c r="F806" s="15" t="s">
        <v>4928</v>
      </c>
      <c r="G806" s="16" t="s">
        <v>4961</v>
      </c>
      <c r="H806" s="13">
        <v>12.0</v>
      </c>
      <c r="I806" s="13">
        <v>1.0</v>
      </c>
      <c r="J806" s="13" t="s">
        <v>507</v>
      </c>
      <c r="K806" s="13">
        <f t="shared" si="3"/>
        <v>0</v>
      </c>
      <c r="L806" s="13">
        <f t="shared" si="4"/>
        <v>2</v>
      </c>
      <c r="M806" s="13">
        <f t="shared" ref="M806:AA806" si="1611">IFERROR(VALUE(RIGHT(LEFT($J806,FIND(M$1,$J806,1)+LEN(M$1)),1)),0)</f>
        <v>0</v>
      </c>
      <c r="N806" s="13">
        <f t="shared" si="1611"/>
        <v>0</v>
      </c>
      <c r="O806" s="13">
        <f t="shared" si="1611"/>
        <v>0</v>
      </c>
      <c r="P806" s="13">
        <f t="shared" si="1611"/>
        <v>0</v>
      </c>
      <c r="Q806" s="13">
        <f t="shared" si="1611"/>
        <v>0</v>
      </c>
      <c r="R806" s="13">
        <f t="shared" si="1611"/>
        <v>0</v>
      </c>
      <c r="S806" s="13">
        <f t="shared" si="1611"/>
        <v>0</v>
      </c>
      <c r="T806" s="13">
        <f t="shared" si="1611"/>
        <v>0</v>
      </c>
      <c r="U806" s="13">
        <f t="shared" si="1611"/>
        <v>0</v>
      </c>
      <c r="V806" s="13">
        <f t="shared" si="1611"/>
        <v>0</v>
      </c>
      <c r="W806" s="13">
        <f t="shared" si="1611"/>
        <v>0</v>
      </c>
      <c r="X806" s="13">
        <f t="shared" si="1611"/>
        <v>0</v>
      </c>
      <c r="Y806" s="13">
        <f t="shared" si="1611"/>
        <v>0</v>
      </c>
      <c r="Z806" s="13">
        <f t="shared" si="1611"/>
        <v>0</v>
      </c>
      <c r="AA806" s="13">
        <f t="shared" si="1611"/>
        <v>0</v>
      </c>
      <c r="AB806" s="13">
        <f t="shared" ref="AB806:AP806" si="1612">IFERROR(VALUE(RIGHT(LEFT($J806,FIND(AB$1,$J806,IF(M806=0,1,FIND(AB$1,$J806,1)+1))+LEN(AB$1)),1)),0)</f>
        <v>0</v>
      </c>
      <c r="AC806" s="13">
        <f t="shared" si="1612"/>
        <v>0</v>
      </c>
      <c r="AD806" s="13">
        <f t="shared" si="1612"/>
        <v>1</v>
      </c>
      <c r="AE806" s="13">
        <f t="shared" si="1612"/>
        <v>0</v>
      </c>
      <c r="AF806" s="13">
        <f t="shared" si="1612"/>
        <v>0</v>
      </c>
      <c r="AG806" s="13">
        <f t="shared" si="1612"/>
        <v>0</v>
      </c>
      <c r="AH806" s="13">
        <f t="shared" si="1612"/>
        <v>0</v>
      </c>
      <c r="AI806" s="13">
        <f t="shared" si="1612"/>
        <v>0</v>
      </c>
      <c r="AJ806" s="13">
        <f t="shared" si="1612"/>
        <v>0</v>
      </c>
      <c r="AK806" s="13">
        <f t="shared" si="1612"/>
        <v>1</v>
      </c>
      <c r="AL806" s="13">
        <f t="shared" si="1612"/>
        <v>0</v>
      </c>
      <c r="AM806" s="13">
        <f t="shared" si="1612"/>
        <v>0</v>
      </c>
      <c r="AN806" s="13">
        <f t="shared" si="1612"/>
        <v>0</v>
      </c>
      <c r="AO806" s="13">
        <f t="shared" si="1612"/>
        <v>0</v>
      </c>
      <c r="AP806" s="13">
        <f t="shared" si="1612"/>
        <v>0</v>
      </c>
      <c r="AQ806" s="13"/>
      <c r="AR806" s="13" t="s">
        <v>4962</v>
      </c>
      <c r="AS806" s="13" t="s">
        <v>4475</v>
      </c>
      <c r="AT806" s="13" t="s">
        <v>573</v>
      </c>
      <c r="AU806" s="13" t="s">
        <v>130</v>
      </c>
      <c r="AV806" s="13" t="s">
        <v>4963</v>
      </c>
      <c r="AW806" s="13">
        <v>10.0</v>
      </c>
      <c r="AX806" s="13">
        <v>14.0</v>
      </c>
      <c r="AY806" s="13">
        <v>0.0</v>
      </c>
      <c r="AZ806" s="13" t="s">
        <v>511</v>
      </c>
      <c r="BA806" s="13" t="s">
        <v>280</v>
      </c>
      <c r="BB806" s="13"/>
      <c r="BC806" s="13"/>
      <c r="BD806" s="13" t="s">
        <v>134</v>
      </c>
      <c r="BE806" s="13"/>
      <c r="BF806" s="13" t="s">
        <v>575</v>
      </c>
      <c r="BG806" s="13" t="s">
        <v>136</v>
      </c>
      <c r="BH806" s="13" t="s">
        <v>79</v>
      </c>
      <c r="BI806" s="13" t="b">
        <v>0</v>
      </c>
      <c r="BJ806" s="13">
        <v>0.0</v>
      </c>
      <c r="BK806" s="13">
        <v>0.0</v>
      </c>
    </row>
    <row r="807" ht="14.25" customHeight="1">
      <c r="A807" s="13">
        <v>805.0</v>
      </c>
      <c r="B807" s="13" t="s">
        <v>47</v>
      </c>
      <c r="C807" s="13">
        <v>1.0</v>
      </c>
      <c r="D807" s="14">
        <v>0.0</v>
      </c>
      <c r="E807" s="13" t="s">
        <v>4964</v>
      </c>
      <c r="F807" s="15" t="s">
        <v>4965</v>
      </c>
      <c r="G807" s="16" t="s">
        <v>4966</v>
      </c>
      <c r="H807" s="13">
        <v>11.0</v>
      </c>
      <c r="I807" s="13">
        <v>0.9</v>
      </c>
      <c r="J807" s="13" t="s">
        <v>478</v>
      </c>
      <c r="K807" s="13">
        <f t="shared" si="3"/>
        <v>0</v>
      </c>
      <c r="L807" s="13">
        <f t="shared" si="4"/>
        <v>2</v>
      </c>
      <c r="M807" s="13">
        <f t="shared" ref="M807:AA807" si="1613">IFERROR(VALUE(RIGHT(LEFT($J807,FIND(M$1,$J807,1)+LEN(M$1)),1)),0)</f>
        <v>0</v>
      </c>
      <c r="N807" s="13">
        <f t="shared" si="1613"/>
        <v>0</v>
      </c>
      <c r="O807" s="13">
        <f t="shared" si="1613"/>
        <v>0</v>
      </c>
      <c r="P807" s="13">
        <f t="shared" si="1613"/>
        <v>0</v>
      </c>
      <c r="Q807" s="13">
        <f t="shared" si="1613"/>
        <v>0</v>
      </c>
      <c r="R807" s="13">
        <f t="shared" si="1613"/>
        <v>0</v>
      </c>
      <c r="S807" s="13">
        <f t="shared" si="1613"/>
        <v>0</v>
      </c>
      <c r="T807" s="13">
        <f t="shared" si="1613"/>
        <v>0</v>
      </c>
      <c r="U807" s="13">
        <f t="shared" si="1613"/>
        <v>0</v>
      </c>
      <c r="V807" s="13">
        <f t="shared" si="1613"/>
        <v>0</v>
      </c>
      <c r="W807" s="13">
        <f t="shared" si="1613"/>
        <v>0</v>
      </c>
      <c r="X807" s="13">
        <f t="shared" si="1613"/>
        <v>0</v>
      </c>
      <c r="Y807" s="13">
        <f t="shared" si="1613"/>
        <v>0</v>
      </c>
      <c r="Z807" s="13">
        <f t="shared" si="1613"/>
        <v>0</v>
      </c>
      <c r="AA807" s="13">
        <f t="shared" si="1613"/>
        <v>0</v>
      </c>
      <c r="AB807" s="13">
        <f t="shared" ref="AB807:AP807" si="1614">IFERROR(VALUE(RIGHT(LEFT($J807,FIND(AB$1,$J807,IF(M807=0,1,FIND(AB$1,$J807,1)+1))+LEN(AB$1)),1)),0)</f>
        <v>0</v>
      </c>
      <c r="AC807" s="13">
        <f t="shared" si="1614"/>
        <v>0</v>
      </c>
      <c r="AD807" s="13">
        <f t="shared" si="1614"/>
        <v>0</v>
      </c>
      <c r="AE807" s="13">
        <f t="shared" si="1614"/>
        <v>0</v>
      </c>
      <c r="AF807" s="13">
        <f t="shared" si="1614"/>
        <v>0</v>
      </c>
      <c r="AG807" s="13">
        <f t="shared" si="1614"/>
        <v>1</v>
      </c>
      <c r="AH807" s="13">
        <f t="shared" si="1614"/>
        <v>0</v>
      </c>
      <c r="AI807" s="13">
        <f t="shared" si="1614"/>
        <v>0</v>
      </c>
      <c r="AJ807" s="13">
        <f t="shared" si="1614"/>
        <v>0</v>
      </c>
      <c r="AK807" s="13">
        <f t="shared" si="1614"/>
        <v>1</v>
      </c>
      <c r="AL807" s="13">
        <f t="shared" si="1614"/>
        <v>0</v>
      </c>
      <c r="AM807" s="13">
        <f t="shared" si="1614"/>
        <v>0</v>
      </c>
      <c r="AN807" s="13">
        <f t="shared" si="1614"/>
        <v>0</v>
      </c>
      <c r="AO807" s="13">
        <f t="shared" si="1614"/>
        <v>0</v>
      </c>
      <c r="AP807" s="13">
        <f t="shared" si="1614"/>
        <v>0</v>
      </c>
      <c r="AQ807" s="13"/>
      <c r="AR807" s="13" t="s">
        <v>3625</v>
      </c>
      <c r="AS807" s="13" t="s">
        <v>3582</v>
      </c>
      <c r="AT807" s="13" t="s">
        <v>162</v>
      </c>
      <c r="AU807" s="13" t="s">
        <v>236</v>
      </c>
      <c r="AV807" s="13" t="s">
        <v>634</v>
      </c>
      <c r="AW807" s="13">
        <v>9.0</v>
      </c>
      <c r="AX807" s="13">
        <v>14.0</v>
      </c>
      <c r="AY807" s="13">
        <v>0.0</v>
      </c>
      <c r="AZ807" s="13" t="s">
        <v>529</v>
      </c>
      <c r="BA807" s="13" t="s">
        <v>530</v>
      </c>
      <c r="BB807" s="13"/>
      <c r="BC807" s="13"/>
      <c r="BD807" s="13" t="s">
        <v>134</v>
      </c>
      <c r="BE807" s="13"/>
      <c r="BF807" s="13" t="s">
        <v>866</v>
      </c>
      <c r="BG807" s="13" t="s">
        <v>136</v>
      </c>
      <c r="BH807" s="13" t="s">
        <v>79</v>
      </c>
      <c r="BI807" s="13" t="b">
        <v>0</v>
      </c>
      <c r="BJ807" s="13">
        <v>0.0</v>
      </c>
      <c r="BK807" s="13">
        <v>0.0</v>
      </c>
    </row>
    <row r="808" ht="14.25" customHeight="1">
      <c r="A808" s="13">
        <v>806.0</v>
      </c>
      <c r="B808" s="13" t="s">
        <v>48</v>
      </c>
      <c r="C808" s="13">
        <v>1.0</v>
      </c>
      <c r="D808" s="14">
        <v>0.0</v>
      </c>
      <c r="E808" s="13" t="s">
        <v>4967</v>
      </c>
      <c r="F808" s="15" t="s">
        <v>4928</v>
      </c>
      <c r="G808" s="16" t="s">
        <v>4968</v>
      </c>
      <c r="H808" s="13">
        <v>13.0</v>
      </c>
      <c r="I808" s="13">
        <v>1.1</v>
      </c>
      <c r="J808" s="13" t="s">
        <v>591</v>
      </c>
      <c r="K808" s="13">
        <f t="shared" si="3"/>
        <v>0</v>
      </c>
      <c r="L808" s="13">
        <f t="shared" si="4"/>
        <v>2</v>
      </c>
      <c r="M808" s="13">
        <f t="shared" ref="M808:AA808" si="1615">IFERROR(VALUE(RIGHT(LEFT($J808,FIND(M$1,$J808,1)+LEN(M$1)),1)),0)</f>
        <v>0</v>
      </c>
      <c r="N808" s="13">
        <f t="shared" si="1615"/>
        <v>0</v>
      </c>
      <c r="O808" s="13">
        <f t="shared" si="1615"/>
        <v>0</v>
      </c>
      <c r="P808" s="13">
        <f t="shared" si="1615"/>
        <v>0</v>
      </c>
      <c r="Q808" s="13">
        <f t="shared" si="1615"/>
        <v>0</v>
      </c>
      <c r="R808" s="13">
        <f t="shared" si="1615"/>
        <v>0</v>
      </c>
      <c r="S808" s="13">
        <f t="shared" si="1615"/>
        <v>0</v>
      </c>
      <c r="T808" s="13">
        <f t="shared" si="1615"/>
        <v>0</v>
      </c>
      <c r="U808" s="13">
        <f t="shared" si="1615"/>
        <v>0</v>
      </c>
      <c r="V808" s="13">
        <f t="shared" si="1615"/>
        <v>0</v>
      </c>
      <c r="W808" s="13">
        <f t="shared" si="1615"/>
        <v>0</v>
      </c>
      <c r="X808" s="13">
        <f t="shared" si="1615"/>
        <v>0</v>
      </c>
      <c r="Y808" s="13">
        <f t="shared" si="1615"/>
        <v>0</v>
      </c>
      <c r="Z808" s="13">
        <f t="shared" si="1615"/>
        <v>0</v>
      </c>
      <c r="AA808" s="13">
        <f t="shared" si="1615"/>
        <v>0</v>
      </c>
      <c r="AB808" s="13">
        <f t="shared" ref="AB808:AP808" si="1616">IFERROR(VALUE(RIGHT(LEFT($J808,FIND(AB$1,$J808,IF(M808=0,1,FIND(AB$1,$J808,1)+1))+LEN(AB$1)),1)),0)</f>
        <v>0</v>
      </c>
      <c r="AC808" s="13">
        <f t="shared" si="1616"/>
        <v>1</v>
      </c>
      <c r="AD808" s="13">
        <f t="shared" si="1616"/>
        <v>0</v>
      </c>
      <c r="AE808" s="13">
        <f t="shared" si="1616"/>
        <v>0</v>
      </c>
      <c r="AF808" s="13">
        <f t="shared" si="1616"/>
        <v>0</v>
      </c>
      <c r="AG808" s="13">
        <f t="shared" si="1616"/>
        <v>0</v>
      </c>
      <c r="AH808" s="13">
        <f t="shared" si="1616"/>
        <v>0</v>
      </c>
      <c r="AI808" s="13">
        <f t="shared" si="1616"/>
        <v>0</v>
      </c>
      <c r="AJ808" s="13">
        <f t="shared" si="1616"/>
        <v>0</v>
      </c>
      <c r="AK808" s="13">
        <f t="shared" si="1616"/>
        <v>0</v>
      </c>
      <c r="AL808" s="13">
        <f t="shared" si="1616"/>
        <v>1</v>
      </c>
      <c r="AM808" s="13">
        <f t="shared" si="1616"/>
        <v>0</v>
      </c>
      <c r="AN808" s="13">
        <f t="shared" si="1616"/>
        <v>0</v>
      </c>
      <c r="AO808" s="13">
        <f t="shared" si="1616"/>
        <v>0</v>
      </c>
      <c r="AP808" s="13">
        <f t="shared" si="1616"/>
        <v>0</v>
      </c>
      <c r="AQ808" s="13"/>
      <c r="AR808" s="13" t="s">
        <v>4018</v>
      </c>
      <c r="AS808" s="13" t="s">
        <v>4019</v>
      </c>
      <c r="AT808" s="13" t="s">
        <v>175</v>
      </c>
      <c r="AU808" s="13" t="s">
        <v>143</v>
      </c>
      <c r="AV808" s="13" t="s">
        <v>4969</v>
      </c>
      <c r="AW808" s="13">
        <v>11.0</v>
      </c>
      <c r="AX808" s="13">
        <v>14.0</v>
      </c>
      <c r="AY808" s="13">
        <v>0.0</v>
      </c>
      <c r="AZ808" s="13" t="s">
        <v>770</v>
      </c>
      <c r="BA808" s="13" t="s">
        <v>655</v>
      </c>
      <c r="BB808" s="13"/>
      <c r="BC808" s="13"/>
      <c r="BD808" s="13" t="s">
        <v>167</v>
      </c>
      <c r="BE808" s="13"/>
      <c r="BF808" s="13" t="s">
        <v>4970</v>
      </c>
      <c r="BG808" s="13" t="s">
        <v>169</v>
      </c>
      <c r="BH808" s="13" t="s">
        <v>79</v>
      </c>
      <c r="BI808" s="13" t="b">
        <v>0</v>
      </c>
      <c r="BJ808" s="13">
        <v>0.0</v>
      </c>
      <c r="BK808" s="13">
        <v>0.0</v>
      </c>
    </row>
    <row r="809" ht="14.25" customHeight="1">
      <c r="A809" s="13">
        <v>807.0</v>
      </c>
      <c r="B809" s="13" t="s">
        <v>44</v>
      </c>
      <c r="C809" s="13">
        <v>2.0</v>
      </c>
      <c r="D809" s="14">
        <v>0.0</v>
      </c>
      <c r="E809" s="13" t="s">
        <v>4971</v>
      </c>
      <c r="F809" s="15" t="s">
        <v>4928</v>
      </c>
      <c r="G809" s="16" t="s">
        <v>4972</v>
      </c>
      <c r="H809" s="13"/>
      <c r="I809" s="13">
        <v>1.1</v>
      </c>
      <c r="J809" s="13" t="s">
        <v>954</v>
      </c>
      <c r="K809" s="13">
        <f t="shared" si="3"/>
        <v>0</v>
      </c>
      <c r="L809" s="13">
        <f t="shared" si="4"/>
        <v>3</v>
      </c>
      <c r="M809" s="13">
        <f t="shared" ref="M809:AA809" si="1617">IFERROR(VALUE(RIGHT(LEFT($J809,FIND(M$1,$J809,1)+LEN(M$1)),1)),0)</f>
        <v>0</v>
      </c>
      <c r="N809" s="13">
        <f t="shared" si="1617"/>
        <v>0</v>
      </c>
      <c r="O809" s="13">
        <f t="shared" si="1617"/>
        <v>0</v>
      </c>
      <c r="P809" s="13">
        <f t="shared" si="1617"/>
        <v>0</v>
      </c>
      <c r="Q809" s="13">
        <f t="shared" si="1617"/>
        <v>0</v>
      </c>
      <c r="R809" s="13">
        <f t="shared" si="1617"/>
        <v>0</v>
      </c>
      <c r="S809" s="13">
        <f t="shared" si="1617"/>
        <v>0</v>
      </c>
      <c r="T809" s="13">
        <f t="shared" si="1617"/>
        <v>0</v>
      </c>
      <c r="U809" s="13">
        <f t="shared" si="1617"/>
        <v>0</v>
      </c>
      <c r="V809" s="13">
        <f t="shared" si="1617"/>
        <v>0</v>
      </c>
      <c r="W809" s="13">
        <f t="shared" si="1617"/>
        <v>0</v>
      </c>
      <c r="X809" s="13">
        <f t="shared" si="1617"/>
        <v>0</v>
      </c>
      <c r="Y809" s="13">
        <f t="shared" si="1617"/>
        <v>0</v>
      </c>
      <c r="Z809" s="13">
        <f t="shared" si="1617"/>
        <v>0</v>
      </c>
      <c r="AA809" s="13">
        <f t="shared" si="1617"/>
        <v>0</v>
      </c>
      <c r="AB809" s="13">
        <f t="shared" ref="AB809:AP809" si="1618">IFERROR(VALUE(RIGHT(LEFT($J809,FIND(AB$1,$J809,IF(M809=0,1,FIND(AB$1,$J809,1)+1))+LEN(AB$1)),1)),0)</f>
        <v>0</v>
      </c>
      <c r="AC809" s="13">
        <f t="shared" si="1618"/>
        <v>0</v>
      </c>
      <c r="AD809" s="13">
        <f t="shared" si="1618"/>
        <v>0</v>
      </c>
      <c r="AE809" s="13">
        <f t="shared" si="1618"/>
        <v>0</v>
      </c>
      <c r="AF809" s="13">
        <f t="shared" si="1618"/>
        <v>0</v>
      </c>
      <c r="AG809" s="13">
        <f t="shared" si="1618"/>
        <v>1</v>
      </c>
      <c r="AH809" s="13">
        <f t="shared" si="1618"/>
        <v>2</v>
      </c>
      <c r="AI809" s="13">
        <f t="shared" si="1618"/>
        <v>0</v>
      </c>
      <c r="AJ809" s="13">
        <f t="shared" si="1618"/>
        <v>0</v>
      </c>
      <c r="AK809" s="13">
        <f t="shared" si="1618"/>
        <v>0</v>
      </c>
      <c r="AL809" s="13">
        <f t="shared" si="1618"/>
        <v>0</v>
      </c>
      <c r="AM809" s="13">
        <f t="shared" si="1618"/>
        <v>0</v>
      </c>
      <c r="AN809" s="13">
        <f t="shared" si="1618"/>
        <v>0</v>
      </c>
      <c r="AO809" s="13">
        <f t="shared" si="1618"/>
        <v>0</v>
      </c>
      <c r="AP809" s="13">
        <f t="shared" si="1618"/>
        <v>0</v>
      </c>
      <c r="AQ809" s="13" t="s">
        <v>4973</v>
      </c>
      <c r="AR809" s="13"/>
      <c r="AS809" s="13" t="s">
        <v>3828</v>
      </c>
      <c r="AT809" s="13"/>
      <c r="AU809" s="13"/>
      <c r="AV809" s="13"/>
      <c r="AW809" s="13">
        <v>0.0</v>
      </c>
      <c r="AX809" s="13">
        <v>14.0</v>
      </c>
      <c r="AY809" s="13">
        <v>0.0</v>
      </c>
      <c r="AZ809" s="13"/>
      <c r="BA809" s="13"/>
      <c r="BB809" s="13"/>
      <c r="BC809" s="13"/>
      <c r="BD809" s="13"/>
      <c r="BE809" s="13"/>
      <c r="BF809" s="13"/>
      <c r="BG809" s="13"/>
      <c r="BH809" s="13" t="s">
        <v>79</v>
      </c>
      <c r="BI809" s="13" t="b">
        <v>0</v>
      </c>
      <c r="BJ809" s="13">
        <v>0.0</v>
      </c>
      <c r="BK809" s="13">
        <v>0.0</v>
      </c>
    </row>
    <row r="810" ht="14.25" customHeight="1">
      <c r="A810" s="13">
        <v>808.0</v>
      </c>
      <c r="B810" s="13" t="s">
        <v>45</v>
      </c>
      <c r="C810" s="13">
        <v>2.0</v>
      </c>
      <c r="D810" s="14">
        <v>0.0</v>
      </c>
      <c r="E810" s="13" t="s">
        <v>4974</v>
      </c>
      <c r="F810" s="15" t="s">
        <v>4928</v>
      </c>
      <c r="G810" s="16" t="s">
        <v>4975</v>
      </c>
      <c r="H810" s="13"/>
      <c r="I810" s="13">
        <v>1.0</v>
      </c>
      <c r="J810" s="13" t="s">
        <v>978</v>
      </c>
      <c r="K810" s="13">
        <f t="shared" si="3"/>
        <v>0</v>
      </c>
      <c r="L810" s="13">
        <f t="shared" si="4"/>
        <v>3</v>
      </c>
      <c r="M810" s="13">
        <f t="shared" ref="M810:AA810" si="1619">IFERROR(VALUE(RIGHT(LEFT($J810,FIND(M$1,$J810,1)+LEN(M$1)),1)),0)</f>
        <v>0</v>
      </c>
      <c r="N810" s="13">
        <f t="shared" si="1619"/>
        <v>0</v>
      </c>
      <c r="O810" s="13">
        <f t="shared" si="1619"/>
        <v>0</v>
      </c>
      <c r="P810" s="13">
        <f t="shared" si="1619"/>
        <v>0</v>
      </c>
      <c r="Q810" s="13">
        <f t="shared" si="1619"/>
        <v>0</v>
      </c>
      <c r="R810" s="13">
        <f t="shared" si="1619"/>
        <v>0</v>
      </c>
      <c r="S810" s="13">
        <f t="shared" si="1619"/>
        <v>0</v>
      </c>
      <c r="T810" s="13">
        <f t="shared" si="1619"/>
        <v>0</v>
      </c>
      <c r="U810" s="13">
        <f t="shared" si="1619"/>
        <v>0</v>
      </c>
      <c r="V810" s="13">
        <f t="shared" si="1619"/>
        <v>0</v>
      </c>
      <c r="W810" s="13">
        <f t="shared" si="1619"/>
        <v>0</v>
      </c>
      <c r="X810" s="13">
        <f t="shared" si="1619"/>
        <v>0</v>
      </c>
      <c r="Y810" s="13">
        <f t="shared" si="1619"/>
        <v>0</v>
      </c>
      <c r="Z810" s="13">
        <f t="shared" si="1619"/>
        <v>0</v>
      </c>
      <c r="AA810" s="13">
        <f t="shared" si="1619"/>
        <v>0</v>
      </c>
      <c r="AB810" s="13">
        <f t="shared" ref="AB810:AP810" si="1620">IFERROR(VALUE(RIGHT(LEFT($J810,FIND(AB$1,$J810,IF(M810=0,1,FIND(AB$1,$J810,1)+1))+LEN(AB$1)),1)),0)</f>
        <v>0</v>
      </c>
      <c r="AC810" s="13">
        <f t="shared" si="1620"/>
        <v>1</v>
      </c>
      <c r="AD810" s="13">
        <f t="shared" si="1620"/>
        <v>0</v>
      </c>
      <c r="AE810" s="13">
        <f t="shared" si="1620"/>
        <v>0</v>
      </c>
      <c r="AF810" s="13">
        <f t="shared" si="1620"/>
        <v>0</v>
      </c>
      <c r="AG810" s="13">
        <f t="shared" si="1620"/>
        <v>0</v>
      </c>
      <c r="AH810" s="13">
        <f t="shared" si="1620"/>
        <v>0</v>
      </c>
      <c r="AI810" s="13">
        <f t="shared" si="1620"/>
        <v>2</v>
      </c>
      <c r="AJ810" s="13">
        <f t="shared" si="1620"/>
        <v>0</v>
      </c>
      <c r="AK810" s="13">
        <f t="shared" si="1620"/>
        <v>0</v>
      </c>
      <c r="AL810" s="13">
        <f t="shared" si="1620"/>
        <v>0</v>
      </c>
      <c r="AM810" s="13">
        <f t="shared" si="1620"/>
        <v>0</v>
      </c>
      <c r="AN810" s="13">
        <f t="shared" si="1620"/>
        <v>0</v>
      </c>
      <c r="AO810" s="13">
        <f t="shared" si="1620"/>
        <v>0</v>
      </c>
      <c r="AP810" s="13">
        <f t="shared" si="1620"/>
        <v>0</v>
      </c>
      <c r="AQ810" s="13" t="s">
        <v>4976</v>
      </c>
      <c r="AR810" s="13"/>
      <c r="AS810" s="13" t="s">
        <v>4028</v>
      </c>
      <c r="AT810" s="13"/>
      <c r="AU810" s="13"/>
      <c r="AV810" s="13"/>
      <c r="AW810" s="13">
        <v>0.0</v>
      </c>
      <c r="AX810" s="13">
        <v>14.0</v>
      </c>
      <c r="AY810" s="13">
        <v>0.0</v>
      </c>
      <c r="AZ810" s="13"/>
      <c r="BA810" s="13"/>
      <c r="BB810" s="13"/>
      <c r="BC810" s="13"/>
      <c r="BD810" s="13"/>
      <c r="BE810" s="13"/>
      <c r="BF810" s="13"/>
      <c r="BG810" s="13"/>
      <c r="BH810" s="13" t="s">
        <v>79</v>
      </c>
      <c r="BI810" s="13" t="b">
        <v>0</v>
      </c>
      <c r="BJ810" s="13">
        <v>0.0</v>
      </c>
      <c r="BK810" s="13">
        <v>0.0</v>
      </c>
    </row>
    <row r="811" ht="14.25" customHeight="1">
      <c r="A811" s="13">
        <v>809.0</v>
      </c>
      <c r="B811" s="13" t="s">
        <v>46</v>
      </c>
      <c r="C811" s="13">
        <v>2.0</v>
      </c>
      <c r="D811" s="14">
        <v>0.0</v>
      </c>
      <c r="E811" s="13" t="s">
        <v>4977</v>
      </c>
      <c r="F811" s="15" t="s">
        <v>4928</v>
      </c>
      <c r="G811" s="16" t="s">
        <v>4978</v>
      </c>
      <c r="H811" s="13"/>
      <c r="I811" s="13">
        <v>1.3</v>
      </c>
      <c r="J811" s="13" t="s">
        <v>4979</v>
      </c>
      <c r="K811" s="13">
        <f t="shared" si="3"/>
        <v>0</v>
      </c>
      <c r="L811" s="13">
        <f t="shared" si="4"/>
        <v>3</v>
      </c>
      <c r="M811" s="13">
        <f t="shared" ref="M811:AA811" si="1621">IFERROR(VALUE(RIGHT(LEFT($J811,FIND(M$1,$J811,1)+LEN(M$1)),1)),0)</f>
        <v>0</v>
      </c>
      <c r="N811" s="13">
        <f t="shared" si="1621"/>
        <v>0</v>
      </c>
      <c r="O811" s="13">
        <f t="shared" si="1621"/>
        <v>0</v>
      </c>
      <c r="P811" s="13">
        <f t="shared" si="1621"/>
        <v>0</v>
      </c>
      <c r="Q811" s="13">
        <f t="shared" si="1621"/>
        <v>0</v>
      </c>
      <c r="R811" s="13">
        <f t="shared" si="1621"/>
        <v>0</v>
      </c>
      <c r="S811" s="13">
        <f t="shared" si="1621"/>
        <v>0</v>
      </c>
      <c r="T811" s="13">
        <f t="shared" si="1621"/>
        <v>0</v>
      </c>
      <c r="U811" s="13">
        <f t="shared" si="1621"/>
        <v>0</v>
      </c>
      <c r="V811" s="13">
        <f t="shared" si="1621"/>
        <v>0</v>
      </c>
      <c r="W811" s="13">
        <f t="shared" si="1621"/>
        <v>0</v>
      </c>
      <c r="X811" s="13">
        <f t="shared" si="1621"/>
        <v>0</v>
      </c>
      <c r="Y811" s="13">
        <f t="shared" si="1621"/>
        <v>0</v>
      </c>
      <c r="Z811" s="13">
        <f t="shared" si="1621"/>
        <v>0</v>
      </c>
      <c r="AA811" s="13">
        <f t="shared" si="1621"/>
        <v>0</v>
      </c>
      <c r="AB811" s="13">
        <f t="shared" ref="AB811:AP811" si="1622">IFERROR(VALUE(RIGHT(LEFT($J811,FIND(AB$1,$J811,IF(M811=0,1,FIND(AB$1,$J811,1)+1))+LEN(AB$1)),1)),0)</f>
        <v>0</v>
      </c>
      <c r="AC811" s="13">
        <f t="shared" si="1622"/>
        <v>0</v>
      </c>
      <c r="AD811" s="13">
        <f t="shared" si="1622"/>
        <v>2</v>
      </c>
      <c r="AE811" s="13">
        <f t="shared" si="1622"/>
        <v>0</v>
      </c>
      <c r="AF811" s="13">
        <f t="shared" si="1622"/>
        <v>0</v>
      </c>
      <c r="AG811" s="13">
        <f t="shared" si="1622"/>
        <v>0</v>
      </c>
      <c r="AH811" s="13">
        <f t="shared" si="1622"/>
        <v>0</v>
      </c>
      <c r="AI811" s="13">
        <f t="shared" si="1622"/>
        <v>0</v>
      </c>
      <c r="AJ811" s="13">
        <f t="shared" si="1622"/>
        <v>1</v>
      </c>
      <c r="AK811" s="13">
        <f t="shared" si="1622"/>
        <v>0</v>
      </c>
      <c r="AL811" s="13">
        <f t="shared" si="1622"/>
        <v>0</v>
      </c>
      <c r="AM811" s="13">
        <f t="shared" si="1622"/>
        <v>0</v>
      </c>
      <c r="AN811" s="13">
        <f t="shared" si="1622"/>
        <v>0</v>
      </c>
      <c r="AO811" s="13">
        <f t="shared" si="1622"/>
        <v>0</v>
      </c>
      <c r="AP811" s="13">
        <f t="shared" si="1622"/>
        <v>0</v>
      </c>
      <c r="AQ811" s="13" t="s">
        <v>4980</v>
      </c>
      <c r="AR811" s="13"/>
      <c r="AS811" s="13" t="s">
        <v>4981</v>
      </c>
      <c r="AT811" s="13"/>
      <c r="AU811" s="13"/>
      <c r="AV811" s="13"/>
      <c r="AW811" s="13">
        <v>0.0</v>
      </c>
      <c r="AX811" s="13">
        <v>14.0</v>
      </c>
      <c r="AY811" s="13">
        <v>0.0</v>
      </c>
      <c r="AZ811" s="13"/>
      <c r="BA811" s="13"/>
      <c r="BB811" s="13"/>
      <c r="BC811" s="13"/>
      <c r="BD811" s="13"/>
      <c r="BE811" s="13"/>
      <c r="BF811" s="13"/>
      <c r="BG811" s="13"/>
      <c r="BH811" s="13" t="s">
        <v>79</v>
      </c>
      <c r="BI811" s="13" t="b">
        <v>0</v>
      </c>
      <c r="BJ811" s="13">
        <v>0.0</v>
      </c>
      <c r="BK811" s="13">
        <v>0.0</v>
      </c>
    </row>
    <row r="812" ht="14.25" customHeight="1">
      <c r="A812" s="13">
        <v>810.0</v>
      </c>
      <c r="B812" s="13" t="s">
        <v>47</v>
      </c>
      <c r="C812" s="13">
        <v>2.0</v>
      </c>
      <c r="D812" s="14">
        <v>0.0</v>
      </c>
      <c r="E812" s="13" t="s">
        <v>4982</v>
      </c>
      <c r="F812" s="15" t="s">
        <v>4928</v>
      </c>
      <c r="G812" s="16" t="s">
        <v>4983</v>
      </c>
      <c r="H812" s="13">
        <v>14.0</v>
      </c>
      <c r="I812" s="13">
        <v>0.9</v>
      </c>
      <c r="J812" s="13" t="s">
        <v>4984</v>
      </c>
      <c r="K812" s="13">
        <f t="shared" si="3"/>
        <v>0</v>
      </c>
      <c r="L812" s="13">
        <f t="shared" si="4"/>
        <v>3</v>
      </c>
      <c r="M812" s="13">
        <f t="shared" ref="M812:AA812" si="1623">IFERROR(VALUE(RIGHT(LEFT($J812,FIND(M$1,$J812,1)+LEN(M$1)),1)),0)</f>
        <v>0</v>
      </c>
      <c r="N812" s="13">
        <f t="shared" si="1623"/>
        <v>0</v>
      </c>
      <c r="O812" s="13">
        <f t="shared" si="1623"/>
        <v>0</v>
      </c>
      <c r="P812" s="13">
        <f t="shared" si="1623"/>
        <v>0</v>
      </c>
      <c r="Q812" s="13">
        <f t="shared" si="1623"/>
        <v>0</v>
      </c>
      <c r="R812" s="13">
        <f t="shared" si="1623"/>
        <v>0</v>
      </c>
      <c r="S812" s="13">
        <f t="shared" si="1623"/>
        <v>0</v>
      </c>
      <c r="T812" s="13">
        <f t="shared" si="1623"/>
        <v>0</v>
      </c>
      <c r="U812" s="13">
        <f t="shared" si="1623"/>
        <v>0</v>
      </c>
      <c r="V812" s="13">
        <f t="shared" si="1623"/>
        <v>0</v>
      </c>
      <c r="W812" s="13">
        <f t="shared" si="1623"/>
        <v>0</v>
      </c>
      <c r="X812" s="13">
        <f t="shared" si="1623"/>
        <v>0</v>
      </c>
      <c r="Y812" s="13">
        <f t="shared" si="1623"/>
        <v>0</v>
      </c>
      <c r="Z812" s="13">
        <f t="shared" si="1623"/>
        <v>0</v>
      </c>
      <c r="AA812" s="13">
        <f t="shared" si="1623"/>
        <v>0</v>
      </c>
      <c r="AB812" s="13">
        <f t="shared" ref="AB812:AP812" si="1624">IFERROR(VALUE(RIGHT(LEFT($J812,FIND(AB$1,$J812,IF(M812=0,1,FIND(AB$1,$J812,1)+1))+LEN(AB$1)),1)),0)</f>
        <v>0</v>
      </c>
      <c r="AC812" s="13">
        <f t="shared" si="1624"/>
        <v>0</v>
      </c>
      <c r="AD812" s="13">
        <f t="shared" si="1624"/>
        <v>1</v>
      </c>
      <c r="AE812" s="13">
        <f t="shared" si="1624"/>
        <v>0</v>
      </c>
      <c r="AF812" s="13">
        <f t="shared" si="1624"/>
        <v>0</v>
      </c>
      <c r="AG812" s="13">
        <f t="shared" si="1624"/>
        <v>0</v>
      </c>
      <c r="AH812" s="13">
        <f t="shared" si="1624"/>
        <v>0</v>
      </c>
      <c r="AI812" s="13">
        <f t="shared" si="1624"/>
        <v>0</v>
      </c>
      <c r="AJ812" s="13">
        <f t="shared" si="1624"/>
        <v>0</v>
      </c>
      <c r="AK812" s="13">
        <f t="shared" si="1624"/>
        <v>2</v>
      </c>
      <c r="AL812" s="13">
        <f t="shared" si="1624"/>
        <v>0</v>
      </c>
      <c r="AM812" s="13">
        <f t="shared" si="1624"/>
        <v>0</v>
      </c>
      <c r="AN812" s="13">
        <f t="shared" si="1624"/>
        <v>0</v>
      </c>
      <c r="AO812" s="13">
        <f t="shared" si="1624"/>
        <v>0</v>
      </c>
      <c r="AP812" s="13">
        <f t="shared" si="1624"/>
        <v>0</v>
      </c>
      <c r="AQ812" s="13"/>
      <c r="AR812" s="13" t="s">
        <v>4985</v>
      </c>
      <c r="AS812" s="13" t="s">
        <v>4986</v>
      </c>
      <c r="AT812" s="13" t="s">
        <v>142</v>
      </c>
      <c r="AU812" s="13" t="s">
        <v>803</v>
      </c>
      <c r="AV812" s="13" t="s">
        <v>4987</v>
      </c>
      <c r="AW812" s="13">
        <v>13.0</v>
      </c>
      <c r="AX812" s="13">
        <v>14.0</v>
      </c>
      <c r="AY812" s="13">
        <v>0.0</v>
      </c>
      <c r="AZ812" s="13" t="s">
        <v>4988</v>
      </c>
      <c r="BA812" s="13" t="s">
        <v>4988</v>
      </c>
      <c r="BB812" s="13"/>
      <c r="BC812" s="13"/>
      <c r="BD812" s="13" t="s">
        <v>484</v>
      </c>
      <c r="BE812" s="13"/>
      <c r="BF812" s="13" t="s">
        <v>4989</v>
      </c>
      <c r="BG812" s="13" t="s">
        <v>136</v>
      </c>
      <c r="BH812" s="13" t="s">
        <v>79</v>
      </c>
      <c r="BI812" s="13" t="b">
        <v>0</v>
      </c>
      <c r="BJ812" s="13">
        <v>0.0</v>
      </c>
      <c r="BK812" s="13">
        <v>0.0</v>
      </c>
    </row>
    <row r="813" ht="14.25" customHeight="1">
      <c r="A813" s="13">
        <v>811.0</v>
      </c>
      <c r="B813" s="13" t="s">
        <v>47</v>
      </c>
      <c r="C813" s="13">
        <v>2.0</v>
      </c>
      <c r="D813" s="14">
        <v>0.0</v>
      </c>
      <c r="E813" s="13" t="s">
        <v>4990</v>
      </c>
      <c r="F813" s="15" t="s">
        <v>4928</v>
      </c>
      <c r="G813" s="16" t="s">
        <v>4991</v>
      </c>
      <c r="H813" s="13">
        <v>16.0</v>
      </c>
      <c r="I813" s="13">
        <v>1.0</v>
      </c>
      <c r="J813" s="13" t="s">
        <v>3856</v>
      </c>
      <c r="K813" s="13">
        <f t="shared" si="3"/>
        <v>0</v>
      </c>
      <c r="L813" s="13">
        <f t="shared" si="4"/>
        <v>3</v>
      </c>
      <c r="M813" s="13">
        <f t="shared" ref="M813:AA813" si="1625">IFERROR(VALUE(RIGHT(LEFT($J813,FIND(M$1,$J813,1)+LEN(M$1)),1)),0)</f>
        <v>0</v>
      </c>
      <c r="N813" s="13">
        <f t="shared" si="1625"/>
        <v>0</v>
      </c>
      <c r="O813" s="13">
        <f t="shared" si="1625"/>
        <v>0</v>
      </c>
      <c r="P813" s="13">
        <f t="shared" si="1625"/>
        <v>0</v>
      </c>
      <c r="Q813" s="13">
        <f t="shared" si="1625"/>
        <v>0</v>
      </c>
      <c r="R813" s="13">
        <f t="shared" si="1625"/>
        <v>0</v>
      </c>
      <c r="S813" s="13">
        <f t="shared" si="1625"/>
        <v>0</v>
      </c>
      <c r="T813" s="13">
        <f t="shared" si="1625"/>
        <v>0</v>
      </c>
      <c r="U813" s="13">
        <f t="shared" si="1625"/>
        <v>0</v>
      </c>
      <c r="V813" s="13">
        <f t="shared" si="1625"/>
        <v>0</v>
      </c>
      <c r="W813" s="13">
        <f t="shared" si="1625"/>
        <v>0</v>
      </c>
      <c r="X813" s="13">
        <f t="shared" si="1625"/>
        <v>0</v>
      </c>
      <c r="Y813" s="13">
        <f t="shared" si="1625"/>
        <v>0</v>
      </c>
      <c r="Z813" s="13">
        <f t="shared" si="1625"/>
        <v>0</v>
      </c>
      <c r="AA813" s="13">
        <f t="shared" si="1625"/>
        <v>0</v>
      </c>
      <c r="AB813" s="13">
        <f t="shared" ref="AB813:AP813" si="1626">IFERROR(VALUE(RIGHT(LEFT($J813,FIND(AB$1,$J813,IF(M813=0,1,FIND(AB$1,$J813,1)+1))+LEN(AB$1)),1)),0)</f>
        <v>0</v>
      </c>
      <c r="AC813" s="13">
        <f t="shared" si="1626"/>
        <v>0</v>
      </c>
      <c r="AD813" s="13">
        <f t="shared" si="1626"/>
        <v>0</v>
      </c>
      <c r="AE813" s="13">
        <f t="shared" si="1626"/>
        <v>0</v>
      </c>
      <c r="AF813" s="13">
        <f t="shared" si="1626"/>
        <v>0</v>
      </c>
      <c r="AG813" s="13">
        <f t="shared" si="1626"/>
        <v>2</v>
      </c>
      <c r="AH813" s="13">
        <f t="shared" si="1626"/>
        <v>0</v>
      </c>
      <c r="AI813" s="13">
        <f t="shared" si="1626"/>
        <v>0</v>
      </c>
      <c r="AJ813" s="13">
        <f t="shared" si="1626"/>
        <v>0</v>
      </c>
      <c r="AK813" s="13">
        <f t="shared" si="1626"/>
        <v>1</v>
      </c>
      <c r="AL813" s="13">
        <f t="shared" si="1626"/>
        <v>0</v>
      </c>
      <c r="AM813" s="13">
        <f t="shared" si="1626"/>
        <v>0</v>
      </c>
      <c r="AN813" s="13">
        <f t="shared" si="1626"/>
        <v>0</v>
      </c>
      <c r="AO813" s="13">
        <f t="shared" si="1626"/>
        <v>0</v>
      </c>
      <c r="AP813" s="13">
        <f t="shared" si="1626"/>
        <v>0</v>
      </c>
      <c r="AQ813" s="13"/>
      <c r="AR813" s="13" t="s">
        <v>4992</v>
      </c>
      <c r="AS813" s="13" t="s">
        <v>1100</v>
      </c>
      <c r="AT813" s="13" t="s">
        <v>162</v>
      </c>
      <c r="AU813" s="13" t="s">
        <v>163</v>
      </c>
      <c r="AV813" s="13" t="s">
        <v>3577</v>
      </c>
      <c r="AW813" s="13">
        <v>17.0</v>
      </c>
      <c r="AX813" s="13">
        <v>14.0</v>
      </c>
      <c r="AY813" s="13">
        <v>0.0</v>
      </c>
      <c r="AZ813" s="13" t="s">
        <v>1096</v>
      </c>
      <c r="BA813" s="13" t="s">
        <v>4993</v>
      </c>
      <c r="BB813" s="13"/>
      <c r="BC813" s="13"/>
      <c r="BD813" s="13" t="s">
        <v>134</v>
      </c>
      <c r="BE813" s="13"/>
      <c r="BF813" s="13" t="s">
        <v>1114</v>
      </c>
      <c r="BG813" s="13" t="s">
        <v>136</v>
      </c>
      <c r="BH813" s="13" t="s">
        <v>79</v>
      </c>
      <c r="BI813" s="13" t="b">
        <v>0</v>
      </c>
      <c r="BJ813" s="13">
        <v>0.0</v>
      </c>
      <c r="BK813" s="13">
        <v>0.0</v>
      </c>
    </row>
    <row r="814" ht="14.25" customHeight="1">
      <c r="A814" s="13">
        <v>812.0</v>
      </c>
      <c r="B814" s="13" t="s">
        <v>48</v>
      </c>
      <c r="C814" s="13">
        <v>2.0</v>
      </c>
      <c r="D814" s="14">
        <v>0.0</v>
      </c>
      <c r="E814" s="13" t="s">
        <v>4994</v>
      </c>
      <c r="F814" s="15" t="s">
        <v>4928</v>
      </c>
      <c r="G814" s="16" t="s">
        <v>4995</v>
      </c>
      <c r="H814" s="13">
        <v>15.0</v>
      </c>
      <c r="I814" s="13">
        <v>1.0</v>
      </c>
      <c r="J814" s="13" t="s">
        <v>1193</v>
      </c>
      <c r="K814" s="13">
        <f t="shared" si="3"/>
        <v>0</v>
      </c>
      <c r="L814" s="13">
        <f t="shared" si="4"/>
        <v>3</v>
      </c>
      <c r="M814" s="13">
        <f t="shared" ref="M814:AA814" si="1627">IFERROR(VALUE(RIGHT(LEFT($J814,FIND(M$1,$J814,1)+LEN(M$1)),1)),0)</f>
        <v>0</v>
      </c>
      <c r="N814" s="13">
        <f t="shared" si="1627"/>
        <v>0</v>
      </c>
      <c r="O814" s="13">
        <f t="shared" si="1627"/>
        <v>0</v>
      </c>
      <c r="P814" s="13">
        <f t="shared" si="1627"/>
        <v>0</v>
      </c>
      <c r="Q814" s="13">
        <f t="shared" si="1627"/>
        <v>0</v>
      </c>
      <c r="R814" s="13">
        <f t="shared" si="1627"/>
        <v>0</v>
      </c>
      <c r="S814" s="13">
        <f t="shared" si="1627"/>
        <v>0</v>
      </c>
      <c r="T814" s="13">
        <f t="shared" si="1627"/>
        <v>0</v>
      </c>
      <c r="U814" s="13">
        <f t="shared" si="1627"/>
        <v>0</v>
      </c>
      <c r="V814" s="13">
        <f t="shared" si="1627"/>
        <v>0</v>
      </c>
      <c r="W814" s="13">
        <f t="shared" si="1627"/>
        <v>0</v>
      </c>
      <c r="X814" s="13">
        <f t="shared" si="1627"/>
        <v>0</v>
      </c>
      <c r="Y814" s="13">
        <f t="shared" si="1627"/>
        <v>0</v>
      </c>
      <c r="Z814" s="13">
        <f t="shared" si="1627"/>
        <v>0</v>
      </c>
      <c r="AA814" s="13">
        <f t="shared" si="1627"/>
        <v>0</v>
      </c>
      <c r="AB814" s="13">
        <f t="shared" ref="AB814:AP814" si="1628">IFERROR(VALUE(RIGHT(LEFT($J814,FIND(AB$1,$J814,IF(M814=0,1,FIND(AB$1,$J814,1)+1))+LEN(AB$1)),1)),0)</f>
        <v>0</v>
      </c>
      <c r="AC814" s="13">
        <f t="shared" si="1628"/>
        <v>1</v>
      </c>
      <c r="AD814" s="13">
        <f t="shared" si="1628"/>
        <v>0</v>
      </c>
      <c r="AE814" s="13">
        <f t="shared" si="1628"/>
        <v>0</v>
      </c>
      <c r="AF814" s="13">
        <f t="shared" si="1628"/>
        <v>0</v>
      </c>
      <c r="AG814" s="13">
        <f t="shared" si="1628"/>
        <v>0</v>
      </c>
      <c r="AH814" s="13">
        <f t="shared" si="1628"/>
        <v>0</v>
      </c>
      <c r="AI814" s="13">
        <f t="shared" si="1628"/>
        <v>0</v>
      </c>
      <c r="AJ814" s="13">
        <f t="shared" si="1628"/>
        <v>0</v>
      </c>
      <c r="AK814" s="13">
        <f t="shared" si="1628"/>
        <v>0</v>
      </c>
      <c r="AL814" s="13">
        <f t="shared" si="1628"/>
        <v>2</v>
      </c>
      <c r="AM814" s="13">
        <f t="shared" si="1628"/>
        <v>0</v>
      </c>
      <c r="AN814" s="13">
        <f t="shared" si="1628"/>
        <v>0</v>
      </c>
      <c r="AO814" s="13">
        <f t="shared" si="1628"/>
        <v>0</v>
      </c>
      <c r="AP814" s="13">
        <f t="shared" si="1628"/>
        <v>0</v>
      </c>
      <c r="AQ814" s="13"/>
      <c r="AR814" s="13" t="s">
        <v>4996</v>
      </c>
      <c r="AS814" s="13" t="s">
        <v>4997</v>
      </c>
      <c r="AT814" s="13" t="s">
        <v>257</v>
      </c>
      <c r="AU814" s="13" t="s">
        <v>803</v>
      </c>
      <c r="AV814" s="13" t="s">
        <v>4998</v>
      </c>
      <c r="AW814" s="13">
        <v>14.0</v>
      </c>
      <c r="AX814" s="13">
        <v>14.0</v>
      </c>
      <c r="AY814" s="13">
        <v>0.0</v>
      </c>
      <c r="AZ814" s="13" t="s">
        <v>609</v>
      </c>
      <c r="BA814" s="13" t="s">
        <v>548</v>
      </c>
      <c r="BB814" s="13"/>
      <c r="BC814" s="13"/>
      <c r="BD814" s="13" t="s">
        <v>179</v>
      </c>
      <c r="BE814" s="13"/>
      <c r="BF814" s="13" t="s">
        <v>4999</v>
      </c>
      <c r="BG814" s="13" t="s">
        <v>169</v>
      </c>
      <c r="BH814" s="13" t="s">
        <v>79</v>
      </c>
      <c r="BI814" s="13" t="b">
        <v>0</v>
      </c>
      <c r="BJ814" s="13">
        <v>0.0</v>
      </c>
      <c r="BK814" s="13">
        <v>0.0</v>
      </c>
    </row>
    <row r="815" ht="14.25" customHeight="1">
      <c r="A815" s="13">
        <v>813.0</v>
      </c>
      <c r="B815" s="13" t="s">
        <v>44</v>
      </c>
      <c r="C815" s="13">
        <v>3.0</v>
      </c>
      <c r="D815" s="14">
        <v>0.0</v>
      </c>
      <c r="E815" s="13" t="s">
        <v>5000</v>
      </c>
      <c r="F815" s="15" t="s">
        <v>4928</v>
      </c>
      <c r="G815" s="16" t="s">
        <v>5001</v>
      </c>
      <c r="H815" s="13"/>
      <c r="I815" s="13">
        <v>1.1</v>
      </c>
      <c r="J815" s="13" t="s">
        <v>1574</v>
      </c>
      <c r="K815" s="13">
        <f t="shared" si="3"/>
        <v>1</v>
      </c>
      <c r="L815" s="13">
        <f t="shared" si="4"/>
        <v>2</v>
      </c>
      <c r="M815" s="13">
        <f t="shared" ref="M815:AA815" si="1629">IFERROR(VALUE(RIGHT(LEFT($J815,FIND(M$1,$J815,1)+LEN(M$1)),1)),0)</f>
        <v>0</v>
      </c>
      <c r="N815" s="13">
        <f t="shared" si="1629"/>
        <v>0</v>
      </c>
      <c r="O815" s="13">
        <f t="shared" si="1629"/>
        <v>0</v>
      </c>
      <c r="P815" s="13">
        <f t="shared" si="1629"/>
        <v>0</v>
      </c>
      <c r="Q815" s="13">
        <f t="shared" si="1629"/>
        <v>0</v>
      </c>
      <c r="R815" s="13">
        <f t="shared" si="1629"/>
        <v>0</v>
      </c>
      <c r="S815" s="13">
        <f t="shared" si="1629"/>
        <v>1</v>
      </c>
      <c r="T815" s="13">
        <f t="shared" si="1629"/>
        <v>0</v>
      </c>
      <c r="U815" s="13">
        <f t="shared" si="1629"/>
        <v>0</v>
      </c>
      <c r="V815" s="13">
        <f t="shared" si="1629"/>
        <v>0</v>
      </c>
      <c r="W815" s="13">
        <f t="shared" si="1629"/>
        <v>0</v>
      </c>
      <c r="X815" s="13">
        <f t="shared" si="1629"/>
        <v>0</v>
      </c>
      <c r="Y815" s="13">
        <f t="shared" si="1629"/>
        <v>0</v>
      </c>
      <c r="Z815" s="13">
        <f t="shared" si="1629"/>
        <v>0</v>
      </c>
      <c r="AA815" s="13">
        <f t="shared" si="1629"/>
        <v>0</v>
      </c>
      <c r="AB815" s="13">
        <f t="shared" ref="AB815:AP815" si="1630">IFERROR(VALUE(RIGHT(LEFT($J815,FIND(AB$1,$J815,IF(M815=0,1,FIND(AB$1,$J815,1)+1))+LEN(AB$1)),1)),0)</f>
        <v>0</v>
      </c>
      <c r="AC815" s="13">
        <f t="shared" si="1630"/>
        <v>0</v>
      </c>
      <c r="AD815" s="13">
        <f t="shared" si="1630"/>
        <v>0</v>
      </c>
      <c r="AE815" s="13">
        <f t="shared" si="1630"/>
        <v>0</v>
      </c>
      <c r="AF815" s="13">
        <f t="shared" si="1630"/>
        <v>0</v>
      </c>
      <c r="AG815" s="13">
        <f t="shared" si="1630"/>
        <v>1</v>
      </c>
      <c r="AH815" s="13">
        <f t="shared" si="1630"/>
        <v>1</v>
      </c>
      <c r="AI815" s="13">
        <f t="shared" si="1630"/>
        <v>0</v>
      </c>
      <c r="AJ815" s="13">
        <f t="shared" si="1630"/>
        <v>0</v>
      </c>
      <c r="AK815" s="13">
        <f t="shared" si="1630"/>
        <v>0</v>
      </c>
      <c r="AL815" s="13">
        <f t="shared" si="1630"/>
        <v>0</v>
      </c>
      <c r="AM815" s="13">
        <f t="shared" si="1630"/>
        <v>0</v>
      </c>
      <c r="AN815" s="13">
        <f t="shared" si="1630"/>
        <v>0</v>
      </c>
      <c r="AO815" s="13">
        <f t="shared" si="1630"/>
        <v>0</v>
      </c>
      <c r="AP815" s="13">
        <f t="shared" si="1630"/>
        <v>0</v>
      </c>
      <c r="AQ815" s="13" t="s">
        <v>5002</v>
      </c>
      <c r="AR815" s="13"/>
      <c r="AS815" s="13" t="s">
        <v>5003</v>
      </c>
      <c r="AT815" s="13"/>
      <c r="AU815" s="13"/>
      <c r="AV815" s="13"/>
      <c r="AW815" s="13">
        <v>0.0</v>
      </c>
      <c r="AX815" s="13">
        <v>14.0</v>
      </c>
      <c r="AY815" s="13">
        <v>0.0</v>
      </c>
      <c r="AZ815" s="13"/>
      <c r="BA815" s="13"/>
      <c r="BB815" s="13"/>
      <c r="BC815" s="13"/>
      <c r="BD815" s="13"/>
      <c r="BE815" s="13"/>
      <c r="BF815" s="13"/>
      <c r="BG815" s="13"/>
      <c r="BH815" s="13" t="s">
        <v>79</v>
      </c>
      <c r="BI815" s="13" t="b">
        <v>0</v>
      </c>
      <c r="BJ815" s="13">
        <v>0.0</v>
      </c>
      <c r="BK815" s="13">
        <v>0.0</v>
      </c>
    </row>
    <row r="816" ht="14.25" customHeight="1">
      <c r="A816" s="13">
        <v>814.0</v>
      </c>
      <c r="B816" s="13" t="s">
        <v>45</v>
      </c>
      <c r="C816" s="13">
        <v>3.0</v>
      </c>
      <c r="D816" s="14">
        <v>0.0</v>
      </c>
      <c r="E816" s="13" t="s">
        <v>5004</v>
      </c>
      <c r="F816" s="15" t="s">
        <v>4928</v>
      </c>
      <c r="G816" s="16" t="s">
        <v>5005</v>
      </c>
      <c r="H816" s="13"/>
      <c r="I816" s="13">
        <v>0.9</v>
      </c>
      <c r="J816" s="13" t="s">
        <v>1584</v>
      </c>
      <c r="K816" s="13">
        <f t="shared" si="3"/>
        <v>1</v>
      </c>
      <c r="L816" s="13">
        <f t="shared" si="4"/>
        <v>2</v>
      </c>
      <c r="M816" s="13">
        <f t="shared" ref="M816:AA816" si="1631">IFERROR(VALUE(RIGHT(LEFT($J816,FIND(M$1,$J816,1)+LEN(M$1)),1)),0)</f>
        <v>0</v>
      </c>
      <c r="N816" s="13">
        <f t="shared" si="1631"/>
        <v>0</v>
      </c>
      <c r="O816" s="13">
        <f t="shared" si="1631"/>
        <v>0</v>
      </c>
      <c r="P816" s="13">
        <f t="shared" si="1631"/>
        <v>0</v>
      </c>
      <c r="Q816" s="13">
        <f t="shared" si="1631"/>
        <v>0</v>
      </c>
      <c r="R816" s="13">
        <f t="shared" si="1631"/>
        <v>0</v>
      </c>
      <c r="S816" s="13">
        <f t="shared" si="1631"/>
        <v>0</v>
      </c>
      <c r="T816" s="13">
        <f t="shared" si="1631"/>
        <v>1</v>
      </c>
      <c r="U816" s="13">
        <f t="shared" si="1631"/>
        <v>0</v>
      </c>
      <c r="V816" s="13">
        <f t="shared" si="1631"/>
        <v>0</v>
      </c>
      <c r="W816" s="13">
        <f t="shared" si="1631"/>
        <v>0</v>
      </c>
      <c r="X816" s="13">
        <f t="shared" si="1631"/>
        <v>0</v>
      </c>
      <c r="Y816" s="13">
        <f t="shared" si="1631"/>
        <v>0</v>
      </c>
      <c r="Z816" s="13">
        <f t="shared" si="1631"/>
        <v>0</v>
      </c>
      <c r="AA816" s="13">
        <f t="shared" si="1631"/>
        <v>0</v>
      </c>
      <c r="AB816" s="13">
        <f t="shared" ref="AB816:AP816" si="1632">IFERROR(VALUE(RIGHT(LEFT($J816,FIND(AB$1,$J816,IF(M816=0,1,FIND(AB$1,$J816,1)+1))+LEN(AB$1)),1)),0)</f>
        <v>0</v>
      </c>
      <c r="AC816" s="13">
        <f t="shared" si="1632"/>
        <v>1</v>
      </c>
      <c r="AD816" s="13">
        <f t="shared" si="1632"/>
        <v>0</v>
      </c>
      <c r="AE816" s="13">
        <f t="shared" si="1632"/>
        <v>0</v>
      </c>
      <c r="AF816" s="13">
        <f t="shared" si="1632"/>
        <v>0</v>
      </c>
      <c r="AG816" s="13">
        <f t="shared" si="1632"/>
        <v>0</v>
      </c>
      <c r="AH816" s="13">
        <f t="shared" si="1632"/>
        <v>0</v>
      </c>
      <c r="AI816" s="13">
        <f t="shared" si="1632"/>
        <v>1</v>
      </c>
      <c r="AJ816" s="13">
        <f t="shared" si="1632"/>
        <v>0</v>
      </c>
      <c r="AK816" s="13">
        <f t="shared" si="1632"/>
        <v>0</v>
      </c>
      <c r="AL816" s="13">
        <f t="shared" si="1632"/>
        <v>0</v>
      </c>
      <c r="AM816" s="13">
        <f t="shared" si="1632"/>
        <v>0</v>
      </c>
      <c r="AN816" s="13">
        <f t="shared" si="1632"/>
        <v>0</v>
      </c>
      <c r="AO816" s="13">
        <f t="shared" si="1632"/>
        <v>0</v>
      </c>
      <c r="AP816" s="13">
        <f t="shared" si="1632"/>
        <v>0</v>
      </c>
      <c r="AQ816" s="13" t="s">
        <v>5006</v>
      </c>
      <c r="AR816" s="13"/>
      <c r="AS816" s="13" t="s">
        <v>1586</v>
      </c>
      <c r="AT816" s="13"/>
      <c r="AU816" s="13"/>
      <c r="AV816" s="13"/>
      <c r="AW816" s="13">
        <v>0.0</v>
      </c>
      <c r="AX816" s="13">
        <v>14.0</v>
      </c>
      <c r="AY816" s="13">
        <v>0.0</v>
      </c>
      <c r="AZ816" s="13"/>
      <c r="BA816" s="13"/>
      <c r="BB816" s="13"/>
      <c r="BC816" s="13"/>
      <c r="BD816" s="13"/>
      <c r="BE816" s="13"/>
      <c r="BF816" s="13"/>
      <c r="BG816" s="13"/>
      <c r="BH816" s="13" t="s">
        <v>79</v>
      </c>
      <c r="BI816" s="13" t="b">
        <v>0</v>
      </c>
      <c r="BJ816" s="13">
        <v>0.0</v>
      </c>
      <c r="BK816" s="13">
        <v>0.0</v>
      </c>
    </row>
    <row r="817" ht="14.25" customHeight="1">
      <c r="A817" s="13">
        <v>815.0</v>
      </c>
      <c r="B817" s="13" t="s">
        <v>46</v>
      </c>
      <c r="C817" s="13">
        <v>3.0</v>
      </c>
      <c r="D817" s="14">
        <v>0.0</v>
      </c>
      <c r="E817" s="13" t="s">
        <v>5007</v>
      </c>
      <c r="F817" s="15" t="s">
        <v>4928</v>
      </c>
      <c r="G817" s="16" t="s">
        <v>5008</v>
      </c>
      <c r="H817" s="13"/>
      <c r="I817" s="13">
        <v>1.1</v>
      </c>
      <c r="J817" s="13" t="s">
        <v>5009</v>
      </c>
      <c r="K817" s="13">
        <f t="shared" si="3"/>
        <v>2</v>
      </c>
      <c r="L817" s="13">
        <f t="shared" si="4"/>
        <v>0</v>
      </c>
      <c r="M817" s="13">
        <f t="shared" ref="M817:AA817" si="1633">IFERROR(VALUE(RIGHT(LEFT($J817,FIND(M$1,$J817,1)+LEN(M$1)),1)),0)</f>
        <v>0</v>
      </c>
      <c r="N817" s="13">
        <f t="shared" si="1633"/>
        <v>1</v>
      </c>
      <c r="O817" s="13">
        <f t="shared" si="1633"/>
        <v>0</v>
      </c>
      <c r="P817" s="13">
        <f t="shared" si="1633"/>
        <v>0</v>
      </c>
      <c r="Q817" s="13">
        <f t="shared" si="1633"/>
        <v>0</v>
      </c>
      <c r="R817" s="13">
        <f t="shared" si="1633"/>
        <v>1</v>
      </c>
      <c r="S817" s="13">
        <f t="shared" si="1633"/>
        <v>0</v>
      </c>
      <c r="T817" s="13">
        <f t="shared" si="1633"/>
        <v>0</v>
      </c>
      <c r="U817" s="13">
        <f t="shared" si="1633"/>
        <v>0</v>
      </c>
      <c r="V817" s="13">
        <f t="shared" si="1633"/>
        <v>0</v>
      </c>
      <c r="W817" s="13">
        <f t="shared" si="1633"/>
        <v>0</v>
      </c>
      <c r="X817" s="13">
        <f t="shared" si="1633"/>
        <v>0</v>
      </c>
      <c r="Y817" s="13">
        <f t="shared" si="1633"/>
        <v>0</v>
      </c>
      <c r="Z817" s="13">
        <f t="shared" si="1633"/>
        <v>0</v>
      </c>
      <c r="AA817" s="13">
        <f t="shared" si="1633"/>
        <v>0</v>
      </c>
      <c r="AB817" s="13">
        <f t="shared" ref="AB817:AP817" si="1634">IFERROR(VALUE(RIGHT(LEFT($J817,FIND(AB$1,$J817,IF(M817=0,1,FIND(AB$1,$J817,1)+1))+LEN(AB$1)),1)),0)</f>
        <v>0</v>
      </c>
      <c r="AC817" s="13">
        <f t="shared" si="1634"/>
        <v>0</v>
      </c>
      <c r="AD817" s="13">
        <f t="shared" si="1634"/>
        <v>0</v>
      </c>
      <c r="AE817" s="13">
        <f t="shared" si="1634"/>
        <v>0</v>
      </c>
      <c r="AF817" s="13">
        <f t="shared" si="1634"/>
        <v>0</v>
      </c>
      <c r="AG817" s="13">
        <f t="shared" si="1634"/>
        <v>0</v>
      </c>
      <c r="AH817" s="13">
        <f t="shared" si="1634"/>
        <v>0</v>
      </c>
      <c r="AI817" s="13">
        <f t="shared" si="1634"/>
        <v>0</v>
      </c>
      <c r="AJ817" s="13">
        <f t="shared" si="1634"/>
        <v>0</v>
      </c>
      <c r="AK817" s="13">
        <f t="shared" si="1634"/>
        <v>0</v>
      </c>
      <c r="AL817" s="13">
        <f t="shared" si="1634"/>
        <v>0</v>
      </c>
      <c r="AM817" s="13">
        <f t="shared" si="1634"/>
        <v>0</v>
      </c>
      <c r="AN817" s="13">
        <f t="shared" si="1634"/>
        <v>0</v>
      </c>
      <c r="AO817" s="13">
        <f t="shared" si="1634"/>
        <v>0</v>
      </c>
      <c r="AP817" s="13">
        <f t="shared" si="1634"/>
        <v>0</v>
      </c>
      <c r="AQ817" s="13" t="s">
        <v>5010</v>
      </c>
      <c r="AR817" s="13"/>
      <c r="AS817" s="13" t="s">
        <v>5011</v>
      </c>
      <c r="AT817" s="13"/>
      <c r="AU817" s="13"/>
      <c r="AV817" s="13"/>
      <c r="AW817" s="13">
        <v>0.0</v>
      </c>
      <c r="AX817" s="13">
        <v>14.0</v>
      </c>
      <c r="AY817" s="13">
        <v>0.0</v>
      </c>
      <c r="AZ817" s="13"/>
      <c r="BA817" s="13"/>
      <c r="BB817" s="13"/>
      <c r="BC817" s="13"/>
      <c r="BD817" s="13"/>
      <c r="BE817" s="13"/>
      <c r="BF817" s="13"/>
      <c r="BG817" s="13"/>
      <c r="BH817" s="13" t="s">
        <v>79</v>
      </c>
      <c r="BI817" s="13" t="b">
        <v>0</v>
      </c>
      <c r="BJ817" s="13">
        <v>0.0</v>
      </c>
      <c r="BK817" s="13">
        <v>0.0</v>
      </c>
    </row>
    <row r="818" ht="14.25" customHeight="1">
      <c r="A818" s="13">
        <v>816.0</v>
      </c>
      <c r="B818" s="13" t="s">
        <v>47</v>
      </c>
      <c r="C818" s="13">
        <v>3.0</v>
      </c>
      <c r="D818" s="14">
        <v>0.0</v>
      </c>
      <c r="E818" s="13" t="s">
        <v>5012</v>
      </c>
      <c r="F818" s="15" t="s">
        <v>4928</v>
      </c>
      <c r="G818" s="16" t="s">
        <v>5013</v>
      </c>
      <c r="H818" s="13">
        <v>17.0</v>
      </c>
      <c r="I818" s="13">
        <v>1.0</v>
      </c>
      <c r="J818" s="13" t="s">
        <v>5014</v>
      </c>
      <c r="K818" s="13">
        <f t="shared" si="3"/>
        <v>2</v>
      </c>
      <c r="L818" s="13">
        <f t="shared" si="4"/>
        <v>0</v>
      </c>
      <c r="M818" s="13">
        <f t="shared" ref="M818:AA818" si="1635">IFERROR(VALUE(RIGHT(LEFT($J818,FIND(M$1,$J818,1)+LEN(M$1)),1)),0)</f>
        <v>0</v>
      </c>
      <c r="N818" s="13">
        <f t="shared" si="1635"/>
        <v>1</v>
      </c>
      <c r="O818" s="13">
        <f t="shared" si="1635"/>
        <v>0</v>
      </c>
      <c r="P818" s="13">
        <f t="shared" si="1635"/>
        <v>0</v>
      </c>
      <c r="Q818" s="13">
        <f t="shared" si="1635"/>
        <v>0</v>
      </c>
      <c r="R818" s="13">
        <f t="shared" si="1635"/>
        <v>0</v>
      </c>
      <c r="S818" s="13">
        <f t="shared" si="1635"/>
        <v>0</v>
      </c>
      <c r="T818" s="13">
        <f t="shared" si="1635"/>
        <v>0</v>
      </c>
      <c r="U818" s="13">
        <f t="shared" si="1635"/>
        <v>0</v>
      </c>
      <c r="V818" s="13">
        <f t="shared" si="1635"/>
        <v>1</v>
      </c>
      <c r="W818" s="13">
        <f t="shared" si="1635"/>
        <v>0</v>
      </c>
      <c r="X818" s="13">
        <f t="shared" si="1635"/>
        <v>0</v>
      </c>
      <c r="Y818" s="13">
        <f t="shared" si="1635"/>
        <v>0</v>
      </c>
      <c r="Z818" s="13">
        <f t="shared" si="1635"/>
        <v>0</v>
      </c>
      <c r="AA818" s="13">
        <f t="shared" si="1635"/>
        <v>0</v>
      </c>
      <c r="AB818" s="13">
        <f t="shared" ref="AB818:AP818" si="1636">IFERROR(VALUE(RIGHT(LEFT($J818,FIND(AB$1,$J818,IF(M818=0,1,FIND(AB$1,$J818,1)+1))+LEN(AB$1)),1)),0)</f>
        <v>0</v>
      </c>
      <c r="AC818" s="13">
        <f t="shared" si="1636"/>
        <v>0</v>
      </c>
      <c r="AD818" s="13">
        <f t="shared" si="1636"/>
        <v>0</v>
      </c>
      <c r="AE818" s="13">
        <f t="shared" si="1636"/>
        <v>0</v>
      </c>
      <c r="AF818" s="13">
        <f t="shared" si="1636"/>
        <v>0</v>
      </c>
      <c r="AG818" s="13">
        <f t="shared" si="1636"/>
        <v>0</v>
      </c>
      <c r="AH818" s="13">
        <f t="shared" si="1636"/>
        <v>0</v>
      </c>
      <c r="AI818" s="13">
        <f t="shared" si="1636"/>
        <v>0</v>
      </c>
      <c r="AJ818" s="13">
        <f t="shared" si="1636"/>
        <v>0</v>
      </c>
      <c r="AK818" s="13">
        <f t="shared" si="1636"/>
        <v>0</v>
      </c>
      <c r="AL818" s="13">
        <f t="shared" si="1636"/>
        <v>0</v>
      </c>
      <c r="AM818" s="13">
        <f t="shared" si="1636"/>
        <v>0</v>
      </c>
      <c r="AN818" s="13">
        <f t="shared" si="1636"/>
        <v>0</v>
      </c>
      <c r="AO818" s="13">
        <f t="shared" si="1636"/>
        <v>0</v>
      </c>
      <c r="AP818" s="13">
        <f t="shared" si="1636"/>
        <v>0</v>
      </c>
      <c r="AQ818" s="13"/>
      <c r="AR818" s="13" t="s">
        <v>5015</v>
      </c>
      <c r="AS818" s="13" t="s">
        <v>4554</v>
      </c>
      <c r="AT818" s="13" t="s">
        <v>1350</v>
      </c>
      <c r="AU818" s="13" t="s">
        <v>130</v>
      </c>
      <c r="AV818" s="13" t="s">
        <v>5016</v>
      </c>
      <c r="AW818" s="13">
        <v>20.0</v>
      </c>
      <c r="AX818" s="13">
        <v>14.0</v>
      </c>
      <c r="AY818" s="13">
        <v>0.0</v>
      </c>
      <c r="AZ818" s="13" t="s">
        <v>5017</v>
      </c>
      <c r="BA818" s="13" t="s">
        <v>3629</v>
      </c>
      <c r="BB818" s="13"/>
      <c r="BC818" s="13"/>
      <c r="BD818" s="13" t="s">
        <v>1113</v>
      </c>
      <c r="BE818" s="13"/>
      <c r="BF818" s="13" t="s">
        <v>5018</v>
      </c>
      <c r="BG818" s="13" t="s">
        <v>136</v>
      </c>
      <c r="BH818" s="13" t="s">
        <v>79</v>
      </c>
      <c r="BI818" s="13" t="b">
        <v>0</v>
      </c>
      <c r="BJ818" s="13">
        <v>0.0</v>
      </c>
      <c r="BK818" s="13">
        <v>0.0</v>
      </c>
    </row>
    <row r="819" ht="14.25" customHeight="1">
      <c r="A819" s="13">
        <v>817.0</v>
      </c>
      <c r="B819" s="13" t="s">
        <v>47</v>
      </c>
      <c r="C819" s="13">
        <v>3.0</v>
      </c>
      <c r="D819" s="14">
        <v>0.0</v>
      </c>
      <c r="E819" s="13" t="s">
        <v>5019</v>
      </c>
      <c r="F819" s="15" t="s">
        <v>4928</v>
      </c>
      <c r="G819" s="16" t="s">
        <v>5020</v>
      </c>
      <c r="H819" s="13">
        <v>19.0</v>
      </c>
      <c r="I819" s="13">
        <v>1.1</v>
      </c>
      <c r="J819" s="13" t="s">
        <v>1643</v>
      </c>
      <c r="K819" s="13">
        <f t="shared" si="3"/>
        <v>1</v>
      </c>
      <c r="L819" s="13">
        <f t="shared" si="4"/>
        <v>2</v>
      </c>
      <c r="M819" s="13">
        <f t="shared" ref="M819:AA819" si="1637">IFERROR(VALUE(RIGHT(LEFT($J819,FIND(M$1,$J819,1)+LEN(M$1)),1)),0)</f>
        <v>0</v>
      </c>
      <c r="N819" s="13">
        <f t="shared" si="1637"/>
        <v>0</v>
      </c>
      <c r="O819" s="13">
        <f t="shared" si="1637"/>
        <v>0</v>
      </c>
      <c r="P819" s="13">
        <f t="shared" si="1637"/>
        <v>0</v>
      </c>
      <c r="Q819" s="13">
        <f t="shared" si="1637"/>
        <v>0</v>
      </c>
      <c r="R819" s="13">
        <f t="shared" si="1637"/>
        <v>1</v>
      </c>
      <c r="S819" s="13">
        <f t="shared" si="1637"/>
        <v>0</v>
      </c>
      <c r="T819" s="13">
        <f t="shared" si="1637"/>
        <v>0</v>
      </c>
      <c r="U819" s="13">
        <f t="shared" si="1637"/>
        <v>0</v>
      </c>
      <c r="V819" s="13">
        <f t="shared" si="1637"/>
        <v>0</v>
      </c>
      <c r="W819" s="13">
        <f t="shared" si="1637"/>
        <v>0</v>
      </c>
      <c r="X819" s="13">
        <f t="shared" si="1637"/>
        <v>0</v>
      </c>
      <c r="Y819" s="13">
        <f t="shared" si="1637"/>
        <v>0</v>
      </c>
      <c r="Z819" s="13">
        <f t="shared" si="1637"/>
        <v>0</v>
      </c>
      <c r="AA819" s="13">
        <f t="shared" si="1637"/>
        <v>0</v>
      </c>
      <c r="AB819" s="13">
        <f t="shared" ref="AB819:AP819" si="1638">IFERROR(VALUE(RIGHT(LEFT($J819,FIND(AB$1,$J819,IF(M819=0,1,FIND(AB$1,$J819,1)+1))+LEN(AB$1)),1)),0)</f>
        <v>0</v>
      </c>
      <c r="AC819" s="13">
        <f t="shared" si="1638"/>
        <v>0</v>
      </c>
      <c r="AD819" s="13">
        <f t="shared" si="1638"/>
        <v>0</v>
      </c>
      <c r="AE819" s="13">
        <f t="shared" si="1638"/>
        <v>0</v>
      </c>
      <c r="AF819" s="13">
        <f t="shared" si="1638"/>
        <v>0</v>
      </c>
      <c r="AG819" s="13">
        <f t="shared" si="1638"/>
        <v>1</v>
      </c>
      <c r="AH819" s="13">
        <f t="shared" si="1638"/>
        <v>0</v>
      </c>
      <c r="AI819" s="13">
        <f t="shared" si="1638"/>
        <v>0</v>
      </c>
      <c r="AJ819" s="13">
        <f t="shared" si="1638"/>
        <v>0</v>
      </c>
      <c r="AK819" s="13">
        <f t="shared" si="1638"/>
        <v>1</v>
      </c>
      <c r="AL819" s="13">
        <f t="shared" si="1638"/>
        <v>0</v>
      </c>
      <c r="AM819" s="13">
        <f t="shared" si="1638"/>
        <v>0</v>
      </c>
      <c r="AN819" s="13">
        <f t="shared" si="1638"/>
        <v>0</v>
      </c>
      <c r="AO819" s="13">
        <f t="shared" si="1638"/>
        <v>0</v>
      </c>
      <c r="AP819" s="13">
        <f t="shared" si="1638"/>
        <v>0</v>
      </c>
      <c r="AQ819" s="13"/>
      <c r="AR819" s="13" t="s">
        <v>5021</v>
      </c>
      <c r="AS819" s="13" t="s">
        <v>5022</v>
      </c>
      <c r="AT819" s="13" t="s">
        <v>162</v>
      </c>
      <c r="AU819" s="13" t="s">
        <v>236</v>
      </c>
      <c r="AV819" s="13" t="s">
        <v>5023</v>
      </c>
      <c r="AW819" s="13">
        <v>23.0</v>
      </c>
      <c r="AX819" s="13">
        <v>14.0</v>
      </c>
      <c r="AY819" s="13">
        <v>0.0</v>
      </c>
      <c r="AZ819" s="13" t="s">
        <v>4090</v>
      </c>
      <c r="BA819" s="13" t="s">
        <v>5024</v>
      </c>
      <c r="BB819" s="13"/>
      <c r="BC819" s="13"/>
      <c r="BD819" s="13" t="s">
        <v>484</v>
      </c>
      <c r="BE819" s="13"/>
      <c r="BF819" s="13" t="s">
        <v>5025</v>
      </c>
      <c r="BG819" s="13" t="s">
        <v>136</v>
      </c>
      <c r="BH819" s="13" t="s">
        <v>79</v>
      </c>
      <c r="BI819" s="13" t="b">
        <v>0</v>
      </c>
      <c r="BJ819" s="13">
        <v>0.0</v>
      </c>
      <c r="BK819" s="13">
        <v>0.0</v>
      </c>
    </row>
    <row r="820" ht="14.25" customHeight="1">
      <c r="A820" s="13">
        <v>818.0</v>
      </c>
      <c r="B820" s="13" t="s">
        <v>48</v>
      </c>
      <c r="C820" s="13">
        <v>3.0</v>
      </c>
      <c r="D820" s="14">
        <v>0.0</v>
      </c>
      <c r="E820" s="13" t="s">
        <v>5026</v>
      </c>
      <c r="F820" s="15" t="s">
        <v>4928</v>
      </c>
      <c r="G820" s="16" t="s">
        <v>5027</v>
      </c>
      <c r="H820" s="13">
        <v>18.0</v>
      </c>
      <c r="I820" s="13">
        <v>1.0</v>
      </c>
      <c r="J820" s="13" t="s">
        <v>1711</v>
      </c>
      <c r="K820" s="13">
        <f t="shared" si="3"/>
        <v>1</v>
      </c>
      <c r="L820" s="13">
        <f t="shared" si="4"/>
        <v>2</v>
      </c>
      <c r="M820" s="13">
        <f t="shared" ref="M820:AA820" si="1639">IFERROR(VALUE(RIGHT(LEFT($J820,FIND(M$1,$J820,1)+LEN(M$1)),1)),0)</f>
        <v>0</v>
      </c>
      <c r="N820" s="13">
        <f t="shared" si="1639"/>
        <v>0</v>
      </c>
      <c r="O820" s="13">
        <f t="shared" si="1639"/>
        <v>0</v>
      </c>
      <c r="P820" s="13">
        <f t="shared" si="1639"/>
        <v>0</v>
      </c>
      <c r="Q820" s="13">
        <f t="shared" si="1639"/>
        <v>0</v>
      </c>
      <c r="R820" s="13">
        <f t="shared" si="1639"/>
        <v>0</v>
      </c>
      <c r="S820" s="13">
        <f t="shared" si="1639"/>
        <v>0</v>
      </c>
      <c r="T820" s="13">
        <f t="shared" si="1639"/>
        <v>0</v>
      </c>
      <c r="U820" s="13">
        <f t="shared" si="1639"/>
        <v>0</v>
      </c>
      <c r="V820" s="13">
        <f t="shared" si="1639"/>
        <v>0</v>
      </c>
      <c r="W820" s="13">
        <f t="shared" si="1639"/>
        <v>1</v>
      </c>
      <c r="X820" s="13">
        <f t="shared" si="1639"/>
        <v>0</v>
      </c>
      <c r="Y820" s="13">
        <f t="shared" si="1639"/>
        <v>0</v>
      </c>
      <c r="Z820" s="13">
        <f t="shared" si="1639"/>
        <v>0</v>
      </c>
      <c r="AA820" s="13">
        <f t="shared" si="1639"/>
        <v>0</v>
      </c>
      <c r="AB820" s="13">
        <f t="shared" ref="AB820:AP820" si="1640">IFERROR(VALUE(RIGHT(LEFT($J820,FIND(AB$1,$J820,IF(M820=0,1,FIND(AB$1,$J820,1)+1))+LEN(AB$1)),1)),0)</f>
        <v>0</v>
      </c>
      <c r="AC820" s="13">
        <f t="shared" si="1640"/>
        <v>1</v>
      </c>
      <c r="AD820" s="13">
        <f t="shared" si="1640"/>
        <v>0</v>
      </c>
      <c r="AE820" s="13">
        <f t="shared" si="1640"/>
        <v>0</v>
      </c>
      <c r="AF820" s="13">
        <f t="shared" si="1640"/>
        <v>0</v>
      </c>
      <c r="AG820" s="13">
        <f t="shared" si="1640"/>
        <v>0</v>
      </c>
      <c r="AH820" s="13">
        <f t="shared" si="1640"/>
        <v>0</v>
      </c>
      <c r="AI820" s="13">
        <f t="shared" si="1640"/>
        <v>0</v>
      </c>
      <c r="AJ820" s="13">
        <f t="shared" si="1640"/>
        <v>0</v>
      </c>
      <c r="AK820" s="13">
        <f t="shared" si="1640"/>
        <v>0</v>
      </c>
      <c r="AL820" s="13">
        <f t="shared" si="1640"/>
        <v>1</v>
      </c>
      <c r="AM820" s="13">
        <f t="shared" si="1640"/>
        <v>0</v>
      </c>
      <c r="AN820" s="13">
        <f t="shared" si="1640"/>
        <v>0</v>
      </c>
      <c r="AO820" s="13">
        <f t="shared" si="1640"/>
        <v>0</v>
      </c>
      <c r="AP820" s="13">
        <f t="shared" si="1640"/>
        <v>0</v>
      </c>
      <c r="AQ820" s="13"/>
      <c r="AR820" s="13" t="s">
        <v>5028</v>
      </c>
      <c r="AS820" s="13" t="s">
        <v>5029</v>
      </c>
      <c r="AT820" s="13" t="s">
        <v>1554</v>
      </c>
      <c r="AU820" s="13" t="s">
        <v>1398</v>
      </c>
      <c r="AV820" s="13" t="s">
        <v>5030</v>
      </c>
      <c r="AW820" s="13">
        <v>19.0</v>
      </c>
      <c r="AX820" s="13">
        <v>14.0</v>
      </c>
      <c r="AY820" s="13">
        <v>0.0</v>
      </c>
      <c r="AZ820" s="13" t="s">
        <v>5031</v>
      </c>
      <c r="BA820" s="13" t="s">
        <v>5032</v>
      </c>
      <c r="BB820" s="13"/>
      <c r="BC820" s="13"/>
      <c r="BD820" s="13" t="s">
        <v>179</v>
      </c>
      <c r="BE820" s="13"/>
      <c r="BF820" s="13" t="s">
        <v>1998</v>
      </c>
      <c r="BG820" s="13" t="s">
        <v>169</v>
      </c>
      <c r="BH820" s="13" t="s">
        <v>79</v>
      </c>
      <c r="BI820" s="13" t="b">
        <v>0</v>
      </c>
      <c r="BJ820" s="13">
        <v>0.0</v>
      </c>
      <c r="BK820" s="13">
        <v>0.0</v>
      </c>
    </row>
    <row r="821" ht="14.25" customHeight="1">
      <c r="A821" s="13">
        <v>819.0</v>
      </c>
      <c r="B821" s="13" t="s">
        <v>44</v>
      </c>
      <c r="C821" s="13">
        <v>4.0</v>
      </c>
      <c r="D821" s="14">
        <v>0.0</v>
      </c>
      <c r="E821" s="13" t="s">
        <v>5033</v>
      </c>
      <c r="F821" s="15" t="s">
        <v>4928</v>
      </c>
      <c r="G821" s="16" t="s">
        <v>5034</v>
      </c>
      <c r="H821" s="13"/>
      <c r="I821" s="13">
        <v>1.2</v>
      </c>
      <c r="J821" s="13" t="s">
        <v>3904</v>
      </c>
      <c r="K821" s="13">
        <f t="shared" si="3"/>
        <v>2</v>
      </c>
      <c r="L821" s="13">
        <f t="shared" si="4"/>
        <v>2</v>
      </c>
      <c r="M821" s="13">
        <f t="shared" ref="M821:AA821" si="1641">IFERROR(VALUE(RIGHT(LEFT($J821,FIND(M$1,$J821,1)+LEN(M$1)),1)),0)</f>
        <v>0</v>
      </c>
      <c r="N821" s="13">
        <f t="shared" si="1641"/>
        <v>0</v>
      </c>
      <c r="O821" s="13">
        <f t="shared" si="1641"/>
        <v>0</v>
      </c>
      <c r="P821" s="13">
        <f t="shared" si="1641"/>
        <v>0</v>
      </c>
      <c r="Q821" s="13">
        <f t="shared" si="1641"/>
        <v>0</v>
      </c>
      <c r="R821" s="13">
        <f t="shared" si="1641"/>
        <v>0</v>
      </c>
      <c r="S821" s="13">
        <f t="shared" si="1641"/>
        <v>2</v>
      </c>
      <c r="T821" s="13">
        <f t="shared" si="1641"/>
        <v>0</v>
      </c>
      <c r="U821" s="13">
        <f t="shared" si="1641"/>
        <v>0</v>
      </c>
      <c r="V821" s="13">
        <f t="shared" si="1641"/>
        <v>0</v>
      </c>
      <c r="W821" s="13">
        <f t="shared" si="1641"/>
        <v>0</v>
      </c>
      <c r="X821" s="13">
        <f t="shared" si="1641"/>
        <v>0</v>
      </c>
      <c r="Y821" s="13">
        <f t="shared" si="1641"/>
        <v>0</v>
      </c>
      <c r="Z821" s="13">
        <f t="shared" si="1641"/>
        <v>0</v>
      </c>
      <c r="AA821" s="13">
        <f t="shared" si="1641"/>
        <v>0</v>
      </c>
      <c r="AB821" s="13">
        <f t="shared" ref="AB821:AP821" si="1642">IFERROR(VALUE(RIGHT(LEFT($J821,FIND(AB$1,$J821,IF(M821=0,1,FIND(AB$1,$J821,1)+1))+LEN(AB$1)),1)),0)</f>
        <v>0</v>
      </c>
      <c r="AC821" s="13">
        <f t="shared" si="1642"/>
        <v>0</v>
      </c>
      <c r="AD821" s="13">
        <f t="shared" si="1642"/>
        <v>0</v>
      </c>
      <c r="AE821" s="13">
        <f t="shared" si="1642"/>
        <v>0</v>
      </c>
      <c r="AF821" s="13">
        <f t="shared" si="1642"/>
        <v>0</v>
      </c>
      <c r="AG821" s="13">
        <f t="shared" si="1642"/>
        <v>1</v>
      </c>
      <c r="AH821" s="13">
        <f t="shared" si="1642"/>
        <v>1</v>
      </c>
      <c r="AI821" s="13">
        <f t="shared" si="1642"/>
        <v>0</v>
      </c>
      <c r="AJ821" s="13">
        <f t="shared" si="1642"/>
        <v>0</v>
      </c>
      <c r="AK821" s="13">
        <f t="shared" si="1642"/>
        <v>0</v>
      </c>
      <c r="AL821" s="13">
        <f t="shared" si="1642"/>
        <v>0</v>
      </c>
      <c r="AM821" s="13">
        <f t="shared" si="1642"/>
        <v>0</v>
      </c>
      <c r="AN821" s="13">
        <f t="shared" si="1642"/>
        <v>0</v>
      </c>
      <c r="AO821" s="13">
        <f t="shared" si="1642"/>
        <v>0</v>
      </c>
      <c r="AP821" s="13">
        <f t="shared" si="1642"/>
        <v>0</v>
      </c>
      <c r="AQ821" s="13" t="s">
        <v>5035</v>
      </c>
      <c r="AR821" s="13"/>
      <c r="AS821" s="13" t="s">
        <v>5036</v>
      </c>
      <c r="AT821" s="13"/>
      <c r="AU821" s="13"/>
      <c r="AV821" s="13"/>
      <c r="AW821" s="13">
        <v>0.0</v>
      </c>
      <c r="AX821" s="13">
        <v>14.0</v>
      </c>
      <c r="AY821" s="13">
        <v>0.0</v>
      </c>
      <c r="AZ821" s="13"/>
      <c r="BA821" s="13"/>
      <c r="BB821" s="13"/>
      <c r="BC821" s="13"/>
      <c r="BD821" s="13"/>
      <c r="BE821" s="13"/>
      <c r="BF821" s="13"/>
      <c r="BG821" s="13"/>
      <c r="BH821" s="13" t="s">
        <v>79</v>
      </c>
      <c r="BI821" s="13" t="b">
        <v>0</v>
      </c>
      <c r="BJ821" s="13">
        <v>0.0</v>
      </c>
      <c r="BK821" s="13">
        <v>0.0</v>
      </c>
    </row>
    <row r="822" ht="14.25" customHeight="1">
      <c r="A822" s="13">
        <v>820.0</v>
      </c>
      <c r="B822" s="13" t="s">
        <v>45</v>
      </c>
      <c r="C822" s="13">
        <v>4.0</v>
      </c>
      <c r="D822" s="14">
        <v>0.0</v>
      </c>
      <c r="E822" s="13" t="s">
        <v>5037</v>
      </c>
      <c r="F822" s="15" t="s">
        <v>4928</v>
      </c>
      <c r="G822" s="16" t="s">
        <v>5038</v>
      </c>
      <c r="H822" s="13"/>
      <c r="I822" s="13">
        <v>1.1</v>
      </c>
      <c r="J822" s="13" t="s">
        <v>1918</v>
      </c>
      <c r="K822" s="13">
        <f t="shared" si="3"/>
        <v>2</v>
      </c>
      <c r="L822" s="13">
        <f t="shared" si="4"/>
        <v>2</v>
      </c>
      <c r="M822" s="13">
        <f t="shared" ref="M822:AA822" si="1643">IFERROR(VALUE(RIGHT(LEFT($J822,FIND(M$1,$J822,1)+LEN(M$1)),1)),0)</f>
        <v>0</v>
      </c>
      <c r="N822" s="13">
        <f t="shared" si="1643"/>
        <v>0</v>
      </c>
      <c r="O822" s="13">
        <f t="shared" si="1643"/>
        <v>0</v>
      </c>
      <c r="P822" s="13">
        <f t="shared" si="1643"/>
        <v>0</v>
      </c>
      <c r="Q822" s="13">
        <f t="shared" si="1643"/>
        <v>0</v>
      </c>
      <c r="R822" s="13">
        <f t="shared" si="1643"/>
        <v>0</v>
      </c>
      <c r="S822" s="13">
        <f t="shared" si="1643"/>
        <v>0</v>
      </c>
      <c r="T822" s="13">
        <f t="shared" si="1643"/>
        <v>2</v>
      </c>
      <c r="U822" s="13">
        <f t="shared" si="1643"/>
        <v>0</v>
      </c>
      <c r="V822" s="13">
        <f t="shared" si="1643"/>
        <v>0</v>
      </c>
      <c r="W822" s="13">
        <f t="shared" si="1643"/>
        <v>0</v>
      </c>
      <c r="X822" s="13">
        <f t="shared" si="1643"/>
        <v>0</v>
      </c>
      <c r="Y822" s="13">
        <f t="shared" si="1643"/>
        <v>0</v>
      </c>
      <c r="Z822" s="13">
        <f t="shared" si="1643"/>
        <v>0</v>
      </c>
      <c r="AA822" s="13">
        <f t="shared" si="1643"/>
        <v>0</v>
      </c>
      <c r="AB822" s="13">
        <f t="shared" ref="AB822:AP822" si="1644">IFERROR(VALUE(RIGHT(LEFT($J822,FIND(AB$1,$J822,IF(M822=0,1,FIND(AB$1,$J822,1)+1))+LEN(AB$1)),1)),0)</f>
        <v>0</v>
      </c>
      <c r="AC822" s="13">
        <f t="shared" si="1644"/>
        <v>1</v>
      </c>
      <c r="AD822" s="13">
        <f t="shared" si="1644"/>
        <v>0</v>
      </c>
      <c r="AE822" s="13">
        <f t="shared" si="1644"/>
        <v>0</v>
      </c>
      <c r="AF822" s="13">
        <f t="shared" si="1644"/>
        <v>0</v>
      </c>
      <c r="AG822" s="13">
        <f t="shared" si="1644"/>
        <v>0</v>
      </c>
      <c r="AH822" s="13">
        <f t="shared" si="1644"/>
        <v>0</v>
      </c>
      <c r="AI822" s="13">
        <f t="shared" si="1644"/>
        <v>1</v>
      </c>
      <c r="AJ822" s="13">
        <f t="shared" si="1644"/>
        <v>0</v>
      </c>
      <c r="AK822" s="13">
        <f t="shared" si="1644"/>
        <v>0</v>
      </c>
      <c r="AL822" s="13">
        <f t="shared" si="1644"/>
        <v>0</v>
      </c>
      <c r="AM822" s="13">
        <f t="shared" si="1644"/>
        <v>0</v>
      </c>
      <c r="AN822" s="13">
        <f t="shared" si="1644"/>
        <v>0</v>
      </c>
      <c r="AO822" s="13">
        <f t="shared" si="1644"/>
        <v>0</v>
      </c>
      <c r="AP822" s="13">
        <f t="shared" si="1644"/>
        <v>0</v>
      </c>
      <c r="AQ822" s="13" t="s">
        <v>5039</v>
      </c>
      <c r="AR822" s="13"/>
      <c r="AS822" s="13" t="s">
        <v>5040</v>
      </c>
      <c r="AT822" s="13"/>
      <c r="AU822" s="13"/>
      <c r="AV822" s="13"/>
      <c r="AW822" s="13">
        <v>0.0</v>
      </c>
      <c r="AX822" s="13">
        <v>14.0</v>
      </c>
      <c r="AY822" s="13">
        <v>0.0</v>
      </c>
      <c r="AZ822" s="13"/>
      <c r="BA822" s="13"/>
      <c r="BB822" s="13"/>
      <c r="BC822" s="13"/>
      <c r="BD822" s="13"/>
      <c r="BE822" s="13"/>
      <c r="BF822" s="13"/>
      <c r="BG822" s="13"/>
      <c r="BH822" s="13" t="s">
        <v>79</v>
      </c>
      <c r="BI822" s="13" t="b">
        <v>0</v>
      </c>
      <c r="BJ822" s="13">
        <v>0.0</v>
      </c>
      <c r="BK822" s="13">
        <v>0.0</v>
      </c>
    </row>
    <row r="823" ht="14.25" customHeight="1">
      <c r="A823" s="13">
        <v>821.0</v>
      </c>
      <c r="B823" s="13" t="s">
        <v>46</v>
      </c>
      <c r="C823" s="13">
        <v>4.0</v>
      </c>
      <c r="D823" s="14">
        <v>0.0</v>
      </c>
      <c r="E823" s="13" t="s">
        <v>5041</v>
      </c>
      <c r="F823" s="15" t="s">
        <v>4928</v>
      </c>
      <c r="G823" s="16" t="s">
        <v>5042</v>
      </c>
      <c r="H823" s="13"/>
      <c r="I823" s="13">
        <v>1.0</v>
      </c>
      <c r="J823" s="13" t="s">
        <v>5043</v>
      </c>
      <c r="K823" s="13">
        <f t="shared" si="3"/>
        <v>3</v>
      </c>
      <c r="L823" s="13">
        <f t="shared" si="4"/>
        <v>0</v>
      </c>
      <c r="M823" s="13">
        <f t="shared" ref="M823:AA823" si="1645">IFERROR(VALUE(RIGHT(LEFT($J823,FIND(M$1,$J823,1)+LEN(M$1)),1)),0)</f>
        <v>0</v>
      </c>
      <c r="N823" s="13">
        <f t="shared" si="1645"/>
        <v>0</v>
      </c>
      <c r="O823" s="13">
        <f t="shared" si="1645"/>
        <v>2</v>
      </c>
      <c r="P823" s="13">
        <f t="shared" si="1645"/>
        <v>0</v>
      </c>
      <c r="Q823" s="13">
        <f t="shared" si="1645"/>
        <v>0</v>
      </c>
      <c r="R823" s="13">
        <f t="shared" si="1645"/>
        <v>1</v>
      </c>
      <c r="S823" s="13">
        <f t="shared" si="1645"/>
        <v>0</v>
      </c>
      <c r="T823" s="13">
        <f t="shared" si="1645"/>
        <v>0</v>
      </c>
      <c r="U823" s="13">
        <f t="shared" si="1645"/>
        <v>0</v>
      </c>
      <c r="V823" s="13">
        <f t="shared" si="1645"/>
        <v>0</v>
      </c>
      <c r="W823" s="13">
        <f t="shared" si="1645"/>
        <v>0</v>
      </c>
      <c r="X823" s="13">
        <f t="shared" si="1645"/>
        <v>0</v>
      </c>
      <c r="Y823" s="13">
        <f t="shared" si="1645"/>
        <v>0</v>
      </c>
      <c r="Z823" s="13">
        <f t="shared" si="1645"/>
        <v>0</v>
      </c>
      <c r="AA823" s="13">
        <f t="shared" si="1645"/>
        <v>0</v>
      </c>
      <c r="AB823" s="13">
        <f t="shared" ref="AB823:AP823" si="1646">IFERROR(VALUE(RIGHT(LEFT($J823,FIND(AB$1,$J823,IF(M823=0,1,FIND(AB$1,$J823,1)+1))+LEN(AB$1)),1)),0)</f>
        <v>0</v>
      </c>
      <c r="AC823" s="13">
        <f t="shared" si="1646"/>
        <v>0</v>
      </c>
      <c r="AD823" s="13">
        <f t="shared" si="1646"/>
        <v>0</v>
      </c>
      <c r="AE823" s="13">
        <f t="shared" si="1646"/>
        <v>0</v>
      </c>
      <c r="AF823" s="13">
        <f t="shared" si="1646"/>
        <v>0</v>
      </c>
      <c r="AG823" s="13">
        <f t="shared" si="1646"/>
        <v>0</v>
      </c>
      <c r="AH823" s="13">
        <f t="shared" si="1646"/>
        <v>0</v>
      </c>
      <c r="AI823" s="13">
        <f t="shared" si="1646"/>
        <v>0</v>
      </c>
      <c r="AJ823" s="13">
        <f t="shared" si="1646"/>
        <v>0</v>
      </c>
      <c r="AK823" s="13">
        <f t="shared" si="1646"/>
        <v>0</v>
      </c>
      <c r="AL823" s="13">
        <f t="shared" si="1646"/>
        <v>0</v>
      </c>
      <c r="AM823" s="13">
        <f t="shared" si="1646"/>
        <v>0</v>
      </c>
      <c r="AN823" s="13">
        <f t="shared" si="1646"/>
        <v>0</v>
      </c>
      <c r="AO823" s="13">
        <f t="shared" si="1646"/>
        <v>0</v>
      </c>
      <c r="AP823" s="13">
        <f t="shared" si="1646"/>
        <v>0</v>
      </c>
      <c r="AQ823" s="13" t="s">
        <v>5044</v>
      </c>
      <c r="AR823" s="13"/>
      <c r="AS823" s="13" t="s">
        <v>5045</v>
      </c>
      <c r="AT823" s="13"/>
      <c r="AU823" s="13"/>
      <c r="AV823" s="13"/>
      <c r="AW823" s="13">
        <v>0.0</v>
      </c>
      <c r="AX823" s="13">
        <v>14.0</v>
      </c>
      <c r="AY823" s="13">
        <v>0.0</v>
      </c>
      <c r="AZ823" s="13"/>
      <c r="BA823" s="13"/>
      <c r="BB823" s="13"/>
      <c r="BC823" s="13"/>
      <c r="BD823" s="13"/>
      <c r="BE823" s="13"/>
      <c r="BF823" s="13"/>
      <c r="BG823" s="13"/>
      <c r="BH823" s="13" t="s">
        <v>79</v>
      </c>
      <c r="BI823" s="13" t="b">
        <v>0</v>
      </c>
      <c r="BJ823" s="13">
        <v>0.0</v>
      </c>
      <c r="BK823" s="13">
        <v>0.0</v>
      </c>
    </row>
    <row r="824" ht="14.25" customHeight="1">
      <c r="A824" s="13">
        <v>822.0</v>
      </c>
      <c r="B824" s="13" t="s">
        <v>47</v>
      </c>
      <c r="C824" s="13">
        <v>4.0</v>
      </c>
      <c r="D824" s="14">
        <v>0.0</v>
      </c>
      <c r="E824" s="13" t="s">
        <v>5046</v>
      </c>
      <c r="F824" s="15" t="s">
        <v>4928</v>
      </c>
      <c r="G824" s="16" t="s">
        <v>5047</v>
      </c>
      <c r="H824" s="13">
        <v>22.0</v>
      </c>
      <c r="I824" s="13">
        <v>1.0</v>
      </c>
      <c r="J824" s="13" t="s">
        <v>5048</v>
      </c>
      <c r="K824" s="13">
        <f t="shared" si="3"/>
        <v>2</v>
      </c>
      <c r="L824" s="13">
        <f t="shared" si="4"/>
        <v>2</v>
      </c>
      <c r="M824" s="13">
        <f t="shared" ref="M824:AA824" si="1647">IFERROR(VALUE(RIGHT(LEFT($J824,FIND(M$1,$J824,1)+LEN(M$1)),1)),0)</f>
        <v>0</v>
      </c>
      <c r="N824" s="13">
        <f t="shared" si="1647"/>
        <v>0</v>
      </c>
      <c r="O824" s="13">
        <f t="shared" si="1647"/>
        <v>0</v>
      </c>
      <c r="P824" s="13">
        <f t="shared" si="1647"/>
        <v>0</v>
      </c>
      <c r="Q824" s="13">
        <f t="shared" si="1647"/>
        <v>0</v>
      </c>
      <c r="R824" s="13">
        <f t="shared" si="1647"/>
        <v>0</v>
      </c>
      <c r="S824" s="13">
        <f t="shared" si="1647"/>
        <v>0</v>
      </c>
      <c r="T824" s="13">
        <f t="shared" si="1647"/>
        <v>0</v>
      </c>
      <c r="U824" s="13">
        <f t="shared" si="1647"/>
        <v>0</v>
      </c>
      <c r="V824" s="13">
        <f t="shared" si="1647"/>
        <v>2</v>
      </c>
      <c r="W824" s="13">
        <f t="shared" si="1647"/>
        <v>0</v>
      </c>
      <c r="X824" s="13">
        <f t="shared" si="1647"/>
        <v>0</v>
      </c>
      <c r="Y824" s="13">
        <f t="shared" si="1647"/>
        <v>0</v>
      </c>
      <c r="Z824" s="13">
        <f t="shared" si="1647"/>
        <v>0</v>
      </c>
      <c r="AA824" s="13">
        <f t="shared" si="1647"/>
        <v>0</v>
      </c>
      <c r="AB824" s="13">
        <f t="shared" ref="AB824:AP824" si="1648">IFERROR(VALUE(RIGHT(LEFT($J824,FIND(AB$1,$J824,IF(M824=0,1,FIND(AB$1,$J824,1)+1))+LEN(AB$1)),1)),0)</f>
        <v>0</v>
      </c>
      <c r="AC824" s="13">
        <f t="shared" si="1648"/>
        <v>0</v>
      </c>
      <c r="AD824" s="13">
        <f t="shared" si="1648"/>
        <v>1</v>
      </c>
      <c r="AE824" s="13">
        <f t="shared" si="1648"/>
        <v>0</v>
      </c>
      <c r="AF824" s="13">
        <f t="shared" si="1648"/>
        <v>0</v>
      </c>
      <c r="AG824" s="13">
        <f t="shared" si="1648"/>
        <v>0</v>
      </c>
      <c r="AH824" s="13">
        <f t="shared" si="1648"/>
        <v>0</v>
      </c>
      <c r="AI824" s="13">
        <f t="shared" si="1648"/>
        <v>0</v>
      </c>
      <c r="AJ824" s="13">
        <f t="shared" si="1648"/>
        <v>0</v>
      </c>
      <c r="AK824" s="13">
        <f t="shared" si="1648"/>
        <v>1</v>
      </c>
      <c r="AL824" s="13">
        <f t="shared" si="1648"/>
        <v>0</v>
      </c>
      <c r="AM824" s="13">
        <f t="shared" si="1648"/>
        <v>0</v>
      </c>
      <c r="AN824" s="13">
        <f t="shared" si="1648"/>
        <v>0</v>
      </c>
      <c r="AO824" s="13">
        <f t="shared" si="1648"/>
        <v>0</v>
      </c>
      <c r="AP824" s="13">
        <f t="shared" si="1648"/>
        <v>0</v>
      </c>
      <c r="AQ824" s="13"/>
      <c r="AR824" s="13" t="s">
        <v>4553</v>
      </c>
      <c r="AS824" s="13" t="s">
        <v>5049</v>
      </c>
      <c r="AT824" s="13" t="s">
        <v>162</v>
      </c>
      <c r="AU824" s="13" t="s">
        <v>616</v>
      </c>
      <c r="AV824" s="13" t="s">
        <v>5050</v>
      </c>
      <c r="AW824" s="13">
        <v>28.0</v>
      </c>
      <c r="AX824" s="13">
        <v>14.0</v>
      </c>
      <c r="AY824" s="13">
        <v>0.0</v>
      </c>
      <c r="AZ824" s="13" t="s">
        <v>5051</v>
      </c>
      <c r="BA824" s="13" t="s">
        <v>5052</v>
      </c>
      <c r="BB824" s="13"/>
      <c r="BC824" s="13"/>
      <c r="BD824" s="13" t="s">
        <v>1113</v>
      </c>
      <c r="BE824" s="13"/>
      <c r="BF824" s="13" t="s">
        <v>5053</v>
      </c>
      <c r="BG824" s="13" t="s">
        <v>136</v>
      </c>
      <c r="BH824" s="13" t="s">
        <v>79</v>
      </c>
      <c r="BI824" s="13" t="b">
        <v>0</v>
      </c>
      <c r="BJ824" s="13">
        <v>0.0</v>
      </c>
      <c r="BK824" s="13">
        <v>0.0</v>
      </c>
    </row>
    <row r="825" ht="14.25" customHeight="1">
      <c r="A825" s="13">
        <v>823.0</v>
      </c>
      <c r="B825" s="13" t="s">
        <v>47</v>
      </c>
      <c r="C825" s="13">
        <v>4.0</v>
      </c>
      <c r="D825" s="14">
        <v>0.0</v>
      </c>
      <c r="E825" s="13" t="s">
        <v>5054</v>
      </c>
      <c r="F825" s="15" t="s">
        <v>4928</v>
      </c>
      <c r="G825" s="16" t="s">
        <v>5055</v>
      </c>
      <c r="H825" s="13">
        <v>24.0</v>
      </c>
      <c r="I825" s="13">
        <v>0.9</v>
      </c>
      <c r="J825" s="13" t="s">
        <v>2908</v>
      </c>
      <c r="K825" s="13">
        <f t="shared" si="3"/>
        <v>2</v>
      </c>
      <c r="L825" s="13">
        <f t="shared" si="4"/>
        <v>2</v>
      </c>
      <c r="M825" s="13">
        <f t="shared" ref="M825:AA825" si="1649">IFERROR(VALUE(RIGHT(LEFT($J825,FIND(M$1,$J825,1)+LEN(M$1)),1)),0)</f>
        <v>0</v>
      </c>
      <c r="N825" s="13">
        <f t="shared" si="1649"/>
        <v>0</v>
      </c>
      <c r="O825" s="13">
        <f t="shared" si="1649"/>
        <v>0</v>
      </c>
      <c r="P825" s="13">
        <f t="shared" si="1649"/>
        <v>0</v>
      </c>
      <c r="Q825" s="13">
        <f t="shared" si="1649"/>
        <v>0</v>
      </c>
      <c r="R825" s="13">
        <f t="shared" si="1649"/>
        <v>2</v>
      </c>
      <c r="S825" s="13">
        <f t="shared" si="1649"/>
        <v>0</v>
      </c>
      <c r="T825" s="13">
        <f t="shared" si="1649"/>
        <v>0</v>
      </c>
      <c r="U825" s="13">
        <f t="shared" si="1649"/>
        <v>0</v>
      </c>
      <c r="V825" s="13">
        <f t="shared" si="1649"/>
        <v>0</v>
      </c>
      <c r="W825" s="13">
        <f t="shared" si="1649"/>
        <v>0</v>
      </c>
      <c r="X825" s="13">
        <f t="shared" si="1649"/>
        <v>0</v>
      </c>
      <c r="Y825" s="13">
        <f t="shared" si="1649"/>
        <v>0</v>
      </c>
      <c r="Z825" s="13">
        <f t="shared" si="1649"/>
        <v>0</v>
      </c>
      <c r="AA825" s="13">
        <f t="shared" si="1649"/>
        <v>0</v>
      </c>
      <c r="AB825" s="13">
        <f t="shared" ref="AB825:AP825" si="1650">IFERROR(VALUE(RIGHT(LEFT($J825,FIND(AB$1,$J825,IF(M825=0,1,FIND(AB$1,$J825,1)+1))+LEN(AB$1)),1)),0)</f>
        <v>0</v>
      </c>
      <c r="AC825" s="13">
        <f t="shared" si="1650"/>
        <v>0</v>
      </c>
      <c r="AD825" s="13">
        <f t="shared" si="1650"/>
        <v>0</v>
      </c>
      <c r="AE825" s="13">
        <f t="shared" si="1650"/>
        <v>0</v>
      </c>
      <c r="AF825" s="13">
        <f t="shared" si="1650"/>
        <v>0</v>
      </c>
      <c r="AG825" s="13">
        <f t="shared" si="1650"/>
        <v>1</v>
      </c>
      <c r="AH825" s="13">
        <f t="shared" si="1650"/>
        <v>0</v>
      </c>
      <c r="AI825" s="13">
        <f t="shared" si="1650"/>
        <v>0</v>
      </c>
      <c r="AJ825" s="13">
        <f t="shared" si="1650"/>
        <v>0</v>
      </c>
      <c r="AK825" s="13">
        <f t="shared" si="1650"/>
        <v>1</v>
      </c>
      <c r="AL825" s="13">
        <f t="shared" si="1650"/>
        <v>0</v>
      </c>
      <c r="AM825" s="13">
        <f t="shared" si="1650"/>
        <v>0</v>
      </c>
      <c r="AN825" s="13">
        <f t="shared" si="1650"/>
        <v>0</v>
      </c>
      <c r="AO825" s="13">
        <f t="shared" si="1650"/>
        <v>0</v>
      </c>
      <c r="AP825" s="13">
        <f t="shared" si="1650"/>
        <v>0</v>
      </c>
      <c r="AQ825" s="13"/>
      <c r="AR825" s="13" t="s">
        <v>5056</v>
      </c>
      <c r="AS825" s="13" t="s">
        <v>5057</v>
      </c>
      <c r="AT825" s="13" t="s">
        <v>1350</v>
      </c>
      <c r="AU825" s="13" t="s">
        <v>803</v>
      </c>
      <c r="AV825" s="13" t="s">
        <v>5058</v>
      </c>
      <c r="AW825" s="13">
        <v>30.0</v>
      </c>
      <c r="AX825" s="13">
        <v>14.0</v>
      </c>
      <c r="AY825" s="13">
        <v>0.0</v>
      </c>
      <c r="AZ825" s="13" t="s">
        <v>4411</v>
      </c>
      <c r="BA825" s="13" t="s">
        <v>5059</v>
      </c>
      <c r="BB825" s="13"/>
      <c r="BC825" s="13"/>
      <c r="BD825" s="13" t="s">
        <v>484</v>
      </c>
      <c r="BE825" s="13"/>
      <c r="BF825" s="13" t="s">
        <v>5060</v>
      </c>
      <c r="BG825" s="13" t="s">
        <v>136</v>
      </c>
      <c r="BH825" s="13" t="s">
        <v>79</v>
      </c>
      <c r="BI825" s="13" t="b">
        <v>0</v>
      </c>
      <c r="BJ825" s="13">
        <v>0.0</v>
      </c>
      <c r="BK825" s="13">
        <v>0.0</v>
      </c>
    </row>
    <row r="826" ht="14.25" customHeight="1">
      <c r="A826" s="13">
        <v>824.0</v>
      </c>
      <c r="B826" s="13" t="s">
        <v>48</v>
      </c>
      <c r="C826" s="13">
        <v>4.0</v>
      </c>
      <c r="D826" s="14">
        <v>0.0</v>
      </c>
      <c r="E826" s="13" t="s">
        <v>5061</v>
      </c>
      <c r="F826" s="15" t="s">
        <v>4928</v>
      </c>
      <c r="G826" s="16" t="s">
        <v>5062</v>
      </c>
      <c r="H826" s="13">
        <v>23.0</v>
      </c>
      <c r="I826" s="13">
        <v>1.1</v>
      </c>
      <c r="J826" s="13" t="s">
        <v>3493</v>
      </c>
      <c r="K826" s="13">
        <f t="shared" si="3"/>
        <v>2</v>
      </c>
      <c r="L826" s="13">
        <f t="shared" si="4"/>
        <v>2</v>
      </c>
      <c r="M826" s="13">
        <f t="shared" ref="M826:AA826" si="1651">IFERROR(VALUE(RIGHT(LEFT($J826,FIND(M$1,$J826,1)+LEN(M$1)),1)),0)</f>
        <v>0</v>
      </c>
      <c r="N826" s="13">
        <f t="shared" si="1651"/>
        <v>0</v>
      </c>
      <c r="O826" s="13">
        <f t="shared" si="1651"/>
        <v>0</v>
      </c>
      <c r="P826" s="13">
        <f t="shared" si="1651"/>
        <v>0</v>
      </c>
      <c r="Q826" s="13">
        <f t="shared" si="1651"/>
        <v>0</v>
      </c>
      <c r="R826" s="13">
        <f t="shared" si="1651"/>
        <v>0</v>
      </c>
      <c r="S826" s="13">
        <f t="shared" si="1651"/>
        <v>0</v>
      </c>
      <c r="T826" s="13">
        <f t="shared" si="1651"/>
        <v>0</v>
      </c>
      <c r="U826" s="13">
        <f t="shared" si="1651"/>
        <v>0</v>
      </c>
      <c r="V826" s="13">
        <f t="shared" si="1651"/>
        <v>0</v>
      </c>
      <c r="W826" s="13">
        <f t="shared" si="1651"/>
        <v>2</v>
      </c>
      <c r="X826" s="13">
        <f t="shared" si="1651"/>
        <v>0</v>
      </c>
      <c r="Y826" s="13">
        <f t="shared" si="1651"/>
        <v>0</v>
      </c>
      <c r="Z826" s="13">
        <f t="shared" si="1651"/>
        <v>0</v>
      </c>
      <c r="AA826" s="13">
        <f t="shared" si="1651"/>
        <v>0</v>
      </c>
      <c r="AB826" s="13">
        <f t="shared" ref="AB826:AP826" si="1652">IFERROR(VALUE(RIGHT(LEFT($J826,FIND(AB$1,$J826,IF(M826=0,1,FIND(AB$1,$J826,1)+1))+LEN(AB$1)),1)),0)</f>
        <v>0</v>
      </c>
      <c r="AC826" s="13">
        <f t="shared" si="1652"/>
        <v>1</v>
      </c>
      <c r="AD826" s="13">
        <f t="shared" si="1652"/>
        <v>0</v>
      </c>
      <c r="AE826" s="13">
        <f t="shared" si="1652"/>
        <v>0</v>
      </c>
      <c r="AF826" s="13">
        <f t="shared" si="1652"/>
        <v>0</v>
      </c>
      <c r="AG826" s="13">
        <f t="shared" si="1652"/>
        <v>0</v>
      </c>
      <c r="AH826" s="13">
        <f t="shared" si="1652"/>
        <v>0</v>
      </c>
      <c r="AI826" s="13">
        <f t="shared" si="1652"/>
        <v>0</v>
      </c>
      <c r="AJ826" s="13">
        <f t="shared" si="1652"/>
        <v>0</v>
      </c>
      <c r="AK826" s="13">
        <f t="shared" si="1652"/>
        <v>0</v>
      </c>
      <c r="AL826" s="13">
        <f t="shared" si="1652"/>
        <v>1</v>
      </c>
      <c r="AM826" s="13">
        <f t="shared" si="1652"/>
        <v>0</v>
      </c>
      <c r="AN826" s="13">
        <f t="shared" si="1652"/>
        <v>0</v>
      </c>
      <c r="AO826" s="13">
        <f t="shared" si="1652"/>
        <v>0</v>
      </c>
      <c r="AP826" s="13">
        <f t="shared" si="1652"/>
        <v>0</v>
      </c>
      <c r="AQ826" s="13"/>
      <c r="AR826" s="13" t="s">
        <v>1992</v>
      </c>
      <c r="AS826" s="13" t="s">
        <v>4887</v>
      </c>
      <c r="AT826" s="13" t="s">
        <v>1221</v>
      </c>
      <c r="AU826" s="13" t="s">
        <v>143</v>
      </c>
      <c r="AV826" s="13" t="s">
        <v>5063</v>
      </c>
      <c r="AW826" s="13">
        <v>25.0</v>
      </c>
      <c r="AX826" s="13">
        <v>14.0</v>
      </c>
      <c r="AY826" s="13">
        <v>0.0</v>
      </c>
      <c r="AZ826" s="13" t="s">
        <v>5064</v>
      </c>
      <c r="BA826" s="13" t="s">
        <v>1750</v>
      </c>
      <c r="BB826" s="13"/>
      <c r="BC826" s="13"/>
      <c r="BD826" s="13" t="s">
        <v>188</v>
      </c>
      <c r="BE826" s="13"/>
      <c r="BF826" s="13" t="s">
        <v>5065</v>
      </c>
      <c r="BG826" s="13" t="s">
        <v>169</v>
      </c>
      <c r="BH826" s="13" t="s">
        <v>79</v>
      </c>
      <c r="BI826" s="13" t="b">
        <v>0</v>
      </c>
      <c r="BJ826" s="13">
        <v>0.0</v>
      </c>
      <c r="BK826" s="13">
        <v>0.0</v>
      </c>
    </row>
    <row r="827" ht="14.25" customHeight="1">
      <c r="A827" s="13">
        <v>825.0</v>
      </c>
      <c r="B827" s="13" t="s">
        <v>44</v>
      </c>
      <c r="C827" s="13">
        <v>5.0</v>
      </c>
      <c r="D827" s="14">
        <v>0.0</v>
      </c>
      <c r="E827" s="13" t="s">
        <v>5066</v>
      </c>
      <c r="F827" s="15" t="s">
        <v>4928</v>
      </c>
      <c r="G827" s="16" t="s">
        <v>5067</v>
      </c>
      <c r="H827" s="13"/>
      <c r="I827" s="13">
        <v>1.2</v>
      </c>
      <c r="J827" s="13" t="s">
        <v>5068</v>
      </c>
      <c r="K827" s="13">
        <f t="shared" si="3"/>
        <v>4</v>
      </c>
      <c r="L827" s="13">
        <f t="shared" si="4"/>
        <v>0</v>
      </c>
      <c r="M827" s="13">
        <f t="shared" ref="M827:AA827" si="1653">IFERROR(VALUE(RIGHT(LEFT($J827,FIND(M$1,$J827,1)+LEN(M$1)),1)),0)</f>
        <v>0</v>
      </c>
      <c r="N827" s="13">
        <f t="shared" si="1653"/>
        <v>0</v>
      </c>
      <c r="O827" s="13">
        <f t="shared" si="1653"/>
        <v>1</v>
      </c>
      <c r="P827" s="13">
        <f t="shared" si="1653"/>
        <v>0</v>
      </c>
      <c r="Q827" s="13">
        <f t="shared" si="1653"/>
        <v>0</v>
      </c>
      <c r="R827" s="13">
        <f t="shared" si="1653"/>
        <v>2</v>
      </c>
      <c r="S827" s="13">
        <f t="shared" si="1653"/>
        <v>1</v>
      </c>
      <c r="T827" s="13">
        <f t="shared" si="1653"/>
        <v>0</v>
      </c>
      <c r="U827" s="13">
        <f t="shared" si="1653"/>
        <v>0</v>
      </c>
      <c r="V827" s="13">
        <f t="shared" si="1653"/>
        <v>0</v>
      </c>
      <c r="W827" s="13">
        <f t="shared" si="1653"/>
        <v>0</v>
      </c>
      <c r="X827" s="13">
        <f t="shared" si="1653"/>
        <v>0</v>
      </c>
      <c r="Y827" s="13">
        <f t="shared" si="1653"/>
        <v>0</v>
      </c>
      <c r="Z827" s="13">
        <f t="shared" si="1653"/>
        <v>0</v>
      </c>
      <c r="AA827" s="13">
        <f t="shared" si="1653"/>
        <v>0</v>
      </c>
      <c r="AB827" s="13">
        <f t="shared" ref="AB827:AP827" si="1654">IFERROR(VALUE(RIGHT(LEFT($J827,FIND(AB$1,$J827,IF(M827=0,1,FIND(AB$1,$J827,1)+1))+LEN(AB$1)),1)),0)</f>
        <v>0</v>
      </c>
      <c r="AC827" s="13">
        <f t="shared" si="1654"/>
        <v>0</v>
      </c>
      <c r="AD827" s="13">
        <f t="shared" si="1654"/>
        <v>0</v>
      </c>
      <c r="AE827" s="13">
        <f t="shared" si="1654"/>
        <v>0</v>
      </c>
      <c r="AF827" s="13">
        <f t="shared" si="1654"/>
        <v>0</v>
      </c>
      <c r="AG827" s="13">
        <f t="shared" si="1654"/>
        <v>0</v>
      </c>
      <c r="AH827" s="13">
        <f t="shared" si="1654"/>
        <v>0</v>
      </c>
      <c r="AI827" s="13">
        <f t="shared" si="1654"/>
        <v>0</v>
      </c>
      <c r="AJ827" s="13">
        <f t="shared" si="1654"/>
        <v>0</v>
      </c>
      <c r="AK827" s="13">
        <f t="shared" si="1654"/>
        <v>0</v>
      </c>
      <c r="AL827" s="13">
        <f t="shared" si="1654"/>
        <v>0</v>
      </c>
      <c r="AM827" s="13">
        <f t="shared" si="1654"/>
        <v>0</v>
      </c>
      <c r="AN827" s="13">
        <f t="shared" si="1654"/>
        <v>0</v>
      </c>
      <c r="AO827" s="13">
        <f t="shared" si="1654"/>
        <v>0</v>
      </c>
      <c r="AP827" s="13">
        <f t="shared" si="1654"/>
        <v>0</v>
      </c>
      <c r="AQ827" s="13" t="s">
        <v>5069</v>
      </c>
      <c r="AR827" s="13"/>
      <c r="AS827" s="13" t="s">
        <v>5070</v>
      </c>
      <c r="AT827" s="13"/>
      <c r="AU827" s="13"/>
      <c r="AV827" s="13"/>
      <c r="AW827" s="13">
        <v>0.0</v>
      </c>
      <c r="AX827" s="13">
        <v>14.0</v>
      </c>
      <c r="AY827" s="13">
        <v>0.0</v>
      </c>
      <c r="AZ827" s="13"/>
      <c r="BA827" s="13"/>
      <c r="BB827" s="13"/>
      <c r="BC827" s="13"/>
      <c r="BD827" s="13"/>
      <c r="BE827" s="13"/>
      <c r="BF827" s="13"/>
      <c r="BG827" s="13"/>
      <c r="BH827" s="13" t="s">
        <v>79</v>
      </c>
      <c r="BI827" s="13" t="b">
        <v>0</v>
      </c>
      <c r="BJ827" s="13">
        <v>0.0</v>
      </c>
      <c r="BK827" s="13">
        <v>0.0</v>
      </c>
    </row>
    <row r="828" ht="14.25" customHeight="1">
      <c r="A828" s="13">
        <v>826.0</v>
      </c>
      <c r="B828" s="13" t="s">
        <v>45</v>
      </c>
      <c r="C828" s="13">
        <v>5.0</v>
      </c>
      <c r="D828" s="14">
        <v>0.0</v>
      </c>
      <c r="E828" s="13" t="s">
        <v>5071</v>
      </c>
      <c r="F828" s="15" t="s">
        <v>4928</v>
      </c>
      <c r="G828" s="16" t="s">
        <v>5072</v>
      </c>
      <c r="H828" s="13"/>
      <c r="I828" s="13">
        <v>1.1</v>
      </c>
      <c r="J828" s="13" t="s">
        <v>5073</v>
      </c>
      <c r="K828" s="13">
        <f t="shared" si="3"/>
        <v>4</v>
      </c>
      <c r="L828" s="13">
        <f t="shared" si="4"/>
        <v>0</v>
      </c>
      <c r="M828" s="13">
        <f t="shared" ref="M828:AA828" si="1655">IFERROR(VALUE(RIGHT(LEFT($J828,FIND(M$1,$J828,1)+LEN(M$1)),1)),0)</f>
        <v>0</v>
      </c>
      <c r="N828" s="13">
        <f t="shared" si="1655"/>
        <v>2</v>
      </c>
      <c r="O828" s="13">
        <f t="shared" si="1655"/>
        <v>1</v>
      </c>
      <c r="P828" s="13">
        <f t="shared" si="1655"/>
        <v>0</v>
      </c>
      <c r="Q828" s="13">
        <f t="shared" si="1655"/>
        <v>0</v>
      </c>
      <c r="R828" s="13">
        <f t="shared" si="1655"/>
        <v>0</v>
      </c>
      <c r="S828" s="13">
        <f t="shared" si="1655"/>
        <v>0</v>
      </c>
      <c r="T828" s="13">
        <f t="shared" si="1655"/>
        <v>1</v>
      </c>
      <c r="U828" s="13">
        <f t="shared" si="1655"/>
        <v>0</v>
      </c>
      <c r="V828" s="13">
        <f t="shared" si="1655"/>
        <v>0</v>
      </c>
      <c r="W828" s="13">
        <f t="shared" si="1655"/>
        <v>0</v>
      </c>
      <c r="X828" s="13">
        <f t="shared" si="1655"/>
        <v>0</v>
      </c>
      <c r="Y828" s="13">
        <f t="shared" si="1655"/>
        <v>0</v>
      </c>
      <c r="Z828" s="13">
        <f t="shared" si="1655"/>
        <v>0</v>
      </c>
      <c r="AA828" s="13">
        <f t="shared" si="1655"/>
        <v>0</v>
      </c>
      <c r="AB828" s="13">
        <f t="shared" ref="AB828:AP828" si="1656">IFERROR(VALUE(RIGHT(LEFT($J828,FIND(AB$1,$J828,IF(M828=0,1,FIND(AB$1,$J828,1)+1))+LEN(AB$1)),1)),0)</f>
        <v>0</v>
      </c>
      <c r="AC828" s="13">
        <f t="shared" si="1656"/>
        <v>0</v>
      </c>
      <c r="AD828" s="13">
        <f t="shared" si="1656"/>
        <v>0</v>
      </c>
      <c r="AE828" s="13">
        <f t="shared" si="1656"/>
        <v>0</v>
      </c>
      <c r="AF828" s="13">
        <f t="shared" si="1656"/>
        <v>0</v>
      </c>
      <c r="AG828" s="13">
        <f t="shared" si="1656"/>
        <v>0</v>
      </c>
      <c r="AH828" s="13">
        <f t="shared" si="1656"/>
        <v>0</v>
      </c>
      <c r="AI828" s="13">
        <f t="shared" si="1656"/>
        <v>0</v>
      </c>
      <c r="AJ828" s="13">
        <f t="shared" si="1656"/>
        <v>0</v>
      </c>
      <c r="AK828" s="13">
        <f t="shared" si="1656"/>
        <v>0</v>
      </c>
      <c r="AL828" s="13">
        <f t="shared" si="1656"/>
        <v>0</v>
      </c>
      <c r="AM828" s="13">
        <f t="shared" si="1656"/>
        <v>0</v>
      </c>
      <c r="AN828" s="13">
        <f t="shared" si="1656"/>
        <v>0</v>
      </c>
      <c r="AO828" s="13">
        <f t="shared" si="1656"/>
        <v>0</v>
      </c>
      <c r="AP828" s="13">
        <f t="shared" si="1656"/>
        <v>0</v>
      </c>
      <c r="AQ828" s="13" t="s">
        <v>5074</v>
      </c>
      <c r="AR828" s="13"/>
      <c r="AS828" s="13" t="s">
        <v>5075</v>
      </c>
      <c r="AT828" s="13"/>
      <c r="AU828" s="13"/>
      <c r="AV828" s="13"/>
      <c r="AW828" s="13">
        <v>0.0</v>
      </c>
      <c r="AX828" s="13">
        <v>14.0</v>
      </c>
      <c r="AY828" s="13">
        <v>0.0</v>
      </c>
      <c r="AZ828" s="13"/>
      <c r="BA828" s="13"/>
      <c r="BB828" s="13"/>
      <c r="BC828" s="13"/>
      <c r="BD828" s="13"/>
      <c r="BE828" s="13"/>
      <c r="BF828" s="13"/>
      <c r="BG828" s="13"/>
      <c r="BH828" s="13" t="s">
        <v>79</v>
      </c>
      <c r="BI828" s="13" t="b">
        <v>0</v>
      </c>
      <c r="BJ828" s="13">
        <v>0.0</v>
      </c>
      <c r="BK828" s="13">
        <v>0.0</v>
      </c>
    </row>
    <row r="829" ht="14.25" customHeight="1">
      <c r="A829" s="13">
        <v>827.0</v>
      </c>
      <c r="B829" s="13" t="s">
        <v>44</v>
      </c>
      <c r="C829" s="13">
        <v>0.0</v>
      </c>
      <c r="D829" s="14">
        <v>0.0</v>
      </c>
      <c r="E829" s="13" t="s">
        <v>5076</v>
      </c>
      <c r="F829" s="15" t="s">
        <v>496</v>
      </c>
      <c r="G829" s="16" t="s">
        <v>5077</v>
      </c>
      <c r="H829" s="13"/>
      <c r="I829" s="13">
        <v>0.8</v>
      </c>
      <c r="J829" s="13" t="s">
        <v>2185</v>
      </c>
      <c r="K829" s="13">
        <f t="shared" si="3"/>
        <v>0</v>
      </c>
      <c r="L829" s="13">
        <f t="shared" si="4"/>
        <v>1</v>
      </c>
      <c r="M829" s="13">
        <f t="shared" ref="M829:AA829" si="1657">IFERROR(VALUE(RIGHT(LEFT($J829,FIND(M$1,$J829,1)+LEN(M$1)),1)),0)</f>
        <v>0</v>
      </c>
      <c r="N829" s="13">
        <f t="shared" si="1657"/>
        <v>0</v>
      </c>
      <c r="O829" s="13">
        <f t="shared" si="1657"/>
        <v>0</v>
      </c>
      <c r="P829" s="13">
        <f t="shared" si="1657"/>
        <v>0</v>
      </c>
      <c r="Q829" s="13">
        <f t="shared" si="1657"/>
        <v>0</v>
      </c>
      <c r="R829" s="13">
        <f t="shared" si="1657"/>
        <v>0</v>
      </c>
      <c r="S829" s="13">
        <f t="shared" si="1657"/>
        <v>0</v>
      </c>
      <c r="T829" s="13">
        <f t="shared" si="1657"/>
        <v>0</v>
      </c>
      <c r="U829" s="13">
        <f t="shared" si="1657"/>
        <v>0</v>
      </c>
      <c r="V829" s="13">
        <f t="shared" si="1657"/>
        <v>0</v>
      </c>
      <c r="W829" s="13">
        <f t="shared" si="1657"/>
        <v>0</v>
      </c>
      <c r="X829" s="13">
        <f t="shared" si="1657"/>
        <v>0</v>
      </c>
      <c r="Y829" s="13">
        <f t="shared" si="1657"/>
        <v>0</v>
      </c>
      <c r="Z829" s="13">
        <f t="shared" si="1657"/>
        <v>0</v>
      </c>
      <c r="AA829" s="13">
        <f t="shared" si="1657"/>
        <v>0</v>
      </c>
      <c r="AB829" s="13">
        <f t="shared" ref="AB829:AP829" si="1658">IFERROR(VALUE(RIGHT(LEFT($J829,FIND(AB$1,$J829,IF(M829=0,1,FIND(AB$1,$J829,1)+1))+LEN(AB$1)),1)),0)</f>
        <v>0</v>
      </c>
      <c r="AC829" s="13">
        <f t="shared" si="1658"/>
        <v>0</v>
      </c>
      <c r="AD829" s="13">
        <f t="shared" si="1658"/>
        <v>0</v>
      </c>
      <c r="AE829" s="13">
        <f t="shared" si="1658"/>
        <v>0</v>
      </c>
      <c r="AF829" s="13">
        <f t="shared" si="1658"/>
        <v>0</v>
      </c>
      <c r="AG829" s="13">
        <f t="shared" si="1658"/>
        <v>0</v>
      </c>
      <c r="AH829" s="13">
        <f t="shared" si="1658"/>
        <v>1</v>
      </c>
      <c r="AI829" s="13">
        <f t="shared" si="1658"/>
        <v>0</v>
      </c>
      <c r="AJ829" s="13">
        <f t="shared" si="1658"/>
        <v>0</v>
      </c>
      <c r="AK829" s="13">
        <f t="shared" si="1658"/>
        <v>0</v>
      </c>
      <c r="AL829" s="13">
        <f t="shared" si="1658"/>
        <v>0</v>
      </c>
      <c r="AM829" s="13">
        <f t="shared" si="1658"/>
        <v>0</v>
      </c>
      <c r="AN829" s="13">
        <f t="shared" si="1658"/>
        <v>0</v>
      </c>
      <c r="AO829" s="13">
        <f t="shared" si="1658"/>
        <v>0</v>
      </c>
      <c r="AP829" s="13">
        <f t="shared" si="1658"/>
        <v>0</v>
      </c>
      <c r="AQ829" s="13" t="s">
        <v>5078</v>
      </c>
      <c r="AR829" s="13"/>
      <c r="AS829" s="13" t="s">
        <v>91</v>
      </c>
      <c r="AT829" s="13"/>
      <c r="AU829" s="13"/>
      <c r="AV829" s="13"/>
      <c r="AW829" s="13">
        <v>0.0</v>
      </c>
      <c r="AX829" s="13">
        <v>15.0</v>
      </c>
      <c r="AY829" s="13">
        <v>0.0</v>
      </c>
      <c r="AZ829" s="13"/>
      <c r="BA829" s="13"/>
      <c r="BB829" s="13"/>
      <c r="BC829" s="13"/>
      <c r="BD829" s="13"/>
      <c r="BE829" s="13"/>
      <c r="BF829" s="13"/>
      <c r="BG829" s="13"/>
      <c r="BH829" s="13" t="s">
        <v>79</v>
      </c>
      <c r="BI829" s="13" t="b">
        <v>0</v>
      </c>
      <c r="BJ829" s="13">
        <v>0.0</v>
      </c>
      <c r="BK829" s="13">
        <v>0.0</v>
      </c>
    </row>
    <row r="830" ht="14.25" customHeight="1">
      <c r="A830" s="13">
        <v>828.0</v>
      </c>
      <c r="B830" s="13" t="s">
        <v>45</v>
      </c>
      <c r="C830" s="13">
        <v>0.0</v>
      </c>
      <c r="D830" s="14">
        <v>0.0</v>
      </c>
      <c r="E830" s="13" t="s">
        <v>5079</v>
      </c>
      <c r="F830" s="15" t="s">
        <v>496</v>
      </c>
      <c r="G830" s="16" t="s">
        <v>5080</v>
      </c>
      <c r="H830" s="13"/>
      <c r="I830" s="13">
        <v>0.8</v>
      </c>
      <c r="J830" s="13" t="s">
        <v>100</v>
      </c>
      <c r="K830" s="13">
        <f t="shared" si="3"/>
        <v>0</v>
      </c>
      <c r="L830" s="13">
        <f t="shared" si="4"/>
        <v>1</v>
      </c>
      <c r="M830" s="13">
        <f t="shared" ref="M830:AA830" si="1659">IFERROR(VALUE(RIGHT(LEFT($J830,FIND(M$1,$J830,1)+LEN(M$1)),1)),0)</f>
        <v>0</v>
      </c>
      <c r="N830" s="13">
        <f t="shared" si="1659"/>
        <v>0</v>
      </c>
      <c r="O830" s="13">
        <f t="shared" si="1659"/>
        <v>0</v>
      </c>
      <c r="P830" s="13">
        <f t="shared" si="1659"/>
        <v>0</v>
      </c>
      <c r="Q830" s="13">
        <f t="shared" si="1659"/>
        <v>0</v>
      </c>
      <c r="R830" s="13">
        <f t="shared" si="1659"/>
        <v>0</v>
      </c>
      <c r="S830" s="13">
        <f t="shared" si="1659"/>
        <v>0</v>
      </c>
      <c r="T830" s="13">
        <f t="shared" si="1659"/>
        <v>0</v>
      </c>
      <c r="U830" s="13">
        <f t="shared" si="1659"/>
        <v>0</v>
      </c>
      <c r="V830" s="13">
        <f t="shared" si="1659"/>
        <v>0</v>
      </c>
      <c r="W830" s="13">
        <f t="shared" si="1659"/>
        <v>0</v>
      </c>
      <c r="X830" s="13">
        <f t="shared" si="1659"/>
        <v>0</v>
      </c>
      <c r="Y830" s="13">
        <f t="shared" si="1659"/>
        <v>0</v>
      </c>
      <c r="Z830" s="13">
        <f t="shared" si="1659"/>
        <v>0</v>
      </c>
      <c r="AA830" s="13">
        <f t="shared" si="1659"/>
        <v>0</v>
      </c>
      <c r="AB830" s="13">
        <f t="shared" ref="AB830:AP830" si="1660">IFERROR(VALUE(RIGHT(LEFT($J830,FIND(AB$1,$J830,IF(M830=0,1,FIND(AB$1,$J830,1)+1))+LEN(AB$1)),1)),0)</f>
        <v>0</v>
      </c>
      <c r="AC830" s="13">
        <f t="shared" si="1660"/>
        <v>0</v>
      </c>
      <c r="AD830" s="13">
        <f t="shared" si="1660"/>
        <v>0</v>
      </c>
      <c r="AE830" s="13">
        <f t="shared" si="1660"/>
        <v>0</v>
      </c>
      <c r="AF830" s="13">
        <f t="shared" si="1660"/>
        <v>0</v>
      </c>
      <c r="AG830" s="13">
        <f t="shared" si="1660"/>
        <v>0</v>
      </c>
      <c r="AH830" s="13">
        <f t="shared" si="1660"/>
        <v>0</v>
      </c>
      <c r="AI830" s="13">
        <f t="shared" si="1660"/>
        <v>1</v>
      </c>
      <c r="AJ830" s="13">
        <f t="shared" si="1660"/>
        <v>0</v>
      </c>
      <c r="AK830" s="13">
        <f t="shared" si="1660"/>
        <v>0</v>
      </c>
      <c r="AL830" s="13">
        <f t="shared" si="1660"/>
        <v>0</v>
      </c>
      <c r="AM830" s="13">
        <f t="shared" si="1660"/>
        <v>0</v>
      </c>
      <c r="AN830" s="13">
        <f t="shared" si="1660"/>
        <v>0</v>
      </c>
      <c r="AO830" s="13">
        <f t="shared" si="1660"/>
        <v>0</v>
      </c>
      <c r="AP830" s="13">
        <f t="shared" si="1660"/>
        <v>0</v>
      </c>
      <c r="AQ830" s="13" t="s">
        <v>5081</v>
      </c>
      <c r="AR830" s="13"/>
      <c r="AS830" s="13" t="s">
        <v>102</v>
      </c>
      <c r="AT830" s="13"/>
      <c r="AU830" s="13"/>
      <c r="AV830" s="13"/>
      <c r="AW830" s="13">
        <v>0.0</v>
      </c>
      <c r="AX830" s="13">
        <v>15.0</v>
      </c>
      <c r="AY830" s="13">
        <v>0.0</v>
      </c>
      <c r="AZ830" s="13"/>
      <c r="BA830" s="13"/>
      <c r="BB830" s="13"/>
      <c r="BC830" s="13"/>
      <c r="BD830" s="13"/>
      <c r="BE830" s="13"/>
      <c r="BF830" s="13"/>
      <c r="BG830" s="13"/>
      <c r="BH830" s="13" t="s">
        <v>79</v>
      </c>
      <c r="BI830" s="13" t="b">
        <v>0</v>
      </c>
      <c r="BJ830" s="13">
        <v>0.0</v>
      </c>
      <c r="BK830" s="13">
        <v>0.0</v>
      </c>
    </row>
    <row r="831" ht="14.25" customHeight="1">
      <c r="A831" s="13">
        <v>829.0</v>
      </c>
      <c r="B831" s="13" t="s">
        <v>46</v>
      </c>
      <c r="C831" s="13">
        <v>0.0</v>
      </c>
      <c r="D831" s="14">
        <v>0.0</v>
      </c>
      <c r="E831" s="13" t="s">
        <v>5082</v>
      </c>
      <c r="F831" s="15" t="s">
        <v>496</v>
      </c>
      <c r="G831" s="16" t="s">
        <v>5083</v>
      </c>
      <c r="H831" s="13"/>
      <c r="I831" s="13">
        <v>0.9</v>
      </c>
      <c r="J831" s="13" t="s">
        <v>111</v>
      </c>
      <c r="K831" s="13">
        <f t="shared" si="3"/>
        <v>0</v>
      </c>
      <c r="L831" s="13">
        <f t="shared" si="4"/>
        <v>1</v>
      </c>
      <c r="M831" s="13">
        <f t="shared" ref="M831:AA831" si="1661">IFERROR(VALUE(RIGHT(LEFT($J831,FIND(M$1,$J831,1)+LEN(M$1)),1)),0)</f>
        <v>0</v>
      </c>
      <c r="N831" s="13">
        <f t="shared" si="1661"/>
        <v>0</v>
      </c>
      <c r="O831" s="13">
        <f t="shared" si="1661"/>
        <v>0</v>
      </c>
      <c r="P831" s="13">
        <f t="shared" si="1661"/>
        <v>0</v>
      </c>
      <c r="Q831" s="13">
        <f t="shared" si="1661"/>
        <v>0</v>
      </c>
      <c r="R831" s="13">
        <f t="shared" si="1661"/>
        <v>0</v>
      </c>
      <c r="S831" s="13">
        <f t="shared" si="1661"/>
        <v>0</v>
      </c>
      <c r="T831" s="13">
        <f t="shared" si="1661"/>
        <v>0</v>
      </c>
      <c r="U831" s="13">
        <f t="shared" si="1661"/>
        <v>0</v>
      </c>
      <c r="V831" s="13">
        <f t="shared" si="1661"/>
        <v>0</v>
      </c>
      <c r="W831" s="13">
        <f t="shared" si="1661"/>
        <v>0</v>
      </c>
      <c r="X831" s="13">
        <f t="shared" si="1661"/>
        <v>0</v>
      </c>
      <c r="Y831" s="13">
        <f t="shared" si="1661"/>
        <v>0</v>
      </c>
      <c r="Z831" s="13">
        <f t="shared" si="1661"/>
        <v>0</v>
      </c>
      <c r="AA831" s="13">
        <f t="shared" si="1661"/>
        <v>0</v>
      </c>
      <c r="AB831" s="13">
        <f t="shared" ref="AB831:AP831" si="1662">IFERROR(VALUE(RIGHT(LEFT($J831,FIND(AB$1,$J831,IF(M831=0,1,FIND(AB$1,$J831,1)+1))+LEN(AB$1)),1)),0)</f>
        <v>0</v>
      </c>
      <c r="AC831" s="13">
        <f t="shared" si="1662"/>
        <v>0</v>
      </c>
      <c r="AD831" s="13">
        <f t="shared" si="1662"/>
        <v>0</v>
      </c>
      <c r="AE831" s="13">
        <f t="shared" si="1662"/>
        <v>0</v>
      </c>
      <c r="AF831" s="13">
        <f t="shared" si="1662"/>
        <v>0</v>
      </c>
      <c r="AG831" s="13">
        <f t="shared" si="1662"/>
        <v>0</v>
      </c>
      <c r="AH831" s="13">
        <f t="shared" si="1662"/>
        <v>0</v>
      </c>
      <c r="AI831" s="13">
        <f t="shared" si="1662"/>
        <v>0</v>
      </c>
      <c r="AJ831" s="13">
        <f t="shared" si="1662"/>
        <v>1</v>
      </c>
      <c r="AK831" s="13">
        <f t="shared" si="1662"/>
        <v>0</v>
      </c>
      <c r="AL831" s="13">
        <f t="shared" si="1662"/>
        <v>0</v>
      </c>
      <c r="AM831" s="13">
        <f t="shared" si="1662"/>
        <v>0</v>
      </c>
      <c r="AN831" s="13">
        <f t="shared" si="1662"/>
        <v>0</v>
      </c>
      <c r="AO831" s="13">
        <f t="shared" si="1662"/>
        <v>0</v>
      </c>
      <c r="AP831" s="13">
        <f t="shared" si="1662"/>
        <v>0</v>
      </c>
      <c r="AQ831" s="13" t="s">
        <v>5084</v>
      </c>
      <c r="AR831" s="13"/>
      <c r="AS831" s="13" t="s">
        <v>5085</v>
      </c>
      <c r="AT831" s="13"/>
      <c r="AU831" s="13"/>
      <c r="AV831" s="13"/>
      <c r="AW831" s="13">
        <v>0.0</v>
      </c>
      <c r="AX831" s="13">
        <v>15.0</v>
      </c>
      <c r="AY831" s="13">
        <v>0.0</v>
      </c>
      <c r="AZ831" s="13"/>
      <c r="BA831" s="13"/>
      <c r="BB831" s="13"/>
      <c r="BC831" s="13"/>
      <c r="BD831" s="13"/>
      <c r="BE831" s="13"/>
      <c r="BF831" s="13"/>
      <c r="BG831" s="13"/>
      <c r="BH831" s="13" t="s">
        <v>79</v>
      </c>
      <c r="BI831" s="13" t="b">
        <v>0</v>
      </c>
      <c r="BJ831" s="13">
        <v>0.0</v>
      </c>
      <c r="BK831" s="13">
        <v>0.0</v>
      </c>
    </row>
    <row r="832" ht="14.25" customHeight="1">
      <c r="A832" s="13">
        <v>830.0</v>
      </c>
      <c r="B832" s="13" t="s">
        <v>51</v>
      </c>
      <c r="C832" s="13">
        <v>0.0</v>
      </c>
      <c r="D832" s="14">
        <v>0.0</v>
      </c>
      <c r="E832" s="13" t="s">
        <v>5086</v>
      </c>
      <c r="F832" s="15" t="s">
        <v>496</v>
      </c>
      <c r="G832" s="16" t="s">
        <v>5087</v>
      </c>
      <c r="H832" s="13">
        <v>11.0</v>
      </c>
      <c r="I832" s="13">
        <v>1.1</v>
      </c>
      <c r="J832" s="13" t="s">
        <v>255</v>
      </c>
      <c r="K832" s="13">
        <f t="shared" si="3"/>
        <v>0</v>
      </c>
      <c r="L832" s="13">
        <f t="shared" si="4"/>
        <v>1</v>
      </c>
      <c r="M832" s="13">
        <f t="shared" ref="M832:AA832" si="1663">IFERROR(VALUE(RIGHT(LEFT($J832,FIND(M$1,$J832,1)+LEN(M$1)),1)),0)</f>
        <v>0</v>
      </c>
      <c r="N832" s="13">
        <f t="shared" si="1663"/>
        <v>0</v>
      </c>
      <c r="O832" s="13">
        <f t="shared" si="1663"/>
        <v>0</v>
      </c>
      <c r="P832" s="13">
        <f t="shared" si="1663"/>
        <v>0</v>
      </c>
      <c r="Q832" s="13">
        <f t="shared" si="1663"/>
        <v>0</v>
      </c>
      <c r="R832" s="13">
        <f t="shared" si="1663"/>
        <v>0</v>
      </c>
      <c r="S832" s="13">
        <f t="shared" si="1663"/>
        <v>0</v>
      </c>
      <c r="T832" s="13">
        <f t="shared" si="1663"/>
        <v>0</v>
      </c>
      <c r="U832" s="13">
        <f t="shared" si="1663"/>
        <v>0</v>
      </c>
      <c r="V832" s="13">
        <f t="shared" si="1663"/>
        <v>0</v>
      </c>
      <c r="W832" s="13">
        <f t="shared" si="1663"/>
        <v>0</v>
      </c>
      <c r="X832" s="13">
        <f t="shared" si="1663"/>
        <v>0</v>
      </c>
      <c r="Y832" s="13">
        <f t="shared" si="1663"/>
        <v>0</v>
      </c>
      <c r="Z832" s="13">
        <f t="shared" si="1663"/>
        <v>0</v>
      </c>
      <c r="AA832" s="13">
        <f t="shared" si="1663"/>
        <v>0</v>
      </c>
      <c r="AB832" s="13">
        <f t="shared" ref="AB832:AP832" si="1664">IFERROR(VALUE(RIGHT(LEFT($J832,FIND(AB$1,$J832,IF(M832=0,1,FIND(AB$1,$J832,1)+1))+LEN(AB$1)),1)),0)</f>
        <v>0</v>
      </c>
      <c r="AC832" s="13">
        <f t="shared" si="1664"/>
        <v>0</v>
      </c>
      <c r="AD832" s="13">
        <f t="shared" si="1664"/>
        <v>0</v>
      </c>
      <c r="AE832" s="13">
        <f t="shared" si="1664"/>
        <v>0</v>
      </c>
      <c r="AF832" s="13">
        <f t="shared" si="1664"/>
        <v>0</v>
      </c>
      <c r="AG832" s="13">
        <f t="shared" si="1664"/>
        <v>0</v>
      </c>
      <c r="AH832" s="13">
        <f t="shared" si="1664"/>
        <v>0</v>
      </c>
      <c r="AI832" s="13">
        <f t="shared" si="1664"/>
        <v>0</v>
      </c>
      <c r="AJ832" s="13">
        <f t="shared" si="1664"/>
        <v>0</v>
      </c>
      <c r="AK832" s="13">
        <f t="shared" si="1664"/>
        <v>0</v>
      </c>
      <c r="AL832" s="13">
        <f t="shared" si="1664"/>
        <v>0</v>
      </c>
      <c r="AM832" s="13">
        <f t="shared" si="1664"/>
        <v>0</v>
      </c>
      <c r="AN832" s="13">
        <f t="shared" si="1664"/>
        <v>0</v>
      </c>
      <c r="AO832" s="13">
        <f t="shared" si="1664"/>
        <v>1</v>
      </c>
      <c r="AP832" s="13">
        <f t="shared" si="1664"/>
        <v>0</v>
      </c>
      <c r="AQ832" s="13"/>
      <c r="AR832" s="13" t="s">
        <v>5088</v>
      </c>
      <c r="AS832" s="13" t="s">
        <v>5089</v>
      </c>
      <c r="AT832" s="13" t="s">
        <v>1263</v>
      </c>
      <c r="AU832" s="13" t="s">
        <v>130</v>
      </c>
      <c r="AV832" s="13" t="s">
        <v>3009</v>
      </c>
      <c r="AW832" s="13">
        <v>5.0</v>
      </c>
      <c r="AX832" s="13">
        <v>15.0</v>
      </c>
      <c r="AY832" s="13">
        <v>0.0</v>
      </c>
      <c r="AZ832" s="13" t="s">
        <v>209</v>
      </c>
      <c r="BA832" s="13" t="s">
        <v>4214</v>
      </c>
      <c r="BB832" s="13"/>
      <c r="BC832" s="13"/>
      <c r="BD832" s="13" t="s">
        <v>261</v>
      </c>
      <c r="BE832" s="13"/>
      <c r="BF832" s="13" t="s">
        <v>1684</v>
      </c>
      <c r="BG832" s="13" t="s">
        <v>263</v>
      </c>
      <c r="BH832" s="13" t="s">
        <v>79</v>
      </c>
      <c r="BI832" s="13" t="b">
        <v>0</v>
      </c>
      <c r="BJ832" s="13">
        <v>0.0</v>
      </c>
      <c r="BK832" s="13">
        <v>0.0</v>
      </c>
    </row>
    <row r="833" ht="14.25" customHeight="1">
      <c r="A833" s="13">
        <v>831.0</v>
      </c>
      <c r="B833" s="13" t="s">
        <v>51</v>
      </c>
      <c r="C833" s="13">
        <v>0.0</v>
      </c>
      <c r="D833" s="14">
        <v>0.0</v>
      </c>
      <c r="E833" s="13" t="s">
        <v>5090</v>
      </c>
      <c r="F833" s="15" t="s">
        <v>496</v>
      </c>
      <c r="G833" s="16" t="s">
        <v>5091</v>
      </c>
      <c r="H833" s="13">
        <v>9.0</v>
      </c>
      <c r="I833" s="13">
        <v>0.9</v>
      </c>
      <c r="J833" s="13" t="s">
        <v>255</v>
      </c>
      <c r="K833" s="13">
        <f t="shared" si="3"/>
        <v>0</v>
      </c>
      <c r="L833" s="13">
        <f t="shared" si="4"/>
        <v>1</v>
      </c>
      <c r="M833" s="13">
        <f t="shared" ref="M833:AA833" si="1665">IFERROR(VALUE(RIGHT(LEFT($J833,FIND(M$1,$J833,1)+LEN(M$1)),1)),0)</f>
        <v>0</v>
      </c>
      <c r="N833" s="13">
        <f t="shared" si="1665"/>
        <v>0</v>
      </c>
      <c r="O833" s="13">
        <f t="shared" si="1665"/>
        <v>0</v>
      </c>
      <c r="P833" s="13">
        <f t="shared" si="1665"/>
        <v>0</v>
      </c>
      <c r="Q833" s="13">
        <f t="shared" si="1665"/>
        <v>0</v>
      </c>
      <c r="R833" s="13">
        <f t="shared" si="1665"/>
        <v>0</v>
      </c>
      <c r="S833" s="13">
        <f t="shared" si="1665"/>
        <v>0</v>
      </c>
      <c r="T833" s="13">
        <f t="shared" si="1665"/>
        <v>0</v>
      </c>
      <c r="U833" s="13">
        <f t="shared" si="1665"/>
        <v>0</v>
      </c>
      <c r="V833" s="13">
        <f t="shared" si="1665"/>
        <v>0</v>
      </c>
      <c r="W833" s="13">
        <f t="shared" si="1665"/>
        <v>0</v>
      </c>
      <c r="X833" s="13">
        <f t="shared" si="1665"/>
        <v>0</v>
      </c>
      <c r="Y833" s="13">
        <f t="shared" si="1665"/>
        <v>0</v>
      </c>
      <c r="Z833" s="13">
        <f t="shared" si="1665"/>
        <v>0</v>
      </c>
      <c r="AA833" s="13">
        <f t="shared" si="1665"/>
        <v>0</v>
      </c>
      <c r="AB833" s="13">
        <f t="shared" ref="AB833:AP833" si="1666">IFERROR(VALUE(RIGHT(LEFT($J833,FIND(AB$1,$J833,IF(M833=0,1,FIND(AB$1,$J833,1)+1))+LEN(AB$1)),1)),0)</f>
        <v>0</v>
      </c>
      <c r="AC833" s="13">
        <f t="shared" si="1666"/>
        <v>0</v>
      </c>
      <c r="AD833" s="13">
        <f t="shared" si="1666"/>
        <v>0</v>
      </c>
      <c r="AE833" s="13">
        <f t="shared" si="1666"/>
        <v>0</v>
      </c>
      <c r="AF833" s="13">
        <f t="shared" si="1666"/>
        <v>0</v>
      </c>
      <c r="AG833" s="13">
        <f t="shared" si="1666"/>
        <v>0</v>
      </c>
      <c r="AH833" s="13">
        <f t="shared" si="1666"/>
        <v>0</v>
      </c>
      <c r="AI833" s="13">
        <f t="shared" si="1666"/>
        <v>0</v>
      </c>
      <c r="AJ833" s="13">
        <f t="shared" si="1666"/>
        <v>0</v>
      </c>
      <c r="AK833" s="13">
        <f t="shared" si="1666"/>
        <v>0</v>
      </c>
      <c r="AL833" s="13">
        <f t="shared" si="1666"/>
        <v>0</v>
      </c>
      <c r="AM833" s="13">
        <f t="shared" si="1666"/>
        <v>0</v>
      </c>
      <c r="AN833" s="13">
        <f t="shared" si="1666"/>
        <v>0</v>
      </c>
      <c r="AO833" s="13">
        <f t="shared" si="1666"/>
        <v>1</v>
      </c>
      <c r="AP833" s="13">
        <f t="shared" si="1666"/>
        <v>0</v>
      </c>
      <c r="AQ833" s="13"/>
      <c r="AR833" s="13" t="s">
        <v>5092</v>
      </c>
      <c r="AS833" s="13" t="s">
        <v>268</v>
      </c>
      <c r="AT833" s="13" t="s">
        <v>162</v>
      </c>
      <c r="AU833" s="13" t="s">
        <v>195</v>
      </c>
      <c r="AV833" s="13" t="s">
        <v>5093</v>
      </c>
      <c r="AW833" s="13">
        <v>3.0</v>
      </c>
      <c r="AX833" s="13">
        <v>15.0</v>
      </c>
      <c r="AY833" s="13">
        <v>0.0</v>
      </c>
      <c r="AZ833" s="13" t="s">
        <v>501</v>
      </c>
      <c r="BA833" s="13" t="s">
        <v>625</v>
      </c>
      <c r="BB833" s="13"/>
      <c r="BC833" s="13"/>
      <c r="BD833" s="13" t="s">
        <v>789</v>
      </c>
      <c r="BE833" s="13"/>
      <c r="BF833" s="13" t="s">
        <v>5094</v>
      </c>
      <c r="BG833" s="13" t="s">
        <v>263</v>
      </c>
      <c r="BH833" s="13" t="s">
        <v>79</v>
      </c>
      <c r="BI833" s="13" t="b">
        <v>0</v>
      </c>
      <c r="BJ833" s="13">
        <v>0.0</v>
      </c>
      <c r="BK833" s="13">
        <v>0.0</v>
      </c>
    </row>
    <row r="834" ht="14.25" customHeight="1">
      <c r="A834" s="13">
        <v>832.0</v>
      </c>
      <c r="B834" s="13" t="s">
        <v>50</v>
      </c>
      <c r="C834" s="13">
        <v>0.0</v>
      </c>
      <c r="D834" s="14">
        <v>0.0</v>
      </c>
      <c r="E834" s="13" t="s">
        <v>5095</v>
      </c>
      <c r="F834" s="15" t="s">
        <v>496</v>
      </c>
      <c r="G834" s="16" t="s">
        <v>5096</v>
      </c>
      <c r="H834" s="13">
        <v>13.0</v>
      </c>
      <c r="I834" s="13">
        <v>0.9</v>
      </c>
      <c r="J834" s="13" t="s">
        <v>225</v>
      </c>
      <c r="K834" s="13">
        <f t="shared" si="3"/>
        <v>0</v>
      </c>
      <c r="L834" s="13">
        <f t="shared" si="4"/>
        <v>1</v>
      </c>
      <c r="M834" s="13">
        <f t="shared" ref="M834:AA834" si="1667">IFERROR(VALUE(RIGHT(LEFT($J834,FIND(M$1,$J834,1)+LEN(M$1)),1)),0)</f>
        <v>0</v>
      </c>
      <c r="N834" s="13">
        <f t="shared" si="1667"/>
        <v>0</v>
      </c>
      <c r="O834" s="13">
        <f t="shared" si="1667"/>
        <v>0</v>
      </c>
      <c r="P834" s="13">
        <f t="shared" si="1667"/>
        <v>0</v>
      </c>
      <c r="Q834" s="13">
        <f t="shared" si="1667"/>
        <v>0</v>
      </c>
      <c r="R834" s="13">
        <f t="shared" si="1667"/>
        <v>0</v>
      </c>
      <c r="S834" s="13">
        <f t="shared" si="1667"/>
        <v>0</v>
      </c>
      <c r="T834" s="13">
        <f t="shared" si="1667"/>
        <v>0</v>
      </c>
      <c r="U834" s="13">
        <f t="shared" si="1667"/>
        <v>0</v>
      </c>
      <c r="V834" s="13">
        <f t="shared" si="1667"/>
        <v>0</v>
      </c>
      <c r="W834" s="13">
        <f t="shared" si="1667"/>
        <v>0</v>
      </c>
      <c r="X834" s="13">
        <f t="shared" si="1667"/>
        <v>0</v>
      </c>
      <c r="Y834" s="13">
        <f t="shared" si="1667"/>
        <v>0</v>
      </c>
      <c r="Z834" s="13">
        <f t="shared" si="1667"/>
        <v>0</v>
      </c>
      <c r="AA834" s="13">
        <f t="shared" si="1667"/>
        <v>0</v>
      </c>
      <c r="AB834" s="13">
        <f t="shared" ref="AB834:AP834" si="1668">IFERROR(VALUE(RIGHT(LEFT($J834,FIND(AB$1,$J834,IF(M834=0,1,FIND(AB$1,$J834,1)+1))+LEN(AB$1)),1)),0)</f>
        <v>0</v>
      </c>
      <c r="AC834" s="13">
        <f t="shared" si="1668"/>
        <v>0</v>
      </c>
      <c r="AD834" s="13">
        <f t="shared" si="1668"/>
        <v>0</v>
      </c>
      <c r="AE834" s="13">
        <f t="shared" si="1668"/>
        <v>0</v>
      </c>
      <c r="AF834" s="13">
        <f t="shared" si="1668"/>
        <v>0</v>
      </c>
      <c r="AG834" s="13">
        <f t="shared" si="1668"/>
        <v>0</v>
      </c>
      <c r="AH834" s="13">
        <f t="shared" si="1668"/>
        <v>0</v>
      </c>
      <c r="AI834" s="13">
        <f t="shared" si="1668"/>
        <v>0</v>
      </c>
      <c r="AJ834" s="13">
        <f t="shared" si="1668"/>
        <v>0</v>
      </c>
      <c r="AK834" s="13">
        <f t="shared" si="1668"/>
        <v>0</v>
      </c>
      <c r="AL834" s="13">
        <f t="shared" si="1668"/>
        <v>0</v>
      </c>
      <c r="AM834" s="13">
        <f t="shared" si="1668"/>
        <v>0</v>
      </c>
      <c r="AN834" s="13">
        <f t="shared" si="1668"/>
        <v>1</v>
      </c>
      <c r="AO834" s="13">
        <f t="shared" si="1668"/>
        <v>0</v>
      </c>
      <c r="AP834" s="13">
        <f t="shared" si="1668"/>
        <v>0</v>
      </c>
      <c r="AQ834" s="13"/>
      <c r="AR834" s="13" t="s">
        <v>2976</v>
      </c>
      <c r="AS834" s="13" t="s">
        <v>2780</v>
      </c>
      <c r="AT834" s="13" t="s">
        <v>142</v>
      </c>
      <c r="AU834" s="13" t="s">
        <v>130</v>
      </c>
      <c r="AV834" s="13" t="s">
        <v>923</v>
      </c>
      <c r="AW834" s="13">
        <v>7.0</v>
      </c>
      <c r="AX834" s="13">
        <v>15.0</v>
      </c>
      <c r="AY834" s="13">
        <v>0.0</v>
      </c>
      <c r="AZ834" s="13" t="s">
        <v>547</v>
      </c>
      <c r="BA834" s="13" t="s">
        <v>1214</v>
      </c>
      <c r="BB834" s="13"/>
      <c r="BC834" s="13"/>
      <c r="BD834" s="13" t="s">
        <v>239</v>
      </c>
      <c r="BE834" s="13"/>
      <c r="BF834" s="13" t="s">
        <v>1392</v>
      </c>
      <c r="BG834" s="13" t="s">
        <v>50</v>
      </c>
      <c r="BH834" s="13" t="s">
        <v>79</v>
      </c>
      <c r="BI834" s="13" t="b">
        <v>0</v>
      </c>
      <c r="BJ834" s="13">
        <v>0.0</v>
      </c>
      <c r="BK834" s="13">
        <v>0.0</v>
      </c>
    </row>
    <row r="835" ht="14.25" customHeight="1">
      <c r="A835" s="13">
        <v>833.0</v>
      </c>
      <c r="B835" s="13" t="s">
        <v>44</v>
      </c>
      <c r="C835" s="13">
        <v>1.0</v>
      </c>
      <c r="D835" s="14">
        <v>0.0</v>
      </c>
      <c r="E835" s="13" t="s">
        <v>5097</v>
      </c>
      <c r="F835" s="15" t="s">
        <v>496</v>
      </c>
      <c r="G835" s="16" t="s">
        <v>5098</v>
      </c>
      <c r="H835" s="13"/>
      <c r="I835" s="13">
        <v>1.0</v>
      </c>
      <c r="J835" s="13" t="s">
        <v>348</v>
      </c>
      <c r="K835" s="13">
        <f t="shared" si="3"/>
        <v>0</v>
      </c>
      <c r="L835" s="13">
        <f t="shared" si="4"/>
        <v>2</v>
      </c>
      <c r="M835" s="13">
        <f t="shared" ref="M835:AA835" si="1669">IFERROR(VALUE(RIGHT(LEFT($J835,FIND(M$1,$J835,1)+LEN(M$1)),1)),0)</f>
        <v>0</v>
      </c>
      <c r="N835" s="13">
        <f t="shared" si="1669"/>
        <v>0</v>
      </c>
      <c r="O835" s="13">
        <f t="shared" si="1669"/>
        <v>0</v>
      </c>
      <c r="P835" s="13">
        <f t="shared" si="1669"/>
        <v>0</v>
      </c>
      <c r="Q835" s="13">
        <f t="shared" si="1669"/>
        <v>0</v>
      </c>
      <c r="R835" s="13">
        <f t="shared" si="1669"/>
        <v>0</v>
      </c>
      <c r="S835" s="13">
        <f t="shared" si="1669"/>
        <v>0</v>
      </c>
      <c r="T835" s="13">
        <f t="shared" si="1669"/>
        <v>0</v>
      </c>
      <c r="U835" s="13">
        <f t="shared" si="1669"/>
        <v>0</v>
      </c>
      <c r="V835" s="13">
        <f t="shared" si="1669"/>
        <v>0</v>
      </c>
      <c r="W835" s="13">
        <f t="shared" si="1669"/>
        <v>0</v>
      </c>
      <c r="X835" s="13">
        <f t="shared" si="1669"/>
        <v>0</v>
      </c>
      <c r="Y835" s="13">
        <f t="shared" si="1669"/>
        <v>0</v>
      </c>
      <c r="Z835" s="13">
        <f t="shared" si="1669"/>
        <v>0</v>
      </c>
      <c r="AA835" s="13">
        <f t="shared" si="1669"/>
        <v>0</v>
      </c>
      <c r="AB835" s="13">
        <f t="shared" ref="AB835:AP835" si="1670">IFERROR(VALUE(RIGHT(LEFT($J835,FIND(AB$1,$J835,IF(M835=0,1,FIND(AB$1,$J835,1)+1))+LEN(AB$1)),1)),0)</f>
        <v>0</v>
      </c>
      <c r="AC835" s="13">
        <f t="shared" si="1670"/>
        <v>0</v>
      </c>
      <c r="AD835" s="13">
        <f t="shared" si="1670"/>
        <v>0</v>
      </c>
      <c r="AE835" s="13">
        <f t="shared" si="1670"/>
        <v>0</v>
      </c>
      <c r="AF835" s="13">
        <f t="shared" si="1670"/>
        <v>1</v>
      </c>
      <c r="AG835" s="13">
        <f t="shared" si="1670"/>
        <v>0</v>
      </c>
      <c r="AH835" s="13">
        <f t="shared" si="1670"/>
        <v>1</v>
      </c>
      <c r="AI835" s="13">
        <f t="shared" si="1670"/>
        <v>0</v>
      </c>
      <c r="AJ835" s="13">
        <f t="shared" si="1670"/>
        <v>0</v>
      </c>
      <c r="AK835" s="13">
        <f t="shared" si="1670"/>
        <v>0</v>
      </c>
      <c r="AL835" s="13">
        <f t="shared" si="1670"/>
        <v>0</v>
      </c>
      <c r="AM835" s="13">
        <f t="shared" si="1670"/>
        <v>0</v>
      </c>
      <c r="AN835" s="13">
        <f t="shared" si="1670"/>
        <v>0</v>
      </c>
      <c r="AO835" s="13">
        <f t="shared" si="1670"/>
        <v>0</v>
      </c>
      <c r="AP835" s="13">
        <f t="shared" si="1670"/>
        <v>0</v>
      </c>
      <c r="AQ835" s="13" t="s">
        <v>5099</v>
      </c>
      <c r="AR835" s="13"/>
      <c r="AS835" s="13" t="s">
        <v>5100</v>
      </c>
      <c r="AT835" s="13"/>
      <c r="AU835" s="13"/>
      <c r="AV835" s="13"/>
      <c r="AW835" s="13">
        <v>0.0</v>
      </c>
      <c r="AX835" s="13">
        <v>15.0</v>
      </c>
      <c r="AY835" s="13">
        <v>0.0</v>
      </c>
      <c r="AZ835" s="13"/>
      <c r="BA835" s="13"/>
      <c r="BB835" s="13"/>
      <c r="BC835" s="13"/>
      <c r="BD835" s="13"/>
      <c r="BE835" s="13"/>
      <c r="BF835" s="13"/>
      <c r="BG835" s="13"/>
      <c r="BH835" s="13" t="s">
        <v>79</v>
      </c>
      <c r="BI835" s="13" t="b">
        <v>0</v>
      </c>
      <c r="BJ835" s="13">
        <v>0.0</v>
      </c>
      <c r="BK835" s="13">
        <v>0.0</v>
      </c>
    </row>
    <row r="836" ht="14.25" customHeight="1">
      <c r="A836" s="13">
        <v>834.0</v>
      </c>
      <c r="B836" s="13" t="s">
        <v>45</v>
      </c>
      <c r="C836" s="13">
        <v>1.0</v>
      </c>
      <c r="D836" s="14">
        <v>0.0</v>
      </c>
      <c r="E836" s="13" t="s">
        <v>5101</v>
      </c>
      <c r="F836" s="15" t="s">
        <v>496</v>
      </c>
      <c r="G836" s="16" t="s">
        <v>5102</v>
      </c>
      <c r="H836" s="13"/>
      <c r="I836" s="13">
        <v>0.9</v>
      </c>
      <c r="J836" s="13" t="s">
        <v>374</v>
      </c>
      <c r="K836" s="13">
        <f t="shared" si="3"/>
        <v>0</v>
      </c>
      <c r="L836" s="13">
        <f t="shared" si="4"/>
        <v>2</v>
      </c>
      <c r="M836" s="13">
        <f t="shared" ref="M836:AA836" si="1671">IFERROR(VALUE(RIGHT(LEFT($J836,FIND(M$1,$J836,1)+LEN(M$1)),1)),0)</f>
        <v>0</v>
      </c>
      <c r="N836" s="13">
        <f t="shared" si="1671"/>
        <v>0</v>
      </c>
      <c r="O836" s="13">
        <f t="shared" si="1671"/>
        <v>0</v>
      </c>
      <c r="P836" s="13">
        <f t="shared" si="1671"/>
        <v>0</v>
      </c>
      <c r="Q836" s="13">
        <f t="shared" si="1671"/>
        <v>0</v>
      </c>
      <c r="R836" s="13">
        <f t="shared" si="1671"/>
        <v>0</v>
      </c>
      <c r="S836" s="13">
        <f t="shared" si="1671"/>
        <v>0</v>
      </c>
      <c r="T836" s="13">
        <f t="shared" si="1671"/>
        <v>0</v>
      </c>
      <c r="U836" s="13">
        <f t="shared" si="1671"/>
        <v>0</v>
      </c>
      <c r="V836" s="13">
        <f t="shared" si="1671"/>
        <v>0</v>
      </c>
      <c r="W836" s="13">
        <f t="shared" si="1671"/>
        <v>0</v>
      </c>
      <c r="X836" s="13">
        <f t="shared" si="1671"/>
        <v>0</v>
      </c>
      <c r="Y836" s="13">
        <f t="shared" si="1671"/>
        <v>0</v>
      </c>
      <c r="Z836" s="13">
        <f t="shared" si="1671"/>
        <v>0</v>
      </c>
      <c r="AA836" s="13">
        <f t="shared" si="1671"/>
        <v>0</v>
      </c>
      <c r="AB836" s="13">
        <f t="shared" ref="AB836:AP836" si="1672">IFERROR(VALUE(RIGHT(LEFT($J836,FIND(AB$1,$J836,IF(M836=0,1,FIND(AB$1,$J836,1)+1))+LEN(AB$1)),1)),0)</f>
        <v>0</v>
      </c>
      <c r="AC836" s="13">
        <f t="shared" si="1672"/>
        <v>1</v>
      </c>
      <c r="AD836" s="13">
        <f t="shared" si="1672"/>
        <v>0</v>
      </c>
      <c r="AE836" s="13">
        <f t="shared" si="1672"/>
        <v>0</v>
      </c>
      <c r="AF836" s="13">
        <f t="shared" si="1672"/>
        <v>0</v>
      </c>
      <c r="AG836" s="13">
        <f t="shared" si="1672"/>
        <v>0</v>
      </c>
      <c r="AH836" s="13">
        <f t="shared" si="1672"/>
        <v>0</v>
      </c>
      <c r="AI836" s="13">
        <f t="shared" si="1672"/>
        <v>1</v>
      </c>
      <c r="AJ836" s="13">
        <f t="shared" si="1672"/>
        <v>0</v>
      </c>
      <c r="AK836" s="13">
        <f t="shared" si="1672"/>
        <v>0</v>
      </c>
      <c r="AL836" s="13">
        <f t="shared" si="1672"/>
        <v>0</v>
      </c>
      <c r="AM836" s="13">
        <f t="shared" si="1672"/>
        <v>0</v>
      </c>
      <c r="AN836" s="13">
        <f t="shared" si="1672"/>
        <v>0</v>
      </c>
      <c r="AO836" s="13">
        <f t="shared" si="1672"/>
        <v>0</v>
      </c>
      <c r="AP836" s="13">
        <f t="shared" si="1672"/>
        <v>0</v>
      </c>
      <c r="AQ836" s="13" t="s">
        <v>5103</v>
      </c>
      <c r="AR836" s="13"/>
      <c r="AS836" s="13" t="s">
        <v>3974</v>
      </c>
      <c r="AT836" s="13"/>
      <c r="AU836" s="13"/>
      <c r="AV836" s="13"/>
      <c r="AW836" s="13">
        <v>0.0</v>
      </c>
      <c r="AX836" s="13">
        <v>15.0</v>
      </c>
      <c r="AY836" s="13">
        <v>0.0</v>
      </c>
      <c r="AZ836" s="13"/>
      <c r="BA836" s="13"/>
      <c r="BB836" s="13"/>
      <c r="BC836" s="13"/>
      <c r="BD836" s="13"/>
      <c r="BE836" s="13"/>
      <c r="BF836" s="13"/>
      <c r="BG836" s="13"/>
      <c r="BH836" s="13" t="s">
        <v>79</v>
      </c>
      <c r="BI836" s="13" t="b">
        <v>0</v>
      </c>
      <c r="BJ836" s="13">
        <v>0.0</v>
      </c>
      <c r="BK836" s="13">
        <v>0.0</v>
      </c>
    </row>
    <row r="837" ht="14.25" customHeight="1">
      <c r="A837" s="13">
        <v>835.0</v>
      </c>
      <c r="B837" s="13" t="s">
        <v>46</v>
      </c>
      <c r="C837" s="13">
        <v>1.0</v>
      </c>
      <c r="D837" s="14">
        <v>0.0</v>
      </c>
      <c r="E837" s="13" t="s">
        <v>5104</v>
      </c>
      <c r="F837" s="15" t="s">
        <v>496</v>
      </c>
      <c r="G837" s="16" t="s">
        <v>5105</v>
      </c>
      <c r="H837" s="13"/>
      <c r="I837" s="13">
        <v>0.9</v>
      </c>
      <c r="J837" s="13" t="s">
        <v>457</v>
      </c>
      <c r="K837" s="13">
        <f t="shared" si="3"/>
        <v>0</v>
      </c>
      <c r="L837" s="13">
        <f t="shared" si="4"/>
        <v>2</v>
      </c>
      <c r="M837" s="13">
        <f t="shared" ref="M837:AA837" si="1673">IFERROR(VALUE(RIGHT(LEFT($J837,FIND(M$1,$J837,1)+LEN(M$1)),1)),0)</f>
        <v>0</v>
      </c>
      <c r="N837" s="13">
        <f t="shared" si="1673"/>
        <v>0</v>
      </c>
      <c r="O837" s="13">
        <f t="shared" si="1673"/>
        <v>0</v>
      </c>
      <c r="P837" s="13">
        <f t="shared" si="1673"/>
        <v>0</v>
      </c>
      <c r="Q837" s="13">
        <f t="shared" si="1673"/>
        <v>0</v>
      </c>
      <c r="R837" s="13">
        <f t="shared" si="1673"/>
        <v>0</v>
      </c>
      <c r="S837" s="13">
        <f t="shared" si="1673"/>
        <v>0</v>
      </c>
      <c r="T837" s="13">
        <f t="shared" si="1673"/>
        <v>0</v>
      </c>
      <c r="U837" s="13">
        <f t="shared" si="1673"/>
        <v>0</v>
      </c>
      <c r="V837" s="13">
        <f t="shared" si="1673"/>
        <v>0</v>
      </c>
      <c r="W837" s="13">
        <f t="shared" si="1673"/>
        <v>0</v>
      </c>
      <c r="X837" s="13">
        <f t="shared" si="1673"/>
        <v>0</v>
      </c>
      <c r="Y837" s="13">
        <f t="shared" si="1673"/>
        <v>0</v>
      </c>
      <c r="Z837" s="13">
        <f t="shared" si="1673"/>
        <v>0</v>
      </c>
      <c r="AA837" s="13">
        <f t="shared" si="1673"/>
        <v>0</v>
      </c>
      <c r="AB837" s="13">
        <f t="shared" ref="AB837:AP837" si="1674">IFERROR(VALUE(RIGHT(LEFT($J837,FIND(AB$1,$J837,IF(M837=0,1,FIND(AB$1,$J837,1)+1))+LEN(AB$1)),1)),0)</f>
        <v>0</v>
      </c>
      <c r="AC837" s="13">
        <f t="shared" si="1674"/>
        <v>0</v>
      </c>
      <c r="AD837" s="13">
        <f t="shared" si="1674"/>
        <v>0</v>
      </c>
      <c r="AE837" s="13">
        <f t="shared" si="1674"/>
        <v>1</v>
      </c>
      <c r="AF837" s="13">
        <f t="shared" si="1674"/>
        <v>0</v>
      </c>
      <c r="AG837" s="13">
        <f t="shared" si="1674"/>
        <v>0</v>
      </c>
      <c r="AH837" s="13">
        <f t="shared" si="1674"/>
        <v>0</v>
      </c>
      <c r="AI837" s="13">
        <f t="shared" si="1674"/>
        <v>0</v>
      </c>
      <c r="AJ837" s="13">
        <f t="shared" si="1674"/>
        <v>1</v>
      </c>
      <c r="AK837" s="13">
        <f t="shared" si="1674"/>
        <v>0</v>
      </c>
      <c r="AL837" s="13">
        <f t="shared" si="1674"/>
        <v>0</v>
      </c>
      <c r="AM837" s="13">
        <f t="shared" si="1674"/>
        <v>0</v>
      </c>
      <c r="AN837" s="13">
        <f t="shared" si="1674"/>
        <v>0</v>
      </c>
      <c r="AO837" s="13">
        <f t="shared" si="1674"/>
        <v>0</v>
      </c>
      <c r="AP837" s="13">
        <f t="shared" si="1674"/>
        <v>0</v>
      </c>
      <c r="AQ837" s="13" t="s">
        <v>5106</v>
      </c>
      <c r="AR837" s="13"/>
      <c r="AS837" s="13" t="s">
        <v>5107</v>
      </c>
      <c r="AT837" s="13"/>
      <c r="AU837" s="13"/>
      <c r="AV837" s="13"/>
      <c r="AW837" s="13">
        <v>0.0</v>
      </c>
      <c r="AX837" s="13">
        <v>15.0</v>
      </c>
      <c r="AY837" s="13">
        <v>0.0</v>
      </c>
      <c r="AZ837" s="13"/>
      <c r="BA837" s="13"/>
      <c r="BB837" s="13"/>
      <c r="BC837" s="13"/>
      <c r="BD837" s="13"/>
      <c r="BE837" s="13"/>
      <c r="BF837" s="13"/>
      <c r="BG837" s="13"/>
      <c r="BH837" s="13" t="s">
        <v>79</v>
      </c>
      <c r="BI837" s="13" t="b">
        <v>0</v>
      </c>
      <c r="BJ837" s="13">
        <v>0.0</v>
      </c>
      <c r="BK837" s="13">
        <v>0.0</v>
      </c>
    </row>
    <row r="838" ht="14.25" customHeight="1">
      <c r="A838" s="13">
        <v>836.0</v>
      </c>
      <c r="B838" s="13" t="s">
        <v>51</v>
      </c>
      <c r="C838" s="13">
        <v>1.0</v>
      </c>
      <c r="D838" s="14">
        <v>0.0</v>
      </c>
      <c r="E838" s="13" t="s">
        <v>5108</v>
      </c>
      <c r="F838" s="15" t="s">
        <v>496</v>
      </c>
      <c r="G838" s="16" t="s">
        <v>5109</v>
      </c>
      <c r="H838" s="13">
        <v>12.0</v>
      </c>
      <c r="I838" s="13">
        <v>1.1</v>
      </c>
      <c r="J838" s="13" t="s">
        <v>837</v>
      </c>
      <c r="K838" s="13">
        <f t="shared" si="3"/>
        <v>0</v>
      </c>
      <c r="L838" s="13">
        <f t="shared" si="4"/>
        <v>2</v>
      </c>
      <c r="M838" s="13">
        <f t="shared" ref="M838:AA838" si="1675">IFERROR(VALUE(RIGHT(LEFT($J838,FIND(M$1,$J838,1)+LEN(M$1)),1)),0)</f>
        <v>0</v>
      </c>
      <c r="N838" s="13">
        <f t="shared" si="1675"/>
        <v>0</v>
      </c>
      <c r="O838" s="13">
        <f t="shared" si="1675"/>
        <v>0</v>
      </c>
      <c r="P838" s="13">
        <f t="shared" si="1675"/>
        <v>0</v>
      </c>
      <c r="Q838" s="13">
        <f t="shared" si="1675"/>
        <v>0</v>
      </c>
      <c r="R838" s="13">
        <f t="shared" si="1675"/>
        <v>0</v>
      </c>
      <c r="S838" s="13">
        <f t="shared" si="1675"/>
        <v>0</v>
      </c>
      <c r="T838" s="13">
        <f t="shared" si="1675"/>
        <v>0</v>
      </c>
      <c r="U838" s="13">
        <f t="shared" si="1675"/>
        <v>0</v>
      </c>
      <c r="V838" s="13">
        <f t="shared" si="1675"/>
        <v>0</v>
      </c>
      <c r="W838" s="13">
        <f t="shared" si="1675"/>
        <v>0</v>
      </c>
      <c r="X838" s="13">
        <f t="shared" si="1675"/>
        <v>0</v>
      </c>
      <c r="Y838" s="13">
        <f t="shared" si="1675"/>
        <v>0</v>
      </c>
      <c r="Z838" s="13">
        <f t="shared" si="1675"/>
        <v>0</v>
      </c>
      <c r="AA838" s="13">
        <f t="shared" si="1675"/>
        <v>0</v>
      </c>
      <c r="AB838" s="13">
        <f t="shared" ref="AB838:AP838" si="1676">IFERROR(VALUE(RIGHT(LEFT($J838,FIND(AB$1,$J838,IF(M838=0,1,FIND(AB$1,$J838,1)+1))+LEN(AB$1)),1)),0)</f>
        <v>0</v>
      </c>
      <c r="AC838" s="13">
        <f t="shared" si="1676"/>
        <v>1</v>
      </c>
      <c r="AD838" s="13">
        <f t="shared" si="1676"/>
        <v>0</v>
      </c>
      <c r="AE838" s="13">
        <f t="shared" si="1676"/>
        <v>0</v>
      </c>
      <c r="AF838" s="13">
        <f t="shared" si="1676"/>
        <v>0</v>
      </c>
      <c r="AG838" s="13">
        <f t="shared" si="1676"/>
        <v>0</v>
      </c>
      <c r="AH838" s="13">
        <f t="shared" si="1676"/>
        <v>0</v>
      </c>
      <c r="AI838" s="13">
        <f t="shared" si="1676"/>
        <v>0</v>
      </c>
      <c r="AJ838" s="13">
        <f t="shared" si="1676"/>
        <v>0</v>
      </c>
      <c r="AK838" s="13">
        <f t="shared" si="1676"/>
        <v>0</v>
      </c>
      <c r="AL838" s="13">
        <f t="shared" si="1676"/>
        <v>0</v>
      </c>
      <c r="AM838" s="13">
        <f t="shared" si="1676"/>
        <v>0</v>
      </c>
      <c r="AN838" s="13">
        <f t="shared" si="1676"/>
        <v>0</v>
      </c>
      <c r="AO838" s="13">
        <f t="shared" si="1676"/>
        <v>1</v>
      </c>
      <c r="AP838" s="13">
        <f t="shared" si="1676"/>
        <v>0</v>
      </c>
      <c r="AQ838" s="13"/>
      <c r="AR838" s="13" t="s">
        <v>1404</v>
      </c>
      <c r="AS838" s="13" t="s">
        <v>5110</v>
      </c>
      <c r="AT838" s="13" t="s">
        <v>257</v>
      </c>
      <c r="AU838" s="13" t="s">
        <v>143</v>
      </c>
      <c r="AV838" s="13" t="s">
        <v>5111</v>
      </c>
      <c r="AW838" s="13">
        <v>10.0</v>
      </c>
      <c r="AX838" s="13">
        <v>15.0</v>
      </c>
      <c r="AY838" s="13">
        <v>0.0</v>
      </c>
      <c r="AZ838" s="13" t="s">
        <v>482</v>
      </c>
      <c r="BA838" s="13" t="s">
        <v>483</v>
      </c>
      <c r="BB838" s="13"/>
      <c r="BC838" s="13"/>
      <c r="BD838" s="13" t="s">
        <v>776</v>
      </c>
      <c r="BE838" s="13"/>
      <c r="BF838" s="13" t="s">
        <v>521</v>
      </c>
      <c r="BG838" s="13" t="s">
        <v>263</v>
      </c>
      <c r="BH838" s="13" t="s">
        <v>79</v>
      </c>
      <c r="BI838" s="13" t="b">
        <v>0</v>
      </c>
      <c r="BJ838" s="13">
        <v>0.0</v>
      </c>
      <c r="BK838" s="13">
        <v>0.0</v>
      </c>
    </row>
    <row r="839" ht="14.25" customHeight="1">
      <c r="A839" s="13">
        <v>837.0</v>
      </c>
      <c r="B839" s="13" t="s">
        <v>51</v>
      </c>
      <c r="C839" s="13">
        <v>1.0</v>
      </c>
      <c r="D839" s="14">
        <v>0.0</v>
      </c>
      <c r="E839" s="13" t="s">
        <v>5112</v>
      </c>
      <c r="F839" s="15" t="s">
        <v>5113</v>
      </c>
      <c r="G839" s="16" t="s">
        <v>5114</v>
      </c>
      <c r="H839" s="13">
        <v>13.0</v>
      </c>
      <c r="I839" s="13">
        <v>1.1</v>
      </c>
      <c r="J839" s="13" t="s">
        <v>774</v>
      </c>
      <c r="K839" s="13">
        <f t="shared" si="3"/>
        <v>0</v>
      </c>
      <c r="L839" s="13">
        <f t="shared" si="4"/>
        <v>2</v>
      </c>
      <c r="M839" s="13">
        <f t="shared" ref="M839:AA839" si="1677">IFERROR(VALUE(RIGHT(LEFT($J839,FIND(M$1,$J839,1)+LEN(M$1)),1)),0)</f>
        <v>0</v>
      </c>
      <c r="N839" s="13">
        <f t="shared" si="1677"/>
        <v>0</v>
      </c>
      <c r="O839" s="13">
        <f t="shared" si="1677"/>
        <v>0</v>
      </c>
      <c r="P839" s="13">
        <f t="shared" si="1677"/>
        <v>0</v>
      </c>
      <c r="Q839" s="13">
        <f t="shared" si="1677"/>
        <v>0</v>
      </c>
      <c r="R839" s="13">
        <f t="shared" si="1677"/>
        <v>0</v>
      </c>
      <c r="S839" s="13">
        <f t="shared" si="1677"/>
        <v>0</v>
      </c>
      <c r="T839" s="13">
        <f t="shared" si="1677"/>
        <v>0</v>
      </c>
      <c r="U839" s="13">
        <f t="shared" si="1677"/>
        <v>0</v>
      </c>
      <c r="V839" s="13">
        <f t="shared" si="1677"/>
        <v>0</v>
      </c>
      <c r="W839" s="13">
        <f t="shared" si="1677"/>
        <v>0</v>
      </c>
      <c r="X839" s="13">
        <f t="shared" si="1677"/>
        <v>0</v>
      </c>
      <c r="Y839" s="13">
        <f t="shared" si="1677"/>
        <v>0</v>
      </c>
      <c r="Z839" s="13">
        <f t="shared" si="1677"/>
        <v>0</v>
      </c>
      <c r="AA839" s="13">
        <f t="shared" si="1677"/>
        <v>0</v>
      </c>
      <c r="AB839" s="13">
        <f t="shared" ref="AB839:AP839" si="1678">IFERROR(VALUE(RIGHT(LEFT($J839,FIND(AB$1,$J839,IF(M839=0,1,FIND(AB$1,$J839,1)+1))+LEN(AB$1)),1)),0)</f>
        <v>0</v>
      </c>
      <c r="AC839" s="13">
        <f t="shared" si="1678"/>
        <v>0</v>
      </c>
      <c r="AD839" s="13">
        <f t="shared" si="1678"/>
        <v>0</v>
      </c>
      <c r="AE839" s="13">
        <f t="shared" si="1678"/>
        <v>1</v>
      </c>
      <c r="AF839" s="13">
        <f t="shared" si="1678"/>
        <v>0</v>
      </c>
      <c r="AG839" s="13">
        <f t="shared" si="1678"/>
        <v>0</v>
      </c>
      <c r="AH839" s="13">
        <f t="shared" si="1678"/>
        <v>0</v>
      </c>
      <c r="AI839" s="13">
        <f t="shared" si="1678"/>
        <v>0</v>
      </c>
      <c r="AJ839" s="13">
        <f t="shared" si="1678"/>
        <v>0</v>
      </c>
      <c r="AK839" s="13">
        <f t="shared" si="1678"/>
        <v>0</v>
      </c>
      <c r="AL839" s="13">
        <f t="shared" si="1678"/>
        <v>0</v>
      </c>
      <c r="AM839" s="13">
        <f t="shared" si="1678"/>
        <v>0</v>
      </c>
      <c r="AN839" s="13">
        <f t="shared" si="1678"/>
        <v>0</v>
      </c>
      <c r="AO839" s="13">
        <f t="shared" si="1678"/>
        <v>1</v>
      </c>
      <c r="AP839" s="13">
        <f t="shared" si="1678"/>
        <v>0</v>
      </c>
      <c r="AQ839" s="13"/>
      <c r="AR839" s="13" t="s">
        <v>775</v>
      </c>
      <c r="AS839" s="13" t="s">
        <v>5115</v>
      </c>
      <c r="AT839" s="13" t="s">
        <v>142</v>
      </c>
      <c r="AU839" s="13" t="s">
        <v>269</v>
      </c>
      <c r="AV839" s="13" t="s">
        <v>5116</v>
      </c>
      <c r="AW839" s="13">
        <v>12.0</v>
      </c>
      <c r="AX839" s="13">
        <v>15.0</v>
      </c>
      <c r="AY839" s="13">
        <v>0.0</v>
      </c>
      <c r="AZ839" s="13" t="s">
        <v>529</v>
      </c>
      <c r="BA839" s="13" t="s">
        <v>530</v>
      </c>
      <c r="BB839" s="13"/>
      <c r="BC839" s="13"/>
      <c r="BD839" s="13" t="s">
        <v>810</v>
      </c>
      <c r="BE839" s="13"/>
      <c r="BF839" s="13" t="s">
        <v>700</v>
      </c>
      <c r="BG839" s="13" t="s">
        <v>284</v>
      </c>
      <c r="BH839" s="13" t="s">
        <v>79</v>
      </c>
      <c r="BI839" s="13" t="b">
        <v>0</v>
      </c>
      <c r="BJ839" s="13">
        <v>0.0</v>
      </c>
      <c r="BK839" s="13">
        <v>0.0</v>
      </c>
    </row>
    <row r="840" ht="14.25" customHeight="1">
      <c r="A840" s="13">
        <v>838.0</v>
      </c>
      <c r="B840" s="13" t="s">
        <v>50</v>
      </c>
      <c r="C840" s="13">
        <v>1.0</v>
      </c>
      <c r="D840" s="14">
        <v>0.0</v>
      </c>
      <c r="E840" s="13" t="s">
        <v>5117</v>
      </c>
      <c r="F840" s="15" t="s">
        <v>496</v>
      </c>
      <c r="G840" s="16" t="s">
        <v>5118</v>
      </c>
      <c r="H840" s="13">
        <v>14.0</v>
      </c>
      <c r="I840" s="13">
        <v>0.9</v>
      </c>
      <c r="J840" s="13" t="s">
        <v>719</v>
      </c>
      <c r="K840" s="13">
        <f t="shared" si="3"/>
        <v>0</v>
      </c>
      <c r="L840" s="13">
        <f t="shared" si="4"/>
        <v>2</v>
      </c>
      <c r="M840" s="13">
        <f t="shared" ref="M840:AA840" si="1679">IFERROR(VALUE(RIGHT(LEFT($J840,FIND(M$1,$J840,1)+LEN(M$1)),1)),0)</f>
        <v>0</v>
      </c>
      <c r="N840" s="13">
        <f t="shared" si="1679"/>
        <v>0</v>
      </c>
      <c r="O840" s="13">
        <f t="shared" si="1679"/>
        <v>0</v>
      </c>
      <c r="P840" s="13">
        <f t="shared" si="1679"/>
        <v>0</v>
      </c>
      <c r="Q840" s="13">
        <f t="shared" si="1679"/>
        <v>0</v>
      </c>
      <c r="R840" s="13">
        <f t="shared" si="1679"/>
        <v>0</v>
      </c>
      <c r="S840" s="13">
        <f t="shared" si="1679"/>
        <v>0</v>
      </c>
      <c r="T840" s="13">
        <f t="shared" si="1679"/>
        <v>0</v>
      </c>
      <c r="U840" s="13">
        <f t="shared" si="1679"/>
        <v>0</v>
      </c>
      <c r="V840" s="13">
        <f t="shared" si="1679"/>
        <v>0</v>
      </c>
      <c r="W840" s="13">
        <f t="shared" si="1679"/>
        <v>0</v>
      </c>
      <c r="X840" s="13">
        <f t="shared" si="1679"/>
        <v>0</v>
      </c>
      <c r="Y840" s="13">
        <f t="shared" si="1679"/>
        <v>0</v>
      </c>
      <c r="Z840" s="13">
        <f t="shared" si="1679"/>
        <v>0</v>
      </c>
      <c r="AA840" s="13">
        <f t="shared" si="1679"/>
        <v>0</v>
      </c>
      <c r="AB840" s="13">
        <f t="shared" ref="AB840:AP840" si="1680">IFERROR(VALUE(RIGHT(LEFT($J840,FIND(AB$1,$J840,IF(M840=0,1,FIND(AB$1,$J840,1)+1))+LEN(AB$1)),1)),0)</f>
        <v>0</v>
      </c>
      <c r="AC840" s="13">
        <f t="shared" si="1680"/>
        <v>0</v>
      </c>
      <c r="AD840" s="13">
        <f t="shared" si="1680"/>
        <v>0</v>
      </c>
      <c r="AE840" s="13">
        <f t="shared" si="1680"/>
        <v>0</v>
      </c>
      <c r="AF840" s="13">
        <f t="shared" si="1680"/>
        <v>1</v>
      </c>
      <c r="AG840" s="13">
        <f t="shared" si="1680"/>
        <v>0</v>
      </c>
      <c r="AH840" s="13">
        <f t="shared" si="1680"/>
        <v>0</v>
      </c>
      <c r="AI840" s="13">
        <f t="shared" si="1680"/>
        <v>0</v>
      </c>
      <c r="AJ840" s="13">
        <f t="shared" si="1680"/>
        <v>0</v>
      </c>
      <c r="AK840" s="13">
        <f t="shared" si="1680"/>
        <v>0</v>
      </c>
      <c r="AL840" s="13">
        <f t="shared" si="1680"/>
        <v>0</v>
      </c>
      <c r="AM840" s="13">
        <f t="shared" si="1680"/>
        <v>0</v>
      </c>
      <c r="AN840" s="13">
        <f t="shared" si="1680"/>
        <v>1</v>
      </c>
      <c r="AO840" s="13">
        <f t="shared" si="1680"/>
        <v>0</v>
      </c>
      <c r="AP840" s="13">
        <f t="shared" si="1680"/>
        <v>0</v>
      </c>
      <c r="AQ840" s="13"/>
      <c r="AR840" s="13" t="s">
        <v>5119</v>
      </c>
      <c r="AS840" s="13" t="s">
        <v>5120</v>
      </c>
      <c r="AT840" s="13" t="s">
        <v>162</v>
      </c>
      <c r="AU840" s="13" t="s">
        <v>5121</v>
      </c>
      <c r="AV840" s="13" t="s">
        <v>270</v>
      </c>
      <c r="AW840" s="13">
        <v>11.0</v>
      </c>
      <c r="AX840" s="13">
        <v>15.0</v>
      </c>
      <c r="AY840" s="13">
        <v>0.0</v>
      </c>
      <c r="AZ840" s="13" t="s">
        <v>694</v>
      </c>
      <c r="BA840" s="13" t="s">
        <v>2972</v>
      </c>
      <c r="BB840" s="13"/>
      <c r="BC840" s="13"/>
      <c r="BD840" s="13" t="s">
        <v>230</v>
      </c>
      <c r="BE840" s="13"/>
      <c r="BF840" s="13" t="s">
        <v>2812</v>
      </c>
      <c r="BG840" s="13" t="s">
        <v>50</v>
      </c>
      <c r="BH840" s="13" t="s">
        <v>79</v>
      </c>
      <c r="BI840" s="13" t="b">
        <v>0</v>
      </c>
      <c r="BJ840" s="13">
        <v>0.0</v>
      </c>
      <c r="BK840" s="13">
        <v>0.0</v>
      </c>
    </row>
    <row r="841" ht="14.25" customHeight="1">
      <c r="A841" s="13">
        <v>839.0</v>
      </c>
      <c r="B841" s="13" t="s">
        <v>44</v>
      </c>
      <c r="C841" s="13">
        <v>2.0</v>
      </c>
      <c r="D841" s="14">
        <v>0.0</v>
      </c>
      <c r="E841" s="13" t="s">
        <v>5122</v>
      </c>
      <c r="F841" s="15" t="s">
        <v>496</v>
      </c>
      <c r="G841" s="16" t="s">
        <v>5123</v>
      </c>
      <c r="H841" s="13"/>
      <c r="I841" s="13">
        <v>1.1</v>
      </c>
      <c r="J841" s="13" t="s">
        <v>2243</v>
      </c>
      <c r="K841" s="13">
        <f t="shared" si="3"/>
        <v>0</v>
      </c>
      <c r="L841" s="13">
        <f t="shared" si="4"/>
        <v>3</v>
      </c>
      <c r="M841" s="13">
        <f t="shared" ref="M841:AA841" si="1681">IFERROR(VALUE(RIGHT(LEFT($J841,FIND(M$1,$J841,1)+LEN(M$1)),1)),0)</f>
        <v>0</v>
      </c>
      <c r="N841" s="13">
        <f t="shared" si="1681"/>
        <v>0</v>
      </c>
      <c r="O841" s="13">
        <f t="shared" si="1681"/>
        <v>0</v>
      </c>
      <c r="P841" s="13">
        <f t="shared" si="1681"/>
        <v>0</v>
      </c>
      <c r="Q841" s="13">
        <f t="shared" si="1681"/>
        <v>0</v>
      </c>
      <c r="R841" s="13">
        <f t="shared" si="1681"/>
        <v>0</v>
      </c>
      <c r="S841" s="13">
        <f t="shared" si="1681"/>
        <v>0</v>
      </c>
      <c r="T841" s="13">
        <f t="shared" si="1681"/>
        <v>0</v>
      </c>
      <c r="U841" s="13">
        <f t="shared" si="1681"/>
        <v>0</v>
      </c>
      <c r="V841" s="13">
        <f t="shared" si="1681"/>
        <v>0</v>
      </c>
      <c r="W841" s="13">
        <f t="shared" si="1681"/>
        <v>0</v>
      </c>
      <c r="X841" s="13">
        <f t="shared" si="1681"/>
        <v>0</v>
      </c>
      <c r="Y841" s="13">
        <f t="shared" si="1681"/>
        <v>0</v>
      </c>
      <c r="Z841" s="13">
        <f t="shared" si="1681"/>
        <v>0</v>
      </c>
      <c r="AA841" s="13">
        <f t="shared" si="1681"/>
        <v>0</v>
      </c>
      <c r="AB841" s="13">
        <f t="shared" ref="AB841:AP841" si="1682">IFERROR(VALUE(RIGHT(LEFT($J841,FIND(AB$1,$J841,IF(M841=0,1,FIND(AB$1,$J841,1)+1))+LEN(AB$1)),1)),0)</f>
        <v>0</v>
      </c>
      <c r="AC841" s="13">
        <f t="shared" si="1682"/>
        <v>0</v>
      </c>
      <c r="AD841" s="13">
        <f t="shared" si="1682"/>
        <v>0</v>
      </c>
      <c r="AE841" s="13">
        <f t="shared" si="1682"/>
        <v>0</v>
      </c>
      <c r="AF841" s="13">
        <f t="shared" si="1682"/>
        <v>1</v>
      </c>
      <c r="AG841" s="13">
        <f t="shared" si="1682"/>
        <v>0</v>
      </c>
      <c r="AH841" s="13">
        <f t="shared" si="1682"/>
        <v>2</v>
      </c>
      <c r="AI841" s="13">
        <f t="shared" si="1682"/>
        <v>0</v>
      </c>
      <c r="AJ841" s="13">
        <f t="shared" si="1682"/>
        <v>0</v>
      </c>
      <c r="AK841" s="13">
        <f t="shared" si="1682"/>
        <v>0</v>
      </c>
      <c r="AL841" s="13">
        <f t="shared" si="1682"/>
        <v>0</v>
      </c>
      <c r="AM841" s="13">
        <f t="shared" si="1682"/>
        <v>0</v>
      </c>
      <c r="AN841" s="13">
        <f t="shared" si="1682"/>
        <v>0</v>
      </c>
      <c r="AO841" s="13">
        <f t="shared" si="1682"/>
        <v>0</v>
      </c>
      <c r="AP841" s="13">
        <f t="shared" si="1682"/>
        <v>0</v>
      </c>
      <c r="AQ841" s="13" t="s">
        <v>5124</v>
      </c>
      <c r="AR841" s="13"/>
      <c r="AS841" s="13" t="s">
        <v>5125</v>
      </c>
      <c r="AT841" s="13"/>
      <c r="AU841" s="13"/>
      <c r="AV841" s="13"/>
      <c r="AW841" s="13">
        <v>0.0</v>
      </c>
      <c r="AX841" s="13">
        <v>15.0</v>
      </c>
      <c r="AY841" s="13">
        <v>0.0</v>
      </c>
      <c r="AZ841" s="13"/>
      <c r="BA841" s="13"/>
      <c r="BB841" s="13"/>
      <c r="BC841" s="13"/>
      <c r="BD841" s="13"/>
      <c r="BE841" s="13"/>
      <c r="BF841" s="13"/>
      <c r="BG841" s="13"/>
      <c r="BH841" s="13" t="s">
        <v>79</v>
      </c>
      <c r="BI841" s="13" t="b">
        <v>0</v>
      </c>
      <c r="BJ841" s="13">
        <v>0.0</v>
      </c>
      <c r="BK841" s="13">
        <v>0.0</v>
      </c>
    </row>
    <row r="842" ht="14.25" customHeight="1">
      <c r="A842" s="13">
        <v>840.0</v>
      </c>
      <c r="B842" s="13" t="s">
        <v>45</v>
      </c>
      <c r="C842" s="13">
        <v>2.0</v>
      </c>
      <c r="D842" s="14">
        <v>0.0</v>
      </c>
      <c r="E842" s="13" t="s">
        <v>5126</v>
      </c>
      <c r="F842" s="15" t="s">
        <v>496</v>
      </c>
      <c r="G842" s="16" t="s">
        <v>5127</v>
      </c>
      <c r="H842" s="13"/>
      <c r="I842" s="13">
        <v>1.0</v>
      </c>
      <c r="J842" s="13" t="s">
        <v>978</v>
      </c>
      <c r="K842" s="13">
        <f t="shared" si="3"/>
        <v>0</v>
      </c>
      <c r="L842" s="13">
        <f t="shared" si="4"/>
        <v>3</v>
      </c>
      <c r="M842" s="13">
        <f t="shared" ref="M842:AA842" si="1683">IFERROR(VALUE(RIGHT(LEFT($J842,FIND(M$1,$J842,1)+LEN(M$1)),1)),0)</f>
        <v>0</v>
      </c>
      <c r="N842" s="13">
        <f t="shared" si="1683"/>
        <v>0</v>
      </c>
      <c r="O842" s="13">
        <f t="shared" si="1683"/>
        <v>0</v>
      </c>
      <c r="P842" s="13">
        <f t="shared" si="1683"/>
        <v>0</v>
      </c>
      <c r="Q842" s="13">
        <f t="shared" si="1683"/>
        <v>0</v>
      </c>
      <c r="R842" s="13">
        <f t="shared" si="1683"/>
        <v>0</v>
      </c>
      <c r="S842" s="13">
        <f t="shared" si="1683"/>
        <v>0</v>
      </c>
      <c r="T842" s="13">
        <f t="shared" si="1683"/>
        <v>0</v>
      </c>
      <c r="U842" s="13">
        <f t="shared" si="1683"/>
        <v>0</v>
      </c>
      <c r="V842" s="13">
        <f t="shared" si="1683"/>
        <v>0</v>
      </c>
      <c r="W842" s="13">
        <f t="shared" si="1683"/>
        <v>0</v>
      </c>
      <c r="X842" s="13">
        <f t="shared" si="1683"/>
        <v>0</v>
      </c>
      <c r="Y842" s="13">
        <f t="shared" si="1683"/>
        <v>0</v>
      </c>
      <c r="Z842" s="13">
        <f t="shared" si="1683"/>
        <v>0</v>
      </c>
      <c r="AA842" s="13">
        <f t="shared" si="1683"/>
        <v>0</v>
      </c>
      <c r="AB842" s="13">
        <f t="shared" ref="AB842:AP842" si="1684">IFERROR(VALUE(RIGHT(LEFT($J842,FIND(AB$1,$J842,IF(M842=0,1,FIND(AB$1,$J842,1)+1))+LEN(AB$1)),1)),0)</f>
        <v>0</v>
      </c>
      <c r="AC842" s="13">
        <f t="shared" si="1684"/>
        <v>1</v>
      </c>
      <c r="AD842" s="13">
        <f t="shared" si="1684"/>
        <v>0</v>
      </c>
      <c r="AE842" s="13">
        <f t="shared" si="1684"/>
        <v>0</v>
      </c>
      <c r="AF842" s="13">
        <f t="shared" si="1684"/>
        <v>0</v>
      </c>
      <c r="AG842" s="13">
        <f t="shared" si="1684"/>
        <v>0</v>
      </c>
      <c r="AH842" s="13">
        <f t="shared" si="1684"/>
        <v>0</v>
      </c>
      <c r="AI842" s="13">
        <f t="shared" si="1684"/>
        <v>2</v>
      </c>
      <c r="AJ842" s="13">
        <f t="shared" si="1684"/>
        <v>0</v>
      </c>
      <c r="AK842" s="13">
        <f t="shared" si="1684"/>
        <v>0</v>
      </c>
      <c r="AL842" s="13">
        <f t="shared" si="1684"/>
        <v>0</v>
      </c>
      <c r="AM842" s="13">
        <f t="shared" si="1684"/>
        <v>0</v>
      </c>
      <c r="AN842" s="13">
        <f t="shared" si="1684"/>
        <v>0</v>
      </c>
      <c r="AO842" s="13">
        <f t="shared" si="1684"/>
        <v>0</v>
      </c>
      <c r="AP842" s="13">
        <f t="shared" si="1684"/>
        <v>0</v>
      </c>
      <c r="AQ842" s="13" t="s">
        <v>5128</v>
      </c>
      <c r="AR842" s="13"/>
      <c r="AS842" s="13" t="s">
        <v>1018</v>
      </c>
      <c r="AT842" s="13"/>
      <c r="AU842" s="13"/>
      <c r="AV842" s="13"/>
      <c r="AW842" s="13">
        <v>0.0</v>
      </c>
      <c r="AX842" s="13">
        <v>15.0</v>
      </c>
      <c r="AY842" s="13">
        <v>0.0</v>
      </c>
      <c r="AZ842" s="13"/>
      <c r="BA842" s="13"/>
      <c r="BB842" s="13"/>
      <c r="BC842" s="13"/>
      <c r="BD842" s="13"/>
      <c r="BE842" s="13"/>
      <c r="BF842" s="13"/>
      <c r="BG842" s="13"/>
      <c r="BH842" s="13" t="s">
        <v>79</v>
      </c>
      <c r="BI842" s="13" t="b">
        <v>0</v>
      </c>
      <c r="BJ842" s="13">
        <v>0.0</v>
      </c>
      <c r="BK842" s="13">
        <v>0.0</v>
      </c>
    </row>
    <row r="843" ht="14.25" customHeight="1">
      <c r="A843" s="13">
        <v>841.0</v>
      </c>
      <c r="B843" s="13" t="s">
        <v>46</v>
      </c>
      <c r="C843" s="13">
        <v>2.0</v>
      </c>
      <c r="D843" s="14">
        <v>0.0</v>
      </c>
      <c r="E843" s="13" t="s">
        <v>5129</v>
      </c>
      <c r="F843" s="15" t="s">
        <v>496</v>
      </c>
      <c r="G843" s="16" t="s">
        <v>5130</v>
      </c>
      <c r="H843" s="13"/>
      <c r="I843" s="13">
        <v>1.0</v>
      </c>
      <c r="J843" s="13" t="s">
        <v>1041</v>
      </c>
      <c r="K843" s="13">
        <f t="shared" si="3"/>
        <v>0</v>
      </c>
      <c r="L843" s="13">
        <f t="shared" si="4"/>
        <v>3</v>
      </c>
      <c r="M843" s="13">
        <f t="shared" ref="M843:AA843" si="1685">IFERROR(VALUE(RIGHT(LEFT($J843,FIND(M$1,$J843,1)+LEN(M$1)),1)),0)</f>
        <v>0</v>
      </c>
      <c r="N843" s="13">
        <f t="shared" si="1685"/>
        <v>0</v>
      </c>
      <c r="O843" s="13">
        <f t="shared" si="1685"/>
        <v>0</v>
      </c>
      <c r="P843" s="13">
        <f t="shared" si="1685"/>
        <v>0</v>
      </c>
      <c r="Q843" s="13">
        <f t="shared" si="1685"/>
        <v>0</v>
      </c>
      <c r="R843" s="13">
        <f t="shared" si="1685"/>
        <v>0</v>
      </c>
      <c r="S843" s="13">
        <f t="shared" si="1685"/>
        <v>0</v>
      </c>
      <c r="T843" s="13">
        <f t="shared" si="1685"/>
        <v>0</v>
      </c>
      <c r="U843" s="13">
        <f t="shared" si="1685"/>
        <v>0</v>
      </c>
      <c r="V843" s="13">
        <f t="shared" si="1685"/>
        <v>0</v>
      </c>
      <c r="W843" s="13">
        <f t="shared" si="1685"/>
        <v>0</v>
      </c>
      <c r="X843" s="13">
        <f t="shared" si="1685"/>
        <v>0</v>
      </c>
      <c r="Y843" s="13">
        <f t="shared" si="1685"/>
        <v>0</v>
      </c>
      <c r="Z843" s="13">
        <f t="shared" si="1685"/>
        <v>0</v>
      </c>
      <c r="AA843" s="13">
        <f t="shared" si="1685"/>
        <v>0</v>
      </c>
      <c r="AB843" s="13">
        <f t="shared" ref="AB843:AP843" si="1686">IFERROR(VALUE(RIGHT(LEFT($J843,FIND(AB$1,$J843,IF(M843=0,1,FIND(AB$1,$J843,1)+1))+LEN(AB$1)),1)),0)</f>
        <v>0</v>
      </c>
      <c r="AC843" s="13">
        <f t="shared" si="1686"/>
        <v>0</v>
      </c>
      <c r="AD843" s="13">
        <f t="shared" si="1686"/>
        <v>0</v>
      </c>
      <c r="AE843" s="13">
        <f t="shared" si="1686"/>
        <v>1</v>
      </c>
      <c r="AF843" s="13">
        <f t="shared" si="1686"/>
        <v>0</v>
      </c>
      <c r="AG843" s="13">
        <f t="shared" si="1686"/>
        <v>0</v>
      </c>
      <c r="AH843" s="13">
        <f t="shared" si="1686"/>
        <v>0</v>
      </c>
      <c r="AI843" s="13">
        <f t="shared" si="1686"/>
        <v>0</v>
      </c>
      <c r="AJ843" s="13">
        <f t="shared" si="1686"/>
        <v>2</v>
      </c>
      <c r="AK843" s="13">
        <f t="shared" si="1686"/>
        <v>0</v>
      </c>
      <c r="AL843" s="13">
        <f t="shared" si="1686"/>
        <v>0</v>
      </c>
      <c r="AM843" s="13">
        <f t="shared" si="1686"/>
        <v>0</v>
      </c>
      <c r="AN843" s="13">
        <f t="shared" si="1686"/>
        <v>0</v>
      </c>
      <c r="AO843" s="13">
        <f t="shared" si="1686"/>
        <v>0</v>
      </c>
      <c r="AP843" s="13">
        <f t="shared" si="1686"/>
        <v>0</v>
      </c>
      <c r="AQ843" s="13" t="s">
        <v>5131</v>
      </c>
      <c r="AR843" s="13"/>
      <c r="AS843" s="13" t="s">
        <v>2253</v>
      </c>
      <c r="AT843" s="13"/>
      <c r="AU843" s="13"/>
      <c r="AV843" s="13"/>
      <c r="AW843" s="13">
        <v>0.0</v>
      </c>
      <c r="AX843" s="13">
        <v>15.0</v>
      </c>
      <c r="AY843" s="13">
        <v>0.0</v>
      </c>
      <c r="AZ843" s="13"/>
      <c r="BA843" s="13"/>
      <c r="BB843" s="13"/>
      <c r="BC843" s="13"/>
      <c r="BD843" s="13"/>
      <c r="BE843" s="13"/>
      <c r="BF843" s="13"/>
      <c r="BG843" s="13"/>
      <c r="BH843" s="13" t="s">
        <v>79</v>
      </c>
      <c r="BI843" s="13" t="b">
        <v>0</v>
      </c>
      <c r="BJ843" s="13">
        <v>0.0</v>
      </c>
      <c r="BK843" s="13">
        <v>0.0</v>
      </c>
    </row>
    <row r="844" ht="14.25" customHeight="1">
      <c r="A844" s="13">
        <v>842.0</v>
      </c>
      <c r="B844" s="13" t="s">
        <v>51</v>
      </c>
      <c r="C844" s="13">
        <v>2.0</v>
      </c>
      <c r="D844" s="14">
        <v>0.0</v>
      </c>
      <c r="E844" s="13" t="s">
        <v>5132</v>
      </c>
      <c r="F844" s="15" t="s">
        <v>496</v>
      </c>
      <c r="G844" s="16" t="s">
        <v>5133</v>
      </c>
      <c r="H844" s="13">
        <v>15.0</v>
      </c>
      <c r="I844" s="13">
        <v>1.0</v>
      </c>
      <c r="J844" s="13" t="s">
        <v>820</v>
      </c>
      <c r="K844" s="13">
        <f t="shared" si="3"/>
        <v>0</v>
      </c>
      <c r="L844" s="13">
        <f t="shared" si="4"/>
        <v>3</v>
      </c>
      <c r="M844" s="13">
        <f t="shared" ref="M844:AA844" si="1687">IFERROR(VALUE(RIGHT(LEFT($J844,FIND(M$1,$J844,1)+LEN(M$1)),1)),0)</f>
        <v>0</v>
      </c>
      <c r="N844" s="13">
        <f t="shared" si="1687"/>
        <v>0</v>
      </c>
      <c r="O844" s="13">
        <f t="shared" si="1687"/>
        <v>0</v>
      </c>
      <c r="P844" s="13">
        <f t="shared" si="1687"/>
        <v>0</v>
      </c>
      <c r="Q844" s="13">
        <f t="shared" si="1687"/>
        <v>0</v>
      </c>
      <c r="R844" s="13">
        <f t="shared" si="1687"/>
        <v>0</v>
      </c>
      <c r="S844" s="13">
        <f t="shared" si="1687"/>
        <v>0</v>
      </c>
      <c r="T844" s="13">
        <f t="shared" si="1687"/>
        <v>0</v>
      </c>
      <c r="U844" s="13">
        <f t="shared" si="1687"/>
        <v>0</v>
      </c>
      <c r="V844" s="13">
        <f t="shared" si="1687"/>
        <v>0</v>
      </c>
      <c r="W844" s="13">
        <f t="shared" si="1687"/>
        <v>0</v>
      </c>
      <c r="X844" s="13">
        <f t="shared" si="1687"/>
        <v>0</v>
      </c>
      <c r="Y844" s="13">
        <f t="shared" si="1687"/>
        <v>0</v>
      </c>
      <c r="Z844" s="13">
        <f t="shared" si="1687"/>
        <v>0</v>
      </c>
      <c r="AA844" s="13">
        <f t="shared" si="1687"/>
        <v>0</v>
      </c>
      <c r="AB844" s="13">
        <f t="shared" ref="AB844:AP844" si="1688">IFERROR(VALUE(RIGHT(LEFT($J844,FIND(AB$1,$J844,IF(M844=0,1,FIND(AB$1,$J844,1)+1))+LEN(AB$1)),1)),0)</f>
        <v>0</v>
      </c>
      <c r="AC844" s="13">
        <f t="shared" si="1688"/>
        <v>1</v>
      </c>
      <c r="AD844" s="13">
        <f t="shared" si="1688"/>
        <v>0</v>
      </c>
      <c r="AE844" s="13">
        <f t="shared" si="1688"/>
        <v>0</v>
      </c>
      <c r="AF844" s="13">
        <f t="shared" si="1688"/>
        <v>0</v>
      </c>
      <c r="AG844" s="13">
        <f t="shared" si="1688"/>
        <v>0</v>
      </c>
      <c r="AH844" s="13">
        <f t="shared" si="1688"/>
        <v>0</v>
      </c>
      <c r="AI844" s="13">
        <f t="shared" si="1688"/>
        <v>0</v>
      </c>
      <c r="AJ844" s="13">
        <f t="shared" si="1688"/>
        <v>0</v>
      </c>
      <c r="AK844" s="13">
        <f t="shared" si="1688"/>
        <v>0</v>
      </c>
      <c r="AL844" s="13">
        <f t="shared" si="1688"/>
        <v>0</v>
      </c>
      <c r="AM844" s="13">
        <f t="shared" si="1688"/>
        <v>0</v>
      </c>
      <c r="AN844" s="13">
        <f t="shared" si="1688"/>
        <v>0</v>
      </c>
      <c r="AO844" s="13">
        <f t="shared" si="1688"/>
        <v>2</v>
      </c>
      <c r="AP844" s="13">
        <f t="shared" si="1688"/>
        <v>0</v>
      </c>
      <c r="AQ844" s="13"/>
      <c r="AR844" s="13" t="s">
        <v>5134</v>
      </c>
      <c r="AS844" s="13" t="s">
        <v>5135</v>
      </c>
      <c r="AT844" s="13" t="s">
        <v>1263</v>
      </c>
      <c r="AU844" s="13" t="s">
        <v>4521</v>
      </c>
      <c r="AV844" s="13" t="s">
        <v>5136</v>
      </c>
      <c r="AW844" s="13">
        <v>14.0</v>
      </c>
      <c r="AX844" s="13">
        <v>15.0</v>
      </c>
      <c r="AY844" s="13">
        <v>0.0</v>
      </c>
      <c r="AZ844" s="13" t="s">
        <v>5137</v>
      </c>
      <c r="BA844" s="13" t="s">
        <v>3072</v>
      </c>
      <c r="BB844" s="13"/>
      <c r="BC844" s="13"/>
      <c r="BD844" s="13" t="s">
        <v>776</v>
      </c>
      <c r="BE844" s="13"/>
      <c r="BF844" s="13" t="s">
        <v>1420</v>
      </c>
      <c r="BG844" s="13" t="s">
        <v>263</v>
      </c>
      <c r="BH844" s="13" t="s">
        <v>79</v>
      </c>
      <c r="BI844" s="13" t="b">
        <v>0</v>
      </c>
      <c r="BJ844" s="13">
        <v>0.0</v>
      </c>
      <c r="BK844" s="13">
        <v>0.0</v>
      </c>
    </row>
    <row r="845" ht="14.25" customHeight="1">
      <c r="A845" s="13">
        <v>843.0</v>
      </c>
      <c r="B845" s="13" t="s">
        <v>51</v>
      </c>
      <c r="C845" s="13">
        <v>2.0</v>
      </c>
      <c r="D845" s="14">
        <v>0.0</v>
      </c>
      <c r="E845" s="13" t="s">
        <v>5138</v>
      </c>
      <c r="F845" s="15" t="s">
        <v>496</v>
      </c>
      <c r="G845" s="16" t="s">
        <v>5139</v>
      </c>
      <c r="H845" s="13">
        <v>16.0</v>
      </c>
      <c r="I845" s="13">
        <v>1.0</v>
      </c>
      <c r="J845" s="13" t="s">
        <v>4052</v>
      </c>
      <c r="K845" s="13">
        <f t="shared" si="3"/>
        <v>0</v>
      </c>
      <c r="L845" s="13">
        <f t="shared" si="4"/>
        <v>3</v>
      </c>
      <c r="M845" s="13">
        <f t="shared" ref="M845:AA845" si="1689">IFERROR(VALUE(RIGHT(LEFT($J845,FIND(M$1,$J845,1)+LEN(M$1)),1)),0)</f>
        <v>0</v>
      </c>
      <c r="N845" s="13">
        <f t="shared" si="1689"/>
        <v>0</v>
      </c>
      <c r="O845" s="13">
        <f t="shared" si="1689"/>
        <v>0</v>
      </c>
      <c r="P845" s="13">
        <f t="shared" si="1689"/>
        <v>0</v>
      </c>
      <c r="Q845" s="13">
        <f t="shared" si="1689"/>
        <v>0</v>
      </c>
      <c r="R845" s="13">
        <f t="shared" si="1689"/>
        <v>0</v>
      </c>
      <c r="S845" s="13">
        <f t="shared" si="1689"/>
        <v>0</v>
      </c>
      <c r="T845" s="13">
        <f t="shared" si="1689"/>
        <v>0</v>
      </c>
      <c r="U845" s="13">
        <f t="shared" si="1689"/>
        <v>0</v>
      </c>
      <c r="V845" s="13">
        <f t="shared" si="1689"/>
        <v>0</v>
      </c>
      <c r="W845" s="13">
        <f t="shared" si="1689"/>
        <v>0</v>
      </c>
      <c r="X845" s="13">
        <f t="shared" si="1689"/>
        <v>0</v>
      </c>
      <c r="Y845" s="13">
        <f t="shared" si="1689"/>
        <v>0</v>
      </c>
      <c r="Z845" s="13">
        <f t="shared" si="1689"/>
        <v>0</v>
      </c>
      <c r="AA845" s="13">
        <f t="shared" si="1689"/>
        <v>0</v>
      </c>
      <c r="AB845" s="13">
        <f t="shared" ref="AB845:AP845" si="1690">IFERROR(VALUE(RIGHT(LEFT($J845,FIND(AB$1,$J845,IF(M845=0,1,FIND(AB$1,$J845,1)+1))+LEN(AB$1)),1)),0)</f>
        <v>0</v>
      </c>
      <c r="AC845" s="13">
        <f t="shared" si="1690"/>
        <v>0</v>
      </c>
      <c r="AD845" s="13">
        <f t="shared" si="1690"/>
        <v>0</v>
      </c>
      <c r="AE845" s="13">
        <f t="shared" si="1690"/>
        <v>2</v>
      </c>
      <c r="AF845" s="13">
        <f t="shared" si="1690"/>
        <v>0</v>
      </c>
      <c r="AG845" s="13">
        <f t="shared" si="1690"/>
        <v>0</v>
      </c>
      <c r="AH845" s="13">
        <f t="shared" si="1690"/>
        <v>0</v>
      </c>
      <c r="AI845" s="13">
        <f t="shared" si="1690"/>
        <v>0</v>
      </c>
      <c r="AJ845" s="13">
        <f t="shared" si="1690"/>
        <v>0</v>
      </c>
      <c r="AK845" s="13">
        <f t="shared" si="1690"/>
        <v>0</v>
      </c>
      <c r="AL845" s="13">
        <f t="shared" si="1690"/>
        <v>0</v>
      </c>
      <c r="AM845" s="13">
        <f t="shared" si="1690"/>
        <v>0</v>
      </c>
      <c r="AN845" s="13">
        <f t="shared" si="1690"/>
        <v>0</v>
      </c>
      <c r="AO845" s="13">
        <f t="shared" si="1690"/>
        <v>1</v>
      </c>
      <c r="AP845" s="13">
        <f t="shared" si="1690"/>
        <v>0</v>
      </c>
      <c r="AQ845" s="13"/>
      <c r="AR845" s="13" t="s">
        <v>5140</v>
      </c>
      <c r="AS845" s="13" t="s">
        <v>5141</v>
      </c>
      <c r="AT845" s="13" t="s">
        <v>142</v>
      </c>
      <c r="AU845" s="13" t="s">
        <v>143</v>
      </c>
      <c r="AV845" s="13" t="s">
        <v>5142</v>
      </c>
      <c r="AW845" s="13">
        <v>17.0</v>
      </c>
      <c r="AX845" s="13">
        <v>15.0</v>
      </c>
      <c r="AY845" s="13">
        <v>0.0</v>
      </c>
      <c r="AZ845" s="13" t="s">
        <v>1419</v>
      </c>
      <c r="BA845" s="13" t="s">
        <v>625</v>
      </c>
      <c r="BB845" s="13"/>
      <c r="BC845" s="13"/>
      <c r="BD845" s="13" t="s">
        <v>810</v>
      </c>
      <c r="BE845" s="13"/>
      <c r="BF845" s="13" t="s">
        <v>2514</v>
      </c>
      <c r="BG845" s="13"/>
      <c r="BH845" s="13" t="s">
        <v>79</v>
      </c>
      <c r="BI845" s="13" t="b">
        <v>0</v>
      </c>
      <c r="BJ845" s="13">
        <v>0.0</v>
      </c>
      <c r="BK845" s="13">
        <v>0.0</v>
      </c>
    </row>
    <row r="846" ht="14.25" customHeight="1">
      <c r="A846" s="13">
        <v>844.0</v>
      </c>
      <c r="B846" s="13" t="s">
        <v>50</v>
      </c>
      <c r="C846" s="13">
        <v>2.0</v>
      </c>
      <c r="D846" s="14">
        <v>0.0</v>
      </c>
      <c r="E846" s="13" t="s">
        <v>5143</v>
      </c>
      <c r="F846" s="15" t="s">
        <v>496</v>
      </c>
      <c r="G846" s="16" t="s">
        <v>5144</v>
      </c>
      <c r="H846" s="13">
        <v>17.0</v>
      </c>
      <c r="I846" s="13">
        <v>1.1</v>
      </c>
      <c r="J846" s="13" t="s">
        <v>1338</v>
      </c>
      <c r="K846" s="13">
        <f t="shared" si="3"/>
        <v>0</v>
      </c>
      <c r="L846" s="13">
        <f t="shared" si="4"/>
        <v>3</v>
      </c>
      <c r="M846" s="13">
        <f t="shared" ref="M846:AA846" si="1691">IFERROR(VALUE(RIGHT(LEFT($J846,FIND(M$1,$J846,1)+LEN(M$1)),1)),0)</f>
        <v>0</v>
      </c>
      <c r="N846" s="13">
        <f t="shared" si="1691"/>
        <v>0</v>
      </c>
      <c r="O846" s="13">
        <f t="shared" si="1691"/>
        <v>0</v>
      </c>
      <c r="P846" s="13">
        <f t="shared" si="1691"/>
        <v>0</v>
      </c>
      <c r="Q846" s="13">
        <f t="shared" si="1691"/>
        <v>0</v>
      </c>
      <c r="R846" s="13">
        <f t="shared" si="1691"/>
        <v>0</v>
      </c>
      <c r="S846" s="13">
        <f t="shared" si="1691"/>
        <v>0</v>
      </c>
      <c r="T846" s="13">
        <f t="shared" si="1691"/>
        <v>0</v>
      </c>
      <c r="U846" s="13">
        <f t="shared" si="1691"/>
        <v>0</v>
      </c>
      <c r="V846" s="13">
        <f t="shared" si="1691"/>
        <v>0</v>
      </c>
      <c r="W846" s="13">
        <f t="shared" si="1691"/>
        <v>0</v>
      </c>
      <c r="X846" s="13">
        <f t="shared" si="1691"/>
        <v>0</v>
      </c>
      <c r="Y846" s="13">
        <f t="shared" si="1691"/>
        <v>0</v>
      </c>
      <c r="Z846" s="13">
        <f t="shared" si="1691"/>
        <v>0</v>
      </c>
      <c r="AA846" s="13">
        <f t="shared" si="1691"/>
        <v>0</v>
      </c>
      <c r="AB846" s="13">
        <f t="shared" ref="AB846:AP846" si="1692">IFERROR(VALUE(RIGHT(LEFT($J846,FIND(AB$1,$J846,IF(M846=0,1,FIND(AB$1,$J846,1)+1))+LEN(AB$1)),1)),0)</f>
        <v>0</v>
      </c>
      <c r="AC846" s="13">
        <f t="shared" si="1692"/>
        <v>0</v>
      </c>
      <c r="AD846" s="13">
        <f t="shared" si="1692"/>
        <v>0</v>
      </c>
      <c r="AE846" s="13">
        <f t="shared" si="1692"/>
        <v>0</v>
      </c>
      <c r="AF846" s="13">
        <f t="shared" si="1692"/>
        <v>1</v>
      </c>
      <c r="AG846" s="13">
        <f t="shared" si="1692"/>
        <v>0</v>
      </c>
      <c r="AH846" s="13">
        <f t="shared" si="1692"/>
        <v>0</v>
      </c>
      <c r="AI846" s="13">
        <f t="shared" si="1692"/>
        <v>0</v>
      </c>
      <c r="AJ846" s="13">
        <f t="shared" si="1692"/>
        <v>0</v>
      </c>
      <c r="AK846" s="13">
        <f t="shared" si="1692"/>
        <v>0</v>
      </c>
      <c r="AL846" s="13">
        <f t="shared" si="1692"/>
        <v>0</v>
      </c>
      <c r="AM846" s="13">
        <f t="shared" si="1692"/>
        <v>0</v>
      </c>
      <c r="AN846" s="13">
        <f t="shared" si="1692"/>
        <v>2</v>
      </c>
      <c r="AO846" s="13">
        <f t="shared" si="1692"/>
        <v>0</v>
      </c>
      <c r="AP846" s="13">
        <f t="shared" si="1692"/>
        <v>0</v>
      </c>
      <c r="AQ846" s="13"/>
      <c r="AR846" s="13" t="s">
        <v>5145</v>
      </c>
      <c r="AS846" s="13" t="s">
        <v>5146</v>
      </c>
      <c r="AT846" s="13" t="s">
        <v>162</v>
      </c>
      <c r="AU846" s="13" t="s">
        <v>163</v>
      </c>
      <c r="AV846" s="13" t="s">
        <v>5147</v>
      </c>
      <c r="AW846" s="13">
        <v>18.0</v>
      </c>
      <c r="AX846" s="13">
        <v>15.0</v>
      </c>
      <c r="AY846" s="13">
        <v>0.0</v>
      </c>
      <c r="AZ846" s="13" t="s">
        <v>4297</v>
      </c>
      <c r="BA846" s="13" t="s">
        <v>5148</v>
      </c>
      <c r="BB846" s="13"/>
      <c r="BC846" s="13"/>
      <c r="BD846" s="13" t="s">
        <v>239</v>
      </c>
      <c r="BE846" s="13"/>
      <c r="BF846" s="13" t="s">
        <v>1392</v>
      </c>
      <c r="BG846" s="13" t="s">
        <v>50</v>
      </c>
      <c r="BH846" s="13" t="s">
        <v>241</v>
      </c>
      <c r="BI846" s="13" t="b">
        <v>0</v>
      </c>
      <c r="BJ846" s="13">
        <v>0.0</v>
      </c>
      <c r="BK846" s="13">
        <v>0.0</v>
      </c>
    </row>
    <row r="847" ht="14.25" customHeight="1">
      <c r="A847" s="13">
        <v>845.0</v>
      </c>
      <c r="B847" s="13" t="s">
        <v>44</v>
      </c>
      <c r="C847" s="13">
        <v>3.0</v>
      </c>
      <c r="D847" s="14">
        <v>0.0</v>
      </c>
      <c r="E847" s="13" t="s">
        <v>5149</v>
      </c>
      <c r="F847" s="15" t="s">
        <v>496</v>
      </c>
      <c r="G847" s="16" t="s">
        <v>5150</v>
      </c>
      <c r="H847" s="13"/>
      <c r="I847" s="13">
        <v>1.0</v>
      </c>
      <c r="J847" s="13" t="s">
        <v>2272</v>
      </c>
      <c r="K847" s="13">
        <f t="shared" si="3"/>
        <v>1</v>
      </c>
      <c r="L847" s="13">
        <f t="shared" si="4"/>
        <v>2</v>
      </c>
      <c r="M847" s="13">
        <f t="shared" ref="M847:AA847" si="1693">IFERROR(VALUE(RIGHT(LEFT($J847,FIND(M$1,$J847,1)+LEN(M$1)),1)),0)</f>
        <v>0</v>
      </c>
      <c r="N847" s="13">
        <f t="shared" si="1693"/>
        <v>0</v>
      </c>
      <c r="O847" s="13">
        <f t="shared" si="1693"/>
        <v>0</v>
      </c>
      <c r="P847" s="13">
        <f t="shared" si="1693"/>
        <v>0</v>
      </c>
      <c r="Q847" s="13">
        <f t="shared" si="1693"/>
        <v>0</v>
      </c>
      <c r="R847" s="13">
        <f t="shared" si="1693"/>
        <v>0</v>
      </c>
      <c r="S847" s="13">
        <f t="shared" si="1693"/>
        <v>1</v>
      </c>
      <c r="T847" s="13">
        <f t="shared" si="1693"/>
        <v>0</v>
      </c>
      <c r="U847" s="13">
        <f t="shared" si="1693"/>
        <v>0</v>
      </c>
      <c r="V847" s="13">
        <f t="shared" si="1693"/>
        <v>0</v>
      </c>
      <c r="W847" s="13">
        <f t="shared" si="1693"/>
        <v>0</v>
      </c>
      <c r="X847" s="13">
        <f t="shared" si="1693"/>
        <v>0</v>
      </c>
      <c r="Y847" s="13">
        <f t="shared" si="1693"/>
        <v>0</v>
      </c>
      <c r="Z847" s="13">
        <f t="shared" si="1693"/>
        <v>0</v>
      </c>
      <c r="AA847" s="13">
        <f t="shared" si="1693"/>
        <v>0</v>
      </c>
      <c r="AB847" s="13">
        <f t="shared" ref="AB847:AP847" si="1694">IFERROR(VALUE(RIGHT(LEFT($J847,FIND(AB$1,$J847,IF(M847=0,1,FIND(AB$1,$J847,1)+1))+LEN(AB$1)),1)),0)</f>
        <v>0</v>
      </c>
      <c r="AC847" s="13">
        <f t="shared" si="1694"/>
        <v>0</v>
      </c>
      <c r="AD847" s="13">
        <f t="shared" si="1694"/>
        <v>0</v>
      </c>
      <c r="AE847" s="13">
        <f t="shared" si="1694"/>
        <v>0</v>
      </c>
      <c r="AF847" s="13">
        <f t="shared" si="1694"/>
        <v>1</v>
      </c>
      <c r="AG847" s="13">
        <f t="shared" si="1694"/>
        <v>0</v>
      </c>
      <c r="AH847" s="13">
        <f t="shared" si="1694"/>
        <v>1</v>
      </c>
      <c r="AI847" s="13">
        <f t="shared" si="1694"/>
        <v>0</v>
      </c>
      <c r="AJ847" s="13">
        <f t="shared" si="1694"/>
        <v>0</v>
      </c>
      <c r="AK847" s="13">
        <f t="shared" si="1694"/>
        <v>0</v>
      </c>
      <c r="AL847" s="13">
        <f t="shared" si="1694"/>
        <v>0</v>
      </c>
      <c r="AM847" s="13">
        <f t="shared" si="1694"/>
        <v>0</v>
      </c>
      <c r="AN847" s="13">
        <f t="shared" si="1694"/>
        <v>0</v>
      </c>
      <c r="AO847" s="13">
        <f t="shared" si="1694"/>
        <v>0</v>
      </c>
      <c r="AP847" s="13">
        <f t="shared" si="1694"/>
        <v>0</v>
      </c>
      <c r="AQ847" s="13" t="s">
        <v>5151</v>
      </c>
      <c r="AR847" s="13"/>
      <c r="AS847" s="13" t="s">
        <v>3056</v>
      </c>
      <c r="AT847" s="13"/>
      <c r="AU847" s="13"/>
      <c r="AV847" s="13"/>
      <c r="AW847" s="13">
        <v>0.0</v>
      </c>
      <c r="AX847" s="13">
        <v>15.0</v>
      </c>
      <c r="AY847" s="13">
        <v>0.0</v>
      </c>
      <c r="AZ847" s="13"/>
      <c r="BA847" s="13"/>
      <c r="BB847" s="13"/>
      <c r="BC847" s="13"/>
      <c r="BD847" s="13"/>
      <c r="BE847" s="13"/>
      <c r="BF847" s="13"/>
      <c r="BG847" s="13"/>
      <c r="BH847" s="13" t="s">
        <v>79</v>
      </c>
      <c r="BI847" s="13" t="b">
        <v>0</v>
      </c>
      <c r="BJ847" s="13">
        <v>0.0</v>
      </c>
      <c r="BK847" s="13">
        <v>0.0</v>
      </c>
    </row>
    <row r="848" ht="14.25" customHeight="1">
      <c r="A848" s="13">
        <v>846.0</v>
      </c>
      <c r="B848" s="13" t="s">
        <v>45</v>
      </c>
      <c r="C848" s="13">
        <v>3.0</v>
      </c>
      <c r="D848" s="14">
        <v>0.0</v>
      </c>
      <c r="E848" s="13" t="s">
        <v>5152</v>
      </c>
      <c r="F848" s="15" t="s">
        <v>496</v>
      </c>
      <c r="G848" s="16" t="s">
        <v>5153</v>
      </c>
      <c r="H848" s="13"/>
      <c r="I848" s="13">
        <v>1.1</v>
      </c>
      <c r="J848" s="13" t="s">
        <v>1584</v>
      </c>
      <c r="K848" s="13">
        <f t="shared" si="3"/>
        <v>1</v>
      </c>
      <c r="L848" s="13">
        <f t="shared" si="4"/>
        <v>2</v>
      </c>
      <c r="M848" s="13">
        <f t="shared" ref="M848:AA848" si="1695">IFERROR(VALUE(RIGHT(LEFT($J848,FIND(M$1,$J848,1)+LEN(M$1)),1)),0)</f>
        <v>0</v>
      </c>
      <c r="N848" s="13">
        <f t="shared" si="1695"/>
        <v>0</v>
      </c>
      <c r="O848" s="13">
        <f t="shared" si="1695"/>
        <v>0</v>
      </c>
      <c r="P848" s="13">
        <f t="shared" si="1695"/>
        <v>0</v>
      </c>
      <c r="Q848" s="13">
        <f t="shared" si="1695"/>
        <v>0</v>
      </c>
      <c r="R848" s="13">
        <f t="shared" si="1695"/>
        <v>0</v>
      </c>
      <c r="S848" s="13">
        <f t="shared" si="1695"/>
        <v>0</v>
      </c>
      <c r="T848" s="13">
        <f t="shared" si="1695"/>
        <v>1</v>
      </c>
      <c r="U848" s="13">
        <f t="shared" si="1695"/>
        <v>0</v>
      </c>
      <c r="V848" s="13">
        <f t="shared" si="1695"/>
        <v>0</v>
      </c>
      <c r="W848" s="13">
        <f t="shared" si="1695"/>
        <v>0</v>
      </c>
      <c r="X848" s="13">
        <f t="shared" si="1695"/>
        <v>0</v>
      </c>
      <c r="Y848" s="13">
        <f t="shared" si="1695"/>
        <v>0</v>
      </c>
      <c r="Z848" s="13">
        <f t="shared" si="1695"/>
        <v>0</v>
      </c>
      <c r="AA848" s="13">
        <f t="shared" si="1695"/>
        <v>0</v>
      </c>
      <c r="AB848" s="13">
        <f t="shared" ref="AB848:AP848" si="1696">IFERROR(VALUE(RIGHT(LEFT($J848,FIND(AB$1,$J848,IF(M848=0,1,FIND(AB$1,$J848,1)+1))+LEN(AB$1)),1)),0)</f>
        <v>0</v>
      </c>
      <c r="AC848" s="13">
        <f t="shared" si="1696"/>
        <v>1</v>
      </c>
      <c r="AD848" s="13">
        <f t="shared" si="1696"/>
        <v>0</v>
      </c>
      <c r="AE848" s="13">
        <f t="shared" si="1696"/>
        <v>0</v>
      </c>
      <c r="AF848" s="13">
        <f t="shared" si="1696"/>
        <v>0</v>
      </c>
      <c r="AG848" s="13">
        <f t="shared" si="1696"/>
        <v>0</v>
      </c>
      <c r="AH848" s="13">
        <f t="shared" si="1696"/>
        <v>0</v>
      </c>
      <c r="AI848" s="13">
        <f t="shared" si="1696"/>
        <v>1</v>
      </c>
      <c r="AJ848" s="13">
        <f t="shared" si="1696"/>
        <v>0</v>
      </c>
      <c r="AK848" s="13">
        <f t="shared" si="1696"/>
        <v>0</v>
      </c>
      <c r="AL848" s="13">
        <f t="shared" si="1696"/>
        <v>0</v>
      </c>
      <c r="AM848" s="13">
        <f t="shared" si="1696"/>
        <v>0</v>
      </c>
      <c r="AN848" s="13">
        <f t="shared" si="1696"/>
        <v>0</v>
      </c>
      <c r="AO848" s="13">
        <f t="shared" si="1696"/>
        <v>0</v>
      </c>
      <c r="AP848" s="13">
        <f t="shared" si="1696"/>
        <v>0</v>
      </c>
      <c r="AQ848" s="13" t="s">
        <v>5154</v>
      </c>
      <c r="AR848" s="13"/>
      <c r="AS848" s="13" t="s">
        <v>5155</v>
      </c>
      <c r="AT848" s="13"/>
      <c r="AU848" s="13"/>
      <c r="AV848" s="13"/>
      <c r="AW848" s="13">
        <v>0.0</v>
      </c>
      <c r="AX848" s="13">
        <v>15.0</v>
      </c>
      <c r="AY848" s="13">
        <v>0.0</v>
      </c>
      <c r="AZ848" s="13"/>
      <c r="BA848" s="13"/>
      <c r="BB848" s="13"/>
      <c r="BC848" s="13"/>
      <c r="BD848" s="13"/>
      <c r="BE848" s="13"/>
      <c r="BF848" s="13"/>
      <c r="BG848" s="13"/>
      <c r="BH848" s="13" t="s">
        <v>79</v>
      </c>
      <c r="BI848" s="13" t="b">
        <v>0</v>
      </c>
      <c r="BJ848" s="13">
        <v>0.0</v>
      </c>
      <c r="BK848" s="13">
        <v>0.0</v>
      </c>
    </row>
    <row r="849" ht="14.25" customHeight="1">
      <c r="A849" s="13">
        <v>847.0</v>
      </c>
      <c r="B849" s="13" t="s">
        <v>46</v>
      </c>
      <c r="C849" s="13">
        <v>3.0</v>
      </c>
      <c r="D849" s="14">
        <v>0.0</v>
      </c>
      <c r="E849" s="13" t="s">
        <v>5156</v>
      </c>
      <c r="F849" s="15" t="s">
        <v>496</v>
      </c>
      <c r="G849" s="16" t="s">
        <v>5157</v>
      </c>
      <c r="H849" s="13"/>
      <c r="I849" s="13">
        <v>1.1</v>
      </c>
      <c r="J849" s="13" t="s">
        <v>1619</v>
      </c>
      <c r="K849" s="13">
        <f t="shared" si="3"/>
        <v>1</v>
      </c>
      <c r="L849" s="13">
        <f t="shared" si="4"/>
        <v>2</v>
      </c>
      <c r="M849" s="13">
        <f t="shared" ref="M849:AA849" si="1697">IFERROR(VALUE(RIGHT(LEFT($J849,FIND(M$1,$J849,1)+LEN(M$1)),1)),0)</f>
        <v>0</v>
      </c>
      <c r="N849" s="13">
        <f t="shared" si="1697"/>
        <v>0</v>
      </c>
      <c r="O849" s="13">
        <f t="shared" si="1697"/>
        <v>0</v>
      </c>
      <c r="P849" s="13">
        <f t="shared" si="1697"/>
        <v>0</v>
      </c>
      <c r="Q849" s="13">
        <f t="shared" si="1697"/>
        <v>0</v>
      </c>
      <c r="R849" s="13">
        <f t="shared" si="1697"/>
        <v>0</v>
      </c>
      <c r="S849" s="13">
        <f t="shared" si="1697"/>
        <v>0</v>
      </c>
      <c r="T849" s="13">
        <f t="shared" si="1697"/>
        <v>0</v>
      </c>
      <c r="U849" s="13">
        <f t="shared" si="1697"/>
        <v>1</v>
      </c>
      <c r="V849" s="13">
        <f t="shared" si="1697"/>
        <v>0</v>
      </c>
      <c r="W849" s="13">
        <f t="shared" si="1697"/>
        <v>0</v>
      </c>
      <c r="X849" s="13">
        <f t="shared" si="1697"/>
        <v>0</v>
      </c>
      <c r="Y849" s="13">
        <f t="shared" si="1697"/>
        <v>0</v>
      </c>
      <c r="Z849" s="13">
        <f t="shared" si="1697"/>
        <v>0</v>
      </c>
      <c r="AA849" s="13">
        <f t="shared" si="1697"/>
        <v>0</v>
      </c>
      <c r="AB849" s="13">
        <f t="shared" ref="AB849:AP849" si="1698">IFERROR(VALUE(RIGHT(LEFT($J849,FIND(AB$1,$J849,IF(M849=0,1,FIND(AB$1,$J849,1)+1))+LEN(AB$1)),1)),0)</f>
        <v>0</v>
      </c>
      <c r="AC849" s="13">
        <f t="shared" si="1698"/>
        <v>0</v>
      </c>
      <c r="AD849" s="13">
        <f t="shared" si="1698"/>
        <v>0</v>
      </c>
      <c r="AE849" s="13">
        <f t="shared" si="1698"/>
        <v>1</v>
      </c>
      <c r="AF849" s="13">
        <f t="shared" si="1698"/>
        <v>0</v>
      </c>
      <c r="AG849" s="13">
        <f t="shared" si="1698"/>
        <v>0</v>
      </c>
      <c r="AH849" s="13">
        <f t="shared" si="1698"/>
        <v>0</v>
      </c>
      <c r="AI849" s="13">
        <f t="shared" si="1698"/>
        <v>0</v>
      </c>
      <c r="AJ849" s="13">
        <f t="shared" si="1698"/>
        <v>1</v>
      </c>
      <c r="AK849" s="13">
        <f t="shared" si="1698"/>
        <v>0</v>
      </c>
      <c r="AL849" s="13">
        <f t="shared" si="1698"/>
        <v>0</v>
      </c>
      <c r="AM849" s="13">
        <f t="shared" si="1698"/>
        <v>0</v>
      </c>
      <c r="AN849" s="13">
        <f t="shared" si="1698"/>
        <v>0</v>
      </c>
      <c r="AO849" s="13">
        <f t="shared" si="1698"/>
        <v>0</v>
      </c>
      <c r="AP849" s="13">
        <f t="shared" si="1698"/>
        <v>0</v>
      </c>
      <c r="AQ849" s="13" t="s">
        <v>5158</v>
      </c>
      <c r="AR849" s="13"/>
      <c r="AS849" s="13" t="s">
        <v>5159</v>
      </c>
      <c r="AT849" s="13"/>
      <c r="AU849" s="13"/>
      <c r="AV849" s="13"/>
      <c r="AW849" s="13">
        <v>0.0</v>
      </c>
      <c r="AX849" s="13">
        <v>15.0</v>
      </c>
      <c r="AY849" s="13">
        <v>0.0</v>
      </c>
      <c r="AZ849" s="13"/>
      <c r="BA849" s="13"/>
      <c r="BB849" s="13"/>
      <c r="BC849" s="13"/>
      <c r="BD849" s="13"/>
      <c r="BE849" s="13"/>
      <c r="BF849" s="13"/>
      <c r="BG849" s="13"/>
      <c r="BH849" s="13" t="s">
        <v>79</v>
      </c>
      <c r="BI849" s="13" t="b">
        <v>0</v>
      </c>
      <c r="BJ849" s="13">
        <v>0.0</v>
      </c>
      <c r="BK849" s="13">
        <v>0.0</v>
      </c>
    </row>
    <row r="850" ht="14.25" customHeight="1">
      <c r="A850" s="13">
        <v>848.0</v>
      </c>
      <c r="B850" s="13" t="s">
        <v>51</v>
      </c>
      <c r="C850" s="13">
        <v>3.0</v>
      </c>
      <c r="D850" s="14">
        <v>0.0</v>
      </c>
      <c r="E850" s="13" t="s">
        <v>5160</v>
      </c>
      <c r="F850" s="15" t="s">
        <v>496</v>
      </c>
      <c r="G850" s="16" t="s">
        <v>5161</v>
      </c>
      <c r="H850" s="13">
        <v>18.0</v>
      </c>
      <c r="I850" s="13">
        <v>1.1</v>
      </c>
      <c r="J850" s="13" t="s">
        <v>5162</v>
      </c>
      <c r="K850" s="13">
        <f t="shared" si="3"/>
        <v>1</v>
      </c>
      <c r="L850" s="13">
        <f t="shared" si="4"/>
        <v>2</v>
      </c>
      <c r="M850" s="13">
        <f t="shared" ref="M850:AA850" si="1699">IFERROR(VALUE(RIGHT(LEFT($J850,FIND(M$1,$J850,1)+LEN(M$1)),1)),0)</f>
        <v>0</v>
      </c>
      <c r="N850" s="13">
        <f t="shared" si="1699"/>
        <v>1</v>
      </c>
      <c r="O850" s="13">
        <f t="shared" si="1699"/>
        <v>0</v>
      </c>
      <c r="P850" s="13">
        <f t="shared" si="1699"/>
        <v>0</v>
      </c>
      <c r="Q850" s="13">
        <f t="shared" si="1699"/>
        <v>0</v>
      </c>
      <c r="R850" s="13">
        <f t="shared" si="1699"/>
        <v>0</v>
      </c>
      <c r="S850" s="13">
        <f t="shared" si="1699"/>
        <v>0</v>
      </c>
      <c r="T850" s="13">
        <f t="shared" si="1699"/>
        <v>0</v>
      </c>
      <c r="U850" s="13">
        <f t="shared" si="1699"/>
        <v>0</v>
      </c>
      <c r="V850" s="13">
        <f t="shared" si="1699"/>
        <v>0</v>
      </c>
      <c r="W850" s="13">
        <f t="shared" si="1699"/>
        <v>0</v>
      </c>
      <c r="X850" s="13">
        <f t="shared" si="1699"/>
        <v>0</v>
      </c>
      <c r="Y850" s="13">
        <f t="shared" si="1699"/>
        <v>0</v>
      </c>
      <c r="Z850" s="13">
        <f t="shared" si="1699"/>
        <v>0</v>
      </c>
      <c r="AA850" s="13">
        <f t="shared" si="1699"/>
        <v>0</v>
      </c>
      <c r="AB850" s="13">
        <f t="shared" ref="AB850:AP850" si="1700">IFERROR(VALUE(RIGHT(LEFT($J850,FIND(AB$1,$J850,IF(M850=0,1,FIND(AB$1,$J850,1)+1))+LEN(AB$1)),1)),0)</f>
        <v>0</v>
      </c>
      <c r="AC850" s="13">
        <f t="shared" si="1700"/>
        <v>1</v>
      </c>
      <c r="AD850" s="13">
        <f t="shared" si="1700"/>
        <v>0</v>
      </c>
      <c r="AE850" s="13">
        <f t="shared" si="1700"/>
        <v>0</v>
      </c>
      <c r="AF850" s="13">
        <f t="shared" si="1700"/>
        <v>0</v>
      </c>
      <c r="AG850" s="13">
        <f t="shared" si="1700"/>
        <v>0</v>
      </c>
      <c r="AH850" s="13">
        <f t="shared" si="1700"/>
        <v>0</v>
      </c>
      <c r="AI850" s="13">
        <f t="shared" si="1700"/>
        <v>0</v>
      </c>
      <c r="AJ850" s="13">
        <f t="shared" si="1700"/>
        <v>0</v>
      </c>
      <c r="AK850" s="13">
        <f t="shared" si="1700"/>
        <v>0</v>
      </c>
      <c r="AL850" s="13">
        <f t="shared" si="1700"/>
        <v>0</v>
      </c>
      <c r="AM850" s="13">
        <f t="shared" si="1700"/>
        <v>0</v>
      </c>
      <c r="AN850" s="13">
        <f t="shared" si="1700"/>
        <v>0</v>
      </c>
      <c r="AO850" s="13">
        <f t="shared" si="1700"/>
        <v>1</v>
      </c>
      <c r="AP850" s="13">
        <f t="shared" si="1700"/>
        <v>0</v>
      </c>
      <c r="AQ850" s="13"/>
      <c r="AR850" s="13" t="s">
        <v>5163</v>
      </c>
      <c r="AS850" s="13" t="s">
        <v>5164</v>
      </c>
      <c r="AT850" s="13" t="s">
        <v>129</v>
      </c>
      <c r="AU850" s="13" t="s">
        <v>1398</v>
      </c>
      <c r="AV850" s="13" t="s">
        <v>5165</v>
      </c>
      <c r="AW850" s="13">
        <v>19.0</v>
      </c>
      <c r="AX850" s="13">
        <v>15.0</v>
      </c>
      <c r="AY850" s="13">
        <v>0.0</v>
      </c>
      <c r="AZ850" s="13" t="s">
        <v>5166</v>
      </c>
      <c r="BA850" s="13" t="s">
        <v>4825</v>
      </c>
      <c r="BB850" s="13"/>
      <c r="BC850" s="13"/>
      <c r="BD850" s="13" t="s">
        <v>789</v>
      </c>
      <c r="BE850" s="13"/>
      <c r="BF850" s="13" t="s">
        <v>5167</v>
      </c>
      <c r="BG850" s="13" t="s">
        <v>263</v>
      </c>
      <c r="BH850" s="13" t="s">
        <v>79</v>
      </c>
      <c r="BI850" s="13" t="b">
        <v>0</v>
      </c>
      <c r="BJ850" s="13">
        <v>0.0</v>
      </c>
      <c r="BK850" s="13">
        <v>0.0</v>
      </c>
    </row>
    <row r="851" ht="14.25" customHeight="1">
      <c r="A851" s="13">
        <v>849.0</v>
      </c>
      <c r="B851" s="13" t="s">
        <v>51</v>
      </c>
      <c r="C851" s="13">
        <v>3.0</v>
      </c>
      <c r="D851" s="14">
        <v>0.0</v>
      </c>
      <c r="E851" s="13" t="s">
        <v>5168</v>
      </c>
      <c r="F851" s="15" t="s">
        <v>496</v>
      </c>
      <c r="G851" s="16" t="s">
        <v>5169</v>
      </c>
      <c r="H851" s="13">
        <v>10.0</v>
      </c>
      <c r="I851" s="13">
        <v>1.0</v>
      </c>
      <c r="J851" s="13" t="s">
        <v>1836</v>
      </c>
      <c r="K851" s="13">
        <f t="shared" si="3"/>
        <v>1</v>
      </c>
      <c r="L851" s="13">
        <f t="shared" si="4"/>
        <v>2</v>
      </c>
      <c r="M851" s="13">
        <f t="shared" ref="M851:AA851" si="1701">IFERROR(VALUE(RIGHT(LEFT($J851,FIND(M$1,$J851,1)+LEN(M$1)),1)),0)</f>
        <v>0</v>
      </c>
      <c r="N851" s="13">
        <f t="shared" si="1701"/>
        <v>0</v>
      </c>
      <c r="O851" s="13">
        <f t="shared" si="1701"/>
        <v>0</v>
      </c>
      <c r="P851" s="13">
        <f t="shared" si="1701"/>
        <v>0</v>
      </c>
      <c r="Q851" s="13">
        <f t="shared" si="1701"/>
        <v>0</v>
      </c>
      <c r="R851" s="13">
        <f t="shared" si="1701"/>
        <v>0</v>
      </c>
      <c r="S851" s="13">
        <f t="shared" si="1701"/>
        <v>0</v>
      </c>
      <c r="T851" s="13">
        <f t="shared" si="1701"/>
        <v>0</v>
      </c>
      <c r="U851" s="13">
        <f t="shared" si="1701"/>
        <v>0</v>
      </c>
      <c r="V851" s="13">
        <f t="shared" si="1701"/>
        <v>0</v>
      </c>
      <c r="W851" s="13">
        <f t="shared" si="1701"/>
        <v>0</v>
      </c>
      <c r="X851" s="13">
        <f t="shared" si="1701"/>
        <v>0</v>
      </c>
      <c r="Y851" s="13">
        <f t="shared" si="1701"/>
        <v>0</v>
      </c>
      <c r="Z851" s="13">
        <f t="shared" si="1701"/>
        <v>1</v>
      </c>
      <c r="AA851" s="13">
        <f t="shared" si="1701"/>
        <v>0</v>
      </c>
      <c r="AB851" s="13">
        <f t="shared" ref="AB851:AP851" si="1702">IFERROR(VALUE(RIGHT(LEFT($J851,FIND(AB$1,$J851,IF(M851=0,1,FIND(AB$1,$J851,1)+1))+LEN(AB$1)),1)),0)</f>
        <v>0</v>
      </c>
      <c r="AC851" s="13">
        <f t="shared" si="1702"/>
        <v>0</v>
      </c>
      <c r="AD851" s="13">
        <f t="shared" si="1702"/>
        <v>0</v>
      </c>
      <c r="AE851" s="13">
        <f t="shared" si="1702"/>
        <v>1</v>
      </c>
      <c r="AF851" s="13">
        <f t="shared" si="1702"/>
        <v>0</v>
      </c>
      <c r="AG851" s="13">
        <f t="shared" si="1702"/>
        <v>0</v>
      </c>
      <c r="AH851" s="13">
        <f t="shared" si="1702"/>
        <v>0</v>
      </c>
      <c r="AI851" s="13">
        <f t="shared" si="1702"/>
        <v>0</v>
      </c>
      <c r="AJ851" s="13">
        <f t="shared" si="1702"/>
        <v>0</v>
      </c>
      <c r="AK851" s="13">
        <f t="shared" si="1702"/>
        <v>0</v>
      </c>
      <c r="AL851" s="13">
        <f t="shared" si="1702"/>
        <v>0</v>
      </c>
      <c r="AM851" s="13">
        <f t="shared" si="1702"/>
        <v>0</v>
      </c>
      <c r="AN851" s="13">
        <f t="shared" si="1702"/>
        <v>0</v>
      </c>
      <c r="AO851" s="13">
        <f t="shared" si="1702"/>
        <v>1</v>
      </c>
      <c r="AP851" s="13">
        <f t="shared" si="1702"/>
        <v>0</v>
      </c>
      <c r="AQ851" s="13"/>
      <c r="AR851" s="13" t="s">
        <v>3339</v>
      </c>
      <c r="AS851" s="13" t="s">
        <v>5170</v>
      </c>
      <c r="AT851" s="13" t="s">
        <v>1350</v>
      </c>
      <c r="AU851" s="13" t="s">
        <v>143</v>
      </c>
      <c r="AV851" s="13" t="s">
        <v>5171</v>
      </c>
      <c r="AW851" s="13">
        <v>16.0</v>
      </c>
      <c r="AX851" s="13">
        <v>15.0</v>
      </c>
      <c r="AY851" s="13">
        <v>0.0</v>
      </c>
      <c r="AZ851" s="13" t="s">
        <v>5172</v>
      </c>
      <c r="BA851" s="13" t="s">
        <v>4869</v>
      </c>
      <c r="BB851" s="13"/>
      <c r="BC851" s="13"/>
      <c r="BD851" s="13" t="s">
        <v>2169</v>
      </c>
      <c r="BE851" s="13"/>
      <c r="BF851" s="13" t="s">
        <v>5173</v>
      </c>
      <c r="BG851" s="13" t="s">
        <v>2171</v>
      </c>
      <c r="BH851" s="13" t="s">
        <v>79</v>
      </c>
      <c r="BI851" s="13" t="b">
        <v>0</v>
      </c>
      <c r="BJ851" s="13">
        <v>0.0</v>
      </c>
      <c r="BK851" s="13">
        <v>0.0</v>
      </c>
    </row>
    <row r="852" ht="14.25" customHeight="1">
      <c r="A852" s="13">
        <v>850.0</v>
      </c>
      <c r="B852" s="13" t="s">
        <v>50</v>
      </c>
      <c r="C852" s="13">
        <v>3.0</v>
      </c>
      <c r="D852" s="14">
        <v>0.0</v>
      </c>
      <c r="E852" s="13" t="s">
        <v>5174</v>
      </c>
      <c r="F852" s="15" t="s">
        <v>496</v>
      </c>
      <c r="G852" s="16" t="s">
        <v>5175</v>
      </c>
      <c r="H852" s="13">
        <v>19.0</v>
      </c>
      <c r="I852" s="13">
        <v>1.0</v>
      </c>
      <c r="J852" s="13" t="s">
        <v>1797</v>
      </c>
      <c r="K852" s="13">
        <f t="shared" si="3"/>
        <v>1</v>
      </c>
      <c r="L852" s="13">
        <f t="shared" si="4"/>
        <v>2</v>
      </c>
      <c r="M852" s="13">
        <f t="shared" ref="M852:AA852" si="1703">IFERROR(VALUE(RIGHT(LEFT($J852,FIND(M$1,$J852,1)+LEN(M$1)),1)),0)</f>
        <v>0</v>
      </c>
      <c r="N852" s="13">
        <f t="shared" si="1703"/>
        <v>0</v>
      </c>
      <c r="O852" s="13">
        <f t="shared" si="1703"/>
        <v>0</v>
      </c>
      <c r="P852" s="13">
        <f t="shared" si="1703"/>
        <v>0</v>
      </c>
      <c r="Q852" s="13">
        <f t="shared" si="1703"/>
        <v>0</v>
      </c>
      <c r="R852" s="13">
        <f t="shared" si="1703"/>
        <v>0</v>
      </c>
      <c r="S852" s="13">
        <f t="shared" si="1703"/>
        <v>0</v>
      </c>
      <c r="T852" s="13">
        <f t="shared" si="1703"/>
        <v>0</v>
      </c>
      <c r="U852" s="13">
        <f t="shared" si="1703"/>
        <v>0</v>
      </c>
      <c r="V852" s="13">
        <f t="shared" si="1703"/>
        <v>0</v>
      </c>
      <c r="W852" s="13">
        <f t="shared" si="1703"/>
        <v>0</v>
      </c>
      <c r="X852" s="13">
        <f t="shared" si="1703"/>
        <v>0</v>
      </c>
      <c r="Y852" s="13">
        <f t="shared" si="1703"/>
        <v>1</v>
      </c>
      <c r="Z852" s="13">
        <f t="shared" si="1703"/>
        <v>0</v>
      </c>
      <c r="AA852" s="13">
        <f t="shared" si="1703"/>
        <v>0</v>
      </c>
      <c r="AB852" s="13">
        <f t="shared" ref="AB852:AP852" si="1704">IFERROR(VALUE(RIGHT(LEFT($J852,FIND(AB$1,$J852,IF(M852=0,1,FIND(AB$1,$J852,1)+1))+LEN(AB$1)),1)),0)</f>
        <v>0</v>
      </c>
      <c r="AC852" s="13">
        <f t="shared" si="1704"/>
        <v>0</v>
      </c>
      <c r="AD852" s="13">
        <f t="shared" si="1704"/>
        <v>0</v>
      </c>
      <c r="AE852" s="13">
        <f t="shared" si="1704"/>
        <v>0</v>
      </c>
      <c r="AF852" s="13">
        <f t="shared" si="1704"/>
        <v>1</v>
      </c>
      <c r="AG852" s="13">
        <f t="shared" si="1704"/>
        <v>0</v>
      </c>
      <c r="AH852" s="13">
        <f t="shared" si="1704"/>
        <v>0</v>
      </c>
      <c r="AI852" s="13">
        <f t="shared" si="1704"/>
        <v>0</v>
      </c>
      <c r="AJ852" s="13">
        <f t="shared" si="1704"/>
        <v>0</v>
      </c>
      <c r="AK852" s="13">
        <f t="shared" si="1704"/>
        <v>0</v>
      </c>
      <c r="AL852" s="13">
        <f t="shared" si="1704"/>
        <v>0</v>
      </c>
      <c r="AM852" s="13">
        <f t="shared" si="1704"/>
        <v>0</v>
      </c>
      <c r="AN852" s="13">
        <f t="shared" si="1704"/>
        <v>1</v>
      </c>
      <c r="AO852" s="13">
        <f t="shared" si="1704"/>
        <v>0</v>
      </c>
      <c r="AP852" s="13">
        <f t="shared" si="1704"/>
        <v>0</v>
      </c>
      <c r="AQ852" s="13"/>
      <c r="AR852" s="13" t="s">
        <v>3069</v>
      </c>
      <c r="AS852" s="13" t="s">
        <v>3070</v>
      </c>
      <c r="AT852" s="13" t="s">
        <v>162</v>
      </c>
      <c r="AU852" s="13" t="s">
        <v>236</v>
      </c>
      <c r="AV852" s="13" t="s">
        <v>5176</v>
      </c>
      <c r="AW852" s="13">
        <v>21.0</v>
      </c>
      <c r="AX852" s="13">
        <v>15.0</v>
      </c>
      <c r="AY852" s="13">
        <v>0.0</v>
      </c>
      <c r="AZ852" s="13" t="s">
        <v>5177</v>
      </c>
      <c r="BA852" s="13" t="s">
        <v>5178</v>
      </c>
      <c r="BB852" s="13"/>
      <c r="BC852" s="13"/>
      <c r="BD852" s="13" t="s">
        <v>239</v>
      </c>
      <c r="BE852" s="13"/>
      <c r="BF852" s="13" t="s">
        <v>5179</v>
      </c>
      <c r="BG852" s="13" t="s">
        <v>50</v>
      </c>
      <c r="BH852" s="13" t="s">
        <v>79</v>
      </c>
      <c r="BI852" s="13" t="b">
        <v>0</v>
      </c>
      <c r="BJ852" s="13">
        <v>0.0</v>
      </c>
      <c r="BK852" s="13">
        <v>0.0</v>
      </c>
    </row>
    <row r="853" ht="14.25" customHeight="1">
      <c r="A853" s="13">
        <v>851.0</v>
      </c>
      <c r="B853" s="13" t="s">
        <v>44</v>
      </c>
      <c r="C853" s="13">
        <v>4.0</v>
      </c>
      <c r="D853" s="14">
        <v>0.0</v>
      </c>
      <c r="E853" s="13" t="s">
        <v>5180</v>
      </c>
      <c r="F853" s="15" t="s">
        <v>496</v>
      </c>
      <c r="G853" s="16" t="s">
        <v>5181</v>
      </c>
      <c r="H853" s="13"/>
      <c r="I853" s="13">
        <v>1.1</v>
      </c>
      <c r="J853" s="13" t="s">
        <v>4354</v>
      </c>
      <c r="K853" s="13">
        <f t="shared" si="3"/>
        <v>2</v>
      </c>
      <c r="L853" s="13">
        <f t="shared" si="4"/>
        <v>2</v>
      </c>
      <c r="M853" s="13">
        <f t="shared" ref="M853:AA853" si="1705">IFERROR(VALUE(RIGHT(LEFT($J853,FIND(M$1,$J853,1)+LEN(M$1)),1)),0)</f>
        <v>0</v>
      </c>
      <c r="N853" s="13">
        <f t="shared" si="1705"/>
        <v>0</v>
      </c>
      <c r="O853" s="13">
        <f t="shared" si="1705"/>
        <v>0</v>
      </c>
      <c r="P853" s="13">
        <f t="shared" si="1705"/>
        <v>0</v>
      </c>
      <c r="Q853" s="13">
        <f t="shared" si="1705"/>
        <v>0</v>
      </c>
      <c r="R853" s="13">
        <f t="shared" si="1705"/>
        <v>0</v>
      </c>
      <c r="S853" s="13">
        <f t="shared" si="1705"/>
        <v>2</v>
      </c>
      <c r="T853" s="13">
        <f t="shared" si="1705"/>
        <v>0</v>
      </c>
      <c r="U853" s="13">
        <f t="shared" si="1705"/>
        <v>0</v>
      </c>
      <c r="V853" s="13">
        <f t="shared" si="1705"/>
        <v>0</v>
      </c>
      <c r="W853" s="13">
        <f t="shared" si="1705"/>
        <v>0</v>
      </c>
      <c r="X853" s="13">
        <f t="shared" si="1705"/>
        <v>0</v>
      </c>
      <c r="Y853" s="13">
        <f t="shared" si="1705"/>
        <v>0</v>
      </c>
      <c r="Z853" s="13">
        <f t="shared" si="1705"/>
        <v>0</v>
      </c>
      <c r="AA853" s="13">
        <f t="shared" si="1705"/>
        <v>0</v>
      </c>
      <c r="AB853" s="13">
        <f t="shared" ref="AB853:AP853" si="1706">IFERROR(VALUE(RIGHT(LEFT($J853,FIND(AB$1,$J853,IF(M853=0,1,FIND(AB$1,$J853,1)+1))+LEN(AB$1)),1)),0)</f>
        <v>0</v>
      </c>
      <c r="AC853" s="13">
        <f t="shared" si="1706"/>
        <v>0</v>
      </c>
      <c r="AD853" s="13">
        <f t="shared" si="1706"/>
        <v>0</v>
      </c>
      <c r="AE853" s="13">
        <f t="shared" si="1706"/>
        <v>0</v>
      </c>
      <c r="AF853" s="13">
        <f t="shared" si="1706"/>
        <v>1</v>
      </c>
      <c r="AG853" s="13">
        <f t="shared" si="1706"/>
        <v>0</v>
      </c>
      <c r="AH853" s="13">
        <f t="shared" si="1706"/>
        <v>1</v>
      </c>
      <c r="AI853" s="13">
        <f t="shared" si="1706"/>
        <v>0</v>
      </c>
      <c r="AJ853" s="13">
        <f t="shared" si="1706"/>
        <v>0</v>
      </c>
      <c r="AK853" s="13">
        <f t="shared" si="1706"/>
        <v>0</v>
      </c>
      <c r="AL853" s="13">
        <f t="shared" si="1706"/>
        <v>0</v>
      </c>
      <c r="AM853" s="13">
        <f t="shared" si="1706"/>
        <v>0</v>
      </c>
      <c r="AN853" s="13">
        <f t="shared" si="1706"/>
        <v>0</v>
      </c>
      <c r="AO853" s="13">
        <f t="shared" si="1706"/>
        <v>0</v>
      </c>
      <c r="AP853" s="13">
        <f t="shared" si="1706"/>
        <v>0</v>
      </c>
      <c r="AQ853" s="13" t="s">
        <v>5182</v>
      </c>
      <c r="AR853" s="13"/>
      <c r="AS853" s="13" t="s">
        <v>5183</v>
      </c>
      <c r="AT853" s="13"/>
      <c r="AU853" s="13"/>
      <c r="AV853" s="13"/>
      <c r="AW853" s="13">
        <v>0.0</v>
      </c>
      <c r="AX853" s="13">
        <v>15.0</v>
      </c>
      <c r="AY853" s="13">
        <v>0.0</v>
      </c>
      <c r="AZ853" s="13"/>
      <c r="BA853" s="13"/>
      <c r="BB853" s="13"/>
      <c r="BC853" s="13"/>
      <c r="BD853" s="13"/>
      <c r="BE853" s="13"/>
      <c r="BF853" s="13"/>
      <c r="BG853" s="13"/>
      <c r="BH853" s="13" t="s">
        <v>79</v>
      </c>
      <c r="BI853" s="13" t="b">
        <v>0</v>
      </c>
      <c r="BJ853" s="13">
        <v>0.0</v>
      </c>
      <c r="BK853" s="13">
        <v>0.0</v>
      </c>
    </row>
    <row r="854" ht="14.25" customHeight="1">
      <c r="A854" s="13">
        <v>852.0</v>
      </c>
      <c r="B854" s="13" t="s">
        <v>45</v>
      </c>
      <c r="C854" s="13">
        <v>4.0</v>
      </c>
      <c r="D854" s="14">
        <v>0.0</v>
      </c>
      <c r="E854" s="13" t="s">
        <v>5184</v>
      </c>
      <c r="F854" s="15" t="s">
        <v>496</v>
      </c>
      <c r="G854" s="16" t="s">
        <v>5185</v>
      </c>
      <c r="H854" s="13"/>
      <c r="I854" s="13">
        <v>1.1</v>
      </c>
      <c r="J854" s="13" t="s">
        <v>1918</v>
      </c>
      <c r="K854" s="13">
        <f t="shared" si="3"/>
        <v>2</v>
      </c>
      <c r="L854" s="13">
        <f t="shared" si="4"/>
        <v>2</v>
      </c>
      <c r="M854" s="13">
        <f t="shared" ref="M854:AA854" si="1707">IFERROR(VALUE(RIGHT(LEFT($J854,FIND(M$1,$J854,1)+LEN(M$1)),1)),0)</f>
        <v>0</v>
      </c>
      <c r="N854" s="13">
        <f t="shared" si="1707"/>
        <v>0</v>
      </c>
      <c r="O854" s="13">
        <f t="shared" si="1707"/>
        <v>0</v>
      </c>
      <c r="P854" s="13">
        <f t="shared" si="1707"/>
        <v>0</v>
      </c>
      <c r="Q854" s="13">
        <f t="shared" si="1707"/>
        <v>0</v>
      </c>
      <c r="R854" s="13">
        <f t="shared" si="1707"/>
        <v>0</v>
      </c>
      <c r="S854" s="13">
        <f t="shared" si="1707"/>
        <v>0</v>
      </c>
      <c r="T854" s="13">
        <f t="shared" si="1707"/>
        <v>2</v>
      </c>
      <c r="U854" s="13">
        <f t="shared" si="1707"/>
        <v>0</v>
      </c>
      <c r="V854" s="13">
        <f t="shared" si="1707"/>
        <v>0</v>
      </c>
      <c r="W854" s="13">
        <f t="shared" si="1707"/>
        <v>0</v>
      </c>
      <c r="X854" s="13">
        <f t="shared" si="1707"/>
        <v>0</v>
      </c>
      <c r="Y854" s="13">
        <f t="shared" si="1707"/>
        <v>0</v>
      </c>
      <c r="Z854" s="13">
        <f t="shared" si="1707"/>
        <v>0</v>
      </c>
      <c r="AA854" s="13">
        <f t="shared" si="1707"/>
        <v>0</v>
      </c>
      <c r="AB854" s="13">
        <f t="shared" ref="AB854:AP854" si="1708">IFERROR(VALUE(RIGHT(LEFT($J854,FIND(AB$1,$J854,IF(M854=0,1,FIND(AB$1,$J854,1)+1))+LEN(AB$1)),1)),0)</f>
        <v>0</v>
      </c>
      <c r="AC854" s="13">
        <f t="shared" si="1708"/>
        <v>1</v>
      </c>
      <c r="AD854" s="13">
        <f t="shared" si="1708"/>
        <v>0</v>
      </c>
      <c r="AE854" s="13">
        <f t="shared" si="1708"/>
        <v>0</v>
      </c>
      <c r="AF854" s="13">
        <f t="shared" si="1708"/>
        <v>0</v>
      </c>
      <c r="AG854" s="13">
        <f t="shared" si="1708"/>
        <v>0</v>
      </c>
      <c r="AH854" s="13">
        <f t="shared" si="1708"/>
        <v>0</v>
      </c>
      <c r="AI854" s="13">
        <f t="shared" si="1708"/>
        <v>1</v>
      </c>
      <c r="AJ854" s="13">
        <f t="shared" si="1708"/>
        <v>0</v>
      </c>
      <c r="AK854" s="13">
        <f t="shared" si="1708"/>
        <v>0</v>
      </c>
      <c r="AL854" s="13">
        <f t="shared" si="1708"/>
        <v>0</v>
      </c>
      <c r="AM854" s="13">
        <f t="shared" si="1708"/>
        <v>0</v>
      </c>
      <c r="AN854" s="13">
        <f t="shared" si="1708"/>
        <v>0</v>
      </c>
      <c r="AO854" s="13">
        <f t="shared" si="1708"/>
        <v>0</v>
      </c>
      <c r="AP854" s="13">
        <f t="shared" si="1708"/>
        <v>0</v>
      </c>
      <c r="AQ854" s="13" t="s">
        <v>5186</v>
      </c>
      <c r="AR854" s="13"/>
      <c r="AS854" s="13" t="s">
        <v>5187</v>
      </c>
      <c r="AT854" s="13"/>
      <c r="AU854" s="13"/>
      <c r="AV854" s="13"/>
      <c r="AW854" s="13">
        <v>0.0</v>
      </c>
      <c r="AX854" s="13">
        <v>15.0</v>
      </c>
      <c r="AY854" s="13">
        <v>0.0</v>
      </c>
      <c r="AZ854" s="13"/>
      <c r="BA854" s="13"/>
      <c r="BB854" s="13"/>
      <c r="BC854" s="13"/>
      <c r="BD854" s="13"/>
      <c r="BE854" s="13"/>
      <c r="BF854" s="13"/>
      <c r="BG854" s="13"/>
      <c r="BH854" s="13" t="s">
        <v>79</v>
      </c>
      <c r="BI854" s="13" t="b">
        <v>0</v>
      </c>
      <c r="BJ854" s="13">
        <v>0.0</v>
      </c>
      <c r="BK854" s="13">
        <v>0.0</v>
      </c>
    </row>
    <row r="855" ht="14.25" customHeight="1">
      <c r="A855" s="13">
        <v>853.0</v>
      </c>
      <c r="B855" s="13" t="s">
        <v>46</v>
      </c>
      <c r="C855" s="13">
        <v>4.0</v>
      </c>
      <c r="D855" s="14">
        <v>0.0</v>
      </c>
      <c r="E855" s="13" t="s">
        <v>5188</v>
      </c>
      <c r="F855" s="15" t="s">
        <v>496</v>
      </c>
      <c r="G855" s="16" t="s">
        <v>5189</v>
      </c>
      <c r="H855" s="13"/>
      <c r="I855" s="13">
        <v>1.2</v>
      </c>
      <c r="J855" s="13" t="s">
        <v>5190</v>
      </c>
      <c r="K855" s="13">
        <f t="shared" si="3"/>
        <v>2</v>
      </c>
      <c r="L855" s="13">
        <f t="shared" si="4"/>
        <v>2</v>
      </c>
      <c r="M855" s="13">
        <f t="shared" ref="M855:AA855" si="1709">IFERROR(VALUE(RIGHT(LEFT($J855,FIND(M$1,$J855,1)+LEN(M$1)),1)),0)</f>
        <v>0</v>
      </c>
      <c r="N855" s="13">
        <f t="shared" si="1709"/>
        <v>0</v>
      </c>
      <c r="O855" s="13">
        <f t="shared" si="1709"/>
        <v>0</v>
      </c>
      <c r="P855" s="13">
        <f t="shared" si="1709"/>
        <v>0</v>
      </c>
      <c r="Q855" s="13">
        <f t="shared" si="1709"/>
        <v>0</v>
      </c>
      <c r="R855" s="13">
        <f t="shared" si="1709"/>
        <v>0</v>
      </c>
      <c r="S855" s="13">
        <f t="shared" si="1709"/>
        <v>0</v>
      </c>
      <c r="T855" s="13">
        <f t="shared" si="1709"/>
        <v>0</v>
      </c>
      <c r="U855" s="13">
        <f t="shared" si="1709"/>
        <v>2</v>
      </c>
      <c r="V855" s="13">
        <f t="shared" si="1709"/>
        <v>0</v>
      </c>
      <c r="W855" s="13">
        <f t="shared" si="1709"/>
        <v>0</v>
      </c>
      <c r="X855" s="13">
        <f t="shared" si="1709"/>
        <v>0</v>
      </c>
      <c r="Y855" s="13">
        <f t="shared" si="1709"/>
        <v>0</v>
      </c>
      <c r="Z855" s="13">
        <f t="shared" si="1709"/>
        <v>0</v>
      </c>
      <c r="AA855" s="13">
        <f t="shared" si="1709"/>
        <v>0</v>
      </c>
      <c r="AB855" s="13">
        <f t="shared" ref="AB855:AP855" si="1710">IFERROR(VALUE(RIGHT(LEFT($J855,FIND(AB$1,$J855,IF(M855=0,1,FIND(AB$1,$J855,1)+1))+LEN(AB$1)),1)),0)</f>
        <v>0</v>
      </c>
      <c r="AC855" s="13">
        <f t="shared" si="1710"/>
        <v>0</v>
      </c>
      <c r="AD855" s="13">
        <f t="shared" si="1710"/>
        <v>0</v>
      </c>
      <c r="AE855" s="13">
        <f t="shared" si="1710"/>
        <v>1</v>
      </c>
      <c r="AF855" s="13">
        <f t="shared" si="1710"/>
        <v>0</v>
      </c>
      <c r="AG855" s="13">
        <f t="shared" si="1710"/>
        <v>0</v>
      </c>
      <c r="AH855" s="13">
        <f t="shared" si="1710"/>
        <v>0</v>
      </c>
      <c r="AI855" s="13">
        <f t="shared" si="1710"/>
        <v>0</v>
      </c>
      <c r="AJ855" s="13">
        <f t="shared" si="1710"/>
        <v>1</v>
      </c>
      <c r="AK855" s="13">
        <f t="shared" si="1710"/>
        <v>0</v>
      </c>
      <c r="AL855" s="13">
        <f t="shared" si="1710"/>
        <v>0</v>
      </c>
      <c r="AM855" s="13">
        <f t="shared" si="1710"/>
        <v>0</v>
      </c>
      <c r="AN855" s="13">
        <f t="shared" si="1710"/>
        <v>0</v>
      </c>
      <c r="AO855" s="13">
        <f t="shared" si="1710"/>
        <v>0</v>
      </c>
      <c r="AP855" s="13">
        <f t="shared" si="1710"/>
        <v>0</v>
      </c>
      <c r="AQ855" s="13" t="s">
        <v>5191</v>
      </c>
      <c r="AR855" s="13"/>
      <c r="AS855" s="13" t="s">
        <v>5192</v>
      </c>
      <c r="AT855" s="13"/>
      <c r="AU855" s="13"/>
      <c r="AV855" s="13"/>
      <c r="AW855" s="13">
        <v>0.0</v>
      </c>
      <c r="AX855" s="13">
        <v>15.0</v>
      </c>
      <c r="AY855" s="13">
        <v>0.0</v>
      </c>
      <c r="AZ855" s="13"/>
      <c r="BA855" s="13"/>
      <c r="BB855" s="13"/>
      <c r="BC855" s="13"/>
      <c r="BD855" s="13"/>
      <c r="BE855" s="13"/>
      <c r="BF855" s="13"/>
      <c r="BG855" s="13"/>
      <c r="BH855" s="13" t="s">
        <v>79</v>
      </c>
      <c r="BI855" s="13" t="b">
        <v>0</v>
      </c>
      <c r="BJ855" s="13">
        <v>0.0</v>
      </c>
      <c r="BK855" s="13">
        <v>0.0</v>
      </c>
    </row>
    <row r="856" ht="14.25" customHeight="1">
      <c r="A856" s="13">
        <v>854.0</v>
      </c>
      <c r="B856" s="13" t="s">
        <v>51</v>
      </c>
      <c r="C856" s="13">
        <v>4.0</v>
      </c>
      <c r="D856" s="14">
        <v>0.0</v>
      </c>
      <c r="E856" s="13" t="s">
        <v>5193</v>
      </c>
      <c r="F856" s="15" t="s">
        <v>496</v>
      </c>
      <c r="G856" s="16" t="s">
        <v>5194</v>
      </c>
      <c r="H856" s="13">
        <v>22.0</v>
      </c>
      <c r="I856" s="13">
        <v>1.0</v>
      </c>
      <c r="J856" s="13" t="s">
        <v>5195</v>
      </c>
      <c r="K856" s="13">
        <f t="shared" si="3"/>
        <v>2</v>
      </c>
      <c r="L856" s="13">
        <f t="shared" si="4"/>
        <v>2</v>
      </c>
      <c r="M856" s="13">
        <f t="shared" ref="M856:AA856" si="1711">IFERROR(VALUE(RIGHT(LEFT($J856,FIND(M$1,$J856,1)+LEN(M$1)),1)),0)</f>
        <v>0</v>
      </c>
      <c r="N856" s="13">
        <f t="shared" si="1711"/>
        <v>0</v>
      </c>
      <c r="O856" s="13">
        <f t="shared" si="1711"/>
        <v>0</v>
      </c>
      <c r="P856" s="13">
        <f t="shared" si="1711"/>
        <v>0</v>
      </c>
      <c r="Q856" s="13">
        <f t="shared" si="1711"/>
        <v>0</v>
      </c>
      <c r="R856" s="13">
        <f t="shared" si="1711"/>
        <v>0</v>
      </c>
      <c r="S856" s="13">
        <f t="shared" si="1711"/>
        <v>0</v>
      </c>
      <c r="T856" s="13">
        <f t="shared" si="1711"/>
        <v>0</v>
      </c>
      <c r="U856" s="13">
        <f t="shared" si="1711"/>
        <v>0</v>
      </c>
      <c r="V856" s="13">
        <f t="shared" si="1711"/>
        <v>0</v>
      </c>
      <c r="W856" s="13">
        <f t="shared" si="1711"/>
        <v>0</v>
      </c>
      <c r="X856" s="13">
        <f t="shared" si="1711"/>
        <v>0</v>
      </c>
      <c r="Y856" s="13">
        <f t="shared" si="1711"/>
        <v>0</v>
      </c>
      <c r="Z856" s="13">
        <f t="shared" si="1711"/>
        <v>2</v>
      </c>
      <c r="AA856" s="13">
        <f t="shared" si="1711"/>
        <v>0</v>
      </c>
      <c r="AB856" s="13">
        <f t="shared" ref="AB856:AP856" si="1712">IFERROR(VALUE(RIGHT(LEFT($J856,FIND(AB$1,$J856,IF(M856=0,1,FIND(AB$1,$J856,1)+1))+LEN(AB$1)),1)),0)</f>
        <v>0</v>
      </c>
      <c r="AC856" s="13">
        <f t="shared" si="1712"/>
        <v>1</v>
      </c>
      <c r="AD856" s="13">
        <f t="shared" si="1712"/>
        <v>0</v>
      </c>
      <c r="AE856" s="13">
        <f t="shared" si="1712"/>
        <v>0</v>
      </c>
      <c r="AF856" s="13">
        <f t="shared" si="1712"/>
        <v>0</v>
      </c>
      <c r="AG856" s="13">
        <f t="shared" si="1712"/>
        <v>0</v>
      </c>
      <c r="AH856" s="13">
        <f t="shared" si="1712"/>
        <v>0</v>
      </c>
      <c r="AI856" s="13">
        <f t="shared" si="1712"/>
        <v>0</v>
      </c>
      <c r="AJ856" s="13">
        <f t="shared" si="1712"/>
        <v>0</v>
      </c>
      <c r="AK856" s="13">
        <f t="shared" si="1712"/>
        <v>0</v>
      </c>
      <c r="AL856" s="13">
        <f t="shared" si="1712"/>
        <v>0</v>
      </c>
      <c r="AM856" s="13">
        <f t="shared" si="1712"/>
        <v>0</v>
      </c>
      <c r="AN856" s="13">
        <f t="shared" si="1712"/>
        <v>0</v>
      </c>
      <c r="AO856" s="13">
        <f t="shared" si="1712"/>
        <v>1</v>
      </c>
      <c r="AP856" s="13">
        <f t="shared" si="1712"/>
        <v>0</v>
      </c>
      <c r="AQ856" s="13"/>
      <c r="AR856" s="13" t="s">
        <v>5196</v>
      </c>
      <c r="AS856" s="13" t="s">
        <v>5197</v>
      </c>
      <c r="AT856" s="13" t="s">
        <v>175</v>
      </c>
      <c r="AU856" s="13" t="s">
        <v>803</v>
      </c>
      <c r="AV856" s="13" t="s">
        <v>5198</v>
      </c>
      <c r="AW856" s="13">
        <v>24.0</v>
      </c>
      <c r="AX856" s="13">
        <v>15.0</v>
      </c>
      <c r="AY856" s="13">
        <v>0.0</v>
      </c>
      <c r="AZ856" s="13" t="s">
        <v>5199</v>
      </c>
      <c r="BA856" s="13" t="s">
        <v>5200</v>
      </c>
      <c r="BB856" s="13"/>
      <c r="BC856" s="13"/>
      <c r="BD856" s="13" t="s">
        <v>776</v>
      </c>
      <c r="BE856" s="13"/>
      <c r="BF856" s="13" t="s">
        <v>5201</v>
      </c>
      <c r="BG856" s="13" t="s">
        <v>263</v>
      </c>
      <c r="BH856" s="13" t="s">
        <v>79</v>
      </c>
      <c r="BI856" s="13" t="b">
        <v>0</v>
      </c>
      <c r="BJ856" s="13">
        <v>0.0</v>
      </c>
      <c r="BK856" s="13">
        <v>0.0</v>
      </c>
    </row>
    <row r="857" ht="14.25" customHeight="1">
      <c r="A857" s="13">
        <v>855.0</v>
      </c>
      <c r="B857" s="13" t="s">
        <v>51</v>
      </c>
      <c r="C857" s="13">
        <v>4.0</v>
      </c>
      <c r="D857" s="14">
        <v>0.0</v>
      </c>
      <c r="E857" s="13" t="s">
        <v>5202</v>
      </c>
      <c r="F857" s="15" t="s">
        <v>496</v>
      </c>
      <c r="G857" s="16" t="s">
        <v>5203</v>
      </c>
      <c r="H857" s="13">
        <v>21.0</v>
      </c>
      <c r="I857" s="13">
        <v>1.0</v>
      </c>
      <c r="J857" s="13" t="s">
        <v>4160</v>
      </c>
      <c r="K857" s="13">
        <f t="shared" si="3"/>
        <v>2</v>
      </c>
      <c r="L857" s="13">
        <f t="shared" si="4"/>
        <v>2</v>
      </c>
      <c r="M857" s="13">
        <f t="shared" ref="M857:AA857" si="1713">IFERROR(VALUE(RIGHT(LEFT($J857,FIND(M$1,$J857,1)+LEN(M$1)),1)),0)</f>
        <v>0</v>
      </c>
      <c r="N857" s="13">
        <f t="shared" si="1713"/>
        <v>0</v>
      </c>
      <c r="O857" s="13">
        <f t="shared" si="1713"/>
        <v>0</v>
      </c>
      <c r="P857" s="13">
        <f t="shared" si="1713"/>
        <v>2</v>
      </c>
      <c r="Q857" s="13">
        <f t="shared" si="1713"/>
        <v>0</v>
      </c>
      <c r="R857" s="13">
        <f t="shared" si="1713"/>
        <v>0</v>
      </c>
      <c r="S857" s="13">
        <f t="shared" si="1713"/>
        <v>0</v>
      </c>
      <c r="T857" s="13">
        <f t="shared" si="1713"/>
        <v>0</v>
      </c>
      <c r="U857" s="13">
        <f t="shared" si="1713"/>
        <v>0</v>
      </c>
      <c r="V857" s="13">
        <f t="shared" si="1713"/>
        <v>0</v>
      </c>
      <c r="W857" s="13">
        <f t="shared" si="1713"/>
        <v>0</v>
      </c>
      <c r="X857" s="13">
        <f t="shared" si="1713"/>
        <v>0</v>
      </c>
      <c r="Y857" s="13">
        <f t="shared" si="1713"/>
        <v>0</v>
      </c>
      <c r="Z857" s="13">
        <f t="shared" si="1713"/>
        <v>0</v>
      </c>
      <c r="AA857" s="13">
        <f t="shared" si="1713"/>
        <v>0</v>
      </c>
      <c r="AB857" s="13">
        <f t="shared" ref="AB857:AP857" si="1714">IFERROR(VALUE(RIGHT(LEFT($J857,FIND(AB$1,$J857,IF(M857=0,1,FIND(AB$1,$J857,1)+1))+LEN(AB$1)),1)),0)</f>
        <v>0</v>
      </c>
      <c r="AC857" s="13">
        <f t="shared" si="1714"/>
        <v>0</v>
      </c>
      <c r="AD857" s="13">
        <f t="shared" si="1714"/>
        <v>0</v>
      </c>
      <c r="AE857" s="13">
        <f t="shared" si="1714"/>
        <v>1</v>
      </c>
      <c r="AF857" s="13">
        <f t="shared" si="1714"/>
        <v>0</v>
      </c>
      <c r="AG857" s="13">
        <f t="shared" si="1714"/>
        <v>0</v>
      </c>
      <c r="AH857" s="13">
        <f t="shared" si="1714"/>
        <v>0</v>
      </c>
      <c r="AI857" s="13">
        <f t="shared" si="1714"/>
        <v>0</v>
      </c>
      <c r="AJ857" s="13">
        <f t="shared" si="1714"/>
        <v>0</v>
      </c>
      <c r="AK857" s="13">
        <f t="shared" si="1714"/>
        <v>0</v>
      </c>
      <c r="AL857" s="13">
        <f t="shared" si="1714"/>
        <v>0</v>
      </c>
      <c r="AM857" s="13">
        <f t="shared" si="1714"/>
        <v>0</v>
      </c>
      <c r="AN857" s="13">
        <f t="shared" si="1714"/>
        <v>0</v>
      </c>
      <c r="AO857" s="13">
        <f t="shared" si="1714"/>
        <v>1</v>
      </c>
      <c r="AP857" s="13">
        <f t="shared" si="1714"/>
        <v>0</v>
      </c>
      <c r="AQ857" s="13"/>
      <c r="AR857" s="13" t="s">
        <v>5204</v>
      </c>
      <c r="AS857" s="13" t="s">
        <v>5205</v>
      </c>
      <c r="AT857" s="13" t="s">
        <v>4409</v>
      </c>
      <c r="AU857" s="13" t="s">
        <v>129</v>
      </c>
      <c r="AV857" s="13" t="s">
        <v>5206</v>
      </c>
      <c r="AW857" s="13">
        <v>25.0</v>
      </c>
      <c r="AX857" s="13">
        <v>15.0</v>
      </c>
      <c r="AY857" s="13">
        <v>0.0</v>
      </c>
      <c r="AZ857" s="13" t="s">
        <v>5207</v>
      </c>
      <c r="BA857" s="13" t="s">
        <v>5208</v>
      </c>
      <c r="BB857" s="13"/>
      <c r="BC857" s="13"/>
      <c r="BD857" s="13" t="s">
        <v>1822</v>
      </c>
      <c r="BE857" s="13"/>
      <c r="BF857" s="13" t="s">
        <v>5209</v>
      </c>
      <c r="BG857" s="13" t="s">
        <v>1823</v>
      </c>
      <c r="BH857" s="13" t="s">
        <v>79</v>
      </c>
      <c r="BI857" s="13" t="b">
        <v>0</v>
      </c>
      <c r="BJ857" s="13">
        <v>0.0</v>
      </c>
      <c r="BK857" s="13">
        <v>0.0</v>
      </c>
    </row>
    <row r="858" ht="14.25" customHeight="1">
      <c r="A858" s="13">
        <v>856.0</v>
      </c>
      <c r="B858" s="13" t="s">
        <v>50</v>
      </c>
      <c r="C858" s="13">
        <v>4.0</v>
      </c>
      <c r="D858" s="14">
        <v>0.0</v>
      </c>
      <c r="E858" s="13" t="s">
        <v>5210</v>
      </c>
      <c r="F858" s="15" t="s">
        <v>496</v>
      </c>
      <c r="G858" s="16" t="s">
        <v>5211</v>
      </c>
      <c r="H858" s="13">
        <v>23.0</v>
      </c>
      <c r="I858" s="13">
        <v>0.9</v>
      </c>
      <c r="J858" s="13" t="s">
        <v>5212</v>
      </c>
      <c r="K858" s="13">
        <f t="shared" si="3"/>
        <v>2</v>
      </c>
      <c r="L858" s="13">
        <f t="shared" si="4"/>
        <v>2</v>
      </c>
      <c r="M858" s="13">
        <f t="shared" ref="M858:AA858" si="1715">IFERROR(VALUE(RIGHT(LEFT($J858,FIND(M$1,$J858,1)+LEN(M$1)),1)),0)</f>
        <v>0</v>
      </c>
      <c r="N858" s="13">
        <f t="shared" si="1715"/>
        <v>0</v>
      </c>
      <c r="O858" s="13">
        <f t="shared" si="1715"/>
        <v>0</v>
      </c>
      <c r="P858" s="13">
        <f t="shared" si="1715"/>
        <v>0</v>
      </c>
      <c r="Q858" s="13">
        <f t="shared" si="1715"/>
        <v>0</v>
      </c>
      <c r="R858" s="13">
        <f t="shared" si="1715"/>
        <v>0</v>
      </c>
      <c r="S858" s="13">
        <f t="shared" si="1715"/>
        <v>0</v>
      </c>
      <c r="T858" s="13">
        <f t="shared" si="1715"/>
        <v>0</v>
      </c>
      <c r="U858" s="13">
        <f t="shared" si="1715"/>
        <v>0</v>
      </c>
      <c r="V858" s="13">
        <f t="shared" si="1715"/>
        <v>0</v>
      </c>
      <c r="W858" s="13">
        <f t="shared" si="1715"/>
        <v>0</v>
      </c>
      <c r="X858" s="13">
        <f t="shared" si="1715"/>
        <v>0</v>
      </c>
      <c r="Y858" s="13">
        <f t="shared" si="1715"/>
        <v>2</v>
      </c>
      <c r="Z858" s="13">
        <f t="shared" si="1715"/>
        <v>0</v>
      </c>
      <c r="AA858" s="13">
        <f t="shared" si="1715"/>
        <v>0</v>
      </c>
      <c r="AB858" s="13">
        <f t="shared" ref="AB858:AP858" si="1716">IFERROR(VALUE(RIGHT(LEFT($J858,FIND(AB$1,$J858,IF(M858=0,1,FIND(AB$1,$J858,1)+1))+LEN(AB$1)),1)),0)</f>
        <v>0</v>
      </c>
      <c r="AC858" s="13">
        <f t="shared" si="1716"/>
        <v>0</v>
      </c>
      <c r="AD858" s="13">
        <f t="shared" si="1716"/>
        <v>0</v>
      </c>
      <c r="AE858" s="13">
        <f t="shared" si="1716"/>
        <v>0</v>
      </c>
      <c r="AF858" s="13">
        <f t="shared" si="1716"/>
        <v>1</v>
      </c>
      <c r="AG858" s="13">
        <f t="shared" si="1716"/>
        <v>0</v>
      </c>
      <c r="AH858" s="13">
        <f t="shared" si="1716"/>
        <v>0</v>
      </c>
      <c r="AI858" s="13">
        <f t="shared" si="1716"/>
        <v>0</v>
      </c>
      <c r="AJ858" s="13">
        <f t="shared" si="1716"/>
        <v>0</v>
      </c>
      <c r="AK858" s="13">
        <f t="shared" si="1716"/>
        <v>0</v>
      </c>
      <c r="AL858" s="13">
        <f t="shared" si="1716"/>
        <v>0</v>
      </c>
      <c r="AM858" s="13">
        <f t="shared" si="1716"/>
        <v>0</v>
      </c>
      <c r="AN858" s="13">
        <f t="shared" si="1716"/>
        <v>1</v>
      </c>
      <c r="AO858" s="13">
        <f t="shared" si="1716"/>
        <v>0</v>
      </c>
      <c r="AP858" s="13">
        <f t="shared" si="1716"/>
        <v>0</v>
      </c>
      <c r="AQ858" s="13"/>
      <c r="AR858" s="13" t="s">
        <v>5213</v>
      </c>
      <c r="AS858" s="13" t="s">
        <v>5214</v>
      </c>
      <c r="AT858" s="13" t="s">
        <v>162</v>
      </c>
      <c r="AU858" s="13" t="s">
        <v>1211</v>
      </c>
      <c r="AV858" s="13" t="s">
        <v>5215</v>
      </c>
      <c r="AW858" s="13">
        <v>27.0</v>
      </c>
      <c r="AX858" s="13">
        <v>15.0</v>
      </c>
      <c r="AY858" s="13">
        <v>0.0</v>
      </c>
      <c r="AZ858" s="13" t="s">
        <v>5216</v>
      </c>
      <c r="BA858" s="13" t="s">
        <v>1666</v>
      </c>
      <c r="BB858" s="13"/>
      <c r="BC858" s="13"/>
      <c r="BD858" s="13" t="s">
        <v>239</v>
      </c>
      <c r="BE858" s="13"/>
      <c r="BF858" s="13" t="s">
        <v>5217</v>
      </c>
      <c r="BG858" s="13" t="s">
        <v>50</v>
      </c>
      <c r="BH858" s="13" t="s">
        <v>79</v>
      </c>
      <c r="BI858" s="13" t="b">
        <v>0</v>
      </c>
      <c r="BJ858" s="13">
        <v>0.0</v>
      </c>
      <c r="BK858" s="13">
        <v>0.0</v>
      </c>
    </row>
    <row r="859" ht="14.25" customHeight="1">
      <c r="A859" s="13">
        <v>857.0</v>
      </c>
      <c r="B859" s="13" t="s">
        <v>46</v>
      </c>
      <c r="C859" s="13">
        <v>5.0</v>
      </c>
      <c r="D859" s="14">
        <v>0.0</v>
      </c>
      <c r="E859" s="13" t="s">
        <v>5218</v>
      </c>
      <c r="F859" s="15" t="s">
        <v>496</v>
      </c>
      <c r="G859" s="16" t="s">
        <v>5219</v>
      </c>
      <c r="H859" s="13"/>
      <c r="I859" s="13">
        <v>1.2</v>
      </c>
      <c r="J859" s="13" t="s">
        <v>5220</v>
      </c>
      <c r="K859" s="13">
        <f t="shared" si="3"/>
        <v>4</v>
      </c>
      <c r="L859" s="13">
        <f t="shared" si="4"/>
        <v>0</v>
      </c>
      <c r="M859" s="13">
        <f t="shared" ref="M859:AA859" si="1717">IFERROR(VALUE(RIGHT(LEFT($J859,FIND(M$1,$J859,1)+LEN(M$1)),1)),0)</f>
        <v>0</v>
      </c>
      <c r="N859" s="13">
        <f t="shared" si="1717"/>
        <v>1</v>
      </c>
      <c r="O859" s="13">
        <f t="shared" si="1717"/>
        <v>0</v>
      </c>
      <c r="P859" s="13">
        <f t="shared" si="1717"/>
        <v>2</v>
      </c>
      <c r="Q859" s="13">
        <f t="shared" si="1717"/>
        <v>1</v>
      </c>
      <c r="R859" s="13">
        <f t="shared" si="1717"/>
        <v>0</v>
      </c>
      <c r="S859" s="13">
        <f t="shared" si="1717"/>
        <v>0</v>
      </c>
      <c r="T859" s="13">
        <f t="shared" si="1717"/>
        <v>0</v>
      </c>
      <c r="U859" s="13">
        <f t="shared" si="1717"/>
        <v>0</v>
      </c>
      <c r="V859" s="13">
        <f t="shared" si="1717"/>
        <v>0</v>
      </c>
      <c r="W859" s="13">
        <f t="shared" si="1717"/>
        <v>0</v>
      </c>
      <c r="X859" s="13">
        <f t="shared" si="1717"/>
        <v>0</v>
      </c>
      <c r="Y859" s="13">
        <f t="shared" si="1717"/>
        <v>0</v>
      </c>
      <c r="Z859" s="13">
        <f t="shared" si="1717"/>
        <v>0</v>
      </c>
      <c r="AA859" s="13">
        <f t="shared" si="1717"/>
        <v>0</v>
      </c>
      <c r="AB859" s="13">
        <f t="shared" ref="AB859:AP859" si="1718">IFERROR(VALUE(RIGHT(LEFT($J859,FIND(AB$1,$J859,IF(M859=0,1,FIND(AB$1,$J859,1)+1))+LEN(AB$1)),1)),0)</f>
        <v>0</v>
      </c>
      <c r="AC859" s="13">
        <f t="shared" si="1718"/>
        <v>0</v>
      </c>
      <c r="AD859" s="13">
        <f t="shared" si="1718"/>
        <v>0</v>
      </c>
      <c r="AE859" s="13">
        <f t="shared" si="1718"/>
        <v>0</v>
      </c>
      <c r="AF859" s="13">
        <f t="shared" si="1718"/>
        <v>0</v>
      </c>
      <c r="AG859" s="13">
        <f t="shared" si="1718"/>
        <v>0</v>
      </c>
      <c r="AH859" s="13">
        <f t="shared" si="1718"/>
        <v>0</v>
      </c>
      <c r="AI859" s="13">
        <f t="shared" si="1718"/>
        <v>0</v>
      </c>
      <c r="AJ859" s="13">
        <f t="shared" si="1718"/>
        <v>0</v>
      </c>
      <c r="AK859" s="13">
        <f t="shared" si="1718"/>
        <v>0</v>
      </c>
      <c r="AL859" s="13">
        <f t="shared" si="1718"/>
        <v>0</v>
      </c>
      <c r="AM859" s="13">
        <f t="shared" si="1718"/>
        <v>0</v>
      </c>
      <c r="AN859" s="13">
        <f t="shared" si="1718"/>
        <v>0</v>
      </c>
      <c r="AO859" s="13">
        <f t="shared" si="1718"/>
        <v>0</v>
      </c>
      <c r="AP859" s="13">
        <f t="shared" si="1718"/>
        <v>0</v>
      </c>
      <c r="AQ859" s="13" t="s">
        <v>5221</v>
      </c>
      <c r="AR859" s="13"/>
      <c r="AS859" s="13" t="s">
        <v>5222</v>
      </c>
      <c r="AT859" s="13"/>
      <c r="AU859" s="13"/>
      <c r="AV859" s="13"/>
      <c r="AW859" s="13">
        <v>0.0</v>
      </c>
      <c r="AX859" s="13">
        <v>15.0</v>
      </c>
      <c r="AY859" s="13">
        <v>0.0</v>
      </c>
      <c r="AZ859" s="13"/>
      <c r="BA859" s="13"/>
      <c r="BB859" s="13"/>
      <c r="BC859" s="13"/>
      <c r="BD859" s="13"/>
      <c r="BE859" s="13"/>
      <c r="BF859" s="13"/>
      <c r="BG859" s="13"/>
      <c r="BH859" s="13" t="s">
        <v>79</v>
      </c>
      <c r="BI859" s="13" t="b">
        <v>0</v>
      </c>
      <c r="BJ859" s="13">
        <v>0.0</v>
      </c>
      <c r="BK859" s="13">
        <v>0.0</v>
      </c>
    </row>
    <row r="860" ht="14.25" customHeight="1">
      <c r="A860" s="13">
        <v>858.0</v>
      </c>
      <c r="B860" s="13" t="s">
        <v>44</v>
      </c>
      <c r="C860" s="13">
        <v>0.0</v>
      </c>
      <c r="D860" s="14">
        <v>0.0</v>
      </c>
      <c r="E860" s="13" t="s">
        <v>5223</v>
      </c>
      <c r="F860" s="15" t="s">
        <v>5224</v>
      </c>
      <c r="G860" s="16" t="s">
        <v>5225</v>
      </c>
      <c r="H860" s="13"/>
      <c r="I860" s="13">
        <v>0.9</v>
      </c>
      <c r="J860" s="13" t="s">
        <v>2185</v>
      </c>
      <c r="K860" s="13">
        <f t="shared" si="3"/>
        <v>0</v>
      </c>
      <c r="L860" s="13">
        <f t="shared" si="4"/>
        <v>1</v>
      </c>
      <c r="M860" s="13">
        <f t="shared" ref="M860:AA860" si="1719">IFERROR(VALUE(RIGHT(LEFT($J860,FIND(M$1,$J860,1)+LEN(M$1)),1)),0)</f>
        <v>0</v>
      </c>
      <c r="N860" s="13">
        <f t="shared" si="1719"/>
        <v>0</v>
      </c>
      <c r="O860" s="13">
        <f t="shared" si="1719"/>
        <v>0</v>
      </c>
      <c r="P860" s="13">
        <f t="shared" si="1719"/>
        <v>0</v>
      </c>
      <c r="Q860" s="13">
        <f t="shared" si="1719"/>
        <v>0</v>
      </c>
      <c r="R860" s="13">
        <f t="shared" si="1719"/>
        <v>0</v>
      </c>
      <c r="S860" s="13">
        <f t="shared" si="1719"/>
        <v>0</v>
      </c>
      <c r="T860" s="13">
        <f t="shared" si="1719"/>
        <v>0</v>
      </c>
      <c r="U860" s="13">
        <f t="shared" si="1719"/>
        <v>0</v>
      </c>
      <c r="V860" s="13">
        <f t="shared" si="1719"/>
        <v>0</v>
      </c>
      <c r="W860" s="13">
        <f t="shared" si="1719"/>
        <v>0</v>
      </c>
      <c r="X860" s="13">
        <f t="shared" si="1719"/>
        <v>0</v>
      </c>
      <c r="Y860" s="13">
        <f t="shared" si="1719"/>
        <v>0</v>
      </c>
      <c r="Z860" s="13">
        <f t="shared" si="1719"/>
        <v>0</v>
      </c>
      <c r="AA860" s="13">
        <f t="shared" si="1719"/>
        <v>0</v>
      </c>
      <c r="AB860" s="13">
        <f t="shared" ref="AB860:AP860" si="1720">IFERROR(VALUE(RIGHT(LEFT($J860,FIND(AB$1,$J860,IF(M860=0,1,FIND(AB$1,$J860,1)+1))+LEN(AB$1)),1)),0)</f>
        <v>0</v>
      </c>
      <c r="AC860" s="13">
        <f t="shared" si="1720"/>
        <v>0</v>
      </c>
      <c r="AD860" s="13">
        <f t="shared" si="1720"/>
        <v>0</v>
      </c>
      <c r="AE860" s="13">
        <f t="shared" si="1720"/>
        <v>0</v>
      </c>
      <c r="AF860" s="13">
        <f t="shared" si="1720"/>
        <v>0</v>
      </c>
      <c r="AG860" s="13">
        <f t="shared" si="1720"/>
        <v>0</v>
      </c>
      <c r="AH860" s="13">
        <f t="shared" si="1720"/>
        <v>1</v>
      </c>
      <c r="AI860" s="13">
        <f t="shared" si="1720"/>
        <v>0</v>
      </c>
      <c r="AJ860" s="13">
        <f t="shared" si="1720"/>
        <v>0</v>
      </c>
      <c r="AK860" s="13">
        <f t="shared" si="1720"/>
        <v>0</v>
      </c>
      <c r="AL860" s="13">
        <f t="shared" si="1720"/>
        <v>0</v>
      </c>
      <c r="AM860" s="13">
        <f t="shared" si="1720"/>
        <v>0</v>
      </c>
      <c r="AN860" s="13">
        <f t="shared" si="1720"/>
        <v>0</v>
      </c>
      <c r="AO860" s="13">
        <f t="shared" si="1720"/>
        <v>0</v>
      </c>
      <c r="AP860" s="13">
        <f t="shared" si="1720"/>
        <v>0</v>
      </c>
      <c r="AQ860" s="13" t="s">
        <v>5226</v>
      </c>
      <c r="AR860" s="13"/>
      <c r="AS860" s="13" t="s">
        <v>91</v>
      </c>
      <c r="AT860" s="13"/>
      <c r="AU860" s="13"/>
      <c r="AV860" s="13"/>
      <c r="AW860" s="13">
        <v>0.0</v>
      </c>
      <c r="AX860" s="13">
        <v>16.0</v>
      </c>
      <c r="AY860" s="13">
        <v>0.0</v>
      </c>
      <c r="AZ860" s="13"/>
      <c r="BA860" s="13"/>
      <c r="BB860" s="13"/>
      <c r="BC860" s="13"/>
      <c r="BD860" s="13"/>
      <c r="BE860" s="13"/>
      <c r="BF860" s="13"/>
      <c r="BG860" s="13"/>
      <c r="BH860" s="13" t="s">
        <v>79</v>
      </c>
      <c r="BI860" s="13" t="b">
        <v>0</v>
      </c>
      <c r="BJ860" s="13">
        <v>0.0</v>
      </c>
      <c r="BK860" s="13">
        <v>0.0</v>
      </c>
    </row>
    <row r="861" ht="14.25" customHeight="1">
      <c r="A861" s="13">
        <v>859.0</v>
      </c>
      <c r="B861" s="13" t="s">
        <v>45</v>
      </c>
      <c r="C861" s="13">
        <v>0.0</v>
      </c>
      <c r="D861" s="14">
        <v>0.0</v>
      </c>
      <c r="E861" s="13" t="s">
        <v>5227</v>
      </c>
      <c r="F861" s="15" t="s">
        <v>5224</v>
      </c>
      <c r="G861" s="16" t="s">
        <v>5228</v>
      </c>
      <c r="H861" s="13"/>
      <c r="I861" s="13">
        <v>1.1</v>
      </c>
      <c r="J861" s="13" t="s">
        <v>100</v>
      </c>
      <c r="K861" s="13">
        <f t="shared" si="3"/>
        <v>0</v>
      </c>
      <c r="L861" s="13">
        <f t="shared" si="4"/>
        <v>1</v>
      </c>
      <c r="M861" s="13">
        <f t="shared" ref="M861:AA861" si="1721">IFERROR(VALUE(RIGHT(LEFT($J861,FIND(M$1,$J861,1)+LEN(M$1)),1)),0)</f>
        <v>0</v>
      </c>
      <c r="N861" s="13">
        <f t="shared" si="1721"/>
        <v>0</v>
      </c>
      <c r="O861" s="13">
        <f t="shared" si="1721"/>
        <v>0</v>
      </c>
      <c r="P861" s="13">
        <f t="shared" si="1721"/>
        <v>0</v>
      </c>
      <c r="Q861" s="13">
        <f t="shared" si="1721"/>
        <v>0</v>
      </c>
      <c r="R861" s="13">
        <f t="shared" si="1721"/>
        <v>0</v>
      </c>
      <c r="S861" s="13">
        <f t="shared" si="1721"/>
        <v>0</v>
      </c>
      <c r="T861" s="13">
        <f t="shared" si="1721"/>
        <v>0</v>
      </c>
      <c r="U861" s="13">
        <f t="shared" si="1721"/>
        <v>0</v>
      </c>
      <c r="V861" s="13">
        <f t="shared" si="1721"/>
        <v>0</v>
      </c>
      <c r="W861" s="13">
        <f t="shared" si="1721"/>
        <v>0</v>
      </c>
      <c r="X861" s="13">
        <f t="shared" si="1721"/>
        <v>0</v>
      </c>
      <c r="Y861" s="13">
        <f t="shared" si="1721"/>
        <v>0</v>
      </c>
      <c r="Z861" s="13">
        <f t="shared" si="1721"/>
        <v>0</v>
      </c>
      <c r="AA861" s="13">
        <f t="shared" si="1721"/>
        <v>0</v>
      </c>
      <c r="AB861" s="13">
        <f t="shared" ref="AB861:AP861" si="1722">IFERROR(VALUE(RIGHT(LEFT($J861,FIND(AB$1,$J861,IF(M861=0,1,FIND(AB$1,$J861,1)+1))+LEN(AB$1)),1)),0)</f>
        <v>0</v>
      </c>
      <c r="AC861" s="13">
        <f t="shared" si="1722"/>
        <v>0</v>
      </c>
      <c r="AD861" s="13">
        <f t="shared" si="1722"/>
        <v>0</v>
      </c>
      <c r="AE861" s="13">
        <f t="shared" si="1722"/>
        <v>0</v>
      </c>
      <c r="AF861" s="13">
        <f t="shared" si="1722"/>
        <v>0</v>
      </c>
      <c r="AG861" s="13">
        <f t="shared" si="1722"/>
        <v>0</v>
      </c>
      <c r="AH861" s="13">
        <f t="shared" si="1722"/>
        <v>0</v>
      </c>
      <c r="AI861" s="13">
        <f t="shared" si="1722"/>
        <v>1</v>
      </c>
      <c r="AJ861" s="13">
        <f t="shared" si="1722"/>
        <v>0</v>
      </c>
      <c r="AK861" s="13">
        <f t="shared" si="1722"/>
        <v>0</v>
      </c>
      <c r="AL861" s="13">
        <f t="shared" si="1722"/>
        <v>0</v>
      </c>
      <c r="AM861" s="13">
        <f t="shared" si="1722"/>
        <v>0</v>
      </c>
      <c r="AN861" s="13">
        <f t="shared" si="1722"/>
        <v>0</v>
      </c>
      <c r="AO861" s="13">
        <f t="shared" si="1722"/>
        <v>0</v>
      </c>
      <c r="AP861" s="13">
        <f t="shared" si="1722"/>
        <v>0</v>
      </c>
      <c r="AQ861" s="13" t="s">
        <v>5229</v>
      </c>
      <c r="AR861" s="13"/>
      <c r="AS861" s="13" t="s">
        <v>5230</v>
      </c>
      <c r="AT861" s="13"/>
      <c r="AU861" s="13"/>
      <c r="AV861" s="13"/>
      <c r="AW861" s="13">
        <v>0.0</v>
      </c>
      <c r="AX861" s="13">
        <v>16.0</v>
      </c>
      <c r="AY861" s="13">
        <v>0.0</v>
      </c>
      <c r="AZ861" s="13"/>
      <c r="BA861" s="13"/>
      <c r="BB861" s="13"/>
      <c r="BC861" s="13"/>
      <c r="BD861" s="13"/>
      <c r="BE861" s="13"/>
      <c r="BF861" s="13"/>
      <c r="BG861" s="13"/>
      <c r="BH861" s="13" t="s">
        <v>79</v>
      </c>
      <c r="BI861" s="13" t="b">
        <v>0</v>
      </c>
      <c r="BJ861" s="13">
        <v>0.0</v>
      </c>
      <c r="BK861" s="13">
        <v>0.0</v>
      </c>
    </row>
    <row r="862" ht="14.25" customHeight="1">
      <c r="A862" s="13">
        <v>860.0</v>
      </c>
      <c r="B862" s="13" t="s">
        <v>46</v>
      </c>
      <c r="C862" s="13">
        <v>0.0</v>
      </c>
      <c r="D862" s="14">
        <v>0.0</v>
      </c>
      <c r="E862" s="13" t="s">
        <v>5231</v>
      </c>
      <c r="F862" s="15" t="s">
        <v>5224</v>
      </c>
      <c r="G862" s="16" t="s">
        <v>5232</v>
      </c>
      <c r="H862" s="13"/>
      <c r="I862" s="13">
        <v>1.1</v>
      </c>
      <c r="J862" s="13" t="s">
        <v>312</v>
      </c>
      <c r="K862" s="13">
        <f t="shared" si="3"/>
        <v>0</v>
      </c>
      <c r="L862" s="13">
        <f t="shared" si="4"/>
        <v>1</v>
      </c>
      <c r="M862" s="13">
        <f t="shared" ref="M862:AA862" si="1723">IFERROR(VALUE(RIGHT(LEFT($J862,FIND(M$1,$J862,1)+LEN(M$1)),1)),0)</f>
        <v>0</v>
      </c>
      <c r="N862" s="13">
        <f t="shared" si="1723"/>
        <v>0</v>
      </c>
      <c r="O862" s="13">
        <f t="shared" si="1723"/>
        <v>0</v>
      </c>
      <c r="P862" s="13">
        <f t="shared" si="1723"/>
        <v>0</v>
      </c>
      <c r="Q862" s="13">
        <f t="shared" si="1723"/>
        <v>0</v>
      </c>
      <c r="R862" s="13">
        <f t="shared" si="1723"/>
        <v>0</v>
      </c>
      <c r="S862" s="13">
        <f t="shared" si="1723"/>
        <v>0</v>
      </c>
      <c r="T862" s="13">
        <f t="shared" si="1723"/>
        <v>0</v>
      </c>
      <c r="U862" s="13">
        <f t="shared" si="1723"/>
        <v>0</v>
      </c>
      <c r="V862" s="13">
        <f t="shared" si="1723"/>
        <v>0</v>
      </c>
      <c r="W862" s="13">
        <f t="shared" si="1723"/>
        <v>0</v>
      </c>
      <c r="X862" s="13">
        <f t="shared" si="1723"/>
        <v>0</v>
      </c>
      <c r="Y862" s="13">
        <f t="shared" si="1723"/>
        <v>0</v>
      </c>
      <c r="Z862" s="13">
        <f t="shared" si="1723"/>
        <v>0</v>
      </c>
      <c r="AA862" s="13">
        <f t="shared" si="1723"/>
        <v>0</v>
      </c>
      <c r="AB862" s="13">
        <f t="shared" ref="AB862:AP862" si="1724">IFERROR(VALUE(RIGHT(LEFT($J862,FIND(AB$1,$J862,IF(M862=0,1,FIND(AB$1,$J862,1)+1))+LEN(AB$1)),1)),0)</f>
        <v>0</v>
      </c>
      <c r="AC862" s="13">
        <f t="shared" si="1724"/>
        <v>0</v>
      </c>
      <c r="AD862" s="13">
        <f t="shared" si="1724"/>
        <v>1</v>
      </c>
      <c r="AE862" s="13">
        <f t="shared" si="1724"/>
        <v>0</v>
      </c>
      <c r="AF862" s="13">
        <f t="shared" si="1724"/>
        <v>0</v>
      </c>
      <c r="AG862" s="13">
        <f t="shared" si="1724"/>
        <v>0</v>
      </c>
      <c r="AH862" s="13">
        <f t="shared" si="1724"/>
        <v>0</v>
      </c>
      <c r="AI862" s="13">
        <f t="shared" si="1724"/>
        <v>0</v>
      </c>
      <c r="AJ862" s="13">
        <f t="shared" si="1724"/>
        <v>0</v>
      </c>
      <c r="AK862" s="13">
        <f t="shared" si="1724"/>
        <v>0</v>
      </c>
      <c r="AL862" s="13">
        <f t="shared" si="1724"/>
        <v>0</v>
      </c>
      <c r="AM862" s="13">
        <f t="shared" si="1724"/>
        <v>0</v>
      </c>
      <c r="AN862" s="13">
        <f t="shared" si="1724"/>
        <v>0</v>
      </c>
      <c r="AO862" s="13">
        <f t="shared" si="1724"/>
        <v>0</v>
      </c>
      <c r="AP862" s="13">
        <f t="shared" si="1724"/>
        <v>0</v>
      </c>
      <c r="AQ862" s="13" t="s">
        <v>5233</v>
      </c>
      <c r="AR862" s="13"/>
      <c r="AS862" s="13" t="s">
        <v>5234</v>
      </c>
      <c r="AT862" s="13"/>
      <c r="AU862" s="13"/>
      <c r="AV862" s="13"/>
      <c r="AW862" s="13">
        <v>0.0</v>
      </c>
      <c r="AX862" s="13">
        <v>16.0</v>
      </c>
      <c r="AY862" s="13">
        <v>0.0</v>
      </c>
      <c r="AZ862" s="13"/>
      <c r="BA862" s="13"/>
      <c r="BB862" s="13"/>
      <c r="BC862" s="13"/>
      <c r="BD862" s="13"/>
      <c r="BE862" s="13"/>
      <c r="BF862" s="13"/>
      <c r="BG862" s="13"/>
      <c r="BH862" s="13" t="s">
        <v>79</v>
      </c>
      <c r="BI862" s="13" t="b">
        <v>0</v>
      </c>
      <c r="BJ862" s="13">
        <v>0.0</v>
      </c>
      <c r="BK862" s="13">
        <v>0.0</v>
      </c>
    </row>
    <row r="863" ht="14.25" customHeight="1">
      <c r="A863" s="13">
        <v>861.0</v>
      </c>
      <c r="B863" s="13" t="s">
        <v>51</v>
      </c>
      <c r="C863" s="13">
        <v>0.0</v>
      </c>
      <c r="D863" s="14">
        <v>0.0</v>
      </c>
      <c r="E863" s="13" t="s">
        <v>5235</v>
      </c>
      <c r="F863" s="15" t="s">
        <v>5224</v>
      </c>
      <c r="G863" s="16" t="s">
        <v>5236</v>
      </c>
      <c r="H863" s="13"/>
      <c r="I863" s="13">
        <v>1.2</v>
      </c>
      <c r="J863" s="13" t="s">
        <v>255</v>
      </c>
      <c r="K863" s="13">
        <f t="shared" si="3"/>
        <v>0</v>
      </c>
      <c r="L863" s="13">
        <f t="shared" si="4"/>
        <v>1</v>
      </c>
      <c r="M863" s="13">
        <f t="shared" ref="M863:AA863" si="1725">IFERROR(VALUE(RIGHT(LEFT($J863,FIND(M$1,$J863,1)+LEN(M$1)),1)),0)</f>
        <v>0</v>
      </c>
      <c r="N863" s="13">
        <f t="shared" si="1725"/>
        <v>0</v>
      </c>
      <c r="O863" s="13">
        <f t="shared" si="1725"/>
        <v>0</v>
      </c>
      <c r="P863" s="13">
        <f t="shared" si="1725"/>
        <v>0</v>
      </c>
      <c r="Q863" s="13">
        <f t="shared" si="1725"/>
        <v>0</v>
      </c>
      <c r="R863" s="13">
        <f t="shared" si="1725"/>
        <v>0</v>
      </c>
      <c r="S863" s="13">
        <f t="shared" si="1725"/>
        <v>0</v>
      </c>
      <c r="T863" s="13">
        <f t="shared" si="1725"/>
        <v>0</v>
      </c>
      <c r="U863" s="13">
        <f t="shared" si="1725"/>
        <v>0</v>
      </c>
      <c r="V863" s="13">
        <f t="shared" si="1725"/>
        <v>0</v>
      </c>
      <c r="W863" s="13">
        <f t="shared" si="1725"/>
        <v>0</v>
      </c>
      <c r="X863" s="13">
        <f t="shared" si="1725"/>
        <v>0</v>
      </c>
      <c r="Y863" s="13">
        <f t="shared" si="1725"/>
        <v>0</v>
      </c>
      <c r="Z863" s="13">
        <f t="shared" si="1725"/>
        <v>0</v>
      </c>
      <c r="AA863" s="13">
        <f t="shared" si="1725"/>
        <v>0</v>
      </c>
      <c r="AB863" s="13">
        <f t="shared" ref="AB863:AP863" si="1726">IFERROR(VALUE(RIGHT(LEFT($J863,FIND(AB$1,$J863,IF(M863=0,1,FIND(AB$1,$J863,1)+1))+LEN(AB$1)),1)),0)</f>
        <v>0</v>
      </c>
      <c r="AC863" s="13">
        <f t="shared" si="1726"/>
        <v>0</v>
      </c>
      <c r="AD863" s="13">
        <f t="shared" si="1726"/>
        <v>0</v>
      </c>
      <c r="AE863" s="13">
        <f t="shared" si="1726"/>
        <v>0</v>
      </c>
      <c r="AF863" s="13">
        <f t="shared" si="1726"/>
        <v>0</v>
      </c>
      <c r="AG863" s="13">
        <f t="shared" si="1726"/>
        <v>0</v>
      </c>
      <c r="AH863" s="13">
        <f t="shared" si="1726"/>
        <v>0</v>
      </c>
      <c r="AI863" s="13">
        <f t="shared" si="1726"/>
        <v>0</v>
      </c>
      <c r="AJ863" s="13">
        <f t="shared" si="1726"/>
        <v>0</v>
      </c>
      <c r="AK863" s="13">
        <f t="shared" si="1726"/>
        <v>0</v>
      </c>
      <c r="AL863" s="13">
        <f t="shared" si="1726"/>
        <v>0</v>
      </c>
      <c r="AM863" s="13">
        <f t="shared" si="1726"/>
        <v>0</v>
      </c>
      <c r="AN863" s="13">
        <f t="shared" si="1726"/>
        <v>0</v>
      </c>
      <c r="AO863" s="13">
        <f t="shared" si="1726"/>
        <v>1</v>
      </c>
      <c r="AP863" s="13">
        <f t="shared" si="1726"/>
        <v>0</v>
      </c>
      <c r="AQ863" s="13"/>
      <c r="AR863" s="13"/>
      <c r="AS863" s="13" t="s">
        <v>5237</v>
      </c>
      <c r="AT863" s="13" t="s">
        <v>142</v>
      </c>
      <c r="AU863" s="13" t="s">
        <v>130</v>
      </c>
      <c r="AV863" s="13"/>
      <c r="AW863" s="13">
        <v>7.0</v>
      </c>
      <c r="AX863" s="13">
        <v>16.0</v>
      </c>
      <c r="AY863" s="13">
        <v>4.0</v>
      </c>
      <c r="AZ863" s="13"/>
      <c r="BA863" s="13"/>
      <c r="BB863" s="13">
        <v>1.0</v>
      </c>
      <c r="BC863" s="13">
        <v>1.0</v>
      </c>
      <c r="BD863" s="13" t="s">
        <v>5238</v>
      </c>
      <c r="BE863" s="13"/>
      <c r="BF863" s="13" t="s">
        <v>5239</v>
      </c>
      <c r="BG863" s="13"/>
      <c r="BH863" s="13" t="s">
        <v>79</v>
      </c>
      <c r="BI863" s="13" t="b">
        <v>0</v>
      </c>
      <c r="BJ863" s="13">
        <v>0.0</v>
      </c>
      <c r="BK863" s="13">
        <v>0.0</v>
      </c>
    </row>
    <row r="864" ht="14.25" customHeight="1">
      <c r="A864" s="13">
        <v>862.0</v>
      </c>
      <c r="B864" s="13" t="s">
        <v>51</v>
      </c>
      <c r="C864" s="13">
        <v>0.0</v>
      </c>
      <c r="D864" s="14">
        <v>0.0</v>
      </c>
      <c r="E864" s="13" t="s">
        <v>5240</v>
      </c>
      <c r="F864" s="15" t="s">
        <v>5224</v>
      </c>
      <c r="G864" s="16" t="s">
        <v>5241</v>
      </c>
      <c r="H864" s="13">
        <v>11.0</v>
      </c>
      <c r="I864" s="13">
        <v>1.1</v>
      </c>
      <c r="J864" s="13" t="s">
        <v>255</v>
      </c>
      <c r="K864" s="13">
        <f t="shared" si="3"/>
        <v>0</v>
      </c>
      <c r="L864" s="13">
        <f t="shared" si="4"/>
        <v>1</v>
      </c>
      <c r="M864" s="13">
        <f t="shared" ref="M864:AA864" si="1727">IFERROR(VALUE(RIGHT(LEFT($J864,FIND(M$1,$J864,1)+LEN(M$1)),1)),0)</f>
        <v>0</v>
      </c>
      <c r="N864" s="13">
        <f t="shared" si="1727"/>
        <v>0</v>
      </c>
      <c r="O864" s="13">
        <f t="shared" si="1727"/>
        <v>0</v>
      </c>
      <c r="P864" s="13">
        <f t="shared" si="1727"/>
        <v>0</v>
      </c>
      <c r="Q864" s="13">
        <f t="shared" si="1727"/>
        <v>0</v>
      </c>
      <c r="R864" s="13">
        <f t="shared" si="1727"/>
        <v>0</v>
      </c>
      <c r="S864" s="13">
        <f t="shared" si="1727"/>
        <v>0</v>
      </c>
      <c r="T864" s="13">
        <f t="shared" si="1727"/>
        <v>0</v>
      </c>
      <c r="U864" s="13">
        <f t="shared" si="1727"/>
        <v>0</v>
      </c>
      <c r="V864" s="13">
        <f t="shared" si="1727"/>
        <v>0</v>
      </c>
      <c r="W864" s="13">
        <f t="shared" si="1727"/>
        <v>0</v>
      </c>
      <c r="X864" s="13">
        <f t="shared" si="1727"/>
        <v>0</v>
      </c>
      <c r="Y864" s="13">
        <f t="shared" si="1727"/>
        <v>0</v>
      </c>
      <c r="Z864" s="13">
        <f t="shared" si="1727"/>
        <v>0</v>
      </c>
      <c r="AA864" s="13">
        <f t="shared" si="1727"/>
        <v>0</v>
      </c>
      <c r="AB864" s="13">
        <f t="shared" ref="AB864:AP864" si="1728">IFERROR(VALUE(RIGHT(LEFT($J864,FIND(AB$1,$J864,IF(M864=0,1,FIND(AB$1,$J864,1)+1))+LEN(AB$1)),1)),0)</f>
        <v>0</v>
      </c>
      <c r="AC864" s="13">
        <f t="shared" si="1728"/>
        <v>0</v>
      </c>
      <c r="AD864" s="13">
        <f t="shared" si="1728"/>
        <v>0</v>
      </c>
      <c r="AE864" s="13">
        <f t="shared" si="1728"/>
        <v>0</v>
      </c>
      <c r="AF864" s="13">
        <f t="shared" si="1728"/>
        <v>0</v>
      </c>
      <c r="AG864" s="13">
        <f t="shared" si="1728"/>
        <v>0</v>
      </c>
      <c r="AH864" s="13">
        <f t="shared" si="1728"/>
        <v>0</v>
      </c>
      <c r="AI864" s="13">
        <f t="shared" si="1728"/>
        <v>0</v>
      </c>
      <c r="AJ864" s="13">
        <f t="shared" si="1728"/>
        <v>0</v>
      </c>
      <c r="AK864" s="13">
        <f t="shared" si="1728"/>
        <v>0</v>
      </c>
      <c r="AL864" s="13">
        <f t="shared" si="1728"/>
        <v>0</v>
      </c>
      <c r="AM864" s="13">
        <f t="shared" si="1728"/>
        <v>0</v>
      </c>
      <c r="AN864" s="13">
        <f t="shared" si="1728"/>
        <v>0</v>
      </c>
      <c r="AO864" s="13">
        <f t="shared" si="1728"/>
        <v>1</v>
      </c>
      <c r="AP864" s="13">
        <f t="shared" si="1728"/>
        <v>0</v>
      </c>
      <c r="AQ864" s="13"/>
      <c r="AR864" s="13" t="s">
        <v>5242</v>
      </c>
      <c r="AS864" s="13" t="s">
        <v>5243</v>
      </c>
      <c r="AT864" s="13" t="s">
        <v>129</v>
      </c>
      <c r="AU864" s="13" t="s">
        <v>130</v>
      </c>
      <c r="AV864" s="13" t="s">
        <v>5244</v>
      </c>
      <c r="AW864" s="13">
        <v>6.0</v>
      </c>
      <c r="AX864" s="13">
        <v>16.0</v>
      </c>
      <c r="AY864" s="13">
        <v>0.0</v>
      </c>
      <c r="AZ864" s="13" t="s">
        <v>566</v>
      </c>
      <c r="BA864" s="13" t="s">
        <v>4993</v>
      </c>
      <c r="BB864" s="13"/>
      <c r="BC864" s="13"/>
      <c r="BD864" s="13" t="s">
        <v>1822</v>
      </c>
      <c r="BE864" s="13"/>
      <c r="BF864" s="13" t="s">
        <v>521</v>
      </c>
      <c r="BG864" s="13" t="s">
        <v>201</v>
      </c>
      <c r="BH864" s="13" t="s">
        <v>79</v>
      </c>
      <c r="BI864" s="13" t="b">
        <v>0</v>
      </c>
      <c r="BJ864" s="13">
        <v>0.0</v>
      </c>
      <c r="BK864" s="13">
        <v>0.0</v>
      </c>
    </row>
    <row r="865" ht="14.25" customHeight="1">
      <c r="A865" s="13">
        <v>863.0</v>
      </c>
      <c r="B865" s="13" t="s">
        <v>52</v>
      </c>
      <c r="C865" s="13">
        <v>0.0</v>
      </c>
      <c r="D865" s="14">
        <v>0.0</v>
      </c>
      <c r="E865" s="13" t="s">
        <v>5245</v>
      </c>
      <c r="F865" s="15" t="s">
        <v>5224</v>
      </c>
      <c r="G865" s="16" t="s">
        <v>5246</v>
      </c>
      <c r="H865" s="13">
        <v>9.0</v>
      </c>
      <c r="I865" s="13">
        <v>0.9</v>
      </c>
      <c r="J865" s="13" t="s">
        <v>288</v>
      </c>
      <c r="K865" s="13">
        <f t="shared" si="3"/>
        <v>0</v>
      </c>
      <c r="L865" s="13">
        <f t="shared" si="4"/>
        <v>1</v>
      </c>
      <c r="M865" s="13">
        <f t="shared" ref="M865:AA865" si="1729">IFERROR(VALUE(RIGHT(LEFT($J865,FIND(M$1,$J865,1)+LEN(M$1)),1)),0)</f>
        <v>0</v>
      </c>
      <c r="N865" s="13">
        <f t="shared" si="1729"/>
        <v>0</v>
      </c>
      <c r="O865" s="13">
        <f t="shared" si="1729"/>
        <v>0</v>
      </c>
      <c r="P865" s="13">
        <f t="shared" si="1729"/>
        <v>0</v>
      </c>
      <c r="Q865" s="13">
        <f t="shared" si="1729"/>
        <v>0</v>
      </c>
      <c r="R865" s="13">
        <f t="shared" si="1729"/>
        <v>0</v>
      </c>
      <c r="S865" s="13">
        <f t="shared" si="1729"/>
        <v>0</v>
      </c>
      <c r="T865" s="13">
        <f t="shared" si="1729"/>
        <v>0</v>
      </c>
      <c r="U865" s="13">
        <f t="shared" si="1729"/>
        <v>0</v>
      </c>
      <c r="V865" s="13">
        <f t="shared" si="1729"/>
        <v>0</v>
      </c>
      <c r="W865" s="13">
        <f t="shared" si="1729"/>
        <v>0</v>
      </c>
      <c r="X865" s="13">
        <f t="shared" si="1729"/>
        <v>0</v>
      </c>
      <c r="Y865" s="13">
        <f t="shared" si="1729"/>
        <v>0</v>
      </c>
      <c r="Z865" s="13">
        <f t="shared" si="1729"/>
        <v>0</v>
      </c>
      <c r="AA865" s="13">
        <f t="shared" si="1729"/>
        <v>0</v>
      </c>
      <c r="AB865" s="13">
        <f t="shared" ref="AB865:AP865" si="1730">IFERROR(VALUE(RIGHT(LEFT($J865,FIND(AB$1,$J865,IF(M865=0,1,FIND(AB$1,$J865,1)+1))+LEN(AB$1)),1)),0)</f>
        <v>0</v>
      </c>
      <c r="AC865" s="13">
        <f t="shared" si="1730"/>
        <v>0</v>
      </c>
      <c r="AD865" s="13">
        <f t="shared" si="1730"/>
        <v>0</v>
      </c>
      <c r="AE865" s="13">
        <f t="shared" si="1730"/>
        <v>0</v>
      </c>
      <c r="AF865" s="13">
        <f t="shared" si="1730"/>
        <v>0</v>
      </c>
      <c r="AG865" s="13">
        <f t="shared" si="1730"/>
        <v>0</v>
      </c>
      <c r="AH865" s="13">
        <f t="shared" si="1730"/>
        <v>0</v>
      </c>
      <c r="AI865" s="13">
        <f t="shared" si="1730"/>
        <v>0</v>
      </c>
      <c r="AJ865" s="13">
        <f t="shared" si="1730"/>
        <v>0</v>
      </c>
      <c r="AK865" s="13">
        <f t="shared" si="1730"/>
        <v>0</v>
      </c>
      <c r="AL865" s="13">
        <f t="shared" si="1730"/>
        <v>0</v>
      </c>
      <c r="AM865" s="13">
        <f t="shared" si="1730"/>
        <v>0</v>
      </c>
      <c r="AN865" s="13">
        <f t="shared" si="1730"/>
        <v>0</v>
      </c>
      <c r="AO865" s="13">
        <f t="shared" si="1730"/>
        <v>0</v>
      </c>
      <c r="AP865" s="13">
        <f t="shared" si="1730"/>
        <v>1</v>
      </c>
      <c r="AQ865" s="13"/>
      <c r="AR865" s="13" t="s">
        <v>870</v>
      </c>
      <c r="AS865" s="13" t="s">
        <v>301</v>
      </c>
      <c r="AT865" s="13" t="s">
        <v>290</v>
      </c>
      <c r="AU865" s="13" t="s">
        <v>130</v>
      </c>
      <c r="AV865" s="13" t="s">
        <v>5247</v>
      </c>
      <c r="AW865" s="13">
        <v>4.0</v>
      </c>
      <c r="AX865" s="13">
        <v>16.0</v>
      </c>
      <c r="AY865" s="13">
        <v>0.0</v>
      </c>
      <c r="AZ865" s="13" t="s">
        <v>757</v>
      </c>
      <c r="BA865" s="13" t="s">
        <v>914</v>
      </c>
      <c r="BB865" s="13"/>
      <c r="BC865" s="13"/>
      <c r="BD865" s="13" t="s">
        <v>873</v>
      </c>
      <c r="BE865" s="13" t="s">
        <v>5248</v>
      </c>
      <c r="BF865" s="13" t="s">
        <v>5249</v>
      </c>
      <c r="BG865" s="13" t="s">
        <v>876</v>
      </c>
      <c r="BH865" s="13" t="s">
        <v>79</v>
      </c>
      <c r="BI865" s="13" t="b">
        <v>0</v>
      </c>
      <c r="BJ865" s="13">
        <v>0.0</v>
      </c>
      <c r="BK865" s="13">
        <v>0.0</v>
      </c>
    </row>
    <row r="866" ht="14.25" customHeight="1">
      <c r="A866" s="13">
        <v>864.0</v>
      </c>
      <c r="B866" s="13" t="s">
        <v>44</v>
      </c>
      <c r="C866" s="13">
        <v>1.0</v>
      </c>
      <c r="D866" s="14">
        <v>0.0</v>
      </c>
      <c r="E866" s="13" t="s">
        <v>5250</v>
      </c>
      <c r="F866" s="15" t="s">
        <v>5251</v>
      </c>
      <c r="G866" s="16" t="s">
        <v>5252</v>
      </c>
      <c r="H866" s="13"/>
      <c r="I866" s="13">
        <v>0.9</v>
      </c>
      <c r="J866" s="13" t="s">
        <v>368</v>
      </c>
      <c r="K866" s="13">
        <f t="shared" si="3"/>
        <v>0</v>
      </c>
      <c r="L866" s="13">
        <f t="shared" si="4"/>
        <v>2</v>
      </c>
      <c r="M866" s="13">
        <f t="shared" ref="M866:AA866" si="1731">IFERROR(VALUE(RIGHT(LEFT($J866,FIND(M$1,$J866,1)+LEN(M$1)),1)),0)</f>
        <v>0</v>
      </c>
      <c r="N866" s="13">
        <f t="shared" si="1731"/>
        <v>0</v>
      </c>
      <c r="O866" s="13">
        <f t="shared" si="1731"/>
        <v>0</v>
      </c>
      <c r="P866" s="13">
        <f t="shared" si="1731"/>
        <v>0</v>
      </c>
      <c r="Q866" s="13">
        <f t="shared" si="1731"/>
        <v>0</v>
      </c>
      <c r="R866" s="13">
        <f t="shared" si="1731"/>
        <v>0</v>
      </c>
      <c r="S866" s="13">
        <f t="shared" si="1731"/>
        <v>0</v>
      </c>
      <c r="T866" s="13">
        <f t="shared" si="1731"/>
        <v>0</v>
      </c>
      <c r="U866" s="13">
        <f t="shared" si="1731"/>
        <v>0</v>
      </c>
      <c r="V866" s="13">
        <f t="shared" si="1731"/>
        <v>0</v>
      </c>
      <c r="W866" s="13">
        <f t="shared" si="1731"/>
        <v>0</v>
      </c>
      <c r="X866" s="13">
        <f t="shared" si="1731"/>
        <v>0</v>
      </c>
      <c r="Y866" s="13">
        <f t="shared" si="1731"/>
        <v>0</v>
      </c>
      <c r="Z866" s="13">
        <f t="shared" si="1731"/>
        <v>0</v>
      </c>
      <c r="AA866" s="13">
        <f t="shared" si="1731"/>
        <v>0</v>
      </c>
      <c r="AB866" s="13">
        <f t="shared" ref="AB866:AP866" si="1732">IFERROR(VALUE(RIGHT(LEFT($J866,FIND(AB$1,$J866,IF(M866=0,1,FIND(AB$1,$J866,1)+1))+LEN(AB$1)),1)),0)</f>
        <v>0</v>
      </c>
      <c r="AC866" s="13">
        <f t="shared" si="1732"/>
        <v>0</v>
      </c>
      <c r="AD866" s="13">
        <f t="shared" si="1732"/>
        <v>0</v>
      </c>
      <c r="AE866" s="13">
        <f t="shared" si="1732"/>
        <v>1</v>
      </c>
      <c r="AF866" s="13">
        <f t="shared" si="1732"/>
        <v>0</v>
      </c>
      <c r="AG866" s="13">
        <f t="shared" si="1732"/>
        <v>0</v>
      </c>
      <c r="AH866" s="13">
        <f t="shared" si="1732"/>
        <v>1</v>
      </c>
      <c r="AI866" s="13">
        <f t="shared" si="1732"/>
        <v>0</v>
      </c>
      <c r="AJ866" s="13">
        <f t="shared" si="1732"/>
        <v>0</v>
      </c>
      <c r="AK866" s="13">
        <f t="shared" si="1732"/>
        <v>0</v>
      </c>
      <c r="AL866" s="13">
        <f t="shared" si="1732"/>
        <v>0</v>
      </c>
      <c r="AM866" s="13">
        <f t="shared" si="1732"/>
        <v>0</v>
      </c>
      <c r="AN866" s="13">
        <f t="shared" si="1732"/>
        <v>0</v>
      </c>
      <c r="AO866" s="13">
        <f t="shared" si="1732"/>
        <v>0</v>
      </c>
      <c r="AP866" s="13">
        <f t="shared" si="1732"/>
        <v>0</v>
      </c>
      <c r="AQ866" s="13" t="s">
        <v>5253</v>
      </c>
      <c r="AR866" s="13"/>
      <c r="AS866" s="13" t="s">
        <v>5254</v>
      </c>
      <c r="AT866" s="13"/>
      <c r="AU866" s="13"/>
      <c r="AV866" s="13"/>
      <c r="AW866" s="13">
        <v>0.0</v>
      </c>
      <c r="AX866" s="13">
        <v>16.0</v>
      </c>
      <c r="AY866" s="13">
        <v>0.0</v>
      </c>
      <c r="AZ866" s="13"/>
      <c r="BA866" s="13"/>
      <c r="BB866" s="13"/>
      <c r="BC866" s="13"/>
      <c r="BD866" s="13"/>
      <c r="BE866" s="13"/>
      <c r="BF866" s="13"/>
      <c r="BG866" s="13"/>
      <c r="BH866" s="13" t="s">
        <v>79</v>
      </c>
      <c r="BI866" s="13" t="b">
        <v>0</v>
      </c>
      <c r="BJ866" s="13">
        <v>0.0</v>
      </c>
      <c r="BK866" s="13">
        <v>0.0</v>
      </c>
    </row>
    <row r="867" ht="14.25" customHeight="1">
      <c r="A867" s="13">
        <v>865.0</v>
      </c>
      <c r="B867" s="13" t="s">
        <v>45</v>
      </c>
      <c r="C867" s="13">
        <v>1.0</v>
      </c>
      <c r="D867" s="14">
        <v>0.0</v>
      </c>
      <c r="E867" s="13" t="s">
        <v>5255</v>
      </c>
      <c r="F867" s="15" t="s">
        <v>5224</v>
      </c>
      <c r="G867" s="16" t="s">
        <v>5256</v>
      </c>
      <c r="H867" s="13"/>
      <c r="I867" s="13">
        <v>1.1</v>
      </c>
      <c r="J867" s="13" t="s">
        <v>374</v>
      </c>
      <c r="K867" s="13">
        <f t="shared" si="3"/>
        <v>0</v>
      </c>
      <c r="L867" s="13">
        <f t="shared" si="4"/>
        <v>2</v>
      </c>
      <c r="M867" s="13">
        <f t="shared" ref="M867:AA867" si="1733">IFERROR(VALUE(RIGHT(LEFT($J867,FIND(M$1,$J867,1)+LEN(M$1)),1)),0)</f>
        <v>0</v>
      </c>
      <c r="N867" s="13">
        <f t="shared" si="1733"/>
        <v>0</v>
      </c>
      <c r="O867" s="13">
        <f t="shared" si="1733"/>
        <v>0</v>
      </c>
      <c r="P867" s="13">
        <f t="shared" si="1733"/>
        <v>0</v>
      </c>
      <c r="Q867" s="13">
        <f t="shared" si="1733"/>
        <v>0</v>
      </c>
      <c r="R867" s="13">
        <f t="shared" si="1733"/>
        <v>0</v>
      </c>
      <c r="S867" s="13">
        <f t="shared" si="1733"/>
        <v>0</v>
      </c>
      <c r="T867" s="13">
        <f t="shared" si="1733"/>
        <v>0</v>
      </c>
      <c r="U867" s="13">
        <f t="shared" si="1733"/>
        <v>0</v>
      </c>
      <c r="V867" s="13">
        <f t="shared" si="1733"/>
        <v>0</v>
      </c>
      <c r="W867" s="13">
        <f t="shared" si="1733"/>
        <v>0</v>
      </c>
      <c r="X867" s="13">
        <f t="shared" si="1733"/>
        <v>0</v>
      </c>
      <c r="Y867" s="13">
        <f t="shared" si="1733"/>
        <v>0</v>
      </c>
      <c r="Z867" s="13">
        <f t="shared" si="1733"/>
        <v>0</v>
      </c>
      <c r="AA867" s="13">
        <f t="shared" si="1733"/>
        <v>0</v>
      </c>
      <c r="AB867" s="13">
        <f t="shared" ref="AB867:AP867" si="1734">IFERROR(VALUE(RIGHT(LEFT($J867,FIND(AB$1,$J867,IF(M867=0,1,FIND(AB$1,$J867,1)+1))+LEN(AB$1)),1)),0)</f>
        <v>0</v>
      </c>
      <c r="AC867" s="13">
        <f t="shared" si="1734"/>
        <v>1</v>
      </c>
      <c r="AD867" s="13">
        <f t="shared" si="1734"/>
        <v>0</v>
      </c>
      <c r="AE867" s="13">
        <f t="shared" si="1734"/>
        <v>0</v>
      </c>
      <c r="AF867" s="13">
        <f t="shared" si="1734"/>
        <v>0</v>
      </c>
      <c r="AG867" s="13">
        <f t="shared" si="1734"/>
        <v>0</v>
      </c>
      <c r="AH867" s="13">
        <f t="shared" si="1734"/>
        <v>0</v>
      </c>
      <c r="AI867" s="13">
        <f t="shared" si="1734"/>
        <v>1</v>
      </c>
      <c r="AJ867" s="13">
        <f t="shared" si="1734"/>
        <v>0</v>
      </c>
      <c r="AK867" s="13">
        <f t="shared" si="1734"/>
        <v>0</v>
      </c>
      <c r="AL867" s="13">
        <f t="shared" si="1734"/>
        <v>0</v>
      </c>
      <c r="AM867" s="13">
        <f t="shared" si="1734"/>
        <v>0</v>
      </c>
      <c r="AN867" s="13">
        <f t="shared" si="1734"/>
        <v>0</v>
      </c>
      <c r="AO867" s="13">
        <f t="shared" si="1734"/>
        <v>0</v>
      </c>
      <c r="AP867" s="13">
        <f t="shared" si="1734"/>
        <v>0</v>
      </c>
      <c r="AQ867" s="13" t="s">
        <v>5257</v>
      </c>
      <c r="AR867" s="13"/>
      <c r="AS867" s="13" t="s">
        <v>391</v>
      </c>
      <c r="AT867" s="13"/>
      <c r="AU867" s="13"/>
      <c r="AV867" s="13"/>
      <c r="AW867" s="13">
        <v>0.0</v>
      </c>
      <c r="AX867" s="13">
        <v>16.0</v>
      </c>
      <c r="AY867" s="13">
        <v>0.0</v>
      </c>
      <c r="AZ867" s="13"/>
      <c r="BA867" s="13"/>
      <c r="BB867" s="13"/>
      <c r="BC867" s="13"/>
      <c r="BD867" s="13"/>
      <c r="BE867" s="13"/>
      <c r="BF867" s="13"/>
      <c r="BG867" s="13"/>
      <c r="BH867" s="13" t="s">
        <v>79</v>
      </c>
      <c r="BI867" s="13" t="b">
        <v>0</v>
      </c>
      <c r="BJ867" s="13">
        <v>0.0</v>
      </c>
      <c r="BK867" s="13">
        <v>0.0</v>
      </c>
    </row>
    <row r="868" ht="14.25" customHeight="1">
      <c r="A868" s="13">
        <v>866.0</v>
      </c>
      <c r="B868" s="13" t="s">
        <v>46</v>
      </c>
      <c r="C868" s="13">
        <v>1.0</v>
      </c>
      <c r="D868" s="14">
        <v>0.0</v>
      </c>
      <c r="E868" s="13" t="s">
        <v>5258</v>
      </c>
      <c r="F868" s="15" t="s">
        <v>5224</v>
      </c>
      <c r="G868" s="16" t="s">
        <v>5259</v>
      </c>
      <c r="H868" s="13"/>
      <c r="I868" s="13">
        <v>1.1</v>
      </c>
      <c r="J868" s="13" t="s">
        <v>2405</v>
      </c>
      <c r="K868" s="13">
        <f t="shared" si="3"/>
        <v>0</v>
      </c>
      <c r="L868" s="13">
        <f t="shared" si="4"/>
        <v>2</v>
      </c>
      <c r="M868" s="13">
        <f t="shared" ref="M868:AA868" si="1735">IFERROR(VALUE(RIGHT(LEFT($J868,FIND(M$1,$J868,1)+LEN(M$1)),1)),0)</f>
        <v>0</v>
      </c>
      <c r="N868" s="13">
        <f t="shared" si="1735"/>
        <v>0</v>
      </c>
      <c r="O868" s="13">
        <f t="shared" si="1735"/>
        <v>0</v>
      </c>
      <c r="P868" s="13">
        <f t="shared" si="1735"/>
        <v>0</v>
      </c>
      <c r="Q868" s="13">
        <f t="shared" si="1735"/>
        <v>0</v>
      </c>
      <c r="R868" s="13">
        <f t="shared" si="1735"/>
        <v>0</v>
      </c>
      <c r="S868" s="13">
        <f t="shared" si="1735"/>
        <v>0</v>
      </c>
      <c r="T868" s="13">
        <f t="shared" si="1735"/>
        <v>0</v>
      </c>
      <c r="U868" s="13">
        <f t="shared" si="1735"/>
        <v>0</v>
      </c>
      <c r="V868" s="13">
        <f t="shared" si="1735"/>
        <v>0</v>
      </c>
      <c r="W868" s="13">
        <f t="shared" si="1735"/>
        <v>0</v>
      </c>
      <c r="X868" s="13">
        <f t="shared" si="1735"/>
        <v>0</v>
      </c>
      <c r="Y868" s="13">
        <f t="shared" si="1735"/>
        <v>0</v>
      </c>
      <c r="Z868" s="13">
        <f t="shared" si="1735"/>
        <v>0</v>
      </c>
      <c r="AA868" s="13">
        <f t="shared" si="1735"/>
        <v>0</v>
      </c>
      <c r="AB868" s="13">
        <f t="shared" ref="AB868:AP868" si="1736">IFERROR(VALUE(RIGHT(LEFT($J868,FIND(AB$1,$J868,IF(M868=0,1,FIND(AB$1,$J868,1)+1))+LEN(AB$1)),1)),0)</f>
        <v>0</v>
      </c>
      <c r="AC868" s="13">
        <f t="shared" si="1736"/>
        <v>0</v>
      </c>
      <c r="AD868" s="13">
        <f t="shared" si="1736"/>
        <v>1</v>
      </c>
      <c r="AE868" s="13">
        <f t="shared" si="1736"/>
        <v>0</v>
      </c>
      <c r="AF868" s="13">
        <f t="shared" si="1736"/>
        <v>0</v>
      </c>
      <c r="AG868" s="13">
        <f t="shared" si="1736"/>
        <v>0</v>
      </c>
      <c r="AH868" s="13">
        <f t="shared" si="1736"/>
        <v>0</v>
      </c>
      <c r="AI868" s="13">
        <f t="shared" si="1736"/>
        <v>0</v>
      </c>
      <c r="AJ868" s="13">
        <f t="shared" si="1736"/>
        <v>1</v>
      </c>
      <c r="AK868" s="13">
        <f t="shared" si="1736"/>
        <v>0</v>
      </c>
      <c r="AL868" s="13">
        <f t="shared" si="1736"/>
        <v>0</v>
      </c>
      <c r="AM868" s="13">
        <f t="shared" si="1736"/>
        <v>0</v>
      </c>
      <c r="AN868" s="13">
        <f t="shared" si="1736"/>
        <v>0</v>
      </c>
      <c r="AO868" s="13">
        <f t="shared" si="1736"/>
        <v>0</v>
      </c>
      <c r="AP868" s="13">
        <f t="shared" si="1736"/>
        <v>0</v>
      </c>
      <c r="AQ868" s="13" t="s">
        <v>5260</v>
      </c>
      <c r="AR868" s="13"/>
      <c r="AS868" s="13" t="s">
        <v>5261</v>
      </c>
      <c r="AT868" s="13"/>
      <c r="AU868" s="13"/>
      <c r="AV868" s="13"/>
      <c r="AW868" s="13">
        <v>0.0</v>
      </c>
      <c r="AX868" s="13">
        <v>16.0</v>
      </c>
      <c r="AY868" s="13">
        <v>0.0</v>
      </c>
      <c r="AZ868" s="13"/>
      <c r="BA868" s="13"/>
      <c r="BB868" s="13"/>
      <c r="BC868" s="13"/>
      <c r="BD868" s="13"/>
      <c r="BE868" s="13"/>
      <c r="BF868" s="13"/>
      <c r="BG868" s="13"/>
      <c r="BH868" s="13" t="s">
        <v>79</v>
      </c>
      <c r="BI868" s="13" t="b">
        <v>0</v>
      </c>
      <c r="BJ868" s="13">
        <v>0.0</v>
      </c>
      <c r="BK868" s="13">
        <v>0.0</v>
      </c>
    </row>
    <row r="869" ht="14.25" customHeight="1">
      <c r="A869" s="13">
        <v>867.0</v>
      </c>
      <c r="B869" s="13" t="s">
        <v>51</v>
      </c>
      <c r="C869" s="13">
        <v>1.0</v>
      </c>
      <c r="D869" s="14">
        <v>0.0</v>
      </c>
      <c r="E869" s="13" t="s">
        <v>5262</v>
      </c>
      <c r="F869" s="15" t="s">
        <v>5224</v>
      </c>
      <c r="G869" s="16" t="s">
        <v>5263</v>
      </c>
      <c r="H869" s="13"/>
      <c r="I869" s="13">
        <v>1.2</v>
      </c>
      <c r="J869" s="13" t="s">
        <v>787</v>
      </c>
      <c r="K869" s="13">
        <f t="shared" si="3"/>
        <v>0</v>
      </c>
      <c r="L869" s="13">
        <f t="shared" si="4"/>
        <v>2</v>
      </c>
      <c r="M869" s="13">
        <f t="shared" ref="M869:AA869" si="1737">IFERROR(VALUE(RIGHT(LEFT($J869,FIND(M$1,$J869,1)+LEN(M$1)),1)),0)</f>
        <v>0</v>
      </c>
      <c r="N869" s="13">
        <f t="shared" si="1737"/>
        <v>0</v>
      </c>
      <c r="O869" s="13">
        <f t="shared" si="1737"/>
        <v>0</v>
      </c>
      <c r="P869" s="13">
        <f t="shared" si="1737"/>
        <v>0</v>
      </c>
      <c r="Q869" s="13">
        <f t="shared" si="1737"/>
        <v>0</v>
      </c>
      <c r="R869" s="13">
        <f t="shared" si="1737"/>
        <v>0</v>
      </c>
      <c r="S869" s="13">
        <f t="shared" si="1737"/>
        <v>0</v>
      </c>
      <c r="T869" s="13">
        <f t="shared" si="1737"/>
        <v>0</v>
      </c>
      <c r="U869" s="13">
        <f t="shared" si="1737"/>
        <v>0</v>
      </c>
      <c r="V869" s="13">
        <f t="shared" si="1737"/>
        <v>0</v>
      </c>
      <c r="W869" s="13">
        <f t="shared" si="1737"/>
        <v>0</v>
      </c>
      <c r="X869" s="13">
        <f t="shared" si="1737"/>
        <v>0</v>
      </c>
      <c r="Y869" s="13">
        <f t="shared" si="1737"/>
        <v>0</v>
      </c>
      <c r="Z869" s="13">
        <f t="shared" si="1737"/>
        <v>0</v>
      </c>
      <c r="AA869" s="13">
        <f t="shared" si="1737"/>
        <v>0</v>
      </c>
      <c r="AB869" s="13">
        <f t="shared" ref="AB869:AP869" si="1738">IFERROR(VALUE(RIGHT(LEFT($J869,FIND(AB$1,$J869,IF(M869=0,1,FIND(AB$1,$J869,1)+1))+LEN(AB$1)),1)),0)</f>
        <v>0</v>
      </c>
      <c r="AC869" s="13">
        <f t="shared" si="1738"/>
        <v>0</v>
      </c>
      <c r="AD869" s="13">
        <f t="shared" si="1738"/>
        <v>1</v>
      </c>
      <c r="AE869" s="13">
        <f t="shared" si="1738"/>
        <v>0</v>
      </c>
      <c r="AF869" s="13">
        <f t="shared" si="1738"/>
        <v>0</v>
      </c>
      <c r="AG869" s="13">
        <f t="shared" si="1738"/>
        <v>0</v>
      </c>
      <c r="AH869" s="13">
        <f t="shared" si="1738"/>
        <v>0</v>
      </c>
      <c r="AI869" s="13">
        <f t="shared" si="1738"/>
        <v>0</v>
      </c>
      <c r="AJ869" s="13">
        <f t="shared" si="1738"/>
        <v>0</v>
      </c>
      <c r="AK869" s="13">
        <f t="shared" si="1738"/>
        <v>0</v>
      </c>
      <c r="AL869" s="13">
        <f t="shared" si="1738"/>
        <v>0</v>
      </c>
      <c r="AM869" s="13">
        <f t="shared" si="1738"/>
        <v>0</v>
      </c>
      <c r="AN869" s="13">
        <f t="shared" si="1738"/>
        <v>0</v>
      </c>
      <c r="AO869" s="13">
        <f t="shared" si="1738"/>
        <v>1</v>
      </c>
      <c r="AP869" s="13">
        <f t="shared" si="1738"/>
        <v>0</v>
      </c>
      <c r="AQ869" s="13"/>
      <c r="AR869" s="13"/>
      <c r="AS869" s="13" t="s">
        <v>829</v>
      </c>
      <c r="AT869" s="13" t="s">
        <v>142</v>
      </c>
      <c r="AU869" s="13" t="s">
        <v>130</v>
      </c>
      <c r="AV869" s="13"/>
      <c r="AW869" s="13">
        <v>12.0</v>
      </c>
      <c r="AX869" s="13">
        <v>16.0</v>
      </c>
      <c r="AY869" s="13">
        <v>4.0</v>
      </c>
      <c r="AZ869" s="13"/>
      <c r="BA869" s="13"/>
      <c r="BB869" s="13">
        <v>2.0</v>
      </c>
      <c r="BC869" s="13">
        <v>1.0</v>
      </c>
      <c r="BD869" s="13" t="s">
        <v>5238</v>
      </c>
      <c r="BE869" s="13"/>
      <c r="BF869" s="13" t="s">
        <v>5239</v>
      </c>
      <c r="BG869" s="13"/>
      <c r="BH869" s="13" t="s">
        <v>79</v>
      </c>
      <c r="BI869" s="13" t="b">
        <v>0</v>
      </c>
      <c r="BJ869" s="13">
        <v>0.0</v>
      </c>
      <c r="BK869" s="13">
        <v>0.0</v>
      </c>
    </row>
    <row r="870" ht="14.25" customHeight="1">
      <c r="A870" s="13">
        <v>868.0</v>
      </c>
      <c r="B870" s="13" t="s">
        <v>51</v>
      </c>
      <c r="C870" s="13">
        <v>1.0</v>
      </c>
      <c r="D870" s="14">
        <v>0.0</v>
      </c>
      <c r="E870" s="13" t="s">
        <v>5264</v>
      </c>
      <c r="F870" s="15" t="s">
        <v>5224</v>
      </c>
      <c r="G870" s="16" t="s">
        <v>5265</v>
      </c>
      <c r="H870" s="13">
        <v>10.0</v>
      </c>
      <c r="I870" s="13">
        <v>0.9</v>
      </c>
      <c r="J870" s="13" t="s">
        <v>774</v>
      </c>
      <c r="K870" s="13">
        <f t="shared" si="3"/>
        <v>0</v>
      </c>
      <c r="L870" s="13">
        <f t="shared" si="4"/>
        <v>2</v>
      </c>
      <c r="M870" s="13">
        <f t="shared" ref="M870:AA870" si="1739">IFERROR(VALUE(RIGHT(LEFT($J870,FIND(M$1,$J870,1)+LEN(M$1)),1)),0)</f>
        <v>0</v>
      </c>
      <c r="N870" s="13">
        <f t="shared" si="1739"/>
        <v>0</v>
      </c>
      <c r="O870" s="13">
        <f t="shared" si="1739"/>
        <v>0</v>
      </c>
      <c r="P870" s="13">
        <f t="shared" si="1739"/>
        <v>0</v>
      </c>
      <c r="Q870" s="13">
        <f t="shared" si="1739"/>
        <v>0</v>
      </c>
      <c r="R870" s="13">
        <f t="shared" si="1739"/>
        <v>0</v>
      </c>
      <c r="S870" s="13">
        <f t="shared" si="1739"/>
        <v>0</v>
      </c>
      <c r="T870" s="13">
        <f t="shared" si="1739"/>
        <v>0</v>
      </c>
      <c r="U870" s="13">
        <f t="shared" si="1739"/>
        <v>0</v>
      </c>
      <c r="V870" s="13">
        <f t="shared" si="1739"/>
        <v>0</v>
      </c>
      <c r="W870" s="13">
        <f t="shared" si="1739"/>
        <v>0</v>
      </c>
      <c r="X870" s="13">
        <f t="shared" si="1739"/>
        <v>0</v>
      </c>
      <c r="Y870" s="13">
        <f t="shared" si="1739"/>
        <v>0</v>
      </c>
      <c r="Z870" s="13">
        <f t="shared" si="1739"/>
        <v>0</v>
      </c>
      <c r="AA870" s="13">
        <f t="shared" si="1739"/>
        <v>0</v>
      </c>
      <c r="AB870" s="13">
        <f t="shared" ref="AB870:AP870" si="1740">IFERROR(VALUE(RIGHT(LEFT($J870,FIND(AB$1,$J870,IF(M870=0,1,FIND(AB$1,$J870,1)+1))+LEN(AB$1)),1)),0)</f>
        <v>0</v>
      </c>
      <c r="AC870" s="13">
        <f t="shared" si="1740"/>
        <v>0</v>
      </c>
      <c r="AD870" s="13">
        <f t="shared" si="1740"/>
        <v>0</v>
      </c>
      <c r="AE870" s="13">
        <f t="shared" si="1740"/>
        <v>1</v>
      </c>
      <c r="AF870" s="13">
        <f t="shared" si="1740"/>
        <v>0</v>
      </c>
      <c r="AG870" s="13">
        <f t="shared" si="1740"/>
        <v>0</v>
      </c>
      <c r="AH870" s="13">
        <f t="shared" si="1740"/>
        <v>0</v>
      </c>
      <c r="AI870" s="13">
        <f t="shared" si="1740"/>
        <v>0</v>
      </c>
      <c r="AJ870" s="13">
        <f t="shared" si="1740"/>
        <v>0</v>
      </c>
      <c r="AK870" s="13">
        <f t="shared" si="1740"/>
        <v>0</v>
      </c>
      <c r="AL870" s="13">
        <f t="shared" si="1740"/>
        <v>0</v>
      </c>
      <c r="AM870" s="13">
        <f t="shared" si="1740"/>
        <v>0</v>
      </c>
      <c r="AN870" s="13">
        <f t="shared" si="1740"/>
        <v>0</v>
      </c>
      <c r="AO870" s="13">
        <f t="shared" si="1740"/>
        <v>1</v>
      </c>
      <c r="AP870" s="13">
        <f t="shared" si="1740"/>
        <v>0</v>
      </c>
      <c r="AQ870" s="13"/>
      <c r="AR870" s="13" t="s">
        <v>5266</v>
      </c>
      <c r="AS870" s="13" t="s">
        <v>5267</v>
      </c>
      <c r="AT870" s="13" t="s">
        <v>129</v>
      </c>
      <c r="AU870" s="13" t="s">
        <v>143</v>
      </c>
      <c r="AV870" s="13" t="s">
        <v>5268</v>
      </c>
      <c r="AW870" s="13">
        <v>9.0</v>
      </c>
      <c r="AX870" s="13">
        <v>16.0</v>
      </c>
      <c r="AY870" s="13">
        <v>0.0</v>
      </c>
      <c r="AZ870" s="13" t="s">
        <v>281</v>
      </c>
      <c r="BA870" s="13" t="s">
        <v>566</v>
      </c>
      <c r="BB870" s="13"/>
      <c r="BC870" s="13"/>
      <c r="BD870" s="13" t="s">
        <v>1822</v>
      </c>
      <c r="BE870" s="13"/>
      <c r="BF870" s="13" t="s">
        <v>4010</v>
      </c>
      <c r="BG870" s="13" t="s">
        <v>833</v>
      </c>
      <c r="BH870" s="13" t="s">
        <v>79</v>
      </c>
      <c r="BI870" s="13" t="b">
        <v>0</v>
      </c>
      <c r="BJ870" s="13">
        <v>0.0</v>
      </c>
      <c r="BK870" s="13">
        <v>0.0</v>
      </c>
    </row>
    <row r="871" ht="14.25" customHeight="1">
      <c r="A871" s="13">
        <v>869.0</v>
      </c>
      <c r="B871" s="13" t="s">
        <v>52</v>
      </c>
      <c r="C871" s="13">
        <v>1.0</v>
      </c>
      <c r="D871" s="14">
        <v>0.0</v>
      </c>
      <c r="E871" s="13" t="s">
        <v>5269</v>
      </c>
      <c r="F871" s="15" t="s">
        <v>5224</v>
      </c>
      <c r="G871" s="16" t="s">
        <v>5270</v>
      </c>
      <c r="H871" s="13">
        <v>12.0</v>
      </c>
      <c r="I871" s="13">
        <v>0.8</v>
      </c>
      <c r="J871" s="13" t="s">
        <v>860</v>
      </c>
      <c r="K871" s="13">
        <f t="shared" si="3"/>
        <v>0</v>
      </c>
      <c r="L871" s="13">
        <f t="shared" si="4"/>
        <v>2</v>
      </c>
      <c r="M871" s="13">
        <f t="shared" ref="M871:AA871" si="1741">IFERROR(VALUE(RIGHT(LEFT($J871,FIND(M$1,$J871,1)+LEN(M$1)),1)),0)</f>
        <v>0</v>
      </c>
      <c r="N871" s="13">
        <f t="shared" si="1741"/>
        <v>0</v>
      </c>
      <c r="O871" s="13">
        <f t="shared" si="1741"/>
        <v>0</v>
      </c>
      <c r="P871" s="13">
        <f t="shared" si="1741"/>
        <v>0</v>
      </c>
      <c r="Q871" s="13">
        <f t="shared" si="1741"/>
        <v>0</v>
      </c>
      <c r="R871" s="13">
        <f t="shared" si="1741"/>
        <v>0</v>
      </c>
      <c r="S871" s="13">
        <f t="shared" si="1741"/>
        <v>0</v>
      </c>
      <c r="T871" s="13">
        <f t="shared" si="1741"/>
        <v>0</v>
      </c>
      <c r="U871" s="13">
        <f t="shared" si="1741"/>
        <v>0</v>
      </c>
      <c r="V871" s="13">
        <f t="shared" si="1741"/>
        <v>0</v>
      </c>
      <c r="W871" s="13">
        <f t="shared" si="1741"/>
        <v>0</v>
      </c>
      <c r="X871" s="13">
        <f t="shared" si="1741"/>
        <v>0</v>
      </c>
      <c r="Y871" s="13">
        <f t="shared" si="1741"/>
        <v>0</v>
      </c>
      <c r="Z871" s="13">
        <f t="shared" si="1741"/>
        <v>0</v>
      </c>
      <c r="AA871" s="13">
        <f t="shared" si="1741"/>
        <v>0</v>
      </c>
      <c r="AB871" s="13">
        <f t="shared" ref="AB871:AP871" si="1742">IFERROR(VALUE(RIGHT(LEFT($J871,FIND(AB$1,$J871,IF(M871=0,1,FIND(AB$1,$J871,1)+1))+LEN(AB$1)),1)),0)</f>
        <v>0</v>
      </c>
      <c r="AC871" s="13">
        <f t="shared" si="1742"/>
        <v>1</v>
      </c>
      <c r="AD871" s="13">
        <f t="shared" si="1742"/>
        <v>0</v>
      </c>
      <c r="AE871" s="13">
        <f t="shared" si="1742"/>
        <v>0</v>
      </c>
      <c r="AF871" s="13">
        <f t="shared" si="1742"/>
        <v>0</v>
      </c>
      <c r="AG871" s="13">
        <f t="shared" si="1742"/>
        <v>0</v>
      </c>
      <c r="AH871" s="13">
        <f t="shared" si="1742"/>
        <v>0</v>
      </c>
      <c r="AI871" s="13">
        <f t="shared" si="1742"/>
        <v>0</v>
      </c>
      <c r="AJ871" s="13">
        <f t="shared" si="1742"/>
        <v>0</v>
      </c>
      <c r="AK871" s="13">
        <f t="shared" si="1742"/>
        <v>0</v>
      </c>
      <c r="AL871" s="13">
        <f t="shared" si="1742"/>
        <v>0</v>
      </c>
      <c r="AM871" s="13">
        <f t="shared" si="1742"/>
        <v>0</v>
      </c>
      <c r="AN871" s="13">
        <f t="shared" si="1742"/>
        <v>0</v>
      </c>
      <c r="AO871" s="13">
        <f t="shared" si="1742"/>
        <v>0</v>
      </c>
      <c r="AP871" s="13">
        <f t="shared" si="1742"/>
        <v>1</v>
      </c>
      <c r="AQ871" s="13"/>
      <c r="AR871" s="13" t="s">
        <v>5271</v>
      </c>
      <c r="AS871" s="13" t="s">
        <v>2418</v>
      </c>
      <c r="AT871" s="13" t="s">
        <v>854</v>
      </c>
      <c r="AU871" s="13" t="s">
        <v>130</v>
      </c>
      <c r="AV871" s="13" t="s">
        <v>2999</v>
      </c>
      <c r="AW871" s="13">
        <v>8.0</v>
      </c>
      <c r="AX871" s="13">
        <v>16.0</v>
      </c>
      <c r="AY871" s="13">
        <v>0.0</v>
      </c>
      <c r="AZ871" s="13" t="s">
        <v>209</v>
      </c>
      <c r="BA871" s="13" t="s">
        <v>4214</v>
      </c>
      <c r="BB871" s="13"/>
      <c r="BC871" s="13"/>
      <c r="BD871" s="13" t="s">
        <v>873</v>
      </c>
      <c r="BE871" s="13" t="s">
        <v>5272</v>
      </c>
      <c r="BF871" s="13" t="s">
        <v>5273</v>
      </c>
      <c r="BG871" s="13" t="s">
        <v>876</v>
      </c>
      <c r="BH871" s="13" t="s">
        <v>79</v>
      </c>
      <c r="BI871" s="13" t="b">
        <v>0</v>
      </c>
      <c r="BJ871" s="13">
        <v>0.0</v>
      </c>
      <c r="BK871" s="13">
        <v>0.0</v>
      </c>
    </row>
    <row r="872" ht="14.25" customHeight="1">
      <c r="A872" s="13">
        <v>870.0</v>
      </c>
      <c r="B872" s="13" t="s">
        <v>44</v>
      </c>
      <c r="C872" s="13">
        <v>2.0</v>
      </c>
      <c r="D872" s="14">
        <v>0.0</v>
      </c>
      <c r="E872" s="13" t="s">
        <v>5274</v>
      </c>
      <c r="F872" s="15" t="s">
        <v>5224</v>
      </c>
      <c r="G872" s="16" t="s">
        <v>5275</v>
      </c>
      <c r="H872" s="13"/>
      <c r="I872" s="13">
        <v>1.1</v>
      </c>
      <c r="J872" s="13" t="s">
        <v>964</v>
      </c>
      <c r="K872" s="13">
        <f t="shared" si="3"/>
        <v>0</v>
      </c>
      <c r="L872" s="13">
        <f t="shared" si="4"/>
        <v>3</v>
      </c>
      <c r="M872" s="13">
        <f t="shared" ref="M872:AA872" si="1743">IFERROR(VALUE(RIGHT(LEFT($J872,FIND(M$1,$J872,1)+LEN(M$1)),1)),0)</f>
        <v>0</v>
      </c>
      <c r="N872" s="13">
        <f t="shared" si="1743"/>
        <v>0</v>
      </c>
      <c r="O872" s="13">
        <f t="shared" si="1743"/>
        <v>0</v>
      </c>
      <c r="P872" s="13">
        <f t="shared" si="1743"/>
        <v>0</v>
      </c>
      <c r="Q872" s="13">
        <f t="shared" si="1743"/>
        <v>0</v>
      </c>
      <c r="R872" s="13">
        <f t="shared" si="1743"/>
        <v>0</v>
      </c>
      <c r="S872" s="13">
        <f t="shared" si="1743"/>
        <v>0</v>
      </c>
      <c r="T872" s="13">
        <f t="shared" si="1743"/>
        <v>0</v>
      </c>
      <c r="U872" s="13">
        <f t="shared" si="1743"/>
        <v>0</v>
      </c>
      <c r="V872" s="13">
        <f t="shared" si="1743"/>
        <v>0</v>
      </c>
      <c r="W872" s="13">
        <f t="shared" si="1743"/>
        <v>0</v>
      </c>
      <c r="X872" s="13">
        <f t="shared" si="1743"/>
        <v>0</v>
      </c>
      <c r="Y872" s="13">
        <f t="shared" si="1743"/>
        <v>0</v>
      </c>
      <c r="Z872" s="13">
        <f t="shared" si="1743"/>
        <v>0</v>
      </c>
      <c r="AA872" s="13">
        <f t="shared" si="1743"/>
        <v>0</v>
      </c>
      <c r="AB872" s="13">
        <f t="shared" ref="AB872:AP872" si="1744">IFERROR(VALUE(RIGHT(LEFT($J872,FIND(AB$1,$J872,IF(M872=0,1,FIND(AB$1,$J872,1)+1))+LEN(AB$1)),1)),0)</f>
        <v>0</v>
      </c>
      <c r="AC872" s="13">
        <f t="shared" si="1744"/>
        <v>0</v>
      </c>
      <c r="AD872" s="13">
        <f t="shared" si="1744"/>
        <v>0</v>
      </c>
      <c r="AE872" s="13">
        <f t="shared" si="1744"/>
        <v>1</v>
      </c>
      <c r="AF872" s="13">
        <f t="shared" si="1744"/>
        <v>0</v>
      </c>
      <c r="AG872" s="13">
        <f t="shared" si="1744"/>
        <v>0</v>
      </c>
      <c r="AH872" s="13">
        <f t="shared" si="1744"/>
        <v>2</v>
      </c>
      <c r="AI872" s="13">
        <f t="shared" si="1744"/>
        <v>0</v>
      </c>
      <c r="AJ872" s="13">
        <f t="shared" si="1744"/>
        <v>0</v>
      </c>
      <c r="AK872" s="13">
        <f t="shared" si="1744"/>
        <v>0</v>
      </c>
      <c r="AL872" s="13">
        <f t="shared" si="1744"/>
        <v>0</v>
      </c>
      <c r="AM872" s="13">
        <f t="shared" si="1744"/>
        <v>0</v>
      </c>
      <c r="AN872" s="13">
        <f t="shared" si="1744"/>
        <v>0</v>
      </c>
      <c r="AO872" s="13">
        <f t="shared" si="1744"/>
        <v>0</v>
      </c>
      <c r="AP872" s="13">
        <f t="shared" si="1744"/>
        <v>0</v>
      </c>
      <c r="AQ872" s="13" t="s">
        <v>5276</v>
      </c>
      <c r="AR872" s="13"/>
      <c r="AS872" s="13" t="s">
        <v>5277</v>
      </c>
      <c r="AT872" s="13"/>
      <c r="AU872" s="13"/>
      <c r="AV872" s="13"/>
      <c r="AW872" s="13">
        <v>0.0</v>
      </c>
      <c r="AX872" s="13">
        <v>16.0</v>
      </c>
      <c r="AY872" s="13">
        <v>0.0</v>
      </c>
      <c r="AZ872" s="13"/>
      <c r="BA872" s="13"/>
      <c r="BB872" s="13"/>
      <c r="BC872" s="13"/>
      <c r="BD872" s="13"/>
      <c r="BE872" s="13"/>
      <c r="BF872" s="13"/>
      <c r="BG872" s="13"/>
      <c r="BH872" s="13" t="s">
        <v>79</v>
      </c>
      <c r="BI872" s="13" t="b">
        <v>0</v>
      </c>
      <c r="BJ872" s="13">
        <v>0.0</v>
      </c>
      <c r="BK872" s="13">
        <v>0.0</v>
      </c>
    </row>
    <row r="873" ht="14.25" customHeight="1">
      <c r="A873" s="13">
        <v>871.0</v>
      </c>
      <c r="B873" s="13" t="s">
        <v>45</v>
      </c>
      <c r="C873" s="13">
        <v>2.0</v>
      </c>
      <c r="D873" s="14">
        <v>0.0</v>
      </c>
      <c r="E873" s="13" t="s">
        <v>5278</v>
      </c>
      <c r="F873" s="15" t="s">
        <v>5224</v>
      </c>
      <c r="G873" s="16" t="s">
        <v>5279</v>
      </c>
      <c r="H873" s="13"/>
      <c r="I873" s="13">
        <v>1.1</v>
      </c>
      <c r="J873" s="13" t="s">
        <v>1021</v>
      </c>
      <c r="K873" s="13">
        <f t="shared" si="3"/>
        <v>0</v>
      </c>
      <c r="L873" s="13">
        <f t="shared" si="4"/>
        <v>3</v>
      </c>
      <c r="M873" s="13">
        <f t="shared" ref="M873:AA873" si="1745">IFERROR(VALUE(RIGHT(LEFT($J873,FIND(M$1,$J873,1)+LEN(M$1)),1)),0)</f>
        <v>0</v>
      </c>
      <c r="N873" s="13">
        <f t="shared" si="1745"/>
        <v>0</v>
      </c>
      <c r="O873" s="13">
        <f t="shared" si="1745"/>
        <v>0</v>
      </c>
      <c r="P873" s="13">
        <f t="shared" si="1745"/>
        <v>0</v>
      </c>
      <c r="Q873" s="13">
        <f t="shared" si="1745"/>
        <v>0</v>
      </c>
      <c r="R873" s="13">
        <f t="shared" si="1745"/>
        <v>0</v>
      </c>
      <c r="S873" s="13">
        <f t="shared" si="1745"/>
        <v>0</v>
      </c>
      <c r="T873" s="13">
        <f t="shared" si="1745"/>
        <v>0</v>
      </c>
      <c r="U873" s="13">
        <f t="shared" si="1745"/>
        <v>0</v>
      </c>
      <c r="V873" s="13">
        <f t="shared" si="1745"/>
        <v>0</v>
      </c>
      <c r="W873" s="13">
        <f t="shared" si="1745"/>
        <v>0</v>
      </c>
      <c r="X873" s="13">
        <f t="shared" si="1745"/>
        <v>0</v>
      </c>
      <c r="Y873" s="13">
        <f t="shared" si="1745"/>
        <v>0</v>
      </c>
      <c r="Z873" s="13">
        <f t="shared" si="1745"/>
        <v>0</v>
      </c>
      <c r="AA873" s="13">
        <f t="shared" si="1745"/>
        <v>0</v>
      </c>
      <c r="AB873" s="13">
        <f t="shared" ref="AB873:AP873" si="1746">IFERROR(VALUE(RIGHT(LEFT($J873,FIND(AB$1,$J873,IF(M873=0,1,FIND(AB$1,$J873,1)+1))+LEN(AB$1)),1)),0)</f>
        <v>0</v>
      </c>
      <c r="AC873" s="13">
        <f t="shared" si="1746"/>
        <v>0</v>
      </c>
      <c r="AD873" s="13">
        <f t="shared" si="1746"/>
        <v>1</v>
      </c>
      <c r="AE873" s="13">
        <f t="shared" si="1746"/>
        <v>0</v>
      </c>
      <c r="AF873" s="13">
        <f t="shared" si="1746"/>
        <v>0</v>
      </c>
      <c r="AG873" s="13">
        <f t="shared" si="1746"/>
        <v>0</v>
      </c>
      <c r="AH873" s="13">
        <f t="shared" si="1746"/>
        <v>0</v>
      </c>
      <c r="AI873" s="13">
        <f t="shared" si="1746"/>
        <v>2</v>
      </c>
      <c r="AJ873" s="13">
        <f t="shared" si="1746"/>
        <v>0</v>
      </c>
      <c r="AK873" s="13">
        <f t="shared" si="1746"/>
        <v>0</v>
      </c>
      <c r="AL873" s="13">
        <f t="shared" si="1746"/>
        <v>0</v>
      </c>
      <c r="AM873" s="13">
        <f t="shared" si="1746"/>
        <v>0</v>
      </c>
      <c r="AN873" s="13">
        <f t="shared" si="1746"/>
        <v>0</v>
      </c>
      <c r="AO873" s="13">
        <f t="shared" si="1746"/>
        <v>0</v>
      </c>
      <c r="AP873" s="13">
        <f t="shared" si="1746"/>
        <v>0</v>
      </c>
      <c r="AQ873" s="13" t="s">
        <v>5280</v>
      </c>
      <c r="AR873" s="13"/>
      <c r="AS873" s="13" t="s">
        <v>3231</v>
      </c>
      <c r="AT873" s="13"/>
      <c r="AU873" s="13"/>
      <c r="AV873" s="13"/>
      <c r="AW873" s="13">
        <v>0.0</v>
      </c>
      <c r="AX873" s="13">
        <v>16.0</v>
      </c>
      <c r="AY873" s="13">
        <v>0.0</v>
      </c>
      <c r="AZ873" s="13"/>
      <c r="BA873" s="13"/>
      <c r="BB873" s="13"/>
      <c r="BC873" s="13"/>
      <c r="BD873" s="13"/>
      <c r="BE873" s="13"/>
      <c r="BF873" s="13"/>
      <c r="BG873" s="13"/>
      <c r="BH873" s="13" t="s">
        <v>79</v>
      </c>
      <c r="BI873" s="13" t="b">
        <v>0</v>
      </c>
      <c r="BJ873" s="13">
        <v>0.0</v>
      </c>
      <c r="BK873" s="13">
        <v>0.0</v>
      </c>
    </row>
    <row r="874" ht="14.25" customHeight="1">
      <c r="A874" s="13">
        <v>872.0</v>
      </c>
      <c r="B874" s="13" t="s">
        <v>46</v>
      </c>
      <c r="C874" s="13">
        <v>2.0</v>
      </c>
      <c r="D874" s="14">
        <v>0.0</v>
      </c>
      <c r="E874" s="13" t="s">
        <v>5281</v>
      </c>
      <c r="F874" s="15" t="s">
        <v>5224</v>
      </c>
      <c r="G874" s="16" t="s">
        <v>5282</v>
      </c>
      <c r="H874" s="13"/>
      <c r="I874" s="13">
        <v>1.0</v>
      </c>
      <c r="J874" s="13" t="s">
        <v>1062</v>
      </c>
      <c r="K874" s="13">
        <f t="shared" si="3"/>
        <v>0</v>
      </c>
      <c r="L874" s="13">
        <f t="shared" si="4"/>
        <v>3</v>
      </c>
      <c r="M874" s="13">
        <f t="shared" ref="M874:AA874" si="1747">IFERROR(VALUE(RIGHT(LEFT($J874,FIND(M$1,$J874,1)+LEN(M$1)),1)),0)</f>
        <v>0</v>
      </c>
      <c r="N874" s="13">
        <f t="shared" si="1747"/>
        <v>0</v>
      </c>
      <c r="O874" s="13">
        <f t="shared" si="1747"/>
        <v>0</v>
      </c>
      <c r="P874" s="13">
        <f t="shared" si="1747"/>
        <v>0</v>
      </c>
      <c r="Q874" s="13">
        <f t="shared" si="1747"/>
        <v>0</v>
      </c>
      <c r="R874" s="13">
        <f t="shared" si="1747"/>
        <v>0</v>
      </c>
      <c r="S874" s="13">
        <f t="shared" si="1747"/>
        <v>0</v>
      </c>
      <c r="T874" s="13">
        <f t="shared" si="1747"/>
        <v>0</v>
      </c>
      <c r="U874" s="13">
        <f t="shared" si="1747"/>
        <v>0</v>
      </c>
      <c r="V874" s="13">
        <f t="shared" si="1747"/>
        <v>0</v>
      </c>
      <c r="W874" s="13">
        <f t="shared" si="1747"/>
        <v>0</v>
      </c>
      <c r="X874" s="13">
        <f t="shared" si="1747"/>
        <v>0</v>
      </c>
      <c r="Y874" s="13">
        <f t="shared" si="1747"/>
        <v>0</v>
      </c>
      <c r="Z874" s="13">
        <f t="shared" si="1747"/>
        <v>0</v>
      </c>
      <c r="AA874" s="13">
        <f t="shared" si="1747"/>
        <v>0</v>
      </c>
      <c r="AB874" s="13">
        <f t="shared" ref="AB874:AP874" si="1748">IFERROR(VALUE(RIGHT(LEFT($J874,FIND(AB$1,$J874,IF(M874=0,1,FIND(AB$1,$J874,1)+1))+LEN(AB$1)),1)),0)</f>
        <v>0</v>
      </c>
      <c r="AC874" s="13">
        <f t="shared" si="1748"/>
        <v>1</v>
      </c>
      <c r="AD874" s="13">
        <f t="shared" si="1748"/>
        <v>0</v>
      </c>
      <c r="AE874" s="13">
        <f t="shared" si="1748"/>
        <v>0</v>
      </c>
      <c r="AF874" s="13">
        <f t="shared" si="1748"/>
        <v>0</v>
      </c>
      <c r="AG874" s="13">
        <f t="shared" si="1748"/>
        <v>0</v>
      </c>
      <c r="AH874" s="13">
        <f t="shared" si="1748"/>
        <v>0</v>
      </c>
      <c r="AI874" s="13">
        <f t="shared" si="1748"/>
        <v>0</v>
      </c>
      <c r="AJ874" s="13">
        <f t="shared" si="1748"/>
        <v>2</v>
      </c>
      <c r="AK874" s="13">
        <f t="shared" si="1748"/>
        <v>0</v>
      </c>
      <c r="AL874" s="13">
        <f t="shared" si="1748"/>
        <v>0</v>
      </c>
      <c r="AM874" s="13">
        <f t="shared" si="1748"/>
        <v>0</v>
      </c>
      <c r="AN874" s="13">
        <f t="shared" si="1748"/>
        <v>0</v>
      </c>
      <c r="AO874" s="13">
        <f t="shared" si="1748"/>
        <v>0</v>
      </c>
      <c r="AP874" s="13">
        <f t="shared" si="1748"/>
        <v>0</v>
      </c>
      <c r="AQ874" s="13" t="s">
        <v>5283</v>
      </c>
      <c r="AR874" s="13"/>
      <c r="AS874" s="13" t="s">
        <v>1064</v>
      </c>
      <c r="AT874" s="13"/>
      <c r="AU874" s="13"/>
      <c r="AV874" s="13"/>
      <c r="AW874" s="13">
        <v>0.0</v>
      </c>
      <c r="AX874" s="13">
        <v>16.0</v>
      </c>
      <c r="AY874" s="13">
        <v>0.0</v>
      </c>
      <c r="AZ874" s="13"/>
      <c r="BA874" s="13"/>
      <c r="BB874" s="13"/>
      <c r="BC874" s="13"/>
      <c r="BD874" s="13"/>
      <c r="BE874" s="13"/>
      <c r="BF874" s="13"/>
      <c r="BG874" s="13"/>
      <c r="BH874" s="13" t="s">
        <v>79</v>
      </c>
      <c r="BI874" s="13" t="b">
        <v>0</v>
      </c>
      <c r="BJ874" s="13">
        <v>0.0</v>
      </c>
      <c r="BK874" s="13">
        <v>0.0</v>
      </c>
    </row>
    <row r="875" ht="14.25" customHeight="1">
      <c r="A875" s="13">
        <v>873.0</v>
      </c>
      <c r="B875" s="13" t="s">
        <v>51</v>
      </c>
      <c r="C875" s="13">
        <v>2.0</v>
      </c>
      <c r="D875" s="14">
        <v>0.0</v>
      </c>
      <c r="E875" s="13" t="s">
        <v>5284</v>
      </c>
      <c r="F875" s="15" t="s">
        <v>5224</v>
      </c>
      <c r="G875" s="16" t="s">
        <v>5285</v>
      </c>
      <c r="H875" s="13"/>
      <c r="I875" s="13">
        <v>1.1</v>
      </c>
      <c r="J875" s="13" t="s">
        <v>1447</v>
      </c>
      <c r="K875" s="13">
        <f t="shared" si="3"/>
        <v>0</v>
      </c>
      <c r="L875" s="13">
        <f t="shared" si="4"/>
        <v>3</v>
      </c>
      <c r="M875" s="13">
        <f t="shared" ref="M875:AA875" si="1749">IFERROR(VALUE(RIGHT(LEFT($J875,FIND(M$1,$J875,1)+LEN(M$1)),1)),0)</f>
        <v>0</v>
      </c>
      <c r="N875" s="13">
        <f t="shared" si="1749"/>
        <v>0</v>
      </c>
      <c r="O875" s="13">
        <f t="shared" si="1749"/>
        <v>0</v>
      </c>
      <c r="P875" s="13">
        <f t="shared" si="1749"/>
        <v>0</v>
      </c>
      <c r="Q875" s="13">
        <f t="shared" si="1749"/>
        <v>0</v>
      </c>
      <c r="R875" s="13">
        <f t="shared" si="1749"/>
        <v>0</v>
      </c>
      <c r="S875" s="13">
        <f t="shared" si="1749"/>
        <v>0</v>
      </c>
      <c r="T875" s="13">
        <f t="shared" si="1749"/>
        <v>0</v>
      </c>
      <c r="U875" s="13">
        <f t="shared" si="1749"/>
        <v>0</v>
      </c>
      <c r="V875" s="13">
        <f t="shared" si="1749"/>
        <v>0</v>
      </c>
      <c r="W875" s="13">
        <f t="shared" si="1749"/>
        <v>0</v>
      </c>
      <c r="X875" s="13">
        <f t="shared" si="1749"/>
        <v>0</v>
      </c>
      <c r="Y875" s="13">
        <f t="shared" si="1749"/>
        <v>0</v>
      </c>
      <c r="Z875" s="13">
        <f t="shared" si="1749"/>
        <v>0</v>
      </c>
      <c r="AA875" s="13">
        <f t="shared" si="1749"/>
        <v>0</v>
      </c>
      <c r="AB875" s="13">
        <f t="shared" ref="AB875:AP875" si="1750">IFERROR(VALUE(RIGHT(LEFT($J875,FIND(AB$1,$J875,IF(M875=0,1,FIND(AB$1,$J875,1)+1))+LEN(AB$1)),1)),0)</f>
        <v>0</v>
      </c>
      <c r="AC875" s="13">
        <f t="shared" si="1750"/>
        <v>0</v>
      </c>
      <c r="AD875" s="13">
        <f t="shared" si="1750"/>
        <v>0</v>
      </c>
      <c r="AE875" s="13">
        <f t="shared" si="1750"/>
        <v>1</v>
      </c>
      <c r="AF875" s="13">
        <f t="shared" si="1750"/>
        <v>0</v>
      </c>
      <c r="AG875" s="13">
        <f t="shared" si="1750"/>
        <v>0</v>
      </c>
      <c r="AH875" s="13">
        <f t="shared" si="1750"/>
        <v>0</v>
      </c>
      <c r="AI875" s="13">
        <f t="shared" si="1750"/>
        <v>0</v>
      </c>
      <c r="AJ875" s="13">
        <f t="shared" si="1750"/>
        <v>0</v>
      </c>
      <c r="AK875" s="13">
        <f t="shared" si="1750"/>
        <v>0</v>
      </c>
      <c r="AL875" s="13">
        <f t="shared" si="1750"/>
        <v>0</v>
      </c>
      <c r="AM875" s="13">
        <f t="shared" si="1750"/>
        <v>0</v>
      </c>
      <c r="AN875" s="13">
        <f t="shared" si="1750"/>
        <v>0</v>
      </c>
      <c r="AO875" s="13">
        <f t="shared" si="1750"/>
        <v>2</v>
      </c>
      <c r="AP875" s="13">
        <f t="shared" si="1750"/>
        <v>0</v>
      </c>
      <c r="AQ875" s="13"/>
      <c r="AR875" s="13"/>
      <c r="AS875" s="13" t="s">
        <v>5286</v>
      </c>
      <c r="AT875" s="13" t="s">
        <v>142</v>
      </c>
      <c r="AU875" s="13" t="s">
        <v>130</v>
      </c>
      <c r="AV875" s="13"/>
      <c r="AW875" s="13">
        <v>16.0</v>
      </c>
      <c r="AX875" s="13">
        <v>16.0</v>
      </c>
      <c r="AY875" s="13">
        <v>4.0</v>
      </c>
      <c r="AZ875" s="13"/>
      <c r="BA875" s="13"/>
      <c r="BB875" s="13">
        <v>3.0</v>
      </c>
      <c r="BC875" s="13">
        <v>1.0</v>
      </c>
      <c r="BD875" s="13" t="s">
        <v>5238</v>
      </c>
      <c r="BE875" s="13"/>
      <c r="BF875" s="13" t="s">
        <v>5239</v>
      </c>
      <c r="BG875" s="13"/>
      <c r="BH875" s="13" t="s">
        <v>79</v>
      </c>
      <c r="BI875" s="13" t="b">
        <v>0</v>
      </c>
      <c r="BJ875" s="13">
        <v>0.0</v>
      </c>
      <c r="BK875" s="13">
        <v>0.0</v>
      </c>
    </row>
    <row r="876" ht="14.25" customHeight="1">
      <c r="A876" s="13">
        <v>874.0</v>
      </c>
      <c r="B876" s="13" t="s">
        <v>51</v>
      </c>
      <c r="C876" s="13">
        <v>2.0</v>
      </c>
      <c r="D876" s="14">
        <v>0.0</v>
      </c>
      <c r="E876" s="13" t="s">
        <v>5287</v>
      </c>
      <c r="F876" s="15" t="s">
        <v>5224</v>
      </c>
      <c r="G876" s="16" t="s">
        <v>5288</v>
      </c>
      <c r="H876" s="13">
        <v>13.0</v>
      </c>
      <c r="I876" s="13">
        <v>1.2</v>
      </c>
      <c r="J876" s="13" t="s">
        <v>5289</v>
      </c>
      <c r="K876" s="13">
        <f t="shared" si="3"/>
        <v>0</v>
      </c>
      <c r="L876" s="13">
        <f t="shared" si="4"/>
        <v>3</v>
      </c>
      <c r="M876" s="13">
        <f t="shared" ref="M876:AA876" si="1751">IFERROR(VALUE(RIGHT(LEFT($J876,FIND(M$1,$J876,1)+LEN(M$1)),1)),0)</f>
        <v>0</v>
      </c>
      <c r="N876" s="13">
        <f t="shared" si="1751"/>
        <v>0</v>
      </c>
      <c r="O876" s="13">
        <f t="shared" si="1751"/>
        <v>0</v>
      </c>
      <c r="P876" s="13">
        <f t="shared" si="1751"/>
        <v>0</v>
      </c>
      <c r="Q876" s="13">
        <f t="shared" si="1751"/>
        <v>0</v>
      </c>
      <c r="R876" s="13">
        <f t="shared" si="1751"/>
        <v>0</v>
      </c>
      <c r="S876" s="13">
        <f t="shared" si="1751"/>
        <v>0</v>
      </c>
      <c r="T876" s="13">
        <f t="shared" si="1751"/>
        <v>0</v>
      </c>
      <c r="U876" s="13">
        <f t="shared" si="1751"/>
        <v>0</v>
      </c>
      <c r="V876" s="13">
        <f t="shared" si="1751"/>
        <v>0</v>
      </c>
      <c r="W876" s="13">
        <f t="shared" si="1751"/>
        <v>0</v>
      </c>
      <c r="X876" s="13">
        <f t="shared" si="1751"/>
        <v>0</v>
      </c>
      <c r="Y876" s="13">
        <f t="shared" si="1751"/>
        <v>0</v>
      </c>
      <c r="Z876" s="13">
        <f t="shared" si="1751"/>
        <v>0</v>
      </c>
      <c r="AA876" s="13">
        <f t="shared" si="1751"/>
        <v>0</v>
      </c>
      <c r="AB876" s="13">
        <f t="shared" ref="AB876:AP876" si="1752">IFERROR(VALUE(RIGHT(LEFT($J876,FIND(AB$1,$J876,IF(M876=0,1,FIND(AB$1,$J876,1)+1))+LEN(AB$1)),1)),0)</f>
        <v>0</v>
      </c>
      <c r="AC876" s="13">
        <f t="shared" si="1752"/>
        <v>0</v>
      </c>
      <c r="AD876" s="13">
        <f t="shared" si="1752"/>
        <v>2</v>
      </c>
      <c r="AE876" s="13">
        <f t="shared" si="1752"/>
        <v>0</v>
      </c>
      <c r="AF876" s="13">
        <f t="shared" si="1752"/>
        <v>0</v>
      </c>
      <c r="AG876" s="13">
        <f t="shared" si="1752"/>
        <v>0</v>
      </c>
      <c r="AH876" s="13">
        <f t="shared" si="1752"/>
        <v>0</v>
      </c>
      <c r="AI876" s="13">
        <f t="shared" si="1752"/>
        <v>0</v>
      </c>
      <c r="AJ876" s="13">
        <f t="shared" si="1752"/>
        <v>0</v>
      </c>
      <c r="AK876" s="13">
        <f t="shared" si="1752"/>
        <v>0</v>
      </c>
      <c r="AL876" s="13">
        <f t="shared" si="1752"/>
        <v>0</v>
      </c>
      <c r="AM876" s="13">
        <f t="shared" si="1752"/>
        <v>0</v>
      </c>
      <c r="AN876" s="13">
        <f t="shared" si="1752"/>
        <v>0</v>
      </c>
      <c r="AO876" s="13">
        <f t="shared" si="1752"/>
        <v>1</v>
      </c>
      <c r="AP876" s="13">
        <f t="shared" si="1752"/>
        <v>0</v>
      </c>
      <c r="AQ876" s="13"/>
      <c r="AR876" s="13" t="s">
        <v>5290</v>
      </c>
      <c r="AS876" s="13" t="s">
        <v>5291</v>
      </c>
      <c r="AT876" s="13" t="s">
        <v>257</v>
      </c>
      <c r="AU876" s="13" t="s">
        <v>803</v>
      </c>
      <c r="AV876" s="13" t="s">
        <v>5292</v>
      </c>
      <c r="AW876" s="13">
        <v>13.0</v>
      </c>
      <c r="AX876" s="13">
        <v>16.0</v>
      </c>
      <c r="AY876" s="13">
        <v>0.0</v>
      </c>
      <c r="AZ876" s="13" t="s">
        <v>1412</v>
      </c>
      <c r="BA876" s="13" t="s">
        <v>281</v>
      </c>
      <c r="BB876" s="13"/>
      <c r="BC876" s="13"/>
      <c r="BD876" s="13" t="s">
        <v>1822</v>
      </c>
      <c r="BE876" s="13"/>
      <c r="BF876" s="13" t="s">
        <v>1507</v>
      </c>
      <c r="BG876" s="13" t="s">
        <v>833</v>
      </c>
      <c r="BH876" s="13" t="s">
        <v>79</v>
      </c>
      <c r="BI876" s="13" t="b">
        <v>0</v>
      </c>
      <c r="BJ876" s="13">
        <v>0.0</v>
      </c>
      <c r="BK876" s="13">
        <v>0.0</v>
      </c>
    </row>
    <row r="877" ht="14.25" customHeight="1">
      <c r="A877" s="13">
        <v>875.0</v>
      </c>
      <c r="B877" s="13" t="s">
        <v>52</v>
      </c>
      <c r="C877" s="13">
        <v>2.0</v>
      </c>
      <c r="D877" s="14">
        <v>0.0</v>
      </c>
      <c r="E877" s="13" t="s">
        <v>5293</v>
      </c>
      <c r="F877" s="15" t="s">
        <v>5224</v>
      </c>
      <c r="G877" s="16" t="s">
        <v>5294</v>
      </c>
      <c r="H877" s="13">
        <v>16.0</v>
      </c>
      <c r="I877" s="13">
        <v>0.9</v>
      </c>
      <c r="J877" s="13" t="s">
        <v>1502</v>
      </c>
      <c r="K877" s="13">
        <f t="shared" si="3"/>
        <v>0</v>
      </c>
      <c r="L877" s="13">
        <f t="shared" si="4"/>
        <v>3</v>
      </c>
      <c r="M877" s="13">
        <f t="shared" ref="M877:AA877" si="1753">IFERROR(VALUE(RIGHT(LEFT($J877,FIND(M$1,$J877,1)+LEN(M$1)),1)),0)</f>
        <v>0</v>
      </c>
      <c r="N877" s="13">
        <f t="shared" si="1753"/>
        <v>0</v>
      </c>
      <c r="O877" s="13">
        <f t="shared" si="1753"/>
        <v>0</v>
      </c>
      <c r="P877" s="13">
        <f t="shared" si="1753"/>
        <v>0</v>
      </c>
      <c r="Q877" s="13">
        <f t="shared" si="1753"/>
        <v>0</v>
      </c>
      <c r="R877" s="13">
        <f t="shared" si="1753"/>
        <v>0</v>
      </c>
      <c r="S877" s="13">
        <f t="shared" si="1753"/>
        <v>0</v>
      </c>
      <c r="T877" s="13">
        <f t="shared" si="1753"/>
        <v>0</v>
      </c>
      <c r="U877" s="13">
        <f t="shared" si="1753"/>
        <v>0</v>
      </c>
      <c r="V877" s="13">
        <f t="shared" si="1753"/>
        <v>0</v>
      </c>
      <c r="W877" s="13">
        <f t="shared" si="1753"/>
        <v>0</v>
      </c>
      <c r="X877" s="13">
        <f t="shared" si="1753"/>
        <v>0</v>
      </c>
      <c r="Y877" s="13">
        <f t="shared" si="1753"/>
        <v>0</v>
      </c>
      <c r="Z877" s="13">
        <f t="shared" si="1753"/>
        <v>0</v>
      </c>
      <c r="AA877" s="13">
        <f t="shared" si="1753"/>
        <v>0</v>
      </c>
      <c r="AB877" s="13">
        <f t="shared" ref="AB877:AP877" si="1754">IFERROR(VALUE(RIGHT(LEFT($J877,FIND(AB$1,$J877,IF(M877=0,1,FIND(AB$1,$J877,1)+1))+LEN(AB$1)),1)),0)</f>
        <v>0</v>
      </c>
      <c r="AC877" s="13">
        <f t="shared" si="1754"/>
        <v>1</v>
      </c>
      <c r="AD877" s="13">
        <f t="shared" si="1754"/>
        <v>0</v>
      </c>
      <c r="AE877" s="13">
        <f t="shared" si="1754"/>
        <v>0</v>
      </c>
      <c r="AF877" s="13">
        <f t="shared" si="1754"/>
        <v>0</v>
      </c>
      <c r="AG877" s="13">
        <f t="shared" si="1754"/>
        <v>0</v>
      </c>
      <c r="AH877" s="13">
        <f t="shared" si="1754"/>
        <v>0</v>
      </c>
      <c r="AI877" s="13">
        <f t="shared" si="1754"/>
        <v>0</v>
      </c>
      <c r="AJ877" s="13">
        <f t="shared" si="1754"/>
        <v>0</v>
      </c>
      <c r="AK877" s="13">
        <f t="shared" si="1754"/>
        <v>0</v>
      </c>
      <c r="AL877" s="13">
        <f t="shared" si="1754"/>
        <v>0</v>
      </c>
      <c r="AM877" s="13">
        <f t="shared" si="1754"/>
        <v>0</v>
      </c>
      <c r="AN877" s="13">
        <f t="shared" si="1754"/>
        <v>0</v>
      </c>
      <c r="AO877" s="13">
        <f t="shared" si="1754"/>
        <v>0</v>
      </c>
      <c r="AP877" s="13">
        <f t="shared" si="1754"/>
        <v>2</v>
      </c>
      <c r="AQ877" s="13"/>
      <c r="AR877" s="13" t="s">
        <v>5295</v>
      </c>
      <c r="AS877" s="13" t="s">
        <v>5296</v>
      </c>
      <c r="AT877" s="13" t="s">
        <v>5297</v>
      </c>
      <c r="AU877" s="13" t="s">
        <v>130</v>
      </c>
      <c r="AV877" s="13" t="s">
        <v>5298</v>
      </c>
      <c r="AW877" s="13">
        <v>14.0</v>
      </c>
      <c r="AX877" s="13">
        <v>16.0</v>
      </c>
      <c r="AY877" s="13">
        <v>0.0</v>
      </c>
      <c r="AZ877" s="13" t="s">
        <v>5299</v>
      </c>
      <c r="BA877" s="13" t="s">
        <v>5300</v>
      </c>
      <c r="BB877" s="13"/>
      <c r="BC877" s="13"/>
      <c r="BD877" s="13" t="s">
        <v>873</v>
      </c>
      <c r="BE877" s="13" t="s">
        <v>5301</v>
      </c>
      <c r="BF877" s="13" t="s">
        <v>3328</v>
      </c>
      <c r="BG877" s="13" t="s">
        <v>876</v>
      </c>
      <c r="BH877" s="13" t="s">
        <v>79</v>
      </c>
      <c r="BI877" s="13" t="b">
        <v>0</v>
      </c>
      <c r="BJ877" s="13">
        <v>0.0</v>
      </c>
      <c r="BK877" s="13">
        <v>0.0</v>
      </c>
    </row>
    <row r="878" ht="14.25" customHeight="1">
      <c r="A878" s="13">
        <v>876.0</v>
      </c>
      <c r="B878" s="13" t="s">
        <v>44</v>
      </c>
      <c r="C878" s="13">
        <v>3.0</v>
      </c>
      <c r="D878" s="14">
        <v>0.0</v>
      </c>
      <c r="E878" s="13" t="s">
        <v>5302</v>
      </c>
      <c r="F878" s="15" t="s">
        <v>5224</v>
      </c>
      <c r="G878" s="16" t="s">
        <v>5303</v>
      </c>
      <c r="H878" s="13"/>
      <c r="I878" s="13">
        <v>1.1</v>
      </c>
      <c r="J878" s="13" t="s">
        <v>4066</v>
      </c>
      <c r="K878" s="13">
        <f t="shared" si="3"/>
        <v>1</v>
      </c>
      <c r="L878" s="13">
        <f t="shared" si="4"/>
        <v>2</v>
      </c>
      <c r="M878" s="13">
        <f t="shared" ref="M878:AA878" si="1755">IFERROR(VALUE(RIGHT(LEFT($J878,FIND(M$1,$J878,1)+LEN(M$1)),1)),0)</f>
        <v>0</v>
      </c>
      <c r="N878" s="13">
        <f t="shared" si="1755"/>
        <v>0</v>
      </c>
      <c r="O878" s="13">
        <f t="shared" si="1755"/>
        <v>0</v>
      </c>
      <c r="P878" s="13">
        <f t="shared" si="1755"/>
        <v>0</v>
      </c>
      <c r="Q878" s="13">
        <f t="shared" si="1755"/>
        <v>0</v>
      </c>
      <c r="R878" s="13">
        <f t="shared" si="1755"/>
        <v>0</v>
      </c>
      <c r="S878" s="13">
        <f t="shared" si="1755"/>
        <v>1</v>
      </c>
      <c r="T878" s="13">
        <f t="shared" si="1755"/>
        <v>0</v>
      </c>
      <c r="U878" s="13">
        <f t="shared" si="1755"/>
        <v>0</v>
      </c>
      <c r="V878" s="13">
        <f t="shared" si="1755"/>
        <v>0</v>
      </c>
      <c r="W878" s="13">
        <f t="shared" si="1755"/>
        <v>0</v>
      </c>
      <c r="X878" s="13">
        <f t="shared" si="1755"/>
        <v>0</v>
      </c>
      <c r="Y878" s="13">
        <f t="shared" si="1755"/>
        <v>0</v>
      </c>
      <c r="Z878" s="13">
        <f t="shared" si="1755"/>
        <v>0</v>
      </c>
      <c r="AA878" s="13">
        <f t="shared" si="1755"/>
        <v>0</v>
      </c>
      <c r="AB878" s="13">
        <f t="shared" ref="AB878:AP878" si="1756">IFERROR(VALUE(RIGHT(LEFT($J878,FIND(AB$1,$J878,IF(M878=0,1,FIND(AB$1,$J878,1)+1))+LEN(AB$1)),1)),0)</f>
        <v>0</v>
      </c>
      <c r="AC878" s="13">
        <f t="shared" si="1756"/>
        <v>0</v>
      </c>
      <c r="AD878" s="13">
        <f t="shared" si="1756"/>
        <v>0</v>
      </c>
      <c r="AE878" s="13">
        <f t="shared" si="1756"/>
        <v>1</v>
      </c>
      <c r="AF878" s="13">
        <f t="shared" si="1756"/>
        <v>0</v>
      </c>
      <c r="AG878" s="13">
        <f t="shared" si="1756"/>
        <v>0</v>
      </c>
      <c r="AH878" s="13">
        <f t="shared" si="1756"/>
        <v>1</v>
      </c>
      <c r="AI878" s="13">
        <f t="shared" si="1756"/>
        <v>0</v>
      </c>
      <c r="AJ878" s="13">
        <f t="shared" si="1756"/>
        <v>0</v>
      </c>
      <c r="AK878" s="13">
        <f t="shared" si="1756"/>
        <v>0</v>
      </c>
      <c r="AL878" s="13">
        <f t="shared" si="1756"/>
        <v>0</v>
      </c>
      <c r="AM878" s="13">
        <f t="shared" si="1756"/>
        <v>0</v>
      </c>
      <c r="AN878" s="13">
        <f t="shared" si="1756"/>
        <v>0</v>
      </c>
      <c r="AO878" s="13">
        <f t="shared" si="1756"/>
        <v>0</v>
      </c>
      <c r="AP878" s="13">
        <f t="shared" si="1756"/>
        <v>0</v>
      </c>
      <c r="AQ878" s="13" t="s">
        <v>5304</v>
      </c>
      <c r="AR878" s="13"/>
      <c r="AS878" s="13" t="s">
        <v>5305</v>
      </c>
      <c r="AT878" s="13"/>
      <c r="AU878" s="13"/>
      <c r="AV878" s="13"/>
      <c r="AW878" s="13">
        <v>0.0</v>
      </c>
      <c r="AX878" s="13">
        <v>16.0</v>
      </c>
      <c r="AY878" s="13">
        <v>0.0</v>
      </c>
      <c r="AZ878" s="13"/>
      <c r="BA878" s="13"/>
      <c r="BB878" s="13"/>
      <c r="BC878" s="13"/>
      <c r="BD878" s="13"/>
      <c r="BE878" s="13"/>
      <c r="BF878" s="13"/>
      <c r="BG878" s="13"/>
      <c r="BH878" s="13" t="s">
        <v>79</v>
      </c>
      <c r="BI878" s="13" t="b">
        <v>0</v>
      </c>
      <c r="BJ878" s="13">
        <v>0.0</v>
      </c>
      <c r="BK878" s="13">
        <v>0.0</v>
      </c>
    </row>
    <row r="879" ht="14.25" customHeight="1">
      <c r="A879" s="13">
        <v>877.0</v>
      </c>
      <c r="B879" s="13" t="s">
        <v>45</v>
      </c>
      <c r="C879" s="13">
        <v>3.0</v>
      </c>
      <c r="D879" s="14">
        <v>0.0</v>
      </c>
      <c r="E879" s="13" t="s">
        <v>5306</v>
      </c>
      <c r="F879" s="15" t="s">
        <v>5224</v>
      </c>
      <c r="G879" s="16" t="s">
        <v>5307</v>
      </c>
      <c r="H879" s="13"/>
      <c r="I879" s="13">
        <v>1.0</v>
      </c>
      <c r="J879" s="13" t="s">
        <v>1584</v>
      </c>
      <c r="K879" s="13">
        <f t="shared" si="3"/>
        <v>1</v>
      </c>
      <c r="L879" s="13">
        <f t="shared" si="4"/>
        <v>2</v>
      </c>
      <c r="M879" s="13">
        <f t="shared" ref="M879:AA879" si="1757">IFERROR(VALUE(RIGHT(LEFT($J879,FIND(M$1,$J879,1)+LEN(M$1)),1)),0)</f>
        <v>0</v>
      </c>
      <c r="N879" s="13">
        <f t="shared" si="1757"/>
        <v>0</v>
      </c>
      <c r="O879" s="13">
        <f t="shared" si="1757"/>
        <v>0</v>
      </c>
      <c r="P879" s="13">
        <f t="shared" si="1757"/>
        <v>0</v>
      </c>
      <c r="Q879" s="13">
        <f t="shared" si="1757"/>
        <v>0</v>
      </c>
      <c r="R879" s="13">
        <f t="shared" si="1757"/>
        <v>0</v>
      </c>
      <c r="S879" s="13">
        <f t="shared" si="1757"/>
        <v>0</v>
      </c>
      <c r="T879" s="13">
        <f t="shared" si="1757"/>
        <v>1</v>
      </c>
      <c r="U879" s="13">
        <f t="shared" si="1757"/>
        <v>0</v>
      </c>
      <c r="V879" s="13">
        <f t="shared" si="1757"/>
        <v>0</v>
      </c>
      <c r="W879" s="13">
        <f t="shared" si="1757"/>
        <v>0</v>
      </c>
      <c r="X879" s="13">
        <f t="shared" si="1757"/>
        <v>0</v>
      </c>
      <c r="Y879" s="13">
        <f t="shared" si="1757"/>
        <v>0</v>
      </c>
      <c r="Z879" s="13">
        <f t="shared" si="1757"/>
        <v>0</v>
      </c>
      <c r="AA879" s="13">
        <f t="shared" si="1757"/>
        <v>0</v>
      </c>
      <c r="AB879" s="13">
        <f t="shared" ref="AB879:AP879" si="1758">IFERROR(VALUE(RIGHT(LEFT($J879,FIND(AB$1,$J879,IF(M879=0,1,FIND(AB$1,$J879,1)+1))+LEN(AB$1)),1)),0)</f>
        <v>0</v>
      </c>
      <c r="AC879" s="13">
        <f t="shared" si="1758"/>
        <v>1</v>
      </c>
      <c r="AD879" s="13">
        <f t="shared" si="1758"/>
        <v>0</v>
      </c>
      <c r="AE879" s="13">
        <f t="shared" si="1758"/>
        <v>0</v>
      </c>
      <c r="AF879" s="13">
        <f t="shared" si="1758"/>
        <v>0</v>
      </c>
      <c r="AG879" s="13">
        <f t="shared" si="1758"/>
        <v>0</v>
      </c>
      <c r="AH879" s="13">
        <f t="shared" si="1758"/>
        <v>0</v>
      </c>
      <c r="AI879" s="13">
        <f t="shared" si="1758"/>
        <v>1</v>
      </c>
      <c r="AJ879" s="13">
        <f t="shared" si="1758"/>
        <v>0</v>
      </c>
      <c r="AK879" s="13">
        <f t="shared" si="1758"/>
        <v>0</v>
      </c>
      <c r="AL879" s="13">
        <f t="shared" si="1758"/>
        <v>0</v>
      </c>
      <c r="AM879" s="13">
        <f t="shared" si="1758"/>
        <v>0</v>
      </c>
      <c r="AN879" s="13">
        <f t="shared" si="1758"/>
        <v>0</v>
      </c>
      <c r="AO879" s="13">
        <f t="shared" si="1758"/>
        <v>0</v>
      </c>
      <c r="AP879" s="13">
        <f t="shared" si="1758"/>
        <v>0</v>
      </c>
      <c r="AQ879" s="13" t="s">
        <v>5308</v>
      </c>
      <c r="AR879" s="13"/>
      <c r="AS879" s="13" t="s">
        <v>4540</v>
      </c>
      <c r="AT879" s="13"/>
      <c r="AU879" s="13"/>
      <c r="AV879" s="13"/>
      <c r="AW879" s="13">
        <v>0.0</v>
      </c>
      <c r="AX879" s="13">
        <v>16.0</v>
      </c>
      <c r="AY879" s="13">
        <v>0.0</v>
      </c>
      <c r="AZ879" s="13"/>
      <c r="BA879" s="13"/>
      <c r="BB879" s="13"/>
      <c r="BC879" s="13"/>
      <c r="BD879" s="13"/>
      <c r="BE879" s="13"/>
      <c r="BF879" s="13"/>
      <c r="BG879" s="13"/>
      <c r="BH879" s="13" t="s">
        <v>79</v>
      </c>
      <c r="BI879" s="13" t="b">
        <v>0</v>
      </c>
      <c r="BJ879" s="13">
        <v>0.0</v>
      </c>
      <c r="BK879" s="13">
        <v>0.0</v>
      </c>
    </row>
    <row r="880" ht="14.25" customHeight="1">
      <c r="A880" s="13">
        <v>878.0</v>
      </c>
      <c r="B880" s="13" t="s">
        <v>46</v>
      </c>
      <c r="C880" s="13">
        <v>3.0</v>
      </c>
      <c r="D880" s="14">
        <v>0.0</v>
      </c>
      <c r="E880" s="13" t="s">
        <v>5309</v>
      </c>
      <c r="F880" s="15" t="s">
        <v>5224</v>
      </c>
      <c r="G880" s="16" t="s">
        <v>5310</v>
      </c>
      <c r="H880" s="13"/>
      <c r="I880" s="13">
        <v>1.2</v>
      </c>
      <c r="J880" s="13" t="s">
        <v>2488</v>
      </c>
      <c r="K880" s="13">
        <f t="shared" si="3"/>
        <v>1</v>
      </c>
      <c r="L880" s="13">
        <f t="shared" si="4"/>
        <v>2</v>
      </c>
      <c r="M880" s="13">
        <f t="shared" ref="M880:AA880" si="1759">IFERROR(VALUE(RIGHT(LEFT($J880,FIND(M$1,$J880,1)+LEN(M$1)),1)),0)</f>
        <v>0</v>
      </c>
      <c r="N880" s="13">
        <f t="shared" si="1759"/>
        <v>0</v>
      </c>
      <c r="O880" s="13">
        <f t="shared" si="1759"/>
        <v>0</v>
      </c>
      <c r="P880" s="13">
        <f t="shared" si="1759"/>
        <v>0</v>
      </c>
      <c r="Q880" s="13">
        <f t="shared" si="1759"/>
        <v>0</v>
      </c>
      <c r="R880" s="13">
        <f t="shared" si="1759"/>
        <v>0</v>
      </c>
      <c r="S880" s="13">
        <f t="shared" si="1759"/>
        <v>0</v>
      </c>
      <c r="T880" s="13">
        <f t="shared" si="1759"/>
        <v>0</v>
      </c>
      <c r="U880" s="13">
        <f t="shared" si="1759"/>
        <v>1</v>
      </c>
      <c r="V880" s="13">
        <f t="shared" si="1759"/>
        <v>0</v>
      </c>
      <c r="W880" s="13">
        <f t="shared" si="1759"/>
        <v>0</v>
      </c>
      <c r="X880" s="13">
        <f t="shared" si="1759"/>
        <v>0</v>
      </c>
      <c r="Y880" s="13">
        <f t="shared" si="1759"/>
        <v>0</v>
      </c>
      <c r="Z880" s="13">
        <f t="shared" si="1759"/>
        <v>0</v>
      </c>
      <c r="AA880" s="13">
        <f t="shared" si="1759"/>
        <v>0</v>
      </c>
      <c r="AB880" s="13">
        <f t="shared" ref="AB880:AP880" si="1760">IFERROR(VALUE(RIGHT(LEFT($J880,FIND(AB$1,$J880,IF(M880=0,1,FIND(AB$1,$J880,1)+1))+LEN(AB$1)),1)),0)</f>
        <v>0</v>
      </c>
      <c r="AC880" s="13">
        <f t="shared" si="1760"/>
        <v>0</v>
      </c>
      <c r="AD880" s="13">
        <f t="shared" si="1760"/>
        <v>1</v>
      </c>
      <c r="AE880" s="13">
        <f t="shared" si="1760"/>
        <v>0</v>
      </c>
      <c r="AF880" s="13">
        <f t="shared" si="1760"/>
        <v>0</v>
      </c>
      <c r="AG880" s="13">
        <f t="shared" si="1760"/>
        <v>0</v>
      </c>
      <c r="AH880" s="13">
        <f t="shared" si="1760"/>
        <v>0</v>
      </c>
      <c r="AI880" s="13">
        <f t="shared" si="1760"/>
        <v>0</v>
      </c>
      <c r="AJ880" s="13">
        <f t="shared" si="1760"/>
        <v>1</v>
      </c>
      <c r="AK880" s="13">
        <f t="shared" si="1760"/>
        <v>0</v>
      </c>
      <c r="AL880" s="13">
        <f t="shared" si="1760"/>
        <v>0</v>
      </c>
      <c r="AM880" s="13">
        <f t="shared" si="1760"/>
        <v>0</v>
      </c>
      <c r="AN880" s="13">
        <f t="shared" si="1760"/>
        <v>0</v>
      </c>
      <c r="AO880" s="13">
        <f t="shared" si="1760"/>
        <v>0</v>
      </c>
      <c r="AP880" s="13">
        <f t="shared" si="1760"/>
        <v>0</v>
      </c>
      <c r="AQ880" s="13" t="s">
        <v>5311</v>
      </c>
      <c r="AR880" s="13"/>
      <c r="AS880" s="13" t="s">
        <v>5312</v>
      </c>
      <c r="AT880" s="13"/>
      <c r="AU880" s="13"/>
      <c r="AV880" s="13"/>
      <c r="AW880" s="13">
        <v>0.0</v>
      </c>
      <c r="AX880" s="13">
        <v>16.0</v>
      </c>
      <c r="AY880" s="13">
        <v>0.0</v>
      </c>
      <c r="AZ880" s="13"/>
      <c r="BA880" s="13"/>
      <c r="BB880" s="13"/>
      <c r="BC880" s="13"/>
      <c r="BD880" s="13"/>
      <c r="BE880" s="13"/>
      <c r="BF880" s="13"/>
      <c r="BG880" s="13"/>
      <c r="BH880" s="13" t="s">
        <v>79</v>
      </c>
      <c r="BI880" s="13" t="b">
        <v>0</v>
      </c>
      <c r="BJ880" s="13">
        <v>0.0</v>
      </c>
      <c r="BK880" s="13">
        <v>0.0</v>
      </c>
    </row>
    <row r="881" ht="14.25" customHeight="1">
      <c r="A881" s="13">
        <v>879.0</v>
      </c>
      <c r="B881" s="13" t="s">
        <v>51</v>
      </c>
      <c r="C881" s="13">
        <v>3.0</v>
      </c>
      <c r="D881" s="14">
        <v>0.0</v>
      </c>
      <c r="E881" s="13" t="s">
        <v>5313</v>
      </c>
      <c r="F881" s="15" t="s">
        <v>5224</v>
      </c>
      <c r="G881" s="16" t="s">
        <v>5314</v>
      </c>
      <c r="H881" s="13"/>
      <c r="I881" s="13">
        <v>1.2</v>
      </c>
      <c r="J881" s="13" t="s">
        <v>1836</v>
      </c>
      <c r="K881" s="13">
        <f t="shared" si="3"/>
        <v>1</v>
      </c>
      <c r="L881" s="13">
        <f t="shared" si="4"/>
        <v>2</v>
      </c>
      <c r="M881" s="13">
        <f t="shared" ref="M881:AA881" si="1761">IFERROR(VALUE(RIGHT(LEFT($J881,FIND(M$1,$J881,1)+LEN(M$1)),1)),0)</f>
        <v>0</v>
      </c>
      <c r="N881" s="13">
        <f t="shared" si="1761"/>
        <v>0</v>
      </c>
      <c r="O881" s="13">
        <f t="shared" si="1761"/>
        <v>0</v>
      </c>
      <c r="P881" s="13">
        <f t="shared" si="1761"/>
        <v>0</v>
      </c>
      <c r="Q881" s="13">
        <f t="shared" si="1761"/>
        <v>0</v>
      </c>
      <c r="R881" s="13">
        <f t="shared" si="1761"/>
        <v>0</v>
      </c>
      <c r="S881" s="13">
        <f t="shared" si="1761"/>
        <v>0</v>
      </c>
      <c r="T881" s="13">
        <f t="shared" si="1761"/>
        <v>0</v>
      </c>
      <c r="U881" s="13">
        <f t="shared" si="1761"/>
        <v>0</v>
      </c>
      <c r="V881" s="13">
        <f t="shared" si="1761"/>
        <v>0</v>
      </c>
      <c r="W881" s="13">
        <f t="shared" si="1761"/>
        <v>0</v>
      </c>
      <c r="X881" s="13">
        <f t="shared" si="1761"/>
        <v>0</v>
      </c>
      <c r="Y881" s="13">
        <f t="shared" si="1761"/>
        <v>0</v>
      </c>
      <c r="Z881" s="13">
        <f t="shared" si="1761"/>
        <v>1</v>
      </c>
      <c r="AA881" s="13">
        <f t="shared" si="1761"/>
        <v>0</v>
      </c>
      <c r="AB881" s="13">
        <f t="shared" ref="AB881:AP881" si="1762">IFERROR(VALUE(RIGHT(LEFT($J881,FIND(AB$1,$J881,IF(M881=0,1,FIND(AB$1,$J881,1)+1))+LEN(AB$1)),1)),0)</f>
        <v>0</v>
      </c>
      <c r="AC881" s="13">
        <f t="shared" si="1762"/>
        <v>0</v>
      </c>
      <c r="AD881" s="13">
        <f t="shared" si="1762"/>
        <v>0</v>
      </c>
      <c r="AE881" s="13">
        <f t="shared" si="1762"/>
        <v>1</v>
      </c>
      <c r="AF881" s="13">
        <f t="shared" si="1762"/>
        <v>0</v>
      </c>
      <c r="AG881" s="13">
        <f t="shared" si="1762"/>
        <v>0</v>
      </c>
      <c r="AH881" s="13">
        <f t="shared" si="1762"/>
        <v>0</v>
      </c>
      <c r="AI881" s="13">
        <f t="shared" si="1762"/>
        <v>0</v>
      </c>
      <c r="AJ881" s="13">
        <f t="shared" si="1762"/>
        <v>0</v>
      </c>
      <c r="AK881" s="13">
        <f t="shared" si="1762"/>
        <v>0</v>
      </c>
      <c r="AL881" s="13">
        <f t="shared" si="1762"/>
        <v>0</v>
      </c>
      <c r="AM881" s="13">
        <f t="shared" si="1762"/>
        <v>0</v>
      </c>
      <c r="AN881" s="13">
        <f t="shared" si="1762"/>
        <v>0</v>
      </c>
      <c r="AO881" s="13">
        <f t="shared" si="1762"/>
        <v>1</v>
      </c>
      <c r="AP881" s="13">
        <f t="shared" si="1762"/>
        <v>0</v>
      </c>
      <c r="AQ881" s="13"/>
      <c r="AR881" s="13"/>
      <c r="AS881" s="13" t="s">
        <v>5315</v>
      </c>
      <c r="AT881" s="13" t="s">
        <v>142</v>
      </c>
      <c r="AU881" s="13" t="s">
        <v>130</v>
      </c>
      <c r="AV881" s="13"/>
      <c r="AW881" s="13">
        <v>20.0</v>
      </c>
      <c r="AX881" s="13">
        <v>16.0</v>
      </c>
      <c r="AY881" s="13">
        <v>4.0</v>
      </c>
      <c r="AZ881" s="13"/>
      <c r="BA881" s="13"/>
      <c r="BB881" s="13">
        <v>4.0</v>
      </c>
      <c r="BC881" s="13">
        <v>1.0</v>
      </c>
      <c r="BD881" s="13" t="s">
        <v>5238</v>
      </c>
      <c r="BE881" s="13"/>
      <c r="BF881" s="13" t="s">
        <v>5239</v>
      </c>
      <c r="BG881" s="13"/>
      <c r="BH881" s="13" t="s">
        <v>79</v>
      </c>
      <c r="BI881" s="13" t="b">
        <v>0</v>
      </c>
      <c r="BJ881" s="13">
        <v>0.0</v>
      </c>
      <c r="BK881" s="13">
        <v>0.0</v>
      </c>
    </row>
    <row r="882" ht="14.25" customHeight="1">
      <c r="A882" s="13">
        <v>880.0</v>
      </c>
      <c r="B882" s="13" t="s">
        <v>51</v>
      </c>
      <c r="C882" s="13">
        <v>3.0</v>
      </c>
      <c r="D882" s="14">
        <v>0.0</v>
      </c>
      <c r="E882" s="13" t="s">
        <v>5316</v>
      </c>
      <c r="F882" s="15" t="s">
        <v>5224</v>
      </c>
      <c r="G882" s="16" t="s">
        <v>5317</v>
      </c>
      <c r="H882" s="13">
        <v>17.0</v>
      </c>
      <c r="I882" s="13">
        <v>1.2</v>
      </c>
      <c r="J882" s="13" t="s">
        <v>3286</v>
      </c>
      <c r="K882" s="13">
        <f t="shared" si="3"/>
        <v>1</v>
      </c>
      <c r="L882" s="13">
        <f t="shared" si="4"/>
        <v>2</v>
      </c>
      <c r="M882" s="13">
        <f t="shared" ref="M882:AA882" si="1763">IFERROR(VALUE(RIGHT(LEFT($J882,FIND(M$1,$J882,1)+LEN(M$1)),1)),0)</f>
        <v>0</v>
      </c>
      <c r="N882" s="13">
        <f t="shared" si="1763"/>
        <v>0</v>
      </c>
      <c r="O882" s="13">
        <f t="shared" si="1763"/>
        <v>1</v>
      </c>
      <c r="P882" s="13">
        <f t="shared" si="1763"/>
        <v>0</v>
      </c>
      <c r="Q882" s="13">
        <f t="shared" si="1763"/>
        <v>0</v>
      </c>
      <c r="R882" s="13">
        <f t="shared" si="1763"/>
        <v>0</v>
      </c>
      <c r="S882" s="13">
        <f t="shared" si="1763"/>
        <v>0</v>
      </c>
      <c r="T882" s="13">
        <f t="shared" si="1763"/>
        <v>0</v>
      </c>
      <c r="U882" s="13">
        <f t="shared" si="1763"/>
        <v>0</v>
      </c>
      <c r="V882" s="13">
        <f t="shared" si="1763"/>
        <v>0</v>
      </c>
      <c r="W882" s="13">
        <f t="shared" si="1763"/>
        <v>0</v>
      </c>
      <c r="X882" s="13">
        <f t="shared" si="1763"/>
        <v>0</v>
      </c>
      <c r="Y882" s="13">
        <f t="shared" si="1763"/>
        <v>0</v>
      </c>
      <c r="Z882" s="13">
        <f t="shared" si="1763"/>
        <v>0</v>
      </c>
      <c r="AA882" s="13">
        <f t="shared" si="1763"/>
        <v>0</v>
      </c>
      <c r="AB882" s="13">
        <f t="shared" ref="AB882:AP882" si="1764">IFERROR(VALUE(RIGHT(LEFT($J882,FIND(AB$1,$J882,IF(M882=0,1,FIND(AB$1,$J882,1)+1))+LEN(AB$1)),1)),0)</f>
        <v>0</v>
      </c>
      <c r="AC882" s="13">
        <f t="shared" si="1764"/>
        <v>0</v>
      </c>
      <c r="AD882" s="13">
        <f t="shared" si="1764"/>
        <v>1</v>
      </c>
      <c r="AE882" s="13">
        <f t="shared" si="1764"/>
        <v>0</v>
      </c>
      <c r="AF882" s="13">
        <f t="shared" si="1764"/>
        <v>0</v>
      </c>
      <c r="AG882" s="13">
        <f t="shared" si="1764"/>
        <v>0</v>
      </c>
      <c r="AH882" s="13">
        <f t="shared" si="1764"/>
        <v>0</v>
      </c>
      <c r="AI882" s="13">
        <f t="shared" si="1764"/>
        <v>0</v>
      </c>
      <c r="AJ882" s="13">
        <f t="shared" si="1764"/>
        <v>0</v>
      </c>
      <c r="AK882" s="13">
        <f t="shared" si="1764"/>
        <v>0</v>
      </c>
      <c r="AL882" s="13">
        <f t="shared" si="1764"/>
        <v>0</v>
      </c>
      <c r="AM882" s="13">
        <f t="shared" si="1764"/>
        <v>0</v>
      </c>
      <c r="AN882" s="13">
        <f t="shared" si="1764"/>
        <v>0</v>
      </c>
      <c r="AO882" s="13">
        <f t="shared" si="1764"/>
        <v>1</v>
      </c>
      <c r="AP882" s="13">
        <f t="shared" si="1764"/>
        <v>0</v>
      </c>
      <c r="AQ882" s="13"/>
      <c r="AR882" s="13" t="s">
        <v>5318</v>
      </c>
      <c r="AS882" s="13" t="s">
        <v>5319</v>
      </c>
      <c r="AT882" s="13" t="s">
        <v>1350</v>
      </c>
      <c r="AU882" s="13" t="s">
        <v>803</v>
      </c>
      <c r="AV882" s="13" t="s">
        <v>5320</v>
      </c>
      <c r="AW882" s="13">
        <v>18.0</v>
      </c>
      <c r="AX882" s="13">
        <v>16.0</v>
      </c>
      <c r="AY882" s="13">
        <v>0.0</v>
      </c>
      <c r="AZ882" s="13" t="s">
        <v>5321</v>
      </c>
      <c r="BA882" s="13" t="s">
        <v>5322</v>
      </c>
      <c r="BB882" s="13"/>
      <c r="BC882" s="13"/>
      <c r="BD882" s="13" t="s">
        <v>1822</v>
      </c>
      <c r="BE882" s="13"/>
      <c r="BF882" s="13" t="s">
        <v>5323</v>
      </c>
      <c r="BG882" s="13"/>
      <c r="BH882" s="13" t="s">
        <v>79</v>
      </c>
      <c r="BI882" s="13" t="b">
        <v>0</v>
      </c>
      <c r="BJ882" s="13">
        <v>0.0</v>
      </c>
      <c r="BK882" s="13">
        <v>0.0</v>
      </c>
    </row>
    <row r="883" ht="14.25" customHeight="1">
      <c r="A883" s="13">
        <v>881.0</v>
      </c>
      <c r="B883" s="13" t="s">
        <v>52</v>
      </c>
      <c r="C883" s="13">
        <v>3.0</v>
      </c>
      <c r="D883" s="14">
        <v>0.0</v>
      </c>
      <c r="E883" s="13" t="s">
        <v>5324</v>
      </c>
      <c r="F883" s="15" t="s">
        <v>5224</v>
      </c>
      <c r="G883" s="16" t="s">
        <v>5325</v>
      </c>
      <c r="H883" s="13">
        <v>18.0</v>
      </c>
      <c r="I883" s="13">
        <v>1.0</v>
      </c>
      <c r="J883" s="13" t="s">
        <v>1884</v>
      </c>
      <c r="K883" s="13">
        <f t="shared" si="3"/>
        <v>1</v>
      </c>
      <c r="L883" s="13">
        <f t="shared" si="4"/>
        <v>2</v>
      </c>
      <c r="M883" s="13">
        <f t="shared" ref="M883:AA883" si="1765">IFERROR(VALUE(RIGHT(LEFT($J883,FIND(M$1,$J883,1)+LEN(M$1)),1)),0)</f>
        <v>0</v>
      </c>
      <c r="N883" s="13">
        <f t="shared" si="1765"/>
        <v>0</v>
      </c>
      <c r="O883" s="13">
        <f t="shared" si="1765"/>
        <v>0</v>
      </c>
      <c r="P883" s="13">
        <f t="shared" si="1765"/>
        <v>0</v>
      </c>
      <c r="Q883" s="13">
        <f t="shared" si="1765"/>
        <v>0</v>
      </c>
      <c r="R883" s="13">
        <f t="shared" si="1765"/>
        <v>0</v>
      </c>
      <c r="S883" s="13">
        <f t="shared" si="1765"/>
        <v>0</v>
      </c>
      <c r="T883" s="13">
        <f t="shared" si="1765"/>
        <v>0</v>
      </c>
      <c r="U883" s="13">
        <f t="shared" si="1765"/>
        <v>0</v>
      </c>
      <c r="V883" s="13">
        <f t="shared" si="1765"/>
        <v>0</v>
      </c>
      <c r="W883" s="13">
        <f t="shared" si="1765"/>
        <v>0</v>
      </c>
      <c r="X883" s="13">
        <f t="shared" si="1765"/>
        <v>0</v>
      </c>
      <c r="Y883" s="13">
        <f t="shared" si="1765"/>
        <v>0</v>
      </c>
      <c r="Z883" s="13">
        <f t="shared" si="1765"/>
        <v>0</v>
      </c>
      <c r="AA883" s="13">
        <f t="shared" si="1765"/>
        <v>1</v>
      </c>
      <c r="AB883" s="13">
        <f t="shared" ref="AB883:AP883" si="1766">IFERROR(VALUE(RIGHT(LEFT($J883,FIND(AB$1,$J883,IF(M883=0,1,FIND(AB$1,$J883,1)+1))+LEN(AB$1)),1)),0)</f>
        <v>0</v>
      </c>
      <c r="AC883" s="13">
        <f t="shared" si="1766"/>
        <v>1</v>
      </c>
      <c r="AD883" s="13">
        <f t="shared" si="1766"/>
        <v>0</v>
      </c>
      <c r="AE883" s="13">
        <f t="shared" si="1766"/>
        <v>0</v>
      </c>
      <c r="AF883" s="13">
        <f t="shared" si="1766"/>
        <v>0</v>
      </c>
      <c r="AG883" s="13">
        <f t="shared" si="1766"/>
        <v>0</v>
      </c>
      <c r="AH883" s="13">
        <f t="shared" si="1766"/>
        <v>0</v>
      </c>
      <c r="AI883" s="13">
        <f t="shared" si="1766"/>
        <v>0</v>
      </c>
      <c r="AJ883" s="13">
        <f t="shared" si="1766"/>
        <v>0</v>
      </c>
      <c r="AK883" s="13">
        <f t="shared" si="1766"/>
        <v>0</v>
      </c>
      <c r="AL883" s="13">
        <f t="shared" si="1766"/>
        <v>0</v>
      </c>
      <c r="AM883" s="13">
        <f t="shared" si="1766"/>
        <v>0</v>
      </c>
      <c r="AN883" s="13">
        <f t="shared" si="1766"/>
        <v>0</v>
      </c>
      <c r="AO883" s="13">
        <f t="shared" si="1766"/>
        <v>0</v>
      </c>
      <c r="AP883" s="13">
        <f t="shared" si="1766"/>
        <v>1</v>
      </c>
      <c r="AQ883" s="13"/>
      <c r="AR883" s="13" t="s">
        <v>1536</v>
      </c>
      <c r="AS883" s="13" t="s">
        <v>5326</v>
      </c>
      <c r="AT883" s="13" t="s">
        <v>302</v>
      </c>
      <c r="AU883" s="13" t="s">
        <v>130</v>
      </c>
      <c r="AV883" s="13" t="s">
        <v>5327</v>
      </c>
      <c r="AW883" s="13">
        <v>17.0</v>
      </c>
      <c r="AX883" s="13">
        <v>16.0</v>
      </c>
      <c r="AY883" s="13">
        <v>0.0</v>
      </c>
      <c r="AZ883" s="13" t="s">
        <v>3936</v>
      </c>
      <c r="BA883" s="13" t="s">
        <v>5328</v>
      </c>
      <c r="BB883" s="13"/>
      <c r="BC883" s="13"/>
      <c r="BD883" s="13" t="s">
        <v>873</v>
      </c>
      <c r="BE883" s="13" t="s">
        <v>5329</v>
      </c>
      <c r="BF883" s="13" t="s">
        <v>2211</v>
      </c>
      <c r="BG883" s="13" t="s">
        <v>876</v>
      </c>
      <c r="BH883" s="13" t="s">
        <v>79</v>
      </c>
      <c r="BI883" s="13" t="b">
        <v>0</v>
      </c>
      <c r="BJ883" s="13">
        <v>0.0</v>
      </c>
      <c r="BK883" s="13">
        <v>0.0</v>
      </c>
    </row>
    <row r="884" ht="14.25" customHeight="1">
      <c r="A884" s="13">
        <v>882.0</v>
      </c>
      <c r="B884" s="13" t="s">
        <v>44</v>
      </c>
      <c r="C884" s="13">
        <v>4.0</v>
      </c>
      <c r="D884" s="14">
        <v>0.0</v>
      </c>
      <c r="E884" s="13" t="s">
        <v>5330</v>
      </c>
      <c r="F884" s="15" t="s">
        <v>5224</v>
      </c>
      <c r="G884" s="16" t="s">
        <v>5331</v>
      </c>
      <c r="H884" s="13"/>
      <c r="I884" s="13">
        <v>1.2</v>
      </c>
      <c r="J884" s="13" t="s">
        <v>1903</v>
      </c>
      <c r="K884" s="13">
        <f t="shared" si="3"/>
        <v>2</v>
      </c>
      <c r="L884" s="13">
        <f t="shared" si="4"/>
        <v>2</v>
      </c>
      <c r="M884" s="13">
        <f t="shared" ref="M884:AA884" si="1767">IFERROR(VALUE(RIGHT(LEFT($J884,FIND(M$1,$J884,1)+LEN(M$1)),1)),0)</f>
        <v>0</v>
      </c>
      <c r="N884" s="13">
        <f t="shared" si="1767"/>
        <v>0</v>
      </c>
      <c r="O884" s="13">
        <f t="shared" si="1767"/>
        <v>0</v>
      </c>
      <c r="P884" s="13">
        <f t="shared" si="1767"/>
        <v>0</v>
      </c>
      <c r="Q884" s="13">
        <f t="shared" si="1767"/>
        <v>0</v>
      </c>
      <c r="R884" s="13">
        <f t="shared" si="1767"/>
        <v>0</v>
      </c>
      <c r="S884" s="13">
        <f t="shared" si="1767"/>
        <v>2</v>
      </c>
      <c r="T884" s="13">
        <f t="shared" si="1767"/>
        <v>0</v>
      </c>
      <c r="U884" s="13">
        <f t="shared" si="1767"/>
        <v>0</v>
      </c>
      <c r="V884" s="13">
        <f t="shared" si="1767"/>
        <v>0</v>
      </c>
      <c r="W884" s="13">
        <f t="shared" si="1767"/>
        <v>0</v>
      </c>
      <c r="X884" s="13">
        <f t="shared" si="1767"/>
        <v>0</v>
      </c>
      <c r="Y884" s="13">
        <f t="shared" si="1767"/>
        <v>0</v>
      </c>
      <c r="Z884" s="13">
        <f t="shared" si="1767"/>
        <v>0</v>
      </c>
      <c r="AA884" s="13">
        <f t="shared" si="1767"/>
        <v>0</v>
      </c>
      <c r="AB884" s="13">
        <f t="shared" ref="AB884:AP884" si="1768">IFERROR(VALUE(RIGHT(LEFT($J884,FIND(AB$1,$J884,IF(M884=0,1,FIND(AB$1,$J884,1)+1))+LEN(AB$1)),1)),0)</f>
        <v>0</v>
      </c>
      <c r="AC884" s="13">
        <f t="shared" si="1768"/>
        <v>0</v>
      </c>
      <c r="AD884" s="13">
        <f t="shared" si="1768"/>
        <v>1</v>
      </c>
      <c r="AE884" s="13">
        <f t="shared" si="1768"/>
        <v>0</v>
      </c>
      <c r="AF884" s="13">
        <f t="shared" si="1768"/>
        <v>0</v>
      </c>
      <c r="AG884" s="13">
        <f t="shared" si="1768"/>
        <v>0</v>
      </c>
      <c r="AH884" s="13">
        <f t="shared" si="1768"/>
        <v>1</v>
      </c>
      <c r="AI884" s="13">
        <f t="shared" si="1768"/>
        <v>0</v>
      </c>
      <c r="AJ884" s="13">
        <f t="shared" si="1768"/>
        <v>0</v>
      </c>
      <c r="AK884" s="13">
        <f t="shared" si="1768"/>
        <v>0</v>
      </c>
      <c r="AL884" s="13">
        <f t="shared" si="1768"/>
        <v>0</v>
      </c>
      <c r="AM884" s="13">
        <f t="shared" si="1768"/>
        <v>0</v>
      </c>
      <c r="AN884" s="13">
        <f t="shared" si="1768"/>
        <v>0</v>
      </c>
      <c r="AO884" s="13">
        <f t="shared" si="1768"/>
        <v>0</v>
      </c>
      <c r="AP884" s="13">
        <f t="shared" si="1768"/>
        <v>0</v>
      </c>
      <c r="AQ884" s="13" t="s">
        <v>5332</v>
      </c>
      <c r="AR884" s="13"/>
      <c r="AS884" s="13" t="s">
        <v>5333</v>
      </c>
      <c r="AT884" s="13"/>
      <c r="AU884" s="13"/>
      <c r="AV884" s="13"/>
      <c r="AW884" s="13">
        <v>0.0</v>
      </c>
      <c r="AX884" s="13">
        <v>16.0</v>
      </c>
      <c r="AY884" s="13">
        <v>0.0</v>
      </c>
      <c r="AZ884" s="13"/>
      <c r="BA884" s="13"/>
      <c r="BB884" s="13"/>
      <c r="BC884" s="13"/>
      <c r="BD884" s="13"/>
      <c r="BE884" s="13"/>
      <c r="BF884" s="13"/>
      <c r="BG884" s="13"/>
      <c r="BH884" s="13" t="s">
        <v>79</v>
      </c>
      <c r="BI884" s="13" t="b">
        <v>0</v>
      </c>
      <c r="BJ884" s="13">
        <v>0.0</v>
      </c>
      <c r="BK884" s="13">
        <v>0.0</v>
      </c>
    </row>
    <row r="885" ht="14.25" customHeight="1">
      <c r="A885" s="13">
        <v>883.0</v>
      </c>
      <c r="B885" s="13" t="s">
        <v>46</v>
      </c>
      <c r="C885" s="13">
        <v>4.0</v>
      </c>
      <c r="D885" s="14">
        <v>0.0</v>
      </c>
      <c r="E885" s="13" t="s">
        <v>5334</v>
      </c>
      <c r="F885" s="15" t="s">
        <v>5224</v>
      </c>
      <c r="G885" s="16" t="s">
        <v>5335</v>
      </c>
      <c r="H885" s="13"/>
      <c r="I885" s="13">
        <v>1.1</v>
      </c>
      <c r="J885" s="13" t="s">
        <v>5336</v>
      </c>
      <c r="K885" s="13">
        <f t="shared" si="3"/>
        <v>2</v>
      </c>
      <c r="L885" s="13">
        <f t="shared" si="4"/>
        <v>2</v>
      </c>
      <c r="M885" s="13">
        <f t="shared" ref="M885:AA885" si="1769">IFERROR(VALUE(RIGHT(LEFT($J885,FIND(M$1,$J885,1)+LEN(M$1)),1)),0)</f>
        <v>0</v>
      </c>
      <c r="N885" s="13">
        <f t="shared" si="1769"/>
        <v>1</v>
      </c>
      <c r="O885" s="13">
        <f t="shared" si="1769"/>
        <v>1</v>
      </c>
      <c r="P885" s="13">
        <f t="shared" si="1769"/>
        <v>0</v>
      </c>
      <c r="Q885" s="13">
        <f t="shared" si="1769"/>
        <v>0</v>
      </c>
      <c r="R885" s="13">
        <f t="shared" si="1769"/>
        <v>0</v>
      </c>
      <c r="S885" s="13">
        <f t="shared" si="1769"/>
        <v>0</v>
      </c>
      <c r="T885" s="13">
        <f t="shared" si="1769"/>
        <v>0</v>
      </c>
      <c r="U885" s="13">
        <f t="shared" si="1769"/>
        <v>0</v>
      </c>
      <c r="V885" s="13">
        <f t="shared" si="1769"/>
        <v>0</v>
      </c>
      <c r="W885" s="13">
        <f t="shared" si="1769"/>
        <v>0</v>
      </c>
      <c r="X885" s="13">
        <f t="shared" si="1769"/>
        <v>0</v>
      </c>
      <c r="Y885" s="13">
        <f t="shared" si="1769"/>
        <v>0</v>
      </c>
      <c r="Z885" s="13">
        <f t="shared" si="1769"/>
        <v>0</v>
      </c>
      <c r="AA885" s="13">
        <f t="shared" si="1769"/>
        <v>0</v>
      </c>
      <c r="AB885" s="13">
        <f t="shared" ref="AB885:AP885" si="1770">IFERROR(VALUE(RIGHT(LEFT($J885,FIND(AB$1,$J885,IF(M885=0,1,FIND(AB$1,$J885,1)+1))+LEN(AB$1)),1)),0)</f>
        <v>0</v>
      </c>
      <c r="AC885" s="13">
        <f t="shared" si="1770"/>
        <v>1</v>
      </c>
      <c r="AD885" s="13">
        <f t="shared" si="1770"/>
        <v>0</v>
      </c>
      <c r="AE885" s="13">
        <f t="shared" si="1770"/>
        <v>0</v>
      </c>
      <c r="AF885" s="13">
        <f t="shared" si="1770"/>
        <v>0</v>
      </c>
      <c r="AG885" s="13">
        <f t="shared" si="1770"/>
        <v>0</v>
      </c>
      <c r="AH885" s="13">
        <f t="shared" si="1770"/>
        <v>0</v>
      </c>
      <c r="AI885" s="13">
        <f t="shared" si="1770"/>
        <v>0</v>
      </c>
      <c r="AJ885" s="13">
        <f t="shared" si="1770"/>
        <v>1</v>
      </c>
      <c r="AK885" s="13">
        <f t="shared" si="1770"/>
        <v>0</v>
      </c>
      <c r="AL885" s="13">
        <f t="shared" si="1770"/>
        <v>0</v>
      </c>
      <c r="AM885" s="13">
        <f t="shared" si="1770"/>
        <v>0</v>
      </c>
      <c r="AN885" s="13">
        <f t="shared" si="1770"/>
        <v>0</v>
      </c>
      <c r="AO885" s="13">
        <f t="shared" si="1770"/>
        <v>0</v>
      </c>
      <c r="AP885" s="13">
        <f t="shared" si="1770"/>
        <v>0</v>
      </c>
      <c r="AQ885" s="13" t="s">
        <v>5337</v>
      </c>
      <c r="AR885" s="13"/>
      <c r="AS885" s="13" t="s">
        <v>5338</v>
      </c>
      <c r="AT885" s="13"/>
      <c r="AU885" s="13"/>
      <c r="AV885" s="13"/>
      <c r="AW885" s="13">
        <v>0.0</v>
      </c>
      <c r="AX885" s="13">
        <v>16.0</v>
      </c>
      <c r="AY885" s="13">
        <v>0.0</v>
      </c>
      <c r="AZ885" s="13"/>
      <c r="BA885" s="13"/>
      <c r="BB885" s="13"/>
      <c r="BC885" s="13"/>
      <c r="BD885" s="13"/>
      <c r="BE885" s="13"/>
      <c r="BF885" s="13"/>
      <c r="BG885" s="13"/>
      <c r="BH885" s="13" t="s">
        <v>79</v>
      </c>
      <c r="BI885" s="13" t="b">
        <v>0</v>
      </c>
      <c r="BJ885" s="13">
        <v>0.0</v>
      </c>
      <c r="BK885" s="13">
        <v>0.0</v>
      </c>
    </row>
    <row r="886" ht="14.25" customHeight="1">
      <c r="A886" s="13">
        <v>884.0</v>
      </c>
      <c r="B886" s="13" t="s">
        <v>51</v>
      </c>
      <c r="C886" s="13">
        <v>4.0</v>
      </c>
      <c r="D886" s="14">
        <v>0.0</v>
      </c>
      <c r="E886" s="13" t="s">
        <v>5339</v>
      </c>
      <c r="F886" s="15" t="s">
        <v>5224</v>
      </c>
      <c r="G886" s="16" t="s">
        <v>5340</v>
      </c>
      <c r="H886" s="13"/>
      <c r="I886" s="13">
        <v>1.2</v>
      </c>
      <c r="J886" s="13" t="s">
        <v>3743</v>
      </c>
      <c r="K886" s="13">
        <f t="shared" si="3"/>
        <v>2</v>
      </c>
      <c r="L886" s="13">
        <f t="shared" si="4"/>
        <v>2</v>
      </c>
      <c r="M886" s="13">
        <f t="shared" ref="M886:AA886" si="1771">IFERROR(VALUE(RIGHT(LEFT($J886,FIND(M$1,$J886,1)+LEN(M$1)),1)),0)</f>
        <v>0</v>
      </c>
      <c r="N886" s="13">
        <f t="shared" si="1771"/>
        <v>0</v>
      </c>
      <c r="O886" s="13">
        <f t="shared" si="1771"/>
        <v>0</v>
      </c>
      <c r="P886" s="13">
        <f t="shared" si="1771"/>
        <v>0</v>
      </c>
      <c r="Q886" s="13">
        <f t="shared" si="1771"/>
        <v>0</v>
      </c>
      <c r="R886" s="13">
        <f t="shared" si="1771"/>
        <v>0</v>
      </c>
      <c r="S886" s="13">
        <f t="shared" si="1771"/>
        <v>0</v>
      </c>
      <c r="T886" s="13">
        <f t="shared" si="1771"/>
        <v>0</v>
      </c>
      <c r="U886" s="13">
        <f t="shared" si="1771"/>
        <v>0</v>
      </c>
      <c r="V886" s="13">
        <f t="shared" si="1771"/>
        <v>0</v>
      </c>
      <c r="W886" s="13">
        <f t="shared" si="1771"/>
        <v>0</v>
      </c>
      <c r="X886" s="13">
        <f t="shared" si="1771"/>
        <v>0</v>
      </c>
      <c r="Y886" s="13">
        <f t="shared" si="1771"/>
        <v>0</v>
      </c>
      <c r="Z886" s="13">
        <f t="shared" si="1771"/>
        <v>2</v>
      </c>
      <c r="AA886" s="13">
        <f t="shared" si="1771"/>
        <v>0</v>
      </c>
      <c r="AB886" s="13">
        <f t="shared" ref="AB886:AP886" si="1772">IFERROR(VALUE(RIGHT(LEFT($J886,FIND(AB$1,$J886,IF(M886=0,1,FIND(AB$1,$J886,1)+1))+LEN(AB$1)),1)),0)</f>
        <v>0</v>
      </c>
      <c r="AC886" s="13">
        <f t="shared" si="1772"/>
        <v>0</v>
      </c>
      <c r="AD886" s="13">
        <f t="shared" si="1772"/>
        <v>0</v>
      </c>
      <c r="AE886" s="13">
        <f t="shared" si="1772"/>
        <v>1</v>
      </c>
      <c r="AF886" s="13">
        <f t="shared" si="1772"/>
        <v>0</v>
      </c>
      <c r="AG886" s="13">
        <f t="shared" si="1772"/>
        <v>0</v>
      </c>
      <c r="AH886" s="13">
        <f t="shared" si="1772"/>
        <v>0</v>
      </c>
      <c r="AI886" s="13">
        <f t="shared" si="1772"/>
        <v>0</v>
      </c>
      <c r="AJ886" s="13">
        <f t="shared" si="1772"/>
        <v>0</v>
      </c>
      <c r="AK886" s="13">
        <f t="shared" si="1772"/>
        <v>0</v>
      </c>
      <c r="AL886" s="13">
        <f t="shared" si="1772"/>
        <v>0</v>
      </c>
      <c r="AM886" s="13">
        <f t="shared" si="1772"/>
        <v>0</v>
      </c>
      <c r="AN886" s="13">
        <f t="shared" si="1772"/>
        <v>0</v>
      </c>
      <c r="AO886" s="13">
        <f t="shared" si="1772"/>
        <v>1</v>
      </c>
      <c r="AP886" s="13">
        <f t="shared" si="1772"/>
        <v>0</v>
      </c>
      <c r="AQ886" s="13"/>
      <c r="AR886" s="13"/>
      <c r="AS886" s="13" t="s">
        <v>5341</v>
      </c>
      <c r="AT886" s="13" t="s">
        <v>142</v>
      </c>
      <c r="AU886" s="13" t="s">
        <v>130</v>
      </c>
      <c r="AV886" s="13"/>
      <c r="AW886" s="13">
        <v>25.0</v>
      </c>
      <c r="AX886" s="13">
        <v>16.0</v>
      </c>
      <c r="AY886" s="13">
        <v>4.0</v>
      </c>
      <c r="AZ886" s="13"/>
      <c r="BA886" s="13"/>
      <c r="BB886" s="13">
        <v>5.0</v>
      </c>
      <c r="BC886" s="13">
        <v>1.0</v>
      </c>
      <c r="BD886" s="13" t="s">
        <v>5238</v>
      </c>
      <c r="BE886" s="13"/>
      <c r="BF886" s="13" t="s">
        <v>5239</v>
      </c>
      <c r="BG886" s="13"/>
      <c r="BH886" s="13" t="s">
        <v>79</v>
      </c>
      <c r="BI886" s="13" t="b">
        <v>0</v>
      </c>
      <c r="BJ886" s="13">
        <v>0.0</v>
      </c>
      <c r="BK886" s="13">
        <v>0.0</v>
      </c>
    </row>
    <row r="887" ht="14.25" customHeight="1">
      <c r="A887" s="13">
        <v>885.0</v>
      </c>
      <c r="B887" s="13" t="s">
        <v>51</v>
      </c>
      <c r="C887" s="13">
        <v>4.0</v>
      </c>
      <c r="D887" s="14">
        <v>0.0</v>
      </c>
      <c r="E887" s="13" t="s">
        <v>5342</v>
      </c>
      <c r="F887" s="15" t="s">
        <v>5224</v>
      </c>
      <c r="G887" s="16" t="s">
        <v>5343</v>
      </c>
      <c r="H887" s="13">
        <v>20.0</v>
      </c>
      <c r="I887" s="13">
        <v>1.1</v>
      </c>
      <c r="J887" s="13" t="s">
        <v>5344</v>
      </c>
      <c r="K887" s="13">
        <f t="shared" si="3"/>
        <v>2</v>
      </c>
      <c r="L887" s="13">
        <f t="shared" si="4"/>
        <v>2</v>
      </c>
      <c r="M887" s="13">
        <f t="shared" ref="M887:AA887" si="1773">IFERROR(VALUE(RIGHT(LEFT($J887,FIND(M$1,$J887,1)+LEN(M$1)),1)),0)</f>
        <v>0</v>
      </c>
      <c r="N887" s="13">
        <f t="shared" si="1773"/>
        <v>0</v>
      </c>
      <c r="O887" s="13">
        <f t="shared" si="1773"/>
        <v>2</v>
      </c>
      <c r="P887" s="13">
        <f t="shared" si="1773"/>
        <v>0</v>
      </c>
      <c r="Q887" s="13">
        <f t="shared" si="1773"/>
        <v>0</v>
      </c>
      <c r="R887" s="13">
        <f t="shared" si="1773"/>
        <v>0</v>
      </c>
      <c r="S887" s="13">
        <f t="shared" si="1773"/>
        <v>0</v>
      </c>
      <c r="T887" s="13">
        <f t="shared" si="1773"/>
        <v>0</v>
      </c>
      <c r="U887" s="13">
        <f t="shared" si="1773"/>
        <v>0</v>
      </c>
      <c r="V887" s="13">
        <f t="shared" si="1773"/>
        <v>0</v>
      </c>
      <c r="W887" s="13">
        <f t="shared" si="1773"/>
        <v>0</v>
      </c>
      <c r="X887" s="13">
        <f t="shared" si="1773"/>
        <v>0</v>
      </c>
      <c r="Y887" s="13">
        <f t="shared" si="1773"/>
        <v>0</v>
      </c>
      <c r="Z887" s="13">
        <f t="shared" si="1773"/>
        <v>0</v>
      </c>
      <c r="AA887" s="13">
        <f t="shared" si="1773"/>
        <v>0</v>
      </c>
      <c r="AB887" s="13">
        <f t="shared" ref="AB887:AP887" si="1774">IFERROR(VALUE(RIGHT(LEFT($J887,FIND(AB$1,$J887,IF(M887=0,1,FIND(AB$1,$J887,1)+1))+LEN(AB$1)),1)),0)</f>
        <v>0</v>
      </c>
      <c r="AC887" s="13">
        <f t="shared" si="1774"/>
        <v>0</v>
      </c>
      <c r="AD887" s="13">
        <f t="shared" si="1774"/>
        <v>1</v>
      </c>
      <c r="AE887" s="13">
        <f t="shared" si="1774"/>
        <v>0</v>
      </c>
      <c r="AF887" s="13">
        <f t="shared" si="1774"/>
        <v>0</v>
      </c>
      <c r="AG887" s="13">
        <f t="shared" si="1774"/>
        <v>0</v>
      </c>
      <c r="AH887" s="13">
        <f t="shared" si="1774"/>
        <v>0</v>
      </c>
      <c r="AI887" s="13">
        <f t="shared" si="1774"/>
        <v>0</v>
      </c>
      <c r="AJ887" s="13">
        <f t="shared" si="1774"/>
        <v>0</v>
      </c>
      <c r="AK887" s="13">
        <f t="shared" si="1774"/>
        <v>0</v>
      </c>
      <c r="AL887" s="13">
        <f t="shared" si="1774"/>
        <v>0</v>
      </c>
      <c r="AM887" s="13">
        <f t="shared" si="1774"/>
        <v>0</v>
      </c>
      <c r="AN887" s="13">
        <f t="shared" si="1774"/>
        <v>0</v>
      </c>
      <c r="AO887" s="13">
        <f t="shared" si="1774"/>
        <v>1</v>
      </c>
      <c r="AP887" s="13">
        <f t="shared" si="1774"/>
        <v>0</v>
      </c>
      <c r="AQ887" s="13"/>
      <c r="AR887" s="13" t="s">
        <v>4151</v>
      </c>
      <c r="AS887" s="13" t="s">
        <v>5345</v>
      </c>
      <c r="AT887" s="13" t="s">
        <v>573</v>
      </c>
      <c r="AU887" s="13" t="s">
        <v>143</v>
      </c>
      <c r="AV887" s="13" t="s">
        <v>5346</v>
      </c>
      <c r="AW887" s="13">
        <v>23.0</v>
      </c>
      <c r="AX887" s="13">
        <v>16.0</v>
      </c>
      <c r="AY887" s="13">
        <v>0.0</v>
      </c>
      <c r="AZ887" s="13" t="s">
        <v>5347</v>
      </c>
      <c r="BA887" s="13" t="s">
        <v>5348</v>
      </c>
      <c r="BB887" s="13"/>
      <c r="BC887" s="13"/>
      <c r="BD887" s="13" t="s">
        <v>1822</v>
      </c>
      <c r="BE887" s="13"/>
      <c r="BF887" s="13" t="s">
        <v>5349</v>
      </c>
      <c r="BG887" s="13"/>
      <c r="BH887" s="13" t="s">
        <v>79</v>
      </c>
      <c r="BI887" s="13" t="b">
        <v>0</v>
      </c>
      <c r="BJ887" s="13">
        <v>0.0</v>
      </c>
      <c r="BK887" s="13">
        <v>0.0</v>
      </c>
    </row>
    <row r="888" ht="14.25" customHeight="1">
      <c r="A888" s="13">
        <v>886.0</v>
      </c>
      <c r="B888" s="13" t="s">
        <v>52</v>
      </c>
      <c r="C888" s="13">
        <v>4.0</v>
      </c>
      <c r="D888" s="14">
        <v>0.0</v>
      </c>
      <c r="E888" s="13" t="s">
        <v>5350</v>
      </c>
      <c r="F888" s="15" t="s">
        <v>5224</v>
      </c>
      <c r="G888" s="16" t="s">
        <v>5351</v>
      </c>
      <c r="H888" s="13">
        <v>23.0</v>
      </c>
      <c r="I888" s="13">
        <v>0.9</v>
      </c>
      <c r="J888" s="13" t="s">
        <v>2081</v>
      </c>
      <c r="K888" s="13">
        <f t="shared" si="3"/>
        <v>2</v>
      </c>
      <c r="L888" s="13">
        <f t="shared" si="4"/>
        <v>2</v>
      </c>
      <c r="M888" s="13">
        <f t="shared" ref="M888:AA888" si="1775">IFERROR(VALUE(RIGHT(LEFT($J888,FIND(M$1,$J888,1)+LEN(M$1)),1)),0)</f>
        <v>0</v>
      </c>
      <c r="N888" s="13">
        <f t="shared" si="1775"/>
        <v>0</v>
      </c>
      <c r="O888" s="13">
        <f t="shared" si="1775"/>
        <v>0</v>
      </c>
      <c r="P888" s="13">
        <f t="shared" si="1775"/>
        <v>0</v>
      </c>
      <c r="Q888" s="13">
        <f t="shared" si="1775"/>
        <v>0</v>
      </c>
      <c r="R888" s="13">
        <f t="shared" si="1775"/>
        <v>0</v>
      </c>
      <c r="S888" s="13">
        <f t="shared" si="1775"/>
        <v>0</v>
      </c>
      <c r="T888" s="13">
        <f t="shared" si="1775"/>
        <v>0</v>
      </c>
      <c r="U888" s="13">
        <f t="shared" si="1775"/>
        <v>0</v>
      </c>
      <c r="V888" s="13">
        <f t="shared" si="1775"/>
        <v>0</v>
      </c>
      <c r="W888" s="13">
        <f t="shared" si="1775"/>
        <v>0</v>
      </c>
      <c r="X888" s="13">
        <f t="shared" si="1775"/>
        <v>0</v>
      </c>
      <c r="Y888" s="13">
        <f t="shared" si="1775"/>
        <v>0</v>
      </c>
      <c r="Z888" s="13">
        <f t="shared" si="1775"/>
        <v>0</v>
      </c>
      <c r="AA888" s="13">
        <f t="shared" si="1775"/>
        <v>2</v>
      </c>
      <c r="AB888" s="13">
        <f t="shared" ref="AB888:AP888" si="1776">IFERROR(VALUE(RIGHT(LEFT($J888,FIND(AB$1,$J888,IF(M888=0,1,FIND(AB$1,$J888,1)+1))+LEN(AB$1)),1)),0)</f>
        <v>0</v>
      </c>
      <c r="AC888" s="13">
        <f t="shared" si="1776"/>
        <v>1</v>
      </c>
      <c r="AD888" s="13">
        <f t="shared" si="1776"/>
        <v>0</v>
      </c>
      <c r="AE888" s="13">
        <f t="shared" si="1776"/>
        <v>0</v>
      </c>
      <c r="AF888" s="13">
        <f t="shared" si="1776"/>
        <v>0</v>
      </c>
      <c r="AG888" s="13">
        <f t="shared" si="1776"/>
        <v>0</v>
      </c>
      <c r="AH888" s="13">
        <f t="shared" si="1776"/>
        <v>0</v>
      </c>
      <c r="AI888" s="13">
        <f t="shared" si="1776"/>
        <v>0</v>
      </c>
      <c r="AJ888" s="13">
        <f t="shared" si="1776"/>
        <v>0</v>
      </c>
      <c r="AK888" s="13">
        <f t="shared" si="1776"/>
        <v>0</v>
      </c>
      <c r="AL888" s="13">
        <f t="shared" si="1776"/>
        <v>0</v>
      </c>
      <c r="AM888" s="13">
        <f t="shared" si="1776"/>
        <v>0</v>
      </c>
      <c r="AN888" s="13">
        <f t="shared" si="1776"/>
        <v>0</v>
      </c>
      <c r="AO888" s="13">
        <f t="shared" si="1776"/>
        <v>0</v>
      </c>
      <c r="AP888" s="13">
        <f t="shared" si="1776"/>
        <v>1</v>
      </c>
      <c r="AQ888" s="13"/>
      <c r="AR888" s="13" t="s">
        <v>5352</v>
      </c>
      <c r="AS888" s="13" t="s">
        <v>5353</v>
      </c>
      <c r="AT888" s="13" t="s">
        <v>5354</v>
      </c>
      <c r="AU888" s="13" t="s">
        <v>130</v>
      </c>
      <c r="AV888" s="13" t="s">
        <v>5355</v>
      </c>
      <c r="AW888" s="13">
        <v>21.0</v>
      </c>
      <c r="AX888" s="13">
        <v>16.0</v>
      </c>
      <c r="AY888" s="13">
        <v>0.0</v>
      </c>
      <c r="AZ888" s="13" t="s">
        <v>5356</v>
      </c>
      <c r="BA888" s="13" t="s">
        <v>5357</v>
      </c>
      <c r="BB888" s="13"/>
      <c r="BC888" s="13"/>
      <c r="BD888" s="13" t="s">
        <v>873</v>
      </c>
      <c r="BE888" s="13" t="s">
        <v>5358</v>
      </c>
      <c r="BF888" s="13" t="s">
        <v>5359</v>
      </c>
      <c r="BG888" s="13" t="s">
        <v>876</v>
      </c>
      <c r="BH888" s="13" t="s">
        <v>79</v>
      </c>
      <c r="BI888" s="13" t="b">
        <v>0</v>
      </c>
      <c r="BJ888" s="13">
        <v>0.0</v>
      </c>
      <c r="BK888" s="13">
        <v>0.0</v>
      </c>
    </row>
    <row r="889" ht="14.25" customHeight="1">
      <c r="A889" s="13">
        <v>887.0</v>
      </c>
      <c r="B889" s="13" t="s">
        <v>45</v>
      </c>
      <c r="C889" s="13">
        <v>5.0</v>
      </c>
      <c r="D889" s="14">
        <v>0.0</v>
      </c>
      <c r="E889" s="13" t="s">
        <v>5360</v>
      </c>
      <c r="F889" s="15" t="s">
        <v>5224</v>
      </c>
      <c r="G889" s="16" t="s">
        <v>5361</v>
      </c>
      <c r="H889" s="13"/>
      <c r="I889" s="13">
        <v>1.0</v>
      </c>
      <c r="J889" s="13" t="s">
        <v>5362</v>
      </c>
      <c r="K889" s="13">
        <f t="shared" si="3"/>
        <v>3</v>
      </c>
      <c r="L889" s="13">
        <f t="shared" si="4"/>
        <v>2</v>
      </c>
      <c r="M889" s="13">
        <f t="shared" ref="M889:AA889" si="1777">IFERROR(VALUE(RIGHT(LEFT($J889,FIND(M$1,$J889,1)+LEN(M$1)),1)),0)</f>
        <v>0</v>
      </c>
      <c r="N889" s="13">
        <f t="shared" si="1777"/>
        <v>2</v>
      </c>
      <c r="O889" s="13">
        <f t="shared" si="1777"/>
        <v>1</v>
      </c>
      <c r="P889" s="13">
        <f t="shared" si="1777"/>
        <v>0</v>
      </c>
      <c r="Q889" s="13">
        <f t="shared" si="1777"/>
        <v>0</v>
      </c>
      <c r="R889" s="13">
        <f t="shared" si="1777"/>
        <v>0</v>
      </c>
      <c r="S889" s="13">
        <f t="shared" si="1777"/>
        <v>0</v>
      </c>
      <c r="T889" s="13">
        <f t="shared" si="1777"/>
        <v>0</v>
      </c>
      <c r="U889" s="13">
        <f t="shared" si="1777"/>
        <v>0</v>
      </c>
      <c r="V889" s="13">
        <f t="shared" si="1777"/>
        <v>0</v>
      </c>
      <c r="W889" s="13">
        <f t="shared" si="1777"/>
        <v>0</v>
      </c>
      <c r="X889" s="13">
        <f t="shared" si="1777"/>
        <v>0</v>
      </c>
      <c r="Y889" s="13">
        <f t="shared" si="1777"/>
        <v>0</v>
      </c>
      <c r="Z889" s="13">
        <f t="shared" si="1777"/>
        <v>0</v>
      </c>
      <c r="AA889" s="13">
        <f t="shared" si="1777"/>
        <v>0</v>
      </c>
      <c r="AB889" s="13">
        <f t="shared" ref="AB889:AP889" si="1778">IFERROR(VALUE(RIGHT(LEFT($J889,FIND(AB$1,$J889,IF(M889=0,1,FIND(AB$1,$J889,1)+1))+LEN(AB$1)),1)),0)</f>
        <v>0</v>
      </c>
      <c r="AC889" s="13">
        <f t="shared" si="1778"/>
        <v>1</v>
      </c>
      <c r="AD889" s="13">
        <f t="shared" si="1778"/>
        <v>1</v>
      </c>
      <c r="AE889" s="13">
        <f t="shared" si="1778"/>
        <v>0</v>
      </c>
      <c r="AF889" s="13">
        <f t="shared" si="1778"/>
        <v>0</v>
      </c>
      <c r="AG889" s="13">
        <f t="shared" si="1778"/>
        <v>0</v>
      </c>
      <c r="AH889" s="13">
        <f t="shared" si="1778"/>
        <v>0</v>
      </c>
      <c r="AI889" s="13">
        <f t="shared" si="1778"/>
        <v>0</v>
      </c>
      <c r="AJ889" s="13">
        <f t="shared" si="1778"/>
        <v>0</v>
      </c>
      <c r="AK889" s="13">
        <f t="shared" si="1778"/>
        <v>0</v>
      </c>
      <c r="AL889" s="13">
        <f t="shared" si="1778"/>
        <v>0</v>
      </c>
      <c r="AM889" s="13">
        <f t="shared" si="1778"/>
        <v>0</v>
      </c>
      <c r="AN889" s="13">
        <f t="shared" si="1778"/>
        <v>0</v>
      </c>
      <c r="AO889" s="13">
        <f t="shared" si="1778"/>
        <v>0</v>
      </c>
      <c r="AP889" s="13">
        <f t="shared" si="1778"/>
        <v>0</v>
      </c>
      <c r="AQ889" s="13" t="s">
        <v>5363</v>
      </c>
      <c r="AR889" s="13"/>
      <c r="AS889" s="13" t="s">
        <v>5364</v>
      </c>
      <c r="AT889" s="13"/>
      <c r="AU889" s="13"/>
      <c r="AV889" s="13"/>
      <c r="AW889" s="13">
        <v>0.0</v>
      </c>
      <c r="AX889" s="13">
        <v>16.0</v>
      </c>
      <c r="AY889" s="13">
        <v>0.0</v>
      </c>
      <c r="AZ889" s="13"/>
      <c r="BA889" s="13"/>
      <c r="BB889" s="13"/>
      <c r="BC889" s="13"/>
      <c r="BD889" s="13"/>
      <c r="BE889" s="13"/>
      <c r="BF889" s="13"/>
      <c r="BG889" s="13"/>
      <c r="BH889" s="13" t="s">
        <v>79</v>
      </c>
      <c r="BI889" s="13" t="b">
        <v>0</v>
      </c>
      <c r="BJ889" s="13">
        <v>0.0</v>
      </c>
      <c r="BK889" s="13">
        <v>0.0</v>
      </c>
    </row>
    <row r="890" ht="14.25" customHeight="1">
      <c r="A890" s="13">
        <v>888.0</v>
      </c>
      <c r="B890" s="13" t="s">
        <v>51</v>
      </c>
      <c r="C890" s="13">
        <v>5.0</v>
      </c>
      <c r="D890" s="14">
        <v>0.0</v>
      </c>
      <c r="E890" s="13" t="s">
        <v>5365</v>
      </c>
      <c r="F890" s="15" t="s">
        <v>5224</v>
      </c>
      <c r="G890" s="16" t="s">
        <v>5366</v>
      </c>
      <c r="H890" s="13"/>
      <c r="I890" s="13">
        <v>1.3</v>
      </c>
      <c r="J890" s="13" t="s">
        <v>5367</v>
      </c>
      <c r="K890" s="13">
        <f t="shared" si="3"/>
        <v>4</v>
      </c>
      <c r="L890" s="13">
        <f t="shared" si="4"/>
        <v>0</v>
      </c>
      <c r="M890" s="13">
        <f t="shared" ref="M890:AA890" si="1779">IFERROR(VALUE(RIGHT(LEFT($J890,FIND(M$1,$J890,1)+LEN(M$1)),1)),0)</f>
        <v>0</v>
      </c>
      <c r="N890" s="13">
        <f t="shared" si="1779"/>
        <v>0</v>
      </c>
      <c r="O890" s="13">
        <f t="shared" si="1779"/>
        <v>1</v>
      </c>
      <c r="P890" s="13">
        <f t="shared" si="1779"/>
        <v>1</v>
      </c>
      <c r="Q890" s="13">
        <f t="shared" si="1779"/>
        <v>0</v>
      </c>
      <c r="R890" s="13">
        <f t="shared" si="1779"/>
        <v>0</v>
      </c>
      <c r="S890" s="13">
        <f t="shared" si="1779"/>
        <v>0</v>
      </c>
      <c r="T890" s="13">
        <f t="shared" si="1779"/>
        <v>0</v>
      </c>
      <c r="U890" s="13">
        <f t="shared" si="1779"/>
        <v>0</v>
      </c>
      <c r="V890" s="13">
        <f t="shared" si="1779"/>
        <v>0</v>
      </c>
      <c r="W890" s="13">
        <f t="shared" si="1779"/>
        <v>0</v>
      </c>
      <c r="X890" s="13">
        <f t="shared" si="1779"/>
        <v>0</v>
      </c>
      <c r="Y890" s="13">
        <f t="shared" si="1779"/>
        <v>0</v>
      </c>
      <c r="Z890" s="13">
        <f t="shared" si="1779"/>
        <v>2</v>
      </c>
      <c r="AA890" s="13">
        <f t="shared" si="1779"/>
        <v>0</v>
      </c>
      <c r="AB890" s="13">
        <f t="shared" ref="AB890:AP890" si="1780">IFERROR(VALUE(RIGHT(LEFT($J890,FIND(AB$1,$J890,IF(M890=0,1,FIND(AB$1,$J890,1)+1))+LEN(AB$1)),1)),0)</f>
        <v>0</v>
      </c>
      <c r="AC890" s="13">
        <f t="shared" si="1780"/>
        <v>0</v>
      </c>
      <c r="AD890" s="13">
        <f t="shared" si="1780"/>
        <v>0</v>
      </c>
      <c r="AE890" s="13">
        <f t="shared" si="1780"/>
        <v>0</v>
      </c>
      <c r="AF890" s="13">
        <f t="shared" si="1780"/>
        <v>0</v>
      </c>
      <c r="AG890" s="13">
        <f t="shared" si="1780"/>
        <v>0</v>
      </c>
      <c r="AH890" s="13">
        <f t="shared" si="1780"/>
        <v>0</v>
      </c>
      <c r="AI890" s="13">
        <f t="shared" si="1780"/>
        <v>0</v>
      </c>
      <c r="AJ890" s="13">
        <f t="shared" si="1780"/>
        <v>0</v>
      </c>
      <c r="AK890" s="13">
        <f t="shared" si="1780"/>
        <v>0</v>
      </c>
      <c r="AL890" s="13">
        <f t="shared" si="1780"/>
        <v>0</v>
      </c>
      <c r="AM890" s="13">
        <f t="shared" si="1780"/>
        <v>0</v>
      </c>
      <c r="AN890" s="13">
        <f t="shared" si="1780"/>
        <v>0</v>
      </c>
      <c r="AO890" s="13">
        <f t="shared" si="1780"/>
        <v>0</v>
      </c>
      <c r="AP890" s="13">
        <f t="shared" si="1780"/>
        <v>0</v>
      </c>
      <c r="AQ890" s="13"/>
      <c r="AR890" s="13"/>
      <c r="AS890" s="13" t="s">
        <v>5368</v>
      </c>
      <c r="AT890" s="13" t="s">
        <v>142</v>
      </c>
      <c r="AU890" s="13" t="s">
        <v>130</v>
      </c>
      <c r="AV890" s="13"/>
      <c r="AW890" s="13">
        <v>32.0</v>
      </c>
      <c r="AX890" s="13">
        <v>16.0</v>
      </c>
      <c r="AY890" s="13">
        <v>4.0</v>
      </c>
      <c r="AZ890" s="13"/>
      <c r="BA890" s="13"/>
      <c r="BB890" s="13">
        <v>8.0</v>
      </c>
      <c r="BC890" s="13">
        <v>1.0</v>
      </c>
      <c r="BD890" s="13" t="s">
        <v>5238</v>
      </c>
      <c r="BE890" s="13"/>
      <c r="BF890" s="13" t="s">
        <v>5369</v>
      </c>
      <c r="BG890" s="13"/>
      <c r="BH890" s="13" t="s">
        <v>79</v>
      </c>
      <c r="BI890" s="13" t="b">
        <v>0</v>
      </c>
      <c r="BJ890" s="13">
        <v>0.0</v>
      </c>
      <c r="BK890" s="13">
        <v>0.0</v>
      </c>
    </row>
    <row r="891" ht="14.25" customHeight="1">
      <c r="A891" s="13">
        <v>889.0</v>
      </c>
      <c r="B891" s="13" t="s">
        <v>44</v>
      </c>
      <c r="C891" s="13">
        <v>0.0</v>
      </c>
      <c r="D891" s="14">
        <v>0.0</v>
      </c>
      <c r="E891" s="13" t="s">
        <v>5370</v>
      </c>
      <c r="F891" s="15" t="s">
        <v>5371</v>
      </c>
      <c r="G891" s="16" t="s">
        <v>5372</v>
      </c>
      <c r="H891" s="13"/>
      <c r="I891" s="13">
        <v>1.0</v>
      </c>
      <c r="J891" s="13" t="s">
        <v>2185</v>
      </c>
      <c r="K891" s="13">
        <f t="shared" si="3"/>
        <v>0</v>
      </c>
      <c r="L891" s="13">
        <f t="shared" si="4"/>
        <v>1</v>
      </c>
      <c r="M891" s="13">
        <f t="shared" ref="M891:AA891" si="1781">IFERROR(VALUE(RIGHT(LEFT($J891,FIND(M$1,$J891,1)+LEN(M$1)),1)),0)</f>
        <v>0</v>
      </c>
      <c r="N891" s="13">
        <f t="shared" si="1781"/>
        <v>0</v>
      </c>
      <c r="O891" s="13">
        <f t="shared" si="1781"/>
        <v>0</v>
      </c>
      <c r="P891" s="13">
        <f t="shared" si="1781"/>
        <v>0</v>
      </c>
      <c r="Q891" s="13">
        <f t="shared" si="1781"/>
        <v>0</v>
      </c>
      <c r="R891" s="13">
        <f t="shared" si="1781"/>
        <v>0</v>
      </c>
      <c r="S891" s="13">
        <f t="shared" si="1781"/>
        <v>0</v>
      </c>
      <c r="T891" s="13">
        <f t="shared" si="1781"/>
        <v>0</v>
      </c>
      <c r="U891" s="13">
        <f t="shared" si="1781"/>
        <v>0</v>
      </c>
      <c r="V891" s="13">
        <f t="shared" si="1781"/>
        <v>0</v>
      </c>
      <c r="W891" s="13">
        <f t="shared" si="1781"/>
        <v>0</v>
      </c>
      <c r="X891" s="13">
        <f t="shared" si="1781"/>
        <v>0</v>
      </c>
      <c r="Y891" s="13">
        <f t="shared" si="1781"/>
        <v>0</v>
      </c>
      <c r="Z891" s="13">
        <f t="shared" si="1781"/>
        <v>0</v>
      </c>
      <c r="AA891" s="13">
        <f t="shared" si="1781"/>
        <v>0</v>
      </c>
      <c r="AB891" s="13">
        <f t="shared" ref="AB891:AP891" si="1782">IFERROR(VALUE(RIGHT(LEFT($J891,FIND(AB$1,$J891,IF(M891=0,1,FIND(AB$1,$J891,1)+1))+LEN(AB$1)),1)),0)</f>
        <v>0</v>
      </c>
      <c r="AC891" s="13">
        <f t="shared" si="1782"/>
        <v>0</v>
      </c>
      <c r="AD891" s="13">
        <f t="shared" si="1782"/>
        <v>0</v>
      </c>
      <c r="AE891" s="13">
        <f t="shared" si="1782"/>
        <v>0</v>
      </c>
      <c r="AF891" s="13">
        <f t="shared" si="1782"/>
        <v>0</v>
      </c>
      <c r="AG891" s="13">
        <f t="shared" si="1782"/>
        <v>0</v>
      </c>
      <c r="AH891" s="13">
        <f t="shared" si="1782"/>
        <v>1</v>
      </c>
      <c r="AI891" s="13">
        <f t="shared" si="1782"/>
        <v>0</v>
      </c>
      <c r="AJ891" s="13">
        <f t="shared" si="1782"/>
        <v>0</v>
      </c>
      <c r="AK891" s="13">
        <f t="shared" si="1782"/>
        <v>0</v>
      </c>
      <c r="AL891" s="13">
        <f t="shared" si="1782"/>
        <v>0</v>
      </c>
      <c r="AM891" s="13">
        <f t="shared" si="1782"/>
        <v>0</v>
      </c>
      <c r="AN891" s="13">
        <f t="shared" si="1782"/>
        <v>0</v>
      </c>
      <c r="AO891" s="13">
        <f t="shared" si="1782"/>
        <v>0</v>
      </c>
      <c r="AP891" s="13">
        <f t="shared" si="1782"/>
        <v>0</v>
      </c>
      <c r="AQ891" s="13" t="s">
        <v>5373</v>
      </c>
      <c r="AR891" s="13"/>
      <c r="AS891" s="13" t="s">
        <v>5374</v>
      </c>
      <c r="AT891" s="13"/>
      <c r="AU891" s="13"/>
      <c r="AV891" s="13"/>
      <c r="AW891" s="13">
        <v>0.0</v>
      </c>
      <c r="AX891" s="13">
        <v>17.0</v>
      </c>
      <c r="AY891" s="13">
        <v>0.0</v>
      </c>
      <c r="AZ891" s="13"/>
      <c r="BA891" s="13"/>
      <c r="BB891" s="13"/>
      <c r="BC891" s="13"/>
      <c r="BD891" s="13"/>
      <c r="BE891" s="13"/>
      <c r="BF891" s="13"/>
      <c r="BG891" s="13"/>
      <c r="BH891" s="13" t="s">
        <v>79</v>
      </c>
      <c r="BI891" s="13" t="b">
        <v>0</v>
      </c>
      <c r="BJ891" s="13">
        <v>0.0</v>
      </c>
      <c r="BK891" s="13">
        <v>0.0</v>
      </c>
    </row>
    <row r="892" ht="14.25" customHeight="1">
      <c r="A892" s="13">
        <v>890.0</v>
      </c>
      <c r="B892" s="13" t="s">
        <v>45</v>
      </c>
      <c r="C892" s="13">
        <v>0.0</v>
      </c>
      <c r="D892" s="14">
        <v>0.0</v>
      </c>
      <c r="E892" s="13" t="s">
        <v>5375</v>
      </c>
      <c r="F892" s="15" t="s">
        <v>5371</v>
      </c>
      <c r="G892" s="16" t="s">
        <v>5376</v>
      </c>
      <c r="H892" s="13"/>
      <c r="I892" s="13">
        <v>0.9</v>
      </c>
      <c r="J892" s="13" t="s">
        <v>100</v>
      </c>
      <c r="K892" s="13">
        <f t="shared" si="3"/>
        <v>0</v>
      </c>
      <c r="L892" s="13">
        <f t="shared" si="4"/>
        <v>1</v>
      </c>
      <c r="M892" s="13">
        <f t="shared" ref="M892:AA892" si="1783">IFERROR(VALUE(RIGHT(LEFT($J892,FIND(M$1,$J892,1)+LEN(M$1)),1)),0)</f>
        <v>0</v>
      </c>
      <c r="N892" s="13">
        <f t="shared" si="1783"/>
        <v>0</v>
      </c>
      <c r="O892" s="13">
        <f t="shared" si="1783"/>
        <v>0</v>
      </c>
      <c r="P892" s="13">
        <f t="shared" si="1783"/>
        <v>0</v>
      </c>
      <c r="Q892" s="13">
        <f t="shared" si="1783"/>
        <v>0</v>
      </c>
      <c r="R892" s="13">
        <f t="shared" si="1783"/>
        <v>0</v>
      </c>
      <c r="S892" s="13">
        <f t="shared" si="1783"/>
        <v>0</v>
      </c>
      <c r="T892" s="13">
        <f t="shared" si="1783"/>
        <v>0</v>
      </c>
      <c r="U892" s="13">
        <f t="shared" si="1783"/>
        <v>0</v>
      </c>
      <c r="V892" s="13">
        <f t="shared" si="1783"/>
        <v>0</v>
      </c>
      <c r="W892" s="13">
        <f t="shared" si="1783"/>
        <v>0</v>
      </c>
      <c r="X892" s="13">
        <f t="shared" si="1783"/>
        <v>0</v>
      </c>
      <c r="Y892" s="13">
        <f t="shared" si="1783"/>
        <v>0</v>
      </c>
      <c r="Z892" s="13">
        <f t="shared" si="1783"/>
        <v>0</v>
      </c>
      <c r="AA892" s="13">
        <f t="shared" si="1783"/>
        <v>0</v>
      </c>
      <c r="AB892" s="13">
        <f t="shared" ref="AB892:AP892" si="1784">IFERROR(VALUE(RIGHT(LEFT($J892,FIND(AB$1,$J892,IF(M892=0,1,FIND(AB$1,$J892,1)+1))+LEN(AB$1)),1)),0)</f>
        <v>0</v>
      </c>
      <c r="AC892" s="13">
        <f t="shared" si="1784"/>
        <v>0</v>
      </c>
      <c r="AD892" s="13">
        <f t="shared" si="1784"/>
        <v>0</v>
      </c>
      <c r="AE892" s="13">
        <f t="shared" si="1784"/>
        <v>0</v>
      </c>
      <c r="AF892" s="13">
        <f t="shared" si="1784"/>
        <v>0</v>
      </c>
      <c r="AG892" s="13">
        <f t="shared" si="1784"/>
        <v>0</v>
      </c>
      <c r="AH892" s="13">
        <f t="shared" si="1784"/>
        <v>0</v>
      </c>
      <c r="AI892" s="13">
        <f t="shared" si="1784"/>
        <v>1</v>
      </c>
      <c r="AJ892" s="13">
        <f t="shared" si="1784"/>
        <v>0</v>
      </c>
      <c r="AK892" s="13">
        <f t="shared" si="1784"/>
        <v>0</v>
      </c>
      <c r="AL892" s="13">
        <f t="shared" si="1784"/>
        <v>0</v>
      </c>
      <c r="AM892" s="13">
        <f t="shared" si="1784"/>
        <v>0</v>
      </c>
      <c r="AN892" s="13">
        <f t="shared" si="1784"/>
        <v>0</v>
      </c>
      <c r="AO892" s="13">
        <f t="shared" si="1784"/>
        <v>0</v>
      </c>
      <c r="AP892" s="13">
        <f t="shared" si="1784"/>
        <v>0</v>
      </c>
      <c r="AQ892" s="13" t="s">
        <v>5377</v>
      </c>
      <c r="AR892" s="13"/>
      <c r="AS892" s="13" t="s">
        <v>102</v>
      </c>
      <c r="AT892" s="13"/>
      <c r="AU892" s="13"/>
      <c r="AV892" s="13"/>
      <c r="AW892" s="13">
        <v>0.0</v>
      </c>
      <c r="AX892" s="13">
        <v>17.0</v>
      </c>
      <c r="AY892" s="13">
        <v>0.0</v>
      </c>
      <c r="AZ892" s="13"/>
      <c r="BA892" s="13"/>
      <c r="BB892" s="13"/>
      <c r="BC892" s="13"/>
      <c r="BD892" s="13"/>
      <c r="BE892" s="13"/>
      <c r="BF892" s="13"/>
      <c r="BG892" s="13"/>
      <c r="BH892" s="13" t="s">
        <v>79</v>
      </c>
      <c r="BI892" s="13" t="b">
        <v>0</v>
      </c>
      <c r="BJ892" s="13">
        <v>0.0</v>
      </c>
      <c r="BK892" s="13">
        <v>0.0</v>
      </c>
    </row>
    <row r="893" ht="14.25" customHeight="1">
      <c r="A893" s="13">
        <v>891.0</v>
      </c>
      <c r="B893" s="13" t="s">
        <v>46</v>
      </c>
      <c r="C893" s="13">
        <v>0.0</v>
      </c>
      <c r="D893" s="14">
        <v>0.0</v>
      </c>
      <c r="E893" s="13" t="s">
        <v>5378</v>
      </c>
      <c r="F893" s="15" t="s">
        <v>5371</v>
      </c>
      <c r="G893" s="16" t="s">
        <v>5379</v>
      </c>
      <c r="H893" s="13"/>
      <c r="I893" s="13">
        <v>1.0</v>
      </c>
      <c r="J893" s="13" t="s">
        <v>111</v>
      </c>
      <c r="K893" s="13">
        <f t="shared" si="3"/>
        <v>0</v>
      </c>
      <c r="L893" s="13">
        <f t="shared" si="4"/>
        <v>1</v>
      </c>
      <c r="M893" s="13">
        <f t="shared" ref="M893:AA893" si="1785">IFERROR(VALUE(RIGHT(LEFT($J893,FIND(M$1,$J893,1)+LEN(M$1)),1)),0)</f>
        <v>0</v>
      </c>
      <c r="N893" s="13">
        <f t="shared" si="1785"/>
        <v>0</v>
      </c>
      <c r="O893" s="13">
        <f t="shared" si="1785"/>
        <v>0</v>
      </c>
      <c r="P893" s="13">
        <f t="shared" si="1785"/>
        <v>0</v>
      </c>
      <c r="Q893" s="13">
        <f t="shared" si="1785"/>
        <v>0</v>
      </c>
      <c r="R893" s="13">
        <f t="shared" si="1785"/>
        <v>0</v>
      </c>
      <c r="S893" s="13">
        <f t="shared" si="1785"/>
        <v>0</v>
      </c>
      <c r="T893" s="13">
        <f t="shared" si="1785"/>
        <v>0</v>
      </c>
      <c r="U893" s="13">
        <f t="shared" si="1785"/>
        <v>0</v>
      </c>
      <c r="V893" s="13">
        <f t="shared" si="1785"/>
        <v>0</v>
      </c>
      <c r="W893" s="13">
        <f t="shared" si="1785"/>
        <v>0</v>
      </c>
      <c r="X893" s="13">
        <f t="shared" si="1785"/>
        <v>0</v>
      </c>
      <c r="Y893" s="13">
        <f t="shared" si="1785"/>
        <v>0</v>
      </c>
      <c r="Z893" s="13">
        <f t="shared" si="1785"/>
        <v>0</v>
      </c>
      <c r="AA893" s="13">
        <f t="shared" si="1785"/>
        <v>0</v>
      </c>
      <c r="AB893" s="13">
        <f t="shared" ref="AB893:AP893" si="1786">IFERROR(VALUE(RIGHT(LEFT($J893,FIND(AB$1,$J893,IF(M893=0,1,FIND(AB$1,$J893,1)+1))+LEN(AB$1)),1)),0)</f>
        <v>0</v>
      </c>
      <c r="AC893" s="13">
        <f t="shared" si="1786"/>
        <v>0</v>
      </c>
      <c r="AD893" s="13">
        <f t="shared" si="1786"/>
        <v>0</v>
      </c>
      <c r="AE893" s="13">
        <f t="shared" si="1786"/>
        <v>0</v>
      </c>
      <c r="AF893" s="13">
        <f t="shared" si="1786"/>
        <v>0</v>
      </c>
      <c r="AG893" s="13">
        <f t="shared" si="1786"/>
        <v>0</v>
      </c>
      <c r="AH893" s="13">
        <f t="shared" si="1786"/>
        <v>0</v>
      </c>
      <c r="AI893" s="13">
        <f t="shared" si="1786"/>
        <v>0</v>
      </c>
      <c r="AJ893" s="13">
        <f t="shared" si="1786"/>
        <v>1</v>
      </c>
      <c r="AK893" s="13">
        <f t="shared" si="1786"/>
        <v>0</v>
      </c>
      <c r="AL893" s="13">
        <f t="shared" si="1786"/>
        <v>0</v>
      </c>
      <c r="AM893" s="13">
        <f t="shared" si="1786"/>
        <v>0</v>
      </c>
      <c r="AN893" s="13">
        <f t="shared" si="1786"/>
        <v>0</v>
      </c>
      <c r="AO893" s="13">
        <f t="shared" si="1786"/>
        <v>0</v>
      </c>
      <c r="AP893" s="13">
        <f t="shared" si="1786"/>
        <v>0</v>
      </c>
      <c r="AQ893" s="13" t="s">
        <v>5380</v>
      </c>
      <c r="AR893" s="13"/>
      <c r="AS893" s="13" t="s">
        <v>123</v>
      </c>
      <c r="AT893" s="13"/>
      <c r="AU893" s="13"/>
      <c r="AV893" s="13"/>
      <c r="AW893" s="13">
        <v>0.0</v>
      </c>
      <c r="AX893" s="13">
        <v>17.0</v>
      </c>
      <c r="AY893" s="13">
        <v>0.0</v>
      </c>
      <c r="AZ893" s="13"/>
      <c r="BA893" s="13"/>
      <c r="BB893" s="13"/>
      <c r="BC893" s="13"/>
      <c r="BD893" s="13"/>
      <c r="BE893" s="13"/>
      <c r="BF893" s="13"/>
      <c r="BG893" s="13"/>
      <c r="BH893" s="13" t="s">
        <v>79</v>
      </c>
      <c r="BI893" s="13" t="b">
        <v>0</v>
      </c>
      <c r="BJ893" s="13">
        <v>0.0</v>
      </c>
      <c r="BK893" s="13">
        <v>0.0</v>
      </c>
    </row>
    <row r="894" ht="14.25" customHeight="1">
      <c r="A894" s="13">
        <v>892.0</v>
      </c>
      <c r="B894" s="13" t="s">
        <v>52</v>
      </c>
      <c r="C894" s="13">
        <v>0.0</v>
      </c>
      <c r="D894" s="14">
        <v>0.0</v>
      </c>
      <c r="E894" s="13" t="s">
        <v>5381</v>
      </c>
      <c r="F894" s="15" t="s">
        <v>5371</v>
      </c>
      <c r="G894" s="16" t="s">
        <v>5382</v>
      </c>
      <c r="H894" s="13">
        <v>8.0</v>
      </c>
      <c r="I894" s="13">
        <v>0.9</v>
      </c>
      <c r="J894" s="13" t="s">
        <v>288</v>
      </c>
      <c r="K894" s="13">
        <f t="shared" si="3"/>
        <v>0</v>
      </c>
      <c r="L894" s="13">
        <f t="shared" si="4"/>
        <v>1</v>
      </c>
      <c r="M894" s="13">
        <f t="shared" ref="M894:AA894" si="1787">IFERROR(VALUE(RIGHT(LEFT($J894,FIND(M$1,$J894,1)+LEN(M$1)),1)),0)</f>
        <v>0</v>
      </c>
      <c r="N894" s="13">
        <f t="shared" si="1787"/>
        <v>0</v>
      </c>
      <c r="O894" s="13">
        <f t="shared" si="1787"/>
        <v>0</v>
      </c>
      <c r="P894" s="13">
        <f t="shared" si="1787"/>
        <v>0</v>
      </c>
      <c r="Q894" s="13">
        <f t="shared" si="1787"/>
        <v>0</v>
      </c>
      <c r="R894" s="13">
        <f t="shared" si="1787"/>
        <v>0</v>
      </c>
      <c r="S894" s="13">
        <f t="shared" si="1787"/>
        <v>0</v>
      </c>
      <c r="T894" s="13">
        <f t="shared" si="1787"/>
        <v>0</v>
      </c>
      <c r="U894" s="13">
        <f t="shared" si="1787"/>
        <v>0</v>
      </c>
      <c r="V894" s="13">
        <f t="shared" si="1787"/>
        <v>0</v>
      </c>
      <c r="W894" s="13">
        <f t="shared" si="1787"/>
        <v>0</v>
      </c>
      <c r="X894" s="13">
        <f t="shared" si="1787"/>
        <v>0</v>
      </c>
      <c r="Y894" s="13">
        <f t="shared" si="1787"/>
        <v>0</v>
      </c>
      <c r="Z894" s="13">
        <f t="shared" si="1787"/>
        <v>0</v>
      </c>
      <c r="AA894" s="13">
        <f t="shared" si="1787"/>
        <v>0</v>
      </c>
      <c r="AB894" s="13">
        <f t="shared" ref="AB894:AP894" si="1788">IFERROR(VALUE(RIGHT(LEFT($J894,FIND(AB$1,$J894,IF(M894=0,1,FIND(AB$1,$J894,1)+1))+LEN(AB$1)),1)),0)</f>
        <v>0</v>
      </c>
      <c r="AC894" s="13">
        <f t="shared" si="1788"/>
        <v>0</v>
      </c>
      <c r="AD894" s="13">
        <f t="shared" si="1788"/>
        <v>0</v>
      </c>
      <c r="AE894" s="13">
        <f t="shared" si="1788"/>
        <v>0</v>
      </c>
      <c r="AF894" s="13">
        <f t="shared" si="1788"/>
        <v>0</v>
      </c>
      <c r="AG894" s="13">
        <f t="shared" si="1788"/>
        <v>0</v>
      </c>
      <c r="AH894" s="13">
        <f t="shared" si="1788"/>
        <v>0</v>
      </c>
      <c r="AI894" s="13">
        <f t="shared" si="1788"/>
        <v>0</v>
      </c>
      <c r="AJ894" s="13">
        <f t="shared" si="1788"/>
        <v>0</v>
      </c>
      <c r="AK894" s="13">
        <f t="shared" si="1788"/>
        <v>0</v>
      </c>
      <c r="AL894" s="13">
        <f t="shared" si="1788"/>
        <v>0</v>
      </c>
      <c r="AM894" s="13">
        <f t="shared" si="1788"/>
        <v>0</v>
      </c>
      <c r="AN894" s="13">
        <f t="shared" si="1788"/>
        <v>0</v>
      </c>
      <c r="AO894" s="13">
        <f t="shared" si="1788"/>
        <v>0</v>
      </c>
      <c r="AP894" s="13">
        <f t="shared" si="1788"/>
        <v>1</v>
      </c>
      <c r="AQ894" s="13"/>
      <c r="AR894" s="13" t="s">
        <v>5383</v>
      </c>
      <c r="AS894" s="13" t="s">
        <v>5384</v>
      </c>
      <c r="AT894" s="13" t="s">
        <v>290</v>
      </c>
      <c r="AU894" s="13" t="s">
        <v>803</v>
      </c>
      <c r="AV894" s="13" t="s">
        <v>5093</v>
      </c>
      <c r="AW894" s="13">
        <v>2.0</v>
      </c>
      <c r="AX894" s="13">
        <v>17.0</v>
      </c>
      <c r="AY894" s="13">
        <v>0.0</v>
      </c>
      <c r="AZ894" s="13" t="s">
        <v>679</v>
      </c>
      <c r="BA894" s="13" t="s">
        <v>260</v>
      </c>
      <c r="BB894" s="13"/>
      <c r="BC894" s="13"/>
      <c r="BD894" s="13" t="s">
        <v>294</v>
      </c>
      <c r="BE894" s="13" t="s">
        <v>5385</v>
      </c>
      <c r="BF894" s="13" t="s">
        <v>2660</v>
      </c>
      <c r="BG894" s="13"/>
      <c r="BH894" s="13" t="s">
        <v>241</v>
      </c>
      <c r="BI894" s="13" t="b">
        <v>0</v>
      </c>
      <c r="BJ894" s="13">
        <v>0.0</v>
      </c>
      <c r="BK894" s="13">
        <v>0.0</v>
      </c>
    </row>
    <row r="895" ht="14.25" customHeight="1">
      <c r="A895" s="13">
        <v>893.0</v>
      </c>
      <c r="B895" s="13" t="s">
        <v>52</v>
      </c>
      <c r="C895" s="13">
        <v>0.0</v>
      </c>
      <c r="D895" s="14">
        <v>0.0</v>
      </c>
      <c r="E895" s="13" t="s">
        <v>5386</v>
      </c>
      <c r="F895" s="15" t="s">
        <v>5371</v>
      </c>
      <c r="G895" s="16" t="s">
        <v>5387</v>
      </c>
      <c r="H895" s="13">
        <v>10.0</v>
      </c>
      <c r="I895" s="13">
        <v>0.8</v>
      </c>
      <c r="J895" s="13" t="s">
        <v>288</v>
      </c>
      <c r="K895" s="13">
        <f t="shared" si="3"/>
        <v>0</v>
      </c>
      <c r="L895" s="13">
        <f t="shared" si="4"/>
        <v>1</v>
      </c>
      <c r="M895" s="13">
        <f t="shared" ref="M895:AA895" si="1789">IFERROR(VALUE(RIGHT(LEFT($J895,FIND(M$1,$J895,1)+LEN(M$1)),1)),0)</f>
        <v>0</v>
      </c>
      <c r="N895" s="13">
        <f t="shared" si="1789"/>
        <v>0</v>
      </c>
      <c r="O895" s="13">
        <f t="shared" si="1789"/>
        <v>0</v>
      </c>
      <c r="P895" s="13">
        <f t="shared" si="1789"/>
        <v>0</v>
      </c>
      <c r="Q895" s="13">
        <f t="shared" si="1789"/>
        <v>0</v>
      </c>
      <c r="R895" s="13">
        <f t="shared" si="1789"/>
        <v>0</v>
      </c>
      <c r="S895" s="13">
        <f t="shared" si="1789"/>
        <v>0</v>
      </c>
      <c r="T895" s="13">
        <f t="shared" si="1789"/>
        <v>0</v>
      </c>
      <c r="U895" s="13">
        <f t="shared" si="1789"/>
        <v>0</v>
      </c>
      <c r="V895" s="13">
        <f t="shared" si="1789"/>
        <v>0</v>
      </c>
      <c r="W895" s="13">
        <f t="shared" si="1789"/>
        <v>0</v>
      </c>
      <c r="X895" s="13">
        <f t="shared" si="1789"/>
        <v>0</v>
      </c>
      <c r="Y895" s="13">
        <f t="shared" si="1789"/>
        <v>0</v>
      </c>
      <c r="Z895" s="13">
        <f t="shared" si="1789"/>
        <v>0</v>
      </c>
      <c r="AA895" s="13">
        <f t="shared" si="1789"/>
        <v>0</v>
      </c>
      <c r="AB895" s="13">
        <f t="shared" ref="AB895:AP895" si="1790">IFERROR(VALUE(RIGHT(LEFT($J895,FIND(AB$1,$J895,IF(M895=0,1,FIND(AB$1,$J895,1)+1))+LEN(AB$1)),1)),0)</f>
        <v>0</v>
      </c>
      <c r="AC895" s="13">
        <f t="shared" si="1790"/>
        <v>0</v>
      </c>
      <c r="AD895" s="13">
        <f t="shared" si="1790"/>
        <v>0</v>
      </c>
      <c r="AE895" s="13">
        <f t="shared" si="1790"/>
        <v>0</v>
      </c>
      <c r="AF895" s="13">
        <f t="shared" si="1790"/>
        <v>0</v>
      </c>
      <c r="AG895" s="13">
        <f t="shared" si="1790"/>
        <v>0</v>
      </c>
      <c r="AH895" s="13">
        <f t="shared" si="1790"/>
        <v>0</v>
      </c>
      <c r="AI895" s="13">
        <f t="shared" si="1790"/>
        <v>0</v>
      </c>
      <c r="AJ895" s="13">
        <f t="shared" si="1790"/>
        <v>0</v>
      </c>
      <c r="AK895" s="13">
        <f t="shared" si="1790"/>
        <v>0</v>
      </c>
      <c r="AL895" s="13">
        <f t="shared" si="1790"/>
        <v>0</v>
      </c>
      <c r="AM895" s="13">
        <f t="shared" si="1790"/>
        <v>0</v>
      </c>
      <c r="AN895" s="13">
        <f t="shared" si="1790"/>
        <v>0</v>
      </c>
      <c r="AO895" s="13">
        <f t="shared" si="1790"/>
        <v>0</v>
      </c>
      <c r="AP895" s="13">
        <f t="shared" si="1790"/>
        <v>1</v>
      </c>
      <c r="AQ895" s="13"/>
      <c r="AR895" s="13" t="s">
        <v>870</v>
      </c>
      <c r="AS895" s="13" t="s">
        <v>301</v>
      </c>
      <c r="AT895" s="13" t="s">
        <v>1350</v>
      </c>
      <c r="AU895" s="13" t="s">
        <v>130</v>
      </c>
      <c r="AV895" s="13" t="s">
        <v>5247</v>
      </c>
      <c r="AW895" s="13">
        <v>3.0</v>
      </c>
      <c r="AX895" s="13">
        <v>17.0</v>
      </c>
      <c r="AY895" s="13">
        <v>0.0</v>
      </c>
      <c r="AZ895" s="13" t="s">
        <v>757</v>
      </c>
      <c r="BA895" s="13" t="s">
        <v>914</v>
      </c>
      <c r="BB895" s="13"/>
      <c r="BC895" s="13"/>
      <c r="BD895" s="13" t="s">
        <v>306</v>
      </c>
      <c r="BE895" s="13" t="s">
        <v>295</v>
      </c>
      <c r="BF895" s="13" t="s">
        <v>3861</v>
      </c>
      <c r="BG895" s="13"/>
      <c r="BH895" s="13" t="s">
        <v>79</v>
      </c>
      <c r="BI895" s="13" t="b">
        <v>0</v>
      </c>
      <c r="BJ895" s="13">
        <v>0.0</v>
      </c>
      <c r="BK895" s="13">
        <v>0.0</v>
      </c>
    </row>
    <row r="896" ht="14.25" customHeight="1">
      <c r="A896" s="13">
        <v>894.0</v>
      </c>
      <c r="B896" s="13" t="s">
        <v>50</v>
      </c>
      <c r="C896" s="13">
        <v>0.0</v>
      </c>
      <c r="D896" s="14">
        <v>0.0</v>
      </c>
      <c r="E896" s="13" t="s">
        <v>5388</v>
      </c>
      <c r="F896" s="15" t="s">
        <v>5371</v>
      </c>
      <c r="G896" s="16" t="s">
        <v>5389</v>
      </c>
      <c r="H896" s="13">
        <v>11.0</v>
      </c>
      <c r="I896" s="13">
        <v>1.1</v>
      </c>
      <c r="J896" s="13" t="s">
        <v>225</v>
      </c>
      <c r="K896" s="13">
        <f t="shared" si="3"/>
        <v>0</v>
      </c>
      <c r="L896" s="13">
        <f t="shared" si="4"/>
        <v>1</v>
      </c>
      <c r="M896" s="13">
        <f t="shared" ref="M896:AA896" si="1791">IFERROR(VALUE(RIGHT(LEFT($J896,FIND(M$1,$J896,1)+LEN(M$1)),1)),0)</f>
        <v>0</v>
      </c>
      <c r="N896" s="13">
        <f t="shared" si="1791"/>
        <v>0</v>
      </c>
      <c r="O896" s="13">
        <f t="shared" si="1791"/>
        <v>0</v>
      </c>
      <c r="P896" s="13">
        <f t="shared" si="1791"/>
        <v>0</v>
      </c>
      <c r="Q896" s="13">
        <f t="shared" si="1791"/>
        <v>0</v>
      </c>
      <c r="R896" s="13">
        <f t="shared" si="1791"/>
        <v>0</v>
      </c>
      <c r="S896" s="13">
        <f t="shared" si="1791"/>
        <v>0</v>
      </c>
      <c r="T896" s="13">
        <f t="shared" si="1791"/>
        <v>0</v>
      </c>
      <c r="U896" s="13">
        <f t="shared" si="1791"/>
        <v>0</v>
      </c>
      <c r="V896" s="13">
        <f t="shared" si="1791"/>
        <v>0</v>
      </c>
      <c r="W896" s="13">
        <f t="shared" si="1791"/>
        <v>0</v>
      </c>
      <c r="X896" s="13">
        <f t="shared" si="1791"/>
        <v>0</v>
      </c>
      <c r="Y896" s="13">
        <f t="shared" si="1791"/>
        <v>0</v>
      </c>
      <c r="Z896" s="13">
        <f t="shared" si="1791"/>
        <v>0</v>
      </c>
      <c r="AA896" s="13">
        <f t="shared" si="1791"/>
        <v>0</v>
      </c>
      <c r="AB896" s="13">
        <f t="shared" ref="AB896:AP896" si="1792">IFERROR(VALUE(RIGHT(LEFT($J896,FIND(AB$1,$J896,IF(M896=0,1,FIND(AB$1,$J896,1)+1))+LEN(AB$1)),1)),0)</f>
        <v>0</v>
      </c>
      <c r="AC896" s="13">
        <f t="shared" si="1792"/>
        <v>0</v>
      </c>
      <c r="AD896" s="13">
        <f t="shared" si="1792"/>
        <v>0</v>
      </c>
      <c r="AE896" s="13">
        <f t="shared" si="1792"/>
        <v>0</v>
      </c>
      <c r="AF896" s="13">
        <f t="shared" si="1792"/>
        <v>0</v>
      </c>
      <c r="AG896" s="13">
        <f t="shared" si="1792"/>
        <v>0</v>
      </c>
      <c r="AH896" s="13">
        <f t="shared" si="1792"/>
        <v>0</v>
      </c>
      <c r="AI896" s="13">
        <f t="shared" si="1792"/>
        <v>0</v>
      </c>
      <c r="AJ896" s="13">
        <f t="shared" si="1792"/>
        <v>0</v>
      </c>
      <c r="AK896" s="13">
        <f t="shared" si="1792"/>
        <v>0</v>
      </c>
      <c r="AL896" s="13">
        <f t="shared" si="1792"/>
        <v>0</v>
      </c>
      <c r="AM896" s="13">
        <f t="shared" si="1792"/>
        <v>0</v>
      </c>
      <c r="AN896" s="13">
        <f t="shared" si="1792"/>
        <v>1</v>
      </c>
      <c r="AO896" s="13">
        <f t="shared" si="1792"/>
        <v>0</v>
      </c>
      <c r="AP896" s="13">
        <f t="shared" si="1792"/>
        <v>0</v>
      </c>
      <c r="AQ896" s="13"/>
      <c r="AR896" s="13" t="s">
        <v>734</v>
      </c>
      <c r="AS896" s="13" t="s">
        <v>4651</v>
      </c>
      <c r="AT896" s="13" t="s">
        <v>162</v>
      </c>
      <c r="AU896" s="13" t="s">
        <v>163</v>
      </c>
      <c r="AV896" s="13" t="s">
        <v>5390</v>
      </c>
      <c r="AW896" s="13">
        <v>5.0</v>
      </c>
      <c r="AX896" s="13">
        <v>17.0</v>
      </c>
      <c r="AY896" s="13">
        <v>0.0</v>
      </c>
      <c r="AZ896" s="13" t="s">
        <v>132</v>
      </c>
      <c r="BA896" s="13" t="s">
        <v>796</v>
      </c>
      <c r="BB896" s="13"/>
      <c r="BC896" s="13"/>
      <c r="BD896" s="13" t="s">
        <v>239</v>
      </c>
      <c r="BE896" s="13"/>
      <c r="BF896" s="13" t="s">
        <v>656</v>
      </c>
      <c r="BG896" s="13" t="s">
        <v>50</v>
      </c>
      <c r="BH896" s="13" t="s">
        <v>79</v>
      </c>
      <c r="BI896" s="13" t="b">
        <v>0</v>
      </c>
      <c r="BJ896" s="13">
        <v>0.0</v>
      </c>
      <c r="BK896" s="13">
        <v>0.0</v>
      </c>
    </row>
    <row r="897" ht="14.25" customHeight="1">
      <c r="A897" s="13">
        <v>895.0</v>
      </c>
      <c r="B897" s="13" t="s">
        <v>44</v>
      </c>
      <c r="C897" s="13">
        <v>1.0</v>
      </c>
      <c r="D897" s="14">
        <v>0.0</v>
      </c>
      <c r="E897" s="13" t="s">
        <v>5391</v>
      </c>
      <c r="F897" s="15" t="s">
        <v>5371</v>
      </c>
      <c r="G897" s="16" t="s">
        <v>5392</v>
      </c>
      <c r="H897" s="13"/>
      <c r="I897" s="13">
        <v>0.9</v>
      </c>
      <c r="J897" s="13" t="s">
        <v>368</v>
      </c>
      <c r="K897" s="13">
        <f t="shared" si="3"/>
        <v>0</v>
      </c>
      <c r="L897" s="13">
        <f t="shared" si="4"/>
        <v>2</v>
      </c>
      <c r="M897" s="13">
        <f t="shared" ref="M897:AA897" si="1793">IFERROR(VALUE(RIGHT(LEFT($J897,FIND(M$1,$J897,1)+LEN(M$1)),1)),0)</f>
        <v>0</v>
      </c>
      <c r="N897" s="13">
        <f t="shared" si="1793"/>
        <v>0</v>
      </c>
      <c r="O897" s="13">
        <f t="shared" si="1793"/>
        <v>0</v>
      </c>
      <c r="P897" s="13">
        <f t="shared" si="1793"/>
        <v>0</v>
      </c>
      <c r="Q897" s="13">
        <f t="shared" si="1793"/>
        <v>0</v>
      </c>
      <c r="R897" s="13">
        <f t="shared" si="1793"/>
        <v>0</v>
      </c>
      <c r="S897" s="13">
        <f t="shared" si="1793"/>
        <v>0</v>
      </c>
      <c r="T897" s="13">
        <f t="shared" si="1793"/>
        <v>0</v>
      </c>
      <c r="U897" s="13">
        <f t="shared" si="1793"/>
        <v>0</v>
      </c>
      <c r="V897" s="13">
        <f t="shared" si="1793"/>
        <v>0</v>
      </c>
      <c r="W897" s="13">
        <f t="shared" si="1793"/>
        <v>0</v>
      </c>
      <c r="X897" s="13">
        <f t="shared" si="1793"/>
        <v>0</v>
      </c>
      <c r="Y897" s="13">
        <f t="shared" si="1793"/>
        <v>0</v>
      </c>
      <c r="Z897" s="13">
        <f t="shared" si="1793"/>
        <v>0</v>
      </c>
      <c r="AA897" s="13">
        <f t="shared" si="1793"/>
        <v>0</v>
      </c>
      <c r="AB897" s="13">
        <f t="shared" ref="AB897:AP897" si="1794">IFERROR(VALUE(RIGHT(LEFT($J897,FIND(AB$1,$J897,IF(M897=0,1,FIND(AB$1,$J897,1)+1))+LEN(AB$1)),1)),0)</f>
        <v>0</v>
      </c>
      <c r="AC897" s="13">
        <f t="shared" si="1794"/>
        <v>0</v>
      </c>
      <c r="AD897" s="13">
        <f t="shared" si="1794"/>
        <v>0</v>
      </c>
      <c r="AE897" s="13">
        <f t="shared" si="1794"/>
        <v>1</v>
      </c>
      <c r="AF897" s="13">
        <f t="shared" si="1794"/>
        <v>0</v>
      </c>
      <c r="AG897" s="13">
        <f t="shared" si="1794"/>
        <v>0</v>
      </c>
      <c r="AH897" s="13">
        <f t="shared" si="1794"/>
        <v>1</v>
      </c>
      <c r="AI897" s="13">
        <f t="shared" si="1794"/>
        <v>0</v>
      </c>
      <c r="AJ897" s="13">
        <f t="shared" si="1794"/>
        <v>0</v>
      </c>
      <c r="AK897" s="13">
        <f t="shared" si="1794"/>
        <v>0</v>
      </c>
      <c r="AL897" s="13">
        <f t="shared" si="1794"/>
        <v>0</v>
      </c>
      <c r="AM897" s="13">
        <f t="shared" si="1794"/>
        <v>0</v>
      </c>
      <c r="AN897" s="13">
        <f t="shared" si="1794"/>
        <v>0</v>
      </c>
      <c r="AO897" s="13">
        <f t="shared" si="1794"/>
        <v>0</v>
      </c>
      <c r="AP897" s="13">
        <f t="shared" si="1794"/>
        <v>0</v>
      </c>
      <c r="AQ897" s="13" t="s">
        <v>5393</v>
      </c>
      <c r="AR897" s="13"/>
      <c r="AS897" s="13" t="s">
        <v>5394</v>
      </c>
      <c r="AT897" s="13"/>
      <c r="AU897" s="13"/>
      <c r="AV897" s="13"/>
      <c r="AW897" s="13">
        <v>0.0</v>
      </c>
      <c r="AX897" s="13">
        <v>17.0</v>
      </c>
      <c r="AY897" s="13">
        <v>0.0</v>
      </c>
      <c r="AZ897" s="13"/>
      <c r="BA897" s="13"/>
      <c r="BB897" s="13"/>
      <c r="BC897" s="13"/>
      <c r="BD897" s="13"/>
      <c r="BE897" s="13"/>
      <c r="BF897" s="13"/>
      <c r="BG897" s="13"/>
      <c r="BH897" s="13" t="s">
        <v>79</v>
      </c>
      <c r="BI897" s="13" t="b">
        <v>0</v>
      </c>
      <c r="BJ897" s="13">
        <v>0.0</v>
      </c>
      <c r="BK897" s="13">
        <v>0.0</v>
      </c>
    </row>
    <row r="898" ht="14.25" customHeight="1">
      <c r="A898" s="13">
        <v>896.0</v>
      </c>
      <c r="B898" s="13" t="s">
        <v>45</v>
      </c>
      <c r="C898" s="13">
        <v>1.0</v>
      </c>
      <c r="D898" s="14">
        <v>0.0</v>
      </c>
      <c r="E898" s="13" t="s">
        <v>5395</v>
      </c>
      <c r="F898" s="15" t="s">
        <v>5371</v>
      </c>
      <c r="G898" s="16" t="s">
        <v>5396</v>
      </c>
      <c r="H898" s="13"/>
      <c r="I898" s="13">
        <v>0.9</v>
      </c>
      <c r="J898" s="13" t="s">
        <v>374</v>
      </c>
      <c r="K898" s="13">
        <f t="shared" si="3"/>
        <v>0</v>
      </c>
      <c r="L898" s="13">
        <f t="shared" si="4"/>
        <v>2</v>
      </c>
      <c r="M898" s="13">
        <f t="shared" ref="M898:AA898" si="1795">IFERROR(VALUE(RIGHT(LEFT($J898,FIND(M$1,$J898,1)+LEN(M$1)),1)),0)</f>
        <v>0</v>
      </c>
      <c r="N898" s="13">
        <f t="shared" si="1795"/>
        <v>0</v>
      </c>
      <c r="O898" s="13">
        <f t="shared" si="1795"/>
        <v>0</v>
      </c>
      <c r="P898" s="13">
        <f t="shared" si="1795"/>
        <v>0</v>
      </c>
      <c r="Q898" s="13">
        <f t="shared" si="1795"/>
        <v>0</v>
      </c>
      <c r="R898" s="13">
        <f t="shared" si="1795"/>
        <v>0</v>
      </c>
      <c r="S898" s="13">
        <f t="shared" si="1795"/>
        <v>0</v>
      </c>
      <c r="T898" s="13">
        <f t="shared" si="1795"/>
        <v>0</v>
      </c>
      <c r="U898" s="13">
        <f t="shared" si="1795"/>
        <v>0</v>
      </c>
      <c r="V898" s="13">
        <f t="shared" si="1795"/>
        <v>0</v>
      </c>
      <c r="W898" s="13">
        <f t="shared" si="1795"/>
        <v>0</v>
      </c>
      <c r="X898" s="13">
        <f t="shared" si="1795"/>
        <v>0</v>
      </c>
      <c r="Y898" s="13">
        <f t="shared" si="1795"/>
        <v>0</v>
      </c>
      <c r="Z898" s="13">
        <f t="shared" si="1795"/>
        <v>0</v>
      </c>
      <c r="AA898" s="13">
        <f t="shared" si="1795"/>
        <v>0</v>
      </c>
      <c r="AB898" s="13">
        <f t="shared" ref="AB898:AP898" si="1796">IFERROR(VALUE(RIGHT(LEFT($J898,FIND(AB$1,$J898,IF(M898=0,1,FIND(AB$1,$J898,1)+1))+LEN(AB$1)),1)),0)</f>
        <v>0</v>
      </c>
      <c r="AC898" s="13">
        <f t="shared" si="1796"/>
        <v>1</v>
      </c>
      <c r="AD898" s="13">
        <f t="shared" si="1796"/>
        <v>0</v>
      </c>
      <c r="AE898" s="13">
        <f t="shared" si="1796"/>
        <v>0</v>
      </c>
      <c r="AF898" s="13">
        <f t="shared" si="1796"/>
        <v>0</v>
      </c>
      <c r="AG898" s="13">
        <f t="shared" si="1796"/>
        <v>0</v>
      </c>
      <c r="AH898" s="13">
        <f t="shared" si="1796"/>
        <v>0</v>
      </c>
      <c r="AI898" s="13">
        <f t="shared" si="1796"/>
        <v>1</v>
      </c>
      <c r="AJ898" s="13">
        <f t="shared" si="1796"/>
        <v>0</v>
      </c>
      <c r="AK898" s="13">
        <f t="shared" si="1796"/>
        <v>0</v>
      </c>
      <c r="AL898" s="13">
        <f t="shared" si="1796"/>
        <v>0</v>
      </c>
      <c r="AM898" s="13">
        <f t="shared" si="1796"/>
        <v>0</v>
      </c>
      <c r="AN898" s="13">
        <f t="shared" si="1796"/>
        <v>0</v>
      </c>
      <c r="AO898" s="13">
        <f t="shared" si="1796"/>
        <v>0</v>
      </c>
      <c r="AP898" s="13">
        <f t="shared" si="1796"/>
        <v>0</v>
      </c>
      <c r="AQ898" s="13" t="s">
        <v>5397</v>
      </c>
      <c r="AR898" s="13"/>
      <c r="AS898" s="13" t="s">
        <v>391</v>
      </c>
      <c r="AT898" s="13"/>
      <c r="AU898" s="13"/>
      <c r="AV898" s="13"/>
      <c r="AW898" s="13">
        <v>0.0</v>
      </c>
      <c r="AX898" s="13">
        <v>17.0</v>
      </c>
      <c r="AY898" s="13">
        <v>0.0</v>
      </c>
      <c r="AZ898" s="13"/>
      <c r="BA898" s="13"/>
      <c r="BB898" s="13"/>
      <c r="BC898" s="13"/>
      <c r="BD898" s="13"/>
      <c r="BE898" s="13"/>
      <c r="BF898" s="13"/>
      <c r="BG898" s="13"/>
      <c r="BH898" s="13" t="s">
        <v>79</v>
      </c>
      <c r="BI898" s="13" t="b">
        <v>0</v>
      </c>
      <c r="BJ898" s="13">
        <v>0.0</v>
      </c>
      <c r="BK898" s="13">
        <v>0.0</v>
      </c>
    </row>
    <row r="899" ht="14.25" customHeight="1">
      <c r="A899" s="13">
        <v>897.0</v>
      </c>
      <c r="B899" s="13" t="s">
        <v>46</v>
      </c>
      <c r="C899" s="13">
        <v>1.0</v>
      </c>
      <c r="D899" s="14">
        <v>0.0</v>
      </c>
      <c r="E899" s="13" t="s">
        <v>5398</v>
      </c>
      <c r="F899" s="15" t="s">
        <v>5371</v>
      </c>
      <c r="G899" s="16" t="s">
        <v>5399</v>
      </c>
      <c r="H899" s="13"/>
      <c r="I899" s="13">
        <v>1.1</v>
      </c>
      <c r="J899" s="13" t="s">
        <v>2405</v>
      </c>
      <c r="K899" s="13">
        <f t="shared" si="3"/>
        <v>0</v>
      </c>
      <c r="L899" s="13">
        <f t="shared" si="4"/>
        <v>2</v>
      </c>
      <c r="M899" s="13">
        <f t="shared" ref="M899:AA899" si="1797">IFERROR(VALUE(RIGHT(LEFT($J899,FIND(M$1,$J899,1)+LEN(M$1)),1)),0)</f>
        <v>0</v>
      </c>
      <c r="N899" s="13">
        <f t="shared" si="1797"/>
        <v>0</v>
      </c>
      <c r="O899" s="13">
        <f t="shared" si="1797"/>
        <v>0</v>
      </c>
      <c r="P899" s="13">
        <f t="shared" si="1797"/>
        <v>0</v>
      </c>
      <c r="Q899" s="13">
        <f t="shared" si="1797"/>
        <v>0</v>
      </c>
      <c r="R899" s="13">
        <f t="shared" si="1797"/>
        <v>0</v>
      </c>
      <c r="S899" s="13">
        <f t="shared" si="1797"/>
        <v>0</v>
      </c>
      <c r="T899" s="13">
        <f t="shared" si="1797"/>
        <v>0</v>
      </c>
      <c r="U899" s="13">
        <f t="shared" si="1797"/>
        <v>0</v>
      </c>
      <c r="V899" s="13">
        <f t="shared" si="1797"/>
        <v>0</v>
      </c>
      <c r="W899" s="13">
        <f t="shared" si="1797"/>
        <v>0</v>
      </c>
      <c r="X899" s="13">
        <f t="shared" si="1797"/>
        <v>0</v>
      </c>
      <c r="Y899" s="13">
        <f t="shared" si="1797"/>
        <v>0</v>
      </c>
      <c r="Z899" s="13">
        <f t="shared" si="1797"/>
        <v>0</v>
      </c>
      <c r="AA899" s="13">
        <f t="shared" si="1797"/>
        <v>0</v>
      </c>
      <c r="AB899" s="13">
        <f t="shared" ref="AB899:AP899" si="1798">IFERROR(VALUE(RIGHT(LEFT($J899,FIND(AB$1,$J899,IF(M899=0,1,FIND(AB$1,$J899,1)+1))+LEN(AB$1)),1)),0)</f>
        <v>0</v>
      </c>
      <c r="AC899" s="13">
        <f t="shared" si="1798"/>
        <v>0</v>
      </c>
      <c r="AD899" s="13">
        <f t="shared" si="1798"/>
        <v>1</v>
      </c>
      <c r="AE899" s="13">
        <f t="shared" si="1798"/>
        <v>0</v>
      </c>
      <c r="AF899" s="13">
        <f t="shared" si="1798"/>
        <v>0</v>
      </c>
      <c r="AG899" s="13">
        <f t="shared" si="1798"/>
        <v>0</v>
      </c>
      <c r="AH899" s="13">
        <f t="shared" si="1798"/>
        <v>0</v>
      </c>
      <c r="AI899" s="13">
        <f t="shared" si="1798"/>
        <v>0</v>
      </c>
      <c r="AJ899" s="13">
        <f t="shared" si="1798"/>
        <v>1</v>
      </c>
      <c r="AK899" s="13">
        <f t="shared" si="1798"/>
        <v>0</v>
      </c>
      <c r="AL899" s="13">
        <f t="shared" si="1798"/>
        <v>0</v>
      </c>
      <c r="AM899" s="13">
        <f t="shared" si="1798"/>
        <v>0</v>
      </c>
      <c r="AN899" s="13">
        <f t="shared" si="1798"/>
        <v>0</v>
      </c>
      <c r="AO899" s="13">
        <f t="shared" si="1798"/>
        <v>0</v>
      </c>
      <c r="AP899" s="13">
        <f t="shared" si="1798"/>
        <v>0</v>
      </c>
      <c r="AQ899" s="13" t="s">
        <v>5400</v>
      </c>
      <c r="AR899" s="13"/>
      <c r="AS899" s="13" t="s">
        <v>5261</v>
      </c>
      <c r="AT899" s="13"/>
      <c r="AU899" s="13"/>
      <c r="AV899" s="13"/>
      <c r="AW899" s="13">
        <v>0.0</v>
      </c>
      <c r="AX899" s="13">
        <v>17.0</v>
      </c>
      <c r="AY899" s="13">
        <v>0.0</v>
      </c>
      <c r="AZ899" s="13"/>
      <c r="BA899" s="13"/>
      <c r="BB899" s="13"/>
      <c r="BC899" s="13"/>
      <c r="BD899" s="13"/>
      <c r="BE899" s="13"/>
      <c r="BF899" s="13"/>
      <c r="BG899" s="13"/>
      <c r="BH899" s="13" t="s">
        <v>79</v>
      </c>
      <c r="BI899" s="13" t="b">
        <v>0</v>
      </c>
      <c r="BJ899" s="13">
        <v>0.0</v>
      </c>
      <c r="BK899" s="13">
        <v>0.0</v>
      </c>
    </row>
    <row r="900" ht="14.25" customHeight="1">
      <c r="A900" s="13">
        <v>898.0</v>
      </c>
      <c r="B900" s="13" t="s">
        <v>52</v>
      </c>
      <c r="C900" s="13">
        <v>1.0</v>
      </c>
      <c r="D900" s="14">
        <v>0.0</v>
      </c>
      <c r="E900" s="13" t="s">
        <v>5401</v>
      </c>
      <c r="F900" s="15" t="s">
        <v>5371</v>
      </c>
      <c r="G900" s="16" t="s">
        <v>5402</v>
      </c>
      <c r="H900" s="13">
        <v>14.0</v>
      </c>
      <c r="I900" s="13">
        <v>1.0</v>
      </c>
      <c r="J900" s="13" t="s">
        <v>852</v>
      </c>
      <c r="K900" s="13">
        <f t="shared" si="3"/>
        <v>0</v>
      </c>
      <c r="L900" s="13">
        <f t="shared" si="4"/>
        <v>2</v>
      </c>
      <c r="M900" s="13">
        <f t="shared" ref="M900:AA900" si="1799">IFERROR(VALUE(RIGHT(LEFT($J900,FIND(M$1,$J900,1)+LEN(M$1)),1)),0)</f>
        <v>0</v>
      </c>
      <c r="N900" s="13">
        <f t="shared" si="1799"/>
        <v>0</v>
      </c>
      <c r="O900" s="13">
        <f t="shared" si="1799"/>
        <v>0</v>
      </c>
      <c r="P900" s="13">
        <f t="shared" si="1799"/>
        <v>0</v>
      </c>
      <c r="Q900" s="13">
        <f t="shared" si="1799"/>
        <v>0</v>
      </c>
      <c r="R900" s="13">
        <f t="shared" si="1799"/>
        <v>0</v>
      </c>
      <c r="S900" s="13">
        <f t="shared" si="1799"/>
        <v>0</v>
      </c>
      <c r="T900" s="13">
        <f t="shared" si="1799"/>
        <v>0</v>
      </c>
      <c r="U900" s="13">
        <f t="shared" si="1799"/>
        <v>0</v>
      </c>
      <c r="V900" s="13">
        <f t="shared" si="1799"/>
        <v>0</v>
      </c>
      <c r="W900" s="13">
        <f t="shared" si="1799"/>
        <v>0</v>
      </c>
      <c r="X900" s="13">
        <f t="shared" si="1799"/>
        <v>0</v>
      </c>
      <c r="Y900" s="13">
        <f t="shared" si="1799"/>
        <v>0</v>
      </c>
      <c r="Z900" s="13">
        <f t="shared" si="1799"/>
        <v>0</v>
      </c>
      <c r="AA900" s="13">
        <f t="shared" si="1799"/>
        <v>0</v>
      </c>
      <c r="AB900" s="13">
        <f t="shared" ref="AB900:AP900" si="1800">IFERROR(VALUE(RIGHT(LEFT($J900,FIND(AB$1,$J900,IF(M900=0,1,FIND(AB$1,$J900,1)+1))+LEN(AB$1)),1)),0)</f>
        <v>0</v>
      </c>
      <c r="AC900" s="13">
        <f t="shared" si="1800"/>
        <v>0</v>
      </c>
      <c r="AD900" s="13">
        <f t="shared" si="1800"/>
        <v>1</v>
      </c>
      <c r="AE900" s="13">
        <f t="shared" si="1800"/>
        <v>0</v>
      </c>
      <c r="AF900" s="13">
        <f t="shared" si="1800"/>
        <v>0</v>
      </c>
      <c r="AG900" s="13">
        <f t="shared" si="1800"/>
        <v>0</v>
      </c>
      <c r="AH900" s="13">
        <f t="shared" si="1800"/>
        <v>0</v>
      </c>
      <c r="AI900" s="13">
        <f t="shared" si="1800"/>
        <v>0</v>
      </c>
      <c r="AJ900" s="13">
        <f t="shared" si="1800"/>
        <v>0</v>
      </c>
      <c r="AK900" s="13">
        <f t="shared" si="1800"/>
        <v>0</v>
      </c>
      <c r="AL900" s="13">
        <f t="shared" si="1800"/>
        <v>0</v>
      </c>
      <c r="AM900" s="13">
        <f t="shared" si="1800"/>
        <v>0</v>
      </c>
      <c r="AN900" s="13">
        <f t="shared" si="1800"/>
        <v>0</v>
      </c>
      <c r="AO900" s="13">
        <f t="shared" si="1800"/>
        <v>0</v>
      </c>
      <c r="AP900" s="13">
        <f t="shared" si="1800"/>
        <v>1</v>
      </c>
      <c r="AQ900" s="13"/>
      <c r="AR900" s="13" t="s">
        <v>5403</v>
      </c>
      <c r="AS900" s="13" t="s">
        <v>5404</v>
      </c>
      <c r="AT900" s="13" t="s">
        <v>854</v>
      </c>
      <c r="AU900" s="13" t="s">
        <v>130</v>
      </c>
      <c r="AV900" s="13" t="s">
        <v>5405</v>
      </c>
      <c r="AW900" s="13">
        <v>7.0</v>
      </c>
      <c r="AX900" s="13">
        <v>17.0</v>
      </c>
      <c r="AY900" s="13">
        <v>0.0</v>
      </c>
      <c r="AZ900" s="13" t="s">
        <v>5406</v>
      </c>
      <c r="BA900" s="13" t="s">
        <v>5407</v>
      </c>
      <c r="BB900" s="13"/>
      <c r="BC900" s="13"/>
      <c r="BD900" s="13" t="s">
        <v>294</v>
      </c>
      <c r="BE900" s="13" t="s">
        <v>5408</v>
      </c>
      <c r="BF900" s="13" t="s">
        <v>2812</v>
      </c>
      <c r="BG900" s="13"/>
      <c r="BH900" s="13" t="s">
        <v>79</v>
      </c>
      <c r="BI900" s="13" t="b">
        <v>0</v>
      </c>
      <c r="BJ900" s="13">
        <v>0.0</v>
      </c>
      <c r="BK900" s="13">
        <v>0.0</v>
      </c>
    </row>
    <row r="901" ht="14.25" customHeight="1">
      <c r="A901" s="13">
        <v>899.0</v>
      </c>
      <c r="B901" s="13" t="s">
        <v>52</v>
      </c>
      <c r="C901" s="13">
        <v>1.0</v>
      </c>
      <c r="D901" s="14">
        <v>0.0</v>
      </c>
      <c r="E901" s="13" t="s">
        <v>5409</v>
      </c>
      <c r="F901" s="15" t="s">
        <v>5371</v>
      </c>
      <c r="G901" s="16" t="s">
        <v>5410</v>
      </c>
      <c r="H901" s="13">
        <v>12.0</v>
      </c>
      <c r="I901" s="13">
        <v>0.9</v>
      </c>
      <c r="J901" s="13" t="s">
        <v>860</v>
      </c>
      <c r="K901" s="13">
        <f t="shared" si="3"/>
        <v>0</v>
      </c>
      <c r="L901" s="13">
        <f t="shared" si="4"/>
        <v>2</v>
      </c>
      <c r="M901" s="13">
        <f t="shared" ref="M901:AA901" si="1801">IFERROR(VALUE(RIGHT(LEFT($J901,FIND(M$1,$J901,1)+LEN(M$1)),1)),0)</f>
        <v>0</v>
      </c>
      <c r="N901" s="13">
        <f t="shared" si="1801"/>
        <v>0</v>
      </c>
      <c r="O901" s="13">
        <f t="shared" si="1801"/>
        <v>0</v>
      </c>
      <c r="P901" s="13">
        <f t="shared" si="1801"/>
        <v>0</v>
      </c>
      <c r="Q901" s="13">
        <f t="shared" si="1801"/>
        <v>0</v>
      </c>
      <c r="R901" s="13">
        <f t="shared" si="1801"/>
        <v>0</v>
      </c>
      <c r="S901" s="13">
        <f t="shared" si="1801"/>
        <v>0</v>
      </c>
      <c r="T901" s="13">
        <f t="shared" si="1801"/>
        <v>0</v>
      </c>
      <c r="U901" s="13">
        <f t="shared" si="1801"/>
        <v>0</v>
      </c>
      <c r="V901" s="13">
        <f t="shared" si="1801"/>
        <v>0</v>
      </c>
      <c r="W901" s="13">
        <f t="shared" si="1801"/>
        <v>0</v>
      </c>
      <c r="X901" s="13">
        <f t="shared" si="1801"/>
        <v>0</v>
      </c>
      <c r="Y901" s="13">
        <f t="shared" si="1801"/>
        <v>0</v>
      </c>
      <c r="Z901" s="13">
        <f t="shared" si="1801"/>
        <v>0</v>
      </c>
      <c r="AA901" s="13">
        <f t="shared" si="1801"/>
        <v>0</v>
      </c>
      <c r="AB901" s="13">
        <f t="shared" ref="AB901:AP901" si="1802">IFERROR(VALUE(RIGHT(LEFT($J901,FIND(AB$1,$J901,IF(M901=0,1,FIND(AB$1,$J901,1)+1))+LEN(AB$1)),1)),0)</f>
        <v>0</v>
      </c>
      <c r="AC901" s="13">
        <f t="shared" si="1802"/>
        <v>1</v>
      </c>
      <c r="AD901" s="13">
        <f t="shared" si="1802"/>
        <v>0</v>
      </c>
      <c r="AE901" s="13">
        <f t="shared" si="1802"/>
        <v>0</v>
      </c>
      <c r="AF901" s="13">
        <f t="shared" si="1802"/>
        <v>0</v>
      </c>
      <c r="AG901" s="13">
        <f t="shared" si="1802"/>
        <v>0</v>
      </c>
      <c r="AH901" s="13">
        <f t="shared" si="1802"/>
        <v>0</v>
      </c>
      <c r="AI901" s="13">
        <f t="shared" si="1802"/>
        <v>0</v>
      </c>
      <c r="AJ901" s="13">
        <f t="shared" si="1802"/>
        <v>0</v>
      </c>
      <c r="AK901" s="13">
        <f t="shared" si="1802"/>
        <v>0</v>
      </c>
      <c r="AL901" s="13">
        <f t="shared" si="1802"/>
        <v>0</v>
      </c>
      <c r="AM901" s="13">
        <f t="shared" si="1802"/>
        <v>0</v>
      </c>
      <c r="AN901" s="13">
        <f t="shared" si="1802"/>
        <v>0</v>
      </c>
      <c r="AO901" s="13">
        <f t="shared" si="1802"/>
        <v>0</v>
      </c>
      <c r="AP901" s="13">
        <f t="shared" si="1802"/>
        <v>1</v>
      </c>
      <c r="AQ901" s="13"/>
      <c r="AR901" s="13" t="s">
        <v>5411</v>
      </c>
      <c r="AS901" s="13" t="s">
        <v>5412</v>
      </c>
      <c r="AT901" s="13" t="s">
        <v>872</v>
      </c>
      <c r="AU901" s="13" t="s">
        <v>130</v>
      </c>
      <c r="AV901" s="13" t="s">
        <v>3596</v>
      </c>
      <c r="AW901" s="13">
        <v>6.0</v>
      </c>
      <c r="AX901" s="13">
        <v>17.0</v>
      </c>
      <c r="AY901" s="13">
        <v>0.0</v>
      </c>
      <c r="AZ901" s="13" t="s">
        <v>1274</v>
      </c>
      <c r="BA901" s="13" t="s">
        <v>2977</v>
      </c>
      <c r="BB901" s="13"/>
      <c r="BC901" s="13"/>
      <c r="BD901" s="13" t="s">
        <v>306</v>
      </c>
      <c r="BE901" s="13" t="s">
        <v>2228</v>
      </c>
      <c r="BF901" s="13" t="s">
        <v>5413</v>
      </c>
      <c r="BG901" s="13"/>
      <c r="BH901" s="13" t="s">
        <v>79</v>
      </c>
      <c r="BI901" s="13" t="b">
        <v>0</v>
      </c>
      <c r="BJ901" s="13">
        <v>0.0</v>
      </c>
      <c r="BK901" s="13">
        <v>0.0</v>
      </c>
    </row>
    <row r="902" ht="14.25" customHeight="1">
      <c r="A902" s="13">
        <v>900.0</v>
      </c>
      <c r="B902" s="13" t="s">
        <v>50</v>
      </c>
      <c r="C902" s="13">
        <v>1.0</v>
      </c>
      <c r="D902" s="14">
        <v>0.0</v>
      </c>
      <c r="E902" s="13" t="s">
        <v>5414</v>
      </c>
      <c r="F902" s="15" t="s">
        <v>5371</v>
      </c>
      <c r="G902" s="16" t="s">
        <v>5415</v>
      </c>
      <c r="H902" s="13">
        <v>13.0</v>
      </c>
      <c r="I902" s="13">
        <v>1.1</v>
      </c>
      <c r="J902" s="13" t="s">
        <v>733</v>
      </c>
      <c r="K902" s="13">
        <f t="shared" si="3"/>
        <v>0</v>
      </c>
      <c r="L902" s="13">
        <f t="shared" si="4"/>
        <v>2</v>
      </c>
      <c r="M902" s="13">
        <f t="shared" ref="M902:AA902" si="1803">IFERROR(VALUE(RIGHT(LEFT($J902,FIND(M$1,$J902,1)+LEN(M$1)),1)),0)</f>
        <v>0</v>
      </c>
      <c r="N902" s="13">
        <f t="shared" si="1803"/>
        <v>0</v>
      </c>
      <c r="O902" s="13">
        <f t="shared" si="1803"/>
        <v>0</v>
      </c>
      <c r="P902" s="13">
        <f t="shared" si="1803"/>
        <v>0</v>
      </c>
      <c r="Q902" s="13">
        <f t="shared" si="1803"/>
        <v>0</v>
      </c>
      <c r="R902" s="13">
        <f t="shared" si="1803"/>
        <v>0</v>
      </c>
      <c r="S902" s="13">
        <f t="shared" si="1803"/>
        <v>0</v>
      </c>
      <c r="T902" s="13">
        <f t="shared" si="1803"/>
        <v>0</v>
      </c>
      <c r="U902" s="13">
        <f t="shared" si="1803"/>
        <v>0</v>
      </c>
      <c r="V902" s="13">
        <f t="shared" si="1803"/>
        <v>0</v>
      </c>
      <c r="W902" s="13">
        <f t="shared" si="1803"/>
        <v>0</v>
      </c>
      <c r="X902" s="13">
        <f t="shared" si="1803"/>
        <v>0</v>
      </c>
      <c r="Y902" s="13">
        <f t="shared" si="1803"/>
        <v>0</v>
      </c>
      <c r="Z902" s="13">
        <f t="shared" si="1803"/>
        <v>0</v>
      </c>
      <c r="AA902" s="13">
        <f t="shared" si="1803"/>
        <v>0</v>
      </c>
      <c r="AB902" s="13">
        <f t="shared" ref="AB902:AP902" si="1804">IFERROR(VALUE(RIGHT(LEFT($J902,FIND(AB$1,$J902,IF(M902=0,1,FIND(AB$1,$J902,1)+1))+LEN(AB$1)),1)),0)</f>
        <v>0</v>
      </c>
      <c r="AC902" s="13">
        <f t="shared" si="1804"/>
        <v>0</v>
      </c>
      <c r="AD902" s="13">
        <f t="shared" si="1804"/>
        <v>0</v>
      </c>
      <c r="AE902" s="13">
        <f t="shared" si="1804"/>
        <v>1</v>
      </c>
      <c r="AF902" s="13">
        <f t="shared" si="1804"/>
        <v>0</v>
      </c>
      <c r="AG902" s="13">
        <f t="shared" si="1804"/>
        <v>0</v>
      </c>
      <c r="AH902" s="13">
        <f t="shared" si="1804"/>
        <v>0</v>
      </c>
      <c r="AI902" s="13">
        <f t="shared" si="1804"/>
        <v>0</v>
      </c>
      <c r="AJ902" s="13">
        <f t="shared" si="1804"/>
        <v>0</v>
      </c>
      <c r="AK902" s="13">
        <f t="shared" si="1804"/>
        <v>0</v>
      </c>
      <c r="AL902" s="13">
        <f t="shared" si="1804"/>
        <v>0</v>
      </c>
      <c r="AM902" s="13">
        <f t="shared" si="1804"/>
        <v>0</v>
      </c>
      <c r="AN902" s="13">
        <f t="shared" si="1804"/>
        <v>1</v>
      </c>
      <c r="AO902" s="13">
        <f t="shared" si="1804"/>
        <v>0</v>
      </c>
      <c r="AP902" s="13">
        <f t="shared" si="1804"/>
        <v>0</v>
      </c>
      <c r="AQ902" s="13"/>
      <c r="AR902" s="13" t="s">
        <v>4208</v>
      </c>
      <c r="AS902" s="13" t="s">
        <v>5416</v>
      </c>
      <c r="AT902" s="13" t="s">
        <v>162</v>
      </c>
      <c r="AU902" s="13" t="s">
        <v>236</v>
      </c>
      <c r="AV902" s="13" t="s">
        <v>5417</v>
      </c>
      <c r="AW902" s="13">
        <v>9.0</v>
      </c>
      <c r="AX902" s="13">
        <v>17.0</v>
      </c>
      <c r="AY902" s="13">
        <v>0.0</v>
      </c>
      <c r="AZ902" s="13" t="s">
        <v>805</v>
      </c>
      <c r="BA902" s="13" t="s">
        <v>530</v>
      </c>
      <c r="BB902" s="13"/>
      <c r="BC902" s="13"/>
      <c r="BD902" s="13" t="s">
        <v>239</v>
      </c>
      <c r="BE902" s="13"/>
      <c r="BF902" s="13" t="s">
        <v>1329</v>
      </c>
      <c r="BG902" s="13" t="s">
        <v>50</v>
      </c>
      <c r="BH902" s="13" t="s">
        <v>79</v>
      </c>
      <c r="BI902" s="13" t="b">
        <v>0</v>
      </c>
      <c r="BJ902" s="13">
        <v>0.0</v>
      </c>
      <c r="BK902" s="13">
        <v>0.0</v>
      </c>
    </row>
    <row r="903" ht="14.25" customHeight="1">
      <c r="A903" s="13">
        <v>901.0</v>
      </c>
      <c r="B903" s="13" t="s">
        <v>44</v>
      </c>
      <c r="C903" s="13">
        <v>2.0</v>
      </c>
      <c r="D903" s="14">
        <v>0.0</v>
      </c>
      <c r="E903" s="13" t="s">
        <v>5418</v>
      </c>
      <c r="F903" s="15" t="s">
        <v>5371</v>
      </c>
      <c r="G903" s="16" t="s">
        <v>5419</v>
      </c>
      <c r="H903" s="13"/>
      <c r="I903" s="13">
        <v>1.0</v>
      </c>
      <c r="J903" s="13" t="s">
        <v>964</v>
      </c>
      <c r="K903" s="13">
        <f t="shared" si="3"/>
        <v>0</v>
      </c>
      <c r="L903" s="13">
        <f t="shared" si="4"/>
        <v>3</v>
      </c>
      <c r="M903" s="13">
        <f t="shared" ref="M903:AA903" si="1805">IFERROR(VALUE(RIGHT(LEFT($J903,FIND(M$1,$J903,1)+LEN(M$1)),1)),0)</f>
        <v>0</v>
      </c>
      <c r="N903" s="13">
        <f t="shared" si="1805"/>
        <v>0</v>
      </c>
      <c r="O903" s="13">
        <f t="shared" si="1805"/>
        <v>0</v>
      </c>
      <c r="P903" s="13">
        <f t="shared" si="1805"/>
        <v>0</v>
      </c>
      <c r="Q903" s="13">
        <f t="shared" si="1805"/>
        <v>0</v>
      </c>
      <c r="R903" s="13">
        <f t="shared" si="1805"/>
        <v>0</v>
      </c>
      <c r="S903" s="13">
        <f t="shared" si="1805"/>
        <v>0</v>
      </c>
      <c r="T903" s="13">
        <f t="shared" si="1805"/>
        <v>0</v>
      </c>
      <c r="U903" s="13">
        <f t="shared" si="1805"/>
        <v>0</v>
      </c>
      <c r="V903" s="13">
        <f t="shared" si="1805"/>
        <v>0</v>
      </c>
      <c r="W903" s="13">
        <f t="shared" si="1805"/>
        <v>0</v>
      </c>
      <c r="X903" s="13">
        <f t="shared" si="1805"/>
        <v>0</v>
      </c>
      <c r="Y903" s="13">
        <f t="shared" si="1805"/>
        <v>0</v>
      </c>
      <c r="Z903" s="13">
        <f t="shared" si="1805"/>
        <v>0</v>
      </c>
      <c r="AA903" s="13">
        <f t="shared" si="1805"/>
        <v>0</v>
      </c>
      <c r="AB903" s="13">
        <f t="shared" ref="AB903:AP903" si="1806">IFERROR(VALUE(RIGHT(LEFT($J903,FIND(AB$1,$J903,IF(M903=0,1,FIND(AB$1,$J903,1)+1))+LEN(AB$1)),1)),0)</f>
        <v>0</v>
      </c>
      <c r="AC903" s="13">
        <f t="shared" si="1806"/>
        <v>0</v>
      </c>
      <c r="AD903" s="13">
        <f t="shared" si="1806"/>
        <v>0</v>
      </c>
      <c r="AE903" s="13">
        <f t="shared" si="1806"/>
        <v>1</v>
      </c>
      <c r="AF903" s="13">
        <f t="shared" si="1806"/>
        <v>0</v>
      </c>
      <c r="AG903" s="13">
        <f t="shared" si="1806"/>
        <v>0</v>
      </c>
      <c r="AH903" s="13">
        <f t="shared" si="1806"/>
        <v>2</v>
      </c>
      <c r="AI903" s="13">
        <f t="shared" si="1806"/>
        <v>0</v>
      </c>
      <c r="AJ903" s="13">
        <f t="shared" si="1806"/>
        <v>0</v>
      </c>
      <c r="AK903" s="13">
        <f t="shared" si="1806"/>
        <v>0</v>
      </c>
      <c r="AL903" s="13">
        <f t="shared" si="1806"/>
        <v>0</v>
      </c>
      <c r="AM903" s="13">
        <f t="shared" si="1806"/>
        <v>0</v>
      </c>
      <c r="AN903" s="13">
        <f t="shared" si="1806"/>
        <v>0</v>
      </c>
      <c r="AO903" s="13">
        <f t="shared" si="1806"/>
        <v>0</v>
      </c>
      <c r="AP903" s="13">
        <f t="shared" si="1806"/>
        <v>0</v>
      </c>
      <c r="AQ903" s="13" t="s">
        <v>5420</v>
      </c>
      <c r="AR903" s="13"/>
      <c r="AS903" s="13" t="s">
        <v>5421</v>
      </c>
      <c r="AT903" s="13"/>
      <c r="AU903" s="13"/>
      <c r="AV903" s="13"/>
      <c r="AW903" s="13">
        <v>0.0</v>
      </c>
      <c r="AX903" s="13">
        <v>17.0</v>
      </c>
      <c r="AY903" s="13">
        <v>0.0</v>
      </c>
      <c r="AZ903" s="13"/>
      <c r="BA903" s="13"/>
      <c r="BB903" s="13"/>
      <c r="BC903" s="13"/>
      <c r="BD903" s="13"/>
      <c r="BE903" s="13"/>
      <c r="BF903" s="13"/>
      <c r="BG903" s="13"/>
      <c r="BH903" s="13" t="s">
        <v>79</v>
      </c>
      <c r="BI903" s="13" t="b">
        <v>0</v>
      </c>
      <c r="BJ903" s="13">
        <v>0.0</v>
      </c>
      <c r="BK903" s="13">
        <v>0.0</v>
      </c>
    </row>
    <row r="904" ht="14.25" customHeight="1">
      <c r="A904" s="13">
        <v>902.0</v>
      </c>
      <c r="B904" s="13" t="s">
        <v>45</v>
      </c>
      <c r="C904" s="13">
        <v>2.0</v>
      </c>
      <c r="D904" s="14">
        <v>0.0</v>
      </c>
      <c r="E904" s="13" t="s">
        <v>5422</v>
      </c>
      <c r="F904" s="15" t="s">
        <v>5371</v>
      </c>
      <c r="G904" s="16" t="s">
        <v>5423</v>
      </c>
      <c r="H904" s="13"/>
      <c r="I904" s="13">
        <v>0.9</v>
      </c>
      <c r="J904" s="13" t="s">
        <v>978</v>
      </c>
      <c r="K904" s="13">
        <f t="shared" si="3"/>
        <v>0</v>
      </c>
      <c r="L904" s="13">
        <f t="shared" si="4"/>
        <v>3</v>
      </c>
      <c r="M904" s="13">
        <f t="shared" ref="M904:AA904" si="1807">IFERROR(VALUE(RIGHT(LEFT($J904,FIND(M$1,$J904,1)+LEN(M$1)),1)),0)</f>
        <v>0</v>
      </c>
      <c r="N904" s="13">
        <f t="shared" si="1807"/>
        <v>0</v>
      </c>
      <c r="O904" s="13">
        <f t="shared" si="1807"/>
        <v>0</v>
      </c>
      <c r="P904" s="13">
        <f t="shared" si="1807"/>
        <v>0</v>
      </c>
      <c r="Q904" s="13">
        <f t="shared" si="1807"/>
        <v>0</v>
      </c>
      <c r="R904" s="13">
        <f t="shared" si="1807"/>
        <v>0</v>
      </c>
      <c r="S904" s="13">
        <f t="shared" si="1807"/>
        <v>0</v>
      </c>
      <c r="T904" s="13">
        <f t="shared" si="1807"/>
        <v>0</v>
      </c>
      <c r="U904" s="13">
        <f t="shared" si="1807"/>
        <v>0</v>
      </c>
      <c r="V904" s="13">
        <f t="shared" si="1807"/>
        <v>0</v>
      </c>
      <c r="W904" s="13">
        <f t="shared" si="1807"/>
        <v>0</v>
      </c>
      <c r="X904" s="13">
        <f t="shared" si="1807"/>
        <v>0</v>
      </c>
      <c r="Y904" s="13">
        <f t="shared" si="1807"/>
        <v>0</v>
      </c>
      <c r="Z904" s="13">
        <f t="shared" si="1807"/>
        <v>0</v>
      </c>
      <c r="AA904" s="13">
        <f t="shared" si="1807"/>
        <v>0</v>
      </c>
      <c r="AB904" s="13">
        <f t="shared" ref="AB904:AP904" si="1808">IFERROR(VALUE(RIGHT(LEFT($J904,FIND(AB$1,$J904,IF(M904=0,1,FIND(AB$1,$J904,1)+1))+LEN(AB$1)),1)),0)</f>
        <v>0</v>
      </c>
      <c r="AC904" s="13">
        <f t="shared" si="1808"/>
        <v>1</v>
      </c>
      <c r="AD904" s="13">
        <f t="shared" si="1808"/>
        <v>0</v>
      </c>
      <c r="AE904" s="13">
        <f t="shared" si="1808"/>
        <v>0</v>
      </c>
      <c r="AF904" s="13">
        <f t="shared" si="1808"/>
        <v>0</v>
      </c>
      <c r="AG904" s="13">
        <f t="shared" si="1808"/>
        <v>0</v>
      </c>
      <c r="AH904" s="13">
        <f t="shared" si="1808"/>
        <v>0</v>
      </c>
      <c r="AI904" s="13">
        <f t="shared" si="1808"/>
        <v>2</v>
      </c>
      <c r="AJ904" s="13">
        <f t="shared" si="1808"/>
        <v>0</v>
      </c>
      <c r="AK904" s="13">
        <f t="shared" si="1808"/>
        <v>0</v>
      </c>
      <c r="AL904" s="13">
        <f t="shared" si="1808"/>
        <v>0</v>
      </c>
      <c r="AM904" s="13">
        <f t="shared" si="1808"/>
        <v>0</v>
      </c>
      <c r="AN904" s="13">
        <f t="shared" si="1808"/>
        <v>0</v>
      </c>
      <c r="AO904" s="13">
        <f t="shared" si="1808"/>
        <v>0</v>
      </c>
      <c r="AP904" s="13">
        <f t="shared" si="1808"/>
        <v>0</v>
      </c>
      <c r="AQ904" s="13" t="s">
        <v>5424</v>
      </c>
      <c r="AR904" s="13"/>
      <c r="AS904" s="13" t="s">
        <v>3421</v>
      </c>
      <c r="AT904" s="13"/>
      <c r="AU904" s="13"/>
      <c r="AV904" s="13"/>
      <c r="AW904" s="13">
        <v>0.0</v>
      </c>
      <c r="AX904" s="13">
        <v>17.0</v>
      </c>
      <c r="AY904" s="13">
        <v>0.0</v>
      </c>
      <c r="AZ904" s="13"/>
      <c r="BA904" s="13"/>
      <c r="BB904" s="13"/>
      <c r="BC904" s="13"/>
      <c r="BD904" s="13"/>
      <c r="BE904" s="13"/>
      <c r="BF904" s="13"/>
      <c r="BG904" s="13"/>
      <c r="BH904" s="13" t="s">
        <v>79</v>
      </c>
      <c r="BI904" s="13" t="b">
        <v>0</v>
      </c>
      <c r="BJ904" s="13">
        <v>0.0</v>
      </c>
      <c r="BK904" s="13">
        <v>0.0</v>
      </c>
    </row>
    <row r="905" ht="14.25" customHeight="1">
      <c r="A905" s="13">
        <v>903.0</v>
      </c>
      <c r="B905" s="13" t="s">
        <v>46</v>
      </c>
      <c r="C905" s="13">
        <v>2.0</v>
      </c>
      <c r="D905" s="14">
        <v>0.0</v>
      </c>
      <c r="E905" s="13" t="s">
        <v>5425</v>
      </c>
      <c r="F905" s="15" t="s">
        <v>5371</v>
      </c>
      <c r="G905" s="16" t="s">
        <v>5426</v>
      </c>
      <c r="H905" s="13"/>
      <c r="I905" s="13">
        <v>1.1</v>
      </c>
      <c r="J905" s="13" t="s">
        <v>2650</v>
      </c>
      <c r="K905" s="13">
        <f t="shared" si="3"/>
        <v>0</v>
      </c>
      <c r="L905" s="13">
        <f t="shared" si="4"/>
        <v>3</v>
      </c>
      <c r="M905" s="13">
        <f t="shared" ref="M905:AA905" si="1809">IFERROR(VALUE(RIGHT(LEFT($J905,FIND(M$1,$J905,1)+LEN(M$1)),1)),0)</f>
        <v>0</v>
      </c>
      <c r="N905" s="13">
        <f t="shared" si="1809"/>
        <v>0</v>
      </c>
      <c r="O905" s="13">
        <f t="shared" si="1809"/>
        <v>0</v>
      </c>
      <c r="P905" s="13">
        <f t="shared" si="1809"/>
        <v>0</v>
      </c>
      <c r="Q905" s="13">
        <f t="shared" si="1809"/>
        <v>0</v>
      </c>
      <c r="R905" s="13">
        <f t="shared" si="1809"/>
        <v>0</v>
      </c>
      <c r="S905" s="13">
        <f t="shared" si="1809"/>
        <v>0</v>
      </c>
      <c r="T905" s="13">
        <f t="shared" si="1809"/>
        <v>0</v>
      </c>
      <c r="U905" s="13">
        <f t="shared" si="1809"/>
        <v>0</v>
      </c>
      <c r="V905" s="13">
        <f t="shared" si="1809"/>
        <v>0</v>
      </c>
      <c r="W905" s="13">
        <f t="shared" si="1809"/>
        <v>0</v>
      </c>
      <c r="X905" s="13">
        <f t="shared" si="1809"/>
        <v>0</v>
      </c>
      <c r="Y905" s="13">
        <f t="shared" si="1809"/>
        <v>0</v>
      </c>
      <c r="Z905" s="13">
        <f t="shared" si="1809"/>
        <v>0</v>
      </c>
      <c r="AA905" s="13">
        <f t="shared" si="1809"/>
        <v>0</v>
      </c>
      <c r="AB905" s="13">
        <f t="shared" ref="AB905:AP905" si="1810">IFERROR(VALUE(RIGHT(LEFT($J905,FIND(AB$1,$J905,IF(M905=0,1,FIND(AB$1,$J905,1)+1))+LEN(AB$1)),1)),0)</f>
        <v>0</v>
      </c>
      <c r="AC905" s="13">
        <f t="shared" si="1810"/>
        <v>0</v>
      </c>
      <c r="AD905" s="13">
        <f t="shared" si="1810"/>
        <v>1</v>
      </c>
      <c r="AE905" s="13">
        <f t="shared" si="1810"/>
        <v>0</v>
      </c>
      <c r="AF905" s="13">
        <f t="shared" si="1810"/>
        <v>0</v>
      </c>
      <c r="AG905" s="13">
        <f t="shared" si="1810"/>
        <v>0</v>
      </c>
      <c r="AH905" s="13">
        <f t="shared" si="1810"/>
        <v>0</v>
      </c>
      <c r="AI905" s="13">
        <f t="shared" si="1810"/>
        <v>0</v>
      </c>
      <c r="AJ905" s="13">
        <f t="shared" si="1810"/>
        <v>2</v>
      </c>
      <c r="AK905" s="13">
        <f t="shared" si="1810"/>
        <v>0</v>
      </c>
      <c r="AL905" s="13">
        <f t="shared" si="1810"/>
        <v>0</v>
      </c>
      <c r="AM905" s="13">
        <f t="shared" si="1810"/>
        <v>0</v>
      </c>
      <c r="AN905" s="13">
        <f t="shared" si="1810"/>
        <v>0</v>
      </c>
      <c r="AO905" s="13">
        <f t="shared" si="1810"/>
        <v>0</v>
      </c>
      <c r="AP905" s="13">
        <f t="shared" si="1810"/>
        <v>0</v>
      </c>
      <c r="AQ905" s="13" t="s">
        <v>5427</v>
      </c>
      <c r="AR905" s="13"/>
      <c r="AS905" s="13" t="s">
        <v>5428</v>
      </c>
      <c r="AT905" s="13"/>
      <c r="AU905" s="13"/>
      <c r="AV905" s="13"/>
      <c r="AW905" s="13">
        <v>0.0</v>
      </c>
      <c r="AX905" s="13">
        <v>17.0</v>
      </c>
      <c r="AY905" s="13">
        <v>0.0</v>
      </c>
      <c r="AZ905" s="13"/>
      <c r="BA905" s="13"/>
      <c r="BB905" s="13"/>
      <c r="BC905" s="13"/>
      <c r="BD905" s="13"/>
      <c r="BE905" s="13"/>
      <c r="BF905" s="13"/>
      <c r="BG905" s="13"/>
      <c r="BH905" s="13" t="s">
        <v>79</v>
      </c>
      <c r="BI905" s="13" t="b">
        <v>0</v>
      </c>
      <c r="BJ905" s="13">
        <v>0.0</v>
      </c>
      <c r="BK905" s="13">
        <v>0.0</v>
      </c>
    </row>
    <row r="906" ht="14.25" customHeight="1">
      <c r="A906" s="13">
        <v>904.0</v>
      </c>
      <c r="B906" s="13" t="s">
        <v>52</v>
      </c>
      <c r="C906" s="13">
        <v>2.0</v>
      </c>
      <c r="D906" s="14">
        <v>0.0</v>
      </c>
      <c r="E906" s="13" t="s">
        <v>5429</v>
      </c>
      <c r="F906" s="15" t="s">
        <v>5371</v>
      </c>
      <c r="G906" s="16" t="s">
        <v>5430</v>
      </c>
      <c r="H906" s="13">
        <v>18.0</v>
      </c>
      <c r="I906" s="13">
        <v>1.1</v>
      </c>
      <c r="J906" s="13" t="s">
        <v>5431</v>
      </c>
      <c r="K906" s="13">
        <f t="shared" si="3"/>
        <v>1</v>
      </c>
      <c r="L906" s="13">
        <f t="shared" si="4"/>
        <v>1</v>
      </c>
      <c r="M906" s="13">
        <f t="shared" ref="M906:AA906" si="1811">IFERROR(VALUE(RIGHT(LEFT($J906,FIND(M$1,$J906,1)+LEN(M$1)),1)),0)</f>
        <v>0</v>
      </c>
      <c r="N906" s="13">
        <f t="shared" si="1811"/>
        <v>0</v>
      </c>
      <c r="O906" s="13">
        <f t="shared" si="1811"/>
        <v>0</v>
      </c>
      <c r="P906" s="13">
        <f t="shared" si="1811"/>
        <v>0</v>
      </c>
      <c r="Q906" s="13">
        <f t="shared" si="1811"/>
        <v>0</v>
      </c>
      <c r="R906" s="13">
        <f t="shared" si="1811"/>
        <v>0</v>
      </c>
      <c r="S906" s="13">
        <f t="shared" si="1811"/>
        <v>0</v>
      </c>
      <c r="T906" s="13">
        <f t="shared" si="1811"/>
        <v>0</v>
      </c>
      <c r="U906" s="13">
        <f t="shared" si="1811"/>
        <v>0</v>
      </c>
      <c r="V906" s="13">
        <f t="shared" si="1811"/>
        <v>0</v>
      </c>
      <c r="W906" s="13">
        <f t="shared" si="1811"/>
        <v>0</v>
      </c>
      <c r="X906" s="13">
        <f t="shared" si="1811"/>
        <v>0</v>
      </c>
      <c r="Y906" s="13">
        <f t="shared" si="1811"/>
        <v>0</v>
      </c>
      <c r="Z906" s="13">
        <f t="shared" si="1811"/>
        <v>0</v>
      </c>
      <c r="AA906" s="13">
        <f t="shared" si="1811"/>
        <v>1</v>
      </c>
      <c r="AB906" s="13">
        <f t="shared" ref="AB906:AP906" si="1812">IFERROR(VALUE(RIGHT(LEFT($J906,FIND(AB$1,$J906,IF(M906=0,1,FIND(AB$1,$J906,1)+1))+LEN(AB$1)),1)),0)</f>
        <v>0</v>
      </c>
      <c r="AC906" s="13">
        <f t="shared" si="1812"/>
        <v>0</v>
      </c>
      <c r="AD906" s="13">
        <f t="shared" si="1812"/>
        <v>1</v>
      </c>
      <c r="AE906" s="13">
        <f t="shared" si="1812"/>
        <v>0</v>
      </c>
      <c r="AF906" s="13">
        <f t="shared" si="1812"/>
        <v>0</v>
      </c>
      <c r="AG906" s="13">
        <f t="shared" si="1812"/>
        <v>0</v>
      </c>
      <c r="AH906" s="13">
        <f t="shared" si="1812"/>
        <v>0</v>
      </c>
      <c r="AI906" s="13">
        <f t="shared" si="1812"/>
        <v>0</v>
      </c>
      <c r="AJ906" s="13">
        <f t="shared" si="1812"/>
        <v>0</v>
      </c>
      <c r="AK906" s="13">
        <f t="shared" si="1812"/>
        <v>0</v>
      </c>
      <c r="AL906" s="13">
        <f t="shared" si="1812"/>
        <v>0</v>
      </c>
      <c r="AM906" s="13">
        <f t="shared" si="1812"/>
        <v>0</v>
      </c>
      <c r="AN906" s="13">
        <f t="shared" si="1812"/>
        <v>0</v>
      </c>
      <c r="AO906" s="13">
        <f t="shared" si="1812"/>
        <v>0</v>
      </c>
      <c r="AP906" s="13">
        <f t="shared" si="1812"/>
        <v>0</v>
      </c>
      <c r="AQ906" s="13"/>
      <c r="AR906" s="13" t="s">
        <v>5432</v>
      </c>
      <c r="AS906" s="13" t="s">
        <v>5433</v>
      </c>
      <c r="AT906" s="13" t="s">
        <v>854</v>
      </c>
      <c r="AU906" s="13" t="s">
        <v>1398</v>
      </c>
      <c r="AV906" s="13" t="s">
        <v>5434</v>
      </c>
      <c r="AW906" s="13">
        <v>10.0</v>
      </c>
      <c r="AX906" s="13">
        <v>17.0</v>
      </c>
      <c r="AY906" s="13">
        <v>0.0</v>
      </c>
      <c r="AZ906" s="13" t="s">
        <v>4897</v>
      </c>
      <c r="BA906" s="13" t="s">
        <v>3637</v>
      </c>
      <c r="BB906" s="13"/>
      <c r="BC906" s="13"/>
      <c r="BD906" s="13" t="s">
        <v>294</v>
      </c>
      <c r="BE906" s="13" t="s">
        <v>5435</v>
      </c>
      <c r="BF906" s="13" t="s">
        <v>1870</v>
      </c>
      <c r="BG906" s="13"/>
      <c r="BH906" s="13" t="s">
        <v>241</v>
      </c>
      <c r="BI906" s="13" t="b">
        <v>0</v>
      </c>
      <c r="BJ906" s="13">
        <v>0.0</v>
      </c>
      <c r="BK906" s="13">
        <v>0.0</v>
      </c>
    </row>
    <row r="907" ht="14.25" customHeight="1">
      <c r="A907" s="13">
        <v>905.0</v>
      </c>
      <c r="B907" s="13" t="s">
        <v>52</v>
      </c>
      <c r="C907" s="13">
        <v>2.0</v>
      </c>
      <c r="D907" s="14">
        <v>0.0</v>
      </c>
      <c r="E907" s="13" t="s">
        <v>5436</v>
      </c>
      <c r="F907" s="15" t="s">
        <v>5371</v>
      </c>
      <c r="G907" s="16" t="s">
        <v>5437</v>
      </c>
      <c r="H907" s="13">
        <v>6.0</v>
      </c>
      <c r="I907" s="13">
        <v>0.8</v>
      </c>
      <c r="J907" s="13" t="s">
        <v>1502</v>
      </c>
      <c r="K907" s="13">
        <f t="shared" si="3"/>
        <v>0</v>
      </c>
      <c r="L907" s="13">
        <f t="shared" si="4"/>
        <v>3</v>
      </c>
      <c r="M907" s="13">
        <f t="shared" ref="M907:AA907" si="1813">IFERROR(VALUE(RIGHT(LEFT($J907,FIND(M$1,$J907,1)+LEN(M$1)),1)),0)</f>
        <v>0</v>
      </c>
      <c r="N907" s="13">
        <f t="shared" si="1813"/>
        <v>0</v>
      </c>
      <c r="O907" s="13">
        <f t="shared" si="1813"/>
        <v>0</v>
      </c>
      <c r="P907" s="13">
        <f t="shared" si="1813"/>
        <v>0</v>
      </c>
      <c r="Q907" s="13">
        <f t="shared" si="1813"/>
        <v>0</v>
      </c>
      <c r="R907" s="13">
        <f t="shared" si="1813"/>
        <v>0</v>
      </c>
      <c r="S907" s="13">
        <f t="shared" si="1813"/>
        <v>0</v>
      </c>
      <c r="T907" s="13">
        <f t="shared" si="1813"/>
        <v>0</v>
      </c>
      <c r="U907" s="13">
        <f t="shared" si="1813"/>
        <v>0</v>
      </c>
      <c r="V907" s="13">
        <f t="shared" si="1813"/>
        <v>0</v>
      </c>
      <c r="W907" s="13">
        <f t="shared" si="1813"/>
        <v>0</v>
      </c>
      <c r="X907" s="13">
        <f t="shared" si="1813"/>
        <v>0</v>
      </c>
      <c r="Y907" s="13">
        <f t="shared" si="1813"/>
        <v>0</v>
      </c>
      <c r="Z907" s="13">
        <f t="shared" si="1813"/>
        <v>0</v>
      </c>
      <c r="AA907" s="13">
        <f t="shared" si="1813"/>
        <v>0</v>
      </c>
      <c r="AB907" s="13">
        <f t="shared" ref="AB907:AP907" si="1814">IFERROR(VALUE(RIGHT(LEFT($J907,FIND(AB$1,$J907,IF(M907=0,1,FIND(AB$1,$J907,1)+1))+LEN(AB$1)),1)),0)</f>
        <v>0</v>
      </c>
      <c r="AC907" s="13">
        <f t="shared" si="1814"/>
        <v>1</v>
      </c>
      <c r="AD907" s="13">
        <f t="shared" si="1814"/>
        <v>0</v>
      </c>
      <c r="AE907" s="13">
        <f t="shared" si="1814"/>
        <v>0</v>
      </c>
      <c r="AF907" s="13">
        <f t="shared" si="1814"/>
        <v>0</v>
      </c>
      <c r="AG907" s="13">
        <f t="shared" si="1814"/>
        <v>0</v>
      </c>
      <c r="AH907" s="13">
        <f t="shared" si="1814"/>
        <v>0</v>
      </c>
      <c r="AI907" s="13">
        <f t="shared" si="1814"/>
        <v>0</v>
      </c>
      <c r="AJ907" s="13">
        <f t="shared" si="1814"/>
        <v>0</v>
      </c>
      <c r="AK907" s="13">
        <f t="shared" si="1814"/>
        <v>0</v>
      </c>
      <c r="AL907" s="13">
        <f t="shared" si="1814"/>
        <v>0</v>
      </c>
      <c r="AM907" s="13">
        <f t="shared" si="1814"/>
        <v>0</v>
      </c>
      <c r="AN907" s="13">
        <f t="shared" si="1814"/>
        <v>0</v>
      </c>
      <c r="AO907" s="13">
        <f t="shared" si="1814"/>
        <v>0</v>
      </c>
      <c r="AP907" s="13">
        <f t="shared" si="1814"/>
        <v>2</v>
      </c>
      <c r="AQ907" s="13"/>
      <c r="AR907" s="13" t="s">
        <v>5411</v>
      </c>
      <c r="AS907" s="13" t="s">
        <v>2452</v>
      </c>
      <c r="AT907" s="13" t="s">
        <v>162</v>
      </c>
      <c r="AU907" s="13" t="s">
        <v>1800</v>
      </c>
      <c r="AV907" s="13" t="s">
        <v>5438</v>
      </c>
      <c r="AW907" s="13">
        <v>8.0</v>
      </c>
      <c r="AX907" s="13">
        <v>17.0</v>
      </c>
      <c r="AY907" s="13">
        <v>0.0</v>
      </c>
      <c r="AZ907" s="13" t="s">
        <v>5439</v>
      </c>
      <c r="BA907" s="13" t="s">
        <v>914</v>
      </c>
      <c r="BB907" s="13"/>
      <c r="BC907" s="13"/>
      <c r="BD907" s="13" t="s">
        <v>306</v>
      </c>
      <c r="BE907" s="13" t="s">
        <v>5440</v>
      </c>
      <c r="BF907" s="13" t="s">
        <v>3328</v>
      </c>
      <c r="BG907" s="13"/>
      <c r="BH907" s="13" t="s">
        <v>241</v>
      </c>
      <c r="BI907" s="13" t="b">
        <v>0</v>
      </c>
      <c r="BJ907" s="13">
        <v>0.0</v>
      </c>
      <c r="BK907" s="13">
        <v>0.0</v>
      </c>
    </row>
    <row r="908" ht="14.25" customHeight="1">
      <c r="A908" s="13">
        <v>906.0</v>
      </c>
      <c r="B908" s="13" t="s">
        <v>50</v>
      </c>
      <c r="C908" s="13">
        <v>2.0</v>
      </c>
      <c r="D908" s="14">
        <v>0.0</v>
      </c>
      <c r="E908" s="13" t="s">
        <v>5441</v>
      </c>
      <c r="F908" s="15" t="s">
        <v>5371</v>
      </c>
      <c r="G908" s="16" t="s">
        <v>5442</v>
      </c>
      <c r="H908" s="13">
        <v>15.0</v>
      </c>
      <c r="I908" s="13">
        <v>1.1</v>
      </c>
      <c r="J908" s="13" t="s">
        <v>1387</v>
      </c>
      <c r="K908" s="13">
        <f t="shared" si="3"/>
        <v>0</v>
      </c>
      <c r="L908" s="13">
        <f t="shared" si="4"/>
        <v>3</v>
      </c>
      <c r="M908" s="13">
        <f t="shared" ref="M908:AA908" si="1815">IFERROR(VALUE(RIGHT(LEFT($J908,FIND(M$1,$J908,1)+LEN(M$1)),1)),0)</f>
        <v>0</v>
      </c>
      <c r="N908" s="13">
        <f t="shared" si="1815"/>
        <v>0</v>
      </c>
      <c r="O908" s="13">
        <f t="shared" si="1815"/>
        <v>0</v>
      </c>
      <c r="P908" s="13">
        <f t="shared" si="1815"/>
        <v>0</v>
      </c>
      <c r="Q908" s="13">
        <f t="shared" si="1815"/>
        <v>0</v>
      </c>
      <c r="R908" s="13">
        <f t="shared" si="1815"/>
        <v>0</v>
      </c>
      <c r="S908" s="13">
        <f t="shared" si="1815"/>
        <v>0</v>
      </c>
      <c r="T908" s="13">
        <f t="shared" si="1815"/>
        <v>0</v>
      </c>
      <c r="U908" s="13">
        <f t="shared" si="1815"/>
        <v>0</v>
      </c>
      <c r="V908" s="13">
        <f t="shared" si="1815"/>
        <v>0</v>
      </c>
      <c r="W908" s="13">
        <f t="shared" si="1815"/>
        <v>0</v>
      </c>
      <c r="X908" s="13">
        <f t="shared" si="1815"/>
        <v>0</v>
      </c>
      <c r="Y908" s="13">
        <f t="shared" si="1815"/>
        <v>0</v>
      </c>
      <c r="Z908" s="13">
        <f t="shared" si="1815"/>
        <v>0</v>
      </c>
      <c r="AA908" s="13">
        <f t="shared" si="1815"/>
        <v>0</v>
      </c>
      <c r="AB908" s="13">
        <f t="shared" ref="AB908:AP908" si="1816">IFERROR(VALUE(RIGHT(LEFT($J908,FIND(AB$1,$J908,IF(M908=0,1,FIND(AB$1,$J908,1)+1))+LEN(AB$1)),1)),0)</f>
        <v>0</v>
      </c>
      <c r="AC908" s="13">
        <f t="shared" si="1816"/>
        <v>0</v>
      </c>
      <c r="AD908" s="13">
        <f t="shared" si="1816"/>
        <v>0</v>
      </c>
      <c r="AE908" s="13">
        <f t="shared" si="1816"/>
        <v>1</v>
      </c>
      <c r="AF908" s="13">
        <f t="shared" si="1816"/>
        <v>0</v>
      </c>
      <c r="AG908" s="13">
        <f t="shared" si="1816"/>
        <v>0</v>
      </c>
      <c r="AH908" s="13">
        <f t="shared" si="1816"/>
        <v>0</v>
      </c>
      <c r="AI908" s="13">
        <f t="shared" si="1816"/>
        <v>0</v>
      </c>
      <c r="AJ908" s="13">
        <f t="shared" si="1816"/>
        <v>0</v>
      </c>
      <c r="AK908" s="13">
        <f t="shared" si="1816"/>
        <v>0</v>
      </c>
      <c r="AL908" s="13">
        <f t="shared" si="1816"/>
        <v>0</v>
      </c>
      <c r="AM908" s="13">
        <f t="shared" si="1816"/>
        <v>0</v>
      </c>
      <c r="AN908" s="13">
        <f t="shared" si="1816"/>
        <v>2</v>
      </c>
      <c r="AO908" s="13">
        <f t="shared" si="1816"/>
        <v>0</v>
      </c>
      <c r="AP908" s="13">
        <f t="shared" si="1816"/>
        <v>0</v>
      </c>
      <c r="AQ908" s="13"/>
      <c r="AR908" s="13" t="s">
        <v>4208</v>
      </c>
      <c r="AS908" s="13" t="s">
        <v>5443</v>
      </c>
      <c r="AT908" s="13" t="s">
        <v>162</v>
      </c>
      <c r="AU908" s="13" t="s">
        <v>1211</v>
      </c>
      <c r="AV908" s="13" t="s">
        <v>5444</v>
      </c>
      <c r="AW908" s="13">
        <v>12.0</v>
      </c>
      <c r="AX908" s="13">
        <v>17.0</v>
      </c>
      <c r="AY908" s="13">
        <v>0.0</v>
      </c>
      <c r="AZ908" s="13" t="s">
        <v>5445</v>
      </c>
      <c r="BA908" s="13" t="s">
        <v>2033</v>
      </c>
      <c r="BB908" s="13"/>
      <c r="BC908" s="13"/>
      <c r="BD908" s="13" t="s">
        <v>239</v>
      </c>
      <c r="BE908" s="13"/>
      <c r="BF908" s="13" t="s">
        <v>1291</v>
      </c>
      <c r="BG908" s="13" t="s">
        <v>50</v>
      </c>
      <c r="BH908" s="13" t="s">
        <v>79</v>
      </c>
      <c r="BI908" s="13" t="b">
        <v>0</v>
      </c>
      <c r="BJ908" s="13">
        <v>0.0</v>
      </c>
      <c r="BK908" s="13">
        <v>0.0</v>
      </c>
    </row>
    <row r="909" ht="14.25" customHeight="1">
      <c r="A909" s="13">
        <v>907.0</v>
      </c>
      <c r="B909" s="13" t="s">
        <v>44</v>
      </c>
      <c r="C909" s="13">
        <v>3.0</v>
      </c>
      <c r="D909" s="14">
        <v>0.0</v>
      </c>
      <c r="E909" s="13" t="s">
        <v>5446</v>
      </c>
      <c r="F909" s="15" t="s">
        <v>5371</v>
      </c>
      <c r="G909" s="16" t="s">
        <v>5447</v>
      </c>
      <c r="H909" s="13"/>
      <c r="I909" s="13">
        <v>1.0</v>
      </c>
      <c r="J909" s="13" t="s">
        <v>4066</v>
      </c>
      <c r="K909" s="13">
        <f t="shared" si="3"/>
        <v>1</v>
      </c>
      <c r="L909" s="13">
        <f t="shared" si="4"/>
        <v>2</v>
      </c>
      <c r="M909" s="13">
        <f t="shared" ref="M909:AA909" si="1817">IFERROR(VALUE(RIGHT(LEFT($J909,FIND(M$1,$J909,1)+LEN(M$1)),1)),0)</f>
        <v>0</v>
      </c>
      <c r="N909" s="13">
        <f t="shared" si="1817"/>
        <v>0</v>
      </c>
      <c r="O909" s="13">
        <f t="shared" si="1817"/>
        <v>0</v>
      </c>
      <c r="P909" s="13">
        <f t="shared" si="1817"/>
        <v>0</v>
      </c>
      <c r="Q909" s="13">
        <f t="shared" si="1817"/>
        <v>0</v>
      </c>
      <c r="R909" s="13">
        <f t="shared" si="1817"/>
        <v>0</v>
      </c>
      <c r="S909" s="13">
        <f t="shared" si="1817"/>
        <v>1</v>
      </c>
      <c r="T909" s="13">
        <f t="shared" si="1817"/>
        <v>0</v>
      </c>
      <c r="U909" s="13">
        <f t="shared" si="1817"/>
        <v>0</v>
      </c>
      <c r="V909" s="13">
        <f t="shared" si="1817"/>
        <v>0</v>
      </c>
      <c r="W909" s="13">
        <f t="shared" si="1817"/>
        <v>0</v>
      </c>
      <c r="X909" s="13">
        <f t="shared" si="1817"/>
        <v>0</v>
      </c>
      <c r="Y909" s="13">
        <f t="shared" si="1817"/>
        <v>0</v>
      </c>
      <c r="Z909" s="13">
        <f t="shared" si="1817"/>
        <v>0</v>
      </c>
      <c r="AA909" s="13">
        <f t="shared" si="1817"/>
        <v>0</v>
      </c>
      <c r="AB909" s="13">
        <f t="shared" ref="AB909:AP909" si="1818">IFERROR(VALUE(RIGHT(LEFT($J909,FIND(AB$1,$J909,IF(M909=0,1,FIND(AB$1,$J909,1)+1))+LEN(AB$1)),1)),0)</f>
        <v>0</v>
      </c>
      <c r="AC909" s="13">
        <f t="shared" si="1818"/>
        <v>0</v>
      </c>
      <c r="AD909" s="13">
        <f t="shared" si="1818"/>
        <v>0</v>
      </c>
      <c r="AE909" s="13">
        <f t="shared" si="1818"/>
        <v>1</v>
      </c>
      <c r="AF909" s="13">
        <f t="shared" si="1818"/>
        <v>0</v>
      </c>
      <c r="AG909" s="13">
        <f t="shared" si="1818"/>
        <v>0</v>
      </c>
      <c r="AH909" s="13">
        <f t="shared" si="1818"/>
        <v>1</v>
      </c>
      <c r="AI909" s="13">
        <f t="shared" si="1818"/>
        <v>0</v>
      </c>
      <c r="AJ909" s="13">
        <f t="shared" si="1818"/>
        <v>0</v>
      </c>
      <c r="AK909" s="13">
        <f t="shared" si="1818"/>
        <v>0</v>
      </c>
      <c r="AL909" s="13">
        <f t="shared" si="1818"/>
        <v>0</v>
      </c>
      <c r="AM909" s="13">
        <f t="shared" si="1818"/>
        <v>0</v>
      </c>
      <c r="AN909" s="13">
        <f t="shared" si="1818"/>
        <v>0</v>
      </c>
      <c r="AO909" s="13">
        <f t="shared" si="1818"/>
        <v>0</v>
      </c>
      <c r="AP909" s="13">
        <f t="shared" si="1818"/>
        <v>0</v>
      </c>
      <c r="AQ909" s="13" t="s">
        <v>5448</v>
      </c>
      <c r="AR909" s="13"/>
      <c r="AS909" s="13" t="s">
        <v>5449</v>
      </c>
      <c r="AT909" s="13"/>
      <c r="AU909" s="13"/>
      <c r="AV909" s="13"/>
      <c r="AW909" s="13">
        <v>0.0</v>
      </c>
      <c r="AX909" s="13">
        <v>17.0</v>
      </c>
      <c r="AY909" s="13">
        <v>0.0</v>
      </c>
      <c r="AZ909" s="13"/>
      <c r="BA909" s="13"/>
      <c r="BB909" s="13"/>
      <c r="BC909" s="13"/>
      <c r="BD909" s="13"/>
      <c r="BE909" s="13"/>
      <c r="BF909" s="13"/>
      <c r="BG909" s="13"/>
      <c r="BH909" s="13" t="s">
        <v>79</v>
      </c>
      <c r="BI909" s="13" t="b">
        <v>0</v>
      </c>
      <c r="BJ909" s="13">
        <v>0.0</v>
      </c>
      <c r="BK909" s="13">
        <v>0.0</v>
      </c>
    </row>
    <row r="910" ht="14.25" customHeight="1">
      <c r="A910" s="13">
        <v>908.0</v>
      </c>
      <c r="B910" s="13" t="s">
        <v>45</v>
      </c>
      <c r="C910" s="13">
        <v>3.0</v>
      </c>
      <c r="D910" s="14">
        <v>0.0</v>
      </c>
      <c r="E910" s="13" t="s">
        <v>5450</v>
      </c>
      <c r="F910" s="15" t="s">
        <v>5371</v>
      </c>
      <c r="G910" s="16" t="s">
        <v>5451</v>
      </c>
      <c r="H910" s="13"/>
      <c r="I910" s="13">
        <v>0.9</v>
      </c>
      <c r="J910" s="13" t="s">
        <v>1584</v>
      </c>
      <c r="K910" s="13">
        <f t="shared" si="3"/>
        <v>1</v>
      </c>
      <c r="L910" s="13">
        <f t="shared" si="4"/>
        <v>2</v>
      </c>
      <c r="M910" s="13">
        <f t="shared" ref="M910:AA910" si="1819">IFERROR(VALUE(RIGHT(LEFT($J910,FIND(M$1,$J910,1)+LEN(M$1)),1)),0)</f>
        <v>0</v>
      </c>
      <c r="N910" s="13">
        <f t="shared" si="1819"/>
        <v>0</v>
      </c>
      <c r="O910" s="13">
        <f t="shared" si="1819"/>
        <v>0</v>
      </c>
      <c r="P910" s="13">
        <f t="shared" si="1819"/>
        <v>0</v>
      </c>
      <c r="Q910" s="13">
        <f t="shared" si="1819"/>
        <v>0</v>
      </c>
      <c r="R910" s="13">
        <f t="shared" si="1819"/>
        <v>0</v>
      </c>
      <c r="S910" s="13">
        <f t="shared" si="1819"/>
        <v>0</v>
      </c>
      <c r="T910" s="13">
        <f t="shared" si="1819"/>
        <v>1</v>
      </c>
      <c r="U910" s="13">
        <f t="shared" si="1819"/>
        <v>0</v>
      </c>
      <c r="V910" s="13">
        <f t="shared" si="1819"/>
        <v>0</v>
      </c>
      <c r="W910" s="13">
        <f t="shared" si="1819"/>
        <v>0</v>
      </c>
      <c r="X910" s="13">
        <f t="shared" si="1819"/>
        <v>0</v>
      </c>
      <c r="Y910" s="13">
        <f t="shared" si="1819"/>
        <v>0</v>
      </c>
      <c r="Z910" s="13">
        <f t="shared" si="1819"/>
        <v>0</v>
      </c>
      <c r="AA910" s="13">
        <f t="shared" si="1819"/>
        <v>0</v>
      </c>
      <c r="AB910" s="13">
        <f t="shared" ref="AB910:AP910" si="1820">IFERROR(VALUE(RIGHT(LEFT($J910,FIND(AB$1,$J910,IF(M910=0,1,FIND(AB$1,$J910,1)+1))+LEN(AB$1)),1)),0)</f>
        <v>0</v>
      </c>
      <c r="AC910" s="13">
        <f t="shared" si="1820"/>
        <v>1</v>
      </c>
      <c r="AD910" s="13">
        <f t="shared" si="1820"/>
        <v>0</v>
      </c>
      <c r="AE910" s="13">
        <f t="shared" si="1820"/>
        <v>0</v>
      </c>
      <c r="AF910" s="13">
        <f t="shared" si="1820"/>
        <v>0</v>
      </c>
      <c r="AG910" s="13">
        <f t="shared" si="1820"/>
        <v>0</v>
      </c>
      <c r="AH910" s="13">
        <f t="shared" si="1820"/>
        <v>0</v>
      </c>
      <c r="AI910" s="13">
        <f t="shared" si="1820"/>
        <v>1</v>
      </c>
      <c r="AJ910" s="13">
        <f t="shared" si="1820"/>
        <v>0</v>
      </c>
      <c r="AK910" s="13">
        <f t="shared" si="1820"/>
        <v>0</v>
      </c>
      <c r="AL910" s="13">
        <f t="shared" si="1820"/>
        <v>0</v>
      </c>
      <c r="AM910" s="13">
        <f t="shared" si="1820"/>
        <v>0</v>
      </c>
      <c r="AN910" s="13">
        <f t="shared" si="1820"/>
        <v>0</v>
      </c>
      <c r="AO910" s="13">
        <f t="shared" si="1820"/>
        <v>0</v>
      </c>
      <c r="AP910" s="13">
        <f t="shared" si="1820"/>
        <v>0</v>
      </c>
      <c r="AQ910" s="13" t="s">
        <v>5452</v>
      </c>
      <c r="AR910" s="13"/>
      <c r="AS910" s="13" t="s">
        <v>5453</v>
      </c>
      <c r="AT910" s="13"/>
      <c r="AU910" s="13"/>
      <c r="AV910" s="13"/>
      <c r="AW910" s="13">
        <v>0.0</v>
      </c>
      <c r="AX910" s="13">
        <v>17.0</v>
      </c>
      <c r="AY910" s="13">
        <v>0.0</v>
      </c>
      <c r="AZ910" s="13"/>
      <c r="BA910" s="13"/>
      <c r="BB910" s="13"/>
      <c r="BC910" s="13"/>
      <c r="BD910" s="13"/>
      <c r="BE910" s="13"/>
      <c r="BF910" s="13"/>
      <c r="BG910" s="13"/>
      <c r="BH910" s="13" t="s">
        <v>79</v>
      </c>
      <c r="BI910" s="13" t="b">
        <v>0</v>
      </c>
      <c r="BJ910" s="13">
        <v>0.0</v>
      </c>
      <c r="BK910" s="13">
        <v>0.0</v>
      </c>
    </row>
    <row r="911" ht="14.25" customHeight="1">
      <c r="A911" s="13">
        <v>909.0</v>
      </c>
      <c r="B911" s="13" t="s">
        <v>46</v>
      </c>
      <c r="C911" s="13">
        <v>3.0</v>
      </c>
      <c r="D911" s="14">
        <v>0.0</v>
      </c>
      <c r="E911" s="13" t="s">
        <v>5454</v>
      </c>
      <c r="F911" s="15" t="s">
        <v>5371</v>
      </c>
      <c r="G911" s="16" t="s">
        <v>5455</v>
      </c>
      <c r="H911" s="13"/>
      <c r="I911" s="13">
        <v>1.1</v>
      </c>
      <c r="J911" s="13" t="s">
        <v>5456</v>
      </c>
      <c r="K911" s="13">
        <f t="shared" si="3"/>
        <v>2</v>
      </c>
      <c r="L911" s="13">
        <f t="shared" si="4"/>
        <v>1</v>
      </c>
      <c r="M911" s="13">
        <f t="shared" ref="M911:AA911" si="1821">IFERROR(VALUE(RIGHT(LEFT($J911,FIND(M$1,$J911,1)+LEN(M$1)),1)),0)</f>
        <v>0</v>
      </c>
      <c r="N911" s="13">
        <f t="shared" si="1821"/>
        <v>0</v>
      </c>
      <c r="O911" s="13">
        <f t="shared" si="1821"/>
        <v>1</v>
      </c>
      <c r="P911" s="13">
        <f t="shared" si="1821"/>
        <v>1</v>
      </c>
      <c r="Q911" s="13">
        <f t="shared" si="1821"/>
        <v>0</v>
      </c>
      <c r="R911" s="13">
        <f t="shared" si="1821"/>
        <v>0</v>
      </c>
      <c r="S911" s="13">
        <f t="shared" si="1821"/>
        <v>0</v>
      </c>
      <c r="T911" s="13">
        <f t="shared" si="1821"/>
        <v>0</v>
      </c>
      <c r="U911" s="13">
        <f t="shared" si="1821"/>
        <v>0</v>
      </c>
      <c r="V911" s="13">
        <f t="shared" si="1821"/>
        <v>0</v>
      </c>
      <c r="W911" s="13">
        <f t="shared" si="1821"/>
        <v>0</v>
      </c>
      <c r="X911" s="13">
        <f t="shared" si="1821"/>
        <v>0</v>
      </c>
      <c r="Y911" s="13">
        <f t="shared" si="1821"/>
        <v>0</v>
      </c>
      <c r="Z911" s="13">
        <f t="shared" si="1821"/>
        <v>0</v>
      </c>
      <c r="AA911" s="13">
        <f t="shared" si="1821"/>
        <v>0</v>
      </c>
      <c r="AB911" s="13">
        <f t="shared" ref="AB911:AP911" si="1822">IFERROR(VALUE(RIGHT(LEFT($J911,FIND(AB$1,$J911,IF(M911=0,1,FIND(AB$1,$J911,1)+1))+LEN(AB$1)),1)),0)</f>
        <v>0</v>
      </c>
      <c r="AC911" s="13">
        <f t="shared" si="1822"/>
        <v>0</v>
      </c>
      <c r="AD911" s="13">
        <f t="shared" si="1822"/>
        <v>0</v>
      </c>
      <c r="AE911" s="13">
        <f t="shared" si="1822"/>
        <v>0</v>
      </c>
      <c r="AF911" s="13">
        <f t="shared" si="1822"/>
        <v>0</v>
      </c>
      <c r="AG911" s="13">
        <f t="shared" si="1822"/>
        <v>0</v>
      </c>
      <c r="AH911" s="13">
        <f t="shared" si="1822"/>
        <v>0</v>
      </c>
      <c r="AI911" s="13">
        <f t="shared" si="1822"/>
        <v>0</v>
      </c>
      <c r="AJ911" s="13">
        <f t="shared" si="1822"/>
        <v>1</v>
      </c>
      <c r="AK911" s="13">
        <f t="shared" si="1822"/>
        <v>0</v>
      </c>
      <c r="AL911" s="13">
        <f t="shared" si="1822"/>
        <v>0</v>
      </c>
      <c r="AM911" s="13">
        <f t="shared" si="1822"/>
        <v>0</v>
      </c>
      <c r="AN911" s="13">
        <f t="shared" si="1822"/>
        <v>0</v>
      </c>
      <c r="AO911" s="13">
        <f t="shared" si="1822"/>
        <v>0</v>
      </c>
      <c r="AP911" s="13">
        <f t="shared" si="1822"/>
        <v>0</v>
      </c>
      <c r="AQ911" s="13" t="s">
        <v>5457</v>
      </c>
      <c r="AR911" s="13"/>
      <c r="AS911" s="13" t="s">
        <v>5458</v>
      </c>
      <c r="AT911" s="13"/>
      <c r="AU911" s="13"/>
      <c r="AV911" s="13"/>
      <c r="AW911" s="13">
        <v>0.0</v>
      </c>
      <c r="AX911" s="13">
        <v>17.0</v>
      </c>
      <c r="AY911" s="13">
        <v>0.0</v>
      </c>
      <c r="AZ911" s="13"/>
      <c r="BA911" s="13"/>
      <c r="BB911" s="13"/>
      <c r="BC911" s="13"/>
      <c r="BD911" s="13"/>
      <c r="BE911" s="13"/>
      <c r="BF911" s="13"/>
      <c r="BG911" s="13"/>
      <c r="BH911" s="13" t="s">
        <v>79</v>
      </c>
      <c r="BI911" s="13" t="b">
        <v>0</v>
      </c>
      <c r="BJ911" s="13">
        <v>0.0</v>
      </c>
      <c r="BK911" s="13">
        <v>0.0</v>
      </c>
    </row>
    <row r="912" ht="14.25" customHeight="1">
      <c r="A912" s="13">
        <v>910.0</v>
      </c>
      <c r="B912" s="13" t="s">
        <v>52</v>
      </c>
      <c r="C912" s="13">
        <v>3.0</v>
      </c>
      <c r="D912" s="14">
        <v>0.0</v>
      </c>
      <c r="E912" s="13" t="s">
        <v>5459</v>
      </c>
      <c r="F912" s="15" t="s">
        <v>5371</v>
      </c>
      <c r="G912" s="16" t="s">
        <v>5460</v>
      </c>
      <c r="H912" s="13">
        <v>19.0</v>
      </c>
      <c r="I912" s="13">
        <v>1.2</v>
      </c>
      <c r="J912" s="13" t="s">
        <v>4079</v>
      </c>
      <c r="K912" s="13">
        <f t="shared" si="3"/>
        <v>1</v>
      </c>
      <c r="L912" s="13">
        <f t="shared" si="4"/>
        <v>2</v>
      </c>
      <c r="M912" s="13">
        <f t="shared" ref="M912:AA912" si="1823">IFERROR(VALUE(RIGHT(LEFT($J912,FIND(M$1,$J912,1)+LEN(M$1)),1)),0)</f>
        <v>0</v>
      </c>
      <c r="N912" s="13">
        <f t="shared" si="1823"/>
        <v>0</v>
      </c>
      <c r="O912" s="13">
        <f t="shared" si="1823"/>
        <v>1</v>
      </c>
      <c r="P912" s="13">
        <f t="shared" si="1823"/>
        <v>0</v>
      </c>
      <c r="Q912" s="13">
        <f t="shared" si="1823"/>
        <v>0</v>
      </c>
      <c r="R912" s="13">
        <f t="shared" si="1823"/>
        <v>0</v>
      </c>
      <c r="S912" s="13">
        <f t="shared" si="1823"/>
        <v>0</v>
      </c>
      <c r="T912" s="13">
        <f t="shared" si="1823"/>
        <v>0</v>
      </c>
      <c r="U912" s="13">
        <f t="shared" si="1823"/>
        <v>0</v>
      </c>
      <c r="V912" s="13">
        <f t="shared" si="1823"/>
        <v>0</v>
      </c>
      <c r="W912" s="13">
        <f t="shared" si="1823"/>
        <v>0</v>
      </c>
      <c r="X912" s="13">
        <f t="shared" si="1823"/>
        <v>0</v>
      </c>
      <c r="Y912" s="13">
        <f t="shared" si="1823"/>
        <v>0</v>
      </c>
      <c r="Z912" s="13">
        <f t="shared" si="1823"/>
        <v>0</v>
      </c>
      <c r="AA912" s="13">
        <f t="shared" si="1823"/>
        <v>0</v>
      </c>
      <c r="AB912" s="13">
        <f t="shared" ref="AB912:AP912" si="1824">IFERROR(VALUE(RIGHT(LEFT($J912,FIND(AB$1,$J912,IF(M912=0,1,FIND(AB$1,$J912,1)+1))+LEN(AB$1)),1)),0)</f>
        <v>0</v>
      </c>
      <c r="AC912" s="13">
        <f t="shared" si="1824"/>
        <v>0</v>
      </c>
      <c r="AD912" s="13">
        <f t="shared" si="1824"/>
        <v>1</v>
      </c>
      <c r="AE912" s="13">
        <f t="shared" si="1824"/>
        <v>0</v>
      </c>
      <c r="AF912" s="13">
        <f t="shared" si="1824"/>
        <v>0</v>
      </c>
      <c r="AG912" s="13">
        <f t="shared" si="1824"/>
        <v>0</v>
      </c>
      <c r="AH912" s="13">
        <f t="shared" si="1824"/>
        <v>0</v>
      </c>
      <c r="AI912" s="13">
        <f t="shared" si="1824"/>
        <v>0</v>
      </c>
      <c r="AJ912" s="13">
        <f t="shared" si="1824"/>
        <v>0</v>
      </c>
      <c r="AK912" s="13">
        <f t="shared" si="1824"/>
        <v>0</v>
      </c>
      <c r="AL912" s="13">
        <f t="shared" si="1824"/>
        <v>0</v>
      </c>
      <c r="AM912" s="13">
        <f t="shared" si="1824"/>
        <v>0</v>
      </c>
      <c r="AN912" s="13">
        <f t="shared" si="1824"/>
        <v>0</v>
      </c>
      <c r="AO912" s="13">
        <f t="shared" si="1824"/>
        <v>0</v>
      </c>
      <c r="AP912" s="13">
        <f t="shared" si="1824"/>
        <v>1</v>
      </c>
      <c r="AQ912" s="13"/>
      <c r="AR912" s="13" t="s">
        <v>5461</v>
      </c>
      <c r="AS912" s="13" t="s">
        <v>5462</v>
      </c>
      <c r="AT912" s="13" t="s">
        <v>4922</v>
      </c>
      <c r="AU912" s="13" t="s">
        <v>803</v>
      </c>
      <c r="AV912" s="13" t="s">
        <v>5463</v>
      </c>
      <c r="AW912" s="13">
        <v>15.0</v>
      </c>
      <c r="AX912" s="13">
        <v>17.0</v>
      </c>
      <c r="AY912" s="13">
        <v>0.0</v>
      </c>
      <c r="AZ912" s="13" t="s">
        <v>5464</v>
      </c>
      <c r="BA912" s="13" t="s">
        <v>5465</v>
      </c>
      <c r="BB912" s="13"/>
      <c r="BC912" s="13"/>
      <c r="BD912" s="13" t="s">
        <v>306</v>
      </c>
      <c r="BE912" s="13" t="s">
        <v>1515</v>
      </c>
      <c r="BF912" s="13" t="s">
        <v>1794</v>
      </c>
      <c r="BG912" s="13"/>
      <c r="BH912" s="13" t="s">
        <v>241</v>
      </c>
      <c r="BI912" s="13" t="b">
        <v>0</v>
      </c>
      <c r="BJ912" s="13">
        <v>0.0</v>
      </c>
      <c r="BK912" s="13">
        <v>0.0</v>
      </c>
    </row>
    <row r="913" ht="14.25" customHeight="1">
      <c r="A913" s="13">
        <v>911.0</v>
      </c>
      <c r="B913" s="13" t="s">
        <v>52</v>
      </c>
      <c r="C913" s="13">
        <v>3.0</v>
      </c>
      <c r="D913" s="14">
        <v>0.0</v>
      </c>
      <c r="E913" s="13" t="s">
        <v>5466</v>
      </c>
      <c r="F913" s="15" t="s">
        <v>5371</v>
      </c>
      <c r="G913" s="16" t="s">
        <v>5467</v>
      </c>
      <c r="H913" s="13">
        <v>17.0</v>
      </c>
      <c r="I913" s="13">
        <v>0.9</v>
      </c>
      <c r="J913" s="13" t="s">
        <v>1884</v>
      </c>
      <c r="K913" s="13">
        <f t="shared" si="3"/>
        <v>1</v>
      </c>
      <c r="L913" s="13">
        <f t="shared" si="4"/>
        <v>2</v>
      </c>
      <c r="M913" s="13">
        <f t="shared" ref="M913:AA913" si="1825">IFERROR(VALUE(RIGHT(LEFT($J913,FIND(M$1,$J913,1)+LEN(M$1)),1)),0)</f>
        <v>0</v>
      </c>
      <c r="N913" s="13">
        <f t="shared" si="1825"/>
        <v>0</v>
      </c>
      <c r="O913" s="13">
        <f t="shared" si="1825"/>
        <v>0</v>
      </c>
      <c r="P913" s="13">
        <f t="shared" si="1825"/>
        <v>0</v>
      </c>
      <c r="Q913" s="13">
        <f t="shared" si="1825"/>
        <v>0</v>
      </c>
      <c r="R913" s="13">
        <f t="shared" si="1825"/>
        <v>0</v>
      </c>
      <c r="S913" s="13">
        <f t="shared" si="1825"/>
        <v>0</v>
      </c>
      <c r="T913" s="13">
        <f t="shared" si="1825"/>
        <v>0</v>
      </c>
      <c r="U913" s="13">
        <f t="shared" si="1825"/>
        <v>0</v>
      </c>
      <c r="V913" s="13">
        <f t="shared" si="1825"/>
        <v>0</v>
      </c>
      <c r="W913" s="13">
        <f t="shared" si="1825"/>
        <v>0</v>
      </c>
      <c r="X913" s="13">
        <f t="shared" si="1825"/>
        <v>0</v>
      </c>
      <c r="Y913" s="13">
        <f t="shared" si="1825"/>
        <v>0</v>
      </c>
      <c r="Z913" s="13">
        <f t="shared" si="1825"/>
        <v>0</v>
      </c>
      <c r="AA913" s="13">
        <f t="shared" si="1825"/>
        <v>1</v>
      </c>
      <c r="AB913" s="13">
        <f t="shared" ref="AB913:AP913" si="1826">IFERROR(VALUE(RIGHT(LEFT($J913,FIND(AB$1,$J913,IF(M913=0,1,FIND(AB$1,$J913,1)+1))+LEN(AB$1)),1)),0)</f>
        <v>0</v>
      </c>
      <c r="AC913" s="13">
        <f t="shared" si="1826"/>
        <v>1</v>
      </c>
      <c r="AD913" s="13">
        <f t="shared" si="1826"/>
        <v>0</v>
      </c>
      <c r="AE913" s="13">
        <f t="shared" si="1826"/>
        <v>0</v>
      </c>
      <c r="AF913" s="13">
        <f t="shared" si="1826"/>
        <v>0</v>
      </c>
      <c r="AG913" s="13">
        <f t="shared" si="1826"/>
        <v>0</v>
      </c>
      <c r="AH913" s="13">
        <f t="shared" si="1826"/>
        <v>0</v>
      </c>
      <c r="AI913" s="13">
        <f t="shared" si="1826"/>
        <v>0</v>
      </c>
      <c r="AJ913" s="13">
        <f t="shared" si="1826"/>
        <v>0</v>
      </c>
      <c r="AK913" s="13">
        <f t="shared" si="1826"/>
        <v>0</v>
      </c>
      <c r="AL913" s="13">
        <f t="shared" si="1826"/>
        <v>0</v>
      </c>
      <c r="AM913" s="13">
        <f t="shared" si="1826"/>
        <v>0</v>
      </c>
      <c r="AN913" s="13">
        <f t="shared" si="1826"/>
        <v>0</v>
      </c>
      <c r="AO913" s="13">
        <f t="shared" si="1826"/>
        <v>0</v>
      </c>
      <c r="AP913" s="13">
        <f t="shared" si="1826"/>
        <v>1</v>
      </c>
      <c r="AQ913" s="13"/>
      <c r="AR913" s="13" t="s">
        <v>5468</v>
      </c>
      <c r="AS913" s="13" t="s">
        <v>5469</v>
      </c>
      <c r="AT913" s="13" t="s">
        <v>5354</v>
      </c>
      <c r="AU913" s="13" t="s">
        <v>1398</v>
      </c>
      <c r="AV913" s="13" t="s">
        <v>5470</v>
      </c>
      <c r="AW913" s="13">
        <v>18.0</v>
      </c>
      <c r="AX913" s="13">
        <v>17.0</v>
      </c>
      <c r="AY913" s="13">
        <v>0.0</v>
      </c>
      <c r="AZ913" s="13" t="s">
        <v>5471</v>
      </c>
      <c r="BA913" s="13" t="s">
        <v>5472</v>
      </c>
      <c r="BB913" s="13"/>
      <c r="BC913" s="13"/>
      <c r="BD913" s="13" t="s">
        <v>294</v>
      </c>
      <c r="BE913" s="13" t="s">
        <v>5473</v>
      </c>
      <c r="BF913" s="13" t="s">
        <v>2269</v>
      </c>
      <c r="BG913" s="13"/>
      <c r="BH913" s="13" t="s">
        <v>241</v>
      </c>
      <c r="BI913" s="13" t="b">
        <v>0</v>
      </c>
      <c r="BJ913" s="13">
        <v>0.0</v>
      </c>
      <c r="BK913" s="13">
        <v>0.0</v>
      </c>
    </row>
    <row r="914" ht="14.25" customHeight="1">
      <c r="A914" s="13">
        <v>912.0</v>
      </c>
      <c r="B914" s="13" t="s">
        <v>50</v>
      </c>
      <c r="C914" s="13">
        <v>3.0</v>
      </c>
      <c r="D914" s="14">
        <v>0.0</v>
      </c>
      <c r="E914" s="13" t="s">
        <v>5474</v>
      </c>
      <c r="F914" s="15" t="s">
        <v>5371</v>
      </c>
      <c r="G914" s="16" t="s">
        <v>5475</v>
      </c>
      <c r="H914" s="13">
        <v>18.0</v>
      </c>
      <c r="I914" s="13">
        <v>1.0</v>
      </c>
      <c r="J914" s="13" t="s">
        <v>1788</v>
      </c>
      <c r="K914" s="13">
        <f t="shared" si="3"/>
        <v>1</v>
      </c>
      <c r="L914" s="13">
        <f t="shared" si="4"/>
        <v>2</v>
      </c>
      <c r="M914" s="13">
        <f t="shared" ref="M914:AA914" si="1827">IFERROR(VALUE(RIGHT(LEFT($J914,FIND(M$1,$J914,1)+LEN(M$1)),1)),0)</f>
        <v>0</v>
      </c>
      <c r="N914" s="13">
        <f t="shared" si="1827"/>
        <v>0</v>
      </c>
      <c r="O914" s="13">
        <f t="shared" si="1827"/>
        <v>0</v>
      </c>
      <c r="P914" s="13">
        <f t="shared" si="1827"/>
        <v>0</v>
      </c>
      <c r="Q914" s="13">
        <f t="shared" si="1827"/>
        <v>0</v>
      </c>
      <c r="R914" s="13">
        <f t="shared" si="1827"/>
        <v>0</v>
      </c>
      <c r="S914" s="13">
        <f t="shared" si="1827"/>
        <v>0</v>
      </c>
      <c r="T914" s="13">
        <f t="shared" si="1827"/>
        <v>0</v>
      </c>
      <c r="U914" s="13">
        <f t="shared" si="1827"/>
        <v>0</v>
      </c>
      <c r="V914" s="13">
        <f t="shared" si="1827"/>
        <v>0</v>
      </c>
      <c r="W914" s="13">
        <f t="shared" si="1827"/>
        <v>0</v>
      </c>
      <c r="X914" s="13">
        <f t="shared" si="1827"/>
        <v>0</v>
      </c>
      <c r="Y914" s="13">
        <f t="shared" si="1827"/>
        <v>1</v>
      </c>
      <c r="Z914" s="13">
        <f t="shared" si="1827"/>
        <v>0</v>
      </c>
      <c r="AA914" s="13">
        <f t="shared" si="1827"/>
        <v>0</v>
      </c>
      <c r="AB914" s="13">
        <f t="shared" ref="AB914:AP914" si="1828">IFERROR(VALUE(RIGHT(LEFT($J914,FIND(AB$1,$J914,IF(M914=0,1,FIND(AB$1,$J914,1)+1))+LEN(AB$1)),1)),0)</f>
        <v>0</v>
      </c>
      <c r="AC914" s="13">
        <f t="shared" si="1828"/>
        <v>0</v>
      </c>
      <c r="AD914" s="13">
        <f t="shared" si="1828"/>
        <v>0</v>
      </c>
      <c r="AE914" s="13">
        <f t="shared" si="1828"/>
        <v>1</v>
      </c>
      <c r="AF914" s="13">
        <f t="shared" si="1828"/>
        <v>0</v>
      </c>
      <c r="AG914" s="13">
        <f t="shared" si="1828"/>
        <v>0</v>
      </c>
      <c r="AH914" s="13">
        <f t="shared" si="1828"/>
        <v>0</v>
      </c>
      <c r="AI914" s="13">
        <f t="shared" si="1828"/>
        <v>0</v>
      </c>
      <c r="AJ914" s="13">
        <f t="shared" si="1828"/>
        <v>0</v>
      </c>
      <c r="AK914" s="13">
        <f t="shared" si="1828"/>
        <v>0</v>
      </c>
      <c r="AL914" s="13">
        <f t="shared" si="1828"/>
        <v>0</v>
      </c>
      <c r="AM914" s="13">
        <f t="shared" si="1828"/>
        <v>0</v>
      </c>
      <c r="AN914" s="13">
        <f t="shared" si="1828"/>
        <v>1</v>
      </c>
      <c r="AO914" s="13">
        <f t="shared" si="1828"/>
        <v>0</v>
      </c>
      <c r="AP914" s="13">
        <f t="shared" si="1828"/>
        <v>0</v>
      </c>
      <c r="AQ914" s="13"/>
      <c r="AR914" s="13" t="s">
        <v>5476</v>
      </c>
      <c r="AS914" s="13" t="s">
        <v>5477</v>
      </c>
      <c r="AT914" s="13" t="s">
        <v>162</v>
      </c>
      <c r="AU914" s="13" t="s">
        <v>236</v>
      </c>
      <c r="AV914" s="13" t="s">
        <v>5478</v>
      </c>
      <c r="AW914" s="13">
        <v>16.0</v>
      </c>
      <c r="AX914" s="13">
        <v>17.0</v>
      </c>
      <c r="AY914" s="13">
        <v>0.0</v>
      </c>
      <c r="AZ914" s="13" t="s">
        <v>5479</v>
      </c>
      <c r="BA914" s="13" t="s">
        <v>2921</v>
      </c>
      <c r="BB914" s="13"/>
      <c r="BC914" s="13"/>
      <c r="BD914" s="13" t="s">
        <v>239</v>
      </c>
      <c r="BE914" s="13"/>
      <c r="BF914" s="13" t="s">
        <v>1215</v>
      </c>
      <c r="BG914" s="13" t="s">
        <v>50</v>
      </c>
      <c r="BH914" s="13" t="s">
        <v>241</v>
      </c>
      <c r="BI914" s="13" t="b">
        <v>0</v>
      </c>
      <c r="BJ914" s="13">
        <v>0.0</v>
      </c>
      <c r="BK914" s="13">
        <v>0.0</v>
      </c>
    </row>
    <row r="915" ht="14.25" customHeight="1">
      <c r="A915" s="13">
        <v>913.0</v>
      </c>
      <c r="B915" s="13" t="s">
        <v>46</v>
      </c>
      <c r="C915" s="13">
        <v>4.0</v>
      </c>
      <c r="D915" s="14">
        <v>0.0</v>
      </c>
      <c r="E915" s="13" t="s">
        <v>5480</v>
      </c>
      <c r="F915" s="15" t="s">
        <v>5371</v>
      </c>
      <c r="G915" s="16" t="s">
        <v>5481</v>
      </c>
      <c r="H915" s="13"/>
      <c r="I915" s="13">
        <v>1.2</v>
      </c>
      <c r="J915" s="13" t="s">
        <v>5482</v>
      </c>
      <c r="K915" s="13">
        <f t="shared" si="3"/>
        <v>3</v>
      </c>
      <c r="L915" s="13">
        <f t="shared" si="4"/>
        <v>0</v>
      </c>
      <c r="M915" s="13">
        <f t="shared" ref="M915:AA915" si="1829">IFERROR(VALUE(RIGHT(LEFT($J915,FIND(M$1,$J915,1)+LEN(M$1)),1)),0)</f>
        <v>0</v>
      </c>
      <c r="N915" s="13">
        <f t="shared" si="1829"/>
        <v>0</v>
      </c>
      <c r="O915" s="13">
        <f t="shared" si="1829"/>
        <v>1</v>
      </c>
      <c r="P915" s="13">
        <f t="shared" si="1829"/>
        <v>2</v>
      </c>
      <c r="Q915" s="13">
        <f t="shared" si="1829"/>
        <v>0</v>
      </c>
      <c r="R915" s="13">
        <f t="shared" si="1829"/>
        <v>0</v>
      </c>
      <c r="S915" s="13">
        <f t="shared" si="1829"/>
        <v>0</v>
      </c>
      <c r="T915" s="13">
        <f t="shared" si="1829"/>
        <v>0</v>
      </c>
      <c r="U915" s="13">
        <f t="shared" si="1829"/>
        <v>0</v>
      </c>
      <c r="V915" s="13">
        <f t="shared" si="1829"/>
        <v>0</v>
      </c>
      <c r="W915" s="13">
        <f t="shared" si="1829"/>
        <v>0</v>
      </c>
      <c r="X915" s="13">
        <f t="shared" si="1829"/>
        <v>0</v>
      </c>
      <c r="Y915" s="13">
        <f t="shared" si="1829"/>
        <v>0</v>
      </c>
      <c r="Z915" s="13">
        <f t="shared" si="1829"/>
        <v>0</v>
      </c>
      <c r="AA915" s="13">
        <f t="shared" si="1829"/>
        <v>0</v>
      </c>
      <c r="AB915" s="13">
        <f t="shared" ref="AB915:AP915" si="1830">IFERROR(VALUE(RIGHT(LEFT($J915,FIND(AB$1,$J915,IF(M915=0,1,FIND(AB$1,$J915,1)+1))+LEN(AB$1)),1)),0)</f>
        <v>0</v>
      </c>
      <c r="AC915" s="13">
        <f t="shared" si="1830"/>
        <v>0</v>
      </c>
      <c r="AD915" s="13">
        <f t="shared" si="1830"/>
        <v>0</v>
      </c>
      <c r="AE915" s="13">
        <f t="shared" si="1830"/>
        <v>0</v>
      </c>
      <c r="AF915" s="13">
        <f t="shared" si="1830"/>
        <v>0</v>
      </c>
      <c r="AG915" s="13">
        <f t="shared" si="1830"/>
        <v>0</v>
      </c>
      <c r="AH915" s="13">
        <f t="shared" si="1830"/>
        <v>0</v>
      </c>
      <c r="AI915" s="13">
        <f t="shared" si="1830"/>
        <v>0</v>
      </c>
      <c r="AJ915" s="13">
        <f t="shared" si="1830"/>
        <v>0</v>
      </c>
      <c r="AK915" s="13">
        <f t="shared" si="1830"/>
        <v>0</v>
      </c>
      <c r="AL915" s="13">
        <f t="shared" si="1830"/>
        <v>0</v>
      </c>
      <c r="AM915" s="13">
        <f t="shared" si="1830"/>
        <v>0</v>
      </c>
      <c r="AN915" s="13">
        <f t="shared" si="1830"/>
        <v>0</v>
      </c>
      <c r="AO915" s="13">
        <f t="shared" si="1830"/>
        <v>0</v>
      </c>
      <c r="AP915" s="13">
        <f t="shared" si="1830"/>
        <v>0</v>
      </c>
      <c r="AQ915" s="13" t="s">
        <v>5483</v>
      </c>
      <c r="AR915" s="13"/>
      <c r="AS915" s="13" t="s">
        <v>5484</v>
      </c>
      <c r="AT915" s="13"/>
      <c r="AU915" s="13"/>
      <c r="AV915" s="13"/>
      <c r="AW915" s="13">
        <v>0.0</v>
      </c>
      <c r="AX915" s="13">
        <v>17.0</v>
      </c>
      <c r="AY915" s="13">
        <v>0.0</v>
      </c>
      <c r="AZ915" s="13"/>
      <c r="BA915" s="13"/>
      <c r="BB915" s="13"/>
      <c r="BC915" s="13"/>
      <c r="BD915" s="13"/>
      <c r="BE915" s="13"/>
      <c r="BF915" s="13"/>
      <c r="BG915" s="13"/>
      <c r="BH915" s="13" t="s">
        <v>79</v>
      </c>
      <c r="BI915" s="13" t="b">
        <v>0</v>
      </c>
      <c r="BJ915" s="13">
        <v>0.0</v>
      </c>
      <c r="BK915" s="13">
        <v>0.0</v>
      </c>
    </row>
    <row r="916" ht="14.25" customHeight="1">
      <c r="A916" s="13">
        <v>914.0</v>
      </c>
      <c r="B916" s="13" t="s">
        <v>52</v>
      </c>
      <c r="C916" s="13">
        <v>4.0</v>
      </c>
      <c r="D916" s="14">
        <v>0.0</v>
      </c>
      <c r="E916" s="13" t="s">
        <v>5485</v>
      </c>
      <c r="F916" s="15" t="s">
        <v>5371</v>
      </c>
      <c r="G916" s="16" t="s">
        <v>5486</v>
      </c>
      <c r="H916" s="13">
        <v>23.0</v>
      </c>
      <c r="I916" s="13">
        <v>1.1</v>
      </c>
      <c r="J916" s="13" t="s">
        <v>4133</v>
      </c>
      <c r="K916" s="13">
        <f t="shared" si="3"/>
        <v>2</v>
      </c>
      <c r="L916" s="13">
        <f t="shared" si="4"/>
        <v>2</v>
      </c>
      <c r="M916" s="13">
        <f t="shared" ref="M916:AA916" si="1831">IFERROR(VALUE(RIGHT(LEFT($J916,FIND(M$1,$J916,1)+LEN(M$1)),1)),0)</f>
        <v>0</v>
      </c>
      <c r="N916" s="13">
        <f t="shared" si="1831"/>
        <v>0</v>
      </c>
      <c r="O916" s="13">
        <f t="shared" si="1831"/>
        <v>2</v>
      </c>
      <c r="P916" s="13">
        <f t="shared" si="1831"/>
        <v>0</v>
      </c>
      <c r="Q916" s="13">
        <f t="shared" si="1831"/>
        <v>0</v>
      </c>
      <c r="R916" s="13">
        <f t="shared" si="1831"/>
        <v>0</v>
      </c>
      <c r="S916" s="13">
        <f t="shared" si="1831"/>
        <v>0</v>
      </c>
      <c r="T916" s="13">
        <f t="shared" si="1831"/>
        <v>0</v>
      </c>
      <c r="U916" s="13">
        <f t="shared" si="1831"/>
        <v>0</v>
      </c>
      <c r="V916" s="13">
        <f t="shared" si="1831"/>
        <v>0</v>
      </c>
      <c r="W916" s="13">
        <f t="shared" si="1831"/>
        <v>0</v>
      </c>
      <c r="X916" s="13">
        <f t="shared" si="1831"/>
        <v>0</v>
      </c>
      <c r="Y916" s="13">
        <f t="shared" si="1831"/>
        <v>0</v>
      </c>
      <c r="Z916" s="13">
        <f t="shared" si="1831"/>
        <v>0</v>
      </c>
      <c r="AA916" s="13">
        <f t="shared" si="1831"/>
        <v>0</v>
      </c>
      <c r="AB916" s="13">
        <f t="shared" ref="AB916:AP916" si="1832">IFERROR(VALUE(RIGHT(LEFT($J916,FIND(AB$1,$J916,IF(M916=0,1,FIND(AB$1,$J916,1)+1))+LEN(AB$1)),1)),0)</f>
        <v>0</v>
      </c>
      <c r="AC916" s="13">
        <f t="shared" si="1832"/>
        <v>0</v>
      </c>
      <c r="AD916" s="13">
        <f t="shared" si="1832"/>
        <v>1</v>
      </c>
      <c r="AE916" s="13">
        <f t="shared" si="1832"/>
        <v>0</v>
      </c>
      <c r="AF916" s="13">
        <f t="shared" si="1832"/>
        <v>0</v>
      </c>
      <c r="AG916" s="13">
        <f t="shared" si="1832"/>
        <v>0</v>
      </c>
      <c r="AH916" s="13">
        <f t="shared" si="1832"/>
        <v>0</v>
      </c>
      <c r="AI916" s="13">
        <f t="shared" si="1832"/>
        <v>0</v>
      </c>
      <c r="AJ916" s="13">
        <f t="shared" si="1832"/>
        <v>0</v>
      </c>
      <c r="AK916" s="13">
        <f t="shared" si="1832"/>
        <v>0</v>
      </c>
      <c r="AL916" s="13">
        <f t="shared" si="1832"/>
        <v>0</v>
      </c>
      <c r="AM916" s="13">
        <f t="shared" si="1832"/>
        <v>0</v>
      </c>
      <c r="AN916" s="13">
        <f t="shared" si="1832"/>
        <v>0</v>
      </c>
      <c r="AO916" s="13">
        <f t="shared" si="1832"/>
        <v>0</v>
      </c>
      <c r="AP916" s="13">
        <f t="shared" si="1832"/>
        <v>1</v>
      </c>
      <c r="AQ916" s="13"/>
      <c r="AR916" s="13" t="s">
        <v>5487</v>
      </c>
      <c r="AS916" s="13" t="s">
        <v>5488</v>
      </c>
      <c r="AT916" s="13" t="s">
        <v>5489</v>
      </c>
      <c r="AU916" s="13" t="s">
        <v>4153</v>
      </c>
      <c r="AV916" s="13" t="s">
        <v>5490</v>
      </c>
      <c r="AW916" s="13">
        <v>19.0</v>
      </c>
      <c r="AX916" s="13">
        <v>17.0</v>
      </c>
      <c r="AY916" s="13">
        <v>0.0</v>
      </c>
      <c r="AZ916" s="13" t="s">
        <v>5491</v>
      </c>
      <c r="BA916" s="13" t="s">
        <v>5492</v>
      </c>
      <c r="BB916" s="13"/>
      <c r="BC916" s="13"/>
      <c r="BD916" s="13" t="s">
        <v>306</v>
      </c>
      <c r="BE916" s="13" t="s">
        <v>5493</v>
      </c>
      <c r="BF916" s="13" t="s">
        <v>5494</v>
      </c>
      <c r="BG916" s="13"/>
      <c r="BH916" s="13" t="s">
        <v>79</v>
      </c>
      <c r="BI916" s="13" t="b">
        <v>0</v>
      </c>
      <c r="BJ916" s="13">
        <v>0.0</v>
      </c>
      <c r="BK916" s="13">
        <v>0.0</v>
      </c>
    </row>
    <row r="917" ht="14.25" customHeight="1">
      <c r="A917" s="13">
        <v>915.0</v>
      </c>
      <c r="B917" s="13" t="s">
        <v>52</v>
      </c>
      <c r="C917" s="13">
        <v>4.0</v>
      </c>
      <c r="D917" s="14">
        <v>0.0</v>
      </c>
      <c r="E917" s="13" t="s">
        <v>5495</v>
      </c>
      <c r="F917" s="15" t="s">
        <v>5371</v>
      </c>
      <c r="G917" s="16" t="s">
        <v>5496</v>
      </c>
      <c r="H917" s="13">
        <v>24.0</v>
      </c>
      <c r="I917" s="13">
        <v>1.1</v>
      </c>
      <c r="J917" s="13" t="s">
        <v>2081</v>
      </c>
      <c r="K917" s="13">
        <f t="shared" si="3"/>
        <v>2</v>
      </c>
      <c r="L917" s="13">
        <f t="shared" si="4"/>
        <v>2</v>
      </c>
      <c r="M917" s="13">
        <f t="shared" ref="M917:AA917" si="1833">IFERROR(VALUE(RIGHT(LEFT($J917,FIND(M$1,$J917,1)+LEN(M$1)),1)),0)</f>
        <v>0</v>
      </c>
      <c r="N917" s="13">
        <f t="shared" si="1833"/>
        <v>0</v>
      </c>
      <c r="O917" s="13">
        <f t="shared" si="1833"/>
        <v>0</v>
      </c>
      <c r="P917" s="13">
        <f t="shared" si="1833"/>
        <v>0</v>
      </c>
      <c r="Q917" s="13">
        <f t="shared" si="1833"/>
        <v>0</v>
      </c>
      <c r="R917" s="13">
        <f t="shared" si="1833"/>
        <v>0</v>
      </c>
      <c r="S917" s="13">
        <f t="shared" si="1833"/>
        <v>0</v>
      </c>
      <c r="T917" s="13">
        <f t="shared" si="1833"/>
        <v>0</v>
      </c>
      <c r="U917" s="13">
        <f t="shared" si="1833"/>
        <v>0</v>
      </c>
      <c r="V917" s="13">
        <f t="shared" si="1833"/>
        <v>0</v>
      </c>
      <c r="W917" s="13">
        <f t="shared" si="1833"/>
        <v>0</v>
      </c>
      <c r="X917" s="13">
        <f t="shared" si="1833"/>
        <v>0</v>
      </c>
      <c r="Y917" s="13">
        <f t="shared" si="1833"/>
        <v>0</v>
      </c>
      <c r="Z917" s="13">
        <f t="shared" si="1833"/>
        <v>0</v>
      </c>
      <c r="AA917" s="13">
        <f t="shared" si="1833"/>
        <v>2</v>
      </c>
      <c r="AB917" s="13">
        <f t="shared" ref="AB917:AP917" si="1834">IFERROR(VALUE(RIGHT(LEFT($J917,FIND(AB$1,$J917,IF(M917=0,1,FIND(AB$1,$J917,1)+1))+LEN(AB$1)),1)),0)</f>
        <v>0</v>
      </c>
      <c r="AC917" s="13">
        <f t="shared" si="1834"/>
        <v>1</v>
      </c>
      <c r="AD917" s="13">
        <f t="shared" si="1834"/>
        <v>0</v>
      </c>
      <c r="AE917" s="13">
        <f t="shared" si="1834"/>
        <v>0</v>
      </c>
      <c r="AF917" s="13">
        <f t="shared" si="1834"/>
        <v>0</v>
      </c>
      <c r="AG917" s="13">
        <f t="shared" si="1834"/>
        <v>0</v>
      </c>
      <c r="AH917" s="13">
        <f t="shared" si="1834"/>
        <v>0</v>
      </c>
      <c r="AI917" s="13">
        <f t="shared" si="1834"/>
        <v>0</v>
      </c>
      <c r="AJ917" s="13">
        <f t="shared" si="1834"/>
        <v>0</v>
      </c>
      <c r="AK917" s="13">
        <f t="shared" si="1834"/>
        <v>0</v>
      </c>
      <c r="AL917" s="13">
        <f t="shared" si="1834"/>
        <v>0</v>
      </c>
      <c r="AM917" s="13">
        <f t="shared" si="1834"/>
        <v>0</v>
      </c>
      <c r="AN917" s="13">
        <f t="shared" si="1834"/>
        <v>0</v>
      </c>
      <c r="AO917" s="13">
        <f t="shared" si="1834"/>
        <v>0</v>
      </c>
      <c r="AP917" s="13">
        <f t="shared" si="1834"/>
        <v>1</v>
      </c>
      <c r="AQ917" s="13"/>
      <c r="AR917" s="13" t="s">
        <v>5497</v>
      </c>
      <c r="AS917" s="13" t="s">
        <v>5498</v>
      </c>
      <c r="AT917" s="13" t="s">
        <v>2572</v>
      </c>
      <c r="AU917" s="13" t="s">
        <v>1398</v>
      </c>
      <c r="AV917" s="13" t="s">
        <v>5499</v>
      </c>
      <c r="AW917" s="13">
        <v>22.0</v>
      </c>
      <c r="AX917" s="13">
        <v>17.0</v>
      </c>
      <c r="AY917" s="13">
        <v>0.0</v>
      </c>
      <c r="AZ917" s="13" t="s">
        <v>5500</v>
      </c>
      <c r="BA917" s="13" t="s">
        <v>5501</v>
      </c>
      <c r="BB917" s="13"/>
      <c r="BC917" s="13"/>
      <c r="BD917" s="13" t="s">
        <v>294</v>
      </c>
      <c r="BE917" s="13" t="s">
        <v>5502</v>
      </c>
      <c r="BF917" s="13" t="s">
        <v>5503</v>
      </c>
      <c r="BG917" s="13"/>
      <c r="BH917" s="13" t="s">
        <v>241</v>
      </c>
      <c r="BI917" s="13" t="b">
        <v>0</v>
      </c>
      <c r="BJ917" s="13">
        <v>0.0</v>
      </c>
      <c r="BK917" s="13">
        <v>0.0</v>
      </c>
    </row>
    <row r="918" ht="14.25" customHeight="1">
      <c r="A918" s="13">
        <v>916.0</v>
      </c>
      <c r="B918" s="13" t="s">
        <v>50</v>
      </c>
      <c r="C918" s="13">
        <v>4.0</v>
      </c>
      <c r="D918" s="14">
        <v>0.0</v>
      </c>
      <c r="E918" s="13" t="s">
        <v>5504</v>
      </c>
      <c r="F918" s="15" t="s">
        <v>5371</v>
      </c>
      <c r="G918" s="16" t="s">
        <v>5505</v>
      </c>
      <c r="H918" s="13">
        <v>20.0</v>
      </c>
      <c r="I918" s="13">
        <v>1.0</v>
      </c>
      <c r="J918" s="13" t="s">
        <v>5506</v>
      </c>
      <c r="K918" s="13">
        <f t="shared" si="3"/>
        <v>2</v>
      </c>
      <c r="L918" s="13">
        <f t="shared" si="4"/>
        <v>2</v>
      </c>
      <c r="M918" s="13">
        <f t="shared" ref="M918:AA918" si="1835">IFERROR(VALUE(RIGHT(LEFT($J918,FIND(M$1,$J918,1)+LEN(M$1)),1)),0)</f>
        <v>0</v>
      </c>
      <c r="N918" s="13">
        <f t="shared" si="1835"/>
        <v>0</v>
      </c>
      <c r="O918" s="13">
        <f t="shared" si="1835"/>
        <v>0</v>
      </c>
      <c r="P918" s="13">
        <f t="shared" si="1835"/>
        <v>1</v>
      </c>
      <c r="Q918" s="13">
        <f t="shared" si="1835"/>
        <v>0</v>
      </c>
      <c r="R918" s="13">
        <f t="shared" si="1835"/>
        <v>0</v>
      </c>
      <c r="S918" s="13">
        <f t="shared" si="1835"/>
        <v>0</v>
      </c>
      <c r="T918" s="13">
        <f t="shared" si="1835"/>
        <v>0</v>
      </c>
      <c r="U918" s="13">
        <f t="shared" si="1835"/>
        <v>0</v>
      </c>
      <c r="V918" s="13">
        <f t="shared" si="1835"/>
        <v>0</v>
      </c>
      <c r="W918" s="13">
        <f t="shared" si="1835"/>
        <v>0</v>
      </c>
      <c r="X918" s="13">
        <f t="shared" si="1835"/>
        <v>0</v>
      </c>
      <c r="Y918" s="13">
        <f t="shared" si="1835"/>
        <v>1</v>
      </c>
      <c r="Z918" s="13">
        <f t="shared" si="1835"/>
        <v>0</v>
      </c>
      <c r="AA918" s="13">
        <f t="shared" si="1835"/>
        <v>0</v>
      </c>
      <c r="AB918" s="13">
        <f t="shared" ref="AB918:AP918" si="1836">IFERROR(VALUE(RIGHT(LEFT($J918,FIND(AB$1,$J918,IF(M918=0,1,FIND(AB$1,$J918,1)+1))+LEN(AB$1)),1)),0)</f>
        <v>0</v>
      </c>
      <c r="AC918" s="13">
        <f t="shared" si="1836"/>
        <v>0</v>
      </c>
      <c r="AD918" s="13">
        <f t="shared" si="1836"/>
        <v>0</v>
      </c>
      <c r="AE918" s="13">
        <f t="shared" si="1836"/>
        <v>1</v>
      </c>
      <c r="AF918" s="13">
        <f t="shared" si="1836"/>
        <v>0</v>
      </c>
      <c r="AG918" s="13">
        <f t="shared" si="1836"/>
        <v>0</v>
      </c>
      <c r="AH918" s="13">
        <f t="shared" si="1836"/>
        <v>0</v>
      </c>
      <c r="AI918" s="13">
        <f t="shared" si="1836"/>
        <v>0</v>
      </c>
      <c r="AJ918" s="13">
        <f t="shared" si="1836"/>
        <v>0</v>
      </c>
      <c r="AK918" s="13">
        <f t="shared" si="1836"/>
        <v>0</v>
      </c>
      <c r="AL918" s="13">
        <f t="shared" si="1836"/>
        <v>0</v>
      </c>
      <c r="AM918" s="13">
        <f t="shared" si="1836"/>
        <v>0</v>
      </c>
      <c r="AN918" s="13">
        <f t="shared" si="1836"/>
        <v>1</v>
      </c>
      <c r="AO918" s="13">
        <f t="shared" si="1836"/>
        <v>0</v>
      </c>
      <c r="AP918" s="13">
        <f t="shared" si="1836"/>
        <v>0</v>
      </c>
      <c r="AQ918" s="13"/>
      <c r="AR918" s="13" t="s">
        <v>5507</v>
      </c>
      <c r="AS918" s="13" t="s">
        <v>5508</v>
      </c>
      <c r="AT918" s="13" t="s">
        <v>162</v>
      </c>
      <c r="AU918" s="13" t="s">
        <v>195</v>
      </c>
      <c r="AV918" s="13" t="s">
        <v>5509</v>
      </c>
      <c r="AW918" s="13">
        <v>20.0</v>
      </c>
      <c r="AX918" s="13">
        <v>17.0</v>
      </c>
      <c r="AY918" s="13">
        <v>0.0</v>
      </c>
      <c r="AZ918" s="13" t="s">
        <v>1638</v>
      </c>
      <c r="BA918" s="13" t="s">
        <v>5510</v>
      </c>
      <c r="BB918" s="13"/>
      <c r="BC918" s="13"/>
      <c r="BD918" s="13" t="s">
        <v>239</v>
      </c>
      <c r="BE918" s="13"/>
      <c r="BF918" s="13" t="s">
        <v>4862</v>
      </c>
      <c r="BG918" s="13" t="s">
        <v>50</v>
      </c>
      <c r="BH918" s="13" t="s">
        <v>241</v>
      </c>
      <c r="BI918" s="13" t="b">
        <v>0</v>
      </c>
      <c r="BJ918" s="13">
        <v>0.0</v>
      </c>
      <c r="BK918" s="13">
        <v>0.0</v>
      </c>
    </row>
    <row r="919" ht="14.25" customHeight="1">
      <c r="A919" s="13">
        <v>917.0</v>
      </c>
      <c r="B919" s="13" t="s">
        <v>52</v>
      </c>
      <c r="C919" s="13">
        <v>5.0</v>
      </c>
      <c r="D919" s="14">
        <v>0.0</v>
      </c>
      <c r="E919" s="13" t="s">
        <v>5511</v>
      </c>
      <c r="F919" s="15" t="s">
        <v>5371</v>
      </c>
      <c r="G919" s="16" t="s">
        <v>5512</v>
      </c>
      <c r="H919" s="13">
        <v>30.0</v>
      </c>
      <c r="I919" s="13">
        <v>1.3</v>
      </c>
      <c r="J919" s="13" t="s">
        <v>5513</v>
      </c>
      <c r="K919" s="13">
        <f t="shared" si="3"/>
        <v>3</v>
      </c>
      <c r="L919" s="13">
        <f t="shared" si="4"/>
        <v>0</v>
      </c>
      <c r="M919" s="13">
        <f t="shared" ref="M919:AA919" si="1837">IFERROR(VALUE(RIGHT(LEFT($J919,FIND(M$1,$J919,1)+LEN(M$1)),1)),0)</f>
        <v>0</v>
      </c>
      <c r="N919" s="13">
        <f t="shared" si="1837"/>
        <v>0</v>
      </c>
      <c r="O919" s="13">
        <f t="shared" si="1837"/>
        <v>1</v>
      </c>
      <c r="P919" s="13">
        <f t="shared" si="1837"/>
        <v>1</v>
      </c>
      <c r="Q919" s="13">
        <f t="shared" si="1837"/>
        <v>0</v>
      </c>
      <c r="R919" s="13">
        <f t="shared" si="1837"/>
        <v>0</v>
      </c>
      <c r="S919" s="13">
        <f t="shared" si="1837"/>
        <v>0</v>
      </c>
      <c r="T919" s="13">
        <f t="shared" si="1837"/>
        <v>0</v>
      </c>
      <c r="U919" s="13">
        <f t="shared" si="1837"/>
        <v>0</v>
      </c>
      <c r="V919" s="13">
        <f t="shared" si="1837"/>
        <v>0</v>
      </c>
      <c r="W919" s="13">
        <f t="shared" si="1837"/>
        <v>0</v>
      </c>
      <c r="X919" s="13">
        <f t="shared" si="1837"/>
        <v>0</v>
      </c>
      <c r="Y919" s="13">
        <f t="shared" si="1837"/>
        <v>0</v>
      </c>
      <c r="Z919" s="13">
        <f t="shared" si="1837"/>
        <v>0</v>
      </c>
      <c r="AA919" s="13">
        <f t="shared" si="1837"/>
        <v>1</v>
      </c>
      <c r="AB919" s="13">
        <f t="shared" ref="AB919:AP919" si="1838">IFERROR(VALUE(RIGHT(LEFT($J919,FIND(AB$1,$J919,IF(M919=0,1,FIND(AB$1,$J919,1)+1))+LEN(AB$1)),1)),0)</f>
        <v>0</v>
      </c>
      <c r="AC919" s="13">
        <f t="shared" si="1838"/>
        <v>0</v>
      </c>
      <c r="AD919" s="13">
        <f t="shared" si="1838"/>
        <v>0</v>
      </c>
      <c r="AE919" s="13">
        <f t="shared" si="1838"/>
        <v>0</v>
      </c>
      <c r="AF919" s="13">
        <f t="shared" si="1838"/>
        <v>0</v>
      </c>
      <c r="AG919" s="13">
        <f t="shared" si="1838"/>
        <v>0</v>
      </c>
      <c r="AH919" s="13">
        <f t="shared" si="1838"/>
        <v>0</v>
      </c>
      <c r="AI919" s="13">
        <f t="shared" si="1838"/>
        <v>0</v>
      </c>
      <c r="AJ919" s="13">
        <f t="shared" si="1838"/>
        <v>0</v>
      </c>
      <c r="AK919" s="13">
        <f t="shared" si="1838"/>
        <v>0</v>
      </c>
      <c r="AL919" s="13">
        <f t="shared" si="1838"/>
        <v>0</v>
      </c>
      <c r="AM919" s="13">
        <f t="shared" si="1838"/>
        <v>0</v>
      </c>
      <c r="AN919" s="13">
        <f t="shared" si="1838"/>
        <v>0</v>
      </c>
      <c r="AO919" s="13">
        <f t="shared" si="1838"/>
        <v>0</v>
      </c>
      <c r="AP919" s="13">
        <f t="shared" si="1838"/>
        <v>0</v>
      </c>
      <c r="AQ919" s="13"/>
      <c r="AR919" s="13" t="s">
        <v>5514</v>
      </c>
      <c r="AS919" s="13" t="s">
        <v>5515</v>
      </c>
      <c r="AT919" s="13" t="s">
        <v>5516</v>
      </c>
      <c r="AU919" s="13" t="s">
        <v>2637</v>
      </c>
      <c r="AV919" s="13" t="s">
        <v>5517</v>
      </c>
      <c r="AW919" s="13">
        <v>24.0</v>
      </c>
      <c r="AX919" s="13">
        <v>17.0</v>
      </c>
      <c r="AY919" s="13">
        <v>0.0</v>
      </c>
      <c r="AZ919" s="13" t="s">
        <v>5518</v>
      </c>
      <c r="BA919" s="13" t="s">
        <v>5519</v>
      </c>
      <c r="BB919" s="13"/>
      <c r="BC919" s="13"/>
      <c r="BD919" s="13" t="s">
        <v>306</v>
      </c>
      <c r="BE919" s="13" t="s">
        <v>5520</v>
      </c>
      <c r="BF919" s="13" t="s">
        <v>5521</v>
      </c>
      <c r="BG919" s="13"/>
      <c r="BH919" s="13" t="s">
        <v>241</v>
      </c>
      <c r="BI919" s="13" t="b">
        <v>0</v>
      </c>
      <c r="BJ919" s="13">
        <v>0.0</v>
      </c>
      <c r="BK919" s="13">
        <v>0.0</v>
      </c>
    </row>
    <row r="920" ht="14.25" customHeight="1">
      <c r="A920" s="13">
        <v>918.0</v>
      </c>
      <c r="B920" s="13" t="s">
        <v>44</v>
      </c>
      <c r="C920" s="13">
        <v>0.0</v>
      </c>
      <c r="D920" s="14">
        <v>0.0</v>
      </c>
      <c r="E920" s="13" t="s">
        <v>5522</v>
      </c>
      <c r="F920" s="15" t="s">
        <v>5523</v>
      </c>
      <c r="G920" s="16" t="s">
        <v>5524</v>
      </c>
      <c r="H920" s="13"/>
      <c r="I920" s="13">
        <v>1.0</v>
      </c>
      <c r="J920" s="13" t="s">
        <v>2185</v>
      </c>
      <c r="K920" s="13">
        <f t="shared" si="3"/>
        <v>0</v>
      </c>
      <c r="L920" s="13">
        <f t="shared" si="4"/>
        <v>1</v>
      </c>
      <c r="M920" s="13">
        <f t="shared" ref="M920:AA920" si="1839">IFERROR(VALUE(RIGHT(LEFT($J920,FIND(M$1,$J920,1)+LEN(M$1)),1)),0)</f>
        <v>0</v>
      </c>
      <c r="N920" s="13">
        <f t="shared" si="1839"/>
        <v>0</v>
      </c>
      <c r="O920" s="13">
        <f t="shared" si="1839"/>
        <v>0</v>
      </c>
      <c r="P920" s="13">
        <f t="shared" si="1839"/>
        <v>0</v>
      </c>
      <c r="Q920" s="13">
        <f t="shared" si="1839"/>
        <v>0</v>
      </c>
      <c r="R920" s="13">
        <f t="shared" si="1839"/>
        <v>0</v>
      </c>
      <c r="S920" s="13">
        <f t="shared" si="1839"/>
        <v>0</v>
      </c>
      <c r="T920" s="13">
        <f t="shared" si="1839"/>
        <v>0</v>
      </c>
      <c r="U920" s="13">
        <f t="shared" si="1839"/>
        <v>0</v>
      </c>
      <c r="V920" s="13">
        <f t="shared" si="1839"/>
        <v>0</v>
      </c>
      <c r="W920" s="13">
        <f t="shared" si="1839"/>
        <v>0</v>
      </c>
      <c r="X920" s="13">
        <f t="shared" si="1839"/>
        <v>0</v>
      </c>
      <c r="Y920" s="13">
        <f t="shared" si="1839"/>
        <v>0</v>
      </c>
      <c r="Z920" s="13">
        <f t="shared" si="1839"/>
        <v>0</v>
      </c>
      <c r="AA920" s="13">
        <f t="shared" si="1839"/>
        <v>0</v>
      </c>
      <c r="AB920" s="13">
        <f t="shared" ref="AB920:AP920" si="1840">IFERROR(VALUE(RIGHT(LEFT($J920,FIND(AB$1,$J920,IF(M920=0,1,FIND(AB$1,$J920,1)+1))+LEN(AB$1)),1)),0)</f>
        <v>0</v>
      </c>
      <c r="AC920" s="13">
        <f t="shared" si="1840"/>
        <v>0</v>
      </c>
      <c r="AD920" s="13">
        <f t="shared" si="1840"/>
        <v>0</v>
      </c>
      <c r="AE920" s="13">
        <f t="shared" si="1840"/>
        <v>0</v>
      </c>
      <c r="AF920" s="13">
        <f t="shared" si="1840"/>
        <v>0</v>
      </c>
      <c r="AG920" s="13">
        <f t="shared" si="1840"/>
        <v>0</v>
      </c>
      <c r="AH920" s="13">
        <f t="shared" si="1840"/>
        <v>1</v>
      </c>
      <c r="AI920" s="13">
        <f t="shared" si="1840"/>
        <v>0</v>
      </c>
      <c r="AJ920" s="13">
        <f t="shared" si="1840"/>
        <v>0</v>
      </c>
      <c r="AK920" s="13">
        <f t="shared" si="1840"/>
        <v>0</v>
      </c>
      <c r="AL920" s="13">
        <f t="shared" si="1840"/>
        <v>0</v>
      </c>
      <c r="AM920" s="13">
        <f t="shared" si="1840"/>
        <v>0</v>
      </c>
      <c r="AN920" s="13">
        <f t="shared" si="1840"/>
        <v>0</v>
      </c>
      <c r="AO920" s="13">
        <f t="shared" si="1840"/>
        <v>0</v>
      </c>
      <c r="AP920" s="13">
        <f t="shared" si="1840"/>
        <v>0</v>
      </c>
      <c r="AQ920" s="13" t="s">
        <v>5525</v>
      </c>
      <c r="AR920" s="13"/>
      <c r="AS920" s="13" t="s">
        <v>91</v>
      </c>
      <c r="AT920" s="13"/>
      <c r="AU920" s="13"/>
      <c r="AV920" s="13"/>
      <c r="AW920" s="13">
        <v>0.0</v>
      </c>
      <c r="AX920" s="13">
        <v>18.0</v>
      </c>
      <c r="AY920" s="13">
        <v>0.0</v>
      </c>
      <c r="AZ920" s="13"/>
      <c r="BA920" s="13"/>
      <c r="BB920" s="13"/>
      <c r="BC920" s="13"/>
      <c r="BD920" s="13"/>
      <c r="BE920" s="13"/>
      <c r="BF920" s="13"/>
      <c r="BG920" s="13"/>
      <c r="BH920" s="13" t="s">
        <v>79</v>
      </c>
      <c r="BI920" s="13" t="b">
        <v>0</v>
      </c>
      <c r="BJ920" s="13">
        <v>0.0</v>
      </c>
      <c r="BK920" s="13">
        <v>0.0</v>
      </c>
    </row>
    <row r="921" ht="14.25" customHeight="1">
      <c r="A921" s="13">
        <v>919.0</v>
      </c>
      <c r="B921" s="13" t="s">
        <v>45</v>
      </c>
      <c r="C921" s="13">
        <v>0.0</v>
      </c>
      <c r="D921" s="14">
        <v>0.0</v>
      </c>
      <c r="E921" s="13" t="s">
        <v>5526</v>
      </c>
      <c r="F921" s="15" t="s">
        <v>5523</v>
      </c>
      <c r="G921" s="16" t="s">
        <v>5527</v>
      </c>
      <c r="H921" s="13"/>
      <c r="I921" s="13">
        <v>0.9</v>
      </c>
      <c r="J921" s="13" t="s">
        <v>100</v>
      </c>
      <c r="K921" s="13">
        <f t="shared" si="3"/>
        <v>0</v>
      </c>
      <c r="L921" s="13">
        <f t="shared" si="4"/>
        <v>1</v>
      </c>
      <c r="M921" s="13">
        <f t="shared" ref="M921:AA921" si="1841">IFERROR(VALUE(RIGHT(LEFT($J921,FIND(M$1,$J921,1)+LEN(M$1)),1)),0)</f>
        <v>0</v>
      </c>
      <c r="N921" s="13">
        <f t="shared" si="1841"/>
        <v>0</v>
      </c>
      <c r="O921" s="13">
        <f t="shared" si="1841"/>
        <v>0</v>
      </c>
      <c r="P921" s="13">
        <f t="shared" si="1841"/>
        <v>0</v>
      </c>
      <c r="Q921" s="13">
        <f t="shared" si="1841"/>
        <v>0</v>
      </c>
      <c r="R921" s="13">
        <f t="shared" si="1841"/>
        <v>0</v>
      </c>
      <c r="S921" s="13">
        <f t="shared" si="1841"/>
        <v>0</v>
      </c>
      <c r="T921" s="13">
        <f t="shared" si="1841"/>
        <v>0</v>
      </c>
      <c r="U921" s="13">
        <f t="shared" si="1841"/>
        <v>0</v>
      </c>
      <c r="V921" s="13">
        <f t="shared" si="1841"/>
        <v>0</v>
      </c>
      <c r="W921" s="13">
        <f t="shared" si="1841"/>
        <v>0</v>
      </c>
      <c r="X921" s="13">
        <f t="shared" si="1841"/>
        <v>0</v>
      </c>
      <c r="Y921" s="13">
        <f t="shared" si="1841"/>
        <v>0</v>
      </c>
      <c r="Z921" s="13">
        <f t="shared" si="1841"/>
        <v>0</v>
      </c>
      <c r="AA921" s="13">
        <f t="shared" si="1841"/>
        <v>0</v>
      </c>
      <c r="AB921" s="13">
        <f t="shared" ref="AB921:AP921" si="1842">IFERROR(VALUE(RIGHT(LEFT($J921,FIND(AB$1,$J921,IF(M921=0,1,FIND(AB$1,$J921,1)+1))+LEN(AB$1)),1)),0)</f>
        <v>0</v>
      </c>
      <c r="AC921" s="13">
        <f t="shared" si="1842"/>
        <v>0</v>
      </c>
      <c r="AD921" s="13">
        <f t="shared" si="1842"/>
        <v>0</v>
      </c>
      <c r="AE921" s="13">
        <f t="shared" si="1842"/>
        <v>0</v>
      </c>
      <c r="AF921" s="13">
        <f t="shared" si="1842"/>
        <v>0</v>
      </c>
      <c r="AG921" s="13">
        <f t="shared" si="1842"/>
        <v>0</v>
      </c>
      <c r="AH921" s="13">
        <f t="shared" si="1842"/>
        <v>0</v>
      </c>
      <c r="AI921" s="13">
        <f t="shared" si="1842"/>
        <v>1</v>
      </c>
      <c r="AJ921" s="13">
        <f t="shared" si="1842"/>
        <v>0</v>
      </c>
      <c r="AK921" s="13">
        <f t="shared" si="1842"/>
        <v>0</v>
      </c>
      <c r="AL921" s="13">
        <f t="shared" si="1842"/>
        <v>0</v>
      </c>
      <c r="AM921" s="13">
        <f t="shared" si="1842"/>
        <v>0</v>
      </c>
      <c r="AN921" s="13">
        <f t="shared" si="1842"/>
        <v>0</v>
      </c>
      <c r="AO921" s="13">
        <f t="shared" si="1842"/>
        <v>0</v>
      </c>
      <c r="AP921" s="13">
        <f t="shared" si="1842"/>
        <v>0</v>
      </c>
      <c r="AQ921" s="13" t="s">
        <v>5528</v>
      </c>
      <c r="AR921" s="13"/>
      <c r="AS921" s="13" t="s">
        <v>102</v>
      </c>
      <c r="AT921" s="13"/>
      <c r="AU921" s="13"/>
      <c r="AV921" s="13"/>
      <c r="AW921" s="13">
        <v>0.0</v>
      </c>
      <c r="AX921" s="13">
        <v>18.0</v>
      </c>
      <c r="AY921" s="13">
        <v>0.0</v>
      </c>
      <c r="AZ921" s="13"/>
      <c r="BA921" s="13"/>
      <c r="BB921" s="13"/>
      <c r="BC921" s="13"/>
      <c r="BD921" s="13"/>
      <c r="BE921" s="13"/>
      <c r="BF921" s="13"/>
      <c r="BG921" s="13"/>
      <c r="BH921" s="13" t="s">
        <v>79</v>
      </c>
      <c r="BI921" s="13" t="b">
        <v>0</v>
      </c>
      <c r="BJ921" s="13">
        <v>0.0</v>
      </c>
      <c r="BK921" s="13">
        <v>0.0</v>
      </c>
    </row>
    <row r="922" ht="14.25" customHeight="1">
      <c r="A922" s="13">
        <v>920.0</v>
      </c>
      <c r="B922" s="13" t="s">
        <v>46</v>
      </c>
      <c r="C922" s="13">
        <v>0.0</v>
      </c>
      <c r="D922" s="14">
        <v>0.0</v>
      </c>
      <c r="E922" s="13" t="s">
        <v>5529</v>
      </c>
      <c r="F922" s="15" t="s">
        <v>5523</v>
      </c>
      <c r="G922" s="16" t="s">
        <v>5530</v>
      </c>
      <c r="H922" s="13"/>
      <c r="I922" s="13">
        <v>1.1</v>
      </c>
      <c r="J922" s="13" t="s">
        <v>312</v>
      </c>
      <c r="K922" s="13">
        <f t="shared" si="3"/>
        <v>0</v>
      </c>
      <c r="L922" s="13">
        <f t="shared" si="4"/>
        <v>1</v>
      </c>
      <c r="M922" s="13">
        <f t="shared" ref="M922:AA922" si="1843">IFERROR(VALUE(RIGHT(LEFT($J922,FIND(M$1,$J922,1)+LEN(M$1)),1)),0)</f>
        <v>0</v>
      </c>
      <c r="N922" s="13">
        <f t="shared" si="1843"/>
        <v>0</v>
      </c>
      <c r="O922" s="13">
        <f t="shared" si="1843"/>
        <v>0</v>
      </c>
      <c r="P922" s="13">
        <f t="shared" si="1843"/>
        <v>0</v>
      </c>
      <c r="Q922" s="13">
        <f t="shared" si="1843"/>
        <v>0</v>
      </c>
      <c r="R922" s="13">
        <f t="shared" si="1843"/>
        <v>0</v>
      </c>
      <c r="S922" s="13">
        <f t="shared" si="1843"/>
        <v>0</v>
      </c>
      <c r="T922" s="13">
        <f t="shared" si="1843"/>
        <v>0</v>
      </c>
      <c r="U922" s="13">
        <f t="shared" si="1843"/>
        <v>0</v>
      </c>
      <c r="V922" s="13">
        <f t="shared" si="1843"/>
        <v>0</v>
      </c>
      <c r="W922" s="13">
        <f t="shared" si="1843"/>
        <v>0</v>
      </c>
      <c r="X922" s="13">
        <f t="shared" si="1843"/>
        <v>0</v>
      </c>
      <c r="Y922" s="13">
        <f t="shared" si="1843"/>
        <v>0</v>
      </c>
      <c r="Z922" s="13">
        <f t="shared" si="1843"/>
        <v>0</v>
      </c>
      <c r="AA922" s="13">
        <f t="shared" si="1843"/>
        <v>0</v>
      </c>
      <c r="AB922" s="13">
        <f t="shared" ref="AB922:AP922" si="1844">IFERROR(VALUE(RIGHT(LEFT($J922,FIND(AB$1,$J922,IF(M922=0,1,FIND(AB$1,$J922,1)+1))+LEN(AB$1)),1)),0)</f>
        <v>0</v>
      </c>
      <c r="AC922" s="13">
        <f t="shared" si="1844"/>
        <v>0</v>
      </c>
      <c r="AD922" s="13">
        <f t="shared" si="1844"/>
        <v>1</v>
      </c>
      <c r="AE922" s="13">
        <f t="shared" si="1844"/>
        <v>0</v>
      </c>
      <c r="AF922" s="13">
        <f t="shared" si="1844"/>
        <v>0</v>
      </c>
      <c r="AG922" s="13">
        <f t="shared" si="1844"/>
        <v>0</v>
      </c>
      <c r="AH922" s="13">
        <f t="shared" si="1844"/>
        <v>0</v>
      </c>
      <c r="AI922" s="13">
        <f t="shared" si="1844"/>
        <v>0</v>
      </c>
      <c r="AJ922" s="13">
        <f t="shared" si="1844"/>
        <v>0</v>
      </c>
      <c r="AK922" s="13">
        <f t="shared" si="1844"/>
        <v>0</v>
      </c>
      <c r="AL922" s="13">
        <f t="shared" si="1844"/>
        <v>0</v>
      </c>
      <c r="AM922" s="13">
        <f t="shared" si="1844"/>
        <v>0</v>
      </c>
      <c r="AN922" s="13">
        <f t="shared" si="1844"/>
        <v>0</v>
      </c>
      <c r="AO922" s="13">
        <f t="shared" si="1844"/>
        <v>0</v>
      </c>
      <c r="AP922" s="13">
        <f t="shared" si="1844"/>
        <v>0</v>
      </c>
      <c r="AQ922" s="13" t="s">
        <v>5531</v>
      </c>
      <c r="AR922" s="13"/>
      <c r="AS922" s="13" t="s">
        <v>2618</v>
      </c>
      <c r="AT922" s="13"/>
      <c r="AU922" s="13"/>
      <c r="AV922" s="13"/>
      <c r="AW922" s="13">
        <v>0.0</v>
      </c>
      <c r="AX922" s="13">
        <v>18.0</v>
      </c>
      <c r="AY922" s="13">
        <v>0.0</v>
      </c>
      <c r="AZ922" s="13"/>
      <c r="BA922" s="13"/>
      <c r="BB922" s="13"/>
      <c r="BC922" s="13"/>
      <c r="BD922" s="13"/>
      <c r="BE922" s="13"/>
      <c r="BF922" s="13"/>
      <c r="BG922" s="13"/>
      <c r="BH922" s="13" t="s">
        <v>79</v>
      </c>
      <c r="BI922" s="13" t="b">
        <v>0</v>
      </c>
      <c r="BJ922" s="13">
        <v>0.0</v>
      </c>
      <c r="BK922" s="13">
        <v>0.0</v>
      </c>
    </row>
    <row r="923" ht="14.25" customHeight="1">
      <c r="A923" s="13">
        <v>921.0</v>
      </c>
      <c r="B923" s="13" t="s">
        <v>46</v>
      </c>
      <c r="C923" s="13">
        <v>0.0</v>
      </c>
      <c r="D923" s="14">
        <v>0.0</v>
      </c>
      <c r="E923" s="13" t="s">
        <v>5532</v>
      </c>
      <c r="F923" s="15" t="s">
        <v>5523</v>
      </c>
      <c r="G923" s="16" t="s">
        <v>5533</v>
      </c>
      <c r="H923" s="13"/>
      <c r="I923" s="13">
        <v>0.9</v>
      </c>
      <c r="J923" s="13" t="s">
        <v>111</v>
      </c>
      <c r="K923" s="13">
        <f t="shared" si="3"/>
        <v>0</v>
      </c>
      <c r="L923" s="13">
        <f t="shared" si="4"/>
        <v>1</v>
      </c>
      <c r="M923" s="13">
        <f t="shared" ref="M923:AA923" si="1845">IFERROR(VALUE(RIGHT(LEFT($J923,FIND(M$1,$J923,1)+LEN(M$1)),1)),0)</f>
        <v>0</v>
      </c>
      <c r="N923" s="13">
        <f t="shared" si="1845"/>
        <v>0</v>
      </c>
      <c r="O923" s="13">
        <f t="shared" si="1845"/>
        <v>0</v>
      </c>
      <c r="P923" s="13">
        <f t="shared" si="1845"/>
        <v>0</v>
      </c>
      <c r="Q923" s="13">
        <f t="shared" si="1845"/>
        <v>0</v>
      </c>
      <c r="R923" s="13">
        <f t="shared" si="1845"/>
        <v>0</v>
      </c>
      <c r="S923" s="13">
        <f t="shared" si="1845"/>
        <v>0</v>
      </c>
      <c r="T923" s="13">
        <f t="shared" si="1845"/>
        <v>0</v>
      </c>
      <c r="U923" s="13">
        <f t="shared" si="1845"/>
        <v>0</v>
      </c>
      <c r="V923" s="13">
        <f t="shared" si="1845"/>
        <v>0</v>
      </c>
      <c r="W923" s="13">
        <f t="shared" si="1845"/>
        <v>0</v>
      </c>
      <c r="X923" s="13">
        <f t="shared" si="1845"/>
        <v>0</v>
      </c>
      <c r="Y923" s="13">
        <f t="shared" si="1845"/>
        <v>0</v>
      </c>
      <c r="Z923" s="13">
        <f t="shared" si="1845"/>
        <v>0</v>
      </c>
      <c r="AA923" s="13">
        <f t="shared" si="1845"/>
        <v>0</v>
      </c>
      <c r="AB923" s="13">
        <f t="shared" ref="AB923:AP923" si="1846">IFERROR(VALUE(RIGHT(LEFT($J923,FIND(AB$1,$J923,IF(M923=0,1,FIND(AB$1,$J923,1)+1))+LEN(AB$1)),1)),0)</f>
        <v>0</v>
      </c>
      <c r="AC923" s="13">
        <f t="shared" si="1846"/>
        <v>0</v>
      </c>
      <c r="AD923" s="13">
        <f t="shared" si="1846"/>
        <v>0</v>
      </c>
      <c r="AE923" s="13">
        <f t="shared" si="1846"/>
        <v>0</v>
      </c>
      <c r="AF923" s="13">
        <f t="shared" si="1846"/>
        <v>0</v>
      </c>
      <c r="AG923" s="13">
        <f t="shared" si="1846"/>
        <v>0</v>
      </c>
      <c r="AH923" s="13">
        <f t="shared" si="1846"/>
        <v>0</v>
      </c>
      <c r="AI923" s="13">
        <f t="shared" si="1846"/>
        <v>0</v>
      </c>
      <c r="AJ923" s="13">
        <f t="shared" si="1846"/>
        <v>1</v>
      </c>
      <c r="AK923" s="13">
        <f t="shared" si="1846"/>
        <v>0</v>
      </c>
      <c r="AL923" s="13">
        <f t="shared" si="1846"/>
        <v>0</v>
      </c>
      <c r="AM923" s="13">
        <f t="shared" si="1846"/>
        <v>0</v>
      </c>
      <c r="AN923" s="13">
        <f t="shared" si="1846"/>
        <v>0</v>
      </c>
      <c r="AO923" s="13">
        <f t="shared" si="1846"/>
        <v>0</v>
      </c>
      <c r="AP923" s="13">
        <f t="shared" si="1846"/>
        <v>0</v>
      </c>
      <c r="AQ923" s="13" t="s">
        <v>5534</v>
      </c>
      <c r="AR923" s="13"/>
      <c r="AS923" s="13" t="s">
        <v>117</v>
      </c>
      <c r="AT923" s="13"/>
      <c r="AU923" s="13"/>
      <c r="AV923" s="13"/>
      <c r="AW923" s="13">
        <v>0.0</v>
      </c>
      <c r="AX923" s="13">
        <v>18.0</v>
      </c>
      <c r="AY923" s="13">
        <v>0.0</v>
      </c>
      <c r="AZ923" s="13"/>
      <c r="BA923" s="13"/>
      <c r="BB923" s="13"/>
      <c r="BC923" s="13"/>
      <c r="BD923" s="13"/>
      <c r="BE923" s="13"/>
      <c r="BF923" s="13"/>
      <c r="BG923" s="13"/>
      <c r="BH923" s="13" t="s">
        <v>79</v>
      </c>
      <c r="BI923" s="13" t="b">
        <v>0</v>
      </c>
      <c r="BJ923" s="13">
        <v>0.0</v>
      </c>
      <c r="BK923" s="13">
        <v>0.0</v>
      </c>
    </row>
    <row r="924" ht="14.25" customHeight="1">
      <c r="A924" s="13">
        <v>922.0</v>
      </c>
      <c r="B924" s="13" t="s">
        <v>51</v>
      </c>
      <c r="C924" s="13">
        <v>0.0</v>
      </c>
      <c r="D924" s="14">
        <v>0.0</v>
      </c>
      <c r="E924" s="13" t="s">
        <v>5535</v>
      </c>
      <c r="F924" s="15" t="s">
        <v>5523</v>
      </c>
      <c r="G924" s="16" t="s">
        <v>5536</v>
      </c>
      <c r="H924" s="13">
        <v>11.0</v>
      </c>
      <c r="I924" s="13">
        <v>0.9</v>
      </c>
      <c r="J924" s="13" t="s">
        <v>255</v>
      </c>
      <c r="K924" s="13">
        <f t="shared" si="3"/>
        <v>0</v>
      </c>
      <c r="L924" s="13">
        <f t="shared" si="4"/>
        <v>1</v>
      </c>
      <c r="M924" s="13">
        <f t="shared" ref="M924:AA924" si="1847">IFERROR(VALUE(RIGHT(LEFT($J924,FIND(M$1,$J924,1)+LEN(M$1)),1)),0)</f>
        <v>0</v>
      </c>
      <c r="N924" s="13">
        <f t="shared" si="1847"/>
        <v>0</v>
      </c>
      <c r="O924" s="13">
        <f t="shared" si="1847"/>
        <v>0</v>
      </c>
      <c r="P924" s="13">
        <f t="shared" si="1847"/>
        <v>0</v>
      </c>
      <c r="Q924" s="13">
        <f t="shared" si="1847"/>
        <v>0</v>
      </c>
      <c r="R924" s="13">
        <f t="shared" si="1847"/>
        <v>0</v>
      </c>
      <c r="S924" s="13">
        <f t="shared" si="1847"/>
        <v>0</v>
      </c>
      <c r="T924" s="13">
        <f t="shared" si="1847"/>
        <v>0</v>
      </c>
      <c r="U924" s="13">
        <f t="shared" si="1847"/>
        <v>0</v>
      </c>
      <c r="V924" s="13">
        <f t="shared" si="1847"/>
        <v>0</v>
      </c>
      <c r="W924" s="13">
        <f t="shared" si="1847"/>
        <v>0</v>
      </c>
      <c r="X924" s="13">
        <f t="shared" si="1847"/>
        <v>0</v>
      </c>
      <c r="Y924" s="13">
        <f t="shared" si="1847"/>
        <v>0</v>
      </c>
      <c r="Z924" s="13">
        <f t="shared" si="1847"/>
        <v>0</v>
      </c>
      <c r="AA924" s="13">
        <f t="shared" si="1847"/>
        <v>0</v>
      </c>
      <c r="AB924" s="13">
        <f t="shared" ref="AB924:AP924" si="1848">IFERROR(VALUE(RIGHT(LEFT($J924,FIND(AB$1,$J924,IF(M924=0,1,FIND(AB$1,$J924,1)+1))+LEN(AB$1)),1)),0)</f>
        <v>0</v>
      </c>
      <c r="AC924" s="13">
        <f t="shared" si="1848"/>
        <v>0</v>
      </c>
      <c r="AD924" s="13">
        <f t="shared" si="1848"/>
        <v>0</v>
      </c>
      <c r="AE924" s="13">
        <f t="shared" si="1848"/>
        <v>0</v>
      </c>
      <c r="AF924" s="13">
        <f t="shared" si="1848"/>
        <v>0</v>
      </c>
      <c r="AG924" s="13">
        <f t="shared" si="1848"/>
        <v>0</v>
      </c>
      <c r="AH924" s="13">
        <f t="shared" si="1848"/>
        <v>0</v>
      </c>
      <c r="AI924" s="13">
        <f t="shared" si="1848"/>
        <v>0</v>
      </c>
      <c r="AJ924" s="13">
        <f t="shared" si="1848"/>
        <v>0</v>
      </c>
      <c r="AK924" s="13">
        <f t="shared" si="1848"/>
        <v>0</v>
      </c>
      <c r="AL924" s="13">
        <f t="shared" si="1848"/>
        <v>0</v>
      </c>
      <c r="AM924" s="13">
        <f t="shared" si="1848"/>
        <v>0</v>
      </c>
      <c r="AN924" s="13">
        <f t="shared" si="1848"/>
        <v>0</v>
      </c>
      <c r="AO924" s="13">
        <f t="shared" si="1848"/>
        <v>1</v>
      </c>
      <c r="AP924" s="13">
        <f t="shared" si="1848"/>
        <v>0</v>
      </c>
      <c r="AQ924" s="13"/>
      <c r="AR924" s="13" t="s">
        <v>256</v>
      </c>
      <c r="AS924" s="13" t="s">
        <v>5537</v>
      </c>
      <c r="AT924" s="13" t="s">
        <v>257</v>
      </c>
      <c r="AU924" s="13" t="s">
        <v>130</v>
      </c>
      <c r="AV924" s="13" t="s">
        <v>2981</v>
      </c>
      <c r="AW924" s="13">
        <v>5.0</v>
      </c>
      <c r="AX924" s="13">
        <v>18.0</v>
      </c>
      <c r="AY924" s="13">
        <v>0.0</v>
      </c>
      <c r="AZ924" s="13" t="s">
        <v>547</v>
      </c>
      <c r="BA924" s="13" t="s">
        <v>655</v>
      </c>
      <c r="BB924" s="13"/>
      <c r="BC924" s="13"/>
      <c r="BD924" s="13" t="s">
        <v>282</v>
      </c>
      <c r="BE924" s="13"/>
      <c r="BF924" s="13" t="s">
        <v>5538</v>
      </c>
      <c r="BG924" s="13" t="s">
        <v>284</v>
      </c>
      <c r="BH924" s="13" t="s">
        <v>79</v>
      </c>
      <c r="BI924" s="13" t="b">
        <v>0</v>
      </c>
      <c r="BJ924" s="13">
        <v>0.0</v>
      </c>
      <c r="BK924" s="13">
        <v>0.0</v>
      </c>
    </row>
    <row r="925" ht="14.25" customHeight="1">
      <c r="A925" s="13">
        <v>923.0</v>
      </c>
      <c r="B925" s="13" t="s">
        <v>51</v>
      </c>
      <c r="C925" s="13">
        <v>0.0</v>
      </c>
      <c r="D925" s="14">
        <v>0.0</v>
      </c>
      <c r="E925" s="13" t="s">
        <v>5539</v>
      </c>
      <c r="F925" s="15" t="s">
        <v>5523</v>
      </c>
      <c r="G925" s="16" t="s">
        <v>5540</v>
      </c>
      <c r="H925" s="13">
        <v>12.0</v>
      </c>
      <c r="I925" s="13">
        <v>1.0</v>
      </c>
      <c r="J925" s="13" t="s">
        <v>255</v>
      </c>
      <c r="K925" s="13">
        <f t="shared" si="3"/>
        <v>0</v>
      </c>
      <c r="L925" s="13">
        <f t="shared" si="4"/>
        <v>1</v>
      </c>
      <c r="M925" s="13">
        <f t="shared" ref="M925:AA925" si="1849">IFERROR(VALUE(RIGHT(LEFT($J925,FIND(M$1,$J925,1)+LEN(M$1)),1)),0)</f>
        <v>0</v>
      </c>
      <c r="N925" s="13">
        <f t="shared" si="1849"/>
        <v>0</v>
      </c>
      <c r="O925" s="13">
        <f t="shared" si="1849"/>
        <v>0</v>
      </c>
      <c r="P925" s="13">
        <f t="shared" si="1849"/>
        <v>0</v>
      </c>
      <c r="Q925" s="13">
        <f t="shared" si="1849"/>
        <v>0</v>
      </c>
      <c r="R925" s="13">
        <f t="shared" si="1849"/>
        <v>0</v>
      </c>
      <c r="S925" s="13">
        <f t="shared" si="1849"/>
        <v>0</v>
      </c>
      <c r="T925" s="13">
        <f t="shared" si="1849"/>
        <v>0</v>
      </c>
      <c r="U925" s="13">
        <f t="shared" si="1849"/>
        <v>0</v>
      </c>
      <c r="V925" s="13">
        <f t="shared" si="1849"/>
        <v>0</v>
      </c>
      <c r="W925" s="13">
        <f t="shared" si="1849"/>
        <v>0</v>
      </c>
      <c r="X925" s="13">
        <f t="shared" si="1849"/>
        <v>0</v>
      </c>
      <c r="Y925" s="13">
        <f t="shared" si="1849"/>
        <v>0</v>
      </c>
      <c r="Z925" s="13">
        <f t="shared" si="1849"/>
        <v>0</v>
      </c>
      <c r="AA925" s="13">
        <f t="shared" si="1849"/>
        <v>0</v>
      </c>
      <c r="AB925" s="13">
        <f t="shared" ref="AB925:AP925" si="1850">IFERROR(VALUE(RIGHT(LEFT($J925,FIND(AB$1,$J925,IF(M925=0,1,FIND(AB$1,$J925,1)+1))+LEN(AB$1)),1)),0)</f>
        <v>0</v>
      </c>
      <c r="AC925" s="13">
        <f t="shared" si="1850"/>
        <v>0</v>
      </c>
      <c r="AD925" s="13">
        <f t="shared" si="1850"/>
        <v>0</v>
      </c>
      <c r="AE925" s="13">
        <f t="shared" si="1850"/>
        <v>0</v>
      </c>
      <c r="AF925" s="13">
        <f t="shared" si="1850"/>
        <v>0</v>
      </c>
      <c r="AG925" s="13">
        <f t="shared" si="1850"/>
        <v>0</v>
      </c>
      <c r="AH925" s="13">
        <f t="shared" si="1850"/>
        <v>0</v>
      </c>
      <c r="AI925" s="13">
        <f t="shared" si="1850"/>
        <v>0</v>
      </c>
      <c r="AJ925" s="13">
        <f t="shared" si="1850"/>
        <v>0</v>
      </c>
      <c r="AK925" s="13">
        <f t="shared" si="1850"/>
        <v>0</v>
      </c>
      <c r="AL925" s="13">
        <f t="shared" si="1850"/>
        <v>0</v>
      </c>
      <c r="AM925" s="13">
        <f t="shared" si="1850"/>
        <v>0</v>
      </c>
      <c r="AN925" s="13">
        <f t="shared" si="1850"/>
        <v>0</v>
      </c>
      <c r="AO925" s="13">
        <f t="shared" si="1850"/>
        <v>1</v>
      </c>
      <c r="AP925" s="13">
        <f t="shared" si="1850"/>
        <v>0</v>
      </c>
      <c r="AQ925" s="13"/>
      <c r="AR925" s="13" t="s">
        <v>5541</v>
      </c>
      <c r="AS925" s="13" t="s">
        <v>278</v>
      </c>
      <c r="AT925" s="13" t="s">
        <v>573</v>
      </c>
      <c r="AU925" s="13" t="s">
        <v>130</v>
      </c>
      <c r="AV925" s="13" t="s">
        <v>2210</v>
      </c>
      <c r="AW925" s="13">
        <v>6.0</v>
      </c>
      <c r="AX925" s="13">
        <v>18.0</v>
      </c>
      <c r="AY925" s="13">
        <v>0.0</v>
      </c>
      <c r="AZ925" s="13" t="s">
        <v>2972</v>
      </c>
      <c r="BA925" s="13" t="s">
        <v>4282</v>
      </c>
      <c r="BB925" s="13"/>
      <c r="BC925" s="13"/>
      <c r="BD925" s="13" t="s">
        <v>810</v>
      </c>
      <c r="BE925" s="13"/>
      <c r="BF925" s="13" t="s">
        <v>649</v>
      </c>
      <c r="BG925" s="13" t="s">
        <v>1823</v>
      </c>
      <c r="BH925" s="13" t="s">
        <v>79</v>
      </c>
      <c r="BI925" s="13" t="b">
        <v>0</v>
      </c>
      <c r="BJ925" s="13">
        <v>0.0</v>
      </c>
      <c r="BK925" s="13">
        <v>0.0</v>
      </c>
    </row>
    <row r="926" ht="14.25" customHeight="1">
      <c r="A926" s="13">
        <v>924.0</v>
      </c>
      <c r="B926" s="13" t="s">
        <v>49</v>
      </c>
      <c r="C926" s="13">
        <v>0.0</v>
      </c>
      <c r="D926" s="14">
        <v>0.0</v>
      </c>
      <c r="E926" s="13" t="s">
        <v>5542</v>
      </c>
      <c r="F926" s="15" t="s">
        <v>5523</v>
      </c>
      <c r="G926" s="16" t="s">
        <v>5543</v>
      </c>
      <c r="H926" s="13">
        <v>10.0</v>
      </c>
      <c r="I926" s="13">
        <v>0.8</v>
      </c>
      <c r="J926" s="13" t="s">
        <v>193</v>
      </c>
      <c r="K926" s="13">
        <f t="shared" si="3"/>
        <v>0</v>
      </c>
      <c r="L926" s="13">
        <f t="shared" si="4"/>
        <v>1</v>
      </c>
      <c r="M926" s="13">
        <f t="shared" ref="M926:AA926" si="1851">IFERROR(VALUE(RIGHT(LEFT($J926,FIND(M$1,$J926,1)+LEN(M$1)),1)),0)</f>
        <v>0</v>
      </c>
      <c r="N926" s="13">
        <f t="shared" si="1851"/>
        <v>0</v>
      </c>
      <c r="O926" s="13">
        <f t="shared" si="1851"/>
        <v>0</v>
      </c>
      <c r="P926" s="13">
        <f t="shared" si="1851"/>
        <v>0</v>
      </c>
      <c r="Q926" s="13">
        <f t="shared" si="1851"/>
        <v>0</v>
      </c>
      <c r="R926" s="13">
        <f t="shared" si="1851"/>
        <v>0</v>
      </c>
      <c r="S926" s="13">
        <f t="shared" si="1851"/>
        <v>0</v>
      </c>
      <c r="T926" s="13">
        <f t="shared" si="1851"/>
        <v>0</v>
      </c>
      <c r="U926" s="13">
        <f t="shared" si="1851"/>
        <v>0</v>
      </c>
      <c r="V926" s="13">
        <f t="shared" si="1851"/>
        <v>0</v>
      </c>
      <c r="W926" s="13">
        <f t="shared" si="1851"/>
        <v>0</v>
      </c>
      <c r="X926" s="13">
        <f t="shared" si="1851"/>
        <v>0</v>
      </c>
      <c r="Y926" s="13">
        <f t="shared" si="1851"/>
        <v>0</v>
      </c>
      <c r="Z926" s="13">
        <f t="shared" si="1851"/>
        <v>0</v>
      </c>
      <c r="AA926" s="13">
        <f t="shared" si="1851"/>
        <v>0</v>
      </c>
      <c r="AB926" s="13">
        <f t="shared" ref="AB926:AP926" si="1852">IFERROR(VALUE(RIGHT(LEFT($J926,FIND(AB$1,$J926,IF(M926=0,1,FIND(AB$1,$J926,1)+1))+LEN(AB$1)),1)),0)</f>
        <v>0</v>
      </c>
      <c r="AC926" s="13">
        <f t="shared" si="1852"/>
        <v>0</v>
      </c>
      <c r="AD926" s="13">
        <f t="shared" si="1852"/>
        <v>0</v>
      </c>
      <c r="AE926" s="13">
        <f t="shared" si="1852"/>
        <v>0</v>
      </c>
      <c r="AF926" s="13">
        <f t="shared" si="1852"/>
        <v>0</v>
      </c>
      <c r="AG926" s="13">
        <f t="shared" si="1852"/>
        <v>0</v>
      </c>
      <c r="AH926" s="13">
        <f t="shared" si="1852"/>
        <v>0</v>
      </c>
      <c r="AI926" s="13">
        <f t="shared" si="1852"/>
        <v>0</v>
      </c>
      <c r="AJ926" s="13">
        <f t="shared" si="1852"/>
        <v>0</v>
      </c>
      <c r="AK926" s="13">
        <f t="shared" si="1852"/>
        <v>0</v>
      </c>
      <c r="AL926" s="13">
        <f t="shared" si="1852"/>
        <v>0</v>
      </c>
      <c r="AM926" s="13">
        <f t="shared" si="1852"/>
        <v>1</v>
      </c>
      <c r="AN926" s="13">
        <f t="shared" si="1852"/>
        <v>0</v>
      </c>
      <c r="AO926" s="13">
        <f t="shared" si="1852"/>
        <v>0</v>
      </c>
      <c r="AP926" s="13">
        <f t="shared" si="1852"/>
        <v>0</v>
      </c>
      <c r="AQ926" s="13"/>
      <c r="AR926" s="13" t="s">
        <v>5544</v>
      </c>
      <c r="AS926" s="13" t="s">
        <v>206</v>
      </c>
      <c r="AT926" s="13" t="s">
        <v>162</v>
      </c>
      <c r="AU926" s="13" t="s">
        <v>163</v>
      </c>
      <c r="AV926" s="13" t="s">
        <v>5545</v>
      </c>
      <c r="AW926" s="13">
        <v>4.0</v>
      </c>
      <c r="AX926" s="13">
        <v>18.0</v>
      </c>
      <c r="AY926" s="13">
        <v>0.0</v>
      </c>
      <c r="AZ926" s="13" t="s">
        <v>3650</v>
      </c>
      <c r="BA926" s="13" t="s">
        <v>601</v>
      </c>
      <c r="BB926" s="13"/>
      <c r="BC926" s="13"/>
      <c r="BD926" s="13" t="s">
        <v>199</v>
      </c>
      <c r="BE926" s="13"/>
      <c r="BF926" s="13" t="s">
        <v>688</v>
      </c>
      <c r="BG926" s="13" t="s">
        <v>201</v>
      </c>
      <c r="BH926" s="13" t="s">
        <v>79</v>
      </c>
      <c r="BI926" s="13" t="b">
        <v>0</v>
      </c>
      <c r="BJ926" s="13">
        <v>0.0</v>
      </c>
      <c r="BK926" s="13">
        <v>0.0</v>
      </c>
    </row>
    <row r="927" ht="14.25" customHeight="1">
      <c r="A927" s="13">
        <v>925.0</v>
      </c>
      <c r="B927" s="13" t="s">
        <v>44</v>
      </c>
      <c r="C927" s="13">
        <v>1.0</v>
      </c>
      <c r="D927" s="14">
        <v>0.0</v>
      </c>
      <c r="E927" s="13" t="s">
        <v>5546</v>
      </c>
      <c r="F927" s="15" t="s">
        <v>5523</v>
      </c>
      <c r="G927" s="16" t="s">
        <v>5547</v>
      </c>
      <c r="H927" s="13"/>
      <c r="I927" s="13">
        <v>1.0</v>
      </c>
      <c r="J927" s="13" t="s">
        <v>83</v>
      </c>
      <c r="K927" s="13">
        <f t="shared" si="3"/>
        <v>0</v>
      </c>
      <c r="L927" s="13">
        <f t="shared" si="4"/>
        <v>2</v>
      </c>
      <c r="M927" s="13">
        <f t="shared" ref="M927:AA927" si="1853">IFERROR(VALUE(RIGHT(LEFT($J927,FIND(M$1,$J927,1)+LEN(M$1)),1)),0)</f>
        <v>0</v>
      </c>
      <c r="N927" s="13">
        <f t="shared" si="1853"/>
        <v>0</v>
      </c>
      <c r="O927" s="13">
        <f t="shared" si="1853"/>
        <v>0</v>
      </c>
      <c r="P927" s="13">
        <f t="shared" si="1853"/>
        <v>0</v>
      </c>
      <c r="Q927" s="13">
        <f t="shared" si="1853"/>
        <v>0</v>
      </c>
      <c r="R927" s="13">
        <f t="shared" si="1853"/>
        <v>0</v>
      </c>
      <c r="S927" s="13">
        <f t="shared" si="1853"/>
        <v>0</v>
      </c>
      <c r="T927" s="13">
        <f t="shared" si="1853"/>
        <v>0</v>
      </c>
      <c r="U927" s="13">
        <f t="shared" si="1853"/>
        <v>0</v>
      </c>
      <c r="V927" s="13">
        <f t="shared" si="1853"/>
        <v>0</v>
      </c>
      <c r="W927" s="13">
        <f t="shared" si="1853"/>
        <v>0</v>
      </c>
      <c r="X927" s="13">
        <f t="shared" si="1853"/>
        <v>0</v>
      </c>
      <c r="Y927" s="13">
        <f t="shared" si="1853"/>
        <v>0</v>
      </c>
      <c r="Z927" s="13">
        <f t="shared" si="1853"/>
        <v>0</v>
      </c>
      <c r="AA927" s="13">
        <f t="shared" si="1853"/>
        <v>0</v>
      </c>
      <c r="AB927" s="13">
        <f t="shared" ref="AB927:AP927" si="1854">IFERROR(VALUE(RIGHT(LEFT($J927,FIND(AB$1,$J927,IF(M927=0,1,FIND(AB$1,$J927,1)+1))+LEN(AB$1)),1)),0)</f>
        <v>1</v>
      </c>
      <c r="AC927" s="13">
        <f t="shared" si="1854"/>
        <v>0</v>
      </c>
      <c r="AD927" s="13">
        <f t="shared" si="1854"/>
        <v>0</v>
      </c>
      <c r="AE927" s="13">
        <f t="shared" si="1854"/>
        <v>0</v>
      </c>
      <c r="AF927" s="13">
        <f t="shared" si="1854"/>
        <v>0</v>
      </c>
      <c r="AG927" s="13">
        <f t="shared" si="1854"/>
        <v>0</v>
      </c>
      <c r="AH927" s="13">
        <f t="shared" si="1854"/>
        <v>1</v>
      </c>
      <c r="AI927" s="13">
        <f t="shared" si="1854"/>
        <v>0</v>
      </c>
      <c r="AJ927" s="13">
        <f t="shared" si="1854"/>
        <v>0</v>
      </c>
      <c r="AK927" s="13">
        <f t="shared" si="1854"/>
        <v>0</v>
      </c>
      <c r="AL927" s="13">
        <f t="shared" si="1854"/>
        <v>0</v>
      </c>
      <c r="AM927" s="13">
        <f t="shared" si="1854"/>
        <v>0</v>
      </c>
      <c r="AN927" s="13">
        <f t="shared" si="1854"/>
        <v>0</v>
      </c>
      <c r="AO927" s="13">
        <f t="shared" si="1854"/>
        <v>0</v>
      </c>
      <c r="AP927" s="13">
        <f t="shared" si="1854"/>
        <v>0</v>
      </c>
      <c r="AQ927" s="13" t="s">
        <v>5548</v>
      </c>
      <c r="AR927" s="13"/>
      <c r="AS927" s="13" t="s">
        <v>344</v>
      </c>
      <c r="AT927" s="13"/>
      <c r="AU927" s="13"/>
      <c r="AV927" s="13"/>
      <c r="AW927" s="13">
        <v>0.0</v>
      </c>
      <c r="AX927" s="13">
        <v>18.0</v>
      </c>
      <c r="AY927" s="13">
        <v>0.0</v>
      </c>
      <c r="AZ927" s="13"/>
      <c r="BA927" s="13"/>
      <c r="BB927" s="13"/>
      <c r="BC927" s="13"/>
      <c r="BD927" s="13"/>
      <c r="BE927" s="13"/>
      <c r="BF927" s="13"/>
      <c r="BG927" s="13"/>
      <c r="BH927" s="13" t="s">
        <v>79</v>
      </c>
      <c r="BI927" s="13" t="b">
        <v>0</v>
      </c>
      <c r="BJ927" s="13">
        <v>0.0</v>
      </c>
      <c r="BK927" s="13">
        <v>0.0</v>
      </c>
    </row>
    <row r="928" ht="14.25" customHeight="1">
      <c r="A928" s="13">
        <v>926.0</v>
      </c>
      <c r="B928" s="13" t="s">
        <v>45</v>
      </c>
      <c r="C928" s="13">
        <v>1.0</v>
      </c>
      <c r="D928" s="14">
        <v>0.0</v>
      </c>
      <c r="E928" s="13" t="s">
        <v>5549</v>
      </c>
      <c r="F928" s="15" t="s">
        <v>5523</v>
      </c>
      <c r="G928" s="16" t="s">
        <v>5550</v>
      </c>
      <c r="H928" s="13"/>
      <c r="I928" s="13">
        <v>0.9</v>
      </c>
      <c r="J928" s="13" t="s">
        <v>399</v>
      </c>
      <c r="K928" s="13">
        <f t="shared" si="3"/>
        <v>0</v>
      </c>
      <c r="L928" s="13">
        <f t="shared" si="4"/>
        <v>2</v>
      </c>
      <c r="M928" s="13">
        <f t="shared" ref="M928:AA928" si="1855">IFERROR(VALUE(RIGHT(LEFT($J928,FIND(M$1,$J928,1)+LEN(M$1)),1)),0)</f>
        <v>0</v>
      </c>
      <c r="N928" s="13">
        <f t="shared" si="1855"/>
        <v>0</v>
      </c>
      <c r="O928" s="13">
        <f t="shared" si="1855"/>
        <v>0</v>
      </c>
      <c r="P928" s="13">
        <f t="shared" si="1855"/>
        <v>0</v>
      </c>
      <c r="Q928" s="13">
        <f t="shared" si="1855"/>
        <v>0</v>
      </c>
      <c r="R928" s="13">
        <f t="shared" si="1855"/>
        <v>0</v>
      </c>
      <c r="S928" s="13">
        <f t="shared" si="1855"/>
        <v>0</v>
      </c>
      <c r="T928" s="13">
        <f t="shared" si="1855"/>
        <v>0</v>
      </c>
      <c r="U928" s="13">
        <f t="shared" si="1855"/>
        <v>0</v>
      </c>
      <c r="V928" s="13">
        <f t="shared" si="1855"/>
        <v>0</v>
      </c>
      <c r="W928" s="13">
        <f t="shared" si="1855"/>
        <v>0</v>
      </c>
      <c r="X928" s="13">
        <f t="shared" si="1855"/>
        <v>0</v>
      </c>
      <c r="Y928" s="13">
        <f t="shared" si="1855"/>
        <v>0</v>
      </c>
      <c r="Z928" s="13">
        <f t="shared" si="1855"/>
        <v>0</v>
      </c>
      <c r="AA928" s="13">
        <f t="shared" si="1855"/>
        <v>0</v>
      </c>
      <c r="AB928" s="13">
        <f t="shared" ref="AB928:AP928" si="1856">IFERROR(VALUE(RIGHT(LEFT($J928,FIND(AB$1,$J928,IF(M928=0,1,FIND(AB$1,$J928,1)+1))+LEN(AB$1)),1)),0)</f>
        <v>0</v>
      </c>
      <c r="AC928" s="13">
        <f t="shared" si="1856"/>
        <v>0</v>
      </c>
      <c r="AD928" s="13">
        <f t="shared" si="1856"/>
        <v>1</v>
      </c>
      <c r="AE928" s="13">
        <f t="shared" si="1856"/>
        <v>0</v>
      </c>
      <c r="AF928" s="13">
        <f t="shared" si="1856"/>
        <v>0</v>
      </c>
      <c r="AG928" s="13">
        <f t="shared" si="1856"/>
        <v>0</v>
      </c>
      <c r="AH928" s="13">
        <f t="shared" si="1856"/>
        <v>0</v>
      </c>
      <c r="AI928" s="13">
        <f t="shared" si="1856"/>
        <v>1</v>
      </c>
      <c r="AJ928" s="13">
        <f t="shared" si="1856"/>
        <v>0</v>
      </c>
      <c r="AK928" s="13">
        <f t="shared" si="1856"/>
        <v>0</v>
      </c>
      <c r="AL928" s="13">
        <f t="shared" si="1856"/>
        <v>0</v>
      </c>
      <c r="AM928" s="13">
        <f t="shared" si="1856"/>
        <v>0</v>
      </c>
      <c r="AN928" s="13">
        <f t="shared" si="1856"/>
        <v>0</v>
      </c>
      <c r="AO928" s="13">
        <f t="shared" si="1856"/>
        <v>0</v>
      </c>
      <c r="AP928" s="13">
        <f t="shared" si="1856"/>
        <v>0</v>
      </c>
      <c r="AQ928" s="13" t="s">
        <v>5551</v>
      </c>
      <c r="AR928" s="13"/>
      <c r="AS928" s="13" t="s">
        <v>5552</v>
      </c>
      <c r="AT928" s="13"/>
      <c r="AU928" s="13"/>
      <c r="AV928" s="13"/>
      <c r="AW928" s="13">
        <v>0.0</v>
      </c>
      <c r="AX928" s="13">
        <v>18.0</v>
      </c>
      <c r="AY928" s="13">
        <v>0.0</v>
      </c>
      <c r="AZ928" s="13"/>
      <c r="BA928" s="13"/>
      <c r="BB928" s="13"/>
      <c r="BC928" s="13"/>
      <c r="BD928" s="13"/>
      <c r="BE928" s="13"/>
      <c r="BF928" s="13"/>
      <c r="BG928" s="13"/>
      <c r="BH928" s="13" t="s">
        <v>79</v>
      </c>
      <c r="BI928" s="13" t="b">
        <v>0</v>
      </c>
      <c r="BJ928" s="13">
        <v>0.0</v>
      </c>
      <c r="BK928" s="13">
        <v>0.0</v>
      </c>
    </row>
    <row r="929" ht="14.25" customHeight="1">
      <c r="A929" s="13">
        <v>927.0</v>
      </c>
      <c r="B929" s="13" t="s">
        <v>46</v>
      </c>
      <c r="C929" s="13">
        <v>1.0</v>
      </c>
      <c r="D929" s="14">
        <v>0.0</v>
      </c>
      <c r="E929" s="13" t="s">
        <v>5553</v>
      </c>
      <c r="F929" s="15" t="s">
        <v>5523</v>
      </c>
      <c r="G929" s="16" t="s">
        <v>5554</v>
      </c>
      <c r="H929" s="13"/>
      <c r="I929" s="13">
        <v>1.1</v>
      </c>
      <c r="J929" s="13" t="s">
        <v>5555</v>
      </c>
      <c r="K929" s="13">
        <f t="shared" si="3"/>
        <v>1</v>
      </c>
      <c r="L929" s="13">
        <f t="shared" si="4"/>
        <v>0</v>
      </c>
      <c r="M929" s="13">
        <f t="shared" ref="M929:AA929" si="1857">IFERROR(VALUE(RIGHT(LEFT($J929,FIND(M$1,$J929,1)+LEN(M$1)),1)),0)</f>
        <v>0</v>
      </c>
      <c r="N929" s="13">
        <f t="shared" si="1857"/>
        <v>0</v>
      </c>
      <c r="O929" s="13">
        <f t="shared" si="1857"/>
        <v>1</v>
      </c>
      <c r="P929" s="13">
        <f t="shared" si="1857"/>
        <v>0</v>
      </c>
      <c r="Q929" s="13">
        <f t="shared" si="1857"/>
        <v>0</v>
      </c>
      <c r="R929" s="13">
        <f t="shared" si="1857"/>
        <v>0</v>
      </c>
      <c r="S929" s="13">
        <f t="shared" si="1857"/>
        <v>0</v>
      </c>
      <c r="T929" s="13">
        <f t="shared" si="1857"/>
        <v>0</v>
      </c>
      <c r="U929" s="13">
        <f t="shared" si="1857"/>
        <v>0</v>
      </c>
      <c r="V929" s="13">
        <f t="shared" si="1857"/>
        <v>0</v>
      </c>
      <c r="W929" s="13">
        <f t="shared" si="1857"/>
        <v>0</v>
      </c>
      <c r="X929" s="13">
        <f t="shared" si="1857"/>
        <v>0</v>
      </c>
      <c r="Y929" s="13">
        <f t="shared" si="1857"/>
        <v>0</v>
      </c>
      <c r="Z929" s="13">
        <f t="shared" si="1857"/>
        <v>0</v>
      </c>
      <c r="AA929" s="13">
        <f t="shared" si="1857"/>
        <v>0</v>
      </c>
      <c r="AB929" s="13">
        <f t="shared" ref="AB929:AP929" si="1858">IFERROR(VALUE(RIGHT(LEFT($J929,FIND(AB$1,$J929,IF(M929=0,1,FIND(AB$1,$J929,1)+1))+LEN(AB$1)),1)),0)</f>
        <v>0</v>
      </c>
      <c r="AC929" s="13">
        <f t="shared" si="1858"/>
        <v>0</v>
      </c>
      <c r="AD929" s="13">
        <f t="shared" si="1858"/>
        <v>0</v>
      </c>
      <c r="AE929" s="13">
        <f t="shared" si="1858"/>
        <v>0</v>
      </c>
      <c r="AF929" s="13">
        <f t="shared" si="1858"/>
        <v>0</v>
      </c>
      <c r="AG929" s="13">
        <f t="shared" si="1858"/>
        <v>0</v>
      </c>
      <c r="AH929" s="13">
        <f t="shared" si="1858"/>
        <v>0</v>
      </c>
      <c r="AI929" s="13">
        <f t="shared" si="1858"/>
        <v>0</v>
      </c>
      <c r="AJ929" s="13">
        <f t="shared" si="1858"/>
        <v>0</v>
      </c>
      <c r="AK929" s="13">
        <f t="shared" si="1858"/>
        <v>0</v>
      </c>
      <c r="AL929" s="13">
        <f t="shared" si="1858"/>
        <v>0</v>
      </c>
      <c r="AM929" s="13">
        <f t="shared" si="1858"/>
        <v>0</v>
      </c>
      <c r="AN929" s="13">
        <f t="shared" si="1858"/>
        <v>0</v>
      </c>
      <c r="AO929" s="13">
        <f t="shared" si="1858"/>
        <v>0</v>
      </c>
      <c r="AP929" s="13">
        <f t="shared" si="1858"/>
        <v>0</v>
      </c>
      <c r="AQ929" s="13" t="s">
        <v>5556</v>
      </c>
      <c r="AR929" s="13"/>
      <c r="AS929" s="13" t="s">
        <v>5261</v>
      </c>
      <c r="AT929" s="13"/>
      <c r="AU929" s="13"/>
      <c r="AV929" s="13"/>
      <c r="AW929" s="13">
        <v>0.0</v>
      </c>
      <c r="AX929" s="13">
        <v>18.0</v>
      </c>
      <c r="AY929" s="13">
        <v>0.0</v>
      </c>
      <c r="AZ929" s="13"/>
      <c r="BA929" s="13"/>
      <c r="BB929" s="13"/>
      <c r="BC929" s="13"/>
      <c r="BD929" s="13"/>
      <c r="BE929" s="13"/>
      <c r="BF929" s="13"/>
      <c r="BG929" s="13"/>
      <c r="BH929" s="13" t="s">
        <v>79</v>
      </c>
      <c r="BI929" s="13" t="b">
        <v>0</v>
      </c>
      <c r="BJ929" s="13">
        <v>0.0</v>
      </c>
      <c r="BK929" s="13">
        <v>0.0</v>
      </c>
    </row>
    <row r="930" ht="14.25" customHeight="1">
      <c r="A930" s="13">
        <v>928.0</v>
      </c>
      <c r="B930" s="13" t="s">
        <v>46</v>
      </c>
      <c r="C930" s="13">
        <v>1.0</v>
      </c>
      <c r="D930" s="14">
        <v>0.0</v>
      </c>
      <c r="E930" s="13" t="s">
        <v>5557</v>
      </c>
      <c r="F930" s="15" t="s">
        <v>5523</v>
      </c>
      <c r="G930" s="16" t="s">
        <v>5558</v>
      </c>
      <c r="H930" s="13"/>
      <c r="I930" s="13">
        <v>1.2</v>
      </c>
      <c r="J930" s="13" t="s">
        <v>430</v>
      </c>
      <c r="K930" s="13">
        <f t="shared" si="3"/>
        <v>0</v>
      </c>
      <c r="L930" s="13">
        <f t="shared" si="4"/>
        <v>2</v>
      </c>
      <c r="M930" s="13">
        <f t="shared" ref="M930:AA930" si="1859">IFERROR(VALUE(RIGHT(LEFT($J930,FIND(M$1,$J930,1)+LEN(M$1)),1)),0)</f>
        <v>0</v>
      </c>
      <c r="N930" s="13">
        <f t="shared" si="1859"/>
        <v>0</v>
      </c>
      <c r="O930" s="13">
        <f t="shared" si="1859"/>
        <v>0</v>
      </c>
      <c r="P930" s="13">
        <f t="shared" si="1859"/>
        <v>0</v>
      </c>
      <c r="Q930" s="13">
        <f t="shared" si="1859"/>
        <v>0</v>
      </c>
      <c r="R930" s="13">
        <f t="shared" si="1859"/>
        <v>0</v>
      </c>
      <c r="S930" s="13">
        <f t="shared" si="1859"/>
        <v>0</v>
      </c>
      <c r="T930" s="13">
        <f t="shared" si="1859"/>
        <v>0</v>
      </c>
      <c r="U930" s="13">
        <f t="shared" si="1859"/>
        <v>0</v>
      </c>
      <c r="V930" s="13">
        <f t="shared" si="1859"/>
        <v>0</v>
      </c>
      <c r="W930" s="13">
        <f t="shared" si="1859"/>
        <v>0</v>
      </c>
      <c r="X930" s="13">
        <f t="shared" si="1859"/>
        <v>0</v>
      </c>
      <c r="Y930" s="13">
        <f t="shared" si="1859"/>
        <v>0</v>
      </c>
      <c r="Z930" s="13">
        <f t="shared" si="1859"/>
        <v>0</v>
      </c>
      <c r="AA930" s="13">
        <f t="shared" si="1859"/>
        <v>0</v>
      </c>
      <c r="AB930" s="13">
        <f t="shared" ref="AB930:AP930" si="1860">IFERROR(VALUE(RIGHT(LEFT($J930,FIND(AB$1,$J930,IF(M930=0,1,FIND(AB$1,$J930,1)+1))+LEN(AB$1)),1)),0)</f>
        <v>0</v>
      </c>
      <c r="AC930" s="13">
        <f t="shared" si="1860"/>
        <v>0</v>
      </c>
      <c r="AD930" s="13">
        <f t="shared" si="1860"/>
        <v>0</v>
      </c>
      <c r="AE930" s="13">
        <f t="shared" si="1860"/>
        <v>0</v>
      </c>
      <c r="AF930" s="13">
        <f t="shared" si="1860"/>
        <v>1</v>
      </c>
      <c r="AG930" s="13">
        <f t="shared" si="1860"/>
        <v>0</v>
      </c>
      <c r="AH930" s="13">
        <f t="shared" si="1860"/>
        <v>0</v>
      </c>
      <c r="AI930" s="13">
        <f t="shared" si="1860"/>
        <v>0</v>
      </c>
      <c r="AJ930" s="13">
        <f t="shared" si="1860"/>
        <v>1</v>
      </c>
      <c r="AK930" s="13">
        <f t="shared" si="1860"/>
        <v>0</v>
      </c>
      <c r="AL930" s="13">
        <f t="shared" si="1860"/>
        <v>0</v>
      </c>
      <c r="AM930" s="13">
        <f t="shared" si="1860"/>
        <v>0</v>
      </c>
      <c r="AN930" s="13">
        <f t="shared" si="1860"/>
        <v>0</v>
      </c>
      <c r="AO930" s="13">
        <f t="shared" si="1860"/>
        <v>0</v>
      </c>
      <c r="AP930" s="13">
        <f t="shared" si="1860"/>
        <v>0</v>
      </c>
      <c r="AQ930" s="13" t="s">
        <v>5559</v>
      </c>
      <c r="AR930" s="13"/>
      <c r="AS930" s="13" t="s">
        <v>5560</v>
      </c>
      <c r="AT930" s="13"/>
      <c r="AU930" s="13"/>
      <c r="AV930" s="13"/>
      <c r="AW930" s="13">
        <v>0.0</v>
      </c>
      <c r="AX930" s="13">
        <v>18.0</v>
      </c>
      <c r="AY930" s="13">
        <v>0.0</v>
      </c>
      <c r="AZ930" s="13"/>
      <c r="BA930" s="13"/>
      <c r="BB930" s="13"/>
      <c r="BC930" s="13"/>
      <c r="BD930" s="13"/>
      <c r="BE930" s="13"/>
      <c r="BF930" s="13"/>
      <c r="BG930" s="13"/>
      <c r="BH930" s="13" t="s">
        <v>79</v>
      </c>
      <c r="BI930" s="13" t="b">
        <v>0</v>
      </c>
      <c r="BJ930" s="13">
        <v>0.0</v>
      </c>
      <c r="BK930" s="13">
        <v>0.0</v>
      </c>
    </row>
    <row r="931" ht="14.25" customHeight="1">
      <c r="A931" s="13">
        <v>929.0</v>
      </c>
      <c r="B931" s="13" t="s">
        <v>51</v>
      </c>
      <c r="C931" s="13">
        <v>1.0</v>
      </c>
      <c r="D931" s="14">
        <v>0.0</v>
      </c>
      <c r="E931" s="13" t="s">
        <v>5561</v>
      </c>
      <c r="F931" s="15" t="s">
        <v>5523</v>
      </c>
      <c r="G931" s="16" t="s">
        <v>5562</v>
      </c>
      <c r="H931" s="13">
        <v>13.0</v>
      </c>
      <c r="I931" s="13">
        <v>0.9</v>
      </c>
      <c r="J931" s="13" t="s">
        <v>787</v>
      </c>
      <c r="K931" s="13">
        <f t="shared" si="3"/>
        <v>0</v>
      </c>
      <c r="L931" s="13">
        <f t="shared" si="4"/>
        <v>2</v>
      </c>
      <c r="M931" s="13">
        <f t="shared" ref="M931:AA931" si="1861">IFERROR(VALUE(RIGHT(LEFT($J931,FIND(M$1,$J931,1)+LEN(M$1)),1)),0)</f>
        <v>0</v>
      </c>
      <c r="N931" s="13">
        <f t="shared" si="1861"/>
        <v>0</v>
      </c>
      <c r="O931" s="13">
        <f t="shared" si="1861"/>
        <v>0</v>
      </c>
      <c r="P931" s="13">
        <f t="shared" si="1861"/>
        <v>0</v>
      </c>
      <c r="Q931" s="13">
        <f t="shared" si="1861"/>
        <v>0</v>
      </c>
      <c r="R931" s="13">
        <f t="shared" si="1861"/>
        <v>0</v>
      </c>
      <c r="S931" s="13">
        <f t="shared" si="1861"/>
        <v>0</v>
      </c>
      <c r="T931" s="13">
        <f t="shared" si="1861"/>
        <v>0</v>
      </c>
      <c r="U931" s="13">
        <f t="shared" si="1861"/>
        <v>0</v>
      </c>
      <c r="V931" s="13">
        <f t="shared" si="1861"/>
        <v>0</v>
      </c>
      <c r="W931" s="13">
        <f t="shared" si="1861"/>
        <v>0</v>
      </c>
      <c r="X931" s="13">
        <f t="shared" si="1861"/>
        <v>0</v>
      </c>
      <c r="Y931" s="13">
        <f t="shared" si="1861"/>
        <v>0</v>
      </c>
      <c r="Z931" s="13">
        <f t="shared" si="1861"/>
        <v>0</v>
      </c>
      <c r="AA931" s="13">
        <f t="shared" si="1861"/>
        <v>0</v>
      </c>
      <c r="AB931" s="13">
        <f t="shared" ref="AB931:AP931" si="1862">IFERROR(VALUE(RIGHT(LEFT($J931,FIND(AB$1,$J931,IF(M931=0,1,FIND(AB$1,$J931,1)+1))+LEN(AB$1)),1)),0)</f>
        <v>0</v>
      </c>
      <c r="AC931" s="13">
        <f t="shared" si="1862"/>
        <v>0</v>
      </c>
      <c r="AD931" s="13">
        <f t="shared" si="1862"/>
        <v>1</v>
      </c>
      <c r="AE931" s="13">
        <f t="shared" si="1862"/>
        <v>0</v>
      </c>
      <c r="AF931" s="13">
        <f t="shared" si="1862"/>
        <v>0</v>
      </c>
      <c r="AG931" s="13">
        <f t="shared" si="1862"/>
        <v>0</v>
      </c>
      <c r="AH931" s="13">
        <f t="shared" si="1862"/>
        <v>0</v>
      </c>
      <c r="AI931" s="13">
        <f t="shared" si="1862"/>
        <v>0</v>
      </c>
      <c r="AJ931" s="13">
        <f t="shared" si="1862"/>
        <v>0</v>
      </c>
      <c r="AK931" s="13">
        <f t="shared" si="1862"/>
        <v>0</v>
      </c>
      <c r="AL931" s="13">
        <f t="shared" si="1862"/>
        <v>0</v>
      </c>
      <c r="AM931" s="13">
        <f t="shared" si="1862"/>
        <v>0</v>
      </c>
      <c r="AN931" s="13">
        <f t="shared" si="1862"/>
        <v>0</v>
      </c>
      <c r="AO931" s="13">
        <f t="shared" si="1862"/>
        <v>1</v>
      </c>
      <c r="AP931" s="13">
        <f t="shared" si="1862"/>
        <v>0</v>
      </c>
      <c r="AQ931" s="13"/>
      <c r="AR931" s="13" t="s">
        <v>5563</v>
      </c>
      <c r="AS931" s="13" t="s">
        <v>5564</v>
      </c>
      <c r="AT931" s="13" t="s">
        <v>1263</v>
      </c>
      <c r="AU931" s="13" t="s">
        <v>130</v>
      </c>
      <c r="AV931" s="13" t="s">
        <v>751</v>
      </c>
      <c r="AW931" s="13">
        <v>10.0</v>
      </c>
      <c r="AX931" s="13">
        <v>18.0</v>
      </c>
      <c r="AY931" s="13">
        <v>0.0</v>
      </c>
      <c r="AZ931" s="13" t="s">
        <v>482</v>
      </c>
      <c r="BA931" s="13" t="s">
        <v>483</v>
      </c>
      <c r="BB931" s="13"/>
      <c r="BC931" s="13"/>
      <c r="BD931" s="13" t="s">
        <v>282</v>
      </c>
      <c r="BE931" s="13"/>
      <c r="BF931" s="13" t="s">
        <v>4517</v>
      </c>
      <c r="BG931" s="13" t="s">
        <v>284</v>
      </c>
      <c r="BH931" s="13" t="s">
        <v>79</v>
      </c>
      <c r="BI931" s="13" t="b">
        <v>0</v>
      </c>
      <c r="BJ931" s="13">
        <v>0.0</v>
      </c>
      <c r="BK931" s="13">
        <v>0.0</v>
      </c>
    </row>
    <row r="932" ht="14.25" customHeight="1">
      <c r="A932" s="13">
        <v>930.0</v>
      </c>
      <c r="B932" s="13" t="s">
        <v>51</v>
      </c>
      <c r="C932" s="13">
        <v>1.0</v>
      </c>
      <c r="D932" s="14">
        <v>0.0</v>
      </c>
      <c r="E932" s="13" t="s">
        <v>5565</v>
      </c>
      <c r="F932" s="15" t="s">
        <v>5523</v>
      </c>
      <c r="G932" s="16" t="s">
        <v>5566</v>
      </c>
      <c r="H932" s="13">
        <v>14.0</v>
      </c>
      <c r="I932" s="13">
        <v>1.1</v>
      </c>
      <c r="J932" s="13" t="s">
        <v>780</v>
      </c>
      <c r="K932" s="13">
        <f t="shared" si="3"/>
        <v>0</v>
      </c>
      <c r="L932" s="13">
        <f t="shared" si="4"/>
        <v>2</v>
      </c>
      <c r="M932" s="13">
        <f t="shared" ref="M932:AA932" si="1863">IFERROR(VALUE(RIGHT(LEFT($J932,FIND(M$1,$J932,1)+LEN(M$1)),1)),0)</f>
        <v>0</v>
      </c>
      <c r="N932" s="13">
        <f t="shared" si="1863"/>
        <v>0</v>
      </c>
      <c r="O932" s="13">
        <f t="shared" si="1863"/>
        <v>0</v>
      </c>
      <c r="P932" s="13">
        <f t="shared" si="1863"/>
        <v>0</v>
      </c>
      <c r="Q932" s="13">
        <f t="shared" si="1863"/>
        <v>0</v>
      </c>
      <c r="R932" s="13">
        <f t="shared" si="1863"/>
        <v>0</v>
      </c>
      <c r="S932" s="13">
        <f t="shared" si="1863"/>
        <v>0</v>
      </c>
      <c r="T932" s="13">
        <f t="shared" si="1863"/>
        <v>0</v>
      </c>
      <c r="U932" s="13">
        <f t="shared" si="1863"/>
        <v>0</v>
      </c>
      <c r="V932" s="13">
        <f t="shared" si="1863"/>
        <v>0</v>
      </c>
      <c r="W932" s="13">
        <f t="shared" si="1863"/>
        <v>0</v>
      </c>
      <c r="X932" s="13">
        <f t="shared" si="1863"/>
        <v>0</v>
      </c>
      <c r="Y932" s="13">
        <f t="shared" si="1863"/>
        <v>0</v>
      </c>
      <c r="Z932" s="13">
        <f t="shared" si="1863"/>
        <v>0</v>
      </c>
      <c r="AA932" s="13">
        <f t="shared" si="1863"/>
        <v>0</v>
      </c>
      <c r="AB932" s="13">
        <f t="shared" ref="AB932:AP932" si="1864">IFERROR(VALUE(RIGHT(LEFT($J932,FIND(AB$1,$J932,IF(M932=0,1,FIND(AB$1,$J932,1)+1))+LEN(AB$1)),1)),0)</f>
        <v>0</v>
      </c>
      <c r="AC932" s="13">
        <f t="shared" si="1864"/>
        <v>0</v>
      </c>
      <c r="AD932" s="13">
        <f t="shared" si="1864"/>
        <v>0</v>
      </c>
      <c r="AE932" s="13">
        <f t="shared" si="1864"/>
        <v>0</v>
      </c>
      <c r="AF932" s="13">
        <f t="shared" si="1864"/>
        <v>1</v>
      </c>
      <c r="AG932" s="13">
        <f t="shared" si="1864"/>
        <v>0</v>
      </c>
      <c r="AH932" s="13">
        <f t="shared" si="1864"/>
        <v>0</v>
      </c>
      <c r="AI932" s="13">
        <f t="shared" si="1864"/>
        <v>0</v>
      </c>
      <c r="AJ932" s="13">
        <f t="shared" si="1864"/>
        <v>0</v>
      </c>
      <c r="AK932" s="13">
        <f t="shared" si="1864"/>
        <v>0</v>
      </c>
      <c r="AL932" s="13">
        <f t="shared" si="1864"/>
        <v>0</v>
      </c>
      <c r="AM932" s="13">
        <f t="shared" si="1864"/>
        <v>0</v>
      </c>
      <c r="AN932" s="13">
        <f t="shared" si="1864"/>
        <v>0</v>
      </c>
      <c r="AO932" s="13">
        <f t="shared" si="1864"/>
        <v>1</v>
      </c>
      <c r="AP932" s="13">
        <f t="shared" si="1864"/>
        <v>0</v>
      </c>
      <c r="AQ932" s="13"/>
      <c r="AR932" s="13" t="s">
        <v>5567</v>
      </c>
      <c r="AS932" s="13" t="s">
        <v>5568</v>
      </c>
      <c r="AT932" s="13" t="s">
        <v>129</v>
      </c>
      <c r="AU932" s="13" t="s">
        <v>130</v>
      </c>
      <c r="AV932" s="13" t="s">
        <v>3779</v>
      </c>
      <c r="AW932" s="13">
        <v>11.0</v>
      </c>
      <c r="AX932" s="13">
        <v>18.0</v>
      </c>
      <c r="AY932" s="13">
        <v>0.0</v>
      </c>
      <c r="AZ932" s="13" t="s">
        <v>662</v>
      </c>
      <c r="BA932" s="13" t="s">
        <v>2204</v>
      </c>
      <c r="BB932" s="13"/>
      <c r="BC932" s="13"/>
      <c r="BD932" s="13" t="s">
        <v>810</v>
      </c>
      <c r="BE932" s="13"/>
      <c r="BF932" s="13" t="s">
        <v>2470</v>
      </c>
      <c r="BG932" s="13" t="s">
        <v>1823</v>
      </c>
      <c r="BH932" s="13" t="s">
        <v>79</v>
      </c>
      <c r="BI932" s="13" t="b">
        <v>0</v>
      </c>
      <c r="BJ932" s="13">
        <v>0.0</v>
      </c>
      <c r="BK932" s="13">
        <v>0.0</v>
      </c>
    </row>
    <row r="933" ht="14.25" customHeight="1">
      <c r="A933" s="13">
        <v>931.0</v>
      </c>
      <c r="B933" s="13" t="s">
        <v>49</v>
      </c>
      <c r="C933" s="13">
        <v>1.0</v>
      </c>
      <c r="D933" s="14">
        <v>0.0</v>
      </c>
      <c r="E933" s="13" t="s">
        <v>5569</v>
      </c>
      <c r="F933" s="15" t="s">
        <v>5523</v>
      </c>
      <c r="G933" s="16" t="s">
        <v>5570</v>
      </c>
      <c r="H933" s="13">
        <v>12.0</v>
      </c>
      <c r="I933" s="13">
        <v>1.0</v>
      </c>
      <c r="J933" s="13" t="s">
        <v>638</v>
      </c>
      <c r="K933" s="13">
        <f t="shared" si="3"/>
        <v>0</v>
      </c>
      <c r="L933" s="13">
        <f t="shared" si="4"/>
        <v>2</v>
      </c>
      <c r="M933" s="13">
        <f t="shared" ref="M933:AA933" si="1865">IFERROR(VALUE(RIGHT(LEFT($J933,FIND(M$1,$J933,1)+LEN(M$1)),1)),0)</f>
        <v>0</v>
      </c>
      <c r="N933" s="13">
        <f t="shared" si="1865"/>
        <v>0</v>
      </c>
      <c r="O933" s="13">
        <f t="shared" si="1865"/>
        <v>0</v>
      </c>
      <c r="P933" s="13">
        <f t="shared" si="1865"/>
        <v>0</v>
      </c>
      <c r="Q933" s="13">
        <f t="shared" si="1865"/>
        <v>0</v>
      </c>
      <c r="R933" s="13">
        <f t="shared" si="1865"/>
        <v>0</v>
      </c>
      <c r="S933" s="13">
        <f t="shared" si="1865"/>
        <v>0</v>
      </c>
      <c r="T933" s="13">
        <f t="shared" si="1865"/>
        <v>0</v>
      </c>
      <c r="U933" s="13">
        <f t="shared" si="1865"/>
        <v>0</v>
      </c>
      <c r="V933" s="13">
        <f t="shared" si="1865"/>
        <v>0</v>
      </c>
      <c r="W933" s="13">
        <f t="shared" si="1865"/>
        <v>0</v>
      </c>
      <c r="X933" s="13">
        <f t="shared" si="1865"/>
        <v>0</v>
      </c>
      <c r="Y933" s="13">
        <f t="shared" si="1865"/>
        <v>0</v>
      </c>
      <c r="Z933" s="13">
        <f t="shared" si="1865"/>
        <v>0</v>
      </c>
      <c r="AA933" s="13">
        <f t="shared" si="1865"/>
        <v>0</v>
      </c>
      <c r="AB933" s="13">
        <f t="shared" ref="AB933:AP933" si="1866">IFERROR(VALUE(RIGHT(LEFT($J933,FIND(AB$1,$J933,IF(M933=0,1,FIND(AB$1,$J933,1)+1))+LEN(AB$1)),1)),0)</f>
        <v>1</v>
      </c>
      <c r="AC933" s="13">
        <f t="shared" si="1866"/>
        <v>0</v>
      </c>
      <c r="AD933" s="13">
        <f t="shared" si="1866"/>
        <v>0</v>
      </c>
      <c r="AE933" s="13">
        <f t="shared" si="1866"/>
        <v>0</v>
      </c>
      <c r="AF933" s="13">
        <f t="shared" si="1866"/>
        <v>0</v>
      </c>
      <c r="AG933" s="13">
        <f t="shared" si="1866"/>
        <v>0</v>
      </c>
      <c r="AH933" s="13">
        <f t="shared" si="1866"/>
        <v>0</v>
      </c>
      <c r="AI933" s="13">
        <f t="shared" si="1866"/>
        <v>0</v>
      </c>
      <c r="AJ933" s="13">
        <f t="shared" si="1866"/>
        <v>0</v>
      </c>
      <c r="AK933" s="13">
        <f t="shared" si="1866"/>
        <v>0</v>
      </c>
      <c r="AL933" s="13">
        <f t="shared" si="1866"/>
        <v>0</v>
      </c>
      <c r="AM933" s="13">
        <f t="shared" si="1866"/>
        <v>1</v>
      </c>
      <c r="AN933" s="13">
        <f t="shared" si="1866"/>
        <v>0</v>
      </c>
      <c r="AO933" s="13">
        <f t="shared" si="1866"/>
        <v>0</v>
      </c>
      <c r="AP933" s="13">
        <f t="shared" si="1866"/>
        <v>0</v>
      </c>
      <c r="AQ933" s="13"/>
      <c r="AR933" s="13" t="s">
        <v>5571</v>
      </c>
      <c r="AS933" s="13" t="s">
        <v>3413</v>
      </c>
      <c r="AT933" s="13" t="s">
        <v>162</v>
      </c>
      <c r="AU933" s="13" t="s">
        <v>195</v>
      </c>
      <c r="AV933" s="13" t="s">
        <v>654</v>
      </c>
      <c r="AW933" s="13">
        <v>9.0</v>
      </c>
      <c r="AX933" s="13">
        <v>18.0</v>
      </c>
      <c r="AY933" s="13">
        <v>0.0</v>
      </c>
      <c r="AZ933" s="13" t="s">
        <v>679</v>
      </c>
      <c r="BA933" s="13" t="s">
        <v>229</v>
      </c>
      <c r="BB933" s="13"/>
      <c r="BC933" s="13"/>
      <c r="BD933" s="13" t="s">
        <v>199</v>
      </c>
      <c r="BE933" s="13"/>
      <c r="BF933" s="13" t="s">
        <v>2414</v>
      </c>
      <c r="BG933" s="13" t="s">
        <v>201</v>
      </c>
      <c r="BH933" s="13" t="s">
        <v>79</v>
      </c>
      <c r="BI933" s="13" t="b">
        <v>0</v>
      </c>
      <c r="BJ933" s="13">
        <v>0.0</v>
      </c>
      <c r="BK933" s="13">
        <v>0.0</v>
      </c>
    </row>
    <row r="934" ht="14.25" customHeight="1">
      <c r="A934" s="13">
        <v>932.0</v>
      </c>
      <c r="B934" s="13" t="s">
        <v>44</v>
      </c>
      <c r="C934" s="13">
        <v>2.0</v>
      </c>
      <c r="D934" s="14">
        <v>0.0</v>
      </c>
      <c r="E934" s="13" t="s">
        <v>5572</v>
      </c>
      <c r="F934" s="15" t="s">
        <v>5523</v>
      </c>
      <c r="G934" s="16" t="s">
        <v>5573</v>
      </c>
      <c r="H934" s="13"/>
      <c r="I934" s="13">
        <v>1.0</v>
      </c>
      <c r="J934" s="13" t="s">
        <v>2243</v>
      </c>
      <c r="K934" s="13">
        <f t="shared" si="3"/>
        <v>0</v>
      </c>
      <c r="L934" s="13">
        <f t="shared" si="4"/>
        <v>3</v>
      </c>
      <c r="M934" s="13">
        <f t="shared" ref="M934:AA934" si="1867">IFERROR(VALUE(RIGHT(LEFT($J934,FIND(M$1,$J934,1)+LEN(M$1)),1)),0)</f>
        <v>0</v>
      </c>
      <c r="N934" s="13">
        <f t="shared" si="1867"/>
        <v>0</v>
      </c>
      <c r="O934" s="13">
        <f t="shared" si="1867"/>
        <v>0</v>
      </c>
      <c r="P934" s="13">
        <f t="shared" si="1867"/>
        <v>0</v>
      </c>
      <c r="Q934" s="13">
        <f t="shared" si="1867"/>
        <v>0</v>
      </c>
      <c r="R934" s="13">
        <f t="shared" si="1867"/>
        <v>0</v>
      </c>
      <c r="S934" s="13">
        <f t="shared" si="1867"/>
        <v>0</v>
      </c>
      <c r="T934" s="13">
        <f t="shared" si="1867"/>
        <v>0</v>
      </c>
      <c r="U934" s="13">
        <f t="shared" si="1867"/>
        <v>0</v>
      </c>
      <c r="V934" s="13">
        <f t="shared" si="1867"/>
        <v>0</v>
      </c>
      <c r="W934" s="13">
        <f t="shared" si="1867"/>
        <v>0</v>
      </c>
      <c r="X934" s="13">
        <f t="shared" si="1867"/>
        <v>0</v>
      </c>
      <c r="Y934" s="13">
        <f t="shared" si="1867"/>
        <v>0</v>
      </c>
      <c r="Z934" s="13">
        <f t="shared" si="1867"/>
        <v>0</v>
      </c>
      <c r="AA934" s="13">
        <f t="shared" si="1867"/>
        <v>0</v>
      </c>
      <c r="AB934" s="13">
        <f t="shared" ref="AB934:AP934" si="1868">IFERROR(VALUE(RIGHT(LEFT($J934,FIND(AB$1,$J934,IF(M934=0,1,FIND(AB$1,$J934,1)+1))+LEN(AB$1)),1)),0)</f>
        <v>0</v>
      </c>
      <c r="AC934" s="13">
        <f t="shared" si="1868"/>
        <v>0</v>
      </c>
      <c r="AD934" s="13">
        <f t="shared" si="1868"/>
        <v>0</v>
      </c>
      <c r="AE934" s="13">
        <f t="shared" si="1868"/>
        <v>0</v>
      </c>
      <c r="AF934" s="13">
        <f t="shared" si="1868"/>
        <v>1</v>
      </c>
      <c r="AG934" s="13">
        <f t="shared" si="1868"/>
        <v>0</v>
      </c>
      <c r="AH934" s="13">
        <f t="shared" si="1868"/>
        <v>2</v>
      </c>
      <c r="AI934" s="13">
        <f t="shared" si="1868"/>
        <v>0</v>
      </c>
      <c r="AJ934" s="13">
        <f t="shared" si="1868"/>
        <v>0</v>
      </c>
      <c r="AK934" s="13">
        <f t="shared" si="1868"/>
        <v>0</v>
      </c>
      <c r="AL934" s="13">
        <f t="shared" si="1868"/>
        <v>0</v>
      </c>
      <c r="AM934" s="13">
        <f t="shared" si="1868"/>
        <v>0</v>
      </c>
      <c r="AN934" s="13">
        <f t="shared" si="1868"/>
        <v>0</v>
      </c>
      <c r="AO934" s="13">
        <f t="shared" si="1868"/>
        <v>0</v>
      </c>
      <c r="AP934" s="13">
        <f t="shared" si="1868"/>
        <v>0</v>
      </c>
      <c r="AQ934" s="13" t="s">
        <v>5574</v>
      </c>
      <c r="AR934" s="13"/>
      <c r="AS934" s="13" t="s">
        <v>5575</v>
      </c>
      <c r="AT934" s="13"/>
      <c r="AU934" s="13"/>
      <c r="AV934" s="13"/>
      <c r="AW934" s="13">
        <v>0.0</v>
      </c>
      <c r="AX934" s="13">
        <v>18.0</v>
      </c>
      <c r="AY934" s="13">
        <v>0.0</v>
      </c>
      <c r="AZ934" s="13"/>
      <c r="BA934" s="13"/>
      <c r="BB934" s="13"/>
      <c r="BC934" s="13"/>
      <c r="BD934" s="13"/>
      <c r="BE934" s="13"/>
      <c r="BF934" s="13"/>
      <c r="BG934" s="13"/>
      <c r="BH934" s="13" t="s">
        <v>79</v>
      </c>
      <c r="BI934" s="13" t="b">
        <v>0</v>
      </c>
      <c r="BJ934" s="13">
        <v>0.0</v>
      </c>
      <c r="BK934" s="13">
        <v>0.0</v>
      </c>
    </row>
    <row r="935" ht="14.25" customHeight="1">
      <c r="A935" s="13">
        <v>933.0</v>
      </c>
      <c r="B935" s="13" t="s">
        <v>45</v>
      </c>
      <c r="C935" s="13">
        <v>2.0</v>
      </c>
      <c r="D935" s="14">
        <v>0.0</v>
      </c>
      <c r="E935" s="13" t="s">
        <v>5576</v>
      </c>
      <c r="F935" s="15" t="s">
        <v>5523</v>
      </c>
      <c r="G935" s="16" t="s">
        <v>5577</v>
      </c>
      <c r="H935" s="13"/>
      <c r="I935" s="13">
        <v>0.9</v>
      </c>
      <c r="J935" s="13" t="s">
        <v>1021</v>
      </c>
      <c r="K935" s="13">
        <f t="shared" si="3"/>
        <v>0</v>
      </c>
      <c r="L935" s="13">
        <f t="shared" si="4"/>
        <v>3</v>
      </c>
      <c r="M935" s="13">
        <f t="shared" ref="M935:AA935" si="1869">IFERROR(VALUE(RIGHT(LEFT($J935,FIND(M$1,$J935,1)+LEN(M$1)),1)),0)</f>
        <v>0</v>
      </c>
      <c r="N935" s="13">
        <f t="shared" si="1869"/>
        <v>0</v>
      </c>
      <c r="O935" s="13">
        <f t="shared" si="1869"/>
        <v>0</v>
      </c>
      <c r="P935" s="13">
        <f t="shared" si="1869"/>
        <v>0</v>
      </c>
      <c r="Q935" s="13">
        <f t="shared" si="1869"/>
        <v>0</v>
      </c>
      <c r="R935" s="13">
        <f t="shared" si="1869"/>
        <v>0</v>
      </c>
      <c r="S935" s="13">
        <f t="shared" si="1869"/>
        <v>0</v>
      </c>
      <c r="T935" s="13">
        <f t="shared" si="1869"/>
        <v>0</v>
      </c>
      <c r="U935" s="13">
        <f t="shared" si="1869"/>
        <v>0</v>
      </c>
      <c r="V935" s="13">
        <f t="shared" si="1869"/>
        <v>0</v>
      </c>
      <c r="W935" s="13">
        <f t="shared" si="1869"/>
        <v>0</v>
      </c>
      <c r="X935" s="13">
        <f t="shared" si="1869"/>
        <v>0</v>
      </c>
      <c r="Y935" s="13">
        <f t="shared" si="1869"/>
        <v>0</v>
      </c>
      <c r="Z935" s="13">
        <f t="shared" si="1869"/>
        <v>0</v>
      </c>
      <c r="AA935" s="13">
        <f t="shared" si="1869"/>
        <v>0</v>
      </c>
      <c r="AB935" s="13">
        <f t="shared" ref="AB935:AP935" si="1870">IFERROR(VALUE(RIGHT(LEFT($J935,FIND(AB$1,$J935,IF(M935=0,1,FIND(AB$1,$J935,1)+1))+LEN(AB$1)),1)),0)</f>
        <v>0</v>
      </c>
      <c r="AC935" s="13">
        <f t="shared" si="1870"/>
        <v>0</v>
      </c>
      <c r="AD935" s="13">
        <f t="shared" si="1870"/>
        <v>1</v>
      </c>
      <c r="AE935" s="13">
        <f t="shared" si="1870"/>
        <v>0</v>
      </c>
      <c r="AF935" s="13">
        <f t="shared" si="1870"/>
        <v>0</v>
      </c>
      <c r="AG935" s="13">
        <f t="shared" si="1870"/>
        <v>0</v>
      </c>
      <c r="AH935" s="13">
        <f t="shared" si="1870"/>
        <v>0</v>
      </c>
      <c r="AI935" s="13">
        <f t="shared" si="1870"/>
        <v>2</v>
      </c>
      <c r="AJ935" s="13">
        <f t="shared" si="1870"/>
        <v>0</v>
      </c>
      <c r="AK935" s="13">
        <f t="shared" si="1870"/>
        <v>0</v>
      </c>
      <c r="AL935" s="13">
        <f t="shared" si="1870"/>
        <v>0</v>
      </c>
      <c r="AM935" s="13">
        <f t="shared" si="1870"/>
        <v>0</v>
      </c>
      <c r="AN935" s="13">
        <f t="shared" si="1870"/>
        <v>0</v>
      </c>
      <c r="AO935" s="13">
        <f t="shared" si="1870"/>
        <v>0</v>
      </c>
      <c r="AP935" s="13">
        <f t="shared" si="1870"/>
        <v>0</v>
      </c>
      <c r="AQ935" s="13" t="s">
        <v>5578</v>
      </c>
      <c r="AR935" s="13"/>
      <c r="AS935" s="13" t="s">
        <v>5579</v>
      </c>
      <c r="AT935" s="13"/>
      <c r="AU935" s="13"/>
      <c r="AV935" s="13"/>
      <c r="AW935" s="13">
        <v>0.0</v>
      </c>
      <c r="AX935" s="13">
        <v>18.0</v>
      </c>
      <c r="AY935" s="13">
        <v>0.0</v>
      </c>
      <c r="AZ935" s="13"/>
      <c r="BA935" s="13"/>
      <c r="BB935" s="13"/>
      <c r="BC935" s="13"/>
      <c r="BD935" s="13"/>
      <c r="BE935" s="13"/>
      <c r="BF935" s="13"/>
      <c r="BG935" s="13"/>
      <c r="BH935" s="13" t="s">
        <v>79</v>
      </c>
      <c r="BI935" s="13" t="b">
        <v>0</v>
      </c>
      <c r="BJ935" s="13">
        <v>0.0</v>
      </c>
      <c r="BK935" s="13">
        <v>0.0</v>
      </c>
    </row>
    <row r="936" ht="14.25" customHeight="1">
      <c r="A936" s="13">
        <v>934.0</v>
      </c>
      <c r="B936" s="13" t="s">
        <v>46</v>
      </c>
      <c r="C936" s="13">
        <v>2.0</v>
      </c>
      <c r="D936" s="14">
        <v>0.0</v>
      </c>
      <c r="E936" s="13" t="s">
        <v>5580</v>
      </c>
      <c r="F936" s="15" t="s">
        <v>5523</v>
      </c>
      <c r="G936" s="16" t="s">
        <v>5581</v>
      </c>
      <c r="H936" s="13"/>
      <c r="I936" s="13">
        <v>1.0</v>
      </c>
      <c r="J936" s="13" t="s">
        <v>5582</v>
      </c>
      <c r="K936" s="13">
        <f t="shared" si="3"/>
        <v>1</v>
      </c>
      <c r="L936" s="13">
        <f t="shared" si="4"/>
        <v>1</v>
      </c>
      <c r="M936" s="13">
        <f t="shared" ref="M936:AA936" si="1871">IFERROR(VALUE(RIGHT(LEFT($J936,FIND(M$1,$J936,1)+LEN(M$1)),1)),0)</f>
        <v>0</v>
      </c>
      <c r="N936" s="13">
        <f t="shared" si="1871"/>
        <v>0</v>
      </c>
      <c r="O936" s="13">
        <f t="shared" si="1871"/>
        <v>0</v>
      </c>
      <c r="P936" s="13">
        <f t="shared" si="1871"/>
        <v>0</v>
      </c>
      <c r="Q936" s="13">
        <f t="shared" si="1871"/>
        <v>1</v>
      </c>
      <c r="R936" s="13">
        <f t="shared" si="1871"/>
        <v>0</v>
      </c>
      <c r="S936" s="13">
        <f t="shared" si="1871"/>
        <v>0</v>
      </c>
      <c r="T936" s="13">
        <f t="shared" si="1871"/>
        <v>0</v>
      </c>
      <c r="U936" s="13">
        <f t="shared" si="1871"/>
        <v>0</v>
      </c>
      <c r="V936" s="13">
        <f t="shared" si="1871"/>
        <v>0</v>
      </c>
      <c r="W936" s="13">
        <f t="shared" si="1871"/>
        <v>0</v>
      </c>
      <c r="X936" s="13">
        <f t="shared" si="1871"/>
        <v>0</v>
      </c>
      <c r="Y936" s="13">
        <f t="shared" si="1871"/>
        <v>0</v>
      </c>
      <c r="Z936" s="13">
        <f t="shared" si="1871"/>
        <v>0</v>
      </c>
      <c r="AA936" s="13">
        <f t="shared" si="1871"/>
        <v>0</v>
      </c>
      <c r="AB936" s="13">
        <f t="shared" ref="AB936:AP936" si="1872">IFERROR(VALUE(RIGHT(LEFT($J936,FIND(AB$1,$J936,IF(M936=0,1,FIND(AB$1,$J936,1)+1))+LEN(AB$1)),1)),0)</f>
        <v>0</v>
      </c>
      <c r="AC936" s="13">
        <f t="shared" si="1872"/>
        <v>0</v>
      </c>
      <c r="AD936" s="13">
        <f t="shared" si="1872"/>
        <v>0</v>
      </c>
      <c r="AE936" s="13">
        <f t="shared" si="1872"/>
        <v>1</v>
      </c>
      <c r="AF936" s="13">
        <f t="shared" si="1872"/>
        <v>0</v>
      </c>
      <c r="AG936" s="13">
        <f t="shared" si="1872"/>
        <v>0</v>
      </c>
      <c r="AH936" s="13">
        <f t="shared" si="1872"/>
        <v>0</v>
      </c>
      <c r="AI936" s="13">
        <f t="shared" si="1872"/>
        <v>0</v>
      </c>
      <c r="AJ936" s="13">
        <f t="shared" si="1872"/>
        <v>0</v>
      </c>
      <c r="AK936" s="13">
        <f t="shared" si="1872"/>
        <v>0</v>
      </c>
      <c r="AL936" s="13">
        <f t="shared" si="1872"/>
        <v>0</v>
      </c>
      <c r="AM936" s="13">
        <f t="shared" si="1872"/>
        <v>0</v>
      </c>
      <c r="AN936" s="13">
        <f t="shared" si="1872"/>
        <v>0</v>
      </c>
      <c r="AO936" s="13">
        <f t="shared" si="1872"/>
        <v>0</v>
      </c>
      <c r="AP936" s="13">
        <f t="shared" si="1872"/>
        <v>0</v>
      </c>
      <c r="AQ936" s="13" t="s">
        <v>5583</v>
      </c>
      <c r="AR936" s="13"/>
      <c r="AS936" s="13" t="s">
        <v>5584</v>
      </c>
      <c r="AT936" s="13"/>
      <c r="AU936" s="13"/>
      <c r="AV936" s="13"/>
      <c r="AW936" s="13">
        <v>0.0</v>
      </c>
      <c r="AX936" s="13">
        <v>18.0</v>
      </c>
      <c r="AY936" s="13">
        <v>0.0</v>
      </c>
      <c r="AZ936" s="13"/>
      <c r="BA936" s="13"/>
      <c r="BB936" s="13"/>
      <c r="BC936" s="13"/>
      <c r="BD936" s="13"/>
      <c r="BE936" s="13"/>
      <c r="BF936" s="13"/>
      <c r="BG936" s="13"/>
      <c r="BH936" s="13" t="s">
        <v>79</v>
      </c>
      <c r="BI936" s="13" t="b">
        <v>0</v>
      </c>
      <c r="BJ936" s="13">
        <v>0.0</v>
      </c>
      <c r="BK936" s="13">
        <v>0.0</v>
      </c>
    </row>
    <row r="937" ht="14.25" customHeight="1">
      <c r="A937" s="13">
        <v>935.0</v>
      </c>
      <c r="B937" s="13" t="s">
        <v>46</v>
      </c>
      <c r="C937" s="13">
        <v>2.0</v>
      </c>
      <c r="D937" s="14">
        <v>0.0</v>
      </c>
      <c r="E937" s="13" t="s">
        <v>5585</v>
      </c>
      <c r="F937" s="15" t="s">
        <v>5523</v>
      </c>
      <c r="G937" s="16" t="s">
        <v>5586</v>
      </c>
      <c r="H937" s="13"/>
      <c r="I937" s="13">
        <v>1.1</v>
      </c>
      <c r="J937" s="13" t="s">
        <v>3024</v>
      </c>
      <c r="K937" s="13">
        <f t="shared" si="3"/>
        <v>0</v>
      </c>
      <c r="L937" s="13">
        <f t="shared" si="4"/>
        <v>3</v>
      </c>
      <c r="M937" s="13">
        <f t="shared" ref="M937:AA937" si="1873">IFERROR(VALUE(RIGHT(LEFT($J937,FIND(M$1,$J937,1)+LEN(M$1)),1)),0)</f>
        <v>0</v>
      </c>
      <c r="N937" s="13">
        <f t="shared" si="1873"/>
        <v>0</v>
      </c>
      <c r="O937" s="13">
        <f t="shared" si="1873"/>
        <v>0</v>
      </c>
      <c r="P937" s="13">
        <f t="shared" si="1873"/>
        <v>0</v>
      </c>
      <c r="Q937" s="13">
        <f t="shared" si="1873"/>
        <v>0</v>
      </c>
      <c r="R937" s="13">
        <f t="shared" si="1873"/>
        <v>0</v>
      </c>
      <c r="S937" s="13">
        <f t="shared" si="1873"/>
        <v>0</v>
      </c>
      <c r="T937" s="13">
        <f t="shared" si="1873"/>
        <v>0</v>
      </c>
      <c r="U937" s="13">
        <f t="shared" si="1873"/>
        <v>0</v>
      </c>
      <c r="V937" s="13">
        <f t="shared" si="1873"/>
        <v>0</v>
      </c>
      <c r="W937" s="13">
        <f t="shared" si="1873"/>
        <v>0</v>
      </c>
      <c r="X937" s="13">
        <f t="shared" si="1873"/>
        <v>0</v>
      </c>
      <c r="Y937" s="13">
        <f t="shared" si="1873"/>
        <v>0</v>
      </c>
      <c r="Z937" s="13">
        <f t="shared" si="1873"/>
        <v>0</v>
      </c>
      <c r="AA937" s="13">
        <f t="shared" si="1873"/>
        <v>0</v>
      </c>
      <c r="AB937" s="13">
        <f t="shared" ref="AB937:AP937" si="1874">IFERROR(VALUE(RIGHT(LEFT($J937,FIND(AB$1,$J937,IF(M937=0,1,FIND(AB$1,$J937,1)+1))+LEN(AB$1)),1)),0)</f>
        <v>1</v>
      </c>
      <c r="AC937" s="13">
        <f t="shared" si="1874"/>
        <v>0</v>
      </c>
      <c r="AD937" s="13">
        <f t="shared" si="1874"/>
        <v>0</v>
      </c>
      <c r="AE937" s="13">
        <f t="shared" si="1874"/>
        <v>0</v>
      </c>
      <c r="AF937" s="13">
        <f t="shared" si="1874"/>
        <v>0</v>
      </c>
      <c r="AG937" s="13">
        <f t="shared" si="1874"/>
        <v>0</v>
      </c>
      <c r="AH937" s="13">
        <f t="shared" si="1874"/>
        <v>0</v>
      </c>
      <c r="AI937" s="13">
        <f t="shared" si="1874"/>
        <v>0</v>
      </c>
      <c r="AJ937" s="13">
        <f t="shared" si="1874"/>
        <v>2</v>
      </c>
      <c r="AK937" s="13">
        <f t="shared" si="1874"/>
        <v>0</v>
      </c>
      <c r="AL937" s="13">
        <f t="shared" si="1874"/>
        <v>0</v>
      </c>
      <c r="AM937" s="13">
        <f t="shared" si="1874"/>
        <v>0</v>
      </c>
      <c r="AN937" s="13">
        <f t="shared" si="1874"/>
        <v>0</v>
      </c>
      <c r="AO937" s="13">
        <f t="shared" si="1874"/>
        <v>0</v>
      </c>
      <c r="AP937" s="13">
        <f t="shared" si="1874"/>
        <v>0</v>
      </c>
      <c r="AQ937" s="13" t="s">
        <v>5587</v>
      </c>
      <c r="AR937" s="13"/>
      <c r="AS937" s="13" t="s">
        <v>5588</v>
      </c>
      <c r="AT937" s="13"/>
      <c r="AU937" s="13"/>
      <c r="AV937" s="13"/>
      <c r="AW937" s="13">
        <v>0.0</v>
      </c>
      <c r="AX937" s="13">
        <v>18.0</v>
      </c>
      <c r="AY937" s="13">
        <v>0.0</v>
      </c>
      <c r="AZ937" s="13"/>
      <c r="BA937" s="13"/>
      <c r="BB937" s="13"/>
      <c r="BC937" s="13"/>
      <c r="BD937" s="13"/>
      <c r="BE937" s="13"/>
      <c r="BF937" s="13"/>
      <c r="BG937" s="13"/>
      <c r="BH937" s="13" t="s">
        <v>79</v>
      </c>
      <c r="BI937" s="13" t="b">
        <v>0</v>
      </c>
      <c r="BJ937" s="13">
        <v>0.0</v>
      </c>
      <c r="BK937" s="13">
        <v>0.0</v>
      </c>
    </row>
    <row r="938" ht="14.25" customHeight="1">
      <c r="A938" s="13">
        <v>936.0</v>
      </c>
      <c r="B938" s="13" t="s">
        <v>51</v>
      </c>
      <c r="C938" s="13">
        <v>2.0</v>
      </c>
      <c r="D938" s="14">
        <v>0.0</v>
      </c>
      <c r="E938" s="13" t="s">
        <v>5589</v>
      </c>
      <c r="F938" s="15" t="s">
        <v>5523</v>
      </c>
      <c r="G938" s="16" t="s">
        <v>5590</v>
      </c>
      <c r="H938" s="13">
        <v>15.0</v>
      </c>
      <c r="I938" s="13">
        <v>0.9</v>
      </c>
      <c r="J938" s="13" t="s">
        <v>1473</v>
      </c>
      <c r="K938" s="13">
        <f t="shared" si="3"/>
        <v>0</v>
      </c>
      <c r="L938" s="13">
        <f t="shared" si="4"/>
        <v>3</v>
      </c>
      <c r="M938" s="13">
        <f t="shared" ref="M938:AA938" si="1875">IFERROR(VALUE(RIGHT(LEFT($J938,FIND(M$1,$J938,1)+LEN(M$1)),1)),0)</f>
        <v>0</v>
      </c>
      <c r="N938" s="13">
        <f t="shared" si="1875"/>
        <v>0</v>
      </c>
      <c r="O938" s="13">
        <f t="shared" si="1875"/>
        <v>0</v>
      </c>
      <c r="P938" s="13">
        <f t="shared" si="1875"/>
        <v>0</v>
      </c>
      <c r="Q938" s="13">
        <f t="shared" si="1875"/>
        <v>0</v>
      </c>
      <c r="R938" s="13">
        <f t="shared" si="1875"/>
        <v>0</v>
      </c>
      <c r="S938" s="13">
        <f t="shared" si="1875"/>
        <v>0</v>
      </c>
      <c r="T938" s="13">
        <f t="shared" si="1875"/>
        <v>0</v>
      </c>
      <c r="U938" s="13">
        <f t="shared" si="1875"/>
        <v>0</v>
      </c>
      <c r="V938" s="13">
        <f t="shared" si="1875"/>
        <v>0</v>
      </c>
      <c r="W938" s="13">
        <f t="shared" si="1875"/>
        <v>0</v>
      </c>
      <c r="X938" s="13">
        <f t="shared" si="1875"/>
        <v>0</v>
      </c>
      <c r="Y938" s="13">
        <f t="shared" si="1875"/>
        <v>0</v>
      </c>
      <c r="Z938" s="13">
        <f t="shared" si="1875"/>
        <v>0</v>
      </c>
      <c r="AA938" s="13">
        <f t="shared" si="1875"/>
        <v>0</v>
      </c>
      <c r="AB938" s="13">
        <f t="shared" ref="AB938:AP938" si="1876">IFERROR(VALUE(RIGHT(LEFT($J938,FIND(AB$1,$J938,IF(M938=0,1,FIND(AB$1,$J938,1)+1))+LEN(AB$1)),1)),0)</f>
        <v>0</v>
      </c>
      <c r="AC938" s="13">
        <f t="shared" si="1876"/>
        <v>0</v>
      </c>
      <c r="AD938" s="13">
        <f t="shared" si="1876"/>
        <v>0</v>
      </c>
      <c r="AE938" s="13">
        <f t="shared" si="1876"/>
        <v>0</v>
      </c>
      <c r="AF938" s="13">
        <f t="shared" si="1876"/>
        <v>1</v>
      </c>
      <c r="AG938" s="13">
        <f t="shared" si="1876"/>
        <v>0</v>
      </c>
      <c r="AH938" s="13">
        <f t="shared" si="1876"/>
        <v>0</v>
      </c>
      <c r="AI938" s="13">
        <f t="shared" si="1876"/>
        <v>0</v>
      </c>
      <c r="AJ938" s="13">
        <f t="shared" si="1876"/>
        <v>0</v>
      </c>
      <c r="AK938" s="13">
        <f t="shared" si="1876"/>
        <v>0</v>
      </c>
      <c r="AL938" s="13">
        <f t="shared" si="1876"/>
        <v>0</v>
      </c>
      <c r="AM938" s="13">
        <f t="shared" si="1876"/>
        <v>0</v>
      </c>
      <c r="AN938" s="13">
        <f t="shared" si="1876"/>
        <v>0</v>
      </c>
      <c r="AO938" s="13">
        <f t="shared" si="1876"/>
        <v>2</v>
      </c>
      <c r="AP938" s="13">
        <f t="shared" si="1876"/>
        <v>0</v>
      </c>
      <c r="AQ938" s="13"/>
      <c r="AR938" s="13" t="s">
        <v>5591</v>
      </c>
      <c r="AS938" s="13" t="s">
        <v>5592</v>
      </c>
      <c r="AT938" s="13" t="s">
        <v>1319</v>
      </c>
      <c r="AU938" s="13" t="s">
        <v>130</v>
      </c>
      <c r="AV938" s="13" t="s">
        <v>5593</v>
      </c>
      <c r="AW938" s="13">
        <v>14.0</v>
      </c>
      <c r="AX938" s="13">
        <v>18.0</v>
      </c>
      <c r="AY938" s="13">
        <v>0.0</v>
      </c>
      <c r="AZ938" s="13" t="s">
        <v>5594</v>
      </c>
      <c r="BA938" s="13" t="s">
        <v>1427</v>
      </c>
      <c r="BB938" s="13"/>
      <c r="BC938" s="13"/>
      <c r="BD938" s="13" t="s">
        <v>282</v>
      </c>
      <c r="BE938" s="13"/>
      <c r="BF938" s="13" t="s">
        <v>4321</v>
      </c>
      <c r="BG938" s="13" t="s">
        <v>284</v>
      </c>
      <c r="BH938" s="13" t="s">
        <v>79</v>
      </c>
      <c r="BI938" s="13" t="b">
        <v>0</v>
      </c>
      <c r="BJ938" s="13">
        <v>0.0</v>
      </c>
      <c r="BK938" s="13">
        <v>0.0</v>
      </c>
    </row>
    <row r="939" ht="14.25" customHeight="1">
      <c r="A939" s="13">
        <v>937.0</v>
      </c>
      <c r="B939" s="13" t="s">
        <v>51</v>
      </c>
      <c r="C939" s="13">
        <v>2.0</v>
      </c>
      <c r="D939" s="14">
        <v>0.0</v>
      </c>
      <c r="E939" s="13" t="s">
        <v>5595</v>
      </c>
      <c r="F939" s="15" t="s">
        <v>5523</v>
      </c>
      <c r="G939" s="16" t="s">
        <v>5596</v>
      </c>
      <c r="H939" s="13">
        <v>17.0</v>
      </c>
      <c r="I939" s="13">
        <v>1.1</v>
      </c>
      <c r="J939" s="13" t="s">
        <v>5289</v>
      </c>
      <c r="K939" s="13">
        <f t="shared" si="3"/>
        <v>0</v>
      </c>
      <c r="L939" s="13">
        <f t="shared" si="4"/>
        <v>3</v>
      </c>
      <c r="M939" s="13">
        <f t="shared" ref="M939:AA939" si="1877">IFERROR(VALUE(RIGHT(LEFT($J939,FIND(M$1,$J939,1)+LEN(M$1)),1)),0)</f>
        <v>0</v>
      </c>
      <c r="N939" s="13">
        <f t="shared" si="1877"/>
        <v>0</v>
      </c>
      <c r="O939" s="13">
        <f t="shared" si="1877"/>
        <v>0</v>
      </c>
      <c r="P939" s="13">
        <f t="shared" si="1877"/>
        <v>0</v>
      </c>
      <c r="Q939" s="13">
        <f t="shared" si="1877"/>
        <v>0</v>
      </c>
      <c r="R939" s="13">
        <f t="shared" si="1877"/>
        <v>0</v>
      </c>
      <c r="S939" s="13">
        <f t="shared" si="1877"/>
        <v>0</v>
      </c>
      <c r="T939" s="13">
        <f t="shared" si="1877"/>
        <v>0</v>
      </c>
      <c r="U939" s="13">
        <f t="shared" si="1877"/>
        <v>0</v>
      </c>
      <c r="V939" s="13">
        <f t="shared" si="1877"/>
        <v>0</v>
      </c>
      <c r="W939" s="13">
        <f t="shared" si="1877"/>
        <v>0</v>
      </c>
      <c r="X939" s="13">
        <f t="shared" si="1877"/>
        <v>0</v>
      </c>
      <c r="Y939" s="13">
        <f t="shared" si="1877"/>
        <v>0</v>
      </c>
      <c r="Z939" s="13">
        <f t="shared" si="1877"/>
        <v>0</v>
      </c>
      <c r="AA939" s="13">
        <f t="shared" si="1877"/>
        <v>0</v>
      </c>
      <c r="AB939" s="13">
        <f t="shared" ref="AB939:AP939" si="1878">IFERROR(VALUE(RIGHT(LEFT($J939,FIND(AB$1,$J939,IF(M939=0,1,FIND(AB$1,$J939,1)+1))+LEN(AB$1)),1)),0)</f>
        <v>0</v>
      </c>
      <c r="AC939" s="13">
        <f t="shared" si="1878"/>
        <v>0</v>
      </c>
      <c r="AD939" s="13">
        <f t="shared" si="1878"/>
        <v>2</v>
      </c>
      <c r="AE939" s="13">
        <f t="shared" si="1878"/>
        <v>0</v>
      </c>
      <c r="AF939" s="13">
        <f t="shared" si="1878"/>
        <v>0</v>
      </c>
      <c r="AG939" s="13">
        <f t="shared" si="1878"/>
        <v>0</v>
      </c>
      <c r="AH939" s="13">
        <f t="shared" si="1878"/>
        <v>0</v>
      </c>
      <c r="AI939" s="13">
        <f t="shared" si="1878"/>
        <v>0</v>
      </c>
      <c r="AJ939" s="13">
        <f t="shared" si="1878"/>
        <v>0</v>
      </c>
      <c r="AK939" s="13">
        <f t="shared" si="1878"/>
        <v>0</v>
      </c>
      <c r="AL939" s="13">
        <f t="shared" si="1878"/>
        <v>0</v>
      </c>
      <c r="AM939" s="13">
        <f t="shared" si="1878"/>
        <v>0</v>
      </c>
      <c r="AN939" s="13">
        <f t="shared" si="1878"/>
        <v>0</v>
      </c>
      <c r="AO939" s="13">
        <f t="shared" si="1878"/>
        <v>1</v>
      </c>
      <c r="AP939" s="13">
        <f t="shared" si="1878"/>
        <v>0</v>
      </c>
      <c r="AQ939" s="13"/>
      <c r="AR939" s="13" t="s">
        <v>5597</v>
      </c>
      <c r="AS939" s="13" t="s">
        <v>5598</v>
      </c>
      <c r="AT939" s="13" t="s">
        <v>142</v>
      </c>
      <c r="AU939" s="13" t="s">
        <v>143</v>
      </c>
      <c r="AV939" s="13" t="s">
        <v>1173</v>
      </c>
      <c r="AW939" s="13">
        <v>16.0</v>
      </c>
      <c r="AX939" s="13">
        <v>18.0</v>
      </c>
      <c r="AY939" s="13">
        <v>0.0</v>
      </c>
      <c r="AZ939" s="13" t="s">
        <v>1821</v>
      </c>
      <c r="BA939" s="13" t="s">
        <v>1266</v>
      </c>
      <c r="BB939" s="13"/>
      <c r="BC939" s="13"/>
      <c r="BD939" s="13" t="s">
        <v>1822</v>
      </c>
      <c r="BE939" s="13"/>
      <c r="BF939" s="13" t="s">
        <v>849</v>
      </c>
      <c r="BG939" s="13" t="s">
        <v>1823</v>
      </c>
      <c r="BH939" s="13" t="s">
        <v>79</v>
      </c>
      <c r="BI939" s="13" t="b">
        <v>0</v>
      </c>
      <c r="BJ939" s="13">
        <v>0.0</v>
      </c>
      <c r="BK939" s="13">
        <v>0.0</v>
      </c>
    </row>
    <row r="940" ht="14.25" customHeight="1">
      <c r="A940" s="13">
        <v>938.0</v>
      </c>
      <c r="B940" s="13" t="s">
        <v>49</v>
      </c>
      <c r="C940" s="13">
        <v>2.0</v>
      </c>
      <c r="D940" s="14">
        <v>0.0</v>
      </c>
      <c r="E940" s="13" t="s">
        <v>5599</v>
      </c>
      <c r="F940" s="15" t="s">
        <v>5523</v>
      </c>
      <c r="G940" s="16" t="s">
        <v>5600</v>
      </c>
      <c r="H940" s="13">
        <v>16.0</v>
      </c>
      <c r="I940" s="13">
        <v>1.0</v>
      </c>
      <c r="J940" s="13" t="s">
        <v>1270</v>
      </c>
      <c r="K940" s="13">
        <f t="shared" si="3"/>
        <v>0</v>
      </c>
      <c r="L940" s="13">
        <f t="shared" si="4"/>
        <v>3</v>
      </c>
      <c r="M940" s="13">
        <f t="shared" ref="M940:AA940" si="1879">IFERROR(VALUE(RIGHT(LEFT($J940,FIND(M$1,$J940,1)+LEN(M$1)),1)),0)</f>
        <v>0</v>
      </c>
      <c r="N940" s="13">
        <f t="shared" si="1879"/>
        <v>0</v>
      </c>
      <c r="O940" s="13">
        <f t="shared" si="1879"/>
        <v>0</v>
      </c>
      <c r="P940" s="13">
        <f t="shared" si="1879"/>
        <v>0</v>
      </c>
      <c r="Q940" s="13">
        <f t="shared" si="1879"/>
        <v>0</v>
      </c>
      <c r="R940" s="13">
        <f t="shared" si="1879"/>
        <v>0</v>
      </c>
      <c r="S940" s="13">
        <f t="shared" si="1879"/>
        <v>0</v>
      </c>
      <c r="T940" s="13">
        <f t="shared" si="1879"/>
        <v>0</v>
      </c>
      <c r="U940" s="13">
        <f t="shared" si="1879"/>
        <v>0</v>
      </c>
      <c r="V940" s="13">
        <f t="shared" si="1879"/>
        <v>0</v>
      </c>
      <c r="W940" s="13">
        <f t="shared" si="1879"/>
        <v>0</v>
      </c>
      <c r="X940" s="13">
        <f t="shared" si="1879"/>
        <v>0</v>
      </c>
      <c r="Y940" s="13">
        <f t="shared" si="1879"/>
        <v>0</v>
      </c>
      <c r="Z940" s="13">
        <f t="shared" si="1879"/>
        <v>0</v>
      </c>
      <c r="AA940" s="13">
        <f t="shared" si="1879"/>
        <v>0</v>
      </c>
      <c r="AB940" s="13">
        <f t="shared" ref="AB940:AP940" si="1880">IFERROR(VALUE(RIGHT(LEFT($J940,FIND(AB$1,$J940,IF(M940=0,1,FIND(AB$1,$J940,1)+1))+LEN(AB$1)),1)),0)</f>
        <v>1</v>
      </c>
      <c r="AC940" s="13">
        <f t="shared" si="1880"/>
        <v>0</v>
      </c>
      <c r="AD940" s="13">
        <f t="shared" si="1880"/>
        <v>0</v>
      </c>
      <c r="AE940" s="13">
        <f t="shared" si="1880"/>
        <v>0</v>
      </c>
      <c r="AF940" s="13">
        <f t="shared" si="1880"/>
        <v>0</v>
      </c>
      <c r="AG940" s="13">
        <f t="shared" si="1880"/>
        <v>0</v>
      </c>
      <c r="AH940" s="13">
        <f t="shared" si="1880"/>
        <v>0</v>
      </c>
      <c r="AI940" s="13">
        <f t="shared" si="1880"/>
        <v>0</v>
      </c>
      <c r="AJ940" s="13">
        <f t="shared" si="1880"/>
        <v>0</v>
      </c>
      <c r="AK940" s="13">
        <f t="shared" si="1880"/>
        <v>0</v>
      </c>
      <c r="AL940" s="13">
        <f t="shared" si="1880"/>
        <v>0</v>
      </c>
      <c r="AM940" s="13">
        <f t="shared" si="1880"/>
        <v>2</v>
      </c>
      <c r="AN940" s="13">
        <f t="shared" si="1880"/>
        <v>0</v>
      </c>
      <c r="AO940" s="13">
        <f t="shared" si="1880"/>
        <v>0</v>
      </c>
      <c r="AP940" s="13">
        <f t="shared" si="1880"/>
        <v>0</v>
      </c>
      <c r="AQ940" s="13"/>
      <c r="AR940" s="13" t="s">
        <v>5601</v>
      </c>
      <c r="AS940" s="13" t="s">
        <v>4688</v>
      </c>
      <c r="AT940" s="13" t="s">
        <v>162</v>
      </c>
      <c r="AU940" s="13" t="s">
        <v>195</v>
      </c>
      <c r="AV940" s="13" t="s">
        <v>5602</v>
      </c>
      <c r="AW940" s="13">
        <v>15.0</v>
      </c>
      <c r="AX940" s="13">
        <v>18.0</v>
      </c>
      <c r="AY940" s="13">
        <v>0.0</v>
      </c>
      <c r="AZ940" s="13" t="s">
        <v>2840</v>
      </c>
      <c r="BA940" s="13" t="s">
        <v>2841</v>
      </c>
      <c r="BB940" s="13"/>
      <c r="BC940" s="13"/>
      <c r="BD940" s="13" t="s">
        <v>199</v>
      </c>
      <c r="BE940" s="13"/>
      <c r="BF940" s="13" t="s">
        <v>4298</v>
      </c>
      <c r="BG940" s="13" t="s">
        <v>201</v>
      </c>
      <c r="BH940" s="13" t="s">
        <v>79</v>
      </c>
      <c r="BI940" s="13" t="b">
        <v>0</v>
      </c>
      <c r="BJ940" s="13">
        <v>0.0</v>
      </c>
      <c r="BK940" s="13">
        <v>0.0</v>
      </c>
    </row>
    <row r="941" ht="14.25" customHeight="1">
      <c r="A941" s="13">
        <v>939.0</v>
      </c>
      <c r="B941" s="13" t="s">
        <v>44</v>
      </c>
      <c r="C941" s="13">
        <v>3.0</v>
      </c>
      <c r="D941" s="14">
        <v>0.0</v>
      </c>
      <c r="E941" s="13" t="s">
        <v>5603</v>
      </c>
      <c r="F941" s="15" t="s">
        <v>5523</v>
      </c>
      <c r="G941" s="16" t="s">
        <v>5604</v>
      </c>
      <c r="H941" s="13"/>
      <c r="I941" s="13">
        <v>1.0</v>
      </c>
      <c r="J941" s="13" t="s">
        <v>1564</v>
      </c>
      <c r="K941" s="13">
        <f t="shared" si="3"/>
        <v>1</v>
      </c>
      <c r="L941" s="13">
        <f t="shared" si="4"/>
        <v>2</v>
      </c>
      <c r="M941" s="13">
        <f t="shared" ref="M941:AA941" si="1881">IFERROR(VALUE(RIGHT(LEFT($J941,FIND(M$1,$J941,1)+LEN(M$1)),1)),0)</f>
        <v>0</v>
      </c>
      <c r="N941" s="13">
        <f t="shared" si="1881"/>
        <v>0</v>
      </c>
      <c r="O941" s="13">
        <f t="shared" si="1881"/>
        <v>0</v>
      </c>
      <c r="P941" s="13">
        <f t="shared" si="1881"/>
        <v>0</v>
      </c>
      <c r="Q941" s="13">
        <f t="shared" si="1881"/>
        <v>0</v>
      </c>
      <c r="R941" s="13">
        <f t="shared" si="1881"/>
        <v>0</v>
      </c>
      <c r="S941" s="13">
        <f t="shared" si="1881"/>
        <v>1</v>
      </c>
      <c r="T941" s="13">
        <f t="shared" si="1881"/>
        <v>0</v>
      </c>
      <c r="U941" s="13">
        <f t="shared" si="1881"/>
        <v>0</v>
      </c>
      <c r="V941" s="13">
        <f t="shared" si="1881"/>
        <v>0</v>
      </c>
      <c r="W941" s="13">
        <f t="shared" si="1881"/>
        <v>0</v>
      </c>
      <c r="X941" s="13">
        <f t="shared" si="1881"/>
        <v>0</v>
      </c>
      <c r="Y941" s="13">
        <f t="shared" si="1881"/>
        <v>0</v>
      </c>
      <c r="Z941" s="13">
        <f t="shared" si="1881"/>
        <v>0</v>
      </c>
      <c r="AA941" s="13">
        <f t="shared" si="1881"/>
        <v>0</v>
      </c>
      <c r="AB941" s="13">
        <f t="shared" ref="AB941:AP941" si="1882">IFERROR(VALUE(RIGHT(LEFT($J941,FIND(AB$1,$J941,IF(M941=0,1,FIND(AB$1,$J941,1)+1))+LEN(AB$1)),1)),0)</f>
        <v>1</v>
      </c>
      <c r="AC941" s="13">
        <f t="shared" si="1882"/>
        <v>0</v>
      </c>
      <c r="AD941" s="13">
        <f t="shared" si="1882"/>
        <v>0</v>
      </c>
      <c r="AE941" s="13">
        <f t="shared" si="1882"/>
        <v>0</v>
      </c>
      <c r="AF941" s="13">
        <f t="shared" si="1882"/>
        <v>0</v>
      </c>
      <c r="AG941" s="13">
        <f t="shared" si="1882"/>
        <v>0</v>
      </c>
      <c r="AH941" s="13">
        <f t="shared" si="1882"/>
        <v>1</v>
      </c>
      <c r="AI941" s="13">
        <f t="shared" si="1882"/>
        <v>0</v>
      </c>
      <c r="AJ941" s="13">
        <f t="shared" si="1882"/>
        <v>0</v>
      </c>
      <c r="AK941" s="13">
        <f t="shared" si="1882"/>
        <v>0</v>
      </c>
      <c r="AL941" s="13">
        <f t="shared" si="1882"/>
        <v>0</v>
      </c>
      <c r="AM941" s="13">
        <f t="shared" si="1882"/>
        <v>0</v>
      </c>
      <c r="AN941" s="13">
        <f t="shared" si="1882"/>
        <v>0</v>
      </c>
      <c r="AO941" s="13">
        <f t="shared" si="1882"/>
        <v>0</v>
      </c>
      <c r="AP941" s="13">
        <f t="shared" si="1882"/>
        <v>0</v>
      </c>
      <c r="AQ941" s="13" t="s">
        <v>5605</v>
      </c>
      <c r="AR941" s="13"/>
      <c r="AS941" s="13" t="s">
        <v>5606</v>
      </c>
      <c r="AT941" s="13"/>
      <c r="AU941" s="13"/>
      <c r="AV941" s="13"/>
      <c r="AW941" s="13">
        <v>0.0</v>
      </c>
      <c r="AX941" s="13">
        <v>18.0</v>
      </c>
      <c r="AY941" s="13">
        <v>0.0</v>
      </c>
      <c r="AZ941" s="13"/>
      <c r="BA941" s="13"/>
      <c r="BB941" s="13"/>
      <c r="BC941" s="13"/>
      <c r="BD941" s="13"/>
      <c r="BE941" s="13"/>
      <c r="BF941" s="13"/>
      <c r="BG941" s="13"/>
      <c r="BH941" s="13" t="s">
        <v>79</v>
      </c>
      <c r="BI941" s="13" t="b">
        <v>0</v>
      </c>
      <c r="BJ941" s="13">
        <v>0.0</v>
      </c>
      <c r="BK941" s="13">
        <v>0.0</v>
      </c>
    </row>
    <row r="942" ht="14.25" customHeight="1">
      <c r="A942" s="13">
        <v>940.0</v>
      </c>
      <c r="B942" s="13" t="s">
        <v>45</v>
      </c>
      <c r="C942" s="13">
        <v>3.0</v>
      </c>
      <c r="D942" s="14">
        <v>0.0</v>
      </c>
      <c r="E942" s="13" t="s">
        <v>5607</v>
      </c>
      <c r="F942" s="15" t="s">
        <v>5523</v>
      </c>
      <c r="G942" s="16" t="s">
        <v>5608</v>
      </c>
      <c r="H942" s="13"/>
      <c r="I942" s="13">
        <v>0.9</v>
      </c>
      <c r="J942" s="13" t="s">
        <v>2680</v>
      </c>
      <c r="K942" s="13">
        <f t="shared" si="3"/>
        <v>1</v>
      </c>
      <c r="L942" s="13">
        <f t="shared" si="4"/>
        <v>2</v>
      </c>
      <c r="M942" s="13">
        <f t="shared" ref="M942:AA942" si="1883">IFERROR(VALUE(RIGHT(LEFT($J942,FIND(M$1,$J942,1)+LEN(M$1)),1)),0)</f>
        <v>0</v>
      </c>
      <c r="N942" s="13">
        <f t="shared" si="1883"/>
        <v>0</v>
      </c>
      <c r="O942" s="13">
        <f t="shared" si="1883"/>
        <v>0</v>
      </c>
      <c r="P942" s="13">
        <f t="shared" si="1883"/>
        <v>0</v>
      </c>
      <c r="Q942" s="13">
        <f t="shared" si="1883"/>
        <v>0</v>
      </c>
      <c r="R942" s="13">
        <f t="shared" si="1883"/>
        <v>0</v>
      </c>
      <c r="S942" s="13">
        <f t="shared" si="1883"/>
        <v>0</v>
      </c>
      <c r="T942" s="13">
        <f t="shared" si="1883"/>
        <v>1</v>
      </c>
      <c r="U942" s="13">
        <f t="shared" si="1883"/>
        <v>0</v>
      </c>
      <c r="V942" s="13">
        <f t="shared" si="1883"/>
        <v>0</v>
      </c>
      <c r="W942" s="13">
        <f t="shared" si="1883"/>
        <v>0</v>
      </c>
      <c r="X942" s="13">
        <f t="shared" si="1883"/>
        <v>0</v>
      </c>
      <c r="Y942" s="13">
        <f t="shared" si="1883"/>
        <v>0</v>
      </c>
      <c r="Z942" s="13">
        <f t="shared" si="1883"/>
        <v>0</v>
      </c>
      <c r="AA942" s="13">
        <f t="shared" si="1883"/>
        <v>0</v>
      </c>
      <c r="AB942" s="13">
        <f t="shared" ref="AB942:AP942" si="1884">IFERROR(VALUE(RIGHT(LEFT($J942,FIND(AB$1,$J942,IF(M942=0,1,FIND(AB$1,$J942,1)+1))+LEN(AB$1)),1)),0)</f>
        <v>0</v>
      </c>
      <c r="AC942" s="13">
        <f t="shared" si="1884"/>
        <v>0</v>
      </c>
      <c r="AD942" s="13">
        <f t="shared" si="1884"/>
        <v>0</v>
      </c>
      <c r="AE942" s="13">
        <f t="shared" si="1884"/>
        <v>0</v>
      </c>
      <c r="AF942" s="13">
        <f t="shared" si="1884"/>
        <v>1</v>
      </c>
      <c r="AG942" s="13">
        <f t="shared" si="1884"/>
        <v>0</v>
      </c>
      <c r="AH942" s="13">
        <f t="shared" si="1884"/>
        <v>0</v>
      </c>
      <c r="AI942" s="13">
        <f t="shared" si="1884"/>
        <v>1</v>
      </c>
      <c r="AJ942" s="13">
        <f t="shared" si="1884"/>
        <v>0</v>
      </c>
      <c r="AK942" s="13">
        <f t="shared" si="1884"/>
        <v>0</v>
      </c>
      <c r="AL942" s="13">
        <f t="shared" si="1884"/>
        <v>0</v>
      </c>
      <c r="AM942" s="13">
        <f t="shared" si="1884"/>
        <v>0</v>
      </c>
      <c r="AN942" s="13">
        <f t="shared" si="1884"/>
        <v>0</v>
      </c>
      <c r="AO942" s="13">
        <f t="shared" si="1884"/>
        <v>0</v>
      </c>
      <c r="AP942" s="13">
        <f t="shared" si="1884"/>
        <v>0</v>
      </c>
      <c r="AQ942" s="13" t="s">
        <v>5609</v>
      </c>
      <c r="AR942" s="13"/>
      <c r="AS942" s="13" t="s">
        <v>5610</v>
      </c>
      <c r="AT942" s="13"/>
      <c r="AU942" s="13"/>
      <c r="AV942" s="13"/>
      <c r="AW942" s="13">
        <v>0.0</v>
      </c>
      <c r="AX942" s="13">
        <v>18.0</v>
      </c>
      <c r="AY942" s="13">
        <v>0.0</v>
      </c>
      <c r="AZ942" s="13"/>
      <c r="BA942" s="13"/>
      <c r="BB942" s="13"/>
      <c r="BC942" s="13"/>
      <c r="BD942" s="13"/>
      <c r="BE942" s="13"/>
      <c r="BF942" s="13"/>
      <c r="BG942" s="13"/>
      <c r="BH942" s="13" t="s">
        <v>79</v>
      </c>
      <c r="BI942" s="13" t="b">
        <v>0</v>
      </c>
      <c r="BJ942" s="13">
        <v>0.0</v>
      </c>
      <c r="BK942" s="13">
        <v>0.0</v>
      </c>
    </row>
    <row r="943" ht="14.25" customHeight="1">
      <c r="A943" s="13">
        <v>941.0</v>
      </c>
      <c r="B943" s="13" t="s">
        <v>46</v>
      </c>
      <c r="C943" s="13">
        <v>3.0</v>
      </c>
      <c r="D943" s="14">
        <v>0.0</v>
      </c>
      <c r="E943" s="13" t="s">
        <v>5611</v>
      </c>
      <c r="F943" s="15" t="s">
        <v>5523</v>
      </c>
      <c r="G943" s="16" t="s">
        <v>5612</v>
      </c>
      <c r="H943" s="13"/>
      <c r="I943" s="13">
        <v>1.0</v>
      </c>
      <c r="J943" s="13" t="s">
        <v>5613</v>
      </c>
      <c r="K943" s="13">
        <f t="shared" si="3"/>
        <v>2</v>
      </c>
      <c r="L943" s="13">
        <f t="shared" si="4"/>
        <v>0</v>
      </c>
      <c r="M943" s="13">
        <f t="shared" ref="M943:AA943" si="1885">IFERROR(VALUE(RIGHT(LEFT($J943,FIND(M$1,$J943,1)+LEN(M$1)),1)),0)</f>
        <v>2</v>
      </c>
      <c r="N943" s="13">
        <f t="shared" si="1885"/>
        <v>0</v>
      </c>
      <c r="O943" s="13">
        <f t="shared" si="1885"/>
        <v>0</v>
      </c>
      <c r="P943" s="13">
        <f t="shared" si="1885"/>
        <v>0</v>
      </c>
      <c r="Q943" s="13">
        <f t="shared" si="1885"/>
        <v>0</v>
      </c>
      <c r="R943" s="13">
        <f t="shared" si="1885"/>
        <v>0</v>
      </c>
      <c r="S943" s="13">
        <f t="shared" si="1885"/>
        <v>0</v>
      </c>
      <c r="T943" s="13">
        <f t="shared" si="1885"/>
        <v>0</v>
      </c>
      <c r="U943" s="13">
        <f t="shared" si="1885"/>
        <v>0</v>
      </c>
      <c r="V943" s="13">
        <f t="shared" si="1885"/>
        <v>0</v>
      </c>
      <c r="W943" s="13">
        <f t="shared" si="1885"/>
        <v>0</v>
      </c>
      <c r="X943" s="13">
        <f t="shared" si="1885"/>
        <v>0</v>
      </c>
      <c r="Y943" s="13">
        <f t="shared" si="1885"/>
        <v>0</v>
      </c>
      <c r="Z943" s="13">
        <f t="shared" si="1885"/>
        <v>0</v>
      </c>
      <c r="AA943" s="13">
        <f t="shared" si="1885"/>
        <v>0</v>
      </c>
      <c r="AB943" s="13">
        <f t="shared" ref="AB943:AP943" si="1886">IFERROR(VALUE(RIGHT(LEFT($J943,FIND(AB$1,$J943,IF(M943=0,1,FIND(AB$1,$J943,1)+1))+LEN(AB$1)),1)),0)</f>
        <v>0</v>
      </c>
      <c r="AC943" s="13">
        <f t="shared" si="1886"/>
        <v>0</v>
      </c>
      <c r="AD943" s="13">
        <f t="shared" si="1886"/>
        <v>0</v>
      </c>
      <c r="AE943" s="13">
        <f t="shared" si="1886"/>
        <v>0</v>
      </c>
      <c r="AF943" s="13">
        <f t="shared" si="1886"/>
        <v>0</v>
      </c>
      <c r="AG943" s="13">
        <f t="shared" si="1886"/>
        <v>0</v>
      </c>
      <c r="AH943" s="13">
        <f t="shared" si="1886"/>
        <v>0</v>
      </c>
      <c r="AI943" s="13">
        <f t="shared" si="1886"/>
        <v>0</v>
      </c>
      <c r="AJ943" s="13">
        <f t="shared" si="1886"/>
        <v>0</v>
      </c>
      <c r="AK943" s="13">
        <f t="shared" si="1886"/>
        <v>0</v>
      </c>
      <c r="AL943" s="13">
        <f t="shared" si="1886"/>
        <v>0</v>
      </c>
      <c r="AM943" s="13">
        <f t="shared" si="1886"/>
        <v>0</v>
      </c>
      <c r="AN943" s="13">
        <f t="shared" si="1886"/>
        <v>0</v>
      </c>
      <c r="AO943" s="13">
        <f t="shared" si="1886"/>
        <v>0</v>
      </c>
      <c r="AP943" s="13">
        <f t="shared" si="1886"/>
        <v>0</v>
      </c>
      <c r="AQ943" s="13" t="s">
        <v>5614</v>
      </c>
      <c r="AR943" s="13"/>
      <c r="AS943" s="13" t="s">
        <v>5615</v>
      </c>
      <c r="AT943" s="13"/>
      <c r="AU943" s="13"/>
      <c r="AV943" s="13"/>
      <c r="AW943" s="13">
        <v>0.0</v>
      </c>
      <c r="AX943" s="13">
        <v>18.0</v>
      </c>
      <c r="AY943" s="13">
        <v>0.0</v>
      </c>
      <c r="AZ943" s="13"/>
      <c r="BA943" s="13"/>
      <c r="BB943" s="13"/>
      <c r="BC943" s="13"/>
      <c r="BD943" s="13"/>
      <c r="BE943" s="13"/>
      <c r="BF943" s="13"/>
      <c r="BG943" s="13"/>
      <c r="BH943" s="13" t="s">
        <v>79</v>
      </c>
      <c r="BI943" s="13" t="b">
        <v>0</v>
      </c>
      <c r="BJ943" s="13">
        <v>0.0</v>
      </c>
      <c r="BK943" s="13">
        <v>0.0</v>
      </c>
    </row>
    <row r="944" ht="14.25" customHeight="1">
      <c r="A944" s="13">
        <v>942.0</v>
      </c>
      <c r="B944" s="13" t="s">
        <v>46</v>
      </c>
      <c r="C944" s="13">
        <v>3.0</v>
      </c>
      <c r="D944" s="14">
        <v>0.0</v>
      </c>
      <c r="E944" s="13" t="s">
        <v>5616</v>
      </c>
      <c r="F944" s="15" t="s">
        <v>5523</v>
      </c>
      <c r="G944" s="16" t="s">
        <v>5617</v>
      </c>
      <c r="H944" s="13"/>
      <c r="I944" s="13">
        <v>1.0</v>
      </c>
      <c r="J944" s="13" t="s">
        <v>2488</v>
      </c>
      <c r="K944" s="13">
        <f t="shared" si="3"/>
        <v>1</v>
      </c>
      <c r="L944" s="13">
        <f t="shared" si="4"/>
        <v>2</v>
      </c>
      <c r="M944" s="13">
        <f t="shared" ref="M944:AA944" si="1887">IFERROR(VALUE(RIGHT(LEFT($J944,FIND(M$1,$J944,1)+LEN(M$1)),1)),0)</f>
        <v>0</v>
      </c>
      <c r="N944" s="13">
        <f t="shared" si="1887"/>
        <v>0</v>
      </c>
      <c r="O944" s="13">
        <f t="shared" si="1887"/>
        <v>0</v>
      </c>
      <c r="P944" s="13">
        <f t="shared" si="1887"/>
        <v>0</v>
      </c>
      <c r="Q944" s="13">
        <f t="shared" si="1887"/>
        <v>0</v>
      </c>
      <c r="R944" s="13">
        <f t="shared" si="1887"/>
        <v>0</v>
      </c>
      <c r="S944" s="13">
        <f t="shared" si="1887"/>
        <v>0</v>
      </c>
      <c r="T944" s="13">
        <f t="shared" si="1887"/>
        <v>0</v>
      </c>
      <c r="U944" s="13">
        <f t="shared" si="1887"/>
        <v>1</v>
      </c>
      <c r="V944" s="13">
        <f t="shared" si="1887"/>
        <v>0</v>
      </c>
      <c r="W944" s="13">
        <f t="shared" si="1887"/>
        <v>0</v>
      </c>
      <c r="X944" s="13">
        <f t="shared" si="1887"/>
        <v>0</v>
      </c>
      <c r="Y944" s="13">
        <f t="shared" si="1887"/>
        <v>0</v>
      </c>
      <c r="Z944" s="13">
        <f t="shared" si="1887"/>
        <v>0</v>
      </c>
      <c r="AA944" s="13">
        <f t="shared" si="1887"/>
        <v>0</v>
      </c>
      <c r="AB944" s="13">
        <f t="shared" ref="AB944:AP944" si="1888">IFERROR(VALUE(RIGHT(LEFT($J944,FIND(AB$1,$J944,IF(M944=0,1,FIND(AB$1,$J944,1)+1))+LEN(AB$1)),1)),0)</f>
        <v>0</v>
      </c>
      <c r="AC944" s="13">
        <f t="shared" si="1888"/>
        <v>0</v>
      </c>
      <c r="AD944" s="13">
        <f t="shared" si="1888"/>
        <v>1</v>
      </c>
      <c r="AE944" s="13">
        <f t="shared" si="1888"/>
        <v>0</v>
      </c>
      <c r="AF944" s="13">
        <f t="shared" si="1888"/>
        <v>0</v>
      </c>
      <c r="AG944" s="13">
        <f t="shared" si="1888"/>
        <v>0</v>
      </c>
      <c r="AH944" s="13">
        <f t="shared" si="1888"/>
        <v>0</v>
      </c>
      <c r="AI944" s="13">
        <f t="shared" si="1888"/>
        <v>0</v>
      </c>
      <c r="AJ944" s="13">
        <f t="shared" si="1888"/>
        <v>1</v>
      </c>
      <c r="AK944" s="13">
        <f t="shared" si="1888"/>
        <v>0</v>
      </c>
      <c r="AL944" s="13">
        <f t="shared" si="1888"/>
        <v>0</v>
      </c>
      <c r="AM944" s="13">
        <f t="shared" si="1888"/>
        <v>0</v>
      </c>
      <c r="AN944" s="13">
        <f t="shared" si="1888"/>
        <v>0</v>
      </c>
      <c r="AO944" s="13">
        <f t="shared" si="1888"/>
        <v>0</v>
      </c>
      <c r="AP944" s="13">
        <f t="shared" si="1888"/>
        <v>0</v>
      </c>
      <c r="AQ944" s="13" t="s">
        <v>5618</v>
      </c>
      <c r="AR944" s="13"/>
      <c r="AS944" s="13" t="s">
        <v>5619</v>
      </c>
      <c r="AT944" s="13"/>
      <c r="AU944" s="13"/>
      <c r="AV944" s="13"/>
      <c r="AW944" s="13">
        <v>0.0</v>
      </c>
      <c r="AX944" s="13">
        <v>18.0</v>
      </c>
      <c r="AY944" s="13">
        <v>0.0</v>
      </c>
      <c r="AZ944" s="13"/>
      <c r="BA944" s="13"/>
      <c r="BB944" s="13"/>
      <c r="BC944" s="13"/>
      <c r="BD944" s="13"/>
      <c r="BE944" s="13"/>
      <c r="BF944" s="13"/>
      <c r="BG944" s="13"/>
      <c r="BH944" s="13" t="s">
        <v>79</v>
      </c>
      <c r="BI944" s="13" t="b">
        <v>0</v>
      </c>
      <c r="BJ944" s="13">
        <v>0.0</v>
      </c>
      <c r="BK944" s="13">
        <v>0.0</v>
      </c>
    </row>
    <row r="945" ht="14.25" customHeight="1">
      <c r="A945" s="13">
        <v>943.0</v>
      </c>
      <c r="B945" s="13" t="s">
        <v>51</v>
      </c>
      <c r="C945" s="13">
        <v>3.0</v>
      </c>
      <c r="D945" s="14">
        <v>0.0</v>
      </c>
      <c r="E945" s="13" t="s">
        <v>5620</v>
      </c>
      <c r="F945" s="15" t="s">
        <v>5523</v>
      </c>
      <c r="G945" s="16" t="s">
        <v>5621</v>
      </c>
      <c r="H945" s="13">
        <v>18.0</v>
      </c>
      <c r="I945" s="13">
        <v>0.9</v>
      </c>
      <c r="J945" s="13" t="s">
        <v>4865</v>
      </c>
      <c r="K945" s="13">
        <f t="shared" si="3"/>
        <v>1</v>
      </c>
      <c r="L945" s="13">
        <f t="shared" si="4"/>
        <v>2</v>
      </c>
      <c r="M945" s="13">
        <f t="shared" ref="M945:AA945" si="1889">IFERROR(VALUE(RIGHT(LEFT($J945,FIND(M$1,$J945,1)+LEN(M$1)),1)),0)</f>
        <v>0</v>
      </c>
      <c r="N945" s="13">
        <f t="shared" si="1889"/>
        <v>0</v>
      </c>
      <c r="O945" s="13">
        <f t="shared" si="1889"/>
        <v>0</v>
      </c>
      <c r="P945" s="13">
        <f t="shared" si="1889"/>
        <v>0</v>
      </c>
      <c r="Q945" s="13">
        <f t="shared" si="1889"/>
        <v>0</v>
      </c>
      <c r="R945" s="13">
        <f t="shared" si="1889"/>
        <v>0</v>
      </c>
      <c r="S945" s="13">
        <f t="shared" si="1889"/>
        <v>0</v>
      </c>
      <c r="T945" s="13">
        <f t="shared" si="1889"/>
        <v>0</v>
      </c>
      <c r="U945" s="13">
        <f t="shared" si="1889"/>
        <v>0</v>
      </c>
      <c r="V945" s="13">
        <f t="shared" si="1889"/>
        <v>0</v>
      </c>
      <c r="W945" s="13">
        <f t="shared" si="1889"/>
        <v>0</v>
      </c>
      <c r="X945" s="13">
        <f t="shared" si="1889"/>
        <v>0</v>
      </c>
      <c r="Y945" s="13">
        <f t="shared" si="1889"/>
        <v>0</v>
      </c>
      <c r="Z945" s="13">
        <f t="shared" si="1889"/>
        <v>1</v>
      </c>
      <c r="AA945" s="13">
        <f t="shared" si="1889"/>
        <v>0</v>
      </c>
      <c r="AB945" s="13">
        <f t="shared" ref="AB945:AP945" si="1890">IFERROR(VALUE(RIGHT(LEFT($J945,FIND(AB$1,$J945,IF(M945=0,1,FIND(AB$1,$J945,1)+1))+LEN(AB$1)),1)),0)</f>
        <v>1</v>
      </c>
      <c r="AC945" s="13">
        <f t="shared" si="1890"/>
        <v>0</v>
      </c>
      <c r="AD945" s="13">
        <f t="shared" si="1890"/>
        <v>0</v>
      </c>
      <c r="AE945" s="13">
        <f t="shared" si="1890"/>
        <v>0</v>
      </c>
      <c r="AF945" s="13">
        <f t="shared" si="1890"/>
        <v>0</v>
      </c>
      <c r="AG945" s="13">
        <f t="shared" si="1890"/>
        <v>0</v>
      </c>
      <c r="AH945" s="13">
        <f t="shared" si="1890"/>
        <v>0</v>
      </c>
      <c r="AI945" s="13">
        <f t="shared" si="1890"/>
        <v>0</v>
      </c>
      <c r="AJ945" s="13">
        <f t="shared" si="1890"/>
        <v>0</v>
      </c>
      <c r="AK945" s="13">
        <f t="shared" si="1890"/>
        <v>0</v>
      </c>
      <c r="AL945" s="13">
        <f t="shared" si="1890"/>
        <v>0</v>
      </c>
      <c r="AM945" s="13">
        <f t="shared" si="1890"/>
        <v>0</v>
      </c>
      <c r="AN945" s="13">
        <f t="shared" si="1890"/>
        <v>0</v>
      </c>
      <c r="AO945" s="13">
        <f t="shared" si="1890"/>
        <v>1</v>
      </c>
      <c r="AP945" s="13">
        <f t="shared" si="1890"/>
        <v>0</v>
      </c>
      <c r="AQ945" s="13"/>
      <c r="AR945" s="13" t="s">
        <v>5622</v>
      </c>
      <c r="AS945" s="13" t="s">
        <v>5623</v>
      </c>
      <c r="AT945" s="13" t="s">
        <v>1263</v>
      </c>
      <c r="AU945" s="13" t="s">
        <v>803</v>
      </c>
      <c r="AV945" s="13" t="s">
        <v>5624</v>
      </c>
      <c r="AW945" s="13">
        <v>18.0</v>
      </c>
      <c r="AX945" s="13">
        <v>18.0</v>
      </c>
      <c r="AY945" s="13">
        <v>0.0</v>
      </c>
      <c r="AZ945" s="13" t="s">
        <v>5625</v>
      </c>
      <c r="BA945" s="13" t="s">
        <v>5626</v>
      </c>
      <c r="BB945" s="13"/>
      <c r="BC945" s="13"/>
      <c r="BD945" s="13" t="s">
        <v>282</v>
      </c>
      <c r="BE945" s="13"/>
      <c r="BF945" s="13" t="s">
        <v>4242</v>
      </c>
      <c r="BG945" s="13" t="s">
        <v>284</v>
      </c>
      <c r="BH945" s="13" t="s">
        <v>79</v>
      </c>
      <c r="BI945" s="13" t="b">
        <v>0</v>
      </c>
      <c r="BJ945" s="13">
        <v>0.0</v>
      </c>
      <c r="BK945" s="13">
        <v>0.0</v>
      </c>
    </row>
    <row r="946" ht="14.25" customHeight="1">
      <c r="A946" s="13">
        <v>944.0</v>
      </c>
      <c r="B946" s="13" t="s">
        <v>51</v>
      </c>
      <c r="C946" s="13">
        <v>3.0</v>
      </c>
      <c r="D946" s="14">
        <v>0.0</v>
      </c>
      <c r="E946" s="13" t="s">
        <v>5627</v>
      </c>
      <c r="F946" s="15" t="s">
        <v>5523</v>
      </c>
      <c r="G946" s="16" t="s">
        <v>5628</v>
      </c>
      <c r="H946" s="13">
        <v>19.0</v>
      </c>
      <c r="I946" s="13">
        <v>1.1</v>
      </c>
      <c r="J946" s="13" t="s">
        <v>3286</v>
      </c>
      <c r="K946" s="13">
        <f t="shared" si="3"/>
        <v>1</v>
      </c>
      <c r="L946" s="13">
        <f t="shared" si="4"/>
        <v>2</v>
      </c>
      <c r="M946" s="13">
        <f t="shared" ref="M946:AA946" si="1891">IFERROR(VALUE(RIGHT(LEFT($J946,FIND(M$1,$J946,1)+LEN(M$1)),1)),0)</f>
        <v>0</v>
      </c>
      <c r="N946" s="13">
        <f t="shared" si="1891"/>
        <v>0</v>
      </c>
      <c r="O946" s="13">
        <f t="shared" si="1891"/>
        <v>1</v>
      </c>
      <c r="P946" s="13">
        <f t="shared" si="1891"/>
        <v>0</v>
      </c>
      <c r="Q946" s="13">
        <f t="shared" si="1891"/>
        <v>0</v>
      </c>
      <c r="R946" s="13">
        <f t="shared" si="1891"/>
        <v>0</v>
      </c>
      <c r="S946" s="13">
        <f t="shared" si="1891"/>
        <v>0</v>
      </c>
      <c r="T946" s="13">
        <f t="shared" si="1891"/>
        <v>0</v>
      </c>
      <c r="U946" s="13">
        <f t="shared" si="1891"/>
        <v>0</v>
      </c>
      <c r="V946" s="13">
        <f t="shared" si="1891"/>
        <v>0</v>
      </c>
      <c r="W946" s="13">
        <f t="shared" si="1891"/>
        <v>0</v>
      </c>
      <c r="X946" s="13">
        <f t="shared" si="1891"/>
        <v>0</v>
      </c>
      <c r="Y946" s="13">
        <f t="shared" si="1891"/>
        <v>0</v>
      </c>
      <c r="Z946" s="13">
        <f t="shared" si="1891"/>
        <v>0</v>
      </c>
      <c r="AA946" s="13">
        <f t="shared" si="1891"/>
        <v>0</v>
      </c>
      <c r="AB946" s="13">
        <f t="shared" ref="AB946:AP946" si="1892">IFERROR(VALUE(RIGHT(LEFT($J946,FIND(AB$1,$J946,IF(M946=0,1,FIND(AB$1,$J946,1)+1))+LEN(AB$1)),1)),0)</f>
        <v>0</v>
      </c>
      <c r="AC946" s="13">
        <f t="shared" si="1892"/>
        <v>0</v>
      </c>
      <c r="AD946" s="13">
        <f t="shared" si="1892"/>
        <v>1</v>
      </c>
      <c r="AE946" s="13">
        <f t="shared" si="1892"/>
        <v>0</v>
      </c>
      <c r="AF946" s="13">
        <f t="shared" si="1892"/>
        <v>0</v>
      </c>
      <c r="AG946" s="13">
        <f t="shared" si="1892"/>
        <v>0</v>
      </c>
      <c r="AH946" s="13">
        <f t="shared" si="1892"/>
        <v>0</v>
      </c>
      <c r="AI946" s="13">
        <f t="shared" si="1892"/>
        <v>0</v>
      </c>
      <c r="AJ946" s="13">
        <f t="shared" si="1892"/>
        <v>0</v>
      </c>
      <c r="AK946" s="13">
        <f t="shared" si="1892"/>
        <v>0</v>
      </c>
      <c r="AL946" s="13">
        <f t="shared" si="1892"/>
        <v>0</v>
      </c>
      <c r="AM946" s="13">
        <f t="shared" si="1892"/>
        <v>0</v>
      </c>
      <c r="AN946" s="13">
        <f t="shared" si="1892"/>
        <v>0</v>
      </c>
      <c r="AO946" s="13">
        <f t="shared" si="1892"/>
        <v>1</v>
      </c>
      <c r="AP946" s="13">
        <f t="shared" si="1892"/>
        <v>0</v>
      </c>
      <c r="AQ946" s="13"/>
      <c r="AR946" s="13" t="s">
        <v>4347</v>
      </c>
      <c r="AS946" s="13" t="s">
        <v>5629</v>
      </c>
      <c r="AT946" s="13" t="s">
        <v>1554</v>
      </c>
      <c r="AU946" s="13" t="s">
        <v>143</v>
      </c>
      <c r="AV946" s="13" t="s">
        <v>5630</v>
      </c>
      <c r="AW946" s="13">
        <v>19.0</v>
      </c>
      <c r="AX946" s="13">
        <v>18.0</v>
      </c>
      <c r="AY946" s="13">
        <v>0.0</v>
      </c>
      <c r="AZ946" s="13" t="s">
        <v>5631</v>
      </c>
      <c r="BA946" s="13" t="s">
        <v>4335</v>
      </c>
      <c r="BB946" s="13"/>
      <c r="BC946" s="13"/>
      <c r="BD946" s="13" t="s">
        <v>810</v>
      </c>
      <c r="BE946" s="13"/>
      <c r="BF946" s="13" t="s">
        <v>5632</v>
      </c>
      <c r="BG946" s="13" t="s">
        <v>1823</v>
      </c>
      <c r="BH946" s="13" t="s">
        <v>79</v>
      </c>
      <c r="BI946" s="13" t="b">
        <v>0</v>
      </c>
      <c r="BJ946" s="13">
        <v>0.0</v>
      </c>
      <c r="BK946" s="13">
        <v>0.0</v>
      </c>
    </row>
    <row r="947" ht="14.25" customHeight="1">
      <c r="A947" s="13">
        <v>945.0</v>
      </c>
      <c r="B947" s="13" t="s">
        <v>49</v>
      </c>
      <c r="C947" s="13">
        <v>3.0</v>
      </c>
      <c r="D947" s="14">
        <v>0.0</v>
      </c>
      <c r="E947" s="13" t="s">
        <v>5633</v>
      </c>
      <c r="F947" s="15" t="s">
        <v>5523</v>
      </c>
      <c r="G947" s="16" t="s">
        <v>5634</v>
      </c>
      <c r="H947" s="13">
        <v>10.0</v>
      </c>
      <c r="I947" s="13">
        <v>1.0</v>
      </c>
      <c r="J947" s="13" t="s">
        <v>1737</v>
      </c>
      <c r="K947" s="13">
        <f t="shared" si="3"/>
        <v>1</v>
      </c>
      <c r="L947" s="13">
        <f t="shared" si="4"/>
        <v>2</v>
      </c>
      <c r="M947" s="13">
        <f t="shared" ref="M947:AA947" si="1893">IFERROR(VALUE(RIGHT(LEFT($J947,FIND(M$1,$J947,1)+LEN(M$1)),1)),0)</f>
        <v>0</v>
      </c>
      <c r="N947" s="13">
        <f t="shared" si="1893"/>
        <v>0</v>
      </c>
      <c r="O947" s="13">
        <f t="shared" si="1893"/>
        <v>0</v>
      </c>
      <c r="P947" s="13">
        <f t="shared" si="1893"/>
        <v>0</v>
      </c>
      <c r="Q947" s="13">
        <f t="shared" si="1893"/>
        <v>0</v>
      </c>
      <c r="R947" s="13">
        <f t="shared" si="1893"/>
        <v>0</v>
      </c>
      <c r="S947" s="13">
        <f t="shared" si="1893"/>
        <v>0</v>
      </c>
      <c r="T947" s="13">
        <f t="shared" si="1893"/>
        <v>0</v>
      </c>
      <c r="U947" s="13">
        <f t="shared" si="1893"/>
        <v>0</v>
      </c>
      <c r="V947" s="13">
        <f t="shared" si="1893"/>
        <v>0</v>
      </c>
      <c r="W947" s="13">
        <f t="shared" si="1893"/>
        <v>0</v>
      </c>
      <c r="X947" s="13">
        <f t="shared" si="1893"/>
        <v>1</v>
      </c>
      <c r="Y947" s="13">
        <f t="shared" si="1893"/>
        <v>0</v>
      </c>
      <c r="Z947" s="13">
        <f t="shared" si="1893"/>
        <v>0</v>
      </c>
      <c r="AA947" s="13">
        <f t="shared" si="1893"/>
        <v>0</v>
      </c>
      <c r="AB947" s="13">
        <f t="shared" ref="AB947:AP947" si="1894">IFERROR(VALUE(RIGHT(LEFT($J947,FIND(AB$1,$J947,IF(M947=0,1,FIND(AB$1,$J947,1)+1))+LEN(AB$1)),1)),0)</f>
        <v>0</v>
      </c>
      <c r="AC947" s="13">
        <f t="shared" si="1894"/>
        <v>0</v>
      </c>
      <c r="AD947" s="13">
        <f t="shared" si="1894"/>
        <v>0</v>
      </c>
      <c r="AE947" s="13">
        <f t="shared" si="1894"/>
        <v>0</v>
      </c>
      <c r="AF947" s="13">
        <f t="shared" si="1894"/>
        <v>1</v>
      </c>
      <c r="AG947" s="13">
        <f t="shared" si="1894"/>
        <v>0</v>
      </c>
      <c r="AH947" s="13">
        <f t="shared" si="1894"/>
        <v>0</v>
      </c>
      <c r="AI947" s="13">
        <f t="shared" si="1894"/>
        <v>0</v>
      </c>
      <c r="AJ947" s="13">
        <f t="shared" si="1894"/>
        <v>0</v>
      </c>
      <c r="AK947" s="13">
        <f t="shared" si="1894"/>
        <v>0</v>
      </c>
      <c r="AL947" s="13">
        <f t="shared" si="1894"/>
        <v>0</v>
      </c>
      <c r="AM947" s="13">
        <f t="shared" si="1894"/>
        <v>1</v>
      </c>
      <c r="AN947" s="13">
        <f t="shared" si="1894"/>
        <v>0</v>
      </c>
      <c r="AO947" s="13">
        <f t="shared" si="1894"/>
        <v>0</v>
      </c>
      <c r="AP947" s="13">
        <f t="shared" si="1894"/>
        <v>0</v>
      </c>
      <c r="AQ947" s="13"/>
      <c r="AR947" s="13" t="s">
        <v>5635</v>
      </c>
      <c r="AS947" s="13" t="s">
        <v>5636</v>
      </c>
      <c r="AT947" s="13" t="s">
        <v>129</v>
      </c>
      <c r="AU947" s="13" t="s">
        <v>1398</v>
      </c>
      <c r="AV947" s="13" t="s">
        <v>5637</v>
      </c>
      <c r="AW947" s="13">
        <v>20.0</v>
      </c>
      <c r="AX947" s="13">
        <v>18.0</v>
      </c>
      <c r="AY947" s="13">
        <v>0.0</v>
      </c>
      <c r="AZ947" s="13" t="s">
        <v>5638</v>
      </c>
      <c r="BA947" s="13" t="s">
        <v>4903</v>
      </c>
      <c r="BB947" s="13"/>
      <c r="BC947" s="13"/>
      <c r="BD947" s="13" t="s">
        <v>664</v>
      </c>
      <c r="BE947" s="13"/>
      <c r="BF947" s="13" t="s">
        <v>1267</v>
      </c>
      <c r="BG947" s="13" t="s">
        <v>201</v>
      </c>
      <c r="BH947" s="13" t="s">
        <v>241</v>
      </c>
      <c r="BI947" s="13" t="b">
        <v>0</v>
      </c>
      <c r="BJ947" s="13">
        <v>0.0</v>
      </c>
      <c r="BK947" s="13">
        <v>0.0</v>
      </c>
    </row>
    <row r="948" ht="14.25" customHeight="1">
      <c r="A948" s="13">
        <v>946.0</v>
      </c>
      <c r="B948" s="13" t="s">
        <v>44</v>
      </c>
      <c r="C948" s="13">
        <v>4.0</v>
      </c>
      <c r="D948" s="14">
        <v>0.0</v>
      </c>
      <c r="E948" s="13" t="s">
        <v>5639</v>
      </c>
      <c r="F948" s="15" t="s">
        <v>5523</v>
      </c>
      <c r="G948" s="16" t="s">
        <v>5640</v>
      </c>
      <c r="H948" s="13"/>
      <c r="I948" s="13">
        <v>1.0</v>
      </c>
      <c r="J948" s="13" t="s">
        <v>5641</v>
      </c>
      <c r="K948" s="13">
        <f t="shared" si="3"/>
        <v>2</v>
      </c>
      <c r="L948" s="13">
        <f t="shared" si="4"/>
        <v>2</v>
      </c>
      <c r="M948" s="13">
        <f t="shared" ref="M948:AA948" si="1895">IFERROR(VALUE(RIGHT(LEFT($J948,FIND(M$1,$J948,1)+LEN(M$1)),1)),0)</f>
        <v>0</v>
      </c>
      <c r="N948" s="13">
        <f t="shared" si="1895"/>
        <v>0</v>
      </c>
      <c r="O948" s="13">
        <f t="shared" si="1895"/>
        <v>0</v>
      </c>
      <c r="P948" s="13">
        <f t="shared" si="1895"/>
        <v>0</v>
      </c>
      <c r="Q948" s="13">
        <f t="shared" si="1895"/>
        <v>0</v>
      </c>
      <c r="R948" s="13">
        <f t="shared" si="1895"/>
        <v>0</v>
      </c>
      <c r="S948" s="13">
        <f t="shared" si="1895"/>
        <v>2</v>
      </c>
      <c r="T948" s="13">
        <f t="shared" si="1895"/>
        <v>0</v>
      </c>
      <c r="U948" s="13">
        <f t="shared" si="1895"/>
        <v>0</v>
      </c>
      <c r="V948" s="13">
        <f t="shared" si="1895"/>
        <v>0</v>
      </c>
      <c r="W948" s="13">
        <f t="shared" si="1895"/>
        <v>0</v>
      </c>
      <c r="X948" s="13">
        <f t="shared" si="1895"/>
        <v>0</v>
      </c>
      <c r="Y948" s="13">
        <f t="shared" si="1895"/>
        <v>0</v>
      </c>
      <c r="Z948" s="13">
        <f t="shared" si="1895"/>
        <v>0</v>
      </c>
      <c r="AA948" s="13">
        <f t="shared" si="1895"/>
        <v>0</v>
      </c>
      <c r="AB948" s="13">
        <f t="shared" ref="AB948:AP948" si="1896">IFERROR(VALUE(RIGHT(LEFT($J948,FIND(AB$1,$J948,IF(M948=0,1,FIND(AB$1,$J948,1)+1))+LEN(AB$1)),1)),0)</f>
        <v>1</v>
      </c>
      <c r="AC948" s="13">
        <f t="shared" si="1896"/>
        <v>0</v>
      </c>
      <c r="AD948" s="13">
        <f t="shared" si="1896"/>
        <v>0</v>
      </c>
      <c r="AE948" s="13">
        <f t="shared" si="1896"/>
        <v>0</v>
      </c>
      <c r="AF948" s="13">
        <f t="shared" si="1896"/>
        <v>0</v>
      </c>
      <c r="AG948" s="13">
        <f t="shared" si="1896"/>
        <v>0</v>
      </c>
      <c r="AH948" s="13">
        <f t="shared" si="1896"/>
        <v>1</v>
      </c>
      <c r="AI948" s="13">
        <f t="shared" si="1896"/>
        <v>0</v>
      </c>
      <c r="AJ948" s="13">
        <f t="shared" si="1896"/>
        <v>0</v>
      </c>
      <c r="AK948" s="13">
        <f t="shared" si="1896"/>
        <v>0</v>
      </c>
      <c r="AL948" s="13">
        <f t="shared" si="1896"/>
        <v>0</v>
      </c>
      <c r="AM948" s="13">
        <f t="shared" si="1896"/>
        <v>0</v>
      </c>
      <c r="AN948" s="13">
        <f t="shared" si="1896"/>
        <v>0</v>
      </c>
      <c r="AO948" s="13">
        <f t="shared" si="1896"/>
        <v>0</v>
      </c>
      <c r="AP948" s="13">
        <f t="shared" si="1896"/>
        <v>0</v>
      </c>
      <c r="AQ948" s="13" t="s">
        <v>5642</v>
      </c>
      <c r="AR948" s="13"/>
      <c r="AS948" s="13" t="s">
        <v>5643</v>
      </c>
      <c r="AT948" s="13"/>
      <c r="AU948" s="13"/>
      <c r="AV948" s="13"/>
      <c r="AW948" s="13">
        <v>0.0</v>
      </c>
      <c r="AX948" s="13">
        <v>18.0</v>
      </c>
      <c r="AY948" s="13">
        <v>0.0</v>
      </c>
      <c r="AZ948" s="13"/>
      <c r="BA948" s="13"/>
      <c r="BB948" s="13"/>
      <c r="BC948" s="13"/>
      <c r="BD948" s="13"/>
      <c r="BE948" s="13"/>
      <c r="BF948" s="13"/>
      <c r="BG948" s="13"/>
      <c r="BH948" s="13" t="s">
        <v>79</v>
      </c>
      <c r="BI948" s="13" t="b">
        <v>0</v>
      </c>
      <c r="BJ948" s="13">
        <v>0.0</v>
      </c>
      <c r="BK948" s="13">
        <v>0.0</v>
      </c>
    </row>
    <row r="949" ht="14.25" customHeight="1">
      <c r="A949" s="13">
        <v>947.0</v>
      </c>
      <c r="B949" s="13" t="s">
        <v>46</v>
      </c>
      <c r="C949" s="13">
        <v>4.0</v>
      </c>
      <c r="D949" s="14">
        <v>0.0</v>
      </c>
      <c r="E949" s="13" t="s">
        <v>5644</v>
      </c>
      <c r="F949" s="15" t="s">
        <v>5523</v>
      </c>
      <c r="G949" s="16" t="s">
        <v>5645</v>
      </c>
      <c r="H949" s="13"/>
      <c r="I949" s="13">
        <v>1.2</v>
      </c>
      <c r="J949" s="13" t="s">
        <v>5646</v>
      </c>
      <c r="K949" s="13">
        <f t="shared" si="3"/>
        <v>3</v>
      </c>
      <c r="L949" s="13">
        <f t="shared" si="4"/>
        <v>0</v>
      </c>
      <c r="M949" s="13">
        <f t="shared" ref="M949:AA949" si="1897">IFERROR(VALUE(RIGHT(LEFT($J949,FIND(M$1,$J949,1)+LEN(M$1)),1)),0)</f>
        <v>0</v>
      </c>
      <c r="N949" s="13">
        <f t="shared" si="1897"/>
        <v>0</v>
      </c>
      <c r="O949" s="13">
        <f t="shared" si="1897"/>
        <v>2</v>
      </c>
      <c r="P949" s="13">
        <f t="shared" si="1897"/>
        <v>0</v>
      </c>
      <c r="Q949" s="13">
        <f t="shared" si="1897"/>
        <v>1</v>
      </c>
      <c r="R949" s="13">
        <f t="shared" si="1897"/>
        <v>0</v>
      </c>
      <c r="S949" s="13">
        <f t="shared" si="1897"/>
        <v>0</v>
      </c>
      <c r="T949" s="13">
        <f t="shared" si="1897"/>
        <v>0</v>
      </c>
      <c r="U949" s="13">
        <f t="shared" si="1897"/>
        <v>0</v>
      </c>
      <c r="V949" s="13">
        <f t="shared" si="1897"/>
        <v>0</v>
      </c>
      <c r="W949" s="13">
        <f t="shared" si="1897"/>
        <v>0</v>
      </c>
      <c r="X949" s="13">
        <f t="shared" si="1897"/>
        <v>0</v>
      </c>
      <c r="Y949" s="13">
        <f t="shared" si="1897"/>
        <v>0</v>
      </c>
      <c r="Z949" s="13">
        <f t="shared" si="1897"/>
        <v>0</v>
      </c>
      <c r="AA949" s="13">
        <f t="shared" si="1897"/>
        <v>0</v>
      </c>
      <c r="AB949" s="13">
        <f t="shared" ref="AB949:AP949" si="1898">IFERROR(VALUE(RIGHT(LEFT($J949,FIND(AB$1,$J949,IF(M949=0,1,FIND(AB$1,$J949,1)+1))+LEN(AB$1)),1)),0)</f>
        <v>0</v>
      </c>
      <c r="AC949" s="13">
        <f t="shared" si="1898"/>
        <v>0</v>
      </c>
      <c r="AD949" s="13">
        <f t="shared" si="1898"/>
        <v>0</v>
      </c>
      <c r="AE949" s="13">
        <f t="shared" si="1898"/>
        <v>0</v>
      </c>
      <c r="AF949" s="13">
        <f t="shared" si="1898"/>
        <v>0</v>
      </c>
      <c r="AG949" s="13">
        <f t="shared" si="1898"/>
        <v>0</v>
      </c>
      <c r="AH949" s="13">
        <f t="shared" si="1898"/>
        <v>0</v>
      </c>
      <c r="AI949" s="13">
        <f t="shared" si="1898"/>
        <v>0</v>
      </c>
      <c r="AJ949" s="13">
        <f t="shared" si="1898"/>
        <v>0</v>
      </c>
      <c r="AK949" s="13">
        <f t="shared" si="1898"/>
        <v>0</v>
      </c>
      <c r="AL949" s="13">
        <f t="shared" si="1898"/>
        <v>0</v>
      </c>
      <c r="AM949" s="13">
        <f t="shared" si="1898"/>
        <v>0</v>
      </c>
      <c r="AN949" s="13">
        <f t="shared" si="1898"/>
        <v>0</v>
      </c>
      <c r="AO949" s="13">
        <f t="shared" si="1898"/>
        <v>0</v>
      </c>
      <c r="AP949" s="13">
        <f t="shared" si="1898"/>
        <v>0</v>
      </c>
      <c r="AQ949" s="13" t="s">
        <v>5647</v>
      </c>
      <c r="AR949" s="13"/>
      <c r="AS949" s="13" t="s">
        <v>5648</v>
      </c>
      <c r="AT949" s="13"/>
      <c r="AU949" s="13"/>
      <c r="AV949" s="13"/>
      <c r="AW949" s="13">
        <v>0.0</v>
      </c>
      <c r="AX949" s="13">
        <v>18.0</v>
      </c>
      <c r="AY949" s="13">
        <v>0.0</v>
      </c>
      <c r="AZ949" s="13"/>
      <c r="BA949" s="13"/>
      <c r="BB949" s="13"/>
      <c r="BC949" s="13"/>
      <c r="BD949" s="13"/>
      <c r="BE949" s="13"/>
      <c r="BF949" s="13"/>
      <c r="BG949" s="13"/>
      <c r="BH949" s="13" t="s">
        <v>79</v>
      </c>
      <c r="BI949" s="13" t="b">
        <v>0</v>
      </c>
      <c r="BJ949" s="13">
        <v>0.0</v>
      </c>
      <c r="BK949" s="13">
        <v>0.0</v>
      </c>
    </row>
    <row r="950" ht="14.25" customHeight="1">
      <c r="A950" s="13">
        <v>948.0</v>
      </c>
      <c r="B950" s="13" t="s">
        <v>46</v>
      </c>
      <c r="C950" s="13">
        <v>4.0</v>
      </c>
      <c r="D950" s="14">
        <v>0.0</v>
      </c>
      <c r="E950" s="13" t="s">
        <v>5649</v>
      </c>
      <c r="F950" s="15" t="s">
        <v>5523</v>
      </c>
      <c r="G950" s="16" t="s">
        <v>5650</v>
      </c>
      <c r="H950" s="13"/>
      <c r="I950" s="13">
        <v>1.1</v>
      </c>
      <c r="J950" s="13" t="s">
        <v>1943</v>
      </c>
      <c r="K950" s="13">
        <f t="shared" si="3"/>
        <v>2</v>
      </c>
      <c r="L950" s="13">
        <f t="shared" si="4"/>
        <v>2</v>
      </c>
      <c r="M950" s="13">
        <f t="shared" ref="M950:AA950" si="1899">IFERROR(VALUE(RIGHT(LEFT($J950,FIND(M$1,$J950,1)+LEN(M$1)),1)),0)</f>
        <v>0</v>
      </c>
      <c r="N950" s="13">
        <f t="shared" si="1899"/>
        <v>0</v>
      </c>
      <c r="O950" s="13">
        <f t="shared" si="1899"/>
        <v>0</v>
      </c>
      <c r="P950" s="13">
        <f t="shared" si="1899"/>
        <v>0</v>
      </c>
      <c r="Q950" s="13">
        <f t="shared" si="1899"/>
        <v>0</v>
      </c>
      <c r="R950" s="13">
        <f t="shared" si="1899"/>
        <v>0</v>
      </c>
      <c r="S950" s="13">
        <f t="shared" si="1899"/>
        <v>0</v>
      </c>
      <c r="T950" s="13">
        <f t="shared" si="1899"/>
        <v>0</v>
      </c>
      <c r="U950" s="13">
        <f t="shared" si="1899"/>
        <v>2</v>
      </c>
      <c r="V950" s="13">
        <f t="shared" si="1899"/>
        <v>0</v>
      </c>
      <c r="W950" s="13">
        <f t="shared" si="1899"/>
        <v>0</v>
      </c>
      <c r="X950" s="13">
        <f t="shared" si="1899"/>
        <v>0</v>
      </c>
      <c r="Y950" s="13">
        <f t="shared" si="1899"/>
        <v>0</v>
      </c>
      <c r="Z950" s="13">
        <f t="shared" si="1899"/>
        <v>0</v>
      </c>
      <c r="AA950" s="13">
        <f t="shared" si="1899"/>
        <v>0</v>
      </c>
      <c r="AB950" s="13">
        <f t="shared" ref="AB950:AP950" si="1900">IFERROR(VALUE(RIGHT(LEFT($J950,FIND(AB$1,$J950,IF(M950=0,1,FIND(AB$1,$J950,1)+1))+LEN(AB$1)),1)),0)</f>
        <v>0</v>
      </c>
      <c r="AC950" s="13">
        <f t="shared" si="1900"/>
        <v>0</v>
      </c>
      <c r="AD950" s="13">
        <f t="shared" si="1900"/>
        <v>1</v>
      </c>
      <c r="AE950" s="13">
        <f t="shared" si="1900"/>
        <v>0</v>
      </c>
      <c r="AF950" s="13">
        <f t="shared" si="1900"/>
        <v>0</v>
      </c>
      <c r="AG950" s="13">
        <f t="shared" si="1900"/>
        <v>0</v>
      </c>
      <c r="AH950" s="13">
        <f t="shared" si="1900"/>
        <v>0</v>
      </c>
      <c r="AI950" s="13">
        <f t="shared" si="1900"/>
        <v>0</v>
      </c>
      <c r="AJ950" s="13">
        <f t="shared" si="1900"/>
        <v>1</v>
      </c>
      <c r="AK950" s="13">
        <f t="shared" si="1900"/>
        <v>0</v>
      </c>
      <c r="AL950" s="13">
        <f t="shared" si="1900"/>
        <v>0</v>
      </c>
      <c r="AM950" s="13">
        <f t="shared" si="1900"/>
        <v>0</v>
      </c>
      <c r="AN950" s="13">
        <f t="shared" si="1900"/>
        <v>0</v>
      </c>
      <c r="AO950" s="13">
        <f t="shared" si="1900"/>
        <v>0</v>
      </c>
      <c r="AP950" s="13">
        <f t="shared" si="1900"/>
        <v>0</v>
      </c>
      <c r="AQ950" s="13" t="s">
        <v>5651</v>
      </c>
      <c r="AR950" s="13"/>
      <c r="AS950" s="13" t="s">
        <v>5652</v>
      </c>
      <c r="AT950" s="13"/>
      <c r="AU950" s="13"/>
      <c r="AV950" s="13"/>
      <c r="AW950" s="13">
        <v>0.0</v>
      </c>
      <c r="AX950" s="13">
        <v>18.0</v>
      </c>
      <c r="AY950" s="13">
        <v>0.0</v>
      </c>
      <c r="AZ950" s="13"/>
      <c r="BA950" s="13"/>
      <c r="BB950" s="13"/>
      <c r="BC950" s="13"/>
      <c r="BD950" s="13"/>
      <c r="BE950" s="13"/>
      <c r="BF950" s="13"/>
      <c r="BG950" s="13"/>
      <c r="BH950" s="13" t="s">
        <v>79</v>
      </c>
      <c r="BI950" s="13" t="b">
        <v>0</v>
      </c>
      <c r="BJ950" s="13">
        <v>0.0</v>
      </c>
      <c r="BK950" s="13">
        <v>0.0</v>
      </c>
    </row>
    <row r="951" ht="14.25" customHeight="1">
      <c r="A951" s="13">
        <v>949.0</v>
      </c>
      <c r="B951" s="13" t="s">
        <v>51</v>
      </c>
      <c r="C951" s="13">
        <v>4.0</v>
      </c>
      <c r="D951" s="14">
        <v>0.0</v>
      </c>
      <c r="E951" s="13" t="s">
        <v>5653</v>
      </c>
      <c r="F951" s="15" t="s">
        <v>5523</v>
      </c>
      <c r="G951" s="16" t="s">
        <v>5654</v>
      </c>
      <c r="H951" s="13">
        <v>23.0</v>
      </c>
      <c r="I951" s="13">
        <v>0.9</v>
      </c>
      <c r="J951" s="13" t="s">
        <v>5655</v>
      </c>
      <c r="K951" s="13">
        <f t="shared" si="3"/>
        <v>2</v>
      </c>
      <c r="L951" s="13">
        <f t="shared" si="4"/>
        <v>2</v>
      </c>
      <c r="M951" s="13">
        <f t="shared" ref="M951:AA951" si="1901">IFERROR(VALUE(RIGHT(LEFT($J951,FIND(M$1,$J951,1)+LEN(M$1)),1)),0)</f>
        <v>2</v>
      </c>
      <c r="N951" s="13">
        <f t="shared" si="1901"/>
        <v>0</v>
      </c>
      <c r="O951" s="13">
        <f t="shared" si="1901"/>
        <v>0</v>
      </c>
      <c r="P951" s="13">
        <f t="shared" si="1901"/>
        <v>0</v>
      </c>
      <c r="Q951" s="13">
        <f t="shared" si="1901"/>
        <v>0</v>
      </c>
      <c r="R951" s="13">
        <f t="shared" si="1901"/>
        <v>0</v>
      </c>
      <c r="S951" s="13">
        <f t="shared" si="1901"/>
        <v>0</v>
      </c>
      <c r="T951" s="13">
        <f t="shared" si="1901"/>
        <v>0</v>
      </c>
      <c r="U951" s="13">
        <f t="shared" si="1901"/>
        <v>0</v>
      </c>
      <c r="V951" s="13">
        <f t="shared" si="1901"/>
        <v>0</v>
      </c>
      <c r="W951" s="13">
        <f t="shared" si="1901"/>
        <v>0</v>
      </c>
      <c r="X951" s="13">
        <f t="shared" si="1901"/>
        <v>0</v>
      </c>
      <c r="Y951" s="13">
        <f t="shared" si="1901"/>
        <v>0</v>
      </c>
      <c r="Z951" s="13">
        <f t="shared" si="1901"/>
        <v>0</v>
      </c>
      <c r="AA951" s="13">
        <f t="shared" si="1901"/>
        <v>0</v>
      </c>
      <c r="AB951" s="13">
        <f t="shared" ref="AB951:AP951" si="1902">IFERROR(VALUE(RIGHT(LEFT($J951,FIND(AB$1,$J951,IF(M951=0,1,FIND(AB$1,$J951,1)+1))+LEN(AB$1)),1)),0)</f>
        <v>1</v>
      </c>
      <c r="AC951" s="13">
        <f t="shared" si="1902"/>
        <v>0</v>
      </c>
      <c r="AD951" s="13">
        <f t="shared" si="1902"/>
        <v>0</v>
      </c>
      <c r="AE951" s="13">
        <f t="shared" si="1902"/>
        <v>0</v>
      </c>
      <c r="AF951" s="13">
        <f t="shared" si="1902"/>
        <v>0</v>
      </c>
      <c r="AG951" s="13">
        <f t="shared" si="1902"/>
        <v>0</v>
      </c>
      <c r="AH951" s="13">
        <f t="shared" si="1902"/>
        <v>0</v>
      </c>
      <c r="AI951" s="13">
        <f t="shared" si="1902"/>
        <v>0</v>
      </c>
      <c r="AJ951" s="13">
        <f t="shared" si="1902"/>
        <v>0</v>
      </c>
      <c r="AK951" s="13">
        <f t="shared" si="1902"/>
        <v>0</v>
      </c>
      <c r="AL951" s="13">
        <f t="shared" si="1902"/>
        <v>0</v>
      </c>
      <c r="AM951" s="13">
        <f t="shared" si="1902"/>
        <v>0</v>
      </c>
      <c r="AN951" s="13">
        <f t="shared" si="1902"/>
        <v>0</v>
      </c>
      <c r="AO951" s="13">
        <f t="shared" si="1902"/>
        <v>1</v>
      </c>
      <c r="AP951" s="13">
        <f t="shared" si="1902"/>
        <v>0</v>
      </c>
      <c r="AQ951" s="13"/>
      <c r="AR951" s="13" t="s">
        <v>5656</v>
      </c>
      <c r="AS951" s="13" t="s">
        <v>5657</v>
      </c>
      <c r="AT951" s="13" t="s">
        <v>162</v>
      </c>
      <c r="AU951" s="13" t="s">
        <v>727</v>
      </c>
      <c r="AV951" s="13" t="s">
        <v>5658</v>
      </c>
      <c r="AW951" s="13">
        <v>25.0</v>
      </c>
      <c r="AX951" s="13">
        <v>18.0</v>
      </c>
      <c r="AY951" s="13">
        <v>0.0</v>
      </c>
      <c r="AZ951" s="13" t="s">
        <v>5659</v>
      </c>
      <c r="BA951" s="13" t="s">
        <v>5660</v>
      </c>
      <c r="BB951" s="13"/>
      <c r="BC951" s="13"/>
      <c r="BD951" s="13" t="s">
        <v>282</v>
      </c>
      <c r="BE951" s="13"/>
      <c r="BF951" s="13" t="s">
        <v>5661</v>
      </c>
      <c r="BG951" s="13" t="s">
        <v>284</v>
      </c>
      <c r="BH951" s="13" t="s">
        <v>241</v>
      </c>
      <c r="BI951" s="13" t="b">
        <v>0</v>
      </c>
      <c r="BJ951" s="13">
        <v>0.0</v>
      </c>
      <c r="BK951" s="13">
        <v>0.0</v>
      </c>
    </row>
    <row r="952" ht="14.25" customHeight="1">
      <c r="A952" s="13">
        <v>950.0</v>
      </c>
      <c r="B952" s="13" t="s">
        <v>51</v>
      </c>
      <c r="C952" s="13">
        <v>4.0</v>
      </c>
      <c r="D952" s="14">
        <v>0.0</v>
      </c>
      <c r="E952" s="13" t="s">
        <v>5662</v>
      </c>
      <c r="F952" s="15" t="s">
        <v>5523</v>
      </c>
      <c r="G952" s="16" t="s">
        <v>5663</v>
      </c>
      <c r="H952" s="13">
        <v>22.0</v>
      </c>
      <c r="I952" s="13">
        <v>1.1</v>
      </c>
      <c r="J952" s="13" t="s">
        <v>2055</v>
      </c>
      <c r="K952" s="13">
        <f t="shared" si="3"/>
        <v>2</v>
      </c>
      <c r="L952" s="13">
        <f t="shared" si="4"/>
        <v>2</v>
      </c>
      <c r="M952" s="13">
        <f t="shared" ref="M952:AA952" si="1903">IFERROR(VALUE(RIGHT(LEFT($J952,FIND(M$1,$J952,1)+LEN(M$1)),1)),0)</f>
        <v>0</v>
      </c>
      <c r="N952" s="13">
        <f t="shared" si="1903"/>
        <v>0</v>
      </c>
      <c r="O952" s="13">
        <f t="shared" si="1903"/>
        <v>0</v>
      </c>
      <c r="P952" s="13">
        <f t="shared" si="1903"/>
        <v>0</v>
      </c>
      <c r="Q952" s="13">
        <f t="shared" si="1903"/>
        <v>0</v>
      </c>
      <c r="R952" s="13">
        <f t="shared" si="1903"/>
        <v>0</v>
      </c>
      <c r="S952" s="13">
        <f t="shared" si="1903"/>
        <v>0</v>
      </c>
      <c r="T952" s="13">
        <f t="shared" si="1903"/>
        <v>0</v>
      </c>
      <c r="U952" s="13">
        <f t="shared" si="1903"/>
        <v>0</v>
      </c>
      <c r="V952" s="13">
        <f t="shared" si="1903"/>
        <v>0</v>
      </c>
      <c r="W952" s="13">
        <f t="shared" si="1903"/>
        <v>0</v>
      </c>
      <c r="X952" s="13">
        <f t="shared" si="1903"/>
        <v>0</v>
      </c>
      <c r="Y952" s="13">
        <f t="shared" si="1903"/>
        <v>0</v>
      </c>
      <c r="Z952" s="13">
        <f t="shared" si="1903"/>
        <v>2</v>
      </c>
      <c r="AA952" s="13">
        <f t="shared" si="1903"/>
        <v>0</v>
      </c>
      <c r="AB952" s="13">
        <f t="shared" ref="AB952:AP952" si="1904">IFERROR(VALUE(RIGHT(LEFT($J952,FIND(AB$1,$J952,IF(M952=0,1,FIND(AB$1,$J952,1)+1))+LEN(AB$1)),1)),0)</f>
        <v>0</v>
      </c>
      <c r="AC952" s="13">
        <f t="shared" si="1904"/>
        <v>0</v>
      </c>
      <c r="AD952" s="13">
        <f t="shared" si="1904"/>
        <v>1</v>
      </c>
      <c r="AE952" s="13">
        <f t="shared" si="1904"/>
        <v>0</v>
      </c>
      <c r="AF952" s="13">
        <f t="shared" si="1904"/>
        <v>0</v>
      </c>
      <c r="AG952" s="13">
        <f t="shared" si="1904"/>
        <v>0</v>
      </c>
      <c r="AH952" s="13">
        <f t="shared" si="1904"/>
        <v>0</v>
      </c>
      <c r="AI952" s="13">
        <f t="shared" si="1904"/>
        <v>0</v>
      </c>
      <c r="AJ952" s="13">
        <f t="shared" si="1904"/>
        <v>0</v>
      </c>
      <c r="AK952" s="13">
        <f t="shared" si="1904"/>
        <v>0</v>
      </c>
      <c r="AL952" s="13">
        <f t="shared" si="1904"/>
        <v>0</v>
      </c>
      <c r="AM952" s="13">
        <f t="shared" si="1904"/>
        <v>0</v>
      </c>
      <c r="AN952" s="13">
        <f t="shared" si="1904"/>
        <v>0</v>
      </c>
      <c r="AO952" s="13">
        <f t="shared" si="1904"/>
        <v>1</v>
      </c>
      <c r="AP952" s="13">
        <f t="shared" si="1904"/>
        <v>0</v>
      </c>
      <c r="AQ952" s="13"/>
      <c r="AR952" s="13" t="s">
        <v>5318</v>
      </c>
      <c r="AS952" s="13" t="s">
        <v>4152</v>
      </c>
      <c r="AT952" s="13" t="s">
        <v>4409</v>
      </c>
      <c r="AU952" s="13" t="s">
        <v>143</v>
      </c>
      <c r="AV952" s="13" t="s">
        <v>5664</v>
      </c>
      <c r="AW952" s="13">
        <v>24.0</v>
      </c>
      <c r="AX952" s="13">
        <v>18.0</v>
      </c>
      <c r="AY952" s="13">
        <v>0.0</v>
      </c>
      <c r="AZ952" s="13" t="s">
        <v>5665</v>
      </c>
      <c r="BA952" s="13" t="s">
        <v>5666</v>
      </c>
      <c r="BB952" s="13"/>
      <c r="BC952" s="13"/>
      <c r="BD952" s="13" t="s">
        <v>810</v>
      </c>
      <c r="BE952" s="13"/>
      <c r="BF952" s="13" t="s">
        <v>5667</v>
      </c>
      <c r="BG952" s="13" t="s">
        <v>1823</v>
      </c>
      <c r="BH952" s="13" t="s">
        <v>79</v>
      </c>
      <c r="BI952" s="13" t="b">
        <v>0</v>
      </c>
      <c r="BJ952" s="13">
        <v>0.0</v>
      </c>
      <c r="BK952" s="13">
        <v>0.0</v>
      </c>
    </row>
    <row r="953" ht="14.25" customHeight="1">
      <c r="A953" s="13">
        <v>951.0</v>
      </c>
      <c r="B953" s="13" t="s">
        <v>49</v>
      </c>
      <c r="C953" s="13">
        <v>4.0</v>
      </c>
      <c r="D953" s="14">
        <v>0.0</v>
      </c>
      <c r="E953" s="13" t="s">
        <v>5668</v>
      </c>
      <c r="F953" s="15" t="s">
        <v>5523</v>
      </c>
      <c r="G953" s="16" t="s">
        <v>5669</v>
      </c>
      <c r="H953" s="13">
        <v>20.0</v>
      </c>
      <c r="I953" s="13">
        <v>1.1</v>
      </c>
      <c r="J953" s="13" t="s">
        <v>5670</v>
      </c>
      <c r="K953" s="13">
        <f t="shared" si="3"/>
        <v>3</v>
      </c>
      <c r="L953" s="13">
        <f t="shared" si="4"/>
        <v>0</v>
      </c>
      <c r="M953" s="13">
        <f t="shared" ref="M953:AA953" si="1905">IFERROR(VALUE(RIGHT(LEFT($J953,FIND(M$1,$J953,1)+LEN(M$1)),1)),0)</f>
        <v>0</v>
      </c>
      <c r="N953" s="13">
        <f t="shared" si="1905"/>
        <v>0</v>
      </c>
      <c r="O953" s="13">
        <f t="shared" si="1905"/>
        <v>0</v>
      </c>
      <c r="P953" s="13">
        <f t="shared" si="1905"/>
        <v>0</v>
      </c>
      <c r="Q953" s="13">
        <f t="shared" si="1905"/>
        <v>1</v>
      </c>
      <c r="R953" s="13">
        <f t="shared" si="1905"/>
        <v>0</v>
      </c>
      <c r="S953" s="13">
        <f t="shared" si="1905"/>
        <v>0</v>
      </c>
      <c r="T953" s="13">
        <f t="shared" si="1905"/>
        <v>0</v>
      </c>
      <c r="U953" s="13">
        <f t="shared" si="1905"/>
        <v>0</v>
      </c>
      <c r="V953" s="13">
        <f t="shared" si="1905"/>
        <v>0</v>
      </c>
      <c r="W953" s="13">
        <f t="shared" si="1905"/>
        <v>0</v>
      </c>
      <c r="X953" s="13">
        <f t="shared" si="1905"/>
        <v>2</v>
      </c>
      <c r="Y953" s="13">
        <f t="shared" si="1905"/>
        <v>0</v>
      </c>
      <c r="Z953" s="13">
        <f t="shared" si="1905"/>
        <v>0</v>
      </c>
      <c r="AA953" s="13">
        <f t="shared" si="1905"/>
        <v>0</v>
      </c>
      <c r="AB953" s="13">
        <f t="shared" ref="AB953:AP953" si="1906">IFERROR(VALUE(RIGHT(LEFT($J953,FIND(AB$1,$J953,IF(M953=0,1,FIND(AB$1,$J953,1)+1))+LEN(AB$1)),1)),0)</f>
        <v>0</v>
      </c>
      <c r="AC953" s="13">
        <f t="shared" si="1906"/>
        <v>0</v>
      </c>
      <c r="AD953" s="13">
        <f t="shared" si="1906"/>
        <v>0</v>
      </c>
      <c r="AE953" s="13">
        <f t="shared" si="1906"/>
        <v>0</v>
      </c>
      <c r="AF953" s="13">
        <f t="shared" si="1906"/>
        <v>0</v>
      </c>
      <c r="AG953" s="13">
        <f t="shared" si="1906"/>
        <v>0</v>
      </c>
      <c r="AH953" s="13">
        <f t="shared" si="1906"/>
        <v>0</v>
      </c>
      <c r="AI953" s="13">
        <f t="shared" si="1906"/>
        <v>0</v>
      </c>
      <c r="AJ953" s="13">
        <f t="shared" si="1906"/>
        <v>0</v>
      </c>
      <c r="AK953" s="13">
        <f t="shared" si="1906"/>
        <v>0</v>
      </c>
      <c r="AL953" s="13">
        <f t="shared" si="1906"/>
        <v>0</v>
      </c>
      <c r="AM953" s="13">
        <f t="shared" si="1906"/>
        <v>0</v>
      </c>
      <c r="AN953" s="13">
        <f t="shared" si="1906"/>
        <v>0</v>
      </c>
      <c r="AO953" s="13">
        <f t="shared" si="1906"/>
        <v>0</v>
      </c>
      <c r="AP953" s="13">
        <f t="shared" si="1906"/>
        <v>0</v>
      </c>
      <c r="AQ953" s="13"/>
      <c r="AR953" s="13" t="s">
        <v>4723</v>
      </c>
      <c r="AS953" s="13" t="s">
        <v>3928</v>
      </c>
      <c r="AT953" s="13" t="s">
        <v>315</v>
      </c>
      <c r="AU953" s="13" t="s">
        <v>4153</v>
      </c>
      <c r="AV953" s="13" t="s">
        <v>5671</v>
      </c>
      <c r="AW953" s="13">
        <v>23.0</v>
      </c>
      <c r="AX953" s="13">
        <v>18.0</v>
      </c>
      <c r="AY953" s="13">
        <v>0.0</v>
      </c>
      <c r="AZ953" s="13" t="s">
        <v>5672</v>
      </c>
      <c r="BA953" s="13" t="s">
        <v>4387</v>
      </c>
      <c r="BB953" s="13"/>
      <c r="BC953" s="13"/>
      <c r="BD953" s="13" t="s">
        <v>199</v>
      </c>
      <c r="BE953" s="13"/>
      <c r="BF953" s="13" t="s">
        <v>5673</v>
      </c>
      <c r="BG953" s="13" t="s">
        <v>201</v>
      </c>
      <c r="BH953" s="13" t="s">
        <v>79</v>
      </c>
      <c r="BI953" s="13" t="b">
        <v>0</v>
      </c>
      <c r="BJ953" s="13">
        <v>0.0</v>
      </c>
      <c r="BK953" s="13">
        <v>0.0</v>
      </c>
    </row>
    <row r="954" ht="14.25" customHeight="1">
      <c r="A954" s="13">
        <v>952.0</v>
      </c>
      <c r="B954" s="13" t="s">
        <v>44</v>
      </c>
      <c r="C954" s="13">
        <v>5.0</v>
      </c>
      <c r="D954" s="14">
        <v>0.0</v>
      </c>
      <c r="E954" s="13" t="s">
        <v>5674</v>
      </c>
      <c r="F954" s="15" t="s">
        <v>5523</v>
      </c>
      <c r="G954" s="16" t="s">
        <v>5675</v>
      </c>
      <c r="H954" s="13"/>
      <c r="I954" s="13">
        <v>1.2</v>
      </c>
      <c r="J954" s="13" t="s">
        <v>4615</v>
      </c>
      <c r="K954" s="13">
        <f t="shared" si="3"/>
        <v>3</v>
      </c>
      <c r="L954" s="13">
        <f t="shared" si="4"/>
        <v>2</v>
      </c>
      <c r="M954" s="13">
        <f t="shared" ref="M954:AA954" si="1907">IFERROR(VALUE(RIGHT(LEFT($J954,FIND(M$1,$J954,1)+LEN(M$1)),1)),0)</f>
        <v>0</v>
      </c>
      <c r="N954" s="13">
        <f t="shared" si="1907"/>
        <v>0</v>
      </c>
      <c r="O954" s="13">
        <f t="shared" si="1907"/>
        <v>1</v>
      </c>
      <c r="P954" s="13">
        <f t="shared" si="1907"/>
        <v>0</v>
      </c>
      <c r="Q954" s="13">
        <f t="shared" si="1907"/>
        <v>0</v>
      </c>
      <c r="R954" s="13">
        <f t="shared" si="1907"/>
        <v>0</v>
      </c>
      <c r="S954" s="13">
        <f t="shared" si="1907"/>
        <v>2</v>
      </c>
      <c r="T954" s="13">
        <f t="shared" si="1907"/>
        <v>0</v>
      </c>
      <c r="U954" s="13">
        <f t="shared" si="1907"/>
        <v>0</v>
      </c>
      <c r="V954" s="13">
        <f t="shared" si="1907"/>
        <v>0</v>
      </c>
      <c r="W954" s="13">
        <f t="shared" si="1907"/>
        <v>0</v>
      </c>
      <c r="X954" s="13">
        <f t="shared" si="1907"/>
        <v>0</v>
      </c>
      <c r="Y954" s="13">
        <f t="shared" si="1907"/>
        <v>0</v>
      </c>
      <c r="Z954" s="13">
        <f t="shared" si="1907"/>
        <v>0</v>
      </c>
      <c r="AA954" s="13">
        <f t="shared" si="1907"/>
        <v>0</v>
      </c>
      <c r="AB954" s="13">
        <f t="shared" ref="AB954:AP954" si="1908">IFERROR(VALUE(RIGHT(LEFT($J954,FIND(AB$1,$J954,IF(M954=0,1,FIND(AB$1,$J954,1)+1))+LEN(AB$1)),1)),0)</f>
        <v>0</v>
      </c>
      <c r="AC954" s="13">
        <f t="shared" si="1908"/>
        <v>0</v>
      </c>
      <c r="AD954" s="13">
        <f t="shared" si="1908"/>
        <v>1</v>
      </c>
      <c r="AE954" s="13">
        <f t="shared" si="1908"/>
        <v>0</v>
      </c>
      <c r="AF954" s="13">
        <f t="shared" si="1908"/>
        <v>0</v>
      </c>
      <c r="AG954" s="13">
        <f t="shared" si="1908"/>
        <v>0</v>
      </c>
      <c r="AH954" s="13">
        <f t="shared" si="1908"/>
        <v>1</v>
      </c>
      <c r="AI954" s="13">
        <f t="shared" si="1908"/>
        <v>0</v>
      </c>
      <c r="AJ954" s="13">
        <f t="shared" si="1908"/>
        <v>0</v>
      </c>
      <c r="AK954" s="13">
        <f t="shared" si="1908"/>
        <v>0</v>
      </c>
      <c r="AL954" s="13">
        <f t="shared" si="1908"/>
        <v>0</v>
      </c>
      <c r="AM954" s="13">
        <f t="shared" si="1908"/>
        <v>0</v>
      </c>
      <c r="AN954" s="13">
        <f t="shared" si="1908"/>
        <v>0</v>
      </c>
      <c r="AO954" s="13">
        <f t="shared" si="1908"/>
        <v>0</v>
      </c>
      <c r="AP954" s="13">
        <f t="shared" si="1908"/>
        <v>0</v>
      </c>
      <c r="AQ954" s="13" t="s">
        <v>5676</v>
      </c>
      <c r="AR954" s="13"/>
      <c r="AS954" s="13" t="s">
        <v>5677</v>
      </c>
      <c r="AT954" s="13"/>
      <c r="AU954" s="13"/>
      <c r="AV954" s="13"/>
      <c r="AW954" s="13">
        <v>0.0</v>
      </c>
      <c r="AX954" s="13">
        <v>18.0</v>
      </c>
      <c r="AY954" s="13">
        <v>0.0</v>
      </c>
      <c r="AZ954" s="13"/>
      <c r="BA954" s="13"/>
      <c r="BB954" s="13"/>
      <c r="BC954" s="13"/>
      <c r="BD954" s="13"/>
      <c r="BE954" s="13"/>
      <c r="BF954" s="13"/>
      <c r="BG954" s="13"/>
      <c r="BH954" s="13" t="s">
        <v>79</v>
      </c>
      <c r="BI954" s="13" t="b">
        <v>0</v>
      </c>
      <c r="BJ954" s="13">
        <v>0.0</v>
      </c>
      <c r="BK954" s="13">
        <v>0.0</v>
      </c>
    </row>
    <row r="955" ht="14.25" customHeight="1">
      <c r="A955" s="13">
        <v>953.0</v>
      </c>
      <c r="B955" s="13" t="s">
        <v>46</v>
      </c>
      <c r="C955" s="13">
        <v>5.0</v>
      </c>
      <c r="D955" s="14">
        <v>0.0</v>
      </c>
      <c r="E955" s="13" t="s">
        <v>5678</v>
      </c>
      <c r="F955" s="15" t="s">
        <v>5523</v>
      </c>
      <c r="G955" s="16" t="s">
        <v>5679</v>
      </c>
      <c r="H955" s="13"/>
      <c r="I955" s="13">
        <v>1.0</v>
      </c>
      <c r="J955" s="13" t="s">
        <v>5680</v>
      </c>
      <c r="K955" s="13">
        <f t="shared" si="3"/>
        <v>3</v>
      </c>
      <c r="L955" s="13">
        <f t="shared" si="4"/>
        <v>2</v>
      </c>
      <c r="M955" s="13">
        <f t="shared" ref="M955:AA955" si="1909">IFERROR(VALUE(RIGHT(LEFT($J955,FIND(M$1,$J955,1)+LEN(M$1)),1)),0)</f>
        <v>2</v>
      </c>
      <c r="N955" s="13">
        <f t="shared" si="1909"/>
        <v>0</v>
      </c>
      <c r="O955" s="13">
        <f t="shared" si="1909"/>
        <v>0</v>
      </c>
      <c r="P955" s="13">
        <f t="shared" si="1909"/>
        <v>0</v>
      </c>
      <c r="Q955" s="13">
        <f t="shared" si="1909"/>
        <v>0</v>
      </c>
      <c r="R955" s="13">
        <f t="shared" si="1909"/>
        <v>0</v>
      </c>
      <c r="S955" s="13">
        <f t="shared" si="1909"/>
        <v>0</v>
      </c>
      <c r="T955" s="13">
        <f t="shared" si="1909"/>
        <v>0</v>
      </c>
      <c r="U955" s="13">
        <f t="shared" si="1909"/>
        <v>1</v>
      </c>
      <c r="V955" s="13">
        <f t="shared" si="1909"/>
        <v>0</v>
      </c>
      <c r="W955" s="13">
        <f t="shared" si="1909"/>
        <v>0</v>
      </c>
      <c r="X955" s="13">
        <f t="shared" si="1909"/>
        <v>0</v>
      </c>
      <c r="Y955" s="13">
        <f t="shared" si="1909"/>
        <v>0</v>
      </c>
      <c r="Z955" s="13">
        <f t="shared" si="1909"/>
        <v>0</v>
      </c>
      <c r="AA955" s="13">
        <f t="shared" si="1909"/>
        <v>0</v>
      </c>
      <c r="AB955" s="13">
        <f t="shared" ref="AB955:AP955" si="1910">IFERROR(VALUE(RIGHT(LEFT($J955,FIND(AB$1,$J955,IF(M955=0,1,FIND(AB$1,$J955,1)+1))+LEN(AB$1)),1)),0)</f>
        <v>0</v>
      </c>
      <c r="AC955" s="13">
        <f t="shared" si="1910"/>
        <v>0</v>
      </c>
      <c r="AD955" s="13">
        <f t="shared" si="1910"/>
        <v>0</v>
      </c>
      <c r="AE955" s="13">
        <f t="shared" si="1910"/>
        <v>0</v>
      </c>
      <c r="AF955" s="13">
        <f t="shared" si="1910"/>
        <v>1</v>
      </c>
      <c r="AG955" s="13">
        <f t="shared" si="1910"/>
        <v>0</v>
      </c>
      <c r="AH955" s="13">
        <f t="shared" si="1910"/>
        <v>0</v>
      </c>
      <c r="AI955" s="13">
        <f t="shared" si="1910"/>
        <v>0</v>
      </c>
      <c r="AJ955" s="13">
        <f t="shared" si="1910"/>
        <v>1</v>
      </c>
      <c r="AK955" s="13">
        <f t="shared" si="1910"/>
        <v>0</v>
      </c>
      <c r="AL955" s="13">
        <f t="shared" si="1910"/>
        <v>0</v>
      </c>
      <c r="AM955" s="13">
        <f t="shared" si="1910"/>
        <v>0</v>
      </c>
      <c r="AN955" s="13">
        <f t="shared" si="1910"/>
        <v>0</v>
      </c>
      <c r="AO955" s="13">
        <f t="shared" si="1910"/>
        <v>0</v>
      </c>
      <c r="AP955" s="13">
        <f t="shared" si="1910"/>
        <v>0</v>
      </c>
      <c r="AQ955" s="13" t="s">
        <v>5681</v>
      </c>
      <c r="AR955" s="13"/>
      <c r="AS955" s="13" t="s">
        <v>5682</v>
      </c>
      <c r="AT955" s="13"/>
      <c r="AU955" s="13"/>
      <c r="AV955" s="13"/>
      <c r="AW955" s="13">
        <v>0.0</v>
      </c>
      <c r="AX955" s="13">
        <v>18.0</v>
      </c>
      <c r="AY955" s="13">
        <v>0.0</v>
      </c>
      <c r="AZ955" s="13"/>
      <c r="BA955" s="13"/>
      <c r="BB955" s="13"/>
      <c r="BC955" s="13"/>
      <c r="BD955" s="13"/>
      <c r="BE955" s="13"/>
      <c r="BF955" s="13"/>
      <c r="BG955" s="13"/>
      <c r="BH955" s="13" t="s">
        <v>79</v>
      </c>
      <c r="BI955" s="13" t="b">
        <v>0</v>
      </c>
      <c r="BJ955" s="13">
        <v>0.0</v>
      </c>
      <c r="BK955" s="13">
        <v>0.0</v>
      </c>
    </row>
    <row r="956" ht="14.25" customHeight="1">
      <c r="A956" s="13">
        <v>954.0</v>
      </c>
      <c r="B956" s="13" t="s">
        <v>51</v>
      </c>
      <c r="C956" s="13">
        <v>5.0</v>
      </c>
      <c r="D956" s="14">
        <v>0.0</v>
      </c>
      <c r="E956" s="13" t="s">
        <v>5683</v>
      </c>
      <c r="F956" s="15" t="s">
        <v>5523</v>
      </c>
      <c r="G956" s="16" t="s">
        <v>5684</v>
      </c>
      <c r="H956" s="13">
        <v>24.0</v>
      </c>
      <c r="I956" s="13">
        <v>1.0</v>
      </c>
      <c r="J956" s="13" t="s">
        <v>5685</v>
      </c>
      <c r="K956" s="13">
        <f t="shared" si="3"/>
        <v>3</v>
      </c>
      <c r="L956" s="13">
        <f t="shared" si="4"/>
        <v>2</v>
      </c>
      <c r="M956" s="13">
        <f t="shared" ref="M956:AA956" si="1911">IFERROR(VALUE(RIGHT(LEFT($J956,FIND(M$1,$J956,1)+LEN(M$1)),1)),0)</f>
        <v>0</v>
      </c>
      <c r="N956" s="13">
        <f t="shared" si="1911"/>
        <v>0</v>
      </c>
      <c r="O956" s="13">
        <f t="shared" si="1911"/>
        <v>1</v>
      </c>
      <c r="P956" s="13">
        <f t="shared" si="1911"/>
        <v>0</v>
      </c>
      <c r="Q956" s="13">
        <f t="shared" si="1911"/>
        <v>0</v>
      </c>
      <c r="R956" s="13">
        <f t="shared" si="1911"/>
        <v>0</v>
      </c>
      <c r="S956" s="13">
        <f t="shared" si="1911"/>
        <v>0</v>
      </c>
      <c r="T956" s="13">
        <f t="shared" si="1911"/>
        <v>0</v>
      </c>
      <c r="U956" s="13">
        <f t="shared" si="1911"/>
        <v>0</v>
      </c>
      <c r="V956" s="13">
        <f t="shared" si="1911"/>
        <v>0</v>
      </c>
      <c r="W956" s="13">
        <f t="shared" si="1911"/>
        <v>0</v>
      </c>
      <c r="X956" s="13">
        <f t="shared" si="1911"/>
        <v>0</v>
      </c>
      <c r="Y956" s="13">
        <f t="shared" si="1911"/>
        <v>0</v>
      </c>
      <c r="Z956" s="13">
        <f t="shared" si="1911"/>
        <v>2</v>
      </c>
      <c r="AA956" s="13">
        <f t="shared" si="1911"/>
        <v>0</v>
      </c>
      <c r="AB956" s="13">
        <f t="shared" ref="AB956:AP956" si="1912">IFERROR(VALUE(RIGHT(LEFT($J956,FIND(AB$1,$J956,IF(M956=0,1,FIND(AB$1,$J956,1)+1))+LEN(AB$1)),1)),0)</f>
        <v>1</v>
      </c>
      <c r="AC956" s="13">
        <f t="shared" si="1912"/>
        <v>0</v>
      </c>
      <c r="AD956" s="13">
        <f t="shared" si="1912"/>
        <v>0</v>
      </c>
      <c r="AE956" s="13">
        <f t="shared" si="1912"/>
        <v>0</v>
      </c>
      <c r="AF956" s="13">
        <f t="shared" si="1912"/>
        <v>0</v>
      </c>
      <c r="AG956" s="13">
        <f t="shared" si="1912"/>
        <v>0</v>
      </c>
      <c r="AH956" s="13">
        <f t="shared" si="1912"/>
        <v>0</v>
      </c>
      <c r="AI956" s="13">
        <f t="shared" si="1912"/>
        <v>0</v>
      </c>
      <c r="AJ956" s="13">
        <f t="shared" si="1912"/>
        <v>0</v>
      </c>
      <c r="AK956" s="13">
        <f t="shared" si="1912"/>
        <v>0</v>
      </c>
      <c r="AL956" s="13">
        <f t="shared" si="1912"/>
        <v>0</v>
      </c>
      <c r="AM956" s="13">
        <f t="shared" si="1912"/>
        <v>0</v>
      </c>
      <c r="AN956" s="13">
        <f t="shared" si="1912"/>
        <v>0</v>
      </c>
      <c r="AO956" s="13">
        <f t="shared" si="1912"/>
        <v>1</v>
      </c>
      <c r="AP956" s="13">
        <f t="shared" si="1912"/>
        <v>0</v>
      </c>
      <c r="AQ956" s="13"/>
      <c r="AR956" s="13" t="s">
        <v>5686</v>
      </c>
      <c r="AS956" s="13" t="s">
        <v>5687</v>
      </c>
      <c r="AT956" s="13" t="s">
        <v>1319</v>
      </c>
      <c r="AU956" s="13" t="s">
        <v>143</v>
      </c>
      <c r="AV956" s="13" t="s">
        <v>5688</v>
      </c>
      <c r="AW956" s="13">
        <v>30.0</v>
      </c>
      <c r="AX956" s="13">
        <v>18.0</v>
      </c>
      <c r="AY956" s="13">
        <v>0.0</v>
      </c>
      <c r="AZ956" s="13" t="s">
        <v>5689</v>
      </c>
      <c r="BA956" s="13" t="s">
        <v>5690</v>
      </c>
      <c r="BB956" s="13"/>
      <c r="BC956" s="13"/>
      <c r="BD956" s="13" t="s">
        <v>1822</v>
      </c>
      <c r="BE956" s="13"/>
      <c r="BF956" s="13" t="s">
        <v>5691</v>
      </c>
      <c r="BG956" s="13" t="s">
        <v>284</v>
      </c>
      <c r="BH956" s="13" t="s">
        <v>241</v>
      </c>
      <c r="BI956" s="13" t="b">
        <v>0</v>
      </c>
      <c r="BJ956" s="13">
        <v>0.0</v>
      </c>
      <c r="BK956" s="13">
        <v>0.0</v>
      </c>
    </row>
    <row r="957" ht="14.25" customHeight="1">
      <c r="A957" s="13">
        <v>955.0</v>
      </c>
      <c r="B957" s="13" t="s">
        <v>44</v>
      </c>
      <c r="C957" s="13">
        <v>0.0</v>
      </c>
      <c r="D957" s="14">
        <v>0.0</v>
      </c>
      <c r="E957" s="13" t="s">
        <v>5692</v>
      </c>
      <c r="F957" s="15" t="s">
        <v>418</v>
      </c>
      <c r="G957" s="16" t="s">
        <v>5693</v>
      </c>
      <c r="H957" s="13"/>
      <c r="I957" s="13">
        <v>1.1</v>
      </c>
      <c r="J957" s="13" t="s">
        <v>2185</v>
      </c>
      <c r="K957" s="13">
        <f t="shared" si="3"/>
        <v>0</v>
      </c>
      <c r="L957" s="13">
        <f t="shared" si="4"/>
        <v>1</v>
      </c>
      <c r="M957" s="13">
        <f t="shared" ref="M957:AA957" si="1913">IFERROR(VALUE(RIGHT(LEFT($J957,FIND(M$1,$J957,1)+LEN(M$1)),1)),0)</f>
        <v>0</v>
      </c>
      <c r="N957" s="13">
        <f t="shared" si="1913"/>
        <v>0</v>
      </c>
      <c r="O957" s="13">
        <f t="shared" si="1913"/>
        <v>0</v>
      </c>
      <c r="P957" s="13">
        <f t="shared" si="1913"/>
        <v>0</v>
      </c>
      <c r="Q957" s="13">
        <f t="shared" si="1913"/>
        <v>0</v>
      </c>
      <c r="R957" s="13">
        <f t="shared" si="1913"/>
        <v>0</v>
      </c>
      <c r="S957" s="13">
        <f t="shared" si="1913"/>
        <v>0</v>
      </c>
      <c r="T957" s="13">
        <f t="shared" si="1913"/>
        <v>0</v>
      </c>
      <c r="U957" s="13">
        <f t="shared" si="1913"/>
        <v>0</v>
      </c>
      <c r="V957" s="13">
        <f t="shared" si="1913"/>
        <v>0</v>
      </c>
      <c r="W957" s="13">
        <f t="shared" si="1913"/>
        <v>0</v>
      </c>
      <c r="X957" s="13">
        <f t="shared" si="1913"/>
        <v>0</v>
      </c>
      <c r="Y957" s="13">
        <f t="shared" si="1913"/>
        <v>0</v>
      </c>
      <c r="Z957" s="13">
        <f t="shared" si="1913"/>
        <v>0</v>
      </c>
      <c r="AA957" s="13">
        <f t="shared" si="1913"/>
        <v>0</v>
      </c>
      <c r="AB957" s="13">
        <f t="shared" ref="AB957:AP957" si="1914">IFERROR(VALUE(RIGHT(LEFT($J957,FIND(AB$1,$J957,IF(M957=0,1,FIND(AB$1,$J957,1)+1))+LEN(AB$1)),1)),0)</f>
        <v>0</v>
      </c>
      <c r="AC957" s="13">
        <f t="shared" si="1914"/>
        <v>0</v>
      </c>
      <c r="AD957" s="13">
        <f t="shared" si="1914"/>
        <v>0</v>
      </c>
      <c r="AE957" s="13">
        <f t="shared" si="1914"/>
        <v>0</v>
      </c>
      <c r="AF957" s="13">
        <f t="shared" si="1914"/>
        <v>0</v>
      </c>
      <c r="AG957" s="13">
        <f t="shared" si="1914"/>
        <v>0</v>
      </c>
      <c r="AH957" s="13">
        <f t="shared" si="1914"/>
        <v>1</v>
      </c>
      <c r="AI957" s="13">
        <f t="shared" si="1914"/>
        <v>0</v>
      </c>
      <c r="AJ957" s="13">
        <f t="shared" si="1914"/>
        <v>0</v>
      </c>
      <c r="AK957" s="13">
        <f t="shared" si="1914"/>
        <v>0</v>
      </c>
      <c r="AL957" s="13">
        <f t="shared" si="1914"/>
        <v>0</v>
      </c>
      <c r="AM957" s="13">
        <f t="shared" si="1914"/>
        <v>0</v>
      </c>
      <c r="AN957" s="13">
        <f t="shared" si="1914"/>
        <v>0</v>
      </c>
      <c r="AO957" s="13">
        <f t="shared" si="1914"/>
        <v>0</v>
      </c>
      <c r="AP957" s="13">
        <f t="shared" si="1914"/>
        <v>0</v>
      </c>
      <c r="AQ957" s="13" t="s">
        <v>5694</v>
      </c>
      <c r="AR957" s="13"/>
      <c r="AS957" s="13" t="s">
        <v>4768</v>
      </c>
      <c r="AT957" s="13"/>
      <c r="AU957" s="13"/>
      <c r="AV957" s="13"/>
      <c r="AW957" s="13">
        <v>0.0</v>
      </c>
      <c r="AX957" s="13">
        <v>19.0</v>
      </c>
      <c r="AY957" s="13">
        <v>0.0</v>
      </c>
      <c r="AZ957" s="13"/>
      <c r="BA957" s="13"/>
      <c r="BB957" s="13"/>
      <c r="BC957" s="13"/>
      <c r="BD957" s="13"/>
      <c r="BE957" s="13"/>
      <c r="BF957" s="13"/>
      <c r="BG957" s="13"/>
      <c r="BH957" s="13" t="s">
        <v>79</v>
      </c>
      <c r="BI957" s="13" t="b">
        <v>0</v>
      </c>
      <c r="BJ957" s="13">
        <v>0.0</v>
      </c>
      <c r="BK957" s="13">
        <v>0.0</v>
      </c>
    </row>
    <row r="958" ht="14.25" customHeight="1">
      <c r="A958" s="13">
        <v>956.0</v>
      </c>
      <c r="B958" s="13" t="s">
        <v>45</v>
      </c>
      <c r="C958" s="13">
        <v>0.0</v>
      </c>
      <c r="D958" s="14">
        <v>0.0</v>
      </c>
      <c r="E958" s="13" t="s">
        <v>5695</v>
      </c>
      <c r="F958" s="15" t="s">
        <v>418</v>
      </c>
      <c r="G958" s="16" t="s">
        <v>5696</v>
      </c>
      <c r="H958" s="13"/>
      <c r="I958" s="13">
        <v>0.9</v>
      </c>
      <c r="J958" s="13" t="s">
        <v>100</v>
      </c>
      <c r="K958" s="13">
        <f t="shared" si="3"/>
        <v>0</v>
      </c>
      <c r="L958" s="13">
        <f t="shared" si="4"/>
        <v>1</v>
      </c>
      <c r="M958" s="13">
        <f t="shared" ref="M958:AA958" si="1915">IFERROR(VALUE(RIGHT(LEFT($J958,FIND(M$1,$J958,1)+LEN(M$1)),1)),0)</f>
        <v>0</v>
      </c>
      <c r="N958" s="13">
        <f t="shared" si="1915"/>
        <v>0</v>
      </c>
      <c r="O958" s="13">
        <f t="shared" si="1915"/>
        <v>0</v>
      </c>
      <c r="P958" s="13">
        <f t="shared" si="1915"/>
        <v>0</v>
      </c>
      <c r="Q958" s="13">
        <f t="shared" si="1915"/>
        <v>0</v>
      </c>
      <c r="R958" s="13">
        <f t="shared" si="1915"/>
        <v>0</v>
      </c>
      <c r="S958" s="13">
        <f t="shared" si="1915"/>
        <v>0</v>
      </c>
      <c r="T958" s="13">
        <f t="shared" si="1915"/>
        <v>0</v>
      </c>
      <c r="U958" s="13">
        <f t="shared" si="1915"/>
        <v>0</v>
      </c>
      <c r="V958" s="13">
        <f t="shared" si="1915"/>
        <v>0</v>
      </c>
      <c r="W958" s="13">
        <f t="shared" si="1915"/>
        <v>0</v>
      </c>
      <c r="X958" s="13">
        <f t="shared" si="1915"/>
        <v>0</v>
      </c>
      <c r="Y958" s="13">
        <f t="shared" si="1915"/>
        <v>0</v>
      </c>
      <c r="Z958" s="13">
        <f t="shared" si="1915"/>
        <v>0</v>
      </c>
      <c r="AA958" s="13">
        <f t="shared" si="1915"/>
        <v>0</v>
      </c>
      <c r="AB958" s="13">
        <f t="shared" ref="AB958:AP958" si="1916">IFERROR(VALUE(RIGHT(LEFT($J958,FIND(AB$1,$J958,IF(M958=0,1,FIND(AB$1,$J958,1)+1))+LEN(AB$1)),1)),0)</f>
        <v>0</v>
      </c>
      <c r="AC958" s="13">
        <f t="shared" si="1916"/>
        <v>0</v>
      </c>
      <c r="AD958" s="13">
        <f t="shared" si="1916"/>
        <v>0</v>
      </c>
      <c r="AE958" s="13">
        <f t="shared" si="1916"/>
        <v>0</v>
      </c>
      <c r="AF958" s="13">
        <f t="shared" si="1916"/>
        <v>0</v>
      </c>
      <c r="AG958" s="13">
        <f t="shared" si="1916"/>
        <v>0</v>
      </c>
      <c r="AH958" s="13">
        <f t="shared" si="1916"/>
        <v>0</v>
      </c>
      <c r="AI958" s="13">
        <f t="shared" si="1916"/>
        <v>1</v>
      </c>
      <c r="AJ958" s="13">
        <f t="shared" si="1916"/>
        <v>0</v>
      </c>
      <c r="AK958" s="13">
        <f t="shared" si="1916"/>
        <v>0</v>
      </c>
      <c r="AL958" s="13">
        <f t="shared" si="1916"/>
        <v>0</v>
      </c>
      <c r="AM958" s="13">
        <f t="shared" si="1916"/>
        <v>0</v>
      </c>
      <c r="AN958" s="13">
        <f t="shared" si="1916"/>
        <v>0</v>
      </c>
      <c r="AO958" s="13">
        <f t="shared" si="1916"/>
        <v>0</v>
      </c>
      <c r="AP958" s="13">
        <f t="shared" si="1916"/>
        <v>0</v>
      </c>
      <c r="AQ958" s="13" t="s">
        <v>5697</v>
      </c>
      <c r="AR958" s="13"/>
      <c r="AS958" s="13" t="s">
        <v>102</v>
      </c>
      <c r="AT958" s="13"/>
      <c r="AU958" s="13"/>
      <c r="AV958" s="13"/>
      <c r="AW958" s="13">
        <v>0.0</v>
      </c>
      <c r="AX958" s="13">
        <v>19.0</v>
      </c>
      <c r="AY958" s="13">
        <v>0.0</v>
      </c>
      <c r="AZ958" s="13"/>
      <c r="BA958" s="13"/>
      <c r="BB958" s="13"/>
      <c r="BC958" s="13"/>
      <c r="BD958" s="13"/>
      <c r="BE958" s="13"/>
      <c r="BF958" s="13"/>
      <c r="BG958" s="13"/>
      <c r="BH958" s="13" t="s">
        <v>79</v>
      </c>
      <c r="BI958" s="13" t="b">
        <v>0</v>
      </c>
      <c r="BJ958" s="13">
        <v>0.0</v>
      </c>
      <c r="BK958" s="13">
        <v>0.0</v>
      </c>
    </row>
    <row r="959" ht="14.25" customHeight="1">
      <c r="A959" s="13">
        <v>957.0</v>
      </c>
      <c r="B959" s="13" t="s">
        <v>46</v>
      </c>
      <c r="C959" s="13">
        <v>0.0</v>
      </c>
      <c r="D959" s="14">
        <v>0.0</v>
      </c>
      <c r="E959" s="13" t="s">
        <v>5698</v>
      </c>
      <c r="F959" s="15" t="s">
        <v>418</v>
      </c>
      <c r="G959" s="16" t="s">
        <v>5699</v>
      </c>
      <c r="H959" s="13"/>
      <c r="I959" s="13">
        <v>0.9</v>
      </c>
      <c r="J959" s="13" t="s">
        <v>111</v>
      </c>
      <c r="K959" s="13">
        <f t="shared" si="3"/>
        <v>0</v>
      </c>
      <c r="L959" s="13">
        <f t="shared" si="4"/>
        <v>1</v>
      </c>
      <c r="M959" s="13">
        <f t="shared" ref="M959:AA959" si="1917">IFERROR(VALUE(RIGHT(LEFT($J959,FIND(M$1,$J959,1)+LEN(M$1)),1)),0)</f>
        <v>0</v>
      </c>
      <c r="N959" s="13">
        <f t="shared" si="1917"/>
        <v>0</v>
      </c>
      <c r="O959" s="13">
        <f t="shared" si="1917"/>
        <v>0</v>
      </c>
      <c r="P959" s="13">
        <f t="shared" si="1917"/>
        <v>0</v>
      </c>
      <c r="Q959" s="13">
        <f t="shared" si="1917"/>
        <v>0</v>
      </c>
      <c r="R959" s="13">
        <f t="shared" si="1917"/>
        <v>0</v>
      </c>
      <c r="S959" s="13">
        <f t="shared" si="1917"/>
        <v>0</v>
      </c>
      <c r="T959" s="13">
        <f t="shared" si="1917"/>
        <v>0</v>
      </c>
      <c r="U959" s="13">
        <f t="shared" si="1917"/>
        <v>0</v>
      </c>
      <c r="V959" s="13">
        <f t="shared" si="1917"/>
        <v>0</v>
      </c>
      <c r="W959" s="13">
        <f t="shared" si="1917"/>
        <v>0</v>
      </c>
      <c r="X959" s="13">
        <f t="shared" si="1917"/>
        <v>0</v>
      </c>
      <c r="Y959" s="13">
        <f t="shared" si="1917"/>
        <v>0</v>
      </c>
      <c r="Z959" s="13">
        <f t="shared" si="1917"/>
        <v>0</v>
      </c>
      <c r="AA959" s="13">
        <f t="shared" si="1917"/>
        <v>0</v>
      </c>
      <c r="AB959" s="13">
        <f t="shared" ref="AB959:AP959" si="1918">IFERROR(VALUE(RIGHT(LEFT($J959,FIND(AB$1,$J959,IF(M959=0,1,FIND(AB$1,$J959,1)+1))+LEN(AB$1)),1)),0)</f>
        <v>0</v>
      </c>
      <c r="AC959" s="13">
        <f t="shared" si="1918"/>
        <v>0</v>
      </c>
      <c r="AD959" s="13">
        <f t="shared" si="1918"/>
        <v>0</v>
      </c>
      <c r="AE959" s="13">
        <f t="shared" si="1918"/>
        <v>0</v>
      </c>
      <c r="AF959" s="13">
        <f t="shared" si="1918"/>
        <v>0</v>
      </c>
      <c r="AG959" s="13">
        <f t="shared" si="1918"/>
        <v>0</v>
      </c>
      <c r="AH959" s="13">
        <f t="shared" si="1918"/>
        <v>0</v>
      </c>
      <c r="AI959" s="13">
        <f t="shared" si="1918"/>
        <v>0</v>
      </c>
      <c r="AJ959" s="13">
        <f t="shared" si="1918"/>
        <v>1</v>
      </c>
      <c r="AK959" s="13">
        <f t="shared" si="1918"/>
        <v>0</v>
      </c>
      <c r="AL959" s="13">
        <f t="shared" si="1918"/>
        <v>0</v>
      </c>
      <c r="AM959" s="13">
        <f t="shared" si="1918"/>
        <v>0</v>
      </c>
      <c r="AN959" s="13">
        <f t="shared" si="1918"/>
        <v>0</v>
      </c>
      <c r="AO959" s="13">
        <f t="shared" si="1918"/>
        <v>0</v>
      </c>
      <c r="AP959" s="13">
        <f t="shared" si="1918"/>
        <v>0</v>
      </c>
      <c r="AQ959" s="13" t="s">
        <v>5700</v>
      </c>
      <c r="AR959" s="13"/>
      <c r="AS959" s="13" t="s">
        <v>5701</v>
      </c>
      <c r="AT959" s="13"/>
      <c r="AU959" s="13"/>
      <c r="AV959" s="13"/>
      <c r="AW959" s="13">
        <v>0.0</v>
      </c>
      <c r="AX959" s="13">
        <v>19.0</v>
      </c>
      <c r="AY959" s="13">
        <v>0.0</v>
      </c>
      <c r="AZ959" s="13"/>
      <c r="BA959" s="13"/>
      <c r="BB959" s="13"/>
      <c r="BC959" s="13"/>
      <c r="BD959" s="13"/>
      <c r="BE959" s="13"/>
      <c r="BF959" s="13"/>
      <c r="BG959" s="13"/>
      <c r="BH959" s="13" t="s">
        <v>79</v>
      </c>
      <c r="BI959" s="13" t="b">
        <v>0</v>
      </c>
      <c r="BJ959" s="13">
        <v>0.0</v>
      </c>
      <c r="BK959" s="13">
        <v>0.0</v>
      </c>
    </row>
    <row r="960" ht="14.25" customHeight="1">
      <c r="A960" s="13">
        <v>958.0</v>
      </c>
      <c r="B960" s="13" t="s">
        <v>47</v>
      </c>
      <c r="C960" s="13">
        <v>0.0</v>
      </c>
      <c r="D960" s="14">
        <v>0.0</v>
      </c>
      <c r="E960" s="13" t="s">
        <v>5702</v>
      </c>
      <c r="F960" s="15" t="s">
        <v>418</v>
      </c>
      <c r="G960" s="16" t="s">
        <v>5703</v>
      </c>
      <c r="H960" s="13">
        <v>8.0</v>
      </c>
      <c r="I960" s="13">
        <v>0.8</v>
      </c>
      <c r="J960" s="13" t="s">
        <v>127</v>
      </c>
      <c r="K960" s="13">
        <f t="shared" si="3"/>
        <v>0</v>
      </c>
      <c r="L960" s="13">
        <f t="shared" si="4"/>
        <v>1</v>
      </c>
      <c r="M960" s="13">
        <f t="shared" ref="M960:AA960" si="1919">IFERROR(VALUE(RIGHT(LEFT($J960,FIND(M$1,$J960,1)+LEN(M$1)),1)),0)</f>
        <v>0</v>
      </c>
      <c r="N960" s="13">
        <f t="shared" si="1919"/>
        <v>0</v>
      </c>
      <c r="O960" s="13">
        <f t="shared" si="1919"/>
        <v>0</v>
      </c>
      <c r="P960" s="13">
        <f t="shared" si="1919"/>
        <v>0</v>
      </c>
      <c r="Q960" s="13">
        <f t="shared" si="1919"/>
        <v>0</v>
      </c>
      <c r="R960" s="13">
        <f t="shared" si="1919"/>
        <v>0</v>
      </c>
      <c r="S960" s="13">
        <f t="shared" si="1919"/>
        <v>0</v>
      </c>
      <c r="T960" s="13">
        <f t="shared" si="1919"/>
        <v>0</v>
      </c>
      <c r="U960" s="13">
        <f t="shared" si="1919"/>
        <v>0</v>
      </c>
      <c r="V960" s="13">
        <f t="shared" si="1919"/>
        <v>0</v>
      </c>
      <c r="W960" s="13">
        <f t="shared" si="1919"/>
        <v>0</v>
      </c>
      <c r="X960" s="13">
        <f t="shared" si="1919"/>
        <v>0</v>
      </c>
      <c r="Y960" s="13">
        <f t="shared" si="1919"/>
        <v>0</v>
      </c>
      <c r="Z960" s="13">
        <f t="shared" si="1919"/>
        <v>0</v>
      </c>
      <c r="AA960" s="13">
        <f t="shared" si="1919"/>
        <v>0</v>
      </c>
      <c r="AB960" s="13">
        <f t="shared" ref="AB960:AP960" si="1920">IFERROR(VALUE(RIGHT(LEFT($J960,FIND(AB$1,$J960,IF(M960=0,1,FIND(AB$1,$J960,1)+1))+LEN(AB$1)),1)),0)</f>
        <v>0</v>
      </c>
      <c r="AC960" s="13">
        <f t="shared" si="1920"/>
        <v>0</v>
      </c>
      <c r="AD960" s="13">
        <f t="shared" si="1920"/>
        <v>0</v>
      </c>
      <c r="AE960" s="13">
        <f t="shared" si="1920"/>
        <v>0</v>
      </c>
      <c r="AF960" s="13">
        <f t="shared" si="1920"/>
        <v>0</v>
      </c>
      <c r="AG960" s="13">
        <f t="shared" si="1920"/>
        <v>0</v>
      </c>
      <c r="AH960" s="13">
        <f t="shared" si="1920"/>
        <v>0</v>
      </c>
      <c r="AI960" s="13">
        <f t="shared" si="1920"/>
        <v>0</v>
      </c>
      <c r="AJ960" s="13">
        <f t="shared" si="1920"/>
        <v>0</v>
      </c>
      <c r="AK960" s="13">
        <f t="shared" si="1920"/>
        <v>1</v>
      </c>
      <c r="AL960" s="13">
        <f t="shared" si="1920"/>
        <v>0</v>
      </c>
      <c r="AM960" s="13">
        <f t="shared" si="1920"/>
        <v>0</v>
      </c>
      <c r="AN960" s="13">
        <f t="shared" si="1920"/>
        <v>0</v>
      </c>
      <c r="AO960" s="13">
        <f t="shared" si="1920"/>
        <v>0</v>
      </c>
      <c r="AP960" s="13">
        <f t="shared" si="1920"/>
        <v>0</v>
      </c>
      <c r="AQ960" s="13"/>
      <c r="AR960" s="13" t="s">
        <v>5704</v>
      </c>
      <c r="AS960" s="13" t="s">
        <v>141</v>
      </c>
      <c r="AT960" s="13" t="s">
        <v>142</v>
      </c>
      <c r="AU960" s="13" t="s">
        <v>143</v>
      </c>
      <c r="AV960" s="13" t="s">
        <v>5705</v>
      </c>
      <c r="AW960" s="13">
        <v>3.0</v>
      </c>
      <c r="AX960" s="13">
        <v>19.0</v>
      </c>
      <c r="AY960" s="13">
        <v>0.0</v>
      </c>
      <c r="AZ960" s="13" t="s">
        <v>4248</v>
      </c>
      <c r="BA960" s="13" t="s">
        <v>146</v>
      </c>
      <c r="BB960" s="13"/>
      <c r="BC960" s="13"/>
      <c r="BD960" s="13" t="s">
        <v>484</v>
      </c>
      <c r="BE960" s="13"/>
      <c r="BF960" s="13" t="s">
        <v>811</v>
      </c>
      <c r="BG960" s="13" t="s">
        <v>136</v>
      </c>
      <c r="BH960" s="13" t="s">
        <v>79</v>
      </c>
      <c r="BI960" s="13" t="b">
        <v>0</v>
      </c>
      <c r="BJ960" s="13">
        <v>0.0</v>
      </c>
      <c r="BK960" s="13">
        <v>0.0</v>
      </c>
    </row>
    <row r="961" ht="14.25" customHeight="1">
      <c r="A961" s="13">
        <v>959.0</v>
      </c>
      <c r="B961" s="13" t="s">
        <v>47</v>
      </c>
      <c r="C961" s="13">
        <v>0.0</v>
      </c>
      <c r="D961" s="14">
        <v>0.0</v>
      </c>
      <c r="E961" s="13" t="s">
        <v>5706</v>
      </c>
      <c r="F961" s="15" t="s">
        <v>418</v>
      </c>
      <c r="G961" s="16" t="s">
        <v>5707</v>
      </c>
      <c r="H961" s="13">
        <v>10.0</v>
      </c>
      <c r="I961" s="13">
        <v>1.0</v>
      </c>
      <c r="J961" s="13" t="s">
        <v>127</v>
      </c>
      <c r="K961" s="13">
        <f t="shared" si="3"/>
        <v>0</v>
      </c>
      <c r="L961" s="13">
        <f t="shared" si="4"/>
        <v>1</v>
      </c>
      <c r="M961" s="13">
        <f t="shared" ref="M961:AA961" si="1921">IFERROR(VALUE(RIGHT(LEFT($J961,FIND(M$1,$J961,1)+LEN(M$1)),1)),0)</f>
        <v>0</v>
      </c>
      <c r="N961" s="13">
        <f t="shared" si="1921"/>
        <v>0</v>
      </c>
      <c r="O961" s="13">
        <f t="shared" si="1921"/>
        <v>0</v>
      </c>
      <c r="P961" s="13">
        <f t="shared" si="1921"/>
        <v>0</v>
      </c>
      <c r="Q961" s="13">
        <f t="shared" si="1921"/>
        <v>0</v>
      </c>
      <c r="R961" s="13">
        <f t="shared" si="1921"/>
        <v>0</v>
      </c>
      <c r="S961" s="13">
        <f t="shared" si="1921"/>
        <v>0</v>
      </c>
      <c r="T961" s="13">
        <f t="shared" si="1921"/>
        <v>0</v>
      </c>
      <c r="U961" s="13">
        <f t="shared" si="1921"/>
        <v>0</v>
      </c>
      <c r="V961" s="13">
        <f t="shared" si="1921"/>
        <v>0</v>
      </c>
      <c r="W961" s="13">
        <f t="shared" si="1921"/>
        <v>0</v>
      </c>
      <c r="X961" s="13">
        <f t="shared" si="1921"/>
        <v>0</v>
      </c>
      <c r="Y961" s="13">
        <f t="shared" si="1921"/>
        <v>0</v>
      </c>
      <c r="Z961" s="13">
        <f t="shared" si="1921"/>
        <v>0</v>
      </c>
      <c r="AA961" s="13">
        <f t="shared" si="1921"/>
        <v>0</v>
      </c>
      <c r="AB961" s="13">
        <f t="shared" ref="AB961:AP961" si="1922">IFERROR(VALUE(RIGHT(LEFT($J961,FIND(AB$1,$J961,IF(M961=0,1,FIND(AB$1,$J961,1)+1))+LEN(AB$1)),1)),0)</f>
        <v>0</v>
      </c>
      <c r="AC961" s="13">
        <f t="shared" si="1922"/>
        <v>0</v>
      </c>
      <c r="AD961" s="13">
        <f t="shared" si="1922"/>
        <v>0</v>
      </c>
      <c r="AE961" s="13">
        <f t="shared" si="1922"/>
        <v>0</v>
      </c>
      <c r="AF961" s="13">
        <f t="shared" si="1922"/>
        <v>0</v>
      </c>
      <c r="AG961" s="13">
        <f t="shared" si="1922"/>
        <v>0</v>
      </c>
      <c r="AH961" s="13">
        <f t="shared" si="1922"/>
        <v>0</v>
      </c>
      <c r="AI961" s="13">
        <f t="shared" si="1922"/>
        <v>0</v>
      </c>
      <c r="AJ961" s="13">
        <f t="shared" si="1922"/>
        <v>0</v>
      </c>
      <c r="AK961" s="13">
        <f t="shared" si="1922"/>
        <v>1</v>
      </c>
      <c r="AL961" s="13">
        <f t="shared" si="1922"/>
        <v>0</v>
      </c>
      <c r="AM961" s="13">
        <f t="shared" si="1922"/>
        <v>0</v>
      </c>
      <c r="AN961" s="13">
        <f t="shared" si="1922"/>
        <v>0</v>
      </c>
      <c r="AO961" s="13">
        <f t="shared" si="1922"/>
        <v>0</v>
      </c>
      <c r="AP961" s="13">
        <f t="shared" si="1922"/>
        <v>0</v>
      </c>
      <c r="AQ961" s="13"/>
      <c r="AR961" s="13" t="s">
        <v>5708</v>
      </c>
      <c r="AS961" s="13" t="s">
        <v>153</v>
      </c>
      <c r="AT961" s="13" t="s">
        <v>142</v>
      </c>
      <c r="AU961" s="13" t="s">
        <v>130</v>
      </c>
      <c r="AV961" s="13" t="s">
        <v>5709</v>
      </c>
      <c r="AW961" s="13">
        <v>5.0</v>
      </c>
      <c r="AX961" s="13">
        <v>19.0</v>
      </c>
      <c r="AY961" s="13">
        <v>0.0</v>
      </c>
      <c r="AZ961" s="13" t="s">
        <v>547</v>
      </c>
      <c r="BA961" s="13" t="s">
        <v>198</v>
      </c>
      <c r="BB961" s="13"/>
      <c r="BC961" s="13"/>
      <c r="BD961" s="13" t="s">
        <v>1113</v>
      </c>
      <c r="BE961" s="13"/>
      <c r="BF961" s="13" t="s">
        <v>2594</v>
      </c>
      <c r="BG961" s="13" t="s">
        <v>136</v>
      </c>
      <c r="BH961" s="13" t="s">
        <v>79</v>
      </c>
      <c r="BI961" s="13" t="b">
        <v>0</v>
      </c>
      <c r="BJ961" s="13">
        <v>0.0</v>
      </c>
      <c r="BK961" s="13">
        <v>0.0</v>
      </c>
    </row>
    <row r="962" ht="14.25" customHeight="1">
      <c r="A962" s="13">
        <v>960.0</v>
      </c>
      <c r="B962" s="13" t="s">
        <v>48</v>
      </c>
      <c r="C962" s="13">
        <v>0.0</v>
      </c>
      <c r="D962" s="14">
        <v>0.0</v>
      </c>
      <c r="E962" s="13" t="s">
        <v>5710</v>
      </c>
      <c r="F962" s="15" t="s">
        <v>418</v>
      </c>
      <c r="G962" s="16" t="s">
        <v>5711</v>
      </c>
      <c r="H962" s="13">
        <v>11.0</v>
      </c>
      <c r="I962" s="13">
        <v>1.1</v>
      </c>
      <c r="J962" s="13" t="s">
        <v>160</v>
      </c>
      <c r="K962" s="13">
        <f t="shared" si="3"/>
        <v>0</v>
      </c>
      <c r="L962" s="13">
        <f t="shared" si="4"/>
        <v>1</v>
      </c>
      <c r="M962" s="13">
        <f t="shared" ref="M962:AA962" si="1923">IFERROR(VALUE(RIGHT(LEFT($J962,FIND(M$1,$J962,1)+LEN(M$1)),1)),0)</f>
        <v>0</v>
      </c>
      <c r="N962" s="13">
        <f t="shared" si="1923"/>
        <v>0</v>
      </c>
      <c r="O962" s="13">
        <f t="shared" si="1923"/>
        <v>0</v>
      </c>
      <c r="P962" s="13">
        <f t="shared" si="1923"/>
        <v>0</v>
      </c>
      <c r="Q962" s="13">
        <f t="shared" si="1923"/>
        <v>0</v>
      </c>
      <c r="R962" s="13">
        <f t="shared" si="1923"/>
        <v>0</v>
      </c>
      <c r="S962" s="13">
        <f t="shared" si="1923"/>
        <v>0</v>
      </c>
      <c r="T962" s="13">
        <f t="shared" si="1923"/>
        <v>0</v>
      </c>
      <c r="U962" s="13">
        <f t="shared" si="1923"/>
        <v>0</v>
      </c>
      <c r="V962" s="13">
        <f t="shared" si="1923"/>
        <v>0</v>
      </c>
      <c r="W962" s="13">
        <f t="shared" si="1923"/>
        <v>0</v>
      </c>
      <c r="X962" s="13">
        <f t="shared" si="1923"/>
        <v>0</v>
      </c>
      <c r="Y962" s="13">
        <f t="shared" si="1923"/>
        <v>0</v>
      </c>
      <c r="Z962" s="13">
        <f t="shared" si="1923"/>
        <v>0</v>
      </c>
      <c r="AA962" s="13">
        <f t="shared" si="1923"/>
        <v>0</v>
      </c>
      <c r="AB962" s="13">
        <f t="shared" ref="AB962:AP962" si="1924">IFERROR(VALUE(RIGHT(LEFT($J962,FIND(AB$1,$J962,IF(M962=0,1,FIND(AB$1,$J962,1)+1))+LEN(AB$1)),1)),0)</f>
        <v>0</v>
      </c>
      <c r="AC962" s="13">
        <f t="shared" si="1924"/>
        <v>0</v>
      </c>
      <c r="AD962" s="13">
        <f t="shared" si="1924"/>
        <v>0</v>
      </c>
      <c r="AE962" s="13">
        <f t="shared" si="1924"/>
        <v>0</v>
      </c>
      <c r="AF962" s="13">
        <f t="shared" si="1924"/>
        <v>0</v>
      </c>
      <c r="AG962" s="13">
        <f t="shared" si="1924"/>
        <v>0</v>
      </c>
      <c r="AH962" s="13">
        <f t="shared" si="1924"/>
        <v>0</v>
      </c>
      <c r="AI962" s="13">
        <f t="shared" si="1924"/>
        <v>0</v>
      </c>
      <c r="AJ962" s="13">
        <f t="shared" si="1924"/>
        <v>0</v>
      </c>
      <c r="AK962" s="13">
        <f t="shared" si="1924"/>
        <v>0</v>
      </c>
      <c r="AL962" s="13">
        <f t="shared" si="1924"/>
        <v>1</v>
      </c>
      <c r="AM962" s="13">
        <f t="shared" si="1924"/>
        <v>0</v>
      </c>
      <c r="AN962" s="13">
        <f t="shared" si="1924"/>
        <v>0</v>
      </c>
      <c r="AO962" s="13">
        <f t="shared" si="1924"/>
        <v>0</v>
      </c>
      <c r="AP962" s="13">
        <f t="shared" si="1924"/>
        <v>0</v>
      </c>
      <c r="AQ962" s="13"/>
      <c r="AR962" s="13" t="s">
        <v>1194</v>
      </c>
      <c r="AS962" s="13" t="s">
        <v>3381</v>
      </c>
      <c r="AT962" s="13" t="s">
        <v>162</v>
      </c>
      <c r="AU962" s="13" t="s">
        <v>163</v>
      </c>
      <c r="AV962" s="13" t="s">
        <v>5712</v>
      </c>
      <c r="AW962" s="13">
        <v>6.0</v>
      </c>
      <c r="AX962" s="13">
        <v>19.0</v>
      </c>
      <c r="AY962" s="13">
        <v>0.0</v>
      </c>
      <c r="AZ962" s="13" t="s">
        <v>493</v>
      </c>
      <c r="BA962" s="13" t="s">
        <v>663</v>
      </c>
      <c r="BB962" s="13"/>
      <c r="BC962" s="13"/>
      <c r="BD962" s="13" t="s">
        <v>167</v>
      </c>
      <c r="BE962" s="13"/>
      <c r="BF962" s="13" t="s">
        <v>3540</v>
      </c>
      <c r="BG962" s="13" t="s">
        <v>169</v>
      </c>
      <c r="BH962" s="13" t="s">
        <v>79</v>
      </c>
      <c r="BI962" s="13" t="b">
        <v>0</v>
      </c>
      <c r="BJ962" s="13">
        <v>0.0</v>
      </c>
      <c r="BK962" s="13">
        <v>0.0</v>
      </c>
    </row>
    <row r="963" ht="14.25" customHeight="1">
      <c r="A963" s="13">
        <v>961.0</v>
      </c>
      <c r="B963" s="13" t="s">
        <v>48</v>
      </c>
      <c r="C963" s="13">
        <v>0.0</v>
      </c>
      <c r="D963" s="14">
        <v>0.0</v>
      </c>
      <c r="E963" s="13" t="s">
        <v>5713</v>
      </c>
      <c r="F963" s="15" t="s">
        <v>418</v>
      </c>
      <c r="G963" s="16" t="s">
        <v>5714</v>
      </c>
      <c r="H963" s="13">
        <v>9.0</v>
      </c>
      <c r="I963" s="13">
        <v>0.9</v>
      </c>
      <c r="J963" s="13" t="s">
        <v>160</v>
      </c>
      <c r="K963" s="13">
        <f t="shared" si="3"/>
        <v>0</v>
      </c>
      <c r="L963" s="13">
        <f t="shared" si="4"/>
        <v>1</v>
      </c>
      <c r="M963" s="13">
        <f t="shared" ref="M963:AA963" si="1925">IFERROR(VALUE(RIGHT(LEFT($J963,FIND(M$1,$J963,1)+LEN(M$1)),1)),0)</f>
        <v>0</v>
      </c>
      <c r="N963" s="13">
        <f t="shared" si="1925"/>
        <v>0</v>
      </c>
      <c r="O963" s="13">
        <f t="shared" si="1925"/>
        <v>0</v>
      </c>
      <c r="P963" s="13">
        <f t="shared" si="1925"/>
        <v>0</v>
      </c>
      <c r="Q963" s="13">
        <f t="shared" si="1925"/>
        <v>0</v>
      </c>
      <c r="R963" s="13">
        <f t="shared" si="1925"/>
        <v>0</v>
      </c>
      <c r="S963" s="13">
        <f t="shared" si="1925"/>
        <v>0</v>
      </c>
      <c r="T963" s="13">
        <f t="shared" si="1925"/>
        <v>0</v>
      </c>
      <c r="U963" s="13">
        <f t="shared" si="1925"/>
        <v>0</v>
      </c>
      <c r="V963" s="13">
        <f t="shared" si="1925"/>
        <v>0</v>
      </c>
      <c r="W963" s="13">
        <f t="shared" si="1925"/>
        <v>0</v>
      </c>
      <c r="X963" s="13">
        <f t="shared" si="1925"/>
        <v>0</v>
      </c>
      <c r="Y963" s="13">
        <f t="shared" si="1925"/>
        <v>0</v>
      </c>
      <c r="Z963" s="13">
        <f t="shared" si="1925"/>
        <v>0</v>
      </c>
      <c r="AA963" s="13">
        <f t="shared" si="1925"/>
        <v>0</v>
      </c>
      <c r="AB963" s="13">
        <f t="shared" ref="AB963:AP963" si="1926">IFERROR(VALUE(RIGHT(LEFT($J963,FIND(AB$1,$J963,IF(M963=0,1,FIND(AB$1,$J963,1)+1))+LEN(AB$1)),1)),0)</f>
        <v>0</v>
      </c>
      <c r="AC963" s="13">
        <f t="shared" si="1926"/>
        <v>0</v>
      </c>
      <c r="AD963" s="13">
        <f t="shared" si="1926"/>
        <v>0</v>
      </c>
      <c r="AE963" s="13">
        <f t="shared" si="1926"/>
        <v>0</v>
      </c>
      <c r="AF963" s="13">
        <f t="shared" si="1926"/>
        <v>0</v>
      </c>
      <c r="AG963" s="13">
        <f t="shared" si="1926"/>
        <v>0</v>
      </c>
      <c r="AH963" s="13">
        <f t="shared" si="1926"/>
        <v>0</v>
      </c>
      <c r="AI963" s="13">
        <f t="shared" si="1926"/>
        <v>0</v>
      </c>
      <c r="AJ963" s="13">
        <f t="shared" si="1926"/>
        <v>0</v>
      </c>
      <c r="AK963" s="13">
        <f t="shared" si="1926"/>
        <v>0</v>
      </c>
      <c r="AL963" s="13">
        <f t="shared" si="1926"/>
        <v>1</v>
      </c>
      <c r="AM963" s="13">
        <f t="shared" si="1926"/>
        <v>0</v>
      </c>
      <c r="AN963" s="13">
        <f t="shared" si="1926"/>
        <v>0</v>
      </c>
      <c r="AO963" s="13">
        <f t="shared" si="1926"/>
        <v>0</v>
      </c>
      <c r="AP963" s="13">
        <f t="shared" si="1926"/>
        <v>0</v>
      </c>
      <c r="AQ963" s="13"/>
      <c r="AR963" s="13" t="s">
        <v>599</v>
      </c>
      <c r="AS963" s="13" t="s">
        <v>185</v>
      </c>
      <c r="AT963" s="13" t="s">
        <v>162</v>
      </c>
      <c r="AU963" s="13" t="s">
        <v>195</v>
      </c>
      <c r="AV963" s="13" t="s">
        <v>3539</v>
      </c>
      <c r="AW963" s="13">
        <v>4.0</v>
      </c>
      <c r="AX963" s="13">
        <v>19.0</v>
      </c>
      <c r="AY963" s="13">
        <v>0.0</v>
      </c>
      <c r="AZ963" s="13" t="s">
        <v>154</v>
      </c>
      <c r="BA963" s="13" t="s">
        <v>625</v>
      </c>
      <c r="BB963" s="13"/>
      <c r="BC963" s="13"/>
      <c r="BD963" s="13" t="s">
        <v>179</v>
      </c>
      <c r="BE963" s="13"/>
      <c r="BF963" s="13" t="s">
        <v>5715</v>
      </c>
      <c r="BG963" s="13" t="s">
        <v>169</v>
      </c>
      <c r="BH963" s="13" t="s">
        <v>79</v>
      </c>
      <c r="BI963" s="13" t="b">
        <v>0</v>
      </c>
      <c r="BJ963" s="13">
        <v>0.0</v>
      </c>
      <c r="BK963" s="13">
        <v>0.0</v>
      </c>
    </row>
    <row r="964" ht="14.25" customHeight="1">
      <c r="A964" s="13">
        <v>962.0</v>
      </c>
      <c r="B964" s="13" t="s">
        <v>44</v>
      </c>
      <c r="C964" s="13">
        <v>1.0</v>
      </c>
      <c r="D964" s="14">
        <v>0.0</v>
      </c>
      <c r="E964" s="13" t="s">
        <v>5716</v>
      </c>
      <c r="F964" s="15" t="s">
        <v>418</v>
      </c>
      <c r="G964" s="16" t="s">
        <v>5717</v>
      </c>
      <c r="H964" s="13"/>
      <c r="I964" s="13">
        <v>1.1</v>
      </c>
      <c r="J964" s="13" t="s">
        <v>77</v>
      </c>
      <c r="K964" s="13">
        <f t="shared" si="3"/>
        <v>0</v>
      </c>
      <c r="L964" s="13">
        <f t="shared" si="4"/>
        <v>2</v>
      </c>
      <c r="M964" s="13">
        <f t="shared" ref="M964:AA964" si="1927">IFERROR(VALUE(RIGHT(LEFT($J964,FIND(M$1,$J964,1)+LEN(M$1)),1)),0)</f>
        <v>0</v>
      </c>
      <c r="N964" s="13">
        <f t="shared" si="1927"/>
        <v>0</v>
      </c>
      <c r="O964" s="13">
        <f t="shared" si="1927"/>
        <v>0</v>
      </c>
      <c r="P964" s="13">
        <f t="shared" si="1927"/>
        <v>0</v>
      </c>
      <c r="Q964" s="13">
        <f t="shared" si="1927"/>
        <v>0</v>
      </c>
      <c r="R964" s="13">
        <f t="shared" si="1927"/>
        <v>0</v>
      </c>
      <c r="S964" s="13">
        <f t="shared" si="1927"/>
        <v>0</v>
      </c>
      <c r="T964" s="13">
        <f t="shared" si="1927"/>
        <v>0</v>
      </c>
      <c r="U964" s="13">
        <f t="shared" si="1927"/>
        <v>0</v>
      </c>
      <c r="V964" s="13">
        <f t="shared" si="1927"/>
        <v>0</v>
      </c>
      <c r="W964" s="13">
        <f t="shared" si="1927"/>
        <v>0</v>
      </c>
      <c r="X964" s="13">
        <f t="shared" si="1927"/>
        <v>0</v>
      </c>
      <c r="Y964" s="13">
        <f t="shared" si="1927"/>
        <v>0</v>
      </c>
      <c r="Z964" s="13">
        <f t="shared" si="1927"/>
        <v>0</v>
      </c>
      <c r="AA964" s="13">
        <f t="shared" si="1927"/>
        <v>0</v>
      </c>
      <c r="AB964" s="13">
        <f t="shared" ref="AB964:AP964" si="1928">IFERROR(VALUE(RIGHT(LEFT($J964,FIND(AB$1,$J964,IF(M964=0,1,FIND(AB$1,$J964,1)+1))+LEN(AB$1)),1)),0)</f>
        <v>0</v>
      </c>
      <c r="AC964" s="13">
        <f t="shared" si="1928"/>
        <v>0</v>
      </c>
      <c r="AD964" s="13">
        <f t="shared" si="1928"/>
        <v>0</v>
      </c>
      <c r="AE964" s="13">
        <f t="shared" si="1928"/>
        <v>0</v>
      </c>
      <c r="AF964" s="13">
        <f t="shared" si="1928"/>
        <v>0</v>
      </c>
      <c r="AG964" s="13">
        <f t="shared" si="1928"/>
        <v>1</v>
      </c>
      <c r="AH964" s="13">
        <f t="shared" si="1928"/>
        <v>1</v>
      </c>
      <c r="AI964" s="13">
        <f t="shared" si="1928"/>
        <v>0</v>
      </c>
      <c r="AJ964" s="13">
        <f t="shared" si="1928"/>
        <v>0</v>
      </c>
      <c r="AK964" s="13">
        <f t="shared" si="1928"/>
        <v>0</v>
      </c>
      <c r="AL964" s="13">
        <f t="shared" si="1928"/>
        <v>0</v>
      </c>
      <c r="AM964" s="13">
        <f t="shared" si="1928"/>
        <v>0</v>
      </c>
      <c r="AN964" s="13">
        <f t="shared" si="1928"/>
        <v>0</v>
      </c>
      <c r="AO964" s="13">
        <f t="shared" si="1928"/>
        <v>0</v>
      </c>
      <c r="AP964" s="13">
        <f t="shared" si="1928"/>
        <v>0</v>
      </c>
      <c r="AQ964" s="13" t="s">
        <v>5718</v>
      </c>
      <c r="AR964" s="13"/>
      <c r="AS964" s="13" t="s">
        <v>3797</v>
      </c>
      <c r="AT964" s="13"/>
      <c r="AU964" s="13"/>
      <c r="AV964" s="13"/>
      <c r="AW964" s="13">
        <v>0.0</v>
      </c>
      <c r="AX964" s="13">
        <v>19.0</v>
      </c>
      <c r="AY964" s="13">
        <v>0.0</v>
      </c>
      <c r="AZ964" s="13"/>
      <c r="BA964" s="13"/>
      <c r="BB964" s="13"/>
      <c r="BC964" s="13"/>
      <c r="BD964" s="13"/>
      <c r="BE964" s="13"/>
      <c r="BF964" s="13"/>
      <c r="BG964" s="13"/>
      <c r="BH964" s="13" t="s">
        <v>79</v>
      </c>
      <c r="BI964" s="13" t="b">
        <v>0</v>
      </c>
      <c r="BJ964" s="13">
        <v>0.0</v>
      </c>
      <c r="BK964" s="13">
        <v>0.0</v>
      </c>
    </row>
    <row r="965" ht="14.25" customHeight="1">
      <c r="A965" s="13">
        <v>963.0</v>
      </c>
      <c r="B965" s="13" t="s">
        <v>45</v>
      </c>
      <c r="C965" s="13">
        <v>1.0</v>
      </c>
      <c r="D965" s="14">
        <v>0.0</v>
      </c>
      <c r="E965" s="13" t="s">
        <v>5719</v>
      </c>
      <c r="F965" s="15" t="s">
        <v>418</v>
      </c>
      <c r="G965" s="16" t="s">
        <v>5720</v>
      </c>
      <c r="H965" s="13"/>
      <c r="I965" s="13">
        <v>1.0</v>
      </c>
      <c r="J965" s="13" t="s">
        <v>374</v>
      </c>
      <c r="K965" s="13">
        <f t="shared" si="3"/>
        <v>0</v>
      </c>
      <c r="L965" s="13">
        <f t="shared" si="4"/>
        <v>2</v>
      </c>
      <c r="M965" s="13">
        <f t="shared" ref="M965:AA965" si="1929">IFERROR(VALUE(RIGHT(LEFT($J965,FIND(M$1,$J965,1)+LEN(M$1)),1)),0)</f>
        <v>0</v>
      </c>
      <c r="N965" s="13">
        <f t="shared" si="1929"/>
        <v>0</v>
      </c>
      <c r="O965" s="13">
        <f t="shared" si="1929"/>
        <v>0</v>
      </c>
      <c r="P965" s="13">
        <f t="shared" si="1929"/>
        <v>0</v>
      </c>
      <c r="Q965" s="13">
        <f t="shared" si="1929"/>
        <v>0</v>
      </c>
      <c r="R965" s="13">
        <f t="shared" si="1929"/>
        <v>0</v>
      </c>
      <c r="S965" s="13">
        <f t="shared" si="1929"/>
        <v>0</v>
      </c>
      <c r="T965" s="13">
        <f t="shared" si="1929"/>
        <v>0</v>
      </c>
      <c r="U965" s="13">
        <f t="shared" si="1929"/>
        <v>0</v>
      </c>
      <c r="V965" s="13">
        <f t="shared" si="1929"/>
        <v>0</v>
      </c>
      <c r="W965" s="13">
        <f t="shared" si="1929"/>
        <v>0</v>
      </c>
      <c r="X965" s="13">
        <f t="shared" si="1929"/>
        <v>0</v>
      </c>
      <c r="Y965" s="13">
        <f t="shared" si="1929"/>
        <v>0</v>
      </c>
      <c r="Z965" s="13">
        <f t="shared" si="1929"/>
        <v>0</v>
      </c>
      <c r="AA965" s="13">
        <f t="shared" si="1929"/>
        <v>0</v>
      </c>
      <c r="AB965" s="13">
        <f t="shared" ref="AB965:AP965" si="1930">IFERROR(VALUE(RIGHT(LEFT($J965,FIND(AB$1,$J965,IF(M965=0,1,FIND(AB$1,$J965,1)+1))+LEN(AB$1)),1)),0)</f>
        <v>0</v>
      </c>
      <c r="AC965" s="13">
        <f t="shared" si="1930"/>
        <v>1</v>
      </c>
      <c r="AD965" s="13">
        <f t="shared" si="1930"/>
        <v>0</v>
      </c>
      <c r="AE965" s="13">
        <f t="shared" si="1930"/>
        <v>0</v>
      </c>
      <c r="AF965" s="13">
        <f t="shared" si="1930"/>
        <v>0</v>
      </c>
      <c r="AG965" s="13">
        <f t="shared" si="1930"/>
        <v>0</v>
      </c>
      <c r="AH965" s="13">
        <f t="shared" si="1930"/>
        <v>0</v>
      </c>
      <c r="AI965" s="13">
        <f t="shared" si="1930"/>
        <v>1</v>
      </c>
      <c r="AJ965" s="13">
        <f t="shared" si="1930"/>
        <v>0</v>
      </c>
      <c r="AK965" s="13">
        <f t="shared" si="1930"/>
        <v>0</v>
      </c>
      <c r="AL965" s="13">
        <f t="shared" si="1930"/>
        <v>0</v>
      </c>
      <c r="AM965" s="13">
        <f t="shared" si="1930"/>
        <v>0</v>
      </c>
      <c r="AN965" s="13">
        <f t="shared" si="1930"/>
        <v>0</v>
      </c>
      <c r="AO965" s="13">
        <f t="shared" si="1930"/>
        <v>0</v>
      </c>
      <c r="AP965" s="13">
        <f t="shared" si="1930"/>
        <v>0</v>
      </c>
      <c r="AQ965" s="13" t="s">
        <v>5721</v>
      </c>
      <c r="AR965" s="13"/>
      <c r="AS965" s="13" t="s">
        <v>391</v>
      </c>
      <c r="AT965" s="13"/>
      <c r="AU965" s="13"/>
      <c r="AV965" s="13"/>
      <c r="AW965" s="13">
        <v>0.0</v>
      </c>
      <c r="AX965" s="13">
        <v>19.0</v>
      </c>
      <c r="AY965" s="13">
        <v>0.0</v>
      </c>
      <c r="AZ965" s="13"/>
      <c r="BA965" s="13"/>
      <c r="BB965" s="13"/>
      <c r="BC965" s="13"/>
      <c r="BD965" s="13"/>
      <c r="BE965" s="13"/>
      <c r="BF965" s="13"/>
      <c r="BG965" s="13"/>
      <c r="BH965" s="13" t="s">
        <v>79</v>
      </c>
      <c r="BI965" s="13" t="b">
        <v>0</v>
      </c>
      <c r="BJ965" s="13">
        <v>0.0</v>
      </c>
      <c r="BK965" s="13">
        <v>0.0</v>
      </c>
    </row>
    <row r="966" ht="14.25" customHeight="1">
      <c r="A966" s="13">
        <v>964.0</v>
      </c>
      <c r="B966" s="13" t="s">
        <v>46</v>
      </c>
      <c r="C966" s="13">
        <v>1.0</v>
      </c>
      <c r="D966" s="14">
        <v>0.0</v>
      </c>
      <c r="E966" s="13" t="s">
        <v>5722</v>
      </c>
      <c r="F966" s="15" t="s">
        <v>418</v>
      </c>
      <c r="G966" s="16" t="s">
        <v>5723</v>
      </c>
      <c r="H966" s="13"/>
      <c r="I966" s="13">
        <v>1.0</v>
      </c>
      <c r="J966" s="13" t="s">
        <v>425</v>
      </c>
      <c r="K966" s="13">
        <f t="shared" si="3"/>
        <v>0</v>
      </c>
      <c r="L966" s="13">
        <f t="shared" si="4"/>
        <v>2</v>
      </c>
      <c r="M966" s="13">
        <f t="shared" ref="M966:AA966" si="1931">IFERROR(VALUE(RIGHT(LEFT($J966,FIND(M$1,$J966,1)+LEN(M$1)),1)),0)</f>
        <v>0</v>
      </c>
      <c r="N966" s="13">
        <f t="shared" si="1931"/>
        <v>0</v>
      </c>
      <c r="O966" s="13">
        <f t="shared" si="1931"/>
        <v>0</v>
      </c>
      <c r="P966" s="13">
        <f t="shared" si="1931"/>
        <v>0</v>
      </c>
      <c r="Q966" s="13">
        <f t="shared" si="1931"/>
        <v>0</v>
      </c>
      <c r="R966" s="13">
        <f t="shared" si="1931"/>
        <v>0</v>
      </c>
      <c r="S966" s="13">
        <f t="shared" si="1931"/>
        <v>0</v>
      </c>
      <c r="T966" s="13">
        <f t="shared" si="1931"/>
        <v>0</v>
      </c>
      <c r="U966" s="13">
        <f t="shared" si="1931"/>
        <v>0</v>
      </c>
      <c r="V966" s="13">
        <f t="shared" si="1931"/>
        <v>0</v>
      </c>
      <c r="W966" s="13">
        <f t="shared" si="1931"/>
        <v>0</v>
      </c>
      <c r="X966" s="13">
        <f t="shared" si="1931"/>
        <v>0</v>
      </c>
      <c r="Y966" s="13">
        <f t="shared" si="1931"/>
        <v>0</v>
      </c>
      <c r="Z966" s="13">
        <f t="shared" si="1931"/>
        <v>0</v>
      </c>
      <c r="AA966" s="13">
        <f t="shared" si="1931"/>
        <v>0</v>
      </c>
      <c r="AB966" s="13">
        <f t="shared" ref="AB966:AP966" si="1932">IFERROR(VALUE(RIGHT(LEFT($J966,FIND(AB$1,$J966,IF(M966=0,1,FIND(AB$1,$J966,1)+1))+LEN(AB$1)),1)),0)</f>
        <v>1</v>
      </c>
      <c r="AC966" s="13">
        <f t="shared" si="1932"/>
        <v>0</v>
      </c>
      <c r="AD966" s="13">
        <f t="shared" si="1932"/>
        <v>0</v>
      </c>
      <c r="AE966" s="13">
        <f t="shared" si="1932"/>
        <v>0</v>
      </c>
      <c r="AF966" s="13">
        <f t="shared" si="1932"/>
        <v>0</v>
      </c>
      <c r="AG966" s="13">
        <f t="shared" si="1932"/>
        <v>0</v>
      </c>
      <c r="AH966" s="13">
        <f t="shared" si="1932"/>
        <v>0</v>
      </c>
      <c r="AI966" s="13">
        <f t="shared" si="1932"/>
        <v>0</v>
      </c>
      <c r="AJ966" s="13">
        <f t="shared" si="1932"/>
        <v>1</v>
      </c>
      <c r="AK966" s="13">
        <f t="shared" si="1932"/>
        <v>0</v>
      </c>
      <c r="AL966" s="13">
        <f t="shared" si="1932"/>
        <v>0</v>
      </c>
      <c r="AM966" s="13">
        <f t="shared" si="1932"/>
        <v>0</v>
      </c>
      <c r="AN966" s="13">
        <f t="shared" si="1932"/>
        <v>0</v>
      </c>
      <c r="AO966" s="13">
        <f t="shared" si="1932"/>
        <v>0</v>
      </c>
      <c r="AP966" s="13">
        <f t="shared" si="1932"/>
        <v>0</v>
      </c>
      <c r="AQ966" s="13" t="s">
        <v>5724</v>
      </c>
      <c r="AR966" s="13"/>
      <c r="AS966" s="13" t="s">
        <v>442</v>
      </c>
      <c r="AT966" s="13"/>
      <c r="AU966" s="13"/>
      <c r="AV966" s="13"/>
      <c r="AW966" s="13">
        <v>0.0</v>
      </c>
      <c r="AX966" s="13">
        <v>19.0</v>
      </c>
      <c r="AY966" s="13">
        <v>0.0</v>
      </c>
      <c r="AZ966" s="13"/>
      <c r="BA966" s="13"/>
      <c r="BB966" s="13"/>
      <c r="BC966" s="13"/>
      <c r="BD966" s="13"/>
      <c r="BE966" s="13"/>
      <c r="BF966" s="13"/>
      <c r="BG966" s="13"/>
      <c r="BH966" s="13" t="s">
        <v>79</v>
      </c>
      <c r="BI966" s="13" t="b">
        <v>0</v>
      </c>
      <c r="BJ966" s="13">
        <v>0.0</v>
      </c>
      <c r="BK966" s="13">
        <v>0.0</v>
      </c>
    </row>
    <row r="967" ht="14.25" customHeight="1">
      <c r="A967" s="13">
        <v>965.0</v>
      </c>
      <c r="B967" s="13" t="s">
        <v>47</v>
      </c>
      <c r="C967" s="13">
        <v>1.0</v>
      </c>
      <c r="D967" s="14">
        <v>0.0</v>
      </c>
      <c r="E967" s="13" t="s">
        <v>5725</v>
      </c>
      <c r="F967" s="15" t="s">
        <v>5726</v>
      </c>
      <c r="G967" s="16" t="s">
        <v>5727</v>
      </c>
      <c r="H967" s="13">
        <v>10.0</v>
      </c>
      <c r="I967" s="13">
        <v>0.9</v>
      </c>
      <c r="J967" s="13" t="s">
        <v>498</v>
      </c>
      <c r="K967" s="13">
        <f t="shared" si="3"/>
        <v>0</v>
      </c>
      <c r="L967" s="13">
        <f t="shared" si="4"/>
        <v>2</v>
      </c>
      <c r="M967" s="13">
        <f t="shared" ref="M967:AA967" si="1933">IFERROR(VALUE(RIGHT(LEFT($J967,FIND(M$1,$J967,1)+LEN(M$1)),1)),0)</f>
        <v>0</v>
      </c>
      <c r="N967" s="13">
        <f t="shared" si="1933"/>
        <v>0</v>
      </c>
      <c r="O967" s="13">
        <f t="shared" si="1933"/>
        <v>0</v>
      </c>
      <c r="P967" s="13">
        <f t="shared" si="1933"/>
        <v>0</v>
      </c>
      <c r="Q967" s="13">
        <f t="shared" si="1933"/>
        <v>0</v>
      </c>
      <c r="R967" s="13">
        <f t="shared" si="1933"/>
        <v>0</v>
      </c>
      <c r="S967" s="13">
        <f t="shared" si="1933"/>
        <v>0</v>
      </c>
      <c r="T967" s="13">
        <f t="shared" si="1933"/>
        <v>0</v>
      </c>
      <c r="U967" s="13">
        <f t="shared" si="1933"/>
        <v>0</v>
      </c>
      <c r="V967" s="13">
        <f t="shared" si="1933"/>
        <v>0</v>
      </c>
      <c r="W967" s="13">
        <f t="shared" si="1933"/>
        <v>0</v>
      </c>
      <c r="X967" s="13">
        <f t="shared" si="1933"/>
        <v>0</v>
      </c>
      <c r="Y967" s="13">
        <f t="shared" si="1933"/>
        <v>0</v>
      </c>
      <c r="Z967" s="13">
        <f t="shared" si="1933"/>
        <v>0</v>
      </c>
      <c r="AA967" s="13">
        <f t="shared" si="1933"/>
        <v>0</v>
      </c>
      <c r="AB967" s="13">
        <f t="shared" ref="AB967:AP967" si="1934">IFERROR(VALUE(RIGHT(LEFT($J967,FIND(AB$1,$J967,IF(M967=0,1,FIND(AB$1,$J967,1)+1))+LEN(AB$1)),1)),0)</f>
        <v>0</v>
      </c>
      <c r="AC967" s="13">
        <f t="shared" si="1934"/>
        <v>1</v>
      </c>
      <c r="AD967" s="13">
        <f t="shared" si="1934"/>
        <v>0</v>
      </c>
      <c r="AE967" s="13">
        <f t="shared" si="1934"/>
        <v>0</v>
      </c>
      <c r="AF967" s="13">
        <f t="shared" si="1934"/>
        <v>0</v>
      </c>
      <c r="AG967" s="13">
        <f t="shared" si="1934"/>
        <v>0</v>
      </c>
      <c r="AH967" s="13">
        <f t="shared" si="1934"/>
        <v>0</v>
      </c>
      <c r="AI967" s="13">
        <f t="shared" si="1934"/>
        <v>0</v>
      </c>
      <c r="AJ967" s="13">
        <f t="shared" si="1934"/>
        <v>0</v>
      </c>
      <c r="AK967" s="13">
        <f t="shared" si="1934"/>
        <v>1</v>
      </c>
      <c r="AL967" s="13">
        <f t="shared" si="1934"/>
        <v>0</v>
      </c>
      <c r="AM967" s="13">
        <f t="shared" si="1934"/>
        <v>0</v>
      </c>
      <c r="AN967" s="13">
        <f t="shared" si="1934"/>
        <v>0</v>
      </c>
      <c r="AO967" s="13">
        <f t="shared" si="1934"/>
        <v>0</v>
      </c>
      <c r="AP967" s="13">
        <f t="shared" si="1934"/>
        <v>0</v>
      </c>
      <c r="AQ967" s="13"/>
      <c r="AR967" s="13" t="s">
        <v>5728</v>
      </c>
      <c r="AS967" s="13" t="s">
        <v>5729</v>
      </c>
      <c r="AT967" s="13" t="s">
        <v>129</v>
      </c>
      <c r="AU967" s="13" t="s">
        <v>803</v>
      </c>
      <c r="AV967" s="13" t="s">
        <v>4831</v>
      </c>
      <c r="AW967" s="13">
        <v>7.0</v>
      </c>
      <c r="AX967" s="13">
        <v>19.0</v>
      </c>
      <c r="AY967" s="13">
        <v>0.0</v>
      </c>
      <c r="AZ967" s="13" t="s">
        <v>186</v>
      </c>
      <c r="BA967" s="13" t="s">
        <v>1174</v>
      </c>
      <c r="BB967" s="13"/>
      <c r="BC967" s="13"/>
      <c r="BD967" s="13" t="s">
        <v>484</v>
      </c>
      <c r="BE967" s="13"/>
      <c r="BF967" s="13" t="s">
        <v>5730</v>
      </c>
      <c r="BG967" s="13" t="s">
        <v>136</v>
      </c>
      <c r="BH967" s="13" t="s">
        <v>79</v>
      </c>
      <c r="BI967" s="13" t="b">
        <v>0</v>
      </c>
      <c r="BJ967" s="13">
        <v>0.0</v>
      </c>
      <c r="BK967" s="13">
        <v>0.0</v>
      </c>
    </row>
    <row r="968" ht="14.25" customHeight="1">
      <c r="A968" s="13">
        <v>966.0</v>
      </c>
      <c r="B968" s="13" t="s">
        <v>47</v>
      </c>
      <c r="C968" s="13">
        <v>1.0</v>
      </c>
      <c r="D968" s="14">
        <v>0.0</v>
      </c>
      <c r="E968" s="13" t="s">
        <v>5731</v>
      </c>
      <c r="F968" s="15" t="s">
        <v>418</v>
      </c>
      <c r="G968" s="16" t="s">
        <v>5732</v>
      </c>
      <c r="H968" s="13">
        <v>12.0</v>
      </c>
      <c r="I968" s="13">
        <v>1.1</v>
      </c>
      <c r="J968" s="13" t="s">
        <v>478</v>
      </c>
      <c r="K968" s="13">
        <f t="shared" si="3"/>
        <v>0</v>
      </c>
      <c r="L968" s="13">
        <f t="shared" si="4"/>
        <v>2</v>
      </c>
      <c r="M968" s="13">
        <f t="shared" ref="M968:AA968" si="1935">IFERROR(VALUE(RIGHT(LEFT($J968,FIND(M$1,$J968,1)+LEN(M$1)),1)),0)</f>
        <v>0</v>
      </c>
      <c r="N968" s="13">
        <f t="shared" si="1935"/>
        <v>0</v>
      </c>
      <c r="O968" s="13">
        <f t="shared" si="1935"/>
        <v>0</v>
      </c>
      <c r="P968" s="13">
        <f t="shared" si="1935"/>
        <v>0</v>
      </c>
      <c r="Q968" s="13">
        <f t="shared" si="1935"/>
        <v>0</v>
      </c>
      <c r="R968" s="13">
        <f t="shared" si="1935"/>
        <v>0</v>
      </c>
      <c r="S968" s="13">
        <f t="shared" si="1935"/>
        <v>0</v>
      </c>
      <c r="T968" s="13">
        <f t="shared" si="1935"/>
        <v>0</v>
      </c>
      <c r="U968" s="13">
        <f t="shared" si="1935"/>
        <v>0</v>
      </c>
      <c r="V968" s="13">
        <f t="shared" si="1935"/>
        <v>0</v>
      </c>
      <c r="W968" s="13">
        <f t="shared" si="1935"/>
        <v>0</v>
      </c>
      <c r="X968" s="13">
        <f t="shared" si="1935"/>
        <v>0</v>
      </c>
      <c r="Y968" s="13">
        <f t="shared" si="1935"/>
        <v>0</v>
      </c>
      <c r="Z968" s="13">
        <f t="shared" si="1935"/>
        <v>0</v>
      </c>
      <c r="AA968" s="13">
        <f t="shared" si="1935"/>
        <v>0</v>
      </c>
      <c r="AB968" s="13">
        <f t="shared" ref="AB968:AP968" si="1936">IFERROR(VALUE(RIGHT(LEFT($J968,FIND(AB$1,$J968,IF(M968=0,1,FIND(AB$1,$J968,1)+1))+LEN(AB$1)),1)),0)</f>
        <v>0</v>
      </c>
      <c r="AC968" s="13">
        <f t="shared" si="1936"/>
        <v>0</v>
      </c>
      <c r="AD968" s="13">
        <f t="shared" si="1936"/>
        <v>0</v>
      </c>
      <c r="AE968" s="13">
        <f t="shared" si="1936"/>
        <v>0</v>
      </c>
      <c r="AF968" s="13">
        <f t="shared" si="1936"/>
        <v>0</v>
      </c>
      <c r="AG968" s="13">
        <f t="shared" si="1936"/>
        <v>1</v>
      </c>
      <c r="AH968" s="13">
        <f t="shared" si="1936"/>
        <v>0</v>
      </c>
      <c r="AI968" s="13">
        <f t="shared" si="1936"/>
        <v>0</v>
      </c>
      <c r="AJ968" s="13">
        <f t="shared" si="1936"/>
        <v>0</v>
      </c>
      <c r="AK968" s="13">
        <f t="shared" si="1936"/>
        <v>1</v>
      </c>
      <c r="AL968" s="13">
        <f t="shared" si="1936"/>
        <v>0</v>
      </c>
      <c r="AM968" s="13">
        <f t="shared" si="1936"/>
        <v>0</v>
      </c>
      <c r="AN968" s="13">
        <f t="shared" si="1936"/>
        <v>0</v>
      </c>
      <c r="AO968" s="13">
        <f t="shared" si="1936"/>
        <v>0</v>
      </c>
      <c r="AP968" s="13">
        <f t="shared" si="1936"/>
        <v>0</v>
      </c>
      <c r="AQ968" s="13"/>
      <c r="AR968" s="13" t="s">
        <v>3581</v>
      </c>
      <c r="AS968" s="13" t="s">
        <v>5733</v>
      </c>
      <c r="AT968" s="13" t="s">
        <v>162</v>
      </c>
      <c r="AU968" s="13" t="s">
        <v>236</v>
      </c>
      <c r="AV968" s="13" t="s">
        <v>3539</v>
      </c>
      <c r="AW968" s="13">
        <v>10.0</v>
      </c>
      <c r="AX968" s="13">
        <v>19.0</v>
      </c>
      <c r="AY968" s="13">
        <v>0.0</v>
      </c>
      <c r="AZ968" s="13" t="s">
        <v>770</v>
      </c>
      <c r="BA968" s="13" t="s">
        <v>655</v>
      </c>
      <c r="BB968" s="13"/>
      <c r="BC968" s="13"/>
      <c r="BD968" s="13" t="s">
        <v>1113</v>
      </c>
      <c r="BE968" s="13"/>
      <c r="BF968" s="13" t="s">
        <v>5734</v>
      </c>
      <c r="BG968" s="13" t="s">
        <v>136</v>
      </c>
      <c r="BH968" s="13" t="s">
        <v>241</v>
      </c>
      <c r="BI968" s="13" t="b">
        <v>0</v>
      </c>
      <c r="BJ968" s="13">
        <v>0.0</v>
      </c>
      <c r="BK968" s="13">
        <v>0.0</v>
      </c>
    </row>
    <row r="969" ht="14.25" customHeight="1">
      <c r="A969" s="13">
        <v>967.0</v>
      </c>
      <c r="B969" s="13" t="s">
        <v>48</v>
      </c>
      <c r="C969" s="13">
        <v>1.0</v>
      </c>
      <c r="D969" s="14">
        <v>0.0</v>
      </c>
      <c r="E969" s="13" t="s">
        <v>5735</v>
      </c>
      <c r="F969" s="15" t="s">
        <v>418</v>
      </c>
      <c r="G969" s="16" t="s">
        <v>5736</v>
      </c>
      <c r="H969" s="13">
        <v>11.0</v>
      </c>
      <c r="I969" s="13">
        <v>1.0</v>
      </c>
      <c r="J969" s="13" t="s">
        <v>570</v>
      </c>
      <c r="K969" s="13">
        <f t="shared" si="3"/>
        <v>0</v>
      </c>
      <c r="L969" s="13">
        <f t="shared" si="4"/>
        <v>2</v>
      </c>
      <c r="M969" s="13">
        <f t="shared" ref="M969:AA969" si="1937">IFERROR(VALUE(RIGHT(LEFT($J969,FIND(M$1,$J969,1)+LEN(M$1)),1)),0)</f>
        <v>0</v>
      </c>
      <c r="N969" s="13">
        <f t="shared" si="1937"/>
        <v>0</v>
      </c>
      <c r="O969" s="13">
        <f t="shared" si="1937"/>
        <v>0</v>
      </c>
      <c r="P969" s="13">
        <f t="shared" si="1937"/>
        <v>0</v>
      </c>
      <c r="Q969" s="13">
        <f t="shared" si="1937"/>
        <v>0</v>
      </c>
      <c r="R969" s="13">
        <f t="shared" si="1937"/>
        <v>0</v>
      </c>
      <c r="S969" s="13">
        <f t="shared" si="1937"/>
        <v>0</v>
      </c>
      <c r="T969" s="13">
        <f t="shared" si="1937"/>
        <v>0</v>
      </c>
      <c r="U969" s="13">
        <f t="shared" si="1937"/>
        <v>0</v>
      </c>
      <c r="V969" s="13">
        <f t="shared" si="1937"/>
        <v>0</v>
      </c>
      <c r="W969" s="13">
        <f t="shared" si="1937"/>
        <v>0</v>
      </c>
      <c r="X969" s="13">
        <f t="shared" si="1937"/>
        <v>0</v>
      </c>
      <c r="Y969" s="13">
        <f t="shared" si="1937"/>
        <v>0</v>
      </c>
      <c r="Z969" s="13">
        <f t="shared" si="1937"/>
        <v>0</v>
      </c>
      <c r="AA969" s="13">
        <f t="shared" si="1937"/>
        <v>0</v>
      </c>
      <c r="AB969" s="13">
        <f t="shared" ref="AB969:AP969" si="1938">IFERROR(VALUE(RIGHT(LEFT($J969,FIND(AB$1,$J969,IF(M969=0,1,FIND(AB$1,$J969,1)+1))+LEN(AB$1)),1)),0)</f>
        <v>0</v>
      </c>
      <c r="AC969" s="13">
        <f t="shared" si="1938"/>
        <v>0</v>
      </c>
      <c r="AD969" s="13">
        <f t="shared" si="1938"/>
        <v>0</v>
      </c>
      <c r="AE969" s="13">
        <f t="shared" si="1938"/>
        <v>0</v>
      </c>
      <c r="AF969" s="13">
        <f t="shared" si="1938"/>
        <v>0</v>
      </c>
      <c r="AG969" s="13">
        <f t="shared" si="1938"/>
        <v>1</v>
      </c>
      <c r="AH969" s="13">
        <f t="shared" si="1938"/>
        <v>0</v>
      </c>
      <c r="AI969" s="13">
        <f t="shared" si="1938"/>
        <v>0</v>
      </c>
      <c r="AJ969" s="13">
        <f t="shared" si="1938"/>
        <v>0</v>
      </c>
      <c r="AK969" s="13">
        <f t="shared" si="1938"/>
        <v>0</v>
      </c>
      <c r="AL969" s="13">
        <f t="shared" si="1938"/>
        <v>1</v>
      </c>
      <c r="AM969" s="13">
        <f t="shared" si="1938"/>
        <v>0</v>
      </c>
      <c r="AN969" s="13">
        <f t="shared" si="1938"/>
        <v>0</v>
      </c>
      <c r="AO969" s="13">
        <f t="shared" si="1938"/>
        <v>0</v>
      </c>
      <c r="AP969" s="13">
        <f t="shared" si="1938"/>
        <v>0</v>
      </c>
      <c r="AQ969" s="13"/>
      <c r="AR969" s="13" t="s">
        <v>5737</v>
      </c>
      <c r="AS969" s="13" t="s">
        <v>4487</v>
      </c>
      <c r="AT969" s="13" t="s">
        <v>175</v>
      </c>
      <c r="AU969" s="13" t="s">
        <v>803</v>
      </c>
      <c r="AV969" s="13" t="s">
        <v>5738</v>
      </c>
      <c r="AW969" s="13">
        <v>8.0</v>
      </c>
      <c r="AX969" s="13">
        <v>19.0</v>
      </c>
      <c r="AY969" s="13">
        <v>0.0</v>
      </c>
      <c r="AZ969" s="13" t="s">
        <v>679</v>
      </c>
      <c r="BA969" s="13" t="s">
        <v>502</v>
      </c>
      <c r="BB969" s="13"/>
      <c r="BC969" s="13"/>
      <c r="BD969" s="13" t="s">
        <v>179</v>
      </c>
      <c r="BE969" s="13"/>
      <c r="BF969" s="13" t="s">
        <v>595</v>
      </c>
      <c r="BG969" s="13" t="s">
        <v>169</v>
      </c>
      <c r="BH969" s="13" t="s">
        <v>79</v>
      </c>
      <c r="BI969" s="13" t="b">
        <v>0</v>
      </c>
      <c r="BJ969" s="13">
        <v>0.0</v>
      </c>
      <c r="BK969" s="13">
        <v>0.0</v>
      </c>
    </row>
    <row r="970" ht="14.25" customHeight="1">
      <c r="A970" s="13">
        <v>968.0</v>
      </c>
      <c r="B970" s="13" t="s">
        <v>48</v>
      </c>
      <c r="C970" s="13">
        <v>1.0</v>
      </c>
      <c r="D970" s="14">
        <v>0.0</v>
      </c>
      <c r="E970" s="13" t="s">
        <v>5739</v>
      </c>
      <c r="F970" s="15" t="s">
        <v>418</v>
      </c>
      <c r="G970" s="16" t="s">
        <v>5740</v>
      </c>
      <c r="H970" s="13">
        <v>13.0</v>
      </c>
      <c r="I970" s="13">
        <v>1.0</v>
      </c>
      <c r="J970" s="13" t="s">
        <v>584</v>
      </c>
      <c r="K970" s="13">
        <f t="shared" si="3"/>
        <v>0</v>
      </c>
      <c r="L970" s="13">
        <f t="shared" si="4"/>
        <v>2</v>
      </c>
      <c r="M970" s="13">
        <f t="shared" ref="M970:AA970" si="1939">IFERROR(VALUE(RIGHT(LEFT($J970,FIND(M$1,$J970,1)+LEN(M$1)),1)),0)</f>
        <v>0</v>
      </c>
      <c r="N970" s="13">
        <f t="shared" si="1939"/>
        <v>0</v>
      </c>
      <c r="O970" s="13">
        <f t="shared" si="1939"/>
        <v>0</v>
      </c>
      <c r="P970" s="13">
        <f t="shared" si="1939"/>
        <v>0</v>
      </c>
      <c r="Q970" s="13">
        <f t="shared" si="1939"/>
        <v>0</v>
      </c>
      <c r="R970" s="13">
        <f t="shared" si="1939"/>
        <v>0</v>
      </c>
      <c r="S970" s="13">
        <f t="shared" si="1939"/>
        <v>0</v>
      </c>
      <c r="T970" s="13">
        <f t="shared" si="1939"/>
        <v>0</v>
      </c>
      <c r="U970" s="13">
        <f t="shared" si="1939"/>
        <v>0</v>
      </c>
      <c r="V970" s="13">
        <f t="shared" si="1939"/>
        <v>0</v>
      </c>
      <c r="W970" s="13">
        <f t="shared" si="1939"/>
        <v>0</v>
      </c>
      <c r="X970" s="13">
        <f t="shared" si="1939"/>
        <v>0</v>
      </c>
      <c r="Y970" s="13">
        <f t="shared" si="1939"/>
        <v>0</v>
      </c>
      <c r="Z970" s="13">
        <f t="shared" si="1939"/>
        <v>0</v>
      </c>
      <c r="AA970" s="13">
        <f t="shared" si="1939"/>
        <v>0</v>
      </c>
      <c r="AB970" s="13">
        <f t="shared" ref="AB970:AP970" si="1940">IFERROR(VALUE(RIGHT(LEFT($J970,FIND(AB$1,$J970,IF(M970=0,1,FIND(AB$1,$J970,1)+1))+LEN(AB$1)),1)),0)</f>
        <v>1</v>
      </c>
      <c r="AC970" s="13">
        <f t="shared" si="1940"/>
        <v>0</v>
      </c>
      <c r="AD970" s="13">
        <f t="shared" si="1940"/>
        <v>0</v>
      </c>
      <c r="AE970" s="13">
        <f t="shared" si="1940"/>
        <v>0</v>
      </c>
      <c r="AF970" s="13">
        <f t="shared" si="1940"/>
        <v>0</v>
      </c>
      <c r="AG970" s="13">
        <f t="shared" si="1940"/>
        <v>0</v>
      </c>
      <c r="AH970" s="13">
        <f t="shared" si="1940"/>
        <v>0</v>
      </c>
      <c r="AI970" s="13">
        <f t="shared" si="1940"/>
        <v>0</v>
      </c>
      <c r="AJ970" s="13">
        <f t="shared" si="1940"/>
        <v>0</v>
      </c>
      <c r="AK970" s="13">
        <f t="shared" si="1940"/>
        <v>0</v>
      </c>
      <c r="AL970" s="13">
        <f t="shared" si="1940"/>
        <v>1</v>
      </c>
      <c r="AM970" s="13">
        <f t="shared" si="1940"/>
        <v>0</v>
      </c>
      <c r="AN970" s="13">
        <f t="shared" si="1940"/>
        <v>0</v>
      </c>
      <c r="AO970" s="13">
        <f t="shared" si="1940"/>
        <v>0</v>
      </c>
      <c r="AP970" s="13">
        <f t="shared" si="1940"/>
        <v>0</v>
      </c>
      <c r="AQ970" s="13"/>
      <c r="AR970" s="13" t="s">
        <v>5741</v>
      </c>
      <c r="AS970" s="13" t="s">
        <v>5742</v>
      </c>
      <c r="AT970" s="13" t="s">
        <v>162</v>
      </c>
      <c r="AU970" s="13" t="s">
        <v>163</v>
      </c>
      <c r="AV970" s="13" t="s">
        <v>1524</v>
      </c>
      <c r="AW970" s="13">
        <v>12.0</v>
      </c>
      <c r="AX970" s="13">
        <v>19.0</v>
      </c>
      <c r="AY970" s="13">
        <v>0.0</v>
      </c>
      <c r="AZ970" s="13" t="s">
        <v>2203</v>
      </c>
      <c r="BA970" s="13" t="s">
        <v>133</v>
      </c>
      <c r="BB970" s="13"/>
      <c r="BC970" s="13"/>
      <c r="BD970" s="13" t="s">
        <v>188</v>
      </c>
      <c r="BE970" s="13"/>
      <c r="BF970" s="13" t="s">
        <v>5743</v>
      </c>
      <c r="BG970" s="13" t="s">
        <v>169</v>
      </c>
      <c r="BH970" s="13" t="s">
        <v>79</v>
      </c>
      <c r="BI970" s="13" t="b">
        <v>0</v>
      </c>
      <c r="BJ970" s="13">
        <v>0.0</v>
      </c>
      <c r="BK970" s="13">
        <v>0.0</v>
      </c>
    </row>
    <row r="971" ht="14.25" customHeight="1">
      <c r="A971" s="13">
        <v>969.0</v>
      </c>
      <c r="B971" s="13" t="s">
        <v>44</v>
      </c>
      <c r="C971" s="13">
        <v>2.0</v>
      </c>
      <c r="D971" s="14">
        <v>0.0</v>
      </c>
      <c r="E971" s="13" t="s">
        <v>5744</v>
      </c>
      <c r="F971" s="15" t="s">
        <v>418</v>
      </c>
      <c r="G971" s="16" t="s">
        <v>5745</v>
      </c>
      <c r="H971" s="13"/>
      <c r="I971" s="13">
        <v>1.0</v>
      </c>
      <c r="J971" s="13" t="s">
        <v>954</v>
      </c>
      <c r="K971" s="13">
        <f t="shared" si="3"/>
        <v>0</v>
      </c>
      <c r="L971" s="13">
        <f t="shared" si="4"/>
        <v>3</v>
      </c>
      <c r="M971" s="13">
        <f t="shared" ref="M971:AA971" si="1941">IFERROR(VALUE(RIGHT(LEFT($J971,FIND(M$1,$J971,1)+LEN(M$1)),1)),0)</f>
        <v>0</v>
      </c>
      <c r="N971" s="13">
        <f t="shared" si="1941"/>
        <v>0</v>
      </c>
      <c r="O971" s="13">
        <f t="shared" si="1941"/>
        <v>0</v>
      </c>
      <c r="P971" s="13">
        <f t="shared" si="1941"/>
        <v>0</v>
      </c>
      <c r="Q971" s="13">
        <f t="shared" si="1941"/>
        <v>0</v>
      </c>
      <c r="R971" s="13">
        <f t="shared" si="1941"/>
        <v>0</v>
      </c>
      <c r="S971" s="13">
        <f t="shared" si="1941"/>
        <v>0</v>
      </c>
      <c r="T971" s="13">
        <f t="shared" si="1941"/>
        <v>0</v>
      </c>
      <c r="U971" s="13">
        <f t="shared" si="1941"/>
        <v>0</v>
      </c>
      <c r="V971" s="13">
        <f t="shared" si="1941"/>
        <v>0</v>
      </c>
      <c r="W971" s="13">
        <f t="shared" si="1941"/>
        <v>0</v>
      </c>
      <c r="X971" s="13">
        <f t="shared" si="1941"/>
        <v>0</v>
      </c>
      <c r="Y971" s="13">
        <f t="shared" si="1941"/>
        <v>0</v>
      </c>
      <c r="Z971" s="13">
        <f t="shared" si="1941"/>
        <v>0</v>
      </c>
      <c r="AA971" s="13">
        <f t="shared" si="1941"/>
        <v>0</v>
      </c>
      <c r="AB971" s="13">
        <f t="shared" ref="AB971:AP971" si="1942">IFERROR(VALUE(RIGHT(LEFT($J971,FIND(AB$1,$J971,IF(M971=0,1,FIND(AB$1,$J971,1)+1))+LEN(AB$1)),1)),0)</f>
        <v>0</v>
      </c>
      <c r="AC971" s="13">
        <f t="shared" si="1942"/>
        <v>0</v>
      </c>
      <c r="AD971" s="13">
        <f t="shared" si="1942"/>
        <v>0</v>
      </c>
      <c r="AE971" s="13">
        <f t="shared" si="1942"/>
        <v>0</v>
      </c>
      <c r="AF971" s="13">
        <f t="shared" si="1942"/>
        <v>0</v>
      </c>
      <c r="AG971" s="13">
        <f t="shared" si="1942"/>
        <v>1</v>
      </c>
      <c r="AH971" s="13">
        <f t="shared" si="1942"/>
        <v>2</v>
      </c>
      <c r="AI971" s="13">
        <f t="shared" si="1942"/>
        <v>0</v>
      </c>
      <c r="AJ971" s="13">
        <f t="shared" si="1942"/>
        <v>0</v>
      </c>
      <c r="AK971" s="13">
        <f t="shared" si="1942"/>
        <v>0</v>
      </c>
      <c r="AL971" s="13">
        <f t="shared" si="1942"/>
        <v>0</v>
      </c>
      <c r="AM971" s="13">
        <f t="shared" si="1942"/>
        <v>0</v>
      </c>
      <c r="AN971" s="13">
        <f t="shared" si="1942"/>
        <v>0</v>
      </c>
      <c r="AO971" s="13">
        <f t="shared" si="1942"/>
        <v>0</v>
      </c>
      <c r="AP971" s="13">
        <f t="shared" si="1942"/>
        <v>0</v>
      </c>
      <c r="AQ971" s="13" t="s">
        <v>5746</v>
      </c>
      <c r="AR971" s="13"/>
      <c r="AS971" s="13" t="s">
        <v>4813</v>
      </c>
      <c r="AT971" s="13"/>
      <c r="AU971" s="13"/>
      <c r="AV971" s="13"/>
      <c r="AW971" s="13">
        <v>0.0</v>
      </c>
      <c r="AX971" s="13">
        <v>19.0</v>
      </c>
      <c r="AY971" s="13">
        <v>0.0</v>
      </c>
      <c r="AZ971" s="13"/>
      <c r="BA971" s="13"/>
      <c r="BB971" s="13"/>
      <c r="BC971" s="13"/>
      <c r="BD971" s="13"/>
      <c r="BE971" s="13"/>
      <c r="BF971" s="13"/>
      <c r="BG971" s="13"/>
      <c r="BH971" s="13" t="s">
        <v>79</v>
      </c>
      <c r="BI971" s="13" t="b">
        <v>0</v>
      </c>
      <c r="BJ971" s="13">
        <v>0.0</v>
      </c>
      <c r="BK971" s="13">
        <v>0.0</v>
      </c>
    </row>
    <row r="972" ht="14.25" customHeight="1">
      <c r="A972" s="13">
        <v>970.0</v>
      </c>
      <c r="B972" s="13" t="s">
        <v>45</v>
      </c>
      <c r="C972" s="13">
        <v>2.0</v>
      </c>
      <c r="D972" s="14">
        <v>0.0</v>
      </c>
      <c r="E972" s="13" t="s">
        <v>5747</v>
      </c>
      <c r="F972" s="15" t="s">
        <v>418</v>
      </c>
      <c r="G972" s="16" t="s">
        <v>5748</v>
      </c>
      <c r="H972" s="13"/>
      <c r="I972" s="13">
        <v>1.1</v>
      </c>
      <c r="J972" s="13" t="s">
        <v>978</v>
      </c>
      <c r="K972" s="13">
        <f t="shared" si="3"/>
        <v>0</v>
      </c>
      <c r="L972" s="13">
        <f t="shared" si="4"/>
        <v>3</v>
      </c>
      <c r="M972" s="13">
        <f t="shared" ref="M972:AA972" si="1943">IFERROR(VALUE(RIGHT(LEFT($J972,FIND(M$1,$J972,1)+LEN(M$1)),1)),0)</f>
        <v>0</v>
      </c>
      <c r="N972" s="13">
        <f t="shared" si="1943"/>
        <v>0</v>
      </c>
      <c r="O972" s="13">
        <f t="shared" si="1943"/>
        <v>0</v>
      </c>
      <c r="P972" s="13">
        <f t="shared" si="1943"/>
        <v>0</v>
      </c>
      <c r="Q972" s="13">
        <f t="shared" si="1943"/>
        <v>0</v>
      </c>
      <c r="R972" s="13">
        <f t="shared" si="1943"/>
        <v>0</v>
      </c>
      <c r="S972" s="13">
        <f t="shared" si="1943"/>
        <v>0</v>
      </c>
      <c r="T972" s="13">
        <f t="shared" si="1943"/>
        <v>0</v>
      </c>
      <c r="U972" s="13">
        <f t="shared" si="1943"/>
        <v>0</v>
      </c>
      <c r="V972" s="13">
        <f t="shared" si="1943"/>
        <v>0</v>
      </c>
      <c r="W972" s="13">
        <f t="shared" si="1943"/>
        <v>0</v>
      </c>
      <c r="X972" s="13">
        <f t="shared" si="1943"/>
        <v>0</v>
      </c>
      <c r="Y972" s="13">
        <f t="shared" si="1943"/>
        <v>0</v>
      </c>
      <c r="Z972" s="13">
        <f t="shared" si="1943"/>
        <v>0</v>
      </c>
      <c r="AA972" s="13">
        <f t="shared" si="1943"/>
        <v>0</v>
      </c>
      <c r="AB972" s="13">
        <f t="shared" ref="AB972:AP972" si="1944">IFERROR(VALUE(RIGHT(LEFT($J972,FIND(AB$1,$J972,IF(M972=0,1,FIND(AB$1,$J972,1)+1))+LEN(AB$1)),1)),0)</f>
        <v>0</v>
      </c>
      <c r="AC972" s="13">
        <f t="shared" si="1944"/>
        <v>1</v>
      </c>
      <c r="AD972" s="13">
        <f t="shared" si="1944"/>
        <v>0</v>
      </c>
      <c r="AE972" s="13">
        <f t="shared" si="1944"/>
        <v>0</v>
      </c>
      <c r="AF972" s="13">
        <f t="shared" si="1944"/>
        <v>0</v>
      </c>
      <c r="AG972" s="13">
        <f t="shared" si="1944"/>
        <v>0</v>
      </c>
      <c r="AH972" s="13">
        <f t="shared" si="1944"/>
        <v>0</v>
      </c>
      <c r="AI972" s="13">
        <f t="shared" si="1944"/>
        <v>2</v>
      </c>
      <c r="AJ972" s="13">
        <f t="shared" si="1944"/>
        <v>0</v>
      </c>
      <c r="AK972" s="13">
        <f t="shared" si="1944"/>
        <v>0</v>
      </c>
      <c r="AL972" s="13">
        <f t="shared" si="1944"/>
        <v>0</v>
      </c>
      <c r="AM972" s="13">
        <f t="shared" si="1944"/>
        <v>0</v>
      </c>
      <c r="AN972" s="13">
        <f t="shared" si="1944"/>
        <v>0</v>
      </c>
      <c r="AO972" s="13">
        <f t="shared" si="1944"/>
        <v>0</v>
      </c>
      <c r="AP972" s="13">
        <f t="shared" si="1944"/>
        <v>0</v>
      </c>
      <c r="AQ972" s="13" t="s">
        <v>5749</v>
      </c>
      <c r="AR972" s="13"/>
      <c r="AS972" s="13" t="s">
        <v>5750</v>
      </c>
      <c r="AT972" s="13"/>
      <c r="AU972" s="13"/>
      <c r="AV972" s="13"/>
      <c r="AW972" s="13">
        <v>0.0</v>
      </c>
      <c r="AX972" s="13">
        <v>19.0</v>
      </c>
      <c r="AY972" s="13">
        <v>0.0</v>
      </c>
      <c r="AZ972" s="13"/>
      <c r="BA972" s="13"/>
      <c r="BB972" s="13"/>
      <c r="BC972" s="13"/>
      <c r="BD972" s="13"/>
      <c r="BE972" s="13"/>
      <c r="BF972" s="13"/>
      <c r="BG972" s="13"/>
      <c r="BH972" s="13" t="s">
        <v>79</v>
      </c>
      <c r="BI972" s="13" t="b">
        <v>0</v>
      </c>
      <c r="BJ972" s="13">
        <v>0.0</v>
      </c>
      <c r="BK972" s="13">
        <v>0.0</v>
      </c>
    </row>
    <row r="973" ht="14.25" customHeight="1">
      <c r="A973" s="13">
        <v>971.0</v>
      </c>
      <c r="B973" s="13" t="s">
        <v>46</v>
      </c>
      <c r="C973" s="13">
        <v>2.0</v>
      </c>
      <c r="D973" s="14">
        <v>0.0</v>
      </c>
      <c r="E973" s="13" t="s">
        <v>5751</v>
      </c>
      <c r="F973" s="15" t="s">
        <v>418</v>
      </c>
      <c r="G973" s="16" t="s">
        <v>5752</v>
      </c>
      <c r="H973" s="13"/>
      <c r="I973" s="13">
        <v>0.9</v>
      </c>
      <c r="J973" s="13" t="s">
        <v>5753</v>
      </c>
      <c r="K973" s="13">
        <f t="shared" si="3"/>
        <v>0</v>
      </c>
      <c r="L973" s="13">
        <f t="shared" si="4"/>
        <v>3</v>
      </c>
      <c r="M973" s="13">
        <f t="shared" ref="M973:AA973" si="1945">IFERROR(VALUE(RIGHT(LEFT($J973,FIND(M$1,$J973,1)+LEN(M$1)),1)),0)</f>
        <v>0</v>
      </c>
      <c r="N973" s="13">
        <f t="shared" si="1945"/>
        <v>0</v>
      </c>
      <c r="O973" s="13">
        <f t="shared" si="1945"/>
        <v>0</v>
      </c>
      <c r="P973" s="13">
        <f t="shared" si="1945"/>
        <v>0</v>
      </c>
      <c r="Q973" s="13">
        <f t="shared" si="1945"/>
        <v>0</v>
      </c>
      <c r="R973" s="13">
        <f t="shared" si="1945"/>
        <v>0</v>
      </c>
      <c r="S973" s="13">
        <f t="shared" si="1945"/>
        <v>0</v>
      </c>
      <c r="T973" s="13">
        <f t="shared" si="1945"/>
        <v>0</v>
      </c>
      <c r="U973" s="13">
        <f t="shared" si="1945"/>
        <v>0</v>
      </c>
      <c r="V973" s="13">
        <f t="shared" si="1945"/>
        <v>0</v>
      </c>
      <c r="W973" s="13">
        <f t="shared" si="1945"/>
        <v>0</v>
      </c>
      <c r="X973" s="13">
        <f t="shared" si="1945"/>
        <v>0</v>
      </c>
      <c r="Y973" s="13">
        <f t="shared" si="1945"/>
        <v>0</v>
      </c>
      <c r="Z973" s="13">
        <f t="shared" si="1945"/>
        <v>0</v>
      </c>
      <c r="AA973" s="13">
        <f t="shared" si="1945"/>
        <v>0</v>
      </c>
      <c r="AB973" s="13">
        <f t="shared" ref="AB973:AP973" si="1946">IFERROR(VALUE(RIGHT(LEFT($J973,FIND(AB$1,$J973,IF(M973=0,1,FIND(AB$1,$J973,1)+1))+LEN(AB$1)),1)),0)</f>
        <v>1</v>
      </c>
      <c r="AC973" s="13">
        <f t="shared" si="1946"/>
        <v>0</v>
      </c>
      <c r="AD973" s="13">
        <f t="shared" si="1946"/>
        <v>0</v>
      </c>
      <c r="AE973" s="13">
        <f t="shared" si="1946"/>
        <v>1</v>
      </c>
      <c r="AF973" s="13">
        <f t="shared" si="1946"/>
        <v>1</v>
      </c>
      <c r="AG973" s="13">
        <f t="shared" si="1946"/>
        <v>0</v>
      </c>
      <c r="AH973" s="13">
        <f t="shared" si="1946"/>
        <v>0</v>
      </c>
      <c r="AI973" s="13">
        <f t="shared" si="1946"/>
        <v>0</v>
      </c>
      <c r="AJ973" s="13">
        <f t="shared" si="1946"/>
        <v>0</v>
      </c>
      <c r="AK973" s="13">
        <f t="shared" si="1946"/>
        <v>0</v>
      </c>
      <c r="AL973" s="13">
        <f t="shared" si="1946"/>
        <v>0</v>
      </c>
      <c r="AM973" s="13">
        <f t="shared" si="1946"/>
        <v>0</v>
      </c>
      <c r="AN973" s="13">
        <f t="shared" si="1946"/>
        <v>0</v>
      </c>
      <c r="AO973" s="13">
        <f t="shared" si="1946"/>
        <v>0</v>
      </c>
      <c r="AP973" s="13">
        <f t="shared" si="1946"/>
        <v>0</v>
      </c>
      <c r="AQ973" s="13" t="s">
        <v>5754</v>
      </c>
      <c r="AR973" s="13"/>
      <c r="AS973" s="13" t="s">
        <v>5755</v>
      </c>
      <c r="AT973" s="13"/>
      <c r="AU973" s="13"/>
      <c r="AV973" s="13"/>
      <c r="AW973" s="13">
        <v>0.0</v>
      </c>
      <c r="AX973" s="13">
        <v>19.0</v>
      </c>
      <c r="AY973" s="13">
        <v>0.0</v>
      </c>
      <c r="AZ973" s="13"/>
      <c r="BA973" s="13"/>
      <c r="BB973" s="13"/>
      <c r="BC973" s="13"/>
      <c r="BD973" s="13"/>
      <c r="BE973" s="13"/>
      <c r="BF973" s="13"/>
      <c r="BG973" s="13"/>
      <c r="BH973" s="13" t="s">
        <v>79</v>
      </c>
      <c r="BI973" s="13" t="b">
        <v>0</v>
      </c>
      <c r="BJ973" s="13">
        <v>0.0</v>
      </c>
      <c r="BK973" s="13">
        <v>0.0</v>
      </c>
    </row>
    <row r="974" ht="14.25" customHeight="1">
      <c r="A974" s="13">
        <v>972.0</v>
      </c>
      <c r="B974" s="13" t="s">
        <v>47</v>
      </c>
      <c r="C974" s="13">
        <v>2.0</v>
      </c>
      <c r="D974" s="14">
        <v>0.0</v>
      </c>
      <c r="E974" s="13" t="s">
        <v>5756</v>
      </c>
      <c r="F974" s="15" t="s">
        <v>418</v>
      </c>
      <c r="G974" s="16" t="s">
        <v>5757</v>
      </c>
      <c r="H974" s="13">
        <v>16.0</v>
      </c>
      <c r="I974" s="13">
        <v>1.1</v>
      </c>
      <c r="J974" s="13" t="s">
        <v>1083</v>
      </c>
      <c r="K974" s="13">
        <f t="shared" si="3"/>
        <v>0</v>
      </c>
      <c r="L974" s="13">
        <f t="shared" si="4"/>
        <v>3</v>
      </c>
      <c r="M974" s="13">
        <f t="shared" ref="M974:AA974" si="1947">IFERROR(VALUE(RIGHT(LEFT($J974,FIND(M$1,$J974,1)+LEN(M$1)),1)),0)</f>
        <v>0</v>
      </c>
      <c r="N974" s="13">
        <f t="shared" si="1947"/>
        <v>0</v>
      </c>
      <c r="O974" s="13">
        <f t="shared" si="1947"/>
        <v>0</v>
      </c>
      <c r="P974" s="13">
        <f t="shared" si="1947"/>
        <v>0</v>
      </c>
      <c r="Q974" s="13">
        <f t="shared" si="1947"/>
        <v>0</v>
      </c>
      <c r="R974" s="13">
        <f t="shared" si="1947"/>
        <v>0</v>
      </c>
      <c r="S974" s="13">
        <f t="shared" si="1947"/>
        <v>0</v>
      </c>
      <c r="T974" s="13">
        <f t="shared" si="1947"/>
        <v>0</v>
      </c>
      <c r="U974" s="13">
        <f t="shared" si="1947"/>
        <v>0</v>
      </c>
      <c r="V974" s="13">
        <f t="shared" si="1947"/>
        <v>0</v>
      </c>
      <c r="W974" s="13">
        <f t="shared" si="1947"/>
        <v>0</v>
      </c>
      <c r="X974" s="13">
        <f t="shared" si="1947"/>
        <v>0</v>
      </c>
      <c r="Y974" s="13">
        <f t="shared" si="1947"/>
        <v>0</v>
      </c>
      <c r="Z974" s="13">
        <f t="shared" si="1947"/>
        <v>0</v>
      </c>
      <c r="AA974" s="13">
        <f t="shared" si="1947"/>
        <v>0</v>
      </c>
      <c r="AB974" s="13">
        <f t="shared" ref="AB974:AP974" si="1948">IFERROR(VALUE(RIGHT(LEFT($J974,FIND(AB$1,$J974,IF(M974=0,1,FIND(AB$1,$J974,1)+1))+LEN(AB$1)),1)),0)</f>
        <v>1</v>
      </c>
      <c r="AC974" s="13">
        <f t="shared" si="1948"/>
        <v>0</v>
      </c>
      <c r="AD974" s="13">
        <f t="shared" si="1948"/>
        <v>0</v>
      </c>
      <c r="AE974" s="13">
        <f t="shared" si="1948"/>
        <v>0</v>
      </c>
      <c r="AF974" s="13">
        <f t="shared" si="1948"/>
        <v>0</v>
      </c>
      <c r="AG974" s="13">
        <f t="shared" si="1948"/>
        <v>0</v>
      </c>
      <c r="AH974" s="13">
        <f t="shared" si="1948"/>
        <v>0</v>
      </c>
      <c r="AI974" s="13">
        <f t="shared" si="1948"/>
        <v>0</v>
      </c>
      <c r="AJ974" s="13">
        <f t="shared" si="1948"/>
        <v>0</v>
      </c>
      <c r="AK974" s="13">
        <f t="shared" si="1948"/>
        <v>2</v>
      </c>
      <c r="AL974" s="13">
        <f t="shared" si="1948"/>
        <v>0</v>
      </c>
      <c r="AM974" s="13">
        <f t="shared" si="1948"/>
        <v>0</v>
      </c>
      <c r="AN974" s="13">
        <f t="shared" si="1948"/>
        <v>0</v>
      </c>
      <c r="AO974" s="13">
        <f t="shared" si="1948"/>
        <v>0</v>
      </c>
      <c r="AP974" s="13">
        <f t="shared" si="1948"/>
        <v>0</v>
      </c>
      <c r="AQ974" s="13"/>
      <c r="AR974" s="13" t="s">
        <v>1635</v>
      </c>
      <c r="AS974" s="13" t="s">
        <v>5758</v>
      </c>
      <c r="AT974" s="13" t="s">
        <v>162</v>
      </c>
      <c r="AU974" s="13" t="s">
        <v>195</v>
      </c>
      <c r="AV974" s="13" t="s">
        <v>1238</v>
      </c>
      <c r="AW974" s="13">
        <v>17.0</v>
      </c>
      <c r="AX974" s="13">
        <v>19.0</v>
      </c>
      <c r="AY974" s="13">
        <v>0.0</v>
      </c>
      <c r="AZ974" s="13" t="s">
        <v>1096</v>
      </c>
      <c r="BA974" s="13" t="s">
        <v>4993</v>
      </c>
      <c r="BB974" s="13"/>
      <c r="BC974" s="13"/>
      <c r="BD974" s="13" t="s">
        <v>484</v>
      </c>
      <c r="BE974" s="13"/>
      <c r="BF974" s="13" t="s">
        <v>2507</v>
      </c>
      <c r="BG974" s="13" t="s">
        <v>136</v>
      </c>
      <c r="BH974" s="13" t="s">
        <v>79</v>
      </c>
      <c r="BI974" s="13" t="b">
        <v>0</v>
      </c>
      <c r="BJ974" s="13">
        <v>0.0</v>
      </c>
      <c r="BK974" s="13">
        <v>0.0</v>
      </c>
    </row>
    <row r="975" ht="14.25" customHeight="1">
      <c r="A975" s="13">
        <v>973.0</v>
      </c>
      <c r="B975" s="13" t="s">
        <v>47</v>
      </c>
      <c r="C975" s="13">
        <v>2.0</v>
      </c>
      <c r="D975" s="14">
        <v>0.0</v>
      </c>
      <c r="E975" s="13" t="s">
        <v>5759</v>
      </c>
      <c r="F975" s="15" t="s">
        <v>418</v>
      </c>
      <c r="G975" s="16" t="s">
        <v>5760</v>
      </c>
      <c r="H975" s="13">
        <v>11.0</v>
      </c>
      <c r="I975" s="13">
        <v>1.0</v>
      </c>
      <c r="J975" s="13" t="s">
        <v>3856</v>
      </c>
      <c r="K975" s="13">
        <f t="shared" si="3"/>
        <v>0</v>
      </c>
      <c r="L975" s="13">
        <f t="shared" si="4"/>
        <v>3</v>
      </c>
      <c r="M975" s="13">
        <f t="shared" ref="M975:AA975" si="1949">IFERROR(VALUE(RIGHT(LEFT($J975,FIND(M$1,$J975,1)+LEN(M$1)),1)),0)</f>
        <v>0</v>
      </c>
      <c r="N975" s="13">
        <f t="shared" si="1949"/>
        <v>0</v>
      </c>
      <c r="O975" s="13">
        <f t="shared" si="1949"/>
        <v>0</v>
      </c>
      <c r="P975" s="13">
        <f t="shared" si="1949"/>
        <v>0</v>
      </c>
      <c r="Q975" s="13">
        <f t="shared" si="1949"/>
        <v>0</v>
      </c>
      <c r="R975" s="13">
        <f t="shared" si="1949"/>
        <v>0</v>
      </c>
      <c r="S975" s="13">
        <f t="shared" si="1949"/>
        <v>0</v>
      </c>
      <c r="T975" s="13">
        <f t="shared" si="1949"/>
        <v>0</v>
      </c>
      <c r="U975" s="13">
        <f t="shared" si="1949"/>
        <v>0</v>
      </c>
      <c r="V975" s="13">
        <f t="shared" si="1949"/>
        <v>0</v>
      </c>
      <c r="W975" s="13">
        <f t="shared" si="1949"/>
        <v>0</v>
      </c>
      <c r="X975" s="13">
        <f t="shared" si="1949"/>
        <v>0</v>
      </c>
      <c r="Y975" s="13">
        <f t="shared" si="1949"/>
        <v>0</v>
      </c>
      <c r="Z975" s="13">
        <f t="shared" si="1949"/>
        <v>0</v>
      </c>
      <c r="AA975" s="13">
        <f t="shared" si="1949"/>
        <v>0</v>
      </c>
      <c r="AB975" s="13">
        <f t="shared" ref="AB975:AP975" si="1950">IFERROR(VALUE(RIGHT(LEFT($J975,FIND(AB$1,$J975,IF(M975=0,1,FIND(AB$1,$J975,1)+1))+LEN(AB$1)),1)),0)</f>
        <v>0</v>
      </c>
      <c r="AC975" s="13">
        <f t="shared" si="1950"/>
        <v>0</v>
      </c>
      <c r="AD975" s="13">
        <f t="shared" si="1950"/>
        <v>0</v>
      </c>
      <c r="AE975" s="13">
        <f t="shared" si="1950"/>
        <v>0</v>
      </c>
      <c r="AF975" s="13">
        <f t="shared" si="1950"/>
        <v>0</v>
      </c>
      <c r="AG975" s="13">
        <f t="shared" si="1950"/>
        <v>2</v>
      </c>
      <c r="AH975" s="13">
        <f t="shared" si="1950"/>
        <v>0</v>
      </c>
      <c r="AI975" s="13">
        <f t="shared" si="1950"/>
        <v>0</v>
      </c>
      <c r="AJ975" s="13">
        <f t="shared" si="1950"/>
        <v>0</v>
      </c>
      <c r="AK975" s="13">
        <f t="shared" si="1950"/>
        <v>1</v>
      </c>
      <c r="AL975" s="13">
        <f t="shared" si="1950"/>
        <v>0</v>
      </c>
      <c r="AM975" s="13">
        <f t="shared" si="1950"/>
        <v>0</v>
      </c>
      <c r="AN975" s="13">
        <f t="shared" si="1950"/>
        <v>0</v>
      </c>
      <c r="AO975" s="13">
        <f t="shared" si="1950"/>
        <v>0</v>
      </c>
      <c r="AP975" s="13">
        <f t="shared" si="1950"/>
        <v>0</v>
      </c>
      <c r="AQ975" s="13"/>
      <c r="AR975" s="13" t="s">
        <v>5021</v>
      </c>
      <c r="AS975" s="13" t="s">
        <v>3626</v>
      </c>
      <c r="AT975" s="13" t="s">
        <v>573</v>
      </c>
      <c r="AU975" s="13" t="s">
        <v>1398</v>
      </c>
      <c r="AV975" s="13" t="s">
        <v>5761</v>
      </c>
      <c r="AW975" s="13">
        <v>14.0</v>
      </c>
      <c r="AX975" s="13">
        <v>19.0</v>
      </c>
      <c r="AY975" s="13">
        <v>0.0</v>
      </c>
      <c r="AZ975" s="13" t="s">
        <v>1656</v>
      </c>
      <c r="BA975" s="13" t="s">
        <v>2695</v>
      </c>
      <c r="BB975" s="13"/>
      <c r="BC975" s="13"/>
      <c r="BD975" s="13" t="s">
        <v>1113</v>
      </c>
      <c r="BE975" s="13"/>
      <c r="BF975" s="13" t="s">
        <v>2594</v>
      </c>
      <c r="BG975" s="13" t="s">
        <v>136</v>
      </c>
      <c r="BH975" s="13" t="s">
        <v>79</v>
      </c>
      <c r="BI975" s="13" t="b">
        <v>0</v>
      </c>
      <c r="BJ975" s="13">
        <v>0.0</v>
      </c>
      <c r="BK975" s="13">
        <v>0.0</v>
      </c>
    </row>
    <row r="976" ht="14.25" customHeight="1">
      <c r="A976" s="13">
        <v>974.0</v>
      </c>
      <c r="B976" s="13" t="s">
        <v>48</v>
      </c>
      <c r="C976" s="13">
        <v>2.0</v>
      </c>
      <c r="D976" s="14">
        <v>0.0</v>
      </c>
      <c r="E976" s="13" t="s">
        <v>5762</v>
      </c>
      <c r="F976" s="15" t="s">
        <v>418</v>
      </c>
      <c r="G976" s="16" t="s">
        <v>5763</v>
      </c>
      <c r="H976" s="13">
        <v>14.0</v>
      </c>
      <c r="I976" s="13">
        <v>1.0</v>
      </c>
      <c r="J976" s="13" t="s">
        <v>5764</v>
      </c>
      <c r="K976" s="13">
        <f t="shared" si="3"/>
        <v>0</v>
      </c>
      <c r="L976" s="13">
        <f t="shared" si="4"/>
        <v>3</v>
      </c>
      <c r="M976" s="13">
        <f t="shared" ref="M976:AA976" si="1951">IFERROR(VALUE(RIGHT(LEFT($J976,FIND(M$1,$J976,1)+LEN(M$1)),1)),0)</f>
        <v>0</v>
      </c>
      <c r="N976" s="13">
        <f t="shared" si="1951"/>
        <v>0</v>
      </c>
      <c r="O976" s="13">
        <f t="shared" si="1951"/>
        <v>0</v>
      </c>
      <c r="P976" s="13">
        <f t="shared" si="1951"/>
        <v>0</v>
      </c>
      <c r="Q976" s="13">
        <f t="shared" si="1951"/>
        <v>0</v>
      </c>
      <c r="R976" s="13">
        <f t="shared" si="1951"/>
        <v>0</v>
      </c>
      <c r="S976" s="13">
        <f t="shared" si="1951"/>
        <v>0</v>
      </c>
      <c r="T976" s="13">
        <f t="shared" si="1951"/>
        <v>0</v>
      </c>
      <c r="U976" s="13">
        <f t="shared" si="1951"/>
        <v>0</v>
      </c>
      <c r="V976" s="13">
        <f t="shared" si="1951"/>
        <v>0</v>
      </c>
      <c r="W976" s="13">
        <f t="shared" si="1951"/>
        <v>0</v>
      </c>
      <c r="X976" s="13">
        <f t="shared" si="1951"/>
        <v>0</v>
      </c>
      <c r="Y976" s="13">
        <f t="shared" si="1951"/>
        <v>0</v>
      </c>
      <c r="Z976" s="13">
        <f t="shared" si="1951"/>
        <v>0</v>
      </c>
      <c r="AA976" s="13">
        <f t="shared" si="1951"/>
        <v>0</v>
      </c>
      <c r="AB976" s="13">
        <f t="shared" ref="AB976:AP976" si="1952">IFERROR(VALUE(RIGHT(LEFT($J976,FIND(AB$1,$J976,IF(M976=0,1,FIND(AB$1,$J976,1)+1))+LEN(AB$1)),1)),0)</f>
        <v>0</v>
      </c>
      <c r="AC976" s="13">
        <f t="shared" si="1952"/>
        <v>2</v>
      </c>
      <c r="AD976" s="13">
        <f t="shared" si="1952"/>
        <v>0</v>
      </c>
      <c r="AE976" s="13">
        <f t="shared" si="1952"/>
        <v>0</v>
      </c>
      <c r="AF976" s="13">
        <f t="shared" si="1952"/>
        <v>0</v>
      </c>
      <c r="AG976" s="13">
        <f t="shared" si="1952"/>
        <v>0</v>
      </c>
      <c r="AH976" s="13">
        <f t="shared" si="1952"/>
        <v>0</v>
      </c>
      <c r="AI976" s="13">
        <f t="shared" si="1952"/>
        <v>0</v>
      </c>
      <c r="AJ976" s="13">
        <f t="shared" si="1952"/>
        <v>0</v>
      </c>
      <c r="AK976" s="13">
        <f t="shared" si="1952"/>
        <v>0</v>
      </c>
      <c r="AL976" s="13">
        <f t="shared" si="1952"/>
        <v>1</v>
      </c>
      <c r="AM976" s="13">
        <f t="shared" si="1952"/>
        <v>0</v>
      </c>
      <c r="AN976" s="13">
        <f t="shared" si="1952"/>
        <v>0</v>
      </c>
      <c r="AO976" s="13">
        <f t="shared" si="1952"/>
        <v>0</v>
      </c>
      <c r="AP976" s="13">
        <f t="shared" si="1952"/>
        <v>0</v>
      </c>
      <c r="AQ976" s="13"/>
      <c r="AR976" s="13" t="s">
        <v>4996</v>
      </c>
      <c r="AS976" s="13" t="s">
        <v>4520</v>
      </c>
      <c r="AT976" s="13" t="s">
        <v>175</v>
      </c>
      <c r="AU976" s="13" t="s">
        <v>143</v>
      </c>
      <c r="AV976" s="13" t="s">
        <v>830</v>
      </c>
      <c r="AW976" s="13">
        <v>15.0</v>
      </c>
      <c r="AX976" s="13">
        <v>19.0</v>
      </c>
      <c r="AY976" s="13">
        <v>0.0</v>
      </c>
      <c r="AZ976" s="13" t="s">
        <v>5765</v>
      </c>
      <c r="BA976" s="13" t="s">
        <v>5766</v>
      </c>
      <c r="BB976" s="13"/>
      <c r="BC976" s="13"/>
      <c r="BD976" s="13" t="s">
        <v>179</v>
      </c>
      <c r="BE976" s="13"/>
      <c r="BF976" s="13" t="s">
        <v>3540</v>
      </c>
      <c r="BG976" s="13" t="s">
        <v>169</v>
      </c>
      <c r="BH976" s="13" t="s">
        <v>79</v>
      </c>
      <c r="BI976" s="13" t="b">
        <v>0</v>
      </c>
      <c r="BJ976" s="13">
        <v>0.0</v>
      </c>
      <c r="BK976" s="13">
        <v>0.0</v>
      </c>
    </row>
    <row r="977" ht="14.25" customHeight="1">
      <c r="A977" s="13">
        <v>975.0</v>
      </c>
      <c r="B977" s="13" t="s">
        <v>48</v>
      </c>
      <c r="C977" s="13">
        <v>2.0</v>
      </c>
      <c r="D977" s="14">
        <v>0.0</v>
      </c>
      <c r="E977" s="13" t="s">
        <v>5767</v>
      </c>
      <c r="F977" s="15" t="s">
        <v>418</v>
      </c>
      <c r="G977" s="16" t="s">
        <v>5768</v>
      </c>
      <c r="H977" s="13">
        <v>13.0</v>
      </c>
      <c r="I977" s="13">
        <v>1.1</v>
      </c>
      <c r="J977" s="13" t="s">
        <v>1179</v>
      </c>
      <c r="K977" s="13">
        <f t="shared" si="3"/>
        <v>0</v>
      </c>
      <c r="L977" s="13">
        <f t="shared" si="4"/>
        <v>3</v>
      </c>
      <c r="M977" s="13">
        <f t="shared" ref="M977:AA977" si="1953">IFERROR(VALUE(RIGHT(LEFT($J977,FIND(M$1,$J977,1)+LEN(M$1)),1)),0)</f>
        <v>0</v>
      </c>
      <c r="N977" s="13">
        <f t="shared" si="1953"/>
        <v>0</v>
      </c>
      <c r="O977" s="13">
        <f t="shared" si="1953"/>
        <v>0</v>
      </c>
      <c r="P977" s="13">
        <f t="shared" si="1953"/>
        <v>0</v>
      </c>
      <c r="Q977" s="13">
        <f t="shared" si="1953"/>
        <v>0</v>
      </c>
      <c r="R977" s="13">
        <f t="shared" si="1953"/>
        <v>0</v>
      </c>
      <c r="S977" s="13">
        <f t="shared" si="1953"/>
        <v>0</v>
      </c>
      <c r="T977" s="13">
        <f t="shared" si="1953"/>
        <v>0</v>
      </c>
      <c r="U977" s="13">
        <f t="shared" si="1953"/>
        <v>0</v>
      </c>
      <c r="V977" s="13">
        <f t="shared" si="1953"/>
        <v>0</v>
      </c>
      <c r="W977" s="13">
        <f t="shared" si="1953"/>
        <v>0</v>
      </c>
      <c r="X977" s="13">
        <f t="shared" si="1953"/>
        <v>0</v>
      </c>
      <c r="Y977" s="13">
        <f t="shared" si="1953"/>
        <v>0</v>
      </c>
      <c r="Z977" s="13">
        <f t="shared" si="1953"/>
        <v>0</v>
      </c>
      <c r="AA977" s="13">
        <f t="shared" si="1953"/>
        <v>0</v>
      </c>
      <c r="AB977" s="13">
        <f t="shared" ref="AB977:AP977" si="1954">IFERROR(VALUE(RIGHT(LEFT($J977,FIND(AB$1,$J977,IF(M977=0,1,FIND(AB$1,$J977,1)+1))+LEN(AB$1)),1)),0)</f>
        <v>0</v>
      </c>
      <c r="AC977" s="13">
        <f t="shared" si="1954"/>
        <v>0</v>
      </c>
      <c r="AD977" s="13">
        <f t="shared" si="1954"/>
        <v>0</v>
      </c>
      <c r="AE977" s="13">
        <f t="shared" si="1954"/>
        <v>0</v>
      </c>
      <c r="AF977" s="13">
        <f t="shared" si="1954"/>
        <v>0</v>
      </c>
      <c r="AG977" s="13">
        <f t="shared" si="1954"/>
        <v>1</v>
      </c>
      <c r="AH977" s="13">
        <f t="shared" si="1954"/>
        <v>0</v>
      </c>
      <c r="AI977" s="13">
        <f t="shared" si="1954"/>
        <v>0</v>
      </c>
      <c r="AJ977" s="13">
        <f t="shared" si="1954"/>
        <v>0</v>
      </c>
      <c r="AK977" s="13">
        <f t="shared" si="1954"/>
        <v>0</v>
      </c>
      <c r="AL977" s="13">
        <f t="shared" si="1954"/>
        <v>2</v>
      </c>
      <c r="AM977" s="13">
        <f t="shared" si="1954"/>
        <v>0</v>
      </c>
      <c r="AN977" s="13">
        <f t="shared" si="1954"/>
        <v>0</v>
      </c>
      <c r="AO977" s="13">
        <f t="shared" si="1954"/>
        <v>0</v>
      </c>
      <c r="AP977" s="13">
        <f t="shared" si="1954"/>
        <v>0</v>
      </c>
      <c r="AQ977" s="13"/>
      <c r="AR977" s="13" t="s">
        <v>5769</v>
      </c>
      <c r="AS977" s="13" t="s">
        <v>5770</v>
      </c>
      <c r="AT977" s="13" t="s">
        <v>162</v>
      </c>
      <c r="AU977" s="13" t="s">
        <v>1680</v>
      </c>
      <c r="AV977" s="13" t="s">
        <v>5771</v>
      </c>
      <c r="AW977" s="13">
        <v>13.0</v>
      </c>
      <c r="AX977" s="13">
        <v>19.0</v>
      </c>
      <c r="AY977" s="13">
        <v>0.0</v>
      </c>
      <c r="AZ977" s="13" t="s">
        <v>624</v>
      </c>
      <c r="BA977" s="13" t="s">
        <v>259</v>
      </c>
      <c r="BB977" s="13"/>
      <c r="BC977" s="13"/>
      <c r="BD977" s="13" t="s">
        <v>188</v>
      </c>
      <c r="BE977" s="13"/>
      <c r="BF977" s="13" t="s">
        <v>5772</v>
      </c>
      <c r="BG977" s="13" t="s">
        <v>169</v>
      </c>
      <c r="BH977" s="13" t="s">
        <v>241</v>
      </c>
      <c r="BI977" s="13" t="b">
        <v>0</v>
      </c>
      <c r="BJ977" s="13">
        <v>0.0</v>
      </c>
      <c r="BK977" s="13">
        <v>0.0</v>
      </c>
    </row>
    <row r="978" ht="14.25" customHeight="1">
      <c r="A978" s="13">
        <v>976.0</v>
      </c>
      <c r="B978" s="13" t="s">
        <v>44</v>
      </c>
      <c r="C978" s="13">
        <v>3.0</v>
      </c>
      <c r="D978" s="14">
        <v>0.0</v>
      </c>
      <c r="E978" s="13" t="s">
        <v>5773</v>
      </c>
      <c r="F978" s="15" t="s">
        <v>418</v>
      </c>
      <c r="G978" s="16" t="s">
        <v>5774</v>
      </c>
      <c r="H978" s="13"/>
      <c r="I978" s="13">
        <v>1.0</v>
      </c>
      <c r="J978" s="13" t="s">
        <v>1574</v>
      </c>
      <c r="K978" s="13">
        <f t="shared" si="3"/>
        <v>1</v>
      </c>
      <c r="L978" s="13">
        <f t="shared" si="4"/>
        <v>2</v>
      </c>
      <c r="M978" s="13">
        <f t="shared" ref="M978:AA978" si="1955">IFERROR(VALUE(RIGHT(LEFT($J978,FIND(M$1,$J978,1)+LEN(M$1)),1)),0)</f>
        <v>0</v>
      </c>
      <c r="N978" s="13">
        <f t="shared" si="1955"/>
        <v>0</v>
      </c>
      <c r="O978" s="13">
        <f t="shared" si="1955"/>
        <v>0</v>
      </c>
      <c r="P978" s="13">
        <f t="shared" si="1955"/>
        <v>0</v>
      </c>
      <c r="Q978" s="13">
        <f t="shared" si="1955"/>
        <v>0</v>
      </c>
      <c r="R978" s="13">
        <f t="shared" si="1955"/>
        <v>0</v>
      </c>
      <c r="S978" s="13">
        <f t="shared" si="1955"/>
        <v>1</v>
      </c>
      <c r="T978" s="13">
        <f t="shared" si="1955"/>
        <v>0</v>
      </c>
      <c r="U978" s="13">
        <f t="shared" si="1955"/>
        <v>0</v>
      </c>
      <c r="V978" s="13">
        <f t="shared" si="1955"/>
        <v>0</v>
      </c>
      <c r="W978" s="13">
        <f t="shared" si="1955"/>
        <v>0</v>
      </c>
      <c r="X978" s="13">
        <f t="shared" si="1955"/>
        <v>0</v>
      </c>
      <c r="Y978" s="13">
        <f t="shared" si="1955"/>
        <v>0</v>
      </c>
      <c r="Z978" s="13">
        <f t="shared" si="1955"/>
        <v>0</v>
      </c>
      <c r="AA978" s="13">
        <f t="shared" si="1955"/>
        <v>0</v>
      </c>
      <c r="AB978" s="13">
        <f t="shared" ref="AB978:AP978" si="1956">IFERROR(VALUE(RIGHT(LEFT($J978,FIND(AB$1,$J978,IF(M978=0,1,FIND(AB$1,$J978,1)+1))+LEN(AB$1)),1)),0)</f>
        <v>0</v>
      </c>
      <c r="AC978" s="13">
        <f t="shared" si="1956"/>
        <v>0</v>
      </c>
      <c r="AD978" s="13">
        <f t="shared" si="1956"/>
        <v>0</v>
      </c>
      <c r="AE978" s="13">
        <f t="shared" si="1956"/>
        <v>0</v>
      </c>
      <c r="AF978" s="13">
        <f t="shared" si="1956"/>
        <v>0</v>
      </c>
      <c r="AG978" s="13">
        <f t="shared" si="1956"/>
        <v>1</v>
      </c>
      <c r="AH978" s="13">
        <f t="shared" si="1956"/>
        <v>1</v>
      </c>
      <c r="AI978" s="13">
        <f t="shared" si="1956"/>
        <v>0</v>
      </c>
      <c r="AJ978" s="13">
        <f t="shared" si="1956"/>
        <v>0</v>
      </c>
      <c r="AK978" s="13">
        <f t="shared" si="1956"/>
        <v>0</v>
      </c>
      <c r="AL978" s="13">
        <f t="shared" si="1956"/>
        <v>0</v>
      </c>
      <c r="AM978" s="13">
        <f t="shared" si="1956"/>
        <v>0</v>
      </c>
      <c r="AN978" s="13">
        <f t="shared" si="1956"/>
        <v>0</v>
      </c>
      <c r="AO978" s="13">
        <f t="shared" si="1956"/>
        <v>0</v>
      </c>
      <c r="AP978" s="13">
        <f t="shared" si="1956"/>
        <v>0</v>
      </c>
      <c r="AQ978" s="13" t="s">
        <v>5775</v>
      </c>
      <c r="AR978" s="13"/>
      <c r="AS978" s="13" t="s">
        <v>1576</v>
      </c>
      <c r="AT978" s="13"/>
      <c r="AU978" s="13"/>
      <c r="AV978" s="13"/>
      <c r="AW978" s="13">
        <v>0.0</v>
      </c>
      <c r="AX978" s="13">
        <v>19.0</v>
      </c>
      <c r="AY978" s="13">
        <v>0.0</v>
      </c>
      <c r="AZ978" s="13"/>
      <c r="BA978" s="13"/>
      <c r="BB978" s="13"/>
      <c r="BC978" s="13"/>
      <c r="BD978" s="13"/>
      <c r="BE978" s="13"/>
      <c r="BF978" s="13"/>
      <c r="BG978" s="13"/>
      <c r="BH978" s="13" t="s">
        <v>79</v>
      </c>
      <c r="BI978" s="13" t="b">
        <v>0</v>
      </c>
      <c r="BJ978" s="13">
        <v>0.0</v>
      </c>
      <c r="BK978" s="13">
        <v>0.0</v>
      </c>
    </row>
    <row r="979" ht="14.25" customHeight="1">
      <c r="A979" s="13">
        <v>977.0</v>
      </c>
      <c r="B979" s="13" t="s">
        <v>45</v>
      </c>
      <c r="C979" s="13">
        <v>3.0</v>
      </c>
      <c r="D979" s="14">
        <v>0.0</v>
      </c>
      <c r="E979" s="13" t="s">
        <v>5776</v>
      </c>
      <c r="F979" s="15" t="s">
        <v>418</v>
      </c>
      <c r="G979" s="16" t="s">
        <v>5777</v>
      </c>
      <c r="H979" s="13"/>
      <c r="I979" s="13">
        <v>1.1</v>
      </c>
      <c r="J979" s="13" t="s">
        <v>1584</v>
      </c>
      <c r="K979" s="13">
        <f t="shared" si="3"/>
        <v>1</v>
      </c>
      <c r="L979" s="13">
        <f t="shared" si="4"/>
        <v>2</v>
      </c>
      <c r="M979" s="13">
        <f t="shared" ref="M979:AA979" si="1957">IFERROR(VALUE(RIGHT(LEFT($J979,FIND(M$1,$J979,1)+LEN(M$1)),1)),0)</f>
        <v>0</v>
      </c>
      <c r="N979" s="13">
        <f t="shared" si="1957"/>
        <v>0</v>
      </c>
      <c r="O979" s="13">
        <f t="shared" si="1957"/>
        <v>0</v>
      </c>
      <c r="P979" s="13">
        <f t="shared" si="1957"/>
        <v>0</v>
      </c>
      <c r="Q979" s="13">
        <f t="shared" si="1957"/>
        <v>0</v>
      </c>
      <c r="R979" s="13">
        <f t="shared" si="1957"/>
        <v>0</v>
      </c>
      <c r="S979" s="13">
        <f t="shared" si="1957"/>
        <v>0</v>
      </c>
      <c r="T979" s="13">
        <f t="shared" si="1957"/>
        <v>1</v>
      </c>
      <c r="U979" s="13">
        <f t="shared" si="1957"/>
        <v>0</v>
      </c>
      <c r="V979" s="13">
        <f t="shared" si="1957"/>
        <v>0</v>
      </c>
      <c r="W979" s="13">
        <f t="shared" si="1957"/>
        <v>0</v>
      </c>
      <c r="X979" s="13">
        <f t="shared" si="1957"/>
        <v>0</v>
      </c>
      <c r="Y979" s="13">
        <f t="shared" si="1957"/>
        <v>0</v>
      </c>
      <c r="Z979" s="13">
        <f t="shared" si="1957"/>
        <v>0</v>
      </c>
      <c r="AA979" s="13">
        <f t="shared" si="1957"/>
        <v>0</v>
      </c>
      <c r="AB979" s="13">
        <f t="shared" ref="AB979:AP979" si="1958">IFERROR(VALUE(RIGHT(LEFT($J979,FIND(AB$1,$J979,IF(M979=0,1,FIND(AB$1,$J979,1)+1))+LEN(AB$1)),1)),0)</f>
        <v>0</v>
      </c>
      <c r="AC979" s="13">
        <f t="shared" si="1958"/>
        <v>1</v>
      </c>
      <c r="AD979" s="13">
        <f t="shared" si="1958"/>
        <v>0</v>
      </c>
      <c r="AE979" s="13">
        <f t="shared" si="1958"/>
        <v>0</v>
      </c>
      <c r="AF979" s="13">
        <f t="shared" si="1958"/>
        <v>0</v>
      </c>
      <c r="AG979" s="13">
        <f t="shared" si="1958"/>
        <v>0</v>
      </c>
      <c r="AH979" s="13">
        <f t="shared" si="1958"/>
        <v>0</v>
      </c>
      <c r="AI979" s="13">
        <f t="shared" si="1958"/>
        <v>1</v>
      </c>
      <c r="AJ979" s="13">
        <f t="shared" si="1958"/>
        <v>0</v>
      </c>
      <c r="AK979" s="13">
        <f t="shared" si="1958"/>
        <v>0</v>
      </c>
      <c r="AL979" s="13">
        <f t="shared" si="1958"/>
        <v>0</v>
      </c>
      <c r="AM979" s="13">
        <f t="shared" si="1958"/>
        <v>0</v>
      </c>
      <c r="AN979" s="13">
        <f t="shared" si="1958"/>
        <v>0</v>
      </c>
      <c r="AO979" s="13">
        <f t="shared" si="1958"/>
        <v>0</v>
      </c>
      <c r="AP979" s="13">
        <f t="shared" si="1958"/>
        <v>0</v>
      </c>
      <c r="AQ979" s="13" t="s">
        <v>1585</v>
      </c>
      <c r="AR979" s="13"/>
      <c r="AS979" s="13" t="s">
        <v>5778</v>
      </c>
      <c r="AT979" s="13"/>
      <c r="AU979" s="13"/>
      <c r="AV979" s="13"/>
      <c r="AW979" s="13">
        <v>0.0</v>
      </c>
      <c r="AX979" s="13">
        <v>19.0</v>
      </c>
      <c r="AY979" s="13">
        <v>0.0</v>
      </c>
      <c r="AZ979" s="13"/>
      <c r="BA979" s="13"/>
      <c r="BB979" s="13"/>
      <c r="BC979" s="13"/>
      <c r="BD979" s="13"/>
      <c r="BE979" s="13"/>
      <c r="BF979" s="13"/>
      <c r="BG979" s="13"/>
      <c r="BH979" s="13" t="s">
        <v>79</v>
      </c>
      <c r="BI979" s="13" t="b">
        <v>0</v>
      </c>
      <c r="BJ979" s="13">
        <v>0.0</v>
      </c>
      <c r="BK979" s="13">
        <v>0.0</v>
      </c>
    </row>
    <row r="980" ht="14.25" customHeight="1">
      <c r="A980" s="13">
        <v>978.0</v>
      </c>
      <c r="B980" s="13" t="s">
        <v>46</v>
      </c>
      <c r="C980" s="13">
        <v>3.0</v>
      </c>
      <c r="D980" s="14">
        <v>0.0</v>
      </c>
      <c r="E980" s="13" t="s">
        <v>5779</v>
      </c>
      <c r="F980" s="15" t="s">
        <v>418</v>
      </c>
      <c r="G980" s="16" t="s">
        <v>5780</v>
      </c>
      <c r="H980" s="13"/>
      <c r="I980" s="13">
        <v>0.9</v>
      </c>
      <c r="J980" s="13" t="s">
        <v>5781</v>
      </c>
      <c r="K980" s="13">
        <f t="shared" si="3"/>
        <v>1</v>
      </c>
      <c r="L980" s="13">
        <f t="shared" si="4"/>
        <v>2</v>
      </c>
      <c r="M980" s="13">
        <f t="shared" ref="M980:AA980" si="1959">IFERROR(VALUE(RIGHT(LEFT($J980,FIND(M$1,$J980,1)+LEN(M$1)),1)),0)</f>
        <v>1</v>
      </c>
      <c r="N980" s="13">
        <f t="shared" si="1959"/>
        <v>0</v>
      </c>
      <c r="O980" s="13">
        <f t="shared" si="1959"/>
        <v>0</v>
      </c>
      <c r="P980" s="13">
        <f t="shared" si="1959"/>
        <v>0</v>
      </c>
      <c r="Q980" s="13">
        <f t="shared" si="1959"/>
        <v>0</v>
      </c>
      <c r="R980" s="13">
        <f t="shared" si="1959"/>
        <v>0</v>
      </c>
      <c r="S980" s="13">
        <f t="shared" si="1959"/>
        <v>0</v>
      </c>
      <c r="T980" s="13">
        <f t="shared" si="1959"/>
        <v>0</v>
      </c>
      <c r="U980" s="13">
        <f t="shared" si="1959"/>
        <v>0</v>
      </c>
      <c r="V980" s="13">
        <f t="shared" si="1959"/>
        <v>0</v>
      </c>
      <c r="W980" s="13">
        <f t="shared" si="1959"/>
        <v>0</v>
      </c>
      <c r="X980" s="13">
        <f t="shared" si="1959"/>
        <v>0</v>
      </c>
      <c r="Y980" s="13">
        <f t="shared" si="1959"/>
        <v>0</v>
      </c>
      <c r="Z980" s="13">
        <f t="shared" si="1959"/>
        <v>0</v>
      </c>
      <c r="AA980" s="13">
        <f t="shared" si="1959"/>
        <v>0</v>
      </c>
      <c r="AB980" s="13">
        <f t="shared" ref="AB980:AP980" si="1960">IFERROR(VALUE(RIGHT(LEFT($J980,FIND(AB$1,$J980,IF(M980=0,1,FIND(AB$1,$J980,1)+1))+LEN(AB$1)),1)),0)</f>
        <v>1</v>
      </c>
      <c r="AC980" s="13">
        <f t="shared" si="1960"/>
        <v>0</v>
      </c>
      <c r="AD980" s="13">
        <f t="shared" si="1960"/>
        <v>0</v>
      </c>
      <c r="AE980" s="13">
        <f t="shared" si="1960"/>
        <v>0</v>
      </c>
      <c r="AF980" s="13">
        <f t="shared" si="1960"/>
        <v>0</v>
      </c>
      <c r="AG980" s="13">
        <f t="shared" si="1960"/>
        <v>0</v>
      </c>
      <c r="AH980" s="13">
        <f t="shared" si="1960"/>
        <v>0</v>
      </c>
      <c r="AI980" s="13">
        <f t="shared" si="1960"/>
        <v>0</v>
      </c>
      <c r="AJ980" s="13">
        <f t="shared" si="1960"/>
        <v>1</v>
      </c>
      <c r="AK980" s="13">
        <f t="shared" si="1960"/>
        <v>0</v>
      </c>
      <c r="AL980" s="13">
        <f t="shared" si="1960"/>
        <v>0</v>
      </c>
      <c r="AM980" s="13">
        <f t="shared" si="1960"/>
        <v>0</v>
      </c>
      <c r="AN980" s="13">
        <f t="shared" si="1960"/>
        <v>0</v>
      </c>
      <c r="AO980" s="13">
        <f t="shared" si="1960"/>
        <v>0</v>
      </c>
      <c r="AP980" s="13">
        <f t="shared" si="1960"/>
        <v>0</v>
      </c>
      <c r="AQ980" s="13" t="s">
        <v>5782</v>
      </c>
      <c r="AR980" s="13"/>
      <c r="AS980" s="13" t="s">
        <v>5783</v>
      </c>
      <c r="AT980" s="13"/>
      <c r="AU980" s="13"/>
      <c r="AV980" s="13"/>
      <c r="AW980" s="13">
        <v>0.0</v>
      </c>
      <c r="AX980" s="13">
        <v>19.0</v>
      </c>
      <c r="AY980" s="13">
        <v>0.0</v>
      </c>
      <c r="AZ980" s="13"/>
      <c r="BA980" s="13"/>
      <c r="BB980" s="13"/>
      <c r="BC980" s="13"/>
      <c r="BD980" s="13"/>
      <c r="BE980" s="13"/>
      <c r="BF980" s="13"/>
      <c r="BG980" s="13"/>
      <c r="BH980" s="13" t="s">
        <v>79</v>
      </c>
      <c r="BI980" s="13" t="b">
        <v>0</v>
      </c>
      <c r="BJ980" s="13">
        <v>0.0</v>
      </c>
      <c r="BK980" s="13">
        <v>0.0</v>
      </c>
    </row>
    <row r="981" ht="14.25" customHeight="1">
      <c r="A981" s="13">
        <v>979.0</v>
      </c>
      <c r="B981" s="13" t="s">
        <v>47</v>
      </c>
      <c r="C981" s="13">
        <v>3.0</v>
      </c>
      <c r="D981" s="14">
        <v>0.0</v>
      </c>
      <c r="E981" s="13" t="s">
        <v>5784</v>
      </c>
      <c r="F981" s="15" t="s">
        <v>418</v>
      </c>
      <c r="G981" s="16" t="s">
        <v>5785</v>
      </c>
      <c r="H981" s="13">
        <v>17.0</v>
      </c>
      <c r="I981" s="13">
        <v>0.9</v>
      </c>
      <c r="J981" s="13" t="s">
        <v>1634</v>
      </c>
      <c r="K981" s="13">
        <f t="shared" si="3"/>
        <v>1</v>
      </c>
      <c r="L981" s="13">
        <f t="shared" si="4"/>
        <v>2</v>
      </c>
      <c r="M981" s="13">
        <f t="shared" ref="M981:AA981" si="1961">IFERROR(VALUE(RIGHT(LEFT($J981,FIND(M$1,$J981,1)+LEN(M$1)),1)),0)</f>
        <v>0</v>
      </c>
      <c r="N981" s="13">
        <f t="shared" si="1961"/>
        <v>0</v>
      </c>
      <c r="O981" s="13">
        <f t="shared" si="1961"/>
        <v>0</v>
      </c>
      <c r="P981" s="13">
        <f t="shared" si="1961"/>
        <v>0</v>
      </c>
      <c r="Q981" s="13">
        <f t="shared" si="1961"/>
        <v>0</v>
      </c>
      <c r="R981" s="13">
        <f t="shared" si="1961"/>
        <v>0</v>
      </c>
      <c r="S981" s="13">
        <f t="shared" si="1961"/>
        <v>0</v>
      </c>
      <c r="T981" s="13">
        <f t="shared" si="1961"/>
        <v>0</v>
      </c>
      <c r="U981" s="13">
        <f t="shared" si="1961"/>
        <v>0</v>
      </c>
      <c r="V981" s="13">
        <f t="shared" si="1961"/>
        <v>1</v>
      </c>
      <c r="W981" s="13">
        <f t="shared" si="1961"/>
        <v>0</v>
      </c>
      <c r="X981" s="13">
        <f t="shared" si="1961"/>
        <v>0</v>
      </c>
      <c r="Y981" s="13">
        <f t="shared" si="1961"/>
        <v>0</v>
      </c>
      <c r="Z981" s="13">
        <f t="shared" si="1961"/>
        <v>0</v>
      </c>
      <c r="AA981" s="13">
        <f t="shared" si="1961"/>
        <v>0</v>
      </c>
      <c r="AB981" s="13">
        <f t="shared" ref="AB981:AP981" si="1962">IFERROR(VALUE(RIGHT(LEFT($J981,FIND(AB$1,$J981,IF(M981=0,1,FIND(AB$1,$J981,1)+1))+LEN(AB$1)),1)),0)</f>
        <v>1</v>
      </c>
      <c r="AC981" s="13">
        <f t="shared" si="1962"/>
        <v>0</v>
      </c>
      <c r="AD981" s="13">
        <f t="shared" si="1962"/>
        <v>0</v>
      </c>
      <c r="AE981" s="13">
        <f t="shared" si="1962"/>
        <v>0</v>
      </c>
      <c r="AF981" s="13">
        <f t="shared" si="1962"/>
        <v>0</v>
      </c>
      <c r="AG981" s="13">
        <f t="shared" si="1962"/>
        <v>0</v>
      </c>
      <c r="AH981" s="13">
        <f t="shared" si="1962"/>
        <v>0</v>
      </c>
      <c r="AI981" s="13">
        <f t="shared" si="1962"/>
        <v>0</v>
      </c>
      <c r="AJ981" s="13">
        <f t="shared" si="1962"/>
        <v>0</v>
      </c>
      <c r="AK981" s="13">
        <f t="shared" si="1962"/>
        <v>1</v>
      </c>
      <c r="AL981" s="13">
        <f t="shared" si="1962"/>
        <v>0</v>
      </c>
      <c r="AM981" s="13">
        <f t="shared" si="1962"/>
        <v>0</v>
      </c>
      <c r="AN981" s="13">
        <f t="shared" si="1962"/>
        <v>0</v>
      </c>
      <c r="AO981" s="13">
        <f t="shared" si="1962"/>
        <v>0</v>
      </c>
      <c r="AP981" s="13">
        <f t="shared" si="1962"/>
        <v>0</v>
      </c>
      <c r="AQ981" s="13"/>
      <c r="AR981" s="13" t="s">
        <v>5786</v>
      </c>
      <c r="AS981" s="13" t="s">
        <v>5787</v>
      </c>
      <c r="AT981" s="13" t="s">
        <v>573</v>
      </c>
      <c r="AU981" s="13" t="s">
        <v>803</v>
      </c>
      <c r="AV981" s="13" t="s">
        <v>5788</v>
      </c>
      <c r="AW981" s="13">
        <v>16.0</v>
      </c>
      <c r="AX981" s="13">
        <v>19.0</v>
      </c>
      <c r="AY981" s="13">
        <v>0.0</v>
      </c>
      <c r="AZ981" s="13" t="s">
        <v>1830</v>
      </c>
      <c r="BA981" s="13" t="s">
        <v>5789</v>
      </c>
      <c r="BB981" s="13"/>
      <c r="BC981" s="13"/>
      <c r="BD981" s="13" t="s">
        <v>484</v>
      </c>
      <c r="BE981" s="13"/>
      <c r="BF981" s="13" t="s">
        <v>1241</v>
      </c>
      <c r="BG981" s="13" t="s">
        <v>136</v>
      </c>
      <c r="BH981" s="13" t="s">
        <v>79</v>
      </c>
      <c r="BI981" s="13" t="b">
        <v>0</v>
      </c>
      <c r="BJ981" s="13">
        <v>0.0</v>
      </c>
      <c r="BK981" s="13">
        <v>0.0</v>
      </c>
    </row>
    <row r="982" ht="14.25" customHeight="1">
      <c r="A982" s="13">
        <v>980.0</v>
      </c>
      <c r="B982" s="13" t="s">
        <v>47</v>
      </c>
      <c r="C982" s="13">
        <v>3.0</v>
      </c>
      <c r="D982" s="14">
        <v>0.0</v>
      </c>
      <c r="E982" s="13" t="s">
        <v>5790</v>
      </c>
      <c r="F982" s="15" t="s">
        <v>418</v>
      </c>
      <c r="G982" s="16" t="s">
        <v>5791</v>
      </c>
      <c r="H982" s="13">
        <v>16.0</v>
      </c>
      <c r="I982" s="13">
        <v>1.0</v>
      </c>
      <c r="J982" s="13" t="s">
        <v>1643</v>
      </c>
      <c r="K982" s="13">
        <f t="shared" si="3"/>
        <v>1</v>
      </c>
      <c r="L982" s="13">
        <f t="shared" si="4"/>
        <v>2</v>
      </c>
      <c r="M982" s="13">
        <f t="shared" ref="M982:AA982" si="1963">IFERROR(VALUE(RIGHT(LEFT($J982,FIND(M$1,$J982,1)+LEN(M$1)),1)),0)</f>
        <v>0</v>
      </c>
      <c r="N982" s="13">
        <f t="shared" si="1963"/>
        <v>0</v>
      </c>
      <c r="O982" s="13">
        <f t="shared" si="1963"/>
        <v>0</v>
      </c>
      <c r="P982" s="13">
        <f t="shared" si="1963"/>
        <v>0</v>
      </c>
      <c r="Q982" s="13">
        <f t="shared" si="1963"/>
        <v>0</v>
      </c>
      <c r="R982" s="13">
        <f t="shared" si="1963"/>
        <v>1</v>
      </c>
      <c r="S982" s="13">
        <f t="shared" si="1963"/>
        <v>0</v>
      </c>
      <c r="T982" s="13">
        <f t="shared" si="1963"/>
        <v>0</v>
      </c>
      <c r="U982" s="13">
        <f t="shared" si="1963"/>
        <v>0</v>
      </c>
      <c r="V982" s="13">
        <f t="shared" si="1963"/>
        <v>0</v>
      </c>
      <c r="W982" s="13">
        <f t="shared" si="1963"/>
        <v>0</v>
      </c>
      <c r="X982" s="13">
        <f t="shared" si="1963"/>
        <v>0</v>
      </c>
      <c r="Y982" s="13">
        <f t="shared" si="1963"/>
        <v>0</v>
      </c>
      <c r="Z982" s="13">
        <f t="shared" si="1963"/>
        <v>0</v>
      </c>
      <c r="AA982" s="13">
        <f t="shared" si="1963"/>
        <v>0</v>
      </c>
      <c r="AB982" s="13">
        <f t="shared" ref="AB982:AP982" si="1964">IFERROR(VALUE(RIGHT(LEFT($J982,FIND(AB$1,$J982,IF(M982=0,1,FIND(AB$1,$J982,1)+1))+LEN(AB$1)),1)),0)</f>
        <v>0</v>
      </c>
      <c r="AC982" s="13">
        <f t="shared" si="1964"/>
        <v>0</v>
      </c>
      <c r="AD982" s="13">
        <f t="shared" si="1964"/>
        <v>0</v>
      </c>
      <c r="AE982" s="13">
        <f t="shared" si="1964"/>
        <v>0</v>
      </c>
      <c r="AF982" s="13">
        <f t="shared" si="1964"/>
        <v>0</v>
      </c>
      <c r="AG982" s="13">
        <f t="shared" si="1964"/>
        <v>1</v>
      </c>
      <c r="AH982" s="13">
        <f t="shared" si="1964"/>
        <v>0</v>
      </c>
      <c r="AI982" s="13">
        <f t="shared" si="1964"/>
        <v>0</v>
      </c>
      <c r="AJ982" s="13">
        <f t="shared" si="1964"/>
        <v>0</v>
      </c>
      <c r="AK982" s="13">
        <f t="shared" si="1964"/>
        <v>1</v>
      </c>
      <c r="AL982" s="13">
        <f t="shared" si="1964"/>
        <v>0</v>
      </c>
      <c r="AM982" s="13">
        <f t="shared" si="1964"/>
        <v>0</v>
      </c>
      <c r="AN982" s="13">
        <f t="shared" si="1964"/>
        <v>0</v>
      </c>
      <c r="AO982" s="13">
        <f t="shared" si="1964"/>
        <v>0</v>
      </c>
      <c r="AP982" s="13">
        <f t="shared" si="1964"/>
        <v>0</v>
      </c>
      <c r="AQ982" s="13"/>
      <c r="AR982" s="13" t="s">
        <v>3674</v>
      </c>
      <c r="AS982" s="13" t="s">
        <v>2871</v>
      </c>
      <c r="AT982" s="13" t="s">
        <v>162</v>
      </c>
      <c r="AU982" s="13" t="s">
        <v>616</v>
      </c>
      <c r="AV982" s="13" t="s">
        <v>5792</v>
      </c>
      <c r="AW982" s="13">
        <v>20.0</v>
      </c>
      <c r="AX982" s="13">
        <v>19.0</v>
      </c>
      <c r="AY982" s="13">
        <v>0.0</v>
      </c>
      <c r="AZ982" s="13" t="s">
        <v>5672</v>
      </c>
      <c r="BA982" s="13" t="s">
        <v>5626</v>
      </c>
      <c r="BB982" s="13"/>
      <c r="BC982" s="13"/>
      <c r="BD982" s="13" t="s">
        <v>1113</v>
      </c>
      <c r="BE982" s="13"/>
      <c r="BF982" s="13" t="s">
        <v>5793</v>
      </c>
      <c r="BG982" s="13" t="s">
        <v>136</v>
      </c>
      <c r="BH982" s="13" t="s">
        <v>79</v>
      </c>
      <c r="BI982" s="13" t="b">
        <v>0</v>
      </c>
      <c r="BJ982" s="13">
        <v>0.0</v>
      </c>
      <c r="BK982" s="13">
        <v>0.0</v>
      </c>
    </row>
    <row r="983" ht="14.25" customHeight="1">
      <c r="A983" s="13">
        <v>981.0</v>
      </c>
      <c r="B983" s="13" t="s">
        <v>48</v>
      </c>
      <c r="C983" s="13">
        <v>3.0</v>
      </c>
      <c r="D983" s="14">
        <v>0.0</v>
      </c>
      <c r="E983" s="13" t="s">
        <v>5794</v>
      </c>
      <c r="F983" s="15" t="s">
        <v>418</v>
      </c>
      <c r="G983" s="16" t="s">
        <v>5795</v>
      </c>
      <c r="H983" s="13">
        <v>20.0</v>
      </c>
      <c r="I983" s="13">
        <v>1.2</v>
      </c>
      <c r="J983" s="13" t="s">
        <v>4567</v>
      </c>
      <c r="K983" s="13">
        <f t="shared" si="3"/>
        <v>1</v>
      </c>
      <c r="L983" s="13">
        <f t="shared" si="4"/>
        <v>2</v>
      </c>
      <c r="M983" s="13">
        <f t="shared" ref="M983:AA983" si="1965">IFERROR(VALUE(RIGHT(LEFT($J983,FIND(M$1,$J983,1)+LEN(M$1)),1)),0)</f>
        <v>0</v>
      </c>
      <c r="N983" s="13">
        <f t="shared" si="1965"/>
        <v>1</v>
      </c>
      <c r="O983" s="13">
        <f t="shared" si="1965"/>
        <v>0</v>
      </c>
      <c r="P983" s="13">
        <f t="shared" si="1965"/>
        <v>0</v>
      </c>
      <c r="Q983" s="13">
        <f t="shared" si="1965"/>
        <v>0</v>
      </c>
      <c r="R983" s="13">
        <f t="shared" si="1965"/>
        <v>0</v>
      </c>
      <c r="S983" s="13">
        <f t="shared" si="1965"/>
        <v>0</v>
      </c>
      <c r="T983" s="13">
        <f t="shared" si="1965"/>
        <v>0</v>
      </c>
      <c r="U983" s="13">
        <f t="shared" si="1965"/>
        <v>0</v>
      </c>
      <c r="V983" s="13">
        <f t="shared" si="1965"/>
        <v>0</v>
      </c>
      <c r="W983" s="13">
        <f t="shared" si="1965"/>
        <v>0</v>
      </c>
      <c r="X983" s="13">
        <f t="shared" si="1965"/>
        <v>0</v>
      </c>
      <c r="Y983" s="13">
        <f t="shared" si="1965"/>
        <v>0</v>
      </c>
      <c r="Z983" s="13">
        <f t="shared" si="1965"/>
        <v>0</v>
      </c>
      <c r="AA983" s="13">
        <f t="shared" si="1965"/>
        <v>0</v>
      </c>
      <c r="AB983" s="13">
        <f t="shared" ref="AB983:AP983" si="1966">IFERROR(VALUE(RIGHT(LEFT($J983,FIND(AB$1,$J983,IF(M983=0,1,FIND(AB$1,$J983,1)+1))+LEN(AB$1)),1)),0)</f>
        <v>0</v>
      </c>
      <c r="AC983" s="13">
        <f t="shared" si="1966"/>
        <v>1</v>
      </c>
      <c r="AD983" s="13">
        <f t="shared" si="1966"/>
        <v>0</v>
      </c>
      <c r="AE983" s="13">
        <f t="shared" si="1966"/>
        <v>0</v>
      </c>
      <c r="AF983" s="13">
        <f t="shared" si="1966"/>
        <v>0</v>
      </c>
      <c r="AG983" s="13">
        <f t="shared" si="1966"/>
        <v>0</v>
      </c>
      <c r="AH983" s="13">
        <f t="shared" si="1966"/>
        <v>0</v>
      </c>
      <c r="AI983" s="13">
        <f t="shared" si="1966"/>
        <v>0</v>
      </c>
      <c r="AJ983" s="13">
        <f t="shared" si="1966"/>
        <v>0</v>
      </c>
      <c r="AK983" s="13">
        <f t="shared" si="1966"/>
        <v>0</v>
      </c>
      <c r="AL983" s="13">
        <f t="shared" si="1966"/>
        <v>1</v>
      </c>
      <c r="AM983" s="13">
        <f t="shared" si="1966"/>
        <v>0</v>
      </c>
      <c r="AN983" s="13">
        <f t="shared" si="1966"/>
        <v>0</v>
      </c>
      <c r="AO983" s="13">
        <f t="shared" si="1966"/>
        <v>0</v>
      </c>
      <c r="AP983" s="13">
        <f t="shared" si="1966"/>
        <v>0</v>
      </c>
      <c r="AQ983" s="13"/>
      <c r="AR983" s="13" t="s">
        <v>1712</v>
      </c>
      <c r="AS983" s="13" t="s">
        <v>4109</v>
      </c>
      <c r="AT983" s="13" t="s">
        <v>162</v>
      </c>
      <c r="AU983" s="13" t="s">
        <v>633</v>
      </c>
      <c r="AV983" s="13" t="s">
        <v>5796</v>
      </c>
      <c r="AW983" s="13">
        <v>22.0</v>
      </c>
      <c r="AX983" s="13">
        <v>19.0</v>
      </c>
      <c r="AY983" s="13">
        <v>0.0</v>
      </c>
      <c r="AZ983" s="13" t="s">
        <v>5797</v>
      </c>
      <c r="BA983" s="13" t="s">
        <v>5798</v>
      </c>
      <c r="BB983" s="13"/>
      <c r="BC983" s="13"/>
      <c r="BD983" s="13" t="s">
        <v>188</v>
      </c>
      <c r="BE983" s="13"/>
      <c r="BF983" s="13" t="s">
        <v>2044</v>
      </c>
      <c r="BG983" s="13" t="s">
        <v>169</v>
      </c>
      <c r="BH983" s="13" t="s">
        <v>79</v>
      </c>
      <c r="BI983" s="13" t="b">
        <v>0</v>
      </c>
      <c r="BJ983" s="13">
        <v>0.0</v>
      </c>
      <c r="BK983" s="13">
        <v>0.0</v>
      </c>
    </row>
    <row r="984" ht="14.25" customHeight="1">
      <c r="A984" s="13">
        <v>982.0</v>
      </c>
      <c r="B984" s="13" t="s">
        <v>48</v>
      </c>
      <c r="C984" s="13">
        <v>3.0</v>
      </c>
      <c r="D984" s="14">
        <v>0.0</v>
      </c>
      <c r="E984" s="13" t="s">
        <v>5799</v>
      </c>
      <c r="F984" s="15" t="s">
        <v>418</v>
      </c>
      <c r="G984" s="16" t="s">
        <v>5800</v>
      </c>
      <c r="H984" s="13">
        <v>18.0</v>
      </c>
      <c r="I984" s="13">
        <v>1.0</v>
      </c>
      <c r="J984" s="13" t="s">
        <v>1702</v>
      </c>
      <c r="K984" s="13">
        <f t="shared" si="3"/>
        <v>1</v>
      </c>
      <c r="L984" s="13">
        <f t="shared" si="4"/>
        <v>2</v>
      </c>
      <c r="M984" s="13">
        <f t="shared" ref="M984:AA984" si="1967">IFERROR(VALUE(RIGHT(LEFT($J984,FIND(M$1,$J984,1)+LEN(M$1)),1)),0)</f>
        <v>0</v>
      </c>
      <c r="N984" s="13">
        <f t="shared" si="1967"/>
        <v>0</v>
      </c>
      <c r="O984" s="13">
        <f t="shared" si="1967"/>
        <v>0</v>
      </c>
      <c r="P984" s="13">
        <f t="shared" si="1967"/>
        <v>0</v>
      </c>
      <c r="Q984" s="13">
        <f t="shared" si="1967"/>
        <v>0</v>
      </c>
      <c r="R984" s="13">
        <f t="shared" si="1967"/>
        <v>0</v>
      </c>
      <c r="S984" s="13">
        <f t="shared" si="1967"/>
        <v>0</v>
      </c>
      <c r="T984" s="13">
        <f t="shared" si="1967"/>
        <v>0</v>
      </c>
      <c r="U984" s="13">
        <f t="shared" si="1967"/>
        <v>0</v>
      </c>
      <c r="V984" s="13">
        <f t="shared" si="1967"/>
        <v>0</v>
      </c>
      <c r="W984" s="13">
        <f t="shared" si="1967"/>
        <v>1</v>
      </c>
      <c r="X984" s="13">
        <f t="shared" si="1967"/>
        <v>0</v>
      </c>
      <c r="Y984" s="13">
        <f t="shared" si="1967"/>
        <v>0</v>
      </c>
      <c r="Z984" s="13">
        <f t="shared" si="1967"/>
        <v>0</v>
      </c>
      <c r="AA984" s="13">
        <f t="shared" si="1967"/>
        <v>0</v>
      </c>
      <c r="AB984" s="13">
        <f t="shared" ref="AB984:AP984" si="1968">IFERROR(VALUE(RIGHT(LEFT($J984,FIND(AB$1,$J984,IF(M984=0,1,FIND(AB$1,$J984,1)+1))+LEN(AB$1)),1)),0)</f>
        <v>0</v>
      </c>
      <c r="AC984" s="13">
        <f t="shared" si="1968"/>
        <v>0</v>
      </c>
      <c r="AD984" s="13">
        <f t="shared" si="1968"/>
        <v>0</v>
      </c>
      <c r="AE984" s="13">
        <f t="shared" si="1968"/>
        <v>0</v>
      </c>
      <c r="AF984" s="13">
        <f t="shared" si="1968"/>
        <v>0</v>
      </c>
      <c r="AG984" s="13">
        <f t="shared" si="1968"/>
        <v>1</v>
      </c>
      <c r="AH984" s="13">
        <f t="shared" si="1968"/>
        <v>0</v>
      </c>
      <c r="AI984" s="13">
        <f t="shared" si="1968"/>
        <v>0</v>
      </c>
      <c r="AJ984" s="13">
        <f t="shared" si="1968"/>
        <v>0</v>
      </c>
      <c r="AK984" s="13">
        <f t="shared" si="1968"/>
        <v>0</v>
      </c>
      <c r="AL984" s="13">
        <f t="shared" si="1968"/>
        <v>1</v>
      </c>
      <c r="AM984" s="13">
        <f t="shared" si="1968"/>
        <v>0</v>
      </c>
      <c r="AN984" s="13">
        <f t="shared" si="1968"/>
        <v>0</v>
      </c>
      <c r="AO984" s="13">
        <f t="shared" si="1968"/>
        <v>0</v>
      </c>
      <c r="AP984" s="13">
        <f t="shared" si="1968"/>
        <v>0</v>
      </c>
      <c r="AQ984" s="13"/>
      <c r="AR984" s="13" t="s">
        <v>5801</v>
      </c>
      <c r="AS984" s="13" t="s">
        <v>4561</v>
      </c>
      <c r="AT984" s="13" t="s">
        <v>175</v>
      </c>
      <c r="AU984" s="13" t="s">
        <v>803</v>
      </c>
      <c r="AV984" s="13" t="s">
        <v>5802</v>
      </c>
      <c r="AW984" s="13">
        <v>19.0</v>
      </c>
      <c r="AX984" s="13">
        <v>19.0</v>
      </c>
      <c r="AY984" s="13">
        <v>0.0</v>
      </c>
      <c r="AZ984" s="13" t="s">
        <v>5803</v>
      </c>
      <c r="BA984" s="13" t="s">
        <v>3944</v>
      </c>
      <c r="BB984" s="13"/>
      <c r="BC984" s="13"/>
      <c r="BD984" s="13" t="s">
        <v>167</v>
      </c>
      <c r="BE984" s="13"/>
      <c r="BF984" s="13" t="s">
        <v>1954</v>
      </c>
      <c r="BG984" s="13" t="s">
        <v>169</v>
      </c>
      <c r="BH984" s="13" t="s">
        <v>79</v>
      </c>
      <c r="BI984" s="13" t="b">
        <v>0</v>
      </c>
      <c r="BJ984" s="13">
        <v>0.0</v>
      </c>
      <c r="BK984" s="13">
        <v>0.0</v>
      </c>
    </row>
    <row r="985" ht="14.25" customHeight="1">
      <c r="A985" s="13">
        <v>983.0</v>
      </c>
      <c r="B985" s="13" t="s">
        <v>44</v>
      </c>
      <c r="C985" s="13">
        <v>4.0</v>
      </c>
      <c r="D985" s="14">
        <v>0.0</v>
      </c>
      <c r="E985" s="13" t="s">
        <v>5804</v>
      </c>
      <c r="F985" s="15" t="s">
        <v>418</v>
      </c>
      <c r="G985" s="16" t="s">
        <v>5805</v>
      </c>
      <c r="H985" s="13"/>
      <c r="I985" s="13">
        <v>1.0</v>
      </c>
      <c r="J985" s="13" t="s">
        <v>3904</v>
      </c>
      <c r="K985" s="13">
        <f t="shared" si="3"/>
        <v>2</v>
      </c>
      <c r="L985" s="13">
        <f t="shared" si="4"/>
        <v>2</v>
      </c>
      <c r="M985" s="13">
        <f t="shared" ref="M985:AA985" si="1969">IFERROR(VALUE(RIGHT(LEFT($J985,FIND(M$1,$J985,1)+LEN(M$1)),1)),0)</f>
        <v>0</v>
      </c>
      <c r="N985" s="13">
        <f t="shared" si="1969"/>
        <v>0</v>
      </c>
      <c r="O985" s="13">
        <f t="shared" si="1969"/>
        <v>0</v>
      </c>
      <c r="P985" s="13">
        <f t="shared" si="1969"/>
        <v>0</v>
      </c>
      <c r="Q985" s="13">
        <f t="shared" si="1969"/>
        <v>0</v>
      </c>
      <c r="R985" s="13">
        <f t="shared" si="1969"/>
        <v>0</v>
      </c>
      <c r="S985" s="13">
        <f t="shared" si="1969"/>
        <v>2</v>
      </c>
      <c r="T985" s="13">
        <f t="shared" si="1969"/>
        <v>0</v>
      </c>
      <c r="U985" s="13">
        <f t="shared" si="1969"/>
        <v>0</v>
      </c>
      <c r="V985" s="13">
        <f t="shared" si="1969"/>
        <v>0</v>
      </c>
      <c r="W985" s="13">
        <f t="shared" si="1969"/>
        <v>0</v>
      </c>
      <c r="X985" s="13">
        <f t="shared" si="1969"/>
        <v>0</v>
      </c>
      <c r="Y985" s="13">
        <f t="shared" si="1969"/>
        <v>0</v>
      </c>
      <c r="Z985" s="13">
        <f t="shared" si="1969"/>
        <v>0</v>
      </c>
      <c r="AA985" s="13">
        <f t="shared" si="1969"/>
        <v>0</v>
      </c>
      <c r="AB985" s="13">
        <f t="shared" ref="AB985:AP985" si="1970">IFERROR(VALUE(RIGHT(LEFT($J985,FIND(AB$1,$J985,IF(M985=0,1,FIND(AB$1,$J985,1)+1))+LEN(AB$1)),1)),0)</f>
        <v>0</v>
      </c>
      <c r="AC985" s="13">
        <f t="shared" si="1970"/>
        <v>0</v>
      </c>
      <c r="AD985" s="13">
        <f t="shared" si="1970"/>
        <v>0</v>
      </c>
      <c r="AE985" s="13">
        <f t="shared" si="1970"/>
        <v>0</v>
      </c>
      <c r="AF985" s="13">
        <f t="shared" si="1970"/>
        <v>0</v>
      </c>
      <c r="AG985" s="13">
        <f t="shared" si="1970"/>
        <v>1</v>
      </c>
      <c r="AH985" s="13">
        <f t="shared" si="1970"/>
        <v>1</v>
      </c>
      <c r="AI985" s="13">
        <f t="shared" si="1970"/>
        <v>0</v>
      </c>
      <c r="AJ985" s="13">
        <f t="shared" si="1970"/>
        <v>0</v>
      </c>
      <c r="AK985" s="13">
        <f t="shared" si="1970"/>
        <v>0</v>
      </c>
      <c r="AL985" s="13">
        <f t="shared" si="1970"/>
        <v>0</v>
      </c>
      <c r="AM985" s="13">
        <f t="shared" si="1970"/>
        <v>0</v>
      </c>
      <c r="AN985" s="13">
        <f t="shared" si="1970"/>
        <v>0</v>
      </c>
      <c r="AO985" s="13">
        <f t="shared" si="1970"/>
        <v>0</v>
      </c>
      <c r="AP985" s="13">
        <f t="shared" si="1970"/>
        <v>0</v>
      </c>
      <c r="AQ985" s="13" t="s">
        <v>5806</v>
      </c>
      <c r="AR985" s="13"/>
      <c r="AS985" s="13" t="s">
        <v>2900</v>
      </c>
      <c r="AT985" s="13"/>
      <c r="AU985" s="13"/>
      <c r="AV985" s="13"/>
      <c r="AW985" s="13">
        <v>0.0</v>
      </c>
      <c r="AX985" s="13">
        <v>19.0</v>
      </c>
      <c r="AY985" s="13">
        <v>0.0</v>
      </c>
      <c r="AZ985" s="13"/>
      <c r="BA985" s="13"/>
      <c r="BB985" s="13"/>
      <c r="BC985" s="13"/>
      <c r="BD985" s="13"/>
      <c r="BE985" s="13"/>
      <c r="BF985" s="13"/>
      <c r="BG985" s="13"/>
      <c r="BH985" s="13" t="s">
        <v>79</v>
      </c>
      <c r="BI985" s="13" t="b">
        <v>0</v>
      </c>
      <c r="BJ985" s="13">
        <v>0.0</v>
      </c>
      <c r="BK985" s="13">
        <v>0.0</v>
      </c>
    </row>
    <row r="986" ht="14.25" customHeight="1">
      <c r="A986" s="13">
        <v>984.0</v>
      </c>
      <c r="B986" s="13" t="s">
        <v>45</v>
      </c>
      <c r="C986" s="13">
        <v>4.0</v>
      </c>
      <c r="D986" s="14">
        <v>0.0</v>
      </c>
      <c r="E986" s="13" t="s">
        <v>5807</v>
      </c>
      <c r="F986" s="15" t="s">
        <v>418</v>
      </c>
      <c r="G986" s="16" t="s">
        <v>5808</v>
      </c>
      <c r="H986" s="13"/>
      <c r="I986" s="13">
        <v>1.2</v>
      </c>
      <c r="J986" s="13" t="s">
        <v>1918</v>
      </c>
      <c r="K986" s="13">
        <f t="shared" si="3"/>
        <v>2</v>
      </c>
      <c r="L986" s="13">
        <f t="shared" si="4"/>
        <v>2</v>
      </c>
      <c r="M986" s="13">
        <f t="shared" ref="M986:AA986" si="1971">IFERROR(VALUE(RIGHT(LEFT($J986,FIND(M$1,$J986,1)+LEN(M$1)),1)),0)</f>
        <v>0</v>
      </c>
      <c r="N986" s="13">
        <f t="shared" si="1971"/>
        <v>0</v>
      </c>
      <c r="O986" s="13">
        <f t="shared" si="1971"/>
        <v>0</v>
      </c>
      <c r="P986" s="13">
        <f t="shared" si="1971"/>
        <v>0</v>
      </c>
      <c r="Q986" s="13">
        <f t="shared" si="1971"/>
        <v>0</v>
      </c>
      <c r="R986" s="13">
        <f t="shared" si="1971"/>
        <v>0</v>
      </c>
      <c r="S986" s="13">
        <f t="shared" si="1971"/>
        <v>0</v>
      </c>
      <c r="T986" s="13">
        <f t="shared" si="1971"/>
        <v>2</v>
      </c>
      <c r="U986" s="13">
        <f t="shared" si="1971"/>
        <v>0</v>
      </c>
      <c r="V986" s="13">
        <f t="shared" si="1971"/>
        <v>0</v>
      </c>
      <c r="W986" s="13">
        <f t="shared" si="1971"/>
        <v>0</v>
      </c>
      <c r="X986" s="13">
        <f t="shared" si="1971"/>
        <v>0</v>
      </c>
      <c r="Y986" s="13">
        <f t="shared" si="1971"/>
        <v>0</v>
      </c>
      <c r="Z986" s="13">
        <f t="shared" si="1971"/>
        <v>0</v>
      </c>
      <c r="AA986" s="13">
        <f t="shared" si="1971"/>
        <v>0</v>
      </c>
      <c r="AB986" s="13">
        <f t="shared" ref="AB986:AP986" si="1972">IFERROR(VALUE(RIGHT(LEFT($J986,FIND(AB$1,$J986,IF(M986=0,1,FIND(AB$1,$J986,1)+1))+LEN(AB$1)),1)),0)</f>
        <v>0</v>
      </c>
      <c r="AC986" s="13">
        <f t="shared" si="1972"/>
        <v>1</v>
      </c>
      <c r="AD986" s="13">
        <f t="shared" si="1972"/>
        <v>0</v>
      </c>
      <c r="AE986" s="13">
        <f t="shared" si="1972"/>
        <v>0</v>
      </c>
      <c r="AF986" s="13">
        <f t="shared" si="1972"/>
        <v>0</v>
      </c>
      <c r="AG986" s="13">
        <f t="shared" si="1972"/>
        <v>0</v>
      </c>
      <c r="AH986" s="13">
        <f t="shared" si="1972"/>
        <v>0</v>
      </c>
      <c r="AI986" s="13">
        <f t="shared" si="1972"/>
        <v>1</v>
      </c>
      <c r="AJ986" s="13">
        <f t="shared" si="1972"/>
        <v>0</v>
      </c>
      <c r="AK986" s="13">
        <f t="shared" si="1972"/>
        <v>0</v>
      </c>
      <c r="AL986" s="13">
        <f t="shared" si="1972"/>
        <v>0</v>
      </c>
      <c r="AM986" s="13">
        <f t="shared" si="1972"/>
        <v>0</v>
      </c>
      <c r="AN986" s="13">
        <f t="shared" si="1972"/>
        <v>0</v>
      </c>
      <c r="AO986" s="13">
        <f t="shared" si="1972"/>
        <v>0</v>
      </c>
      <c r="AP986" s="13">
        <f t="shared" si="1972"/>
        <v>0</v>
      </c>
      <c r="AQ986" s="13" t="s">
        <v>5809</v>
      </c>
      <c r="AR986" s="13"/>
      <c r="AS986" s="13" t="s">
        <v>5810</v>
      </c>
      <c r="AT986" s="13"/>
      <c r="AU986" s="13"/>
      <c r="AV986" s="13"/>
      <c r="AW986" s="13">
        <v>0.0</v>
      </c>
      <c r="AX986" s="13">
        <v>19.0</v>
      </c>
      <c r="AY986" s="13">
        <v>0.0</v>
      </c>
      <c r="AZ986" s="13"/>
      <c r="BA986" s="13"/>
      <c r="BB986" s="13"/>
      <c r="BC986" s="13"/>
      <c r="BD986" s="13"/>
      <c r="BE986" s="13"/>
      <c r="BF986" s="13"/>
      <c r="BG986" s="13"/>
      <c r="BH986" s="13" t="s">
        <v>79</v>
      </c>
      <c r="BI986" s="13" t="b">
        <v>0</v>
      </c>
      <c r="BJ986" s="13">
        <v>0.0</v>
      </c>
      <c r="BK986" s="13">
        <v>0.0</v>
      </c>
    </row>
    <row r="987" ht="14.25" customHeight="1">
      <c r="A987" s="13">
        <v>985.0</v>
      </c>
      <c r="B987" s="13" t="s">
        <v>47</v>
      </c>
      <c r="C987" s="13">
        <v>4.0</v>
      </c>
      <c r="D987" s="14">
        <v>0.0</v>
      </c>
      <c r="E987" s="13" t="s">
        <v>5811</v>
      </c>
      <c r="F987" s="15" t="s">
        <v>418</v>
      </c>
      <c r="G987" s="16" t="s">
        <v>5812</v>
      </c>
      <c r="H987" s="13">
        <v>21.0</v>
      </c>
      <c r="I987" s="13">
        <v>1.0</v>
      </c>
      <c r="J987" s="13" t="s">
        <v>1957</v>
      </c>
      <c r="K987" s="13">
        <f t="shared" si="3"/>
        <v>2</v>
      </c>
      <c r="L987" s="13">
        <f t="shared" si="4"/>
        <v>2</v>
      </c>
      <c r="M987" s="13">
        <f t="shared" ref="M987:AA987" si="1973">IFERROR(VALUE(RIGHT(LEFT($J987,FIND(M$1,$J987,1)+LEN(M$1)),1)),0)</f>
        <v>0</v>
      </c>
      <c r="N987" s="13">
        <f t="shared" si="1973"/>
        <v>0</v>
      </c>
      <c r="O987" s="13">
        <f t="shared" si="1973"/>
        <v>0</v>
      </c>
      <c r="P987" s="13">
        <f t="shared" si="1973"/>
        <v>0</v>
      </c>
      <c r="Q987" s="13">
        <f t="shared" si="1973"/>
        <v>0</v>
      </c>
      <c r="R987" s="13">
        <f t="shared" si="1973"/>
        <v>0</v>
      </c>
      <c r="S987" s="13">
        <f t="shared" si="1973"/>
        <v>0</v>
      </c>
      <c r="T987" s="13">
        <f t="shared" si="1973"/>
        <v>0</v>
      </c>
      <c r="U987" s="13">
        <f t="shared" si="1973"/>
        <v>0</v>
      </c>
      <c r="V987" s="13">
        <f t="shared" si="1973"/>
        <v>2</v>
      </c>
      <c r="W987" s="13">
        <f t="shared" si="1973"/>
        <v>0</v>
      </c>
      <c r="X987" s="13">
        <f t="shared" si="1973"/>
        <v>0</v>
      </c>
      <c r="Y987" s="13">
        <f t="shared" si="1973"/>
        <v>0</v>
      </c>
      <c r="Z987" s="13">
        <f t="shared" si="1973"/>
        <v>0</v>
      </c>
      <c r="AA987" s="13">
        <f t="shared" si="1973"/>
        <v>0</v>
      </c>
      <c r="AB987" s="13">
        <f t="shared" ref="AB987:AP987" si="1974">IFERROR(VALUE(RIGHT(LEFT($J987,FIND(AB$1,$J987,IF(M987=0,1,FIND(AB$1,$J987,1)+1))+LEN(AB$1)),1)),0)</f>
        <v>1</v>
      </c>
      <c r="AC987" s="13">
        <f t="shared" si="1974"/>
        <v>0</v>
      </c>
      <c r="AD987" s="13">
        <f t="shared" si="1974"/>
        <v>0</v>
      </c>
      <c r="AE987" s="13">
        <f t="shared" si="1974"/>
        <v>0</v>
      </c>
      <c r="AF987" s="13">
        <f t="shared" si="1974"/>
        <v>0</v>
      </c>
      <c r="AG987" s="13">
        <f t="shared" si="1974"/>
        <v>0</v>
      </c>
      <c r="AH987" s="13">
        <f t="shared" si="1974"/>
        <v>0</v>
      </c>
      <c r="AI987" s="13">
        <f t="shared" si="1974"/>
        <v>0</v>
      </c>
      <c r="AJ987" s="13">
        <f t="shared" si="1974"/>
        <v>0</v>
      </c>
      <c r="AK987" s="13">
        <f t="shared" si="1974"/>
        <v>1</v>
      </c>
      <c r="AL987" s="13">
        <f t="shared" si="1974"/>
        <v>0</v>
      </c>
      <c r="AM987" s="13">
        <f t="shared" si="1974"/>
        <v>0</v>
      </c>
      <c r="AN987" s="13">
        <f t="shared" si="1974"/>
        <v>0</v>
      </c>
      <c r="AO987" s="13">
        <f t="shared" si="1974"/>
        <v>0</v>
      </c>
      <c r="AP987" s="13">
        <f t="shared" si="1974"/>
        <v>0</v>
      </c>
      <c r="AQ987" s="13"/>
      <c r="AR987" s="13" t="s">
        <v>5813</v>
      </c>
      <c r="AS987" s="13" t="s">
        <v>5814</v>
      </c>
      <c r="AT987" s="13" t="s">
        <v>4760</v>
      </c>
      <c r="AU987" s="13" t="s">
        <v>4521</v>
      </c>
      <c r="AV987" s="13" t="s">
        <v>5815</v>
      </c>
      <c r="AW987" s="13">
        <v>25.0</v>
      </c>
      <c r="AX987" s="13">
        <v>19.0</v>
      </c>
      <c r="AY987" s="13">
        <v>0.0</v>
      </c>
      <c r="AZ987" s="13" t="s">
        <v>5816</v>
      </c>
      <c r="BA987" s="13" t="s">
        <v>5472</v>
      </c>
      <c r="BB987" s="13"/>
      <c r="BC987" s="13"/>
      <c r="BD987" s="13" t="s">
        <v>1113</v>
      </c>
      <c r="BE987" s="13"/>
      <c r="BF987" s="13" t="s">
        <v>5817</v>
      </c>
      <c r="BG987" s="13" t="s">
        <v>136</v>
      </c>
      <c r="BH987" s="13" t="s">
        <v>79</v>
      </c>
      <c r="BI987" s="13" t="b">
        <v>0</v>
      </c>
      <c r="BJ987" s="13">
        <v>0.0</v>
      </c>
      <c r="BK987" s="13">
        <v>0.0</v>
      </c>
    </row>
    <row r="988" ht="14.25" customHeight="1">
      <c r="A988" s="13">
        <v>986.0</v>
      </c>
      <c r="B988" s="13" t="s">
        <v>47</v>
      </c>
      <c r="C988" s="13">
        <v>4.0</v>
      </c>
      <c r="D988" s="14">
        <v>0.0</v>
      </c>
      <c r="E988" s="13" t="s">
        <v>5818</v>
      </c>
      <c r="F988" s="15" t="s">
        <v>418</v>
      </c>
      <c r="G988" s="16" t="s">
        <v>5819</v>
      </c>
      <c r="H988" s="13">
        <v>24.0</v>
      </c>
      <c r="I988" s="13">
        <v>1.1</v>
      </c>
      <c r="J988" s="13" t="s">
        <v>2908</v>
      </c>
      <c r="K988" s="13">
        <f t="shared" si="3"/>
        <v>2</v>
      </c>
      <c r="L988" s="13">
        <f t="shared" si="4"/>
        <v>2</v>
      </c>
      <c r="M988" s="13">
        <f t="shared" ref="M988:AA988" si="1975">IFERROR(VALUE(RIGHT(LEFT($J988,FIND(M$1,$J988,1)+LEN(M$1)),1)),0)</f>
        <v>0</v>
      </c>
      <c r="N988" s="13">
        <f t="shared" si="1975"/>
        <v>0</v>
      </c>
      <c r="O988" s="13">
        <f t="shared" si="1975"/>
        <v>0</v>
      </c>
      <c r="P988" s="13">
        <f t="shared" si="1975"/>
        <v>0</v>
      </c>
      <c r="Q988" s="13">
        <f t="shared" si="1975"/>
        <v>0</v>
      </c>
      <c r="R988" s="13">
        <f t="shared" si="1975"/>
        <v>2</v>
      </c>
      <c r="S988" s="13">
        <f t="shared" si="1975"/>
        <v>0</v>
      </c>
      <c r="T988" s="13">
        <f t="shared" si="1975"/>
        <v>0</v>
      </c>
      <c r="U988" s="13">
        <f t="shared" si="1975"/>
        <v>0</v>
      </c>
      <c r="V988" s="13">
        <f t="shared" si="1975"/>
        <v>0</v>
      </c>
      <c r="W988" s="13">
        <f t="shared" si="1975"/>
        <v>0</v>
      </c>
      <c r="X988" s="13">
        <f t="shared" si="1975"/>
        <v>0</v>
      </c>
      <c r="Y988" s="13">
        <f t="shared" si="1975"/>
        <v>0</v>
      </c>
      <c r="Z988" s="13">
        <f t="shared" si="1975"/>
        <v>0</v>
      </c>
      <c r="AA988" s="13">
        <f t="shared" si="1975"/>
        <v>0</v>
      </c>
      <c r="AB988" s="13">
        <f t="shared" ref="AB988:AP988" si="1976">IFERROR(VALUE(RIGHT(LEFT($J988,FIND(AB$1,$J988,IF(M988=0,1,FIND(AB$1,$J988,1)+1))+LEN(AB$1)),1)),0)</f>
        <v>0</v>
      </c>
      <c r="AC988" s="13">
        <f t="shared" si="1976"/>
        <v>0</v>
      </c>
      <c r="AD988" s="13">
        <f t="shared" si="1976"/>
        <v>0</v>
      </c>
      <c r="AE988" s="13">
        <f t="shared" si="1976"/>
        <v>0</v>
      </c>
      <c r="AF988" s="13">
        <f t="shared" si="1976"/>
        <v>0</v>
      </c>
      <c r="AG988" s="13">
        <f t="shared" si="1976"/>
        <v>1</v>
      </c>
      <c r="AH988" s="13">
        <f t="shared" si="1976"/>
        <v>0</v>
      </c>
      <c r="AI988" s="13">
        <f t="shared" si="1976"/>
        <v>0</v>
      </c>
      <c r="AJ988" s="13">
        <f t="shared" si="1976"/>
        <v>0</v>
      </c>
      <c r="AK988" s="13">
        <f t="shared" si="1976"/>
        <v>1</v>
      </c>
      <c r="AL988" s="13">
        <f t="shared" si="1976"/>
        <v>0</v>
      </c>
      <c r="AM988" s="13">
        <f t="shared" si="1976"/>
        <v>0</v>
      </c>
      <c r="AN988" s="13">
        <f t="shared" si="1976"/>
        <v>0</v>
      </c>
      <c r="AO988" s="13">
        <f t="shared" si="1976"/>
        <v>0</v>
      </c>
      <c r="AP988" s="13">
        <f t="shared" si="1976"/>
        <v>0</v>
      </c>
      <c r="AQ988" s="13"/>
      <c r="AR988" s="13" t="s">
        <v>4324</v>
      </c>
      <c r="AS988" s="13" t="s">
        <v>5820</v>
      </c>
      <c r="AT988" s="13" t="s">
        <v>1350</v>
      </c>
      <c r="AU988" s="13" t="s">
        <v>130</v>
      </c>
      <c r="AV988" s="13" t="s">
        <v>5821</v>
      </c>
      <c r="AW988" s="13">
        <v>27.0</v>
      </c>
      <c r="AX988" s="13">
        <v>19.0</v>
      </c>
      <c r="AY988" s="13">
        <v>0.0</v>
      </c>
      <c r="AZ988" s="13" t="s">
        <v>2726</v>
      </c>
      <c r="BA988" s="13" t="s">
        <v>1657</v>
      </c>
      <c r="BB988" s="13"/>
      <c r="BC988" s="13"/>
      <c r="BD988" s="13" t="s">
        <v>484</v>
      </c>
      <c r="BE988" s="13"/>
      <c r="BF988" s="13" t="s">
        <v>5822</v>
      </c>
      <c r="BG988" s="13" t="s">
        <v>136</v>
      </c>
      <c r="BH988" s="13" t="s">
        <v>79</v>
      </c>
      <c r="BI988" s="13" t="b">
        <v>0</v>
      </c>
      <c r="BJ988" s="13">
        <v>0.0</v>
      </c>
      <c r="BK988" s="13">
        <v>0.0</v>
      </c>
    </row>
    <row r="989" ht="14.25" customHeight="1">
      <c r="A989" s="13">
        <v>987.0</v>
      </c>
      <c r="B989" s="13" t="s">
        <v>48</v>
      </c>
      <c r="C989" s="13">
        <v>4.0</v>
      </c>
      <c r="D989" s="14">
        <v>0.0</v>
      </c>
      <c r="E989" s="13" t="s">
        <v>5823</v>
      </c>
      <c r="F989" s="15" t="s">
        <v>418</v>
      </c>
      <c r="G989" s="16" t="s">
        <v>5824</v>
      </c>
      <c r="H989" s="13">
        <v>19.0</v>
      </c>
      <c r="I989" s="13">
        <v>0.9</v>
      </c>
      <c r="J989" s="13" t="s">
        <v>4885</v>
      </c>
      <c r="K989" s="13">
        <f t="shared" si="3"/>
        <v>2</v>
      </c>
      <c r="L989" s="13">
        <f t="shared" si="4"/>
        <v>2</v>
      </c>
      <c r="M989" s="13">
        <f t="shared" ref="M989:AA989" si="1977">IFERROR(VALUE(RIGHT(LEFT($J989,FIND(M$1,$J989,1)+LEN(M$1)),1)),0)</f>
        <v>0</v>
      </c>
      <c r="N989" s="13">
        <f t="shared" si="1977"/>
        <v>2</v>
      </c>
      <c r="O989" s="13">
        <f t="shared" si="1977"/>
        <v>0</v>
      </c>
      <c r="P989" s="13">
        <f t="shared" si="1977"/>
        <v>0</v>
      </c>
      <c r="Q989" s="13">
        <f t="shared" si="1977"/>
        <v>0</v>
      </c>
      <c r="R989" s="13">
        <f t="shared" si="1977"/>
        <v>0</v>
      </c>
      <c r="S989" s="13">
        <f t="shared" si="1977"/>
        <v>0</v>
      </c>
      <c r="T989" s="13">
        <f t="shared" si="1977"/>
        <v>0</v>
      </c>
      <c r="U989" s="13">
        <f t="shared" si="1977"/>
        <v>0</v>
      </c>
      <c r="V989" s="13">
        <f t="shared" si="1977"/>
        <v>0</v>
      </c>
      <c r="W989" s="13">
        <f t="shared" si="1977"/>
        <v>0</v>
      </c>
      <c r="X989" s="13">
        <f t="shared" si="1977"/>
        <v>0</v>
      </c>
      <c r="Y989" s="13">
        <f t="shared" si="1977"/>
        <v>0</v>
      </c>
      <c r="Z989" s="13">
        <f t="shared" si="1977"/>
        <v>0</v>
      </c>
      <c r="AA989" s="13">
        <f t="shared" si="1977"/>
        <v>0</v>
      </c>
      <c r="AB989" s="13">
        <f t="shared" ref="AB989:AP989" si="1978">IFERROR(VALUE(RIGHT(LEFT($J989,FIND(AB$1,$J989,IF(M989=0,1,FIND(AB$1,$J989,1)+1))+LEN(AB$1)),1)),0)</f>
        <v>0</v>
      </c>
      <c r="AC989" s="13">
        <f t="shared" si="1978"/>
        <v>1</v>
      </c>
      <c r="AD989" s="13">
        <f t="shared" si="1978"/>
        <v>0</v>
      </c>
      <c r="AE989" s="13">
        <f t="shared" si="1978"/>
        <v>0</v>
      </c>
      <c r="AF989" s="13">
        <f t="shared" si="1978"/>
        <v>0</v>
      </c>
      <c r="AG989" s="13">
        <f t="shared" si="1978"/>
        <v>0</v>
      </c>
      <c r="AH989" s="13">
        <f t="shared" si="1978"/>
        <v>0</v>
      </c>
      <c r="AI989" s="13">
        <f t="shared" si="1978"/>
        <v>0</v>
      </c>
      <c r="AJ989" s="13">
        <f t="shared" si="1978"/>
        <v>0</v>
      </c>
      <c r="AK989" s="13">
        <f t="shared" si="1978"/>
        <v>0</v>
      </c>
      <c r="AL989" s="13">
        <f t="shared" si="1978"/>
        <v>1</v>
      </c>
      <c r="AM989" s="13">
        <f t="shared" si="1978"/>
        <v>0</v>
      </c>
      <c r="AN989" s="13">
        <f t="shared" si="1978"/>
        <v>0</v>
      </c>
      <c r="AO989" s="13">
        <f t="shared" si="1978"/>
        <v>0</v>
      </c>
      <c r="AP989" s="13">
        <f t="shared" si="1978"/>
        <v>0</v>
      </c>
      <c r="AQ989" s="13"/>
      <c r="AR989" s="13" t="s">
        <v>4854</v>
      </c>
      <c r="AS989" s="13" t="s">
        <v>5825</v>
      </c>
      <c r="AT989" s="13" t="s">
        <v>1221</v>
      </c>
      <c r="AU989" s="13" t="s">
        <v>143</v>
      </c>
      <c r="AV989" s="13" t="s">
        <v>5826</v>
      </c>
      <c r="AW989" s="13">
        <v>23.0</v>
      </c>
      <c r="AX989" s="13">
        <v>19.0</v>
      </c>
      <c r="AY989" s="13">
        <v>0.0</v>
      </c>
      <c r="AZ989" s="13" t="s">
        <v>3713</v>
      </c>
      <c r="BA989" s="13" t="s">
        <v>5827</v>
      </c>
      <c r="BB989" s="13"/>
      <c r="BC989" s="13"/>
      <c r="BD989" s="13" t="s">
        <v>179</v>
      </c>
      <c r="BE989" s="13"/>
      <c r="BF989" s="13" t="s">
        <v>5828</v>
      </c>
      <c r="BG989" s="13" t="s">
        <v>169</v>
      </c>
      <c r="BH989" s="13" t="s">
        <v>79</v>
      </c>
      <c r="BI989" s="13" t="b">
        <v>0</v>
      </c>
      <c r="BJ989" s="13">
        <v>0.0</v>
      </c>
      <c r="BK989" s="13">
        <v>0.0</v>
      </c>
    </row>
    <row r="990" ht="14.25" customHeight="1">
      <c r="A990" s="13">
        <v>988.0</v>
      </c>
      <c r="B990" s="13" t="s">
        <v>48</v>
      </c>
      <c r="C990" s="13">
        <v>4.0</v>
      </c>
      <c r="D990" s="14">
        <v>0.0</v>
      </c>
      <c r="E990" s="13" t="s">
        <v>5829</v>
      </c>
      <c r="F990" s="15" t="s">
        <v>418</v>
      </c>
      <c r="G990" s="16" t="s">
        <v>5830</v>
      </c>
      <c r="H990" s="13">
        <v>22.0</v>
      </c>
      <c r="I990" s="13">
        <v>1.2</v>
      </c>
      <c r="J990" s="13" t="s">
        <v>1982</v>
      </c>
      <c r="K990" s="13">
        <f t="shared" si="3"/>
        <v>2</v>
      </c>
      <c r="L990" s="13">
        <f t="shared" si="4"/>
        <v>2</v>
      </c>
      <c r="M990" s="13">
        <f t="shared" ref="M990:AA990" si="1979">IFERROR(VALUE(RIGHT(LEFT($J990,FIND(M$1,$J990,1)+LEN(M$1)),1)),0)</f>
        <v>0</v>
      </c>
      <c r="N990" s="13">
        <f t="shared" si="1979"/>
        <v>0</v>
      </c>
      <c r="O990" s="13">
        <f t="shared" si="1979"/>
        <v>0</v>
      </c>
      <c r="P990" s="13">
        <f t="shared" si="1979"/>
        <v>0</v>
      </c>
      <c r="Q990" s="13">
        <f t="shared" si="1979"/>
        <v>0</v>
      </c>
      <c r="R990" s="13">
        <f t="shared" si="1979"/>
        <v>0</v>
      </c>
      <c r="S990" s="13">
        <f t="shared" si="1979"/>
        <v>0</v>
      </c>
      <c r="T990" s="13">
        <f t="shared" si="1979"/>
        <v>0</v>
      </c>
      <c r="U990" s="13">
        <f t="shared" si="1979"/>
        <v>0</v>
      </c>
      <c r="V990" s="13">
        <f t="shared" si="1979"/>
        <v>0</v>
      </c>
      <c r="W990" s="13">
        <f t="shared" si="1979"/>
        <v>2</v>
      </c>
      <c r="X990" s="13">
        <f t="shared" si="1979"/>
        <v>0</v>
      </c>
      <c r="Y990" s="13">
        <f t="shared" si="1979"/>
        <v>0</v>
      </c>
      <c r="Z990" s="13">
        <f t="shared" si="1979"/>
        <v>0</v>
      </c>
      <c r="AA990" s="13">
        <f t="shared" si="1979"/>
        <v>0</v>
      </c>
      <c r="AB990" s="13">
        <f t="shared" ref="AB990:AP990" si="1980">IFERROR(VALUE(RIGHT(LEFT($J990,FIND(AB$1,$J990,IF(M990=0,1,FIND(AB$1,$J990,1)+1))+LEN(AB$1)),1)),0)</f>
        <v>0</v>
      </c>
      <c r="AC990" s="13">
        <f t="shared" si="1980"/>
        <v>0</v>
      </c>
      <c r="AD990" s="13">
        <f t="shared" si="1980"/>
        <v>0</v>
      </c>
      <c r="AE990" s="13">
        <f t="shared" si="1980"/>
        <v>0</v>
      </c>
      <c r="AF990" s="13">
        <f t="shared" si="1980"/>
        <v>0</v>
      </c>
      <c r="AG990" s="13">
        <f t="shared" si="1980"/>
        <v>1</v>
      </c>
      <c r="AH990" s="13">
        <f t="shared" si="1980"/>
        <v>0</v>
      </c>
      <c r="AI990" s="13">
        <f t="shared" si="1980"/>
        <v>0</v>
      </c>
      <c r="AJ990" s="13">
        <f t="shared" si="1980"/>
        <v>0</v>
      </c>
      <c r="AK990" s="13">
        <f t="shared" si="1980"/>
        <v>0</v>
      </c>
      <c r="AL990" s="13">
        <f t="shared" si="1980"/>
        <v>1</v>
      </c>
      <c r="AM990" s="13">
        <f t="shared" si="1980"/>
        <v>0</v>
      </c>
      <c r="AN990" s="13">
        <f t="shared" si="1980"/>
        <v>0</v>
      </c>
      <c r="AO990" s="13">
        <f t="shared" si="1980"/>
        <v>0</v>
      </c>
      <c r="AP990" s="13">
        <f t="shared" si="1980"/>
        <v>0</v>
      </c>
      <c r="AQ990" s="13"/>
      <c r="AR990" s="13" t="s">
        <v>5831</v>
      </c>
      <c r="AS990" s="13" t="s">
        <v>5832</v>
      </c>
      <c r="AT990" s="13" t="s">
        <v>162</v>
      </c>
      <c r="AU990" s="13" t="s">
        <v>5833</v>
      </c>
      <c r="AV990" s="13" t="s">
        <v>5834</v>
      </c>
      <c r="AW990" s="13">
        <v>26.0</v>
      </c>
      <c r="AX990" s="13">
        <v>19.0</v>
      </c>
      <c r="AY990" s="13">
        <v>0.0</v>
      </c>
      <c r="AZ990" s="13" t="s">
        <v>5835</v>
      </c>
      <c r="BA990" s="13" t="s">
        <v>2841</v>
      </c>
      <c r="BB990" s="13"/>
      <c r="BC990" s="13"/>
      <c r="BD990" s="13" t="s">
        <v>188</v>
      </c>
      <c r="BE990" s="13"/>
      <c r="BF990" s="13" t="s">
        <v>5836</v>
      </c>
      <c r="BG990" s="13" t="s">
        <v>169</v>
      </c>
      <c r="BH990" s="13" t="s">
        <v>241</v>
      </c>
      <c r="BI990" s="13" t="b">
        <v>0</v>
      </c>
      <c r="BJ990" s="13">
        <v>0.0</v>
      </c>
      <c r="BK990" s="13">
        <v>0.0</v>
      </c>
    </row>
    <row r="991" ht="14.25" customHeight="1">
      <c r="A991" s="13">
        <v>989.0</v>
      </c>
      <c r="B991" s="13" t="s">
        <v>44</v>
      </c>
      <c r="C991" s="13">
        <v>5.0</v>
      </c>
      <c r="D991" s="14">
        <v>0.0</v>
      </c>
      <c r="E991" s="13" t="s">
        <v>5837</v>
      </c>
      <c r="F991" s="15" t="s">
        <v>418</v>
      </c>
      <c r="G991" s="16" t="s">
        <v>5838</v>
      </c>
      <c r="H991" s="13"/>
      <c r="I991" s="13">
        <v>1.3</v>
      </c>
      <c r="J991" s="13" t="s">
        <v>5839</v>
      </c>
      <c r="K991" s="13">
        <f t="shared" si="3"/>
        <v>3</v>
      </c>
      <c r="L991" s="13">
        <f t="shared" si="4"/>
        <v>2</v>
      </c>
      <c r="M991" s="13">
        <f t="shared" ref="M991:AA991" si="1981">IFERROR(VALUE(RIGHT(LEFT($J991,FIND(M$1,$J991,1)+LEN(M$1)),1)),0)</f>
        <v>0</v>
      </c>
      <c r="N991" s="13">
        <f t="shared" si="1981"/>
        <v>0</v>
      </c>
      <c r="O991" s="13">
        <f t="shared" si="1981"/>
        <v>0</v>
      </c>
      <c r="P991" s="13">
        <f t="shared" si="1981"/>
        <v>0</v>
      </c>
      <c r="Q991" s="13">
        <f t="shared" si="1981"/>
        <v>0</v>
      </c>
      <c r="R991" s="13">
        <f t="shared" si="1981"/>
        <v>1</v>
      </c>
      <c r="S991" s="13">
        <f t="shared" si="1981"/>
        <v>2</v>
      </c>
      <c r="T991" s="13">
        <f t="shared" si="1981"/>
        <v>0</v>
      </c>
      <c r="U991" s="13">
        <f t="shared" si="1981"/>
        <v>0</v>
      </c>
      <c r="V991" s="13">
        <f t="shared" si="1981"/>
        <v>0</v>
      </c>
      <c r="W991" s="13">
        <f t="shared" si="1981"/>
        <v>0</v>
      </c>
      <c r="X991" s="13">
        <f t="shared" si="1981"/>
        <v>0</v>
      </c>
      <c r="Y991" s="13">
        <f t="shared" si="1981"/>
        <v>0</v>
      </c>
      <c r="Z991" s="13">
        <f t="shared" si="1981"/>
        <v>0</v>
      </c>
      <c r="AA991" s="13">
        <f t="shared" si="1981"/>
        <v>0</v>
      </c>
      <c r="AB991" s="13">
        <f t="shared" ref="AB991:AP991" si="1982">IFERROR(VALUE(RIGHT(LEFT($J991,FIND(AB$1,$J991,IF(M991=0,1,FIND(AB$1,$J991,1)+1))+LEN(AB$1)),1)),0)</f>
        <v>0</v>
      </c>
      <c r="AC991" s="13">
        <f t="shared" si="1982"/>
        <v>0</v>
      </c>
      <c r="AD991" s="13">
        <f t="shared" si="1982"/>
        <v>0</v>
      </c>
      <c r="AE991" s="13">
        <f t="shared" si="1982"/>
        <v>0</v>
      </c>
      <c r="AF991" s="13">
        <f t="shared" si="1982"/>
        <v>0</v>
      </c>
      <c r="AG991" s="13">
        <f t="shared" si="1982"/>
        <v>1</v>
      </c>
      <c r="AH991" s="13">
        <f t="shared" si="1982"/>
        <v>1</v>
      </c>
      <c r="AI991" s="13">
        <f t="shared" si="1982"/>
        <v>0</v>
      </c>
      <c r="AJ991" s="13">
        <f t="shared" si="1982"/>
        <v>0</v>
      </c>
      <c r="AK991" s="13">
        <f t="shared" si="1982"/>
        <v>0</v>
      </c>
      <c r="AL991" s="13">
        <f t="shared" si="1982"/>
        <v>0</v>
      </c>
      <c r="AM991" s="13">
        <f t="shared" si="1982"/>
        <v>0</v>
      </c>
      <c r="AN991" s="13">
        <f t="shared" si="1982"/>
        <v>0</v>
      </c>
      <c r="AO991" s="13">
        <f t="shared" si="1982"/>
        <v>0</v>
      </c>
      <c r="AP991" s="13">
        <f t="shared" si="1982"/>
        <v>0</v>
      </c>
      <c r="AQ991" s="13" t="s">
        <v>5840</v>
      </c>
      <c r="AR991" s="13"/>
      <c r="AS991" s="13" t="s">
        <v>5841</v>
      </c>
      <c r="AT991" s="13"/>
      <c r="AU991" s="13"/>
      <c r="AV991" s="13"/>
      <c r="AW991" s="13">
        <v>0.0</v>
      </c>
      <c r="AX991" s="13">
        <v>19.0</v>
      </c>
      <c r="AY991" s="13">
        <v>0.0</v>
      </c>
      <c r="AZ991" s="13"/>
      <c r="BA991" s="13"/>
      <c r="BB991" s="13"/>
      <c r="BC991" s="13"/>
      <c r="BD991" s="13"/>
      <c r="BE991" s="13"/>
      <c r="BF991" s="13"/>
      <c r="BG991" s="13"/>
      <c r="BH991" s="13" t="s">
        <v>79</v>
      </c>
      <c r="BI991" s="13" t="b">
        <v>0</v>
      </c>
      <c r="BJ991" s="13">
        <v>0.0</v>
      </c>
      <c r="BK991" s="13">
        <v>0.0</v>
      </c>
    </row>
    <row r="992" ht="14.25" customHeight="1">
      <c r="A992" s="13">
        <v>990.0</v>
      </c>
      <c r="B992" s="13" t="s">
        <v>45</v>
      </c>
      <c r="C992" s="13">
        <v>5.0</v>
      </c>
      <c r="D992" s="14">
        <v>0.0</v>
      </c>
      <c r="E992" s="13" t="s">
        <v>5842</v>
      </c>
      <c r="F992" s="15" t="s">
        <v>418</v>
      </c>
      <c r="G992" s="16" t="s">
        <v>5843</v>
      </c>
      <c r="H992" s="13"/>
      <c r="I992" s="13">
        <v>1.2</v>
      </c>
      <c r="J992" s="13" t="s">
        <v>5844</v>
      </c>
      <c r="K992" s="13">
        <f t="shared" si="3"/>
        <v>3</v>
      </c>
      <c r="L992" s="13">
        <f t="shared" si="4"/>
        <v>2</v>
      </c>
      <c r="M992" s="13">
        <f t="shared" ref="M992:AA992" si="1983">IFERROR(VALUE(RIGHT(LEFT($J992,FIND(M$1,$J992,1)+LEN(M$1)),1)),0)</f>
        <v>0</v>
      </c>
      <c r="N992" s="13">
        <f t="shared" si="1983"/>
        <v>1</v>
      </c>
      <c r="O992" s="13">
        <f t="shared" si="1983"/>
        <v>0</v>
      </c>
      <c r="P992" s="13">
        <f t="shared" si="1983"/>
        <v>0</v>
      </c>
      <c r="Q992" s="13">
        <f t="shared" si="1983"/>
        <v>0</v>
      </c>
      <c r="R992" s="13">
        <f t="shared" si="1983"/>
        <v>0</v>
      </c>
      <c r="S992" s="13">
        <f t="shared" si="1983"/>
        <v>0</v>
      </c>
      <c r="T992" s="13">
        <f t="shared" si="1983"/>
        <v>2</v>
      </c>
      <c r="U992" s="13">
        <f t="shared" si="1983"/>
        <v>0</v>
      </c>
      <c r="V992" s="13">
        <f t="shared" si="1983"/>
        <v>0</v>
      </c>
      <c r="W992" s="13">
        <f t="shared" si="1983"/>
        <v>0</v>
      </c>
      <c r="X992" s="13">
        <f t="shared" si="1983"/>
        <v>0</v>
      </c>
      <c r="Y992" s="13">
        <f t="shared" si="1983"/>
        <v>0</v>
      </c>
      <c r="Z992" s="13">
        <f t="shared" si="1983"/>
        <v>0</v>
      </c>
      <c r="AA992" s="13">
        <f t="shared" si="1983"/>
        <v>0</v>
      </c>
      <c r="AB992" s="13">
        <f t="shared" ref="AB992:AP992" si="1984">IFERROR(VALUE(RIGHT(LEFT($J992,FIND(AB$1,$J992,IF(M992=0,1,FIND(AB$1,$J992,1)+1))+LEN(AB$1)),1)),0)</f>
        <v>0</v>
      </c>
      <c r="AC992" s="13">
        <f t="shared" si="1984"/>
        <v>1</v>
      </c>
      <c r="AD992" s="13">
        <f t="shared" si="1984"/>
        <v>0</v>
      </c>
      <c r="AE992" s="13">
        <f t="shared" si="1984"/>
        <v>0</v>
      </c>
      <c r="AF992" s="13">
        <f t="shared" si="1984"/>
        <v>0</v>
      </c>
      <c r="AG992" s="13">
        <f t="shared" si="1984"/>
        <v>0</v>
      </c>
      <c r="AH992" s="13">
        <f t="shared" si="1984"/>
        <v>0</v>
      </c>
      <c r="AI992" s="13">
        <f t="shared" si="1984"/>
        <v>1</v>
      </c>
      <c r="AJ992" s="13">
        <f t="shared" si="1984"/>
        <v>0</v>
      </c>
      <c r="AK992" s="13">
        <f t="shared" si="1984"/>
        <v>0</v>
      </c>
      <c r="AL992" s="13">
        <f t="shared" si="1984"/>
        <v>0</v>
      </c>
      <c r="AM992" s="13">
        <f t="shared" si="1984"/>
        <v>0</v>
      </c>
      <c r="AN992" s="13">
        <f t="shared" si="1984"/>
        <v>0</v>
      </c>
      <c r="AO992" s="13">
        <f t="shared" si="1984"/>
        <v>0</v>
      </c>
      <c r="AP992" s="13">
        <f t="shared" si="1984"/>
        <v>0</v>
      </c>
      <c r="AQ992" s="13" t="s">
        <v>5845</v>
      </c>
      <c r="AR992" s="13"/>
      <c r="AS992" s="13" t="s">
        <v>5846</v>
      </c>
      <c r="AT992" s="13"/>
      <c r="AU992" s="13"/>
      <c r="AV992" s="13"/>
      <c r="AW992" s="13">
        <v>0.0</v>
      </c>
      <c r="AX992" s="13">
        <v>19.0</v>
      </c>
      <c r="AY992" s="13">
        <v>0.0</v>
      </c>
      <c r="AZ992" s="13"/>
      <c r="BA992" s="13"/>
      <c r="BB992" s="13"/>
      <c r="BC992" s="13"/>
      <c r="BD992" s="13"/>
      <c r="BE992" s="13"/>
      <c r="BF992" s="13"/>
      <c r="BG992" s="13"/>
      <c r="BH992" s="13" t="s">
        <v>79</v>
      </c>
      <c r="BI992" s="13" t="b">
        <v>0</v>
      </c>
      <c r="BJ992" s="13">
        <v>0.0</v>
      </c>
      <c r="BK992" s="13">
        <v>0.0</v>
      </c>
    </row>
    <row r="993" ht="14.25" customHeight="1">
      <c r="A993" s="13">
        <v>991.0</v>
      </c>
      <c r="B993" s="13" t="s">
        <v>47</v>
      </c>
      <c r="C993" s="13">
        <v>5.0</v>
      </c>
      <c r="D993" s="14">
        <v>0.0</v>
      </c>
      <c r="E993" s="13" t="s">
        <v>5847</v>
      </c>
      <c r="F993" s="15" t="s">
        <v>418</v>
      </c>
      <c r="G993" s="16" t="s">
        <v>5848</v>
      </c>
      <c r="H993" s="13">
        <v>23.0</v>
      </c>
      <c r="I993" s="13">
        <v>1.0</v>
      </c>
      <c r="J993" s="13" t="s">
        <v>5849</v>
      </c>
      <c r="K993" s="13">
        <f t="shared" si="3"/>
        <v>3</v>
      </c>
      <c r="L993" s="13">
        <f t="shared" si="4"/>
        <v>2</v>
      </c>
      <c r="M993" s="13">
        <f t="shared" ref="M993:AA993" si="1985">IFERROR(VALUE(RIGHT(LEFT($J993,FIND(M$1,$J993,1)+LEN(M$1)),1)),0)</f>
        <v>0</v>
      </c>
      <c r="N993" s="13">
        <f t="shared" si="1985"/>
        <v>0</v>
      </c>
      <c r="O993" s="13">
        <f t="shared" si="1985"/>
        <v>0</v>
      </c>
      <c r="P993" s="13">
        <f t="shared" si="1985"/>
        <v>0</v>
      </c>
      <c r="Q993" s="13">
        <f t="shared" si="1985"/>
        <v>0</v>
      </c>
      <c r="R993" s="13">
        <f t="shared" si="1985"/>
        <v>2</v>
      </c>
      <c r="S993" s="13">
        <f t="shared" si="1985"/>
        <v>0</v>
      </c>
      <c r="T993" s="13">
        <f t="shared" si="1985"/>
        <v>0</v>
      </c>
      <c r="U993" s="13">
        <f t="shared" si="1985"/>
        <v>0</v>
      </c>
      <c r="V993" s="13">
        <f t="shared" si="1985"/>
        <v>1</v>
      </c>
      <c r="W993" s="13">
        <f t="shared" si="1985"/>
        <v>0</v>
      </c>
      <c r="X993" s="13">
        <f t="shared" si="1985"/>
        <v>0</v>
      </c>
      <c r="Y993" s="13">
        <f t="shared" si="1985"/>
        <v>0</v>
      </c>
      <c r="Z993" s="13">
        <f t="shared" si="1985"/>
        <v>0</v>
      </c>
      <c r="AA993" s="13">
        <f t="shared" si="1985"/>
        <v>0</v>
      </c>
      <c r="AB993" s="13">
        <f t="shared" ref="AB993:AP993" si="1986">IFERROR(VALUE(RIGHT(LEFT($J993,FIND(AB$1,$J993,IF(M993=0,1,FIND(AB$1,$J993,1)+1))+LEN(AB$1)),1)),0)</f>
        <v>0</v>
      </c>
      <c r="AC993" s="13">
        <f t="shared" si="1986"/>
        <v>0</v>
      </c>
      <c r="AD993" s="13">
        <f t="shared" si="1986"/>
        <v>0</v>
      </c>
      <c r="AE993" s="13">
        <f t="shared" si="1986"/>
        <v>0</v>
      </c>
      <c r="AF993" s="13">
        <f t="shared" si="1986"/>
        <v>0</v>
      </c>
      <c r="AG993" s="13">
        <f t="shared" si="1986"/>
        <v>1</v>
      </c>
      <c r="AH993" s="13">
        <f t="shared" si="1986"/>
        <v>0</v>
      </c>
      <c r="AI993" s="13">
        <f t="shared" si="1986"/>
        <v>0</v>
      </c>
      <c r="AJ993" s="13">
        <f t="shared" si="1986"/>
        <v>0</v>
      </c>
      <c r="AK993" s="13">
        <f t="shared" si="1986"/>
        <v>1</v>
      </c>
      <c r="AL993" s="13">
        <f t="shared" si="1986"/>
        <v>0</v>
      </c>
      <c r="AM993" s="13">
        <f t="shared" si="1986"/>
        <v>0</v>
      </c>
      <c r="AN993" s="13">
        <f t="shared" si="1986"/>
        <v>0</v>
      </c>
      <c r="AO993" s="13">
        <f t="shared" si="1986"/>
        <v>0</v>
      </c>
      <c r="AP993" s="13">
        <f t="shared" si="1986"/>
        <v>0</v>
      </c>
      <c r="AQ993" s="13"/>
      <c r="AR993" s="13" t="s">
        <v>5850</v>
      </c>
      <c r="AS993" s="13" t="s">
        <v>5851</v>
      </c>
      <c r="AT993" s="13" t="s">
        <v>2382</v>
      </c>
      <c r="AU993" s="13" t="s">
        <v>803</v>
      </c>
      <c r="AV993" s="13" t="s">
        <v>5852</v>
      </c>
      <c r="AW993" s="13">
        <v>31.0</v>
      </c>
      <c r="AX993" s="13">
        <v>19.0</v>
      </c>
      <c r="AY993" s="13">
        <v>0.0</v>
      </c>
      <c r="AZ993" s="13" t="s">
        <v>5853</v>
      </c>
      <c r="BA993" s="13" t="s">
        <v>5854</v>
      </c>
      <c r="BB993" s="13"/>
      <c r="BC993" s="13"/>
      <c r="BD993" s="13" t="s">
        <v>484</v>
      </c>
      <c r="BE993" s="13"/>
      <c r="BF993" s="13" t="s">
        <v>5855</v>
      </c>
      <c r="BG993" s="13" t="s">
        <v>136</v>
      </c>
      <c r="BH993" s="13" t="s">
        <v>241</v>
      </c>
      <c r="BI993" s="13" t="b">
        <v>0</v>
      </c>
      <c r="BJ993" s="13">
        <v>0.0</v>
      </c>
      <c r="BK993" s="13">
        <v>0.0</v>
      </c>
    </row>
    <row r="994" ht="14.25" customHeight="1">
      <c r="A994" s="13">
        <v>992.0</v>
      </c>
      <c r="B994" s="13" t="s">
        <v>46</v>
      </c>
      <c r="C994" s="13">
        <v>5.0</v>
      </c>
      <c r="D994" s="14">
        <v>0.0</v>
      </c>
      <c r="E994" s="13" t="s">
        <v>5856</v>
      </c>
      <c r="F994" s="15"/>
      <c r="G994" s="16" t="s">
        <v>5857</v>
      </c>
      <c r="H994" s="13"/>
      <c r="I994" s="13">
        <v>1.4</v>
      </c>
      <c r="J994" s="13" t="s">
        <v>5858</v>
      </c>
      <c r="K994" s="13">
        <f t="shared" si="3"/>
        <v>4</v>
      </c>
      <c r="L994" s="13">
        <f t="shared" si="4"/>
        <v>0</v>
      </c>
      <c r="M994" s="13">
        <f t="shared" ref="M994:AA994" si="1987">IFERROR(VALUE(RIGHT(LEFT($J994,FIND(M$1,$J994,1)+LEN(M$1)),1)),0)</f>
        <v>1</v>
      </c>
      <c r="N994" s="13">
        <f t="shared" si="1987"/>
        <v>0</v>
      </c>
      <c r="O994" s="13">
        <f t="shared" si="1987"/>
        <v>0</v>
      </c>
      <c r="P994" s="13">
        <f t="shared" si="1987"/>
        <v>1</v>
      </c>
      <c r="Q994" s="13">
        <f t="shared" si="1987"/>
        <v>2</v>
      </c>
      <c r="R994" s="13">
        <f t="shared" si="1987"/>
        <v>0</v>
      </c>
      <c r="S994" s="13">
        <f t="shared" si="1987"/>
        <v>0</v>
      </c>
      <c r="T994" s="13">
        <f t="shared" si="1987"/>
        <v>0</v>
      </c>
      <c r="U994" s="13">
        <f t="shared" si="1987"/>
        <v>0</v>
      </c>
      <c r="V994" s="13">
        <f t="shared" si="1987"/>
        <v>0</v>
      </c>
      <c r="W994" s="13">
        <f t="shared" si="1987"/>
        <v>0</v>
      </c>
      <c r="X994" s="13">
        <f t="shared" si="1987"/>
        <v>0</v>
      </c>
      <c r="Y994" s="13">
        <f t="shared" si="1987"/>
        <v>0</v>
      </c>
      <c r="Z994" s="13">
        <f t="shared" si="1987"/>
        <v>0</v>
      </c>
      <c r="AA994" s="13">
        <f t="shared" si="1987"/>
        <v>0</v>
      </c>
      <c r="AB994" s="13">
        <f t="shared" ref="AB994:AP994" si="1988">IFERROR(VALUE(RIGHT(LEFT($J994,FIND(AB$1,$J994,IF(M994=0,1,FIND(AB$1,$J994,1)+1))+LEN(AB$1)),1)),0)</f>
        <v>0</v>
      </c>
      <c r="AC994" s="13">
        <f t="shared" si="1988"/>
        <v>0</v>
      </c>
      <c r="AD994" s="13">
        <f t="shared" si="1988"/>
        <v>0</v>
      </c>
      <c r="AE994" s="13">
        <f t="shared" si="1988"/>
        <v>0</v>
      </c>
      <c r="AF994" s="13">
        <f t="shared" si="1988"/>
        <v>0</v>
      </c>
      <c r="AG994" s="13">
        <f t="shared" si="1988"/>
        <v>0</v>
      </c>
      <c r="AH994" s="13">
        <f t="shared" si="1988"/>
        <v>0</v>
      </c>
      <c r="AI994" s="13">
        <f t="shared" si="1988"/>
        <v>0</v>
      </c>
      <c r="AJ994" s="13">
        <f t="shared" si="1988"/>
        <v>0</v>
      </c>
      <c r="AK994" s="13">
        <f t="shared" si="1988"/>
        <v>0</v>
      </c>
      <c r="AL994" s="13">
        <f t="shared" si="1988"/>
        <v>0</v>
      </c>
      <c r="AM994" s="13">
        <f t="shared" si="1988"/>
        <v>0</v>
      </c>
      <c r="AN994" s="13">
        <f t="shared" si="1988"/>
        <v>0</v>
      </c>
      <c r="AO994" s="13">
        <f t="shared" si="1988"/>
        <v>0</v>
      </c>
      <c r="AP994" s="13">
        <f t="shared" si="1988"/>
        <v>0</v>
      </c>
      <c r="AQ994" s="13" t="s">
        <v>5859</v>
      </c>
      <c r="AR994" s="13"/>
      <c r="AS994" s="13" t="s">
        <v>5860</v>
      </c>
      <c r="AT994" s="13"/>
      <c r="AU994" s="13"/>
      <c r="AV994" s="13"/>
      <c r="AW994" s="13">
        <v>0.0</v>
      </c>
      <c r="AX994" s="13">
        <v>-1.0</v>
      </c>
      <c r="AY994" s="13">
        <v>0.0</v>
      </c>
      <c r="AZ994" s="13"/>
      <c r="BA994" s="13"/>
      <c r="BB994" s="13"/>
      <c r="BC994" s="13"/>
      <c r="BD994" s="13"/>
      <c r="BE994" s="13"/>
      <c r="BF994" s="13"/>
      <c r="BG994" s="13"/>
      <c r="BH994" s="13" t="s">
        <v>79</v>
      </c>
      <c r="BI994" s="13" t="b">
        <v>0</v>
      </c>
      <c r="BJ994" s="13">
        <v>0.0</v>
      </c>
      <c r="BK994" s="13">
        <v>1.0</v>
      </c>
    </row>
    <row r="995" ht="14.25" customHeight="1">
      <c r="A995" s="13">
        <v>993.0</v>
      </c>
      <c r="B995" s="13" t="s">
        <v>44</v>
      </c>
      <c r="C995" s="13">
        <v>4.0</v>
      </c>
      <c r="D995" s="14">
        <v>0.0</v>
      </c>
      <c r="E995" s="13" t="s">
        <v>5861</v>
      </c>
      <c r="F995" s="15"/>
      <c r="G995" s="16" t="s">
        <v>5862</v>
      </c>
      <c r="H995" s="13"/>
      <c r="I995" s="13">
        <v>2.0</v>
      </c>
      <c r="J995" s="13" t="s">
        <v>3101</v>
      </c>
      <c r="K995" s="13">
        <f t="shared" si="3"/>
        <v>3</v>
      </c>
      <c r="L995" s="13">
        <f t="shared" si="4"/>
        <v>0</v>
      </c>
      <c r="M995" s="13">
        <f t="shared" ref="M995:AA995" si="1989">IFERROR(VALUE(RIGHT(LEFT($J995,FIND(M$1,$J995,1)+LEN(M$1)),1)),0)</f>
        <v>1</v>
      </c>
      <c r="N995" s="13">
        <f t="shared" si="1989"/>
        <v>0</v>
      </c>
      <c r="O995" s="13">
        <f t="shared" si="1989"/>
        <v>0</v>
      </c>
      <c r="P995" s="13">
        <f t="shared" si="1989"/>
        <v>1</v>
      </c>
      <c r="Q995" s="13">
        <f t="shared" si="1989"/>
        <v>1</v>
      </c>
      <c r="R995" s="13">
        <f t="shared" si="1989"/>
        <v>0</v>
      </c>
      <c r="S995" s="13">
        <f t="shared" si="1989"/>
        <v>0</v>
      </c>
      <c r="T995" s="13">
        <f t="shared" si="1989"/>
        <v>0</v>
      </c>
      <c r="U995" s="13">
        <f t="shared" si="1989"/>
        <v>0</v>
      </c>
      <c r="V995" s="13">
        <f t="shared" si="1989"/>
        <v>0</v>
      </c>
      <c r="W995" s="13">
        <f t="shared" si="1989"/>
        <v>0</v>
      </c>
      <c r="X995" s="13">
        <f t="shared" si="1989"/>
        <v>0</v>
      </c>
      <c r="Y995" s="13">
        <f t="shared" si="1989"/>
        <v>0</v>
      </c>
      <c r="Z995" s="13">
        <f t="shared" si="1989"/>
        <v>0</v>
      </c>
      <c r="AA995" s="13">
        <f t="shared" si="1989"/>
        <v>0</v>
      </c>
      <c r="AB995" s="13">
        <f t="shared" ref="AB995:AP995" si="1990">IFERROR(VALUE(RIGHT(LEFT($J995,FIND(AB$1,$J995,IF(M995=0,1,FIND(AB$1,$J995,1)+1))+LEN(AB$1)),1)),0)</f>
        <v>0</v>
      </c>
      <c r="AC995" s="13">
        <f t="shared" si="1990"/>
        <v>0</v>
      </c>
      <c r="AD995" s="13">
        <f t="shared" si="1990"/>
        <v>0</v>
      </c>
      <c r="AE995" s="13">
        <f t="shared" si="1990"/>
        <v>0</v>
      </c>
      <c r="AF995" s="13">
        <f t="shared" si="1990"/>
        <v>0</v>
      </c>
      <c r="AG995" s="13">
        <f t="shared" si="1990"/>
        <v>0</v>
      </c>
      <c r="AH995" s="13">
        <f t="shared" si="1990"/>
        <v>0</v>
      </c>
      <c r="AI995" s="13">
        <f t="shared" si="1990"/>
        <v>0</v>
      </c>
      <c r="AJ995" s="13">
        <f t="shared" si="1990"/>
        <v>0</v>
      </c>
      <c r="AK995" s="13">
        <f t="shared" si="1990"/>
        <v>0</v>
      </c>
      <c r="AL995" s="13">
        <f t="shared" si="1990"/>
        <v>0</v>
      </c>
      <c r="AM995" s="13">
        <f t="shared" si="1990"/>
        <v>0</v>
      </c>
      <c r="AN995" s="13">
        <f t="shared" si="1990"/>
        <v>0</v>
      </c>
      <c r="AO995" s="13">
        <f t="shared" si="1990"/>
        <v>0</v>
      </c>
      <c r="AP995" s="13">
        <f t="shared" si="1990"/>
        <v>0</v>
      </c>
      <c r="AQ995" s="13" t="s">
        <v>5863</v>
      </c>
      <c r="AR995" s="13"/>
      <c r="AS995" s="13" t="s">
        <v>5864</v>
      </c>
      <c r="AT995" s="13"/>
      <c r="AU995" s="13"/>
      <c r="AV995" s="13"/>
      <c r="AW995" s="13">
        <v>0.0</v>
      </c>
      <c r="AX995" s="13">
        <v>-1.0</v>
      </c>
      <c r="AY995" s="13">
        <v>0.0</v>
      </c>
      <c r="AZ995" s="13"/>
      <c r="BA995" s="13"/>
      <c r="BB995" s="13"/>
      <c r="BC995" s="13"/>
      <c r="BD995" s="13"/>
      <c r="BE995" s="13"/>
      <c r="BF995" s="13"/>
      <c r="BG995" s="13"/>
      <c r="BH995" s="13" t="s">
        <v>79</v>
      </c>
      <c r="BI995" s="13" t="b">
        <v>0</v>
      </c>
      <c r="BJ995" s="13">
        <v>0.0</v>
      </c>
      <c r="BK995" s="13">
        <v>1.0</v>
      </c>
    </row>
    <row r="996" ht="14.25" customHeight="1">
      <c r="A996" s="13">
        <v>994.0</v>
      </c>
      <c r="B996" s="13" t="s">
        <v>44</v>
      </c>
      <c r="C996" s="13">
        <v>5.0</v>
      </c>
      <c r="D996" s="14">
        <v>0.0</v>
      </c>
      <c r="E996" s="13" t="s">
        <v>5865</v>
      </c>
      <c r="F996" s="15"/>
      <c r="G996" s="16" t="s">
        <v>5866</v>
      </c>
      <c r="H996" s="13"/>
      <c r="I996" s="13">
        <v>2.5</v>
      </c>
      <c r="J996" s="13" t="s">
        <v>5867</v>
      </c>
      <c r="K996" s="13">
        <f t="shared" si="3"/>
        <v>4</v>
      </c>
      <c r="L996" s="13">
        <f t="shared" si="4"/>
        <v>0</v>
      </c>
      <c r="M996" s="13">
        <f t="shared" ref="M996:AA996" si="1991">IFERROR(VALUE(RIGHT(LEFT($J996,FIND(M$1,$J996,1)+LEN(M$1)),1)),0)</f>
        <v>0</v>
      </c>
      <c r="N996" s="13">
        <f t="shared" si="1991"/>
        <v>0</v>
      </c>
      <c r="O996" s="13">
        <f t="shared" si="1991"/>
        <v>2</v>
      </c>
      <c r="P996" s="13">
        <f t="shared" si="1991"/>
        <v>1</v>
      </c>
      <c r="Q996" s="13">
        <f t="shared" si="1991"/>
        <v>0</v>
      </c>
      <c r="R996" s="13">
        <f t="shared" si="1991"/>
        <v>1</v>
      </c>
      <c r="S996" s="13">
        <f t="shared" si="1991"/>
        <v>0</v>
      </c>
      <c r="T996" s="13">
        <f t="shared" si="1991"/>
        <v>0</v>
      </c>
      <c r="U996" s="13">
        <f t="shared" si="1991"/>
        <v>0</v>
      </c>
      <c r="V996" s="13">
        <f t="shared" si="1991"/>
        <v>0</v>
      </c>
      <c r="W996" s="13">
        <f t="shared" si="1991"/>
        <v>0</v>
      </c>
      <c r="X996" s="13">
        <f t="shared" si="1991"/>
        <v>0</v>
      </c>
      <c r="Y996" s="13">
        <f t="shared" si="1991"/>
        <v>0</v>
      </c>
      <c r="Z996" s="13">
        <f t="shared" si="1991"/>
        <v>0</v>
      </c>
      <c r="AA996" s="13">
        <f t="shared" si="1991"/>
        <v>0</v>
      </c>
      <c r="AB996" s="13">
        <f t="shared" ref="AB996:AP996" si="1992">IFERROR(VALUE(RIGHT(LEFT($J996,FIND(AB$1,$J996,IF(M996=0,1,FIND(AB$1,$J996,1)+1))+LEN(AB$1)),1)),0)</f>
        <v>0</v>
      </c>
      <c r="AC996" s="13">
        <f t="shared" si="1992"/>
        <v>0</v>
      </c>
      <c r="AD996" s="13">
        <f t="shared" si="1992"/>
        <v>0</v>
      </c>
      <c r="AE996" s="13">
        <f t="shared" si="1992"/>
        <v>0</v>
      </c>
      <c r="AF996" s="13">
        <f t="shared" si="1992"/>
        <v>0</v>
      </c>
      <c r="AG996" s="13">
        <f t="shared" si="1992"/>
        <v>0</v>
      </c>
      <c r="AH996" s="13">
        <f t="shared" si="1992"/>
        <v>0</v>
      </c>
      <c r="AI996" s="13">
        <f t="shared" si="1992"/>
        <v>0</v>
      </c>
      <c r="AJ996" s="13">
        <f t="shared" si="1992"/>
        <v>0</v>
      </c>
      <c r="AK996" s="13">
        <f t="shared" si="1992"/>
        <v>0</v>
      </c>
      <c r="AL996" s="13">
        <f t="shared" si="1992"/>
        <v>0</v>
      </c>
      <c r="AM996" s="13">
        <f t="shared" si="1992"/>
        <v>0</v>
      </c>
      <c r="AN996" s="13">
        <f t="shared" si="1992"/>
        <v>0</v>
      </c>
      <c r="AO996" s="13">
        <f t="shared" si="1992"/>
        <v>0</v>
      </c>
      <c r="AP996" s="13">
        <f t="shared" si="1992"/>
        <v>0</v>
      </c>
      <c r="AQ996" s="13" t="s">
        <v>5868</v>
      </c>
      <c r="AR996" s="13"/>
      <c r="AS996" s="13" t="s">
        <v>5869</v>
      </c>
      <c r="AT996" s="13"/>
      <c r="AU996" s="13"/>
      <c r="AV996" s="13"/>
      <c r="AW996" s="13">
        <v>0.0</v>
      </c>
      <c r="AX996" s="13">
        <v>-1.0</v>
      </c>
      <c r="AY996" s="13">
        <v>0.0</v>
      </c>
      <c r="AZ996" s="13"/>
      <c r="BA996" s="13"/>
      <c r="BB996" s="13"/>
      <c r="BC996" s="13"/>
      <c r="BD996" s="13"/>
      <c r="BE996" s="13"/>
      <c r="BF996" s="13"/>
      <c r="BG996" s="13"/>
      <c r="BH996" s="13" t="s">
        <v>79</v>
      </c>
      <c r="BI996" s="13" t="b">
        <v>0</v>
      </c>
      <c r="BJ996" s="13">
        <v>0.0</v>
      </c>
      <c r="BK996" s="13">
        <v>1.0</v>
      </c>
    </row>
    <row r="997" ht="14.25" customHeight="1">
      <c r="A997" s="13">
        <v>995.0</v>
      </c>
      <c r="B997" s="13" t="s">
        <v>44</v>
      </c>
      <c r="C997" s="13">
        <v>5.0</v>
      </c>
      <c r="D997" s="14">
        <v>0.0</v>
      </c>
      <c r="E997" s="13" t="s">
        <v>5870</v>
      </c>
      <c r="F997" s="15"/>
      <c r="G997" s="16" t="s">
        <v>5871</v>
      </c>
      <c r="H997" s="13"/>
      <c r="I997" s="13">
        <v>3.0</v>
      </c>
      <c r="J997" s="13" t="s">
        <v>5872</v>
      </c>
      <c r="K997" s="13">
        <f t="shared" si="3"/>
        <v>6</v>
      </c>
      <c r="L997" s="13">
        <f t="shared" si="4"/>
        <v>0</v>
      </c>
      <c r="M997" s="13">
        <f t="shared" ref="M997:AA997" si="1993">IFERROR(VALUE(RIGHT(LEFT($J997,FIND(M$1,$J997,1)+LEN(M$1)),1)),0)</f>
        <v>1</v>
      </c>
      <c r="N997" s="13">
        <f t="shared" si="1993"/>
        <v>1</v>
      </c>
      <c r="O997" s="13">
        <f t="shared" si="1993"/>
        <v>1</v>
      </c>
      <c r="P997" s="13">
        <f t="shared" si="1993"/>
        <v>1</v>
      </c>
      <c r="Q997" s="13">
        <f t="shared" si="1993"/>
        <v>1</v>
      </c>
      <c r="R997" s="13">
        <f t="shared" si="1993"/>
        <v>1</v>
      </c>
      <c r="S997" s="13">
        <f t="shared" si="1993"/>
        <v>0</v>
      </c>
      <c r="T997" s="13">
        <f t="shared" si="1993"/>
        <v>0</v>
      </c>
      <c r="U997" s="13">
        <f t="shared" si="1993"/>
        <v>0</v>
      </c>
      <c r="V997" s="13">
        <f t="shared" si="1993"/>
        <v>0</v>
      </c>
      <c r="W997" s="13">
        <f t="shared" si="1993"/>
        <v>0</v>
      </c>
      <c r="X997" s="13">
        <f t="shared" si="1993"/>
        <v>0</v>
      </c>
      <c r="Y997" s="13">
        <f t="shared" si="1993"/>
        <v>0</v>
      </c>
      <c r="Z997" s="13">
        <f t="shared" si="1993"/>
        <v>0</v>
      </c>
      <c r="AA997" s="13">
        <f t="shared" si="1993"/>
        <v>0</v>
      </c>
      <c r="AB997" s="13">
        <f t="shared" ref="AB997:AP997" si="1994">IFERROR(VALUE(RIGHT(LEFT($J997,FIND(AB$1,$J997,IF(M997=0,1,FIND(AB$1,$J997,1)+1))+LEN(AB$1)),1)),0)</f>
        <v>0</v>
      </c>
      <c r="AC997" s="13">
        <f t="shared" si="1994"/>
        <v>0</v>
      </c>
      <c r="AD997" s="13">
        <f t="shared" si="1994"/>
        <v>0</v>
      </c>
      <c r="AE997" s="13">
        <f t="shared" si="1994"/>
        <v>0</v>
      </c>
      <c r="AF997" s="13">
        <f t="shared" si="1994"/>
        <v>0</v>
      </c>
      <c r="AG997" s="13">
        <f t="shared" si="1994"/>
        <v>0</v>
      </c>
      <c r="AH997" s="13">
        <f t="shared" si="1994"/>
        <v>0</v>
      </c>
      <c r="AI997" s="13">
        <f t="shared" si="1994"/>
        <v>0</v>
      </c>
      <c r="AJ997" s="13">
        <f t="shared" si="1994"/>
        <v>0</v>
      </c>
      <c r="AK997" s="13">
        <f t="shared" si="1994"/>
        <v>0</v>
      </c>
      <c r="AL997" s="13">
        <f t="shared" si="1994"/>
        <v>0</v>
      </c>
      <c r="AM997" s="13">
        <f t="shared" si="1994"/>
        <v>0</v>
      </c>
      <c r="AN997" s="13">
        <f t="shared" si="1994"/>
        <v>0</v>
      </c>
      <c r="AO997" s="13">
        <f t="shared" si="1994"/>
        <v>0</v>
      </c>
      <c r="AP997" s="13">
        <f t="shared" si="1994"/>
        <v>0</v>
      </c>
      <c r="AQ997" s="13" t="s">
        <v>5873</v>
      </c>
      <c r="AR997" s="13"/>
      <c r="AS997" s="13" t="s">
        <v>5874</v>
      </c>
      <c r="AT997" s="13"/>
      <c r="AU997" s="13"/>
      <c r="AV997" s="13"/>
      <c r="AW997" s="13">
        <v>0.0</v>
      </c>
      <c r="AX997" s="13">
        <v>-1.0</v>
      </c>
      <c r="AY997" s="13">
        <v>0.0</v>
      </c>
      <c r="AZ997" s="13"/>
      <c r="BA997" s="13"/>
      <c r="BB997" s="13"/>
      <c r="BC997" s="13"/>
      <c r="BD997" s="13"/>
      <c r="BE997" s="13"/>
      <c r="BF997" s="13"/>
      <c r="BG997" s="13"/>
      <c r="BH997" s="13" t="s">
        <v>79</v>
      </c>
      <c r="BI997" s="13" t="b">
        <v>0</v>
      </c>
      <c r="BJ997" s="13">
        <v>0.0</v>
      </c>
      <c r="BK997" s="13">
        <v>1.0</v>
      </c>
    </row>
    <row r="998" ht="14.25" customHeight="1">
      <c r="D998" s="17"/>
      <c r="F998" s="18"/>
      <c r="G998" s="18"/>
    </row>
    <row r="999" ht="14.25" customHeight="1">
      <c r="D999" s="17"/>
      <c r="F999" s="18"/>
      <c r="G999" s="18"/>
      <c r="K999" s="19" t="s">
        <v>21</v>
      </c>
      <c r="L999" s="19" t="s">
        <v>22</v>
      </c>
      <c r="M999" s="19" t="s">
        <v>23</v>
      </c>
      <c r="N999" s="19" t="s">
        <v>24</v>
      </c>
      <c r="O999" s="19" t="s">
        <v>25</v>
      </c>
      <c r="P999" s="19" t="s">
        <v>26</v>
      </c>
      <c r="Q999" s="19" t="s">
        <v>27</v>
      </c>
      <c r="R999" s="19" t="s">
        <v>28</v>
      </c>
      <c r="S999" s="19" t="s">
        <v>29</v>
      </c>
      <c r="T999" s="19" t="s">
        <v>30</v>
      </c>
      <c r="U999" s="19" t="s">
        <v>31</v>
      </c>
      <c r="V999" s="19" t="s">
        <v>32</v>
      </c>
      <c r="W999" s="19" t="s">
        <v>33</v>
      </c>
      <c r="X999" s="19" t="s">
        <v>34</v>
      </c>
      <c r="Y999" s="19" t="s">
        <v>35</v>
      </c>
      <c r="Z999" s="19" t="s">
        <v>36</v>
      </c>
      <c r="AA999" s="19" t="s">
        <v>37</v>
      </c>
      <c r="AB999" s="19" t="s">
        <v>38</v>
      </c>
      <c r="AC999" s="19" t="s">
        <v>39</v>
      </c>
      <c r="AD999" s="19" t="s">
        <v>40</v>
      </c>
      <c r="AE999" s="19" t="s">
        <v>41</v>
      </c>
      <c r="AF999" s="19" t="s">
        <v>42</v>
      </c>
      <c r="AG999" s="19" t="s">
        <v>43</v>
      </c>
      <c r="AH999" s="19" t="s">
        <v>44</v>
      </c>
      <c r="AI999" s="19" t="s">
        <v>45</v>
      </c>
      <c r="AJ999" s="19" t="s">
        <v>46</v>
      </c>
      <c r="AK999" s="19" t="s">
        <v>47</v>
      </c>
      <c r="AL999" s="19" t="s">
        <v>48</v>
      </c>
      <c r="AM999" s="19" t="s">
        <v>49</v>
      </c>
      <c r="AN999" s="19" t="s">
        <v>50</v>
      </c>
      <c r="AO999" s="19" t="s">
        <v>51</v>
      </c>
      <c r="AP999" s="19" t="s">
        <v>52</v>
      </c>
    </row>
    <row r="1000" ht="14.25" customHeight="1">
      <c r="D1000" s="20" t="s">
        <v>5875</v>
      </c>
      <c r="F1000" s="18"/>
      <c r="G1000" s="18"/>
      <c r="J1000" s="21" t="s">
        <v>5876</v>
      </c>
      <c r="K1000" s="22">
        <f t="shared" ref="K1000:AP1000" si="1995">SUMIFS(K2:K997,$D2:$D997,"&gt;0")</f>
        <v>0</v>
      </c>
      <c r="L1000" s="22">
        <f t="shared" si="1995"/>
        <v>0</v>
      </c>
      <c r="M1000" s="22">
        <f t="shared" si="1995"/>
        <v>0</v>
      </c>
      <c r="N1000" s="22">
        <f t="shared" si="1995"/>
        <v>0</v>
      </c>
      <c r="O1000" s="22">
        <f t="shared" si="1995"/>
        <v>0</v>
      </c>
      <c r="P1000" s="22">
        <f t="shared" si="1995"/>
        <v>0</v>
      </c>
      <c r="Q1000" s="22">
        <f t="shared" si="1995"/>
        <v>0</v>
      </c>
      <c r="R1000" s="22">
        <f t="shared" si="1995"/>
        <v>0</v>
      </c>
      <c r="S1000" s="22">
        <f t="shared" si="1995"/>
        <v>0</v>
      </c>
      <c r="T1000" s="22">
        <f t="shared" si="1995"/>
        <v>0</v>
      </c>
      <c r="U1000" s="22">
        <f t="shared" si="1995"/>
        <v>0</v>
      </c>
      <c r="V1000" s="22">
        <f t="shared" si="1995"/>
        <v>0</v>
      </c>
      <c r="W1000" s="22">
        <f t="shared" si="1995"/>
        <v>0</v>
      </c>
      <c r="X1000" s="22">
        <f t="shared" si="1995"/>
        <v>0</v>
      </c>
      <c r="Y1000" s="22">
        <f t="shared" si="1995"/>
        <v>0</v>
      </c>
      <c r="Z1000" s="22">
        <f t="shared" si="1995"/>
        <v>0</v>
      </c>
      <c r="AA1000" s="22">
        <f t="shared" si="1995"/>
        <v>0</v>
      </c>
      <c r="AB1000" s="22">
        <f t="shared" si="1995"/>
        <v>0</v>
      </c>
      <c r="AC1000" s="22">
        <f t="shared" si="1995"/>
        <v>0</v>
      </c>
      <c r="AD1000" s="22">
        <f t="shared" si="1995"/>
        <v>0</v>
      </c>
      <c r="AE1000" s="22">
        <f t="shared" si="1995"/>
        <v>0</v>
      </c>
      <c r="AF1000" s="22">
        <f t="shared" si="1995"/>
        <v>0</v>
      </c>
      <c r="AG1000" s="22">
        <f t="shared" si="1995"/>
        <v>0</v>
      </c>
      <c r="AH1000" s="22">
        <f t="shared" si="1995"/>
        <v>0</v>
      </c>
      <c r="AI1000" s="22">
        <f t="shared" si="1995"/>
        <v>0</v>
      </c>
      <c r="AJ1000" s="22">
        <f t="shared" si="1995"/>
        <v>0</v>
      </c>
      <c r="AK1000" s="22">
        <f t="shared" si="1995"/>
        <v>0</v>
      </c>
      <c r="AL1000" s="22">
        <f t="shared" si="1995"/>
        <v>0</v>
      </c>
      <c r="AM1000" s="22">
        <f t="shared" si="1995"/>
        <v>0</v>
      </c>
      <c r="AN1000" s="22">
        <f t="shared" si="1995"/>
        <v>0</v>
      </c>
      <c r="AO1000" s="22">
        <f t="shared" si="1995"/>
        <v>0</v>
      </c>
      <c r="AP1000" s="22">
        <f t="shared" si="1995"/>
        <v>0</v>
      </c>
    </row>
  </sheetData>
  <autoFilter ref="$A$1:$BK$997">
    <sortState ref="A1:BK997">
      <sortCondition ref="A1:A997"/>
      <sortCondition descending="1" ref="D1:D997"/>
    </sortState>
  </autoFilter>
  <conditionalFormatting sqref="A1:BK997">
    <cfRule type="expression" dxfId="0" priority="1">
      <formula>$D1=1</formula>
    </cfRule>
  </conditionalFormatting>
  <conditionalFormatting sqref="K1:AP1000">
    <cfRule type="cellIs" dxfId="1" priority="2" operator="equal">
      <formula>2</formula>
    </cfRule>
  </conditionalFormatting>
  <conditionalFormatting sqref="K1:AP1000">
    <cfRule type="cellIs" dxfId="2" priority="3" operator="between">
      <formula>3</formula>
      <formula>5</formula>
    </cfRule>
  </conditionalFormatting>
  <conditionalFormatting sqref="K1:AP1000">
    <cfRule type="cellIs" dxfId="3" priority="4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4.25" customHeight="1">
      <c r="A1" s="23" t="s">
        <v>11</v>
      </c>
      <c r="B1" s="23" t="s">
        <v>15</v>
      </c>
      <c r="C1" s="23" t="s">
        <v>5877</v>
      </c>
      <c r="D1" s="23" t="s">
        <v>5878</v>
      </c>
      <c r="E1" s="23" t="s">
        <v>5879</v>
      </c>
      <c r="F1" s="23" t="s">
        <v>13</v>
      </c>
      <c r="G1" s="23" t="s">
        <v>5880</v>
      </c>
      <c r="H1" s="23" t="s">
        <v>5881</v>
      </c>
      <c r="I1" s="23" t="s">
        <v>5882</v>
      </c>
      <c r="J1" s="23" t="s">
        <v>5883</v>
      </c>
      <c r="K1" s="23" t="s">
        <v>5884</v>
      </c>
      <c r="L1" s="23" t="s">
        <v>5885</v>
      </c>
      <c r="M1" s="23" t="s">
        <v>5886</v>
      </c>
      <c r="N1" s="23" t="s">
        <v>5887</v>
      </c>
      <c r="O1" s="23" t="s">
        <v>5888</v>
      </c>
      <c r="P1" s="23" t="s">
        <v>5889</v>
      </c>
      <c r="Q1" s="23" t="s">
        <v>73</v>
      </c>
      <c r="R1" s="23" t="s">
        <v>5890</v>
      </c>
      <c r="S1" s="23" t="s">
        <v>5891</v>
      </c>
      <c r="T1" s="23" t="s">
        <v>5892</v>
      </c>
      <c r="U1" s="23" t="s">
        <v>5893</v>
      </c>
      <c r="W1" s="24"/>
      <c r="X1" s="24"/>
      <c r="Z1" s="24"/>
      <c r="AA1" s="24"/>
    </row>
    <row r="2" ht="14.25" customHeight="1">
      <c r="A2" s="23">
        <v>1.0</v>
      </c>
      <c r="B2" s="23" t="s">
        <v>5894</v>
      </c>
      <c r="C2" s="23" t="s">
        <v>5895</v>
      </c>
      <c r="D2" s="23" t="s">
        <v>514</v>
      </c>
      <c r="E2" s="23" t="s">
        <v>5896</v>
      </c>
      <c r="F2" s="23" t="s">
        <v>5897</v>
      </c>
      <c r="G2" s="23">
        <v>-1.0</v>
      </c>
      <c r="H2" s="23" t="s">
        <v>5898</v>
      </c>
      <c r="I2" s="23" t="s">
        <v>5899</v>
      </c>
      <c r="J2" s="23">
        <v>38.0</v>
      </c>
      <c r="K2" s="23" t="s">
        <v>5900</v>
      </c>
      <c r="L2" s="23" t="s">
        <v>5901</v>
      </c>
      <c r="M2" s="23" t="s">
        <v>5902</v>
      </c>
      <c r="N2" s="23" t="s">
        <v>1700</v>
      </c>
      <c r="O2" s="23" t="s">
        <v>5903</v>
      </c>
      <c r="P2" s="23"/>
      <c r="Q2" s="23">
        <v>0.0</v>
      </c>
      <c r="R2" s="23">
        <v>0.0</v>
      </c>
      <c r="S2" s="23" t="s">
        <v>5904</v>
      </c>
      <c r="T2" s="23">
        <v>-1.0</v>
      </c>
      <c r="U2" s="23">
        <v>0.0</v>
      </c>
      <c r="Z2" s="24"/>
      <c r="AA2" s="24"/>
    </row>
    <row r="3" ht="14.25" customHeight="1">
      <c r="A3" s="23">
        <v>2.0</v>
      </c>
      <c r="B3" s="23" t="s">
        <v>5905</v>
      </c>
      <c r="C3" s="23" t="s">
        <v>5895</v>
      </c>
      <c r="D3" s="23" t="s">
        <v>5906</v>
      </c>
      <c r="E3" s="23" t="s">
        <v>514</v>
      </c>
      <c r="F3" s="23" t="s">
        <v>5907</v>
      </c>
      <c r="G3" s="23">
        <v>-1.0</v>
      </c>
      <c r="H3" s="23" t="s">
        <v>5908</v>
      </c>
      <c r="I3" s="23" t="s">
        <v>5909</v>
      </c>
      <c r="J3" s="23">
        <v>42.0</v>
      </c>
      <c r="K3" s="23" t="s">
        <v>5910</v>
      </c>
      <c r="L3" s="23" t="s">
        <v>5911</v>
      </c>
      <c r="M3" s="23"/>
      <c r="N3" s="23" t="s">
        <v>1168</v>
      </c>
      <c r="O3" s="23" t="s">
        <v>5912</v>
      </c>
      <c r="P3" s="23"/>
      <c r="Q3" s="23">
        <v>0.0</v>
      </c>
      <c r="R3" s="23">
        <v>1.0</v>
      </c>
      <c r="S3" s="23"/>
      <c r="T3" s="23">
        <v>-7.0</v>
      </c>
      <c r="U3" s="23">
        <v>0.0</v>
      </c>
      <c r="Z3" s="24"/>
      <c r="AA3" s="24"/>
    </row>
    <row r="4" ht="14.25" customHeight="1">
      <c r="A4" s="23">
        <v>3.0</v>
      </c>
      <c r="B4" s="23" t="s">
        <v>5913</v>
      </c>
      <c r="C4" s="23" t="s">
        <v>5895</v>
      </c>
      <c r="D4" s="23" t="s">
        <v>514</v>
      </c>
      <c r="E4" s="23" t="s">
        <v>5896</v>
      </c>
      <c r="F4" s="23" t="s">
        <v>5914</v>
      </c>
      <c r="G4" s="23">
        <v>-1.0</v>
      </c>
      <c r="H4" s="23" t="s">
        <v>5915</v>
      </c>
      <c r="I4" s="23" t="s">
        <v>5899</v>
      </c>
      <c r="J4" s="23">
        <v>27.0</v>
      </c>
      <c r="K4" s="23" t="s">
        <v>5916</v>
      </c>
      <c r="L4" s="23" t="s">
        <v>5917</v>
      </c>
      <c r="M4" s="23" t="s">
        <v>5918</v>
      </c>
      <c r="N4" s="23"/>
      <c r="O4" s="23" t="s">
        <v>5919</v>
      </c>
      <c r="P4" s="23"/>
      <c r="Q4" s="23">
        <v>0.0</v>
      </c>
      <c r="R4" s="23">
        <v>0.0</v>
      </c>
      <c r="S4" s="23"/>
      <c r="T4" s="23">
        <v>-1.0</v>
      </c>
      <c r="U4" s="23">
        <v>1.0</v>
      </c>
      <c r="V4" s="25"/>
    </row>
    <row r="5" ht="14.25" customHeight="1">
      <c r="A5" s="23">
        <v>4.0</v>
      </c>
      <c r="B5" s="23" t="s">
        <v>5920</v>
      </c>
      <c r="C5" s="23" t="s">
        <v>5921</v>
      </c>
      <c r="D5" s="23" t="s">
        <v>514</v>
      </c>
      <c r="E5" s="23" t="s">
        <v>5896</v>
      </c>
      <c r="F5" s="23" t="s">
        <v>5922</v>
      </c>
      <c r="G5" s="23">
        <v>-1.0</v>
      </c>
      <c r="H5" s="23" t="s">
        <v>5923</v>
      </c>
      <c r="I5" s="23" t="s">
        <v>5924</v>
      </c>
      <c r="J5" s="23">
        <v>21.0</v>
      </c>
      <c r="K5" s="23" t="s">
        <v>5925</v>
      </c>
      <c r="L5" s="23" t="s">
        <v>5926</v>
      </c>
      <c r="M5" s="23" t="s">
        <v>5927</v>
      </c>
      <c r="N5" s="23"/>
      <c r="O5" s="23" t="s">
        <v>5928</v>
      </c>
      <c r="P5" s="23"/>
      <c r="Q5" s="23">
        <v>0.0</v>
      </c>
      <c r="R5" s="23">
        <v>0.0</v>
      </c>
      <c r="S5" s="23"/>
      <c r="T5" s="23">
        <v>-7.0</v>
      </c>
      <c r="U5" s="23">
        <v>1.0</v>
      </c>
    </row>
    <row r="6" ht="14.25" customHeight="1">
      <c r="A6" s="23">
        <v>5.0</v>
      </c>
      <c r="B6" s="23" t="s">
        <v>5929</v>
      </c>
      <c r="C6" s="23" t="s">
        <v>5895</v>
      </c>
      <c r="D6" s="23" t="s">
        <v>514</v>
      </c>
      <c r="E6" s="23" t="s">
        <v>5896</v>
      </c>
      <c r="F6" s="23" t="s">
        <v>5922</v>
      </c>
      <c r="G6" s="23">
        <v>-1.0</v>
      </c>
      <c r="H6" s="23" t="s">
        <v>5930</v>
      </c>
      <c r="I6" s="23" t="s">
        <v>5931</v>
      </c>
      <c r="J6" s="23">
        <v>24.0</v>
      </c>
      <c r="K6" s="23" t="s">
        <v>5932</v>
      </c>
      <c r="L6" s="23" t="s">
        <v>5933</v>
      </c>
      <c r="M6" s="23" t="s">
        <v>5934</v>
      </c>
      <c r="N6" s="23"/>
      <c r="O6" s="23" t="s">
        <v>5935</v>
      </c>
      <c r="P6" s="23"/>
      <c r="Q6" s="23">
        <v>0.0</v>
      </c>
      <c r="R6" s="23">
        <v>0.0</v>
      </c>
      <c r="S6" s="23"/>
      <c r="T6" s="23">
        <v>-6.0</v>
      </c>
      <c r="U6" s="23">
        <v>1.0</v>
      </c>
    </row>
    <row r="7" ht="14.25" customHeight="1">
      <c r="A7" s="23">
        <v>6.0</v>
      </c>
      <c r="B7" s="23" t="s">
        <v>5936</v>
      </c>
      <c r="C7" s="23" t="s">
        <v>5895</v>
      </c>
      <c r="D7" s="23" t="s">
        <v>514</v>
      </c>
      <c r="E7" s="23" t="s">
        <v>5896</v>
      </c>
      <c r="F7" s="23" t="s">
        <v>5937</v>
      </c>
      <c r="G7" s="23">
        <v>-1.0</v>
      </c>
      <c r="H7" s="23" t="s">
        <v>5938</v>
      </c>
      <c r="I7" s="23" t="s">
        <v>5899</v>
      </c>
      <c r="J7" s="23">
        <v>23.0</v>
      </c>
      <c r="K7" s="23" t="s">
        <v>5939</v>
      </c>
      <c r="L7" s="23" t="s">
        <v>5940</v>
      </c>
      <c r="M7" s="23" t="s">
        <v>5941</v>
      </c>
      <c r="N7" s="23"/>
      <c r="O7" s="23" t="s">
        <v>5942</v>
      </c>
      <c r="P7" s="23"/>
      <c r="Q7" s="23">
        <v>0.0</v>
      </c>
      <c r="R7" s="23">
        <v>0.0</v>
      </c>
      <c r="S7" s="23"/>
      <c r="T7" s="23">
        <v>-9.0</v>
      </c>
      <c r="U7" s="23">
        <v>0.0</v>
      </c>
    </row>
    <row r="8" ht="14.25" customHeight="1">
      <c r="A8" s="23">
        <v>7.0</v>
      </c>
      <c r="B8" s="23" t="s">
        <v>5943</v>
      </c>
      <c r="C8" s="23" t="s">
        <v>5921</v>
      </c>
      <c r="D8" s="23" t="s">
        <v>514</v>
      </c>
      <c r="E8" s="23" t="s">
        <v>5896</v>
      </c>
      <c r="F8" s="23" t="s">
        <v>5937</v>
      </c>
      <c r="G8" s="23">
        <v>-1.0</v>
      </c>
      <c r="H8" s="23" t="s">
        <v>5944</v>
      </c>
      <c r="I8" s="23" t="s">
        <v>5909</v>
      </c>
      <c r="J8" s="23">
        <v>25.0</v>
      </c>
      <c r="K8" s="23" t="s">
        <v>5945</v>
      </c>
      <c r="L8" s="23" t="s">
        <v>5946</v>
      </c>
      <c r="M8" s="23" t="s">
        <v>5947</v>
      </c>
      <c r="N8" s="23"/>
      <c r="O8" s="23" t="s">
        <v>5948</v>
      </c>
      <c r="P8" s="23"/>
      <c r="Q8" s="23">
        <v>0.0</v>
      </c>
      <c r="R8" s="23">
        <v>0.0</v>
      </c>
      <c r="S8" s="23"/>
      <c r="T8" s="23">
        <v>-6.0</v>
      </c>
      <c r="U8" s="23">
        <v>1.0</v>
      </c>
      <c r="AD8" s="24"/>
    </row>
    <row r="9" ht="14.25" customHeight="1">
      <c r="A9" s="23">
        <v>8.0</v>
      </c>
      <c r="B9" s="23" t="s">
        <v>5949</v>
      </c>
      <c r="C9" s="23" t="s">
        <v>5895</v>
      </c>
      <c r="D9" s="23" t="s">
        <v>514</v>
      </c>
      <c r="E9" s="23" t="s">
        <v>5896</v>
      </c>
      <c r="F9" s="23" t="s">
        <v>5950</v>
      </c>
      <c r="G9" s="23">
        <v>-1.0</v>
      </c>
      <c r="H9" s="23" t="s">
        <v>5951</v>
      </c>
      <c r="I9" s="23" t="s">
        <v>5952</v>
      </c>
      <c r="J9" s="23">
        <v>19.0</v>
      </c>
      <c r="K9" s="23" t="s">
        <v>5953</v>
      </c>
      <c r="L9" s="23" t="s">
        <v>5954</v>
      </c>
      <c r="M9" s="23" t="s">
        <v>5955</v>
      </c>
      <c r="N9" s="23"/>
      <c r="O9" s="23" t="s">
        <v>5956</v>
      </c>
      <c r="P9" s="23"/>
      <c r="Q9" s="23">
        <v>0.0</v>
      </c>
      <c r="R9" s="23">
        <v>0.0</v>
      </c>
      <c r="S9" s="23"/>
      <c r="T9" s="23">
        <v>-4.0</v>
      </c>
      <c r="U9" s="23">
        <v>0.0</v>
      </c>
      <c r="V9" s="25"/>
      <c r="AD9" s="24"/>
    </row>
    <row r="10" ht="14.25" customHeight="1">
      <c r="A10" s="23">
        <v>9.0</v>
      </c>
      <c r="B10" s="23" t="s">
        <v>5957</v>
      </c>
      <c r="C10" s="23" t="s">
        <v>5921</v>
      </c>
      <c r="D10" s="23" t="s">
        <v>5906</v>
      </c>
      <c r="E10" s="23" t="s">
        <v>5896</v>
      </c>
      <c r="F10" s="23" t="s">
        <v>5950</v>
      </c>
      <c r="G10" s="23">
        <v>-1.0</v>
      </c>
      <c r="H10" s="23" t="s">
        <v>5958</v>
      </c>
      <c r="I10" s="23" t="s">
        <v>5899</v>
      </c>
      <c r="J10" s="23">
        <v>16.0</v>
      </c>
      <c r="K10" s="23" t="s">
        <v>5945</v>
      </c>
      <c r="L10" s="23" t="s">
        <v>5959</v>
      </c>
      <c r="M10" s="23" t="s">
        <v>5960</v>
      </c>
      <c r="N10" s="23"/>
      <c r="O10" s="23" t="s">
        <v>5961</v>
      </c>
      <c r="P10" s="23"/>
      <c r="Q10" s="23">
        <v>0.0</v>
      </c>
      <c r="R10" s="23">
        <v>0.0</v>
      </c>
      <c r="S10" s="23"/>
      <c r="T10" s="23">
        <v>-3.0</v>
      </c>
      <c r="U10" s="23">
        <v>1.0</v>
      </c>
      <c r="V10" s="25"/>
    </row>
    <row r="11" ht="14.25" customHeight="1">
      <c r="A11" s="23">
        <v>10.0</v>
      </c>
      <c r="B11" s="23" t="s">
        <v>5962</v>
      </c>
      <c r="C11" s="23" t="s">
        <v>5921</v>
      </c>
      <c r="D11" s="23" t="s">
        <v>329</v>
      </c>
      <c r="E11" s="23" t="s">
        <v>5896</v>
      </c>
      <c r="F11" s="23" t="s">
        <v>5897</v>
      </c>
      <c r="G11" s="23">
        <v>-1.0</v>
      </c>
      <c r="H11" s="23" t="s">
        <v>5938</v>
      </c>
      <c r="I11" s="23" t="s">
        <v>5899</v>
      </c>
      <c r="J11" s="23">
        <v>31.0</v>
      </c>
      <c r="K11" s="23" t="s">
        <v>5963</v>
      </c>
      <c r="L11" s="23" t="s">
        <v>5964</v>
      </c>
      <c r="M11" s="23" t="s">
        <v>5941</v>
      </c>
      <c r="N11" s="23" t="s">
        <v>2351</v>
      </c>
      <c r="O11" s="23" t="s">
        <v>5965</v>
      </c>
      <c r="P11" s="23" t="s">
        <v>5966</v>
      </c>
      <c r="Q11" s="23">
        <v>0.0</v>
      </c>
      <c r="R11" s="23">
        <v>0.0</v>
      </c>
      <c r="S11" s="23"/>
      <c r="T11" s="23">
        <v>-99.0</v>
      </c>
      <c r="U11" s="23">
        <v>0.0</v>
      </c>
      <c r="V11" s="25"/>
      <c r="AB11" s="24"/>
      <c r="AC11" s="24"/>
      <c r="AD11" s="24"/>
    </row>
    <row r="12" ht="14.25" customHeight="1">
      <c r="A12" s="23">
        <v>11.0</v>
      </c>
      <c r="B12" s="23" t="s">
        <v>5967</v>
      </c>
      <c r="C12" s="23" t="s">
        <v>5921</v>
      </c>
      <c r="D12" s="23" t="s">
        <v>329</v>
      </c>
      <c r="E12" s="23" t="s">
        <v>5896</v>
      </c>
      <c r="F12" s="23" t="s">
        <v>5968</v>
      </c>
      <c r="G12" s="23">
        <v>-1.0</v>
      </c>
      <c r="H12" s="23" t="s">
        <v>5908</v>
      </c>
      <c r="I12" s="23" t="s">
        <v>5931</v>
      </c>
      <c r="J12" s="23">
        <v>24.0</v>
      </c>
      <c r="K12" s="23" t="s">
        <v>5969</v>
      </c>
      <c r="L12" s="23" t="s">
        <v>52</v>
      </c>
      <c r="M12" s="23" t="s">
        <v>5970</v>
      </c>
      <c r="N12" s="23" t="s">
        <v>2346</v>
      </c>
      <c r="O12" s="23" t="s">
        <v>5971</v>
      </c>
      <c r="P12" s="23" t="s">
        <v>5972</v>
      </c>
      <c r="Q12" s="23">
        <v>0.0</v>
      </c>
      <c r="R12" s="23">
        <v>0.0</v>
      </c>
      <c r="S12" s="23" t="s">
        <v>5973</v>
      </c>
      <c r="T12" s="23">
        <v>-99.0</v>
      </c>
      <c r="U12" s="23">
        <v>0.0</v>
      </c>
      <c r="V12" s="25"/>
    </row>
    <row r="13" ht="14.25" customHeight="1">
      <c r="A13" s="23">
        <v>12.0</v>
      </c>
      <c r="B13" s="23" t="s">
        <v>5974</v>
      </c>
      <c r="C13" s="23" t="s">
        <v>5895</v>
      </c>
      <c r="D13" s="23" t="s">
        <v>329</v>
      </c>
      <c r="E13" s="23" t="s">
        <v>5896</v>
      </c>
      <c r="F13" s="23" t="s">
        <v>5907</v>
      </c>
      <c r="G13" s="23">
        <v>-1.0</v>
      </c>
      <c r="H13" s="23" t="s">
        <v>5975</v>
      </c>
      <c r="I13" s="23" t="s">
        <v>5909</v>
      </c>
      <c r="J13" s="23">
        <v>34.0</v>
      </c>
      <c r="K13" s="23" t="s">
        <v>5976</v>
      </c>
      <c r="L13" s="23" t="s">
        <v>49</v>
      </c>
      <c r="M13" s="23" t="s">
        <v>5941</v>
      </c>
      <c r="N13" s="23"/>
      <c r="O13" s="23" t="s">
        <v>5977</v>
      </c>
      <c r="P13" s="23" t="s">
        <v>5978</v>
      </c>
      <c r="Q13" s="23">
        <v>0.0</v>
      </c>
      <c r="R13" s="23">
        <v>0.0</v>
      </c>
      <c r="S13" s="23"/>
      <c r="T13" s="23">
        <v>-99.0</v>
      </c>
      <c r="U13" s="23">
        <v>0.0</v>
      </c>
    </row>
    <row r="14" ht="14.25" customHeight="1">
      <c r="A14" s="23">
        <v>13.0</v>
      </c>
      <c r="B14" s="23" t="s">
        <v>5979</v>
      </c>
      <c r="C14" s="23" t="s">
        <v>5895</v>
      </c>
      <c r="D14" s="23" t="s">
        <v>2361</v>
      </c>
      <c r="E14" s="23" t="s">
        <v>5896</v>
      </c>
      <c r="F14" s="23" t="s">
        <v>5897</v>
      </c>
      <c r="G14" s="23">
        <v>-1.0</v>
      </c>
      <c r="H14" s="23" t="s">
        <v>5908</v>
      </c>
      <c r="I14" s="23" t="s">
        <v>5899</v>
      </c>
      <c r="J14" s="23">
        <v>44.0</v>
      </c>
      <c r="K14" s="23" t="s">
        <v>5980</v>
      </c>
      <c r="L14" s="23" t="s">
        <v>5981</v>
      </c>
      <c r="M14" s="23" t="s">
        <v>5918</v>
      </c>
      <c r="N14" s="23" t="s">
        <v>5982</v>
      </c>
      <c r="O14" s="23" t="s">
        <v>5983</v>
      </c>
      <c r="P14" s="23" t="s">
        <v>5984</v>
      </c>
      <c r="Q14" s="23">
        <v>0.0</v>
      </c>
      <c r="R14" s="23">
        <v>0.0</v>
      </c>
      <c r="S14" s="23" t="s">
        <v>5985</v>
      </c>
      <c r="T14" s="23">
        <v>-99.0</v>
      </c>
      <c r="U14" s="23">
        <v>0.0</v>
      </c>
      <c r="AB14" s="24"/>
      <c r="AC14" s="24"/>
      <c r="AD14" s="24"/>
    </row>
    <row r="15" ht="14.25" customHeight="1">
      <c r="A15" s="23">
        <v>14.0</v>
      </c>
      <c r="B15" s="23" t="s">
        <v>5986</v>
      </c>
      <c r="C15" s="23" t="s">
        <v>5895</v>
      </c>
      <c r="D15" s="23" t="s">
        <v>2361</v>
      </c>
      <c r="E15" s="23" t="s">
        <v>5896</v>
      </c>
      <c r="F15" s="23" t="s">
        <v>5914</v>
      </c>
      <c r="G15" s="23">
        <v>1.0</v>
      </c>
      <c r="H15" s="23" t="s">
        <v>5938</v>
      </c>
      <c r="I15" s="23" t="s">
        <v>5909</v>
      </c>
      <c r="J15" s="23">
        <v>23.0</v>
      </c>
      <c r="K15" s="23" t="s">
        <v>5976</v>
      </c>
      <c r="L15" s="23" t="s">
        <v>49</v>
      </c>
      <c r="M15" s="23"/>
      <c r="N15" s="23"/>
      <c r="O15" s="23" t="s">
        <v>5987</v>
      </c>
      <c r="P15" s="23"/>
      <c r="Q15" s="23">
        <v>0.0</v>
      </c>
      <c r="R15" s="23">
        <v>0.0</v>
      </c>
      <c r="S15" s="23" t="s">
        <v>5988</v>
      </c>
      <c r="T15" s="23">
        <v>-99.0</v>
      </c>
      <c r="U15" s="23">
        <v>0.0</v>
      </c>
      <c r="AB15" s="24"/>
      <c r="AC15" s="24"/>
      <c r="AD15" s="24"/>
    </row>
    <row r="16" ht="14.25" customHeight="1">
      <c r="A16" s="23">
        <v>15.0</v>
      </c>
      <c r="B16" s="23" t="s">
        <v>5989</v>
      </c>
      <c r="C16" s="23" t="s">
        <v>5921</v>
      </c>
      <c r="D16" s="23" t="s">
        <v>2361</v>
      </c>
      <c r="E16" s="23" t="s">
        <v>5896</v>
      </c>
      <c r="F16" s="23" t="s">
        <v>5968</v>
      </c>
      <c r="G16" s="23">
        <v>-1.0</v>
      </c>
      <c r="H16" s="23" t="s">
        <v>5915</v>
      </c>
      <c r="I16" s="23" t="s">
        <v>5931</v>
      </c>
      <c r="J16" s="23">
        <v>20.0</v>
      </c>
      <c r="K16" s="23" t="s">
        <v>5990</v>
      </c>
      <c r="L16" s="23" t="s">
        <v>52</v>
      </c>
      <c r="M16" s="23"/>
      <c r="N16" s="23" t="s">
        <v>2567</v>
      </c>
      <c r="O16" s="23" t="s">
        <v>5991</v>
      </c>
      <c r="P16" s="23" t="s">
        <v>5992</v>
      </c>
      <c r="Q16" s="23">
        <v>0.0</v>
      </c>
      <c r="R16" s="23">
        <v>0.0</v>
      </c>
      <c r="S16" s="23"/>
      <c r="T16" s="23">
        <v>-99.0</v>
      </c>
      <c r="U16" s="23">
        <v>0.0</v>
      </c>
      <c r="AB16" s="24"/>
      <c r="AC16" s="24"/>
      <c r="AD16" s="24"/>
    </row>
    <row r="17" ht="14.25" customHeight="1">
      <c r="A17" s="23">
        <v>16.0</v>
      </c>
      <c r="B17" s="23" t="s">
        <v>5993</v>
      </c>
      <c r="C17" s="23" t="s">
        <v>5921</v>
      </c>
      <c r="D17" s="23" t="s">
        <v>667</v>
      </c>
      <c r="E17" s="23" t="s">
        <v>5896</v>
      </c>
      <c r="F17" s="23" t="s">
        <v>5897</v>
      </c>
      <c r="G17" s="23">
        <v>-1.0</v>
      </c>
      <c r="H17" s="23" t="s">
        <v>5944</v>
      </c>
      <c r="I17" s="23" t="s">
        <v>5931</v>
      </c>
      <c r="J17" s="23">
        <v>22.0</v>
      </c>
      <c r="K17" s="23" t="s">
        <v>5994</v>
      </c>
      <c r="L17" s="23" t="s">
        <v>5995</v>
      </c>
      <c r="M17" s="23" t="s">
        <v>5996</v>
      </c>
      <c r="N17" s="23" t="s">
        <v>2737</v>
      </c>
      <c r="O17" s="23" t="s">
        <v>5997</v>
      </c>
      <c r="P17" s="23" t="s">
        <v>5998</v>
      </c>
      <c r="Q17" s="23">
        <v>0.0</v>
      </c>
      <c r="R17" s="23">
        <v>0.0</v>
      </c>
      <c r="S17" s="23" t="s">
        <v>5999</v>
      </c>
      <c r="T17" s="23">
        <v>-99.0</v>
      </c>
      <c r="U17" s="23">
        <v>1.0</v>
      </c>
      <c r="AB17" s="24"/>
      <c r="AC17" s="24"/>
    </row>
    <row r="18" ht="14.25" customHeight="1">
      <c r="A18" s="23">
        <v>17.0</v>
      </c>
      <c r="B18" s="23" t="s">
        <v>6000</v>
      </c>
      <c r="C18" s="23" t="s">
        <v>5895</v>
      </c>
      <c r="D18" s="23" t="s">
        <v>667</v>
      </c>
      <c r="E18" s="23" t="s">
        <v>5896</v>
      </c>
      <c r="F18" s="23" t="s">
        <v>5968</v>
      </c>
      <c r="G18" s="23">
        <v>-1.0</v>
      </c>
      <c r="H18" s="23" t="s">
        <v>5958</v>
      </c>
      <c r="I18" s="23" t="s">
        <v>5931</v>
      </c>
      <c r="J18" s="23">
        <v>25.0</v>
      </c>
      <c r="K18" s="23" t="s">
        <v>5990</v>
      </c>
      <c r="L18" s="23" t="s">
        <v>47</v>
      </c>
      <c r="M18" s="23" t="s">
        <v>6001</v>
      </c>
      <c r="N18" s="23" t="s">
        <v>2753</v>
      </c>
      <c r="O18" s="23" t="s">
        <v>6002</v>
      </c>
      <c r="P18" s="23" t="s">
        <v>6003</v>
      </c>
      <c r="Q18" s="23">
        <v>0.0</v>
      </c>
      <c r="R18" s="23">
        <v>0.0</v>
      </c>
      <c r="S18" s="23"/>
      <c r="T18" s="23">
        <v>-99.0</v>
      </c>
      <c r="U18" s="23">
        <v>0.0</v>
      </c>
      <c r="AB18" s="24"/>
      <c r="AD18" s="24"/>
    </row>
    <row r="19" ht="14.25" customHeight="1">
      <c r="A19" s="23">
        <v>18.0</v>
      </c>
      <c r="B19" s="23" t="s">
        <v>6004</v>
      </c>
      <c r="C19" s="23" t="s">
        <v>5895</v>
      </c>
      <c r="D19" s="23" t="s">
        <v>702</v>
      </c>
      <c r="E19" s="23" t="s">
        <v>5896</v>
      </c>
      <c r="F19" s="23" t="s">
        <v>5897</v>
      </c>
      <c r="G19" s="23">
        <v>-1.0</v>
      </c>
      <c r="H19" s="23" t="s">
        <v>5898</v>
      </c>
      <c r="I19" s="23" t="s">
        <v>5909</v>
      </c>
      <c r="J19" s="23">
        <v>38.0</v>
      </c>
      <c r="K19" s="23" t="s">
        <v>6005</v>
      </c>
      <c r="L19" s="23" t="s">
        <v>47</v>
      </c>
      <c r="M19" s="23" t="s">
        <v>5970</v>
      </c>
      <c r="N19" s="23" t="s">
        <v>2939</v>
      </c>
      <c r="O19" s="23" t="s">
        <v>6006</v>
      </c>
      <c r="P19" s="23" t="s">
        <v>6007</v>
      </c>
      <c r="Q19" s="23">
        <v>0.0</v>
      </c>
      <c r="R19" s="23">
        <v>0.0</v>
      </c>
      <c r="S19" s="23" t="s">
        <v>6008</v>
      </c>
      <c r="T19" s="23">
        <v>-99.0</v>
      </c>
      <c r="U19" s="23">
        <v>0.0</v>
      </c>
      <c r="AA19" s="24"/>
      <c r="AB19" s="24"/>
      <c r="AD19" s="24"/>
    </row>
    <row r="20" ht="14.25" customHeight="1">
      <c r="A20" s="23">
        <v>19.0</v>
      </c>
      <c r="B20" s="23" t="s">
        <v>6009</v>
      </c>
      <c r="C20" s="23" t="s">
        <v>5921</v>
      </c>
      <c r="D20" s="23" t="s">
        <v>702</v>
      </c>
      <c r="E20" s="23" t="s">
        <v>5896</v>
      </c>
      <c r="F20" s="23" t="s">
        <v>5968</v>
      </c>
      <c r="G20" s="23">
        <v>-1.0</v>
      </c>
      <c r="H20" s="23" t="s">
        <v>5951</v>
      </c>
      <c r="I20" s="23" t="s">
        <v>5899</v>
      </c>
      <c r="J20" s="23">
        <v>40.0</v>
      </c>
      <c r="K20" s="23" t="s">
        <v>6010</v>
      </c>
      <c r="L20" s="23" t="s">
        <v>50</v>
      </c>
      <c r="M20" s="23"/>
      <c r="N20" s="23" t="s">
        <v>2948</v>
      </c>
      <c r="O20" s="23" t="s">
        <v>6011</v>
      </c>
      <c r="P20" s="23" t="s">
        <v>6012</v>
      </c>
      <c r="Q20" s="23">
        <v>0.0</v>
      </c>
      <c r="R20" s="23">
        <v>0.0</v>
      </c>
      <c r="S20" s="23"/>
      <c r="T20" s="23">
        <v>-99.0</v>
      </c>
      <c r="U20" s="23">
        <v>0.0</v>
      </c>
      <c r="AA20" s="24"/>
      <c r="AB20" s="24"/>
      <c r="AC20" s="24"/>
      <c r="AD20" s="24"/>
    </row>
    <row r="21" ht="14.25" customHeight="1">
      <c r="A21" s="23">
        <v>20.0</v>
      </c>
      <c r="B21" s="23" t="s">
        <v>6013</v>
      </c>
      <c r="C21" s="23" t="s">
        <v>5895</v>
      </c>
      <c r="D21" s="23" t="s">
        <v>2958</v>
      </c>
      <c r="E21" s="23" t="s">
        <v>5896</v>
      </c>
      <c r="F21" s="23" t="s">
        <v>5897</v>
      </c>
      <c r="G21" s="23">
        <v>-1.0</v>
      </c>
      <c r="H21" s="23" t="s">
        <v>5898</v>
      </c>
      <c r="I21" s="23" t="s">
        <v>5899</v>
      </c>
      <c r="J21" s="23">
        <v>32.0</v>
      </c>
      <c r="K21" s="23" t="s">
        <v>5939</v>
      </c>
      <c r="L21" s="23" t="s">
        <v>6014</v>
      </c>
      <c r="M21" s="23" t="s">
        <v>6015</v>
      </c>
      <c r="N21" s="23" t="s">
        <v>3136</v>
      </c>
      <c r="O21" s="23" t="s">
        <v>6016</v>
      </c>
      <c r="P21" s="23" t="s">
        <v>6017</v>
      </c>
      <c r="Q21" s="23">
        <v>0.0</v>
      </c>
      <c r="R21" s="23">
        <v>0.0</v>
      </c>
      <c r="S21" s="23"/>
      <c r="T21" s="23">
        <v>-99.0</v>
      </c>
      <c r="U21" s="23">
        <v>0.0</v>
      </c>
      <c r="AA21" s="24"/>
      <c r="AB21" s="24"/>
      <c r="AC21" s="24"/>
      <c r="AD21" s="24"/>
    </row>
    <row r="22" ht="14.25" customHeight="1">
      <c r="A22" s="23">
        <v>21.0</v>
      </c>
      <c r="B22" s="23" t="s">
        <v>6018</v>
      </c>
      <c r="C22" s="23" t="s">
        <v>5921</v>
      </c>
      <c r="D22" s="23" t="s">
        <v>2958</v>
      </c>
      <c r="E22" s="23" t="s">
        <v>5896</v>
      </c>
      <c r="F22" s="23" t="s">
        <v>5968</v>
      </c>
      <c r="G22" s="23">
        <v>-1.0</v>
      </c>
      <c r="H22" s="23" t="s">
        <v>5975</v>
      </c>
      <c r="I22" s="23" t="s">
        <v>5931</v>
      </c>
      <c r="J22" s="23">
        <v>44.0</v>
      </c>
      <c r="K22" s="23" t="s">
        <v>6019</v>
      </c>
      <c r="L22" s="23" t="s">
        <v>50</v>
      </c>
      <c r="M22" s="23"/>
      <c r="N22" s="23" t="s">
        <v>3141</v>
      </c>
      <c r="O22" s="23" t="s">
        <v>6020</v>
      </c>
      <c r="P22" s="23" t="s">
        <v>6021</v>
      </c>
      <c r="Q22" s="23">
        <v>0.0</v>
      </c>
      <c r="R22" s="23">
        <v>0.0</v>
      </c>
      <c r="S22" s="23"/>
      <c r="T22" s="23">
        <v>-99.0</v>
      </c>
      <c r="U22" s="23">
        <v>0.0</v>
      </c>
      <c r="AA22" s="24"/>
      <c r="AB22" s="24"/>
      <c r="AC22" s="24"/>
      <c r="AD22" s="24"/>
    </row>
    <row r="23" ht="14.25" customHeight="1">
      <c r="A23" s="23">
        <v>22.0</v>
      </c>
      <c r="B23" s="23" t="s">
        <v>6022</v>
      </c>
      <c r="C23" s="23" t="s">
        <v>5921</v>
      </c>
      <c r="D23" s="23" t="s">
        <v>3151</v>
      </c>
      <c r="E23" s="23" t="s">
        <v>5896</v>
      </c>
      <c r="F23" s="23" t="s">
        <v>5897</v>
      </c>
      <c r="G23" s="23">
        <v>-1.0</v>
      </c>
      <c r="H23" s="23" t="s">
        <v>5930</v>
      </c>
      <c r="I23" s="23" t="s">
        <v>5899</v>
      </c>
      <c r="J23" s="23">
        <v>45.0</v>
      </c>
      <c r="K23" s="23" t="s">
        <v>6005</v>
      </c>
      <c r="L23" s="23" t="s">
        <v>48</v>
      </c>
      <c r="M23" s="23" t="s">
        <v>6001</v>
      </c>
      <c r="N23" s="23" t="s">
        <v>6023</v>
      </c>
      <c r="O23" s="23" t="s">
        <v>6024</v>
      </c>
      <c r="P23" s="23" t="s">
        <v>6025</v>
      </c>
      <c r="Q23" s="23">
        <v>0.0</v>
      </c>
      <c r="R23" s="23">
        <v>0.0</v>
      </c>
      <c r="S23" s="23"/>
      <c r="T23" s="23">
        <v>-99.0</v>
      </c>
      <c r="U23" s="23">
        <v>0.0</v>
      </c>
      <c r="AA23" s="24"/>
      <c r="AB23" s="24"/>
      <c r="AC23" s="24"/>
    </row>
    <row r="24" ht="14.25" customHeight="1">
      <c r="A24" s="23">
        <v>23.0</v>
      </c>
      <c r="B24" s="23" t="s">
        <v>6026</v>
      </c>
      <c r="C24" s="23" t="s">
        <v>5895</v>
      </c>
      <c r="D24" s="23" t="s">
        <v>3151</v>
      </c>
      <c r="E24" s="23" t="s">
        <v>5896</v>
      </c>
      <c r="F24" s="23" t="s">
        <v>5968</v>
      </c>
      <c r="G24" s="23">
        <v>-1.0</v>
      </c>
      <c r="H24" s="23" t="s">
        <v>5923</v>
      </c>
      <c r="I24" s="23" t="s">
        <v>5931</v>
      </c>
      <c r="J24" s="23">
        <v>51.0</v>
      </c>
      <c r="K24" s="23" t="s">
        <v>5916</v>
      </c>
      <c r="L24" s="23" t="s">
        <v>51</v>
      </c>
      <c r="M24" s="23"/>
      <c r="N24" s="23" t="s">
        <v>3353</v>
      </c>
      <c r="O24" s="23" t="s">
        <v>6027</v>
      </c>
      <c r="P24" s="23" t="s">
        <v>6028</v>
      </c>
      <c r="Q24" s="23">
        <v>0.0</v>
      </c>
      <c r="R24" s="23">
        <v>0.0</v>
      </c>
      <c r="S24" s="23"/>
      <c r="T24" s="23">
        <v>-99.0</v>
      </c>
      <c r="U24" s="23">
        <v>0.0</v>
      </c>
      <c r="AA24" s="24"/>
      <c r="AB24" s="24"/>
      <c r="AC24" s="24"/>
    </row>
    <row r="25" ht="14.25" customHeight="1">
      <c r="A25" s="23">
        <v>24.0</v>
      </c>
      <c r="B25" s="23" t="s">
        <v>6029</v>
      </c>
      <c r="C25" s="23" t="s">
        <v>5895</v>
      </c>
      <c r="D25" s="23" t="s">
        <v>3368</v>
      </c>
      <c r="E25" s="23" t="s">
        <v>5896</v>
      </c>
      <c r="F25" s="23" t="s">
        <v>5897</v>
      </c>
      <c r="G25" s="23">
        <v>-1.0</v>
      </c>
      <c r="H25" s="23" t="s">
        <v>5975</v>
      </c>
      <c r="I25" s="23" t="s">
        <v>5899</v>
      </c>
      <c r="J25" s="23">
        <v>46.0</v>
      </c>
      <c r="K25" s="23" t="s">
        <v>6030</v>
      </c>
      <c r="L25" s="23" t="s">
        <v>49</v>
      </c>
      <c r="M25" s="23" t="s">
        <v>6015</v>
      </c>
      <c r="N25" s="23" t="s">
        <v>3507</v>
      </c>
      <c r="O25" s="23" t="s">
        <v>6031</v>
      </c>
      <c r="P25" s="23" t="s">
        <v>6032</v>
      </c>
      <c r="Q25" s="23">
        <v>0.0</v>
      </c>
      <c r="R25" s="23">
        <v>0.0</v>
      </c>
      <c r="S25" s="23"/>
      <c r="T25" s="23">
        <v>-99.0</v>
      </c>
      <c r="U25" s="23">
        <v>0.0</v>
      </c>
      <c r="AA25" s="24"/>
      <c r="AB25" s="24"/>
      <c r="AC25" s="24"/>
    </row>
    <row r="26" ht="14.25" customHeight="1">
      <c r="A26" s="23">
        <v>25.0</v>
      </c>
      <c r="B26" s="23" t="s">
        <v>6033</v>
      </c>
      <c r="C26" s="23" t="s">
        <v>5921</v>
      </c>
      <c r="D26" s="23" t="s">
        <v>3368</v>
      </c>
      <c r="E26" s="23" t="s">
        <v>5896</v>
      </c>
      <c r="F26" s="23" t="s">
        <v>5968</v>
      </c>
      <c r="G26" s="23">
        <v>-1.0</v>
      </c>
      <c r="H26" s="23" t="s">
        <v>5951</v>
      </c>
      <c r="I26" s="23" t="s">
        <v>5931</v>
      </c>
      <c r="J26" s="23">
        <v>55.0</v>
      </c>
      <c r="K26" s="23" t="s">
        <v>6005</v>
      </c>
      <c r="L26" s="23" t="s">
        <v>48</v>
      </c>
      <c r="M26" s="23" t="s">
        <v>6034</v>
      </c>
      <c r="N26" s="23" t="s">
        <v>3491</v>
      </c>
      <c r="O26" s="23" t="s">
        <v>6035</v>
      </c>
      <c r="P26" s="23" t="s">
        <v>6036</v>
      </c>
      <c r="Q26" s="23">
        <v>0.0</v>
      </c>
      <c r="R26" s="23">
        <v>0.0</v>
      </c>
      <c r="S26" s="23"/>
      <c r="T26" s="23">
        <v>-99.0</v>
      </c>
      <c r="U26" s="23">
        <v>0.0</v>
      </c>
      <c r="AA26" s="24"/>
      <c r="AB26" s="24"/>
      <c r="AC26" s="24"/>
    </row>
    <row r="27" ht="14.25" customHeight="1">
      <c r="A27" s="23">
        <v>26.0</v>
      </c>
      <c r="B27" s="23" t="s">
        <v>6037</v>
      </c>
      <c r="C27" s="23" t="s">
        <v>5921</v>
      </c>
      <c r="D27" s="23" t="s">
        <v>3525</v>
      </c>
      <c r="E27" s="23" t="s">
        <v>5896</v>
      </c>
      <c r="F27" s="23" t="s">
        <v>5897</v>
      </c>
      <c r="G27" s="23">
        <v>-1.0</v>
      </c>
      <c r="H27" s="23" t="s">
        <v>5915</v>
      </c>
      <c r="I27" s="23" t="s">
        <v>5931</v>
      </c>
      <c r="J27" s="23">
        <v>22.0</v>
      </c>
      <c r="K27" s="23" t="s">
        <v>6038</v>
      </c>
      <c r="L27" s="23" t="s">
        <v>47</v>
      </c>
      <c r="M27" s="23" t="s">
        <v>5918</v>
      </c>
      <c r="N27" s="23" t="s">
        <v>6039</v>
      </c>
      <c r="O27" s="23" t="s">
        <v>6040</v>
      </c>
      <c r="P27" s="23" t="s">
        <v>6041</v>
      </c>
      <c r="Q27" s="23">
        <v>0.0</v>
      </c>
      <c r="R27" s="23">
        <v>0.0</v>
      </c>
      <c r="S27" s="23" t="s">
        <v>6042</v>
      </c>
      <c r="T27" s="23">
        <v>-99.0</v>
      </c>
      <c r="U27" s="23">
        <v>0.0</v>
      </c>
      <c r="AA27" s="24"/>
      <c r="AB27" s="24"/>
      <c r="AC27" s="24"/>
    </row>
    <row r="28" ht="14.25" customHeight="1">
      <c r="A28" s="23">
        <v>27.0</v>
      </c>
      <c r="B28" s="23" t="s">
        <v>6043</v>
      </c>
      <c r="C28" s="23" t="s">
        <v>5921</v>
      </c>
      <c r="D28" s="23" t="s">
        <v>3525</v>
      </c>
      <c r="E28" s="23" t="s">
        <v>5896</v>
      </c>
      <c r="F28" s="23" t="s">
        <v>5907</v>
      </c>
      <c r="G28" s="23">
        <v>-1.0</v>
      </c>
      <c r="H28" s="23" t="s">
        <v>5944</v>
      </c>
      <c r="I28" s="23" t="s">
        <v>5909</v>
      </c>
      <c r="J28" s="23">
        <v>17.0</v>
      </c>
      <c r="K28" s="23" t="s">
        <v>6005</v>
      </c>
      <c r="L28" s="23" t="s">
        <v>51</v>
      </c>
      <c r="M28" s="23" t="s">
        <v>5918</v>
      </c>
      <c r="N28" s="23" t="s">
        <v>3758</v>
      </c>
      <c r="O28" s="23" t="s">
        <v>6044</v>
      </c>
      <c r="P28" s="23" t="s">
        <v>6045</v>
      </c>
      <c r="Q28" s="23">
        <v>0.0</v>
      </c>
      <c r="R28" s="23">
        <v>0.0</v>
      </c>
      <c r="S28" s="23"/>
      <c r="T28" s="23">
        <v>-99.0</v>
      </c>
      <c r="U28" s="23">
        <v>0.0</v>
      </c>
    </row>
    <row r="29" ht="14.25" customHeight="1">
      <c r="A29" s="23">
        <v>28.0</v>
      </c>
      <c r="B29" s="23" t="s">
        <v>6046</v>
      </c>
      <c r="C29" s="23" t="s">
        <v>5895</v>
      </c>
      <c r="D29" s="23" t="s">
        <v>3525</v>
      </c>
      <c r="E29" s="23" t="s">
        <v>5896</v>
      </c>
      <c r="F29" s="23" t="s">
        <v>5968</v>
      </c>
      <c r="G29" s="23">
        <v>-1.0</v>
      </c>
      <c r="H29" s="23" t="s">
        <v>5958</v>
      </c>
      <c r="I29" s="23" t="s">
        <v>5899</v>
      </c>
      <c r="J29" s="23">
        <v>36.0</v>
      </c>
      <c r="K29" s="23" t="s">
        <v>5980</v>
      </c>
      <c r="L29" s="23" t="s">
        <v>51</v>
      </c>
      <c r="M29" s="23"/>
      <c r="N29" s="23"/>
      <c r="O29" s="23" t="s">
        <v>6047</v>
      </c>
      <c r="P29" s="23" t="s">
        <v>6048</v>
      </c>
      <c r="Q29" s="23">
        <v>0.0</v>
      </c>
      <c r="R29" s="23">
        <v>0.0</v>
      </c>
      <c r="S29" s="23"/>
      <c r="T29" s="23">
        <v>-99.0</v>
      </c>
      <c r="U29" s="23">
        <v>0.0</v>
      </c>
    </row>
    <row r="30" ht="14.25" customHeight="1">
      <c r="A30" s="23">
        <v>29.0</v>
      </c>
      <c r="B30" s="23" t="s">
        <v>6049</v>
      </c>
      <c r="C30" s="23" t="s">
        <v>5895</v>
      </c>
      <c r="D30" s="23" t="s">
        <v>561</v>
      </c>
      <c r="E30" s="23" t="s">
        <v>5896</v>
      </c>
      <c r="F30" s="23" t="s">
        <v>5897</v>
      </c>
      <c r="G30" s="23">
        <v>-1.0</v>
      </c>
      <c r="H30" s="23" t="s">
        <v>5923</v>
      </c>
      <c r="I30" s="23" t="s">
        <v>5931</v>
      </c>
      <c r="J30" s="23">
        <v>56.0</v>
      </c>
      <c r="K30" s="23" t="s">
        <v>6050</v>
      </c>
      <c r="L30" s="23" t="s">
        <v>6051</v>
      </c>
      <c r="M30" s="23" t="s">
        <v>6015</v>
      </c>
      <c r="N30" s="23" t="s">
        <v>6052</v>
      </c>
      <c r="O30" s="23" t="s">
        <v>6053</v>
      </c>
      <c r="P30" s="23" t="s">
        <v>6054</v>
      </c>
      <c r="Q30" s="23">
        <v>0.0</v>
      </c>
      <c r="R30" s="23">
        <v>0.0</v>
      </c>
      <c r="S30" s="23" t="s">
        <v>6055</v>
      </c>
      <c r="T30" s="23">
        <v>-99.0</v>
      </c>
      <c r="U30" s="23">
        <v>1.0</v>
      </c>
    </row>
    <row r="31" ht="14.25" customHeight="1">
      <c r="A31" s="23">
        <v>30.0</v>
      </c>
      <c r="B31" s="23" t="s">
        <v>6056</v>
      </c>
      <c r="C31" s="23" t="s">
        <v>5895</v>
      </c>
      <c r="D31" s="23" t="s">
        <v>561</v>
      </c>
      <c r="E31" s="23" t="s">
        <v>5896</v>
      </c>
      <c r="F31" s="23" t="s">
        <v>5968</v>
      </c>
      <c r="G31" s="23">
        <v>-1.0</v>
      </c>
      <c r="H31" s="23" t="s">
        <v>5930</v>
      </c>
      <c r="I31" s="23" t="s">
        <v>5899</v>
      </c>
      <c r="J31" s="23">
        <v>35.0</v>
      </c>
      <c r="K31" s="23" t="s">
        <v>6057</v>
      </c>
      <c r="L31" s="23" t="s">
        <v>47</v>
      </c>
      <c r="M31" s="23"/>
      <c r="N31" s="23" t="s">
        <v>3951</v>
      </c>
      <c r="O31" s="23" t="s">
        <v>6058</v>
      </c>
      <c r="P31" s="23" t="s">
        <v>6059</v>
      </c>
      <c r="Q31" s="23">
        <v>0.0</v>
      </c>
      <c r="R31" s="23">
        <v>0.0</v>
      </c>
      <c r="S31" s="23"/>
      <c r="T31" s="23">
        <v>-99.0</v>
      </c>
      <c r="U31" s="23">
        <v>0.0</v>
      </c>
    </row>
    <row r="32" ht="14.25" customHeight="1">
      <c r="A32" s="23">
        <v>31.0</v>
      </c>
      <c r="B32" s="23" t="s">
        <v>6060</v>
      </c>
      <c r="C32" s="23" t="s">
        <v>5921</v>
      </c>
      <c r="D32" s="23" t="s">
        <v>561</v>
      </c>
      <c r="E32" s="23" t="s">
        <v>5896</v>
      </c>
      <c r="F32" s="23" t="s">
        <v>5968</v>
      </c>
      <c r="G32" s="23">
        <v>-1.0</v>
      </c>
      <c r="H32" s="23" t="s">
        <v>5975</v>
      </c>
      <c r="I32" s="23" t="s">
        <v>5931</v>
      </c>
      <c r="J32" s="23">
        <v>30.0</v>
      </c>
      <c r="K32" s="23" t="s">
        <v>5916</v>
      </c>
      <c r="L32" s="23" t="s">
        <v>49</v>
      </c>
      <c r="M32" s="23" t="s">
        <v>5941</v>
      </c>
      <c r="N32" s="23"/>
      <c r="O32" s="23" t="s">
        <v>6061</v>
      </c>
      <c r="P32" s="23" t="s">
        <v>6062</v>
      </c>
      <c r="Q32" s="23">
        <v>0.0</v>
      </c>
      <c r="R32" s="23">
        <v>0.0</v>
      </c>
      <c r="S32" s="23"/>
      <c r="T32" s="23">
        <v>-99.0</v>
      </c>
      <c r="U32" s="23">
        <v>0.0</v>
      </c>
    </row>
    <row r="33" ht="14.25" customHeight="1">
      <c r="A33" s="23">
        <v>32.0</v>
      </c>
      <c r="B33" s="23" t="s">
        <v>6063</v>
      </c>
      <c r="C33" s="23" t="s">
        <v>5895</v>
      </c>
      <c r="D33" s="23" t="s">
        <v>561</v>
      </c>
      <c r="E33" s="23" t="s">
        <v>5896</v>
      </c>
      <c r="F33" s="23" t="s">
        <v>5907</v>
      </c>
      <c r="G33" s="23">
        <v>-1.0</v>
      </c>
      <c r="H33" s="23" t="s">
        <v>5915</v>
      </c>
      <c r="I33" s="23" t="s">
        <v>5899</v>
      </c>
      <c r="J33" s="23">
        <v>34.0</v>
      </c>
      <c r="K33" s="23" t="s">
        <v>6038</v>
      </c>
      <c r="L33" s="23" t="s">
        <v>49</v>
      </c>
      <c r="M33" s="23"/>
      <c r="N33" s="23" t="s">
        <v>3924</v>
      </c>
      <c r="O33" s="23" t="s">
        <v>6064</v>
      </c>
      <c r="P33" s="23" t="s">
        <v>6065</v>
      </c>
      <c r="Q33" s="23">
        <v>0.0</v>
      </c>
      <c r="R33" s="23">
        <v>0.0</v>
      </c>
      <c r="S33" s="23" t="s">
        <v>6066</v>
      </c>
      <c r="T33" s="23">
        <v>-99.0</v>
      </c>
      <c r="U33" s="23">
        <v>0.0</v>
      </c>
    </row>
    <row r="34" ht="14.25" customHeight="1">
      <c r="A34" s="23">
        <v>33.0</v>
      </c>
      <c r="B34" s="23" t="s">
        <v>6067</v>
      </c>
      <c r="C34" s="23" t="s">
        <v>5921</v>
      </c>
      <c r="D34" s="23" t="s">
        <v>561</v>
      </c>
      <c r="E34" s="23" t="s">
        <v>5896</v>
      </c>
      <c r="F34" s="23" t="s">
        <v>5907</v>
      </c>
      <c r="G34" s="23">
        <v>-1.0</v>
      </c>
      <c r="H34" s="23" t="s">
        <v>5938</v>
      </c>
      <c r="I34" s="23" t="s">
        <v>5899</v>
      </c>
      <c r="J34" s="23">
        <v>28.0</v>
      </c>
      <c r="K34" s="23" t="s">
        <v>6068</v>
      </c>
      <c r="L34" s="23" t="s">
        <v>47</v>
      </c>
      <c r="M34" s="23"/>
      <c r="N34" s="23" t="s">
        <v>3939</v>
      </c>
      <c r="O34" s="23" t="s">
        <v>6069</v>
      </c>
      <c r="P34" s="23" t="s">
        <v>6065</v>
      </c>
      <c r="Q34" s="23">
        <v>0.0</v>
      </c>
      <c r="R34" s="23">
        <v>0.0</v>
      </c>
      <c r="S34" s="23"/>
      <c r="T34" s="23">
        <v>-99.0</v>
      </c>
      <c r="U34" s="23">
        <v>0.0</v>
      </c>
    </row>
    <row r="35" ht="14.25" customHeight="1">
      <c r="A35" s="23">
        <v>34.0</v>
      </c>
      <c r="B35" s="23" t="s">
        <v>6070</v>
      </c>
      <c r="C35" s="23" t="s">
        <v>5895</v>
      </c>
      <c r="D35" s="23" t="s">
        <v>561</v>
      </c>
      <c r="E35" s="23" t="s">
        <v>5896</v>
      </c>
      <c r="F35" s="23" t="s">
        <v>5907</v>
      </c>
      <c r="G35" s="23">
        <v>-1.0</v>
      </c>
      <c r="H35" s="23" t="s">
        <v>5951</v>
      </c>
      <c r="I35" s="23" t="s">
        <v>5952</v>
      </c>
      <c r="J35" s="23">
        <v>29.0</v>
      </c>
      <c r="K35" s="23" t="s">
        <v>6057</v>
      </c>
      <c r="L35" s="23" t="s">
        <v>47</v>
      </c>
      <c r="M35" s="23"/>
      <c r="N35" s="23" t="s">
        <v>3931</v>
      </c>
      <c r="O35" s="23" t="s">
        <v>6071</v>
      </c>
      <c r="P35" s="23"/>
      <c r="Q35" s="23">
        <v>0.0</v>
      </c>
      <c r="R35" s="23">
        <v>0.0</v>
      </c>
      <c r="S35" s="23" t="s">
        <v>6072</v>
      </c>
      <c r="T35" s="23">
        <v>-99.0</v>
      </c>
      <c r="U35" s="23">
        <v>0.0</v>
      </c>
    </row>
    <row r="36" ht="14.25" customHeight="1">
      <c r="A36" s="23">
        <v>35.0</v>
      </c>
      <c r="B36" s="23" t="s">
        <v>6073</v>
      </c>
      <c r="C36" s="23" t="s">
        <v>5895</v>
      </c>
      <c r="D36" s="23" t="s">
        <v>561</v>
      </c>
      <c r="E36" s="23" t="s">
        <v>5896</v>
      </c>
      <c r="F36" s="23" t="s">
        <v>5907</v>
      </c>
      <c r="G36" s="23">
        <v>-1.0</v>
      </c>
      <c r="H36" s="23" t="s">
        <v>5938</v>
      </c>
      <c r="I36" s="23" t="s">
        <v>5909</v>
      </c>
      <c r="J36" s="23">
        <v>32.0</v>
      </c>
      <c r="K36" s="23" t="s">
        <v>6074</v>
      </c>
      <c r="L36" s="23" t="s">
        <v>49</v>
      </c>
      <c r="M36" s="23"/>
      <c r="N36" s="23" t="s">
        <v>3917</v>
      </c>
      <c r="O36" s="23" t="s">
        <v>6075</v>
      </c>
      <c r="P36" s="23"/>
      <c r="Q36" s="23">
        <v>0.0</v>
      </c>
      <c r="R36" s="23">
        <v>0.0</v>
      </c>
      <c r="S36" s="23"/>
      <c r="T36" s="23">
        <v>-99.0</v>
      </c>
      <c r="U36" s="23">
        <v>0.0</v>
      </c>
    </row>
    <row r="37" ht="14.25" customHeight="1">
      <c r="A37" s="23">
        <v>36.0</v>
      </c>
      <c r="B37" s="23" t="s">
        <v>6076</v>
      </c>
      <c r="C37" s="23" t="s">
        <v>5895</v>
      </c>
      <c r="D37" s="23" t="s">
        <v>541</v>
      </c>
      <c r="E37" s="23" t="s">
        <v>5896</v>
      </c>
      <c r="F37" s="23" t="s">
        <v>5897</v>
      </c>
      <c r="G37" s="23">
        <v>6.0</v>
      </c>
      <c r="H37" s="23" t="s">
        <v>5923</v>
      </c>
      <c r="I37" s="23" t="s">
        <v>5931</v>
      </c>
      <c r="J37" s="23">
        <v>47.0</v>
      </c>
      <c r="K37" s="23" t="s">
        <v>6068</v>
      </c>
      <c r="L37" s="23" t="s">
        <v>51</v>
      </c>
      <c r="M37" s="23" t="s">
        <v>5927</v>
      </c>
      <c r="N37" s="23" t="s">
        <v>6077</v>
      </c>
      <c r="O37" s="23" t="s">
        <v>6078</v>
      </c>
      <c r="P37" s="23" t="s">
        <v>6079</v>
      </c>
      <c r="Q37" s="23">
        <v>0.0</v>
      </c>
      <c r="R37" s="23">
        <v>0.0</v>
      </c>
      <c r="S37" s="23" t="s">
        <v>6080</v>
      </c>
      <c r="T37" s="23">
        <v>-99.0</v>
      </c>
      <c r="U37" s="23">
        <v>1.0</v>
      </c>
    </row>
    <row r="38" ht="14.25" customHeight="1">
      <c r="A38" s="23">
        <v>37.0</v>
      </c>
      <c r="B38" s="23" t="s">
        <v>6081</v>
      </c>
      <c r="C38" s="23" t="s">
        <v>5895</v>
      </c>
      <c r="D38" s="23" t="s">
        <v>541</v>
      </c>
      <c r="E38" s="23" t="s">
        <v>5896</v>
      </c>
      <c r="F38" s="23" t="s">
        <v>5968</v>
      </c>
      <c r="G38" s="23">
        <v>-1.0</v>
      </c>
      <c r="H38" s="23" t="s">
        <v>5958</v>
      </c>
      <c r="I38" s="23" t="s">
        <v>5924</v>
      </c>
      <c r="J38" s="23">
        <v>28.0</v>
      </c>
      <c r="K38" s="23" t="s">
        <v>6074</v>
      </c>
      <c r="L38" s="23" t="s">
        <v>48</v>
      </c>
      <c r="M38" s="23" t="s">
        <v>5941</v>
      </c>
      <c r="N38" s="23" t="s">
        <v>6082</v>
      </c>
      <c r="O38" s="23" t="s">
        <v>6083</v>
      </c>
      <c r="P38" s="23" t="s">
        <v>6084</v>
      </c>
      <c r="Q38" s="23">
        <v>0.0</v>
      </c>
      <c r="R38" s="23">
        <v>0.0</v>
      </c>
      <c r="S38" s="23"/>
      <c r="T38" s="23">
        <v>-99.0</v>
      </c>
      <c r="U38" s="23">
        <v>1.0</v>
      </c>
    </row>
    <row r="39" ht="14.25" customHeight="1">
      <c r="A39" s="23">
        <v>38.0</v>
      </c>
      <c r="B39" s="23" t="s">
        <v>6085</v>
      </c>
      <c r="C39" s="23" t="s">
        <v>5921</v>
      </c>
      <c r="D39" s="23" t="s">
        <v>541</v>
      </c>
      <c r="E39" s="23" t="s">
        <v>5896</v>
      </c>
      <c r="F39" s="23" t="s">
        <v>5968</v>
      </c>
      <c r="G39" s="23">
        <v>-1.0</v>
      </c>
      <c r="H39" s="23" t="s">
        <v>5930</v>
      </c>
      <c r="I39" s="23" t="s">
        <v>5931</v>
      </c>
      <c r="J39" s="23">
        <v>27.0</v>
      </c>
      <c r="K39" s="23" t="s">
        <v>6010</v>
      </c>
      <c r="L39" s="23" t="s">
        <v>51</v>
      </c>
      <c r="M39" s="23"/>
      <c r="N39" s="23" t="s">
        <v>6086</v>
      </c>
      <c r="O39" s="23" t="s">
        <v>6087</v>
      </c>
      <c r="P39" s="23" t="s">
        <v>6088</v>
      </c>
      <c r="Q39" s="23">
        <v>0.0</v>
      </c>
      <c r="R39" s="23">
        <v>0.0</v>
      </c>
      <c r="S39" s="23"/>
      <c r="T39" s="23">
        <v>-99.0</v>
      </c>
      <c r="U39" s="23">
        <v>0.0</v>
      </c>
    </row>
    <row r="40" ht="14.25" customHeight="1">
      <c r="A40" s="23">
        <v>39.0</v>
      </c>
      <c r="B40" s="23" t="s">
        <v>6089</v>
      </c>
      <c r="C40" s="23" t="s">
        <v>5895</v>
      </c>
      <c r="D40" s="23" t="s">
        <v>931</v>
      </c>
      <c r="E40" s="23" t="s">
        <v>5896</v>
      </c>
      <c r="F40" s="23" t="s">
        <v>5897</v>
      </c>
      <c r="G40" s="23">
        <v>-1.0</v>
      </c>
      <c r="H40" s="23" t="s">
        <v>5944</v>
      </c>
      <c r="I40" s="23" t="s">
        <v>5899</v>
      </c>
      <c r="J40" s="23">
        <v>58.0</v>
      </c>
      <c r="K40" s="23" t="s">
        <v>6090</v>
      </c>
      <c r="L40" s="23" t="s">
        <v>47</v>
      </c>
      <c r="M40" s="23"/>
      <c r="N40" s="23" t="s">
        <v>6091</v>
      </c>
      <c r="O40" s="23" t="s">
        <v>6092</v>
      </c>
      <c r="P40" s="23" t="s">
        <v>6093</v>
      </c>
      <c r="Q40" s="23">
        <v>0.0</v>
      </c>
      <c r="R40" s="23">
        <v>0.0</v>
      </c>
      <c r="S40" s="23"/>
      <c r="T40" s="23">
        <v>-99.0</v>
      </c>
      <c r="U40" s="23">
        <v>0.0</v>
      </c>
    </row>
    <row r="41" ht="14.25" customHeight="1">
      <c r="A41" s="23">
        <v>40.0</v>
      </c>
      <c r="B41" s="23" t="s">
        <v>6094</v>
      </c>
      <c r="C41" s="23" t="s">
        <v>5895</v>
      </c>
      <c r="D41" s="23" t="s">
        <v>931</v>
      </c>
      <c r="E41" s="23" t="s">
        <v>5896</v>
      </c>
      <c r="F41" s="23" t="s">
        <v>5968</v>
      </c>
      <c r="G41" s="23">
        <v>-1.0</v>
      </c>
      <c r="H41" s="23" t="s">
        <v>5898</v>
      </c>
      <c r="I41" s="23" t="s">
        <v>5931</v>
      </c>
      <c r="J41" s="23">
        <v>66.0</v>
      </c>
      <c r="K41" s="23" t="s">
        <v>6030</v>
      </c>
      <c r="L41" s="23" t="s">
        <v>51</v>
      </c>
      <c r="M41" s="23" t="s">
        <v>5996</v>
      </c>
      <c r="N41" s="23" t="s">
        <v>6095</v>
      </c>
      <c r="O41" s="23" t="s">
        <v>6096</v>
      </c>
      <c r="P41" s="23" t="s">
        <v>6097</v>
      </c>
      <c r="Q41" s="23">
        <v>0.0</v>
      </c>
      <c r="R41" s="23">
        <v>0.0</v>
      </c>
      <c r="S41" s="23"/>
      <c r="T41" s="23">
        <v>-99.0</v>
      </c>
      <c r="U41" s="23">
        <v>0.0</v>
      </c>
    </row>
    <row r="42" ht="14.25" customHeight="1">
      <c r="A42" s="23">
        <v>41.0</v>
      </c>
      <c r="B42" s="23" t="s">
        <v>6098</v>
      </c>
      <c r="C42" s="23" t="s">
        <v>5895</v>
      </c>
      <c r="D42" s="23" t="s">
        <v>931</v>
      </c>
      <c r="E42" s="23" t="s">
        <v>5896</v>
      </c>
      <c r="F42" s="23" t="s">
        <v>5968</v>
      </c>
      <c r="G42" s="23">
        <v>6.0</v>
      </c>
      <c r="H42" s="23" t="s">
        <v>5923</v>
      </c>
      <c r="I42" s="23" t="s">
        <v>5924</v>
      </c>
      <c r="J42" s="23">
        <v>77.0</v>
      </c>
      <c r="K42" s="23" t="s">
        <v>5969</v>
      </c>
      <c r="L42" s="23" t="s">
        <v>50</v>
      </c>
      <c r="M42" s="23" t="s">
        <v>5927</v>
      </c>
      <c r="N42" s="23" t="s">
        <v>6099</v>
      </c>
      <c r="O42" s="23" t="s">
        <v>6100</v>
      </c>
      <c r="P42" s="23" t="s">
        <v>6101</v>
      </c>
      <c r="Q42" s="23">
        <v>0.0</v>
      </c>
      <c r="R42" s="23">
        <v>0.0</v>
      </c>
      <c r="S42" s="23"/>
      <c r="T42" s="23">
        <v>-99.0</v>
      </c>
      <c r="U42" s="23">
        <v>0.0</v>
      </c>
    </row>
    <row r="43" ht="14.25" customHeight="1">
      <c r="A43" s="23">
        <v>42.0</v>
      </c>
      <c r="B43" s="23" t="s">
        <v>6102</v>
      </c>
      <c r="C43" s="23" t="s">
        <v>5895</v>
      </c>
      <c r="D43" s="23" t="s">
        <v>1493</v>
      </c>
      <c r="E43" s="23" t="s">
        <v>5896</v>
      </c>
      <c r="F43" s="23" t="s">
        <v>5897</v>
      </c>
      <c r="G43" s="23">
        <v>-1.0</v>
      </c>
      <c r="H43" s="23" t="s">
        <v>5898</v>
      </c>
      <c r="I43" s="23" t="s">
        <v>5931</v>
      </c>
      <c r="J43" s="23">
        <v>45.0</v>
      </c>
      <c r="K43" s="23" t="s">
        <v>5994</v>
      </c>
      <c r="L43" s="23" t="s">
        <v>6103</v>
      </c>
      <c r="M43" s="23" t="s">
        <v>5927</v>
      </c>
      <c r="N43" s="23" t="s">
        <v>6104</v>
      </c>
      <c r="O43" s="23" t="s">
        <v>6105</v>
      </c>
      <c r="P43" s="23" t="s">
        <v>6106</v>
      </c>
      <c r="Q43" s="23">
        <v>0.0</v>
      </c>
      <c r="R43" s="23">
        <v>0.0</v>
      </c>
      <c r="S43" s="23" t="s">
        <v>6107</v>
      </c>
      <c r="T43" s="23">
        <v>-99.0</v>
      </c>
      <c r="U43" s="23">
        <v>0.0</v>
      </c>
    </row>
    <row r="44" ht="14.25" customHeight="1">
      <c r="A44" s="23">
        <v>43.0</v>
      </c>
      <c r="B44" s="23" t="s">
        <v>6108</v>
      </c>
      <c r="C44" s="23" t="s">
        <v>5921</v>
      </c>
      <c r="D44" s="23" t="s">
        <v>1493</v>
      </c>
      <c r="E44" s="23" t="s">
        <v>5896</v>
      </c>
      <c r="F44" s="23" t="s">
        <v>5968</v>
      </c>
      <c r="G44" s="23">
        <v>-1.0</v>
      </c>
      <c r="H44" s="23" t="s">
        <v>5930</v>
      </c>
      <c r="I44" s="23" t="s">
        <v>5924</v>
      </c>
      <c r="J44" s="23">
        <v>21.0</v>
      </c>
      <c r="K44" s="23" t="s">
        <v>5980</v>
      </c>
      <c r="L44" s="23" t="s">
        <v>6109</v>
      </c>
      <c r="M44" s="23" t="s">
        <v>6001</v>
      </c>
      <c r="N44" s="23" t="s">
        <v>6110</v>
      </c>
      <c r="O44" s="23" t="s">
        <v>6111</v>
      </c>
      <c r="P44" s="23" t="s">
        <v>6112</v>
      </c>
      <c r="Q44" s="23">
        <v>0.0</v>
      </c>
      <c r="R44" s="23">
        <v>0.0</v>
      </c>
      <c r="S44" s="23"/>
      <c r="T44" s="23">
        <v>-99.0</v>
      </c>
      <c r="U44" s="23">
        <v>1.0</v>
      </c>
    </row>
    <row r="45" ht="14.25" customHeight="1">
      <c r="A45" s="23">
        <v>44.0</v>
      </c>
      <c r="B45" s="23" t="s">
        <v>6113</v>
      </c>
      <c r="C45" s="23" t="s">
        <v>5895</v>
      </c>
      <c r="D45" s="23" t="s">
        <v>1493</v>
      </c>
      <c r="E45" s="23" t="s">
        <v>5896</v>
      </c>
      <c r="F45" s="23" t="s">
        <v>5968</v>
      </c>
      <c r="G45" s="23">
        <v>-1.0</v>
      </c>
      <c r="H45" s="23" t="s">
        <v>5908</v>
      </c>
      <c r="I45" s="23" t="s">
        <v>5899</v>
      </c>
      <c r="J45" s="23">
        <v>41.0</v>
      </c>
      <c r="K45" s="23" t="s">
        <v>6090</v>
      </c>
      <c r="L45" s="23" t="s">
        <v>6109</v>
      </c>
      <c r="M45" s="23"/>
      <c r="N45" s="23" t="s">
        <v>4598</v>
      </c>
      <c r="O45" s="23" t="s">
        <v>6114</v>
      </c>
      <c r="P45" s="23" t="s">
        <v>6115</v>
      </c>
      <c r="Q45" s="23">
        <v>0.0</v>
      </c>
      <c r="R45" s="23">
        <v>0.0</v>
      </c>
      <c r="S45" s="23"/>
      <c r="T45" s="23">
        <v>-99.0</v>
      </c>
      <c r="U45" s="23">
        <v>0.0</v>
      </c>
    </row>
    <row r="46" ht="14.25" customHeight="1">
      <c r="A46" s="23">
        <v>45.0</v>
      </c>
      <c r="B46" s="23" t="s">
        <v>6116</v>
      </c>
      <c r="C46" s="23" t="s">
        <v>5895</v>
      </c>
      <c r="D46" s="23" t="s">
        <v>4633</v>
      </c>
      <c r="E46" s="23" t="s">
        <v>5896</v>
      </c>
      <c r="F46" s="23" t="s">
        <v>5897</v>
      </c>
      <c r="G46" s="23">
        <v>-1.0</v>
      </c>
      <c r="H46" s="23" t="s">
        <v>5908</v>
      </c>
      <c r="I46" s="23" t="s">
        <v>5952</v>
      </c>
      <c r="J46" s="23">
        <v>28.0</v>
      </c>
      <c r="K46" s="23" t="s">
        <v>5969</v>
      </c>
      <c r="L46" s="23" t="s">
        <v>6117</v>
      </c>
      <c r="M46" s="23" t="s">
        <v>5970</v>
      </c>
      <c r="N46" s="23" t="s">
        <v>4755</v>
      </c>
      <c r="O46" s="23" t="s">
        <v>6118</v>
      </c>
      <c r="P46" s="23" t="s">
        <v>6119</v>
      </c>
      <c r="Q46" s="23">
        <v>0.0</v>
      </c>
      <c r="R46" s="23">
        <v>0.0</v>
      </c>
      <c r="S46" s="23"/>
      <c r="T46" s="23">
        <v>-99.0</v>
      </c>
      <c r="U46" s="23">
        <v>0.0</v>
      </c>
    </row>
    <row r="47" ht="14.25" customHeight="1">
      <c r="A47" s="23">
        <v>46.0</v>
      </c>
      <c r="B47" s="23" t="s">
        <v>6120</v>
      </c>
      <c r="C47" s="23" t="s">
        <v>5921</v>
      </c>
      <c r="D47" s="23" t="s">
        <v>4633</v>
      </c>
      <c r="E47" s="23" t="s">
        <v>5896</v>
      </c>
      <c r="F47" s="23" t="s">
        <v>5968</v>
      </c>
      <c r="G47" s="23">
        <v>-1.0</v>
      </c>
      <c r="H47" s="23" t="s">
        <v>5975</v>
      </c>
      <c r="I47" s="23" t="s">
        <v>5931</v>
      </c>
      <c r="J47" s="23">
        <v>33.0</v>
      </c>
      <c r="K47" s="23" t="s">
        <v>6057</v>
      </c>
      <c r="L47" s="23" t="s">
        <v>6014</v>
      </c>
      <c r="M47" s="23"/>
      <c r="N47" s="23" t="s">
        <v>4749</v>
      </c>
      <c r="O47" s="23" t="s">
        <v>6121</v>
      </c>
      <c r="P47" s="23" t="s">
        <v>6122</v>
      </c>
      <c r="Q47" s="23">
        <v>0.0</v>
      </c>
      <c r="R47" s="23">
        <v>0.0</v>
      </c>
      <c r="S47" s="23"/>
      <c r="T47" s="23">
        <v>-99.0</v>
      </c>
      <c r="U47" s="23">
        <v>0.0</v>
      </c>
    </row>
    <row r="48" ht="14.25" customHeight="1">
      <c r="A48" s="23">
        <v>47.0</v>
      </c>
      <c r="B48" s="23" t="s">
        <v>6123</v>
      </c>
      <c r="C48" s="23" t="s">
        <v>5895</v>
      </c>
      <c r="D48" s="23" t="s">
        <v>465</v>
      </c>
      <c r="E48" s="23" t="s">
        <v>5896</v>
      </c>
      <c r="F48" s="23" t="s">
        <v>5897</v>
      </c>
      <c r="G48" s="23">
        <v>-1.0</v>
      </c>
      <c r="H48" s="23" t="s">
        <v>5958</v>
      </c>
      <c r="I48" s="23" t="s">
        <v>5931</v>
      </c>
      <c r="J48" s="23">
        <v>38.0</v>
      </c>
      <c r="K48" s="23" t="s">
        <v>6074</v>
      </c>
      <c r="L48" s="23" t="s">
        <v>6124</v>
      </c>
      <c r="M48" s="23"/>
      <c r="N48" s="23" t="s">
        <v>4912</v>
      </c>
      <c r="O48" s="23" t="s">
        <v>6125</v>
      </c>
      <c r="P48" s="23" t="s">
        <v>6126</v>
      </c>
      <c r="Q48" s="23">
        <v>0.0</v>
      </c>
      <c r="R48" s="23">
        <v>0.0</v>
      </c>
      <c r="S48" s="23"/>
      <c r="T48" s="23">
        <v>-99.0</v>
      </c>
      <c r="U48" s="23">
        <v>0.0</v>
      </c>
    </row>
    <row r="49" ht="14.25" customHeight="1">
      <c r="A49" s="23">
        <v>48.0</v>
      </c>
      <c r="B49" s="23" t="s">
        <v>6127</v>
      </c>
      <c r="C49" s="23" t="s">
        <v>5921</v>
      </c>
      <c r="D49" s="23" t="s">
        <v>465</v>
      </c>
      <c r="E49" s="23" t="s">
        <v>5896</v>
      </c>
      <c r="F49" s="23" t="s">
        <v>5968</v>
      </c>
      <c r="G49" s="23">
        <v>-1.0</v>
      </c>
      <c r="H49" s="23" t="s">
        <v>5930</v>
      </c>
      <c r="I49" s="23" t="s">
        <v>5899</v>
      </c>
      <c r="J49" s="23">
        <v>30.0</v>
      </c>
      <c r="K49" s="23" t="s">
        <v>5945</v>
      </c>
      <c r="L49" s="23" t="s">
        <v>6128</v>
      </c>
      <c r="M49" s="23"/>
      <c r="N49" s="23" t="s">
        <v>6129</v>
      </c>
      <c r="O49" s="23" t="s">
        <v>6130</v>
      </c>
      <c r="P49" s="23" t="s">
        <v>6131</v>
      </c>
      <c r="Q49" s="23">
        <v>0.0</v>
      </c>
      <c r="R49" s="23">
        <v>0.0</v>
      </c>
      <c r="S49" s="23"/>
      <c r="T49" s="23">
        <v>-99.0</v>
      </c>
      <c r="U49" s="23">
        <v>0.0</v>
      </c>
    </row>
    <row r="50" ht="14.25" customHeight="1">
      <c r="A50" s="23">
        <v>49.0</v>
      </c>
      <c r="B50" s="23" t="s">
        <v>6132</v>
      </c>
      <c r="C50" s="23" t="s">
        <v>5895</v>
      </c>
      <c r="D50" s="23" t="s">
        <v>4928</v>
      </c>
      <c r="E50" s="23" t="s">
        <v>5896</v>
      </c>
      <c r="F50" s="23" t="s">
        <v>5897</v>
      </c>
      <c r="G50" s="23">
        <v>-1.0</v>
      </c>
      <c r="H50" s="23" t="s">
        <v>5944</v>
      </c>
      <c r="I50" s="23" t="s">
        <v>5931</v>
      </c>
      <c r="J50" s="23">
        <v>68.0</v>
      </c>
      <c r="K50" s="23" t="s">
        <v>6010</v>
      </c>
      <c r="L50" s="23" t="s">
        <v>47</v>
      </c>
      <c r="M50" s="23" t="s">
        <v>6133</v>
      </c>
      <c r="N50" s="23" t="s">
        <v>6134</v>
      </c>
      <c r="O50" s="23" t="s">
        <v>6135</v>
      </c>
      <c r="P50" s="23" t="s">
        <v>6136</v>
      </c>
      <c r="Q50" s="23">
        <v>0.0</v>
      </c>
      <c r="R50" s="23">
        <v>0.0</v>
      </c>
      <c r="S50" s="23"/>
      <c r="T50" s="23">
        <v>-99.0</v>
      </c>
      <c r="U50" s="23">
        <v>0.0</v>
      </c>
    </row>
    <row r="51" ht="14.25" customHeight="1">
      <c r="A51" s="23">
        <v>50.0</v>
      </c>
      <c r="B51" s="23" t="s">
        <v>6137</v>
      </c>
      <c r="C51" s="23" t="s">
        <v>5921</v>
      </c>
      <c r="D51" s="23" t="s">
        <v>4928</v>
      </c>
      <c r="E51" s="23" t="s">
        <v>5896</v>
      </c>
      <c r="F51" s="23" t="s">
        <v>5968</v>
      </c>
      <c r="G51" s="23">
        <v>-1.0</v>
      </c>
      <c r="H51" s="23" t="s">
        <v>5908</v>
      </c>
      <c r="I51" s="23" t="s">
        <v>5899</v>
      </c>
      <c r="J51" s="23">
        <v>36.0</v>
      </c>
      <c r="K51" s="23" t="s">
        <v>6019</v>
      </c>
      <c r="L51" s="23" t="s">
        <v>48</v>
      </c>
      <c r="M51" s="23"/>
      <c r="N51" s="23" t="s">
        <v>6138</v>
      </c>
      <c r="O51" s="23" t="s">
        <v>6139</v>
      </c>
      <c r="P51" s="23" t="s">
        <v>6140</v>
      </c>
      <c r="Q51" s="23">
        <v>0.0</v>
      </c>
      <c r="R51" s="23">
        <v>0.0</v>
      </c>
      <c r="S51" s="23"/>
      <c r="T51" s="23">
        <v>-99.0</v>
      </c>
      <c r="U51" s="23">
        <v>0.0</v>
      </c>
    </row>
    <row r="52" ht="14.25" customHeight="1">
      <c r="A52" s="23">
        <v>51.0</v>
      </c>
      <c r="B52" s="23" t="s">
        <v>6141</v>
      </c>
      <c r="C52" s="23" t="s">
        <v>5921</v>
      </c>
      <c r="D52" s="23" t="s">
        <v>4928</v>
      </c>
      <c r="E52" s="23" t="s">
        <v>5896</v>
      </c>
      <c r="F52" s="23" t="s">
        <v>5914</v>
      </c>
      <c r="G52" s="23">
        <v>6.0</v>
      </c>
      <c r="H52" s="23" t="s">
        <v>5923</v>
      </c>
      <c r="I52" s="23" t="s">
        <v>5924</v>
      </c>
      <c r="J52" s="23">
        <v>18.0</v>
      </c>
      <c r="K52" s="23" t="s">
        <v>5994</v>
      </c>
      <c r="L52" s="23" t="s">
        <v>5926</v>
      </c>
      <c r="M52" s="23" t="s">
        <v>6133</v>
      </c>
      <c r="N52" s="23" t="s">
        <v>6142</v>
      </c>
      <c r="O52" s="23" t="s">
        <v>6143</v>
      </c>
      <c r="P52" s="23" t="s">
        <v>6144</v>
      </c>
      <c r="Q52" s="23">
        <v>0.0</v>
      </c>
      <c r="R52" s="23">
        <v>0.0</v>
      </c>
      <c r="S52" s="23"/>
      <c r="T52" s="23">
        <v>-99.0</v>
      </c>
      <c r="U52" s="23">
        <v>1.0</v>
      </c>
    </row>
    <row r="53" ht="14.25" customHeight="1">
      <c r="A53" s="23">
        <v>52.0</v>
      </c>
      <c r="B53" s="23" t="s">
        <v>6145</v>
      </c>
      <c r="C53" s="23" t="s">
        <v>5895</v>
      </c>
      <c r="D53" s="23" t="s">
        <v>496</v>
      </c>
      <c r="E53" s="23" t="s">
        <v>5896</v>
      </c>
      <c r="F53" s="23" t="s">
        <v>5897</v>
      </c>
      <c r="G53" s="23">
        <v>-1.0</v>
      </c>
      <c r="H53" s="23" t="s">
        <v>5915</v>
      </c>
      <c r="I53" s="23" t="s">
        <v>5931</v>
      </c>
      <c r="J53" s="23">
        <v>43.0</v>
      </c>
      <c r="K53" s="23" t="s">
        <v>6019</v>
      </c>
      <c r="L53" s="23" t="s">
        <v>6146</v>
      </c>
      <c r="M53" s="23"/>
      <c r="N53" s="23" t="s">
        <v>6147</v>
      </c>
      <c r="O53" s="23" t="s">
        <v>6148</v>
      </c>
      <c r="P53" s="23" t="s">
        <v>6149</v>
      </c>
      <c r="Q53" s="23">
        <v>0.0</v>
      </c>
      <c r="R53" s="23">
        <v>0.0</v>
      </c>
      <c r="S53" s="23"/>
      <c r="T53" s="23">
        <v>-99.0</v>
      </c>
      <c r="U53" s="23">
        <v>0.0</v>
      </c>
    </row>
    <row r="54" ht="14.25" customHeight="1">
      <c r="A54" s="23">
        <v>53.0</v>
      </c>
      <c r="B54" s="23" t="s">
        <v>6150</v>
      </c>
      <c r="C54" s="23" t="s">
        <v>5921</v>
      </c>
      <c r="D54" s="23" t="s">
        <v>496</v>
      </c>
      <c r="E54" s="23" t="s">
        <v>5896</v>
      </c>
      <c r="F54" s="23" t="s">
        <v>5968</v>
      </c>
      <c r="G54" s="23">
        <v>-1.0</v>
      </c>
      <c r="H54" s="23" t="s">
        <v>5908</v>
      </c>
      <c r="I54" s="23" t="s">
        <v>5899</v>
      </c>
      <c r="J54" s="23">
        <v>32.0</v>
      </c>
      <c r="K54" s="23" t="s">
        <v>6038</v>
      </c>
      <c r="L54" s="23" t="s">
        <v>51</v>
      </c>
      <c r="M54" s="23"/>
      <c r="N54" s="23" t="s">
        <v>6151</v>
      </c>
      <c r="O54" s="23" t="s">
        <v>6152</v>
      </c>
      <c r="P54" s="23" t="s">
        <v>6153</v>
      </c>
      <c r="Q54" s="23">
        <v>0.0</v>
      </c>
      <c r="R54" s="23">
        <v>0.0</v>
      </c>
      <c r="S54" s="23"/>
      <c r="T54" s="23">
        <v>-99.0</v>
      </c>
      <c r="U54" s="23">
        <v>0.0</v>
      </c>
    </row>
    <row r="55" ht="14.25" customHeight="1">
      <c r="A55" s="23">
        <v>54.0</v>
      </c>
      <c r="B55" s="23" t="s">
        <v>6154</v>
      </c>
      <c r="C55" s="23" t="s">
        <v>5921</v>
      </c>
      <c r="D55" s="23" t="s">
        <v>5224</v>
      </c>
      <c r="E55" s="23" t="s">
        <v>5896</v>
      </c>
      <c r="F55" s="23" t="s">
        <v>5897</v>
      </c>
      <c r="G55" s="23">
        <v>-1.0</v>
      </c>
      <c r="H55" s="23" t="s">
        <v>5951</v>
      </c>
      <c r="I55" s="23" t="s">
        <v>5924</v>
      </c>
      <c r="J55" s="23">
        <v>21.0</v>
      </c>
      <c r="K55" s="23" t="s">
        <v>5994</v>
      </c>
      <c r="L55" s="23" t="s">
        <v>51</v>
      </c>
      <c r="M55" s="23" t="s">
        <v>6034</v>
      </c>
      <c r="N55" s="23" t="s">
        <v>5365</v>
      </c>
      <c r="O55" s="23" t="s">
        <v>6155</v>
      </c>
      <c r="P55" s="23" t="s">
        <v>6156</v>
      </c>
      <c r="Q55" s="23">
        <v>0.0</v>
      </c>
      <c r="R55" s="23">
        <v>0.0</v>
      </c>
      <c r="S55" s="23" t="s">
        <v>6157</v>
      </c>
      <c r="T55" s="23">
        <v>-99.0</v>
      </c>
      <c r="U55" s="23">
        <v>0.0</v>
      </c>
    </row>
    <row r="56" ht="14.25" customHeight="1">
      <c r="A56" s="23">
        <v>55.0</v>
      </c>
      <c r="B56" s="23" t="s">
        <v>6158</v>
      </c>
      <c r="C56" s="23" t="s">
        <v>5895</v>
      </c>
      <c r="D56" s="23" t="s">
        <v>5224</v>
      </c>
      <c r="E56" s="23" t="s">
        <v>5896</v>
      </c>
      <c r="F56" s="23" t="s">
        <v>5968</v>
      </c>
      <c r="G56" s="23">
        <v>-1.0</v>
      </c>
      <c r="H56" s="23" t="s">
        <v>5958</v>
      </c>
      <c r="I56" s="23" t="s">
        <v>5899</v>
      </c>
      <c r="J56" s="23">
        <v>23.0</v>
      </c>
      <c r="K56" s="23" t="s">
        <v>6159</v>
      </c>
      <c r="L56" s="23" t="s">
        <v>52</v>
      </c>
      <c r="M56" s="23" t="s">
        <v>6133</v>
      </c>
      <c r="N56" s="23" t="s">
        <v>6160</v>
      </c>
      <c r="O56" s="23" t="s">
        <v>6161</v>
      </c>
      <c r="P56" s="23" t="s">
        <v>6162</v>
      </c>
      <c r="Q56" s="23">
        <v>0.0</v>
      </c>
      <c r="R56" s="23">
        <v>0.0</v>
      </c>
      <c r="S56" s="23"/>
      <c r="T56" s="23">
        <v>-99.0</v>
      </c>
      <c r="U56" s="23">
        <v>0.0</v>
      </c>
    </row>
    <row r="57" ht="14.25" customHeight="1">
      <c r="A57" s="23">
        <v>56.0</v>
      </c>
      <c r="B57" s="23" t="s">
        <v>6163</v>
      </c>
      <c r="C57" s="23" t="s">
        <v>5895</v>
      </c>
      <c r="D57" s="23" t="s">
        <v>5371</v>
      </c>
      <c r="E57" s="23" t="s">
        <v>5896</v>
      </c>
      <c r="F57" s="23" t="s">
        <v>5897</v>
      </c>
      <c r="G57" s="23">
        <v>-1.0</v>
      </c>
      <c r="H57" s="23" t="s">
        <v>5898</v>
      </c>
      <c r="I57" s="23" t="s">
        <v>5931</v>
      </c>
      <c r="J57" s="23">
        <v>45.0</v>
      </c>
      <c r="K57" s="23" t="s">
        <v>6019</v>
      </c>
      <c r="L57" s="23" t="s">
        <v>6164</v>
      </c>
      <c r="M57" s="23" t="s">
        <v>6034</v>
      </c>
      <c r="N57" s="23" t="s">
        <v>5511</v>
      </c>
      <c r="O57" s="23" t="s">
        <v>6165</v>
      </c>
      <c r="P57" s="23" t="s">
        <v>6166</v>
      </c>
      <c r="Q57" s="23">
        <v>0.0</v>
      </c>
      <c r="R57" s="23">
        <v>0.0</v>
      </c>
      <c r="S57" s="23" t="s">
        <v>6167</v>
      </c>
      <c r="T57" s="23">
        <v>-99.0</v>
      </c>
      <c r="U57" s="23">
        <v>0.0</v>
      </c>
    </row>
    <row r="58" ht="14.25" customHeight="1">
      <c r="A58" s="23">
        <v>57.0</v>
      </c>
      <c r="B58" s="23" t="s">
        <v>6168</v>
      </c>
      <c r="C58" s="23" t="s">
        <v>5895</v>
      </c>
      <c r="D58" s="23" t="s">
        <v>5371</v>
      </c>
      <c r="E58" s="23" t="s">
        <v>5896</v>
      </c>
      <c r="F58" s="23" t="s">
        <v>5968</v>
      </c>
      <c r="G58" s="23">
        <v>-1.0</v>
      </c>
      <c r="H58" s="23" t="s">
        <v>5938</v>
      </c>
      <c r="I58" s="23" t="s">
        <v>5899</v>
      </c>
      <c r="J58" s="23">
        <v>23.0</v>
      </c>
      <c r="K58" s="23" t="s">
        <v>6038</v>
      </c>
      <c r="L58" s="23" t="s">
        <v>6169</v>
      </c>
      <c r="M58" s="23"/>
      <c r="N58" s="23" t="s">
        <v>5504</v>
      </c>
      <c r="O58" s="23" t="s">
        <v>6170</v>
      </c>
      <c r="P58" s="23" t="s">
        <v>6171</v>
      </c>
      <c r="Q58" s="23">
        <v>0.0</v>
      </c>
      <c r="R58" s="23">
        <v>0.0</v>
      </c>
      <c r="S58" s="23" t="s">
        <v>6172</v>
      </c>
      <c r="T58" s="23">
        <v>-99.0</v>
      </c>
      <c r="U58" s="23">
        <v>0.0</v>
      </c>
    </row>
    <row r="59" ht="14.25" customHeight="1">
      <c r="A59" s="23">
        <v>58.0</v>
      </c>
      <c r="B59" s="23" t="s">
        <v>6173</v>
      </c>
      <c r="C59" s="23" t="s">
        <v>5921</v>
      </c>
      <c r="D59" s="23" t="s">
        <v>5371</v>
      </c>
      <c r="E59" s="23" t="s">
        <v>5896</v>
      </c>
      <c r="F59" s="23" t="s">
        <v>5968</v>
      </c>
      <c r="G59" s="23">
        <v>-1.0</v>
      </c>
      <c r="H59" s="23" t="s">
        <v>5958</v>
      </c>
      <c r="I59" s="23" t="s">
        <v>5909</v>
      </c>
      <c r="J59" s="23">
        <v>19.0</v>
      </c>
      <c r="K59" s="23" t="s">
        <v>6068</v>
      </c>
      <c r="L59" s="23" t="s">
        <v>52</v>
      </c>
      <c r="M59" s="23"/>
      <c r="N59" s="23" t="s">
        <v>5495</v>
      </c>
      <c r="O59" s="23" t="s">
        <v>6174</v>
      </c>
      <c r="P59" s="23" t="s">
        <v>6175</v>
      </c>
      <c r="Q59" s="23">
        <v>0.0</v>
      </c>
      <c r="R59" s="23">
        <v>0.0</v>
      </c>
      <c r="S59" s="23" t="s">
        <v>6176</v>
      </c>
      <c r="T59" s="23">
        <v>-99.0</v>
      </c>
      <c r="U59" s="23">
        <v>0.0</v>
      </c>
    </row>
    <row r="60" ht="14.25" customHeight="1">
      <c r="A60" s="23">
        <v>59.0</v>
      </c>
      <c r="B60" s="23" t="s">
        <v>6177</v>
      </c>
      <c r="C60" s="23" t="s">
        <v>5895</v>
      </c>
      <c r="D60" s="23" t="s">
        <v>5523</v>
      </c>
      <c r="E60" s="23" t="s">
        <v>5896</v>
      </c>
      <c r="F60" s="23" t="s">
        <v>5897</v>
      </c>
      <c r="G60" s="23">
        <v>-1.0</v>
      </c>
      <c r="H60" s="23" t="s">
        <v>5908</v>
      </c>
      <c r="I60" s="23" t="s">
        <v>5899</v>
      </c>
      <c r="J60" s="23">
        <v>55.0</v>
      </c>
      <c r="K60" s="23" t="s">
        <v>5963</v>
      </c>
      <c r="L60" s="23" t="s">
        <v>51</v>
      </c>
      <c r="M60" s="23"/>
      <c r="N60" s="23" t="s">
        <v>6178</v>
      </c>
      <c r="O60" s="23" t="s">
        <v>6179</v>
      </c>
      <c r="P60" s="23" t="s">
        <v>6180</v>
      </c>
      <c r="Q60" s="23">
        <v>0.0</v>
      </c>
      <c r="R60" s="23">
        <v>0.0</v>
      </c>
      <c r="S60" s="23"/>
      <c r="T60" s="23">
        <v>-99.0</v>
      </c>
      <c r="U60" s="23">
        <v>0.0</v>
      </c>
    </row>
    <row r="61" ht="14.25" customHeight="1">
      <c r="A61" s="23">
        <v>60.0</v>
      </c>
      <c r="B61" s="23" t="s">
        <v>6181</v>
      </c>
      <c r="C61" s="23" t="s">
        <v>5895</v>
      </c>
      <c r="D61" s="23" t="s">
        <v>5523</v>
      </c>
      <c r="E61" s="23" t="s">
        <v>5896</v>
      </c>
      <c r="F61" s="23" t="s">
        <v>5968</v>
      </c>
      <c r="G61" s="23">
        <v>-1.0</v>
      </c>
      <c r="H61" s="23" t="s">
        <v>5951</v>
      </c>
      <c r="I61" s="23" t="s">
        <v>5909</v>
      </c>
      <c r="J61" s="23">
        <v>65.0</v>
      </c>
      <c r="K61" s="23" t="s">
        <v>6068</v>
      </c>
      <c r="L61" s="23" t="s">
        <v>49</v>
      </c>
      <c r="M61" s="23"/>
      <c r="N61" s="23" t="s">
        <v>6182</v>
      </c>
      <c r="O61" s="23" t="s">
        <v>6183</v>
      </c>
      <c r="P61" s="23" t="s">
        <v>6184</v>
      </c>
      <c r="Q61" s="23">
        <v>0.0</v>
      </c>
      <c r="R61" s="23">
        <v>0.0</v>
      </c>
      <c r="S61" s="23"/>
      <c r="T61" s="23">
        <v>-99.0</v>
      </c>
      <c r="U61" s="23">
        <v>0.0</v>
      </c>
    </row>
    <row r="62" ht="14.25" customHeight="1">
      <c r="A62" s="23">
        <v>61.0</v>
      </c>
      <c r="B62" s="23" t="s">
        <v>6185</v>
      </c>
      <c r="C62" s="23" t="s">
        <v>5921</v>
      </c>
      <c r="D62" s="23" t="s">
        <v>5523</v>
      </c>
      <c r="E62" s="23" t="s">
        <v>5896</v>
      </c>
      <c r="F62" s="23" t="s">
        <v>5968</v>
      </c>
      <c r="G62" s="23">
        <v>-1.0</v>
      </c>
      <c r="H62" s="23" t="s">
        <v>5958</v>
      </c>
      <c r="I62" s="23" t="s">
        <v>5931</v>
      </c>
      <c r="J62" s="23">
        <v>42.0</v>
      </c>
      <c r="K62" s="23" t="s">
        <v>6074</v>
      </c>
      <c r="L62" s="23" t="s">
        <v>6186</v>
      </c>
      <c r="M62" s="23" t="s">
        <v>5970</v>
      </c>
      <c r="N62" s="23" t="s">
        <v>6187</v>
      </c>
      <c r="O62" s="23" t="s">
        <v>6188</v>
      </c>
      <c r="P62" s="23" t="s">
        <v>6189</v>
      </c>
      <c r="Q62" s="23">
        <v>0.0</v>
      </c>
      <c r="R62" s="23">
        <v>0.0</v>
      </c>
      <c r="S62" s="23"/>
      <c r="T62" s="23">
        <v>-99.0</v>
      </c>
      <c r="U62" s="23">
        <v>0.0</v>
      </c>
    </row>
    <row r="63" ht="14.25" customHeight="1">
      <c r="A63" s="23">
        <v>62.0</v>
      </c>
      <c r="B63" s="23" t="s">
        <v>6190</v>
      </c>
      <c r="C63" s="23" t="s">
        <v>5921</v>
      </c>
      <c r="D63" s="23" t="s">
        <v>418</v>
      </c>
      <c r="E63" s="23" t="s">
        <v>5896</v>
      </c>
      <c r="F63" s="23" t="s">
        <v>5897</v>
      </c>
      <c r="G63" s="23">
        <v>-1.0</v>
      </c>
      <c r="H63" s="23" t="s">
        <v>5915</v>
      </c>
      <c r="I63" s="23" t="s">
        <v>5931</v>
      </c>
      <c r="J63" s="23">
        <v>38.0</v>
      </c>
      <c r="K63" s="23" t="s">
        <v>6050</v>
      </c>
      <c r="L63" s="23" t="s">
        <v>6103</v>
      </c>
      <c r="M63" s="23"/>
      <c r="N63" s="23" t="s">
        <v>6191</v>
      </c>
      <c r="O63" s="23" t="s">
        <v>6192</v>
      </c>
      <c r="P63" s="23" t="s">
        <v>6193</v>
      </c>
      <c r="Q63" s="23">
        <v>0.0</v>
      </c>
      <c r="R63" s="23">
        <v>0.0</v>
      </c>
      <c r="S63" s="23"/>
      <c r="T63" s="23">
        <v>-99.0</v>
      </c>
      <c r="U63" s="23">
        <v>0.0</v>
      </c>
    </row>
    <row r="64" ht="14.25" customHeight="1">
      <c r="A64" s="23">
        <v>63.0</v>
      </c>
      <c r="B64" s="23" t="s">
        <v>6194</v>
      </c>
      <c r="C64" s="23" t="s">
        <v>5895</v>
      </c>
      <c r="D64" s="23" t="s">
        <v>418</v>
      </c>
      <c r="E64" s="23" t="s">
        <v>5896</v>
      </c>
      <c r="F64" s="23" t="s">
        <v>5968</v>
      </c>
      <c r="G64" s="23">
        <v>-1.0</v>
      </c>
      <c r="H64" s="23" t="s">
        <v>5944</v>
      </c>
      <c r="I64" s="23" t="s">
        <v>5899</v>
      </c>
      <c r="J64" s="23">
        <v>29.0</v>
      </c>
      <c r="K64" s="23" t="s">
        <v>5900</v>
      </c>
      <c r="L64" s="23" t="s">
        <v>6103</v>
      </c>
      <c r="M64" s="23" t="s">
        <v>5996</v>
      </c>
      <c r="N64" s="23" t="s">
        <v>6195</v>
      </c>
      <c r="O64" s="23" t="s">
        <v>6196</v>
      </c>
      <c r="P64" s="23" t="s">
        <v>6197</v>
      </c>
      <c r="Q64" s="23">
        <v>0.0</v>
      </c>
      <c r="R64" s="23">
        <v>0.0</v>
      </c>
      <c r="S64" s="23"/>
      <c r="T64" s="23">
        <v>-99.0</v>
      </c>
      <c r="U64" s="23">
        <v>0.0</v>
      </c>
    </row>
    <row r="65" ht="14.25" customHeight="1">
      <c r="A65" s="23">
        <v>64.0</v>
      </c>
      <c r="B65" s="23" t="s">
        <v>6198</v>
      </c>
      <c r="C65" s="23" t="s">
        <v>5921</v>
      </c>
      <c r="D65" s="23" t="s">
        <v>418</v>
      </c>
      <c r="E65" s="23" t="s">
        <v>5896</v>
      </c>
      <c r="F65" s="23" t="s">
        <v>5907</v>
      </c>
      <c r="G65" s="23">
        <v>-1.0</v>
      </c>
      <c r="H65" s="23" t="s">
        <v>5923</v>
      </c>
      <c r="I65" s="23" t="s">
        <v>5931</v>
      </c>
      <c r="J65" s="23">
        <v>26.0</v>
      </c>
      <c r="K65" s="23" t="s">
        <v>5932</v>
      </c>
      <c r="L65" s="23" t="s">
        <v>48</v>
      </c>
      <c r="M65" s="23"/>
      <c r="N65" s="23" t="s">
        <v>6199</v>
      </c>
      <c r="O65" s="23" t="s">
        <v>6200</v>
      </c>
      <c r="P65" s="23" t="s">
        <v>6201</v>
      </c>
      <c r="Q65" s="23">
        <v>0.0</v>
      </c>
      <c r="R65" s="23">
        <v>0.0</v>
      </c>
      <c r="S65" s="23"/>
      <c r="T65" s="23">
        <v>-99.0</v>
      </c>
      <c r="U65" s="23">
        <v>0.0</v>
      </c>
    </row>
    <row r="66" ht="14.25" customHeight="1">
      <c r="A66" s="23">
        <v>65.0</v>
      </c>
      <c r="B66" s="23" t="s">
        <v>6202</v>
      </c>
      <c r="C66" s="23" t="s">
        <v>5895</v>
      </c>
      <c r="D66" s="23" t="s">
        <v>523</v>
      </c>
      <c r="E66" s="23" t="s">
        <v>5896</v>
      </c>
      <c r="F66" s="23" t="s">
        <v>5897</v>
      </c>
      <c r="G66" s="23">
        <v>-1.0</v>
      </c>
      <c r="H66" s="23" t="s">
        <v>5975</v>
      </c>
      <c r="I66" s="23" t="s">
        <v>5931</v>
      </c>
      <c r="J66" s="23">
        <v>38.0</v>
      </c>
      <c r="K66" s="23" t="s">
        <v>5963</v>
      </c>
      <c r="L66" s="23"/>
      <c r="M66" s="23"/>
      <c r="N66" s="23" t="s">
        <v>6203</v>
      </c>
      <c r="O66" s="23" t="s">
        <v>6204</v>
      </c>
      <c r="P66" s="23"/>
      <c r="Q66" s="23">
        <v>0.0</v>
      </c>
      <c r="R66" s="23">
        <v>0.0</v>
      </c>
      <c r="S66" s="23"/>
      <c r="T66" s="23">
        <v>-99.0</v>
      </c>
      <c r="U66" s="23">
        <v>0.0</v>
      </c>
    </row>
    <row r="67" ht="14.25" customHeight="1">
      <c r="A67" s="23">
        <v>66.0</v>
      </c>
      <c r="B67" s="23" t="s">
        <v>6205</v>
      </c>
      <c r="C67" s="23" t="s">
        <v>5921</v>
      </c>
      <c r="D67" s="23" t="s">
        <v>523</v>
      </c>
      <c r="E67" s="23" t="s">
        <v>5896</v>
      </c>
      <c r="F67" s="23" t="s">
        <v>5907</v>
      </c>
      <c r="G67" s="23">
        <v>-1.0</v>
      </c>
      <c r="H67" s="23" t="s">
        <v>5938</v>
      </c>
      <c r="I67" s="23" t="s">
        <v>5899</v>
      </c>
      <c r="J67" s="23">
        <v>32.0</v>
      </c>
      <c r="K67" s="23" t="s">
        <v>5916</v>
      </c>
      <c r="L67" s="23"/>
      <c r="M67" s="23"/>
      <c r="N67" s="23" t="s">
        <v>1659</v>
      </c>
      <c r="O67" s="23" t="s">
        <v>6206</v>
      </c>
      <c r="P67" s="23" t="s">
        <v>6207</v>
      </c>
      <c r="Q67" s="23">
        <v>0.0</v>
      </c>
      <c r="R67" s="23">
        <v>0.0</v>
      </c>
      <c r="S67" s="23"/>
      <c r="T67" s="23">
        <v>-99.0</v>
      </c>
      <c r="U67" s="23">
        <v>0.0</v>
      </c>
    </row>
    <row r="68" ht="14.25" customHeight="1">
      <c r="A68" s="23">
        <v>67.0</v>
      </c>
      <c r="B68" s="23" t="s">
        <v>6208</v>
      </c>
      <c r="C68" s="23" t="s">
        <v>5895</v>
      </c>
      <c r="D68" s="23" t="s">
        <v>523</v>
      </c>
      <c r="E68" s="23" t="s">
        <v>5896</v>
      </c>
      <c r="F68" s="23" t="s">
        <v>5907</v>
      </c>
      <c r="G68" s="23">
        <v>-1.0</v>
      </c>
      <c r="H68" s="23" t="s">
        <v>5898</v>
      </c>
      <c r="I68" s="23" t="s">
        <v>5909</v>
      </c>
      <c r="J68" s="23">
        <v>44.0</v>
      </c>
      <c r="K68" s="23" t="s">
        <v>5980</v>
      </c>
      <c r="L68" s="23"/>
      <c r="M68" s="23"/>
      <c r="N68" s="23" t="s">
        <v>1572</v>
      </c>
      <c r="O68" s="23" t="s">
        <v>6209</v>
      </c>
      <c r="P68" s="23" t="s">
        <v>6207</v>
      </c>
      <c r="Q68" s="23">
        <v>0.0</v>
      </c>
      <c r="R68" s="23">
        <v>0.0</v>
      </c>
      <c r="S68" s="23"/>
      <c r="T68" s="23">
        <v>-99.0</v>
      </c>
      <c r="U68" s="23">
        <v>0.0</v>
      </c>
    </row>
    <row r="69" ht="14.25" customHeight="1">
      <c r="A69" s="23">
        <v>68.0</v>
      </c>
      <c r="B69" s="23" t="s">
        <v>6210</v>
      </c>
      <c r="C69" s="23" t="s">
        <v>5895</v>
      </c>
      <c r="D69" s="23" t="s">
        <v>523</v>
      </c>
      <c r="E69" s="23" t="s">
        <v>5896</v>
      </c>
      <c r="F69" s="23" t="s">
        <v>5914</v>
      </c>
      <c r="G69" s="23">
        <v>-1.0</v>
      </c>
      <c r="H69" s="23" t="s">
        <v>5915</v>
      </c>
      <c r="I69" s="23" t="s">
        <v>5931</v>
      </c>
      <c r="J69" s="23">
        <v>26.0</v>
      </c>
      <c r="K69" s="23" t="s">
        <v>6050</v>
      </c>
      <c r="L69" s="23"/>
      <c r="M69" s="23"/>
      <c r="N69" s="23"/>
      <c r="O69" s="23" t="s">
        <v>6211</v>
      </c>
      <c r="P69" s="23" t="s">
        <v>6212</v>
      </c>
      <c r="Q69" s="23">
        <v>0.0</v>
      </c>
      <c r="R69" s="23">
        <v>0.0</v>
      </c>
      <c r="S69" s="23"/>
      <c r="T69" s="23">
        <v>-99.0</v>
      </c>
      <c r="U69" s="23">
        <v>0.0</v>
      </c>
    </row>
    <row r="70" ht="14.25" customHeight="1">
      <c r="A70" s="23">
        <v>69.0</v>
      </c>
      <c r="B70" s="23" t="s">
        <v>6213</v>
      </c>
      <c r="C70" s="23" t="s">
        <v>5921</v>
      </c>
      <c r="D70" s="23" t="s">
        <v>523</v>
      </c>
      <c r="E70" s="23" t="s">
        <v>5896</v>
      </c>
      <c r="F70" s="23" t="s">
        <v>5914</v>
      </c>
      <c r="G70" s="23">
        <v>-1.0</v>
      </c>
      <c r="H70" s="23" t="s">
        <v>5930</v>
      </c>
      <c r="I70" s="23" t="s">
        <v>5899</v>
      </c>
      <c r="J70" s="23">
        <v>29.0</v>
      </c>
      <c r="K70" s="23" t="s">
        <v>6057</v>
      </c>
      <c r="L70" s="23"/>
      <c r="M70" s="23"/>
      <c r="N70" s="23"/>
      <c r="O70" s="23" t="s">
        <v>6214</v>
      </c>
      <c r="P70" s="23" t="s">
        <v>6212</v>
      </c>
      <c r="Q70" s="23">
        <v>0.0</v>
      </c>
      <c r="R70" s="23">
        <v>0.0</v>
      </c>
      <c r="S70" s="23"/>
      <c r="T70" s="23">
        <v>-99.0</v>
      </c>
      <c r="U70" s="23">
        <v>0.0</v>
      </c>
    </row>
    <row r="71" ht="14.25" customHeight="1">
      <c r="A71" s="23">
        <v>70.0</v>
      </c>
      <c r="B71" s="23" t="s">
        <v>6215</v>
      </c>
      <c r="C71" s="23" t="s">
        <v>5895</v>
      </c>
      <c r="D71" s="23" t="s">
        <v>523</v>
      </c>
      <c r="E71" s="23" t="s">
        <v>5896</v>
      </c>
      <c r="F71" s="23" t="s">
        <v>5922</v>
      </c>
      <c r="G71" s="23">
        <v>-1.0</v>
      </c>
      <c r="H71" s="23" t="s">
        <v>5951</v>
      </c>
      <c r="I71" s="23" t="s">
        <v>5952</v>
      </c>
      <c r="J71" s="23">
        <v>28.0</v>
      </c>
      <c r="K71" s="23" t="s">
        <v>5910</v>
      </c>
      <c r="L71" s="23"/>
      <c r="M71" s="23"/>
      <c r="N71" s="23"/>
      <c r="O71" s="23" t="s">
        <v>6216</v>
      </c>
      <c r="P71" s="23" t="s">
        <v>6212</v>
      </c>
      <c r="Q71" s="23">
        <v>0.0</v>
      </c>
      <c r="R71" s="23">
        <v>0.0</v>
      </c>
      <c r="S71" s="23" t="s">
        <v>6217</v>
      </c>
      <c r="T71" s="23">
        <v>-99.0</v>
      </c>
      <c r="U71" s="23">
        <v>0.0</v>
      </c>
    </row>
    <row r="72" ht="14.25" customHeight="1">
      <c r="A72" s="23">
        <v>71.0</v>
      </c>
      <c r="B72" s="23" t="s">
        <v>6218</v>
      </c>
      <c r="C72" s="23" t="s">
        <v>5895</v>
      </c>
      <c r="D72" s="23" t="s">
        <v>523</v>
      </c>
      <c r="E72" s="23" t="s">
        <v>5896</v>
      </c>
      <c r="F72" s="23" t="s">
        <v>5922</v>
      </c>
      <c r="G72" s="23">
        <v>-1.0</v>
      </c>
      <c r="H72" s="23" t="s">
        <v>5944</v>
      </c>
      <c r="I72" s="23" t="s">
        <v>5909</v>
      </c>
      <c r="J72" s="23">
        <v>30.0</v>
      </c>
      <c r="K72" s="23" t="s">
        <v>6030</v>
      </c>
      <c r="L72" s="23"/>
      <c r="M72" s="23"/>
      <c r="N72" s="23"/>
      <c r="O72" s="23" t="s">
        <v>6219</v>
      </c>
      <c r="P72" s="23" t="s">
        <v>6212</v>
      </c>
      <c r="Q72" s="23">
        <v>0.0</v>
      </c>
      <c r="R72" s="23">
        <v>0.0</v>
      </c>
      <c r="S72" s="23"/>
      <c r="T72" s="23">
        <v>-99.0</v>
      </c>
      <c r="U72" s="23">
        <v>0.0</v>
      </c>
    </row>
    <row r="73" ht="14.25" customHeight="1">
      <c r="A73" s="23">
        <v>72.0</v>
      </c>
      <c r="B73" s="23" t="s">
        <v>6220</v>
      </c>
      <c r="C73" s="23" t="s">
        <v>5895</v>
      </c>
      <c r="D73" s="23" t="s">
        <v>372</v>
      </c>
      <c r="E73" s="23" t="s">
        <v>5896</v>
      </c>
      <c r="F73" s="23" t="s">
        <v>5897</v>
      </c>
      <c r="G73" s="23">
        <v>-1.0</v>
      </c>
      <c r="H73" s="23" t="s">
        <v>5898</v>
      </c>
      <c r="I73" s="23" t="s">
        <v>5931</v>
      </c>
      <c r="J73" s="23">
        <v>36.0</v>
      </c>
      <c r="K73" s="23" t="s">
        <v>5994</v>
      </c>
      <c r="L73" s="23"/>
      <c r="M73" s="23"/>
      <c r="N73" s="23"/>
      <c r="O73" s="23" t="s">
        <v>6221</v>
      </c>
      <c r="P73" s="23"/>
      <c r="Q73" s="23">
        <v>0.0</v>
      </c>
      <c r="R73" s="23">
        <v>0.0</v>
      </c>
      <c r="S73" s="23"/>
      <c r="T73" s="23">
        <v>-99.0</v>
      </c>
      <c r="U73" s="23">
        <v>0.0</v>
      </c>
    </row>
    <row r="74" ht="14.25" customHeight="1">
      <c r="A74" s="23">
        <v>73.0</v>
      </c>
      <c r="B74" s="23" t="s">
        <v>6222</v>
      </c>
      <c r="C74" s="23" t="s">
        <v>5895</v>
      </c>
      <c r="D74" s="23" t="s">
        <v>455</v>
      </c>
      <c r="E74" s="23" t="s">
        <v>5896</v>
      </c>
      <c r="F74" s="23" t="s">
        <v>5897</v>
      </c>
      <c r="G74" s="23">
        <v>-1.0</v>
      </c>
      <c r="H74" s="23" t="s">
        <v>5923</v>
      </c>
      <c r="I74" s="23" t="s">
        <v>5909</v>
      </c>
      <c r="J74" s="23">
        <v>32.0</v>
      </c>
      <c r="K74" s="23" t="s">
        <v>6030</v>
      </c>
      <c r="L74" s="23"/>
      <c r="M74" s="23"/>
      <c r="N74" s="23"/>
      <c r="O74" s="23" t="s">
        <v>6223</v>
      </c>
      <c r="P74" s="23"/>
      <c r="Q74" s="23">
        <v>0.0</v>
      </c>
      <c r="R74" s="23">
        <v>0.0</v>
      </c>
      <c r="S74" s="23"/>
      <c r="T74" s="23">
        <v>-99.0</v>
      </c>
      <c r="U74" s="23">
        <v>0.0</v>
      </c>
    </row>
    <row r="75" ht="14.25" customHeight="1">
      <c r="A75" s="23">
        <v>74.0</v>
      </c>
      <c r="B75" s="23" t="s">
        <v>6224</v>
      </c>
      <c r="C75" s="23" t="s">
        <v>5921</v>
      </c>
      <c r="D75" s="23" t="s">
        <v>433</v>
      </c>
      <c r="E75" s="23" t="s">
        <v>5896</v>
      </c>
      <c r="F75" s="23" t="s">
        <v>5897</v>
      </c>
      <c r="G75" s="23">
        <v>-1.0</v>
      </c>
      <c r="H75" s="23" t="s">
        <v>5944</v>
      </c>
      <c r="I75" s="23" t="s">
        <v>5899</v>
      </c>
      <c r="J75" s="23">
        <v>34.0</v>
      </c>
      <c r="K75" s="23" t="s">
        <v>5945</v>
      </c>
      <c r="L75" s="23"/>
      <c r="M75" s="23"/>
      <c r="N75" s="23"/>
      <c r="O75" s="23" t="s">
        <v>6225</v>
      </c>
      <c r="P75" s="23"/>
      <c r="Q75" s="23">
        <v>0.0</v>
      </c>
      <c r="R75" s="23">
        <v>0.0</v>
      </c>
      <c r="S75" s="23"/>
      <c r="T75" s="23">
        <v>-99.0</v>
      </c>
      <c r="U75" s="23">
        <v>0.0</v>
      </c>
    </row>
    <row r="76" ht="14.25" customHeight="1">
      <c r="A76" s="23">
        <v>75.0</v>
      </c>
      <c r="B76" s="23" t="s">
        <v>6226</v>
      </c>
      <c r="C76" s="23" t="s">
        <v>5921</v>
      </c>
      <c r="D76" s="23" t="s">
        <v>377</v>
      </c>
      <c r="E76" s="23" t="s">
        <v>5896</v>
      </c>
      <c r="F76" s="23" t="s">
        <v>5897</v>
      </c>
      <c r="G76" s="23">
        <v>-1.0</v>
      </c>
      <c r="H76" s="23" t="s">
        <v>5908</v>
      </c>
      <c r="I76" s="23" t="s">
        <v>5909</v>
      </c>
      <c r="J76" s="23">
        <v>31.0</v>
      </c>
      <c r="K76" s="23" t="s">
        <v>5976</v>
      </c>
      <c r="L76" s="23"/>
      <c r="M76" s="23"/>
      <c r="N76" s="23"/>
      <c r="O76" s="23" t="s">
        <v>6227</v>
      </c>
      <c r="P76" s="23"/>
      <c r="Q76" s="23">
        <v>0.0</v>
      </c>
      <c r="R76" s="23">
        <v>0.0</v>
      </c>
      <c r="S76" s="23"/>
      <c r="T76" s="23">
        <v>-99.0</v>
      </c>
      <c r="U76" s="23">
        <v>0.0</v>
      </c>
    </row>
    <row r="77" ht="14.25" customHeight="1">
      <c r="A77" s="23">
        <v>76.0</v>
      </c>
      <c r="B77" s="23" t="s">
        <v>6228</v>
      </c>
      <c r="C77" s="23" t="s">
        <v>5895</v>
      </c>
      <c r="D77" s="23" t="s">
        <v>505</v>
      </c>
      <c r="E77" s="23" t="s">
        <v>5896</v>
      </c>
      <c r="F77" s="23" t="s">
        <v>5897</v>
      </c>
      <c r="G77" s="23">
        <v>-1.0</v>
      </c>
      <c r="H77" s="23" t="s">
        <v>5938</v>
      </c>
      <c r="I77" s="23" t="s">
        <v>5909</v>
      </c>
      <c r="J77" s="23">
        <v>35.0</v>
      </c>
      <c r="K77" s="23" t="s">
        <v>5980</v>
      </c>
      <c r="L77" s="23"/>
      <c r="M77" s="23"/>
      <c r="N77" s="23"/>
      <c r="O77" s="23" t="s">
        <v>6229</v>
      </c>
      <c r="P77" s="23"/>
      <c r="Q77" s="23">
        <v>0.0</v>
      </c>
      <c r="R77" s="23">
        <v>0.0</v>
      </c>
      <c r="S77" s="23"/>
      <c r="T77" s="23">
        <v>-99.0</v>
      </c>
      <c r="U77" s="23">
        <v>0.0</v>
      </c>
    </row>
    <row r="78" ht="14.25" customHeight="1">
      <c r="A78" s="23">
        <v>77.0</v>
      </c>
      <c r="B78" s="23" t="s">
        <v>6230</v>
      </c>
      <c r="C78" s="23" t="s">
        <v>5921</v>
      </c>
      <c r="D78" s="23" t="s">
        <v>1009</v>
      </c>
      <c r="E78" s="23" t="s">
        <v>5896</v>
      </c>
      <c r="F78" s="23" t="s">
        <v>5897</v>
      </c>
      <c r="G78" s="23">
        <v>-1.0</v>
      </c>
      <c r="H78" s="23" t="s">
        <v>5915</v>
      </c>
      <c r="I78" s="23" t="s">
        <v>5931</v>
      </c>
      <c r="J78" s="23">
        <v>33.0</v>
      </c>
      <c r="K78" s="23" t="s">
        <v>5963</v>
      </c>
      <c r="L78" s="23"/>
      <c r="M78" s="23"/>
      <c r="N78" s="23"/>
      <c r="O78" s="23" t="s">
        <v>6231</v>
      </c>
      <c r="P78" s="23"/>
      <c r="Q78" s="23">
        <v>0.0</v>
      </c>
      <c r="R78" s="23">
        <v>0.0</v>
      </c>
      <c r="S78" s="23"/>
      <c r="T78" s="23">
        <v>-99.0</v>
      </c>
      <c r="U78" s="23">
        <v>0.0</v>
      </c>
    </row>
    <row r="79" ht="14.25" customHeight="1">
      <c r="A79" s="23">
        <v>78.0</v>
      </c>
      <c r="B79" s="23" t="s">
        <v>6232</v>
      </c>
      <c r="C79" s="23" t="s">
        <v>5895</v>
      </c>
      <c r="D79" s="23" t="s">
        <v>334</v>
      </c>
      <c r="E79" s="23" t="s">
        <v>5896</v>
      </c>
      <c r="F79" s="23" t="s">
        <v>5897</v>
      </c>
      <c r="G79" s="23">
        <v>-1.0</v>
      </c>
      <c r="H79" s="23" t="s">
        <v>5975</v>
      </c>
      <c r="I79" s="23" t="s">
        <v>5899</v>
      </c>
      <c r="J79" s="23">
        <v>34.0</v>
      </c>
      <c r="K79" s="23" t="s">
        <v>5925</v>
      </c>
      <c r="L79" s="23"/>
      <c r="M79" s="23"/>
      <c r="N79" s="23"/>
      <c r="O79" s="23" t="s">
        <v>6233</v>
      </c>
      <c r="P79" s="23"/>
      <c r="Q79" s="23">
        <v>0.0</v>
      </c>
      <c r="R79" s="23">
        <v>0.0</v>
      </c>
      <c r="S79" s="23"/>
      <c r="T79" s="23">
        <v>-99.0</v>
      </c>
      <c r="U79" s="23">
        <v>0.0</v>
      </c>
    </row>
    <row r="80" ht="14.25" customHeight="1">
      <c r="A80" s="23">
        <v>79.0</v>
      </c>
      <c r="B80" s="23" t="s">
        <v>6234</v>
      </c>
      <c r="C80" s="23" t="s">
        <v>5921</v>
      </c>
      <c r="D80" s="23" t="s">
        <v>413</v>
      </c>
      <c r="E80" s="23" t="s">
        <v>5896</v>
      </c>
      <c r="F80" s="23" t="s">
        <v>5897</v>
      </c>
      <c r="G80" s="23">
        <v>-1.0</v>
      </c>
      <c r="H80" s="23" t="s">
        <v>5951</v>
      </c>
      <c r="I80" s="23" t="s">
        <v>5909</v>
      </c>
      <c r="J80" s="23">
        <v>38.0</v>
      </c>
      <c r="K80" s="23" t="s">
        <v>5900</v>
      </c>
      <c r="L80" s="23"/>
      <c r="M80" s="23" t="s">
        <v>6133</v>
      </c>
      <c r="N80" s="23"/>
      <c r="O80" s="23" t="s">
        <v>6235</v>
      </c>
      <c r="P80" s="23"/>
      <c r="Q80" s="23">
        <v>0.0</v>
      </c>
      <c r="R80" s="23">
        <v>0.0</v>
      </c>
      <c r="S80" s="23"/>
      <c r="T80" s="23">
        <v>-99.0</v>
      </c>
      <c r="U80" s="23">
        <v>0.0</v>
      </c>
    </row>
    <row r="81" ht="14.25" customHeight="1">
      <c r="A81" s="23">
        <v>80.0</v>
      </c>
      <c r="B81" s="23" t="s">
        <v>6236</v>
      </c>
      <c r="C81" s="23" t="s">
        <v>5895</v>
      </c>
      <c r="D81" s="23" t="s">
        <v>5906</v>
      </c>
      <c r="E81" s="23" t="s">
        <v>2958</v>
      </c>
      <c r="F81" s="23" t="s">
        <v>5968</v>
      </c>
      <c r="G81" s="23">
        <v>6.0</v>
      </c>
      <c r="H81" s="23" t="s">
        <v>5908</v>
      </c>
      <c r="I81" s="23" t="s">
        <v>5931</v>
      </c>
      <c r="J81" s="23">
        <v>49.0</v>
      </c>
      <c r="K81" s="23" t="s">
        <v>5963</v>
      </c>
      <c r="L81" s="23" t="s">
        <v>50</v>
      </c>
      <c r="M81" s="23"/>
      <c r="N81" s="23" t="s">
        <v>5856</v>
      </c>
      <c r="O81" s="23" t="s">
        <v>6237</v>
      </c>
      <c r="P81" s="23" t="s">
        <v>6238</v>
      </c>
      <c r="Q81" s="23">
        <v>0.0</v>
      </c>
      <c r="R81" s="23">
        <v>1.0</v>
      </c>
      <c r="S81" s="23"/>
      <c r="T81" s="23">
        <v>-99.0</v>
      </c>
      <c r="U81" s="23">
        <v>1.0</v>
      </c>
    </row>
    <row r="82" ht="14.25" customHeight="1">
      <c r="A82" s="23">
        <v>81.0</v>
      </c>
      <c r="B82" s="23" t="s">
        <v>6239</v>
      </c>
      <c r="C82" s="23" t="s">
        <v>5895</v>
      </c>
      <c r="D82" s="23" t="s">
        <v>5906</v>
      </c>
      <c r="E82" s="23" t="s">
        <v>2361</v>
      </c>
      <c r="F82" s="23" t="s">
        <v>5968</v>
      </c>
      <c r="G82" s="23">
        <v>5.0</v>
      </c>
      <c r="H82" s="23" t="s">
        <v>5951</v>
      </c>
      <c r="I82" s="23" t="s">
        <v>5899</v>
      </c>
      <c r="J82" s="23">
        <v>55.0</v>
      </c>
      <c r="K82" s="23" t="s">
        <v>5925</v>
      </c>
      <c r="L82" s="23" t="s">
        <v>52</v>
      </c>
      <c r="M82" s="23"/>
      <c r="N82" s="23"/>
      <c r="O82" s="23" t="s">
        <v>6240</v>
      </c>
      <c r="P82" s="23" t="s">
        <v>3833</v>
      </c>
      <c r="Q82" s="23">
        <v>0.0</v>
      </c>
      <c r="R82" s="23">
        <v>1.0</v>
      </c>
      <c r="S82" s="23"/>
      <c r="T82" s="23">
        <v>-99.0</v>
      </c>
      <c r="U82" s="23">
        <v>0.0</v>
      </c>
    </row>
    <row r="83" ht="14.25" customHeight="1">
      <c r="A83" s="23">
        <v>82.0</v>
      </c>
      <c r="B83" s="23" t="s">
        <v>6241</v>
      </c>
      <c r="C83" s="23" t="s">
        <v>5921</v>
      </c>
      <c r="D83" s="23" t="s">
        <v>5906</v>
      </c>
      <c r="E83" s="23" t="s">
        <v>5523</v>
      </c>
      <c r="F83" s="23" t="s">
        <v>5968</v>
      </c>
      <c r="G83" s="23">
        <v>5.0</v>
      </c>
      <c r="H83" s="23" t="s">
        <v>5923</v>
      </c>
      <c r="I83" s="23" t="s">
        <v>5931</v>
      </c>
      <c r="J83" s="23">
        <v>35.0</v>
      </c>
      <c r="K83" s="23" t="s">
        <v>5963</v>
      </c>
      <c r="L83" s="23" t="s">
        <v>51</v>
      </c>
      <c r="M83" s="23"/>
      <c r="N83" s="23"/>
      <c r="O83" s="23" t="s">
        <v>6242</v>
      </c>
      <c r="P83" s="23" t="s">
        <v>6243</v>
      </c>
      <c r="Q83" s="23">
        <v>0.0</v>
      </c>
      <c r="R83" s="23">
        <v>1.0</v>
      </c>
      <c r="S83" s="23"/>
      <c r="T83" s="23">
        <v>-99.0</v>
      </c>
      <c r="U83" s="23">
        <v>0.0</v>
      </c>
    </row>
    <row r="84" ht="14.25" customHeight="1">
      <c r="A84" s="23">
        <v>83.0</v>
      </c>
      <c r="B84" s="23" t="s">
        <v>6244</v>
      </c>
      <c r="C84" s="23" t="s">
        <v>5895</v>
      </c>
      <c r="D84" s="23" t="s">
        <v>5906</v>
      </c>
      <c r="E84" s="23" t="s">
        <v>561</v>
      </c>
      <c r="F84" s="23" t="s">
        <v>5968</v>
      </c>
      <c r="G84" s="23">
        <v>5.0</v>
      </c>
      <c r="H84" s="23" t="s">
        <v>5915</v>
      </c>
      <c r="I84" s="23" t="s">
        <v>5909</v>
      </c>
      <c r="J84" s="23">
        <v>33.0</v>
      </c>
      <c r="K84" s="23" t="s">
        <v>6038</v>
      </c>
      <c r="L84" s="23" t="s">
        <v>49</v>
      </c>
      <c r="M84" s="23"/>
      <c r="N84" s="23"/>
      <c r="O84" s="23" t="s">
        <v>6245</v>
      </c>
      <c r="P84" s="23" t="s">
        <v>6246</v>
      </c>
      <c r="Q84" s="23">
        <v>0.0</v>
      </c>
      <c r="R84" s="23">
        <v>1.0</v>
      </c>
      <c r="S84" s="23"/>
      <c r="T84" s="23">
        <v>-99.0</v>
      </c>
      <c r="U84" s="23">
        <v>0.0</v>
      </c>
    </row>
    <row r="85" ht="14.25" customHeight="1">
      <c r="A85" s="23">
        <v>84.0</v>
      </c>
      <c r="B85" s="23" t="s">
        <v>6247</v>
      </c>
      <c r="C85" s="23" t="s">
        <v>5921</v>
      </c>
      <c r="D85" s="23" t="s">
        <v>5906</v>
      </c>
      <c r="E85" s="23" t="s">
        <v>418</v>
      </c>
      <c r="F85" s="23" t="s">
        <v>5907</v>
      </c>
      <c r="G85" s="23">
        <v>4.0</v>
      </c>
      <c r="H85" s="23" t="s">
        <v>5930</v>
      </c>
      <c r="I85" s="23" t="s">
        <v>5931</v>
      </c>
      <c r="J85" s="23">
        <v>29.0</v>
      </c>
      <c r="K85" s="23" t="s">
        <v>5969</v>
      </c>
      <c r="L85" s="23" t="s">
        <v>48</v>
      </c>
      <c r="M85" s="23"/>
      <c r="N85" s="23"/>
      <c r="O85" s="23" t="s">
        <v>6248</v>
      </c>
      <c r="P85" s="23" t="s">
        <v>6249</v>
      </c>
      <c r="Q85" s="23">
        <v>0.0</v>
      </c>
      <c r="R85" s="23">
        <v>1.0</v>
      </c>
      <c r="S85" s="23"/>
      <c r="T85" s="23">
        <v>-99.0</v>
      </c>
      <c r="U85" s="23">
        <v>0.0</v>
      </c>
    </row>
    <row r="86" ht="14.25" customHeight="1">
      <c r="A86" s="23">
        <v>85.0</v>
      </c>
      <c r="B86" s="23" t="s">
        <v>6250</v>
      </c>
      <c r="C86" s="23" t="s">
        <v>5895</v>
      </c>
      <c r="D86" s="23" t="s">
        <v>5906</v>
      </c>
      <c r="E86" s="23" t="s">
        <v>3525</v>
      </c>
      <c r="F86" s="23" t="s">
        <v>5907</v>
      </c>
      <c r="G86" s="23">
        <v>4.0</v>
      </c>
      <c r="H86" s="23" t="s">
        <v>5975</v>
      </c>
      <c r="I86" s="23" t="s">
        <v>5924</v>
      </c>
      <c r="J86" s="23">
        <v>26.0</v>
      </c>
      <c r="K86" s="23" t="s">
        <v>5916</v>
      </c>
      <c r="L86" s="23" t="s">
        <v>47</v>
      </c>
      <c r="M86" s="23"/>
      <c r="N86" s="23"/>
      <c r="O86" s="23" t="s">
        <v>6251</v>
      </c>
      <c r="P86" s="23" t="s">
        <v>6252</v>
      </c>
      <c r="Q86" s="23">
        <v>0.0</v>
      </c>
      <c r="R86" s="23">
        <v>1.0</v>
      </c>
      <c r="S86" s="23"/>
      <c r="T86" s="23">
        <v>-99.0</v>
      </c>
      <c r="U86" s="23">
        <v>1.0</v>
      </c>
    </row>
    <row r="87" ht="14.25" customHeight="1">
      <c r="A87" s="23">
        <v>86.0</v>
      </c>
      <c r="B87" s="23" t="s">
        <v>6253</v>
      </c>
      <c r="C87" s="23" t="s">
        <v>5921</v>
      </c>
      <c r="D87" s="23" t="s">
        <v>5906</v>
      </c>
      <c r="E87" s="23" t="s">
        <v>329</v>
      </c>
      <c r="F87" s="23" t="s">
        <v>5907</v>
      </c>
      <c r="G87" s="23">
        <v>4.0</v>
      </c>
      <c r="H87" s="23" t="s">
        <v>5938</v>
      </c>
      <c r="I87" s="23" t="s">
        <v>5931</v>
      </c>
      <c r="J87" s="23">
        <v>22.0</v>
      </c>
      <c r="K87" s="23" t="s">
        <v>5945</v>
      </c>
      <c r="L87" s="23" t="s">
        <v>45</v>
      </c>
      <c r="M87" s="23"/>
      <c r="N87" s="23" t="s">
        <v>2346</v>
      </c>
      <c r="O87" s="23" t="s">
        <v>6254</v>
      </c>
      <c r="P87" s="23" t="s">
        <v>6255</v>
      </c>
      <c r="Q87" s="23">
        <v>0.0</v>
      </c>
      <c r="R87" s="23">
        <v>1.0</v>
      </c>
      <c r="S87" s="23"/>
      <c r="T87" s="23">
        <v>-99.0</v>
      </c>
      <c r="U87" s="23">
        <v>1.0</v>
      </c>
    </row>
    <row r="88" ht="14.25" customHeight="1">
      <c r="A88" s="23">
        <v>87.0</v>
      </c>
      <c r="B88" s="23" t="s">
        <v>6256</v>
      </c>
      <c r="C88" s="23" t="s">
        <v>5895</v>
      </c>
      <c r="D88" s="23" t="s">
        <v>5906</v>
      </c>
      <c r="E88" s="23" t="s">
        <v>496</v>
      </c>
      <c r="F88" s="23" t="s">
        <v>5907</v>
      </c>
      <c r="G88" s="23">
        <v>4.0</v>
      </c>
      <c r="H88" s="23" t="s">
        <v>5975</v>
      </c>
      <c r="I88" s="23" t="s">
        <v>5899</v>
      </c>
      <c r="J88" s="23">
        <v>31.0</v>
      </c>
      <c r="K88" s="23" t="s">
        <v>6050</v>
      </c>
      <c r="L88" s="23" t="s">
        <v>51</v>
      </c>
      <c r="M88" s="23"/>
      <c r="N88" s="23"/>
      <c r="O88" s="23" t="s">
        <v>6257</v>
      </c>
      <c r="P88" s="23" t="s">
        <v>6258</v>
      </c>
      <c r="Q88" s="23">
        <v>0.0</v>
      </c>
      <c r="R88" s="23">
        <v>1.0</v>
      </c>
      <c r="S88" s="23"/>
      <c r="T88" s="23">
        <v>-99.0</v>
      </c>
      <c r="U88" s="23">
        <v>0.0</v>
      </c>
    </row>
    <row r="89" ht="14.25" customHeight="1">
      <c r="A89" s="23">
        <v>88.0</v>
      </c>
      <c r="B89" s="23" t="s">
        <v>6259</v>
      </c>
      <c r="C89" s="23" t="s">
        <v>5921</v>
      </c>
      <c r="D89" s="23" t="s">
        <v>5906</v>
      </c>
      <c r="E89" s="23" t="s">
        <v>2361</v>
      </c>
      <c r="F89" s="23" t="s">
        <v>5907</v>
      </c>
      <c r="G89" s="23">
        <v>4.0</v>
      </c>
      <c r="H89" s="23" t="s">
        <v>5938</v>
      </c>
      <c r="I89" s="23" t="s">
        <v>5931</v>
      </c>
      <c r="J89" s="23">
        <v>24.0</v>
      </c>
      <c r="K89" s="23" t="s">
        <v>6159</v>
      </c>
      <c r="L89" s="23" t="s">
        <v>52</v>
      </c>
      <c r="M89" s="23"/>
      <c r="N89" s="23"/>
      <c r="O89" s="23" t="s">
        <v>6260</v>
      </c>
      <c r="P89" s="23" t="s">
        <v>6258</v>
      </c>
      <c r="Q89" s="23">
        <v>0.0</v>
      </c>
      <c r="R89" s="23">
        <v>1.0</v>
      </c>
      <c r="S89" s="23"/>
      <c r="T89" s="23">
        <v>-99.0</v>
      </c>
      <c r="U89" s="23">
        <v>0.0</v>
      </c>
    </row>
    <row r="90" ht="14.25" customHeight="1">
      <c r="A90" s="23">
        <v>89.0</v>
      </c>
      <c r="B90" s="23" t="s">
        <v>6261</v>
      </c>
      <c r="C90" s="23" t="s">
        <v>5895</v>
      </c>
      <c r="D90" s="23" t="s">
        <v>5906</v>
      </c>
      <c r="E90" s="23" t="s">
        <v>4633</v>
      </c>
      <c r="F90" s="23" t="s">
        <v>5907</v>
      </c>
      <c r="G90" s="23">
        <v>4.0</v>
      </c>
      <c r="H90" s="23" t="s">
        <v>5923</v>
      </c>
      <c r="I90" s="23" t="s">
        <v>5909</v>
      </c>
      <c r="J90" s="23">
        <v>36.0</v>
      </c>
      <c r="K90" s="23" t="s">
        <v>6057</v>
      </c>
      <c r="L90" s="23" t="s">
        <v>49</v>
      </c>
      <c r="M90" s="23"/>
      <c r="N90" s="23"/>
      <c r="O90" s="23" t="s">
        <v>6262</v>
      </c>
      <c r="P90" s="23" t="s">
        <v>6258</v>
      </c>
      <c r="Q90" s="23">
        <v>0.0</v>
      </c>
      <c r="R90" s="23">
        <v>1.0</v>
      </c>
      <c r="S90" s="23"/>
      <c r="T90" s="23">
        <v>-99.0</v>
      </c>
      <c r="U90" s="23">
        <v>0.0</v>
      </c>
    </row>
    <row r="91" ht="14.25" customHeight="1">
      <c r="A91" s="23">
        <v>90.0</v>
      </c>
      <c r="B91" s="23" t="s">
        <v>6263</v>
      </c>
      <c r="C91" s="23" t="s">
        <v>5895</v>
      </c>
      <c r="D91" s="23" t="s">
        <v>5906</v>
      </c>
      <c r="E91" s="23" t="s">
        <v>3368</v>
      </c>
      <c r="F91" s="23" t="s">
        <v>5907</v>
      </c>
      <c r="G91" s="23">
        <v>4.0</v>
      </c>
      <c r="H91" s="23" t="s">
        <v>5915</v>
      </c>
      <c r="I91" s="23" t="s">
        <v>5899</v>
      </c>
      <c r="J91" s="23">
        <v>27.0</v>
      </c>
      <c r="K91" s="23" t="s">
        <v>5916</v>
      </c>
      <c r="L91" s="23" t="s">
        <v>48</v>
      </c>
      <c r="M91" s="23"/>
      <c r="N91" s="23"/>
      <c r="O91" s="23" t="s">
        <v>6264</v>
      </c>
      <c r="P91" s="23" t="s">
        <v>6258</v>
      </c>
      <c r="Q91" s="23">
        <v>0.0</v>
      </c>
      <c r="R91" s="23">
        <v>1.0</v>
      </c>
      <c r="S91" s="23"/>
      <c r="T91" s="23">
        <v>-99.0</v>
      </c>
      <c r="U91" s="23">
        <v>0.0</v>
      </c>
    </row>
    <row r="92" ht="14.25" customHeight="1">
      <c r="A92" s="23">
        <v>91.0</v>
      </c>
      <c r="B92" s="23" t="s">
        <v>6265</v>
      </c>
      <c r="C92" s="23" t="s">
        <v>5895</v>
      </c>
      <c r="D92" s="23" t="s">
        <v>5906</v>
      </c>
      <c r="E92" s="23" t="s">
        <v>5896</v>
      </c>
      <c r="F92" s="23" t="s">
        <v>5907</v>
      </c>
      <c r="G92" s="23">
        <v>4.0</v>
      </c>
      <c r="H92" s="23" t="s">
        <v>5915</v>
      </c>
      <c r="I92" s="23" t="s">
        <v>5899</v>
      </c>
      <c r="J92" s="23">
        <v>42.0</v>
      </c>
      <c r="K92" s="23" t="s">
        <v>6050</v>
      </c>
      <c r="L92" s="23" t="s">
        <v>49</v>
      </c>
      <c r="M92" s="23"/>
      <c r="N92" s="23" t="s">
        <v>2017</v>
      </c>
      <c r="O92" s="23" t="s">
        <v>6266</v>
      </c>
      <c r="P92" s="23" t="s">
        <v>6267</v>
      </c>
      <c r="Q92" s="23">
        <v>0.0</v>
      </c>
      <c r="R92" s="23">
        <v>0.0</v>
      </c>
      <c r="S92" s="23"/>
      <c r="T92" s="23">
        <v>-10.0</v>
      </c>
      <c r="U92" s="23">
        <v>0.0</v>
      </c>
    </row>
    <row r="93" ht="14.25" customHeight="1">
      <c r="A93" s="23">
        <v>92.0</v>
      </c>
      <c r="B93" s="23" t="s">
        <v>6268</v>
      </c>
      <c r="C93" s="23" t="s">
        <v>5895</v>
      </c>
      <c r="D93" s="23" t="s">
        <v>5906</v>
      </c>
      <c r="E93" s="23" t="s">
        <v>5896</v>
      </c>
      <c r="F93" s="23" t="s">
        <v>5914</v>
      </c>
      <c r="G93" s="23">
        <v>3.0</v>
      </c>
      <c r="H93" s="23" t="s">
        <v>5898</v>
      </c>
      <c r="I93" s="23" t="s">
        <v>5899</v>
      </c>
      <c r="J93" s="23">
        <v>45.0</v>
      </c>
      <c r="K93" s="23" t="s">
        <v>6019</v>
      </c>
      <c r="L93" s="23" t="s">
        <v>52</v>
      </c>
      <c r="M93" s="23"/>
      <c r="N93" s="23"/>
      <c r="O93" s="23" t="s">
        <v>6269</v>
      </c>
      <c r="P93" s="23" t="s">
        <v>6270</v>
      </c>
      <c r="Q93" s="23">
        <v>0.0</v>
      </c>
      <c r="R93" s="23">
        <v>0.0</v>
      </c>
      <c r="S93" s="23"/>
      <c r="T93" s="23">
        <v>-8.0</v>
      </c>
      <c r="U93" s="23">
        <v>0.0</v>
      </c>
    </row>
    <row r="94" ht="14.25" customHeight="1">
      <c r="A94" s="23">
        <v>93.0</v>
      </c>
      <c r="B94" s="23" t="s">
        <v>6271</v>
      </c>
      <c r="C94" s="23" t="s">
        <v>5895</v>
      </c>
      <c r="D94" s="23" t="s">
        <v>5906</v>
      </c>
      <c r="E94" s="23" t="s">
        <v>5896</v>
      </c>
      <c r="F94" s="23" t="s">
        <v>5914</v>
      </c>
      <c r="G94" s="23">
        <v>3.0</v>
      </c>
      <c r="H94" s="23" t="s">
        <v>5951</v>
      </c>
      <c r="I94" s="23" t="s">
        <v>5909</v>
      </c>
      <c r="J94" s="23">
        <v>37.0</v>
      </c>
      <c r="K94" s="23" t="s">
        <v>6010</v>
      </c>
      <c r="L94" s="23" t="s">
        <v>47</v>
      </c>
      <c r="M94" s="23"/>
      <c r="N94" s="23"/>
      <c r="O94" s="23" t="s">
        <v>6272</v>
      </c>
      <c r="P94" s="23" t="s">
        <v>6273</v>
      </c>
      <c r="Q94" s="23">
        <v>0.0</v>
      </c>
      <c r="R94" s="23">
        <v>0.0</v>
      </c>
      <c r="S94" s="23"/>
      <c r="T94" s="23">
        <v>-9.0</v>
      </c>
      <c r="U94" s="23">
        <v>0.0</v>
      </c>
    </row>
    <row r="95" ht="14.25" customHeight="1">
      <c r="A95" s="23">
        <v>94.0</v>
      </c>
      <c r="B95" s="23" t="s">
        <v>6274</v>
      </c>
      <c r="C95" s="23" t="s">
        <v>5895</v>
      </c>
      <c r="D95" s="23" t="s">
        <v>5906</v>
      </c>
      <c r="E95" s="23" t="s">
        <v>5896</v>
      </c>
      <c r="F95" s="23" t="s">
        <v>5922</v>
      </c>
      <c r="G95" s="23">
        <v>2.0</v>
      </c>
      <c r="H95" s="23" t="s">
        <v>5908</v>
      </c>
      <c r="I95" s="23" t="s">
        <v>5909</v>
      </c>
      <c r="J95" s="23">
        <v>35.0</v>
      </c>
      <c r="K95" s="23" t="s">
        <v>6068</v>
      </c>
      <c r="L95" s="23" t="s">
        <v>50</v>
      </c>
      <c r="M95" s="23"/>
      <c r="N95" s="23"/>
      <c r="O95" s="23" t="s">
        <v>6275</v>
      </c>
      <c r="P95" s="23" t="s">
        <v>6276</v>
      </c>
      <c r="Q95" s="23">
        <v>0.0</v>
      </c>
      <c r="R95" s="23">
        <v>0.0</v>
      </c>
      <c r="S95" s="23"/>
      <c r="T95" s="23">
        <v>-8.0</v>
      </c>
      <c r="U95" s="23">
        <v>0.0</v>
      </c>
    </row>
    <row r="96" ht="14.25" customHeight="1">
      <c r="A96" s="23">
        <v>95.0</v>
      </c>
      <c r="B96" s="23" t="s">
        <v>6277</v>
      </c>
      <c r="C96" s="23" t="s">
        <v>5895</v>
      </c>
      <c r="D96" s="23" t="s">
        <v>5906</v>
      </c>
      <c r="E96" s="23" t="s">
        <v>5896</v>
      </c>
      <c r="F96" s="23" t="s">
        <v>5922</v>
      </c>
      <c r="G96" s="23">
        <v>1.0</v>
      </c>
      <c r="H96" s="23" t="s">
        <v>5938</v>
      </c>
      <c r="I96" s="23" t="s">
        <v>5952</v>
      </c>
      <c r="J96" s="23">
        <v>31.0</v>
      </c>
      <c r="K96" s="23" t="s">
        <v>6159</v>
      </c>
      <c r="L96" s="23" t="s">
        <v>51</v>
      </c>
      <c r="M96" s="23"/>
      <c r="N96" s="23"/>
      <c r="O96" s="23" t="s">
        <v>6278</v>
      </c>
      <c r="P96" s="23" t="s">
        <v>6279</v>
      </c>
      <c r="Q96" s="23">
        <v>0.0</v>
      </c>
      <c r="R96" s="23">
        <v>0.0</v>
      </c>
      <c r="S96" s="23"/>
      <c r="T96" s="23">
        <v>-9.0</v>
      </c>
      <c r="U96" s="23">
        <v>0.0</v>
      </c>
    </row>
    <row r="97" ht="14.25" customHeight="1">
      <c r="A97" s="23">
        <v>96.0</v>
      </c>
      <c r="B97" s="23" t="s">
        <v>6280</v>
      </c>
      <c r="C97" s="23" t="s">
        <v>5895</v>
      </c>
      <c r="D97" s="23" t="s">
        <v>5906</v>
      </c>
      <c r="E97" s="23" t="s">
        <v>455</v>
      </c>
      <c r="F97" s="23" t="s">
        <v>5937</v>
      </c>
      <c r="G97" s="23">
        <v>1.0</v>
      </c>
      <c r="H97" s="23" t="s">
        <v>5938</v>
      </c>
      <c r="I97" s="23" t="s">
        <v>5909</v>
      </c>
      <c r="J97" s="23">
        <v>33.0</v>
      </c>
      <c r="K97" s="23" t="s">
        <v>5976</v>
      </c>
      <c r="L97" s="23" t="s">
        <v>47</v>
      </c>
      <c r="M97" s="23"/>
      <c r="N97" s="23"/>
      <c r="O97" s="23" t="s">
        <v>6281</v>
      </c>
      <c r="P97" s="23" t="s">
        <v>6282</v>
      </c>
      <c r="Q97" s="23">
        <v>0.0</v>
      </c>
      <c r="R97" s="23">
        <v>0.0</v>
      </c>
      <c r="S97" s="23" t="s">
        <v>6283</v>
      </c>
      <c r="T97" s="23">
        <v>-99.0</v>
      </c>
      <c r="U97" s="23">
        <v>0.0</v>
      </c>
    </row>
    <row r="98" ht="14.25" customHeight="1">
      <c r="A98" s="23">
        <v>97.0</v>
      </c>
      <c r="B98" s="23" t="s">
        <v>6284</v>
      </c>
      <c r="C98" s="23" t="s">
        <v>5895</v>
      </c>
      <c r="D98" s="23" t="s">
        <v>5906</v>
      </c>
      <c r="E98" s="23" t="s">
        <v>455</v>
      </c>
      <c r="F98" s="23" t="s">
        <v>5937</v>
      </c>
      <c r="G98" s="23">
        <v>1.0</v>
      </c>
      <c r="H98" s="23" t="s">
        <v>5915</v>
      </c>
      <c r="I98" s="23" t="s">
        <v>5952</v>
      </c>
      <c r="J98" s="23">
        <v>30.0</v>
      </c>
      <c r="K98" s="23" t="s">
        <v>5925</v>
      </c>
      <c r="L98" s="23" t="s">
        <v>49</v>
      </c>
      <c r="M98" s="23"/>
      <c r="N98" s="23"/>
      <c r="O98" s="23" t="s">
        <v>6285</v>
      </c>
      <c r="P98" s="23" t="s">
        <v>6282</v>
      </c>
      <c r="Q98" s="23">
        <v>0.0</v>
      </c>
      <c r="R98" s="23">
        <v>0.0</v>
      </c>
      <c r="S98" s="23" t="s">
        <v>6286</v>
      </c>
      <c r="T98" s="23">
        <v>-99.0</v>
      </c>
      <c r="U98" s="23">
        <v>0.0</v>
      </c>
    </row>
    <row r="99" ht="14.25" customHeight="1">
      <c r="A99" s="23">
        <v>98.0</v>
      </c>
      <c r="B99" s="23" t="s">
        <v>6287</v>
      </c>
      <c r="C99" s="23" t="s">
        <v>5895</v>
      </c>
      <c r="D99" s="23" t="s">
        <v>5906</v>
      </c>
      <c r="E99" s="23" t="s">
        <v>5896</v>
      </c>
      <c r="F99" s="23" t="s">
        <v>5907</v>
      </c>
      <c r="G99" s="23">
        <v>4.0</v>
      </c>
      <c r="H99" s="23" t="s">
        <v>5975</v>
      </c>
      <c r="I99" s="23" t="s">
        <v>5931</v>
      </c>
      <c r="J99" s="23">
        <v>48.0</v>
      </c>
      <c r="K99" s="23" t="s">
        <v>6030</v>
      </c>
      <c r="L99" s="23" t="s">
        <v>51</v>
      </c>
      <c r="M99" s="23"/>
      <c r="N99" s="23"/>
      <c r="O99" s="23" t="s">
        <v>6288</v>
      </c>
      <c r="P99" s="23" t="s">
        <v>6289</v>
      </c>
      <c r="Q99" s="23">
        <v>0.0</v>
      </c>
      <c r="R99" s="23">
        <v>0.0</v>
      </c>
      <c r="S99" s="23"/>
      <c r="T99" s="23">
        <v>-3.0</v>
      </c>
      <c r="U99" s="23">
        <v>0.0</v>
      </c>
    </row>
    <row r="100" ht="14.25" customHeight="1">
      <c r="A100" s="23">
        <v>99.0</v>
      </c>
      <c r="B100" s="23" t="s">
        <v>6290</v>
      </c>
      <c r="C100" s="23" t="s">
        <v>5895</v>
      </c>
      <c r="D100" s="23" t="s">
        <v>5906</v>
      </c>
      <c r="E100" s="23" t="s">
        <v>5896</v>
      </c>
      <c r="F100" s="23" t="s">
        <v>5914</v>
      </c>
      <c r="G100" s="23">
        <v>3.0</v>
      </c>
      <c r="H100" s="23" t="s">
        <v>5908</v>
      </c>
      <c r="I100" s="23" t="s">
        <v>5909</v>
      </c>
      <c r="J100" s="23">
        <v>43.0</v>
      </c>
      <c r="K100" s="23" t="s">
        <v>6068</v>
      </c>
      <c r="L100" s="23" t="s">
        <v>50</v>
      </c>
      <c r="M100" s="23"/>
      <c r="N100" s="23"/>
      <c r="O100" s="23" t="s">
        <v>6291</v>
      </c>
      <c r="P100" s="23" t="s">
        <v>6292</v>
      </c>
      <c r="Q100" s="23">
        <v>0.0</v>
      </c>
      <c r="R100" s="23">
        <v>0.0</v>
      </c>
      <c r="S100" s="23"/>
      <c r="T100" s="23">
        <v>-8.0</v>
      </c>
      <c r="U100" s="23">
        <v>0.0</v>
      </c>
    </row>
    <row r="101" ht="14.25" customHeight="1">
      <c r="A101" s="23">
        <v>100.0</v>
      </c>
      <c r="B101" s="23" t="s">
        <v>6293</v>
      </c>
      <c r="C101" s="23" t="s">
        <v>5895</v>
      </c>
      <c r="D101" s="23" t="s">
        <v>5906</v>
      </c>
      <c r="E101" s="23" t="s">
        <v>5896</v>
      </c>
      <c r="F101" s="23" t="s">
        <v>5922</v>
      </c>
      <c r="G101" s="23">
        <v>2.0</v>
      </c>
      <c r="H101" s="23" t="s">
        <v>5958</v>
      </c>
      <c r="I101" s="23" t="s">
        <v>5899</v>
      </c>
      <c r="J101" s="23">
        <v>39.0</v>
      </c>
      <c r="K101" s="23" t="s">
        <v>5980</v>
      </c>
      <c r="L101" s="23" t="s">
        <v>52</v>
      </c>
      <c r="M101" s="23"/>
      <c r="N101" s="23"/>
      <c r="O101" s="23" t="s">
        <v>6294</v>
      </c>
      <c r="P101" s="23" t="s">
        <v>6295</v>
      </c>
      <c r="Q101" s="23">
        <v>0.0</v>
      </c>
      <c r="R101" s="23">
        <v>0.0</v>
      </c>
      <c r="S101" s="23"/>
      <c r="T101" s="23">
        <v>-4.0</v>
      </c>
      <c r="U101" s="23">
        <v>0.0</v>
      </c>
    </row>
    <row r="102" ht="14.25" customHeight="1">
      <c r="A102" s="23">
        <v>101.0</v>
      </c>
      <c r="B102" s="23" t="s">
        <v>6296</v>
      </c>
      <c r="C102" s="23" t="s">
        <v>5895</v>
      </c>
      <c r="D102" s="23" t="s">
        <v>5906</v>
      </c>
      <c r="E102" s="23" t="s">
        <v>5896</v>
      </c>
      <c r="F102" s="23" t="s">
        <v>5922</v>
      </c>
      <c r="G102" s="23">
        <v>2.0</v>
      </c>
      <c r="H102" s="23" t="s">
        <v>5898</v>
      </c>
      <c r="I102" s="23" t="s">
        <v>5952</v>
      </c>
      <c r="J102" s="23">
        <v>40.0</v>
      </c>
      <c r="K102" s="23" t="s">
        <v>5963</v>
      </c>
      <c r="L102" s="23" t="s">
        <v>49</v>
      </c>
      <c r="M102" s="23"/>
      <c r="N102" s="23"/>
      <c r="O102" s="23" t="s">
        <v>6297</v>
      </c>
      <c r="P102" s="23" t="s">
        <v>6298</v>
      </c>
      <c r="Q102" s="23">
        <v>0.0</v>
      </c>
      <c r="R102" s="23">
        <v>0.0</v>
      </c>
      <c r="S102" s="23"/>
      <c r="T102" s="23">
        <v>-8.0</v>
      </c>
      <c r="U102" s="23">
        <v>0.0</v>
      </c>
    </row>
    <row r="103" ht="14.25" customHeight="1">
      <c r="A103" s="23">
        <v>102.0</v>
      </c>
      <c r="B103" s="23" t="s">
        <v>6299</v>
      </c>
      <c r="C103" s="23" t="s">
        <v>5895</v>
      </c>
      <c r="D103" s="23" t="s">
        <v>5906</v>
      </c>
      <c r="E103" s="23" t="s">
        <v>5896</v>
      </c>
      <c r="F103" s="23" t="s">
        <v>5922</v>
      </c>
      <c r="G103" s="23">
        <v>2.0</v>
      </c>
      <c r="H103" s="23" t="s">
        <v>5944</v>
      </c>
      <c r="I103" s="23" t="s">
        <v>5899</v>
      </c>
      <c r="J103" s="23">
        <v>45.0</v>
      </c>
      <c r="K103" s="23" t="s">
        <v>6090</v>
      </c>
      <c r="L103" s="23" t="s">
        <v>48</v>
      </c>
      <c r="M103" s="23"/>
      <c r="N103" s="23"/>
      <c r="O103" s="23" t="s">
        <v>6300</v>
      </c>
      <c r="P103" s="23" t="s">
        <v>6301</v>
      </c>
      <c r="Q103" s="23">
        <v>0.0</v>
      </c>
      <c r="R103" s="23">
        <v>0.0</v>
      </c>
      <c r="S103" s="23"/>
      <c r="T103" s="23">
        <v>-3.0</v>
      </c>
      <c r="U103" s="23">
        <v>0.0</v>
      </c>
    </row>
    <row r="104" ht="14.25" customHeight="1">
      <c r="A104" s="23">
        <v>103.0</v>
      </c>
      <c r="B104" s="23" t="s">
        <v>6302</v>
      </c>
      <c r="C104" s="23" t="s">
        <v>5895</v>
      </c>
      <c r="D104" s="23" t="s">
        <v>5906</v>
      </c>
      <c r="E104" s="23" t="s">
        <v>5896</v>
      </c>
      <c r="F104" s="23" t="s">
        <v>5937</v>
      </c>
      <c r="G104" s="23">
        <v>1.0</v>
      </c>
      <c r="H104" s="23" t="s">
        <v>5951</v>
      </c>
      <c r="I104" s="23" t="s">
        <v>5909</v>
      </c>
      <c r="J104" s="23">
        <v>33.0</v>
      </c>
      <c r="K104" s="23" t="s">
        <v>5945</v>
      </c>
      <c r="L104" s="23" t="s">
        <v>47</v>
      </c>
      <c r="M104" s="23"/>
      <c r="N104" s="23" t="s">
        <v>6303</v>
      </c>
      <c r="O104" s="23" t="s">
        <v>6304</v>
      </c>
      <c r="P104" s="23" t="s">
        <v>6305</v>
      </c>
      <c r="Q104" s="23">
        <v>0.0</v>
      </c>
      <c r="R104" s="23">
        <v>0.0</v>
      </c>
      <c r="S104" s="23"/>
      <c r="T104" s="23">
        <v>-2.0</v>
      </c>
      <c r="U104" s="23">
        <v>0.0</v>
      </c>
    </row>
    <row r="105" ht="14.25" customHeight="1">
      <c r="A105" s="23">
        <v>104.0</v>
      </c>
      <c r="B105" s="23" t="s">
        <v>6306</v>
      </c>
      <c r="C105" s="23" t="s">
        <v>5895</v>
      </c>
      <c r="D105" s="23" t="s">
        <v>5906</v>
      </c>
      <c r="E105" s="23" t="s">
        <v>5896</v>
      </c>
      <c r="F105" s="23" t="s">
        <v>5914</v>
      </c>
      <c r="G105" s="23">
        <v>3.0</v>
      </c>
      <c r="H105" s="23" t="s">
        <v>5898</v>
      </c>
      <c r="I105" s="23" t="s">
        <v>5909</v>
      </c>
      <c r="J105" s="23">
        <v>52.0</v>
      </c>
      <c r="K105" s="23" t="s">
        <v>6019</v>
      </c>
      <c r="L105" s="23" t="s">
        <v>49</v>
      </c>
      <c r="M105" s="23"/>
      <c r="N105" s="23"/>
      <c r="O105" s="23" t="s">
        <v>6307</v>
      </c>
      <c r="P105" s="23" t="s">
        <v>6308</v>
      </c>
      <c r="Q105" s="23">
        <v>0.0</v>
      </c>
      <c r="R105" s="23">
        <v>0.0</v>
      </c>
      <c r="S105" s="23" t="s">
        <v>6309</v>
      </c>
      <c r="T105" s="23">
        <v>-8.0</v>
      </c>
      <c r="U105" s="23">
        <v>0.0</v>
      </c>
    </row>
    <row r="106" ht="14.25" customHeight="1">
      <c r="A106" s="23">
        <v>105.0</v>
      </c>
      <c r="B106" s="23" t="s">
        <v>6310</v>
      </c>
      <c r="C106" s="23" t="s">
        <v>5895</v>
      </c>
      <c r="D106" s="23" t="s">
        <v>5906</v>
      </c>
      <c r="E106" s="23" t="s">
        <v>5896</v>
      </c>
      <c r="F106" s="23" t="s">
        <v>5922</v>
      </c>
      <c r="G106" s="23">
        <v>2.0</v>
      </c>
      <c r="H106" s="23" t="s">
        <v>5915</v>
      </c>
      <c r="I106" s="23" t="s">
        <v>5931</v>
      </c>
      <c r="J106" s="23">
        <v>39.0</v>
      </c>
      <c r="K106" s="23" t="s">
        <v>5976</v>
      </c>
      <c r="L106" s="23" t="s">
        <v>50</v>
      </c>
      <c r="M106" s="23"/>
      <c r="N106" s="23"/>
      <c r="O106" s="23" t="s">
        <v>6311</v>
      </c>
      <c r="P106" s="23" t="s">
        <v>6308</v>
      </c>
      <c r="Q106" s="23">
        <v>0.0</v>
      </c>
      <c r="R106" s="23">
        <v>0.0</v>
      </c>
      <c r="S106" s="23" t="s">
        <v>6312</v>
      </c>
      <c r="T106" s="23">
        <v>-7.0</v>
      </c>
      <c r="U106" s="23">
        <v>0.0</v>
      </c>
    </row>
    <row r="107" ht="14.25" customHeight="1">
      <c r="A107" s="23">
        <v>106.0</v>
      </c>
      <c r="B107" s="23" t="s">
        <v>6313</v>
      </c>
      <c r="C107" s="23" t="s">
        <v>5921</v>
      </c>
      <c r="D107" s="23" t="s">
        <v>5906</v>
      </c>
      <c r="E107" s="23" t="s">
        <v>5896</v>
      </c>
      <c r="F107" s="23" t="s">
        <v>5937</v>
      </c>
      <c r="G107" s="23">
        <v>1.0</v>
      </c>
      <c r="H107" s="23" t="s">
        <v>5944</v>
      </c>
      <c r="I107" s="23" t="s">
        <v>5899</v>
      </c>
      <c r="J107" s="23">
        <v>26.0</v>
      </c>
      <c r="K107" s="23" t="s">
        <v>5932</v>
      </c>
      <c r="L107" s="23" t="s">
        <v>48</v>
      </c>
      <c r="M107" s="23"/>
      <c r="N107" s="23"/>
      <c r="O107" s="23" t="s">
        <v>6314</v>
      </c>
      <c r="P107" s="23" t="s">
        <v>6308</v>
      </c>
      <c r="Q107" s="23">
        <v>0.0</v>
      </c>
      <c r="R107" s="23">
        <v>0.0</v>
      </c>
      <c r="S107" s="23" t="s">
        <v>6315</v>
      </c>
      <c r="T107" s="23">
        <v>-4.0</v>
      </c>
      <c r="U107" s="23">
        <v>0.0</v>
      </c>
    </row>
    <row r="108" ht="14.25" customHeight="1">
      <c r="A108" s="23">
        <v>107.0</v>
      </c>
      <c r="B108" s="23" t="s">
        <v>6316</v>
      </c>
      <c r="C108" s="23" t="s">
        <v>5895</v>
      </c>
      <c r="D108" s="23" t="s">
        <v>5906</v>
      </c>
      <c r="E108" s="23" t="s">
        <v>5896</v>
      </c>
      <c r="F108" s="23" t="s">
        <v>5950</v>
      </c>
      <c r="G108" s="23">
        <v>0.0</v>
      </c>
      <c r="H108" s="23" t="s">
        <v>5951</v>
      </c>
      <c r="I108" s="23" t="s">
        <v>5952</v>
      </c>
      <c r="J108" s="23">
        <v>46.0</v>
      </c>
      <c r="K108" s="23" t="s">
        <v>5980</v>
      </c>
      <c r="L108" s="23" t="s">
        <v>47</v>
      </c>
      <c r="M108" s="23"/>
      <c r="N108" s="23"/>
      <c r="O108" s="23" t="s">
        <v>6317</v>
      </c>
      <c r="P108" s="23" t="s">
        <v>6308</v>
      </c>
      <c r="Q108" s="23">
        <v>0.0</v>
      </c>
      <c r="R108" s="23">
        <v>0.0</v>
      </c>
      <c r="S108" s="23"/>
      <c r="T108" s="23">
        <v>-2.0</v>
      </c>
      <c r="U108" s="23">
        <v>0.0</v>
      </c>
    </row>
    <row r="109" ht="14.25" customHeight="1">
      <c r="A109" s="23">
        <v>108.0</v>
      </c>
      <c r="B109" s="23" t="s">
        <v>6318</v>
      </c>
      <c r="C109" s="23" t="s">
        <v>5895</v>
      </c>
      <c r="D109" s="23" t="s">
        <v>5906</v>
      </c>
      <c r="E109" s="23" t="s">
        <v>5896</v>
      </c>
      <c r="F109" s="23" t="s">
        <v>5950</v>
      </c>
      <c r="G109" s="23">
        <v>0.0</v>
      </c>
      <c r="H109" s="23" t="s">
        <v>5944</v>
      </c>
      <c r="I109" s="23" t="s">
        <v>5952</v>
      </c>
      <c r="J109" s="23">
        <v>26.0</v>
      </c>
      <c r="K109" s="23" t="s">
        <v>5953</v>
      </c>
      <c r="L109" s="23" t="s">
        <v>47</v>
      </c>
      <c r="M109" s="23"/>
      <c r="N109" s="23"/>
      <c r="O109" s="23" t="s">
        <v>6319</v>
      </c>
      <c r="P109" s="23" t="s">
        <v>6320</v>
      </c>
      <c r="Q109" s="23">
        <v>0.0</v>
      </c>
      <c r="R109" s="23">
        <v>0.0</v>
      </c>
      <c r="S109" s="23" t="s">
        <v>6321</v>
      </c>
      <c r="T109" s="23">
        <v>-2.0</v>
      </c>
      <c r="U109" s="23">
        <v>0.0</v>
      </c>
    </row>
    <row r="110" ht="14.25" customHeight="1">
      <c r="A110" s="23">
        <v>109.0</v>
      </c>
      <c r="B110" s="23" t="s">
        <v>6322</v>
      </c>
      <c r="C110" s="23" t="s">
        <v>5895</v>
      </c>
      <c r="D110" s="23" t="s">
        <v>5906</v>
      </c>
      <c r="E110" s="23" t="s">
        <v>5896</v>
      </c>
      <c r="F110" s="23" t="s">
        <v>5950</v>
      </c>
      <c r="G110" s="23">
        <v>0.0</v>
      </c>
      <c r="H110" s="23" t="s">
        <v>5923</v>
      </c>
      <c r="I110" s="23" t="s">
        <v>5952</v>
      </c>
      <c r="J110" s="23">
        <v>23.0</v>
      </c>
      <c r="K110" s="23" t="s">
        <v>6159</v>
      </c>
      <c r="L110" s="23" t="s">
        <v>51</v>
      </c>
      <c r="M110" s="23"/>
      <c r="N110" s="23"/>
      <c r="O110" s="23" t="s">
        <v>6323</v>
      </c>
      <c r="P110" s="23" t="s">
        <v>6324</v>
      </c>
      <c r="Q110" s="23">
        <v>0.0</v>
      </c>
      <c r="R110" s="23">
        <v>0.0</v>
      </c>
      <c r="S110" s="23" t="s">
        <v>6325</v>
      </c>
      <c r="T110" s="23">
        <v>-3.0</v>
      </c>
      <c r="U110" s="23">
        <v>0.0</v>
      </c>
    </row>
    <row r="111" ht="14.25" customHeight="1">
      <c r="A111" s="23">
        <v>110.0</v>
      </c>
      <c r="B111" s="23" t="s">
        <v>6326</v>
      </c>
      <c r="C111" s="23" t="s">
        <v>5895</v>
      </c>
      <c r="D111" s="23" t="s">
        <v>5906</v>
      </c>
      <c r="E111" s="23" t="s">
        <v>5896</v>
      </c>
      <c r="F111" s="23" t="s">
        <v>5950</v>
      </c>
      <c r="G111" s="23">
        <v>0.0</v>
      </c>
      <c r="H111" s="23" t="s">
        <v>5975</v>
      </c>
      <c r="I111" s="23" t="s">
        <v>5952</v>
      </c>
      <c r="J111" s="23">
        <v>22.0</v>
      </c>
      <c r="K111" s="23" t="s">
        <v>5990</v>
      </c>
      <c r="L111" s="23" t="s">
        <v>52</v>
      </c>
      <c r="M111" s="23"/>
      <c r="N111" s="23"/>
      <c r="O111" s="23" t="s">
        <v>6327</v>
      </c>
      <c r="P111" s="23" t="s">
        <v>6328</v>
      </c>
      <c r="Q111" s="23">
        <v>0.0</v>
      </c>
      <c r="R111" s="23">
        <v>0.0</v>
      </c>
      <c r="S111" s="23"/>
      <c r="T111" s="23">
        <v>-6.0</v>
      </c>
      <c r="U111" s="23">
        <v>0.0</v>
      </c>
    </row>
    <row r="112" ht="14.25" customHeight="1">
      <c r="A112" s="23">
        <v>111.0</v>
      </c>
      <c r="B112" s="23" t="s">
        <v>6329</v>
      </c>
      <c r="C112" s="23" t="s">
        <v>5895</v>
      </c>
      <c r="D112" s="23" t="s">
        <v>5906</v>
      </c>
      <c r="E112" s="23" t="s">
        <v>5896</v>
      </c>
      <c r="F112" s="23" t="s">
        <v>5914</v>
      </c>
      <c r="G112" s="23">
        <v>3.0</v>
      </c>
      <c r="H112" s="23" t="s">
        <v>5923</v>
      </c>
      <c r="I112" s="23" t="s">
        <v>5909</v>
      </c>
      <c r="J112" s="23">
        <v>39.0</v>
      </c>
      <c r="K112" s="23" t="s">
        <v>6057</v>
      </c>
      <c r="L112" s="23" t="s">
        <v>49</v>
      </c>
      <c r="M112" s="23"/>
      <c r="N112" s="23"/>
      <c r="O112" s="23" t="s">
        <v>6330</v>
      </c>
      <c r="P112" s="23" t="s">
        <v>6331</v>
      </c>
      <c r="Q112" s="23">
        <v>0.0</v>
      </c>
      <c r="R112" s="23">
        <v>0.0</v>
      </c>
      <c r="S112" s="23"/>
      <c r="T112" s="23">
        <v>-8.0</v>
      </c>
      <c r="U112" s="23">
        <v>0.0</v>
      </c>
    </row>
    <row r="113" ht="14.25" customHeight="1">
      <c r="A113" s="23">
        <v>112.0</v>
      </c>
      <c r="B113" s="23" t="s">
        <v>6332</v>
      </c>
      <c r="C113" s="23" t="s">
        <v>5895</v>
      </c>
      <c r="D113" s="23" t="s">
        <v>5906</v>
      </c>
      <c r="E113" s="23" t="s">
        <v>5896</v>
      </c>
      <c r="F113" s="23" t="s">
        <v>5922</v>
      </c>
      <c r="G113" s="23">
        <v>2.0</v>
      </c>
      <c r="H113" s="23" t="s">
        <v>5930</v>
      </c>
      <c r="I113" s="23" t="s">
        <v>5899</v>
      </c>
      <c r="J113" s="23">
        <v>42.0</v>
      </c>
      <c r="K113" s="23" t="s">
        <v>6030</v>
      </c>
      <c r="L113" s="23" t="s">
        <v>47</v>
      </c>
      <c r="M113" s="23"/>
      <c r="N113" s="23"/>
      <c r="O113" s="23" t="s">
        <v>6333</v>
      </c>
      <c r="P113" s="23" t="s">
        <v>6334</v>
      </c>
      <c r="Q113" s="23">
        <v>0.0</v>
      </c>
      <c r="R113" s="23">
        <v>0.0</v>
      </c>
      <c r="S113" s="23"/>
      <c r="T113" s="23">
        <v>-9.0</v>
      </c>
      <c r="U113" s="23">
        <v>0.0</v>
      </c>
    </row>
    <row r="114" ht="14.25" customHeight="1">
      <c r="A114" s="23">
        <v>113.0</v>
      </c>
      <c r="B114" s="23" t="s">
        <v>6335</v>
      </c>
      <c r="C114" s="23" t="s">
        <v>5895</v>
      </c>
      <c r="D114" s="23" t="s">
        <v>5906</v>
      </c>
      <c r="E114" s="23" t="s">
        <v>5896</v>
      </c>
      <c r="F114" s="23" t="s">
        <v>5922</v>
      </c>
      <c r="G114" s="23">
        <v>2.0</v>
      </c>
      <c r="H114" s="23" t="s">
        <v>5898</v>
      </c>
      <c r="I114" s="23" t="s">
        <v>5909</v>
      </c>
      <c r="J114" s="23">
        <v>34.0</v>
      </c>
      <c r="K114" s="23" t="s">
        <v>5963</v>
      </c>
      <c r="L114" s="23" t="s">
        <v>50</v>
      </c>
      <c r="M114" s="23"/>
      <c r="N114" s="23"/>
      <c r="O114" s="23" t="s">
        <v>6336</v>
      </c>
      <c r="P114" s="23" t="s">
        <v>6337</v>
      </c>
      <c r="Q114" s="23">
        <v>0.0</v>
      </c>
      <c r="R114" s="23">
        <v>0.0</v>
      </c>
      <c r="S114" s="23"/>
      <c r="T114" s="23">
        <v>-8.0</v>
      </c>
      <c r="U114" s="23">
        <v>0.0</v>
      </c>
    </row>
    <row r="115" ht="14.25" customHeight="1">
      <c r="A115" s="23">
        <v>114.0</v>
      </c>
      <c r="B115" s="23" t="s">
        <v>6338</v>
      </c>
      <c r="C115" s="23" t="s">
        <v>5895</v>
      </c>
      <c r="D115" s="23" t="s">
        <v>5906</v>
      </c>
      <c r="E115" s="23" t="s">
        <v>5896</v>
      </c>
      <c r="F115" s="23" t="s">
        <v>5937</v>
      </c>
      <c r="G115" s="23">
        <v>1.0</v>
      </c>
      <c r="H115" s="23" t="s">
        <v>5975</v>
      </c>
      <c r="I115" s="23" t="s">
        <v>5899</v>
      </c>
      <c r="J115" s="23">
        <v>33.0</v>
      </c>
      <c r="K115" s="23" t="s">
        <v>5939</v>
      </c>
      <c r="L115" s="23" t="s">
        <v>49</v>
      </c>
      <c r="M115" s="23"/>
      <c r="N115" s="23"/>
      <c r="O115" s="23" t="s">
        <v>6339</v>
      </c>
      <c r="P115" s="23" t="s">
        <v>6340</v>
      </c>
      <c r="Q115" s="23">
        <v>0.0</v>
      </c>
      <c r="R115" s="23">
        <v>0.0</v>
      </c>
      <c r="S115" s="23" t="s">
        <v>6341</v>
      </c>
      <c r="T115" s="23">
        <v>-8.0</v>
      </c>
      <c r="U115" s="23">
        <v>0.0</v>
      </c>
    </row>
    <row r="116" ht="14.25" customHeight="1">
      <c r="A116" s="23">
        <v>115.0</v>
      </c>
      <c r="B116" s="23" t="s">
        <v>6342</v>
      </c>
      <c r="C116" s="23" t="s">
        <v>5895</v>
      </c>
      <c r="D116" s="23" t="s">
        <v>5906</v>
      </c>
      <c r="E116" s="23" t="s">
        <v>5896</v>
      </c>
      <c r="F116" s="23" t="s">
        <v>5937</v>
      </c>
      <c r="G116" s="23">
        <v>1.0</v>
      </c>
      <c r="H116" s="23" t="s">
        <v>5930</v>
      </c>
      <c r="I116" s="23" t="s">
        <v>5909</v>
      </c>
      <c r="J116" s="23">
        <v>36.0</v>
      </c>
      <c r="K116" s="23" t="s">
        <v>5925</v>
      </c>
      <c r="L116" s="23" t="s">
        <v>47</v>
      </c>
      <c r="M116" s="23"/>
      <c r="N116" s="23"/>
      <c r="O116" s="23" t="s">
        <v>6343</v>
      </c>
      <c r="P116" s="23" t="s">
        <v>6340</v>
      </c>
      <c r="Q116" s="23">
        <v>0.0</v>
      </c>
      <c r="R116" s="23">
        <v>0.0</v>
      </c>
      <c r="S116" s="23" t="s">
        <v>6344</v>
      </c>
      <c r="T116" s="23">
        <v>-9.0</v>
      </c>
      <c r="U116" s="23">
        <v>0.0</v>
      </c>
    </row>
    <row r="117" ht="14.25" customHeight="1">
      <c r="A117" s="23">
        <v>116.0</v>
      </c>
      <c r="B117" s="23" t="s">
        <v>6345</v>
      </c>
      <c r="C117" s="23" t="s">
        <v>5895</v>
      </c>
      <c r="D117" s="23" t="s">
        <v>5906</v>
      </c>
      <c r="E117" s="23" t="s">
        <v>5896</v>
      </c>
      <c r="F117" s="23" t="s">
        <v>5950</v>
      </c>
      <c r="G117" s="23">
        <v>0.0</v>
      </c>
      <c r="H117" s="23" t="s">
        <v>5938</v>
      </c>
      <c r="I117" s="23" t="s">
        <v>5952</v>
      </c>
      <c r="J117" s="23">
        <v>28.0</v>
      </c>
      <c r="K117" s="23" t="s">
        <v>6074</v>
      </c>
      <c r="L117" s="23" t="s">
        <v>52</v>
      </c>
      <c r="M117" s="23"/>
      <c r="N117" s="23"/>
      <c r="O117" s="23" t="s">
        <v>6346</v>
      </c>
      <c r="P117" s="23" t="s">
        <v>6340</v>
      </c>
      <c r="Q117" s="23">
        <v>0.0</v>
      </c>
      <c r="R117" s="23">
        <v>0.0</v>
      </c>
      <c r="S117" s="23" t="s">
        <v>6347</v>
      </c>
      <c r="T117" s="23">
        <v>-8.0</v>
      </c>
      <c r="U117" s="23">
        <v>0.0</v>
      </c>
    </row>
    <row r="118" ht="14.25" customHeight="1">
      <c r="A118" s="23">
        <v>117.0</v>
      </c>
      <c r="B118" s="23" t="s">
        <v>6348</v>
      </c>
      <c r="C118" s="23" t="s">
        <v>5921</v>
      </c>
      <c r="D118" s="23" t="s">
        <v>5906</v>
      </c>
      <c r="E118" s="23" t="s">
        <v>5896</v>
      </c>
      <c r="F118" s="23" t="s">
        <v>5950</v>
      </c>
      <c r="G118" s="23">
        <v>0.0</v>
      </c>
      <c r="H118" s="23" t="s">
        <v>5958</v>
      </c>
      <c r="I118" s="23" t="s">
        <v>5909</v>
      </c>
      <c r="J118" s="23">
        <v>31.0</v>
      </c>
      <c r="K118" s="23" t="s">
        <v>6038</v>
      </c>
      <c r="L118" s="23" t="s">
        <v>51</v>
      </c>
      <c r="M118" s="23"/>
      <c r="N118" s="23"/>
      <c r="O118" s="23" t="s">
        <v>6349</v>
      </c>
      <c r="P118" s="23" t="s">
        <v>6340</v>
      </c>
      <c r="Q118" s="23">
        <v>0.0</v>
      </c>
      <c r="R118" s="23">
        <v>0.0</v>
      </c>
      <c r="S118" s="23"/>
      <c r="T118" s="23">
        <v>-8.0</v>
      </c>
      <c r="U118" s="23">
        <v>0.0</v>
      </c>
    </row>
    <row r="119" ht="14.25" customHeight="1">
      <c r="A119" s="23">
        <v>118.0</v>
      </c>
      <c r="B119" s="23" t="s">
        <v>6350</v>
      </c>
      <c r="C119" s="23" t="s">
        <v>5921</v>
      </c>
      <c r="D119" s="23" t="s">
        <v>5906</v>
      </c>
      <c r="E119" s="23" t="s">
        <v>541</v>
      </c>
      <c r="F119" s="23" t="s">
        <v>5968</v>
      </c>
      <c r="G119" s="23">
        <v>5.0</v>
      </c>
      <c r="H119" s="23" t="s">
        <v>5958</v>
      </c>
      <c r="I119" s="23" t="s">
        <v>5899</v>
      </c>
      <c r="J119" s="23">
        <v>48.0</v>
      </c>
      <c r="K119" s="23" t="s">
        <v>5932</v>
      </c>
      <c r="L119" s="23" t="s">
        <v>6351</v>
      </c>
      <c r="M119" s="23"/>
      <c r="N119" s="23"/>
      <c r="O119" s="23" t="s">
        <v>6352</v>
      </c>
      <c r="P119" s="23" t="s">
        <v>6353</v>
      </c>
      <c r="Q119" s="23">
        <v>0.0</v>
      </c>
      <c r="R119" s="23">
        <v>1.0</v>
      </c>
      <c r="S119" s="23"/>
      <c r="T119" s="23">
        <v>-99.0</v>
      </c>
      <c r="U119" s="23">
        <v>0.0</v>
      </c>
    </row>
    <row r="120" ht="14.25" customHeight="1">
      <c r="A120" s="23">
        <v>119.0</v>
      </c>
      <c r="B120" s="23" t="s">
        <v>6354</v>
      </c>
      <c r="C120" s="23" t="s">
        <v>5895</v>
      </c>
      <c r="D120" s="23" t="s">
        <v>5906</v>
      </c>
      <c r="E120" s="23" t="s">
        <v>4633</v>
      </c>
      <c r="F120" s="23" t="s">
        <v>5968</v>
      </c>
      <c r="G120" s="23">
        <v>5.0</v>
      </c>
      <c r="H120" s="23" t="s">
        <v>5975</v>
      </c>
      <c r="I120" s="23" t="s">
        <v>5909</v>
      </c>
      <c r="J120" s="23">
        <v>56.0</v>
      </c>
      <c r="K120" s="23" t="s">
        <v>6030</v>
      </c>
      <c r="L120" s="23" t="s">
        <v>6355</v>
      </c>
      <c r="M120" s="23"/>
      <c r="N120" s="23"/>
      <c r="O120" s="23" t="s">
        <v>6356</v>
      </c>
      <c r="P120" s="23" t="s">
        <v>6353</v>
      </c>
      <c r="Q120" s="23">
        <v>0.0</v>
      </c>
      <c r="R120" s="23">
        <v>1.0</v>
      </c>
      <c r="S120" s="23"/>
      <c r="T120" s="23">
        <v>-99.0</v>
      </c>
      <c r="U120" s="23">
        <v>0.0</v>
      </c>
    </row>
    <row r="121" ht="14.25" customHeight="1">
      <c r="A121" s="23">
        <v>120.0</v>
      </c>
      <c r="B121" s="23" t="s">
        <v>6357</v>
      </c>
      <c r="C121" s="23" t="s">
        <v>5895</v>
      </c>
      <c r="D121" s="23" t="s">
        <v>5906</v>
      </c>
      <c r="E121" s="23" t="s">
        <v>702</v>
      </c>
      <c r="F121" s="23" t="s">
        <v>5968</v>
      </c>
      <c r="G121" s="23">
        <v>6.0</v>
      </c>
      <c r="H121" s="23" t="s">
        <v>5944</v>
      </c>
      <c r="I121" s="23" t="s">
        <v>5952</v>
      </c>
      <c r="J121" s="23">
        <v>45.0</v>
      </c>
      <c r="K121" s="23" t="s">
        <v>6090</v>
      </c>
      <c r="L121" s="23" t="s">
        <v>6358</v>
      </c>
      <c r="M121" s="23"/>
      <c r="N121" s="23"/>
      <c r="O121" s="23" t="s">
        <v>6359</v>
      </c>
      <c r="P121" s="23" t="s">
        <v>6353</v>
      </c>
      <c r="Q121" s="23">
        <v>0.0</v>
      </c>
      <c r="R121" s="23">
        <v>1.0</v>
      </c>
      <c r="S121" s="23"/>
      <c r="T121" s="23">
        <v>-99.0</v>
      </c>
      <c r="U121" s="23">
        <v>1.0</v>
      </c>
    </row>
    <row r="122" ht="14.25" customHeight="1">
      <c r="A122" s="23">
        <v>121.0</v>
      </c>
      <c r="B122" s="23" t="s">
        <v>6360</v>
      </c>
      <c r="C122" s="23" t="s">
        <v>5895</v>
      </c>
      <c r="D122" s="23" t="s">
        <v>5906</v>
      </c>
      <c r="E122" s="23" t="s">
        <v>465</v>
      </c>
      <c r="F122" s="23" t="s">
        <v>5968</v>
      </c>
      <c r="G122" s="23">
        <v>5.0</v>
      </c>
      <c r="H122" s="23" t="s">
        <v>5930</v>
      </c>
      <c r="I122" s="23" t="s">
        <v>5899</v>
      </c>
      <c r="J122" s="23">
        <v>51.0</v>
      </c>
      <c r="K122" s="23" t="s">
        <v>5969</v>
      </c>
      <c r="L122" s="23" t="s">
        <v>6361</v>
      </c>
      <c r="M122" s="23"/>
      <c r="N122" s="23"/>
      <c r="O122" s="23" t="s">
        <v>6362</v>
      </c>
      <c r="P122" s="23" t="s">
        <v>6353</v>
      </c>
      <c r="Q122" s="23">
        <v>0.0</v>
      </c>
      <c r="R122" s="23">
        <v>1.0</v>
      </c>
      <c r="S122" s="23"/>
      <c r="T122" s="23">
        <v>-99.0</v>
      </c>
      <c r="U122" s="23">
        <v>0.0</v>
      </c>
    </row>
    <row r="123" ht="14.25" customHeight="1">
      <c r="A123" s="23">
        <v>122.0</v>
      </c>
      <c r="B123" s="23" t="s">
        <v>6363</v>
      </c>
      <c r="C123" s="23" t="s">
        <v>5895</v>
      </c>
      <c r="D123" s="23" t="s">
        <v>5906</v>
      </c>
      <c r="E123" s="23" t="s">
        <v>3151</v>
      </c>
      <c r="F123" s="23" t="s">
        <v>5968</v>
      </c>
      <c r="G123" s="23">
        <v>5.0</v>
      </c>
      <c r="H123" s="23" t="s">
        <v>5958</v>
      </c>
      <c r="I123" s="23" t="s">
        <v>5931</v>
      </c>
      <c r="J123" s="23">
        <v>42.0</v>
      </c>
      <c r="K123" s="23" t="s">
        <v>6159</v>
      </c>
      <c r="L123" s="23" t="s">
        <v>5901</v>
      </c>
      <c r="M123" s="23"/>
      <c r="N123" s="23"/>
      <c r="O123" s="23" t="s">
        <v>6364</v>
      </c>
      <c r="P123" s="23" t="s">
        <v>6353</v>
      </c>
      <c r="Q123" s="23">
        <v>0.0</v>
      </c>
      <c r="R123" s="23">
        <v>1.0</v>
      </c>
      <c r="S123" s="23"/>
      <c r="T123" s="23">
        <v>-99.0</v>
      </c>
      <c r="U123" s="23">
        <v>0.0</v>
      </c>
    </row>
    <row r="124" ht="14.25" customHeight="1">
      <c r="A124" s="23">
        <v>123.0</v>
      </c>
      <c r="B124" s="23" t="s">
        <v>6365</v>
      </c>
      <c r="C124" s="23" t="s">
        <v>5895</v>
      </c>
      <c r="D124" s="23" t="s">
        <v>5906</v>
      </c>
      <c r="E124" s="23" t="s">
        <v>541</v>
      </c>
      <c r="F124" s="23" t="s">
        <v>5907</v>
      </c>
      <c r="G124" s="23">
        <v>4.0</v>
      </c>
      <c r="H124" s="23" t="s">
        <v>5958</v>
      </c>
      <c r="I124" s="23" t="s">
        <v>5931</v>
      </c>
      <c r="J124" s="23">
        <v>32.0</v>
      </c>
      <c r="K124" s="23" t="s">
        <v>5945</v>
      </c>
      <c r="L124" s="23" t="s">
        <v>52</v>
      </c>
      <c r="M124" s="23"/>
      <c r="N124" s="23"/>
      <c r="O124" s="23" t="s">
        <v>6366</v>
      </c>
      <c r="P124" s="23" t="s">
        <v>6367</v>
      </c>
      <c r="Q124" s="23">
        <v>0.0</v>
      </c>
      <c r="R124" s="23">
        <v>1.0</v>
      </c>
      <c r="S124" s="23" t="s">
        <v>6368</v>
      </c>
      <c r="T124" s="23">
        <v>-99.0</v>
      </c>
      <c r="U124" s="23">
        <v>0.0</v>
      </c>
    </row>
    <row r="125" ht="14.25" customHeight="1">
      <c r="A125" s="23">
        <v>124.0</v>
      </c>
      <c r="B125" s="23" t="s">
        <v>6369</v>
      </c>
      <c r="C125" s="23" t="s">
        <v>5921</v>
      </c>
      <c r="D125" s="23" t="s">
        <v>5906</v>
      </c>
      <c r="E125" s="23" t="s">
        <v>4928</v>
      </c>
      <c r="F125" s="23" t="s">
        <v>5907</v>
      </c>
      <c r="G125" s="23">
        <v>4.0</v>
      </c>
      <c r="H125" s="23" t="s">
        <v>5930</v>
      </c>
      <c r="I125" s="23" t="s">
        <v>5899</v>
      </c>
      <c r="J125" s="23">
        <v>25.0</v>
      </c>
      <c r="K125" s="23" t="s">
        <v>5932</v>
      </c>
      <c r="L125" s="23" t="s">
        <v>48</v>
      </c>
      <c r="M125" s="23"/>
      <c r="N125" s="23"/>
      <c r="O125" s="23" t="s">
        <v>6370</v>
      </c>
      <c r="P125" s="23" t="s">
        <v>6371</v>
      </c>
      <c r="Q125" s="23">
        <v>0.0</v>
      </c>
      <c r="R125" s="23">
        <v>1.0</v>
      </c>
      <c r="S125" s="23" t="s">
        <v>6372</v>
      </c>
      <c r="T125" s="23">
        <v>-99.0</v>
      </c>
      <c r="U125" s="23">
        <v>0.0</v>
      </c>
    </row>
    <row r="126" ht="14.25" customHeight="1">
      <c r="A126" s="23">
        <v>125.0</v>
      </c>
      <c r="B126" s="23" t="s">
        <v>6373</v>
      </c>
      <c r="C126" s="23" t="s">
        <v>5895</v>
      </c>
      <c r="D126" s="23" t="s">
        <v>5906</v>
      </c>
      <c r="E126" s="23" t="s">
        <v>2958</v>
      </c>
      <c r="F126" s="23" t="s">
        <v>5907</v>
      </c>
      <c r="G126" s="23">
        <v>4.0</v>
      </c>
      <c r="H126" s="23" t="s">
        <v>5915</v>
      </c>
      <c r="I126" s="23" t="s">
        <v>5931</v>
      </c>
      <c r="J126" s="23">
        <v>28.0</v>
      </c>
      <c r="K126" s="23" t="s">
        <v>5910</v>
      </c>
      <c r="L126" s="23" t="s">
        <v>50</v>
      </c>
      <c r="M126" s="23"/>
      <c r="N126" s="23"/>
      <c r="O126" s="23" t="s">
        <v>6374</v>
      </c>
      <c r="P126" s="23" t="s">
        <v>6375</v>
      </c>
      <c r="Q126" s="23">
        <v>0.0</v>
      </c>
      <c r="R126" s="23">
        <v>1.0</v>
      </c>
      <c r="S126" s="23" t="s">
        <v>6376</v>
      </c>
      <c r="T126" s="23">
        <v>-99.0</v>
      </c>
      <c r="U126" s="23">
        <v>0.0</v>
      </c>
    </row>
    <row r="127" ht="14.25" customHeight="1">
      <c r="A127" s="23">
        <v>126.0</v>
      </c>
      <c r="B127" s="23" t="s">
        <v>6377</v>
      </c>
      <c r="C127" s="23" t="s">
        <v>5895</v>
      </c>
      <c r="D127" s="23" t="s">
        <v>5906</v>
      </c>
      <c r="E127" s="23" t="s">
        <v>931</v>
      </c>
      <c r="F127" s="23" t="s">
        <v>5907</v>
      </c>
      <c r="G127" s="23">
        <v>4.0</v>
      </c>
      <c r="H127" s="23" t="s">
        <v>5898</v>
      </c>
      <c r="I127" s="23" t="s">
        <v>5909</v>
      </c>
      <c r="J127" s="23">
        <v>34.0</v>
      </c>
      <c r="K127" s="23" t="s">
        <v>6010</v>
      </c>
      <c r="L127" s="23" t="s">
        <v>47</v>
      </c>
      <c r="M127" s="23"/>
      <c r="N127" s="23"/>
      <c r="O127" s="23" t="s">
        <v>6378</v>
      </c>
      <c r="P127" s="23" t="s">
        <v>6379</v>
      </c>
      <c r="Q127" s="23">
        <v>0.0</v>
      </c>
      <c r="R127" s="23">
        <v>1.0</v>
      </c>
      <c r="S127" s="23"/>
      <c r="T127" s="23">
        <v>-99.0</v>
      </c>
      <c r="U127" s="23">
        <v>0.0</v>
      </c>
    </row>
    <row r="128" ht="14.25" customHeight="1">
      <c r="A128" s="23">
        <v>127.0</v>
      </c>
      <c r="B128" s="23" t="s">
        <v>6380</v>
      </c>
      <c r="C128" s="23" t="s">
        <v>5895</v>
      </c>
      <c r="D128" s="23" t="s">
        <v>5906</v>
      </c>
      <c r="E128" s="23" t="s">
        <v>2958</v>
      </c>
      <c r="F128" s="23" t="s">
        <v>5914</v>
      </c>
      <c r="G128" s="23">
        <v>3.0</v>
      </c>
      <c r="H128" s="23" t="s">
        <v>5944</v>
      </c>
      <c r="I128" s="23" t="s">
        <v>5931</v>
      </c>
      <c r="J128" s="23">
        <v>29.0</v>
      </c>
      <c r="K128" s="23" t="s">
        <v>6090</v>
      </c>
      <c r="L128" s="23" t="s">
        <v>49</v>
      </c>
      <c r="M128" s="23"/>
      <c r="N128" s="23"/>
      <c r="O128" s="23" t="s">
        <v>6381</v>
      </c>
      <c r="P128" s="23" t="s">
        <v>6382</v>
      </c>
      <c r="Q128" s="23">
        <v>0.0</v>
      </c>
      <c r="R128" s="23">
        <v>1.0</v>
      </c>
      <c r="S128" s="23"/>
      <c r="T128" s="23">
        <v>-99.0</v>
      </c>
      <c r="U128" s="23">
        <v>0.0</v>
      </c>
    </row>
    <row r="129" ht="14.25" customHeight="1">
      <c r="A129" s="23">
        <v>128.0</v>
      </c>
      <c r="B129" s="23" t="s">
        <v>6383</v>
      </c>
      <c r="C129" s="23" t="s">
        <v>5895</v>
      </c>
      <c r="D129" s="23" t="s">
        <v>5906</v>
      </c>
      <c r="E129" s="23" t="s">
        <v>702</v>
      </c>
      <c r="F129" s="23" t="s">
        <v>5914</v>
      </c>
      <c r="G129" s="23">
        <v>1.0</v>
      </c>
      <c r="H129" s="23" t="s">
        <v>5951</v>
      </c>
      <c r="I129" s="23" t="s">
        <v>5909</v>
      </c>
      <c r="J129" s="23">
        <v>26.0</v>
      </c>
      <c r="K129" s="23" t="s">
        <v>5900</v>
      </c>
      <c r="L129" s="23" t="s">
        <v>47</v>
      </c>
      <c r="M129" s="23"/>
      <c r="N129" s="23"/>
      <c r="O129" s="23" t="s">
        <v>6384</v>
      </c>
      <c r="P129" s="23" t="s">
        <v>6382</v>
      </c>
      <c r="Q129" s="23">
        <v>0.0</v>
      </c>
      <c r="R129" s="23">
        <v>1.0</v>
      </c>
      <c r="S129" s="23"/>
      <c r="T129" s="23">
        <v>-99.0</v>
      </c>
      <c r="U129" s="23">
        <v>0.0</v>
      </c>
    </row>
    <row r="130" ht="14.25" customHeight="1">
      <c r="A130" s="23">
        <v>129.0</v>
      </c>
      <c r="B130" s="23" t="s">
        <v>6385</v>
      </c>
      <c r="C130" s="23" t="s">
        <v>5895</v>
      </c>
      <c r="D130" s="23" t="s">
        <v>5906</v>
      </c>
      <c r="E130" s="23" t="s">
        <v>541</v>
      </c>
      <c r="F130" s="23" t="s">
        <v>5914</v>
      </c>
      <c r="G130" s="23">
        <v>3.0</v>
      </c>
      <c r="H130" s="23" t="s">
        <v>5958</v>
      </c>
      <c r="I130" s="23" t="s">
        <v>5924</v>
      </c>
      <c r="J130" s="23">
        <v>18.0</v>
      </c>
      <c r="K130" s="23" t="s">
        <v>5980</v>
      </c>
      <c r="L130" s="23" t="s">
        <v>51</v>
      </c>
      <c r="M130" s="23"/>
      <c r="N130" s="23"/>
      <c r="O130" s="23" t="s">
        <v>6386</v>
      </c>
      <c r="P130" s="23" t="s">
        <v>6382</v>
      </c>
      <c r="Q130" s="23">
        <v>0.0</v>
      </c>
      <c r="R130" s="23">
        <v>1.0</v>
      </c>
      <c r="S130" s="23"/>
      <c r="T130" s="23">
        <v>-99.0</v>
      </c>
      <c r="U130" s="23">
        <v>0.0</v>
      </c>
    </row>
    <row r="131" ht="14.25" customHeight="1">
      <c r="A131" s="23">
        <v>130.0</v>
      </c>
      <c r="B131" s="23" t="s">
        <v>6387</v>
      </c>
      <c r="C131" s="23" t="s">
        <v>5895</v>
      </c>
      <c r="D131" s="23" t="s">
        <v>5906</v>
      </c>
      <c r="E131" s="23" t="s">
        <v>931</v>
      </c>
      <c r="F131" s="23" t="s">
        <v>5914</v>
      </c>
      <c r="G131" s="23">
        <v>3.0</v>
      </c>
      <c r="H131" s="23" t="s">
        <v>5908</v>
      </c>
      <c r="I131" s="23" t="s">
        <v>5909</v>
      </c>
      <c r="J131" s="23">
        <v>27.0</v>
      </c>
      <c r="K131" s="23" t="s">
        <v>6090</v>
      </c>
      <c r="L131" s="23" t="s">
        <v>50</v>
      </c>
      <c r="M131" s="23"/>
      <c r="N131" s="23"/>
      <c r="O131" s="23" t="s">
        <v>6388</v>
      </c>
      <c r="P131" s="23" t="s">
        <v>6382</v>
      </c>
      <c r="Q131" s="23">
        <v>0.0</v>
      </c>
      <c r="R131" s="23">
        <v>1.0</v>
      </c>
      <c r="S131" s="23" t="s">
        <v>6389</v>
      </c>
      <c r="T131" s="23">
        <v>-99.0</v>
      </c>
      <c r="U131" s="23">
        <v>0.0</v>
      </c>
    </row>
    <row r="132" ht="14.25" customHeight="1">
      <c r="A132" s="23">
        <v>131.0</v>
      </c>
      <c r="B132" s="23" t="s">
        <v>6390</v>
      </c>
      <c r="C132" s="23" t="s">
        <v>5921</v>
      </c>
      <c r="D132" s="23" t="s">
        <v>5906</v>
      </c>
      <c r="E132" s="23" t="s">
        <v>1493</v>
      </c>
      <c r="F132" s="23" t="s">
        <v>5914</v>
      </c>
      <c r="G132" s="23">
        <v>3.0</v>
      </c>
      <c r="H132" s="23" t="s">
        <v>5975</v>
      </c>
      <c r="I132" s="23" t="s">
        <v>5931</v>
      </c>
      <c r="J132" s="23">
        <v>20.0</v>
      </c>
      <c r="K132" s="23" t="s">
        <v>5990</v>
      </c>
      <c r="L132" s="23" t="s">
        <v>48</v>
      </c>
      <c r="M132" s="23"/>
      <c r="N132" s="23"/>
      <c r="O132" s="23" t="s">
        <v>6391</v>
      </c>
      <c r="P132" s="23" t="s">
        <v>6382</v>
      </c>
      <c r="Q132" s="23">
        <v>0.0</v>
      </c>
      <c r="R132" s="23">
        <v>1.0</v>
      </c>
      <c r="S132" s="23"/>
      <c r="T132" s="23">
        <v>-99.0</v>
      </c>
      <c r="U132" s="23">
        <v>0.0</v>
      </c>
    </row>
    <row r="133" ht="14.25" customHeight="1">
      <c r="A133" s="23">
        <v>132.0</v>
      </c>
      <c r="B133" s="23" t="s">
        <v>6392</v>
      </c>
      <c r="C133" s="23" t="s">
        <v>5921</v>
      </c>
      <c r="D133" s="23" t="s">
        <v>5906</v>
      </c>
      <c r="E133" s="23" t="s">
        <v>667</v>
      </c>
      <c r="F133" s="23" t="s">
        <v>5922</v>
      </c>
      <c r="G133" s="23">
        <v>2.0</v>
      </c>
      <c r="H133" s="23" t="s">
        <v>5930</v>
      </c>
      <c r="I133" s="23" t="s">
        <v>5899</v>
      </c>
      <c r="J133" s="23">
        <v>19.0</v>
      </c>
      <c r="K133" s="23" t="s">
        <v>6159</v>
      </c>
      <c r="L133" s="23" t="s">
        <v>52</v>
      </c>
      <c r="M133" s="23"/>
      <c r="N133" s="23"/>
      <c r="O133" s="23" t="s">
        <v>6393</v>
      </c>
      <c r="P133" s="23" t="s">
        <v>6382</v>
      </c>
      <c r="Q133" s="23">
        <v>0.0</v>
      </c>
      <c r="R133" s="23">
        <v>1.0</v>
      </c>
      <c r="S133" s="23" t="s">
        <v>6394</v>
      </c>
      <c r="T133" s="23">
        <v>-99.0</v>
      </c>
      <c r="U133" s="23">
        <v>0.0</v>
      </c>
    </row>
    <row r="134" ht="14.25" customHeight="1">
      <c r="A134" s="23">
        <v>133.0</v>
      </c>
      <c r="B134" s="23" t="s">
        <v>6395</v>
      </c>
      <c r="C134" s="23" t="s">
        <v>5895</v>
      </c>
      <c r="D134" s="23" t="s">
        <v>5906</v>
      </c>
      <c r="E134" s="23" t="s">
        <v>465</v>
      </c>
      <c r="F134" s="23" t="s">
        <v>5922</v>
      </c>
      <c r="G134" s="23">
        <v>2.0</v>
      </c>
      <c r="H134" s="23" t="s">
        <v>5938</v>
      </c>
      <c r="I134" s="23" t="s">
        <v>5899</v>
      </c>
      <c r="J134" s="23">
        <v>22.0</v>
      </c>
      <c r="K134" s="23" t="s">
        <v>5925</v>
      </c>
      <c r="L134" s="23" t="s">
        <v>48</v>
      </c>
      <c r="M134" s="23"/>
      <c r="N134" s="23"/>
      <c r="O134" s="23" t="s">
        <v>6396</v>
      </c>
      <c r="P134" s="23" t="s">
        <v>6382</v>
      </c>
      <c r="Q134" s="23">
        <v>0.0</v>
      </c>
      <c r="R134" s="23">
        <v>1.0</v>
      </c>
      <c r="S134" s="23"/>
      <c r="T134" s="23">
        <v>-99.0</v>
      </c>
      <c r="U134" s="23">
        <v>0.0</v>
      </c>
    </row>
    <row r="135" ht="14.25" customHeight="1">
      <c r="A135" s="23">
        <v>134.0</v>
      </c>
      <c r="B135" s="23" t="s">
        <v>6397</v>
      </c>
      <c r="C135" s="23" t="s">
        <v>5921</v>
      </c>
      <c r="D135" s="23" t="s">
        <v>5906</v>
      </c>
      <c r="E135" s="23" t="s">
        <v>5896</v>
      </c>
      <c r="F135" s="23" t="s">
        <v>5950</v>
      </c>
      <c r="G135" s="23">
        <v>0.0</v>
      </c>
      <c r="H135" s="23" t="s">
        <v>5951</v>
      </c>
      <c r="I135" s="23" t="s">
        <v>5899</v>
      </c>
      <c r="J135" s="23">
        <v>21.0</v>
      </c>
      <c r="K135" s="23" t="s">
        <v>5939</v>
      </c>
      <c r="L135" s="23" t="s">
        <v>47</v>
      </c>
      <c r="M135" s="23"/>
      <c r="N135" s="23"/>
      <c r="O135" s="23" t="s">
        <v>6398</v>
      </c>
      <c r="P135" s="23"/>
      <c r="Q135" s="23">
        <v>0.0</v>
      </c>
      <c r="R135" s="23">
        <v>0.0</v>
      </c>
      <c r="S135" s="23"/>
      <c r="T135" s="23">
        <v>-4.0</v>
      </c>
      <c r="U135" s="23">
        <v>0.0</v>
      </c>
    </row>
    <row r="136" ht="14.25" customHeight="1">
      <c r="A136" s="23">
        <v>135.0</v>
      </c>
      <c r="B136" s="23" t="s">
        <v>6399</v>
      </c>
      <c r="C136" s="23" t="s">
        <v>5921</v>
      </c>
      <c r="D136" s="23" t="s">
        <v>5906</v>
      </c>
      <c r="E136" s="23" t="s">
        <v>5896</v>
      </c>
      <c r="F136" s="23" t="s">
        <v>5937</v>
      </c>
      <c r="G136" s="23">
        <v>1.0</v>
      </c>
      <c r="H136" s="23" t="s">
        <v>5958</v>
      </c>
      <c r="I136" s="23" t="s">
        <v>5931</v>
      </c>
      <c r="J136" s="23">
        <v>19.0</v>
      </c>
      <c r="K136" s="23" t="s">
        <v>5916</v>
      </c>
      <c r="L136" s="23" t="s">
        <v>52</v>
      </c>
      <c r="M136" s="23"/>
      <c r="N136" s="23"/>
      <c r="O136" s="23" t="s">
        <v>6400</v>
      </c>
      <c r="P136" s="23"/>
      <c r="Q136" s="23">
        <v>0.0</v>
      </c>
      <c r="R136" s="23">
        <v>0.0</v>
      </c>
      <c r="S136" s="23"/>
      <c r="T136" s="23">
        <v>-6.0</v>
      </c>
      <c r="U136" s="23">
        <v>0.0</v>
      </c>
    </row>
    <row r="137" ht="14.25" customHeight="1">
      <c r="A137" s="23">
        <v>136.0</v>
      </c>
      <c r="B137" s="23" t="s">
        <v>6401</v>
      </c>
      <c r="C137" s="23" t="s">
        <v>5921</v>
      </c>
      <c r="D137" s="23" t="s">
        <v>5906</v>
      </c>
      <c r="E137" s="23" t="s">
        <v>5896</v>
      </c>
      <c r="F137" s="23" t="s">
        <v>5922</v>
      </c>
      <c r="G137" s="23">
        <v>2.0</v>
      </c>
      <c r="H137" s="23" t="s">
        <v>5923</v>
      </c>
      <c r="I137" s="23" t="s">
        <v>5924</v>
      </c>
      <c r="J137" s="23">
        <v>25.0</v>
      </c>
      <c r="K137" s="23" t="s">
        <v>5994</v>
      </c>
      <c r="L137" s="23" t="s">
        <v>51</v>
      </c>
      <c r="M137" s="23"/>
      <c r="N137" s="23"/>
      <c r="O137" s="23" t="s">
        <v>6402</v>
      </c>
      <c r="P137" s="23"/>
      <c r="Q137" s="23">
        <v>0.0</v>
      </c>
      <c r="R137" s="23">
        <v>0.0</v>
      </c>
      <c r="S137" s="23"/>
      <c r="T137" s="23">
        <v>-1.0</v>
      </c>
      <c r="U137" s="23">
        <v>0.0</v>
      </c>
    </row>
    <row r="138" ht="14.25" customHeight="1">
      <c r="A138" s="23">
        <v>137.0</v>
      </c>
      <c r="B138" s="23" t="s">
        <v>6403</v>
      </c>
      <c r="C138" s="23" t="s">
        <v>5921</v>
      </c>
      <c r="D138" s="23" t="s">
        <v>5906</v>
      </c>
      <c r="E138" s="23" t="s">
        <v>5896</v>
      </c>
      <c r="F138" s="23" t="s">
        <v>5914</v>
      </c>
      <c r="G138" s="23">
        <v>3.0</v>
      </c>
      <c r="H138" s="23" t="s">
        <v>5908</v>
      </c>
      <c r="I138" s="23" t="s">
        <v>5899</v>
      </c>
      <c r="J138" s="23">
        <v>24.0</v>
      </c>
      <c r="K138" s="23" t="s">
        <v>6019</v>
      </c>
      <c r="L138" s="23" t="s">
        <v>6404</v>
      </c>
      <c r="M138" s="23"/>
      <c r="N138" s="23"/>
      <c r="O138" s="23" t="s">
        <v>6405</v>
      </c>
      <c r="P138" s="23" t="s">
        <v>6406</v>
      </c>
      <c r="Q138" s="23">
        <v>0.0</v>
      </c>
      <c r="R138" s="23">
        <v>0.0</v>
      </c>
      <c r="S138" s="23" t="s">
        <v>6407</v>
      </c>
      <c r="T138" s="23">
        <v>-5.0</v>
      </c>
      <c r="U138" s="23">
        <v>0.0</v>
      </c>
    </row>
    <row r="139" ht="14.25" customHeight="1">
      <c r="A139" s="23">
        <v>138.0</v>
      </c>
      <c r="B139" s="23" t="s">
        <v>6408</v>
      </c>
      <c r="C139" s="23" t="s">
        <v>5921</v>
      </c>
      <c r="D139" s="23" t="s">
        <v>5906</v>
      </c>
      <c r="E139" s="23" t="s">
        <v>5896</v>
      </c>
      <c r="F139" s="23" t="s">
        <v>5907</v>
      </c>
      <c r="G139" s="23">
        <v>4.0</v>
      </c>
      <c r="H139" s="23" t="s">
        <v>5930</v>
      </c>
      <c r="I139" s="23" t="s">
        <v>5931</v>
      </c>
      <c r="J139" s="23">
        <v>28.0</v>
      </c>
      <c r="K139" s="23" t="s">
        <v>6038</v>
      </c>
      <c r="L139" s="23" t="s">
        <v>5964</v>
      </c>
      <c r="M139" s="23"/>
      <c r="N139" s="23"/>
      <c r="O139" s="23" t="s">
        <v>6409</v>
      </c>
      <c r="P139" s="23"/>
      <c r="Q139" s="23">
        <v>0.0</v>
      </c>
      <c r="R139" s="23">
        <v>0.0</v>
      </c>
      <c r="S139" s="23"/>
      <c r="T139" s="23">
        <v>-9.0</v>
      </c>
      <c r="U139" s="23">
        <v>0.0</v>
      </c>
    </row>
    <row r="140" ht="14.25" customHeight="1">
      <c r="A140" s="23">
        <v>139.0</v>
      </c>
      <c r="B140" s="23" t="s">
        <v>6410</v>
      </c>
      <c r="C140" s="23" t="s">
        <v>5895</v>
      </c>
      <c r="D140" s="23" t="s">
        <v>5906</v>
      </c>
      <c r="E140" s="23" t="s">
        <v>5896</v>
      </c>
      <c r="F140" s="23" t="s">
        <v>5968</v>
      </c>
      <c r="G140" s="23">
        <v>7.0</v>
      </c>
      <c r="H140" s="23" t="s">
        <v>5898</v>
      </c>
      <c r="I140" s="23" t="s">
        <v>5924</v>
      </c>
      <c r="J140" s="23">
        <v>61.0</v>
      </c>
      <c r="K140" s="23" t="s">
        <v>5969</v>
      </c>
      <c r="L140" s="23" t="s">
        <v>6411</v>
      </c>
      <c r="M140" s="23" t="s">
        <v>5934</v>
      </c>
      <c r="N140" s="23"/>
      <c r="O140" s="23" t="s">
        <v>6412</v>
      </c>
      <c r="P140" s="23" t="s">
        <v>6413</v>
      </c>
      <c r="Q140" s="23">
        <v>0.0</v>
      </c>
      <c r="R140" s="23">
        <v>0.0</v>
      </c>
      <c r="S140" s="23"/>
      <c r="T140" s="23">
        <v>-3.0</v>
      </c>
      <c r="U140" s="23">
        <v>1.0</v>
      </c>
    </row>
    <row r="141" ht="14.25" customHeight="1">
      <c r="A141" s="23">
        <v>140.0</v>
      </c>
      <c r="B141" s="23" t="s">
        <v>6414</v>
      </c>
      <c r="C141" s="23" t="s">
        <v>5895</v>
      </c>
      <c r="D141" s="23" t="s">
        <v>5906</v>
      </c>
      <c r="E141" s="23" t="s">
        <v>5896</v>
      </c>
      <c r="F141" s="23" t="s">
        <v>5968</v>
      </c>
      <c r="G141" s="23">
        <v>6.0</v>
      </c>
      <c r="H141" s="23" t="s">
        <v>5908</v>
      </c>
      <c r="I141" s="23" t="s">
        <v>5931</v>
      </c>
      <c r="J141" s="23">
        <v>71.0</v>
      </c>
      <c r="K141" s="23" t="s">
        <v>6159</v>
      </c>
      <c r="L141" s="23" t="s">
        <v>6415</v>
      </c>
      <c r="M141" s="23"/>
      <c r="N141" s="23" t="s">
        <v>6416</v>
      </c>
      <c r="O141" s="23" t="s">
        <v>6417</v>
      </c>
      <c r="P141" s="23" t="s">
        <v>6418</v>
      </c>
      <c r="Q141" s="23">
        <v>1.0</v>
      </c>
      <c r="R141" s="23">
        <v>0.0</v>
      </c>
      <c r="S141" s="23"/>
      <c r="T141" s="23">
        <v>-4.0</v>
      </c>
      <c r="U141" s="23">
        <v>0.0</v>
      </c>
    </row>
    <row r="142" ht="14.25" customHeight="1">
      <c r="A142" s="23">
        <v>141.0</v>
      </c>
      <c r="B142" s="23" t="s">
        <v>6419</v>
      </c>
      <c r="C142" s="23" t="s">
        <v>5895</v>
      </c>
      <c r="D142" s="23" t="s">
        <v>5906</v>
      </c>
      <c r="E142" s="23" t="s">
        <v>5896</v>
      </c>
      <c r="F142" s="23" t="s">
        <v>5968</v>
      </c>
      <c r="G142" s="23">
        <v>6.0</v>
      </c>
      <c r="H142" s="23" t="s">
        <v>5951</v>
      </c>
      <c r="I142" s="23" t="s">
        <v>5909</v>
      </c>
      <c r="J142" s="23">
        <v>68.0</v>
      </c>
      <c r="K142" s="23" t="s">
        <v>5939</v>
      </c>
      <c r="L142" s="23" t="s">
        <v>6420</v>
      </c>
      <c r="M142" s="23"/>
      <c r="N142" s="23" t="s">
        <v>6416</v>
      </c>
      <c r="O142" s="23" t="s">
        <v>6421</v>
      </c>
      <c r="P142" s="23" t="s">
        <v>6418</v>
      </c>
      <c r="Q142" s="23">
        <v>1.0</v>
      </c>
      <c r="R142" s="23">
        <v>0.0</v>
      </c>
      <c r="S142" s="23"/>
      <c r="T142" s="23">
        <v>-2.0</v>
      </c>
      <c r="U142" s="23">
        <v>0.0</v>
      </c>
    </row>
    <row r="143" ht="14.25" customHeight="1">
      <c r="A143" s="23">
        <v>142.0</v>
      </c>
      <c r="B143" s="23" t="s">
        <v>6422</v>
      </c>
      <c r="C143" s="23" t="s">
        <v>5895</v>
      </c>
      <c r="D143" s="23" t="s">
        <v>5906</v>
      </c>
      <c r="E143" s="23" t="s">
        <v>5896</v>
      </c>
      <c r="F143" s="23" t="s">
        <v>5968</v>
      </c>
      <c r="G143" s="23">
        <v>6.0</v>
      </c>
      <c r="H143" s="23" t="s">
        <v>5938</v>
      </c>
      <c r="I143" s="23" t="s">
        <v>5899</v>
      </c>
      <c r="J143" s="23">
        <v>65.0</v>
      </c>
      <c r="K143" s="23" t="s">
        <v>5932</v>
      </c>
      <c r="L143" s="23" t="s">
        <v>6423</v>
      </c>
      <c r="M143" s="23"/>
      <c r="N143" s="23" t="s">
        <v>6416</v>
      </c>
      <c r="O143" s="23" t="s">
        <v>6424</v>
      </c>
      <c r="P143" s="23" t="s">
        <v>6418</v>
      </c>
      <c r="Q143" s="23">
        <v>1.0</v>
      </c>
      <c r="R143" s="23">
        <v>0.0</v>
      </c>
      <c r="S143" s="23"/>
      <c r="T143" s="23">
        <v>-3.0</v>
      </c>
      <c r="U143" s="23">
        <v>0.0</v>
      </c>
    </row>
    <row r="144" ht="14.25" customHeight="1">
      <c r="A144" s="23">
        <v>143.0</v>
      </c>
      <c r="B144" s="23" t="s">
        <v>6425</v>
      </c>
      <c r="C144" s="23" t="s">
        <v>5895</v>
      </c>
      <c r="D144" s="23" t="s">
        <v>5906</v>
      </c>
      <c r="E144" s="23" t="s">
        <v>5896</v>
      </c>
      <c r="F144" s="23" t="s">
        <v>5968</v>
      </c>
      <c r="G144" s="23">
        <v>6.0</v>
      </c>
      <c r="H144" s="23" t="s">
        <v>5915</v>
      </c>
      <c r="I144" s="23" t="s">
        <v>5924</v>
      </c>
      <c r="J144" s="23">
        <v>59.0</v>
      </c>
      <c r="K144" s="23" t="s">
        <v>5990</v>
      </c>
      <c r="L144" s="23" t="s">
        <v>6426</v>
      </c>
      <c r="M144" s="23"/>
      <c r="N144" s="23" t="s">
        <v>6416</v>
      </c>
      <c r="O144" s="23" t="s">
        <v>6427</v>
      </c>
      <c r="P144" s="23" t="s">
        <v>6418</v>
      </c>
      <c r="Q144" s="23">
        <v>1.0</v>
      </c>
      <c r="R144" s="23">
        <v>0.0</v>
      </c>
      <c r="S144" s="23"/>
      <c r="T144" s="23">
        <v>-5.0</v>
      </c>
      <c r="U144" s="23">
        <v>0.0</v>
      </c>
    </row>
    <row r="145" ht="14.25" customHeight="1">
      <c r="A145" s="23">
        <v>144.0</v>
      </c>
      <c r="B145" s="23" t="s">
        <v>6428</v>
      </c>
      <c r="C145" s="23" t="s">
        <v>5895</v>
      </c>
      <c r="D145" s="23" t="s">
        <v>5906</v>
      </c>
      <c r="E145" s="23" t="s">
        <v>541</v>
      </c>
      <c r="F145" s="23" t="s">
        <v>5968</v>
      </c>
      <c r="G145" s="23">
        <v>15.0</v>
      </c>
      <c r="H145" s="23" t="s">
        <v>5930</v>
      </c>
      <c r="I145" s="23" t="s">
        <v>5924</v>
      </c>
      <c r="J145" s="23">
        <v>64.0</v>
      </c>
      <c r="K145" s="23" t="s">
        <v>5980</v>
      </c>
      <c r="L145" s="23" t="s">
        <v>6429</v>
      </c>
      <c r="M145" s="23"/>
      <c r="N145" s="23" t="s">
        <v>6430</v>
      </c>
      <c r="O145" s="23" t="s">
        <v>6431</v>
      </c>
      <c r="P145" s="23"/>
      <c r="Q145" s="23">
        <v>1.0</v>
      </c>
      <c r="R145" s="23">
        <v>1.0</v>
      </c>
      <c r="S145" s="23"/>
      <c r="T145" s="23">
        <v>-99.0</v>
      </c>
      <c r="U145" s="23">
        <v>0.0</v>
      </c>
    </row>
    <row r="146" ht="14.25" customHeight="1">
      <c r="A146" s="23">
        <v>145.0</v>
      </c>
      <c r="B146" s="23" t="s">
        <v>6432</v>
      </c>
      <c r="C146" s="23" t="s">
        <v>5921</v>
      </c>
      <c r="D146" s="23" t="s">
        <v>5906</v>
      </c>
      <c r="E146" s="23" t="s">
        <v>465</v>
      </c>
      <c r="F146" s="23" t="s">
        <v>5968</v>
      </c>
      <c r="G146" s="23">
        <v>15.0</v>
      </c>
      <c r="H146" s="23" t="s">
        <v>5908</v>
      </c>
      <c r="I146" s="23" t="s">
        <v>5931</v>
      </c>
      <c r="J146" s="23">
        <v>45.0</v>
      </c>
      <c r="K146" s="23" t="s">
        <v>5910</v>
      </c>
      <c r="L146" s="23" t="s">
        <v>6433</v>
      </c>
      <c r="M146" s="23"/>
      <c r="N146" s="23" t="s">
        <v>6434</v>
      </c>
      <c r="O146" s="23" t="s">
        <v>6435</v>
      </c>
      <c r="P146" s="23"/>
      <c r="Q146" s="23">
        <v>1.0</v>
      </c>
      <c r="R146" s="23">
        <v>1.0</v>
      </c>
      <c r="S146" s="23"/>
      <c r="T146" s="23">
        <v>-99.0</v>
      </c>
      <c r="U146" s="23">
        <v>0.0</v>
      </c>
    </row>
    <row r="147" ht="14.25" customHeight="1">
      <c r="A147" s="23">
        <v>146.0</v>
      </c>
      <c r="B147" s="23" t="s">
        <v>6436</v>
      </c>
      <c r="C147" s="23" t="s">
        <v>5921</v>
      </c>
      <c r="D147" s="23" t="s">
        <v>5906</v>
      </c>
      <c r="E147" s="23" t="s">
        <v>4928</v>
      </c>
      <c r="F147" s="23" t="s">
        <v>5968</v>
      </c>
      <c r="G147" s="23">
        <v>15.0</v>
      </c>
      <c r="H147" s="23" t="s">
        <v>5923</v>
      </c>
      <c r="I147" s="23" t="s">
        <v>5924</v>
      </c>
      <c r="J147" s="23">
        <v>55.0</v>
      </c>
      <c r="K147" s="23" t="s">
        <v>5925</v>
      </c>
      <c r="L147" s="23" t="s">
        <v>6437</v>
      </c>
      <c r="M147" s="23"/>
      <c r="N147" s="23" t="s">
        <v>6438</v>
      </c>
      <c r="O147" s="23" t="s">
        <v>6439</v>
      </c>
      <c r="P147" s="23"/>
      <c r="Q147" s="23">
        <v>1.0</v>
      </c>
      <c r="R147" s="23">
        <v>1.0</v>
      </c>
      <c r="S147" s="23"/>
      <c r="T147" s="23">
        <v>-99.0</v>
      </c>
      <c r="U147" s="23">
        <v>0.0</v>
      </c>
    </row>
    <row r="148" ht="14.25" customHeight="1">
      <c r="A148" s="23">
        <v>147.0</v>
      </c>
      <c r="B148" s="23" t="s">
        <v>6440</v>
      </c>
      <c r="C148" s="23" t="s">
        <v>5895</v>
      </c>
      <c r="D148" s="23" t="s">
        <v>5906</v>
      </c>
      <c r="E148" s="23" t="s">
        <v>2958</v>
      </c>
      <c r="F148" s="23" t="s">
        <v>5968</v>
      </c>
      <c r="G148" s="23">
        <v>15.0</v>
      </c>
      <c r="H148" s="23" t="s">
        <v>5975</v>
      </c>
      <c r="I148" s="23" t="s">
        <v>5931</v>
      </c>
      <c r="J148" s="23">
        <v>57.0</v>
      </c>
      <c r="K148" s="23" t="s">
        <v>6050</v>
      </c>
      <c r="L148" s="23" t="s">
        <v>6441</v>
      </c>
      <c r="M148" s="23"/>
      <c r="N148" s="23" t="s">
        <v>6442</v>
      </c>
      <c r="O148" s="23" t="s">
        <v>6443</v>
      </c>
      <c r="P148" s="23"/>
      <c r="Q148" s="23">
        <v>1.0</v>
      </c>
      <c r="R148" s="23">
        <v>1.0</v>
      </c>
      <c r="S148" s="23"/>
      <c r="T148" s="23">
        <v>-99.0</v>
      </c>
      <c r="U148" s="23">
        <v>0.0</v>
      </c>
    </row>
    <row r="149" ht="14.25" customHeight="1">
      <c r="A149" s="23">
        <v>148.0</v>
      </c>
      <c r="B149" s="23" t="s">
        <v>6444</v>
      </c>
      <c r="C149" s="23" t="s">
        <v>5895</v>
      </c>
      <c r="D149" s="23" t="s">
        <v>5906</v>
      </c>
      <c r="E149" s="23" t="s">
        <v>561</v>
      </c>
      <c r="F149" s="23" t="s">
        <v>5968</v>
      </c>
      <c r="G149" s="23">
        <v>15.0</v>
      </c>
      <c r="H149" s="23" t="s">
        <v>5944</v>
      </c>
      <c r="I149" s="23" t="s">
        <v>5899</v>
      </c>
      <c r="J149" s="23">
        <v>49.0</v>
      </c>
      <c r="K149" s="23" t="s">
        <v>6005</v>
      </c>
      <c r="L149" s="23" t="s">
        <v>6445</v>
      </c>
      <c r="M149" s="23"/>
      <c r="N149" s="23" t="s">
        <v>6446</v>
      </c>
      <c r="O149" s="23" t="s">
        <v>6447</v>
      </c>
      <c r="P149" s="23"/>
      <c r="Q149" s="23">
        <v>1.0</v>
      </c>
      <c r="R149" s="23">
        <v>1.0</v>
      </c>
      <c r="S149" s="23"/>
      <c r="T149" s="23">
        <v>-99.0</v>
      </c>
      <c r="U149" s="23">
        <v>0.0</v>
      </c>
    </row>
    <row r="150" ht="14.25" customHeight="1">
      <c r="A150" s="23">
        <v>149.0</v>
      </c>
      <c r="B150" s="23" t="s">
        <v>6448</v>
      </c>
      <c r="C150" s="23" t="s">
        <v>5895</v>
      </c>
      <c r="D150" s="23" t="s">
        <v>5906</v>
      </c>
      <c r="E150" s="23" t="s">
        <v>931</v>
      </c>
      <c r="F150" s="23" t="s">
        <v>5968</v>
      </c>
      <c r="G150" s="23">
        <v>15.0</v>
      </c>
      <c r="H150" s="23" t="s">
        <v>5958</v>
      </c>
      <c r="I150" s="23" t="s">
        <v>5924</v>
      </c>
      <c r="J150" s="23">
        <v>66.0</v>
      </c>
      <c r="K150" s="23" t="s">
        <v>5932</v>
      </c>
      <c r="L150" s="23" t="s">
        <v>6449</v>
      </c>
      <c r="M150" s="23"/>
      <c r="N150" s="23" t="s">
        <v>6450</v>
      </c>
      <c r="O150" s="23" t="s">
        <v>6451</v>
      </c>
      <c r="P150" s="23"/>
      <c r="Q150" s="23">
        <v>1.0</v>
      </c>
      <c r="R150" s="23">
        <v>1.0</v>
      </c>
      <c r="S150" s="23"/>
      <c r="T150" s="23">
        <v>-99.0</v>
      </c>
      <c r="U150" s="23">
        <v>0.0</v>
      </c>
    </row>
    <row r="151" ht="14.25" customHeight="1">
      <c r="A151" s="23">
        <v>150.0</v>
      </c>
      <c r="B151" s="23" t="s">
        <v>6452</v>
      </c>
      <c r="C151" s="23" t="s">
        <v>5895</v>
      </c>
      <c r="D151" s="23" t="s">
        <v>334</v>
      </c>
      <c r="E151" s="23" t="s">
        <v>5896</v>
      </c>
      <c r="F151" s="23" t="s">
        <v>5950</v>
      </c>
      <c r="G151" s="23">
        <v>0.0</v>
      </c>
      <c r="H151" s="23" t="s">
        <v>5951</v>
      </c>
      <c r="I151" s="23" t="s">
        <v>5899</v>
      </c>
      <c r="J151" s="23">
        <v>20.0</v>
      </c>
      <c r="K151" s="23" t="s">
        <v>6010</v>
      </c>
      <c r="L151" s="23"/>
      <c r="M151" s="23"/>
      <c r="N151" s="23"/>
      <c r="O151" s="23" t="s">
        <v>6453</v>
      </c>
      <c r="P151" s="23"/>
      <c r="Q151" s="23">
        <v>0.0</v>
      </c>
      <c r="R151" s="23">
        <v>0.0</v>
      </c>
      <c r="S151" s="23"/>
      <c r="T151" s="23">
        <v>-99.0</v>
      </c>
      <c r="U151" s="23">
        <v>0.0</v>
      </c>
    </row>
    <row r="152" ht="14.25" customHeight="1">
      <c r="A152" s="23">
        <v>151.0</v>
      </c>
      <c r="B152" s="23" t="s">
        <v>6454</v>
      </c>
      <c r="C152" s="23" t="s">
        <v>5921</v>
      </c>
      <c r="D152" s="23" t="s">
        <v>5371</v>
      </c>
      <c r="E152" s="23" t="s">
        <v>5896</v>
      </c>
      <c r="F152" s="23" t="s">
        <v>5914</v>
      </c>
      <c r="G152" s="23">
        <v>0.0</v>
      </c>
      <c r="H152" s="23" t="s">
        <v>5915</v>
      </c>
      <c r="I152" s="23" t="s">
        <v>5931</v>
      </c>
      <c r="J152" s="23">
        <v>18.0</v>
      </c>
      <c r="K152" s="23" t="s">
        <v>5980</v>
      </c>
      <c r="L152" s="23" t="s">
        <v>52</v>
      </c>
      <c r="M152" s="23"/>
      <c r="N152" s="23"/>
      <c r="O152" s="23" t="s">
        <v>6455</v>
      </c>
      <c r="P152" s="23" t="s">
        <v>6456</v>
      </c>
      <c r="Q152" s="23">
        <v>0.0</v>
      </c>
      <c r="R152" s="23">
        <v>0.0</v>
      </c>
      <c r="S152" s="23"/>
      <c r="T152" s="23">
        <v>-99.0</v>
      </c>
      <c r="U152" s="23">
        <v>0.0</v>
      </c>
    </row>
    <row r="153" ht="14.25" customHeight="1">
      <c r="A153" s="23">
        <v>152.0</v>
      </c>
      <c r="B153" s="23" t="s">
        <v>6457</v>
      </c>
      <c r="C153" s="23" t="s">
        <v>5895</v>
      </c>
      <c r="D153" s="23" t="s">
        <v>5906</v>
      </c>
      <c r="E153" s="23" t="s">
        <v>2958</v>
      </c>
      <c r="F153" s="23" t="s">
        <v>5914</v>
      </c>
      <c r="G153" s="23">
        <v>5.0</v>
      </c>
      <c r="H153" s="23" t="s">
        <v>5930</v>
      </c>
      <c r="I153" s="23" t="s">
        <v>5924</v>
      </c>
      <c r="J153" s="23">
        <v>27.0</v>
      </c>
      <c r="K153" s="23" t="s">
        <v>5939</v>
      </c>
      <c r="L153" s="23" t="s">
        <v>6441</v>
      </c>
      <c r="M153" s="23"/>
      <c r="N153" s="23" t="s">
        <v>5870</v>
      </c>
      <c r="O153" s="23" t="s">
        <v>6443</v>
      </c>
      <c r="P153" s="23"/>
      <c r="Q153" s="23">
        <v>1.0</v>
      </c>
      <c r="R153" s="23">
        <v>1.0</v>
      </c>
      <c r="S153" s="23"/>
      <c r="T153" s="23">
        <v>-99.0</v>
      </c>
      <c r="U153" s="23">
        <v>0.0</v>
      </c>
    </row>
    <row r="154" ht="14.25" customHeight="1">
      <c r="A154" s="23">
        <v>153.0</v>
      </c>
      <c r="B154" s="23" t="s">
        <v>6458</v>
      </c>
      <c r="C154" s="23" t="s">
        <v>5895</v>
      </c>
      <c r="D154" s="23" t="s">
        <v>5906</v>
      </c>
      <c r="E154" s="23" t="s">
        <v>5896</v>
      </c>
      <c r="F154" s="23" t="s">
        <v>5914</v>
      </c>
      <c r="G154" s="23">
        <v>3.0</v>
      </c>
      <c r="H154" s="23" t="s">
        <v>5908</v>
      </c>
      <c r="I154" s="23" t="s">
        <v>5931</v>
      </c>
      <c r="J154" s="23">
        <v>41.0</v>
      </c>
      <c r="K154" s="23" t="s">
        <v>6159</v>
      </c>
      <c r="L154" s="23" t="s">
        <v>47</v>
      </c>
      <c r="M154" s="23"/>
      <c r="N154" s="23"/>
      <c r="O154" s="23" t="s">
        <v>6459</v>
      </c>
      <c r="P154" s="23" t="s">
        <v>6460</v>
      </c>
      <c r="Q154" s="23">
        <v>1.0</v>
      </c>
      <c r="R154" s="23">
        <v>0.0</v>
      </c>
      <c r="S154" s="23"/>
      <c r="T154" s="23">
        <v>-4.0</v>
      </c>
      <c r="U154" s="23">
        <v>0.0</v>
      </c>
    </row>
    <row r="155" ht="14.25" customHeight="1">
      <c r="A155" s="23">
        <v>154.0</v>
      </c>
      <c r="B155" s="23" t="s">
        <v>6461</v>
      </c>
      <c r="C155" s="23" t="s">
        <v>5895</v>
      </c>
      <c r="D155" s="23" t="s">
        <v>5906</v>
      </c>
      <c r="E155" s="23" t="s">
        <v>5896</v>
      </c>
      <c r="F155" s="23" t="s">
        <v>5914</v>
      </c>
      <c r="G155" s="23">
        <v>3.0</v>
      </c>
      <c r="H155" s="23" t="s">
        <v>5951</v>
      </c>
      <c r="I155" s="23" t="s">
        <v>5909</v>
      </c>
      <c r="J155" s="23">
        <v>38.0</v>
      </c>
      <c r="K155" s="23" t="s">
        <v>5939</v>
      </c>
      <c r="L155" s="23" t="s">
        <v>48</v>
      </c>
      <c r="M155" s="23"/>
      <c r="N155" s="23"/>
      <c r="O155" s="23" t="s">
        <v>6462</v>
      </c>
      <c r="P155" s="23" t="s">
        <v>6460</v>
      </c>
      <c r="Q155" s="23">
        <v>1.0</v>
      </c>
      <c r="R155" s="23">
        <v>0.0</v>
      </c>
      <c r="S155" s="23"/>
      <c r="T155" s="23">
        <v>-2.0</v>
      </c>
      <c r="U155" s="23">
        <v>0.0</v>
      </c>
    </row>
    <row r="156" ht="14.25" customHeight="1">
      <c r="A156" s="23">
        <v>155.0</v>
      </c>
      <c r="B156" s="23" t="s">
        <v>6463</v>
      </c>
      <c r="C156" s="23" t="s">
        <v>5895</v>
      </c>
      <c r="D156" s="23" t="s">
        <v>5906</v>
      </c>
      <c r="E156" s="23" t="s">
        <v>5896</v>
      </c>
      <c r="F156" s="23" t="s">
        <v>5914</v>
      </c>
      <c r="G156" s="23">
        <v>3.0</v>
      </c>
      <c r="H156" s="23" t="s">
        <v>5938</v>
      </c>
      <c r="I156" s="23" t="s">
        <v>5899</v>
      </c>
      <c r="J156" s="23">
        <v>35.0</v>
      </c>
      <c r="K156" s="23" t="s">
        <v>5932</v>
      </c>
      <c r="L156" s="23" t="s">
        <v>51</v>
      </c>
      <c r="M156" s="23"/>
      <c r="N156" s="23"/>
      <c r="O156" s="23" t="s">
        <v>6464</v>
      </c>
      <c r="P156" s="23" t="s">
        <v>6460</v>
      </c>
      <c r="Q156" s="23">
        <v>1.0</v>
      </c>
      <c r="R156" s="23">
        <v>0.0</v>
      </c>
      <c r="S156" s="23"/>
      <c r="T156" s="23">
        <v>-3.0</v>
      </c>
      <c r="U156" s="23">
        <v>0.0</v>
      </c>
    </row>
    <row r="157" ht="14.25" customHeight="1">
      <c r="A157" s="23">
        <v>156.0</v>
      </c>
      <c r="B157" s="23" t="s">
        <v>6465</v>
      </c>
      <c r="C157" s="23" t="s">
        <v>5895</v>
      </c>
      <c r="D157" s="23" t="s">
        <v>5906</v>
      </c>
      <c r="E157" s="23" t="s">
        <v>5896</v>
      </c>
      <c r="F157" s="23" t="s">
        <v>5914</v>
      </c>
      <c r="G157" s="23">
        <v>3.0</v>
      </c>
      <c r="H157" s="23" t="s">
        <v>5915</v>
      </c>
      <c r="I157" s="23" t="s">
        <v>5924</v>
      </c>
      <c r="J157" s="23">
        <v>29.0</v>
      </c>
      <c r="K157" s="23" t="s">
        <v>5990</v>
      </c>
      <c r="L157" s="23" t="s">
        <v>52</v>
      </c>
      <c r="M157" s="23"/>
      <c r="N157" s="23"/>
      <c r="O157" s="23" t="s">
        <v>6466</v>
      </c>
      <c r="P157" s="23" t="s">
        <v>6460</v>
      </c>
      <c r="Q157" s="23">
        <v>1.0</v>
      </c>
      <c r="R157" s="23">
        <v>0.0</v>
      </c>
      <c r="S157" s="23"/>
      <c r="T157" s="23">
        <v>-5.0</v>
      </c>
      <c r="U157" s="23">
        <v>0.0</v>
      </c>
    </row>
    <row r="158" ht="14.25" customHeight="1">
      <c r="A158" s="23">
        <v>157.0</v>
      </c>
      <c r="B158" s="23" t="s">
        <v>6467</v>
      </c>
      <c r="C158" s="23" t="s">
        <v>5895</v>
      </c>
      <c r="D158" s="23" t="s">
        <v>5906</v>
      </c>
      <c r="E158" s="23" t="s">
        <v>2958</v>
      </c>
      <c r="F158" s="23" t="s">
        <v>5907</v>
      </c>
      <c r="G158" s="23">
        <v>5.0</v>
      </c>
      <c r="H158" s="23" t="s">
        <v>5975</v>
      </c>
      <c r="I158" s="23" t="s">
        <v>5931</v>
      </c>
      <c r="J158" s="23">
        <v>29.0</v>
      </c>
      <c r="K158" s="23" t="s">
        <v>5963</v>
      </c>
      <c r="L158" s="23" t="s">
        <v>50</v>
      </c>
      <c r="M158" s="23"/>
      <c r="N158" s="23" t="s">
        <v>5856</v>
      </c>
      <c r="O158" s="23" t="s">
        <v>6237</v>
      </c>
      <c r="P158" s="23"/>
      <c r="Q158" s="23">
        <v>1.0</v>
      </c>
      <c r="R158" s="23">
        <v>1.0</v>
      </c>
      <c r="S158" s="23"/>
      <c r="T158" s="23">
        <v>-99.0</v>
      </c>
      <c r="U158" s="23">
        <v>0.0</v>
      </c>
    </row>
    <row r="159" ht="14.25" customHeight="1">
      <c r="A159" s="23">
        <v>158.0</v>
      </c>
      <c r="B159" s="23" t="s">
        <v>6468</v>
      </c>
      <c r="C159" s="23" t="s">
        <v>5895</v>
      </c>
      <c r="D159" s="23" t="s">
        <v>5906</v>
      </c>
      <c r="E159" s="23" t="s">
        <v>561</v>
      </c>
      <c r="F159" s="23" t="s">
        <v>5907</v>
      </c>
      <c r="G159" s="23">
        <v>5.0</v>
      </c>
      <c r="H159" s="23" t="s">
        <v>5923</v>
      </c>
      <c r="I159" s="23" t="s">
        <v>5931</v>
      </c>
      <c r="J159" s="23">
        <v>36.0</v>
      </c>
      <c r="K159" s="23" t="s">
        <v>6050</v>
      </c>
      <c r="L159" s="23" t="s">
        <v>6051</v>
      </c>
      <c r="M159" s="23" t="s">
        <v>6015</v>
      </c>
      <c r="N159" s="23" t="s">
        <v>6052</v>
      </c>
      <c r="O159" s="23" t="s">
        <v>6053</v>
      </c>
      <c r="P159" s="23"/>
      <c r="Q159" s="23">
        <v>1.0</v>
      </c>
      <c r="R159" s="23">
        <v>1.0</v>
      </c>
      <c r="S159" s="23"/>
      <c r="T159" s="23">
        <v>-99.0</v>
      </c>
      <c r="U159" s="23">
        <v>0.0</v>
      </c>
    </row>
    <row r="160" ht="14.25" customHeight="1">
      <c r="A160" s="23">
        <v>159.0</v>
      </c>
      <c r="B160" s="23" t="s">
        <v>6469</v>
      </c>
      <c r="C160" s="23" t="s">
        <v>5895</v>
      </c>
      <c r="D160" s="23" t="s">
        <v>5906</v>
      </c>
      <c r="E160" s="23" t="s">
        <v>2958</v>
      </c>
      <c r="F160" s="23" t="s">
        <v>5968</v>
      </c>
      <c r="G160" s="23">
        <v>12.0</v>
      </c>
      <c r="H160" s="23" t="s">
        <v>5930</v>
      </c>
      <c r="I160" s="23" t="s">
        <v>5924</v>
      </c>
      <c r="J160" s="23">
        <v>33.0</v>
      </c>
      <c r="K160" s="23" t="s">
        <v>5939</v>
      </c>
      <c r="L160" s="23" t="s">
        <v>6441</v>
      </c>
      <c r="M160" s="23"/>
      <c r="N160" s="23" t="s">
        <v>5870</v>
      </c>
      <c r="O160" s="23" t="s">
        <v>6443</v>
      </c>
      <c r="P160" s="23"/>
      <c r="Q160" s="23">
        <v>1.0</v>
      </c>
      <c r="R160" s="23">
        <v>1.0</v>
      </c>
      <c r="S160" s="23"/>
      <c r="T160" s="23">
        <v>-99.0</v>
      </c>
      <c r="U160" s="23">
        <v>0.0</v>
      </c>
    </row>
    <row r="161" ht="14.25" customHeight="1">
      <c r="A161" s="23">
        <v>160.0</v>
      </c>
      <c r="B161" s="23" t="s">
        <v>6470</v>
      </c>
      <c r="C161" s="23" t="s">
        <v>5895</v>
      </c>
      <c r="D161" s="23" t="s">
        <v>5906</v>
      </c>
      <c r="E161" s="23" t="s">
        <v>5896</v>
      </c>
      <c r="F161" s="23" t="s">
        <v>5950</v>
      </c>
      <c r="G161" s="23">
        <v>0.0</v>
      </c>
      <c r="H161" s="23" t="s">
        <v>5908</v>
      </c>
      <c r="I161" s="23" t="s">
        <v>5899</v>
      </c>
      <c r="J161" s="23">
        <v>19.0</v>
      </c>
      <c r="K161" s="23" t="s">
        <v>5953</v>
      </c>
      <c r="L161" s="23" t="s">
        <v>6471</v>
      </c>
      <c r="M161" s="23"/>
      <c r="N161" s="23" t="s">
        <v>148</v>
      </c>
      <c r="O161" s="23" t="s">
        <v>6472</v>
      </c>
      <c r="P161" s="23"/>
      <c r="Q161" s="23">
        <v>0.0</v>
      </c>
      <c r="R161" s="23">
        <v>0.0</v>
      </c>
      <c r="S161" s="23"/>
      <c r="T161" s="23">
        <v>-6.0</v>
      </c>
      <c r="U161" s="23">
        <v>0.0</v>
      </c>
    </row>
    <row r="162" ht="14.25" customHeight="1">
      <c r="A162" s="23">
        <v>161.0</v>
      </c>
      <c r="B162" s="23" t="s">
        <v>6473</v>
      </c>
      <c r="C162" s="23" t="s">
        <v>5895</v>
      </c>
      <c r="D162" s="23" t="s">
        <v>5906</v>
      </c>
      <c r="E162" s="23" t="s">
        <v>5896</v>
      </c>
      <c r="F162" s="23" t="s">
        <v>5937</v>
      </c>
      <c r="G162" s="23">
        <v>1.0</v>
      </c>
      <c r="H162" s="23" t="s">
        <v>5944</v>
      </c>
      <c r="I162" s="23" t="s">
        <v>5909</v>
      </c>
      <c r="J162" s="23">
        <v>36.0</v>
      </c>
      <c r="K162" s="23" t="s">
        <v>6159</v>
      </c>
      <c r="L162" s="23" t="s">
        <v>47</v>
      </c>
      <c r="M162" s="23"/>
      <c r="N162" s="23"/>
      <c r="O162" s="23"/>
      <c r="P162" s="23" t="s">
        <v>6474</v>
      </c>
      <c r="Q162" s="23">
        <v>0.0</v>
      </c>
      <c r="R162" s="23">
        <v>0.0</v>
      </c>
      <c r="S162" s="23"/>
      <c r="T162" s="23">
        <v>10.0</v>
      </c>
      <c r="U162" s="23">
        <v>0.0</v>
      </c>
    </row>
    <row r="163" ht="14.25" customHeight="1">
      <c r="A163" s="23">
        <v>162.0</v>
      </c>
      <c r="B163" s="23" t="s">
        <v>6475</v>
      </c>
      <c r="C163" s="23" t="s">
        <v>5895</v>
      </c>
      <c r="D163" s="23" t="s">
        <v>5906</v>
      </c>
      <c r="E163" s="23" t="s">
        <v>5896</v>
      </c>
      <c r="F163" s="23" t="s">
        <v>5937</v>
      </c>
      <c r="G163" s="23">
        <v>1.0</v>
      </c>
      <c r="H163" s="23" t="s">
        <v>5951</v>
      </c>
      <c r="I163" s="23" t="s">
        <v>5909</v>
      </c>
      <c r="J163" s="23">
        <v>53.0</v>
      </c>
      <c r="K163" s="23" t="s">
        <v>5939</v>
      </c>
      <c r="L163" s="23" t="s">
        <v>48</v>
      </c>
      <c r="M163" s="23"/>
      <c r="N163" s="23"/>
      <c r="O163" s="23"/>
      <c r="P163" s="23" t="s">
        <v>6476</v>
      </c>
      <c r="Q163" s="23">
        <v>0.0</v>
      </c>
      <c r="R163" s="23">
        <v>0.0</v>
      </c>
      <c r="S163" s="23"/>
      <c r="T163" s="23">
        <v>13.0</v>
      </c>
      <c r="U163" s="23">
        <v>0.0</v>
      </c>
    </row>
    <row r="164" ht="14.25" customHeight="1">
      <c r="A164" s="23">
        <v>163.0</v>
      </c>
      <c r="B164" s="23" t="s">
        <v>6477</v>
      </c>
      <c r="C164" s="23" t="s">
        <v>5895</v>
      </c>
      <c r="D164" s="23" t="s">
        <v>5906</v>
      </c>
      <c r="E164" s="23" t="s">
        <v>5896</v>
      </c>
      <c r="F164" s="23" t="s">
        <v>5937</v>
      </c>
      <c r="G164" s="23">
        <v>1.0</v>
      </c>
      <c r="H164" s="23" t="s">
        <v>5898</v>
      </c>
      <c r="I164" s="23" t="s">
        <v>5909</v>
      </c>
      <c r="J164" s="23">
        <v>48.0</v>
      </c>
      <c r="K164" s="23" t="s">
        <v>6019</v>
      </c>
      <c r="L164" s="23" t="s">
        <v>49</v>
      </c>
      <c r="M164" s="23"/>
      <c r="N164" s="23"/>
      <c r="O164" s="23"/>
      <c r="P164" s="23" t="s">
        <v>6478</v>
      </c>
      <c r="Q164" s="23">
        <v>0.0</v>
      </c>
      <c r="R164" s="23">
        <v>0.0</v>
      </c>
      <c r="S164" s="23"/>
      <c r="T164" s="23">
        <v>12.0</v>
      </c>
      <c r="U164" s="23">
        <v>0.0</v>
      </c>
    </row>
    <row r="165" ht="14.25" customHeight="1">
      <c r="A165" s="23">
        <v>164.0</v>
      </c>
      <c r="B165" s="23" t="s">
        <v>6479</v>
      </c>
      <c r="C165" s="23" t="s">
        <v>5895</v>
      </c>
      <c r="D165" s="23" t="s">
        <v>5906</v>
      </c>
      <c r="E165" s="23" t="s">
        <v>5896</v>
      </c>
      <c r="F165" s="23" t="s">
        <v>5937</v>
      </c>
      <c r="G165" s="23">
        <v>1.0</v>
      </c>
      <c r="H165" s="23" t="s">
        <v>5975</v>
      </c>
      <c r="I165" s="23" t="s">
        <v>5909</v>
      </c>
      <c r="J165" s="23">
        <v>32.0</v>
      </c>
      <c r="K165" s="23" t="s">
        <v>6005</v>
      </c>
      <c r="L165" s="23" t="s">
        <v>50</v>
      </c>
      <c r="M165" s="23"/>
      <c r="N165" s="23"/>
      <c r="O165" s="23"/>
      <c r="P165" s="23" t="s">
        <v>6480</v>
      </c>
      <c r="Q165" s="23">
        <v>0.0</v>
      </c>
      <c r="R165" s="23">
        <v>0.0</v>
      </c>
      <c r="S165" s="23"/>
      <c r="T165" s="23">
        <v>4.0</v>
      </c>
      <c r="U165" s="23">
        <v>0.0</v>
      </c>
    </row>
    <row r="166" ht="14.25" customHeight="1">
      <c r="A166" s="23">
        <v>165.0</v>
      </c>
      <c r="B166" s="23" t="s">
        <v>6481</v>
      </c>
      <c r="C166" s="23" t="s">
        <v>5895</v>
      </c>
      <c r="D166" s="23" t="s">
        <v>5906</v>
      </c>
      <c r="E166" s="23" t="s">
        <v>5896</v>
      </c>
      <c r="F166" s="23" t="s">
        <v>5937</v>
      </c>
      <c r="G166" s="23">
        <v>1.0</v>
      </c>
      <c r="H166" s="23" t="s">
        <v>5958</v>
      </c>
      <c r="I166" s="23" t="s">
        <v>5909</v>
      </c>
      <c r="J166" s="23">
        <v>28.0</v>
      </c>
      <c r="K166" s="23" t="s">
        <v>5980</v>
      </c>
      <c r="L166" s="23" t="s">
        <v>51</v>
      </c>
      <c r="M166" s="23"/>
      <c r="N166" s="23"/>
      <c r="O166" s="23"/>
      <c r="P166" s="23" t="s">
        <v>6482</v>
      </c>
      <c r="Q166" s="23">
        <v>0.0</v>
      </c>
      <c r="R166" s="23">
        <v>0.0</v>
      </c>
      <c r="S166" s="23"/>
      <c r="T166" s="23">
        <v>15.0</v>
      </c>
      <c r="U166" s="23">
        <v>0.0</v>
      </c>
    </row>
    <row r="167" ht="14.25" customHeight="1">
      <c r="A167" s="23">
        <v>166.0</v>
      </c>
      <c r="B167" s="23" t="s">
        <v>6483</v>
      </c>
      <c r="C167" s="23" t="s">
        <v>5921</v>
      </c>
      <c r="D167" s="23" t="s">
        <v>5906</v>
      </c>
      <c r="E167" s="23" t="s">
        <v>5896</v>
      </c>
      <c r="F167" s="23" t="s">
        <v>5937</v>
      </c>
      <c r="G167" s="23">
        <v>1.0</v>
      </c>
      <c r="H167" s="23" t="s">
        <v>5938</v>
      </c>
      <c r="I167" s="23" t="s">
        <v>5909</v>
      </c>
      <c r="J167" s="23">
        <v>26.0</v>
      </c>
      <c r="K167" s="23" t="s">
        <v>5976</v>
      </c>
      <c r="L167" s="23" t="s">
        <v>52</v>
      </c>
      <c r="M167" s="23"/>
      <c r="N167" s="23"/>
      <c r="O167" s="23"/>
      <c r="P167" s="23" t="s">
        <v>6484</v>
      </c>
      <c r="Q167" s="23">
        <v>0.0</v>
      </c>
      <c r="R167" s="23">
        <v>0.0</v>
      </c>
      <c r="S167" s="23"/>
      <c r="T167" s="23">
        <v>1.0</v>
      </c>
      <c r="U167" s="23">
        <v>0.0</v>
      </c>
    </row>
    <row r="168" ht="14.25" customHeight="1">
      <c r="A168" s="23">
        <v>167.0</v>
      </c>
      <c r="B168" s="23" t="s">
        <v>6485</v>
      </c>
      <c r="C168" s="23" t="s">
        <v>5895</v>
      </c>
      <c r="D168" s="23" t="s">
        <v>5906</v>
      </c>
      <c r="E168" s="23" t="s">
        <v>5896</v>
      </c>
      <c r="F168" s="23" t="s">
        <v>5914</v>
      </c>
      <c r="G168" s="23">
        <v>3.0</v>
      </c>
      <c r="H168" s="23" t="s">
        <v>5915</v>
      </c>
      <c r="I168" s="23" t="s">
        <v>5931</v>
      </c>
      <c r="J168" s="23">
        <v>24.0</v>
      </c>
      <c r="K168" s="23" t="s">
        <v>6030</v>
      </c>
      <c r="L168" s="23" t="s">
        <v>5964</v>
      </c>
      <c r="M168" s="23"/>
      <c r="N168" s="23"/>
      <c r="O168" s="23" t="s">
        <v>6486</v>
      </c>
      <c r="P168" s="23" t="s">
        <v>6487</v>
      </c>
      <c r="Q168" s="23">
        <v>0.0</v>
      </c>
      <c r="R168" s="23">
        <v>0.0</v>
      </c>
      <c r="S168" s="23"/>
      <c r="T168" s="23">
        <v>-7.0</v>
      </c>
      <c r="U168" s="23">
        <v>0.0</v>
      </c>
    </row>
    <row r="169" ht="14.25" customHeight="1">
      <c r="A169" s="23">
        <v>168.0</v>
      </c>
      <c r="B169" s="23" t="s">
        <v>6488</v>
      </c>
      <c r="C169" s="23" t="s">
        <v>5895</v>
      </c>
      <c r="D169" s="23" t="s">
        <v>5906</v>
      </c>
      <c r="E169" s="23" t="s">
        <v>5896</v>
      </c>
      <c r="F169" s="23" t="s">
        <v>5937</v>
      </c>
      <c r="G169" s="23">
        <v>2.0</v>
      </c>
      <c r="H169" s="23" t="s">
        <v>5923</v>
      </c>
      <c r="I169" s="23" t="s">
        <v>5924</v>
      </c>
      <c r="J169" s="23">
        <v>18.0</v>
      </c>
      <c r="K169" s="23" t="s">
        <v>5994</v>
      </c>
      <c r="L169" s="23" t="s">
        <v>6124</v>
      </c>
      <c r="M169" s="23"/>
      <c r="N169" s="23"/>
      <c r="O169" s="23" t="s">
        <v>6489</v>
      </c>
      <c r="P169" s="23"/>
      <c r="Q169" s="23">
        <v>0.0</v>
      </c>
      <c r="R169" s="23">
        <v>0.0</v>
      </c>
      <c r="S169" s="23"/>
      <c r="T169" s="23">
        <v>-4.0</v>
      </c>
      <c r="U169" s="23">
        <v>0.0</v>
      </c>
    </row>
    <row r="170" ht="14.25" customHeight="1">
      <c r="A170" s="23">
        <v>169.0</v>
      </c>
      <c r="B170" s="23" t="s">
        <v>6490</v>
      </c>
      <c r="C170" s="23" t="s">
        <v>5895</v>
      </c>
      <c r="D170" s="23" t="s">
        <v>5906</v>
      </c>
      <c r="E170" s="23" t="s">
        <v>5896</v>
      </c>
      <c r="F170" s="23" t="s">
        <v>5937</v>
      </c>
      <c r="G170" s="23">
        <v>1.0</v>
      </c>
      <c r="H170" s="23" t="s">
        <v>5930</v>
      </c>
      <c r="I170" s="23" t="s">
        <v>5909</v>
      </c>
      <c r="J170" s="23">
        <v>30.0</v>
      </c>
      <c r="K170" s="23" t="s">
        <v>6074</v>
      </c>
      <c r="L170" s="23" t="s">
        <v>49</v>
      </c>
      <c r="M170" s="23"/>
      <c r="N170" s="23"/>
      <c r="O170" s="23" t="s">
        <v>6491</v>
      </c>
      <c r="P170" s="23" t="s">
        <v>6492</v>
      </c>
      <c r="Q170" s="23">
        <v>0.0</v>
      </c>
      <c r="R170" s="23">
        <v>0.0</v>
      </c>
      <c r="S170" s="23"/>
      <c r="T170" s="23">
        <v>-8.0</v>
      </c>
      <c r="U170" s="23">
        <v>0.0</v>
      </c>
    </row>
    <row r="171" ht="14.25" customHeight="1">
      <c r="A171" s="23">
        <v>170.0</v>
      </c>
      <c r="B171" s="23" t="s">
        <v>6493</v>
      </c>
      <c r="C171" s="23" t="s">
        <v>5895</v>
      </c>
      <c r="D171" s="23" t="s">
        <v>5906</v>
      </c>
      <c r="E171" s="23" t="s">
        <v>5896</v>
      </c>
      <c r="F171" s="23" t="s">
        <v>5914</v>
      </c>
      <c r="G171" s="23">
        <v>3.0</v>
      </c>
      <c r="H171" s="23" t="s">
        <v>5975</v>
      </c>
      <c r="I171" s="23" t="s">
        <v>5909</v>
      </c>
      <c r="J171" s="23">
        <v>32.0</v>
      </c>
      <c r="K171" s="23" t="s">
        <v>6074</v>
      </c>
      <c r="L171" s="23" t="s">
        <v>52</v>
      </c>
      <c r="M171" s="23"/>
      <c r="N171" s="23"/>
      <c r="O171" s="23" t="s">
        <v>6494</v>
      </c>
      <c r="P171" s="23" t="s">
        <v>6495</v>
      </c>
      <c r="Q171" s="23">
        <v>0.0</v>
      </c>
      <c r="R171" s="23">
        <v>0.0</v>
      </c>
      <c r="S171" s="23"/>
      <c r="T171" s="23">
        <v>-6.0</v>
      </c>
      <c r="U171" s="23">
        <v>0.0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U$1">
    <sortState ref="A1:U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" t="s">
        <v>11</v>
      </c>
      <c r="B1" s="26" t="s">
        <v>15</v>
      </c>
      <c r="C1" s="26" t="s">
        <v>6496</v>
      </c>
      <c r="D1" s="26" t="s">
        <v>13</v>
      </c>
      <c r="E1" s="26" t="s">
        <v>6497</v>
      </c>
      <c r="F1" s="26" t="s">
        <v>6498</v>
      </c>
      <c r="G1" s="26" t="s">
        <v>6499</v>
      </c>
      <c r="H1" s="26" t="s">
        <v>6500</v>
      </c>
      <c r="I1" s="26" t="s">
        <v>6501</v>
      </c>
      <c r="J1" s="26" t="s">
        <v>6502</v>
      </c>
      <c r="K1" s="26" t="s">
        <v>6503</v>
      </c>
      <c r="L1" s="26" t="s">
        <v>6504</v>
      </c>
      <c r="M1" s="26" t="s">
        <v>6505</v>
      </c>
      <c r="N1" s="26" t="s">
        <v>6506</v>
      </c>
      <c r="O1" s="26" t="s">
        <v>6507</v>
      </c>
      <c r="P1" s="26" t="s">
        <v>6508</v>
      </c>
      <c r="Q1" s="27"/>
      <c r="R1" s="27"/>
      <c r="S1" s="27"/>
      <c r="T1" s="27"/>
      <c r="U1" s="27"/>
    </row>
    <row r="2">
      <c r="A2" s="28">
        <v>0.0</v>
      </c>
      <c r="B2" s="26" t="s">
        <v>329</v>
      </c>
      <c r="C2" s="26" t="s">
        <v>6509</v>
      </c>
      <c r="D2" s="28">
        <v>3.0</v>
      </c>
      <c r="E2" s="28">
        <v>30.0</v>
      </c>
      <c r="F2" s="26" t="s">
        <v>6510</v>
      </c>
      <c r="G2" s="27"/>
      <c r="H2" s="27"/>
      <c r="I2" s="28">
        <v>0.35</v>
      </c>
      <c r="J2" s="26" t="s">
        <v>6511</v>
      </c>
      <c r="K2" s="26" t="s">
        <v>5941</v>
      </c>
      <c r="L2" s="26" t="s">
        <v>6512</v>
      </c>
      <c r="M2" s="28">
        <v>1.0</v>
      </c>
      <c r="N2" s="28">
        <v>1.0</v>
      </c>
      <c r="O2" s="28">
        <v>0.0</v>
      </c>
      <c r="P2" s="26" t="s">
        <v>6513</v>
      </c>
    </row>
    <row r="3">
      <c r="A3" s="28">
        <v>1.0</v>
      </c>
      <c r="B3" s="26" t="s">
        <v>2361</v>
      </c>
      <c r="C3" s="26" t="s">
        <v>6514</v>
      </c>
      <c r="D3" s="28">
        <v>4.0</v>
      </c>
      <c r="E3" s="28">
        <v>31.0</v>
      </c>
      <c r="F3" s="26" t="s">
        <v>6515</v>
      </c>
      <c r="G3" s="27"/>
      <c r="H3" s="27"/>
      <c r="I3" s="28">
        <v>0.5</v>
      </c>
      <c r="J3" s="26" t="s">
        <v>6516</v>
      </c>
      <c r="K3" s="26" t="s">
        <v>5918</v>
      </c>
      <c r="L3" s="26" t="s">
        <v>6517</v>
      </c>
      <c r="M3" s="28">
        <v>1.0</v>
      </c>
      <c r="N3" s="28">
        <v>1.0</v>
      </c>
      <c r="O3" s="28">
        <v>1.0</v>
      </c>
      <c r="P3" s="26" t="s">
        <v>6518</v>
      </c>
    </row>
    <row r="4">
      <c r="A4" s="28">
        <v>2.0</v>
      </c>
      <c r="B4" s="26" t="s">
        <v>667</v>
      </c>
      <c r="C4" s="26" t="s">
        <v>6509</v>
      </c>
      <c r="D4" s="28">
        <v>4.0</v>
      </c>
      <c r="E4" s="28">
        <v>32.0</v>
      </c>
      <c r="F4" s="26" t="s">
        <v>6519</v>
      </c>
      <c r="G4" s="27"/>
      <c r="H4" s="27"/>
      <c r="I4" s="28">
        <v>0.5</v>
      </c>
      <c r="J4" s="26" t="s">
        <v>6520</v>
      </c>
      <c r="K4" s="26" t="s">
        <v>6521</v>
      </c>
      <c r="L4" s="26" t="s">
        <v>6522</v>
      </c>
      <c r="M4" s="28">
        <v>1.0</v>
      </c>
      <c r="N4" s="28">
        <v>1.0</v>
      </c>
      <c r="O4" s="28">
        <v>2.0</v>
      </c>
      <c r="P4" s="26" t="s">
        <v>6523</v>
      </c>
    </row>
    <row r="5">
      <c r="A5" s="28">
        <v>3.0</v>
      </c>
      <c r="B5" s="26" t="s">
        <v>702</v>
      </c>
      <c r="C5" s="26" t="s">
        <v>6524</v>
      </c>
      <c r="D5" s="28">
        <v>5.0</v>
      </c>
      <c r="E5" s="28">
        <v>33.0</v>
      </c>
      <c r="F5" s="26" t="s">
        <v>6525</v>
      </c>
      <c r="G5" s="27"/>
      <c r="H5" s="27"/>
      <c r="I5" s="28">
        <v>0.5</v>
      </c>
      <c r="J5" s="26" t="s">
        <v>6526</v>
      </c>
      <c r="K5" s="26" t="s">
        <v>6527</v>
      </c>
      <c r="L5" s="26" t="s">
        <v>6528</v>
      </c>
      <c r="M5" s="28">
        <v>1.0</v>
      </c>
      <c r="N5" s="28">
        <v>1.0</v>
      </c>
      <c r="O5" s="28">
        <v>3.0</v>
      </c>
      <c r="P5" s="26" t="s">
        <v>6529</v>
      </c>
    </row>
    <row r="6">
      <c r="A6" s="28">
        <v>4.0</v>
      </c>
      <c r="B6" s="26" t="s">
        <v>2958</v>
      </c>
      <c r="C6" s="26" t="s">
        <v>6509</v>
      </c>
      <c r="D6" s="28">
        <v>4.0</v>
      </c>
      <c r="E6" s="28">
        <v>34.0</v>
      </c>
      <c r="F6" s="26" t="s">
        <v>6530</v>
      </c>
      <c r="G6" s="27"/>
      <c r="H6" s="27"/>
      <c r="I6" s="28">
        <v>0.6</v>
      </c>
      <c r="J6" s="26" t="s">
        <v>6531</v>
      </c>
      <c r="K6" s="26" t="s">
        <v>6015</v>
      </c>
      <c r="L6" s="26" t="s">
        <v>6532</v>
      </c>
      <c r="M6" s="28">
        <v>1.0</v>
      </c>
      <c r="N6" s="28">
        <v>1.0</v>
      </c>
      <c r="O6" s="28">
        <v>4.0</v>
      </c>
      <c r="P6" s="26" t="s">
        <v>6533</v>
      </c>
    </row>
    <row r="7">
      <c r="A7" s="28">
        <v>5.0</v>
      </c>
      <c r="B7" s="26" t="s">
        <v>3151</v>
      </c>
      <c r="C7" s="26" t="s">
        <v>6509</v>
      </c>
      <c r="D7" s="28">
        <v>5.0</v>
      </c>
      <c r="E7" s="28">
        <v>35.0</v>
      </c>
      <c r="F7" s="26" t="s">
        <v>6534</v>
      </c>
      <c r="G7" s="27"/>
      <c r="H7" s="27"/>
      <c r="I7" s="28">
        <v>0.5</v>
      </c>
      <c r="J7" s="26" t="s">
        <v>6535</v>
      </c>
      <c r="K7" s="26" t="s">
        <v>6001</v>
      </c>
      <c r="L7" s="26" t="s">
        <v>6536</v>
      </c>
      <c r="M7" s="28">
        <v>1.0</v>
      </c>
      <c r="N7" s="28">
        <v>1.0</v>
      </c>
      <c r="O7" s="28">
        <v>5.0</v>
      </c>
      <c r="P7" s="26" t="s">
        <v>6537</v>
      </c>
    </row>
    <row r="8">
      <c r="A8" s="28">
        <v>6.0</v>
      </c>
      <c r="B8" s="26" t="s">
        <v>3368</v>
      </c>
      <c r="C8" s="26" t="s">
        <v>6509</v>
      </c>
      <c r="D8" s="28">
        <v>3.0</v>
      </c>
      <c r="E8" s="28">
        <v>36.0</v>
      </c>
      <c r="F8" s="26" t="s">
        <v>6538</v>
      </c>
      <c r="G8" s="27"/>
      <c r="H8" s="27"/>
      <c r="I8" s="28">
        <v>0.5</v>
      </c>
      <c r="J8" s="26" t="s">
        <v>6539</v>
      </c>
      <c r="K8" s="26" t="s">
        <v>6540</v>
      </c>
      <c r="L8" s="26" t="s">
        <v>6541</v>
      </c>
      <c r="M8" s="28">
        <v>1.0</v>
      </c>
      <c r="N8" s="28">
        <v>1.0</v>
      </c>
      <c r="O8" s="28">
        <v>6.0</v>
      </c>
      <c r="P8" s="26" t="s">
        <v>6542</v>
      </c>
    </row>
    <row r="9">
      <c r="A9" s="28">
        <v>7.0</v>
      </c>
      <c r="B9" s="26" t="s">
        <v>3525</v>
      </c>
      <c r="C9" s="26" t="s">
        <v>6514</v>
      </c>
      <c r="D9" s="28">
        <v>5.0</v>
      </c>
      <c r="E9" s="28">
        <v>37.0</v>
      </c>
      <c r="F9" s="26" t="s">
        <v>6543</v>
      </c>
      <c r="G9" s="27"/>
      <c r="H9" s="27"/>
      <c r="I9" s="28">
        <v>0.5</v>
      </c>
      <c r="J9" s="26" t="s">
        <v>6544</v>
      </c>
      <c r="K9" s="26" t="s">
        <v>6545</v>
      </c>
      <c r="L9" s="26" t="s">
        <v>6546</v>
      </c>
      <c r="M9" s="28">
        <v>1.0</v>
      </c>
      <c r="N9" s="28">
        <v>1.0</v>
      </c>
      <c r="O9" s="28">
        <v>7.0</v>
      </c>
      <c r="P9" s="26" t="s">
        <v>6547</v>
      </c>
    </row>
    <row r="10">
      <c r="A10" s="28">
        <v>8.0</v>
      </c>
      <c r="B10" s="26" t="s">
        <v>561</v>
      </c>
      <c r="C10" s="26" t="s">
        <v>6514</v>
      </c>
      <c r="D10" s="28">
        <v>6.0</v>
      </c>
      <c r="E10" s="28">
        <v>38.0</v>
      </c>
      <c r="F10" s="26" t="s">
        <v>6548</v>
      </c>
      <c r="G10" s="27"/>
      <c r="H10" s="27"/>
      <c r="I10" s="28">
        <v>0.5</v>
      </c>
      <c r="J10" s="26" t="s">
        <v>6549</v>
      </c>
      <c r="K10" s="26" t="s">
        <v>6015</v>
      </c>
      <c r="L10" s="26" t="s">
        <v>6550</v>
      </c>
      <c r="M10" s="28">
        <v>1.0</v>
      </c>
      <c r="N10" s="28">
        <v>1.0</v>
      </c>
      <c r="O10" s="28">
        <v>8.0</v>
      </c>
      <c r="P10" s="26" t="s">
        <v>6551</v>
      </c>
    </row>
    <row r="11">
      <c r="A11" s="28">
        <v>9.0</v>
      </c>
      <c r="B11" s="26" t="s">
        <v>541</v>
      </c>
      <c r="C11" s="26" t="s">
        <v>6509</v>
      </c>
      <c r="D11" s="28">
        <v>6.0</v>
      </c>
      <c r="E11" s="28">
        <v>39.0</v>
      </c>
      <c r="F11" s="26" t="s">
        <v>6552</v>
      </c>
      <c r="G11" s="27"/>
      <c r="H11" s="27"/>
      <c r="I11" s="28">
        <v>0.5</v>
      </c>
      <c r="J11" s="26" t="s">
        <v>6553</v>
      </c>
      <c r="K11" s="26" t="s">
        <v>6554</v>
      </c>
      <c r="L11" s="26" t="s">
        <v>6555</v>
      </c>
      <c r="M11" s="28">
        <v>1.0</v>
      </c>
      <c r="N11" s="28">
        <v>1.0</v>
      </c>
      <c r="O11" s="28">
        <v>9.0</v>
      </c>
      <c r="P11" s="26" t="s">
        <v>6556</v>
      </c>
    </row>
    <row r="12">
      <c r="A12" s="28">
        <v>10.0</v>
      </c>
      <c r="B12" s="26" t="s">
        <v>931</v>
      </c>
      <c r="C12" s="26" t="s">
        <v>6524</v>
      </c>
      <c r="D12" s="28">
        <v>6.0</v>
      </c>
      <c r="E12" s="28">
        <v>40.0</v>
      </c>
      <c r="F12" s="26" t="s">
        <v>6557</v>
      </c>
      <c r="G12" s="27"/>
      <c r="H12" s="27"/>
      <c r="I12" s="28">
        <v>1.0</v>
      </c>
      <c r="J12" s="26" t="s">
        <v>6558</v>
      </c>
      <c r="K12" s="26" t="s">
        <v>5996</v>
      </c>
      <c r="L12" s="26" t="s">
        <v>6559</v>
      </c>
      <c r="M12" s="28">
        <v>1.0</v>
      </c>
      <c r="N12" s="28">
        <v>1.0</v>
      </c>
      <c r="O12" s="28">
        <v>10.0</v>
      </c>
      <c r="P12" s="26" t="s">
        <v>6560</v>
      </c>
    </row>
    <row r="13">
      <c r="A13" s="28">
        <v>11.0</v>
      </c>
      <c r="B13" s="26" t="s">
        <v>1493</v>
      </c>
      <c r="C13" s="26" t="s">
        <v>6524</v>
      </c>
      <c r="D13" s="28">
        <v>5.0</v>
      </c>
      <c r="E13" s="28">
        <v>41.0</v>
      </c>
      <c r="F13" s="26" t="s">
        <v>6561</v>
      </c>
      <c r="G13" s="27"/>
      <c r="H13" s="27"/>
      <c r="I13" s="28">
        <v>0.5</v>
      </c>
      <c r="J13" s="26" t="s">
        <v>6562</v>
      </c>
      <c r="K13" s="26" t="s">
        <v>6563</v>
      </c>
      <c r="L13" s="26" t="s">
        <v>6564</v>
      </c>
      <c r="M13" s="28">
        <v>1.0</v>
      </c>
      <c r="N13" s="28">
        <v>1.0</v>
      </c>
      <c r="O13" s="28">
        <v>11.0</v>
      </c>
      <c r="P13" s="26" t="s">
        <v>6565</v>
      </c>
    </row>
    <row r="14">
      <c r="A14" s="28">
        <v>12.0</v>
      </c>
      <c r="B14" s="26" t="s">
        <v>4633</v>
      </c>
      <c r="C14" s="26" t="s">
        <v>6509</v>
      </c>
      <c r="D14" s="28">
        <v>3.0</v>
      </c>
      <c r="E14" s="28">
        <v>42.0</v>
      </c>
      <c r="F14" s="26" t="s">
        <v>6566</v>
      </c>
      <c r="G14" s="27"/>
      <c r="H14" s="27"/>
      <c r="I14" s="28">
        <v>0.6</v>
      </c>
      <c r="J14" s="26" t="s">
        <v>6567</v>
      </c>
      <c r="K14" s="26" t="s">
        <v>5970</v>
      </c>
      <c r="L14" s="26" t="s">
        <v>6568</v>
      </c>
      <c r="M14" s="28">
        <v>1.0</v>
      </c>
      <c r="N14" s="28">
        <v>1.0</v>
      </c>
      <c r="O14" s="28">
        <v>12.0</v>
      </c>
      <c r="P14" s="26" t="s">
        <v>6569</v>
      </c>
    </row>
    <row r="15">
      <c r="A15" s="28">
        <v>13.0</v>
      </c>
      <c r="B15" s="26" t="s">
        <v>465</v>
      </c>
      <c r="C15" s="26" t="s">
        <v>6524</v>
      </c>
      <c r="D15" s="28">
        <v>3.0</v>
      </c>
      <c r="E15" s="28">
        <v>43.0</v>
      </c>
      <c r="F15" s="26" t="s">
        <v>6570</v>
      </c>
      <c r="G15" s="27"/>
      <c r="H15" s="27"/>
      <c r="I15" s="28">
        <v>0.5</v>
      </c>
      <c r="J15" s="26" t="s">
        <v>6571</v>
      </c>
      <c r="K15" s="26" t="s">
        <v>5927</v>
      </c>
      <c r="L15" s="26" t="s">
        <v>6572</v>
      </c>
      <c r="M15" s="28">
        <v>1.0</v>
      </c>
      <c r="N15" s="28">
        <v>1.0</v>
      </c>
      <c r="O15" s="28">
        <v>13.0</v>
      </c>
      <c r="P15" s="26" t="s">
        <v>6573</v>
      </c>
    </row>
    <row r="16">
      <c r="A16" s="28">
        <v>14.0</v>
      </c>
      <c r="B16" s="26" t="s">
        <v>4928</v>
      </c>
      <c r="C16" s="26" t="s">
        <v>6524</v>
      </c>
      <c r="D16" s="28">
        <v>4.0</v>
      </c>
      <c r="E16" s="28">
        <v>44.0</v>
      </c>
      <c r="F16" s="26" t="s">
        <v>6574</v>
      </c>
      <c r="G16" s="27"/>
      <c r="H16" s="27"/>
      <c r="I16" s="28">
        <v>0.5</v>
      </c>
      <c r="J16" s="26" t="s">
        <v>6575</v>
      </c>
      <c r="K16" s="26" t="s">
        <v>6133</v>
      </c>
      <c r="L16" s="26" t="s">
        <v>6576</v>
      </c>
      <c r="M16" s="28">
        <v>1.0</v>
      </c>
      <c r="N16" s="28">
        <v>1.0</v>
      </c>
      <c r="O16" s="28">
        <v>14.0</v>
      </c>
      <c r="P16" s="26" t="s">
        <v>6577</v>
      </c>
    </row>
    <row r="17">
      <c r="A17" s="28">
        <v>15.0</v>
      </c>
      <c r="B17" s="26" t="s">
        <v>496</v>
      </c>
      <c r="C17" s="26" t="s">
        <v>6514</v>
      </c>
      <c r="D17" s="28">
        <v>3.0</v>
      </c>
      <c r="E17" s="28">
        <v>45.0</v>
      </c>
      <c r="F17" s="26" t="s">
        <v>6578</v>
      </c>
      <c r="G17" s="27"/>
      <c r="H17" s="27"/>
      <c r="I17" s="28">
        <v>0.5</v>
      </c>
      <c r="J17" s="26" t="s">
        <v>6579</v>
      </c>
      <c r="K17" s="26" t="s">
        <v>5918</v>
      </c>
      <c r="L17" s="26" t="s">
        <v>6580</v>
      </c>
      <c r="M17" s="28">
        <v>1.0</v>
      </c>
      <c r="N17" s="28">
        <v>1.0</v>
      </c>
      <c r="O17" s="28">
        <v>15.0</v>
      </c>
      <c r="P17" s="26" t="s">
        <v>6581</v>
      </c>
    </row>
    <row r="18">
      <c r="A18" s="28">
        <v>16.0</v>
      </c>
      <c r="B18" s="26" t="s">
        <v>5224</v>
      </c>
      <c r="C18" s="26" t="s">
        <v>6524</v>
      </c>
      <c r="D18" s="28">
        <v>4.0</v>
      </c>
      <c r="E18" s="28">
        <v>46.0</v>
      </c>
      <c r="F18" s="26" t="s">
        <v>6582</v>
      </c>
      <c r="G18" s="27"/>
      <c r="H18" s="27"/>
      <c r="I18" s="28">
        <v>0.5</v>
      </c>
      <c r="J18" s="26" t="s">
        <v>6583</v>
      </c>
      <c r="K18" s="26" t="s">
        <v>6584</v>
      </c>
      <c r="L18" s="26" t="s">
        <v>6585</v>
      </c>
      <c r="M18" s="28">
        <v>1.0</v>
      </c>
      <c r="N18" s="28">
        <v>1.0</v>
      </c>
      <c r="O18" s="28">
        <v>16.0</v>
      </c>
      <c r="P18" s="26" t="s">
        <v>6586</v>
      </c>
    </row>
    <row r="19">
      <c r="A19" s="28">
        <v>17.0</v>
      </c>
      <c r="B19" s="26" t="s">
        <v>5371</v>
      </c>
      <c r="C19" s="26" t="s">
        <v>6509</v>
      </c>
      <c r="D19" s="28">
        <v>3.0</v>
      </c>
      <c r="E19" s="28">
        <v>47.0</v>
      </c>
      <c r="F19" s="26" t="s">
        <v>6587</v>
      </c>
      <c r="G19" s="27"/>
      <c r="H19" s="27"/>
      <c r="I19" s="28">
        <v>0.5</v>
      </c>
      <c r="J19" s="26" t="s">
        <v>6588</v>
      </c>
      <c r="K19" s="26" t="s">
        <v>6034</v>
      </c>
      <c r="L19" s="26" t="s">
        <v>6589</v>
      </c>
      <c r="M19" s="28">
        <v>1.0</v>
      </c>
      <c r="N19" s="28">
        <v>1.0</v>
      </c>
      <c r="O19" s="28">
        <v>17.0</v>
      </c>
      <c r="P19" s="26" t="s">
        <v>6590</v>
      </c>
    </row>
    <row r="20">
      <c r="A20" s="28">
        <v>18.0</v>
      </c>
      <c r="B20" s="26" t="s">
        <v>5523</v>
      </c>
      <c r="C20" s="26" t="s">
        <v>6514</v>
      </c>
      <c r="D20" s="28">
        <v>5.0</v>
      </c>
      <c r="E20" s="28">
        <v>48.0</v>
      </c>
      <c r="F20" s="28">
        <v>695180.0</v>
      </c>
      <c r="G20" s="27"/>
      <c r="H20" s="27"/>
      <c r="I20" s="28">
        <v>0.5</v>
      </c>
      <c r="J20" s="26" t="s">
        <v>6591</v>
      </c>
      <c r="K20" s="26" t="s">
        <v>5970</v>
      </c>
      <c r="L20" s="26" t="s">
        <v>6592</v>
      </c>
      <c r="M20" s="28">
        <v>1.0</v>
      </c>
      <c r="N20" s="28">
        <v>1.0</v>
      </c>
      <c r="O20" s="28">
        <v>18.0</v>
      </c>
      <c r="P20" s="26" t="s">
        <v>6593</v>
      </c>
    </row>
    <row r="21">
      <c r="A21" s="28">
        <v>19.0</v>
      </c>
      <c r="B21" s="26" t="s">
        <v>418</v>
      </c>
      <c r="C21" s="26" t="s">
        <v>6514</v>
      </c>
      <c r="D21" s="28">
        <v>4.0</v>
      </c>
      <c r="E21" s="28">
        <v>49.0</v>
      </c>
      <c r="F21" s="26" t="s">
        <v>6594</v>
      </c>
      <c r="G21" s="27"/>
      <c r="H21" s="27"/>
      <c r="I21" s="28">
        <v>0.4</v>
      </c>
      <c r="J21" s="26" t="s">
        <v>6595</v>
      </c>
      <c r="K21" s="26" t="s">
        <v>5996</v>
      </c>
      <c r="L21" s="26" t="s">
        <v>6596</v>
      </c>
      <c r="M21" s="28">
        <v>1.0</v>
      </c>
      <c r="N21" s="28">
        <v>1.0</v>
      </c>
      <c r="O21" s="28">
        <v>19.0</v>
      </c>
      <c r="P21" s="26" t="s">
        <v>6597</v>
      </c>
    </row>
    <row r="22">
      <c r="A22" s="28">
        <v>20.0</v>
      </c>
      <c r="B22" s="26" t="s">
        <v>372</v>
      </c>
      <c r="C22" s="26" t="s">
        <v>6524</v>
      </c>
      <c r="D22" s="28">
        <v>2.0</v>
      </c>
      <c r="E22" s="28">
        <v>50.0</v>
      </c>
      <c r="F22" s="26" t="s">
        <v>6598</v>
      </c>
      <c r="G22" s="26" t="s">
        <v>6599</v>
      </c>
      <c r="I22" s="28">
        <v>0.5</v>
      </c>
      <c r="J22" s="26" t="s">
        <v>6600</v>
      </c>
      <c r="K22" s="26" t="s">
        <v>5906</v>
      </c>
      <c r="L22" s="26" t="s">
        <v>6601</v>
      </c>
      <c r="M22" s="28">
        <v>0.0</v>
      </c>
      <c r="N22" s="28">
        <v>1.0</v>
      </c>
      <c r="O22" s="28">
        <v>-7.0</v>
      </c>
      <c r="P22" s="26" t="s">
        <v>6602</v>
      </c>
      <c r="U22" s="27"/>
    </row>
    <row r="23">
      <c r="A23" s="28">
        <v>21.0</v>
      </c>
      <c r="B23" s="26" t="s">
        <v>455</v>
      </c>
      <c r="C23" s="26" t="s">
        <v>6514</v>
      </c>
      <c r="D23" s="28">
        <v>0.0</v>
      </c>
      <c r="E23" s="28">
        <v>51.0</v>
      </c>
      <c r="F23" s="26" t="s">
        <v>6598</v>
      </c>
      <c r="G23" s="27"/>
      <c r="H23" s="27"/>
      <c r="I23" s="28">
        <v>0.5</v>
      </c>
      <c r="J23" s="26" t="s">
        <v>6603</v>
      </c>
      <c r="K23" s="26" t="s">
        <v>5906</v>
      </c>
      <c r="L23" s="26" t="s">
        <v>6604</v>
      </c>
      <c r="M23" s="28">
        <v>0.0</v>
      </c>
      <c r="N23" s="28">
        <v>1.0</v>
      </c>
      <c r="O23" s="28">
        <v>-8.0</v>
      </c>
      <c r="P23" s="26" t="s">
        <v>6605</v>
      </c>
      <c r="U23" s="27"/>
    </row>
    <row r="24">
      <c r="A24" s="28">
        <v>22.0</v>
      </c>
      <c r="B24" s="26" t="s">
        <v>433</v>
      </c>
      <c r="C24" s="26" t="s">
        <v>6524</v>
      </c>
      <c r="D24" s="28">
        <v>1.0</v>
      </c>
      <c r="E24" s="28">
        <v>52.0</v>
      </c>
      <c r="F24" s="26" t="s">
        <v>6598</v>
      </c>
      <c r="G24" s="27"/>
      <c r="H24" s="27"/>
      <c r="I24" s="28">
        <v>0.5</v>
      </c>
      <c r="J24" s="26" t="s">
        <v>6606</v>
      </c>
      <c r="K24" s="26" t="s">
        <v>5906</v>
      </c>
      <c r="L24" s="26" t="s">
        <v>6607</v>
      </c>
      <c r="M24" s="28">
        <v>0.0</v>
      </c>
      <c r="N24" s="28">
        <v>1.0</v>
      </c>
      <c r="O24" s="28">
        <v>-5.0</v>
      </c>
      <c r="P24" s="26" t="s">
        <v>6608</v>
      </c>
      <c r="U24" s="27"/>
    </row>
    <row r="25">
      <c r="A25" s="28">
        <v>23.0</v>
      </c>
      <c r="B25" s="26" t="s">
        <v>377</v>
      </c>
      <c r="C25" s="26" t="s">
        <v>6509</v>
      </c>
      <c r="D25" s="28">
        <v>0.0</v>
      </c>
      <c r="E25" s="28">
        <v>53.0</v>
      </c>
      <c r="F25" s="26" t="s">
        <v>6598</v>
      </c>
      <c r="G25" s="27"/>
      <c r="H25" s="27"/>
      <c r="I25" s="28">
        <v>0.5</v>
      </c>
      <c r="J25" s="26" t="s">
        <v>6609</v>
      </c>
      <c r="K25" s="26" t="s">
        <v>5906</v>
      </c>
      <c r="L25" s="26" t="s">
        <v>6610</v>
      </c>
      <c r="M25" s="28">
        <v>0.0</v>
      </c>
      <c r="N25" s="28">
        <v>1.0</v>
      </c>
      <c r="O25" s="28">
        <v>-9.0</v>
      </c>
      <c r="P25" s="26" t="s">
        <v>6611</v>
      </c>
      <c r="U25" s="27"/>
    </row>
    <row r="26">
      <c r="A26" s="28">
        <v>24.0</v>
      </c>
      <c r="B26" s="26" t="s">
        <v>523</v>
      </c>
      <c r="C26" s="26" t="s">
        <v>6514</v>
      </c>
      <c r="D26" s="28">
        <v>1.0</v>
      </c>
      <c r="E26" s="28">
        <v>54.0</v>
      </c>
      <c r="F26" s="26" t="s">
        <v>6598</v>
      </c>
      <c r="G26" s="26" t="s">
        <v>6612</v>
      </c>
      <c r="I26" s="28">
        <v>0.5</v>
      </c>
      <c r="J26" s="26" t="s">
        <v>6613</v>
      </c>
      <c r="K26" s="26" t="s">
        <v>5906</v>
      </c>
      <c r="L26" s="26" t="s">
        <v>6614</v>
      </c>
      <c r="M26" s="28">
        <v>0.0</v>
      </c>
      <c r="N26" s="28">
        <v>0.0</v>
      </c>
      <c r="O26" s="28">
        <v>-10.0</v>
      </c>
      <c r="P26" s="26" t="s">
        <v>6615</v>
      </c>
      <c r="U26" s="27"/>
    </row>
    <row r="27">
      <c r="A27" s="28">
        <v>25.0</v>
      </c>
      <c r="B27" s="26" t="s">
        <v>514</v>
      </c>
      <c r="C27" s="26" t="s">
        <v>6509</v>
      </c>
      <c r="D27" s="28">
        <v>0.0</v>
      </c>
      <c r="E27" s="28">
        <v>55.0</v>
      </c>
      <c r="F27" s="26" t="s">
        <v>6598</v>
      </c>
      <c r="G27" s="26" t="s">
        <v>6616</v>
      </c>
      <c r="H27" s="26" t="s">
        <v>6617</v>
      </c>
      <c r="I27" s="28">
        <v>0.5</v>
      </c>
      <c r="J27" s="26" t="s">
        <v>48</v>
      </c>
      <c r="K27" s="26" t="s">
        <v>5906</v>
      </c>
      <c r="L27" s="26" t="s">
        <v>6607</v>
      </c>
      <c r="M27" s="28">
        <v>0.0</v>
      </c>
      <c r="N27" s="28">
        <v>0.0</v>
      </c>
      <c r="O27" s="28">
        <v>-99.0</v>
      </c>
      <c r="P27" s="26" t="s">
        <v>6618</v>
      </c>
      <c r="T27" s="27"/>
      <c r="U27" s="27"/>
    </row>
    <row r="28">
      <c r="A28" s="28">
        <v>26.0</v>
      </c>
      <c r="B28" s="26" t="s">
        <v>505</v>
      </c>
      <c r="C28" s="26" t="s">
        <v>6509</v>
      </c>
      <c r="D28" s="28">
        <v>1.0</v>
      </c>
      <c r="E28" s="28">
        <v>56.0</v>
      </c>
      <c r="F28" s="26" t="s">
        <v>6598</v>
      </c>
      <c r="G28" s="27"/>
      <c r="H28" s="27"/>
      <c r="I28" s="28">
        <v>0.5</v>
      </c>
      <c r="J28" s="26" t="s">
        <v>6619</v>
      </c>
      <c r="K28" s="26" t="s">
        <v>5906</v>
      </c>
      <c r="L28" s="26" t="s">
        <v>6620</v>
      </c>
      <c r="M28" s="28">
        <v>0.0</v>
      </c>
      <c r="N28" s="28">
        <v>1.0</v>
      </c>
      <c r="O28" s="28">
        <v>-4.0</v>
      </c>
      <c r="P28" s="26" t="s">
        <v>6621</v>
      </c>
      <c r="U28" s="27"/>
    </row>
    <row r="29">
      <c r="A29" s="28">
        <v>27.0</v>
      </c>
      <c r="B29" s="26" t="s">
        <v>1009</v>
      </c>
      <c r="C29" s="26" t="s">
        <v>6509</v>
      </c>
      <c r="D29" s="28">
        <v>2.0</v>
      </c>
      <c r="E29" s="28">
        <v>57.0</v>
      </c>
      <c r="F29" s="26" t="s">
        <v>6598</v>
      </c>
      <c r="G29" s="27"/>
      <c r="H29" s="27"/>
      <c r="I29" s="28">
        <v>0.5</v>
      </c>
      <c r="J29" s="26" t="s">
        <v>6622</v>
      </c>
      <c r="K29" s="26" t="s">
        <v>5906</v>
      </c>
      <c r="L29" s="26" t="s">
        <v>6604</v>
      </c>
      <c r="M29" s="28">
        <v>0.0</v>
      </c>
      <c r="N29" s="28">
        <v>1.0</v>
      </c>
      <c r="O29" s="28">
        <v>-3.0</v>
      </c>
      <c r="P29" s="26" t="s">
        <v>6623</v>
      </c>
      <c r="U29" s="27"/>
    </row>
    <row r="30">
      <c r="A30" s="28">
        <v>28.0</v>
      </c>
      <c r="B30" s="26" t="s">
        <v>334</v>
      </c>
      <c r="C30" s="26" t="s">
        <v>6514</v>
      </c>
      <c r="D30" s="28">
        <v>1.0</v>
      </c>
      <c r="E30" s="28">
        <v>58.0</v>
      </c>
      <c r="F30" s="26" t="s">
        <v>6598</v>
      </c>
      <c r="G30" s="27"/>
      <c r="H30" s="27"/>
      <c r="I30" s="28">
        <v>0.5</v>
      </c>
      <c r="J30" s="26" t="s">
        <v>6624</v>
      </c>
      <c r="K30" s="26" t="s">
        <v>5906</v>
      </c>
      <c r="L30" s="26" t="s">
        <v>6614</v>
      </c>
      <c r="M30" s="28">
        <v>0.0</v>
      </c>
      <c r="N30" s="28">
        <v>1.0</v>
      </c>
      <c r="O30" s="28">
        <v>-6.0</v>
      </c>
      <c r="P30" s="26" t="s">
        <v>6625</v>
      </c>
      <c r="U30" s="27"/>
    </row>
    <row r="31">
      <c r="A31" s="28">
        <v>29.0</v>
      </c>
      <c r="B31" s="26" t="s">
        <v>413</v>
      </c>
      <c r="C31" s="26" t="s">
        <v>6524</v>
      </c>
      <c r="D31" s="28">
        <v>0.0</v>
      </c>
      <c r="E31" s="28">
        <v>59.0</v>
      </c>
      <c r="F31" s="26" t="s">
        <v>6598</v>
      </c>
      <c r="G31" s="27"/>
      <c r="H31" s="27"/>
      <c r="I31" s="28">
        <v>0.5</v>
      </c>
      <c r="J31" s="26" t="s">
        <v>6626</v>
      </c>
      <c r="K31" s="26" t="s">
        <v>5906</v>
      </c>
      <c r="L31" s="26" t="s">
        <v>6627</v>
      </c>
      <c r="M31" s="28">
        <v>0.0</v>
      </c>
      <c r="N31" s="28">
        <v>1.0</v>
      </c>
      <c r="O31" s="28">
        <v>-2.0</v>
      </c>
      <c r="P31" s="26" t="s">
        <v>6628</v>
      </c>
      <c r="U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</sheetData>
  <mergeCells count="32">
    <mergeCell ref="P2:U2"/>
    <mergeCell ref="P3:U3"/>
    <mergeCell ref="P4:U4"/>
    <mergeCell ref="P5:U5"/>
    <mergeCell ref="P6:U6"/>
    <mergeCell ref="P7:U7"/>
    <mergeCell ref="P8:U8"/>
    <mergeCell ref="P9:U9"/>
    <mergeCell ref="P10:U10"/>
    <mergeCell ref="P11:U11"/>
    <mergeCell ref="P12:U12"/>
    <mergeCell ref="P13:U13"/>
    <mergeCell ref="P14:U14"/>
    <mergeCell ref="P15:U15"/>
    <mergeCell ref="P16:U16"/>
    <mergeCell ref="P17:U17"/>
    <mergeCell ref="P18:U18"/>
    <mergeCell ref="P19:U19"/>
    <mergeCell ref="P20:U20"/>
    <mergeCell ref="P21:U21"/>
    <mergeCell ref="G22:H22"/>
    <mergeCell ref="P28:T28"/>
    <mergeCell ref="P29:T29"/>
    <mergeCell ref="P30:T30"/>
    <mergeCell ref="P31:T31"/>
    <mergeCell ref="P22:T22"/>
    <mergeCell ref="P23:T23"/>
    <mergeCell ref="P24:T24"/>
    <mergeCell ref="P25:T25"/>
    <mergeCell ref="G26:H26"/>
    <mergeCell ref="P26:T26"/>
    <mergeCell ref="P27:S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 ht="14.25" customHeight="1">
      <c r="A1" s="3" t="s">
        <v>6629</v>
      </c>
      <c r="B1" s="3" t="s">
        <v>6630</v>
      </c>
      <c r="C1" s="3" t="s">
        <v>6631</v>
      </c>
      <c r="D1" s="3" t="s">
        <v>6632</v>
      </c>
      <c r="E1" s="3" t="s">
        <v>6633</v>
      </c>
      <c r="F1" s="3" t="s">
        <v>6634</v>
      </c>
      <c r="G1" s="3" t="s">
        <v>6635</v>
      </c>
      <c r="H1" s="3" t="s">
        <v>6636</v>
      </c>
      <c r="I1" s="3" t="s">
        <v>6637</v>
      </c>
      <c r="J1" s="3" t="s">
        <v>6638</v>
      </c>
      <c r="K1" s="3" t="s">
        <v>6639</v>
      </c>
      <c r="L1" s="3" t="s">
        <v>6640</v>
      </c>
      <c r="M1" s="3" t="s">
        <v>6641</v>
      </c>
      <c r="N1" s="3" t="s">
        <v>6642</v>
      </c>
      <c r="O1" s="3" t="s">
        <v>6643</v>
      </c>
      <c r="P1" s="3" t="s">
        <v>5882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5996</v>
      </c>
      <c r="AG1" s="3" t="s">
        <v>5918</v>
      </c>
      <c r="AH1" s="3" t="s">
        <v>5927</v>
      </c>
      <c r="AI1" s="3" t="s">
        <v>5941</v>
      </c>
      <c r="AJ1" s="3" t="s">
        <v>6015</v>
      </c>
      <c r="AK1" s="3" t="s">
        <v>6133</v>
      </c>
      <c r="AL1" s="3" t="s">
        <v>6034</v>
      </c>
      <c r="AM1" s="3" t="s">
        <v>6001</v>
      </c>
      <c r="AN1" s="3" t="s">
        <v>5970</v>
      </c>
    </row>
    <row r="2" ht="14.25" customHeight="1">
      <c r="A2" s="3">
        <v>0.0</v>
      </c>
      <c r="B2" s="3" t="s">
        <v>6644</v>
      </c>
      <c r="C2" s="3">
        <v>18.0</v>
      </c>
      <c r="D2" s="3" t="s">
        <v>6645</v>
      </c>
      <c r="E2" s="3" t="s">
        <v>6645</v>
      </c>
      <c r="F2" s="3" t="s">
        <v>6645</v>
      </c>
      <c r="G2" s="3" t="s">
        <v>6645</v>
      </c>
      <c r="H2" s="3" t="s">
        <v>6645</v>
      </c>
      <c r="I2" s="3" t="s">
        <v>6645</v>
      </c>
      <c r="J2" s="3">
        <v>25.0</v>
      </c>
      <c r="K2" s="3">
        <v>0.0</v>
      </c>
      <c r="L2" s="3">
        <v>-1056.0</v>
      </c>
      <c r="M2" s="3">
        <v>-664.0</v>
      </c>
      <c r="N2" s="3">
        <v>148.07006</v>
      </c>
      <c r="O2" s="3">
        <v>0.0</v>
      </c>
      <c r="P2" s="3" t="e">
        <v>#N/A</v>
      </c>
      <c r="Q2" s="3">
        <v>55.0</v>
      </c>
      <c r="R2" s="3">
        <v>70.0</v>
      </c>
      <c r="S2" s="3">
        <v>55.0</v>
      </c>
      <c r="T2" s="3">
        <v>55.0</v>
      </c>
      <c r="U2" s="3">
        <v>55.0</v>
      </c>
      <c r="V2" s="3">
        <v>60.0</v>
      </c>
      <c r="W2" s="3">
        <v>60.0</v>
      </c>
      <c r="X2" s="3">
        <v>70.0</v>
      </c>
      <c r="Y2" s="3">
        <v>60.0</v>
      </c>
      <c r="Z2" s="3">
        <v>60.0</v>
      </c>
      <c r="AA2" s="3">
        <v>70.0</v>
      </c>
      <c r="AB2" s="3">
        <v>50.0</v>
      </c>
      <c r="AC2" s="3">
        <v>50.0</v>
      </c>
      <c r="AD2" s="3">
        <v>50.0</v>
      </c>
      <c r="AE2" s="3">
        <v>50.0</v>
      </c>
      <c r="AF2" s="3">
        <v>60.0</v>
      </c>
      <c r="AG2" s="3">
        <v>60.0</v>
      </c>
      <c r="AH2" s="3">
        <v>60.0</v>
      </c>
      <c r="AI2" s="3">
        <v>60.0</v>
      </c>
      <c r="AJ2" s="3">
        <v>60.0</v>
      </c>
      <c r="AK2" s="3">
        <v>60.0</v>
      </c>
      <c r="AL2" s="3">
        <v>60.0</v>
      </c>
      <c r="AM2" s="3">
        <v>60.0</v>
      </c>
      <c r="AN2" s="3">
        <v>60.0</v>
      </c>
    </row>
    <row r="3" ht="14.25" customHeight="1">
      <c r="A3" s="3">
        <v>1.0</v>
      </c>
      <c r="B3" s="3" t="s">
        <v>5894</v>
      </c>
      <c r="C3" s="3">
        <v>38.0</v>
      </c>
      <c r="D3" s="3" t="s">
        <v>6646</v>
      </c>
      <c r="E3" s="3" t="s">
        <v>6645</v>
      </c>
      <c r="F3" s="3" t="s">
        <v>6645</v>
      </c>
      <c r="G3" s="3" t="s">
        <v>6645</v>
      </c>
      <c r="H3" s="3" t="s">
        <v>6645</v>
      </c>
      <c r="I3" s="3" t="s">
        <v>6645</v>
      </c>
      <c r="J3" s="3">
        <v>25.0</v>
      </c>
      <c r="K3" s="3">
        <v>5.0</v>
      </c>
      <c r="L3" s="3">
        <v>0.0</v>
      </c>
      <c r="M3" s="3">
        <v>0.0</v>
      </c>
      <c r="N3" s="3">
        <v>9656.55</v>
      </c>
      <c r="O3" s="3">
        <v>4800.0</v>
      </c>
      <c r="P3" s="3" t="s">
        <v>5899</v>
      </c>
      <c r="Q3" s="3">
        <v>60.0</v>
      </c>
      <c r="R3" s="3">
        <v>62.0</v>
      </c>
      <c r="S3" s="3">
        <v>66.0</v>
      </c>
      <c r="T3" s="3">
        <v>60.0</v>
      </c>
      <c r="U3" s="3">
        <v>58.0</v>
      </c>
      <c r="V3" s="3">
        <v>62.0</v>
      </c>
      <c r="W3" s="3">
        <v>65.0</v>
      </c>
      <c r="X3" s="3">
        <v>66.0</v>
      </c>
      <c r="Y3" s="3">
        <v>60.0</v>
      </c>
      <c r="Z3" s="3">
        <v>53.0</v>
      </c>
      <c r="AA3" s="3">
        <v>80.0</v>
      </c>
      <c r="AB3" s="3">
        <v>60.0</v>
      </c>
      <c r="AC3" s="3">
        <v>60.0</v>
      </c>
      <c r="AD3" s="3">
        <v>58.0</v>
      </c>
      <c r="AE3" s="3">
        <v>54.0</v>
      </c>
      <c r="AF3" s="3">
        <v>85.0</v>
      </c>
      <c r="AG3" s="3">
        <v>60.0</v>
      </c>
      <c r="AH3" s="3">
        <v>85.0</v>
      </c>
      <c r="AI3" s="3">
        <v>59.0</v>
      </c>
      <c r="AJ3" s="3">
        <v>26.0</v>
      </c>
      <c r="AK3" s="3">
        <v>47.0</v>
      </c>
      <c r="AL3" s="3">
        <v>28.0</v>
      </c>
      <c r="AM3" s="3">
        <v>44.0</v>
      </c>
      <c r="AN3" s="3">
        <v>56.0</v>
      </c>
    </row>
    <row r="4" ht="14.25" customHeight="1">
      <c r="A4" s="3">
        <v>2.0</v>
      </c>
      <c r="B4" s="3" t="s">
        <v>5905</v>
      </c>
      <c r="C4" s="3">
        <v>42.0</v>
      </c>
      <c r="D4" s="3" t="s">
        <v>6646</v>
      </c>
      <c r="E4" s="3" t="s">
        <v>6645</v>
      </c>
      <c r="F4" s="3" t="s">
        <v>6645</v>
      </c>
      <c r="G4" s="3" t="s">
        <v>6645</v>
      </c>
      <c r="H4" s="3" t="s">
        <v>6645</v>
      </c>
      <c r="I4" s="3" t="s">
        <v>6645</v>
      </c>
      <c r="J4" s="3">
        <v>-1.0</v>
      </c>
      <c r="K4" s="3">
        <v>4.0</v>
      </c>
      <c r="L4" s="3">
        <v>0.0</v>
      </c>
      <c r="M4" s="3">
        <v>0.0</v>
      </c>
      <c r="N4" s="3">
        <v>6934.31</v>
      </c>
      <c r="O4" s="3">
        <v>1599.0</v>
      </c>
      <c r="P4" s="3" t="s">
        <v>5909</v>
      </c>
      <c r="Q4" s="3">
        <v>57.0</v>
      </c>
      <c r="R4" s="3">
        <v>59.0</v>
      </c>
      <c r="S4" s="3">
        <v>56.0</v>
      </c>
      <c r="T4" s="3">
        <v>59.0</v>
      </c>
      <c r="U4" s="3">
        <v>53.0</v>
      </c>
      <c r="V4" s="3">
        <v>51.0</v>
      </c>
      <c r="W4" s="3">
        <v>53.0</v>
      </c>
      <c r="X4" s="3">
        <v>57.0</v>
      </c>
      <c r="Y4" s="3">
        <v>64.0</v>
      </c>
      <c r="Z4" s="3">
        <v>53.0</v>
      </c>
      <c r="AA4" s="3">
        <v>64.0</v>
      </c>
      <c r="AB4" s="3">
        <v>49.0</v>
      </c>
      <c r="AC4" s="3">
        <v>47.0</v>
      </c>
      <c r="AD4" s="3">
        <v>52.0</v>
      </c>
      <c r="AE4" s="3">
        <v>54.0</v>
      </c>
      <c r="AF4" s="3">
        <v>55.0</v>
      </c>
      <c r="AG4" s="3">
        <v>53.0</v>
      </c>
      <c r="AH4" s="3">
        <v>51.0</v>
      </c>
      <c r="AI4" s="3">
        <v>50.0</v>
      </c>
      <c r="AJ4" s="3">
        <v>42.0</v>
      </c>
      <c r="AK4" s="3">
        <v>52.0</v>
      </c>
      <c r="AL4" s="3">
        <v>50.0</v>
      </c>
      <c r="AM4" s="3">
        <v>46.0</v>
      </c>
      <c r="AN4" s="3">
        <v>43.0</v>
      </c>
    </row>
    <row r="5" ht="14.25" customHeight="1">
      <c r="A5" s="3">
        <v>3.0</v>
      </c>
      <c r="B5" s="3" t="s">
        <v>5913</v>
      </c>
      <c r="C5" s="3">
        <v>27.0</v>
      </c>
      <c r="D5" s="3" t="s">
        <v>6646</v>
      </c>
      <c r="E5" s="3" t="s">
        <v>6645</v>
      </c>
      <c r="F5" s="3" t="s">
        <v>6645</v>
      </c>
      <c r="G5" s="3" t="s">
        <v>6645</v>
      </c>
      <c r="H5" s="3" t="s">
        <v>6645</v>
      </c>
      <c r="I5" s="3" t="s">
        <v>6645</v>
      </c>
      <c r="J5" s="3">
        <v>25.0</v>
      </c>
      <c r="K5" s="3">
        <v>3.0</v>
      </c>
      <c r="L5" s="3">
        <v>0.0</v>
      </c>
      <c r="M5" s="3">
        <v>0.0</v>
      </c>
      <c r="N5" s="3">
        <v>4279.5253</v>
      </c>
      <c r="O5" s="3">
        <v>728.0</v>
      </c>
      <c r="P5" s="3" t="s">
        <v>5899</v>
      </c>
      <c r="Q5" s="3">
        <v>51.0</v>
      </c>
      <c r="R5" s="3">
        <v>49.0</v>
      </c>
      <c r="S5" s="3">
        <v>49.0</v>
      </c>
      <c r="T5" s="3">
        <v>46.0</v>
      </c>
      <c r="U5" s="3">
        <v>46.0</v>
      </c>
      <c r="V5" s="3">
        <v>45.0</v>
      </c>
      <c r="W5" s="3">
        <v>58.0</v>
      </c>
      <c r="X5" s="3">
        <v>52.0</v>
      </c>
      <c r="Y5" s="3">
        <v>44.0</v>
      </c>
      <c r="Z5" s="3">
        <v>56.0</v>
      </c>
      <c r="AA5" s="3">
        <v>56.0</v>
      </c>
      <c r="AB5" s="3">
        <v>44.0</v>
      </c>
      <c r="AC5" s="3">
        <v>50.0</v>
      </c>
      <c r="AD5" s="3">
        <v>45.0</v>
      </c>
      <c r="AE5" s="3">
        <v>43.0</v>
      </c>
      <c r="AF5" s="3">
        <v>44.0</v>
      </c>
      <c r="AG5" s="3">
        <v>67.0</v>
      </c>
      <c r="AH5" s="3">
        <v>64.0</v>
      </c>
      <c r="AI5" s="3">
        <v>26.0</v>
      </c>
      <c r="AJ5" s="3">
        <v>63.0</v>
      </c>
      <c r="AK5" s="3">
        <v>63.0</v>
      </c>
      <c r="AL5" s="3">
        <v>57.0</v>
      </c>
      <c r="AM5" s="3">
        <v>59.0</v>
      </c>
      <c r="AN5" s="3">
        <v>56.0</v>
      </c>
    </row>
    <row r="6" ht="14.25" customHeight="1">
      <c r="A6" s="3">
        <v>4.0</v>
      </c>
      <c r="B6" s="3" t="s">
        <v>5920</v>
      </c>
      <c r="C6" s="3">
        <v>21.0</v>
      </c>
      <c r="D6" s="3" t="s">
        <v>6646</v>
      </c>
      <c r="E6" s="3" t="s">
        <v>6645</v>
      </c>
      <c r="F6" s="3" t="s">
        <v>6645</v>
      </c>
      <c r="G6" s="3" t="s">
        <v>6645</v>
      </c>
      <c r="H6" s="3" t="s">
        <v>6645</v>
      </c>
      <c r="I6" s="3" t="s">
        <v>6646</v>
      </c>
      <c r="J6" s="3">
        <v>25.0</v>
      </c>
      <c r="K6" s="3">
        <v>2.0</v>
      </c>
      <c r="L6" s="3">
        <v>0.0</v>
      </c>
      <c r="M6" s="3">
        <v>0.0</v>
      </c>
      <c r="N6" s="3">
        <v>3079.6313</v>
      </c>
      <c r="O6" s="3">
        <v>481.0</v>
      </c>
      <c r="P6" s="3" t="s">
        <v>5924</v>
      </c>
      <c r="Q6" s="3">
        <v>45.0</v>
      </c>
      <c r="R6" s="3">
        <v>40.0</v>
      </c>
      <c r="S6" s="3">
        <v>40.0</v>
      </c>
      <c r="T6" s="3">
        <v>41.0</v>
      </c>
      <c r="U6" s="3">
        <v>41.0</v>
      </c>
      <c r="V6" s="3">
        <v>48.0</v>
      </c>
      <c r="W6" s="3">
        <v>48.0</v>
      </c>
      <c r="X6" s="3">
        <v>51.0</v>
      </c>
      <c r="Y6" s="3">
        <v>41.0</v>
      </c>
      <c r="Z6" s="3">
        <v>40.0</v>
      </c>
      <c r="AA6" s="3">
        <v>48.0</v>
      </c>
      <c r="AB6" s="3">
        <v>43.0</v>
      </c>
      <c r="AC6" s="3">
        <v>43.0</v>
      </c>
      <c r="AD6" s="3">
        <v>38.0</v>
      </c>
      <c r="AE6" s="3">
        <v>42.0</v>
      </c>
      <c r="AF6" s="3">
        <v>43.0</v>
      </c>
      <c r="AG6" s="3">
        <v>55.0</v>
      </c>
      <c r="AH6" s="3">
        <v>74.0</v>
      </c>
      <c r="AI6" s="3">
        <v>55.0</v>
      </c>
      <c r="AJ6" s="3">
        <v>34.0</v>
      </c>
      <c r="AK6" s="3">
        <v>50.0</v>
      </c>
      <c r="AL6" s="3">
        <v>61.0</v>
      </c>
      <c r="AM6" s="3">
        <v>50.0</v>
      </c>
      <c r="AN6" s="3">
        <v>38.0</v>
      </c>
    </row>
    <row r="7" ht="14.25" customHeight="1">
      <c r="A7" s="3">
        <v>5.0</v>
      </c>
      <c r="B7" s="3" t="s">
        <v>5929</v>
      </c>
      <c r="C7" s="3">
        <v>24.0</v>
      </c>
      <c r="D7" s="3" t="s">
        <v>6646</v>
      </c>
      <c r="E7" s="3" t="s">
        <v>6645</v>
      </c>
      <c r="F7" s="3" t="s">
        <v>6645</v>
      </c>
      <c r="G7" s="3" t="s">
        <v>6645</v>
      </c>
      <c r="H7" s="3" t="s">
        <v>6645</v>
      </c>
      <c r="I7" s="3" t="s">
        <v>6645</v>
      </c>
      <c r="J7" s="3">
        <v>25.0</v>
      </c>
      <c r="K7" s="3">
        <v>2.0</v>
      </c>
      <c r="L7" s="3">
        <v>0.0</v>
      </c>
      <c r="M7" s="3">
        <v>0.0</v>
      </c>
      <c r="N7" s="3">
        <v>2538.8684</v>
      </c>
      <c r="O7" s="3">
        <v>403.0</v>
      </c>
      <c r="P7" s="3" t="s">
        <v>5931</v>
      </c>
      <c r="Q7" s="3">
        <v>40.0</v>
      </c>
      <c r="R7" s="3">
        <v>48.0</v>
      </c>
      <c r="S7" s="3">
        <v>49.0</v>
      </c>
      <c r="T7" s="3">
        <v>43.0</v>
      </c>
      <c r="U7" s="3">
        <v>43.0</v>
      </c>
      <c r="V7" s="3">
        <v>48.0</v>
      </c>
      <c r="W7" s="3">
        <v>50.0</v>
      </c>
      <c r="X7" s="3">
        <v>41.0</v>
      </c>
      <c r="Y7" s="3">
        <v>41.0</v>
      </c>
      <c r="Z7" s="3">
        <v>40.0</v>
      </c>
      <c r="AA7" s="3">
        <v>55.0</v>
      </c>
      <c r="AB7" s="3">
        <v>44.0</v>
      </c>
      <c r="AC7" s="3">
        <v>42.0</v>
      </c>
      <c r="AD7" s="3">
        <v>47.0</v>
      </c>
      <c r="AE7" s="3">
        <v>40.0</v>
      </c>
      <c r="AF7" s="3">
        <v>43.0</v>
      </c>
      <c r="AG7" s="3">
        <v>62.0</v>
      </c>
      <c r="AH7" s="3">
        <v>71.0</v>
      </c>
      <c r="AI7" s="3">
        <v>65.0</v>
      </c>
      <c r="AJ7" s="3">
        <v>52.0</v>
      </c>
      <c r="AK7" s="3">
        <v>34.0</v>
      </c>
      <c r="AL7" s="3">
        <v>48.0</v>
      </c>
      <c r="AM7" s="3">
        <v>9.0</v>
      </c>
      <c r="AN7" s="3">
        <v>63.0</v>
      </c>
    </row>
    <row r="8" ht="14.25" customHeight="1">
      <c r="A8" s="3">
        <v>6.0</v>
      </c>
      <c r="B8" s="3" t="s">
        <v>5936</v>
      </c>
      <c r="C8" s="3">
        <v>23.0</v>
      </c>
      <c r="D8" s="3" t="s">
        <v>6646</v>
      </c>
      <c r="E8" s="3" t="s">
        <v>6645</v>
      </c>
      <c r="F8" s="3" t="s">
        <v>6645</v>
      </c>
      <c r="G8" s="3" t="s">
        <v>6645</v>
      </c>
      <c r="H8" s="3" t="s">
        <v>6645</v>
      </c>
      <c r="I8" s="3" t="s">
        <v>6645</v>
      </c>
      <c r="J8" s="3">
        <v>25.0</v>
      </c>
      <c r="K8" s="3">
        <v>1.0</v>
      </c>
      <c r="L8" s="3">
        <v>0.0</v>
      </c>
      <c r="M8" s="3">
        <v>0.0</v>
      </c>
      <c r="N8" s="3">
        <v>1152.0705</v>
      </c>
      <c r="O8" s="3">
        <v>162.0</v>
      </c>
      <c r="P8" s="3" t="s">
        <v>5899</v>
      </c>
      <c r="Q8" s="3">
        <v>40.0</v>
      </c>
      <c r="R8" s="3">
        <v>37.0</v>
      </c>
      <c r="S8" s="3">
        <v>43.0</v>
      </c>
      <c r="T8" s="3">
        <v>43.0</v>
      </c>
      <c r="U8" s="3">
        <v>37.0</v>
      </c>
      <c r="V8" s="3">
        <v>37.0</v>
      </c>
      <c r="W8" s="3">
        <v>35.0</v>
      </c>
      <c r="X8" s="3">
        <v>40.0</v>
      </c>
      <c r="Y8" s="3">
        <v>53.0</v>
      </c>
      <c r="Z8" s="3">
        <v>42.0</v>
      </c>
      <c r="AA8" s="3">
        <v>49.0</v>
      </c>
      <c r="AB8" s="3">
        <v>44.0</v>
      </c>
      <c r="AC8" s="3">
        <v>33.0</v>
      </c>
      <c r="AD8" s="3">
        <v>33.0</v>
      </c>
      <c r="AE8" s="3">
        <v>49.0</v>
      </c>
      <c r="AF8" s="3">
        <v>35.0</v>
      </c>
      <c r="AG8" s="3">
        <v>45.0</v>
      </c>
      <c r="AH8" s="3">
        <v>20.0</v>
      </c>
      <c r="AI8" s="3">
        <v>70.0</v>
      </c>
      <c r="AJ8" s="3">
        <v>51.0</v>
      </c>
      <c r="AK8" s="3">
        <v>50.0</v>
      </c>
      <c r="AL8" s="3">
        <v>46.0</v>
      </c>
      <c r="AM8" s="3">
        <v>53.0</v>
      </c>
      <c r="AN8" s="3">
        <v>51.0</v>
      </c>
    </row>
    <row r="9" ht="14.25" customHeight="1">
      <c r="A9" s="3">
        <v>7.0</v>
      </c>
      <c r="B9" s="3" t="s">
        <v>5943</v>
      </c>
      <c r="C9" s="3">
        <v>25.0</v>
      </c>
      <c r="D9" s="3" t="s">
        <v>6646</v>
      </c>
      <c r="E9" s="3" t="s">
        <v>6645</v>
      </c>
      <c r="F9" s="3" t="s">
        <v>6645</v>
      </c>
      <c r="G9" s="3" t="s">
        <v>6645</v>
      </c>
      <c r="H9" s="3" t="s">
        <v>6645</v>
      </c>
      <c r="I9" s="3" t="s">
        <v>6646</v>
      </c>
      <c r="J9" s="3">
        <v>25.0</v>
      </c>
      <c r="K9" s="3">
        <v>1.0</v>
      </c>
      <c r="L9" s="3">
        <v>0.0</v>
      </c>
      <c r="M9" s="3">
        <v>0.0</v>
      </c>
      <c r="N9" s="3">
        <v>714.025</v>
      </c>
      <c r="O9" s="3">
        <v>184.0</v>
      </c>
      <c r="P9" s="3" t="s">
        <v>5909</v>
      </c>
      <c r="Q9" s="3">
        <v>39.0</v>
      </c>
      <c r="R9" s="3">
        <v>37.0</v>
      </c>
      <c r="S9" s="3">
        <v>35.0</v>
      </c>
      <c r="T9" s="3">
        <v>41.0</v>
      </c>
      <c r="U9" s="3">
        <v>44.0</v>
      </c>
      <c r="V9" s="3">
        <v>40.0</v>
      </c>
      <c r="W9" s="3">
        <v>41.0</v>
      </c>
      <c r="X9" s="3">
        <v>45.0</v>
      </c>
      <c r="Y9" s="3">
        <v>36.0</v>
      </c>
      <c r="Z9" s="3">
        <v>38.0</v>
      </c>
      <c r="AA9" s="3">
        <v>49.0</v>
      </c>
      <c r="AB9" s="3">
        <v>34.0</v>
      </c>
      <c r="AC9" s="3">
        <v>43.0</v>
      </c>
      <c r="AD9" s="3">
        <v>46.0</v>
      </c>
      <c r="AE9" s="3">
        <v>38.0</v>
      </c>
      <c r="AF9" s="3">
        <v>64.0</v>
      </c>
      <c r="AG9" s="3">
        <v>50.0</v>
      </c>
      <c r="AH9" s="3">
        <v>32.0</v>
      </c>
      <c r="AI9" s="3">
        <v>33.0</v>
      </c>
      <c r="AJ9" s="3">
        <v>29.0</v>
      </c>
      <c r="AK9" s="3">
        <v>32.0</v>
      </c>
      <c r="AL9" s="3">
        <v>55.0</v>
      </c>
      <c r="AM9" s="3">
        <v>72.0</v>
      </c>
      <c r="AN9" s="3">
        <v>37.0</v>
      </c>
    </row>
    <row r="10" ht="14.25" customHeight="1">
      <c r="A10" s="3">
        <v>8.0</v>
      </c>
      <c r="B10" s="3" t="s">
        <v>5949</v>
      </c>
      <c r="C10" s="3">
        <v>19.0</v>
      </c>
      <c r="D10" s="3" t="s">
        <v>6646</v>
      </c>
      <c r="E10" s="3" t="s">
        <v>6645</v>
      </c>
      <c r="F10" s="3" t="s">
        <v>6645</v>
      </c>
      <c r="G10" s="3" t="s">
        <v>6645</v>
      </c>
      <c r="H10" s="3" t="s">
        <v>6645</v>
      </c>
      <c r="I10" s="3" t="s">
        <v>6645</v>
      </c>
      <c r="J10" s="3">
        <v>25.0</v>
      </c>
      <c r="K10" s="3">
        <v>0.0</v>
      </c>
      <c r="L10" s="3">
        <v>0.0</v>
      </c>
      <c r="M10" s="3">
        <v>0.0</v>
      </c>
      <c r="N10" s="3">
        <v>345.11444</v>
      </c>
      <c r="O10" s="3">
        <v>101.0</v>
      </c>
      <c r="P10" s="3" t="s">
        <v>5952</v>
      </c>
      <c r="Q10" s="3">
        <v>33.0</v>
      </c>
      <c r="R10" s="3">
        <v>32.0</v>
      </c>
      <c r="S10" s="3">
        <v>36.0</v>
      </c>
      <c r="T10" s="3">
        <v>37.0</v>
      </c>
      <c r="U10" s="3">
        <v>36.0</v>
      </c>
      <c r="V10" s="3">
        <v>30.0</v>
      </c>
      <c r="W10" s="3">
        <v>39.0</v>
      </c>
      <c r="X10" s="3">
        <v>28.0</v>
      </c>
      <c r="Y10" s="3">
        <v>38.0</v>
      </c>
      <c r="Z10" s="3">
        <v>49.0</v>
      </c>
      <c r="AA10" s="3">
        <v>43.0</v>
      </c>
      <c r="AB10" s="3">
        <v>26.0</v>
      </c>
      <c r="AC10" s="3">
        <v>45.0</v>
      </c>
      <c r="AD10" s="3">
        <v>28.0</v>
      </c>
      <c r="AE10" s="3">
        <v>23.0</v>
      </c>
      <c r="AF10" s="3">
        <v>41.0</v>
      </c>
      <c r="AG10" s="3">
        <v>32.0</v>
      </c>
      <c r="AH10" s="3">
        <v>12.0</v>
      </c>
      <c r="AI10" s="3">
        <v>36.0</v>
      </c>
      <c r="AJ10" s="3">
        <v>71.0</v>
      </c>
      <c r="AK10" s="3">
        <v>57.0</v>
      </c>
      <c r="AL10" s="3">
        <v>72.0</v>
      </c>
      <c r="AM10" s="3">
        <v>49.0</v>
      </c>
      <c r="AN10" s="3">
        <v>27.0</v>
      </c>
    </row>
    <row r="11" ht="14.25" customHeight="1">
      <c r="A11" s="3">
        <v>9.0</v>
      </c>
      <c r="B11" s="3" t="s">
        <v>5957</v>
      </c>
      <c r="C11" s="3">
        <v>16.0</v>
      </c>
      <c r="D11" s="3" t="s">
        <v>6646</v>
      </c>
      <c r="E11" s="3" t="s">
        <v>6645</v>
      </c>
      <c r="F11" s="3" t="s">
        <v>6645</v>
      </c>
      <c r="G11" s="3" t="s">
        <v>6645</v>
      </c>
      <c r="H11" s="3" t="s">
        <v>6645</v>
      </c>
      <c r="I11" s="3" t="s">
        <v>6646</v>
      </c>
      <c r="J11" s="3">
        <v>-1.0</v>
      </c>
      <c r="K11" s="3">
        <v>0.0</v>
      </c>
      <c r="L11" s="3">
        <v>0.0</v>
      </c>
      <c r="M11" s="3">
        <v>0.0</v>
      </c>
      <c r="N11" s="3">
        <v>431.286</v>
      </c>
      <c r="O11" s="3">
        <v>114.0</v>
      </c>
      <c r="P11" s="3" t="s">
        <v>5899</v>
      </c>
      <c r="Q11" s="3">
        <v>31.0</v>
      </c>
      <c r="R11" s="3">
        <v>31.0</v>
      </c>
      <c r="S11" s="3">
        <v>36.0</v>
      </c>
      <c r="T11" s="3">
        <v>33.0</v>
      </c>
      <c r="U11" s="3">
        <v>32.0</v>
      </c>
      <c r="V11" s="3">
        <v>39.0</v>
      </c>
      <c r="W11" s="3">
        <v>34.0</v>
      </c>
      <c r="X11" s="3">
        <v>46.0</v>
      </c>
      <c r="Y11" s="3">
        <v>30.0</v>
      </c>
      <c r="Z11" s="3">
        <v>36.0</v>
      </c>
      <c r="AA11" s="3">
        <v>38.0</v>
      </c>
      <c r="AB11" s="3">
        <v>45.0</v>
      </c>
      <c r="AC11" s="3">
        <v>30.0</v>
      </c>
      <c r="AD11" s="3">
        <v>27.0</v>
      </c>
      <c r="AE11" s="3">
        <v>26.0</v>
      </c>
      <c r="AF11" s="3">
        <v>32.0</v>
      </c>
      <c r="AG11" s="3">
        <v>56.0</v>
      </c>
      <c r="AH11" s="3">
        <v>27.0</v>
      </c>
      <c r="AI11" s="3">
        <v>57.0</v>
      </c>
      <c r="AJ11" s="3">
        <v>41.0</v>
      </c>
      <c r="AK11" s="3">
        <v>100.0</v>
      </c>
      <c r="AL11" s="3">
        <v>27.0</v>
      </c>
      <c r="AM11" s="3">
        <v>55.0</v>
      </c>
      <c r="AN11" s="3">
        <v>100.0</v>
      </c>
    </row>
    <row r="12" ht="14.25" customHeight="1">
      <c r="A12" s="3">
        <v>10.0</v>
      </c>
      <c r="B12" s="3" t="s">
        <v>5962</v>
      </c>
      <c r="C12" s="3">
        <v>31.0</v>
      </c>
      <c r="D12" s="3" t="s">
        <v>6646</v>
      </c>
      <c r="E12" s="3" t="s">
        <v>6645</v>
      </c>
      <c r="F12" s="3" t="s">
        <v>6645</v>
      </c>
      <c r="G12" s="3" t="s">
        <v>6645</v>
      </c>
      <c r="H12" s="3" t="s">
        <v>6645</v>
      </c>
      <c r="I12" s="3" t="s">
        <v>6646</v>
      </c>
      <c r="J12" s="3">
        <v>0.0</v>
      </c>
      <c r="K12" s="3">
        <v>5.0</v>
      </c>
      <c r="L12" s="3">
        <v>0.0</v>
      </c>
      <c r="M12" s="3">
        <v>0.0</v>
      </c>
      <c r="N12" s="3">
        <v>23178.886</v>
      </c>
      <c r="O12" s="3">
        <v>4800.0</v>
      </c>
      <c r="P12" s="3" t="s">
        <v>5899</v>
      </c>
      <c r="Q12" s="3">
        <v>99.0</v>
      </c>
      <c r="R12" s="3">
        <v>73.0</v>
      </c>
      <c r="S12" s="3">
        <v>69.0</v>
      </c>
      <c r="T12" s="3">
        <v>98.0</v>
      </c>
      <c r="U12" s="3">
        <v>80.0</v>
      </c>
      <c r="V12" s="3">
        <v>71.0</v>
      </c>
      <c r="W12" s="3">
        <v>85.0</v>
      </c>
      <c r="X12" s="3">
        <v>104.0</v>
      </c>
      <c r="Y12" s="3">
        <v>76.0</v>
      </c>
      <c r="Z12" s="3">
        <v>70.0</v>
      </c>
      <c r="AA12" s="3">
        <v>74.0</v>
      </c>
      <c r="AB12" s="3">
        <v>101.0</v>
      </c>
      <c r="AC12" s="3">
        <v>69.0</v>
      </c>
      <c r="AD12" s="3">
        <v>66.0</v>
      </c>
      <c r="AE12" s="3">
        <v>101.0</v>
      </c>
      <c r="AF12" s="3">
        <v>67.0</v>
      </c>
      <c r="AG12" s="3">
        <v>65.0</v>
      </c>
      <c r="AH12" s="3">
        <v>62.0</v>
      </c>
      <c r="AI12" s="3">
        <v>100.0</v>
      </c>
      <c r="AJ12" s="3">
        <v>72.0</v>
      </c>
      <c r="AK12" s="3">
        <v>60.0</v>
      </c>
      <c r="AL12" s="3">
        <v>53.0</v>
      </c>
      <c r="AM12" s="3">
        <v>34.0</v>
      </c>
      <c r="AN12" s="3">
        <v>56.0</v>
      </c>
    </row>
    <row r="13" ht="14.25" customHeight="1">
      <c r="A13" s="3">
        <v>11.0</v>
      </c>
      <c r="B13" s="3" t="s">
        <v>5967</v>
      </c>
      <c r="C13" s="3">
        <v>24.0</v>
      </c>
      <c r="D13" s="3" t="s">
        <v>6646</v>
      </c>
      <c r="E13" s="3" t="s">
        <v>6645</v>
      </c>
      <c r="F13" s="3" t="s">
        <v>6645</v>
      </c>
      <c r="G13" s="3" t="s">
        <v>6645</v>
      </c>
      <c r="H13" s="3" t="s">
        <v>6645</v>
      </c>
      <c r="I13" s="3" t="s">
        <v>6646</v>
      </c>
      <c r="J13" s="3">
        <v>0.0</v>
      </c>
      <c r="K13" s="3">
        <v>5.0</v>
      </c>
      <c r="L13" s="3">
        <v>0.0</v>
      </c>
      <c r="M13" s="3">
        <v>0.0</v>
      </c>
      <c r="N13" s="3">
        <v>18962.347</v>
      </c>
      <c r="O13" s="3">
        <v>3431.0</v>
      </c>
      <c r="P13" s="3" t="s">
        <v>5931</v>
      </c>
      <c r="Q13" s="3">
        <v>88.0</v>
      </c>
      <c r="R13" s="3">
        <v>72.0</v>
      </c>
      <c r="S13" s="3">
        <v>68.0</v>
      </c>
      <c r="T13" s="3">
        <v>84.0</v>
      </c>
      <c r="U13" s="3">
        <v>72.0</v>
      </c>
      <c r="V13" s="3">
        <v>72.0</v>
      </c>
      <c r="W13" s="3">
        <v>77.0</v>
      </c>
      <c r="X13" s="3">
        <v>100.0</v>
      </c>
      <c r="Y13" s="3">
        <v>73.0</v>
      </c>
      <c r="Z13" s="3">
        <v>70.0</v>
      </c>
      <c r="AA13" s="3">
        <v>65.0</v>
      </c>
      <c r="AB13" s="3">
        <v>93.0</v>
      </c>
      <c r="AC13" s="3">
        <v>67.0</v>
      </c>
      <c r="AD13" s="3">
        <v>70.0</v>
      </c>
      <c r="AE13" s="3">
        <v>83.0</v>
      </c>
      <c r="AF13" s="3">
        <v>65.0</v>
      </c>
      <c r="AG13" s="3">
        <v>59.0</v>
      </c>
      <c r="AH13" s="3">
        <v>23.0</v>
      </c>
      <c r="AI13" s="3">
        <v>81.0</v>
      </c>
      <c r="AJ13" s="3">
        <v>73.0</v>
      </c>
      <c r="AK13" s="3">
        <v>68.0</v>
      </c>
      <c r="AL13" s="3">
        <v>28.0</v>
      </c>
      <c r="AM13" s="3">
        <v>52.0</v>
      </c>
      <c r="AN13" s="3">
        <v>100.0</v>
      </c>
    </row>
    <row r="14" ht="14.25" customHeight="1">
      <c r="A14" s="3">
        <v>12.0</v>
      </c>
      <c r="B14" s="3" t="s">
        <v>5974</v>
      </c>
      <c r="C14" s="3">
        <v>34.0</v>
      </c>
      <c r="D14" s="3" t="s">
        <v>6646</v>
      </c>
      <c r="E14" s="3" t="s">
        <v>6645</v>
      </c>
      <c r="F14" s="3" t="s">
        <v>6645</v>
      </c>
      <c r="G14" s="3" t="s">
        <v>6645</v>
      </c>
      <c r="H14" s="3" t="s">
        <v>6645</v>
      </c>
      <c r="I14" s="3" t="s">
        <v>6645</v>
      </c>
      <c r="J14" s="3">
        <v>0.0</v>
      </c>
      <c r="K14" s="3">
        <v>4.0</v>
      </c>
      <c r="L14" s="3">
        <v>0.0</v>
      </c>
      <c r="M14" s="3">
        <v>0.0</v>
      </c>
      <c r="N14" s="3">
        <v>11797.567</v>
      </c>
      <c r="O14" s="3">
        <v>1836.0</v>
      </c>
      <c r="P14" s="3" t="s">
        <v>5909</v>
      </c>
      <c r="Q14" s="3">
        <v>76.0</v>
      </c>
      <c r="R14" s="3">
        <v>60.0</v>
      </c>
      <c r="S14" s="3">
        <v>61.0</v>
      </c>
      <c r="T14" s="3">
        <v>62.0</v>
      </c>
      <c r="U14" s="3">
        <v>66.0</v>
      </c>
      <c r="V14" s="3">
        <v>56.0</v>
      </c>
      <c r="W14" s="3">
        <v>66.0</v>
      </c>
      <c r="X14" s="3">
        <v>74.0</v>
      </c>
      <c r="Y14" s="3">
        <v>59.0</v>
      </c>
      <c r="Z14" s="3">
        <v>59.0</v>
      </c>
      <c r="AA14" s="3">
        <v>59.0</v>
      </c>
      <c r="AB14" s="3">
        <v>82.0</v>
      </c>
      <c r="AC14" s="3">
        <v>54.0</v>
      </c>
      <c r="AD14" s="3">
        <v>62.0</v>
      </c>
      <c r="AE14" s="3">
        <v>80.0</v>
      </c>
      <c r="AF14" s="3">
        <v>55.0</v>
      </c>
      <c r="AG14" s="3">
        <v>43.0</v>
      </c>
      <c r="AH14" s="3">
        <v>44.0</v>
      </c>
      <c r="AI14" s="3">
        <v>100.0</v>
      </c>
      <c r="AJ14" s="3">
        <v>60.0</v>
      </c>
      <c r="AK14" s="3">
        <v>58.0</v>
      </c>
      <c r="AL14" s="3">
        <v>29.0</v>
      </c>
      <c r="AM14" s="3">
        <v>49.0</v>
      </c>
      <c r="AN14" s="3">
        <v>52.0</v>
      </c>
    </row>
    <row r="15" ht="14.25" customHeight="1">
      <c r="A15" s="3">
        <v>13.0</v>
      </c>
      <c r="B15" s="3" t="s">
        <v>5979</v>
      </c>
      <c r="C15" s="3">
        <v>44.0</v>
      </c>
      <c r="D15" s="3" t="s">
        <v>6646</v>
      </c>
      <c r="E15" s="3" t="s">
        <v>6645</v>
      </c>
      <c r="F15" s="3" t="s">
        <v>6645</v>
      </c>
      <c r="G15" s="3" t="s">
        <v>6645</v>
      </c>
      <c r="H15" s="3" t="s">
        <v>6645</v>
      </c>
      <c r="I15" s="3" t="s">
        <v>6645</v>
      </c>
      <c r="J15" s="3">
        <v>1.0</v>
      </c>
      <c r="K15" s="3">
        <v>5.0</v>
      </c>
      <c r="L15" s="3">
        <v>0.0</v>
      </c>
      <c r="M15" s="3">
        <v>0.0</v>
      </c>
      <c r="N15" s="3">
        <v>26360.347</v>
      </c>
      <c r="O15" s="3">
        <v>4800.0</v>
      </c>
      <c r="P15" s="3" t="s">
        <v>5899</v>
      </c>
      <c r="Q15" s="3">
        <v>68.0</v>
      </c>
      <c r="R15" s="3">
        <v>113.0</v>
      </c>
      <c r="S15" s="3">
        <v>104.0</v>
      </c>
      <c r="T15" s="3">
        <v>70.0</v>
      </c>
      <c r="U15" s="3">
        <v>72.0</v>
      </c>
      <c r="V15" s="3">
        <v>70.0</v>
      </c>
      <c r="W15" s="3">
        <v>72.0</v>
      </c>
      <c r="X15" s="3">
        <v>80.0</v>
      </c>
      <c r="Y15" s="3">
        <v>100.0</v>
      </c>
      <c r="Z15" s="3">
        <v>72.0</v>
      </c>
      <c r="AA15" s="3">
        <v>69.0</v>
      </c>
      <c r="AB15" s="3">
        <v>79.0</v>
      </c>
      <c r="AC15" s="3">
        <v>68.0</v>
      </c>
      <c r="AD15" s="3">
        <v>78.0</v>
      </c>
      <c r="AE15" s="3">
        <v>120.0</v>
      </c>
      <c r="AF15" s="3">
        <v>58.0</v>
      </c>
      <c r="AG15" s="3">
        <v>100.0</v>
      </c>
      <c r="AH15" s="3">
        <v>72.0</v>
      </c>
      <c r="AI15" s="3">
        <v>34.0</v>
      </c>
      <c r="AJ15" s="3">
        <v>70.0</v>
      </c>
      <c r="AK15" s="3">
        <v>60.0</v>
      </c>
      <c r="AL15" s="3">
        <v>56.0</v>
      </c>
      <c r="AM15" s="3">
        <v>56.0</v>
      </c>
      <c r="AN15" s="3">
        <v>58.0</v>
      </c>
    </row>
    <row r="16" ht="14.25" customHeight="1">
      <c r="A16" s="3">
        <v>14.0</v>
      </c>
      <c r="B16" s="3" t="s">
        <v>5986</v>
      </c>
      <c r="C16" s="3">
        <v>23.0</v>
      </c>
      <c r="D16" s="3" t="s">
        <v>6646</v>
      </c>
      <c r="E16" s="3" t="s">
        <v>6645</v>
      </c>
      <c r="F16" s="3" t="s">
        <v>6645</v>
      </c>
      <c r="G16" s="3" t="s">
        <v>6645</v>
      </c>
      <c r="H16" s="3" t="s">
        <v>6645</v>
      </c>
      <c r="I16" s="3" t="s">
        <v>6645</v>
      </c>
      <c r="J16" s="3">
        <v>1.0</v>
      </c>
      <c r="K16" s="3">
        <v>3.0</v>
      </c>
      <c r="L16" s="3">
        <v>0.0</v>
      </c>
      <c r="M16" s="3">
        <v>0.0</v>
      </c>
      <c r="N16" s="3">
        <v>1695.9952</v>
      </c>
      <c r="O16" s="3">
        <v>872.0</v>
      </c>
      <c r="P16" s="3" t="s">
        <v>5909</v>
      </c>
      <c r="Q16" s="3">
        <v>38.0</v>
      </c>
      <c r="R16" s="3">
        <v>43.0</v>
      </c>
      <c r="S16" s="3">
        <v>43.0</v>
      </c>
      <c r="T16" s="3">
        <v>37.0</v>
      </c>
      <c r="U16" s="3">
        <v>46.0</v>
      </c>
      <c r="V16" s="3">
        <v>43.0</v>
      </c>
      <c r="W16" s="3">
        <v>43.0</v>
      </c>
      <c r="X16" s="3">
        <v>34.0</v>
      </c>
      <c r="Y16" s="3">
        <v>50.0</v>
      </c>
      <c r="Z16" s="3">
        <v>44.0</v>
      </c>
      <c r="AA16" s="3">
        <v>31.0</v>
      </c>
      <c r="AB16" s="3">
        <v>51.0</v>
      </c>
      <c r="AC16" s="3">
        <v>36.0</v>
      </c>
      <c r="AD16" s="3">
        <v>38.0</v>
      </c>
      <c r="AE16" s="3">
        <v>46.0</v>
      </c>
      <c r="AF16" s="3">
        <v>62.0</v>
      </c>
      <c r="AG16" s="3">
        <v>69.0</v>
      </c>
      <c r="AH16" s="3">
        <v>44.0</v>
      </c>
      <c r="AI16" s="3">
        <v>39.0</v>
      </c>
      <c r="AJ16" s="3">
        <v>41.0</v>
      </c>
      <c r="AK16" s="3">
        <v>62.0</v>
      </c>
      <c r="AL16" s="3">
        <v>52.0</v>
      </c>
      <c r="AM16" s="3">
        <v>7.0</v>
      </c>
      <c r="AN16" s="3">
        <v>46.0</v>
      </c>
    </row>
    <row r="17" ht="14.25" customHeight="1">
      <c r="A17" s="3">
        <v>15.0</v>
      </c>
      <c r="B17" s="3" t="s">
        <v>5989</v>
      </c>
      <c r="C17" s="3">
        <v>20.0</v>
      </c>
      <c r="D17" s="3" t="s">
        <v>6646</v>
      </c>
      <c r="E17" s="3" t="s">
        <v>6645</v>
      </c>
      <c r="F17" s="3" t="s">
        <v>6645</v>
      </c>
      <c r="G17" s="3" t="s">
        <v>6645</v>
      </c>
      <c r="H17" s="3" t="s">
        <v>6645</v>
      </c>
      <c r="I17" s="3" t="s">
        <v>6646</v>
      </c>
      <c r="J17" s="3">
        <v>1.0</v>
      </c>
      <c r="K17" s="3">
        <v>5.0</v>
      </c>
      <c r="L17" s="3">
        <v>0.0</v>
      </c>
      <c r="M17" s="3">
        <v>0.0</v>
      </c>
      <c r="N17" s="3">
        <v>20117.775</v>
      </c>
      <c r="O17" s="3">
        <v>3202.0</v>
      </c>
      <c r="P17" s="3" t="s">
        <v>5931</v>
      </c>
      <c r="Q17" s="3">
        <v>67.0</v>
      </c>
      <c r="R17" s="3">
        <v>97.0</v>
      </c>
      <c r="S17" s="3">
        <v>97.0</v>
      </c>
      <c r="T17" s="3">
        <v>72.0</v>
      </c>
      <c r="U17" s="3">
        <v>66.0</v>
      </c>
      <c r="V17" s="3">
        <v>73.0</v>
      </c>
      <c r="W17" s="3">
        <v>79.0</v>
      </c>
      <c r="X17" s="3">
        <v>72.0</v>
      </c>
      <c r="Y17" s="3">
        <v>90.0</v>
      </c>
      <c r="Z17" s="3">
        <v>64.0</v>
      </c>
      <c r="AA17" s="3">
        <v>69.0</v>
      </c>
      <c r="AB17" s="3">
        <v>69.0</v>
      </c>
      <c r="AC17" s="3">
        <v>72.0</v>
      </c>
      <c r="AD17" s="3">
        <v>69.0</v>
      </c>
      <c r="AE17" s="3">
        <v>112.0</v>
      </c>
      <c r="AF17" s="3">
        <v>69.0</v>
      </c>
      <c r="AG17" s="3">
        <v>100.0</v>
      </c>
      <c r="AH17" s="3">
        <v>68.0</v>
      </c>
      <c r="AI17" s="3">
        <v>66.0</v>
      </c>
      <c r="AJ17" s="3">
        <v>45.0</v>
      </c>
      <c r="AK17" s="3">
        <v>57.0</v>
      </c>
      <c r="AL17" s="3">
        <v>38.0</v>
      </c>
      <c r="AM17" s="3">
        <v>50.0</v>
      </c>
      <c r="AN17" s="3">
        <v>72.0</v>
      </c>
    </row>
    <row r="18" ht="14.25" customHeight="1">
      <c r="A18" s="3">
        <v>16.0</v>
      </c>
      <c r="B18" s="3" t="s">
        <v>5993</v>
      </c>
      <c r="C18" s="3">
        <v>22.0</v>
      </c>
      <c r="D18" s="3" t="s">
        <v>6646</v>
      </c>
      <c r="E18" s="3" t="s">
        <v>6645</v>
      </c>
      <c r="F18" s="3" t="s">
        <v>6645</v>
      </c>
      <c r="G18" s="3" t="s">
        <v>6645</v>
      </c>
      <c r="H18" s="3" t="s">
        <v>6645</v>
      </c>
      <c r="I18" s="3" t="s">
        <v>6646</v>
      </c>
      <c r="J18" s="3">
        <v>2.0</v>
      </c>
      <c r="K18" s="3">
        <v>5.0</v>
      </c>
      <c r="L18" s="3">
        <v>0.0</v>
      </c>
      <c r="M18" s="3">
        <v>0.0</v>
      </c>
      <c r="N18" s="3">
        <v>23990.45</v>
      </c>
      <c r="O18" s="3">
        <v>4800.0</v>
      </c>
      <c r="P18" s="3" t="s">
        <v>5931</v>
      </c>
      <c r="Q18" s="3">
        <v>68.0</v>
      </c>
      <c r="R18" s="3">
        <v>74.0</v>
      </c>
      <c r="S18" s="3">
        <v>115.0</v>
      </c>
      <c r="T18" s="3">
        <v>72.0</v>
      </c>
      <c r="U18" s="3">
        <v>93.0</v>
      </c>
      <c r="V18" s="3">
        <v>103.0</v>
      </c>
      <c r="W18" s="3">
        <v>85.0</v>
      </c>
      <c r="X18" s="3">
        <v>73.0</v>
      </c>
      <c r="Y18" s="3">
        <v>66.0</v>
      </c>
      <c r="Z18" s="3">
        <v>105.0</v>
      </c>
      <c r="AA18" s="3">
        <v>70.0</v>
      </c>
      <c r="AB18" s="3">
        <v>74.0</v>
      </c>
      <c r="AC18" s="3">
        <v>70.0</v>
      </c>
      <c r="AD18" s="3">
        <v>71.0</v>
      </c>
      <c r="AE18" s="3">
        <v>80.0</v>
      </c>
      <c r="AF18" s="3">
        <v>100.0</v>
      </c>
      <c r="AG18" s="3">
        <v>59.0</v>
      </c>
      <c r="AH18" s="3">
        <v>50.0</v>
      </c>
      <c r="AI18" s="3">
        <v>54.0</v>
      </c>
      <c r="AJ18" s="3">
        <v>41.0</v>
      </c>
      <c r="AK18" s="3">
        <v>48.0</v>
      </c>
      <c r="AL18" s="3">
        <v>70.0</v>
      </c>
      <c r="AM18" s="3">
        <v>75.0</v>
      </c>
      <c r="AN18" s="3">
        <v>60.0</v>
      </c>
    </row>
    <row r="19" ht="14.25" customHeight="1">
      <c r="A19" s="3">
        <v>17.0</v>
      </c>
      <c r="B19" s="3" t="s">
        <v>6000</v>
      </c>
      <c r="C19" s="3">
        <v>25.0</v>
      </c>
      <c r="D19" s="3" t="s">
        <v>6646</v>
      </c>
      <c r="E19" s="3" t="s">
        <v>6645</v>
      </c>
      <c r="F19" s="3" t="s">
        <v>6645</v>
      </c>
      <c r="G19" s="3" t="s">
        <v>6645</v>
      </c>
      <c r="H19" s="3" t="s">
        <v>6645</v>
      </c>
      <c r="I19" s="3" t="s">
        <v>6645</v>
      </c>
      <c r="J19" s="3">
        <v>2.0</v>
      </c>
      <c r="K19" s="3">
        <v>5.0</v>
      </c>
      <c r="L19" s="3">
        <v>0.0</v>
      </c>
      <c r="M19" s="3">
        <v>0.0</v>
      </c>
      <c r="N19" s="3">
        <v>19773.45</v>
      </c>
      <c r="O19" s="3">
        <v>2664.0</v>
      </c>
      <c r="P19" s="3" t="s">
        <v>5931</v>
      </c>
      <c r="Q19" s="3">
        <v>70.0</v>
      </c>
      <c r="R19" s="3">
        <v>71.0</v>
      </c>
      <c r="S19" s="3">
        <v>109.0</v>
      </c>
      <c r="T19" s="3">
        <v>69.0</v>
      </c>
      <c r="U19" s="3">
        <v>88.0</v>
      </c>
      <c r="V19" s="3">
        <v>93.0</v>
      </c>
      <c r="W19" s="3">
        <v>81.0</v>
      </c>
      <c r="X19" s="3">
        <v>75.0</v>
      </c>
      <c r="Y19" s="3">
        <v>67.0</v>
      </c>
      <c r="Z19" s="3">
        <v>107.0</v>
      </c>
      <c r="AA19" s="3">
        <v>65.0</v>
      </c>
      <c r="AB19" s="3">
        <v>66.0</v>
      </c>
      <c r="AC19" s="3">
        <v>71.0</v>
      </c>
      <c r="AD19" s="3">
        <v>62.0</v>
      </c>
      <c r="AE19" s="3">
        <v>77.0</v>
      </c>
      <c r="AF19" s="3">
        <v>100.0</v>
      </c>
      <c r="AG19" s="3">
        <v>78.0</v>
      </c>
      <c r="AH19" s="3">
        <v>48.0</v>
      </c>
      <c r="AI19" s="3">
        <v>67.0</v>
      </c>
      <c r="AJ19" s="3">
        <v>26.0</v>
      </c>
      <c r="AK19" s="3">
        <v>65.0</v>
      </c>
      <c r="AL19" s="3">
        <v>65.0</v>
      </c>
      <c r="AM19" s="3">
        <v>100.0</v>
      </c>
      <c r="AN19" s="3">
        <v>36.0</v>
      </c>
    </row>
    <row r="20" ht="14.25" customHeight="1">
      <c r="A20" s="3">
        <v>18.0</v>
      </c>
      <c r="B20" s="3" t="s">
        <v>6004</v>
      </c>
      <c r="C20" s="3">
        <v>38.0</v>
      </c>
      <c r="D20" s="3" t="s">
        <v>6646</v>
      </c>
      <c r="E20" s="3" t="s">
        <v>6645</v>
      </c>
      <c r="F20" s="3" t="s">
        <v>6645</v>
      </c>
      <c r="G20" s="3" t="s">
        <v>6645</v>
      </c>
      <c r="H20" s="3" t="s">
        <v>6645</v>
      </c>
      <c r="I20" s="3" t="s">
        <v>6645</v>
      </c>
      <c r="J20" s="3">
        <v>3.0</v>
      </c>
      <c r="K20" s="3">
        <v>5.0</v>
      </c>
      <c r="L20" s="3">
        <v>0.0</v>
      </c>
      <c r="M20" s="3">
        <v>0.0</v>
      </c>
      <c r="N20" s="3">
        <v>27944.105</v>
      </c>
      <c r="O20" s="3">
        <v>4800.0</v>
      </c>
      <c r="P20" s="3" t="s">
        <v>5909</v>
      </c>
      <c r="Q20" s="3">
        <v>115.0</v>
      </c>
      <c r="R20" s="3">
        <v>77.0</v>
      </c>
      <c r="S20" s="3">
        <v>80.0</v>
      </c>
      <c r="T20" s="3">
        <v>80.0</v>
      </c>
      <c r="U20" s="3">
        <v>76.0</v>
      </c>
      <c r="V20" s="3">
        <v>106.0</v>
      </c>
      <c r="W20" s="3">
        <v>94.0</v>
      </c>
      <c r="X20" s="3">
        <v>87.0</v>
      </c>
      <c r="Y20" s="3">
        <v>94.0</v>
      </c>
      <c r="Z20" s="3">
        <v>112.0</v>
      </c>
      <c r="AA20" s="3">
        <v>76.0</v>
      </c>
      <c r="AB20" s="3">
        <v>74.0</v>
      </c>
      <c r="AC20" s="3">
        <v>109.0</v>
      </c>
      <c r="AD20" s="3">
        <v>67.0</v>
      </c>
      <c r="AE20" s="3">
        <v>75.0</v>
      </c>
      <c r="AF20" s="3">
        <v>41.0</v>
      </c>
      <c r="AG20" s="3">
        <v>75.0</v>
      </c>
      <c r="AH20" s="3">
        <v>71.0</v>
      </c>
      <c r="AI20" s="3">
        <v>80.0</v>
      </c>
      <c r="AJ20" s="3">
        <v>55.0</v>
      </c>
      <c r="AK20" s="3">
        <v>25.0</v>
      </c>
      <c r="AL20" s="3">
        <v>52.0</v>
      </c>
      <c r="AM20" s="3">
        <v>65.0</v>
      </c>
      <c r="AN20" s="3">
        <v>100.0</v>
      </c>
    </row>
    <row r="21" ht="14.25" customHeight="1">
      <c r="A21" s="3">
        <v>19.0</v>
      </c>
      <c r="B21" s="3" t="s">
        <v>6009</v>
      </c>
      <c r="C21" s="3">
        <v>40.0</v>
      </c>
      <c r="D21" s="3" t="s">
        <v>6646</v>
      </c>
      <c r="E21" s="3" t="s">
        <v>6645</v>
      </c>
      <c r="F21" s="3" t="s">
        <v>6645</v>
      </c>
      <c r="G21" s="3" t="s">
        <v>6645</v>
      </c>
      <c r="H21" s="3" t="s">
        <v>6645</v>
      </c>
      <c r="I21" s="3" t="s">
        <v>6646</v>
      </c>
      <c r="J21" s="3">
        <v>3.0</v>
      </c>
      <c r="K21" s="3">
        <v>5.0</v>
      </c>
      <c r="L21" s="3">
        <v>0.0</v>
      </c>
      <c r="M21" s="3">
        <v>0.0</v>
      </c>
      <c r="N21" s="3">
        <v>23589.908</v>
      </c>
      <c r="O21" s="3">
        <v>3661.0</v>
      </c>
      <c r="P21" s="3" t="s">
        <v>5899</v>
      </c>
      <c r="Q21" s="3">
        <v>104.0</v>
      </c>
      <c r="R21" s="3">
        <v>72.0</v>
      </c>
      <c r="S21" s="3">
        <v>70.0</v>
      </c>
      <c r="T21" s="3">
        <v>74.0</v>
      </c>
      <c r="U21" s="3">
        <v>68.0</v>
      </c>
      <c r="V21" s="3">
        <v>111.0</v>
      </c>
      <c r="W21" s="3">
        <v>76.0</v>
      </c>
      <c r="X21" s="3">
        <v>78.0</v>
      </c>
      <c r="Y21" s="3">
        <v>94.0</v>
      </c>
      <c r="Z21" s="3">
        <v>103.0</v>
      </c>
      <c r="AA21" s="3">
        <v>67.0</v>
      </c>
      <c r="AB21" s="3">
        <v>68.0</v>
      </c>
      <c r="AC21" s="3">
        <v>101.0</v>
      </c>
      <c r="AD21" s="3">
        <v>72.0</v>
      </c>
      <c r="AE21" s="3">
        <v>67.0</v>
      </c>
      <c r="AF21" s="3">
        <v>57.0</v>
      </c>
      <c r="AG21" s="3">
        <v>69.0</v>
      </c>
      <c r="AH21" s="3">
        <v>55.0</v>
      </c>
      <c r="AI21" s="3">
        <v>76.0</v>
      </c>
      <c r="AJ21" s="3">
        <v>60.0</v>
      </c>
      <c r="AK21" s="3">
        <v>63.0</v>
      </c>
      <c r="AL21" s="3">
        <v>68.0</v>
      </c>
      <c r="AM21" s="3">
        <v>47.0</v>
      </c>
      <c r="AN21" s="3">
        <v>82.0</v>
      </c>
    </row>
    <row r="22" ht="14.25" customHeight="1">
      <c r="A22" s="3">
        <v>20.0</v>
      </c>
      <c r="B22" s="3" t="s">
        <v>6013</v>
      </c>
      <c r="C22" s="3">
        <v>32.0</v>
      </c>
      <c r="D22" s="3" t="s">
        <v>6646</v>
      </c>
      <c r="E22" s="3" t="s">
        <v>6645</v>
      </c>
      <c r="F22" s="3" t="s">
        <v>6645</v>
      </c>
      <c r="G22" s="3" t="s">
        <v>6645</v>
      </c>
      <c r="H22" s="3" t="s">
        <v>6645</v>
      </c>
      <c r="I22" s="3" t="s">
        <v>6645</v>
      </c>
      <c r="J22" s="3">
        <v>4.0</v>
      </c>
      <c r="K22" s="3">
        <v>5.0</v>
      </c>
      <c r="L22" s="3">
        <v>0.0</v>
      </c>
      <c r="M22" s="3">
        <v>0.0</v>
      </c>
      <c r="N22" s="3">
        <v>28709.0</v>
      </c>
      <c r="O22" s="3">
        <v>4800.0</v>
      </c>
      <c r="P22" s="3" t="s">
        <v>5899</v>
      </c>
      <c r="Q22" s="3">
        <v>102.0</v>
      </c>
      <c r="R22" s="3">
        <v>72.0</v>
      </c>
      <c r="S22" s="3">
        <v>70.0</v>
      </c>
      <c r="T22" s="3">
        <v>96.0</v>
      </c>
      <c r="U22" s="3">
        <v>115.0</v>
      </c>
      <c r="V22" s="3">
        <v>70.0</v>
      </c>
      <c r="W22" s="3">
        <v>75.0</v>
      </c>
      <c r="X22" s="3">
        <v>84.0</v>
      </c>
      <c r="Y22" s="3">
        <v>100.0</v>
      </c>
      <c r="Z22" s="3">
        <v>74.0</v>
      </c>
      <c r="AA22" s="3">
        <v>67.0</v>
      </c>
      <c r="AB22" s="3">
        <v>79.0</v>
      </c>
      <c r="AC22" s="3">
        <v>110.0</v>
      </c>
      <c r="AD22" s="3">
        <v>70.0</v>
      </c>
      <c r="AE22" s="3">
        <v>70.0</v>
      </c>
      <c r="AF22" s="3">
        <v>70.0</v>
      </c>
      <c r="AG22" s="3">
        <v>47.0</v>
      </c>
      <c r="AH22" s="3">
        <v>66.0</v>
      </c>
      <c r="AI22" s="3">
        <v>52.0</v>
      </c>
      <c r="AJ22" s="3">
        <v>100.0</v>
      </c>
      <c r="AK22" s="3">
        <v>76.0</v>
      </c>
      <c r="AL22" s="3">
        <v>62.0</v>
      </c>
      <c r="AM22" s="3">
        <v>62.0</v>
      </c>
      <c r="AN22" s="3">
        <v>60.0</v>
      </c>
    </row>
    <row r="23" ht="14.25" customHeight="1">
      <c r="A23" s="3">
        <v>21.0</v>
      </c>
      <c r="B23" s="3" t="s">
        <v>6018</v>
      </c>
      <c r="C23" s="3">
        <v>44.0</v>
      </c>
      <c r="D23" s="3" t="s">
        <v>6646</v>
      </c>
      <c r="E23" s="3" t="s">
        <v>6645</v>
      </c>
      <c r="F23" s="3" t="s">
        <v>6645</v>
      </c>
      <c r="G23" s="3" t="s">
        <v>6645</v>
      </c>
      <c r="H23" s="3" t="s">
        <v>6645</v>
      </c>
      <c r="I23" s="3" t="s">
        <v>6646</v>
      </c>
      <c r="J23" s="3">
        <v>4.0</v>
      </c>
      <c r="K23" s="3">
        <v>5.0</v>
      </c>
      <c r="L23" s="3">
        <v>0.0</v>
      </c>
      <c r="M23" s="3">
        <v>0.0</v>
      </c>
      <c r="N23" s="3">
        <v>22831.5</v>
      </c>
      <c r="O23" s="3">
        <v>2779.0</v>
      </c>
      <c r="P23" s="3" t="s">
        <v>5931</v>
      </c>
      <c r="Q23" s="3">
        <v>88.0</v>
      </c>
      <c r="R23" s="3">
        <v>66.0</v>
      </c>
      <c r="S23" s="3">
        <v>74.0</v>
      </c>
      <c r="T23" s="3">
        <v>92.0</v>
      </c>
      <c r="U23" s="3">
        <v>105.0</v>
      </c>
      <c r="V23" s="3">
        <v>74.0</v>
      </c>
      <c r="W23" s="3">
        <v>72.0</v>
      </c>
      <c r="X23" s="3">
        <v>76.0</v>
      </c>
      <c r="Y23" s="3">
        <v>91.0</v>
      </c>
      <c r="Z23" s="3">
        <v>69.0</v>
      </c>
      <c r="AA23" s="3">
        <v>66.0</v>
      </c>
      <c r="AB23" s="3">
        <v>70.0</v>
      </c>
      <c r="AC23" s="3">
        <v>112.0</v>
      </c>
      <c r="AD23" s="3">
        <v>72.0</v>
      </c>
      <c r="AE23" s="3">
        <v>74.0</v>
      </c>
      <c r="AF23" s="3">
        <v>50.0</v>
      </c>
      <c r="AG23" s="3">
        <v>71.0</v>
      </c>
      <c r="AH23" s="3">
        <v>55.0</v>
      </c>
      <c r="AI23" s="3">
        <v>58.0</v>
      </c>
      <c r="AJ23" s="3">
        <v>89.0</v>
      </c>
      <c r="AK23" s="3">
        <v>48.0</v>
      </c>
      <c r="AL23" s="3">
        <v>45.0</v>
      </c>
      <c r="AM23" s="3">
        <v>47.0</v>
      </c>
      <c r="AN23" s="3">
        <v>54.0</v>
      </c>
    </row>
    <row r="24" ht="14.25" customHeight="1">
      <c r="A24" s="3">
        <v>22.0</v>
      </c>
      <c r="B24" s="3" t="s">
        <v>6022</v>
      </c>
      <c r="C24" s="3">
        <v>45.0</v>
      </c>
      <c r="D24" s="3" t="s">
        <v>6646</v>
      </c>
      <c r="E24" s="3" t="s">
        <v>6645</v>
      </c>
      <c r="F24" s="3" t="s">
        <v>6645</v>
      </c>
      <c r="G24" s="3" t="s">
        <v>6645</v>
      </c>
      <c r="H24" s="3" t="s">
        <v>6645</v>
      </c>
      <c r="I24" s="3" t="s">
        <v>6646</v>
      </c>
      <c r="J24" s="3">
        <v>5.0</v>
      </c>
      <c r="K24" s="3">
        <v>5.0</v>
      </c>
      <c r="L24" s="3">
        <v>0.0</v>
      </c>
      <c r="M24" s="3">
        <v>0.0</v>
      </c>
      <c r="N24" s="3">
        <v>33050.83</v>
      </c>
      <c r="O24" s="3">
        <v>4800.0</v>
      </c>
      <c r="P24" s="3" t="s">
        <v>5899</v>
      </c>
      <c r="Q24" s="3">
        <v>80.0</v>
      </c>
      <c r="R24" s="3">
        <v>75.0</v>
      </c>
      <c r="S24" s="3">
        <v>115.0</v>
      </c>
      <c r="T24" s="3">
        <v>109.0</v>
      </c>
      <c r="U24" s="3">
        <v>102.0</v>
      </c>
      <c r="V24" s="3">
        <v>108.0</v>
      </c>
      <c r="W24" s="3">
        <v>89.0</v>
      </c>
      <c r="X24" s="3">
        <v>93.0</v>
      </c>
      <c r="Y24" s="3">
        <v>100.0</v>
      </c>
      <c r="Z24" s="3">
        <v>74.0</v>
      </c>
      <c r="AA24" s="3">
        <v>86.0</v>
      </c>
      <c r="AB24" s="3">
        <v>71.0</v>
      </c>
      <c r="AC24" s="3">
        <v>75.0</v>
      </c>
      <c r="AD24" s="3">
        <v>107.0</v>
      </c>
      <c r="AE24" s="3">
        <v>70.0</v>
      </c>
      <c r="AF24" s="3">
        <v>72.0</v>
      </c>
      <c r="AG24" s="3">
        <v>59.0</v>
      </c>
      <c r="AH24" s="3">
        <v>51.0</v>
      </c>
      <c r="AI24" s="3">
        <v>71.0</v>
      </c>
      <c r="AJ24" s="3">
        <v>61.0</v>
      </c>
      <c r="AK24" s="3">
        <v>73.0</v>
      </c>
      <c r="AL24" s="3">
        <v>57.0</v>
      </c>
      <c r="AM24" s="3">
        <v>100.0</v>
      </c>
      <c r="AN24" s="3">
        <v>51.0</v>
      </c>
    </row>
    <row r="25" ht="14.25" customHeight="1">
      <c r="A25" s="3">
        <v>23.0</v>
      </c>
      <c r="B25" s="3" t="s">
        <v>6026</v>
      </c>
      <c r="C25" s="3">
        <v>51.0</v>
      </c>
      <c r="D25" s="3" t="s">
        <v>6646</v>
      </c>
      <c r="E25" s="3" t="s">
        <v>6645</v>
      </c>
      <c r="F25" s="3" t="s">
        <v>6645</v>
      </c>
      <c r="G25" s="3" t="s">
        <v>6645</v>
      </c>
      <c r="H25" s="3" t="s">
        <v>6645</v>
      </c>
      <c r="I25" s="3" t="s">
        <v>6645</v>
      </c>
      <c r="J25" s="3">
        <v>5.0</v>
      </c>
      <c r="K25" s="3">
        <v>5.0</v>
      </c>
      <c r="L25" s="3">
        <v>0.0</v>
      </c>
      <c r="M25" s="3">
        <v>0.0</v>
      </c>
      <c r="N25" s="3">
        <v>27557.597</v>
      </c>
      <c r="O25" s="3">
        <v>3126.0</v>
      </c>
      <c r="P25" s="3" t="s">
        <v>5931</v>
      </c>
      <c r="Q25" s="3">
        <v>68.0</v>
      </c>
      <c r="R25" s="3">
        <v>74.0</v>
      </c>
      <c r="S25" s="3">
        <v>109.0</v>
      </c>
      <c r="T25" s="3">
        <v>101.0</v>
      </c>
      <c r="U25" s="3">
        <v>93.0</v>
      </c>
      <c r="V25" s="3">
        <v>95.0</v>
      </c>
      <c r="W25" s="3">
        <v>89.0</v>
      </c>
      <c r="X25" s="3">
        <v>90.0</v>
      </c>
      <c r="Y25" s="3">
        <v>99.0</v>
      </c>
      <c r="Z25" s="3">
        <v>65.0</v>
      </c>
      <c r="AA25" s="3">
        <v>89.0</v>
      </c>
      <c r="AB25" s="3">
        <v>73.0</v>
      </c>
      <c r="AC25" s="3">
        <v>70.0</v>
      </c>
      <c r="AD25" s="3">
        <v>99.0</v>
      </c>
      <c r="AE25" s="3">
        <v>71.0</v>
      </c>
      <c r="AF25" s="3">
        <v>46.0</v>
      </c>
      <c r="AG25" s="3">
        <v>64.0</v>
      </c>
      <c r="AH25" s="3">
        <v>48.0</v>
      </c>
      <c r="AI25" s="3">
        <v>75.0</v>
      </c>
      <c r="AJ25" s="3">
        <v>62.0</v>
      </c>
      <c r="AK25" s="3">
        <v>60.0</v>
      </c>
      <c r="AL25" s="3">
        <v>50.0</v>
      </c>
      <c r="AM25" s="3">
        <v>84.0</v>
      </c>
      <c r="AN25" s="3">
        <v>38.0</v>
      </c>
    </row>
    <row r="26" ht="14.25" customHeight="1">
      <c r="A26" s="3">
        <v>24.0</v>
      </c>
      <c r="B26" s="3" t="s">
        <v>6029</v>
      </c>
      <c r="C26" s="3">
        <v>46.0</v>
      </c>
      <c r="D26" s="3" t="s">
        <v>6646</v>
      </c>
      <c r="E26" s="3" t="s">
        <v>6645</v>
      </c>
      <c r="F26" s="3" t="s">
        <v>6645</v>
      </c>
      <c r="G26" s="3" t="s">
        <v>6645</v>
      </c>
      <c r="H26" s="3" t="s">
        <v>6645</v>
      </c>
      <c r="I26" s="3" t="s">
        <v>6645</v>
      </c>
      <c r="J26" s="3">
        <v>6.0</v>
      </c>
      <c r="K26" s="3">
        <v>5.0</v>
      </c>
      <c r="L26" s="3">
        <v>0.0</v>
      </c>
      <c r="M26" s="3">
        <v>0.0</v>
      </c>
      <c r="N26" s="3">
        <v>23272.8</v>
      </c>
      <c r="O26" s="3">
        <v>4800.0</v>
      </c>
      <c r="P26" s="3" t="s">
        <v>5899</v>
      </c>
      <c r="Q26" s="3">
        <v>108.0</v>
      </c>
      <c r="R26" s="3">
        <v>100.0</v>
      </c>
      <c r="S26" s="3">
        <v>72.0</v>
      </c>
      <c r="T26" s="3">
        <v>72.0</v>
      </c>
      <c r="U26" s="3">
        <v>73.0</v>
      </c>
      <c r="V26" s="3">
        <v>74.0</v>
      </c>
      <c r="W26" s="3">
        <v>71.0</v>
      </c>
      <c r="X26" s="3">
        <v>76.0</v>
      </c>
      <c r="Y26" s="3">
        <v>91.0</v>
      </c>
      <c r="Z26" s="3">
        <v>70.0</v>
      </c>
      <c r="AA26" s="3">
        <v>120.0</v>
      </c>
      <c r="AB26" s="3">
        <v>103.0</v>
      </c>
      <c r="AC26" s="3">
        <v>69.0</v>
      </c>
      <c r="AD26" s="3">
        <v>70.0</v>
      </c>
      <c r="AE26" s="3">
        <v>66.0</v>
      </c>
      <c r="AF26" s="3">
        <v>49.0</v>
      </c>
      <c r="AG26" s="3">
        <v>52.0</v>
      </c>
      <c r="AH26" s="3">
        <v>59.0</v>
      </c>
      <c r="AI26" s="3">
        <v>59.0</v>
      </c>
      <c r="AJ26" s="3">
        <v>100.0</v>
      </c>
      <c r="AK26" s="3">
        <v>67.0</v>
      </c>
      <c r="AL26" s="3">
        <v>84.0</v>
      </c>
      <c r="AM26" s="3">
        <v>37.0</v>
      </c>
      <c r="AN26" s="3">
        <v>70.0</v>
      </c>
    </row>
    <row r="27" ht="14.25" customHeight="1">
      <c r="A27" s="3">
        <v>25.0</v>
      </c>
      <c r="B27" s="3" t="s">
        <v>6033</v>
      </c>
      <c r="C27" s="3">
        <v>55.0</v>
      </c>
      <c r="D27" s="3" t="s">
        <v>6646</v>
      </c>
      <c r="E27" s="3" t="s">
        <v>6645</v>
      </c>
      <c r="F27" s="3" t="s">
        <v>6645</v>
      </c>
      <c r="G27" s="3" t="s">
        <v>6645</v>
      </c>
      <c r="H27" s="3" t="s">
        <v>6645</v>
      </c>
      <c r="I27" s="3" t="s">
        <v>6646</v>
      </c>
      <c r="J27" s="3">
        <v>6.0</v>
      </c>
      <c r="K27" s="3">
        <v>5.0</v>
      </c>
      <c r="L27" s="3">
        <v>0.0</v>
      </c>
      <c r="M27" s="3">
        <v>0.0</v>
      </c>
      <c r="N27" s="3">
        <v>19529.824</v>
      </c>
      <c r="O27" s="3">
        <v>3655.0</v>
      </c>
      <c r="P27" s="3" t="s">
        <v>5931</v>
      </c>
      <c r="Q27" s="3">
        <v>93.0</v>
      </c>
      <c r="R27" s="3">
        <v>89.0</v>
      </c>
      <c r="S27" s="3">
        <v>62.0</v>
      </c>
      <c r="T27" s="3">
        <v>70.0</v>
      </c>
      <c r="U27" s="3">
        <v>66.0</v>
      </c>
      <c r="V27" s="3">
        <v>64.0</v>
      </c>
      <c r="W27" s="3">
        <v>71.0</v>
      </c>
      <c r="X27" s="3">
        <v>74.0</v>
      </c>
      <c r="Y27" s="3">
        <v>92.0</v>
      </c>
      <c r="Z27" s="3">
        <v>64.0</v>
      </c>
      <c r="AA27" s="3">
        <v>117.0</v>
      </c>
      <c r="AB27" s="3">
        <v>91.0</v>
      </c>
      <c r="AC27" s="3">
        <v>61.0</v>
      </c>
      <c r="AD27" s="3">
        <v>66.0</v>
      </c>
      <c r="AE27" s="3">
        <v>70.0</v>
      </c>
      <c r="AF27" s="3">
        <v>46.0</v>
      </c>
      <c r="AG27" s="3">
        <v>60.0</v>
      </c>
      <c r="AH27" s="3">
        <v>30.0</v>
      </c>
      <c r="AI27" s="3">
        <v>67.0</v>
      </c>
      <c r="AJ27" s="3">
        <v>77.0</v>
      </c>
      <c r="AK27" s="3">
        <v>36.0</v>
      </c>
      <c r="AL27" s="3">
        <v>100.0</v>
      </c>
      <c r="AM27" s="3">
        <v>47.0</v>
      </c>
      <c r="AN27" s="3">
        <v>66.0</v>
      </c>
    </row>
    <row r="28" ht="14.25" customHeight="1">
      <c r="A28" s="3">
        <v>26.0</v>
      </c>
      <c r="B28" s="3" t="s">
        <v>6037</v>
      </c>
      <c r="C28" s="3">
        <v>22.0</v>
      </c>
      <c r="D28" s="3" t="s">
        <v>6646</v>
      </c>
      <c r="E28" s="3" t="s">
        <v>6645</v>
      </c>
      <c r="F28" s="3" t="s">
        <v>6645</v>
      </c>
      <c r="G28" s="3" t="s">
        <v>6645</v>
      </c>
      <c r="H28" s="3" t="s">
        <v>6645</v>
      </c>
      <c r="I28" s="3" t="s">
        <v>6646</v>
      </c>
      <c r="J28" s="3">
        <v>7.0</v>
      </c>
      <c r="K28" s="3">
        <v>5.0</v>
      </c>
      <c r="L28" s="3">
        <v>0.0</v>
      </c>
      <c r="M28" s="3">
        <v>0.0</v>
      </c>
      <c r="N28" s="3">
        <v>28224.837</v>
      </c>
      <c r="O28" s="3">
        <v>4800.0</v>
      </c>
      <c r="P28" s="3" t="s">
        <v>5931</v>
      </c>
      <c r="Q28" s="3">
        <v>77.0</v>
      </c>
      <c r="R28" s="3">
        <v>79.0</v>
      </c>
      <c r="S28" s="3">
        <v>91.0</v>
      </c>
      <c r="T28" s="3">
        <v>105.0</v>
      </c>
      <c r="U28" s="3">
        <v>75.0</v>
      </c>
      <c r="V28" s="3">
        <v>74.0</v>
      </c>
      <c r="W28" s="3">
        <v>94.0</v>
      </c>
      <c r="X28" s="3">
        <v>102.0</v>
      </c>
      <c r="Y28" s="3">
        <v>94.0</v>
      </c>
      <c r="Z28" s="3">
        <v>104.0</v>
      </c>
      <c r="AA28" s="3">
        <v>72.0</v>
      </c>
      <c r="AB28" s="3">
        <v>68.0</v>
      </c>
      <c r="AC28" s="3">
        <v>73.0</v>
      </c>
      <c r="AD28" s="3">
        <v>104.0</v>
      </c>
      <c r="AE28" s="3">
        <v>100.0</v>
      </c>
      <c r="AF28" s="3">
        <v>36.0</v>
      </c>
      <c r="AG28" s="3">
        <v>100.0</v>
      </c>
      <c r="AH28" s="3">
        <v>70.0</v>
      </c>
      <c r="AI28" s="3">
        <v>67.0</v>
      </c>
      <c r="AJ28" s="3">
        <v>29.0</v>
      </c>
      <c r="AK28" s="3">
        <v>88.0</v>
      </c>
      <c r="AL28" s="3">
        <v>59.0</v>
      </c>
      <c r="AM28" s="3">
        <v>77.0</v>
      </c>
      <c r="AN28" s="3">
        <v>77.0</v>
      </c>
    </row>
    <row r="29" ht="14.25" customHeight="1">
      <c r="A29" s="3">
        <v>27.0</v>
      </c>
      <c r="B29" s="3" t="s">
        <v>6043</v>
      </c>
      <c r="C29" s="3">
        <v>17.0</v>
      </c>
      <c r="D29" s="3" t="s">
        <v>6646</v>
      </c>
      <c r="E29" s="3" t="s">
        <v>6645</v>
      </c>
      <c r="F29" s="3" t="s">
        <v>6645</v>
      </c>
      <c r="G29" s="3" t="s">
        <v>6645</v>
      </c>
      <c r="H29" s="3" t="s">
        <v>6645</v>
      </c>
      <c r="I29" s="3" t="s">
        <v>6646</v>
      </c>
      <c r="J29" s="3">
        <v>7.0</v>
      </c>
      <c r="K29" s="3">
        <v>4.0</v>
      </c>
      <c r="L29" s="3">
        <v>0.0</v>
      </c>
      <c r="M29" s="3">
        <v>0.0</v>
      </c>
      <c r="N29" s="3">
        <v>13866.479</v>
      </c>
      <c r="O29" s="3">
        <v>1732.0</v>
      </c>
      <c r="P29" s="3" t="s">
        <v>5909</v>
      </c>
      <c r="Q29" s="3">
        <v>62.0</v>
      </c>
      <c r="R29" s="3">
        <v>60.0</v>
      </c>
      <c r="S29" s="3">
        <v>68.0</v>
      </c>
      <c r="T29" s="3">
        <v>70.0</v>
      </c>
      <c r="U29" s="3">
        <v>68.0</v>
      </c>
      <c r="V29" s="3">
        <v>68.0</v>
      </c>
      <c r="W29" s="3">
        <v>74.0</v>
      </c>
      <c r="X29" s="3">
        <v>82.0</v>
      </c>
      <c r="Y29" s="3">
        <v>74.0</v>
      </c>
      <c r="Z29" s="3">
        <v>85.0</v>
      </c>
      <c r="AA29" s="3">
        <v>58.0</v>
      </c>
      <c r="AB29" s="3">
        <v>58.0</v>
      </c>
      <c r="AC29" s="3">
        <v>62.0</v>
      </c>
      <c r="AD29" s="3">
        <v>79.0</v>
      </c>
      <c r="AE29" s="3">
        <v>72.0</v>
      </c>
      <c r="AF29" s="3">
        <v>28.0</v>
      </c>
      <c r="AG29" s="3">
        <v>100.0</v>
      </c>
      <c r="AH29" s="3">
        <v>52.0</v>
      </c>
      <c r="AI29" s="3">
        <v>61.0</v>
      </c>
      <c r="AJ29" s="3">
        <v>21.0</v>
      </c>
      <c r="AK29" s="3">
        <v>75.0</v>
      </c>
      <c r="AL29" s="3">
        <v>47.0</v>
      </c>
      <c r="AM29" s="3">
        <v>47.0</v>
      </c>
      <c r="AN29" s="3">
        <v>60.0</v>
      </c>
    </row>
    <row r="30" ht="14.25" customHeight="1">
      <c r="A30" s="3">
        <v>28.0</v>
      </c>
      <c r="B30" s="3" t="s">
        <v>6046</v>
      </c>
      <c r="C30" s="3">
        <v>36.0</v>
      </c>
      <c r="D30" s="3" t="s">
        <v>6646</v>
      </c>
      <c r="E30" s="3" t="s">
        <v>6645</v>
      </c>
      <c r="F30" s="3" t="s">
        <v>6645</v>
      </c>
      <c r="G30" s="3" t="s">
        <v>6645</v>
      </c>
      <c r="H30" s="3" t="s">
        <v>6645</v>
      </c>
      <c r="I30" s="3" t="s">
        <v>6645</v>
      </c>
      <c r="J30" s="3">
        <v>7.0</v>
      </c>
      <c r="K30" s="3">
        <v>5.0</v>
      </c>
      <c r="L30" s="3">
        <v>0.0</v>
      </c>
      <c r="M30" s="3">
        <v>0.0</v>
      </c>
      <c r="N30" s="3">
        <v>21765.3</v>
      </c>
      <c r="O30" s="3">
        <v>2989.0</v>
      </c>
      <c r="P30" s="3" t="s">
        <v>5899</v>
      </c>
      <c r="Q30" s="3">
        <v>76.0</v>
      </c>
      <c r="R30" s="3">
        <v>76.0</v>
      </c>
      <c r="S30" s="3">
        <v>81.0</v>
      </c>
      <c r="T30" s="3">
        <v>92.0</v>
      </c>
      <c r="U30" s="3">
        <v>72.0</v>
      </c>
      <c r="V30" s="3">
        <v>74.0</v>
      </c>
      <c r="W30" s="3">
        <v>85.0</v>
      </c>
      <c r="X30" s="3">
        <v>94.0</v>
      </c>
      <c r="Y30" s="3">
        <v>90.0</v>
      </c>
      <c r="Z30" s="3">
        <v>96.0</v>
      </c>
      <c r="AA30" s="3">
        <v>69.0</v>
      </c>
      <c r="AB30" s="3">
        <v>74.0</v>
      </c>
      <c r="AC30" s="3">
        <v>72.0</v>
      </c>
      <c r="AD30" s="3">
        <v>100.0</v>
      </c>
      <c r="AE30" s="3">
        <v>93.0</v>
      </c>
      <c r="AF30" s="3">
        <v>17.0</v>
      </c>
      <c r="AG30" s="3">
        <v>100.0</v>
      </c>
      <c r="AH30" s="3">
        <v>62.0</v>
      </c>
      <c r="AI30" s="3">
        <v>51.0</v>
      </c>
      <c r="AJ30" s="3">
        <v>72.0</v>
      </c>
      <c r="AK30" s="3">
        <v>77.0</v>
      </c>
      <c r="AL30" s="3">
        <v>46.0</v>
      </c>
      <c r="AM30" s="3">
        <v>37.0</v>
      </c>
      <c r="AN30" s="3">
        <v>65.0</v>
      </c>
    </row>
    <row r="31" ht="14.25" customHeight="1">
      <c r="A31" s="3">
        <v>29.0</v>
      </c>
      <c r="B31" s="3" t="s">
        <v>6049</v>
      </c>
      <c r="C31" s="3">
        <v>56.0</v>
      </c>
      <c r="D31" s="3" t="s">
        <v>6646</v>
      </c>
      <c r="E31" s="3" t="s">
        <v>6645</v>
      </c>
      <c r="F31" s="3" t="s">
        <v>6645</v>
      </c>
      <c r="G31" s="3" t="s">
        <v>6645</v>
      </c>
      <c r="H31" s="3" t="s">
        <v>6645</v>
      </c>
      <c r="I31" s="3" t="s">
        <v>6645</v>
      </c>
      <c r="J31" s="3">
        <v>8.0</v>
      </c>
      <c r="K31" s="3">
        <v>5.0</v>
      </c>
      <c r="L31" s="3">
        <v>0.0</v>
      </c>
      <c r="M31" s="3">
        <v>0.0</v>
      </c>
      <c r="N31" s="3">
        <v>34474.812</v>
      </c>
      <c r="O31" s="3">
        <v>4800.0</v>
      </c>
      <c r="P31" s="3" t="s">
        <v>5931</v>
      </c>
      <c r="Q31" s="3">
        <v>115.0</v>
      </c>
      <c r="R31" s="3">
        <v>74.0</v>
      </c>
      <c r="S31" s="3">
        <v>77.0</v>
      </c>
      <c r="T31" s="3">
        <v>74.0</v>
      </c>
      <c r="U31" s="3">
        <v>109.0</v>
      </c>
      <c r="V31" s="3">
        <v>84.0</v>
      </c>
      <c r="W31" s="3">
        <v>108.0</v>
      </c>
      <c r="X31" s="3">
        <v>98.0</v>
      </c>
      <c r="Y31" s="3">
        <v>112.0</v>
      </c>
      <c r="Z31" s="3">
        <v>105.0</v>
      </c>
      <c r="AA31" s="3">
        <v>75.0</v>
      </c>
      <c r="AB31" s="3">
        <v>107.0</v>
      </c>
      <c r="AC31" s="3">
        <v>75.0</v>
      </c>
      <c r="AD31" s="3">
        <v>72.0</v>
      </c>
      <c r="AE31" s="3">
        <v>79.0</v>
      </c>
      <c r="AF31" s="3">
        <v>27.0</v>
      </c>
      <c r="AG31" s="3">
        <v>75.0</v>
      </c>
      <c r="AH31" s="3">
        <v>55.0</v>
      </c>
      <c r="AI31" s="3">
        <v>51.0</v>
      </c>
      <c r="AJ31" s="3">
        <v>100.0</v>
      </c>
      <c r="AK31" s="3">
        <v>72.0</v>
      </c>
      <c r="AL31" s="3">
        <v>61.0</v>
      </c>
      <c r="AM31" s="3">
        <v>62.0</v>
      </c>
      <c r="AN31" s="3">
        <v>52.0</v>
      </c>
    </row>
    <row r="32" ht="14.25" customHeight="1">
      <c r="A32" s="3">
        <v>30.0</v>
      </c>
      <c r="B32" s="3" t="s">
        <v>6056</v>
      </c>
      <c r="C32" s="3">
        <v>35.0</v>
      </c>
      <c r="D32" s="3" t="s">
        <v>6646</v>
      </c>
      <c r="E32" s="3" t="s">
        <v>6645</v>
      </c>
      <c r="F32" s="3" t="s">
        <v>6645</v>
      </c>
      <c r="G32" s="3" t="s">
        <v>6645</v>
      </c>
      <c r="H32" s="3" t="s">
        <v>6645</v>
      </c>
      <c r="I32" s="3" t="s">
        <v>6645</v>
      </c>
      <c r="J32" s="3">
        <v>8.0</v>
      </c>
      <c r="K32" s="3">
        <v>5.0</v>
      </c>
      <c r="L32" s="3">
        <v>0.0</v>
      </c>
      <c r="M32" s="3">
        <v>0.0</v>
      </c>
      <c r="N32" s="3">
        <v>27470.814</v>
      </c>
      <c r="O32" s="3">
        <v>3212.0</v>
      </c>
      <c r="P32" s="3" t="s">
        <v>5899</v>
      </c>
      <c r="Q32" s="3">
        <v>103.0</v>
      </c>
      <c r="R32" s="3">
        <v>73.0</v>
      </c>
      <c r="S32" s="3">
        <v>78.0</v>
      </c>
      <c r="T32" s="3">
        <v>78.0</v>
      </c>
      <c r="U32" s="3">
        <v>102.0</v>
      </c>
      <c r="V32" s="3">
        <v>91.0</v>
      </c>
      <c r="W32" s="3">
        <v>104.0</v>
      </c>
      <c r="X32" s="3">
        <v>88.0</v>
      </c>
      <c r="Y32" s="3">
        <v>107.0</v>
      </c>
      <c r="Z32" s="3">
        <v>97.0</v>
      </c>
      <c r="AA32" s="3">
        <v>70.0</v>
      </c>
      <c r="AB32" s="3">
        <v>95.0</v>
      </c>
      <c r="AC32" s="3">
        <v>69.0</v>
      </c>
      <c r="AD32" s="3">
        <v>76.0</v>
      </c>
      <c r="AE32" s="3">
        <v>70.0</v>
      </c>
      <c r="AF32" s="3">
        <v>48.0</v>
      </c>
      <c r="AG32" s="3">
        <v>70.0</v>
      </c>
      <c r="AH32" s="3">
        <v>56.0</v>
      </c>
      <c r="AI32" s="3">
        <v>66.0</v>
      </c>
      <c r="AJ32" s="3">
        <v>78.0</v>
      </c>
      <c r="AK32" s="3">
        <v>56.0</v>
      </c>
      <c r="AL32" s="3">
        <v>62.0</v>
      </c>
      <c r="AM32" s="3">
        <v>28.0</v>
      </c>
      <c r="AN32" s="3">
        <v>64.0</v>
      </c>
    </row>
    <row r="33" ht="14.25" customHeight="1">
      <c r="A33" s="3">
        <v>31.0</v>
      </c>
      <c r="B33" s="3" t="s">
        <v>6060</v>
      </c>
      <c r="C33" s="3">
        <v>30.0</v>
      </c>
      <c r="D33" s="3" t="s">
        <v>6646</v>
      </c>
      <c r="E33" s="3" t="s">
        <v>6645</v>
      </c>
      <c r="F33" s="3" t="s">
        <v>6645</v>
      </c>
      <c r="G33" s="3" t="s">
        <v>6645</v>
      </c>
      <c r="H33" s="3" t="s">
        <v>6645</v>
      </c>
      <c r="I33" s="3" t="s">
        <v>6646</v>
      </c>
      <c r="J33" s="3">
        <v>8.0</v>
      </c>
      <c r="K33" s="3">
        <v>5.0</v>
      </c>
      <c r="L33" s="3">
        <v>0.0</v>
      </c>
      <c r="M33" s="3">
        <v>0.0</v>
      </c>
      <c r="N33" s="3">
        <v>25726.033</v>
      </c>
      <c r="O33" s="3">
        <v>3320.0</v>
      </c>
      <c r="P33" s="3" t="s">
        <v>5931</v>
      </c>
      <c r="Q33" s="3">
        <v>93.0</v>
      </c>
      <c r="R33" s="3">
        <v>74.0</v>
      </c>
      <c r="S33" s="3">
        <v>77.0</v>
      </c>
      <c r="T33" s="3">
        <v>76.0</v>
      </c>
      <c r="U33" s="3">
        <v>101.0</v>
      </c>
      <c r="V33" s="3">
        <v>86.0</v>
      </c>
      <c r="W33" s="3">
        <v>98.0</v>
      </c>
      <c r="X33" s="3">
        <v>92.0</v>
      </c>
      <c r="Y33" s="3">
        <v>100.0</v>
      </c>
      <c r="Z33" s="3">
        <v>94.0</v>
      </c>
      <c r="AA33" s="3">
        <v>71.0</v>
      </c>
      <c r="AB33" s="3">
        <v>99.0</v>
      </c>
      <c r="AC33" s="3">
        <v>66.0</v>
      </c>
      <c r="AD33" s="3">
        <v>75.0</v>
      </c>
      <c r="AE33" s="3">
        <v>72.0</v>
      </c>
      <c r="AF33" s="3">
        <v>52.0</v>
      </c>
      <c r="AG33" s="3">
        <v>62.0</v>
      </c>
      <c r="AH33" s="3">
        <v>62.0</v>
      </c>
      <c r="AI33" s="3">
        <v>100.0</v>
      </c>
      <c r="AJ33" s="3">
        <v>90.0</v>
      </c>
      <c r="AK33" s="3">
        <v>36.0</v>
      </c>
      <c r="AL33" s="3">
        <v>50.0</v>
      </c>
      <c r="AM33" s="3">
        <v>68.0</v>
      </c>
      <c r="AN33" s="3">
        <v>64.0</v>
      </c>
    </row>
    <row r="34" ht="14.25" customHeight="1">
      <c r="A34" s="3">
        <v>32.0</v>
      </c>
      <c r="B34" s="3" t="s">
        <v>6063</v>
      </c>
      <c r="C34" s="3">
        <v>34.0</v>
      </c>
      <c r="D34" s="3" t="s">
        <v>6646</v>
      </c>
      <c r="E34" s="3" t="s">
        <v>6645</v>
      </c>
      <c r="F34" s="3" t="s">
        <v>6645</v>
      </c>
      <c r="G34" s="3" t="s">
        <v>6645</v>
      </c>
      <c r="H34" s="3" t="s">
        <v>6645</v>
      </c>
      <c r="I34" s="3" t="s">
        <v>6645</v>
      </c>
      <c r="J34" s="3">
        <v>8.0</v>
      </c>
      <c r="K34" s="3">
        <v>4.0</v>
      </c>
      <c r="L34" s="3">
        <v>0.0</v>
      </c>
      <c r="M34" s="3">
        <v>0.0</v>
      </c>
      <c r="N34" s="3">
        <v>15006.6</v>
      </c>
      <c r="O34" s="3">
        <v>1283.0</v>
      </c>
      <c r="P34" s="3" t="s">
        <v>5899</v>
      </c>
      <c r="Q34" s="3">
        <v>87.0</v>
      </c>
      <c r="R34" s="3">
        <v>69.0</v>
      </c>
      <c r="S34" s="3">
        <v>68.0</v>
      </c>
      <c r="T34" s="3">
        <v>64.0</v>
      </c>
      <c r="U34" s="3">
        <v>83.0</v>
      </c>
      <c r="V34" s="3">
        <v>69.0</v>
      </c>
      <c r="W34" s="3">
        <v>84.0</v>
      </c>
      <c r="X34" s="3">
        <v>72.0</v>
      </c>
      <c r="Y34" s="3">
        <v>90.0</v>
      </c>
      <c r="Z34" s="3">
        <v>79.0</v>
      </c>
      <c r="AA34" s="3">
        <v>68.0</v>
      </c>
      <c r="AB34" s="3">
        <v>78.0</v>
      </c>
      <c r="AC34" s="3">
        <v>66.0</v>
      </c>
      <c r="AD34" s="3">
        <v>58.0</v>
      </c>
      <c r="AE34" s="3">
        <v>64.0</v>
      </c>
      <c r="AF34" s="3">
        <v>53.0</v>
      </c>
      <c r="AG34" s="3">
        <v>51.0</v>
      </c>
      <c r="AH34" s="3">
        <v>68.0</v>
      </c>
      <c r="AI34" s="3">
        <v>72.0</v>
      </c>
      <c r="AJ34" s="3">
        <v>81.0</v>
      </c>
      <c r="AK34" s="3">
        <v>43.0</v>
      </c>
      <c r="AL34" s="3">
        <v>65.0</v>
      </c>
      <c r="AM34" s="3">
        <v>65.0</v>
      </c>
      <c r="AN34" s="3">
        <v>69.0</v>
      </c>
    </row>
    <row r="35" ht="14.25" customHeight="1">
      <c r="A35" s="3">
        <v>33.0</v>
      </c>
      <c r="B35" s="3" t="s">
        <v>6067</v>
      </c>
      <c r="C35" s="3">
        <v>28.0</v>
      </c>
      <c r="D35" s="3" t="s">
        <v>6646</v>
      </c>
      <c r="E35" s="3" t="s">
        <v>6645</v>
      </c>
      <c r="F35" s="3" t="s">
        <v>6645</v>
      </c>
      <c r="G35" s="3" t="s">
        <v>6645</v>
      </c>
      <c r="H35" s="3" t="s">
        <v>6645</v>
      </c>
      <c r="I35" s="3" t="s">
        <v>6646</v>
      </c>
      <c r="J35" s="3">
        <v>8.0</v>
      </c>
      <c r="K35" s="3">
        <v>4.0</v>
      </c>
      <c r="L35" s="3">
        <v>0.0</v>
      </c>
      <c r="M35" s="3">
        <v>0.0</v>
      </c>
      <c r="N35" s="3">
        <v>15272.612</v>
      </c>
      <c r="O35" s="3">
        <v>1498.0</v>
      </c>
      <c r="P35" s="3" t="s">
        <v>5899</v>
      </c>
      <c r="Q35" s="3">
        <v>76.0</v>
      </c>
      <c r="R35" s="3">
        <v>68.0</v>
      </c>
      <c r="S35" s="3">
        <v>70.0</v>
      </c>
      <c r="T35" s="3">
        <v>62.0</v>
      </c>
      <c r="U35" s="3">
        <v>83.0</v>
      </c>
      <c r="V35" s="3">
        <v>64.0</v>
      </c>
      <c r="W35" s="3">
        <v>84.0</v>
      </c>
      <c r="X35" s="3">
        <v>69.0</v>
      </c>
      <c r="Y35" s="3">
        <v>81.0</v>
      </c>
      <c r="Z35" s="3">
        <v>90.0</v>
      </c>
      <c r="AA35" s="3">
        <v>61.0</v>
      </c>
      <c r="AB35" s="3">
        <v>84.0</v>
      </c>
      <c r="AC35" s="3">
        <v>61.0</v>
      </c>
      <c r="AD35" s="3">
        <v>62.0</v>
      </c>
      <c r="AE35" s="3">
        <v>62.0</v>
      </c>
      <c r="AF35" s="3">
        <v>69.0</v>
      </c>
      <c r="AG35" s="3">
        <v>73.0</v>
      </c>
      <c r="AH35" s="3">
        <v>60.0</v>
      </c>
      <c r="AI35" s="3">
        <v>61.0</v>
      </c>
      <c r="AJ35" s="3">
        <v>77.0</v>
      </c>
      <c r="AK35" s="3">
        <v>45.0</v>
      </c>
      <c r="AL35" s="3">
        <v>58.0</v>
      </c>
      <c r="AM35" s="3">
        <v>63.0</v>
      </c>
      <c r="AN35" s="3">
        <v>30.0</v>
      </c>
    </row>
    <row r="36" ht="14.25" customHeight="1">
      <c r="A36" s="3">
        <v>34.0</v>
      </c>
      <c r="B36" s="3" t="s">
        <v>6070</v>
      </c>
      <c r="C36" s="3">
        <v>29.0</v>
      </c>
      <c r="D36" s="3" t="s">
        <v>6646</v>
      </c>
      <c r="E36" s="3" t="s">
        <v>6645</v>
      </c>
      <c r="F36" s="3" t="s">
        <v>6645</v>
      </c>
      <c r="G36" s="3" t="s">
        <v>6645</v>
      </c>
      <c r="H36" s="3" t="s">
        <v>6645</v>
      </c>
      <c r="I36" s="3" t="s">
        <v>6645</v>
      </c>
      <c r="J36" s="3">
        <v>8.0</v>
      </c>
      <c r="K36" s="3">
        <v>4.0</v>
      </c>
      <c r="L36" s="3">
        <v>0.0</v>
      </c>
      <c r="M36" s="3">
        <v>0.0</v>
      </c>
      <c r="N36" s="3">
        <v>15054.372</v>
      </c>
      <c r="O36" s="3">
        <v>1743.0</v>
      </c>
      <c r="P36" s="3" t="s">
        <v>5952</v>
      </c>
      <c r="Q36" s="3">
        <v>76.0</v>
      </c>
      <c r="R36" s="3">
        <v>69.0</v>
      </c>
      <c r="S36" s="3">
        <v>62.0</v>
      </c>
      <c r="T36" s="3">
        <v>67.0</v>
      </c>
      <c r="U36" s="3">
        <v>84.0</v>
      </c>
      <c r="V36" s="3">
        <v>71.0</v>
      </c>
      <c r="W36" s="3">
        <v>81.0</v>
      </c>
      <c r="X36" s="3">
        <v>78.0</v>
      </c>
      <c r="Y36" s="3">
        <v>82.0</v>
      </c>
      <c r="Z36" s="3">
        <v>83.0</v>
      </c>
      <c r="AA36" s="3">
        <v>58.0</v>
      </c>
      <c r="AB36" s="3">
        <v>84.0</v>
      </c>
      <c r="AC36" s="3">
        <v>64.0</v>
      </c>
      <c r="AD36" s="3">
        <v>67.0</v>
      </c>
      <c r="AE36" s="3">
        <v>64.0</v>
      </c>
      <c r="AF36" s="3">
        <v>73.0</v>
      </c>
      <c r="AG36" s="3">
        <v>51.0</v>
      </c>
      <c r="AH36" s="3">
        <v>63.0</v>
      </c>
      <c r="AI36" s="3">
        <v>42.0</v>
      </c>
      <c r="AJ36" s="3">
        <v>79.0</v>
      </c>
      <c r="AK36" s="3">
        <v>57.0</v>
      </c>
      <c r="AL36" s="3">
        <v>69.0</v>
      </c>
      <c r="AM36" s="3">
        <v>52.0</v>
      </c>
      <c r="AN36" s="3">
        <v>45.0</v>
      </c>
    </row>
    <row r="37" ht="14.25" customHeight="1">
      <c r="A37" s="3">
        <v>35.0</v>
      </c>
      <c r="B37" s="3" t="s">
        <v>6073</v>
      </c>
      <c r="C37" s="3">
        <v>32.0</v>
      </c>
      <c r="D37" s="3" t="s">
        <v>6646</v>
      </c>
      <c r="E37" s="3" t="s">
        <v>6645</v>
      </c>
      <c r="F37" s="3" t="s">
        <v>6645</v>
      </c>
      <c r="G37" s="3" t="s">
        <v>6645</v>
      </c>
      <c r="H37" s="3" t="s">
        <v>6645</v>
      </c>
      <c r="I37" s="3" t="s">
        <v>6645</v>
      </c>
      <c r="J37" s="3">
        <v>8.0</v>
      </c>
      <c r="K37" s="3">
        <v>4.0</v>
      </c>
      <c r="L37" s="3">
        <v>0.0</v>
      </c>
      <c r="M37" s="3">
        <v>0.0</v>
      </c>
      <c r="N37" s="3">
        <v>15297.838</v>
      </c>
      <c r="O37" s="3">
        <v>1951.0</v>
      </c>
      <c r="P37" s="3" t="s">
        <v>5909</v>
      </c>
      <c r="Q37" s="3">
        <v>84.0</v>
      </c>
      <c r="R37" s="3">
        <v>69.0</v>
      </c>
      <c r="S37" s="3">
        <v>66.0</v>
      </c>
      <c r="T37" s="3">
        <v>64.0</v>
      </c>
      <c r="U37" s="3">
        <v>78.0</v>
      </c>
      <c r="V37" s="3">
        <v>69.0</v>
      </c>
      <c r="W37" s="3">
        <v>85.0</v>
      </c>
      <c r="X37" s="3">
        <v>80.0</v>
      </c>
      <c r="Y37" s="3">
        <v>81.0</v>
      </c>
      <c r="Z37" s="3">
        <v>81.0</v>
      </c>
      <c r="AA37" s="3">
        <v>60.0</v>
      </c>
      <c r="AB37" s="3">
        <v>82.0</v>
      </c>
      <c r="AC37" s="3">
        <v>59.0</v>
      </c>
      <c r="AD37" s="3">
        <v>64.0</v>
      </c>
      <c r="AE37" s="3">
        <v>66.0</v>
      </c>
      <c r="AF37" s="3">
        <v>42.0</v>
      </c>
      <c r="AG37" s="3">
        <v>59.0</v>
      </c>
      <c r="AH37" s="3">
        <v>65.0</v>
      </c>
      <c r="AI37" s="3">
        <v>46.0</v>
      </c>
      <c r="AJ37" s="3">
        <v>80.0</v>
      </c>
      <c r="AK37" s="3">
        <v>72.0</v>
      </c>
      <c r="AL37" s="3">
        <v>59.0</v>
      </c>
      <c r="AM37" s="3">
        <v>58.0</v>
      </c>
      <c r="AN37" s="3">
        <v>56.0</v>
      </c>
    </row>
    <row r="38" ht="14.25" customHeight="1">
      <c r="A38" s="3">
        <v>36.0</v>
      </c>
      <c r="B38" s="3" t="s">
        <v>6076</v>
      </c>
      <c r="C38" s="3">
        <v>47.0</v>
      </c>
      <c r="D38" s="3" t="s">
        <v>6646</v>
      </c>
      <c r="E38" s="3" t="s">
        <v>6645</v>
      </c>
      <c r="F38" s="3" t="s">
        <v>6645</v>
      </c>
      <c r="G38" s="3" t="s">
        <v>6645</v>
      </c>
      <c r="H38" s="3" t="s">
        <v>6645</v>
      </c>
      <c r="I38" s="3" t="s">
        <v>6645</v>
      </c>
      <c r="J38" s="3">
        <v>9.0</v>
      </c>
      <c r="K38" s="3">
        <v>5.0</v>
      </c>
      <c r="L38" s="3">
        <v>0.0</v>
      </c>
      <c r="M38" s="3">
        <v>0.0</v>
      </c>
      <c r="N38" s="3">
        <v>47170.054</v>
      </c>
      <c r="O38" s="3">
        <v>4800.0</v>
      </c>
      <c r="P38" s="3" t="s">
        <v>5931</v>
      </c>
      <c r="Q38" s="3">
        <v>89.0</v>
      </c>
      <c r="R38" s="3">
        <v>116.0</v>
      </c>
      <c r="S38" s="3">
        <v>120.0</v>
      </c>
      <c r="T38" s="3">
        <v>120.0</v>
      </c>
      <c r="U38" s="3">
        <v>89.0</v>
      </c>
      <c r="V38" s="3">
        <v>88.0</v>
      </c>
      <c r="W38" s="3">
        <v>120.0</v>
      </c>
      <c r="X38" s="3">
        <v>120.0</v>
      </c>
      <c r="Y38" s="3">
        <v>112.0</v>
      </c>
      <c r="Z38" s="3">
        <v>82.0</v>
      </c>
      <c r="AA38" s="3">
        <v>118.0</v>
      </c>
      <c r="AB38" s="3">
        <v>83.0</v>
      </c>
      <c r="AC38" s="3">
        <v>83.0</v>
      </c>
      <c r="AD38" s="3">
        <v>118.0</v>
      </c>
      <c r="AE38" s="3">
        <v>117.0</v>
      </c>
      <c r="AF38" s="3">
        <v>68.0</v>
      </c>
      <c r="AG38" s="3">
        <v>82.0</v>
      </c>
      <c r="AH38" s="3">
        <v>100.0</v>
      </c>
      <c r="AI38" s="3">
        <v>89.0</v>
      </c>
      <c r="AJ38" s="3">
        <v>40.0</v>
      </c>
      <c r="AK38" s="3">
        <v>70.0</v>
      </c>
      <c r="AL38" s="3">
        <v>82.0</v>
      </c>
      <c r="AM38" s="3">
        <v>37.0</v>
      </c>
      <c r="AN38" s="3">
        <v>80.0</v>
      </c>
    </row>
    <row r="39" ht="14.25" customHeight="1">
      <c r="A39" s="3">
        <v>37.0</v>
      </c>
      <c r="B39" s="3" t="s">
        <v>6081</v>
      </c>
      <c r="C39" s="3">
        <v>28.0</v>
      </c>
      <c r="D39" s="3" t="s">
        <v>6646</v>
      </c>
      <c r="E39" s="3" t="s">
        <v>6645</v>
      </c>
      <c r="F39" s="3" t="s">
        <v>6645</v>
      </c>
      <c r="G39" s="3" t="s">
        <v>6645</v>
      </c>
      <c r="H39" s="3" t="s">
        <v>6645</v>
      </c>
      <c r="I39" s="3" t="s">
        <v>6645</v>
      </c>
      <c r="J39" s="3">
        <v>9.0</v>
      </c>
      <c r="K39" s="3">
        <v>5.0</v>
      </c>
      <c r="L39" s="3">
        <v>0.0</v>
      </c>
      <c r="M39" s="3">
        <v>0.0</v>
      </c>
      <c r="N39" s="3">
        <v>28542.478</v>
      </c>
      <c r="O39" s="3">
        <v>2947.0</v>
      </c>
      <c r="P39" s="3" t="s">
        <v>5924</v>
      </c>
      <c r="Q39" s="3">
        <v>73.0</v>
      </c>
      <c r="R39" s="3">
        <v>91.0</v>
      </c>
      <c r="S39" s="3">
        <v>105.0</v>
      </c>
      <c r="T39" s="3">
        <v>107.0</v>
      </c>
      <c r="U39" s="3">
        <v>75.0</v>
      </c>
      <c r="V39" s="3">
        <v>77.0</v>
      </c>
      <c r="W39" s="3">
        <v>111.0</v>
      </c>
      <c r="X39" s="3">
        <v>100.0</v>
      </c>
      <c r="Y39" s="3">
        <v>90.0</v>
      </c>
      <c r="Z39" s="3">
        <v>72.0</v>
      </c>
      <c r="AA39" s="3">
        <v>95.0</v>
      </c>
      <c r="AB39" s="3">
        <v>66.0</v>
      </c>
      <c r="AC39" s="3">
        <v>78.0</v>
      </c>
      <c r="AD39" s="3">
        <v>96.0</v>
      </c>
      <c r="AE39" s="3">
        <v>88.0</v>
      </c>
      <c r="AF39" s="3">
        <v>68.0</v>
      </c>
      <c r="AG39" s="3">
        <v>60.0</v>
      </c>
      <c r="AH39" s="3">
        <v>89.0</v>
      </c>
      <c r="AI39" s="3">
        <v>100.0</v>
      </c>
      <c r="AJ39" s="3">
        <v>59.0</v>
      </c>
      <c r="AK39" s="3">
        <v>74.0</v>
      </c>
      <c r="AL39" s="3">
        <v>68.0</v>
      </c>
      <c r="AM39" s="3">
        <v>53.0</v>
      </c>
      <c r="AN39" s="3">
        <v>48.0</v>
      </c>
    </row>
    <row r="40" ht="14.25" customHeight="1">
      <c r="A40" s="3">
        <v>38.0</v>
      </c>
      <c r="B40" s="3" t="s">
        <v>6085</v>
      </c>
      <c r="C40" s="3">
        <v>27.0</v>
      </c>
      <c r="D40" s="3" t="s">
        <v>6646</v>
      </c>
      <c r="E40" s="3" t="s">
        <v>6645</v>
      </c>
      <c r="F40" s="3" t="s">
        <v>6645</v>
      </c>
      <c r="G40" s="3" t="s">
        <v>6645</v>
      </c>
      <c r="H40" s="3" t="s">
        <v>6645</v>
      </c>
      <c r="I40" s="3" t="s">
        <v>6646</v>
      </c>
      <c r="J40" s="3">
        <v>9.0</v>
      </c>
      <c r="K40" s="3">
        <v>5.0</v>
      </c>
      <c r="L40" s="3">
        <v>0.0</v>
      </c>
      <c r="M40" s="3">
        <v>0.0</v>
      </c>
      <c r="N40" s="3">
        <v>28601.074</v>
      </c>
      <c r="O40" s="3">
        <v>2735.0</v>
      </c>
      <c r="P40" s="3" t="s">
        <v>5931</v>
      </c>
      <c r="Q40" s="3">
        <v>78.0</v>
      </c>
      <c r="R40" s="3">
        <v>103.0</v>
      </c>
      <c r="S40" s="3">
        <v>101.0</v>
      </c>
      <c r="T40" s="3">
        <v>94.0</v>
      </c>
      <c r="U40" s="3">
        <v>73.0</v>
      </c>
      <c r="V40" s="3">
        <v>72.0</v>
      </c>
      <c r="W40" s="3">
        <v>117.0</v>
      </c>
      <c r="X40" s="3">
        <v>98.0</v>
      </c>
      <c r="Y40" s="3">
        <v>85.0</v>
      </c>
      <c r="Z40" s="3">
        <v>74.0</v>
      </c>
      <c r="AA40" s="3">
        <v>98.0</v>
      </c>
      <c r="AB40" s="3">
        <v>65.0</v>
      </c>
      <c r="AC40" s="3">
        <v>66.0</v>
      </c>
      <c r="AD40" s="3">
        <v>108.0</v>
      </c>
      <c r="AE40" s="3">
        <v>91.0</v>
      </c>
      <c r="AF40" s="3">
        <v>47.0</v>
      </c>
      <c r="AG40" s="3">
        <v>50.0</v>
      </c>
      <c r="AH40" s="3">
        <v>87.0</v>
      </c>
      <c r="AI40" s="3">
        <v>91.0</v>
      </c>
      <c r="AJ40" s="3">
        <v>51.0</v>
      </c>
      <c r="AK40" s="3">
        <v>62.0</v>
      </c>
      <c r="AL40" s="3">
        <v>74.0</v>
      </c>
      <c r="AM40" s="3">
        <v>52.0</v>
      </c>
      <c r="AN40" s="3">
        <v>48.0</v>
      </c>
    </row>
    <row r="41" ht="14.25" customHeight="1">
      <c r="A41" s="3">
        <v>39.0</v>
      </c>
      <c r="B41" s="3" t="s">
        <v>6089</v>
      </c>
      <c r="C41" s="3">
        <v>58.0</v>
      </c>
      <c r="D41" s="3" t="s">
        <v>6646</v>
      </c>
      <c r="E41" s="3" t="s">
        <v>6645</v>
      </c>
      <c r="F41" s="3" t="s">
        <v>6645</v>
      </c>
      <c r="G41" s="3" t="s">
        <v>6645</v>
      </c>
      <c r="H41" s="3" t="s">
        <v>6645</v>
      </c>
      <c r="I41" s="3" t="s">
        <v>6645</v>
      </c>
      <c r="J41" s="3">
        <v>10.0</v>
      </c>
      <c r="K41" s="3">
        <v>5.0</v>
      </c>
      <c r="L41" s="3">
        <v>0.0</v>
      </c>
      <c r="M41" s="3">
        <v>0.0</v>
      </c>
      <c r="N41" s="3">
        <v>38071.2</v>
      </c>
      <c r="O41" s="3">
        <v>4800.0</v>
      </c>
      <c r="P41" s="3" t="s">
        <v>5899</v>
      </c>
      <c r="Q41" s="3">
        <v>112.0</v>
      </c>
      <c r="R41" s="3">
        <v>82.0</v>
      </c>
      <c r="S41" s="3">
        <v>81.0</v>
      </c>
      <c r="T41" s="3">
        <v>86.0</v>
      </c>
      <c r="U41" s="3">
        <v>120.0</v>
      </c>
      <c r="V41" s="3">
        <v>92.0</v>
      </c>
      <c r="W41" s="3">
        <v>116.0</v>
      </c>
      <c r="X41" s="3">
        <v>97.0</v>
      </c>
      <c r="Y41" s="3">
        <v>108.0</v>
      </c>
      <c r="Z41" s="3">
        <v>104.0</v>
      </c>
      <c r="AA41" s="3">
        <v>69.0</v>
      </c>
      <c r="AB41" s="3">
        <v>74.0</v>
      </c>
      <c r="AC41" s="3">
        <v>120.0</v>
      </c>
      <c r="AD41" s="3">
        <v>95.0</v>
      </c>
      <c r="AE41" s="3">
        <v>73.0</v>
      </c>
      <c r="AF41" s="3">
        <v>88.0</v>
      </c>
      <c r="AG41" s="3">
        <v>73.0</v>
      </c>
      <c r="AH41" s="3">
        <v>57.0</v>
      </c>
      <c r="AI41" s="3">
        <v>78.0</v>
      </c>
      <c r="AJ41" s="3">
        <v>78.0</v>
      </c>
      <c r="AK41" s="3">
        <v>53.0</v>
      </c>
      <c r="AL41" s="3">
        <v>37.0</v>
      </c>
      <c r="AM41" s="3">
        <v>64.0</v>
      </c>
      <c r="AN41" s="3">
        <v>70.0</v>
      </c>
    </row>
    <row r="42" ht="14.25" customHeight="1">
      <c r="A42" s="3">
        <v>40.0</v>
      </c>
      <c r="B42" s="3" t="s">
        <v>6094</v>
      </c>
      <c r="C42" s="3">
        <v>66.0</v>
      </c>
      <c r="D42" s="3" t="s">
        <v>6646</v>
      </c>
      <c r="E42" s="3" t="s">
        <v>6645</v>
      </c>
      <c r="F42" s="3" t="s">
        <v>6645</v>
      </c>
      <c r="G42" s="3" t="s">
        <v>6645</v>
      </c>
      <c r="H42" s="3" t="s">
        <v>6645</v>
      </c>
      <c r="I42" s="3" t="s">
        <v>6645</v>
      </c>
      <c r="J42" s="3">
        <v>10.0</v>
      </c>
      <c r="K42" s="3">
        <v>5.0</v>
      </c>
      <c r="L42" s="3">
        <v>0.0</v>
      </c>
      <c r="M42" s="3">
        <v>0.0</v>
      </c>
      <c r="N42" s="3">
        <v>31765.0</v>
      </c>
      <c r="O42" s="3">
        <v>3823.0</v>
      </c>
      <c r="P42" s="3" t="s">
        <v>5931</v>
      </c>
      <c r="Q42" s="3">
        <v>99.0</v>
      </c>
      <c r="R42" s="3">
        <v>78.0</v>
      </c>
      <c r="S42" s="3">
        <v>75.0</v>
      </c>
      <c r="T42" s="3">
        <v>77.0</v>
      </c>
      <c r="U42" s="3">
        <v>111.0</v>
      </c>
      <c r="V42" s="3">
        <v>88.0</v>
      </c>
      <c r="W42" s="3">
        <v>108.0</v>
      </c>
      <c r="X42" s="3">
        <v>91.0</v>
      </c>
      <c r="Y42" s="3">
        <v>101.0</v>
      </c>
      <c r="Z42" s="3">
        <v>91.0</v>
      </c>
      <c r="AA42" s="3">
        <v>67.0</v>
      </c>
      <c r="AB42" s="3">
        <v>74.0</v>
      </c>
      <c r="AC42" s="3">
        <v>111.0</v>
      </c>
      <c r="AD42" s="3">
        <v>101.0</v>
      </c>
      <c r="AE42" s="3">
        <v>71.0</v>
      </c>
      <c r="AF42" s="3">
        <v>100.0</v>
      </c>
      <c r="AG42" s="3">
        <v>48.0</v>
      </c>
      <c r="AH42" s="3">
        <v>54.0</v>
      </c>
      <c r="AI42" s="3">
        <v>50.0</v>
      </c>
      <c r="AJ42" s="3">
        <v>70.0</v>
      </c>
      <c r="AK42" s="3">
        <v>56.0</v>
      </c>
      <c r="AL42" s="3">
        <v>26.0</v>
      </c>
      <c r="AM42" s="3">
        <v>50.0</v>
      </c>
      <c r="AN42" s="3">
        <v>52.0</v>
      </c>
    </row>
    <row r="43" ht="14.25" customHeight="1">
      <c r="A43" s="3">
        <v>41.0</v>
      </c>
      <c r="B43" s="3" t="s">
        <v>6098</v>
      </c>
      <c r="C43" s="3">
        <v>77.0</v>
      </c>
      <c r="D43" s="3" t="s">
        <v>6646</v>
      </c>
      <c r="E43" s="3" t="s">
        <v>6645</v>
      </c>
      <c r="F43" s="3" t="s">
        <v>6645</v>
      </c>
      <c r="G43" s="3" t="s">
        <v>6645</v>
      </c>
      <c r="H43" s="3" t="s">
        <v>6645</v>
      </c>
      <c r="I43" s="3" t="s">
        <v>6645</v>
      </c>
      <c r="J43" s="3">
        <v>10.0</v>
      </c>
      <c r="K43" s="3">
        <v>5.0</v>
      </c>
      <c r="L43" s="3">
        <v>0.0</v>
      </c>
      <c r="M43" s="3">
        <v>0.0</v>
      </c>
      <c r="N43" s="3">
        <v>43334.503</v>
      </c>
      <c r="O43" s="3">
        <v>3682.0</v>
      </c>
      <c r="P43" s="3" t="s">
        <v>5924</v>
      </c>
      <c r="Q43" s="3">
        <v>119.0</v>
      </c>
      <c r="R43" s="3">
        <v>83.0</v>
      </c>
      <c r="S43" s="3">
        <v>87.0</v>
      </c>
      <c r="T43" s="3">
        <v>88.0</v>
      </c>
      <c r="U43" s="3">
        <v>120.0</v>
      </c>
      <c r="V43" s="3">
        <v>103.0</v>
      </c>
      <c r="W43" s="3">
        <v>116.0</v>
      </c>
      <c r="X43" s="3">
        <v>108.0</v>
      </c>
      <c r="Y43" s="3">
        <v>112.0</v>
      </c>
      <c r="Z43" s="3">
        <v>112.0</v>
      </c>
      <c r="AA43" s="3">
        <v>84.0</v>
      </c>
      <c r="AB43" s="3">
        <v>85.0</v>
      </c>
      <c r="AC43" s="3">
        <v>120.0</v>
      </c>
      <c r="AD43" s="3">
        <v>110.0</v>
      </c>
      <c r="AE43" s="3">
        <v>81.0</v>
      </c>
      <c r="AF43" s="3">
        <v>79.0</v>
      </c>
      <c r="AG43" s="3">
        <v>75.0</v>
      </c>
      <c r="AH43" s="3">
        <v>100.0</v>
      </c>
      <c r="AI43" s="3">
        <v>58.0</v>
      </c>
      <c r="AJ43" s="3">
        <v>63.0</v>
      </c>
      <c r="AK43" s="3">
        <v>76.0</v>
      </c>
      <c r="AL43" s="3">
        <v>36.0</v>
      </c>
      <c r="AM43" s="3">
        <v>66.0</v>
      </c>
      <c r="AN43" s="3">
        <v>39.0</v>
      </c>
    </row>
    <row r="44" ht="14.25" customHeight="1">
      <c r="A44" s="3">
        <v>42.0</v>
      </c>
      <c r="B44" s="3" t="s">
        <v>6102</v>
      </c>
      <c r="C44" s="3">
        <v>45.0</v>
      </c>
      <c r="D44" s="3" t="s">
        <v>6646</v>
      </c>
      <c r="E44" s="3" t="s">
        <v>6645</v>
      </c>
      <c r="F44" s="3" t="s">
        <v>6645</v>
      </c>
      <c r="G44" s="3" t="s">
        <v>6645</v>
      </c>
      <c r="H44" s="3" t="s">
        <v>6645</v>
      </c>
      <c r="I44" s="3" t="s">
        <v>6645</v>
      </c>
      <c r="J44" s="3">
        <v>11.0</v>
      </c>
      <c r="K44" s="3">
        <v>5.0</v>
      </c>
      <c r="L44" s="3">
        <v>0.0</v>
      </c>
      <c r="M44" s="3">
        <v>0.0</v>
      </c>
      <c r="N44" s="3">
        <v>34294.7</v>
      </c>
      <c r="O44" s="3">
        <v>4800.0</v>
      </c>
      <c r="P44" s="3" t="s">
        <v>5931</v>
      </c>
      <c r="Q44" s="3">
        <v>73.0</v>
      </c>
      <c r="R44" s="3">
        <v>85.0</v>
      </c>
      <c r="S44" s="3">
        <v>98.0</v>
      </c>
      <c r="T44" s="3">
        <v>72.0</v>
      </c>
      <c r="U44" s="3">
        <v>74.0</v>
      </c>
      <c r="V44" s="3">
        <v>102.0</v>
      </c>
      <c r="W44" s="3">
        <v>114.0</v>
      </c>
      <c r="X44" s="3">
        <v>92.0</v>
      </c>
      <c r="Y44" s="3">
        <v>111.0</v>
      </c>
      <c r="Z44" s="3">
        <v>109.0</v>
      </c>
      <c r="AA44" s="3">
        <v>112.0</v>
      </c>
      <c r="AB44" s="3">
        <v>74.0</v>
      </c>
      <c r="AC44" s="3">
        <v>78.0</v>
      </c>
      <c r="AD44" s="3">
        <v>75.0</v>
      </c>
      <c r="AE44" s="3">
        <v>75.0</v>
      </c>
      <c r="AF44" s="3">
        <v>49.0</v>
      </c>
      <c r="AG44" s="3">
        <v>43.0</v>
      </c>
      <c r="AH44" s="3">
        <v>100.0</v>
      </c>
      <c r="AI44" s="3">
        <v>72.0</v>
      </c>
      <c r="AJ44" s="3">
        <v>30.0</v>
      </c>
      <c r="AK44" s="3">
        <v>83.0</v>
      </c>
      <c r="AL44" s="3">
        <v>41.0</v>
      </c>
      <c r="AM44" s="3">
        <v>84.0</v>
      </c>
      <c r="AN44" s="3">
        <v>54.0</v>
      </c>
    </row>
    <row r="45" ht="14.25" customHeight="1">
      <c r="A45" s="3">
        <v>43.0</v>
      </c>
      <c r="B45" s="3" t="s">
        <v>6108</v>
      </c>
      <c r="C45" s="3">
        <v>21.0</v>
      </c>
      <c r="D45" s="3" t="s">
        <v>6646</v>
      </c>
      <c r="E45" s="3" t="s">
        <v>6645</v>
      </c>
      <c r="F45" s="3" t="s">
        <v>6645</v>
      </c>
      <c r="G45" s="3" t="s">
        <v>6645</v>
      </c>
      <c r="H45" s="3" t="s">
        <v>6645</v>
      </c>
      <c r="I45" s="3" t="s">
        <v>6646</v>
      </c>
      <c r="J45" s="3">
        <v>11.0</v>
      </c>
      <c r="K45" s="3">
        <v>5.0</v>
      </c>
      <c r="L45" s="3">
        <v>0.0</v>
      </c>
      <c r="M45" s="3">
        <v>0.0</v>
      </c>
      <c r="N45" s="3">
        <v>25654.798</v>
      </c>
      <c r="O45" s="3">
        <v>3130.0</v>
      </c>
      <c r="P45" s="3" t="s">
        <v>5924</v>
      </c>
      <c r="Q45" s="3">
        <v>72.0</v>
      </c>
      <c r="R45" s="3">
        <v>81.0</v>
      </c>
      <c r="S45" s="3">
        <v>87.0</v>
      </c>
      <c r="T45" s="3">
        <v>76.0</v>
      </c>
      <c r="U45" s="3">
        <v>76.0</v>
      </c>
      <c r="V45" s="3">
        <v>104.0</v>
      </c>
      <c r="W45" s="3">
        <v>99.0</v>
      </c>
      <c r="X45" s="3">
        <v>83.0</v>
      </c>
      <c r="Y45" s="3">
        <v>102.0</v>
      </c>
      <c r="Z45" s="3">
        <v>89.0</v>
      </c>
      <c r="AA45" s="3">
        <v>100.0</v>
      </c>
      <c r="AB45" s="3">
        <v>74.0</v>
      </c>
      <c r="AC45" s="3">
        <v>71.0</v>
      </c>
      <c r="AD45" s="3">
        <v>68.0</v>
      </c>
      <c r="AE45" s="3">
        <v>65.0</v>
      </c>
      <c r="AF45" s="3">
        <v>72.0</v>
      </c>
      <c r="AG45" s="3">
        <v>72.0</v>
      </c>
      <c r="AH45" s="3">
        <v>42.0</v>
      </c>
      <c r="AI45" s="3">
        <v>57.0</v>
      </c>
      <c r="AJ45" s="3">
        <v>66.0</v>
      </c>
      <c r="AK45" s="3">
        <v>81.0</v>
      </c>
      <c r="AL45" s="3">
        <v>53.0</v>
      </c>
      <c r="AM45" s="3">
        <v>100.0</v>
      </c>
      <c r="AN45" s="3">
        <v>57.0</v>
      </c>
    </row>
    <row r="46" ht="14.25" customHeight="1">
      <c r="A46" s="3">
        <v>44.0</v>
      </c>
      <c r="B46" s="3" t="s">
        <v>6113</v>
      </c>
      <c r="C46" s="3">
        <v>41.0</v>
      </c>
      <c r="D46" s="3" t="s">
        <v>6646</v>
      </c>
      <c r="E46" s="3" t="s">
        <v>6645</v>
      </c>
      <c r="F46" s="3" t="s">
        <v>6645</v>
      </c>
      <c r="G46" s="3" t="s">
        <v>6645</v>
      </c>
      <c r="H46" s="3" t="s">
        <v>6645</v>
      </c>
      <c r="I46" s="3" t="s">
        <v>6645</v>
      </c>
      <c r="J46" s="3">
        <v>11.0</v>
      </c>
      <c r="K46" s="3">
        <v>5.0</v>
      </c>
      <c r="L46" s="3">
        <v>0.0</v>
      </c>
      <c r="M46" s="3">
        <v>0.0</v>
      </c>
      <c r="N46" s="3">
        <v>24219.87</v>
      </c>
      <c r="O46" s="3">
        <v>3700.0</v>
      </c>
      <c r="P46" s="3" t="s">
        <v>5899</v>
      </c>
      <c r="Q46" s="3">
        <v>68.0</v>
      </c>
      <c r="R46" s="3">
        <v>79.0</v>
      </c>
      <c r="S46" s="3">
        <v>90.0</v>
      </c>
      <c r="T46" s="3">
        <v>76.0</v>
      </c>
      <c r="U46" s="3">
        <v>74.0</v>
      </c>
      <c r="V46" s="3">
        <v>104.0</v>
      </c>
      <c r="W46" s="3">
        <v>98.0</v>
      </c>
      <c r="X46" s="3">
        <v>86.0</v>
      </c>
      <c r="Y46" s="3">
        <v>94.0</v>
      </c>
      <c r="Z46" s="3">
        <v>94.0</v>
      </c>
      <c r="AA46" s="3">
        <v>105.0</v>
      </c>
      <c r="AB46" s="3">
        <v>74.0</v>
      </c>
      <c r="AC46" s="3">
        <v>67.0</v>
      </c>
      <c r="AD46" s="3">
        <v>63.0</v>
      </c>
      <c r="AE46" s="3">
        <v>67.0</v>
      </c>
      <c r="AF46" s="3">
        <v>73.0</v>
      </c>
      <c r="AG46" s="3">
        <v>50.0</v>
      </c>
      <c r="AH46" s="3">
        <v>69.0</v>
      </c>
      <c r="AI46" s="3">
        <v>41.0</v>
      </c>
      <c r="AJ46" s="3">
        <v>42.0</v>
      </c>
      <c r="AK46" s="3">
        <v>78.0</v>
      </c>
      <c r="AL46" s="3">
        <v>62.0</v>
      </c>
      <c r="AM46" s="3">
        <v>80.0</v>
      </c>
      <c r="AN46" s="3">
        <v>72.0</v>
      </c>
    </row>
    <row r="47" ht="14.25" customHeight="1">
      <c r="A47" s="3">
        <v>45.0</v>
      </c>
      <c r="B47" s="3" t="s">
        <v>6116</v>
      </c>
      <c r="C47" s="3">
        <v>28.0</v>
      </c>
      <c r="D47" s="3" t="s">
        <v>6646</v>
      </c>
      <c r="E47" s="3" t="s">
        <v>6645</v>
      </c>
      <c r="F47" s="3" t="s">
        <v>6645</v>
      </c>
      <c r="G47" s="3" t="s">
        <v>6645</v>
      </c>
      <c r="H47" s="3" t="s">
        <v>6645</v>
      </c>
      <c r="I47" s="3" t="s">
        <v>6645</v>
      </c>
      <c r="J47" s="3">
        <v>12.0</v>
      </c>
      <c r="K47" s="3">
        <v>5.0</v>
      </c>
      <c r="L47" s="3">
        <v>0.0</v>
      </c>
      <c r="M47" s="3">
        <v>0.0</v>
      </c>
      <c r="N47" s="3">
        <v>23503.3</v>
      </c>
      <c r="O47" s="3">
        <v>4800.0</v>
      </c>
      <c r="P47" s="3" t="s">
        <v>5952</v>
      </c>
      <c r="Q47" s="3">
        <v>102.0</v>
      </c>
      <c r="R47" s="3">
        <v>75.0</v>
      </c>
      <c r="S47" s="3">
        <v>74.0</v>
      </c>
      <c r="T47" s="3">
        <v>67.0</v>
      </c>
      <c r="U47" s="3">
        <v>93.0</v>
      </c>
      <c r="V47" s="3">
        <v>69.0</v>
      </c>
      <c r="W47" s="3">
        <v>76.0</v>
      </c>
      <c r="X47" s="3">
        <v>77.0</v>
      </c>
      <c r="Y47" s="3">
        <v>91.0</v>
      </c>
      <c r="Z47" s="3">
        <v>75.0</v>
      </c>
      <c r="AA47" s="3">
        <v>66.0</v>
      </c>
      <c r="AB47" s="3">
        <v>111.0</v>
      </c>
      <c r="AC47" s="3">
        <v>96.0</v>
      </c>
      <c r="AD47" s="3">
        <v>66.0</v>
      </c>
      <c r="AE47" s="3">
        <v>73.0</v>
      </c>
      <c r="AF47" s="3">
        <v>67.0</v>
      </c>
      <c r="AG47" s="3">
        <v>43.0</v>
      </c>
      <c r="AH47" s="3">
        <v>67.0</v>
      </c>
      <c r="AI47" s="3">
        <v>68.0</v>
      </c>
      <c r="AJ47" s="3">
        <v>52.0</v>
      </c>
      <c r="AK47" s="3">
        <v>62.0</v>
      </c>
      <c r="AL47" s="3">
        <v>55.0</v>
      </c>
      <c r="AM47" s="3">
        <v>71.0</v>
      </c>
      <c r="AN47" s="3">
        <v>100.0</v>
      </c>
    </row>
    <row r="48" ht="14.25" customHeight="1">
      <c r="A48" s="3">
        <v>46.0</v>
      </c>
      <c r="B48" s="3" t="s">
        <v>6120</v>
      </c>
      <c r="C48" s="3">
        <v>33.0</v>
      </c>
      <c r="D48" s="3" t="s">
        <v>6646</v>
      </c>
      <c r="E48" s="3" t="s">
        <v>6645</v>
      </c>
      <c r="F48" s="3" t="s">
        <v>6645</v>
      </c>
      <c r="G48" s="3" t="s">
        <v>6645</v>
      </c>
      <c r="H48" s="3" t="s">
        <v>6645</v>
      </c>
      <c r="I48" s="3" t="s">
        <v>6646</v>
      </c>
      <c r="J48" s="3">
        <v>12.0</v>
      </c>
      <c r="K48" s="3">
        <v>5.0</v>
      </c>
      <c r="L48" s="3">
        <v>0.0</v>
      </c>
      <c r="M48" s="3">
        <v>0.0</v>
      </c>
      <c r="N48" s="3">
        <v>17118.04</v>
      </c>
      <c r="O48" s="3">
        <v>2951.0</v>
      </c>
      <c r="P48" s="3" t="s">
        <v>5931</v>
      </c>
      <c r="Q48" s="3">
        <v>96.0</v>
      </c>
      <c r="R48" s="3">
        <v>70.0</v>
      </c>
      <c r="S48" s="3">
        <v>64.0</v>
      </c>
      <c r="T48" s="3">
        <v>66.0</v>
      </c>
      <c r="U48" s="3">
        <v>85.0</v>
      </c>
      <c r="V48" s="3">
        <v>70.0</v>
      </c>
      <c r="W48" s="3">
        <v>73.0</v>
      </c>
      <c r="X48" s="3">
        <v>71.0</v>
      </c>
      <c r="Y48" s="3">
        <v>91.0</v>
      </c>
      <c r="Z48" s="3">
        <v>70.0</v>
      </c>
      <c r="AA48" s="3">
        <v>68.0</v>
      </c>
      <c r="AB48" s="3">
        <v>92.0</v>
      </c>
      <c r="AC48" s="3">
        <v>96.0</v>
      </c>
      <c r="AD48" s="3">
        <v>64.0</v>
      </c>
      <c r="AE48" s="3">
        <v>72.0</v>
      </c>
      <c r="AF48" s="3">
        <v>62.0</v>
      </c>
      <c r="AG48" s="3">
        <v>53.0</v>
      </c>
      <c r="AH48" s="3">
        <v>48.0</v>
      </c>
      <c r="AI48" s="3">
        <v>55.0</v>
      </c>
      <c r="AJ48" s="3">
        <v>64.0</v>
      </c>
      <c r="AK48" s="3">
        <v>35.0</v>
      </c>
      <c r="AL48" s="3">
        <v>60.0</v>
      </c>
      <c r="AM48" s="3">
        <v>73.0</v>
      </c>
      <c r="AN48" s="3">
        <v>78.0</v>
      </c>
    </row>
    <row r="49" ht="14.25" customHeight="1">
      <c r="A49" s="3">
        <v>47.0</v>
      </c>
      <c r="B49" s="3" t="s">
        <v>6123</v>
      </c>
      <c r="C49" s="3">
        <v>38.0</v>
      </c>
      <c r="D49" s="3" t="s">
        <v>6646</v>
      </c>
      <c r="E49" s="3" t="s">
        <v>6645</v>
      </c>
      <c r="F49" s="3" t="s">
        <v>6645</v>
      </c>
      <c r="G49" s="3" t="s">
        <v>6645</v>
      </c>
      <c r="H49" s="3" t="s">
        <v>6645</v>
      </c>
      <c r="I49" s="3" t="s">
        <v>6645</v>
      </c>
      <c r="J49" s="3">
        <v>13.0</v>
      </c>
      <c r="K49" s="3">
        <v>5.0</v>
      </c>
      <c r="L49" s="3">
        <v>0.0</v>
      </c>
      <c r="M49" s="3">
        <v>0.0</v>
      </c>
      <c r="N49" s="3">
        <v>27259.574</v>
      </c>
      <c r="O49" s="3">
        <v>4800.0</v>
      </c>
      <c r="P49" s="3" t="s">
        <v>5931</v>
      </c>
      <c r="Q49" s="3">
        <v>66.0</v>
      </c>
      <c r="R49" s="3">
        <v>93.0</v>
      </c>
      <c r="S49" s="3">
        <v>75.0</v>
      </c>
      <c r="T49" s="3">
        <v>82.0</v>
      </c>
      <c r="U49" s="3">
        <v>75.0</v>
      </c>
      <c r="V49" s="3">
        <v>110.0</v>
      </c>
      <c r="W49" s="3">
        <v>113.0</v>
      </c>
      <c r="X49" s="3">
        <v>85.0</v>
      </c>
      <c r="Y49" s="3">
        <v>72.0</v>
      </c>
      <c r="Z49" s="3">
        <v>70.0</v>
      </c>
      <c r="AA49" s="3">
        <v>117.0</v>
      </c>
      <c r="AB49" s="3">
        <v>67.0</v>
      </c>
      <c r="AC49" s="3">
        <v>71.0</v>
      </c>
      <c r="AD49" s="3">
        <v>91.0</v>
      </c>
      <c r="AE49" s="3">
        <v>72.0</v>
      </c>
      <c r="AF49" s="3">
        <v>67.0</v>
      </c>
      <c r="AG49" s="3">
        <v>56.0</v>
      </c>
      <c r="AH49" s="3">
        <v>78.0</v>
      </c>
      <c r="AI49" s="3">
        <v>71.0</v>
      </c>
      <c r="AJ49" s="3">
        <v>23.0</v>
      </c>
      <c r="AK49" s="3">
        <v>53.0</v>
      </c>
      <c r="AL49" s="3">
        <v>71.0</v>
      </c>
      <c r="AM49" s="3">
        <v>66.0</v>
      </c>
      <c r="AN49" s="3">
        <v>47.0</v>
      </c>
    </row>
    <row r="50" ht="14.25" customHeight="1">
      <c r="A50" s="3">
        <v>48.0</v>
      </c>
      <c r="B50" s="3" t="s">
        <v>6127</v>
      </c>
      <c r="C50" s="3">
        <v>30.0</v>
      </c>
      <c r="D50" s="3" t="s">
        <v>6646</v>
      </c>
      <c r="E50" s="3" t="s">
        <v>6645</v>
      </c>
      <c r="F50" s="3" t="s">
        <v>6645</v>
      </c>
      <c r="G50" s="3" t="s">
        <v>6645</v>
      </c>
      <c r="H50" s="3" t="s">
        <v>6645</v>
      </c>
      <c r="I50" s="3" t="s">
        <v>6646</v>
      </c>
      <c r="J50" s="3">
        <v>13.0</v>
      </c>
      <c r="K50" s="3">
        <v>5.0</v>
      </c>
      <c r="L50" s="3">
        <v>0.0</v>
      </c>
      <c r="M50" s="3">
        <v>0.0</v>
      </c>
      <c r="N50" s="3">
        <v>22262.804</v>
      </c>
      <c r="O50" s="3">
        <v>3777.0</v>
      </c>
      <c r="P50" s="3" t="s">
        <v>5899</v>
      </c>
      <c r="Q50" s="3">
        <v>70.0</v>
      </c>
      <c r="R50" s="3">
        <v>93.0</v>
      </c>
      <c r="S50" s="3">
        <v>64.0</v>
      </c>
      <c r="T50" s="3">
        <v>67.0</v>
      </c>
      <c r="U50" s="3">
        <v>68.0</v>
      </c>
      <c r="V50" s="3">
        <v>100.0</v>
      </c>
      <c r="W50" s="3">
        <v>96.0</v>
      </c>
      <c r="X50" s="3">
        <v>86.0</v>
      </c>
      <c r="Y50" s="3">
        <v>62.0</v>
      </c>
      <c r="Z50" s="3">
        <v>63.0</v>
      </c>
      <c r="AA50" s="3">
        <v>104.0</v>
      </c>
      <c r="AB50" s="3">
        <v>68.0</v>
      </c>
      <c r="AC50" s="3">
        <v>64.0</v>
      </c>
      <c r="AD50" s="3">
        <v>86.0</v>
      </c>
      <c r="AE50" s="3">
        <v>63.0</v>
      </c>
      <c r="AF50" s="3">
        <v>54.0</v>
      </c>
      <c r="AG50" s="3">
        <v>70.0</v>
      </c>
      <c r="AH50" s="3">
        <v>84.0</v>
      </c>
      <c r="AI50" s="3">
        <v>53.0</v>
      </c>
      <c r="AJ50" s="3">
        <v>44.0</v>
      </c>
      <c r="AK50" s="3">
        <v>63.0</v>
      </c>
      <c r="AL50" s="3">
        <v>47.0</v>
      </c>
      <c r="AM50" s="3">
        <v>71.0</v>
      </c>
      <c r="AN50" s="3">
        <v>59.0</v>
      </c>
    </row>
    <row r="51" ht="14.25" customHeight="1">
      <c r="A51" s="3">
        <v>49.0</v>
      </c>
      <c r="B51" s="3" t="s">
        <v>6132</v>
      </c>
      <c r="C51" s="3">
        <v>68.0</v>
      </c>
      <c r="D51" s="3" t="s">
        <v>6646</v>
      </c>
      <c r="E51" s="3" t="s">
        <v>6645</v>
      </c>
      <c r="F51" s="3" t="s">
        <v>6645</v>
      </c>
      <c r="G51" s="3" t="s">
        <v>6645</v>
      </c>
      <c r="H51" s="3" t="s">
        <v>6645</v>
      </c>
      <c r="I51" s="3" t="s">
        <v>6645</v>
      </c>
      <c r="J51" s="3">
        <v>14.0</v>
      </c>
      <c r="K51" s="3">
        <v>5.0</v>
      </c>
      <c r="L51" s="3">
        <v>0.0</v>
      </c>
      <c r="M51" s="3">
        <v>0.0</v>
      </c>
      <c r="N51" s="3">
        <v>33288.183</v>
      </c>
      <c r="O51" s="3">
        <v>4800.0</v>
      </c>
      <c r="P51" s="3" t="s">
        <v>5931</v>
      </c>
      <c r="Q51" s="3">
        <v>72.0</v>
      </c>
      <c r="R51" s="3">
        <v>97.0</v>
      </c>
      <c r="S51" s="3">
        <v>95.0</v>
      </c>
      <c r="T51" s="3">
        <v>76.0</v>
      </c>
      <c r="U51" s="3">
        <v>70.0</v>
      </c>
      <c r="V51" s="3">
        <v>120.0</v>
      </c>
      <c r="W51" s="3">
        <v>102.0</v>
      </c>
      <c r="X51" s="3">
        <v>101.0</v>
      </c>
      <c r="Y51" s="3">
        <v>66.0</v>
      </c>
      <c r="Z51" s="3">
        <v>105.0</v>
      </c>
      <c r="AA51" s="3">
        <v>95.0</v>
      </c>
      <c r="AB51" s="3">
        <v>78.0</v>
      </c>
      <c r="AC51" s="3">
        <v>74.0</v>
      </c>
      <c r="AD51" s="3">
        <v>73.0</v>
      </c>
      <c r="AE51" s="3">
        <v>76.0</v>
      </c>
      <c r="AF51" s="3">
        <v>60.0</v>
      </c>
      <c r="AG51" s="3">
        <v>64.0</v>
      </c>
      <c r="AH51" s="3">
        <v>70.0</v>
      </c>
      <c r="AI51" s="3">
        <v>64.0</v>
      </c>
      <c r="AJ51" s="3">
        <v>34.0</v>
      </c>
      <c r="AK51" s="3">
        <v>100.0</v>
      </c>
      <c r="AL51" s="3">
        <v>68.0</v>
      </c>
      <c r="AM51" s="3">
        <v>70.0</v>
      </c>
      <c r="AN51" s="3">
        <v>68.0</v>
      </c>
    </row>
    <row r="52" ht="14.25" customHeight="1">
      <c r="A52" s="3">
        <v>50.0</v>
      </c>
      <c r="B52" s="3" t="s">
        <v>6137</v>
      </c>
      <c r="C52" s="3">
        <v>36.0</v>
      </c>
      <c r="D52" s="3" t="s">
        <v>6646</v>
      </c>
      <c r="E52" s="3" t="s">
        <v>6645</v>
      </c>
      <c r="F52" s="3" t="s">
        <v>6645</v>
      </c>
      <c r="G52" s="3" t="s">
        <v>6645</v>
      </c>
      <c r="H52" s="3" t="s">
        <v>6645</v>
      </c>
      <c r="I52" s="3" t="s">
        <v>6646</v>
      </c>
      <c r="J52" s="3">
        <v>14.0</v>
      </c>
      <c r="K52" s="3">
        <v>5.0</v>
      </c>
      <c r="L52" s="3">
        <v>0.0</v>
      </c>
      <c r="M52" s="3">
        <v>0.0</v>
      </c>
      <c r="N52" s="3">
        <v>27107.072</v>
      </c>
      <c r="O52" s="3">
        <v>3740.0</v>
      </c>
      <c r="P52" s="3" t="s">
        <v>5899</v>
      </c>
      <c r="Q52" s="3">
        <v>67.0</v>
      </c>
      <c r="R52" s="3">
        <v>94.0</v>
      </c>
      <c r="S52" s="3">
        <v>83.0</v>
      </c>
      <c r="T52" s="3">
        <v>73.0</v>
      </c>
      <c r="U52" s="3">
        <v>65.0</v>
      </c>
      <c r="V52" s="3">
        <v>107.0</v>
      </c>
      <c r="W52" s="3">
        <v>92.0</v>
      </c>
      <c r="X52" s="3">
        <v>96.0</v>
      </c>
      <c r="Y52" s="3">
        <v>64.0</v>
      </c>
      <c r="Z52" s="3">
        <v>89.0</v>
      </c>
      <c r="AA52" s="3">
        <v>99.0</v>
      </c>
      <c r="AB52" s="3">
        <v>68.0</v>
      </c>
      <c r="AC52" s="3">
        <v>66.0</v>
      </c>
      <c r="AD52" s="3">
        <v>67.0</v>
      </c>
      <c r="AE52" s="3">
        <v>62.0</v>
      </c>
      <c r="AF52" s="3">
        <v>45.0</v>
      </c>
      <c r="AG52" s="3">
        <v>50.0</v>
      </c>
      <c r="AH52" s="3">
        <v>29.0</v>
      </c>
      <c r="AI52" s="3">
        <v>53.0</v>
      </c>
      <c r="AJ52" s="3">
        <v>52.0</v>
      </c>
      <c r="AK52" s="3">
        <v>79.0</v>
      </c>
      <c r="AL52" s="3">
        <v>68.0</v>
      </c>
      <c r="AM52" s="3">
        <v>45.0</v>
      </c>
      <c r="AN52" s="3">
        <v>65.0</v>
      </c>
    </row>
    <row r="53" ht="14.25" customHeight="1">
      <c r="A53" s="3">
        <v>51.0</v>
      </c>
      <c r="B53" s="3" t="s">
        <v>6141</v>
      </c>
      <c r="C53" s="3">
        <v>18.0</v>
      </c>
      <c r="D53" s="3" t="s">
        <v>6646</v>
      </c>
      <c r="E53" s="3" t="s">
        <v>6645</v>
      </c>
      <c r="F53" s="3" t="s">
        <v>6645</v>
      </c>
      <c r="G53" s="3" t="s">
        <v>6645</v>
      </c>
      <c r="H53" s="3" t="s">
        <v>6645</v>
      </c>
      <c r="I53" s="3" t="s">
        <v>6646</v>
      </c>
      <c r="J53" s="3">
        <v>14.0</v>
      </c>
      <c r="K53" s="3">
        <v>3.0</v>
      </c>
      <c r="L53" s="3">
        <v>0.0</v>
      </c>
      <c r="M53" s="3">
        <v>0.0</v>
      </c>
      <c r="N53" s="3">
        <v>44802.37</v>
      </c>
      <c r="O53" s="3">
        <v>797.0</v>
      </c>
      <c r="P53" s="3" t="s">
        <v>5924</v>
      </c>
      <c r="Q53" s="3">
        <v>76.0</v>
      </c>
      <c r="R53" s="3">
        <v>110.0</v>
      </c>
      <c r="S53" s="3">
        <v>109.0</v>
      </c>
      <c r="T53" s="3">
        <v>79.0</v>
      </c>
      <c r="U53" s="3">
        <v>78.0</v>
      </c>
      <c r="V53" s="3">
        <v>120.0</v>
      </c>
      <c r="W53" s="3">
        <v>105.0</v>
      </c>
      <c r="X53" s="3">
        <v>113.0</v>
      </c>
      <c r="Y53" s="3">
        <v>79.0</v>
      </c>
      <c r="Z53" s="3">
        <v>100.0</v>
      </c>
      <c r="AA53" s="3">
        <v>101.0</v>
      </c>
      <c r="AB53" s="3">
        <v>72.0</v>
      </c>
      <c r="AC53" s="3">
        <v>72.0</v>
      </c>
      <c r="AD53" s="3">
        <v>74.0</v>
      </c>
      <c r="AE53" s="3">
        <v>78.0</v>
      </c>
      <c r="AF53" s="3">
        <v>64.0</v>
      </c>
      <c r="AG53" s="3">
        <v>71.0</v>
      </c>
      <c r="AH53" s="3">
        <v>63.0</v>
      </c>
      <c r="AI53" s="3">
        <v>50.0</v>
      </c>
      <c r="AJ53" s="3">
        <v>57.0</v>
      </c>
      <c r="AK53" s="3">
        <v>100.0</v>
      </c>
      <c r="AL53" s="3">
        <v>71.0</v>
      </c>
      <c r="AM53" s="3">
        <v>74.0</v>
      </c>
      <c r="AN53" s="3">
        <v>52.0</v>
      </c>
    </row>
    <row r="54" ht="14.25" customHeight="1">
      <c r="A54" s="3">
        <v>52.0</v>
      </c>
      <c r="B54" s="3" t="s">
        <v>6145</v>
      </c>
      <c r="C54" s="3">
        <v>43.0</v>
      </c>
      <c r="D54" s="3" t="s">
        <v>6646</v>
      </c>
      <c r="E54" s="3" t="s">
        <v>6645</v>
      </c>
      <c r="F54" s="3" t="s">
        <v>6645</v>
      </c>
      <c r="G54" s="3" t="s">
        <v>6645</v>
      </c>
      <c r="H54" s="3" t="s">
        <v>6645</v>
      </c>
      <c r="I54" s="3" t="s">
        <v>6645</v>
      </c>
      <c r="J54" s="3">
        <v>15.0</v>
      </c>
      <c r="K54" s="3">
        <v>5.0</v>
      </c>
      <c r="L54" s="3">
        <v>0.0</v>
      </c>
      <c r="M54" s="3">
        <v>0.0</v>
      </c>
      <c r="N54" s="3">
        <v>27443.494</v>
      </c>
      <c r="O54" s="3">
        <v>4800.0</v>
      </c>
      <c r="P54" s="3" t="s">
        <v>5931</v>
      </c>
      <c r="Q54" s="3">
        <v>73.0</v>
      </c>
      <c r="R54" s="3">
        <v>90.0</v>
      </c>
      <c r="S54" s="3">
        <v>67.0</v>
      </c>
      <c r="T54" s="3">
        <v>101.0</v>
      </c>
      <c r="U54" s="3">
        <v>81.0</v>
      </c>
      <c r="V54" s="3">
        <v>68.0</v>
      </c>
      <c r="W54" s="3">
        <v>83.0</v>
      </c>
      <c r="X54" s="3">
        <v>91.0</v>
      </c>
      <c r="Y54" s="3">
        <v>101.0</v>
      </c>
      <c r="Z54" s="3">
        <v>71.0</v>
      </c>
      <c r="AA54" s="3">
        <v>66.0</v>
      </c>
      <c r="AB54" s="3">
        <v>70.0</v>
      </c>
      <c r="AC54" s="3">
        <v>103.0</v>
      </c>
      <c r="AD54" s="3">
        <v>96.0</v>
      </c>
      <c r="AE54" s="3">
        <v>67.0</v>
      </c>
      <c r="AF54" s="3">
        <v>69.0</v>
      </c>
      <c r="AG54" s="3">
        <v>87.0</v>
      </c>
      <c r="AH54" s="3">
        <v>51.0</v>
      </c>
      <c r="AI54" s="3">
        <v>67.0</v>
      </c>
      <c r="AJ54" s="3">
        <v>69.0</v>
      </c>
      <c r="AK54" s="3">
        <v>52.0</v>
      </c>
      <c r="AL54" s="3">
        <v>47.0</v>
      </c>
      <c r="AM54" s="3">
        <v>33.0</v>
      </c>
      <c r="AN54" s="3">
        <v>71.0</v>
      </c>
    </row>
    <row r="55" ht="14.25" customHeight="1">
      <c r="A55" s="3">
        <v>53.0</v>
      </c>
      <c r="B55" s="3" t="s">
        <v>6150</v>
      </c>
      <c r="C55" s="3">
        <v>32.0</v>
      </c>
      <c r="D55" s="3" t="s">
        <v>6646</v>
      </c>
      <c r="E55" s="3" t="s">
        <v>6645</v>
      </c>
      <c r="F55" s="3" t="s">
        <v>6645</v>
      </c>
      <c r="G55" s="3" t="s">
        <v>6645</v>
      </c>
      <c r="H55" s="3" t="s">
        <v>6645</v>
      </c>
      <c r="I55" s="3" t="s">
        <v>6646</v>
      </c>
      <c r="J55" s="3">
        <v>15.0</v>
      </c>
      <c r="K55" s="3">
        <v>5.0</v>
      </c>
      <c r="L55" s="3">
        <v>0.0</v>
      </c>
      <c r="M55" s="3">
        <v>0.0</v>
      </c>
      <c r="N55" s="3">
        <v>20520.0</v>
      </c>
      <c r="O55" s="3">
        <v>3733.0</v>
      </c>
      <c r="P55" s="3" t="s">
        <v>5899</v>
      </c>
      <c r="Q55" s="3">
        <v>68.0</v>
      </c>
      <c r="R55" s="3">
        <v>81.0</v>
      </c>
      <c r="S55" s="3">
        <v>66.0</v>
      </c>
      <c r="T55" s="3">
        <v>94.0</v>
      </c>
      <c r="U55" s="3">
        <v>73.0</v>
      </c>
      <c r="V55" s="3">
        <v>66.0</v>
      </c>
      <c r="W55" s="3">
        <v>81.0</v>
      </c>
      <c r="X55" s="3">
        <v>80.0</v>
      </c>
      <c r="Y55" s="3">
        <v>91.0</v>
      </c>
      <c r="Z55" s="3">
        <v>70.0</v>
      </c>
      <c r="AA55" s="3">
        <v>62.0</v>
      </c>
      <c r="AB55" s="3">
        <v>70.0</v>
      </c>
      <c r="AC55" s="3">
        <v>93.0</v>
      </c>
      <c r="AD55" s="3">
        <v>90.0</v>
      </c>
      <c r="AE55" s="3">
        <v>68.0</v>
      </c>
      <c r="AF55" s="3">
        <v>66.0</v>
      </c>
      <c r="AG55" s="3">
        <v>90.0</v>
      </c>
      <c r="AH55" s="3">
        <v>49.0</v>
      </c>
      <c r="AI55" s="3">
        <v>62.0</v>
      </c>
      <c r="AJ55" s="3">
        <v>66.0</v>
      </c>
      <c r="AK55" s="3">
        <v>46.0</v>
      </c>
      <c r="AL55" s="3">
        <v>49.0</v>
      </c>
      <c r="AM55" s="3">
        <v>53.0</v>
      </c>
      <c r="AN55" s="3">
        <v>68.0</v>
      </c>
    </row>
    <row r="56" ht="14.25" customHeight="1">
      <c r="A56" s="3">
        <v>54.0</v>
      </c>
      <c r="B56" s="3" t="s">
        <v>6154</v>
      </c>
      <c r="C56" s="3">
        <v>21.0</v>
      </c>
      <c r="D56" s="3" t="s">
        <v>6646</v>
      </c>
      <c r="E56" s="3" t="s">
        <v>6645</v>
      </c>
      <c r="F56" s="3" t="s">
        <v>6645</v>
      </c>
      <c r="G56" s="3" t="s">
        <v>6645</v>
      </c>
      <c r="H56" s="3" t="s">
        <v>6645</v>
      </c>
      <c r="I56" s="3" t="s">
        <v>6646</v>
      </c>
      <c r="J56" s="3">
        <v>16.0</v>
      </c>
      <c r="K56" s="3">
        <v>5.0</v>
      </c>
      <c r="L56" s="3">
        <v>0.0</v>
      </c>
      <c r="M56" s="3">
        <v>0.0</v>
      </c>
      <c r="N56" s="3">
        <v>30201.986</v>
      </c>
      <c r="O56" s="3">
        <v>4800.0</v>
      </c>
      <c r="P56" s="3" t="s">
        <v>5924</v>
      </c>
      <c r="Q56" s="3">
        <v>72.0</v>
      </c>
      <c r="R56" s="3">
        <v>93.0</v>
      </c>
      <c r="S56" s="3">
        <v>116.0</v>
      </c>
      <c r="T56" s="3">
        <v>79.0</v>
      </c>
      <c r="U56" s="3">
        <v>76.0</v>
      </c>
      <c r="V56" s="3">
        <v>74.0</v>
      </c>
      <c r="W56" s="3">
        <v>89.0</v>
      </c>
      <c r="X56" s="3">
        <v>80.0</v>
      </c>
      <c r="Y56" s="3">
        <v>85.0</v>
      </c>
      <c r="Z56" s="3">
        <v>70.0</v>
      </c>
      <c r="AA56" s="3">
        <v>70.0</v>
      </c>
      <c r="AB56" s="3">
        <v>72.0</v>
      </c>
      <c r="AC56" s="3">
        <v>74.0</v>
      </c>
      <c r="AD56" s="3">
        <v>113.0</v>
      </c>
      <c r="AE56" s="3">
        <v>95.0</v>
      </c>
      <c r="AF56" s="3">
        <v>74.0</v>
      </c>
      <c r="AG56" s="3">
        <v>47.0</v>
      </c>
      <c r="AH56" s="3">
        <v>83.0</v>
      </c>
      <c r="AI56" s="3">
        <v>56.0</v>
      </c>
      <c r="AJ56" s="3">
        <v>33.0</v>
      </c>
      <c r="AK56" s="3">
        <v>58.0</v>
      </c>
      <c r="AL56" s="3">
        <v>100.0</v>
      </c>
      <c r="AM56" s="3">
        <v>70.0</v>
      </c>
      <c r="AN56" s="3">
        <v>62.0</v>
      </c>
    </row>
    <row r="57" ht="14.25" customHeight="1">
      <c r="A57" s="3">
        <v>55.0</v>
      </c>
      <c r="B57" s="3" t="s">
        <v>6158</v>
      </c>
      <c r="C57" s="3">
        <v>23.0</v>
      </c>
      <c r="D57" s="3" t="s">
        <v>6646</v>
      </c>
      <c r="E57" s="3" t="s">
        <v>6645</v>
      </c>
      <c r="F57" s="3" t="s">
        <v>6645</v>
      </c>
      <c r="G57" s="3" t="s">
        <v>6645</v>
      </c>
      <c r="H57" s="3" t="s">
        <v>6645</v>
      </c>
      <c r="I57" s="3" t="s">
        <v>6645</v>
      </c>
      <c r="J57" s="3">
        <v>16.0</v>
      </c>
      <c r="K57" s="3">
        <v>5.0</v>
      </c>
      <c r="L57" s="3">
        <v>0.0</v>
      </c>
      <c r="M57" s="3">
        <v>0.0</v>
      </c>
      <c r="N57" s="3">
        <v>24873.521</v>
      </c>
      <c r="O57" s="3">
        <v>2798.0</v>
      </c>
      <c r="P57" s="3" t="s">
        <v>5899</v>
      </c>
      <c r="Q57" s="3">
        <v>70.0</v>
      </c>
      <c r="R57" s="3">
        <v>81.0</v>
      </c>
      <c r="S57" s="3">
        <v>100.0</v>
      </c>
      <c r="T57" s="3">
        <v>70.0</v>
      </c>
      <c r="U57" s="3">
        <v>74.0</v>
      </c>
      <c r="V57" s="3">
        <v>69.0</v>
      </c>
      <c r="W57" s="3">
        <v>90.0</v>
      </c>
      <c r="X57" s="3">
        <v>76.0</v>
      </c>
      <c r="Y57" s="3">
        <v>81.0</v>
      </c>
      <c r="Z57" s="3">
        <v>71.0</v>
      </c>
      <c r="AA57" s="3">
        <v>67.0</v>
      </c>
      <c r="AB57" s="3">
        <v>65.0</v>
      </c>
      <c r="AC57" s="3">
        <v>63.0</v>
      </c>
      <c r="AD57" s="3">
        <v>92.0</v>
      </c>
      <c r="AE57" s="3">
        <v>94.0</v>
      </c>
      <c r="AF57" s="3">
        <v>27.0</v>
      </c>
      <c r="AG57" s="3">
        <v>52.0</v>
      </c>
      <c r="AH57" s="3">
        <v>82.0</v>
      </c>
      <c r="AI57" s="3">
        <v>19.0</v>
      </c>
      <c r="AJ57" s="3">
        <v>17.0</v>
      </c>
      <c r="AK57" s="3">
        <v>100.0</v>
      </c>
      <c r="AL57" s="3">
        <v>72.0</v>
      </c>
      <c r="AM57" s="3">
        <v>62.0</v>
      </c>
      <c r="AN57" s="3">
        <v>61.0</v>
      </c>
    </row>
    <row r="58" ht="14.25" customHeight="1">
      <c r="A58" s="3">
        <v>56.0</v>
      </c>
      <c r="B58" s="3" t="s">
        <v>6163</v>
      </c>
      <c r="C58" s="3">
        <v>45.0</v>
      </c>
      <c r="D58" s="3" t="s">
        <v>6646</v>
      </c>
      <c r="E58" s="3" t="s">
        <v>6645</v>
      </c>
      <c r="F58" s="3" t="s">
        <v>6645</v>
      </c>
      <c r="G58" s="3" t="s">
        <v>6645</v>
      </c>
      <c r="H58" s="3" t="s">
        <v>6645</v>
      </c>
      <c r="I58" s="3" t="s">
        <v>6645</v>
      </c>
      <c r="J58" s="3">
        <v>17.0</v>
      </c>
      <c r="K58" s="3">
        <v>5.0</v>
      </c>
      <c r="L58" s="3">
        <v>0.0</v>
      </c>
      <c r="M58" s="3">
        <v>0.0</v>
      </c>
      <c r="N58" s="3">
        <v>20056.697</v>
      </c>
      <c r="O58" s="3">
        <v>4800.0</v>
      </c>
      <c r="P58" s="3" t="s">
        <v>5931</v>
      </c>
      <c r="Q58" s="3">
        <v>72.0</v>
      </c>
      <c r="R58" s="3">
        <v>72.0</v>
      </c>
      <c r="S58" s="3">
        <v>113.0</v>
      </c>
      <c r="T58" s="3">
        <v>104.0</v>
      </c>
      <c r="U58" s="3">
        <v>71.0</v>
      </c>
      <c r="V58" s="3">
        <v>71.0</v>
      </c>
      <c r="W58" s="3">
        <v>79.0</v>
      </c>
      <c r="X58" s="3">
        <v>77.0</v>
      </c>
      <c r="Y58" s="3">
        <v>77.0</v>
      </c>
      <c r="Z58" s="3">
        <v>68.0</v>
      </c>
      <c r="AA58" s="3">
        <v>66.0</v>
      </c>
      <c r="AB58" s="3">
        <v>74.0</v>
      </c>
      <c r="AC58" s="3">
        <v>91.0</v>
      </c>
      <c r="AD58" s="3">
        <v>67.0</v>
      </c>
      <c r="AE58" s="3">
        <v>116.0</v>
      </c>
      <c r="AF58" s="3">
        <v>47.0</v>
      </c>
      <c r="AG58" s="3">
        <v>49.0</v>
      </c>
      <c r="AH58" s="3">
        <v>65.0</v>
      </c>
      <c r="AI58" s="3">
        <v>59.0</v>
      </c>
      <c r="AJ58" s="3">
        <v>49.0</v>
      </c>
      <c r="AK58" s="3">
        <v>26.0</v>
      </c>
      <c r="AL58" s="3">
        <v>100.0</v>
      </c>
      <c r="AM58" s="3">
        <v>53.0</v>
      </c>
      <c r="AN58" s="3">
        <v>68.0</v>
      </c>
    </row>
    <row r="59" ht="14.25" customHeight="1">
      <c r="A59" s="3">
        <v>57.0</v>
      </c>
      <c r="B59" s="3" t="s">
        <v>6168</v>
      </c>
      <c r="C59" s="3">
        <v>23.0</v>
      </c>
      <c r="D59" s="3" t="s">
        <v>6646</v>
      </c>
      <c r="E59" s="3" t="s">
        <v>6645</v>
      </c>
      <c r="F59" s="3" t="s">
        <v>6645</v>
      </c>
      <c r="G59" s="3" t="s">
        <v>6645</v>
      </c>
      <c r="H59" s="3" t="s">
        <v>6645</v>
      </c>
      <c r="I59" s="3" t="s">
        <v>6645</v>
      </c>
      <c r="J59" s="3">
        <v>17.0</v>
      </c>
      <c r="K59" s="3">
        <v>5.0</v>
      </c>
      <c r="L59" s="3">
        <v>0.0</v>
      </c>
      <c r="M59" s="3">
        <v>0.0</v>
      </c>
      <c r="N59" s="3">
        <v>16080.976</v>
      </c>
      <c r="O59" s="3">
        <v>3372.0</v>
      </c>
      <c r="P59" s="3" t="s">
        <v>5899</v>
      </c>
      <c r="Q59" s="3">
        <v>70.0</v>
      </c>
      <c r="R59" s="3">
        <v>64.0</v>
      </c>
      <c r="S59" s="3">
        <v>99.0</v>
      </c>
      <c r="T59" s="3">
        <v>91.0</v>
      </c>
      <c r="U59" s="3">
        <v>68.0</v>
      </c>
      <c r="V59" s="3">
        <v>72.0</v>
      </c>
      <c r="W59" s="3">
        <v>72.0</v>
      </c>
      <c r="X59" s="3">
        <v>74.0</v>
      </c>
      <c r="Y59" s="3">
        <v>72.0</v>
      </c>
      <c r="Z59" s="3">
        <v>63.0</v>
      </c>
      <c r="AA59" s="3">
        <v>60.0</v>
      </c>
      <c r="AB59" s="3">
        <v>68.0</v>
      </c>
      <c r="AC59" s="3">
        <v>91.0</v>
      </c>
      <c r="AD59" s="3">
        <v>66.0</v>
      </c>
      <c r="AE59" s="3">
        <v>108.0</v>
      </c>
      <c r="AF59" s="3">
        <v>51.0</v>
      </c>
      <c r="AG59" s="3">
        <v>65.0</v>
      </c>
      <c r="AH59" s="3">
        <v>72.0</v>
      </c>
      <c r="AI59" s="3">
        <v>57.0</v>
      </c>
      <c r="AJ59" s="3">
        <v>57.0</v>
      </c>
      <c r="AK59" s="3">
        <v>31.0</v>
      </c>
      <c r="AL59" s="3">
        <v>100.0</v>
      </c>
      <c r="AM59" s="3">
        <v>68.0</v>
      </c>
      <c r="AN59" s="3">
        <v>47.0</v>
      </c>
    </row>
    <row r="60" ht="14.25" customHeight="1">
      <c r="A60" s="3">
        <v>58.0</v>
      </c>
      <c r="B60" s="3" t="s">
        <v>6173</v>
      </c>
      <c r="C60" s="3">
        <v>19.0</v>
      </c>
      <c r="D60" s="3" t="s">
        <v>6646</v>
      </c>
      <c r="E60" s="3" t="s">
        <v>6645</v>
      </c>
      <c r="F60" s="3" t="s">
        <v>6645</v>
      </c>
      <c r="G60" s="3" t="s">
        <v>6645</v>
      </c>
      <c r="H60" s="3" t="s">
        <v>6645</v>
      </c>
      <c r="I60" s="3" t="s">
        <v>6646</v>
      </c>
      <c r="J60" s="3">
        <v>17.0</v>
      </c>
      <c r="K60" s="3">
        <v>5.0</v>
      </c>
      <c r="L60" s="3">
        <v>0.0</v>
      </c>
      <c r="M60" s="3">
        <v>0.0</v>
      </c>
      <c r="N60" s="3">
        <v>17354.787</v>
      </c>
      <c r="O60" s="3">
        <v>3110.0</v>
      </c>
      <c r="P60" s="3" t="s">
        <v>5909</v>
      </c>
      <c r="Q60" s="3">
        <v>64.0</v>
      </c>
      <c r="R60" s="3">
        <v>72.0</v>
      </c>
      <c r="S60" s="3">
        <v>103.0</v>
      </c>
      <c r="T60" s="3">
        <v>94.0</v>
      </c>
      <c r="U60" s="3">
        <v>64.0</v>
      </c>
      <c r="V60" s="3">
        <v>68.0</v>
      </c>
      <c r="W60" s="3">
        <v>77.0</v>
      </c>
      <c r="X60" s="3">
        <v>74.0</v>
      </c>
      <c r="Y60" s="3">
        <v>67.0</v>
      </c>
      <c r="Z60" s="3">
        <v>61.0</v>
      </c>
      <c r="AA60" s="3">
        <v>62.0</v>
      </c>
      <c r="AB60" s="3">
        <v>65.0</v>
      </c>
      <c r="AC60" s="3">
        <v>88.0</v>
      </c>
      <c r="AD60" s="3">
        <v>68.0</v>
      </c>
      <c r="AE60" s="3">
        <v>104.0</v>
      </c>
      <c r="AF60" s="3">
        <v>50.0</v>
      </c>
      <c r="AG60" s="3">
        <v>65.0</v>
      </c>
      <c r="AH60" s="3">
        <v>53.0</v>
      </c>
      <c r="AI60" s="3">
        <v>51.0</v>
      </c>
      <c r="AJ60" s="3">
        <v>20.0</v>
      </c>
      <c r="AK60" s="3">
        <v>63.0</v>
      </c>
      <c r="AL60" s="3">
        <v>100.0</v>
      </c>
      <c r="AM60" s="3">
        <v>60.0</v>
      </c>
      <c r="AN60" s="3">
        <v>56.0</v>
      </c>
    </row>
    <row r="61" ht="14.25" customHeight="1">
      <c r="A61" s="3">
        <v>59.0</v>
      </c>
      <c r="B61" s="3" t="s">
        <v>6177</v>
      </c>
      <c r="C61" s="3">
        <v>55.0</v>
      </c>
      <c r="D61" s="3" t="s">
        <v>6646</v>
      </c>
      <c r="E61" s="3" t="s">
        <v>6645</v>
      </c>
      <c r="F61" s="3" t="s">
        <v>6645</v>
      </c>
      <c r="G61" s="3" t="s">
        <v>6645</v>
      </c>
      <c r="H61" s="3" t="s">
        <v>6645</v>
      </c>
      <c r="I61" s="3" t="s">
        <v>6645</v>
      </c>
      <c r="J61" s="3">
        <v>18.0</v>
      </c>
      <c r="K61" s="3">
        <v>5.0</v>
      </c>
      <c r="L61" s="3">
        <v>0.0</v>
      </c>
      <c r="M61" s="3">
        <v>0.0</v>
      </c>
      <c r="N61" s="3">
        <v>34694.277</v>
      </c>
      <c r="O61" s="3">
        <v>4800.0</v>
      </c>
      <c r="P61" s="3" t="s">
        <v>5899</v>
      </c>
      <c r="Q61" s="3">
        <v>118.0</v>
      </c>
      <c r="R61" s="3">
        <v>77.0</v>
      </c>
      <c r="S61" s="3">
        <v>114.0</v>
      </c>
      <c r="T61" s="3">
        <v>75.0</v>
      </c>
      <c r="U61" s="3">
        <v>95.0</v>
      </c>
      <c r="V61" s="3">
        <v>74.0</v>
      </c>
      <c r="W61" s="3">
        <v>116.0</v>
      </c>
      <c r="X61" s="3">
        <v>88.0</v>
      </c>
      <c r="Y61" s="3">
        <v>107.0</v>
      </c>
      <c r="Z61" s="3">
        <v>74.0</v>
      </c>
      <c r="AA61" s="3">
        <v>78.0</v>
      </c>
      <c r="AB61" s="3">
        <v>95.0</v>
      </c>
      <c r="AC61" s="3">
        <v>68.0</v>
      </c>
      <c r="AD61" s="3">
        <v>117.0</v>
      </c>
      <c r="AE61" s="3">
        <v>70.0</v>
      </c>
      <c r="AF61" s="3">
        <v>76.0</v>
      </c>
      <c r="AG61" s="3">
        <v>55.0</v>
      </c>
      <c r="AH61" s="3">
        <v>55.0</v>
      </c>
      <c r="AI61" s="3">
        <v>65.0</v>
      </c>
      <c r="AJ61" s="3">
        <v>49.0</v>
      </c>
      <c r="AK61" s="3">
        <v>50.0</v>
      </c>
      <c r="AL61" s="3">
        <v>64.0</v>
      </c>
      <c r="AM61" s="3">
        <v>27.0</v>
      </c>
      <c r="AN61" s="3">
        <v>83.0</v>
      </c>
    </row>
    <row r="62" ht="14.25" customHeight="1">
      <c r="A62" s="3">
        <v>60.0</v>
      </c>
      <c r="B62" s="3" t="s">
        <v>6181</v>
      </c>
      <c r="C62" s="3">
        <v>65.0</v>
      </c>
      <c r="D62" s="3" t="s">
        <v>6646</v>
      </c>
      <c r="E62" s="3" t="s">
        <v>6645</v>
      </c>
      <c r="F62" s="3" t="s">
        <v>6645</v>
      </c>
      <c r="G62" s="3" t="s">
        <v>6645</v>
      </c>
      <c r="H62" s="3" t="s">
        <v>6645</v>
      </c>
      <c r="I62" s="3" t="s">
        <v>6645</v>
      </c>
      <c r="J62" s="3">
        <v>18.0</v>
      </c>
      <c r="K62" s="3">
        <v>5.0</v>
      </c>
      <c r="L62" s="3">
        <v>0.0</v>
      </c>
      <c r="M62" s="3">
        <v>0.0</v>
      </c>
      <c r="N62" s="3">
        <v>29981.755</v>
      </c>
      <c r="O62" s="3">
        <v>2686.0</v>
      </c>
      <c r="P62" s="3" t="s">
        <v>5909</v>
      </c>
      <c r="Q62" s="3">
        <v>106.0</v>
      </c>
      <c r="R62" s="3">
        <v>72.0</v>
      </c>
      <c r="S62" s="3">
        <v>108.0</v>
      </c>
      <c r="T62" s="3">
        <v>70.0</v>
      </c>
      <c r="U62" s="3">
        <v>97.0</v>
      </c>
      <c r="V62" s="3">
        <v>68.0</v>
      </c>
      <c r="W62" s="3">
        <v>100.0</v>
      </c>
      <c r="X62" s="3">
        <v>75.0</v>
      </c>
      <c r="Y62" s="3">
        <v>97.0</v>
      </c>
      <c r="Z62" s="3">
        <v>69.0</v>
      </c>
      <c r="AA62" s="3">
        <v>72.0</v>
      </c>
      <c r="AB62" s="3">
        <v>90.0</v>
      </c>
      <c r="AC62" s="3">
        <v>67.0</v>
      </c>
      <c r="AD62" s="3">
        <v>99.0</v>
      </c>
      <c r="AE62" s="3">
        <v>76.0</v>
      </c>
      <c r="AF62" s="3">
        <v>59.0</v>
      </c>
      <c r="AG62" s="3">
        <v>51.0</v>
      </c>
      <c r="AH62" s="3">
        <v>54.0</v>
      </c>
      <c r="AI62" s="3">
        <v>66.0</v>
      </c>
      <c r="AJ62" s="3">
        <v>31.0</v>
      </c>
      <c r="AK62" s="3">
        <v>53.0</v>
      </c>
      <c r="AL62" s="3">
        <v>52.0</v>
      </c>
      <c r="AM62" s="3">
        <v>52.0</v>
      </c>
      <c r="AN62" s="3">
        <v>84.0</v>
      </c>
    </row>
    <row r="63" ht="14.25" customHeight="1">
      <c r="A63" s="3">
        <v>61.0</v>
      </c>
      <c r="B63" s="3" t="s">
        <v>6185</v>
      </c>
      <c r="C63" s="3">
        <v>42.0</v>
      </c>
      <c r="D63" s="3" t="s">
        <v>6646</v>
      </c>
      <c r="E63" s="3" t="s">
        <v>6645</v>
      </c>
      <c r="F63" s="3" t="s">
        <v>6645</v>
      </c>
      <c r="G63" s="3" t="s">
        <v>6645</v>
      </c>
      <c r="H63" s="3" t="s">
        <v>6645</v>
      </c>
      <c r="I63" s="3" t="s">
        <v>6646</v>
      </c>
      <c r="J63" s="3">
        <v>18.0</v>
      </c>
      <c r="K63" s="3">
        <v>5.0</v>
      </c>
      <c r="L63" s="3">
        <v>0.0</v>
      </c>
      <c r="M63" s="3">
        <v>0.0</v>
      </c>
      <c r="N63" s="3">
        <v>27417.2</v>
      </c>
      <c r="O63" s="3">
        <v>3636.0</v>
      </c>
      <c r="P63" s="3" t="s">
        <v>5931</v>
      </c>
      <c r="Q63" s="3">
        <v>110.0</v>
      </c>
      <c r="R63" s="3">
        <v>68.0</v>
      </c>
      <c r="S63" s="3">
        <v>106.0</v>
      </c>
      <c r="T63" s="3">
        <v>72.0</v>
      </c>
      <c r="U63" s="3">
        <v>100.0</v>
      </c>
      <c r="V63" s="3">
        <v>72.0</v>
      </c>
      <c r="W63" s="3">
        <v>102.0</v>
      </c>
      <c r="X63" s="3">
        <v>72.0</v>
      </c>
      <c r="Y63" s="3">
        <v>97.0</v>
      </c>
      <c r="Z63" s="3">
        <v>72.0</v>
      </c>
      <c r="AA63" s="3">
        <v>72.0</v>
      </c>
      <c r="AB63" s="3">
        <v>97.0</v>
      </c>
      <c r="AC63" s="3">
        <v>66.0</v>
      </c>
      <c r="AD63" s="3">
        <v>102.0</v>
      </c>
      <c r="AE63" s="3">
        <v>71.0</v>
      </c>
      <c r="AF63" s="3">
        <v>53.0</v>
      </c>
      <c r="AG63" s="3">
        <v>48.0</v>
      </c>
      <c r="AH63" s="3">
        <v>69.0</v>
      </c>
      <c r="AI63" s="3">
        <v>49.0</v>
      </c>
      <c r="AJ63" s="3">
        <v>75.0</v>
      </c>
      <c r="AK63" s="3">
        <v>58.0</v>
      </c>
      <c r="AL63" s="3">
        <v>58.0</v>
      </c>
      <c r="AM63" s="3">
        <v>39.0</v>
      </c>
      <c r="AN63" s="3">
        <v>100.0</v>
      </c>
    </row>
    <row r="64" ht="14.25" customHeight="1">
      <c r="A64" s="3">
        <v>62.0</v>
      </c>
      <c r="B64" s="3" t="s">
        <v>6190</v>
      </c>
      <c r="C64" s="3">
        <v>38.0</v>
      </c>
      <c r="D64" s="3" t="s">
        <v>6646</v>
      </c>
      <c r="E64" s="3" t="s">
        <v>6645</v>
      </c>
      <c r="F64" s="3" t="s">
        <v>6645</v>
      </c>
      <c r="G64" s="3" t="s">
        <v>6645</v>
      </c>
      <c r="H64" s="3" t="s">
        <v>6645</v>
      </c>
      <c r="I64" s="3" t="s">
        <v>6646</v>
      </c>
      <c r="J64" s="3">
        <v>19.0</v>
      </c>
      <c r="K64" s="3">
        <v>5.0</v>
      </c>
      <c r="L64" s="3">
        <v>0.0</v>
      </c>
      <c r="M64" s="3">
        <v>0.0</v>
      </c>
      <c r="N64" s="3">
        <v>32512.558</v>
      </c>
      <c r="O64" s="3">
        <v>4800.0</v>
      </c>
      <c r="P64" s="3" t="s">
        <v>5931</v>
      </c>
      <c r="Q64" s="3">
        <v>79.0</v>
      </c>
      <c r="R64" s="3">
        <v>98.0</v>
      </c>
      <c r="S64" s="3">
        <v>72.0</v>
      </c>
      <c r="T64" s="3">
        <v>74.0</v>
      </c>
      <c r="U64" s="3">
        <v>74.0</v>
      </c>
      <c r="V64" s="3">
        <v>112.0</v>
      </c>
      <c r="W64" s="3">
        <v>117.0</v>
      </c>
      <c r="X64" s="3">
        <v>114.0</v>
      </c>
      <c r="Y64" s="3">
        <v>68.0</v>
      </c>
      <c r="Z64" s="3">
        <v>109.0</v>
      </c>
      <c r="AA64" s="3">
        <v>99.0</v>
      </c>
      <c r="AB64" s="3">
        <v>72.0</v>
      </c>
      <c r="AC64" s="3">
        <v>70.0</v>
      </c>
      <c r="AD64" s="3">
        <v>67.0</v>
      </c>
      <c r="AE64" s="3">
        <v>69.0</v>
      </c>
      <c r="AF64" s="3">
        <v>90.0</v>
      </c>
      <c r="AG64" s="3">
        <v>54.0</v>
      </c>
      <c r="AH64" s="3">
        <v>52.0</v>
      </c>
      <c r="AI64" s="3">
        <v>68.0</v>
      </c>
      <c r="AJ64" s="3">
        <v>66.0</v>
      </c>
      <c r="AK64" s="3">
        <v>72.0</v>
      </c>
      <c r="AL64" s="3">
        <v>54.0</v>
      </c>
      <c r="AM64" s="3">
        <v>48.0</v>
      </c>
      <c r="AN64" s="3">
        <v>60.0</v>
      </c>
    </row>
    <row r="65" ht="14.25" customHeight="1">
      <c r="A65" s="3">
        <v>63.0</v>
      </c>
      <c r="B65" s="3" t="s">
        <v>6194</v>
      </c>
      <c r="C65" s="3">
        <v>29.0</v>
      </c>
      <c r="D65" s="3" t="s">
        <v>6646</v>
      </c>
      <c r="E65" s="3" t="s">
        <v>6645</v>
      </c>
      <c r="F65" s="3" t="s">
        <v>6645</v>
      </c>
      <c r="G65" s="3" t="s">
        <v>6645</v>
      </c>
      <c r="H65" s="3" t="s">
        <v>6645</v>
      </c>
      <c r="I65" s="3" t="s">
        <v>6645</v>
      </c>
      <c r="J65" s="3">
        <v>19.0</v>
      </c>
      <c r="K65" s="3">
        <v>5.0</v>
      </c>
      <c r="L65" s="3">
        <v>0.0</v>
      </c>
      <c r="M65" s="3">
        <v>0.0</v>
      </c>
      <c r="N65" s="3">
        <v>24607.7</v>
      </c>
      <c r="O65" s="3">
        <v>2428.0</v>
      </c>
      <c r="P65" s="3" t="s">
        <v>5899</v>
      </c>
      <c r="Q65" s="3">
        <v>73.0</v>
      </c>
      <c r="R65" s="3">
        <v>93.0</v>
      </c>
      <c r="S65" s="3">
        <v>67.0</v>
      </c>
      <c r="T65" s="3">
        <v>74.0</v>
      </c>
      <c r="U65" s="3">
        <v>73.0</v>
      </c>
      <c r="V65" s="3">
        <v>104.0</v>
      </c>
      <c r="W65" s="3">
        <v>98.0</v>
      </c>
      <c r="X65" s="3">
        <v>102.0</v>
      </c>
      <c r="Y65" s="3">
        <v>63.0</v>
      </c>
      <c r="Z65" s="3">
        <v>94.0</v>
      </c>
      <c r="AA65" s="3">
        <v>98.0</v>
      </c>
      <c r="AB65" s="3">
        <v>63.0</v>
      </c>
      <c r="AC65" s="3">
        <v>67.0</v>
      </c>
      <c r="AD65" s="3">
        <v>69.0</v>
      </c>
      <c r="AE65" s="3">
        <v>66.0</v>
      </c>
      <c r="AF65" s="3">
        <v>100.0</v>
      </c>
      <c r="AG65" s="3">
        <v>50.0</v>
      </c>
      <c r="AH65" s="3">
        <v>61.0</v>
      </c>
      <c r="AI65" s="3">
        <v>69.0</v>
      </c>
      <c r="AJ65" s="3">
        <v>71.0</v>
      </c>
      <c r="AK65" s="3">
        <v>61.0</v>
      </c>
      <c r="AL65" s="3">
        <v>53.0</v>
      </c>
      <c r="AM65" s="3">
        <v>59.0</v>
      </c>
      <c r="AN65" s="3">
        <v>39.0</v>
      </c>
    </row>
    <row r="66" ht="14.25" customHeight="1">
      <c r="A66" s="3">
        <v>64.0</v>
      </c>
      <c r="B66" s="3" t="s">
        <v>6198</v>
      </c>
      <c r="C66" s="3">
        <v>26.0</v>
      </c>
      <c r="D66" s="3" t="s">
        <v>6646</v>
      </c>
      <c r="E66" s="3" t="s">
        <v>6645</v>
      </c>
      <c r="F66" s="3" t="s">
        <v>6645</v>
      </c>
      <c r="G66" s="3" t="s">
        <v>6645</v>
      </c>
      <c r="H66" s="3" t="s">
        <v>6645</v>
      </c>
      <c r="I66" s="3" t="s">
        <v>6646</v>
      </c>
      <c r="J66" s="3">
        <v>19.0</v>
      </c>
      <c r="K66" s="3">
        <v>4.0</v>
      </c>
      <c r="L66" s="3">
        <v>0.0</v>
      </c>
      <c r="M66" s="3">
        <v>0.0</v>
      </c>
      <c r="N66" s="3">
        <v>16900.562</v>
      </c>
      <c r="O66" s="3">
        <v>1522.0</v>
      </c>
      <c r="P66" s="3" t="s">
        <v>5931</v>
      </c>
      <c r="Q66" s="3">
        <v>71.0</v>
      </c>
      <c r="R66" s="3">
        <v>86.0</v>
      </c>
      <c r="S66" s="3">
        <v>58.0</v>
      </c>
      <c r="T66" s="3">
        <v>58.0</v>
      </c>
      <c r="U66" s="3">
        <v>62.0</v>
      </c>
      <c r="V66" s="3">
        <v>78.0</v>
      </c>
      <c r="W66" s="3">
        <v>83.0</v>
      </c>
      <c r="X66" s="3">
        <v>88.0</v>
      </c>
      <c r="Y66" s="3">
        <v>62.0</v>
      </c>
      <c r="Z66" s="3">
        <v>82.0</v>
      </c>
      <c r="AA66" s="3">
        <v>82.0</v>
      </c>
      <c r="AB66" s="3">
        <v>55.0</v>
      </c>
      <c r="AC66" s="3">
        <v>55.0</v>
      </c>
      <c r="AD66" s="3">
        <v>64.0</v>
      </c>
      <c r="AE66" s="3">
        <v>65.0</v>
      </c>
      <c r="AF66" s="3">
        <v>76.0</v>
      </c>
      <c r="AG66" s="3">
        <v>54.0</v>
      </c>
      <c r="AH66" s="3">
        <v>44.0</v>
      </c>
      <c r="AI66" s="3">
        <v>50.0</v>
      </c>
      <c r="AJ66" s="3">
        <v>64.0</v>
      </c>
      <c r="AK66" s="3">
        <v>58.0</v>
      </c>
      <c r="AL66" s="3">
        <v>67.0</v>
      </c>
      <c r="AM66" s="3">
        <v>71.0</v>
      </c>
      <c r="AN66" s="3">
        <v>13.0</v>
      </c>
    </row>
    <row r="67" ht="14.25" customHeight="1">
      <c r="A67" s="3">
        <v>65.0</v>
      </c>
      <c r="B67" s="3" t="s">
        <v>6202</v>
      </c>
      <c r="C67" s="3">
        <v>38.0</v>
      </c>
      <c r="D67" s="3" t="s">
        <v>6646</v>
      </c>
      <c r="E67" s="3" t="s">
        <v>6645</v>
      </c>
      <c r="F67" s="3" t="s">
        <v>6645</v>
      </c>
      <c r="G67" s="3" t="s">
        <v>6645</v>
      </c>
      <c r="H67" s="3" t="s">
        <v>6645</v>
      </c>
      <c r="I67" s="3" t="s">
        <v>6645</v>
      </c>
      <c r="J67" s="3">
        <v>24.0</v>
      </c>
      <c r="K67" s="3">
        <v>5.0</v>
      </c>
      <c r="L67" s="3">
        <v>0.0</v>
      </c>
      <c r="M67" s="3">
        <v>0.0</v>
      </c>
      <c r="N67" s="3">
        <v>11731.518</v>
      </c>
      <c r="O67" s="3">
        <v>4800.0</v>
      </c>
      <c r="P67" s="3" t="s">
        <v>5931</v>
      </c>
      <c r="Q67" s="3">
        <v>72.0</v>
      </c>
      <c r="R67" s="3">
        <v>69.0</v>
      </c>
      <c r="S67" s="3">
        <v>66.0</v>
      </c>
      <c r="T67" s="3">
        <v>67.0</v>
      </c>
      <c r="U67" s="3">
        <v>67.0</v>
      </c>
      <c r="V67" s="3">
        <v>60.0</v>
      </c>
      <c r="W67" s="3">
        <v>76.0</v>
      </c>
      <c r="X67" s="3">
        <v>65.0</v>
      </c>
      <c r="Y67" s="3">
        <v>63.0</v>
      </c>
      <c r="Z67" s="3">
        <v>68.0</v>
      </c>
      <c r="AA67" s="3">
        <v>63.0</v>
      </c>
      <c r="AB67" s="3">
        <v>57.0</v>
      </c>
      <c r="AC67" s="3">
        <v>57.0</v>
      </c>
      <c r="AD67" s="3">
        <v>67.0</v>
      </c>
      <c r="AE67" s="3">
        <v>62.0</v>
      </c>
      <c r="AF67" s="3">
        <v>44.0</v>
      </c>
      <c r="AG67" s="3">
        <v>50.0</v>
      </c>
      <c r="AH67" s="3">
        <v>60.0</v>
      </c>
      <c r="AI67" s="3">
        <v>62.0</v>
      </c>
      <c r="AJ67" s="3">
        <v>48.0</v>
      </c>
      <c r="AK67" s="3">
        <v>44.0</v>
      </c>
      <c r="AL67" s="3">
        <v>48.0</v>
      </c>
      <c r="AM67" s="3">
        <v>47.0</v>
      </c>
      <c r="AN67" s="3">
        <v>51.0</v>
      </c>
    </row>
    <row r="68" ht="14.25" customHeight="1">
      <c r="A68" s="3">
        <v>66.0</v>
      </c>
      <c r="B68" s="3" t="s">
        <v>6205</v>
      </c>
      <c r="C68" s="3">
        <v>32.0</v>
      </c>
      <c r="D68" s="3" t="s">
        <v>6646</v>
      </c>
      <c r="E68" s="3" t="s">
        <v>6645</v>
      </c>
      <c r="F68" s="3" t="s">
        <v>6645</v>
      </c>
      <c r="G68" s="3" t="s">
        <v>6645</v>
      </c>
      <c r="H68" s="3" t="s">
        <v>6645</v>
      </c>
      <c r="I68" s="3" t="s">
        <v>6646</v>
      </c>
      <c r="J68" s="3">
        <v>24.0</v>
      </c>
      <c r="K68" s="3">
        <v>4.0</v>
      </c>
      <c r="L68" s="3">
        <v>0.0</v>
      </c>
      <c r="M68" s="3">
        <v>0.0</v>
      </c>
      <c r="N68" s="3">
        <v>7684.43</v>
      </c>
      <c r="O68" s="3">
        <v>1368.0</v>
      </c>
      <c r="P68" s="3" t="s">
        <v>5899</v>
      </c>
      <c r="Q68" s="3">
        <v>65.0</v>
      </c>
      <c r="R68" s="3">
        <v>55.0</v>
      </c>
      <c r="S68" s="3">
        <v>52.0</v>
      </c>
      <c r="T68" s="3">
        <v>57.0</v>
      </c>
      <c r="U68" s="3">
        <v>59.0</v>
      </c>
      <c r="V68" s="3">
        <v>52.0</v>
      </c>
      <c r="W68" s="3">
        <v>67.0</v>
      </c>
      <c r="X68" s="3">
        <v>60.0</v>
      </c>
      <c r="Y68" s="3">
        <v>61.0</v>
      </c>
      <c r="Z68" s="3">
        <v>59.0</v>
      </c>
      <c r="AA68" s="3">
        <v>60.0</v>
      </c>
      <c r="AB68" s="3">
        <v>61.0</v>
      </c>
      <c r="AC68" s="3">
        <v>53.0</v>
      </c>
      <c r="AD68" s="3">
        <v>58.0</v>
      </c>
      <c r="AE68" s="3">
        <v>55.0</v>
      </c>
      <c r="AF68" s="3">
        <v>46.0</v>
      </c>
      <c r="AG68" s="3">
        <v>44.0</v>
      </c>
      <c r="AH68" s="3">
        <v>50.0</v>
      </c>
      <c r="AI68" s="3">
        <v>56.0</v>
      </c>
      <c r="AJ68" s="3">
        <v>46.0</v>
      </c>
      <c r="AK68" s="3">
        <v>60.0</v>
      </c>
      <c r="AL68" s="3">
        <v>56.0</v>
      </c>
      <c r="AM68" s="3">
        <v>65.0</v>
      </c>
      <c r="AN68" s="3">
        <v>63.0</v>
      </c>
    </row>
    <row r="69" ht="14.25" customHeight="1">
      <c r="A69" s="3">
        <v>67.0</v>
      </c>
      <c r="B69" s="3" t="s">
        <v>6208</v>
      </c>
      <c r="C69" s="3">
        <v>44.0</v>
      </c>
      <c r="D69" s="3" t="s">
        <v>6646</v>
      </c>
      <c r="E69" s="3" t="s">
        <v>6645</v>
      </c>
      <c r="F69" s="3" t="s">
        <v>6645</v>
      </c>
      <c r="G69" s="3" t="s">
        <v>6645</v>
      </c>
      <c r="H69" s="3" t="s">
        <v>6645</v>
      </c>
      <c r="I69" s="3" t="s">
        <v>6645</v>
      </c>
      <c r="J69" s="3">
        <v>24.0</v>
      </c>
      <c r="K69" s="3">
        <v>4.0</v>
      </c>
      <c r="L69" s="3">
        <v>0.0</v>
      </c>
      <c r="M69" s="3">
        <v>0.0</v>
      </c>
      <c r="N69" s="3">
        <v>7453.9594</v>
      </c>
      <c r="O69" s="3">
        <v>1580.0</v>
      </c>
      <c r="P69" s="3" t="s">
        <v>5909</v>
      </c>
      <c r="Q69" s="3">
        <v>58.0</v>
      </c>
      <c r="R69" s="3">
        <v>59.0</v>
      </c>
      <c r="S69" s="3">
        <v>57.0</v>
      </c>
      <c r="T69" s="3">
        <v>59.0</v>
      </c>
      <c r="U69" s="3">
        <v>60.0</v>
      </c>
      <c r="V69" s="3">
        <v>60.0</v>
      </c>
      <c r="W69" s="3">
        <v>64.0</v>
      </c>
      <c r="X69" s="3">
        <v>53.0</v>
      </c>
      <c r="Y69" s="3">
        <v>56.0</v>
      </c>
      <c r="Z69" s="3">
        <v>61.0</v>
      </c>
      <c r="AA69" s="3">
        <v>56.0</v>
      </c>
      <c r="AB69" s="3">
        <v>56.0</v>
      </c>
      <c r="AC69" s="3">
        <v>58.0</v>
      </c>
      <c r="AD69" s="3">
        <v>52.0</v>
      </c>
      <c r="AE69" s="3">
        <v>53.0</v>
      </c>
      <c r="AF69" s="3">
        <v>64.0</v>
      </c>
      <c r="AG69" s="3">
        <v>57.0</v>
      </c>
      <c r="AH69" s="3">
        <v>53.0</v>
      </c>
      <c r="AI69" s="3">
        <v>59.0</v>
      </c>
      <c r="AJ69" s="3">
        <v>41.0</v>
      </c>
      <c r="AK69" s="3">
        <v>64.0</v>
      </c>
      <c r="AL69" s="3">
        <v>55.0</v>
      </c>
      <c r="AM69" s="3">
        <v>42.0</v>
      </c>
      <c r="AN69" s="3">
        <v>44.0</v>
      </c>
    </row>
    <row r="70" ht="14.25" customHeight="1">
      <c r="A70" s="3">
        <v>68.0</v>
      </c>
      <c r="B70" s="3" t="s">
        <v>6210</v>
      </c>
      <c r="C70" s="3">
        <v>26.0</v>
      </c>
      <c r="D70" s="3" t="s">
        <v>6646</v>
      </c>
      <c r="E70" s="3" t="s">
        <v>6645</v>
      </c>
      <c r="F70" s="3" t="s">
        <v>6645</v>
      </c>
      <c r="G70" s="3" t="s">
        <v>6645</v>
      </c>
      <c r="H70" s="3" t="s">
        <v>6645</v>
      </c>
      <c r="I70" s="3" t="s">
        <v>6645</v>
      </c>
      <c r="J70" s="3">
        <v>24.0</v>
      </c>
      <c r="K70" s="3">
        <v>3.0</v>
      </c>
      <c r="L70" s="3">
        <v>0.0</v>
      </c>
      <c r="M70" s="3">
        <v>0.0</v>
      </c>
      <c r="N70" s="3">
        <v>4960.4287</v>
      </c>
      <c r="O70" s="3">
        <v>965.0</v>
      </c>
      <c r="P70" s="3" t="s">
        <v>5931</v>
      </c>
      <c r="Q70" s="3">
        <v>54.0</v>
      </c>
      <c r="R70" s="3">
        <v>54.0</v>
      </c>
      <c r="S70" s="3">
        <v>48.0</v>
      </c>
      <c r="T70" s="3">
        <v>56.0</v>
      </c>
      <c r="U70" s="3">
        <v>56.0</v>
      </c>
      <c r="V70" s="3">
        <v>54.0</v>
      </c>
      <c r="W70" s="3">
        <v>61.0</v>
      </c>
      <c r="X70" s="3">
        <v>49.0</v>
      </c>
      <c r="Y70" s="3">
        <v>54.0</v>
      </c>
      <c r="Z70" s="3">
        <v>56.0</v>
      </c>
      <c r="AA70" s="3">
        <v>54.0</v>
      </c>
      <c r="AB70" s="3">
        <v>48.0</v>
      </c>
      <c r="AC70" s="3">
        <v>50.0</v>
      </c>
      <c r="AD70" s="3">
        <v>54.0</v>
      </c>
      <c r="AE70" s="3">
        <v>50.0</v>
      </c>
      <c r="AF70" s="3">
        <v>44.0</v>
      </c>
      <c r="AG70" s="3">
        <v>66.0</v>
      </c>
      <c r="AH70" s="3">
        <v>47.0</v>
      </c>
      <c r="AI70" s="3">
        <v>42.0</v>
      </c>
      <c r="AJ70" s="3">
        <v>46.0</v>
      </c>
      <c r="AK70" s="3">
        <v>57.0</v>
      </c>
      <c r="AL70" s="3">
        <v>55.0</v>
      </c>
      <c r="AM70" s="3">
        <v>40.0</v>
      </c>
      <c r="AN70" s="3">
        <v>48.0</v>
      </c>
    </row>
    <row r="71" ht="14.25" customHeight="1">
      <c r="A71" s="3">
        <v>69.0</v>
      </c>
      <c r="B71" s="3" t="s">
        <v>6213</v>
      </c>
      <c r="C71" s="3">
        <v>29.0</v>
      </c>
      <c r="D71" s="3" t="s">
        <v>6646</v>
      </c>
      <c r="E71" s="3" t="s">
        <v>6645</v>
      </c>
      <c r="F71" s="3" t="s">
        <v>6645</v>
      </c>
      <c r="G71" s="3" t="s">
        <v>6645</v>
      </c>
      <c r="H71" s="3" t="s">
        <v>6645</v>
      </c>
      <c r="I71" s="3" t="s">
        <v>6646</v>
      </c>
      <c r="J71" s="3">
        <v>24.0</v>
      </c>
      <c r="K71" s="3">
        <v>3.0</v>
      </c>
      <c r="L71" s="3">
        <v>0.0</v>
      </c>
      <c r="M71" s="3">
        <v>0.0</v>
      </c>
      <c r="N71" s="3">
        <v>4829.22</v>
      </c>
      <c r="O71" s="3">
        <v>856.0</v>
      </c>
      <c r="P71" s="3" t="s">
        <v>5899</v>
      </c>
      <c r="Q71" s="3">
        <v>50.0</v>
      </c>
      <c r="R71" s="3">
        <v>50.0</v>
      </c>
      <c r="S71" s="3">
        <v>52.0</v>
      </c>
      <c r="T71" s="3">
        <v>56.0</v>
      </c>
      <c r="U71" s="3">
        <v>50.0</v>
      </c>
      <c r="V71" s="3">
        <v>54.0</v>
      </c>
      <c r="W71" s="3">
        <v>61.0</v>
      </c>
      <c r="X71" s="3">
        <v>50.0</v>
      </c>
      <c r="Y71" s="3">
        <v>49.0</v>
      </c>
      <c r="Z71" s="3">
        <v>59.0</v>
      </c>
      <c r="AA71" s="3">
        <v>52.0</v>
      </c>
      <c r="AB71" s="3">
        <v>49.0</v>
      </c>
      <c r="AC71" s="3">
        <v>48.0</v>
      </c>
      <c r="AD71" s="3">
        <v>50.0</v>
      </c>
      <c r="AE71" s="3">
        <v>52.0</v>
      </c>
      <c r="AF71" s="3">
        <v>66.0</v>
      </c>
      <c r="AG71" s="3">
        <v>46.0</v>
      </c>
      <c r="AH71" s="3">
        <v>52.0</v>
      </c>
      <c r="AI71" s="3">
        <v>65.0</v>
      </c>
      <c r="AJ71" s="3">
        <v>49.0</v>
      </c>
      <c r="AK71" s="3">
        <v>38.0</v>
      </c>
      <c r="AL71" s="3">
        <v>40.0</v>
      </c>
      <c r="AM71" s="3">
        <v>52.0</v>
      </c>
      <c r="AN71" s="3">
        <v>56.0</v>
      </c>
    </row>
    <row r="72" ht="14.25" customHeight="1">
      <c r="A72" s="3">
        <v>70.0</v>
      </c>
      <c r="B72" s="3" t="s">
        <v>6215</v>
      </c>
      <c r="C72" s="3">
        <v>28.0</v>
      </c>
      <c r="D72" s="3" t="s">
        <v>6646</v>
      </c>
      <c r="E72" s="3" t="s">
        <v>6645</v>
      </c>
      <c r="F72" s="3" t="s">
        <v>6645</v>
      </c>
      <c r="G72" s="3" t="s">
        <v>6645</v>
      </c>
      <c r="H72" s="3" t="s">
        <v>6645</v>
      </c>
      <c r="I72" s="3" t="s">
        <v>6645</v>
      </c>
      <c r="J72" s="3">
        <v>24.0</v>
      </c>
      <c r="K72" s="3">
        <v>2.0</v>
      </c>
      <c r="L72" s="3">
        <v>0.0</v>
      </c>
      <c r="M72" s="3">
        <v>0.0</v>
      </c>
      <c r="N72" s="3">
        <v>2747.5537</v>
      </c>
      <c r="O72" s="3">
        <v>360.0</v>
      </c>
      <c r="P72" s="3" t="s">
        <v>5952</v>
      </c>
      <c r="Q72" s="3">
        <v>47.0</v>
      </c>
      <c r="R72" s="3">
        <v>44.0</v>
      </c>
      <c r="S72" s="3">
        <v>46.0</v>
      </c>
      <c r="T72" s="3">
        <v>47.0</v>
      </c>
      <c r="U72" s="3">
        <v>41.0</v>
      </c>
      <c r="V72" s="3">
        <v>43.0</v>
      </c>
      <c r="W72" s="3">
        <v>52.0</v>
      </c>
      <c r="X72" s="3">
        <v>42.0</v>
      </c>
      <c r="Y72" s="3">
        <v>40.0</v>
      </c>
      <c r="Z72" s="3">
        <v>48.0</v>
      </c>
      <c r="AA72" s="3">
        <v>48.0</v>
      </c>
      <c r="AB72" s="3">
        <v>45.0</v>
      </c>
      <c r="AC72" s="3">
        <v>48.0</v>
      </c>
      <c r="AD72" s="3">
        <v>44.0</v>
      </c>
      <c r="AE72" s="3">
        <v>41.0</v>
      </c>
      <c r="AF72" s="3">
        <v>36.0</v>
      </c>
      <c r="AG72" s="3">
        <v>52.0</v>
      </c>
      <c r="AH72" s="3">
        <v>42.0</v>
      </c>
      <c r="AI72" s="3">
        <v>36.0</v>
      </c>
      <c r="AJ72" s="3">
        <v>52.0</v>
      </c>
      <c r="AK72" s="3">
        <v>54.0</v>
      </c>
      <c r="AL72" s="3">
        <v>38.0</v>
      </c>
      <c r="AM72" s="3">
        <v>36.0</v>
      </c>
      <c r="AN72" s="3">
        <v>36.0</v>
      </c>
    </row>
    <row r="73" ht="14.25" customHeight="1">
      <c r="A73" s="3">
        <v>71.0</v>
      </c>
      <c r="B73" s="3" t="s">
        <v>6218</v>
      </c>
      <c r="C73" s="3">
        <v>30.0</v>
      </c>
      <c r="D73" s="3" t="s">
        <v>6646</v>
      </c>
      <c r="E73" s="3" t="s">
        <v>6645</v>
      </c>
      <c r="F73" s="3" t="s">
        <v>6645</v>
      </c>
      <c r="G73" s="3" t="s">
        <v>6645</v>
      </c>
      <c r="H73" s="3" t="s">
        <v>6645</v>
      </c>
      <c r="I73" s="3" t="s">
        <v>6645</v>
      </c>
      <c r="J73" s="3">
        <v>24.0</v>
      </c>
      <c r="K73" s="3">
        <v>2.0</v>
      </c>
      <c r="L73" s="3">
        <v>0.0</v>
      </c>
      <c r="M73" s="3">
        <v>0.0</v>
      </c>
      <c r="N73" s="3">
        <v>2610.3764</v>
      </c>
      <c r="O73" s="3">
        <v>316.0</v>
      </c>
      <c r="P73" s="3" t="s">
        <v>5909</v>
      </c>
      <c r="Q73" s="3">
        <v>45.0</v>
      </c>
      <c r="R73" s="3">
        <v>48.0</v>
      </c>
      <c r="S73" s="3">
        <v>48.0</v>
      </c>
      <c r="T73" s="3">
        <v>44.0</v>
      </c>
      <c r="U73" s="3">
        <v>44.0</v>
      </c>
      <c r="V73" s="3">
        <v>41.0</v>
      </c>
      <c r="W73" s="3">
        <v>54.0</v>
      </c>
      <c r="X73" s="3">
        <v>45.0</v>
      </c>
      <c r="Y73" s="3">
        <v>44.0</v>
      </c>
      <c r="Z73" s="3">
        <v>49.0</v>
      </c>
      <c r="AA73" s="3">
        <v>35.0</v>
      </c>
      <c r="AB73" s="3">
        <v>45.0</v>
      </c>
      <c r="AC73" s="3">
        <v>44.0</v>
      </c>
      <c r="AD73" s="3">
        <v>50.0</v>
      </c>
      <c r="AE73" s="3">
        <v>49.0</v>
      </c>
      <c r="AF73" s="3">
        <v>42.0</v>
      </c>
      <c r="AG73" s="3">
        <v>44.0</v>
      </c>
      <c r="AH73" s="3">
        <v>48.0</v>
      </c>
      <c r="AI73" s="3">
        <v>58.0</v>
      </c>
      <c r="AJ73" s="3">
        <v>44.0</v>
      </c>
      <c r="AK73" s="3">
        <v>36.0</v>
      </c>
      <c r="AL73" s="3">
        <v>58.0</v>
      </c>
      <c r="AM73" s="3">
        <v>56.0</v>
      </c>
      <c r="AN73" s="3">
        <v>50.0</v>
      </c>
    </row>
    <row r="74" ht="14.25" customHeight="1">
      <c r="A74" s="3">
        <v>72.0</v>
      </c>
      <c r="B74" s="3" t="s">
        <v>6220</v>
      </c>
      <c r="C74" s="3">
        <v>36.0</v>
      </c>
      <c r="D74" s="3" t="s">
        <v>6646</v>
      </c>
      <c r="E74" s="3" t="s">
        <v>6645</v>
      </c>
      <c r="F74" s="3" t="s">
        <v>6645</v>
      </c>
      <c r="G74" s="3" t="s">
        <v>6645</v>
      </c>
      <c r="H74" s="3" t="s">
        <v>6645</v>
      </c>
      <c r="I74" s="3" t="s">
        <v>6645</v>
      </c>
      <c r="J74" s="3">
        <v>20.0</v>
      </c>
      <c r="K74" s="3">
        <v>5.0</v>
      </c>
      <c r="L74" s="3">
        <v>0.0</v>
      </c>
      <c r="M74" s="3">
        <v>0.0</v>
      </c>
      <c r="N74" s="3">
        <v>13052.646</v>
      </c>
      <c r="O74" s="3">
        <v>4800.0</v>
      </c>
      <c r="P74" s="3" t="s">
        <v>5931</v>
      </c>
      <c r="Q74" s="3">
        <v>65.0</v>
      </c>
      <c r="R74" s="3">
        <v>64.0</v>
      </c>
      <c r="S74" s="3">
        <v>65.0</v>
      </c>
      <c r="T74" s="3">
        <v>65.0</v>
      </c>
      <c r="U74" s="3">
        <v>70.0</v>
      </c>
      <c r="V74" s="3">
        <v>80.0</v>
      </c>
      <c r="W74" s="3">
        <v>66.0</v>
      </c>
      <c r="X74" s="3">
        <v>63.0</v>
      </c>
      <c r="Y74" s="3">
        <v>59.0</v>
      </c>
      <c r="Z74" s="3">
        <v>72.0</v>
      </c>
      <c r="AA74" s="3">
        <v>68.0</v>
      </c>
      <c r="AB74" s="3">
        <v>67.0</v>
      </c>
      <c r="AC74" s="3">
        <v>85.0</v>
      </c>
      <c r="AD74" s="3">
        <v>63.0</v>
      </c>
      <c r="AE74" s="3">
        <v>63.0</v>
      </c>
      <c r="AF74" s="3">
        <v>66.0</v>
      </c>
      <c r="AG74" s="3">
        <v>58.0</v>
      </c>
      <c r="AH74" s="3">
        <v>67.0</v>
      </c>
      <c r="AI74" s="3">
        <v>73.0</v>
      </c>
      <c r="AJ74" s="3">
        <v>53.0</v>
      </c>
      <c r="AK74" s="3">
        <v>58.0</v>
      </c>
      <c r="AL74" s="3">
        <v>55.0</v>
      </c>
      <c r="AM74" s="3">
        <v>60.0</v>
      </c>
      <c r="AN74" s="3">
        <v>53.0</v>
      </c>
    </row>
    <row r="75" ht="14.25" customHeight="1">
      <c r="A75" s="3">
        <v>73.0</v>
      </c>
      <c r="B75" s="3" t="s">
        <v>6222</v>
      </c>
      <c r="C75" s="3">
        <v>32.0</v>
      </c>
      <c r="D75" s="3" t="s">
        <v>6646</v>
      </c>
      <c r="E75" s="3" t="s">
        <v>6645</v>
      </c>
      <c r="F75" s="3" t="s">
        <v>6645</v>
      </c>
      <c r="G75" s="3" t="s">
        <v>6645</v>
      </c>
      <c r="H75" s="3" t="s">
        <v>6645</v>
      </c>
      <c r="I75" s="3" t="s">
        <v>6645</v>
      </c>
      <c r="J75" s="3">
        <v>21.0</v>
      </c>
      <c r="K75" s="3">
        <v>5.0</v>
      </c>
      <c r="L75" s="3">
        <v>0.0</v>
      </c>
      <c r="M75" s="3">
        <v>0.0</v>
      </c>
      <c r="N75" s="3">
        <v>10594.479</v>
      </c>
      <c r="O75" s="3">
        <v>4800.0</v>
      </c>
      <c r="P75" s="3" t="s">
        <v>5909</v>
      </c>
      <c r="Q75" s="3">
        <v>58.0</v>
      </c>
      <c r="R75" s="3">
        <v>68.0</v>
      </c>
      <c r="S75" s="3">
        <v>64.0</v>
      </c>
      <c r="T75" s="3">
        <v>64.0</v>
      </c>
      <c r="U75" s="3">
        <v>62.0</v>
      </c>
      <c r="V75" s="3">
        <v>64.0</v>
      </c>
      <c r="W75" s="3">
        <v>55.0</v>
      </c>
      <c r="X75" s="3">
        <v>69.0</v>
      </c>
      <c r="Y75" s="3">
        <v>60.0</v>
      </c>
      <c r="Z75" s="3">
        <v>60.0</v>
      </c>
      <c r="AA75" s="3">
        <v>58.0</v>
      </c>
      <c r="AB75" s="3">
        <v>79.0</v>
      </c>
      <c r="AC75" s="3">
        <v>62.0</v>
      </c>
      <c r="AD75" s="3">
        <v>61.0</v>
      </c>
      <c r="AE75" s="3">
        <v>58.0</v>
      </c>
      <c r="AF75" s="3">
        <v>54.0</v>
      </c>
      <c r="AG75" s="3">
        <v>68.0</v>
      </c>
      <c r="AH75" s="3">
        <v>54.0</v>
      </c>
      <c r="AI75" s="3">
        <v>64.0</v>
      </c>
      <c r="AJ75" s="3">
        <v>63.0</v>
      </c>
      <c r="AK75" s="3">
        <v>66.0</v>
      </c>
      <c r="AL75" s="3">
        <v>46.0</v>
      </c>
      <c r="AM75" s="3">
        <v>61.0</v>
      </c>
      <c r="AN75" s="3">
        <v>53.0</v>
      </c>
    </row>
    <row r="76" ht="14.25" customHeight="1">
      <c r="A76" s="3">
        <v>74.0</v>
      </c>
      <c r="B76" s="3" t="s">
        <v>6224</v>
      </c>
      <c r="C76" s="3">
        <v>34.0</v>
      </c>
      <c r="D76" s="3" t="s">
        <v>6646</v>
      </c>
      <c r="E76" s="3" t="s">
        <v>6645</v>
      </c>
      <c r="F76" s="3" t="s">
        <v>6645</v>
      </c>
      <c r="G76" s="3" t="s">
        <v>6645</v>
      </c>
      <c r="H76" s="3" t="s">
        <v>6645</v>
      </c>
      <c r="I76" s="3" t="s">
        <v>6646</v>
      </c>
      <c r="J76" s="3">
        <v>22.0</v>
      </c>
      <c r="K76" s="3">
        <v>5.0</v>
      </c>
      <c r="L76" s="3">
        <v>0.0</v>
      </c>
      <c r="M76" s="3">
        <v>0.0</v>
      </c>
      <c r="N76" s="3">
        <v>11426.4</v>
      </c>
      <c r="O76" s="3">
        <v>4800.0</v>
      </c>
      <c r="P76" s="3" t="s">
        <v>5899</v>
      </c>
      <c r="Q76" s="3">
        <v>69.0</v>
      </c>
      <c r="R76" s="3">
        <v>68.0</v>
      </c>
      <c r="S76" s="3">
        <v>67.0</v>
      </c>
      <c r="T76" s="3">
        <v>64.0</v>
      </c>
      <c r="U76" s="3">
        <v>69.0</v>
      </c>
      <c r="V76" s="3">
        <v>60.0</v>
      </c>
      <c r="W76" s="3">
        <v>66.0</v>
      </c>
      <c r="X76" s="3">
        <v>60.0</v>
      </c>
      <c r="Y76" s="3">
        <v>65.0</v>
      </c>
      <c r="Z76" s="3">
        <v>64.0</v>
      </c>
      <c r="AA76" s="3">
        <v>77.0</v>
      </c>
      <c r="AB76" s="3">
        <v>64.0</v>
      </c>
      <c r="AC76" s="3">
        <v>57.0</v>
      </c>
      <c r="AD76" s="3">
        <v>73.0</v>
      </c>
      <c r="AE76" s="3">
        <v>64.0</v>
      </c>
      <c r="AF76" s="3">
        <v>44.0</v>
      </c>
      <c r="AG76" s="3">
        <v>42.0</v>
      </c>
      <c r="AH76" s="3">
        <v>66.0</v>
      </c>
      <c r="AI76" s="3">
        <v>61.0</v>
      </c>
      <c r="AJ76" s="3">
        <v>52.0</v>
      </c>
      <c r="AK76" s="3">
        <v>68.0</v>
      </c>
      <c r="AL76" s="3">
        <v>65.0</v>
      </c>
      <c r="AM76" s="3">
        <v>66.0</v>
      </c>
      <c r="AN76" s="3">
        <v>56.0</v>
      </c>
    </row>
    <row r="77" ht="14.25" customHeight="1">
      <c r="A77" s="3">
        <v>75.0</v>
      </c>
      <c r="B77" s="3" t="s">
        <v>6226</v>
      </c>
      <c r="C77" s="3">
        <v>31.0</v>
      </c>
      <c r="D77" s="3" t="s">
        <v>6646</v>
      </c>
      <c r="E77" s="3" t="s">
        <v>6645</v>
      </c>
      <c r="F77" s="3" t="s">
        <v>6645</v>
      </c>
      <c r="G77" s="3" t="s">
        <v>6645</v>
      </c>
      <c r="H77" s="3" t="s">
        <v>6645</v>
      </c>
      <c r="I77" s="3" t="s">
        <v>6646</v>
      </c>
      <c r="J77" s="3">
        <v>23.0</v>
      </c>
      <c r="K77" s="3">
        <v>5.0</v>
      </c>
      <c r="L77" s="3">
        <v>0.0</v>
      </c>
      <c r="M77" s="3">
        <v>0.0</v>
      </c>
      <c r="N77" s="3">
        <v>10557.778</v>
      </c>
      <c r="O77" s="3">
        <v>4800.0</v>
      </c>
      <c r="P77" s="3" t="s">
        <v>5909</v>
      </c>
      <c r="Q77" s="3">
        <v>62.0</v>
      </c>
      <c r="R77" s="3">
        <v>64.0</v>
      </c>
      <c r="S77" s="3">
        <v>62.0</v>
      </c>
      <c r="T77" s="3">
        <v>64.0</v>
      </c>
      <c r="U77" s="3">
        <v>66.0</v>
      </c>
      <c r="V77" s="3">
        <v>66.0</v>
      </c>
      <c r="W77" s="3">
        <v>66.0</v>
      </c>
      <c r="X77" s="3">
        <v>60.0</v>
      </c>
      <c r="Y77" s="3">
        <v>72.0</v>
      </c>
      <c r="Z77" s="3">
        <v>54.0</v>
      </c>
      <c r="AA77" s="3">
        <v>56.0</v>
      </c>
      <c r="AB77" s="3">
        <v>71.0</v>
      </c>
      <c r="AC77" s="3">
        <v>60.0</v>
      </c>
      <c r="AD77" s="3">
        <v>66.0</v>
      </c>
      <c r="AE77" s="3">
        <v>60.0</v>
      </c>
      <c r="AF77" s="3">
        <v>47.0</v>
      </c>
      <c r="AG77" s="3">
        <v>52.0</v>
      </c>
      <c r="AH77" s="3">
        <v>64.0</v>
      </c>
      <c r="AI77" s="3">
        <v>56.0</v>
      </c>
      <c r="AJ77" s="3">
        <v>66.0</v>
      </c>
      <c r="AK77" s="3">
        <v>50.0</v>
      </c>
      <c r="AL77" s="3">
        <v>69.0</v>
      </c>
      <c r="AM77" s="3">
        <v>64.0</v>
      </c>
      <c r="AN77" s="3">
        <v>60.0</v>
      </c>
    </row>
    <row r="78" ht="14.25" customHeight="1">
      <c r="A78" s="3">
        <v>76.0</v>
      </c>
      <c r="B78" s="3" t="s">
        <v>6228</v>
      </c>
      <c r="C78" s="3">
        <v>35.0</v>
      </c>
      <c r="D78" s="3" t="s">
        <v>6646</v>
      </c>
      <c r="E78" s="3" t="s">
        <v>6645</v>
      </c>
      <c r="F78" s="3" t="s">
        <v>6645</v>
      </c>
      <c r="G78" s="3" t="s">
        <v>6645</v>
      </c>
      <c r="H78" s="3" t="s">
        <v>6645</v>
      </c>
      <c r="I78" s="3" t="s">
        <v>6645</v>
      </c>
      <c r="J78" s="3">
        <v>26.0</v>
      </c>
      <c r="K78" s="3">
        <v>5.0</v>
      </c>
      <c r="L78" s="3">
        <v>0.0</v>
      </c>
      <c r="M78" s="3">
        <v>0.0</v>
      </c>
      <c r="N78" s="3">
        <v>10879.951</v>
      </c>
      <c r="O78" s="3">
        <v>4800.0</v>
      </c>
      <c r="P78" s="3" t="s">
        <v>5909</v>
      </c>
      <c r="Q78" s="3">
        <v>64.0</v>
      </c>
      <c r="R78" s="3">
        <v>63.0</v>
      </c>
      <c r="S78" s="3">
        <v>60.0</v>
      </c>
      <c r="T78" s="3">
        <v>66.0</v>
      </c>
      <c r="U78" s="3">
        <v>61.0</v>
      </c>
      <c r="V78" s="3">
        <v>65.0</v>
      </c>
      <c r="W78" s="3">
        <v>60.0</v>
      </c>
      <c r="X78" s="3">
        <v>73.0</v>
      </c>
      <c r="Y78" s="3">
        <v>67.0</v>
      </c>
      <c r="Z78" s="3">
        <v>57.0</v>
      </c>
      <c r="AA78" s="3">
        <v>57.0</v>
      </c>
      <c r="AB78" s="3">
        <v>64.0</v>
      </c>
      <c r="AC78" s="3">
        <v>69.0</v>
      </c>
      <c r="AD78" s="3">
        <v>62.0</v>
      </c>
      <c r="AE78" s="3">
        <v>82.0</v>
      </c>
      <c r="AF78" s="3">
        <v>54.0</v>
      </c>
      <c r="AG78" s="3">
        <v>44.0</v>
      </c>
      <c r="AH78" s="3">
        <v>55.0</v>
      </c>
      <c r="AI78" s="3">
        <v>57.0</v>
      </c>
      <c r="AJ78" s="3">
        <v>57.0</v>
      </c>
      <c r="AK78" s="3">
        <v>64.0</v>
      </c>
      <c r="AL78" s="3">
        <v>57.0</v>
      </c>
      <c r="AM78" s="3">
        <v>67.0</v>
      </c>
      <c r="AN78" s="3">
        <v>44.0</v>
      </c>
    </row>
    <row r="79" ht="14.25" customHeight="1">
      <c r="A79" s="3">
        <v>77.0</v>
      </c>
      <c r="B79" s="3" t="s">
        <v>6230</v>
      </c>
      <c r="C79" s="3">
        <v>33.0</v>
      </c>
      <c r="D79" s="3" t="s">
        <v>6646</v>
      </c>
      <c r="E79" s="3" t="s">
        <v>6645</v>
      </c>
      <c r="F79" s="3" t="s">
        <v>6645</v>
      </c>
      <c r="G79" s="3" t="s">
        <v>6645</v>
      </c>
      <c r="H79" s="3" t="s">
        <v>6645</v>
      </c>
      <c r="I79" s="3" t="s">
        <v>6646</v>
      </c>
      <c r="J79" s="3">
        <v>27.0</v>
      </c>
      <c r="K79" s="3">
        <v>5.0</v>
      </c>
      <c r="L79" s="3">
        <v>0.0</v>
      </c>
      <c r="M79" s="3">
        <v>0.0</v>
      </c>
      <c r="N79" s="3">
        <v>13065.775</v>
      </c>
      <c r="O79" s="3">
        <v>4800.0</v>
      </c>
      <c r="P79" s="3" t="s">
        <v>5931</v>
      </c>
      <c r="Q79" s="3">
        <v>69.0</v>
      </c>
      <c r="R79" s="3">
        <v>70.0</v>
      </c>
      <c r="S79" s="3">
        <v>72.0</v>
      </c>
      <c r="T79" s="3">
        <v>68.0</v>
      </c>
      <c r="U79" s="3">
        <v>70.0</v>
      </c>
      <c r="V79" s="3">
        <v>64.0</v>
      </c>
      <c r="W79" s="3">
        <v>68.0</v>
      </c>
      <c r="X79" s="3">
        <v>66.0</v>
      </c>
      <c r="Y79" s="3">
        <v>64.0</v>
      </c>
      <c r="Z79" s="3">
        <v>68.0</v>
      </c>
      <c r="AA79" s="3">
        <v>65.0</v>
      </c>
      <c r="AB79" s="3">
        <v>70.0</v>
      </c>
      <c r="AC79" s="3">
        <v>66.0</v>
      </c>
      <c r="AD79" s="3">
        <v>63.0</v>
      </c>
      <c r="AE79" s="3">
        <v>86.0</v>
      </c>
      <c r="AF79" s="3">
        <v>44.0</v>
      </c>
      <c r="AG79" s="3">
        <v>68.0</v>
      </c>
      <c r="AH79" s="3">
        <v>62.0</v>
      </c>
      <c r="AI79" s="3">
        <v>52.0</v>
      </c>
      <c r="AJ79" s="3">
        <v>72.0</v>
      </c>
      <c r="AK79" s="3">
        <v>69.0</v>
      </c>
      <c r="AL79" s="3">
        <v>58.0</v>
      </c>
      <c r="AM79" s="3">
        <v>46.0</v>
      </c>
      <c r="AN79" s="3">
        <v>50.0</v>
      </c>
    </row>
    <row r="80" ht="14.25" customHeight="1">
      <c r="A80" s="3">
        <v>78.0</v>
      </c>
      <c r="B80" s="3" t="s">
        <v>6232</v>
      </c>
      <c r="C80" s="3">
        <v>34.0</v>
      </c>
      <c r="D80" s="3" t="s">
        <v>6646</v>
      </c>
      <c r="E80" s="3" t="s">
        <v>6645</v>
      </c>
      <c r="F80" s="3" t="s">
        <v>6645</v>
      </c>
      <c r="G80" s="3" t="s">
        <v>6645</v>
      </c>
      <c r="H80" s="3" t="s">
        <v>6645</v>
      </c>
      <c r="I80" s="3" t="s">
        <v>6645</v>
      </c>
      <c r="J80" s="3">
        <v>28.0</v>
      </c>
      <c r="K80" s="3">
        <v>5.0</v>
      </c>
      <c r="L80" s="3">
        <v>0.0</v>
      </c>
      <c r="M80" s="3">
        <v>0.0</v>
      </c>
      <c r="N80" s="3">
        <v>11889.8</v>
      </c>
      <c r="O80" s="3">
        <v>4800.0</v>
      </c>
      <c r="P80" s="3" t="s">
        <v>5899</v>
      </c>
      <c r="Q80" s="3">
        <v>65.0</v>
      </c>
      <c r="R80" s="3">
        <v>68.0</v>
      </c>
      <c r="S80" s="3">
        <v>66.0</v>
      </c>
      <c r="T80" s="3">
        <v>66.0</v>
      </c>
      <c r="U80" s="3">
        <v>69.0</v>
      </c>
      <c r="V80" s="3">
        <v>61.0</v>
      </c>
      <c r="W80" s="3">
        <v>68.0</v>
      </c>
      <c r="X80" s="3">
        <v>75.0</v>
      </c>
      <c r="Y80" s="3">
        <v>61.0</v>
      </c>
      <c r="Z80" s="3">
        <v>64.0</v>
      </c>
      <c r="AA80" s="3">
        <v>75.0</v>
      </c>
      <c r="AB80" s="3">
        <v>63.0</v>
      </c>
      <c r="AC80" s="3">
        <v>58.0</v>
      </c>
      <c r="AD80" s="3">
        <v>71.0</v>
      </c>
      <c r="AE80" s="3">
        <v>68.0</v>
      </c>
      <c r="AF80" s="3">
        <v>55.0</v>
      </c>
      <c r="AG80" s="3">
        <v>63.0</v>
      </c>
      <c r="AH80" s="3">
        <v>54.0</v>
      </c>
      <c r="AI80" s="3">
        <v>68.0</v>
      </c>
      <c r="AJ80" s="3">
        <v>71.0</v>
      </c>
      <c r="AK80" s="3">
        <v>51.0</v>
      </c>
      <c r="AL80" s="3">
        <v>44.0</v>
      </c>
      <c r="AM80" s="3">
        <v>60.0</v>
      </c>
      <c r="AN80" s="3">
        <v>51.0</v>
      </c>
    </row>
    <row r="81" ht="14.25" customHeight="1">
      <c r="A81" s="3">
        <v>79.0</v>
      </c>
      <c r="B81" s="3" t="s">
        <v>6234</v>
      </c>
      <c r="C81" s="3">
        <v>38.0</v>
      </c>
      <c r="D81" s="3" t="s">
        <v>6646</v>
      </c>
      <c r="E81" s="3" t="s">
        <v>6645</v>
      </c>
      <c r="F81" s="3" t="s">
        <v>6645</v>
      </c>
      <c r="G81" s="3" t="s">
        <v>6645</v>
      </c>
      <c r="H81" s="3" t="s">
        <v>6645</v>
      </c>
      <c r="I81" s="3" t="s">
        <v>6646</v>
      </c>
      <c r="J81" s="3">
        <v>29.0</v>
      </c>
      <c r="K81" s="3">
        <v>5.0</v>
      </c>
      <c r="L81" s="3">
        <v>0.0</v>
      </c>
      <c r="M81" s="3">
        <v>0.0</v>
      </c>
      <c r="N81" s="3">
        <v>10439.524</v>
      </c>
      <c r="O81" s="3">
        <v>4800.0</v>
      </c>
      <c r="P81" s="3" t="s">
        <v>5909</v>
      </c>
      <c r="Q81" s="3">
        <v>64.0</v>
      </c>
      <c r="R81" s="3">
        <v>58.0</v>
      </c>
      <c r="S81" s="3">
        <v>58.0</v>
      </c>
      <c r="T81" s="3">
        <v>58.0</v>
      </c>
      <c r="U81" s="3">
        <v>66.0</v>
      </c>
      <c r="V81" s="3">
        <v>62.0</v>
      </c>
      <c r="W81" s="3">
        <v>60.0</v>
      </c>
      <c r="X81" s="3">
        <v>58.0</v>
      </c>
      <c r="Y81" s="3">
        <v>70.0</v>
      </c>
      <c r="Z81" s="3">
        <v>55.0</v>
      </c>
      <c r="AA81" s="3">
        <v>64.0</v>
      </c>
      <c r="AB81" s="3">
        <v>55.0</v>
      </c>
      <c r="AC81" s="3">
        <v>71.0</v>
      </c>
      <c r="AD81" s="3">
        <v>60.0</v>
      </c>
      <c r="AE81" s="3">
        <v>58.0</v>
      </c>
      <c r="AF81" s="3">
        <v>68.0</v>
      </c>
      <c r="AG81" s="3">
        <v>54.0</v>
      </c>
      <c r="AH81" s="3">
        <v>54.0</v>
      </c>
      <c r="AI81" s="3">
        <v>48.0</v>
      </c>
      <c r="AJ81" s="3">
        <v>43.0</v>
      </c>
      <c r="AK81" s="3">
        <v>100.0</v>
      </c>
      <c r="AL81" s="3">
        <v>63.0</v>
      </c>
      <c r="AM81" s="3">
        <v>69.0</v>
      </c>
      <c r="AN81" s="3">
        <v>32.0</v>
      </c>
    </row>
    <row r="82" ht="14.25" customHeight="1">
      <c r="A82" s="3">
        <v>80.0</v>
      </c>
      <c r="B82" s="3" t="s">
        <v>6236</v>
      </c>
      <c r="C82" s="3">
        <v>49.0</v>
      </c>
      <c r="D82" s="3" t="s">
        <v>6646</v>
      </c>
      <c r="E82" s="3" t="s">
        <v>6645</v>
      </c>
      <c r="F82" s="3" t="s">
        <v>6645</v>
      </c>
      <c r="G82" s="3" t="s">
        <v>6645</v>
      </c>
      <c r="H82" s="3" t="s">
        <v>6645</v>
      </c>
      <c r="I82" s="3" t="s">
        <v>6645</v>
      </c>
      <c r="J82" s="3">
        <v>-1.0</v>
      </c>
      <c r="K82" s="3">
        <v>5.0</v>
      </c>
      <c r="L82" s="3">
        <v>0.0</v>
      </c>
      <c r="M82" s="3">
        <v>0.0</v>
      </c>
      <c r="N82" s="3">
        <v>29274.2</v>
      </c>
      <c r="O82" s="3">
        <v>2750.0</v>
      </c>
      <c r="P82" s="3" t="s">
        <v>5931</v>
      </c>
      <c r="Q82" s="3">
        <v>104.0</v>
      </c>
      <c r="R82" s="3">
        <v>64.0</v>
      </c>
      <c r="S82" s="3">
        <v>60.0</v>
      </c>
      <c r="T82" s="3">
        <v>97.0</v>
      </c>
      <c r="U82" s="3">
        <v>120.0</v>
      </c>
      <c r="V82" s="3">
        <v>60.0</v>
      </c>
      <c r="W82" s="3">
        <v>72.0</v>
      </c>
      <c r="X82" s="3">
        <v>81.0</v>
      </c>
      <c r="Y82" s="3">
        <v>85.0</v>
      </c>
      <c r="Z82" s="3">
        <v>61.0</v>
      </c>
      <c r="AA82" s="3">
        <v>61.0</v>
      </c>
      <c r="AB82" s="3">
        <v>63.0</v>
      </c>
      <c r="AC82" s="3">
        <v>111.0</v>
      </c>
      <c r="AD82" s="3">
        <v>56.0</v>
      </c>
      <c r="AE82" s="3">
        <v>63.0</v>
      </c>
      <c r="AF82" s="3">
        <v>43.0</v>
      </c>
      <c r="AG82" s="3">
        <v>62.0</v>
      </c>
      <c r="AH82" s="3">
        <v>38.0</v>
      </c>
      <c r="AI82" s="3">
        <v>54.0</v>
      </c>
      <c r="AJ82" s="3">
        <v>79.0</v>
      </c>
      <c r="AK82" s="3">
        <v>70.0</v>
      </c>
      <c r="AL82" s="3">
        <v>59.0</v>
      </c>
      <c r="AM82" s="3">
        <v>58.0</v>
      </c>
      <c r="AN82" s="3">
        <v>63.0</v>
      </c>
    </row>
    <row r="83" ht="14.25" customHeight="1">
      <c r="A83" s="3">
        <v>81.0</v>
      </c>
      <c r="B83" s="3" t="s">
        <v>6239</v>
      </c>
      <c r="C83" s="3">
        <v>55.0</v>
      </c>
      <c r="D83" s="3" t="s">
        <v>6646</v>
      </c>
      <c r="E83" s="3" t="s">
        <v>6645</v>
      </c>
      <c r="F83" s="3" t="s">
        <v>6645</v>
      </c>
      <c r="G83" s="3" t="s">
        <v>6645</v>
      </c>
      <c r="H83" s="3" t="s">
        <v>6645</v>
      </c>
      <c r="I83" s="3" t="s">
        <v>6645</v>
      </c>
      <c r="J83" s="3">
        <v>-1.0</v>
      </c>
      <c r="K83" s="3">
        <v>5.0</v>
      </c>
      <c r="L83" s="3">
        <v>0.0</v>
      </c>
      <c r="M83" s="3">
        <v>0.0</v>
      </c>
      <c r="N83" s="3">
        <v>16796.87</v>
      </c>
      <c r="O83" s="3">
        <v>3871.0</v>
      </c>
      <c r="P83" s="3" t="s">
        <v>5899</v>
      </c>
      <c r="Q83" s="3">
        <v>60.0</v>
      </c>
      <c r="R83" s="3">
        <v>87.0</v>
      </c>
      <c r="S83" s="3">
        <v>84.0</v>
      </c>
      <c r="T83" s="3">
        <v>56.0</v>
      </c>
      <c r="U83" s="3">
        <v>63.0</v>
      </c>
      <c r="V83" s="3">
        <v>60.0</v>
      </c>
      <c r="W83" s="3">
        <v>64.0</v>
      </c>
      <c r="X83" s="3">
        <v>66.0</v>
      </c>
      <c r="Y83" s="3">
        <v>83.0</v>
      </c>
      <c r="Z83" s="3">
        <v>60.0</v>
      </c>
      <c r="AA83" s="3">
        <v>58.0</v>
      </c>
      <c r="AB83" s="3">
        <v>65.0</v>
      </c>
      <c r="AC83" s="3">
        <v>63.0</v>
      </c>
      <c r="AD83" s="3">
        <v>54.0</v>
      </c>
      <c r="AE83" s="3">
        <v>110.0</v>
      </c>
      <c r="AF83" s="3">
        <v>20.0</v>
      </c>
      <c r="AG83" s="3">
        <v>99.0</v>
      </c>
      <c r="AH83" s="3">
        <v>55.0</v>
      </c>
      <c r="AI83" s="3">
        <v>50.0</v>
      </c>
      <c r="AJ83" s="3">
        <v>68.0</v>
      </c>
      <c r="AK83" s="3">
        <v>41.0</v>
      </c>
      <c r="AL83" s="3">
        <v>69.0</v>
      </c>
      <c r="AM83" s="3">
        <v>54.0</v>
      </c>
      <c r="AN83" s="3">
        <v>64.0</v>
      </c>
    </row>
    <row r="84" ht="14.25" customHeight="1">
      <c r="A84" s="3">
        <v>82.0</v>
      </c>
      <c r="B84" s="3" t="s">
        <v>6241</v>
      </c>
      <c r="C84" s="3">
        <v>35.0</v>
      </c>
      <c r="D84" s="3" t="s">
        <v>6646</v>
      </c>
      <c r="E84" s="3" t="s">
        <v>6645</v>
      </c>
      <c r="F84" s="3" t="s">
        <v>6645</v>
      </c>
      <c r="G84" s="3" t="s">
        <v>6645</v>
      </c>
      <c r="H84" s="3" t="s">
        <v>6645</v>
      </c>
      <c r="I84" s="3" t="s">
        <v>6646</v>
      </c>
      <c r="J84" s="3">
        <v>-1.0</v>
      </c>
      <c r="K84" s="3">
        <v>5.0</v>
      </c>
      <c r="L84" s="3">
        <v>0.0</v>
      </c>
      <c r="M84" s="3">
        <v>0.0</v>
      </c>
      <c r="N84" s="3">
        <v>17793.273</v>
      </c>
      <c r="O84" s="3">
        <v>3540.0</v>
      </c>
      <c r="P84" s="3" t="s">
        <v>5931</v>
      </c>
      <c r="Q84" s="3">
        <v>90.0</v>
      </c>
      <c r="R84" s="3">
        <v>60.0</v>
      </c>
      <c r="S84" s="3">
        <v>97.0</v>
      </c>
      <c r="T84" s="3">
        <v>61.0</v>
      </c>
      <c r="U84" s="3">
        <v>76.0</v>
      </c>
      <c r="V84" s="3">
        <v>59.0</v>
      </c>
      <c r="W84" s="3">
        <v>92.0</v>
      </c>
      <c r="X84" s="3">
        <v>70.0</v>
      </c>
      <c r="Y84" s="3">
        <v>83.0</v>
      </c>
      <c r="Z84" s="3">
        <v>64.0</v>
      </c>
      <c r="AA84" s="3">
        <v>59.0</v>
      </c>
      <c r="AB84" s="3">
        <v>78.0</v>
      </c>
      <c r="AC84" s="3">
        <v>58.0</v>
      </c>
      <c r="AD84" s="3">
        <v>95.0</v>
      </c>
      <c r="AE84" s="3">
        <v>52.0</v>
      </c>
      <c r="AF84" s="3">
        <v>45.0</v>
      </c>
      <c r="AG84" s="3">
        <v>69.0</v>
      </c>
      <c r="AH84" s="3">
        <v>69.0</v>
      </c>
      <c r="AI84" s="3">
        <v>52.0</v>
      </c>
      <c r="AJ84" s="3">
        <v>63.0</v>
      </c>
      <c r="AK84" s="3">
        <v>51.0</v>
      </c>
      <c r="AL84" s="3">
        <v>43.0</v>
      </c>
      <c r="AM84" s="3">
        <v>49.0</v>
      </c>
      <c r="AN84" s="3">
        <v>85.0</v>
      </c>
    </row>
    <row r="85" ht="14.25" customHeight="1">
      <c r="A85" s="3">
        <v>83.0</v>
      </c>
      <c r="B85" s="3" t="s">
        <v>6244</v>
      </c>
      <c r="C85" s="3">
        <v>33.0</v>
      </c>
      <c r="D85" s="3" t="s">
        <v>6646</v>
      </c>
      <c r="E85" s="3" t="s">
        <v>6645</v>
      </c>
      <c r="F85" s="3" t="s">
        <v>6645</v>
      </c>
      <c r="G85" s="3" t="s">
        <v>6645</v>
      </c>
      <c r="H85" s="3" t="s">
        <v>6645</v>
      </c>
      <c r="I85" s="3" t="s">
        <v>6645</v>
      </c>
      <c r="J85" s="3">
        <v>-1.0</v>
      </c>
      <c r="K85" s="3">
        <v>5.0</v>
      </c>
      <c r="L85" s="3">
        <v>0.0</v>
      </c>
      <c r="M85" s="3">
        <v>0.0</v>
      </c>
      <c r="N85" s="3">
        <v>19071.0</v>
      </c>
      <c r="O85" s="3">
        <v>3660.0</v>
      </c>
      <c r="P85" s="3" t="s">
        <v>5909</v>
      </c>
      <c r="Q85" s="3">
        <v>91.0</v>
      </c>
      <c r="R85" s="3">
        <v>63.0</v>
      </c>
      <c r="S85" s="3">
        <v>57.0</v>
      </c>
      <c r="T85" s="3">
        <v>60.0</v>
      </c>
      <c r="U85" s="3">
        <v>84.0</v>
      </c>
      <c r="V85" s="3">
        <v>68.0</v>
      </c>
      <c r="W85" s="3">
        <v>83.0</v>
      </c>
      <c r="X85" s="3">
        <v>71.0</v>
      </c>
      <c r="Y85" s="3">
        <v>84.0</v>
      </c>
      <c r="Z85" s="3">
        <v>86.0</v>
      </c>
      <c r="AA85" s="3">
        <v>56.0</v>
      </c>
      <c r="AB85" s="3">
        <v>85.0</v>
      </c>
      <c r="AC85" s="3">
        <v>52.0</v>
      </c>
      <c r="AD85" s="3">
        <v>60.0</v>
      </c>
      <c r="AE85" s="3">
        <v>58.0</v>
      </c>
      <c r="AF85" s="3">
        <v>63.0</v>
      </c>
      <c r="AG85" s="3">
        <v>56.0</v>
      </c>
      <c r="AH85" s="3">
        <v>48.0</v>
      </c>
      <c r="AI85" s="3">
        <v>57.0</v>
      </c>
      <c r="AJ85" s="3">
        <v>80.0</v>
      </c>
      <c r="AK85" s="3">
        <v>50.0</v>
      </c>
      <c r="AL85" s="3">
        <v>68.0</v>
      </c>
      <c r="AM85" s="3">
        <v>22.0</v>
      </c>
      <c r="AN85" s="3">
        <v>51.0</v>
      </c>
    </row>
    <row r="86" ht="14.25" customHeight="1">
      <c r="A86" s="3">
        <v>84.0</v>
      </c>
      <c r="B86" s="3" t="s">
        <v>6247</v>
      </c>
      <c r="C86" s="3">
        <v>29.0</v>
      </c>
      <c r="D86" s="3" t="s">
        <v>6646</v>
      </c>
      <c r="E86" s="3" t="s">
        <v>6645</v>
      </c>
      <c r="F86" s="3" t="s">
        <v>6645</v>
      </c>
      <c r="G86" s="3" t="s">
        <v>6645</v>
      </c>
      <c r="H86" s="3" t="s">
        <v>6645</v>
      </c>
      <c r="I86" s="3" t="s">
        <v>6646</v>
      </c>
      <c r="J86" s="3">
        <v>-1.0</v>
      </c>
      <c r="K86" s="3">
        <v>4.0</v>
      </c>
      <c r="L86" s="3">
        <v>0.0</v>
      </c>
      <c r="M86" s="3">
        <v>0.0</v>
      </c>
      <c r="N86" s="3">
        <v>10374.3</v>
      </c>
      <c r="O86" s="3">
        <v>1620.0</v>
      </c>
      <c r="P86" s="3" t="s">
        <v>5931</v>
      </c>
      <c r="Q86" s="3">
        <v>60.0</v>
      </c>
      <c r="R86" s="3">
        <v>65.0</v>
      </c>
      <c r="S86" s="3">
        <v>59.0</v>
      </c>
      <c r="T86" s="3">
        <v>53.0</v>
      </c>
      <c r="U86" s="3">
        <v>53.0</v>
      </c>
      <c r="V86" s="3">
        <v>70.0</v>
      </c>
      <c r="W86" s="3">
        <v>66.0</v>
      </c>
      <c r="X86" s="3">
        <v>71.0</v>
      </c>
      <c r="Y86" s="3">
        <v>53.0</v>
      </c>
      <c r="Z86" s="3">
        <v>68.0</v>
      </c>
      <c r="AA86" s="3">
        <v>67.0</v>
      </c>
      <c r="AB86" s="3">
        <v>47.0</v>
      </c>
      <c r="AC86" s="3">
        <v>50.0</v>
      </c>
      <c r="AD86" s="3">
        <v>52.0</v>
      </c>
      <c r="AE86" s="3">
        <v>54.0</v>
      </c>
      <c r="AF86" s="3">
        <v>76.0</v>
      </c>
      <c r="AG86" s="3">
        <v>66.0</v>
      </c>
      <c r="AH86" s="3">
        <v>57.0</v>
      </c>
      <c r="AI86" s="3">
        <v>45.0</v>
      </c>
      <c r="AJ86" s="3">
        <v>66.0</v>
      </c>
      <c r="AK86" s="3">
        <v>38.0</v>
      </c>
      <c r="AL86" s="3">
        <v>56.0</v>
      </c>
      <c r="AM86" s="3">
        <v>30.0</v>
      </c>
      <c r="AN86" s="3">
        <v>40.0</v>
      </c>
    </row>
    <row r="87" ht="14.25" customHeight="1">
      <c r="A87" s="3">
        <v>85.0</v>
      </c>
      <c r="B87" s="3" t="s">
        <v>6250</v>
      </c>
      <c r="C87" s="3">
        <v>26.0</v>
      </c>
      <c r="D87" s="3" t="s">
        <v>6646</v>
      </c>
      <c r="E87" s="3" t="s">
        <v>6645</v>
      </c>
      <c r="F87" s="3" t="s">
        <v>6645</v>
      </c>
      <c r="G87" s="3" t="s">
        <v>6645</v>
      </c>
      <c r="H87" s="3" t="s">
        <v>6645</v>
      </c>
      <c r="I87" s="3" t="s">
        <v>6645</v>
      </c>
      <c r="J87" s="3">
        <v>-1.0</v>
      </c>
      <c r="K87" s="3">
        <v>4.0</v>
      </c>
      <c r="L87" s="3">
        <v>0.0</v>
      </c>
      <c r="M87" s="3">
        <v>0.0</v>
      </c>
      <c r="N87" s="3">
        <v>10569.565</v>
      </c>
      <c r="O87" s="3">
        <v>1277.0</v>
      </c>
      <c r="P87" s="3" t="s">
        <v>5924</v>
      </c>
      <c r="Q87" s="3">
        <v>53.0</v>
      </c>
      <c r="R87" s="3">
        <v>57.0</v>
      </c>
      <c r="S87" s="3">
        <v>63.0</v>
      </c>
      <c r="T87" s="3">
        <v>60.0</v>
      </c>
      <c r="U87" s="3">
        <v>57.0</v>
      </c>
      <c r="V87" s="3">
        <v>53.0</v>
      </c>
      <c r="W87" s="3">
        <v>66.0</v>
      </c>
      <c r="X87" s="3">
        <v>70.0</v>
      </c>
      <c r="Y87" s="3">
        <v>62.0</v>
      </c>
      <c r="Z87" s="3">
        <v>73.0</v>
      </c>
      <c r="AA87" s="3">
        <v>55.0</v>
      </c>
      <c r="AB87" s="3">
        <v>49.0</v>
      </c>
      <c r="AC87" s="3">
        <v>47.0</v>
      </c>
      <c r="AD87" s="3">
        <v>67.0</v>
      </c>
      <c r="AE87" s="3">
        <v>65.0</v>
      </c>
      <c r="AF87" s="3">
        <v>60.0</v>
      </c>
      <c r="AG87" s="3">
        <v>95.0</v>
      </c>
      <c r="AH87" s="3">
        <v>39.0</v>
      </c>
      <c r="AI87" s="3">
        <v>50.0</v>
      </c>
      <c r="AJ87" s="3">
        <v>22.0</v>
      </c>
      <c r="AK87" s="3">
        <v>80.0</v>
      </c>
      <c r="AL87" s="3">
        <v>34.0</v>
      </c>
      <c r="AM87" s="3">
        <v>46.0</v>
      </c>
      <c r="AN87" s="3">
        <v>62.0</v>
      </c>
    </row>
    <row r="88" ht="14.25" customHeight="1">
      <c r="A88" s="3">
        <v>86.0</v>
      </c>
      <c r="B88" s="3" t="s">
        <v>6253</v>
      </c>
      <c r="C88" s="3">
        <v>22.0</v>
      </c>
      <c r="D88" s="3" t="s">
        <v>6646</v>
      </c>
      <c r="E88" s="3" t="s">
        <v>6645</v>
      </c>
      <c r="F88" s="3" t="s">
        <v>6645</v>
      </c>
      <c r="G88" s="3" t="s">
        <v>6645</v>
      </c>
      <c r="H88" s="3" t="s">
        <v>6645</v>
      </c>
      <c r="I88" s="3" t="s">
        <v>6646</v>
      </c>
      <c r="J88" s="3">
        <v>-1.0</v>
      </c>
      <c r="K88" s="3">
        <v>4.0</v>
      </c>
      <c r="L88" s="3">
        <v>0.0</v>
      </c>
      <c r="M88" s="3">
        <v>0.0</v>
      </c>
      <c r="N88" s="3">
        <v>10712.736</v>
      </c>
      <c r="O88" s="3">
        <v>1246.0</v>
      </c>
      <c r="P88" s="3" t="s">
        <v>5931</v>
      </c>
      <c r="Q88" s="3">
        <v>70.0</v>
      </c>
      <c r="R88" s="3">
        <v>51.0</v>
      </c>
      <c r="S88" s="3">
        <v>53.0</v>
      </c>
      <c r="T88" s="3">
        <v>66.0</v>
      </c>
      <c r="U88" s="3">
        <v>56.0</v>
      </c>
      <c r="V88" s="3">
        <v>57.0</v>
      </c>
      <c r="W88" s="3">
        <v>60.0</v>
      </c>
      <c r="X88" s="3">
        <v>77.0</v>
      </c>
      <c r="Y88" s="3">
        <v>59.0</v>
      </c>
      <c r="Z88" s="3">
        <v>56.0</v>
      </c>
      <c r="AA88" s="3">
        <v>48.0</v>
      </c>
      <c r="AB88" s="3">
        <v>69.0</v>
      </c>
      <c r="AC88" s="3">
        <v>52.0</v>
      </c>
      <c r="AD88" s="3">
        <v>51.0</v>
      </c>
      <c r="AE88" s="3">
        <v>69.0</v>
      </c>
      <c r="AF88" s="3">
        <v>51.0</v>
      </c>
      <c r="AG88" s="3">
        <v>66.0</v>
      </c>
      <c r="AH88" s="3">
        <v>54.0</v>
      </c>
      <c r="AI88" s="3">
        <v>68.0</v>
      </c>
      <c r="AJ88" s="3">
        <v>61.0</v>
      </c>
      <c r="AK88" s="3">
        <v>9.0</v>
      </c>
      <c r="AL88" s="3">
        <v>46.0</v>
      </c>
      <c r="AM88" s="3">
        <v>41.0</v>
      </c>
      <c r="AN88" s="3">
        <v>52.0</v>
      </c>
    </row>
    <row r="89" ht="14.25" customHeight="1">
      <c r="A89" s="3">
        <v>87.0</v>
      </c>
      <c r="B89" s="3" t="s">
        <v>6256</v>
      </c>
      <c r="C89" s="3">
        <v>31.0</v>
      </c>
      <c r="D89" s="3" t="s">
        <v>6646</v>
      </c>
      <c r="E89" s="3" t="s">
        <v>6645</v>
      </c>
      <c r="F89" s="3" t="s">
        <v>6645</v>
      </c>
      <c r="G89" s="3" t="s">
        <v>6645</v>
      </c>
      <c r="H89" s="3" t="s">
        <v>6645</v>
      </c>
      <c r="I89" s="3" t="s">
        <v>6645</v>
      </c>
      <c r="J89" s="3">
        <v>-1.0</v>
      </c>
      <c r="K89" s="3">
        <v>4.0</v>
      </c>
      <c r="L89" s="3">
        <v>0.0</v>
      </c>
      <c r="M89" s="3">
        <v>0.0</v>
      </c>
      <c r="N89" s="3">
        <v>10306.813</v>
      </c>
      <c r="O89" s="3">
        <v>1327.0</v>
      </c>
      <c r="P89" s="3" t="s">
        <v>5899</v>
      </c>
      <c r="Q89" s="3">
        <v>57.0</v>
      </c>
      <c r="R89" s="3">
        <v>64.0</v>
      </c>
      <c r="S89" s="3">
        <v>55.0</v>
      </c>
      <c r="T89" s="3">
        <v>64.0</v>
      </c>
      <c r="U89" s="3">
        <v>57.0</v>
      </c>
      <c r="V89" s="3">
        <v>52.0</v>
      </c>
      <c r="W89" s="3">
        <v>64.0</v>
      </c>
      <c r="X89" s="3">
        <v>68.0</v>
      </c>
      <c r="Y89" s="3">
        <v>71.0</v>
      </c>
      <c r="Z89" s="3">
        <v>58.0</v>
      </c>
      <c r="AA89" s="3">
        <v>48.0</v>
      </c>
      <c r="AB89" s="3">
        <v>51.0</v>
      </c>
      <c r="AC89" s="3">
        <v>68.0</v>
      </c>
      <c r="AD89" s="3">
        <v>75.0</v>
      </c>
      <c r="AE89" s="3">
        <v>58.0</v>
      </c>
      <c r="AF89" s="3">
        <v>66.0</v>
      </c>
      <c r="AG89" s="3">
        <v>77.0</v>
      </c>
      <c r="AH89" s="3">
        <v>38.0</v>
      </c>
      <c r="AI89" s="3">
        <v>22.0</v>
      </c>
      <c r="AJ89" s="3">
        <v>40.0</v>
      </c>
      <c r="AK89" s="3">
        <v>63.0</v>
      </c>
      <c r="AL89" s="3">
        <v>45.0</v>
      </c>
      <c r="AM89" s="3">
        <v>43.0</v>
      </c>
      <c r="AN89" s="3">
        <v>40.0</v>
      </c>
    </row>
    <row r="90" ht="14.25" customHeight="1">
      <c r="A90" s="3">
        <v>88.0</v>
      </c>
      <c r="B90" s="3" t="s">
        <v>6259</v>
      </c>
      <c r="C90" s="3">
        <v>24.0</v>
      </c>
      <c r="D90" s="3" t="s">
        <v>6646</v>
      </c>
      <c r="E90" s="3" t="s">
        <v>6645</v>
      </c>
      <c r="F90" s="3" t="s">
        <v>6645</v>
      </c>
      <c r="G90" s="3" t="s">
        <v>6645</v>
      </c>
      <c r="H90" s="3" t="s">
        <v>6645</v>
      </c>
      <c r="I90" s="3" t="s">
        <v>6646</v>
      </c>
      <c r="J90" s="3">
        <v>-1.0</v>
      </c>
      <c r="K90" s="3">
        <v>4.0</v>
      </c>
      <c r="L90" s="3">
        <v>0.0</v>
      </c>
      <c r="M90" s="3">
        <v>0.0</v>
      </c>
      <c r="N90" s="3">
        <v>9929.14</v>
      </c>
      <c r="O90" s="3">
        <v>1932.0</v>
      </c>
      <c r="P90" s="3" t="s">
        <v>5931</v>
      </c>
      <c r="Q90" s="3">
        <v>57.0</v>
      </c>
      <c r="R90" s="3">
        <v>67.0</v>
      </c>
      <c r="S90" s="3">
        <v>64.0</v>
      </c>
      <c r="T90" s="3">
        <v>57.0</v>
      </c>
      <c r="U90" s="3">
        <v>51.0</v>
      </c>
      <c r="V90" s="3">
        <v>51.0</v>
      </c>
      <c r="W90" s="3">
        <v>59.0</v>
      </c>
      <c r="X90" s="3">
        <v>59.0</v>
      </c>
      <c r="Y90" s="3">
        <v>70.0</v>
      </c>
      <c r="Z90" s="3">
        <v>58.0</v>
      </c>
      <c r="AA90" s="3">
        <v>52.0</v>
      </c>
      <c r="AB90" s="3">
        <v>62.0</v>
      </c>
      <c r="AC90" s="3">
        <v>48.0</v>
      </c>
      <c r="AD90" s="3">
        <v>46.0</v>
      </c>
      <c r="AE90" s="3">
        <v>84.0</v>
      </c>
      <c r="AF90" s="3">
        <v>38.0</v>
      </c>
      <c r="AG90" s="3">
        <v>88.0</v>
      </c>
      <c r="AH90" s="3">
        <v>54.0</v>
      </c>
      <c r="AI90" s="3">
        <v>7.0</v>
      </c>
      <c r="AJ90" s="3">
        <v>58.0</v>
      </c>
      <c r="AK90" s="3">
        <v>50.0</v>
      </c>
      <c r="AL90" s="3">
        <v>49.0</v>
      </c>
      <c r="AM90" s="3">
        <v>59.0</v>
      </c>
      <c r="AN90" s="3">
        <v>46.0</v>
      </c>
    </row>
    <row r="91" ht="14.25" customHeight="1">
      <c r="A91" s="3">
        <v>89.0</v>
      </c>
      <c r="B91" s="3" t="s">
        <v>6261</v>
      </c>
      <c r="C91" s="3">
        <v>36.0</v>
      </c>
      <c r="D91" s="3" t="s">
        <v>6646</v>
      </c>
      <c r="E91" s="3" t="s">
        <v>6645</v>
      </c>
      <c r="F91" s="3" t="s">
        <v>6645</v>
      </c>
      <c r="G91" s="3" t="s">
        <v>6645</v>
      </c>
      <c r="H91" s="3" t="s">
        <v>6645</v>
      </c>
      <c r="I91" s="3" t="s">
        <v>6645</v>
      </c>
      <c r="J91" s="3">
        <v>-1.0</v>
      </c>
      <c r="K91" s="3">
        <v>4.0</v>
      </c>
      <c r="L91" s="3">
        <v>0.0</v>
      </c>
      <c r="M91" s="3">
        <v>0.0</v>
      </c>
      <c r="N91" s="3">
        <v>9732.93</v>
      </c>
      <c r="O91" s="3">
        <v>1548.0</v>
      </c>
      <c r="P91" s="3" t="s">
        <v>5909</v>
      </c>
      <c r="Q91" s="3">
        <v>71.0</v>
      </c>
      <c r="R91" s="3">
        <v>54.0</v>
      </c>
      <c r="S91" s="3">
        <v>57.0</v>
      </c>
      <c r="T91" s="3">
        <v>54.0</v>
      </c>
      <c r="U91" s="3">
        <v>61.0</v>
      </c>
      <c r="V91" s="3">
        <v>58.0</v>
      </c>
      <c r="W91" s="3">
        <v>63.0</v>
      </c>
      <c r="X91" s="3">
        <v>62.0</v>
      </c>
      <c r="Y91" s="3">
        <v>74.0</v>
      </c>
      <c r="Z91" s="3">
        <v>46.0</v>
      </c>
      <c r="AA91" s="3">
        <v>52.0</v>
      </c>
      <c r="AB91" s="3">
        <v>71.0</v>
      </c>
      <c r="AC91" s="3">
        <v>77.0</v>
      </c>
      <c r="AD91" s="3">
        <v>52.0</v>
      </c>
      <c r="AE91" s="3">
        <v>57.0</v>
      </c>
      <c r="AF91" s="3">
        <v>42.0</v>
      </c>
      <c r="AG91" s="3">
        <v>58.0</v>
      </c>
      <c r="AH91" s="3">
        <v>47.0</v>
      </c>
      <c r="AI91" s="3">
        <v>65.0</v>
      </c>
      <c r="AJ91" s="3">
        <v>57.0</v>
      </c>
      <c r="AK91" s="3">
        <v>51.0</v>
      </c>
      <c r="AL91" s="3">
        <v>18.0</v>
      </c>
      <c r="AM91" s="3">
        <v>66.0</v>
      </c>
      <c r="AN91" s="3">
        <v>77.0</v>
      </c>
    </row>
    <row r="92" ht="14.25" customHeight="1">
      <c r="A92" s="3">
        <v>90.0</v>
      </c>
      <c r="B92" s="3" t="s">
        <v>6263</v>
      </c>
      <c r="C92" s="3">
        <v>27.0</v>
      </c>
      <c r="D92" s="3" t="s">
        <v>6646</v>
      </c>
      <c r="E92" s="3" t="s">
        <v>6645</v>
      </c>
      <c r="F92" s="3" t="s">
        <v>6645</v>
      </c>
      <c r="G92" s="3" t="s">
        <v>6645</v>
      </c>
      <c r="H92" s="3" t="s">
        <v>6645</v>
      </c>
      <c r="I92" s="3" t="s">
        <v>6645</v>
      </c>
      <c r="J92" s="3">
        <v>-1.0</v>
      </c>
      <c r="K92" s="3">
        <v>4.0</v>
      </c>
      <c r="L92" s="3">
        <v>0.0</v>
      </c>
      <c r="M92" s="3">
        <v>0.0</v>
      </c>
      <c r="N92" s="3">
        <v>10411.575</v>
      </c>
      <c r="O92" s="3">
        <v>1608.0</v>
      </c>
      <c r="P92" s="3" t="s">
        <v>5899</v>
      </c>
      <c r="Q92" s="3">
        <v>67.0</v>
      </c>
      <c r="R92" s="3">
        <v>65.0</v>
      </c>
      <c r="S92" s="3">
        <v>54.0</v>
      </c>
      <c r="T92" s="3">
        <v>53.0</v>
      </c>
      <c r="U92" s="3">
        <v>58.0</v>
      </c>
      <c r="V92" s="3">
        <v>57.0</v>
      </c>
      <c r="W92" s="3">
        <v>62.0</v>
      </c>
      <c r="X92" s="3">
        <v>61.0</v>
      </c>
      <c r="Y92" s="3">
        <v>76.0</v>
      </c>
      <c r="Z92" s="3">
        <v>52.0</v>
      </c>
      <c r="AA92" s="3">
        <v>85.0</v>
      </c>
      <c r="AB92" s="3">
        <v>71.0</v>
      </c>
      <c r="AC92" s="3">
        <v>53.0</v>
      </c>
      <c r="AD92" s="3">
        <v>55.0</v>
      </c>
      <c r="AE92" s="3">
        <v>48.0</v>
      </c>
      <c r="AF92" s="3">
        <v>64.0</v>
      </c>
      <c r="AG92" s="3">
        <v>39.0</v>
      </c>
      <c r="AH92" s="3">
        <v>52.0</v>
      </c>
      <c r="AI92" s="3">
        <v>40.0</v>
      </c>
      <c r="AJ92" s="3">
        <v>80.0</v>
      </c>
      <c r="AK92" s="3">
        <v>58.0</v>
      </c>
      <c r="AL92" s="3">
        <v>79.0</v>
      </c>
      <c r="AM92" s="3">
        <v>60.0</v>
      </c>
      <c r="AN92" s="3">
        <v>39.0</v>
      </c>
    </row>
    <row r="93" ht="14.25" customHeight="1">
      <c r="A93" s="3">
        <v>91.0</v>
      </c>
      <c r="B93" s="3" t="s">
        <v>6265</v>
      </c>
      <c r="C93" s="3">
        <v>42.0</v>
      </c>
      <c r="D93" s="3" t="s">
        <v>6646</v>
      </c>
      <c r="E93" s="3" t="s">
        <v>6645</v>
      </c>
      <c r="F93" s="3" t="s">
        <v>6645</v>
      </c>
      <c r="G93" s="3" t="s">
        <v>6645</v>
      </c>
      <c r="H93" s="3" t="s">
        <v>6645</v>
      </c>
      <c r="I93" s="3" t="s">
        <v>6645</v>
      </c>
      <c r="J93" s="3">
        <v>-1.0</v>
      </c>
      <c r="K93" s="3">
        <v>4.0</v>
      </c>
      <c r="L93" s="3">
        <v>0.0</v>
      </c>
      <c r="M93" s="3">
        <v>0.0</v>
      </c>
      <c r="N93" s="3">
        <v>8667.32</v>
      </c>
      <c r="O93" s="3">
        <v>1467.0</v>
      </c>
      <c r="P93" s="3" t="s">
        <v>5899</v>
      </c>
      <c r="Q93" s="3">
        <v>70.0</v>
      </c>
      <c r="R93" s="3">
        <v>59.0</v>
      </c>
      <c r="S93" s="3">
        <v>56.0</v>
      </c>
      <c r="T93" s="3">
        <v>54.0</v>
      </c>
      <c r="U93" s="3">
        <v>62.0</v>
      </c>
      <c r="V93" s="3">
        <v>55.0</v>
      </c>
      <c r="W93" s="3">
        <v>66.0</v>
      </c>
      <c r="X93" s="3">
        <v>51.0</v>
      </c>
      <c r="Y93" s="3">
        <v>55.0</v>
      </c>
      <c r="Z93" s="3">
        <v>54.0</v>
      </c>
      <c r="AA93" s="3">
        <v>48.0</v>
      </c>
      <c r="AB93" s="3">
        <v>69.0</v>
      </c>
      <c r="AC93" s="3">
        <v>57.0</v>
      </c>
      <c r="AD93" s="3">
        <v>53.0</v>
      </c>
      <c r="AE93" s="3">
        <v>53.0</v>
      </c>
      <c r="AF93" s="3">
        <v>40.0</v>
      </c>
      <c r="AG93" s="3">
        <v>72.0</v>
      </c>
      <c r="AH93" s="3">
        <v>45.0</v>
      </c>
      <c r="AI93" s="3">
        <v>65.0</v>
      </c>
      <c r="AJ93" s="3">
        <v>50.0</v>
      </c>
      <c r="AK93" s="3">
        <v>48.0</v>
      </c>
      <c r="AL93" s="3">
        <v>29.0</v>
      </c>
      <c r="AM93" s="3">
        <v>47.0</v>
      </c>
      <c r="AN93" s="3">
        <v>65.0</v>
      </c>
    </row>
    <row r="94" ht="14.25" customHeight="1">
      <c r="A94" s="3">
        <v>92.0</v>
      </c>
      <c r="B94" s="3" t="s">
        <v>6268</v>
      </c>
      <c r="C94" s="3">
        <v>45.0</v>
      </c>
      <c r="D94" s="3" t="s">
        <v>6646</v>
      </c>
      <c r="E94" s="3" t="s">
        <v>6645</v>
      </c>
      <c r="F94" s="3" t="s">
        <v>6645</v>
      </c>
      <c r="G94" s="3" t="s">
        <v>6645</v>
      </c>
      <c r="H94" s="3" t="s">
        <v>6645</v>
      </c>
      <c r="I94" s="3" t="s">
        <v>6645</v>
      </c>
      <c r="J94" s="3">
        <v>-1.0</v>
      </c>
      <c r="K94" s="3">
        <v>3.0</v>
      </c>
      <c r="L94" s="3">
        <v>0.0</v>
      </c>
      <c r="M94" s="3">
        <v>0.0</v>
      </c>
      <c r="N94" s="3">
        <v>4042.0634</v>
      </c>
      <c r="O94" s="3">
        <v>902.0</v>
      </c>
      <c r="P94" s="3" t="s">
        <v>5899</v>
      </c>
      <c r="Q94" s="3">
        <v>45.0</v>
      </c>
      <c r="R94" s="3">
        <v>48.0</v>
      </c>
      <c r="S94" s="3">
        <v>47.0</v>
      </c>
      <c r="T94" s="3">
        <v>52.0</v>
      </c>
      <c r="U94" s="3">
        <v>56.0</v>
      </c>
      <c r="V94" s="3">
        <v>51.0</v>
      </c>
      <c r="W94" s="3">
        <v>40.0</v>
      </c>
      <c r="X94" s="3">
        <v>47.0</v>
      </c>
      <c r="Y94" s="3">
        <v>52.0</v>
      </c>
      <c r="Z94" s="3">
        <v>52.0</v>
      </c>
      <c r="AA94" s="3">
        <v>50.0</v>
      </c>
      <c r="AB94" s="3">
        <v>46.0</v>
      </c>
      <c r="AC94" s="3">
        <v>49.0</v>
      </c>
      <c r="AD94" s="3">
        <v>54.0</v>
      </c>
      <c r="AE94" s="3">
        <v>56.0</v>
      </c>
      <c r="AF94" s="3">
        <v>64.0</v>
      </c>
      <c r="AG94" s="3">
        <v>41.0</v>
      </c>
      <c r="AH94" s="3">
        <v>40.0</v>
      </c>
      <c r="AI94" s="3">
        <v>71.0</v>
      </c>
      <c r="AJ94" s="3">
        <v>38.0</v>
      </c>
      <c r="AK94" s="3">
        <v>69.0</v>
      </c>
      <c r="AL94" s="3">
        <v>21.0</v>
      </c>
      <c r="AM94" s="3">
        <v>19.0</v>
      </c>
      <c r="AN94" s="3">
        <v>63.0</v>
      </c>
    </row>
    <row r="95" ht="14.25" customHeight="1">
      <c r="A95" s="3">
        <v>93.0</v>
      </c>
      <c r="B95" s="3" t="s">
        <v>6271</v>
      </c>
      <c r="C95" s="3">
        <v>37.0</v>
      </c>
      <c r="D95" s="3" t="s">
        <v>6646</v>
      </c>
      <c r="E95" s="3" t="s">
        <v>6645</v>
      </c>
      <c r="F95" s="3" t="s">
        <v>6645</v>
      </c>
      <c r="G95" s="3" t="s">
        <v>6645</v>
      </c>
      <c r="H95" s="3" t="s">
        <v>6645</v>
      </c>
      <c r="I95" s="3" t="s">
        <v>6645</v>
      </c>
      <c r="J95" s="3">
        <v>-1.0</v>
      </c>
      <c r="K95" s="3">
        <v>3.0</v>
      </c>
      <c r="L95" s="3">
        <v>0.0</v>
      </c>
      <c r="M95" s="3">
        <v>0.0</v>
      </c>
      <c r="N95" s="3">
        <v>4670.89</v>
      </c>
      <c r="O95" s="3">
        <v>890.0</v>
      </c>
      <c r="P95" s="3" t="s">
        <v>5909</v>
      </c>
      <c r="Q95" s="3">
        <v>45.0</v>
      </c>
      <c r="R95" s="3">
        <v>51.0</v>
      </c>
      <c r="S95" s="3">
        <v>46.0</v>
      </c>
      <c r="T95" s="3">
        <v>52.0</v>
      </c>
      <c r="U95" s="3">
        <v>52.0</v>
      </c>
      <c r="V95" s="3">
        <v>46.0</v>
      </c>
      <c r="W95" s="3">
        <v>45.0</v>
      </c>
      <c r="X95" s="3">
        <v>57.0</v>
      </c>
      <c r="Y95" s="3">
        <v>52.0</v>
      </c>
      <c r="Z95" s="3">
        <v>53.0</v>
      </c>
      <c r="AA95" s="3">
        <v>47.0</v>
      </c>
      <c r="AB95" s="3">
        <v>54.0</v>
      </c>
      <c r="AC95" s="3">
        <v>53.0</v>
      </c>
      <c r="AD95" s="3">
        <v>48.0</v>
      </c>
      <c r="AE95" s="3">
        <v>50.0</v>
      </c>
      <c r="AF95" s="3">
        <v>43.0</v>
      </c>
      <c r="AG95" s="3">
        <v>44.0</v>
      </c>
      <c r="AH95" s="3">
        <v>55.0</v>
      </c>
      <c r="AI95" s="3">
        <v>37.0</v>
      </c>
      <c r="AJ95" s="3">
        <v>51.0</v>
      </c>
      <c r="AK95" s="3">
        <v>62.0</v>
      </c>
      <c r="AL95" s="3">
        <v>51.0</v>
      </c>
      <c r="AM95" s="3">
        <v>49.0</v>
      </c>
      <c r="AN95" s="3">
        <v>45.0</v>
      </c>
    </row>
    <row r="96" ht="14.25" customHeight="1">
      <c r="A96" s="3">
        <v>94.0</v>
      </c>
      <c r="B96" s="3" t="s">
        <v>6274</v>
      </c>
      <c r="C96" s="3">
        <v>35.0</v>
      </c>
      <c r="D96" s="3" t="s">
        <v>6646</v>
      </c>
      <c r="E96" s="3" t="s">
        <v>6645</v>
      </c>
      <c r="F96" s="3" t="s">
        <v>6645</v>
      </c>
      <c r="G96" s="3" t="s">
        <v>6645</v>
      </c>
      <c r="H96" s="3" t="s">
        <v>6645</v>
      </c>
      <c r="I96" s="3" t="s">
        <v>6645</v>
      </c>
      <c r="J96" s="3">
        <v>-1.0</v>
      </c>
      <c r="K96" s="3">
        <v>2.0</v>
      </c>
      <c r="L96" s="3">
        <v>0.0</v>
      </c>
      <c r="M96" s="3">
        <v>0.0</v>
      </c>
      <c r="N96" s="3">
        <v>2304.0725</v>
      </c>
      <c r="O96" s="3">
        <v>473.0</v>
      </c>
      <c r="P96" s="3" t="s">
        <v>5909</v>
      </c>
      <c r="Q96" s="3">
        <v>48.0</v>
      </c>
      <c r="R96" s="3">
        <v>42.0</v>
      </c>
      <c r="S96" s="3">
        <v>44.0</v>
      </c>
      <c r="T96" s="3">
        <v>42.0</v>
      </c>
      <c r="U96" s="3">
        <v>40.0</v>
      </c>
      <c r="V96" s="3">
        <v>48.0</v>
      </c>
      <c r="W96" s="3">
        <v>53.0</v>
      </c>
      <c r="X96" s="3">
        <v>41.0</v>
      </c>
      <c r="Y96" s="3">
        <v>43.0</v>
      </c>
      <c r="Z96" s="3">
        <v>43.0</v>
      </c>
      <c r="AA96" s="3">
        <v>41.0</v>
      </c>
      <c r="AB96" s="3">
        <v>38.0</v>
      </c>
      <c r="AC96" s="3">
        <v>50.0</v>
      </c>
      <c r="AD96" s="3">
        <v>49.0</v>
      </c>
      <c r="AE96" s="3">
        <v>44.0</v>
      </c>
      <c r="AF96" s="3">
        <v>56.0</v>
      </c>
      <c r="AG96" s="3">
        <v>60.0</v>
      </c>
      <c r="AH96" s="3">
        <v>24.0</v>
      </c>
      <c r="AI96" s="3">
        <v>35.0</v>
      </c>
      <c r="AJ96" s="3">
        <v>53.0</v>
      </c>
      <c r="AK96" s="3">
        <v>69.0</v>
      </c>
      <c r="AL96" s="3">
        <v>56.0</v>
      </c>
      <c r="AM96" s="3">
        <v>59.0</v>
      </c>
      <c r="AN96" s="3">
        <v>50.0</v>
      </c>
    </row>
    <row r="97" ht="14.25" customHeight="1">
      <c r="A97" s="3">
        <v>95.0</v>
      </c>
      <c r="B97" s="3" t="s">
        <v>6277</v>
      </c>
      <c r="C97" s="3">
        <v>31.0</v>
      </c>
      <c r="D97" s="3" t="s">
        <v>6646</v>
      </c>
      <c r="E97" s="3" t="s">
        <v>6645</v>
      </c>
      <c r="F97" s="3" t="s">
        <v>6645</v>
      </c>
      <c r="G97" s="3" t="s">
        <v>6645</v>
      </c>
      <c r="H97" s="3" t="s">
        <v>6645</v>
      </c>
      <c r="I97" s="3" t="s">
        <v>6645</v>
      </c>
      <c r="J97" s="3">
        <v>-1.0</v>
      </c>
      <c r="K97" s="3">
        <v>2.0</v>
      </c>
      <c r="L97" s="3">
        <v>0.0</v>
      </c>
      <c r="M97" s="3">
        <v>0.0</v>
      </c>
      <c r="N97" s="3">
        <v>1015.3569</v>
      </c>
      <c r="O97" s="3">
        <v>435.0</v>
      </c>
      <c r="P97" s="3" t="s">
        <v>5952</v>
      </c>
      <c r="Q97" s="3">
        <v>35.0</v>
      </c>
      <c r="R97" s="3">
        <v>38.0</v>
      </c>
      <c r="S97" s="3">
        <v>39.0</v>
      </c>
      <c r="T97" s="3">
        <v>37.0</v>
      </c>
      <c r="U97" s="3">
        <v>38.0</v>
      </c>
      <c r="V97" s="3">
        <v>41.0</v>
      </c>
      <c r="W97" s="3">
        <v>36.0</v>
      </c>
      <c r="X97" s="3">
        <v>41.0</v>
      </c>
      <c r="Y97" s="3">
        <v>41.0</v>
      </c>
      <c r="Z97" s="3">
        <v>42.0</v>
      </c>
      <c r="AA97" s="3">
        <v>37.0</v>
      </c>
      <c r="AB97" s="3">
        <v>32.0</v>
      </c>
      <c r="AC97" s="3">
        <v>36.0</v>
      </c>
      <c r="AD97" s="3">
        <v>47.0</v>
      </c>
      <c r="AE97" s="3">
        <v>30.0</v>
      </c>
      <c r="AF97" s="3">
        <v>66.0</v>
      </c>
      <c r="AG97" s="3">
        <v>11.0</v>
      </c>
      <c r="AH97" s="3">
        <v>43.0</v>
      </c>
      <c r="AI97" s="3">
        <v>58.0</v>
      </c>
      <c r="AJ97" s="3">
        <v>35.0</v>
      </c>
      <c r="AK97" s="3">
        <v>36.0</v>
      </c>
      <c r="AL97" s="3">
        <v>28.0</v>
      </c>
      <c r="AM97" s="3">
        <v>59.0</v>
      </c>
      <c r="AN97" s="3">
        <v>69.0</v>
      </c>
    </row>
    <row r="98" ht="14.25" customHeight="1">
      <c r="A98" s="3">
        <v>96.0</v>
      </c>
      <c r="B98" s="3" t="s">
        <v>6280</v>
      </c>
      <c r="C98" s="3">
        <v>33.0</v>
      </c>
      <c r="D98" s="3" t="s">
        <v>6646</v>
      </c>
      <c r="E98" s="3" t="s">
        <v>6645</v>
      </c>
      <c r="F98" s="3" t="s">
        <v>6645</v>
      </c>
      <c r="G98" s="3" t="s">
        <v>6645</v>
      </c>
      <c r="H98" s="3" t="s">
        <v>6645</v>
      </c>
      <c r="I98" s="3" t="s">
        <v>6645</v>
      </c>
      <c r="J98" s="3">
        <v>-1.0</v>
      </c>
      <c r="K98" s="3">
        <v>1.0</v>
      </c>
      <c r="L98" s="3">
        <v>0.0</v>
      </c>
      <c r="M98" s="3">
        <v>0.0</v>
      </c>
      <c r="N98" s="3">
        <v>1225.315</v>
      </c>
      <c r="O98" s="3">
        <v>181.0</v>
      </c>
      <c r="P98" s="3" t="s">
        <v>5909</v>
      </c>
      <c r="Q98" s="3">
        <v>44.0</v>
      </c>
      <c r="R98" s="3">
        <v>38.0</v>
      </c>
      <c r="S98" s="3">
        <v>35.0</v>
      </c>
      <c r="T98" s="3">
        <v>36.0</v>
      </c>
      <c r="U98" s="3">
        <v>35.0</v>
      </c>
      <c r="V98" s="3">
        <v>38.0</v>
      </c>
      <c r="W98" s="3">
        <v>30.0</v>
      </c>
      <c r="X98" s="3">
        <v>42.0</v>
      </c>
      <c r="Y98" s="3">
        <v>44.0</v>
      </c>
      <c r="Z98" s="3">
        <v>46.0</v>
      </c>
      <c r="AA98" s="3">
        <v>44.0</v>
      </c>
      <c r="AB98" s="3">
        <v>51.0</v>
      </c>
      <c r="AC98" s="3">
        <v>38.0</v>
      </c>
      <c r="AD98" s="3">
        <v>37.0</v>
      </c>
      <c r="AE98" s="3">
        <v>29.0</v>
      </c>
      <c r="AF98" s="3">
        <v>54.0</v>
      </c>
      <c r="AG98" s="3">
        <v>53.0</v>
      </c>
      <c r="AH98" s="3">
        <v>57.0</v>
      </c>
      <c r="AI98" s="3">
        <v>59.0</v>
      </c>
      <c r="AJ98" s="3">
        <v>42.0</v>
      </c>
      <c r="AK98" s="3">
        <v>54.0</v>
      </c>
      <c r="AL98" s="3">
        <v>59.0</v>
      </c>
      <c r="AM98" s="3">
        <v>56.0</v>
      </c>
      <c r="AN98" s="3">
        <v>49.0</v>
      </c>
    </row>
    <row r="99" ht="14.25" customHeight="1">
      <c r="A99" s="3">
        <v>97.0</v>
      </c>
      <c r="B99" s="3" t="s">
        <v>6284</v>
      </c>
      <c r="C99" s="3">
        <v>30.0</v>
      </c>
      <c r="D99" s="3" t="s">
        <v>6646</v>
      </c>
      <c r="E99" s="3" t="s">
        <v>6645</v>
      </c>
      <c r="F99" s="3" t="s">
        <v>6645</v>
      </c>
      <c r="G99" s="3" t="s">
        <v>6645</v>
      </c>
      <c r="H99" s="3" t="s">
        <v>6645</v>
      </c>
      <c r="I99" s="3" t="s">
        <v>6645</v>
      </c>
      <c r="J99" s="3">
        <v>-1.0</v>
      </c>
      <c r="K99" s="3">
        <v>1.0</v>
      </c>
      <c r="L99" s="3">
        <v>0.0</v>
      </c>
      <c r="M99" s="3">
        <v>0.0</v>
      </c>
      <c r="N99" s="3">
        <v>1227.6151</v>
      </c>
      <c r="O99" s="3">
        <v>196.0</v>
      </c>
      <c r="P99" s="3" t="s">
        <v>5952</v>
      </c>
      <c r="Q99" s="3">
        <v>42.0</v>
      </c>
      <c r="R99" s="3">
        <v>38.0</v>
      </c>
      <c r="S99" s="3">
        <v>35.0</v>
      </c>
      <c r="T99" s="3">
        <v>35.0</v>
      </c>
      <c r="U99" s="3">
        <v>39.0</v>
      </c>
      <c r="V99" s="3">
        <v>42.0</v>
      </c>
      <c r="W99" s="3">
        <v>43.0</v>
      </c>
      <c r="X99" s="3">
        <v>52.0</v>
      </c>
      <c r="Y99" s="3">
        <v>40.0</v>
      </c>
      <c r="Z99" s="3">
        <v>36.0</v>
      </c>
      <c r="AA99" s="3">
        <v>31.0</v>
      </c>
      <c r="AB99" s="3">
        <v>43.0</v>
      </c>
      <c r="AC99" s="3">
        <v>42.0</v>
      </c>
      <c r="AD99" s="3">
        <v>35.0</v>
      </c>
      <c r="AE99" s="3">
        <v>43.0</v>
      </c>
      <c r="AF99" s="3">
        <v>50.0</v>
      </c>
      <c r="AG99" s="3">
        <v>53.0</v>
      </c>
      <c r="AH99" s="3">
        <v>32.0</v>
      </c>
      <c r="AI99" s="3">
        <v>34.0</v>
      </c>
      <c r="AJ99" s="3">
        <v>34.0</v>
      </c>
      <c r="AK99" s="3">
        <v>49.0</v>
      </c>
      <c r="AL99" s="3">
        <v>32.0</v>
      </c>
      <c r="AM99" s="3">
        <v>54.0</v>
      </c>
      <c r="AN99" s="3">
        <v>43.0</v>
      </c>
    </row>
    <row r="100" ht="14.25" customHeight="1">
      <c r="A100" s="3">
        <v>98.0</v>
      </c>
      <c r="B100" s="3" t="s">
        <v>6287</v>
      </c>
      <c r="C100" s="3">
        <v>48.0</v>
      </c>
      <c r="D100" s="3" t="s">
        <v>6646</v>
      </c>
      <c r="E100" s="3" t="s">
        <v>6645</v>
      </c>
      <c r="F100" s="3" t="s">
        <v>6645</v>
      </c>
      <c r="G100" s="3" t="s">
        <v>6645</v>
      </c>
      <c r="H100" s="3" t="s">
        <v>6645</v>
      </c>
      <c r="I100" s="3" t="s">
        <v>6645</v>
      </c>
      <c r="J100" s="3">
        <v>-1.0</v>
      </c>
      <c r="K100" s="3">
        <v>4.0</v>
      </c>
      <c r="L100" s="3">
        <v>0.0</v>
      </c>
      <c r="M100" s="3">
        <v>0.0</v>
      </c>
      <c r="N100" s="3">
        <v>8009.9</v>
      </c>
      <c r="O100" s="3">
        <v>1670.0</v>
      </c>
      <c r="P100" s="3" t="s">
        <v>5931</v>
      </c>
      <c r="Q100" s="3">
        <v>64.0</v>
      </c>
      <c r="R100" s="3">
        <v>59.0</v>
      </c>
      <c r="S100" s="3">
        <v>58.0</v>
      </c>
      <c r="T100" s="3">
        <v>59.0</v>
      </c>
      <c r="U100" s="3">
        <v>57.0</v>
      </c>
      <c r="V100" s="3">
        <v>51.0</v>
      </c>
      <c r="W100" s="3">
        <v>54.0</v>
      </c>
      <c r="X100" s="3">
        <v>60.0</v>
      </c>
      <c r="Y100" s="3">
        <v>70.0</v>
      </c>
      <c r="Z100" s="3">
        <v>51.0</v>
      </c>
      <c r="AA100" s="3">
        <v>53.0</v>
      </c>
      <c r="AB100" s="3">
        <v>47.0</v>
      </c>
      <c r="AC100" s="3">
        <v>57.0</v>
      </c>
      <c r="AD100" s="3">
        <v>72.0</v>
      </c>
      <c r="AE100" s="3">
        <v>49.0</v>
      </c>
      <c r="AF100" s="3">
        <v>39.0</v>
      </c>
      <c r="AG100" s="3">
        <v>49.0</v>
      </c>
      <c r="AH100" s="3">
        <v>64.0</v>
      </c>
      <c r="AI100" s="3">
        <v>56.0</v>
      </c>
      <c r="AJ100" s="3">
        <v>67.0</v>
      </c>
      <c r="AK100" s="3">
        <v>52.0</v>
      </c>
      <c r="AL100" s="3">
        <v>33.0</v>
      </c>
      <c r="AM100" s="3">
        <v>56.0</v>
      </c>
      <c r="AN100" s="3">
        <v>70.0</v>
      </c>
    </row>
    <row r="101" ht="14.25" customHeight="1">
      <c r="A101" s="3">
        <v>99.0</v>
      </c>
      <c r="B101" s="3" t="s">
        <v>6290</v>
      </c>
      <c r="C101" s="3">
        <v>43.0</v>
      </c>
      <c r="D101" s="3" t="s">
        <v>6646</v>
      </c>
      <c r="E101" s="3" t="s">
        <v>6645</v>
      </c>
      <c r="F101" s="3" t="s">
        <v>6645</v>
      </c>
      <c r="G101" s="3" t="s">
        <v>6645</v>
      </c>
      <c r="H101" s="3" t="s">
        <v>6645</v>
      </c>
      <c r="I101" s="3" t="s">
        <v>6645</v>
      </c>
      <c r="J101" s="3">
        <v>-1.0</v>
      </c>
      <c r="K101" s="3">
        <v>3.0</v>
      </c>
      <c r="L101" s="3">
        <v>0.0</v>
      </c>
      <c r="M101" s="3">
        <v>0.0</v>
      </c>
      <c r="N101" s="3">
        <v>4869.8657</v>
      </c>
      <c r="O101" s="3">
        <v>704.0</v>
      </c>
      <c r="P101" s="3" t="s">
        <v>5909</v>
      </c>
      <c r="Q101" s="3">
        <v>47.0</v>
      </c>
      <c r="R101" s="3">
        <v>53.0</v>
      </c>
      <c r="S101" s="3">
        <v>49.0</v>
      </c>
      <c r="T101" s="3">
        <v>48.0</v>
      </c>
      <c r="U101" s="3">
        <v>50.0</v>
      </c>
      <c r="V101" s="3">
        <v>53.0</v>
      </c>
      <c r="W101" s="3">
        <v>47.0</v>
      </c>
      <c r="X101" s="3">
        <v>52.0</v>
      </c>
      <c r="Y101" s="3">
        <v>51.0</v>
      </c>
      <c r="Z101" s="3">
        <v>51.0</v>
      </c>
      <c r="AA101" s="3">
        <v>46.0</v>
      </c>
      <c r="AB101" s="3">
        <v>49.0</v>
      </c>
      <c r="AC101" s="3">
        <v>58.0</v>
      </c>
      <c r="AD101" s="3">
        <v>46.0</v>
      </c>
      <c r="AE101" s="3">
        <v>52.0</v>
      </c>
      <c r="AF101" s="3">
        <v>36.0</v>
      </c>
      <c r="AG101" s="3">
        <v>73.0</v>
      </c>
      <c r="AH101" s="3">
        <v>48.0</v>
      </c>
      <c r="AI101" s="3">
        <v>76.0</v>
      </c>
      <c r="AJ101" s="3">
        <v>36.0</v>
      </c>
      <c r="AK101" s="3">
        <v>39.0</v>
      </c>
      <c r="AL101" s="3">
        <v>62.0</v>
      </c>
      <c r="AM101" s="3">
        <v>26.0</v>
      </c>
      <c r="AN101" s="3">
        <v>65.0</v>
      </c>
    </row>
    <row r="102" ht="14.25" customHeight="1">
      <c r="A102" s="3">
        <v>100.0</v>
      </c>
      <c r="B102" s="3" t="s">
        <v>6293</v>
      </c>
      <c r="C102" s="3">
        <v>39.0</v>
      </c>
      <c r="D102" s="3" t="s">
        <v>6646</v>
      </c>
      <c r="E102" s="3" t="s">
        <v>6645</v>
      </c>
      <c r="F102" s="3" t="s">
        <v>6645</v>
      </c>
      <c r="G102" s="3" t="s">
        <v>6645</v>
      </c>
      <c r="H102" s="3" t="s">
        <v>6645</v>
      </c>
      <c r="I102" s="3" t="s">
        <v>6645</v>
      </c>
      <c r="J102" s="3">
        <v>-1.0</v>
      </c>
      <c r="K102" s="3">
        <v>2.0</v>
      </c>
      <c r="L102" s="3">
        <v>0.0</v>
      </c>
      <c r="M102" s="3">
        <v>0.0</v>
      </c>
      <c r="N102" s="3">
        <v>1930.414</v>
      </c>
      <c r="O102" s="3">
        <v>454.0</v>
      </c>
      <c r="P102" s="3" t="s">
        <v>5899</v>
      </c>
      <c r="Q102" s="3">
        <v>44.0</v>
      </c>
      <c r="R102" s="3">
        <v>43.0</v>
      </c>
      <c r="S102" s="3">
        <v>48.0</v>
      </c>
      <c r="T102" s="3">
        <v>44.0</v>
      </c>
      <c r="U102" s="3">
        <v>41.0</v>
      </c>
      <c r="V102" s="3">
        <v>48.0</v>
      </c>
      <c r="W102" s="3">
        <v>53.0</v>
      </c>
      <c r="X102" s="3">
        <v>43.0</v>
      </c>
      <c r="Y102" s="3">
        <v>40.0</v>
      </c>
      <c r="Z102" s="3">
        <v>47.0</v>
      </c>
      <c r="AA102" s="3">
        <v>43.0</v>
      </c>
      <c r="AB102" s="3">
        <v>45.0</v>
      </c>
      <c r="AC102" s="3">
        <v>37.0</v>
      </c>
      <c r="AD102" s="3">
        <v>49.0</v>
      </c>
      <c r="AE102" s="3">
        <v>52.0</v>
      </c>
      <c r="AF102" s="3">
        <v>42.0</v>
      </c>
      <c r="AG102" s="3">
        <v>71.0</v>
      </c>
      <c r="AH102" s="3">
        <v>40.0</v>
      </c>
      <c r="AI102" s="3">
        <v>37.0</v>
      </c>
      <c r="AJ102" s="3">
        <v>80.0</v>
      </c>
      <c r="AK102" s="3">
        <v>63.0</v>
      </c>
      <c r="AL102" s="3">
        <v>4.0</v>
      </c>
      <c r="AM102" s="3">
        <v>33.0</v>
      </c>
      <c r="AN102" s="3">
        <v>57.0</v>
      </c>
    </row>
    <row r="103" ht="14.25" customHeight="1">
      <c r="A103" s="3">
        <v>101.0</v>
      </c>
      <c r="B103" s="3" t="s">
        <v>6296</v>
      </c>
      <c r="C103" s="3">
        <v>40.0</v>
      </c>
      <c r="D103" s="3" t="s">
        <v>6646</v>
      </c>
      <c r="E103" s="3" t="s">
        <v>6645</v>
      </c>
      <c r="F103" s="3" t="s">
        <v>6645</v>
      </c>
      <c r="G103" s="3" t="s">
        <v>6645</v>
      </c>
      <c r="H103" s="3" t="s">
        <v>6645</v>
      </c>
      <c r="I103" s="3" t="s">
        <v>6645</v>
      </c>
      <c r="J103" s="3">
        <v>-1.0</v>
      </c>
      <c r="K103" s="3">
        <v>2.0</v>
      </c>
      <c r="L103" s="3">
        <v>0.0</v>
      </c>
      <c r="M103" s="3">
        <v>0.0</v>
      </c>
      <c r="N103" s="3">
        <v>2341.15</v>
      </c>
      <c r="O103" s="3">
        <v>486.0</v>
      </c>
      <c r="P103" s="3" t="s">
        <v>5952</v>
      </c>
      <c r="Q103" s="3">
        <v>49.0</v>
      </c>
      <c r="R103" s="3">
        <v>48.0</v>
      </c>
      <c r="S103" s="3">
        <v>48.0</v>
      </c>
      <c r="T103" s="3">
        <v>47.0</v>
      </c>
      <c r="U103" s="3">
        <v>48.0</v>
      </c>
      <c r="V103" s="3">
        <v>41.0</v>
      </c>
      <c r="W103" s="3">
        <v>51.0</v>
      </c>
      <c r="X103" s="3">
        <v>43.0</v>
      </c>
      <c r="Y103" s="3">
        <v>43.0</v>
      </c>
      <c r="Z103" s="3">
        <v>45.0</v>
      </c>
      <c r="AA103" s="3">
        <v>40.0</v>
      </c>
      <c r="AB103" s="3">
        <v>45.0</v>
      </c>
      <c r="AC103" s="3">
        <v>38.0</v>
      </c>
      <c r="AD103" s="3">
        <v>49.0</v>
      </c>
      <c r="AE103" s="3">
        <v>44.0</v>
      </c>
      <c r="AF103" s="3">
        <v>47.0</v>
      </c>
      <c r="AG103" s="3">
        <v>13.0</v>
      </c>
      <c r="AH103" s="3">
        <v>54.0</v>
      </c>
      <c r="AI103" s="3">
        <v>49.0</v>
      </c>
      <c r="AJ103" s="3">
        <v>36.0</v>
      </c>
      <c r="AK103" s="3">
        <v>39.0</v>
      </c>
      <c r="AL103" s="3">
        <v>75.0</v>
      </c>
      <c r="AM103" s="3">
        <v>36.0</v>
      </c>
      <c r="AN103" s="3">
        <v>62.0</v>
      </c>
    </row>
    <row r="104" ht="14.25" customHeight="1">
      <c r="A104" s="3">
        <v>102.0</v>
      </c>
      <c r="B104" s="3" t="s">
        <v>6299</v>
      </c>
      <c r="C104" s="3">
        <v>45.0</v>
      </c>
      <c r="D104" s="3" t="s">
        <v>6646</v>
      </c>
      <c r="E104" s="3" t="s">
        <v>6645</v>
      </c>
      <c r="F104" s="3" t="s">
        <v>6645</v>
      </c>
      <c r="G104" s="3" t="s">
        <v>6645</v>
      </c>
      <c r="H104" s="3" t="s">
        <v>6645</v>
      </c>
      <c r="I104" s="3" t="s">
        <v>6645</v>
      </c>
      <c r="J104" s="3">
        <v>-1.0</v>
      </c>
      <c r="K104" s="3">
        <v>2.0</v>
      </c>
      <c r="L104" s="3">
        <v>0.0</v>
      </c>
      <c r="M104" s="3">
        <v>0.0</v>
      </c>
      <c r="N104" s="3">
        <v>1874.8161</v>
      </c>
      <c r="O104" s="3">
        <v>469.0</v>
      </c>
      <c r="P104" s="3" t="s">
        <v>5899</v>
      </c>
      <c r="Q104" s="3">
        <v>41.0</v>
      </c>
      <c r="R104" s="3">
        <v>46.0</v>
      </c>
      <c r="S104" s="3">
        <v>44.0</v>
      </c>
      <c r="T104" s="3">
        <v>43.0</v>
      </c>
      <c r="U104" s="3">
        <v>46.0</v>
      </c>
      <c r="V104" s="3">
        <v>48.0</v>
      </c>
      <c r="W104" s="3">
        <v>48.0</v>
      </c>
      <c r="X104" s="3">
        <v>46.0</v>
      </c>
      <c r="Y104" s="3">
        <v>35.0</v>
      </c>
      <c r="Z104" s="3">
        <v>46.0</v>
      </c>
      <c r="AA104" s="3">
        <v>52.0</v>
      </c>
      <c r="AB104" s="3">
        <v>42.0</v>
      </c>
      <c r="AC104" s="3">
        <v>37.0</v>
      </c>
      <c r="AD104" s="3">
        <v>43.0</v>
      </c>
      <c r="AE104" s="3">
        <v>47.0</v>
      </c>
      <c r="AF104" s="3">
        <v>72.0</v>
      </c>
      <c r="AG104" s="3">
        <v>50.0</v>
      </c>
      <c r="AH104" s="3">
        <v>39.0</v>
      </c>
      <c r="AI104" s="3">
        <v>58.0</v>
      </c>
      <c r="AJ104" s="3">
        <v>26.0</v>
      </c>
      <c r="AK104" s="3">
        <v>34.0</v>
      </c>
      <c r="AL104" s="3">
        <v>55.0</v>
      </c>
      <c r="AM104" s="3">
        <v>36.0</v>
      </c>
      <c r="AN104" s="3">
        <v>35.0</v>
      </c>
    </row>
    <row r="105" ht="14.25" customHeight="1">
      <c r="A105" s="3">
        <v>103.0</v>
      </c>
      <c r="B105" s="3" t="s">
        <v>6302</v>
      </c>
      <c r="C105" s="3">
        <v>33.0</v>
      </c>
      <c r="D105" s="3" t="s">
        <v>6646</v>
      </c>
      <c r="E105" s="3" t="s">
        <v>6645</v>
      </c>
      <c r="F105" s="3" t="s">
        <v>6645</v>
      </c>
      <c r="G105" s="3" t="s">
        <v>6645</v>
      </c>
      <c r="H105" s="3" t="s">
        <v>6645</v>
      </c>
      <c r="I105" s="3" t="s">
        <v>6645</v>
      </c>
      <c r="J105" s="3">
        <v>-1.0</v>
      </c>
      <c r="K105" s="3">
        <v>1.0</v>
      </c>
      <c r="L105" s="3">
        <v>0.0</v>
      </c>
      <c r="M105" s="3">
        <v>0.0</v>
      </c>
      <c r="N105" s="3">
        <v>1196.4287</v>
      </c>
      <c r="O105" s="3">
        <v>240.0</v>
      </c>
      <c r="P105" s="3" t="s">
        <v>5909</v>
      </c>
      <c r="Q105" s="3">
        <v>37.0</v>
      </c>
      <c r="R105" s="3">
        <v>37.0</v>
      </c>
      <c r="S105" s="3">
        <v>35.0</v>
      </c>
      <c r="T105" s="3">
        <v>42.0</v>
      </c>
      <c r="U105" s="3">
        <v>44.0</v>
      </c>
      <c r="V105" s="3">
        <v>38.0</v>
      </c>
      <c r="W105" s="3">
        <v>43.0</v>
      </c>
      <c r="X105" s="3">
        <v>37.0</v>
      </c>
      <c r="Y105" s="3">
        <v>46.0</v>
      </c>
      <c r="Z105" s="3">
        <v>48.0</v>
      </c>
      <c r="AA105" s="3">
        <v>39.0</v>
      </c>
      <c r="AB105" s="3">
        <v>41.0</v>
      </c>
      <c r="AC105" s="3">
        <v>38.0</v>
      </c>
      <c r="AD105" s="3">
        <v>29.0</v>
      </c>
      <c r="AE105" s="3">
        <v>36.0</v>
      </c>
      <c r="AF105" s="3">
        <v>33.0</v>
      </c>
      <c r="AG105" s="3">
        <v>41.0</v>
      </c>
      <c r="AH105" s="3">
        <v>32.0</v>
      </c>
      <c r="AI105" s="3">
        <v>52.0</v>
      </c>
      <c r="AJ105" s="3">
        <v>52.0</v>
      </c>
      <c r="AK105" s="3">
        <v>45.0</v>
      </c>
      <c r="AL105" s="3">
        <v>34.0</v>
      </c>
      <c r="AM105" s="3">
        <v>49.0</v>
      </c>
      <c r="AN105" s="3">
        <v>33.0</v>
      </c>
    </row>
    <row r="106" ht="14.25" customHeight="1">
      <c r="A106" s="3">
        <v>104.0</v>
      </c>
      <c r="B106" s="3" t="s">
        <v>6306</v>
      </c>
      <c r="C106" s="3">
        <v>52.0</v>
      </c>
      <c r="D106" s="3" t="s">
        <v>6646</v>
      </c>
      <c r="E106" s="3" t="s">
        <v>6645</v>
      </c>
      <c r="F106" s="3" t="s">
        <v>6645</v>
      </c>
      <c r="G106" s="3" t="s">
        <v>6645</v>
      </c>
      <c r="H106" s="3" t="s">
        <v>6645</v>
      </c>
      <c r="I106" s="3" t="s">
        <v>6645</v>
      </c>
      <c r="J106" s="3">
        <v>-1.0</v>
      </c>
      <c r="K106" s="3">
        <v>3.0</v>
      </c>
      <c r="L106" s="3">
        <v>0.0</v>
      </c>
      <c r="M106" s="3">
        <v>0.0</v>
      </c>
      <c r="N106" s="3">
        <v>4566.4404</v>
      </c>
      <c r="O106" s="3">
        <v>651.0</v>
      </c>
      <c r="P106" s="3" t="s">
        <v>5909</v>
      </c>
      <c r="Q106" s="3">
        <v>50.0</v>
      </c>
      <c r="R106" s="3">
        <v>49.0</v>
      </c>
      <c r="S106" s="3">
        <v>45.0</v>
      </c>
      <c r="T106" s="3">
        <v>54.0</v>
      </c>
      <c r="U106" s="3">
        <v>51.0</v>
      </c>
      <c r="V106" s="3">
        <v>54.0</v>
      </c>
      <c r="W106" s="3">
        <v>54.0</v>
      </c>
      <c r="X106" s="3">
        <v>45.0</v>
      </c>
      <c r="Y106" s="3">
        <v>54.0</v>
      </c>
      <c r="Z106" s="3">
        <v>49.0</v>
      </c>
      <c r="AA106" s="3">
        <v>43.0</v>
      </c>
      <c r="AB106" s="3">
        <v>61.0</v>
      </c>
      <c r="AC106" s="3">
        <v>40.0</v>
      </c>
      <c r="AD106" s="3">
        <v>53.0</v>
      </c>
      <c r="AE106" s="3">
        <v>51.0</v>
      </c>
      <c r="AF106" s="3">
        <v>47.0</v>
      </c>
      <c r="AG106" s="3">
        <v>16.0</v>
      </c>
      <c r="AH106" s="3">
        <v>46.0</v>
      </c>
      <c r="AI106" s="3">
        <v>43.0</v>
      </c>
      <c r="AJ106" s="3">
        <v>43.0</v>
      </c>
      <c r="AK106" s="3">
        <v>76.0</v>
      </c>
      <c r="AL106" s="3">
        <v>65.0</v>
      </c>
      <c r="AM106" s="3">
        <v>60.0</v>
      </c>
      <c r="AN106" s="3">
        <v>44.0</v>
      </c>
    </row>
    <row r="107" ht="14.25" customHeight="1">
      <c r="A107" s="3">
        <v>105.0</v>
      </c>
      <c r="B107" s="3" t="s">
        <v>6310</v>
      </c>
      <c r="C107" s="3">
        <v>39.0</v>
      </c>
      <c r="D107" s="3" t="s">
        <v>6646</v>
      </c>
      <c r="E107" s="3" t="s">
        <v>6645</v>
      </c>
      <c r="F107" s="3" t="s">
        <v>6645</v>
      </c>
      <c r="G107" s="3" t="s">
        <v>6645</v>
      </c>
      <c r="H107" s="3" t="s">
        <v>6645</v>
      </c>
      <c r="I107" s="3" t="s">
        <v>6645</v>
      </c>
      <c r="J107" s="3">
        <v>-1.0</v>
      </c>
      <c r="K107" s="3">
        <v>2.0</v>
      </c>
      <c r="L107" s="3">
        <v>0.0</v>
      </c>
      <c r="M107" s="3">
        <v>0.0</v>
      </c>
      <c r="N107" s="3">
        <v>2307.0693</v>
      </c>
      <c r="O107" s="3">
        <v>437.0</v>
      </c>
      <c r="P107" s="3" t="s">
        <v>5931</v>
      </c>
      <c r="Q107" s="3">
        <v>41.0</v>
      </c>
      <c r="R107" s="3">
        <v>41.0</v>
      </c>
      <c r="S107" s="3">
        <v>49.0</v>
      </c>
      <c r="T107" s="3">
        <v>48.0</v>
      </c>
      <c r="U107" s="3">
        <v>46.0</v>
      </c>
      <c r="V107" s="3">
        <v>46.0</v>
      </c>
      <c r="W107" s="3">
        <v>46.0</v>
      </c>
      <c r="X107" s="3">
        <v>44.0</v>
      </c>
      <c r="Y107" s="3">
        <v>53.0</v>
      </c>
      <c r="Z107" s="3">
        <v>47.0</v>
      </c>
      <c r="AA107" s="3">
        <v>36.0</v>
      </c>
      <c r="AB107" s="3">
        <v>37.0</v>
      </c>
      <c r="AC107" s="3">
        <v>52.0</v>
      </c>
      <c r="AD107" s="3">
        <v>44.0</v>
      </c>
      <c r="AE107" s="3">
        <v>43.0</v>
      </c>
      <c r="AF107" s="3">
        <v>54.0</v>
      </c>
      <c r="AG107" s="3">
        <v>9.0</v>
      </c>
      <c r="AH107" s="3">
        <v>47.0</v>
      </c>
      <c r="AI107" s="3">
        <v>79.0</v>
      </c>
      <c r="AJ107" s="3">
        <v>72.0</v>
      </c>
      <c r="AK107" s="3">
        <v>27.0</v>
      </c>
      <c r="AL107" s="3">
        <v>24.0</v>
      </c>
      <c r="AM107" s="3">
        <v>66.0</v>
      </c>
      <c r="AN107" s="3">
        <v>49.0</v>
      </c>
    </row>
    <row r="108" ht="14.25" customHeight="1">
      <c r="A108" s="3">
        <v>106.0</v>
      </c>
      <c r="B108" s="3" t="s">
        <v>6313</v>
      </c>
      <c r="C108" s="3">
        <v>26.0</v>
      </c>
      <c r="D108" s="3" t="s">
        <v>6646</v>
      </c>
      <c r="E108" s="3" t="s">
        <v>6645</v>
      </c>
      <c r="F108" s="3" t="s">
        <v>6645</v>
      </c>
      <c r="G108" s="3" t="s">
        <v>6645</v>
      </c>
      <c r="H108" s="3" t="s">
        <v>6645</v>
      </c>
      <c r="I108" s="3" t="s">
        <v>6646</v>
      </c>
      <c r="J108" s="3">
        <v>-1.0</v>
      </c>
      <c r="K108" s="3">
        <v>1.0</v>
      </c>
      <c r="L108" s="3">
        <v>0.0</v>
      </c>
      <c r="M108" s="3">
        <v>0.0</v>
      </c>
      <c r="N108" s="3">
        <v>1132.1339</v>
      </c>
      <c r="O108" s="3">
        <v>184.0</v>
      </c>
      <c r="P108" s="3" t="s">
        <v>5899</v>
      </c>
      <c r="Q108" s="3">
        <v>43.0</v>
      </c>
      <c r="R108" s="3">
        <v>37.0</v>
      </c>
      <c r="S108" s="3">
        <v>40.0</v>
      </c>
      <c r="T108" s="3">
        <v>40.0</v>
      </c>
      <c r="U108" s="3">
        <v>40.0</v>
      </c>
      <c r="V108" s="3">
        <v>41.0</v>
      </c>
      <c r="W108" s="3">
        <v>45.0</v>
      </c>
      <c r="X108" s="3">
        <v>37.0</v>
      </c>
      <c r="Y108" s="3">
        <v>40.0</v>
      </c>
      <c r="Z108" s="3">
        <v>35.0</v>
      </c>
      <c r="AA108" s="3">
        <v>47.0</v>
      </c>
      <c r="AB108" s="3">
        <v>28.0</v>
      </c>
      <c r="AC108" s="3">
        <v>36.0</v>
      </c>
      <c r="AD108" s="3">
        <v>41.0</v>
      </c>
      <c r="AE108" s="3">
        <v>35.0</v>
      </c>
      <c r="AF108" s="3">
        <v>35.0</v>
      </c>
      <c r="AG108" s="3">
        <v>35.0</v>
      </c>
      <c r="AH108" s="3">
        <v>59.0</v>
      </c>
      <c r="AI108" s="3">
        <v>76.0</v>
      </c>
      <c r="AJ108" s="3">
        <v>21.0</v>
      </c>
      <c r="AK108" s="3">
        <v>32.0</v>
      </c>
      <c r="AL108" s="3">
        <v>58.0</v>
      </c>
      <c r="AM108" s="3">
        <v>59.0</v>
      </c>
      <c r="AN108" s="3">
        <v>50.0</v>
      </c>
    </row>
    <row r="109" ht="14.25" customHeight="1">
      <c r="A109" s="3">
        <v>107.0</v>
      </c>
      <c r="B109" s="3" t="s">
        <v>6316</v>
      </c>
      <c r="C109" s="3">
        <v>46.0</v>
      </c>
      <c r="D109" s="3" t="s">
        <v>6646</v>
      </c>
      <c r="E109" s="3" t="s">
        <v>6645</v>
      </c>
      <c r="F109" s="3" t="s">
        <v>6645</v>
      </c>
      <c r="G109" s="3" t="s">
        <v>6645</v>
      </c>
      <c r="H109" s="3" t="s">
        <v>6645</v>
      </c>
      <c r="I109" s="3" t="s">
        <v>6645</v>
      </c>
      <c r="J109" s="3">
        <v>-1.0</v>
      </c>
      <c r="K109" s="3">
        <v>0.0</v>
      </c>
      <c r="L109" s="3">
        <v>0.0</v>
      </c>
      <c r="M109" s="3">
        <v>0.0</v>
      </c>
      <c r="N109" s="3">
        <v>506.21527</v>
      </c>
      <c r="O109" s="3">
        <v>100.0</v>
      </c>
      <c r="P109" s="3" t="s">
        <v>5952</v>
      </c>
      <c r="Q109" s="3">
        <v>36.0</v>
      </c>
      <c r="R109" s="3">
        <v>34.0</v>
      </c>
      <c r="S109" s="3">
        <v>30.0</v>
      </c>
      <c r="T109" s="3">
        <v>38.0</v>
      </c>
      <c r="U109" s="3">
        <v>30.0</v>
      </c>
      <c r="V109" s="3">
        <v>35.0</v>
      </c>
      <c r="W109" s="3">
        <v>37.0</v>
      </c>
      <c r="X109" s="3">
        <v>37.0</v>
      </c>
      <c r="Y109" s="3">
        <v>33.0</v>
      </c>
      <c r="Z109" s="3">
        <v>48.0</v>
      </c>
      <c r="AA109" s="3">
        <v>31.0</v>
      </c>
      <c r="AB109" s="3">
        <v>35.0</v>
      </c>
      <c r="AC109" s="3">
        <v>39.0</v>
      </c>
      <c r="AD109" s="3">
        <v>34.0</v>
      </c>
      <c r="AE109" s="3">
        <v>25.0</v>
      </c>
      <c r="AF109" s="3">
        <v>74.0</v>
      </c>
      <c r="AG109" s="3">
        <v>13.0</v>
      </c>
      <c r="AH109" s="3">
        <v>77.0</v>
      </c>
      <c r="AI109" s="3">
        <v>30.0</v>
      </c>
      <c r="AJ109" s="3">
        <v>37.0</v>
      </c>
      <c r="AK109" s="3">
        <v>50.0</v>
      </c>
      <c r="AL109" s="3">
        <v>34.0</v>
      </c>
      <c r="AM109" s="3">
        <v>49.0</v>
      </c>
      <c r="AN109" s="3">
        <v>38.0</v>
      </c>
    </row>
    <row r="110" ht="14.25" customHeight="1">
      <c r="A110" s="3">
        <v>108.0</v>
      </c>
      <c r="B110" s="3" t="s">
        <v>6318</v>
      </c>
      <c r="C110" s="3">
        <v>26.0</v>
      </c>
      <c r="D110" s="3" t="s">
        <v>6646</v>
      </c>
      <c r="E110" s="3" t="s">
        <v>6645</v>
      </c>
      <c r="F110" s="3" t="s">
        <v>6645</v>
      </c>
      <c r="G110" s="3" t="s">
        <v>6645</v>
      </c>
      <c r="H110" s="3" t="s">
        <v>6645</v>
      </c>
      <c r="I110" s="3" t="s">
        <v>6645</v>
      </c>
      <c r="J110" s="3">
        <v>-1.0</v>
      </c>
      <c r="K110" s="3">
        <v>0.0</v>
      </c>
      <c r="L110" s="3">
        <v>0.0</v>
      </c>
      <c r="M110" s="3">
        <v>0.0</v>
      </c>
      <c r="N110" s="3">
        <v>469.34924</v>
      </c>
      <c r="O110" s="3">
        <v>114.0</v>
      </c>
      <c r="P110" s="3" t="s">
        <v>5952</v>
      </c>
      <c r="Q110" s="3">
        <v>38.0</v>
      </c>
      <c r="R110" s="3">
        <v>35.0</v>
      </c>
      <c r="S110" s="3">
        <v>32.0</v>
      </c>
      <c r="T110" s="3">
        <v>39.0</v>
      </c>
      <c r="U110" s="3">
        <v>33.0</v>
      </c>
      <c r="V110" s="3">
        <v>35.0</v>
      </c>
      <c r="W110" s="3">
        <v>46.0</v>
      </c>
      <c r="X110" s="3">
        <v>33.0</v>
      </c>
      <c r="Y110" s="3">
        <v>37.0</v>
      </c>
      <c r="Z110" s="3">
        <v>41.0</v>
      </c>
      <c r="AA110" s="3">
        <v>33.0</v>
      </c>
      <c r="AB110" s="3">
        <v>34.0</v>
      </c>
      <c r="AC110" s="3">
        <v>30.0</v>
      </c>
      <c r="AD110" s="3">
        <v>31.0</v>
      </c>
      <c r="AE110" s="3">
        <v>37.0</v>
      </c>
      <c r="AF110" s="3">
        <v>69.0</v>
      </c>
      <c r="AG110" s="3">
        <v>67.0</v>
      </c>
      <c r="AH110" s="3">
        <v>49.0</v>
      </c>
      <c r="AI110" s="3">
        <v>20.0</v>
      </c>
      <c r="AJ110" s="3">
        <v>32.0</v>
      </c>
      <c r="AK110" s="3">
        <v>55.0</v>
      </c>
      <c r="AL110" s="3">
        <v>53.0</v>
      </c>
      <c r="AM110" s="3">
        <v>29.0</v>
      </c>
      <c r="AN110" s="3">
        <v>58.0</v>
      </c>
    </row>
    <row r="111" ht="14.25" customHeight="1">
      <c r="A111" s="3">
        <v>109.0</v>
      </c>
      <c r="B111" s="3" t="s">
        <v>6322</v>
      </c>
      <c r="C111" s="3">
        <v>23.0</v>
      </c>
      <c r="D111" s="3" t="s">
        <v>6646</v>
      </c>
      <c r="E111" s="3" t="s">
        <v>6645</v>
      </c>
      <c r="F111" s="3" t="s">
        <v>6645</v>
      </c>
      <c r="G111" s="3" t="s">
        <v>6645</v>
      </c>
      <c r="H111" s="3" t="s">
        <v>6645</v>
      </c>
      <c r="I111" s="3" t="s">
        <v>6645</v>
      </c>
      <c r="J111" s="3">
        <v>-1.0</v>
      </c>
      <c r="K111" s="3">
        <v>0.0</v>
      </c>
      <c r="L111" s="3">
        <v>0.0</v>
      </c>
      <c r="M111" s="3">
        <v>0.0</v>
      </c>
      <c r="N111" s="3">
        <v>537.754</v>
      </c>
      <c r="O111" s="3">
        <v>98.0</v>
      </c>
      <c r="P111" s="3" t="s">
        <v>5952</v>
      </c>
      <c r="Q111" s="3">
        <v>37.0</v>
      </c>
      <c r="R111" s="3">
        <v>32.0</v>
      </c>
      <c r="S111" s="3">
        <v>32.0</v>
      </c>
      <c r="T111" s="3">
        <v>30.0</v>
      </c>
      <c r="U111" s="3">
        <v>32.0</v>
      </c>
      <c r="V111" s="3">
        <v>35.0</v>
      </c>
      <c r="W111" s="3">
        <v>38.0</v>
      </c>
      <c r="X111" s="3">
        <v>31.0</v>
      </c>
      <c r="Y111" s="3">
        <v>30.0</v>
      </c>
      <c r="Z111" s="3">
        <v>25.0</v>
      </c>
      <c r="AA111" s="3">
        <v>35.0</v>
      </c>
      <c r="AB111" s="3">
        <v>36.0</v>
      </c>
      <c r="AC111" s="3">
        <v>30.0</v>
      </c>
      <c r="AD111" s="3">
        <v>37.0</v>
      </c>
      <c r="AE111" s="3">
        <v>28.0</v>
      </c>
      <c r="AF111" s="3">
        <v>35.0</v>
      </c>
      <c r="AG111" s="3">
        <v>30.0</v>
      </c>
      <c r="AH111" s="3">
        <v>40.0</v>
      </c>
      <c r="AI111" s="3">
        <v>39.0</v>
      </c>
      <c r="AJ111" s="3">
        <v>48.0</v>
      </c>
      <c r="AK111" s="3">
        <v>26.0</v>
      </c>
      <c r="AL111" s="3">
        <v>77.0</v>
      </c>
      <c r="AM111" s="3">
        <v>40.0</v>
      </c>
      <c r="AN111" s="3">
        <v>50.0</v>
      </c>
    </row>
    <row r="112" ht="14.25" customHeight="1">
      <c r="A112" s="3">
        <v>110.0</v>
      </c>
      <c r="B112" s="3" t="s">
        <v>6326</v>
      </c>
      <c r="C112" s="3">
        <v>22.0</v>
      </c>
      <c r="D112" s="3" t="s">
        <v>6646</v>
      </c>
      <c r="E112" s="3" t="s">
        <v>6645</v>
      </c>
      <c r="F112" s="3" t="s">
        <v>6645</v>
      </c>
      <c r="G112" s="3" t="s">
        <v>6645</v>
      </c>
      <c r="H112" s="3" t="s">
        <v>6645</v>
      </c>
      <c r="I112" s="3" t="s">
        <v>6645</v>
      </c>
      <c r="J112" s="3">
        <v>-1.0</v>
      </c>
      <c r="K112" s="3">
        <v>0.0</v>
      </c>
      <c r="L112" s="3">
        <v>0.0</v>
      </c>
      <c r="M112" s="3">
        <v>0.0</v>
      </c>
      <c r="N112" s="3">
        <v>422.36727</v>
      </c>
      <c r="O112" s="3">
        <v>83.0</v>
      </c>
      <c r="P112" s="3" t="s">
        <v>5952</v>
      </c>
      <c r="Q112" s="3">
        <v>38.0</v>
      </c>
      <c r="R112" s="3">
        <v>39.0</v>
      </c>
      <c r="S112" s="3">
        <v>37.0</v>
      </c>
      <c r="T112" s="3">
        <v>34.0</v>
      </c>
      <c r="U112" s="3">
        <v>37.0</v>
      </c>
      <c r="V112" s="3">
        <v>36.0</v>
      </c>
      <c r="W112" s="3">
        <v>46.0</v>
      </c>
      <c r="X112" s="3">
        <v>37.0</v>
      </c>
      <c r="Y112" s="3">
        <v>39.0</v>
      </c>
      <c r="Z112" s="3">
        <v>39.0</v>
      </c>
      <c r="AA112" s="3">
        <v>31.0</v>
      </c>
      <c r="AB112" s="3">
        <v>25.0</v>
      </c>
      <c r="AC112" s="3">
        <v>39.0</v>
      </c>
      <c r="AD112" s="3">
        <v>30.0</v>
      </c>
      <c r="AE112" s="3">
        <v>37.0</v>
      </c>
      <c r="AF112" s="3">
        <v>30.0</v>
      </c>
      <c r="AG112" s="3">
        <v>51.0</v>
      </c>
      <c r="AH112" s="3">
        <v>66.0</v>
      </c>
      <c r="AI112" s="3">
        <v>51.0</v>
      </c>
      <c r="AJ112" s="3">
        <v>36.0</v>
      </c>
      <c r="AK112" s="3">
        <v>38.0</v>
      </c>
      <c r="AL112" s="3">
        <v>46.0</v>
      </c>
      <c r="AM112" s="3">
        <v>75.0</v>
      </c>
      <c r="AN112" s="3">
        <v>28.0</v>
      </c>
    </row>
    <row r="113" ht="14.25" customHeight="1">
      <c r="A113" s="3">
        <v>111.0</v>
      </c>
      <c r="B113" s="3" t="s">
        <v>6329</v>
      </c>
      <c r="C113" s="3">
        <v>39.0</v>
      </c>
      <c r="D113" s="3" t="s">
        <v>6646</v>
      </c>
      <c r="E113" s="3" t="s">
        <v>6645</v>
      </c>
      <c r="F113" s="3" t="s">
        <v>6645</v>
      </c>
      <c r="G113" s="3" t="s">
        <v>6645</v>
      </c>
      <c r="H113" s="3" t="s">
        <v>6645</v>
      </c>
      <c r="I113" s="3" t="s">
        <v>6645</v>
      </c>
      <c r="J113" s="3">
        <v>-1.0</v>
      </c>
      <c r="K113" s="3">
        <v>3.0</v>
      </c>
      <c r="L113" s="3">
        <v>0.0</v>
      </c>
      <c r="M113" s="3">
        <v>0.0</v>
      </c>
      <c r="N113" s="3">
        <v>5251.4</v>
      </c>
      <c r="O113" s="3">
        <v>707.0</v>
      </c>
      <c r="P113" s="3" t="s">
        <v>5909</v>
      </c>
      <c r="Q113" s="3">
        <v>58.0</v>
      </c>
      <c r="R113" s="3">
        <v>46.0</v>
      </c>
      <c r="S113" s="3">
        <v>54.0</v>
      </c>
      <c r="T113" s="3">
        <v>50.0</v>
      </c>
      <c r="U113" s="3">
        <v>49.0</v>
      </c>
      <c r="V113" s="3">
        <v>51.0</v>
      </c>
      <c r="W113" s="3">
        <v>53.0</v>
      </c>
      <c r="X113" s="3">
        <v>42.0</v>
      </c>
      <c r="Y113" s="3">
        <v>53.0</v>
      </c>
      <c r="Z113" s="3">
        <v>45.0</v>
      </c>
      <c r="AA113" s="3">
        <v>45.0</v>
      </c>
      <c r="AB113" s="3">
        <v>59.0</v>
      </c>
      <c r="AC113" s="3">
        <v>48.0</v>
      </c>
      <c r="AD113" s="3">
        <v>52.0</v>
      </c>
      <c r="AE113" s="3">
        <v>50.0</v>
      </c>
      <c r="AF113" s="3">
        <v>27.0</v>
      </c>
      <c r="AG113" s="3">
        <v>56.0</v>
      </c>
      <c r="AH113" s="3">
        <v>41.0</v>
      </c>
      <c r="AI113" s="3">
        <v>78.0</v>
      </c>
      <c r="AJ113" s="3">
        <v>73.0</v>
      </c>
      <c r="AK113" s="3">
        <v>64.0</v>
      </c>
      <c r="AL113" s="3">
        <v>32.0</v>
      </c>
      <c r="AM113" s="3">
        <v>57.0</v>
      </c>
      <c r="AN113" s="3">
        <v>55.0</v>
      </c>
    </row>
    <row r="114" ht="14.25" customHeight="1">
      <c r="A114" s="3">
        <v>112.0</v>
      </c>
      <c r="B114" s="3" t="s">
        <v>6332</v>
      </c>
      <c r="C114" s="3">
        <v>42.0</v>
      </c>
      <c r="D114" s="3" t="s">
        <v>6646</v>
      </c>
      <c r="E114" s="3" t="s">
        <v>6645</v>
      </c>
      <c r="F114" s="3" t="s">
        <v>6645</v>
      </c>
      <c r="G114" s="3" t="s">
        <v>6645</v>
      </c>
      <c r="H114" s="3" t="s">
        <v>6645</v>
      </c>
      <c r="I114" s="3" t="s">
        <v>6645</v>
      </c>
      <c r="J114" s="3">
        <v>-1.0</v>
      </c>
      <c r="K114" s="3">
        <v>2.0</v>
      </c>
      <c r="L114" s="3">
        <v>0.0</v>
      </c>
      <c r="M114" s="3">
        <v>0.0</v>
      </c>
      <c r="N114" s="3">
        <v>2129.7614</v>
      </c>
      <c r="O114" s="3">
        <v>305.0</v>
      </c>
      <c r="P114" s="3" t="s">
        <v>5899</v>
      </c>
      <c r="Q114" s="3">
        <v>45.0</v>
      </c>
      <c r="R114" s="3">
        <v>41.0</v>
      </c>
      <c r="S114" s="3">
        <v>41.0</v>
      </c>
      <c r="T114" s="3">
        <v>42.0</v>
      </c>
      <c r="U114" s="3">
        <v>41.0</v>
      </c>
      <c r="V114" s="3">
        <v>42.0</v>
      </c>
      <c r="W114" s="3">
        <v>46.0</v>
      </c>
      <c r="X114" s="3">
        <v>41.0</v>
      </c>
      <c r="Y114" s="3">
        <v>55.0</v>
      </c>
      <c r="Z114" s="3">
        <v>51.0</v>
      </c>
      <c r="AA114" s="3">
        <v>45.0</v>
      </c>
      <c r="AB114" s="3">
        <v>41.0</v>
      </c>
      <c r="AC114" s="3">
        <v>42.0</v>
      </c>
      <c r="AD114" s="3">
        <v>36.0</v>
      </c>
      <c r="AE114" s="3">
        <v>41.0</v>
      </c>
      <c r="AF114" s="3">
        <v>42.0</v>
      </c>
      <c r="AG114" s="3">
        <v>47.0</v>
      </c>
      <c r="AH114" s="3">
        <v>67.0</v>
      </c>
      <c r="AI114" s="3">
        <v>41.0</v>
      </c>
      <c r="AJ114" s="3">
        <v>35.0</v>
      </c>
      <c r="AK114" s="3">
        <v>62.0</v>
      </c>
      <c r="AL114" s="3">
        <v>10.0</v>
      </c>
      <c r="AM114" s="3">
        <v>52.0</v>
      </c>
      <c r="AN114" s="3">
        <v>52.0</v>
      </c>
    </row>
    <row r="115" ht="14.25" customHeight="1">
      <c r="A115" s="3">
        <v>113.0</v>
      </c>
      <c r="B115" s="3" t="s">
        <v>6335</v>
      </c>
      <c r="C115" s="3">
        <v>34.0</v>
      </c>
      <c r="D115" s="3" t="s">
        <v>6646</v>
      </c>
      <c r="E115" s="3" t="s">
        <v>6645</v>
      </c>
      <c r="F115" s="3" t="s">
        <v>6645</v>
      </c>
      <c r="G115" s="3" t="s">
        <v>6645</v>
      </c>
      <c r="H115" s="3" t="s">
        <v>6645</v>
      </c>
      <c r="I115" s="3" t="s">
        <v>6645</v>
      </c>
      <c r="J115" s="3">
        <v>-1.0</v>
      </c>
      <c r="K115" s="3">
        <v>2.0</v>
      </c>
      <c r="L115" s="3">
        <v>0.0</v>
      </c>
      <c r="M115" s="3">
        <v>0.0</v>
      </c>
      <c r="N115" s="3">
        <v>2241.7382</v>
      </c>
      <c r="O115" s="3">
        <v>315.0</v>
      </c>
      <c r="P115" s="3" t="s">
        <v>5909</v>
      </c>
      <c r="Q115" s="3">
        <v>43.0</v>
      </c>
      <c r="R115" s="3">
        <v>40.0</v>
      </c>
      <c r="S115" s="3">
        <v>42.0</v>
      </c>
      <c r="T115" s="3">
        <v>46.0</v>
      </c>
      <c r="U115" s="3">
        <v>47.0</v>
      </c>
      <c r="V115" s="3">
        <v>48.0</v>
      </c>
      <c r="W115" s="3">
        <v>53.0</v>
      </c>
      <c r="X115" s="3">
        <v>47.0</v>
      </c>
      <c r="Y115" s="3">
        <v>35.0</v>
      </c>
      <c r="Z115" s="3">
        <v>44.0</v>
      </c>
      <c r="AA115" s="3">
        <v>47.0</v>
      </c>
      <c r="AB115" s="3">
        <v>41.0</v>
      </c>
      <c r="AC115" s="3">
        <v>49.0</v>
      </c>
      <c r="AD115" s="3">
        <v>42.0</v>
      </c>
      <c r="AE115" s="3">
        <v>43.0</v>
      </c>
      <c r="AF115" s="3">
        <v>78.0</v>
      </c>
      <c r="AG115" s="3">
        <v>35.0</v>
      </c>
      <c r="AH115" s="3">
        <v>40.0</v>
      </c>
      <c r="AI115" s="3">
        <v>39.0</v>
      </c>
      <c r="AJ115" s="3">
        <v>58.0</v>
      </c>
      <c r="AK115" s="3">
        <v>16.0</v>
      </c>
      <c r="AL115" s="3">
        <v>10.0</v>
      </c>
      <c r="AM115" s="3">
        <v>60.0</v>
      </c>
      <c r="AN115" s="3">
        <v>67.0</v>
      </c>
    </row>
    <row r="116" ht="14.25" customHeight="1">
      <c r="A116" s="3">
        <v>114.0</v>
      </c>
      <c r="B116" s="3" t="s">
        <v>6338</v>
      </c>
      <c r="C116" s="3">
        <v>33.0</v>
      </c>
      <c r="D116" s="3" t="s">
        <v>6646</v>
      </c>
      <c r="E116" s="3" t="s">
        <v>6645</v>
      </c>
      <c r="F116" s="3" t="s">
        <v>6645</v>
      </c>
      <c r="G116" s="3" t="s">
        <v>6645</v>
      </c>
      <c r="H116" s="3" t="s">
        <v>6645</v>
      </c>
      <c r="I116" s="3" t="s">
        <v>6645</v>
      </c>
      <c r="J116" s="3">
        <v>-1.0</v>
      </c>
      <c r="K116" s="3">
        <v>1.0</v>
      </c>
      <c r="L116" s="3">
        <v>0.0</v>
      </c>
      <c r="M116" s="3">
        <v>0.0</v>
      </c>
      <c r="N116" s="3">
        <v>1078.2</v>
      </c>
      <c r="O116" s="3">
        <v>215.0</v>
      </c>
      <c r="P116" s="3" t="s">
        <v>5899</v>
      </c>
      <c r="Q116" s="3">
        <v>43.0</v>
      </c>
      <c r="R116" s="3">
        <v>43.0</v>
      </c>
      <c r="S116" s="3">
        <v>36.0</v>
      </c>
      <c r="T116" s="3">
        <v>36.0</v>
      </c>
      <c r="U116" s="3">
        <v>37.0</v>
      </c>
      <c r="V116" s="3">
        <v>42.0</v>
      </c>
      <c r="W116" s="3">
        <v>37.0</v>
      </c>
      <c r="X116" s="3">
        <v>45.0</v>
      </c>
      <c r="Y116" s="3">
        <v>35.0</v>
      </c>
      <c r="Z116" s="3">
        <v>42.0</v>
      </c>
      <c r="AA116" s="3">
        <v>36.0</v>
      </c>
      <c r="AB116" s="3">
        <v>47.0</v>
      </c>
      <c r="AC116" s="3">
        <v>43.0</v>
      </c>
      <c r="AD116" s="3">
        <v>31.0</v>
      </c>
      <c r="AE116" s="3">
        <v>43.0</v>
      </c>
      <c r="AF116" s="3">
        <v>18.0</v>
      </c>
      <c r="AG116" s="3">
        <v>52.0</v>
      </c>
      <c r="AH116" s="3">
        <v>45.0</v>
      </c>
      <c r="AI116" s="3">
        <v>44.0</v>
      </c>
      <c r="AJ116" s="3">
        <v>32.0</v>
      </c>
      <c r="AK116" s="3">
        <v>34.0</v>
      </c>
      <c r="AL116" s="3">
        <v>44.0</v>
      </c>
      <c r="AM116" s="3">
        <v>73.0</v>
      </c>
      <c r="AN116" s="3">
        <v>49.0</v>
      </c>
    </row>
    <row r="117" ht="14.25" customHeight="1">
      <c r="A117" s="3">
        <v>115.0</v>
      </c>
      <c r="B117" s="3" t="s">
        <v>6342</v>
      </c>
      <c r="C117" s="3">
        <v>36.0</v>
      </c>
      <c r="D117" s="3" t="s">
        <v>6646</v>
      </c>
      <c r="E117" s="3" t="s">
        <v>6645</v>
      </c>
      <c r="F117" s="3" t="s">
        <v>6645</v>
      </c>
      <c r="G117" s="3" t="s">
        <v>6645</v>
      </c>
      <c r="H117" s="3" t="s">
        <v>6645</v>
      </c>
      <c r="I117" s="3" t="s">
        <v>6645</v>
      </c>
      <c r="J117" s="3">
        <v>-1.0</v>
      </c>
      <c r="K117" s="3">
        <v>1.0</v>
      </c>
      <c r="L117" s="3">
        <v>0.0</v>
      </c>
      <c r="M117" s="3">
        <v>0.0</v>
      </c>
      <c r="N117" s="3">
        <v>1047.1414</v>
      </c>
      <c r="O117" s="3">
        <v>170.0</v>
      </c>
      <c r="P117" s="3" t="s">
        <v>5909</v>
      </c>
      <c r="Q117" s="3">
        <v>41.0</v>
      </c>
      <c r="R117" s="3">
        <v>43.0</v>
      </c>
      <c r="S117" s="3">
        <v>36.0</v>
      </c>
      <c r="T117" s="3">
        <v>35.0</v>
      </c>
      <c r="U117" s="3">
        <v>38.0</v>
      </c>
      <c r="V117" s="3">
        <v>41.0</v>
      </c>
      <c r="W117" s="3">
        <v>43.0</v>
      </c>
      <c r="X117" s="3">
        <v>39.0</v>
      </c>
      <c r="Y117" s="3">
        <v>35.0</v>
      </c>
      <c r="Z117" s="3">
        <v>49.0</v>
      </c>
      <c r="AA117" s="3">
        <v>43.0</v>
      </c>
      <c r="AB117" s="3">
        <v>27.0</v>
      </c>
      <c r="AC117" s="3">
        <v>35.0</v>
      </c>
      <c r="AD117" s="3">
        <v>35.0</v>
      </c>
      <c r="AE117" s="3">
        <v>39.0</v>
      </c>
      <c r="AF117" s="3">
        <v>56.0</v>
      </c>
      <c r="AG117" s="3">
        <v>34.0</v>
      </c>
      <c r="AH117" s="3">
        <v>68.0</v>
      </c>
      <c r="AI117" s="3">
        <v>19.0</v>
      </c>
      <c r="AJ117" s="3">
        <v>70.0</v>
      </c>
      <c r="AK117" s="3">
        <v>59.0</v>
      </c>
      <c r="AL117" s="3">
        <v>42.0</v>
      </c>
      <c r="AM117" s="3">
        <v>13.0</v>
      </c>
      <c r="AN117" s="3">
        <v>60.0</v>
      </c>
    </row>
    <row r="118" ht="14.25" customHeight="1">
      <c r="A118" s="3">
        <v>116.0</v>
      </c>
      <c r="B118" s="3" t="s">
        <v>6345</v>
      </c>
      <c r="C118" s="3">
        <v>28.0</v>
      </c>
      <c r="D118" s="3" t="s">
        <v>6646</v>
      </c>
      <c r="E118" s="3" t="s">
        <v>6645</v>
      </c>
      <c r="F118" s="3" t="s">
        <v>6645</v>
      </c>
      <c r="G118" s="3" t="s">
        <v>6645</v>
      </c>
      <c r="H118" s="3" t="s">
        <v>6645</v>
      </c>
      <c r="I118" s="3" t="s">
        <v>6645</v>
      </c>
      <c r="J118" s="3">
        <v>-1.0</v>
      </c>
      <c r="K118" s="3">
        <v>0.0</v>
      </c>
      <c r="L118" s="3">
        <v>0.0</v>
      </c>
      <c r="M118" s="3">
        <v>0.0</v>
      </c>
      <c r="N118" s="3">
        <v>317.64892</v>
      </c>
      <c r="O118" s="3">
        <v>120.0</v>
      </c>
      <c r="P118" s="3" t="s">
        <v>5952</v>
      </c>
      <c r="Q118" s="3">
        <v>34.0</v>
      </c>
      <c r="R118" s="3">
        <v>34.0</v>
      </c>
      <c r="S118" s="3">
        <v>34.0</v>
      </c>
      <c r="T118" s="3">
        <v>34.0</v>
      </c>
      <c r="U118" s="3">
        <v>38.0</v>
      </c>
      <c r="V118" s="3">
        <v>30.0</v>
      </c>
      <c r="W118" s="3">
        <v>42.0</v>
      </c>
      <c r="X118" s="3">
        <v>29.0</v>
      </c>
      <c r="Y118" s="3">
        <v>35.0</v>
      </c>
      <c r="Z118" s="3">
        <v>33.0</v>
      </c>
      <c r="AA118" s="3">
        <v>30.0</v>
      </c>
      <c r="AB118" s="3">
        <v>27.0</v>
      </c>
      <c r="AC118" s="3">
        <v>39.0</v>
      </c>
      <c r="AD118" s="3">
        <v>31.0</v>
      </c>
      <c r="AE118" s="3">
        <v>40.0</v>
      </c>
      <c r="AF118" s="3">
        <v>69.0</v>
      </c>
      <c r="AG118" s="3">
        <v>62.0</v>
      </c>
      <c r="AH118" s="3">
        <v>41.0</v>
      </c>
      <c r="AI118" s="3">
        <v>50.0</v>
      </c>
      <c r="AJ118" s="3">
        <v>55.0</v>
      </c>
      <c r="AK118" s="3">
        <v>17.0</v>
      </c>
      <c r="AL118" s="3">
        <v>41.0</v>
      </c>
      <c r="AM118" s="3">
        <v>9.0</v>
      </c>
      <c r="AN118" s="3">
        <v>39.0</v>
      </c>
    </row>
    <row r="119" ht="14.25" customHeight="1">
      <c r="A119" s="3">
        <v>117.0</v>
      </c>
      <c r="B119" s="3" t="s">
        <v>6348</v>
      </c>
      <c r="C119" s="3">
        <v>31.0</v>
      </c>
      <c r="D119" s="3" t="s">
        <v>6646</v>
      </c>
      <c r="E119" s="3" t="s">
        <v>6645</v>
      </c>
      <c r="F119" s="3" t="s">
        <v>6645</v>
      </c>
      <c r="G119" s="3" t="s">
        <v>6645</v>
      </c>
      <c r="H119" s="3" t="s">
        <v>6645</v>
      </c>
      <c r="I119" s="3" t="s">
        <v>6646</v>
      </c>
      <c r="J119" s="3">
        <v>-1.0</v>
      </c>
      <c r="K119" s="3">
        <v>0.0</v>
      </c>
      <c r="L119" s="3">
        <v>0.0</v>
      </c>
      <c r="M119" s="3">
        <v>0.0</v>
      </c>
      <c r="N119" s="3">
        <v>352.586</v>
      </c>
      <c r="O119" s="3">
        <v>109.0</v>
      </c>
      <c r="P119" s="3" t="s">
        <v>5909</v>
      </c>
      <c r="Q119" s="3">
        <v>37.0</v>
      </c>
      <c r="R119" s="3">
        <v>32.0</v>
      </c>
      <c r="S119" s="3">
        <v>35.0</v>
      </c>
      <c r="T119" s="3">
        <v>38.0</v>
      </c>
      <c r="U119" s="3">
        <v>39.0</v>
      </c>
      <c r="V119" s="3">
        <v>36.0</v>
      </c>
      <c r="W119" s="3">
        <v>40.0</v>
      </c>
      <c r="X119" s="3">
        <v>34.0</v>
      </c>
      <c r="Y119" s="3">
        <v>25.0</v>
      </c>
      <c r="Z119" s="3">
        <v>33.0</v>
      </c>
      <c r="AA119" s="3">
        <v>30.0</v>
      </c>
      <c r="AB119" s="3">
        <v>35.0</v>
      </c>
      <c r="AC119" s="3">
        <v>32.0</v>
      </c>
      <c r="AD119" s="3">
        <v>42.0</v>
      </c>
      <c r="AE119" s="3">
        <v>31.0</v>
      </c>
      <c r="AF119" s="3">
        <v>37.0</v>
      </c>
      <c r="AG119" s="3">
        <v>31.0</v>
      </c>
      <c r="AH119" s="3">
        <v>46.0</v>
      </c>
      <c r="AI119" s="3">
        <v>47.0</v>
      </c>
      <c r="AJ119" s="3">
        <v>36.0</v>
      </c>
      <c r="AK119" s="3">
        <v>44.0</v>
      </c>
      <c r="AL119" s="3">
        <v>55.0</v>
      </c>
      <c r="AM119" s="3">
        <v>45.0</v>
      </c>
      <c r="AN119" s="3">
        <v>52.0</v>
      </c>
    </row>
    <row r="120" ht="14.25" customHeight="1">
      <c r="A120" s="3">
        <v>118.0</v>
      </c>
      <c r="B120" s="3" t="s">
        <v>6350</v>
      </c>
      <c r="C120" s="3">
        <v>48.0</v>
      </c>
      <c r="D120" s="3" t="s">
        <v>6646</v>
      </c>
      <c r="E120" s="3" t="s">
        <v>6645</v>
      </c>
      <c r="F120" s="3" t="s">
        <v>6645</v>
      </c>
      <c r="G120" s="3" t="s">
        <v>6645</v>
      </c>
      <c r="H120" s="3" t="s">
        <v>6645</v>
      </c>
      <c r="I120" s="3" t="s">
        <v>6646</v>
      </c>
      <c r="J120" s="3">
        <v>-1.0</v>
      </c>
      <c r="K120" s="3">
        <v>5.0</v>
      </c>
      <c r="L120" s="3">
        <v>0.0</v>
      </c>
      <c r="M120" s="3">
        <v>0.0</v>
      </c>
      <c r="N120" s="3">
        <v>18567.6</v>
      </c>
      <c r="O120" s="3">
        <v>3896.0</v>
      </c>
      <c r="P120" s="3" t="s">
        <v>5899</v>
      </c>
      <c r="Q120" s="3">
        <v>63.0</v>
      </c>
      <c r="R120" s="3">
        <v>80.0</v>
      </c>
      <c r="S120" s="3">
        <v>89.0</v>
      </c>
      <c r="T120" s="3">
        <v>81.0</v>
      </c>
      <c r="U120" s="3">
        <v>60.0</v>
      </c>
      <c r="V120" s="3">
        <v>57.0</v>
      </c>
      <c r="W120" s="3">
        <v>95.0</v>
      </c>
      <c r="X120" s="3">
        <v>92.0</v>
      </c>
      <c r="Y120" s="3">
        <v>68.0</v>
      </c>
      <c r="Z120" s="3">
        <v>57.0</v>
      </c>
      <c r="AA120" s="3">
        <v>84.0</v>
      </c>
      <c r="AB120" s="3">
        <v>62.0</v>
      </c>
      <c r="AC120" s="3">
        <v>56.0</v>
      </c>
      <c r="AD120" s="3">
        <v>81.0</v>
      </c>
      <c r="AE120" s="3">
        <v>74.0</v>
      </c>
      <c r="AF120" s="3">
        <v>33.0</v>
      </c>
      <c r="AG120" s="3">
        <v>56.0</v>
      </c>
      <c r="AH120" s="3">
        <v>88.0</v>
      </c>
      <c r="AI120" s="3">
        <v>87.0</v>
      </c>
      <c r="AJ120" s="3">
        <v>60.0</v>
      </c>
      <c r="AK120" s="3">
        <v>55.0</v>
      </c>
      <c r="AL120" s="3">
        <v>45.0</v>
      </c>
      <c r="AM120" s="3">
        <v>64.0</v>
      </c>
      <c r="AN120" s="3">
        <v>48.0</v>
      </c>
    </row>
    <row r="121" ht="14.25" customHeight="1">
      <c r="A121" s="3">
        <v>119.0</v>
      </c>
      <c r="B121" s="3" t="s">
        <v>6354</v>
      </c>
      <c r="C121" s="3">
        <v>56.0</v>
      </c>
      <c r="D121" s="3" t="s">
        <v>6646</v>
      </c>
      <c r="E121" s="3" t="s">
        <v>6645</v>
      </c>
      <c r="F121" s="3" t="s">
        <v>6645</v>
      </c>
      <c r="G121" s="3" t="s">
        <v>6645</v>
      </c>
      <c r="H121" s="3" t="s">
        <v>6645</v>
      </c>
      <c r="I121" s="3" t="s">
        <v>6645</v>
      </c>
      <c r="J121" s="3">
        <v>-1.0</v>
      </c>
      <c r="K121" s="3">
        <v>5.0</v>
      </c>
      <c r="L121" s="3">
        <v>0.0</v>
      </c>
      <c r="M121" s="3">
        <v>0.0</v>
      </c>
      <c r="N121" s="3">
        <v>12741.5</v>
      </c>
      <c r="O121" s="3">
        <v>3982.0</v>
      </c>
      <c r="P121" s="3" t="s">
        <v>5909</v>
      </c>
      <c r="Q121" s="3">
        <v>85.0</v>
      </c>
      <c r="R121" s="3">
        <v>64.0</v>
      </c>
      <c r="S121" s="3">
        <v>59.0</v>
      </c>
      <c r="T121" s="3">
        <v>63.0</v>
      </c>
      <c r="U121" s="3">
        <v>73.0</v>
      </c>
      <c r="V121" s="3">
        <v>63.0</v>
      </c>
      <c r="W121" s="3">
        <v>58.0</v>
      </c>
      <c r="X121" s="3">
        <v>64.0</v>
      </c>
      <c r="Y121" s="3">
        <v>83.0</v>
      </c>
      <c r="Z121" s="3">
        <v>59.0</v>
      </c>
      <c r="AA121" s="3">
        <v>50.0</v>
      </c>
      <c r="AB121" s="3">
        <v>88.0</v>
      </c>
      <c r="AC121" s="3">
        <v>78.0</v>
      </c>
      <c r="AD121" s="3">
        <v>55.0</v>
      </c>
      <c r="AE121" s="3">
        <v>60.0</v>
      </c>
      <c r="AF121" s="3">
        <v>56.0</v>
      </c>
      <c r="AG121" s="3">
        <v>66.0</v>
      </c>
      <c r="AH121" s="3">
        <v>67.0</v>
      </c>
      <c r="AI121" s="3">
        <v>66.0</v>
      </c>
      <c r="AJ121" s="3">
        <v>46.0</v>
      </c>
      <c r="AK121" s="3">
        <v>56.0</v>
      </c>
      <c r="AL121" s="3">
        <v>43.0</v>
      </c>
      <c r="AM121" s="3">
        <v>31.0</v>
      </c>
      <c r="AN121" s="3">
        <v>75.0</v>
      </c>
    </row>
    <row r="122" ht="14.25" customHeight="1">
      <c r="A122" s="3">
        <v>120.0</v>
      </c>
      <c r="B122" s="3" t="s">
        <v>6357</v>
      </c>
      <c r="C122" s="3">
        <v>45.0</v>
      </c>
      <c r="D122" s="3" t="s">
        <v>6646</v>
      </c>
      <c r="E122" s="3" t="s">
        <v>6645</v>
      </c>
      <c r="F122" s="3" t="s">
        <v>6645</v>
      </c>
      <c r="G122" s="3" t="s">
        <v>6645</v>
      </c>
      <c r="H122" s="3" t="s">
        <v>6645</v>
      </c>
      <c r="I122" s="3" t="s">
        <v>6645</v>
      </c>
      <c r="J122" s="3">
        <v>-1.0</v>
      </c>
      <c r="K122" s="3">
        <v>5.0</v>
      </c>
      <c r="L122" s="3">
        <v>0.0</v>
      </c>
      <c r="M122" s="3">
        <v>0.0</v>
      </c>
      <c r="N122" s="3">
        <v>24636.585</v>
      </c>
      <c r="O122" s="3">
        <v>3601.0</v>
      </c>
      <c r="P122" s="3" t="s">
        <v>5952</v>
      </c>
      <c r="Q122" s="3">
        <v>105.0</v>
      </c>
      <c r="R122" s="3">
        <v>60.0</v>
      </c>
      <c r="S122" s="3">
        <v>63.0</v>
      </c>
      <c r="T122" s="3">
        <v>67.0</v>
      </c>
      <c r="U122" s="3">
        <v>69.0</v>
      </c>
      <c r="V122" s="3">
        <v>114.0</v>
      </c>
      <c r="W122" s="3">
        <v>87.0</v>
      </c>
      <c r="X122" s="3">
        <v>70.0</v>
      </c>
      <c r="Y122" s="3">
        <v>87.0</v>
      </c>
      <c r="Z122" s="3">
        <v>101.0</v>
      </c>
      <c r="AA122" s="3">
        <v>64.0</v>
      </c>
      <c r="AB122" s="3">
        <v>66.0</v>
      </c>
      <c r="AC122" s="3">
        <v>97.0</v>
      </c>
      <c r="AD122" s="3">
        <v>62.0</v>
      </c>
      <c r="AE122" s="3">
        <v>66.0</v>
      </c>
      <c r="AF122" s="3">
        <v>43.0</v>
      </c>
      <c r="AG122" s="3">
        <v>60.0</v>
      </c>
      <c r="AH122" s="3">
        <v>48.0</v>
      </c>
      <c r="AI122" s="3">
        <v>76.0</v>
      </c>
      <c r="AJ122" s="3">
        <v>66.0</v>
      </c>
      <c r="AK122" s="3">
        <v>27.0</v>
      </c>
      <c r="AL122" s="3">
        <v>32.0</v>
      </c>
      <c r="AM122" s="3">
        <v>55.0</v>
      </c>
      <c r="AN122" s="3">
        <v>77.0</v>
      </c>
    </row>
    <row r="123" ht="14.25" customHeight="1">
      <c r="A123" s="3">
        <v>121.0</v>
      </c>
      <c r="B123" s="3" t="s">
        <v>6360</v>
      </c>
      <c r="C123" s="3">
        <v>51.0</v>
      </c>
      <c r="D123" s="3" t="s">
        <v>6646</v>
      </c>
      <c r="E123" s="3" t="s">
        <v>6645</v>
      </c>
      <c r="F123" s="3" t="s">
        <v>6645</v>
      </c>
      <c r="G123" s="3" t="s">
        <v>6645</v>
      </c>
      <c r="H123" s="3" t="s">
        <v>6645</v>
      </c>
      <c r="I123" s="3" t="s">
        <v>6645</v>
      </c>
      <c r="J123" s="3">
        <v>-1.0</v>
      </c>
      <c r="K123" s="3">
        <v>5.0</v>
      </c>
      <c r="L123" s="3">
        <v>0.0</v>
      </c>
      <c r="M123" s="3">
        <v>0.0</v>
      </c>
      <c r="N123" s="3">
        <v>15803.524</v>
      </c>
      <c r="O123" s="3">
        <v>3265.0</v>
      </c>
      <c r="P123" s="3" t="s">
        <v>5899</v>
      </c>
      <c r="Q123" s="3">
        <v>58.0</v>
      </c>
      <c r="R123" s="3">
        <v>73.0</v>
      </c>
      <c r="S123" s="3">
        <v>60.0</v>
      </c>
      <c r="T123" s="3">
        <v>63.0</v>
      </c>
      <c r="U123" s="3">
        <v>64.0</v>
      </c>
      <c r="V123" s="3">
        <v>90.0</v>
      </c>
      <c r="W123" s="3">
        <v>90.0</v>
      </c>
      <c r="X123" s="3">
        <v>78.0</v>
      </c>
      <c r="Y123" s="3">
        <v>52.0</v>
      </c>
      <c r="Z123" s="3">
        <v>52.0</v>
      </c>
      <c r="AA123" s="3">
        <v>96.0</v>
      </c>
      <c r="AB123" s="3">
        <v>59.0</v>
      </c>
      <c r="AC123" s="3">
        <v>55.0</v>
      </c>
      <c r="AD123" s="3">
        <v>80.0</v>
      </c>
      <c r="AE123" s="3">
        <v>55.0</v>
      </c>
      <c r="AF123" s="3">
        <v>44.0</v>
      </c>
      <c r="AG123" s="3">
        <v>43.0</v>
      </c>
      <c r="AH123" s="3">
        <v>78.0</v>
      </c>
      <c r="AI123" s="3">
        <v>63.0</v>
      </c>
      <c r="AJ123" s="3">
        <v>55.0</v>
      </c>
      <c r="AK123" s="3">
        <v>24.0</v>
      </c>
      <c r="AL123" s="3">
        <v>65.0</v>
      </c>
      <c r="AM123" s="3">
        <v>50.0</v>
      </c>
      <c r="AN123" s="3">
        <v>42.0</v>
      </c>
    </row>
    <row r="124" ht="14.25" customHeight="1">
      <c r="A124" s="3">
        <v>122.0</v>
      </c>
      <c r="B124" s="3" t="s">
        <v>6363</v>
      </c>
      <c r="C124" s="3">
        <v>42.0</v>
      </c>
      <c r="D124" s="3" t="s">
        <v>6646</v>
      </c>
      <c r="E124" s="3" t="s">
        <v>6645</v>
      </c>
      <c r="F124" s="3" t="s">
        <v>6645</v>
      </c>
      <c r="G124" s="3" t="s">
        <v>6645</v>
      </c>
      <c r="H124" s="3" t="s">
        <v>6645</v>
      </c>
      <c r="I124" s="3" t="s">
        <v>6645</v>
      </c>
      <c r="J124" s="3">
        <v>-1.0</v>
      </c>
      <c r="K124" s="3">
        <v>5.0</v>
      </c>
      <c r="L124" s="3">
        <v>0.0</v>
      </c>
      <c r="M124" s="3">
        <v>0.0</v>
      </c>
      <c r="N124" s="3">
        <v>18719.734</v>
      </c>
      <c r="O124" s="3">
        <v>2881.0</v>
      </c>
      <c r="P124" s="3" t="s">
        <v>5931</v>
      </c>
      <c r="Q124" s="3">
        <v>62.0</v>
      </c>
      <c r="R124" s="3">
        <v>59.0</v>
      </c>
      <c r="S124" s="3">
        <v>92.0</v>
      </c>
      <c r="T124" s="3">
        <v>82.0</v>
      </c>
      <c r="U124" s="3">
        <v>83.0</v>
      </c>
      <c r="V124" s="3">
        <v>77.0</v>
      </c>
      <c r="W124" s="3">
        <v>78.0</v>
      </c>
      <c r="X124" s="3">
        <v>75.0</v>
      </c>
      <c r="Y124" s="3">
        <v>81.0</v>
      </c>
      <c r="Z124" s="3">
        <v>54.0</v>
      </c>
      <c r="AA124" s="3">
        <v>68.0</v>
      </c>
      <c r="AB124" s="3">
        <v>53.0</v>
      </c>
      <c r="AC124" s="3">
        <v>58.0</v>
      </c>
      <c r="AD124" s="3">
        <v>94.0</v>
      </c>
      <c r="AE124" s="3">
        <v>60.0</v>
      </c>
      <c r="AF124" s="3">
        <v>29.0</v>
      </c>
      <c r="AG124" s="3">
        <v>64.0</v>
      </c>
      <c r="AH124" s="3">
        <v>43.0</v>
      </c>
      <c r="AI124" s="3">
        <v>51.0</v>
      </c>
      <c r="AJ124" s="3">
        <v>41.0</v>
      </c>
      <c r="AK124" s="3">
        <v>63.0</v>
      </c>
      <c r="AL124" s="3">
        <v>59.0</v>
      </c>
      <c r="AM124" s="3">
        <v>80.0</v>
      </c>
      <c r="AN124" s="3">
        <v>53.0</v>
      </c>
    </row>
    <row r="125" ht="14.25" customHeight="1">
      <c r="A125" s="3">
        <v>123.0</v>
      </c>
      <c r="B125" s="3" t="s">
        <v>6365</v>
      </c>
      <c r="C125" s="3">
        <v>32.0</v>
      </c>
      <c r="D125" s="3" t="s">
        <v>6646</v>
      </c>
      <c r="E125" s="3" t="s">
        <v>6645</v>
      </c>
      <c r="F125" s="3" t="s">
        <v>6645</v>
      </c>
      <c r="G125" s="3" t="s">
        <v>6645</v>
      </c>
      <c r="H125" s="3" t="s">
        <v>6645</v>
      </c>
      <c r="I125" s="3" t="s">
        <v>6645</v>
      </c>
      <c r="J125" s="3">
        <v>-1.0</v>
      </c>
      <c r="K125" s="3">
        <v>4.0</v>
      </c>
      <c r="L125" s="3">
        <v>0.0</v>
      </c>
      <c r="M125" s="3">
        <v>0.0</v>
      </c>
      <c r="N125" s="3">
        <v>11157.114</v>
      </c>
      <c r="O125" s="3">
        <v>1843.0</v>
      </c>
      <c r="P125" s="3" t="s">
        <v>5931</v>
      </c>
      <c r="Q125" s="3">
        <v>50.0</v>
      </c>
      <c r="R125" s="3">
        <v>59.0</v>
      </c>
      <c r="S125" s="3">
        <v>69.0</v>
      </c>
      <c r="T125" s="3">
        <v>66.0</v>
      </c>
      <c r="U125" s="3">
        <v>55.0</v>
      </c>
      <c r="V125" s="3">
        <v>52.0</v>
      </c>
      <c r="W125" s="3">
        <v>76.0</v>
      </c>
      <c r="X125" s="3">
        <v>77.0</v>
      </c>
      <c r="Y125" s="3">
        <v>63.0</v>
      </c>
      <c r="Z125" s="3">
        <v>55.0</v>
      </c>
      <c r="AA125" s="3">
        <v>63.0</v>
      </c>
      <c r="AB125" s="3">
        <v>56.0</v>
      </c>
      <c r="AC125" s="3">
        <v>55.0</v>
      </c>
      <c r="AD125" s="3">
        <v>73.0</v>
      </c>
      <c r="AE125" s="3">
        <v>71.0</v>
      </c>
      <c r="AF125" s="3">
        <v>41.0</v>
      </c>
      <c r="AG125" s="3">
        <v>56.0</v>
      </c>
      <c r="AH125" s="3">
        <v>73.0</v>
      </c>
      <c r="AI125" s="3">
        <v>82.0</v>
      </c>
      <c r="AJ125" s="3">
        <v>67.0</v>
      </c>
      <c r="AK125" s="3">
        <v>28.0</v>
      </c>
      <c r="AL125" s="3">
        <v>45.0</v>
      </c>
      <c r="AM125" s="3">
        <v>52.0</v>
      </c>
      <c r="AN125" s="3">
        <v>35.0</v>
      </c>
    </row>
    <row r="126" ht="14.25" customHeight="1">
      <c r="A126" s="3">
        <v>124.0</v>
      </c>
      <c r="B126" s="3" t="s">
        <v>6369</v>
      </c>
      <c r="C126" s="3">
        <v>25.0</v>
      </c>
      <c r="D126" s="3" t="s">
        <v>6646</v>
      </c>
      <c r="E126" s="3" t="s">
        <v>6645</v>
      </c>
      <c r="F126" s="3" t="s">
        <v>6645</v>
      </c>
      <c r="G126" s="3" t="s">
        <v>6645</v>
      </c>
      <c r="H126" s="3" t="s">
        <v>6645</v>
      </c>
      <c r="I126" s="3" t="s">
        <v>6646</v>
      </c>
      <c r="J126" s="3">
        <v>-1.0</v>
      </c>
      <c r="K126" s="3">
        <v>4.0</v>
      </c>
      <c r="L126" s="3">
        <v>0.0</v>
      </c>
      <c r="M126" s="3">
        <v>0.0</v>
      </c>
      <c r="N126" s="3">
        <v>12058.305</v>
      </c>
      <c r="O126" s="3">
        <v>1786.0</v>
      </c>
      <c r="P126" s="3" t="s">
        <v>5899</v>
      </c>
      <c r="Q126" s="3">
        <v>57.0</v>
      </c>
      <c r="R126" s="3">
        <v>68.0</v>
      </c>
      <c r="S126" s="3">
        <v>63.0</v>
      </c>
      <c r="T126" s="3">
        <v>52.0</v>
      </c>
      <c r="U126" s="3">
        <v>59.0</v>
      </c>
      <c r="V126" s="3">
        <v>79.0</v>
      </c>
      <c r="W126" s="3">
        <v>67.0</v>
      </c>
      <c r="X126" s="3">
        <v>71.0</v>
      </c>
      <c r="Y126" s="3">
        <v>56.0</v>
      </c>
      <c r="Z126" s="3">
        <v>76.0</v>
      </c>
      <c r="AA126" s="3">
        <v>70.0</v>
      </c>
      <c r="AB126" s="3">
        <v>55.0</v>
      </c>
      <c r="AC126" s="3">
        <v>52.0</v>
      </c>
      <c r="AD126" s="3">
        <v>45.0</v>
      </c>
      <c r="AE126" s="3">
        <v>44.0</v>
      </c>
      <c r="AF126" s="3">
        <v>50.0</v>
      </c>
      <c r="AG126" s="3">
        <v>44.0</v>
      </c>
      <c r="AH126" s="3">
        <v>57.0</v>
      </c>
      <c r="AI126" s="3">
        <v>43.0</v>
      </c>
      <c r="AJ126" s="3">
        <v>22.0</v>
      </c>
      <c r="AK126" s="3">
        <v>78.0</v>
      </c>
      <c r="AL126" s="3">
        <v>38.0</v>
      </c>
      <c r="AM126" s="3">
        <v>55.0</v>
      </c>
      <c r="AN126" s="3">
        <v>59.0</v>
      </c>
    </row>
    <row r="127" ht="14.25" customHeight="1">
      <c r="A127" s="3">
        <v>125.0</v>
      </c>
      <c r="B127" s="3" t="s">
        <v>6373</v>
      </c>
      <c r="C127" s="3">
        <v>28.0</v>
      </c>
      <c r="D127" s="3" t="s">
        <v>6646</v>
      </c>
      <c r="E127" s="3" t="s">
        <v>6645</v>
      </c>
      <c r="F127" s="3" t="s">
        <v>6645</v>
      </c>
      <c r="G127" s="3" t="s">
        <v>6645</v>
      </c>
      <c r="H127" s="3" t="s">
        <v>6645</v>
      </c>
      <c r="I127" s="3" t="s">
        <v>6645</v>
      </c>
      <c r="J127" s="3">
        <v>-1.0</v>
      </c>
      <c r="K127" s="3">
        <v>4.0</v>
      </c>
      <c r="L127" s="3">
        <v>0.0</v>
      </c>
      <c r="M127" s="3">
        <v>0.0</v>
      </c>
      <c r="N127" s="3">
        <v>10302.268</v>
      </c>
      <c r="O127" s="3">
        <v>1552.0</v>
      </c>
      <c r="P127" s="3" t="s">
        <v>5931</v>
      </c>
      <c r="Q127" s="3">
        <v>69.0</v>
      </c>
      <c r="R127" s="3">
        <v>58.0</v>
      </c>
      <c r="S127" s="3">
        <v>59.0</v>
      </c>
      <c r="T127" s="3">
        <v>67.0</v>
      </c>
      <c r="U127" s="3">
        <v>82.0</v>
      </c>
      <c r="V127" s="3">
        <v>50.0</v>
      </c>
      <c r="W127" s="3">
        <v>59.0</v>
      </c>
      <c r="X127" s="3">
        <v>58.0</v>
      </c>
      <c r="Y127" s="3">
        <v>71.0</v>
      </c>
      <c r="Z127" s="3">
        <v>57.0</v>
      </c>
      <c r="AA127" s="3">
        <v>45.0</v>
      </c>
      <c r="AB127" s="3">
        <v>60.0</v>
      </c>
      <c r="AC127" s="3">
        <v>81.0</v>
      </c>
      <c r="AD127" s="3">
        <v>46.0</v>
      </c>
      <c r="AE127" s="3">
        <v>56.0</v>
      </c>
      <c r="AF127" s="3">
        <v>50.0</v>
      </c>
      <c r="AG127" s="3">
        <v>59.0</v>
      </c>
      <c r="AH127" s="3">
        <v>46.0</v>
      </c>
      <c r="AI127" s="3">
        <v>44.0</v>
      </c>
      <c r="AJ127" s="3">
        <v>79.0</v>
      </c>
      <c r="AK127" s="3">
        <v>61.0</v>
      </c>
      <c r="AL127" s="3">
        <v>55.0</v>
      </c>
      <c r="AM127" s="3">
        <v>51.0</v>
      </c>
      <c r="AN127" s="3">
        <v>43.0</v>
      </c>
    </row>
    <row r="128" ht="14.25" customHeight="1">
      <c r="A128" s="3">
        <v>126.0</v>
      </c>
      <c r="B128" s="3" t="s">
        <v>6377</v>
      </c>
      <c r="C128" s="3">
        <v>34.0</v>
      </c>
      <c r="D128" s="3" t="s">
        <v>6646</v>
      </c>
      <c r="E128" s="3" t="s">
        <v>6645</v>
      </c>
      <c r="F128" s="3" t="s">
        <v>6645</v>
      </c>
      <c r="G128" s="3" t="s">
        <v>6645</v>
      </c>
      <c r="H128" s="3" t="s">
        <v>6645</v>
      </c>
      <c r="I128" s="3" t="s">
        <v>6645</v>
      </c>
      <c r="J128" s="3">
        <v>-1.0</v>
      </c>
      <c r="K128" s="3">
        <v>4.0</v>
      </c>
      <c r="L128" s="3">
        <v>0.0</v>
      </c>
      <c r="M128" s="3">
        <v>0.0</v>
      </c>
      <c r="N128" s="3">
        <v>11571.768</v>
      </c>
      <c r="O128" s="3">
        <v>1934.0</v>
      </c>
      <c r="P128" s="3" t="s">
        <v>5909</v>
      </c>
      <c r="Q128" s="3">
        <v>68.0</v>
      </c>
      <c r="R128" s="3">
        <v>54.0</v>
      </c>
      <c r="S128" s="3">
        <v>51.0</v>
      </c>
      <c r="T128" s="3">
        <v>52.0</v>
      </c>
      <c r="U128" s="3">
        <v>72.0</v>
      </c>
      <c r="V128" s="3">
        <v>53.0</v>
      </c>
      <c r="W128" s="3">
        <v>74.0</v>
      </c>
      <c r="X128" s="3">
        <v>66.0</v>
      </c>
      <c r="Y128" s="3">
        <v>71.0</v>
      </c>
      <c r="Z128" s="3">
        <v>75.0</v>
      </c>
      <c r="AA128" s="3">
        <v>48.0</v>
      </c>
      <c r="AB128" s="3">
        <v>52.0</v>
      </c>
      <c r="AC128" s="3">
        <v>78.0</v>
      </c>
      <c r="AD128" s="3">
        <v>68.0</v>
      </c>
      <c r="AE128" s="3">
        <v>51.0</v>
      </c>
      <c r="AF128" s="3">
        <v>80.0</v>
      </c>
      <c r="AG128" s="3">
        <v>53.0</v>
      </c>
      <c r="AH128" s="3">
        <v>18.0</v>
      </c>
      <c r="AI128" s="3">
        <v>47.0</v>
      </c>
      <c r="AJ128" s="3">
        <v>50.0</v>
      </c>
      <c r="AK128" s="3">
        <v>47.0</v>
      </c>
      <c r="AL128" s="3">
        <v>45.0</v>
      </c>
      <c r="AM128" s="3">
        <v>62.0</v>
      </c>
      <c r="AN128" s="3">
        <v>55.0</v>
      </c>
    </row>
    <row r="129" ht="14.25" customHeight="1">
      <c r="A129" s="3">
        <v>127.0</v>
      </c>
      <c r="B129" s="3" t="s">
        <v>6380</v>
      </c>
      <c r="C129" s="3">
        <v>29.0</v>
      </c>
      <c r="D129" s="3" t="s">
        <v>6646</v>
      </c>
      <c r="E129" s="3" t="s">
        <v>6645</v>
      </c>
      <c r="F129" s="3" t="s">
        <v>6645</v>
      </c>
      <c r="G129" s="3" t="s">
        <v>6645</v>
      </c>
      <c r="H129" s="3" t="s">
        <v>6645</v>
      </c>
      <c r="I129" s="3" t="s">
        <v>6645</v>
      </c>
      <c r="J129" s="3">
        <v>-1.0</v>
      </c>
      <c r="K129" s="3">
        <v>3.0</v>
      </c>
      <c r="L129" s="3">
        <v>0.0</v>
      </c>
      <c r="M129" s="3">
        <v>0.0</v>
      </c>
      <c r="N129" s="3">
        <v>5560.5</v>
      </c>
      <c r="O129" s="3">
        <v>865.0</v>
      </c>
      <c r="P129" s="3" t="s">
        <v>5931</v>
      </c>
      <c r="Q129" s="3">
        <v>50.0</v>
      </c>
      <c r="R129" s="3">
        <v>52.0</v>
      </c>
      <c r="S129" s="3">
        <v>48.0</v>
      </c>
      <c r="T129" s="3">
        <v>51.0</v>
      </c>
      <c r="U129" s="3">
        <v>56.0</v>
      </c>
      <c r="V129" s="3">
        <v>52.0</v>
      </c>
      <c r="W129" s="3">
        <v>53.0</v>
      </c>
      <c r="X129" s="3">
        <v>39.0</v>
      </c>
      <c r="Y129" s="3">
        <v>63.0</v>
      </c>
      <c r="Z129" s="3">
        <v>52.0</v>
      </c>
      <c r="AA129" s="3">
        <v>43.0</v>
      </c>
      <c r="AB129" s="3">
        <v>54.0</v>
      </c>
      <c r="AC129" s="3">
        <v>63.0</v>
      </c>
      <c r="AD129" s="3">
        <v>50.0</v>
      </c>
      <c r="AE129" s="3">
        <v>48.0</v>
      </c>
      <c r="AF129" s="3">
        <v>44.0</v>
      </c>
      <c r="AG129" s="3">
        <v>32.0</v>
      </c>
      <c r="AH129" s="3">
        <v>43.0</v>
      </c>
      <c r="AI129" s="3">
        <v>61.0</v>
      </c>
      <c r="AJ129" s="3">
        <v>73.0</v>
      </c>
      <c r="AK129" s="3">
        <v>43.0</v>
      </c>
      <c r="AL129" s="3">
        <v>38.0</v>
      </c>
      <c r="AM129" s="3">
        <v>47.0</v>
      </c>
      <c r="AN129" s="3">
        <v>60.0</v>
      </c>
    </row>
    <row r="130" ht="14.25" customHeight="1">
      <c r="A130" s="3">
        <v>128.0</v>
      </c>
      <c r="B130" s="3" t="s">
        <v>6383</v>
      </c>
      <c r="C130" s="3">
        <v>26.0</v>
      </c>
      <c r="D130" s="3" t="s">
        <v>6646</v>
      </c>
      <c r="E130" s="3" t="s">
        <v>6645</v>
      </c>
      <c r="F130" s="3" t="s">
        <v>6645</v>
      </c>
      <c r="G130" s="3" t="s">
        <v>6645</v>
      </c>
      <c r="H130" s="3" t="s">
        <v>6645</v>
      </c>
      <c r="I130" s="3" t="s">
        <v>6645</v>
      </c>
      <c r="J130" s="3">
        <v>-1.0</v>
      </c>
      <c r="K130" s="3">
        <v>3.0</v>
      </c>
      <c r="L130" s="3">
        <v>0.0</v>
      </c>
      <c r="M130" s="3">
        <v>0.0</v>
      </c>
      <c r="N130" s="3">
        <v>1588.7949</v>
      </c>
      <c r="O130" s="3">
        <v>753.0</v>
      </c>
      <c r="P130" s="3" t="s">
        <v>5909</v>
      </c>
      <c r="Q130" s="3">
        <v>35.0</v>
      </c>
      <c r="R130" s="3">
        <v>41.0</v>
      </c>
      <c r="S130" s="3">
        <v>36.0</v>
      </c>
      <c r="T130" s="3">
        <v>38.0</v>
      </c>
      <c r="U130" s="3">
        <v>41.0</v>
      </c>
      <c r="V130" s="3">
        <v>38.0</v>
      </c>
      <c r="W130" s="3">
        <v>42.0</v>
      </c>
      <c r="X130" s="3">
        <v>30.0</v>
      </c>
      <c r="Y130" s="3">
        <v>46.0</v>
      </c>
      <c r="Z130" s="3">
        <v>46.0</v>
      </c>
      <c r="AA130" s="3">
        <v>37.0</v>
      </c>
      <c r="AB130" s="3">
        <v>29.0</v>
      </c>
      <c r="AC130" s="3">
        <v>46.0</v>
      </c>
      <c r="AD130" s="3">
        <v>34.0</v>
      </c>
      <c r="AE130" s="3">
        <v>36.0</v>
      </c>
      <c r="AF130" s="3">
        <v>5.0</v>
      </c>
      <c r="AG130" s="3">
        <v>46.0</v>
      </c>
      <c r="AH130" s="3">
        <v>43.0</v>
      </c>
      <c r="AI130" s="3">
        <v>75.0</v>
      </c>
      <c r="AJ130" s="3">
        <v>58.0</v>
      </c>
      <c r="AK130" s="3">
        <v>50.0</v>
      </c>
      <c r="AL130" s="3">
        <v>61.0</v>
      </c>
      <c r="AM130" s="3">
        <v>36.0</v>
      </c>
      <c r="AN130" s="3">
        <v>67.0</v>
      </c>
    </row>
    <row r="131" ht="14.25" customHeight="1">
      <c r="A131" s="3">
        <v>129.0</v>
      </c>
      <c r="B131" s="3" t="s">
        <v>6385</v>
      </c>
      <c r="C131" s="3">
        <v>18.0</v>
      </c>
      <c r="D131" s="3" t="s">
        <v>6646</v>
      </c>
      <c r="E131" s="3" t="s">
        <v>6645</v>
      </c>
      <c r="F131" s="3" t="s">
        <v>6645</v>
      </c>
      <c r="G131" s="3" t="s">
        <v>6645</v>
      </c>
      <c r="H131" s="3" t="s">
        <v>6645</v>
      </c>
      <c r="I131" s="3" t="s">
        <v>6645</v>
      </c>
      <c r="J131" s="3">
        <v>-1.0</v>
      </c>
      <c r="K131" s="3">
        <v>3.0</v>
      </c>
      <c r="L131" s="3">
        <v>0.0</v>
      </c>
      <c r="M131" s="3">
        <v>0.0</v>
      </c>
      <c r="N131" s="3">
        <v>6081.1997</v>
      </c>
      <c r="O131" s="3">
        <v>863.0</v>
      </c>
      <c r="P131" s="3" t="s">
        <v>5924</v>
      </c>
      <c r="Q131" s="3">
        <v>47.0</v>
      </c>
      <c r="R131" s="3">
        <v>53.0</v>
      </c>
      <c r="S131" s="3">
        <v>57.0</v>
      </c>
      <c r="T131" s="3">
        <v>49.0</v>
      </c>
      <c r="U131" s="3">
        <v>52.0</v>
      </c>
      <c r="V131" s="3">
        <v>54.0</v>
      </c>
      <c r="W131" s="3">
        <v>62.0</v>
      </c>
      <c r="X131" s="3">
        <v>62.0</v>
      </c>
      <c r="Y131" s="3">
        <v>43.0</v>
      </c>
      <c r="Z131" s="3">
        <v>48.0</v>
      </c>
      <c r="AA131" s="3">
        <v>57.0</v>
      </c>
      <c r="AB131" s="3">
        <v>40.0</v>
      </c>
      <c r="AC131" s="3">
        <v>46.0</v>
      </c>
      <c r="AD131" s="3">
        <v>63.0</v>
      </c>
      <c r="AE131" s="3">
        <v>44.0</v>
      </c>
      <c r="AF131" s="3">
        <v>58.0</v>
      </c>
      <c r="AG131" s="3">
        <v>44.0</v>
      </c>
      <c r="AH131" s="3">
        <v>78.0</v>
      </c>
      <c r="AI131" s="3">
        <v>77.0</v>
      </c>
      <c r="AJ131" s="3">
        <v>56.0</v>
      </c>
      <c r="AK131" s="3">
        <v>47.0</v>
      </c>
      <c r="AL131" s="3">
        <v>27.0</v>
      </c>
      <c r="AM131" s="3">
        <v>16.0</v>
      </c>
      <c r="AN131" s="3">
        <v>41.0</v>
      </c>
    </row>
    <row r="132" ht="14.25" customHeight="1">
      <c r="A132" s="3">
        <v>130.0</v>
      </c>
      <c r="B132" s="3" t="s">
        <v>6387</v>
      </c>
      <c r="C132" s="3">
        <v>27.0</v>
      </c>
      <c r="D132" s="3" t="s">
        <v>6646</v>
      </c>
      <c r="E132" s="3" t="s">
        <v>6645</v>
      </c>
      <c r="F132" s="3" t="s">
        <v>6645</v>
      </c>
      <c r="G132" s="3" t="s">
        <v>6645</v>
      </c>
      <c r="H132" s="3" t="s">
        <v>6645</v>
      </c>
      <c r="I132" s="3" t="s">
        <v>6645</v>
      </c>
      <c r="J132" s="3">
        <v>-1.0</v>
      </c>
      <c r="K132" s="3">
        <v>3.0</v>
      </c>
      <c r="L132" s="3">
        <v>0.0</v>
      </c>
      <c r="M132" s="3">
        <v>0.0</v>
      </c>
      <c r="N132" s="3">
        <v>6389.59</v>
      </c>
      <c r="O132" s="3">
        <v>886.0</v>
      </c>
      <c r="P132" s="3" t="s">
        <v>5909</v>
      </c>
      <c r="Q132" s="3">
        <v>53.0</v>
      </c>
      <c r="R132" s="3">
        <v>49.0</v>
      </c>
      <c r="S132" s="3">
        <v>48.0</v>
      </c>
      <c r="T132" s="3">
        <v>46.0</v>
      </c>
      <c r="U132" s="3">
        <v>53.0</v>
      </c>
      <c r="V132" s="3">
        <v>52.0</v>
      </c>
      <c r="W132" s="3">
        <v>56.0</v>
      </c>
      <c r="X132" s="3">
        <v>43.0</v>
      </c>
      <c r="Y132" s="3">
        <v>58.0</v>
      </c>
      <c r="Z132" s="3">
        <v>65.0</v>
      </c>
      <c r="AA132" s="3">
        <v>50.0</v>
      </c>
      <c r="AB132" s="3">
        <v>38.0</v>
      </c>
      <c r="AC132" s="3">
        <v>62.0</v>
      </c>
      <c r="AD132" s="3">
        <v>42.0</v>
      </c>
      <c r="AE132" s="3">
        <v>42.0</v>
      </c>
      <c r="AF132" s="3">
        <v>80.0</v>
      </c>
      <c r="AG132" s="3">
        <v>49.0</v>
      </c>
      <c r="AH132" s="3">
        <v>62.0</v>
      </c>
      <c r="AI132" s="3">
        <v>63.0</v>
      </c>
      <c r="AJ132" s="3">
        <v>36.0</v>
      </c>
      <c r="AK132" s="3">
        <v>41.0</v>
      </c>
      <c r="AL132" s="3">
        <v>35.0</v>
      </c>
      <c r="AM132" s="3">
        <v>65.0</v>
      </c>
      <c r="AN132" s="3">
        <v>59.0</v>
      </c>
    </row>
    <row r="133" ht="14.25" customHeight="1">
      <c r="A133" s="3">
        <v>131.0</v>
      </c>
      <c r="B133" s="3" t="s">
        <v>6390</v>
      </c>
      <c r="C133" s="3">
        <v>20.0</v>
      </c>
      <c r="D133" s="3" t="s">
        <v>6646</v>
      </c>
      <c r="E133" s="3" t="s">
        <v>6645</v>
      </c>
      <c r="F133" s="3" t="s">
        <v>6645</v>
      </c>
      <c r="G133" s="3" t="s">
        <v>6645</v>
      </c>
      <c r="H133" s="3" t="s">
        <v>6645</v>
      </c>
      <c r="I133" s="3" t="s">
        <v>6646</v>
      </c>
      <c r="J133" s="3">
        <v>-1.0</v>
      </c>
      <c r="K133" s="3">
        <v>3.0</v>
      </c>
      <c r="L133" s="3">
        <v>0.0</v>
      </c>
      <c r="M133" s="3">
        <v>0.0</v>
      </c>
      <c r="N133" s="3">
        <v>6085.991</v>
      </c>
      <c r="O133" s="3">
        <v>817.0</v>
      </c>
      <c r="P133" s="3" t="s">
        <v>5931</v>
      </c>
      <c r="Q133" s="3">
        <v>47.0</v>
      </c>
      <c r="R133" s="3">
        <v>51.0</v>
      </c>
      <c r="S133" s="3">
        <v>46.0</v>
      </c>
      <c r="T133" s="3">
        <v>48.0</v>
      </c>
      <c r="U133" s="3">
        <v>46.0</v>
      </c>
      <c r="V133" s="3">
        <v>49.0</v>
      </c>
      <c r="W133" s="3">
        <v>59.0</v>
      </c>
      <c r="X133" s="3">
        <v>55.0</v>
      </c>
      <c r="Y133" s="3">
        <v>55.0</v>
      </c>
      <c r="Z133" s="3">
        <v>57.0</v>
      </c>
      <c r="AA133" s="3">
        <v>60.0</v>
      </c>
      <c r="AB133" s="3">
        <v>48.0</v>
      </c>
      <c r="AC133" s="3">
        <v>45.0</v>
      </c>
      <c r="AD133" s="3">
        <v>44.0</v>
      </c>
      <c r="AE133" s="3">
        <v>43.0</v>
      </c>
      <c r="AF133" s="3">
        <v>38.0</v>
      </c>
      <c r="AG133" s="3">
        <v>55.0</v>
      </c>
      <c r="AH133" s="3">
        <v>29.0</v>
      </c>
      <c r="AI133" s="3">
        <v>37.0</v>
      </c>
      <c r="AJ133" s="3">
        <v>60.0</v>
      </c>
      <c r="AK133" s="3">
        <v>72.0</v>
      </c>
      <c r="AL133" s="3">
        <v>38.0</v>
      </c>
      <c r="AM133" s="3">
        <v>73.0</v>
      </c>
      <c r="AN133" s="3">
        <v>61.0</v>
      </c>
    </row>
    <row r="134" ht="14.25" customHeight="1">
      <c r="A134" s="3">
        <v>132.0</v>
      </c>
      <c r="B134" s="3" t="s">
        <v>6392</v>
      </c>
      <c r="C134" s="3">
        <v>19.0</v>
      </c>
      <c r="D134" s="3" t="s">
        <v>6646</v>
      </c>
      <c r="E134" s="3" t="s">
        <v>6645</v>
      </c>
      <c r="F134" s="3" t="s">
        <v>6645</v>
      </c>
      <c r="G134" s="3" t="s">
        <v>6645</v>
      </c>
      <c r="H134" s="3" t="s">
        <v>6645</v>
      </c>
      <c r="I134" s="3" t="s">
        <v>6646</v>
      </c>
      <c r="J134" s="3">
        <v>-1.0</v>
      </c>
      <c r="K134" s="3">
        <v>2.0</v>
      </c>
      <c r="L134" s="3">
        <v>0.0</v>
      </c>
      <c r="M134" s="3">
        <v>0.0</v>
      </c>
      <c r="N134" s="3">
        <v>3523.5961</v>
      </c>
      <c r="O134" s="3">
        <v>306.0</v>
      </c>
      <c r="P134" s="3" t="s">
        <v>5899</v>
      </c>
      <c r="Q134" s="3">
        <v>43.0</v>
      </c>
      <c r="R134" s="3">
        <v>47.0</v>
      </c>
      <c r="S134" s="3">
        <v>46.0</v>
      </c>
      <c r="T134" s="3">
        <v>46.0</v>
      </c>
      <c r="U134" s="3">
        <v>42.0</v>
      </c>
      <c r="V134" s="3">
        <v>48.0</v>
      </c>
      <c r="W134" s="3">
        <v>54.0</v>
      </c>
      <c r="X134" s="3">
        <v>42.0</v>
      </c>
      <c r="Y134" s="3">
        <v>41.0</v>
      </c>
      <c r="Z134" s="3">
        <v>52.0</v>
      </c>
      <c r="AA134" s="3">
        <v>35.0</v>
      </c>
      <c r="AB134" s="3">
        <v>48.0</v>
      </c>
      <c r="AC134" s="3">
        <v>32.0</v>
      </c>
      <c r="AD134" s="3">
        <v>46.0</v>
      </c>
      <c r="AE134" s="3">
        <v>53.0</v>
      </c>
      <c r="AF134" s="3">
        <v>79.0</v>
      </c>
      <c r="AG134" s="3">
        <v>20.0</v>
      </c>
      <c r="AH134" s="3">
        <v>31.0</v>
      </c>
      <c r="AI134" s="3">
        <v>54.0</v>
      </c>
      <c r="AJ134" s="3">
        <v>57.0</v>
      </c>
      <c r="AK134" s="3">
        <v>50.0</v>
      </c>
      <c r="AL134" s="3">
        <v>43.0</v>
      </c>
      <c r="AM134" s="3">
        <v>80.0</v>
      </c>
      <c r="AN134" s="3">
        <v>50.0</v>
      </c>
    </row>
    <row r="135" ht="14.25" customHeight="1">
      <c r="A135" s="3">
        <v>133.0</v>
      </c>
      <c r="B135" s="3" t="s">
        <v>6395</v>
      </c>
      <c r="C135" s="3">
        <v>22.0</v>
      </c>
      <c r="D135" s="3" t="s">
        <v>6646</v>
      </c>
      <c r="E135" s="3" t="s">
        <v>6645</v>
      </c>
      <c r="F135" s="3" t="s">
        <v>6645</v>
      </c>
      <c r="G135" s="3" t="s">
        <v>6645</v>
      </c>
      <c r="H135" s="3" t="s">
        <v>6645</v>
      </c>
      <c r="I135" s="3" t="s">
        <v>6645</v>
      </c>
      <c r="J135" s="3">
        <v>-1.0</v>
      </c>
      <c r="K135" s="3">
        <v>2.0</v>
      </c>
      <c r="L135" s="3">
        <v>0.0</v>
      </c>
      <c r="M135" s="3">
        <v>0.0</v>
      </c>
      <c r="N135" s="3">
        <v>3246.9235</v>
      </c>
      <c r="O135" s="3">
        <v>484.0</v>
      </c>
      <c r="P135" s="3" t="s">
        <v>5899</v>
      </c>
      <c r="Q135" s="3">
        <v>48.0</v>
      </c>
      <c r="R135" s="3">
        <v>43.0</v>
      </c>
      <c r="S135" s="3">
        <v>44.0</v>
      </c>
      <c r="T135" s="3">
        <v>40.0</v>
      </c>
      <c r="U135" s="3">
        <v>49.0</v>
      </c>
      <c r="V135" s="3">
        <v>47.0</v>
      </c>
      <c r="W135" s="3">
        <v>52.0</v>
      </c>
      <c r="X135" s="3">
        <v>44.0</v>
      </c>
      <c r="Y135" s="3">
        <v>41.0</v>
      </c>
      <c r="Z135" s="3">
        <v>40.0</v>
      </c>
      <c r="AA135" s="3">
        <v>44.0</v>
      </c>
      <c r="AB135" s="3">
        <v>34.0</v>
      </c>
      <c r="AC135" s="3">
        <v>46.0</v>
      </c>
      <c r="AD135" s="3">
        <v>51.0</v>
      </c>
      <c r="AE135" s="3">
        <v>49.0</v>
      </c>
      <c r="AF135" s="3">
        <v>57.0</v>
      </c>
      <c r="AG135" s="3">
        <v>44.0</v>
      </c>
      <c r="AH135" s="3">
        <v>74.0</v>
      </c>
      <c r="AI135" s="3">
        <v>62.0</v>
      </c>
      <c r="AJ135" s="3">
        <v>43.0</v>
      </c>
      <c r="AK135" s="3">
        <v>59.0</v>
      </c>
      <c r="AL135" s="3">
        <v>63.0</v>
      </c>
      <c r="AM135" s="3">
        <v>40.0</v>
      </c>
      <c r="AN135" s="3">
        <v>46.0</v>
      </c>
    </row>
    <row r="136" ht="14.25" customHeight="1">
      <c r="A136" s="3">
        <v>134.0</v>
      </c>
      <c r="B136" s="3" t="s">
        <v>6397</v>
      </c>
      <c r="C136" s="3">
        <v>21.0</v>
      </c>
      <c r="D136" s="3" t="s">
        <v>6646</v>
      </c>
      <c r="E136" s="3" t="s">
        <v>6645</v>
      </c>
      <c r="F136" s="3" t="s">
        <v>6645</v>
      </c>
      <c r="G136" s="3" t="s">
        <v>6645</v>
      </c>
      <c r="H136" s="3" t="s">
        <v>6645</v>
      </c>
      <c r="I136" s="3" t="s">
        <v>6646</v>
      </c>
      <c r="J136" s="3">
        <v>-1.0</v>
      </c>
      <c r="K136" s="3">
        <v>0.0</v>
      </c>
      <c r="L136" s="3">
        <v>0.0</v>
      </c>
      <c r="M136" s="3">
        <v>0.0</v>
      </c>
      <c r="N136" s="3">
        <v>601.0</v>
      </c>
      <c r="O136" s="3">
        <v>101.0</v>
      </c>
      <c r="P136" s="3" t="s">
        <v>5899</v>
      </c>
      <c r="Q136" s="3">
        <v>31.0</v>
      </c>
      <c r="R136" s="3">
        <v>34.0</v>
      </c>
      <c r="S136" s="3">
        <v>35.0</v>
      </c>
      <c r="T136" s="3">
        <v>31.0</v>
      </c>
      <c r="U136" s="3">
        <v>32.0</v>
      </c>
      <c r="V136" s="3">
        <v>32.0</v>
      </c>
      <c r="W136" s="3">
        <v>39.0</v>
      </c>
      <c r="X136" s="3">
        <v>37.0</v>
      </c>
      <c r="Y136" s="3">
        <v>32.0</v>
      </c>
      <c r="Z136" s="3">
        <v>38.0</v>
      </c>
      <c r="AA136" s="3">
        <v>27.0</v>
      </c>
      <c r="AB136" s="3">
        <v>35.0</v>
      </c>
      <c r="AC136" s="3">
        <v>36.0</v>
      </c>
      <c r="AD136" s="3">
        <v>33.0</v>
      </c>
      <c r="AE136" s="3">
        <v>30.0</v>
      </c>
      <c r="AF136" s="3">
        <v>30.0</v>
      </c>
      <c r="AG136" s="3">
        <v>34.0</v>
      </c>
      <c r="AH136" s="3">
        <v>17.0</v>
      </c>
      <c r="AI136" s="3">
        <v>75.0</v>
      </c>
      <c r="AJ136" s="3">
        <v>58.0</v>
      </c>
      <c r="AK136" s="3">
        <v>57.0</v>
      </c>
      <c r="AL136" s="3">
        <v>34.0</v>
      </c>
      <c r="AM136" s="3">
        <v>55.0</v>
      </c>
      <c r="AN136" s="3">
        <v>40.0</v>
      </c>
    </row>
    <row r="137" ht="14.25" customHeight="1">
      <c r="A137" s="3">
        <v>135.0</v>
      </c>
      <c r="B137" s="3" t="s">
        <v>6399</v>
      </c>
      <c r="C137" s="3">
        <v>19.0</v>
      </c>
      <c r="D137" s="3" t="s">
        <v>6646</v>
      </c>
      <c r="E137" s="3" t="s">
        <v>6645</v>
      </c>
      <c r="F137" s="3" t="s">
        <v>6645</v>
      </c>
      <c r="G137" s="3" t="s">
        <v>6645</v>
      </c>
      <c r="H137" s="3" t="s">
        <v>6645</v>
      </c>
      <c r="I137" s="3" t="s">
        <v>6646</v>
      </c>
      <c r="J137" s="3">
        <v>-1.0</v>
      </c>
      <c r="K137" s="3">
        <v>1.0</v>
      </c>
      <c r="L137" s="3">
        <v>0.0</v>
      </c>
      <c r="M137" s="3">
        <v>0.0</v>
      </c>
      <c r="N137" s="3">
        <v>1094.7458</v>
      </c>
      <c r="O137" s="3">
        <v>154.0</v>
      </c>
      <c r="P137" s="3" t="s">
        <v>5931</v>
      </c>
      <c r="Q137" s="3">
        <v>43.0</v>
      </c>
      <c r="R137" s="3">
        <v>43.0</v>
      </c>
      <c r="S137" s="3">
        <v>38.0</v>
      </c>
      <c r="T137" s="3">
        <v>35.0</v>
      </c>
      <c r="U137" s="3">
        <v>40.0</v>
      </c>
      <c r="V137" s="3">
        <v>42.0</v>
      </c>
      <c r="W137" s="3">
        <v>29.0</v>
      </c>
      <c r="X137" s="3">
        <v>43.0</v>
      </c>
      <c r="Y137" s="3">
        <v>44.0</v>
      </c>
      <c r="Z137" s="3">
        <v>35.0</v>
      </c>
      <c r="AA137" s="3">
        <v>40.0</v>
      </c>
      <c r="AB137" s="3">
        <v>30.0</v>
      </c>
      <c r="AC137" s="3">
        <v>39.0</v>
      </c>
      <c r="AD137" s="3">
        <v>37.0</v>
      </c>
      <c r="AE137" s="3">
        <v>44.0</v>
      </c>
      <c r="AF137" s="3">
        <v>50.0</v>
      </c>
      <c r="AG137" s="3">
        <v>58.0</v>
      </c>
      <c r="AH137" s="3">
        <v>41.0</v>
      </c>
      <c r="AI137" s="3">
        <v>37.0</v>
      </c>
      <c r="AJ137" s="3">
        <v>41.0</v>
      </c>
      <c r="AK137" s="3">
        <v>56.0</v>
      </c>
      <c r="AL137" s="3">
        <v>28.0</v>
      </c>
      <c r="AM137" s="3">
        <v>62.0</v>
      </c>
      <c r="AN137" s="3">
        <v>59.0</v>
      </c>
    </row>
    <row r="138" ht="14.25" customHeight="1">
      <c r="A138" s="3">
        <v>136.0</v>
      </c>
      <c r="B138" s="3" t="s">
        <v>6401</v>
      </c>
      <c r="C138" s="3">
        <v>25.0</v>
      </c>
      <c r="D138" s="3" t="s">
        <v>6646</v>
      </c>
      <c r="E138" s="3" t="s">
        <v>6645</v>
      </c>
      <c r="F138" s="3" t="s">
        <v>6645</v>
      </c>
      <c r="G138" s="3" t="s">
        <v>6645</v>
      </c>
      <c r="H138" s="3" t="s">
        <v>6645</v>
      </c>
      <c r="I138" s="3" t="s">
        <v>6646</v>
      </c>
      <c r="J138" s="3">
        <v>-1.0</v>
      </c>
      <c r="K138" s="3">
        <v>2.0</v>
      </c>
      <c r="L138" s="3">
        <v>0.0</v>
      </c>
      <c r="M138" s="3">
        <v>0.0</v>
      </c>
      <c r="N138" s="3">
        <v>2450.589</v>
      </c>
      <c r="O138" s="3">
        <v>489.0</v>
      </c>
      <c r="P138" s="3" t="s">
        <v>5924</v>
      </c>
      <c r="Q138" s="3">
        <v>46.0</v>
      </c>
      <c r="R138" s="3">
        <v>42.0</v>
      </c>
      <c r="S138" s="3">
        <v>41.0</v>
      </c>
      <c r="T138" s="3">
        <v>42.0</v>
      </c>
      <c r="U138" s="3">
        <v>46.0</v>
      </c>
      <c r="V138" s="3">
        <v>41.0</v>
      </c>
      <c r="W138" s="3">
        <v>45.0</v>
      </c>
      <c r="X138" s="3">
        <v>42.0</v>
      </c>
      <c r="Y138" s="3">
        <v>41.0</v>
      </c>
      <c r="Z138" s="3">
        <v>46.0</v>
      </c>
      <c r="AA138" s="3">
        <v>47.0</v>
      </c>
      <c r="AB138" s="3">
        <v>47.0</v>
      </c>
      <c r="AC138" s="3">
        <v>44.0</v>
      </c>
      <c r="AD138" s="3">
        <v>45.0</v>
      </c>
      <c r="AE138" s="3">
        <v>42.0</v>
      </c>
      <c r="AF138" s="3">
        <v>65.0</v>
      </c>
      <c r="AG138" s="3">
        <v>45.0</v>
      </c>
      <c r="AH138" s="3">
        <v>36.0</v>
      </c>
      <c r="AI138" s="3">
        <v>33.0</v>
      </c>
      <c r="AJ138" s="3">
        <v>61.0</v>
      </c>
      <c r="AK138" s="3">
        <v>48.0</v>
      </c>
      <c r="AL138" s="3">
        <v>15.0</v>
      </c>
      <c r="AM138" s="3">
        <v>38.0</v>
      </c>
      <c r="AN138" s="3">
        <v>79.0</v>
      </c>
    </row>
    <row r="139" ht="14.25" customHeight="1">
      <c r="A139" s="3">
        <v>137.0</v>
      </c>
      <c r="B139" s="3" t="s">
        <v>6403</v>
      </c>
      <c r="C139" s="3">
        <v>24.0</v>
      </c>
      <c r="D139" s="3" t="s">
        <v>6646</v>
      </c>
      <c r="E139" s="3" t="s">
        <v>6645</v>
      </c>
      <c r="F139" s="3" t="s">
        <v>6645</v>
      </c>
      <c r="G139" s="3" t="s">
        <v>6645</v>
      </c>
      <c r="H139" s="3" t="s">
        <v>6645</v>
      </c>
      <c r="I139" s="3" t="s">
        <v>6646</v>
      </c>
      <c r="J139" s="3">
        <v>-1.0</v>
      </c>
      <c r="K139" s="3">
        <v>3.0</v>
      </c>
      <c r="L139" s="3">
        <v>0.0</v>
      </c>
      <c r="M139" s="3">
        <v>0.0</v>
      </c>
      <c r="N139" s="3">
        <v>5303.14</v>
      </c>
      <c r="O139" s="3">
        <v>909.0</v>
      </c>
      <c r="P139" s="3" t="s">
        <v>5899</v>
      </c>
      <c r="Q139" s="3">
        <v>50.0</v>
      </c>
      <c r="R139" s="3">
        <v>58.0</v>
      </c>
      <c r="S139" s="3">
        <v>45.0</v>
      </c>
      <c r="T139" s="3">
        <v>53.0</v>
      </c>
      <c r="U139" s="3">
        <v>53.0</v>
      </c>
      <c r="V139" s="3">
        <v>52.0</v>
      </c>
      <c r="W139" s="3">
        <v>48.0</v>
      </c>
      <c r="X139" s="3">
        <v>62.0</v>
      </c>
      <c r="Y139" s="3">
        <v>43.0</v>
      </c>
      <c r="Z139" s="3">
        <v>45.0</v>
      </c>
      <c r="AA139" s="3">
        <v>59.0</v>
      </c>
      <c r="AB139" s="3">
        <v>53.0</v>
      </c>
      <c r="AC139" s="3">
        <v>56.0</v>
      </c>
      <c r="AD139" s="3">
        <v>47.0</v>
      </c>
      <c r="AE139" s="3">
        <v>38.0</v>
      </c>
      <c r="AF139" s="3">
        <v>81.0</v>
      </c>
      <c r="AG139" s="3">
        <v>45.0</v>
      </c>
      <c r="AH139" s="3">
        <v>53.0</v>
      </c>
      <c r="AI139" s="3">
        <v>61.0</v>
      </c>
      <c r="AJ139" s="3">
        <v>51.0</v>
      </c>
      <c r="AK139" s="3">
        <v>49.0</v>
      </c>
      <c r="AL139" s="3">
        <v>37.0</v>
      </c>
      <c r="AM139" s="3">
        <v>49.0</v>
      </c>
      <c r="AN139" s="3">
        <v>24.0</v>
      </c>
    </row>
    <row r="140" ht="14.25" customHeight="1">
      <c r="A140" s="3">
        <v>138.0</v>
      </c>
      <c r="B140" s="3" t="s">
        <v>6408</v>
      </c>
      <c r="C140" s="3">
        <v>28.0</v>
      </c>
      <c r="D140" s="3" t="s">
        <v>6646</v>
      </c>
      <c r="E140" s="3" t="s">
        <v>6645</v>
      </c>
      <c r="F140" s="3" t="s">
        <v>6645</v>
      </c>
      <c r="G140" s="3" t="s">
        <v>6645</v>
      </c>
      <c r="H140" s="3" t="s">
        <v>6645</v>
      </c>
      <c r="I140" s="3" t="s">
        <v>6646</v>
      </c>
      <c r="J140" s="3">
        <v>-1.0</v>
      </c>
      <c r="K140" s="3">
        <v>4.0</v>
      </c>
      <c r="L140" s="3">
        <v>0.0</v>
      </c>
      <c r="M140" s="3">
        <v>0.0</v>
      </c>
      <c r="N140" s="3">
        <v>9365.9</v>
      </c>
      <c r="O140" s="3">
        <v>1608.0</v>
      </c>
      <c r="P140" s="3" t="s">
        <v>5931</v>
      </c>
      <c r="Q140" s="3">
        <v>64.0</v>
      </c>
      <c r="R140" s="3">
        <v>62.0</v>
      </c>
      <c r="S140" s="3">
        <v>56.0</v>
      </c>
      <c r="T140" s="3">
        <v>51.0</v>
      </c>
      <c r="U140" s="3">
        <v>57.0</v>
      </c>
      <c r="V140" s="3">
        <v>58.0</v>
      </c>
      <c r="W140" s="3">
        <v>74.0</v>
      </c>
      <c r="X140" s="3">
        <v>51.0</v>
      </c>
      <c r="Y140" s="3">
        <v>59.0</v>
      </c>
      <c r="Z140" s="3">
        <v>51.0</v>
      </c>
      <c r="AA140" s="3">
        <v>55.0</v>
      </c>
      <c r="AB140" s="3">
        <v>73.0</v>
      </c>
      <c r="AC140" s="3">
        <v>65.0</v>
      </c>
      <c r="AD140" s="3">
        <v>44.0</v>
      </c>
      <c r="AE140" s="3">
        <v>72.0</v>
      </c>
      <c r="AF140" s="3">
        <v>39.0</v>
      </c>
      <c r="AG140" s="3">
        <v>66.0</v>
      </c>
      <c r="AH140" s="3">
        <v>50.0</v>
      </c>
      <c r="AI140" s="3">
        <v>42.0</v>
      </c>
      <c r="AJ140" s="3">
        <v>59.0</v>
      </c>
      <c r="AK140" s="3">
        <v>63.0</v>
      </c>
      <c r="AL140" s="3">
        <v>56.0</v>
      </c>
      <c r="AM140" s="3">
        <v>47.0</v>
      </c>
      <c r="AN140" s="3">
        <v>67.0</v>
      </c>
    </row>
    <row r="141" ht="14.25" customHeight="1">
      <c r="A141" s="3">
        <v>139.0</v>
      </c>
      <c r="B141" s="3" t="s">
        <v>6410</v>
      </c>
      <c r="C141" s="3">
        <v>61.0</v>
      </c>
      <c r="D141" s="3" t="s">
        <v>6646</v>
      </c>
      <c r="E141" s="3" t="s">
        <v>6645</v>
      </c>
      <c r="F141" s="3" t="s">
        <v>6645</v>
      </c>
      <c r="G141" s="3" t="s">
        <v>6645</v>
      </c>
      <c r="H141" s="3" t="s">
        <v>6645</v>
      </c>
      <c r="I141" s="3" t="s">
        <v>6645</v>
      </c>
      <c r="J141" s="3">
        <v>-1.0</v>
      </c>
      <c r="K141" s="3">
        <v>5.0</v>
      </c>
      <c r="L141" s="3">
        <v>0.0</v>
      </c>
      <c r="M141" s="3">
        <v>0.0</v>
      </c>
      <c r="N141" s="3">
        <v>26787.267</v>
      </c>
      <c r="O141" s="3">
        <v>3672.0</v>
      </c>
      <c r="P141" s="3" t="s">
        <v>5924</v>
      </c>
      <c r="Q141" s="3">
        <v>88.0</v>
      </c>
      <c r="R141" s="3">
        <v>75.0</v>
      </c>
      <c r="S141" s="3">
        <v>68.0</v>
      </c>
      <c r="T141" s="3">
        <v>66.0</v>
      </c>
      <c r="U141" s="3">
        <v>72.0</v>
      </c>
      <c r="V141" s="3">
        <v>70.0</v>
      </c>
      <c r="W141" s="3">
        <v>120.0</v>
      </c>
      <c r="X141" s="3">
        <v>120.0</v>
      </c>
      <c r="Y141" s="3">
        <v>110.0</v>
      </c>
      <c r="Z141" s="3">
        <v>68.0</v>
      </c>
      <c r="AA141" s="3">
        <v>62.0</v>
      </c>
      <c r="AB141" s="3">
        <v>91.0</v>
      </c>
      <c r="AC141" s="3">
        <v>74.0</v>
      </c>
      <c r="AD141" s="3">
        <v>69.0</v>
      </c>
      <c r="AE141" s="3">
        <v>72.0</v>
      </c>
      <c r="AF141" s="3">
        <v>61.0</v>
      </c>
      <c r="AG141" s="3">
        <v>33.0</v>
      </c>
      <c r="AH141" s="3">
        <v>100.0</v>
      </c>
      <c r="AI141" s="3">
        <v>100.0</v>
      </c>
      <c r="AJ141" s="3">
        <v>47.0</v>
      </c>
      <c r="AK141" s="3">
        <v>66.0</v>
      </c>
      <c r="AL141" s="3">
        <v>67.0</v>
      </c>
      <c r="AM141" s="3">
        <v>54.0</v>
      </c>
      <c r="AN141" s="3">
        <v>67.0</v>
      </c>
    </row>
    <row r="142" ht="14.25" customHeight="1">
      <c r="A142" s="3">
        <v>140.0</v>
      </c>
      <c r="B142" s="3" t="s">
        <v>6414</v>
      </c>
      <c r="C142" s="3">
        <v>71.0</v>
      </c>
      <c r="D142" s="3" t="s">
        <v>6646</v>
      </c>
      <c r="E142" s="3" t="s">
        <v>6645</v>
      </c>
      <c r="F142" s="3" t="s">
        <v>6645</v>
      </c>
      <c r="G142" s="3" t="s">
        <v>6646</v>
      </c>
      <c r="H142" s="3" t="s">
        <v>6645</v>
      </c>
      <c r="I142" s="3" t="s">
        <v>6645</v>
      </c>
      <c r="J142" s="3">
        <v>-1.0</v>
      </c>
      <c r="K142" s="3">
        <v>5.0</v>
      </c>
      <c r="L142" s="3">
        <v>0.0</v>
      </c>
      <c r="M142" s="3">
        <v>0.0</v>
      </c>
      <c r="N142" s="3">
        <v>30433.886</v>
      </c>
      <c r="O142" s="3">
        <v>3150.0</v>
      </c>
      <c r="P142" s="3" t="s">
        <v>5931</v>
      </c>
      <c r="Q142" s="3">
        <v>70.0</v>
      </c>
      <c r="R142" s="3">
        <v>96.0</v>
      </c>
      <c r="S142" s="3">
        <v>74.0</v>
      </c>
      <c r="T142" s="3">
        <v>76.0</v>
      </c>
      <c r="U142" s="3">
        <v>71.0</v>
      </c>
      <c r="V142" s="3">
        <v>84.0</v>
      </c>
      <c r="W142" s="3">
        <v>104.0</v>
      </c>
      <c r="X142" s="3">
        <v>86.0</v>
      </c>
      <c r="Y142" s="3">
        <v>105.0</v>
      </c>
      <c r="Z142" s="3">
        <v>98.0</v>
      </c>
      <c r="AA142" s="3">
        <v>92.0</v>
      </c>
      <c r="AB142" s="3">
        <v>104.0</v>
      </c>
      <c r="AC142" s="3">
        <v>60.0</v>
      </c>
      <c r="AD142" s="3">
        <v>57.0</v>
      </c>
      <c r="AE142" s="3">
        <v>71.0</v>
      </c>
      <c r="AF142" s="3">
        <v>64.0</v>
      </c>
      <c r="AG142" s="3">
        <v>56.0</v>
      </c>
      <c r="AH142" s="3">
        <v>61.0</v>
      </c>
      <c r="AI142" s="3">
        <v>51.0</v>
      </c>
      <c r="AJ142" s="3">
        <v>65.0</v>
      </c>
      <c r="AK142" s="3">
        <v>70.0</v>
      </c>
      <c r="AL142" s="3">
        <v>46.0</v>
      </c>
      <c r="AM142" s="3">
        <v>69.0</v>
      </c>
      <c r="AN142" s="3">
        <v>58.0</v>
      </c>
    </row>
    <row r="143" ht="14.25" customHeight="1">
      <c r="A143" s="3">
        <v>141.0</v>
      </c>
      <c r="B143" s="3" t="s">
        <v>6419</v>
      </c>
      <c r="C143" s="3">
        <v>68.0</v>
      </c>
      <c r="D143" s="3" t="s">
        <v>6646</v>
      </c>
      <c r="E143" s="3" t="s">
        <v>6645</v>
      </c>
      <c r="F143" s="3" t="s">
        <v>6645</v>
      </c>
      <c r="G143" s="3" t="s">
        <v>6646</v>
      </c>
      <c r="H143" s="3" t="s">
        <v>6645</v>
      </c>
      <c r="I143" s="3" t="s">
        <v>6645</v>
      </c>
      <c r="J143" s="3">
        <v>-1.0</v>
      </c>
      <c r="K143" s="3">
        <v>5.0</v>
      </c>
      <c r="L143" s="3">
        <v>0.0</v>
      </c>
      <c r="M143" s="3">
        <v>0.0</v>
      </c>
      <c r="N143" s="3">
        <v>30080.5</v>
      </c>
      <c r="O143" s="3">
        <v>3740.0</v>
      </c>
      <c r="P143" s="3" t="s">
        <v>5909</v>
      </c>
      <c r="Q143" s="3">
        <v>75.0</v>
      </c>
      <c r="R143" s="3">
        <v>81.0</v>
      </c>
      <c r="S143" s="3">
        <v>75.0</v>
      </c>
      <c r="T143" s="3">
        <v>80.0</v>
      </c>
      <c r="U143" s="3">
        <v>77.0</v>
      </c>
      <c r="V143" s="3">
        <v>66.0</v>
      </c>
      <c r="W143" s="3">
        <v>97.0</v>
      </c>
      <c r="X143" s="3">
        <v>99.0</v>
      </c>
      <c r="Y143" s="3">
        <v>108.0</v>
      </c>
      <c r="Z143" s="3">
        <v>59.0</v>
      </c>
      <c r="AA143" s="3">
        <v>100.0</v>
      </c>
      <c r="AB143" s="3">
        <v>92.0</v>
      </c>
      <c r="AC143" s="3">
        <v>83.0</v>
      </c>
      <c r="AD143" s="3">
        <v>90.0</v>
      </c>
      <c r="AE143" s="3">
        <v>73.0</v>
      </c>
      <c r="AF143" s="3">
        <v>88.0</v>
      </c>
      <c r="AG143" s="3">
        <v>61.0</v>
      </c>
      <c r="AH143" s="3">
        <v>38.0</v>
      </c>
      <c r="AI143" s="3">
        <v>43.0</v>
      </c>
      <c r="AJ143" s="3">
        <v>47.0</v>
      </c>
      <c r="AK143" s="3">
        <v>89.0</v>
      </c>
      <c r="AL143" s="3">
        <v>66.0</v>
      </c>
      <c r="AM143" s="3">
        <v>55.0</v>
      </c>
      <c r="AN143" s="3">
        <v>56.0</v>
      </c>
    </row>
    <row r="144" ht="14.25" customHeight="1">
      <c r="A144" s="3">
        <v>142.0</v>
      </c>
      <c r="B144" s="3" t="s">
        <v>6422</v>
      </c>
      <c r="C144" s="3">
        <v>65.0</v>
      </c>
      <c r="D144" s="3" t="s">
        <v>6646</v>
      </c>
      <c r="E144" s="3" t="s">
        <v>6645</v>
      </c>
      <c r="F144" s="3" t="s">
        <v>6645</v>
      </c>
      <c r="G144" s="3" t="s">
        <v>6646</v>
      </c>
      <c r="H144" s="3" t="s">
        <v>6645</v>
      </c>
      <c r="I144" s="3" t="s">
        <v>6645</v>
      </c>
      <c r="J144" s="3">
        <v>-1.0</v>
      </c>
      <c r="K144" s="3">
        <v>5.0</v>
      </c>
      <c r="L144" s="3">
        <v>0.0</v>
      </c>
      <c r="M144" s="3">
        <v>0.0</v>
      </c>
      <c r="N144" s="3">
        <v>30446.228</v>
      </c>
      <c r="O144" s="3">
        <v>2630.0</v>
      </c>
      <c r="P144" s="3" t="s">
        <v>5899</v>
      </c>
      <c r="Q144" s="3">
        <v>72.0</v>
      </c>
      <c r="R144" s="3">
        <v>87.0</v>
      </c>
      <c r="S144" s="3">
        <v>70.0</v>
      </c>
      <c r="T144" s="3">
        <v>83.0</v>
      </c>
      <c r="U144" s="3">
        <v>73.0</v>
      </c>
      <c r="V144" s="3">
        <v>65.0</v>
      </c>
      <c r="W144" s="3">
        <v>106.0</v>
      </c>
      <c r="X144" s="3">
        <v>101.0</v>
      </c>
      <c r="Y144" s="3">
        <v>97.0</v>
      </c>
      <c r="Z144" s="3">
        <v>59.0</v>
      </c>
      <c r="AA144" s="3">
        <v>66.0</v>
      </c>
      <c r="AB144" s="3">
        <v>91.0</v>
      </c>
      <c r="AC144" s="3">
        <v>94.0</v>
      </c>
      <c r="AD144" s="3">
        <v>90.0</v>
      </c>
      <c r="AE144" s="3">
        <v>88.0</v>
      </c>
      <c r="AF144" s="3">
        <v>69.0</v>
      </c>
      <c r="AG144" s="3">
        <v>52.0</v>
      </c>
      <c r="AH144" s="3">
        <v>42.0</v>
      </c>
      <c r="AI144" s="3">
        <v>89.0</v>
      </c>
      <c r="AJ144" s="3">
        <v>53.0</v>
      </c>
      <c r="AK144" s="3">
        <v>63.0</v>
      </c>
      <c r="AL144" s="3">
        <v>49.0</v>
      </c>
      <c r="AM144" s="3">
        <v>67.0</v>
      </c>
      <c r="AN144" s="3">
        <v>66.0</v>
      </c>
    </row>
    <row r="145" ht="14.25" customHeight="1">
      <c r="A145" s="3">
        <v>143.0</v>
      </c>
      <c r="B145" s="3" t="s">
        <v>6425</v>
      </c>
      <c r="C145" s="3">
        <v>59.0</v>
      </c>
      <c r="D145" s="3" t="s">
        <v>6646</v>
      </c>
      <c r="E145" s="3" t="s">
        <v>6645</v>
      </c>
      <c r="F145" s="3" t="s">
        <v>6645</v>
      </c>
      <c r="G145" s="3" t="s">
        <v>6646</v>
      </c>
      <c r="H145" s="3" t="s">
        <v>6645</v>
      </c>
      <c r="I145" s="3" t="s">
        <v>6645</v>
      </c>
      <c r="J145" s="3">
        <v>-1.0</v>
      </c>
      <c r="K145" s="3">
        <v>5.0</v>
      </c>
      <c r="L145" s="3">
        <v>0.0</v>
      </c>
      <c r="M145" s="3">
        <v>0.0</v>
      </c>
      <c r="N145" s="3">
        <v>27798.402</v>
      </c>
      <c r="O145" s="3">
        <v>3612.0</v>
      </c>
      <c r="P145" s="3" t="s">
        <v>5924</v>
      </c>
      <c r="Q145" s="3">
        <v>69.0</v>
      </c>
      <c r="R145" s="3">
        <v>65.0</v>
      </c>
      <c r="S145" s="3">
        <v>82.0</v>
      </c>
      <c r="T145" s="3">
        <v>90.0</v>
      </c>
      <c r="U145" s="3">
        <v>71.0</v>
      </c>
      <c r="V145" s="3">
        <v>79.0</v>
      </c>
      <c r="W145" s="3">
        <v>104.0</v>
      </c>
      <c r="X145" s="3">
        <v>77.0</v>
      </c>
      <c r="Y145" s="3">
        <v>102.0</v>
      </c>
      <c r="Z145" s="3">
        <v>99.0</v>
      </c>
      <c r="AA145" s="3">
        <v>62.0</v>
      </c>
      <c r="AB145" s="3">
        <v>91.0</v>
      </c>
      <c r="AC145" s="3">
        <v>101.0</v>
      </c>
      <c r="AD145" s="3">
        <v>59.0</v>
      </c>
      <c r="AE145" s="3">
        <v>95.0</v>
      </c>
      <c r="AF145" s="3">
        <v>61.0</v>
      </c>
      <c r="AG145" s="3">
        <v>83.0</v>
      </c>
      <c r="AH145" s="3">
        <v>63.0</v>
      </c>
      <c r="AI145" s="3">
        <v>70.0</v>
      </c>
      <c r="AJ145" s="3">
        <v>47.0</v>
      </c>
      <c r="AK145" s="3">
        <v>68.0</v>
      </c>
      <c r="AL145" s="3">
        <v>28.0</v>
      </c>
      <c r="AM145" s="3">
        <v>77.0</v>
      </c>
      <c r="AN145" s="3">
        <v>22.0</v>
      </c>
    </row>
    <row r="146" ht="14.25" customHeight="1">
      <c r="A146" s="3">
        <v>144.0</v>
      </c>
      <c r="B146" s="3" t="s">
        <v>6428</v>
      </c>
      <c r="C146" s="3">
        <v>64.0</v>
      </c>
      <c r="D146" s="3" t="s">
        <v>6646</v>
      </c>
      <c r="E146" s="3" t="s">
        <v>6645</v>
      </c>
      <c r="F146" s="3" t="s">
        <v>6645</v>
      </c>
      <c r="G146" s="3" t="s">
        <v>6646</v>
      </c>
      <c r="H146" s="3" t="s">
        <v>6645</v>
      </c>
      <c r="I146" s="3" t="s">
        <v>6645</v>
      </c>
      <c r="J146" s="3">
        <v>-1.0</v>
      </c>
      <c r="K146" s="3">
        <v>5.0</v>
      </c>
      <c r="L146" s="3">
        <v>0.0</v>
      </c>
      <c r="M146" s="3">
        <v>0.0</v>
      </c>
      <c r="N146" s="3">
        <v>60998.906</v>
      </c>
      <c r="O146" s="3">
        <v>3627.0</v>
      </c>
      <c r="P146" s="3" t="s">
        <v>5924</v>
      </c>
      <c r="Q146" s="3">
        <v>110.0</v>
      </c>
      <c r="R146" s="3">
        <v>120.0</v>
      </c>
      <c r="S146" s="3">
        <v>120.0</v>
      </c>
      <c r="T146" s="3">
        <v>120.0</v>
      </c>
      <c r="U146" s="3">
        <v>110.0</v>
      </c>
      <c r="V146" s="3">
        <v>108.0</v>
      </c>
      <c r="W146" s="3">
        <v>120.0</v>
      </c>
      <c r="X146" s="3">
        <v>120.0</v>
      </c>
      <c r="Y146" s="3">
        <v>120.0</v>
      </c>
      <c r="Z146" s="3">
        <v>116.0</v>
      </c>
      <c r="AA146" s="3">
        <v>120.0</v>
      </c>
      <c r="AB146" s="3">
        <v>110.0</v>
      </c>
      <c r="AC146" s="3">
        <v>110.0</v>
      </c>
      <c r="AD146" s="3">
        <v>120.0</v>
      </c>
      <c r="AE146" s="3">
        <v>120.0</v>
      </c>
      <c r="AF146" s="3">
        <v>66.0</v>
      </c>
      <c r="AG146" s="3">
        <v>51.0</v>
      </c>
      <c r="AH146" s="3">
        <v>100.0</v>
      </c>
      <c r="AI146" s="3">
        <v>100.0</v>
      </c>
      <c r="AJ146" s="3">
        <v>74.0</v>
      </c>
      <c r="AK146" s="3">
        <v>55.0</v>
      </c>
      <c r="AL146" s="3">
        <v>74.0</v>
      </c>
      <c r="AM146" s="3">
        <v>86.0</v>
      </c>
      <c r="AN146" s="3">
        <v>70.0</v>
      </c>
    </row>
    <row r="147" ht="14.25" customHeight="1">
      <c r="A147" s="3">
        <v>145.0</v>
      </c>
      <c r="B147" s="3" t="s">
        <v>6432</v>
      </c>
      <c r="C147" s="3">
        <v>45.0</v>
      </c>
      <c r="D147" s="3" t="s">
        <v>6646</v>
      </c>
      <c r="E147" s="3" t="s">
        <v>6645</v>
      </c>
      <c r="F147" s="3" t="s">
        <v>6645</v>
      </c>
      <c r="G147" s="3" t="s">
        <v>6646</v>
      </c>
      <c r="H147" s="3" t="s">
        <v>6645</v>
      </c>
      <c r="I147" s="3" t="s">
        <v>6646</v>
      </c>
      <c r="J147" s="3">
        <v>-1.0</v>
      </c>
      <c r="K147" s="3">
        <v>5.0</v>
      </c>
      <c r="L147" s="3">
        <v>0.0</v>
      </c>
      <c r="M147" s="3">
        <v>0.0</v>
      </c>
      <c r="N147" s="3">
        <v>63894.234</v>
      </c>
      <c r="O147" s="3">
        <v>3340.0</v>
      </c>
      <c r="P147" s="3" t="s">
        <v>5931</v>
      </c>
      <c r="Q147" s="3">
        <v>118.0</v>
      </c>
      <c r="R147" s="3">
        <v>120.0</v>
      </c>
      <c r="S147" s="3">
        <v>109.0</v>
      </c>
      <c r="T147" s="3">
        <v>120.0</v>
      </c>
      <c r="U147" s="3">
        <v>114.0</v>
      </c>
      <c r="V147" s="3">
        <v>120.0</v>
      </c>
      <c r="W147" s="3">
        <v>120.0</v>
      </c>
      <c r="X147" s="3">
        <v>120.0</v>
      </c>
      <c r="Y147" s="3">
        <v>115.0</v>
      </c>
      <c r="Z147" s="3">
        <v>115.0</v>
      </c>
      <c r="AA147" s="3">
        <v>120.0</v>
      </c>
      <c r="AB147" s="3">
        <v>109.0</v>
      </c>
      <c r="AC147" s="3">
        <v>114.0</v>
      </c>
      <c r="AD147" s="3">
        <v>120.0</v>
      </c>
      <c r="AE147" s="3">
        <v>111.0</v>
      </c>
      <c r="AF147" s="3">
        <v>62.0</v>
      </c>
      <c r="AG147" s="3">
        <v>53.0</v>
      </c>
      <c r="AH147" s="3">
        <v>100.0</v>
      </c>
      <c r="AI147" s="3">
        <v>79.0</v>
      </c>
      <c r="AJ147" s="3">
        <v>89.0</v>
      </c>
      <c r="AK147" s="3">
        <v>73.0</v>
      </c>
      <c r="AL147" s="3">
        <v>68.0</v>
      </c>
      <c r="AM147" s="3">
        <v>87.0</v>
      </c>
      <c r="AN147" s="3">
        <v>60.0</v>
      </c>
    </row>
    <row r="148" ht="14.25" customHeight="1">
      <c r="A148" s="3">
        <v>146.0</v>
      </c>
      <c r="B148" s="3" t="s">
        <v>6436</v>
      </c>
      <c r="C148" s="3">
        <v>55.0</v>
      </c>
      <c r="D148" s="3" t="s">
        <v>6646</v>
      </c>
      <c r="E148" s="3" t="s">
        <v>6645</v>
      </c>
      <c r="F148" s="3" t="s">
        <v>6645</v>
      </c>
      <c r="G148" s="3" t="s">
        <v>6646</v>
      </c>
      <c r="H148" s="3" t="s">
        <v>6645</v>
      </c>
      <c r="I148" s="3" t="s">
        <v>6646</v>
      </c>
      <c r="J148" s="3">
        <v>-1.0</v>
      </c>
      <c r="K148" s="3">
        <v>5.0</v>
      </c>
      <c r="L148" s="3">
        <v>0.0</v>
      </c>
      <c r="M148" s="3">
        <v>0.0</v>
      </c>
      <c r="N148" s="3">
        <v>68100.3</v>
      </c>
      <c r="O148" s="3">
        <v>3163.0</v>
      </c>
      <c r="P148" s="3" t="s">
        <v>5924</v>
      </c>
      <c r="Q148" s="3">
        <v>112.0</v>
      </c>
      <c r="R148" s="3">
        <v>120.0</v>
      </c>
      <c r="S148" s="3">
        <v>120.0</v>
      </c>
      <c r="T148" s="3">
        <v>112.0</v>
      </c>
      <c r="U148" s="3">
        <v>105.0</v>
      </c>
      <c r="V148" s="3">
        <v>120.0</v>
      </c>
      <c r="W148" s="3">
        <v>120.0</v>
      </c>
      <c r="X148" s="3">
        <v>120.0</v>
      </c>
      <c r="Y148" s="3">
        <v>117.0</v>
      </c>
      <c r="Z148" s="3">
        <v>120.0</v>
      </c>
      <c r="AA148" s="3">
        <v>120.0</v>
      </c>
      <c r="AB148" s="3">
        <v>110.0</v>
      </c>
      <c r="AC148" s="3">
        <v>115.0</v>
      </c>
      <c r="AD148" s="3">
        <v>109.0</v>
      </c>
      <c r="AE148" s="3">
        <v>120.0</v>
      </c>
      <c r="AF148" s="3">
        <v>69.0</v>
      </c>
      <c r="AG148" s="3">
        <v>49.0</v>
      </c>
      <c r="AH148" s="3">
        <v>66.0</v>
      </c>
      <c r="AI148" s="3">
        <v>88.0</v>
      </c>
      <c r="AJ148" s="3">
        <v>74.0</v>
      </c>
      <c r="AK148" s="3">
        <v>100.0</v>
      </c>
      <c r="AL148" s="3">
        <v>70.0</v>
      </c>
      <c r="AM148" s="3">
        <v>74.0</v>
      </c>
      <c r="AN148" s="3">
        <v>71.0</v>
      </c>
    </row>
    <row r="149" ht="14.25" customHeight="1">
      <c r="A149" s="3">
        <v>147.0</v>
      </c>
      <c r="B149" s="3" t="s">
        <v>6440</v>
      </c>
      <c r="C149" s="3">
        <v>57.0</v>
      </c>
      <c r="D149" s="3" t="s">
        <v>6646</v>
      </c>
      <c r="E149" s="3" t="s">
        <v>6645</v>
      </c>
      <c r="F149" s="3" t="s">
        <v>6645</v>
      </c>
      <c r="G149" s="3" t="s">
        <v>6646</v>
      </c>
      <c r="H149" s="3" t="s">
        <v>6645</v>
      </c>
      <c r="I149" s="3" t="s">
        <v>6645</v>
      </c>
      <c r="J149" s="3">
        <v>-1.0</v>
      </c>
      <c r="K149" s="3">
        <v>5.0</v>
      </c>
      <c r="L149" s="3">
        <v>0.0</v>
      </c>
      <c r="M149" s="3">
        <v>0.0</v>
      </c>
      <c r="N149" s="3">
        <v>69708.0</v>
      </c>
      <c r="O149" s="3">
        <v>3470.0</v>
      </c>
      <c r="P149" s="3" t="s">
        <v>5931</v>
      </c>
      <c r="Q149" s="3">
        <v>120.0</v>
      </c>
      <c r="R149" s="3">
        <v>119.0</v>
      </c>
      <c r="S149" s="3">
        <v>118.0</v>
      </c>
      <c r="T149" s="3">
        <v>120.0</v>
      </c>
      <c r="U149" s="3">
        <v>120.0</v>
      </c>
      <c r="V149" s="3">
        <v>120.0</v>
      </c>
      <c r="W149" s="3">
        <v>115.0</v>
      </c>
      <c r="X149" s="3">
        <v>120.0</v>
      </c>
      <c r="Y149" s="3">
        <v>120.0</v>
      </c>
      <c r="Z149" s="3">
        <v>109.0</v>
      </c>
      <c r="AA149" s="3">
        <v>110.0</v>
      </c>
      <c r="AB149" s="3">
        <v>108.0</v>
      </c>
      <c r="AC149" s="3">
        <v>120.0</v>
      </c>
      <c r="AD149" s="3">
        <v>110.0</v>
      </c>
      <c r="AE149" s="3">
        <v>112.0</v>
      </c>
      <c r="AF149" s="3">
        <v>60.0</v>
      </c>
      <c r="AG149" s="3">
        <v>61.0</v>
      </c>
      <c r="AH149" s="3">
        <v>72.0</v>
      </c>
      <c r="AI149" s="3">
        <v>77.0</v>
      </c>
      <c r="AJ149" s="3">
        <v>100.0</v>
      </c>
      <c r="AK149" s="3">
        <v>61.0</v>
      </c>
      <c r="AL149" s="3">
        <v>76.0</v>
      </c>
      <c r="AM149" s="3">
        <v>71.0</v>
      </c>
      <c r="AN149" s="3">
        <v>81.0</v>
      </c>
    </row>
    <row r="150" ht="14.25" customHeight="1">
      <c r="A150" s="3">
        <v>148.0</v>
      </c>
      <c r="B150" s="3" t="s">
        <v>6444</v>
      </c>
      <c r="C150" s="3">
        <v>49.0</v>
      </c>
      <c r="D150" s="3" t="s">
        <v>6646</v>
      </c>
      <c r="E150" s="3" t="s">
        <v>6645</v>
      </c>
      <c r="F150" s="3" t="s">
        <v>6645</v>
      </c>
      <c r="G150" s="3" t="s">
        <v>6646</v>
      </c>
      <c r="H150" s="3" t="s">
        <v>6645</v>
      </c>
      <c r="I150" s="3" t="s">
        <v>6645</v>
      </c>
      <c r="J150" s="3">
        <v>-1.0</v>
      </c>
      <c r="K150" s="3">
        <v>5.0</v>
      </c>
      <c r="L150" s="3">
        <v>0.0</v>
      </c>
      <c r="M150" s="3">
        <v>0.0</v>
      </c>
      <c r="N150" s="3">
        <v>62283.953</v>
      </c>
      <c r="O150" s="3">
        <v>3020.0</v>
      </c>
      <c r="P150" s="3" t="s">
        <v>5899</v>
      </c>
      <c r="Q150" s="3">
        <v>120.0</v>
      </c>
      <c r="R150" s="3">
        <v>108.0</v>
      </c>
      <c r="S150" s="3">
        <v>112.0</v>
      </c>
      <c r="T150" s="3">
        <v>120.0</v>
      </c>
      <c r="U150" s="3">
        <v>120.0</v>
      </c>
      <c r="V150" s="3">
        <v>120.0</v>
      </c>
      <c r="W150" s="3">
        <v>120.0</v>
      </c>
      <c r="X150" s="3">
        <v>120.0</v>
      </c>
      <c r="Y150" s="3">
        <v>120.0</v>
      </c>
      <c r="Z150" s="3">
        <v>120.0</v>
      </c>
      <c r="AA150" s="3">
        <v>115.0</v>
      </c>
      <c r="AB150" s="3">
        <v>120.0</v>
      </c>
      <c r="AC150" s="3">
        <v>113.0</v>
      </c>
      <c r="AD150" s="3">
        <v>116.0</v>
      </c>
      <c r="AE150" s="3">
        <v>110.0</v>
      </c>
      <c r="AF150" s="3">
        <v>78.0</v>
      </c>
      <c r="AG150" s="3">
        <v>64.0</v>
      </c>
      <c r="AH150" s="3">
        <v>88.0</v>
      </c>
      <c r="AI150" s="3">
        <v>75.0</v>
      </c>
      <c r="AJ150" s="3">
        <v>96.0</v>
      </c>
      <c r="AK150" s="3">
        <v>29.0</v>
      </c>
      <c r="AL150" s="3">
        <v>65.0</v>
      </c>
      <c r="AM150" s="3">
        <v>78.0</v>
      </c>
      <c r="AN150" s="3">
        <v>84.0</v>
      </c>
    </row>
    <row r="151" ht="14.25" customHeight="1">
      <c r="A151" s="3">
        <v>149.0</v>
      </c>
      <c r="B151" s="3" t="s">
        <v>6448</v>
      </c>
      <c r="C151" s="3">
        <v>66.0</v>
      </c>
      <c r="D151" s="3" t="s">
        <v>6646</v>
      </c>
      <c r="E151" s="3" t="s">
        <v>6645</v>
      </c>
      <c r="F151" s="3" t="s">
        <v>6645</v>
      </c>
      <c r="G151" s="3" t="s">
        <v>6646</v>
      </c>
      <c r="H151" s="3" t="s">
        <v>6645</v>
      </c>
      <c r="I151" s="3" t="s">
        <v>6645</v>
      </c>
      <c r="J151" s="3">
        <v>-1.0</v>
      </c>
      <c r="K151" s="3">
        <v>5.0</v>
      </c>
      <c r="L151" s="3">
        <v>0.0</v>
      </c>
      <c r="M151" s="3">
        <v>0.0</v>
      </c>
      <c r="N151" s="3">
        <v>65452.4</v>
      </c>
      <c r="O151" s="3">
        <v>3452.0</v>
      </c>
      <c r="P151" s="3" t="s">
        <v>5924</v>
      </c>
      <c r="Q151" s="3">
        <v>120.0</v>
      </c>
      <c r="R151" s="3">
        <v>105.0</v>
      </c>
      <c r="S151" s="3">
        <v>120.0</v>
      </c>
      <c r="T151" s="3">
        <v>120.0</v>
      </c>
      <c r="U151" s="3">
        <v>120.0</v>
      </c>
      <c r="V151" s="3">
        <v>120.0</v>
      </c>
      <c r="W151" s="3">
        <v>120.0</v>
      </c>
      <c r="X151" s="3">
        <v>120.0</v>
      </c>
      <c r="Y151" s="3">
        <v>120.0</v>
      </c>
      <c r="Z151" s="3">
        <v>120.0</v>
      </c>
      <c r="AA151" s="3">
        <v>108.0</v>
      </c>
      <c r="AB151" s="3">
        <v>110.0</v>
      </c>
      <c r="AC151" s="3">
        <v>120.0</v>
      </c>
      <c r="AD151" s="3">
        <v>120.0</v>
      </c>
      <c r="AE151" s="3">
        <v>109.0</v>
      </c>
      <c r="AF151" s="3">
        <v>96.0</v>
      </c>
      <c r="AG151" s="3">
        <v>36.0</v>
      </c>
      <c r="AH151" s="3">
        <v>74.0</v>
      </c>
      <c r="AI151" s="3">
        <v>81.0</v>
      </c>
      <c r="AJ151" s="3">
        <v>72.0</v>
      </c>
      <c r="AK151" s="3">
        <v>69.0</v>
      </c>
      <c r="AL151" s="3">
        <v>75.0</v>
      </c>
      <c r="AM151" s="3">
        <v>85.0</v>
      </c>
      <c r="AN151" s="3">
        <v>72.0</v>
      </c>
    </row>
    <row r="152" ht="14.25" customHeight="1">
      <c r="A152" s="3">
        <v>150.0</v>
      </c>
      <c r="B152" s="3" t="s">
        <v>6452</v>
      </c>
      <c r="C152" s="3">
        <v>20.0</v>
      </c>
      <c r="D152" s="3" t="s">
        <v>6646</v>
      </c>
      <c r="E152" s="3" t="s">
        <v>6645</v>
      </c>
      <c r="F152" s="3" t="s">
        <v>6645</v>
      </c>
      <c r="G152" s="3" t="s">
        <v>6645</v>
      </c>
      <c r="H152" s="3" t="s">
        <v>6645</v>
      </c>
      <c r="I152" s="3" t="s">
        <v>6645</v>
      </c>
      <c r="J152" s="3">
        <v>28.0</v>
      </c>
      <c r="K152" s="3">
        <v>0.0</v>
      </c>
      <c r="L152" s="3">
        <v>0.0</v>
      </c>
      <c r="M152" s="3">
        <v>0.0</v>
      </c>
      <c r="N152" s="3">
        <v>482.56555</v>
      </c>
      <c r="O152" s="3">
        <v>121.0</v>
      </c>
      <c r="P152" s="3" t="s">
        <v>5899</v>
      </c>
      <c r="Q152" s="3">
        <v>30.0</v>
      </c>
      <c r="R152" s="3">
        <v>38.0</v>
      </c>
      <c r="S152" s="3">
        <v>31.0</v>
      </c>
      <c r="T152" s="3">
        <v>30.0</v>
      </c>
      <c r="U152" s="3">
        <v>30.0</v>
      </c>
      <c r="V152" s="3">
        <v>30.0</v>
      </c>
      <c r="W152" s="3">
        <v>24.0</v>
      </c>
      <c r="X152" s="3">
        <v>42.0</v>
      </c>
      <c r="Y152" s="3">
        <v>32.0</v>
      </c>
      <c r="Z152" s="3">
        <v>37.0</v>
      </c>
      <c r="AA152" s="3">
        <v>38.0</v>
      </c>
      <c r="AB152" s="3">
        <v>36.0</v>
      </c>
      <c r="AC152" s="3">
        <v>31.0</v>
      </c>
      <c r="AD152" s="3">
        <v>37.0</v>
      </c>
      <c r="AE152" s="3">
        <v>24.0</v>
      </c>
      <c r="AF152" s="3">
        <v>45.0</v>
      </c>
      <c r="AG152" s="3">
        <v>58.0</v>
      </c>
      <c r="AH152" s="3">
        <v>30.0</v>
      </c>
      <c r="AI152" s="3">
        <v>45.0</v>
      </c>
      <c r="AJ152" s="3">
        <v>41.0</v>
      </c>
      <c r="AK152" s="3">
        <v>54.0</v>
      </c>
      <c r="AL152" s="3">
        <v>58.0</v>
      </c>
      <c r="AM152" s="3">
        <v>57.0</v>
      </c>
      <c r="AN152" s="3">
        <v>36.0</v>
      </c>
    </row>
    <row r="153" ht="14.25" customHeight="1">
      <c r="A153" s="3">
        <v>151.0</v>
      </c>
      <c r="B153" s="3" t="s">
        <v>6454</v>
      </c>
      <c r="C153" s="3">
        <v>18.0</v>
      </c>
      <c r="D153" s="3" t="s">
        <v>6646</v>
      </c>
      <c r="E153" s="3" t="s">
        <v>6645</v>
      </c>
      <c r="F153" s="3" t="s">
        <v>6645</v>
      </c>
      <c r="G153" s="3" t="s">
        <v>6645</v>
      </c>
      <c r="H153" s="3" t="s">
        <v>6645</v>
      </c>
      <c r="I153" s="3" t="s">
        <v>6646</v>
      </c>
      <c r="J153" s="3">
        <v>17.0</v>
      </c>
      <c r="K153" s="3">
        <v>3.0</v>
      </c>
      <c r="L153" s="3">
        <v>0.0</v>
      </c>
      <c r="M153" s="3">
        <v>0.0</v>
      </c>
      <c r="N153" s="3">
        <v>626.334</v>
      </c>
      <c r="O153" s="3">
        <v>818.0</v>
      </c>
      <c r="P153" s="3" t="s">
        <v>5931</v>
      </c>
      <c r="Q153" s="3">
        <v>35.0</v>
      </c>
      <c r="R153" s="3">
        <v>32.0</v>
      </c>
      <c r="S153" s="3">
        <v>32.0</v>
      </c>
      <c r="T153" s="3">
        <v>33.0</v>
      </c>
      <c r="U153" s="3">
        <v>37.0</v>
      </c>
      <c r="V153" s="3">
        <v>32.0</v>
      </c>
      <c r="W153" s="3">
        <v>37.0</v>
      </c>
      <c r="X153" s="3">
        <v>30.0</v>
      </c>
      <c r="Y153" s="3">
        <v>37.0</v>
      </c>
      <c r="Z153" s="3">
        <v>33.0</v>
      </c>
      <c r="AA153" s="3">
        <v>33.0</v>
      </c>
      <c r="AB153" s="3">
        <v>32.0</v>
      </c>
      <c r="AC153" s="3">
        <v>43.0</v>
      </c>
      <c r="AD153" s="3">
        <v>26.0</v>
      </c>
      <c r="AE153" s="3">
        <v>43.0</v>
      </c>
      <c r="AF153" s="3">
        <v>35.0</v>
      </c>
      <c r="AG153" s="3">
        <v>32.0</v>
      </c>
      <c r="AH153" s="3">
        <v>57.0</v>
      </c>
      <c r="AI153" s="3">
        <v>59.0</v>
      </c>
      <c r="AJ153" s="3">
        <v>46.0</v>
      </c>
      <c r="AK153" s="3">
        <v>44.0</v>
      </c>
      <c r="AL153" s="3">
        <v>64.0</v>
      </c>
      <c r="AM153" s="3">
        <v>38.0</v>
      </c>
      <c r="AN153" s="3">
        <v>11.0</v>
      </c>
    </row>
    <row r="154" ht="14.25" customHeight="1">
      <c r="A154" s="3">
        <v>152.0</v>
      </c>
      <c r="B154" s="3" t="s">
        <v>6457</v>
      </c>
      <c r="C154" s="3">
        <v>27.0</v>
      </c>
      <c r="D154" s="3" t="s">
        <v>6646</v>
      </c>
      <c r="E154" s="3" t="s">
        <v>6645</v>
      </c>
      <c r="F154" s="3" t="s">
        <v>6645</v>
      </c>
      <c r="G154" s="3" t="s">
        <v>6646</v>
      </c>
      <c r="H154" s="3" t="s">
        <v>6645</v>
      </c>
      <c r="I154" s="3" t="s">
        <v>6645</v>
      </c>
      <c r="J154" s="3">
        <v>-1.0</v>
      </c>
      <c r="K154" s="3">
        <v>3.0</v>
      </c>
      <c r="L154" s="3">
        <v>0.0</v>
      </c>
      <c r="M154" s="3">
        <v>0.0</v>
      </c>
      <c r="N154" s="3">
        <v>22404.2</v>
      </c>
      <c r="O154" s="3">
        <v>600.0</v>
      </c>
      <c r="P154" s="3" t="s">
        <v>5924</v>
      </c>
      <c r="Q154" s="3">
        <v>89.0</v>
      </c>
      <c r="R154" s="3">
        <v>62.0</v>
      </c>
      <c r="S154" s="3">
        <v>69.0</v>
      </c>
      <c r="T154" s="3">
        <v>89.0</v>
      </c>
      <c r="U154" s="3">
        <v>93.0</v>
      </c>
      <c r="V154" s="3">
        <v>62.0</v>
      </c>
      <c r="W154" s="3">
        <v>73.0</v>
      </c>
      <c r="X154" s="3">
        <v>71.0</v>
      </c>
      <c r="Y154" s="3">
        <v>75.0</v>
      </c>
      <c r="Z154" s="3">
        <v>63.0</v>
      </c>
      <c r="AA154" s="3">
        <v>58.0</v>
      </c>
      <c r="AB154" s="3">
        <v>63.0</v>
      </c>
      <c r="AC154" s="3">
        <v>92.0</v>
      </c>
      <c r="AD154" s="3">
        <v>53.0</v>
      </c>
      <c r="AE154" s="3">
        <v>59.0</v>
      </c>
      <c r="AF154" s="3">
        <v>55.0</v>
      </c>
      <c r="AG154" s="3">
        <v>61.0</v>
      </c>
      <c r="AH154" s="3">
        <v>50.0</v>
      </c>
      <c r="AI154" s="3">
        <v>42.0</v>
      </c>
      <c r="AJ154" s="3">
        <v>82.0</v>
      </c>
      <c r="AK154" s="3">
        <v>41.0</v>
      </c>
      <c r="AL154" s="3">
        <v>57.0</v>
      </c>
      <c r="AM154" s="3">
        <v>24.0</v>
      </c>
      <c r="AN154" s="3">
        <v>41.0</v>
      </c>
    </row>
    <row r="155" ht="14.25" customHeight="1">
      <c r="A155" s="3">
        <v>153.0</v>
      </c>
      <c r="B155" s="3" t="s">
        <v>6458</v>
      </c>
      <c r="C155" s="3">
        <v>41.0</v>
      </c>
      <c r="D155" s="3" t="s">
        <v>6646</v>
      </c>
      <c r="E155" s="3" t="s">
        <v>6645</v>
      </c>
      <c r="F155" s="3" t="s">
        <v>6645</v>
      </c>
      <c r="G155" s="3" t="s">
        <v>6646</v>
      </c>
      <c r="H155" s="3" t="s">
        <v>6645</v>
      </c>
      <c r="I155" s="3" t="s">
        <v>6645</v>
      </c>
      <c r="J155" s="3">
        <v>-1.0</v>
      </c>
      <c r="K155" s="3">
        <v>3.0</v>
      </c>
      <c r="L155" s="3">
        <v>0.0</v>
      </c>
      <c r="M155" s="3">
        <v>0.0</v>
      </c>
      <c r="N155" s="3">
        <v>4411.73</v>
      </c>
      <c r="O155" s="3">
        <v>880.0</v>
      </c>
      <c r="P155" s="3" t="s">
        <v>5931</v>
      </c>
      <c r="Q155" s="3">
        <v>51.0</v>
      </c>
      <c r="R155" s="3">
        <v>51.0</v>
      </c>
      <c r="S155" s="3">
        <v>53.0</v>
      </c>
      <c r="T155" s="3">
        <v>48.0</v>
      </c>
      <c r="U155" s="3">
        <v>48.0</v>
      </c>
      <c r="V155" s="3">
        <v>48.0</v>
      </c>
      <c r="W155" s="3">
        <v>51.0</v>
      </c>
      <c r="X155" s="3">
        <v>47.0</v>
      </c>
      <c r="Y155" s="3">
        <v>60.0</v>
      </c>
      <c r="Z155" s="3">
        <v>58.0</v>
      </c>
      <c r="AA155" s="3">
        <v>47.0</v>
      </c>
      <c r="AB155" s="3">
        <v>46.0</v>
      </c>
      <c r="AC155" s="3">
        <v>49.0</v>
      </c>
      <c r="AD155" s="3">
        <v>51.0</v>
      </c>
      <c r="AE155" s="3">
        <v>41.0</v>
      </c>
      <c r="AF155" s="3">
        <v>63.0</v>
      </c>
      <c r="AG155" s="3">
        <v>43.0</v>
      </c>
      <c r="AH155" s="3">
        <v>38.0</v>
      </c>
      <c r="AI155" s="3">
        <v>36.0</v>
      </c>
      <c r="AJ155" s="3">
        <v>42.0</v>
      </c>
      <c r="AK155" s="3">
        <v>56.0</v>
      </c>
      <c r="AL155" s="3">
        <v>41.0</v>
      </c>
      <c r="AM155" s="3">
        <v>42.0</v>
      </c>
      <c r="AN155" s="3">
        <v>48.0</v>
      </c>
    </row>
    <row r="156" ht="14.25" customHeight="1">
      <c r="A156" s="3">
        <v>154.0</v>
      </c>
      <c r="B156" s="3" t="s">
        <v>6461</v>
      </c>
      <c r="C156" s="3">
        <v>38.0</v>
      </c>
      <c r="D156" s="3" t="s">
        <v>6646</v>
      </c>
      <c r="E156" s="3" t="s">
        <v>6645</v>
      </c>
      <c r="F156" s="3" t="s">
        <v>6645</v>
      </c>
      <c r="G156" s="3" t="s">
        <v>6646</v>
      </c>
      <c r="H156" s="3" t="s">
        <v>6645</v>
      </c>
      <c r="I156" s="3" t="s">
        <v>6645</v>
      </c>
      <c r="J156" s="3">
        <v>-1.0</v>
      </c>
      <c r="K156" s="3">
        <v>3.0</v>
      </c>
      <c r="L156" s="3">
        <v>0.0</v>
      </c>
      <c r="M156" s="3">
        <v>0.0</v>
      </c>
      <c r="N156" s="3">
        <v>5328.858</v>
      </c>
      <c r="O156" s="3">
        <v>843.0</v>
      </c>
      <c r="P156" s="3" t="s">
        <v>5909</v>
      </c>
      <c r="Q156" s="3">
        <v>54.0</v>
      </c>
      <c r="R156" s="3">
        <v>54.0</v>
      </c>
      <c r="S156" s="3">
        <v>53.0</v>
      </c>
      <c r="T156" s="3">
        <v>47.0</v>
      </c>
      <c r="U156" s="3">
        <v>49.0</v>
      </c>
      <c r="V156" s="3">
        <v>53.0</v>
      </c>
      <c r="W156" s="3">
        <v>54.0</v>
      </c>
      <c r="X156" s="3">
        <v>50.0</v>
      </c>
      <c r="Y156" s="3">
        <v>45.0</v>
      </c>
      <c r="Z156" s="3">
        <v>48.0</v>
      </c>
      <c r="AA156" s="3">
        <v>59.0</v>
      </c>
      <c r="AB156" s="3">
        <v>50.0</v>
      </c>
      <c r="AC156" s="3">
        <v>54.0</v>
      </c>
      <c r="AD156" s="3">
        <v>49.0</v>
      </c>
      <c r="AE156" s="3">
        <v>46.0</v>
      </c>
      <c r="AF156" s="3">
        <v>61.0</v>
      </c>
      <c r="AG156" s="3">
        <v>17.0</v>
      </c>
      <c r="AH156" s="3">
        <v>80.0</v>
      </c>
      <c r="AI156" s="3">
        <v>46.0</v>
      </c>
      <c r="AJ156" s="3">
        <v>41.0</v>
      </c>
      <c r="AK156" s="3">
        <v>62.0</v>
      </c>
      <c r="AL156" s="3">
        <v>39.0</v>
      </c>
      <c r="AM156" s="3">
        <v>39.0</v>
      </c>
      <c r="AN156" s="3">
        <v>62.0</v>
      </c>
    </row>
    <row r="157" ht="14.25" customHeight="1">
      <c r="A157" s="3">
        <v>155.0</v>
      </c>
      <c r="B157" s="3" t="s">
        <v>6463</v>
      </c>
      <c r="C157" s="3">
        <v>35.0</v>
      </c>
      <c r="D157" s="3" t="s">
        <v>6646</v>
      </c>
      <c r="E157" s="3" t="s">
        <v>6645</v>
      </c>
      <c r="F157" s="3" t="s">
        <v>6645</v>
      </c>
      <c r="G157" s="3" t="s">
        <v>6646</v>
      </c>
      <c r="H157" s="3" t="s">
        <v>6645</v>
      </c>
      <c r="I157" s="3" t="s">
        <v>6645</v>
      </c>
      <c r="J157" s="3">
        <v>-1.0</v>
      </c>
      <c r="K157" s="3">
        <v>3.0</v>
      </c>
      <c r="L157" s="3">
        <v>0.0</v>
      </c>
      <c r="M157" s="3">
        <v>0.0</v>
      </c>
      <c r="N157" s="3">
        <v>4774.4003</v>
      </c>
      <c r="O157" s="3">
        <v>624.0</v>
      </c>
      <c r="P157" s="3" t="s">
        <v>5899</v>
      </c>
      <c r="Q157" s="3">
        <v>52.0</v>
      </c>
      <c r="R157" s="3">
        <v>45.0</v>
      </c>
      <c r="S157" s="3">
        <v>52.0</v>
      </c>
      <c r="T157" s="3">
        <v>52.0</v>
      </c>
      <c r="U157" s="3">
        <v>51.0</v>
      </c>
      <c r="V157" s="3">
        <v>45.0</v>
      </c>
      <c r="W157" s="3">
        <v>46.0</v>
      </c>
      <c r="X157" s="3">
        <v>61.0</v>
      </c>
      <c r="Y157" s="3">
        <v>49.0</v>
      </c>
      <c r="Z157" s="3">
        <v>46.0</v>
      </c>
      <c r="AA157" s="3">
        <v>51.0</v>
      </c>
      <c r="AB157" s="3">
        <v>38.0</v>
      </c>
      <c r="AC157" s="3">
        <v>50.0</v>
      </c>
      <c r="AD157" s="3">
        <v>56.0</v>
      </c>
      <c r="AE157" s="3">
        <v>42.0</v>
      </c>
      <c r="AF157" s="3">
        <v>46.0</v>
      </c>
      <c r="AG157" s="3">
        <v>36.0</v>
      </c>
      <c r="AH157" s="3">
        <v>57.0</v>
      </c>
      <c r="AI157" s="3">
        <v>46.0</v>
      </c>
      <c r="AJ157" s="3">
        <v>44.0</v>
      </c>
      <c r="AK157" s="3">
        <v>61.0</v>
      </c>
      <c r="AL157" s="3">
        <v>46.0</v>
      </c>
      <c r="AM157" s="3">
        <v>42.0</v>
      </c>
      <c r="AN157" s="3">
        <v>71.0</v>
      </c>
    </row>
    <row r="158" ht="14.25" customHeight="1">
      <c r="A158" s="3">
        <v>156.0</v>
      </c>
      <c r="B158" s="3" t="s">
        <v>6465</v>
      </c>
      <c r="C158" s="3">
        <v>29.0</v>
      </c>
      <c r="D158" s="3" t="s">
        <v>6646</v>
      </c>
      <c r="E158" s="3" t="s">
        <v>6645</v>
      </c>
      <c r="F158" s="3" t="s">
        <v>6645</v>
      </c>
      <c r="G158" s="3" t="s">
        <v>6646</v>
      </c>
      <c r="H158" s="3" t="s">
        <v>6645</v>
      </c>
      <c r="I158" s="3" t="s">
        <v>6645</v>
      </c>
      <c r="J158" s="3">
        <v>-1.0</v>
      </c>
      <c r="K158" s="3">
        <v>3.0</v>
      </c>
      <c r="L158" s="3">
        <v>0.0</v>
      </c>
      <c r="M158" s="3">
        <v>0.0</v>
      </c>
      <c r="N158" s="3">
        <v>4459.9814</v>
      </c>
      <c r="O158" s="3">
        <v>686.0</v>
      </c>
      <c r="P158" s="3" t="s">
        <v>5924</v>
      </c>
      <c r="Q158" s="3">
        <v>51.0</v>
      </c>
      <c r="R158" s="3">
        <v>45.0</v>
      </c>
      <c r="S158" s="3">
        <v>48.0</v>
      </c>
      <c r="T158" s="3">
        <v>49.0</v>
      </c>
      <c r="U158" s="3">
        <v>52.0</v>
      </c>
      <c r="V158" s="3">
        <v>47.0</v>
      </c>
      <c r="W158" s="3">
        <v>59.0</v>
      </c>
      <c r="X158" s="3">
        <v>43.0</v>
      </c>
      <c r="Y158" s="3">
        <v>45.0</v>
      </c>
      <c r="Z158" s="3">
        <v>54.0</v>
      </c>
      <c r="AA158" s="3">
        <v>45.0</v>
      </c>
      <c r="AB158" s="3">
        <v>42.0</v>
      </c>
      <c r="AC158" s="3">
        <v>51.0</v>
      </c>
      <c r="AD158" s="3">
        <v>46.0</v>
      </c>
      <c r="AE158" s="3">
        <v>52.0</v>
      </c>
      <c r="AF158" s="3">
        <v>59.0</v>
      </c>
      <c r="AG158" s="3">
        <v>55.0</v>
      </c>
      <c r="AH158" s="3">
        <v>45.0</v>
      </c>
      <c r="AI158" s="3">
        <v>11.0</v>
      </c>
      <c r="AJ158" s="3">
        <v>78.0</v>
      </c>
      <c r="AK158" s="3">
        <v>41.0</v>
      </c>
      <c r="AL158" s="3">
        <v>62.0</v>
      </c>
      <c r="AM158" s="3">
        <v>47.0</v>
      </c>
      <c r="AN158" s="3">
        <v>61.0</v>
      </c>
    </row>
    <row r="159" ht="14.25" customHeight="1">
      <c r="A159" s="3">
        <v>157.0</v>
      </c>
      <c r="B159" s="3" t="s">
        <v>6467</v>
      </c>
      <c r="C159" s="3">
        <v>29.0</v>
      </c>
      <c r="D159" s="3" t="s">
        <v>6646</v>
      </c>
      <c r="E159" s="3" t="s">
        <v>6645</v>
      </c>
      <c r="F159" s="3" t="s">
        <v>6645</v>
      </c>
      <c r="G159" s="3" t="s">
        <v>6646</v>
      </c>
      <c r="H159" s="3" t="s">
        <v>6645</v>
      </c>
      <c r="I159" s="3" t="s">
        <v>6645</v>
      </c>
      <c r="J159" s="3">
        <v>-1.0</v>
      </c>
      <c r="K159" s="3">
        <v>4.0</v>
      </c>
      <c r="L159" s="3">
        <v>0.0</v>
      </c>
      <c r="M159" s="3">
        <v>0.0</v>
      </c>
      <c r="N159" s="3">
        <v>19135.9</v>
      </c>
      <c r="O159" s="3">
        <v>1238.0</v>
      </c>
      <c r="P159" s="3" t="s">
        <v>5931</v>
      </c>
      <c r="Q159" s="3">
        <v>86.0</v>
      </c>
      <c r="R159" s="3">
        <v>57.0</v>
      </c>
      <c r="S159" s="3">
        <v>60.0</v>
      </c>
      <c r="T159" s="3">
        <v>87.0</v>
      </c>
      <c r="U159" s="3">
        <v>101.0</v>
      </c>
      <c r="V159" s="3">
        <v>63.0</v>
      </c>
      <c r="W159" s="3">
        <v>62.0</v>
      </c>
      <c r="X159" s="3">
        <v>67.0</v>
      </c>
      <c r="Y159" s="3">
        <v>77.0</v>
      </c>
      <c r="Z159" s="3">
        <v>55.0</v>
      </c>
      <c r="AA159" s="3">
        <v>55.0</v>
      </c>
      <c r="AB159" s="3">
        <v>59.0</v>
      </c>
      <c r="AC159" s="3">
        <v>95.0</v>
      </c>
      <c r="AD159" s="3">
        <v>60.0</v>
      </c>
      <c r="AE159" s="3">
        <v>59.0</v>
      </c>
      <c r="AF159" s="3">
        <v>59.0</v>
      </c>
      <c r="AG159" s="3">
        <v>48.0</v>
      </c>
      <c r="AH159" s="3">
        <v>49.0</v>
      </c>
      <c r="AI159" s="3">
        <v>60.0</v>
      </c>
      <c r="AJ159" s="3">
        <v>83.0</v>
      </c>
      <c r="AK159" s="3">
        <v>51.0</v>
      </c>
      <c r="AL159" s="3">
        <v>50.0</v>
      </c>
      <c r="AM159" s="3">
        <v>55.0</v>
      </c>
      <c r="AN159" s="3">
        <v>49.0</v>
      </c>
    </row>
    <row r="160" ht="14.25" customHeight="1">
      <c r="A160" s="3">
        <v>158.0</v>
      </c>
      <c r="B160" s="3" t="s">
        <v>6468</v>
      </c>
      <c r="C160" s="3">
        <v>36.0</v>
      </c>
      <c r="D160" s="3" t="s">
        <v>6646</v>
      </c>
      <c r="E160" s="3" t="s">
        <v>6645</v>
      </c>
      <c r="F160" s="3" t="s">
        <v>6645</v>
      </c>
      <c r="G160" s="3" t="s">
        <v>6646</v>
      </c>
      <c r="H160" s="3" t="s">
        <v>6645</v>
      </c>
      <c r="I160" s="3" t="s">
        <v>6645</v>
      </c>
      <c r="J160" s="3">
        <v>-1.0</v>
      </c>
      <c r="K160" s="3">
        <v>4.0</v>
      </c>
      <c r="L160" s="3">
        <v>0.0</v>
      </c>
      <c r="M160" s="3">
        <v>0.0</v>
      </c>
      <c r="N160" s="3">
        <v>21301.087</v>
      </c>
      <c r="O160" s="3">
        <v>1796.0</v>
      </c>
      <c r="P160" s="3" t="s">
        <v>5931</v>
      </c>
      <c r="Q160" s="3">
        <v>93.0</v>
      </c>
      <c r="R160" s="3">
        <v>61.0</v>
      </c>
      <c r="S160" s="3">
        <v>64.0</v>
      </c>
      <c r="T160" s="3">
        <v>60.0</v>
      </c>
      <c r="U160" s="3">
        <v>91.0</v>
      </c>
      <c r="V160" s="3">
        <v>70.0</v>
      </c>
      <c r="W160" s="3">
        <v>94.0</v>
      </c>
      <c r="X160" s="3">
        <v>76.0</v>
      </c>
      <c r="Y160" s="3">
        <v>81.0</v>
      </c>
      <c r="Z160" s="3">
        <v>82.0</v>
      </c>
      <c r="AA160" s="3">
        <v>61.0</v>
      </c>
      <c r="AB160" s="3">
        <v>86.0</v>
      </c>
      <c r="AC160" s="3">
        <v>59.0</v>
      </c>
      <c r="AD160" s="3">
        <v>56.0</v>
      </c>
      <c r="AE160" s="3">
        <v>59.0</v>
      </c>
      <c r="AF160" s="3">
        <v>57.0</v>
      </c>
      <c r="AG160" s="3">
        <v>16.0</v>
      </c>
      <c r="AH160" s="3">
        <v>43.0</v>
      </c>
      <c r="AI160" s="3">
        <v>45.0</v>
      </c>
      <c r="AJ160" s="3">
        <v>100.0</v>
      </c>
      <c r="AK160" s="3">
        <v>63.0</v>
      </c>
      <c r="AL160" s="3">
        <v>50.0</v>
      </c>
      <c r="AM160" s="3">
        <v>42.0</v>
      </c>
      <c r="AN160" s="3">
        <v>44.0</v>
      </c>
    </row>
    <row r="161" ht="14.25" customHeight="1">
      <c r="A161" s="3">
        <v>159.0</v>
      </c>
      <c r="B161" s="3" t="s">
        <v>6469</v>
      </c>
      <c r="C161" s="3">
        <v>33.0</v>
      </c>
      <c r="D161" s="3" t="s">
        <v>6646</v>
      </c>
      <c r="E161" s="3" t="s">
        <v>6645</v>
      </c>
      <c r="F161" s="3" t="s">
        <v>6645</v>
      </c>
      <c r="G161" s="3" t="s">
        <v>6646</v>
      </c>
      <c r="H161" s="3" t="s">
        <v>6645</v>
      </c>
      <c r="I161" s="3" t="s">
        <v>6645</v>
      </c>
      <c r="J161" s="3">
        <v>-1.0</v>
      </c>
      <c r="K161" s="3">
        <v>5.0</v>
      </c>
      <c r="L161" s="3">
        <v>0.0</v>
      </c>
      <c r="M161" s="3">
        <v>0.0</v>
      </c>
      <c r="N161" s="3">
        <v>64671.1</v>
      </c>
      <c r="O161" s="3">
        <v>3544.0</v>
      </c>
      <c r="P161" s="3" t="s">
        <v>5924</v>
      </c>
      <c r="Q161" s="3">
        <v>120.0</v>
      </c>
      <c r="R161" s="3">
        <v>100.0</v>
      </c>
      <c r="S161" s="3">
        <v>104.0</v>
      </c>
      <c r="T161" s="3">
        <v>120.0</v>
      </c>
      <c r="U161" s="3">
        <v>120.0</v>
      </c>
      <c r="V161" s="3">
        <v>105.0</v>
      </c>
      <c r="W161" s="3">
        <v>102.0</v>
      </c>
      <c r="X161" s="3">
        <v>117.0</v>
      </c>
      <c r="Y161" s="3">
        <v>119.0</v>
      </c>
      <c r="Z161" s="3">
        <v>91.0</v>
      </c>
      <c r="AA161" s="3">
        <v>96.0</v>
      </c>
      <c r="AB161" s="3">
        <v>97.0</v>
      </c>
      <c r="AC161" s="3">
        <v>120.0</v>
      </c>
      <c r="AD161" s="3">
        <v>95.0</v>
      </c>
      <c r="AE161" s="3">
        <v>92.0</v>
      </c>
      <c r="AF161" s="3">
        <v>60.0</v>
      </c>
      <c r="AG161" s="3">
        <v>62.0</v>
      </c>
      <c r="AH161" s="3">
        <v>75.0</v>
      </c>
      <c r="AI161" s="3">
        <v>67.0</v>
      </c>
      <c r="AJ161" s="3">
        <v>100.0</v>
      </c>
      <c r="AK161" s="3">
        <v>45.0</v>
      </c>
      <c r="AL161" s="3">
        <v>76.0</v>
      </c>
      <c r="AM161" s="3">
        <v>68.0</v>
      </c>
      <c r="AN161" s="3">
        <v>63.0</v>
      </c>
    </row>
    <row r="162" ht="14.25" customHeight="1">
      <c r="A162" s="3">
        <v>160.0</v>
      </c>
      <c r="B162" s="3" t="s">
        <v>6470</v>
      </c>
      <c r="C162" s="3">
        <v>19.0</v>
      </c>
      <c r="D162" s="3" t="s">
        <v>6646</v>
      </c>
      <c r="E162" s="3" t="s">
        <v>6645</v>
      </c>
      <c r="F162" s="3" t="s">
        <v>6645</v>
      </c>
      <c r="G162" s="3" t="s">
        <v>6645</v>
      </c>
      <c r="H162" s="3" t="s">
        <v>6645</v>
      </c>
      <c r="I162" s="3" t="s">
        <v>6645</v>
      </c>
      <c r="J162" s="3">
        <v>-1.0</v>
      </c>
      <c r="K162" s="3">
        <v>0.0</v>
      </c>
      <c r="L162" s="3">
        <v>0.0</v>
      </c>
      <c r="M162" s="3">
        <v>0.0</v>
      </c>
      <c r="N162" s="3">
        <v>463.91207</v>
      </c>
      <c r="O162" s="3">
        <v>100.0</v>
      </c>
      <c r="P162" s="3" t="s">
        <v>5899</v>
      </c>
      <c r="Q162" s="3">
        <v>36.0</v>
      </c>
      <c r="R162" s="3">
        <v>34.0</v>
      </c>
      <c r="S162" s="3">
        <v>38.0</v>
      </c>
      <c r="T162" s="3">
        <v>33.0</v>
      </c>
      <c r="U162" s="3">
        <v>36.0</v>
      </c>
      <c r="V162" s="3">
        <v>33.0</v>
      </c>
      <c r="W162" s="3">
        <v>43.0</v>
      </c>
      <c r="X162" s="3">
        <v>30.0</v>
      </c>
      <c r="Y162" s="3">
        <v>31.0</v>
      </c>
      <c r="Z162" s="3">
        <v>45.0</v>
      </c>
      <c r="AA162" s="3">
        <v>32.0</v>
      </c>
      <c r="AB162" s="3">
        <v>39.0</v>
      </c>
      <c r="AC162" s="3">
        <v>33.0</v>
      </c>
      <c r="AD162" s="3">
        <v>42.0</v>
      </c>
      <c r="AE162" s="3">
        <v>36.0</v>
      </c>
      <c r="AF162" s="3">
        <v>46.0</v>
      </c>
      <c r="AG162" s="3">
        <v>30.0</v>
      </c>
      <c r="AH162" s="3">
        <v>31.0</v>
      </c>
      <c r="AI162" s="3">
        <v>33.0</v>
      </c>
      <c r="AJ162" s="3">
        <v>72.0</v>
      </c>
      <c r="AK162" s="3">
        <v>54.0</v>
      </c>
      <c r="AL162" s="3">
        <v>48.0</v>
      </c>
      <c r="AM162" s="3">
        <v>75.0</v>
      </c>
      <c r="AN162" s="3">
        <v>36.0</v>
      </c>
    </row>
    <row r="163" ht="14.25" customHeight="1">
      <c r="A163" s="3">
        <v>161.0</v>
      </c>
      <c r="B163" s="3" t="s">
        <v>6473</v>
      </c>
      <c r="C163" s="3">
        <v>36.0</v>
      </c>
      <c r="D163" s="3" t="s">
        <v>6646</v>
      </c>
      <c r="E163" s="3" t="s">
        <v>6645</v>
      </c>
      <c r="F163" s="3" t="s">
        <v>6645</v>
      </c>
      <c r="G163" s="3" t="s">
        <v>6645</v>
      </c>
      <c r="H163" s="3" t="s">
        <v>6645</v>
      </c>
      <c r="I163" s="3" t="s">
        <v>6645</v>
      </c>
      <c r="J163" s="3">
        <v>-1.0</v>
      </c>
      <c r="K163" s="3">
        <v>1.0</v>
      </c>
      <c r="L163" s="3">
        <v>0.0</v>
      </c>
      <c r="M163" s="3">
        <v>0.0</v>
      </c>
      <c r="N163" s="3">
        <v>718.15734</v>
      </c>
      <c r="O163" s="3">
        <v>225.0</v>
      </c>
      <c r="P163" s="3" t="s">
        <v>5909</v>
      </c>
      <c r="Q163" s="3">
        <v>36.0</v>
      </c>
      <c r="R163" s="3">
        <v>36.0</v>
      </c>
      <c r="S163" s="3">
        <v>35.0</v>
      </c>
      <c r="T163" s="3">
        <v>35.0</v>
      </c>
      <c r="U163" s="3">
        <v>43.0</v>
      </c>
      <c r="V163" s="3">
        <v>40.0</v>
      </c>
      <c r="W163" s="3">
        <v>43.0</v>
      </c>
      <c r="X163" s="3">
        <v>37.0</v>
      </c>
      <c r="Y163" s="3">
        <v>35.0</v>
      </c>
      <c r="Z163" s="3">
        <v>48.0</v>
      </c>
      <c r="AA163" s="3">
        <v>39.0</v>
      </c>
      <c r="AB163" s="3">
        <v>42.0</v>
      </c>
      <c r="AC163" s="3">
        <v>40.0</v>
      </c>
      <c r="AD163" s="3">
        <v>41.0</v>
      </c>
      <c r="AE163" s="3">
        <v>35.0</v>
      </c>
      <c r="AF163" s="3">
        <v>38.0</v>
      </c>
      <c r="AG163" s="3">
        <v>60.0</v>
      </c>
      <c r="AH163" s="3">
        <v>56.0</v>
      </c>
      <c r="AI163" s="3">
        <v>57.0</v>
      </c>
      <c r="AJ163" s="3">
        <v>55.0</v>
      </c>
      <c r="AK163" s="3">
        <v>59.0</v>
      </c>
      <c r="AL163" s="3">
        <v>50.0</v>
      </c>
      <c r="AM163" s="3">
        <v>45.0</v>
      </c>
      <c r="AN163" s="3">
        <v>56.0</v>
      </c>
    </row>
    <row r="164" ht="14.25" customHeight="1">
      <c r="A164" s="3">
        <v>162.0</v>
      </c>
      <c r="B164" s="3" t="s">
        <v>6475</v>
      </c>
      <c r="C164" s="3">
        <v>53.0</v>
      </c>
      <c r="D164" s="3" t="s">
        <v>6646</v>
      </c>
      <c r="E164" s="3" t="s">
        <v>6645</v>
      </c>
      <c r="F164" s="3" t="s">
        <v>6645</v>
      </c>
      <c r="G164" s="3" t="s">
        <v>6645</v>
      </c>
      <c r="H164" s="3" t="s">
        <v>6645</v>
      </c>
      <c r="I164" s="3" t="s">
        <v>6645</v>
      </c>
      <c r="J164" s="3">
        <v>-1.0</v>
      </c>
      <c r="K164" s="3">
        <v>1.0</v>
      </c>
      <c r="L164" s="3">
        <v>0.0</v>
      </c>
      <c r="M164" s="3">
        <v>0.0</v>
      </c>
      <c r="N164" s="3">
        <v>999.15765</v>
      </c>
      <c r="O164" s="3">
        <v>232.0</v>
      </c>
      <c r="P164" s="3" t="s">
        <v>5909</v>
      </c>
      <c r="Q164" s="3">
        <v>35.0</v>
      </c>
      <c r="R164" s="3">
        <v>42.0</v>
      </c>
      <c r="S164" s="3">
        <v>44.0</v>
      </c>
      <c r="T164" s="3">
        <v>39.0</v>
      </c>
      <c r="U164" s="3">
        <v>41.0</v>
      </c>
      <c r="V164" s="3">
        <v>42.0</v>
      </c>
      <c r="W164" s="3">
        <v>49.0</v>
      </c>
      <c r="X164" s="3">
        <v>40.0</v>
      </c>
      <c r="Y164" s="3">
        <v>41.0</v>
      </c>
      <c r="Z164" s="3">
        <v>29.0</v>
      </c>
      <c r="AA164" s="3">
        <v>49.0</v>
      </c>
      <c r="AB164" s="3">
        <v>42.0</v>
      </c>
      <c r="AC164" s="3">
        <v>35.0</v>
      </c>
      <c r="AD164" s="3">
        <v>36.0</v>
      </c>
      <c r="AE164" s="3">
        <v>41.0</v>
      </c>
      <c r="AF164" s="3">
        <v>46.0</v>
      </c>
      <c r="AG164" s="3">
        <v>41.0</v>
      </c>
      <c r="AH164" s="3">
        <v>60.0</v>
      </c>
      <c r="AI164" s="3">
        <v>42.0</v>
      </c>
      <c r="AJ164" s="3">
        <v>35.0</v>
      </c>
      <c r="AK164" s="3">
        <v>31.0</v>
      </c>
      <c r="AL164" s="3">
        <v>43.0</v>
      </c>
      <c r="AM164" s="3">
        <v>48.0</v>
      </c>
      <c r="AN164" s="3">
        <v>67.0</v>
      </c>
    </row>
    <row r="165" ht="14.25" customHeight="1">
      <c r="A165" s="3">
        <v>163.0</v>
      </c>
      <c r="B165" s="3" t="s">
        <v>6477</v>
      </c>
      <c r="C165" s="3">
        <v>48.0</v>
      </c>
      <c r="D165" s="3" t="s">
        <v>6646</v>
      </c>
      <c r="E165" s="3" t="s">
        <v>6645</v>
      </c>
      <c r="F165" s="3" t="s">
        <v>6645</v>
      </c>
      <c r="G165" s="3" t="s">
        <v>6645</v>
      </c>
      <c r="H165" s="3" t="s">
        <v>6645</v>
      </c>
      <c r="I165" s="3" t="s">
        <v>6645</v>
      </c>
      <c r="J165" s="3">
        <v>-1.0</v>
      </c>
      <c r="K165" s="3">
        <v>1.0</v>
      </c>
      <c r="L165" s="3">
        <v>0.0</v>
      </c>
      <c r="M165" s="3">
        <v>0.0</v>
      </c>
      <c r="N165" s="3">
        <v>925.83264</v>
      </c>
      <c r="O165" s="3">
        <v>197.0</v>
      </c>
      <c r="P165" s="3" t="s">
        <v>5909</v>
      </c>
      <c r="Q165" s="3">
        <v>39.0</v>
      </c>
      <c r="R165" s="3">
        <v>36.0</v>
      </c>
      <c r="S165" s="3">
        <v>41.0</v>
      </c>
      <c r="T165" s="3">
        <v>41.0</v>
      </c>
      <c r="U165" s="3">
        <v>44.0</v>
      </c>
      <c r="V165" s="3">
        <v>42.0</v>
      </c>
      <c r="W165" s="3">
        <v>35.0</v>
      </c>
      <c r="X165" s="3">
        <v>45.0</v>
      </c>
      <c r="Y165" s="3">
        <v>43.0</v>
      </c>
      <c r="Z165" s="3">
        <v>28.0</v>
      </c>
      <c r="AA165" s="3">
        <v>44.0</v>
      </c>
      <c r="AB165" s="3">
        <v>47.0</v>
      </c>
      <c r="AC165" s="3">
        <v>38.0</v>
      </c>
      <c r="AD165" s="3">
        <v>41.0</v>
      </c>
      <c r="AE165" s="3">
        <v>41.0</v>
      </c>
      <c r="AF165" s="3">
        <v>49.0</v>
      </c>
      <c r="AG165" s="3">
        <v>38.0</v>
      </c>
      <c r="AH165" s="3">
        <v>35.0</v>
      </c>
      <c r="AI165" s="3">
        <v>36.0</v>
      </c>
      <c r="AJ165" s="3">
        <v>49.0</v>
      </c>
      <c r="AK165" s="3">
        <v>36.0</v>
      </c>
      <c r="AL165" s="3">
        <v>36.0</v>
      </c>
      <c r="AM165" s="3">
        <v>39.0</v>
      </c>
      <c r="AN165" s="3">
        <v>35.0</v>
      </c>
    </row>
    <row r="166" ht="14.25" customHeight="1">
      <c r="A166" s="3">
        <v>164.0</v>
      </c>
      <c r="B166" s="3" t="s">
        <v>6479</v>
      </c>
      <c r="C166" s="3">
        <v>32.0</v>
      </c>
      <c r="D166" s="3" t="s">
        <v>6646</v>
      </c>
      <c r="E166" s="3" t="s">
        <v>6645</v>
      </c>
      <c r="F166" s="3" t="s">
        <v>6645</v>
      </c>
      <c r="G166" s="3" t="s">
        <v>6645</v>
      </c>
      <c r="H166" s="3" t="s">
        <v>6645</v>
      </c>
      <c r="I166" s="3" t="s">
        <v>6645</v>
      </c>
      <c r="J166" s="3">
        <v>-1.0</v>
      </c>
      <c r="K166" s="3">
        <v>1.0</v>
      </c>
      <c r="L166" s="3">
        <v>0.0</v>
      </c>
      <c r="M166" s="3">
        <v>0.0</v>
      </c>
      <c r="N166" s="3">
        <v>870.79</v>
      </c>
      <c r="O166" s="3">
        <v>182.0</v>
      </c>
      <c r="P166" s="3" t="s">
        <v>5909</v>
      </c>
      <c r="Q166" s="3">
        <v>40.0</v>
      </c>
      <c r="R166" s="3">
        <v>42.0</v>
      </c>
      <c r="S166" s="3">
        <v>35.0</v>
      </c>
      <c r="T166" s="3">
        <v>37.0</v>
      </c>
      <c r="U166" s="3">
        <v>37.0</v>
      </c>
      <c r="V166" s="3">
        <v>39.0</v>
      </c>
      <c r="W166" s="3">
        <v>32.0</v>
      </c>
      <c r="X166" s="3">
        <v>43.0</v>
      </c>
      <c r="Y166" s="3">
        <v>33.0</v>
      </c>
      <c r="Z166" s="3">
        <v>38.0</v>
      </c>
      <c r="AA166" s="3">
        <v>36.0</v>
      </c>
      <c r="AB166" s="3">
        <v>36.0</v>
      </c>
      <c r="AC166" s="3">
        <v>50.0</v>
      </c>
      <c r="AD166" s="3">
        <v>43.0</v>
      </c>
      <c r="AE166" s="3">
        <v>44.0</v>
      </c>
      <c r="AF166" s="3">
        <v>15.0</v>
      </c>
      <c r="AG166" s="3">
        <v>52.0</v>
      </c>
      <c r="AH166" s="3">
        <v>10.0</v>
      </c>
      <c r="AI166" s="3">
        <v>66.0</v>
      </c>
      <c r="AJ166" s="3">
        <v>15.0</v>
      </c>
      <c r="AK166" s="3">
        <v>61.0</v>
      </c>
      <c r="AL166" s="3">
        <v>67.0</v>
      </c>
      <c r="AM166" s="3">
        <v>65.0</v>
      </c>
      <c r="AN166" s="3">
        <v>60.0</v>
      </c>
    </row>
    <row r="167" ht="14.25" customHeight="1">
      <c r="A167" s="3">
        <v>165.0</v>
      </c>
      <c r="B167" s="3" t="s">
        <v>6481</v>
      </c>
      <c r="C167" s="3">
        <v>28.0</v>
      </c>
      <c r="D167" s="3" t="s">
        <v>6646</v>
      </c>
      <c r="E167" s="3" t="s">
        <v>6645</v>
      </c>
      <c r="F167" s="3" t="s">
        <v>6645</v>
      </c>
      <c r="G167" s="3" t="s">
        <v>6645</v>
      </c>
      <c r="H167" s="3" t="s">
        <v>6645</v>
      </c>
      <c r="I167" s="3" t="s">
        <v>6645</v>
      </c>
      <c r="J167" s="3">
        <v>-1.0</v>
      </c>
      <c r="K167" s="3">
        <v>1.0</v>
      </c>
      <c r="L167" s="3">
        <v>0.0</v>
      </c>
      <c r="M167" s="3">
        <v>0.0</v>
      </c>
      <c r="N167" s="3">
        <v>1035.6822</v>
      </c>
      <c r="O167" s="3">
        <v>172.0</v>
      </c>
      <c r="P167" s="3" t="s">
        <v>5909</v>
      </c>
      <c r="Q167" s="3">
        <v>36.0</v>
      </c>
      <c r="R167" s="3">
        <v>40.0</v>
      </c>
      <c r="S167" s="3">
        <v>42.0</v>
      </c>
      <c r="T167" s="3">
        <v>42.0</v>
      </c>
      <c r="U167" s="3">
        <v>36.0</v>
      </c>
      <c r="V167" s="3">
        <v>38.0</v>
      </c>
      <c r="W167" s="3">
        <v>35.0</v>
      </c>
      <c r="X167" s="3">
        <v>44.0</v>
      </c>
      <c r="Y167" s="3">
        <v>42.0</v>
      </c>
      <c r="Z167" s="3">
        <v>40.0</v>
      </c>
      <c r="AA167" s="3">
        <v>38.0</v>
      </c>
      <c r="AB167" s="3">
        <v>32.0</v>
      </c>
      <c r="AC167" s="3">
        <v>43.0</v>
      </c>
      <c r="AD167" s="3">
        <v>43.0</v>
      </c>
      <c r="AE167" s="3">
        <v>32.0</v>
      </c>
      <c r="AF167" s="3">
        <v>36.0</v>
      </c>
      <c r="AG167" s="3">
        <v>38.0</v>
      </c>
      <c r="AH167" s="3">
        <v>54.0</v>
      </c>
      <c r="AI167" s="3">
        <v>73.0</v>
      </c>
      <c r="AJ167" s="3">
        <v>57.0</v>
      </c>
      <c r="AK167" s="3">
        <v>47.0</v>
      </c>
      <c r="AL167" s="3">
        <v>54.0</v>
      </c>
      <c r="AM167" s="3">
        <v>31.0</v>
      </c>
      <c r="AN167" s="3">
        <v>50.0</v>
      </c>
    </row>
    <row r="168" ht="14.25" customHeight="1">
      <c r="A168" s="3">
        <v>166.0</v>
      </c>
      <c r="B168" s="3" t="s">
        <v>6483</v>
      </c>
      <c r="C168" s="3">
        <v>26.0</v>
      </c>
      <c r="D168" s="3" t="s">
        <v>6646</v>
      </c>
      <c r="E168" s="3" t="s">
        <v>6645</v>
      </c>
      <c r="F168" s="3" t="s">
        <v>6645</v>
      </c>
      <c r="G168" s="3" t="s">
        <v>6645</v>
      </c>
      <c r="H168" s="3" t="s">
        <v>6645</v>
      </c>
      <c r="I168" s="3" t="s">
        <v>6646</v>
      </c>
      <c r="J168" s="3">
        <v>-1.0</v>
      </c>
      <c r="K168" s="3">
        <v>1.0</v>
      </c>
      <c r="L168" s="3">
        <v>0.0</v>
      </c>
      <c r="M168" s="3">
        <v>0.0</v>
      </c>
      <c r="N168" s="3">
        <v>1031.8485</v>
      </c>
      <c r="O168" s="3">
        <v>238.0</v>
      </c>
      <c r="P168" s="3" t="s">
        <v>5909</v>
      </c>
      <c r="Q168" s="3">
        <v>37.0</v>
      </c>
      <c r="R168" s="3">
        <v>36.0</v>
      </c>
      <c r="S168" s="3">
        <v>42.0</v>
      </c>
      <c r="T168" s="3">
        <v>39.0</v>
      </c>
      <c r="U168" s="3">
        <v>40.0</v>
      </c>
      <c r="V168" s="3">
        <v>38.0</v>
      </c>
      <c r="W168" s="3">
        <v>52.0</v>
      </c>
      <c r="X168" s="3">
        <v>35.0</v>
      </c>
      <c r="Y168" s="3">
        <v>39.0</v>
      </c>
      <c r="Z168" s="3">
        <v>36.0</v>
      </c>
      <c r="AA168" s="3">
        <v>35.0</v>
      </c>
      <c r="AB168" s="3">
        <v>39.0</v>
      </c>
      <c r="AC168" s="3">
        <v>37.0</v>
      </c>
      <c r="AD168" s="3">
        <v>42.0</v>
      </c>
      <c r="AE168" s="3">
        <v>48.0</v>
      </c>
      <c r="AF168" s="3">
        <v>39.0</v>
      </c>
      <c r="AG168" s="3">
        <v>37.0</v>
      </c>
      <c r="AH168" s="3">
        <v>61.0</v>
      </c>
      <c r="AI168" s="3">
        <v>54.0</v>
      </c>
      <c r="AJ168" s="3">
        <v>2.0</v>
      </c>
      <c r="AK168" s="3">
        <v>42.0</v>
      </c>
      <c r="AL168" s="3">
        <v>74.0</v>
      </c>
      <c r="AM168" s="3">
        <v>35.0</v>
      </c>
      <c r="AN168" s="3">
        <v>69.0</v>
      </c>
    </row>
    <row r="169" ht="14.25" customHeight="1">
      <c r="A169" s="3">
        <v>167.0</v>
      </c>
      <c r="B169" s="3" t="s">
        <v>6485</v>
      </c>
      <c r="C169" s="3">
        <v>24.0</v>
      </c>
      <c r="D169" s="3" t="s">
        <v>6646</v>
      </c>
      <c r="E169" s="3" t="s">
        <v>6645</v>
      </c>
      <c r="F169" s="3" t="s">
        <v>6645</v>
      </c>
      <c r="G169" s="3" t="s">
        <v>6645</v>
      </c>
      <c r="H169" s="3" t="s">
        <v>6645</v>
      </c>
      <c r="I169" s="3" t="s">
        <v>6645</v>
      </c>
      <c r="J169" s="3">
        <v>-1.0</v>
      </c>
      <c r="K169" s="3">
        <v>3.0</v>
      </c>
      <c r="L169" s="3">
        <v>0.0</v>
      </c>
      <c r="M169" s="3">
        <v>0.0</v>
      </c>
      <c r="N169" s="3">
        <v>4624.37</v>
      </c>
      <c r="O169" s="3">
        <v>972.0</v>
      </c>
      <c r="P169" s="3" t="s">
        <v>5931</v>
      </c>
      <c r="Q169" s="3">
        <v>46.0</v>
      </c>
      <c r="R169" s="3">
        <v>50.0</v>
      </c>
      <c r="S169" s="3">
        <v>45.0</v>
      </c>
      <c r="T169" s="3">
        <v>45.0</v>
      </c>
      <c r="U169" s="3">
        <v>45.0</v>
      </c>
      <c r="V169" s="3">
        <v>45.0</v>
      </c>
      <c r="W169" s="3">
        <v>42.0</v>
      </c>
      <c r="X169" s="3">
        <v>47.0</v>
      </c>
      <c r="Y169" s="3">
        <v>56.0</v>
      </c>
      <c r="Z169" s="3">
        <v>41.0</v>
      </c>
      <c r="AA169" s="3">
        <v>52.0</v>
      </c>
      <c r="AB169" s="3">
        <v>63.0</v>
      </c>
      <c r="AC169" s="3">
        <v>50.0</v>
      </c>
      <c r="AD169" s="3">
        <v>44.0</v>
      </c>
      <c r="AE169" s="3">
        <v>55.0</v>
      </c>
      <c r="AF169" s="3">
        <v>37.0</v>
      </c>
      <c r="AG169" s="3">
        <v>51.0</v>
      </c>
      <c r="AH169" s="3">
        <v>44.0</v>
      </c>
      <c r="AI169" s="3">
        <v>59.0</v>
      </c>
      <c r="AJ169" s="3">
        <v>58.0</v>
      </c>
      <c r="AK169" s="3">
        <v>43.0</v>
      </c>
      <c r="AL169" s="3">
        <v>46.0</v>
      </c>
      <c r="AM169" s="3">
        <v>43.0</v>
      </c>
      <c r="AN169" s="3">
        <v>36.0</v>
      </c>
    </row>
    <row r="170" ht="14.25" customHeight="1">
      <c r="A170" s="3">
        <v>168.0</v>
      </c>
      <c r="B170" s="3" t="s">
        <v>6488</v>
      </c>
      <c r="C170" s="3">
        <v>18.0</v>
      </c>
      <c r="D170" s="3" t="s">
        <v>6646</v>
      </c>
      <c r="E170" s="3" t="s">
        <v>6645</v>
      </c>
      <c r="F170" s="3" t="s">
        <v>6645</v>
      </c>
      <c r="G170" s="3" t="s">
        <v>6645</v>
      </c>
      <c r="H170" s="3" t="s">
        <v>6645</v>
      </c>
      <c r="I170" s="3" t="s">
        <v>6645</v>
      </c>
      <c r="J170" s="3">
        <v>-1.0</v>
      </c>
      <c r="K170" s="3">
        <v>1.0</v>
      </c>
      <c r="L170" s="3">
        <v>0.0</v>
      </c>
      <c r="M170" s="3">
        <v>0.0</v>
      </c>
      <c r="N170" s="3">
        <v>2298.0478</v>
      </c>
      <c r="O170" s="3">
        <v>223.0</v>
      </c>
      <c r="P170" s="3" t="s">
        <v>5924</v>
      </c>
      <c r="Q170" s="3">
        <v>47.0</v>
      </c>
      <c r="R170" s="3">
        <v>41.0</v>
      </c>
      <c r="S170" s="3">
        <v>47.0</v>
      </c>
      <c r="T170" s="3">
        <v>45.0</v>
      </c>
      <c r="U170" s="3">
        <v>47.0</v>
      </c>
      <c r="V170" s="3">
        <v>47.0</v>
      </c>
      <c r="W170" s="3">
        <v>36.0</v>
      </c>
      <c r="X170" s="3">
        <v>48.0</v>
      </c>
      <c r="Y170" s="3">
        <v>49.0</v>
      </c>
      <c r="Z170" s="3">
        <v>44.0</v>
      </c>
      <c r="AA170" s="3">
        <v>46.0</v>
      </c>
      <c r="AB170" s="3">
        <v>49.0</v>
      </c>
      <c r="AC170" s="3">
        <v>40.0</v>
      </c>
      <c r="AD170" s="3">
        <v>51.0</v>
      </c>
      <c r="AE170" s="3">
        <v>33.0</v>
      </c>
      <c r="AF170" s="3">
        <v>68.0</v>
      </c>
      <c r="AG170" s="3">
        <v>61.0</v>
      </c>
      <c r="AH170" s="3">
        <v>55.0</v>
      </c>
      <c r="AI170" s="3">
        <v>61.0</v>
      </c>
      <c r="AJ170" s="3">
        <v>56.0</v>
      </c>
      <c r="AK170" s="3">
        <v>15.0</v>
      </c>
      <c r="AL170" s="3">
        <v>30.0</v>
      </c>
      <c r="AM170" s="3">
        <v>73.0</v>
      </c>
      <c r="AN170" s="3">
        <v>37.0</v>
      </c>
    </row>
    <row r="171" ht="14.25" customHeight="1">
      <c r="A171" s="3">
        <v>169.0</v>
      </c>
      <c r="B171" s="3" t="s">
        <v>6490</v>
      </c>
      <c r="C171" s="3">
        <v>30.0</v>
      </c>
      <c r="D171" s="3" t="s">
        <v>6646</v>
      </c>
      <c r="E171" s="3" t="s">
        <v>6645</v>
      </c>
      <c r="F171" s="3" t="s">
        <v>6645</v>
      </c>
      <c r="G171" s="3" t="s">
        <v>6645</v>
      </c>
      <c r="H171" s="3" t="s">
        <v>6645</v>
      </c>
      <c r="I171" s="3" t="s">
        <v>6645</v>
      </c>
      <c r="J171" s="3">
        <v>-1.0</v>
      </c>
      <c r="K171" s="3">
        <v>1.0</v>
      </c>
      <c r="L171" s="3">
        <v>0.0</v>
      </c>
      <c r="M171" s="3">
        <v>0.0</v>
      </c>
      <c r="N171" s="3">
        <v>923.194</v>
      </c>
      <c r="O171" s="3">
        <v>241.0</v>
      </c>
      <c r="P171" s="3" t="s">
        <v>5909</v>
      </c>
      <c r="Q171" s="3">
        <v>38.0</v>
      </c>
      <c r="R171" s="3">
        <v>36.0</v>
      </c>
      <c r="S171" s="3">
        <v>36.0</v>
      </c>
      <c r="T171" s="3">
        <v>44.0</v>
      </c>
      <c r="U171" s="3">
        <v>36.0</v>
      </c>
      <c r="V171" s="3">
        <v>42.0</v>
      </c>
      <c r="W171" s="3">
        <v>37.0</v>
      </c>
      <c r="X171" s="3">
        <v>46.0</v>
      </c>
      <c r="Y171" s="3">
        <v>44.0</v>
      </c>
      <c r="Z171" s="3">
        <v>35.0</v>
      </c>
      <c r="AA171" s="3">
        <v>28.0</v>
      </c>
      <c r="AB171" s="3">
        <v>53.0</v>
      </c>
      <c r="AC171" s="3">
        <v>39.0</v>
      </c>
      <c r="AD171" s="3">
        <v>26.0</v>
      </c>
      <c r="AE171" s="3">
        <v>43.0</v>
      </c>
      <c r="AF171" s="3">
        <v>40.0</v>
      </c>
      <c r="AG171" s="3">
        <v>45.0</v>
      </c>
      <c r="AH171" s="3">
        <v>36.0</v>
      </c>
      <c r="AI171" s="3">
        <v>53.0</v>
      </c>
      <c r="AJ171" s="3">
        <v>44.0</v>
      </c>
      <c r="AK171" s="3">
        <v>34.0</v>
      </c>
      <c r="AL171" s="3">
        <v>60.0</v>
      </c>
      <c r="AM171" s="3">
        <v>56.0</v>
      </c>
      <c r="AN171" s="3">
        <v>47.0</v>
      </c>
    </row>
    <row r="172" ht="14.25" customHeight="1">
      <c r="A172" s="3">
        <v>170.0</v>
      </c>
      <c r="B172" s="3" t="s">
        <v>6493</v>
      </c>
      <c r="C172" s="3">
        <v>32.0</v>
      </c>
      <c r="D172" s="3" t="s">
        <v>6646</v>
      </c>
      <c r="E172" s="3" t="s">
        <v>6645</v>
      </c>
      <c r="F172" s="3" t="s">
        <v>6645</v>
      </c>
      <c r="G172" s="3" t="s">
        <v>6645</v>
      </c>
      <c r="H172" s="3" t="s">
        <v>6645</v>
      </c>
      <c r="I172" s="3" t="s">
        <v>6645</v>
      </c>
      <c r="J172" s="3">
        <v>-1.0</v>
      </c>
      <c r="K172" s="3">
        <v>3.0</v>
      </c>
      <c r="L172" s="3">
        <v>0.0</v>
      </c>
      <c r="M172" s="3">
        <v>0.0</v>
      </c>
      <c r="N172" s="3">
        <v>4321.17</v>
      </c>
      <c r="O172" s="3">
        <v>827.0</v>
      </c>
      <c r="P172" s="3" t="s">
        <v>5909</v>
      </c>
      <c r="Q172" s="3">
        <v>48.0</v>
      </c>
      <c r="R172" s="3">
        <v>52.0</v>
      </c>
      <c r="S172" s="3">
        <v>46.0</v>
      </c>
      <c r="T172" s="3">
        <v>54.0</v>
      </c>
      <c r="U172" s="3">
        <v>47.0</v>
      </c>
      <c r="V172" s="3">
        <v>53.0</v>
      </c>
      <c r="W172" s="3">
        <v>48.0</v>
      </c>
      <c r="X172" s="3">
        <v>61.0</v>
      </c>
      <c r="Y172" s="3">
        <v>54.0</v>
      </c>
      <c r="Z172" s="3">
        <v>42.0</v>
      </c>
      <c r="AA172" s="3">
        <v>46.0</v>
      </c>
      <c r="AB172" s="3">
        <v>53.0</v>
      </c>
      <c r="AC172" s="3">
        <v>49.0</v>
      </c>
      <c r="AD172" s="3">
        <v>54.0</v>
      </c>
      <c r="AE172" s="3">
        <v>67.0</v>
      </c>
      <c r="AF172" s="3">
        <v>41.0</v>
      </c>
      <c r="AG172" s="3">
        <v>49.0</v>
      </c>
      <c r="AH172" s="3">
        <v>77.0</v>
      </c>
      <c r="AI172" s="3">
        <v>39.0</v>
      </c>
      <c r="AJ172" s="3">
        <v>65.0</v>
      </c>
      <c r="AK172" s="3">
        <v>42.0</v>
      </c>
      <c r="AL172" s="3">
        <v>65.0</v>
      </c>
      <c r="AM172" s="3">
        <v>52.0</v>
      </c>
      <c r="AN172" s="3">
        <v>16.0</v>
      </c>
    </row>
    <row r="173" ht="14.25" customHeight="1">
      <c r="A173" s="3">
        <v>171.0</v>
      </c>
      <c r="B173" s="3" t="s">
        <v>6647</v>
      </c>
      <c r="C173" s="3">
        <v>36.0</v>
      </c>
      <c r="D173" s="3" t="s">
        <v>6645</v>
      </c>
      <c r="E173" s="3" t="s">
        <v>6646</v>
      </c>
      <c r="F173" s="3" t="s">
        <v>6646</v>
      </c>
      <c r="G173" s="3" t="s">
        <v>6645</v>
      </c>
      <c r="H173" s="3" t="s">
        <v>6645</v>
      </c>
      <c r="I173" s="3" t="s">
        <v>6646</v>
      </c>
      <c r="J173" s="3">
        <v>0.0</v>
      </c>
      <c r="K173" s="3">
        <v>4.0</v>
      </c>
      <c r="L173" s="3">
        <v>0.0</v>
      </c>
      <c r="M173" s="3">
        <v>0.0</v>
      </c>
      <c r="N173" s="3">
        <v>11265.724</v>
      </c>
      <c r="O173" s="3">
        <v>1538.0</v>
      </c>
      <c r="P173" s="3" t="e">
        <v>#N/A</v>
      </c>
      <c r="Q173" s="3">
        <v>76.0</v>
      </c>
      <c r="R173" s="3">
        <v>57.0</v>
      </c>
      <c r="S173" s="3">
        <v>63.0</v>
      </c>
      <c r="T173" s="3">
        <v>65.0</v>
      </c>
      <c r="U173" s="3">
        <v>59.0</v>
      </c>
      <c r="V173" s="3">
        <v>58.0</v>
      </c>
      <c r="W173" s="3">
        <v>75.0</v>
      </c>
      <c r="X173" s="3">
        <v>74.0</v>
      </c>
      <c r="Y173" s="3">
        <v>66.0</v>
      </c>
      <c r="Z173" s="3">
        <v>55.0</v>
      </c>
      <c r="AA173" s="3">
        <v>58.0</v>
      </c>
      <c r="AB173" s="3">
        <v>74.0</v>
      </c>
      <c r="AC173" s="3">
        <v>56.0</v>
      </c>
      <c r="AD173" s="3">
        <v>55.0</v>
      </c>
      <c r="AE173" s="3">
        <v>73.0</v>
      </c>
      <c r="AF173" s="3">
        <v>54.0</v>
      </c>
      <c r="AG173" s="3">
        <v>59.0</v>
      </c>
      <c r="AH173" s="3">
        <v>56.0</v>
      </c>
      <c r="AI173" s="3">
        <v>78.0</v>
      </c>
      <c r="AJ173" s="3">
        <v>41.0</v>
      </c>
      <c r="AK173" s="3">
        <v>61.0</v>
      </c>
      <c r="AL173" s="3">
        <v>19.0</v>
      </c>
      <c r="AM173" s="3">
        <v>43.0</v>
      </c>
      <c r="AN173" s="3">
        <v>45.0</v>
      </c>
    </row>
    <row r="174" ht="14.25" customHeight="1">
      <c r="A174" s="3">
        <v>172.0</v>
      </c>
      <c r="B174" s="3" t="s">
        <v>6648</v>
      </c>
      <c r="C174" s="3">
        <v>42.0</v>
      </c>
      <c r="D174" s="3" t="s">
        <v>6645</v>
      </c>
      <c r="E174" s="3" t="s">
        <v>6646</v>
      </c>
      <c r="F174" s="3" t="s">
        <v>6646</v>
      </c>
      <c r="G174" s="3" t="s">
        <v>6645</v>
      </c>
      <c r="H174" s="3" t="s">
        <v>6645</v>
      </c>
      <c r="I174" s="3" t="s">
        <v>6646</v>
      </c>
      <c r="J174" s="3">
        <v>0.0</v>
      </c>
      <c r="K174" s="3">
        <v>4.0</v>
      </c>
      <c r="L174" s="3">
        <v>0.0</v>
      </c>
      <c r="M174" s="3">
        <v>0.0</v>
      </c>
      <c r="N174" s="3">
        <v>11915.146</v>
      </c>
      <c r="O174" s="3">
        <v>1557.0</v>
      </c>
      <c r="P174" s="3" t="e">
        <v>#N/A</v>
      </c>
      <c r="Q174" s="3">
        <v>70.0</v>
      </c>
      <c r="R174" s="3">
        <v>63.0</v>
      </c>
      <c r="S174" s="3">
        <v>57.0</v>
      </c>
      <c r="T174" s="3">
        <v>67.0</v>
      </c>
      <c r="U174" s="3">
        <v>62.0</v>
      </c>
      <c r="V174" s="3">
        <v>65.0</v>
      </c>
      <c r="W174" s="3">
        <v>74.0</v>
      </c>
      <c r="X174" s="3">
        <v>77.0</v>
      </c>
      <c r="Y174" s="3">
        <v>67.0</v>
      </c>
      <c r="Z174" s="3">
        <v>57.0</v>
      </c>
      <c r="AA174" s="3">
        <v>59.0</v>
      </c>
      <c r="AB174" s="3">
        <v>80.0</v>
      </c>
      <c r="AC174" s="3">
        <v>64.0</v>
      </c>
      <c r="AD174" s="3">
        <v>61.0</v>
      </c>
      <c r="AE174" s="3">
        <v>77.0</v>
      </c>
      <c r="AF174" s="3">
        <v>65.0</v>
      </c>
      <c r="AG174" s="3">
        <v>69.0</v>
      </c>
      <c r="AH174" s="3">
        <v>52.0</v>
      </c>
      <c r="AI174" s="3">
        <v>77.0</v>
      </c>
      <c r="AJ174" s="3">
        <v>55.0</v>
      </c>
      <c r="AK174" s="3">
        <v>70.0</v>
      </c>
      <c r="AL174" s="3">
        <v>69.0</v>
      </c>
      <c r="AM174" s="3">
        <v>22.0</v>
      </c>
      <c r="AN174" s="3">
        <v>66.0</v>
      </c>
    </row>
    <row r="175" ht="14.25" customHeight="1">
      <c r="A175" s="3">
        <v>173.0</v>
      </c>
      <c r="B175" s="3" t="s">
        <v>6649</v>
      </c>
      <c r="C175" s="3">
        <v>37.0</v>
      </c>
      <c r="D175" s="3" t="s">
        <v>6645</v>
      </c>
      <c r="E175" s="3" t="s">
        <v>6646</v>
      </c>
      <c r="F175" s="3" t="s">
        <v>6646</v>
      </c>
      <c r="G175" s="3" t="s">
        <v>6645</v>
      </c>
      <c r="H175" s="3" t="s">
        <v>6645</v>
      </c>
      <c r="I175" s="3" t="s">
        <v>6646</v>
      </c>
      <c r="J175" s="3">
        <v>0.0</v>
      </c>
      <c r="K175" s="3">
        <v>3.0</v>
      </c>
      <c r="L175" s="3">
        <v>0.0</v>
      </c>
      <c r="M175" s="3">
        <v>0.0</v>
      </c>
      <c r="N175" s="3">
        <v>6520.2</v>
      </c>
      <c r="O175" s="3">
        <v>720.0</v>
      </c>
      <c r="P175" s="3" t="e">
        <v>#N/A</v>
      </c>
      <c r="Q175" s="3">
        <v>59.0</v>
      </c>
      <c r="R175" s="3">
        <v>56.0</v>
      </c>
      <c r="S175" s="3">
        <v>56.0</v>
      </c>
      <c r="T175" s="3">
        <v>54.0</v>
      </c>
      <c r="U175" s="3">
        <v>50.0</v>
      </c>
      <c r="V175" s="3">
        <v>52.0</v>
      </c>
      <c r="W175" s="3">
        <v>50.0</v>
      </c>
      <c r="X175" s="3">
        <v>66.0</v>
      </c>
      <c r="Y175" s="3">
        <v>56.0</v>
      </c>
      <c r="Z175" s="3">
        <v>46.0</v>
      </c>
      <c r="AA175" s="3">
        <v>47.0</v>
      </c>
      <c r="AB175" s="3">
        <v>66.0</v>
      </c>
      <c r="AC175" s="3">
        <v>50.0</v>
      </c>
      <c r="AD175" s="3">
        <v>56.0</v>
      </c>
      <c r="AE175" s="3">
        <v>61.0</v>
      </c>
      <c r="AF175" s="3">
        <v>67.0</v>
      </c>
      <c r="AG175" s="3">
        <v>49.0</v>
      </c>
      <c r="AH175" s="3">
        <v>67.0</v>
      </c>
      <c r="AI175" s="3">
        <v>70.0</v>
      </c>
      <c r="AJ175" s="3">
        <v>10.0</v>
      </c>
      <c r="AK175" s="3">
        <v>44.0</v>
      </c>
      <c r="AL175" s="3">
        <v>54.0</v>
      </c>
      <c r="AM175" s="3">
        <v>45.0</v>
      </c>
      <c r="AN175" s="3">
        <v>60.0</v>
      </c>
    </row>
    <row r="176" ht="14.25" customHeight="1">
      <c r="A176" s="3">
        <v>174.0</v>
      </c>
      <c r="B176" s="3" t="s">
        <v>6650</v>
      </c>
      <c r="C176" s="3">
        <v>32.0</v>
      </c>
      <c r="D176" s="3" t="s">
        <v>6645</v>
      </c>
      <c r="E176" s="3" t="s">
        <v>6646</v>
      </c>
      <c r="F176" s="3" t="s">
        <v>6646</v>
      </c>
      <c r="G176" s="3" t="s">
        <v>6645</v>
      </c>
      <c r="H176" s="3" t="s">
        <v>6645</v>
      </c>
      <c r="I176" s="3" t="s">
        <v>6646</v>
      </c>
      <c r="J176" s="3">
        <v>0.0</v>
      </c>
      <c r="K176" s="3">
        <v>3.0</v>
      </c>
      <c r="L176" s="3">
        <v>0.0</v>
      </c>
      <c r="M176" s="3">
        <v>0.0</v>
      </c>
      <c r="N176" s="3">
        <v>6247.4</v>
      </c>
      <c r="O176" s="3">
        <v>750.0</v>
      </c>
      <c r="P176" s="3" t="e">
        <v>#N/A</v>
      </c>
      <c r="Q176" s="3">
        <v>59.0</v>
      </c>
      <c r="R176" s="3">
        <v>52.0</v>
      </c>
      <c r="S176" s="3">
        <v>54.0</v>
      </c>
      <c r="T176" s="3">
        <v>50.0</v>
      </c>
      <c r="U176" s="3">
        <v>52.0</v>
      </c>
      <c r="V176" s="3">
        <v>58.0</v>
      </c>
      <c r="W176" s="3">
        <v>59.0</v>
      </c>
      <c r="X176" s="3">
        <v>60.0</v>
      </c>
      <c r="Y176" s="3">
        <v>53.0</v>
      </c>
      <c r="Z176" s="3">
        <v>46.0</v>
      </c>
      <c r="AA176" s="3">
        <v>56.0</v>
      </c>
      <c r="AB176" s="3">
        <v>59.0</v>
      </c>
      <c r="AC176" s="3">
        <v>54.0</v>
      </c>
      <c r="AD176" s="3">
        <v>54.0</v>
      </c>
      <c r="AE176" s="3">
        <v>61.0</v>
      </c>
      <c r="AF176" s="3">
        <v>61.0</v>
      </c>
      <c r="AG176" s="3">
        <v>41.0</v>
      </c>
      <c r="AH176" s="3">
        <v>65.0</v>
      </c>
      <c r="AI176" s="3">
        <v>83.0</v>
      </c>
      <c r="AJ176" s="3">
        <v>48.0</v>
      </c>
      <c r="AK176" s="3">
        <v>43.0</v>
      </c>
      <c r="AL176" s="3">
        <v>54.0</v>
      </c>
      <c r="AM176" s="3">
        <v>52.0</v>
      </c>
      <c r="AN176" s="3">
        <v>60.0</v>
      </c>
    </row>
    <row r="177" ht="14.25" customHeight="1">
      <c r="A177" s="3">
        <v>175.0</v>
      </c>
      <c r="B177" s="3" t="s">
        <v>6651</v>
      </c>
      <c r="C177" s="3">
        <v>32.0</v>
      </c>
      <c r="D177" s="3" t="s">
        <v>6645</v>
      </c>
      <c r="E177" s="3" t="s">
        <v>6646</v>
      </c>
      <c r="F177" s="3" t="s">
        <v>6646</v>
      </c>
      <c r="G177" s="3" t="s">
        <v>6645</v>
      </c>
      <c r="H177" s="3" t="s">
        <v>6645</v>
      </c>
      <c r="I177" s="3" t="s">
        <v>6645</v>
      </c>
      <c r="J177" s="3">
        <v>0.0</v>
      </c>
      <c r="K177" s="3">
        <v>3.0</v>
      </c>
      <c r="L177" s="3">
        <v>0.0</v>
      </c>
      <c r="M177" s="3">
        <v>0.0</v>
      </c>
      <c r="N177" s="3">
        <v>6912.4272</v>
      </c>
      <c r="O177" s="3">
        <v>829.0</v>
      </c>
      <c r="P177" s="3" t="e">
        <v>#N/A</v>
      </c>
      <c r="Q177" s="3">
        <v>55.0</v>
      </c>
      <c r="R177" s="3">
        <v>50.0</v>
      </c>
      <c r="S177" s="3">
        <v>52.0</v>
      </c>
      <c r="T177" s="3">
        <v>50.0</v>
      </c>
      <c r="U177" s="3">
        <v>54.0</v>
      </c>
      <c r="V177" s="3">
        <v>52.0</v>
      </c>
      <c r="W177" s="3">
        <v>59.0</v>
      </c>
      <c r="X177" s="3">
        <v>64.0</v>
      </c>
      <c r="Y177" s="3">
        <v>61.0</v>
      </c>
      <c r="Z177" s="3">
        <v>52.0</v>
      </c>
      <c r="AA177" s="3">
        <v>48.0</v>
      </c>
      <c r="AB177" s="3">
        <v>65.0</v>
      </c>
      <c r="AC177" s="3">
        <v>52.0</v>
      </c>
      <c r="AD177" s="3">
        <v>45.0</v>
      </c>
      <c r="AE177" s="3">
        <v>68.0</v>
      </c>
      <c r="AF177" s="3">
        <v>63.0</v>
      </c>
      <c r="AG177" s="3">
        <v>23.0</v>
      </c>
      <c r="AH177" s="3">
        <v>66.0</v>
      </c>
      <c r="AI177" s="3">
        <v>75.0</v>
      </c>
      <c r="AJ177" s="3">
        <v>38.0</v>
      </c>
      <c r="AK177" s="3">
        <v>65.0</v>
      </c>
      <c r="AL177" s="3">
        <v>48.0</v>
      </c>
      <c r="AM177" s="3">
        <v>59.0</v>
      </c>
      <c r="AN177" s="3">
        <v>52.0</v>
      </c>
    </row>
    <row r="178" ht="14.25" customHeight="1">
      <c r="A178" s="3">
        <v>176.0</v>
      </c>
      <c r="B178" s="3" t="s">
        <v>6652</v>
      </c>
      <c r="C178" s="3">
        <v>27.0</v>
      </c>
      <c r="D178" s="3" t="s">
        <v>6645</v>
      </c>
      <c r="E178" s="3" t="s">
        <v>6646</v>
      </c>
      <c r="F178" s="3" t="s">
        <v>6646</v>
      </c>
      <c r="G178" s="3" t="s">
        <v>6645</v>
      </c>
      <c r="H178" s="3" t="s">
        <v>6645</v>
      </c>
      <c r="I178" s="3" t="s">
        <v>6645</v>
      </c>
      <c r="J178" s="3">
        <v>0.0</v>
      </c>
      <c r="K178" s="3">
        <v>2.0</v>
      </c>
      <c r="L178" s="3">
        <v>0.0</v>
      </c>
      <c r="M178" s="3">
        <v>0.0</v>
      </c>
      <c r="N178" s="3">
        <v>3797.5004</v>
      </c>
      <c r="O178" s="3">
        <v>369.0</v>
      </c>
      <c r="P178" s="3" t="e">
        <v>#N/A</v>
      </c>
      <c r="Q178" s="3">
        <v>51.0</v>
      </c>
      <c r="R178" s="3">
        <v>43.0</v>
      </c>
      <c r="S178" s="3">
        <v>43.0</v>
      </c>
      <c r="T178" s="3">
        <v>47.0</v>
      </c>
      <c r="U178" s="3">
        <v>44.0</v>
      </c>
      <c r="V178" s="3">
        <v>46.0</v>
      </c>
      <c r="W178" s="3">
        <v>35.0</v>
      </c>
      <c r="X178" s="3">
        <v>49.0</v>
      </c>
      <c r="Y178" s="3">
        <v>44.0</v>
      </c>
      <c r="Z178" s="3">
        <v>43.0</v>
      </c>
      <c r="AA178" s="3">
        <v>51.0</v>
      </c>
      <c r="AB178" s="3">
        <v>60.0</v>
      </c>
      <c r="AC178" s="3">
        <v>40.0</v>
      </c>
      <c r="AD178" s="3">
        <v>52.0</v>
      </c>
      <c r="AE178" s="3">
        <v>53.0</v>
      </c>
      <c r="AF178" s="3">
        <v>36.0</v>
      </c>
      <c r="AG178" s="3">
        <v>46.0</v>
      </c>
      <c r="AH178" s="3">
        <v>56.0</v>
      </c>
      <c r="AI178" s="3">
        <v>68.0</v>
      </c>
      <c r="AJ178" s="3">
        <v>26.0</v>
      </c>
      <c r="AK178" s="3">
        <v>64.0</v>
      </c>
      <c r="AL178" s="3">
        <v>56.0</v>
      </c>
      <c r="AM178" s="3">
        <v>38.0</v>
      </c>
      <c r="AN178" s="3">
        <v>50.0</v>
      </c>
    </row>
    <row r="179" ht="14.25" customHeight="1">
      <c r="A179" s="3">
        <v>177.0</v>
      </c>
      <c r="B179" s="3" t="s">
        <v>6653</v>
      </c>
      <c r="C179" s="3">
        <v>28.0</v>
      </c>
      <c r="D179" s="3" t="s">
        <v>6645</v>
      </c>
      <c r="E179" s="3" t="s">
        <v>6646</v>
      </c>
      <c r="F179" s="3" t="s">
        <v>6646</v>
      </c>
      <c r="G179" s="3" t="s">
        <v>6645</v>
      </c>
      <c r="H179" s="3" t="s">
        <v>6645</v>
      </c>
      <c r="I179" s="3" t="s">
        <v>6646</v>
      </c>
      <c r="J179" s="3">
        <v>0.0</v>
      </c>
      <c r="K179" s="3">
        <v>2.0</v>
      </c>
      <c r="L179" s="3">
        <v>0.0</v>
      </c>
      <c r="M179" s="3">
        <v>0.0</v>
      </c>
      <c r="N179" s="3">
        <v>3873.7941</v>
      </c>
      <c r="O179" s="3">
        <v>494.0</v>
      </c>
      <c r="P179" s="3" t="e">
        <v>#N/A</v>
      </c>
      <c r="Q179" s="3">
        <v>49.0</v>
      </c>
      <c r="R179" s="3">
        <v>51.0</v>
      </c>
      <c r="S179" s="3">
        <v>50.0</v>
      </c>
      <c r="T179" s="3">
        <v>50.0</v>
      </c>
      <c r="U179" s="3">
        <v>52.0</v>
      </c>
      <c r="V179" s="3">
        <v>45.0</v>
      </c>
      <c r="W179" s="3">
        <v>44.0</v>
      </c>
      <c r="X179" s="3">
        <v>52.0</v>
      </c>
      <c r="Y179" s="3">
        <v>50.0</v>
      </c>
      <c r="Z179" s="3">
        <v>50.0</v>
      </c>
      <c r="AA179" s="3">
        <v>40.0</v>
      </c>
      <c r="AB179" s="3">
        <v>56.0</v>
      </c>
      <c r="AC179" s="3">
        <v>40.0</v>
      </c>
      <c r="AD179" s="3">
        <v>47.0</v>
      </c>
      <c r="AE179" s="3">
        <v>53.0</v>
      </c>
      <c r="AF179" s="3">
        <v>46.0</v>
      </c>
      <c r="AG179" s="3">
        <v>36.0</v>
      </c>
      <c r="AH179" s="3">
        <v>62.0</v>
      </c>
      <c r="AI179" s="3">
        <v>78.0</v>
      </c>
      <c r="AJ179" s="3">
        <v>60.0</v>
      </c>
      <c r="AK179" s="3">
        <v>46.0</v>
      </c>
      <c r="AL179" s="3">
        <v>42.0</v>
      </c>
      <c r="AM179" s="3">
        <v>48.0</v>
      </c>
      <c r="AN179" s="3">
        <v>50.0</v>
      </c>
    </row>
    <row r="180" ht="14.25" customHeight="1">
      <c r="A180" s="3">
        <v>178.0</v>
      </c>
      <c r="B180" s="3" t="s">
        <v>6654</v>
      </c>
      <c r="C180" s="3">
        <v>33.0</v>
      </c>
      <c r="D180" s="3" t="s">
        <v>6645</v>
      </c>
      <c r="E180" s="3" t="s">
        <v>6646</v>
      </c>
      <c r="F180" s="3" t="s">
        <v>6646</v>
      </c>
      <c r="G180" s="3" t="s">
        <v>6645</v>
      </c>
      <c r="H180" s="3" t="s">
        <v>6645</v>
      </c>
      <c r="I180" s="3" t="s">
        <v>6646</v>
      </c>
      <c r="J180" s="3">
        <v>0.0</v>
      </c>
      <c r="K180" s="3">
        <v>2.0</v>
      </c>
      <c r="L180" s="3">
        <v>0.0</v>
      </c>
      <c r="M180" s="3">
        <v>0.0</v>
      </c>
      <c r="N180" s="3">
        <v>4118.7304</v>
      </c>
      <c r="O180" s="3">
        <v>402.0</v>
      </c>
      <c r="P180" s="3" t="e">
        <v>#N/A</v>
      </c>
      <c r="Q180" s="3">
        <v>47.0</v>
      </c>
      <c r="R180" s="3">
        <v>51.0</v>
      </c>
      <c r="S180" s="3">
        <v>43.0</v>
      </c>
      <c r="T180" s="3">
        <v>43.0</v>
      </c>
      <c r="U180" s="3">
        <v>48.0</v>
      </c>
      <c r="V180" s="3">
        <v>47.0</v>
      </c>
      <c r="W180" s="3">
        <v>46.0</v>
      </c>
      <c r="X180" s="3">
        <v>55.0</v>
      </c>
      <c r="Y180" s="3">
        <v>43.0</v>
      </c>
      <c r="Z180" s="3">
        <v>38.0</v>
      </c>
      <c r="AA180" s="3">
        <v>50.0</v>
      </c>
      <c r="AB180" s="3">
        <v>59.0</v>
      </c>
      <c r="AC180" s="3">
        <v>46.0</v>
      </c>
      <c r="AD180" s="3">
        <v>40.0</v>
      </c>
      <c r="AE180" s="3">
        <v>58.0</v>
      </c>
      <c r="AF180" s="3">
        <v>46.0</v>
      </c>
      <c r="AG180" s="3">
        <v>44.0</v>
      </c>
      <c r="AH180" s="3">
        <v>52.0</v>
      </c>
      <c r="AI180" s="3">
        <v>81.0</v>
      </c>
      <c r="AJ180" s="3">
        <v>58.0</v>
      </c>
      <c r="AK180" s="3">
        <v>60.0</v>
      </c>
      <c r="AL180" s="3">
        <v>25.0</v>
      </c>
      <c r="AM180" s="3">
        <v>48.0</v>
      </c>
      <c r="AN180" s="3">
        <v>52.0</v>
      </c>
    </row>
    <row r="181" ht="14.25" customHeight="1">
      <c r="A181" s="3">
        <v>179.0</v>
      </c>
      <c r="B181" s="3" t="s">
        <v>6655</v>
      </c>
      <c r="C181" s="3">
        <v>33.0</v>
      </c>
      <c r="D181" s="3" t="s">
        <v>6645</v>
      </c>
      <c r="E181" s="3" t="s">
        <v>6646</v>
      </c>
      <c r="F181" s="3" t="s">
        <v>6646</v>
      </c>
      <c r="G181" s="3" t="s">
        <v>6645</v>
      </c>
      <c r="H181" s="3" t="s">
        <v>6645</v>
      </c>
      <c r="I181" s="3" t="s">
        <v>6646</v>
      </c>
      <c r="J181" s="3">
        <v>0.0</v>
      </c>
      <c r="K181" s="3">
        <v>2.0</v>
      </c>
      <c r="L181" s="3">
        <v>0.0</v>
      </c>
      <c r="M181" s="3">
        <v>0.0</v>
      </c>
      <c r="N181" s="3">
        <v>3358.2258</v>
      </c>
      <c r="O181" s="3">
        <v>406.0</v>
      </c>
      <c r="P181" s="3" t="e">
        <v>#N/A</v>
      </c>
      <c r="Q181" s="3">
        <v>47.0</v>
      </c>
      <c r="R181" s="3">
        <v>44.0</v>
      </c>
      <c r="S181" s="3">
        <v>45.0</v>
      </c>
      <c r="T181" s="3">
        <v>43.0</v>
      </c>
      <c r="U181" s="3">
        <v>50.0</v>
      </c>
      <c r="V181" s="3">
        <v>50.0</v>
      </c>
      <c r="W181" s="3">
        <v>43.0</v>
      </c>
      <c r="X181" s="3">
        <v>52.0</v>
      </c>
      <c r="Y181" s="3">
        <v>45.0</v>
      </c>
      <c r="Z181" s="3">
        <v>46.0</v>
      </c>
      <c r="AA181" s="3">
        <v>49.0</v>
      </c>
      <c r="AB181" s="3">
        <v>54.0</v>
      </c>
      <c r="AC181" s="3">
        <v>37.0</v>
      </c>
      <c r="AD181" s="3">
        <v>51.0</v>
      </c>
      <c r="AE181" s="3">
        <v>48.0</v>
      </c>
      <c r="AF181" s="3">
        <v>52.0</v>
      </c>
      <c r="AG181" s="3">
        <v>56.0</v>
      </c>
      <c r="AH181" s="3">
        <v>62.0</v>
      </c>
      <c r="AI181" s="3">
        <v>74.0</v>
      </c>
      <c r="AJ181" s="3">
        <v>22.0</v>
      </c>
      <c r="AK181" s="3">
        <v>44.0</v>
      </c>
      <c r="AL181" s="3">
        <v>54.0</v>
      </c>
      <c r="AM181" s="3">
        <v>44.0</v>
      </c>
      <c r="AN181" s="3">
        <v>58.0</v>
      </c>
    </row>
    <row r="182" ht="14.25" customHeight="1">
      <c r="A182" s="3">
        <v>180.0</v>
      </c>
      <c r="B182" s="3" t="s">
        <v>6656</v>
      </c>
      <c r="C182" s="3">
        <v>23.0</v>
      </c>
      <c r="D182" s="3" t="s">
        <v>6645</v>
      </c>
      <c r="E182" s="3" t="s">
        <v>6646</v>
      </c>
      <c r="F182" s="3" t="s">
        <v>6646</v>
      </c>
      <c r="G182" s="3" t="s">
        <v>6645</v>
      </c>
      <c r="H182" s="3" t="s">
        <v>6645</v>
      </c>
      <c r="I182" s="3" t="s">
        <v>6646</v>
      </c>
      <c r="J182" s="3">
        <v>0.0</v>
      </c>
      <c r="K182" s="3">
        <v>1.0</v>
      </c>
      <c r="L182" s="3">
        <v>0.0</v>
      </c>
      <c r="M182" s="3">
        <v>0.0</v>
      </c>
      <c r="N182" s="3">
        <v>1385.81</v>
      </c>
      <c r="O182" s="3">
        <v>230.0</v>
      </c>
      <c r="P182" s="3" t="e">
        <v>#N/A</v>
      </c>
      <c r="Q182" s="3">
        <v>40.0</v>
      </c>
      <c r="R182" s="3">
        <v>40.0</v>
      </c>
      <c r="S182" s="3">
        <v>40.0</v>
      </c>
      <c r="T182" s="3">
        <v>38.0</v>
      </c>
      <c r="U182" s="3">
        <v>40.0</v>
      </c>
      <c r="V182" s="3">
        <v>42.0</v>
      </c>
      <c r="W182" s="3">
        <v>33.0</v>
      </c>
      <c r="X182" s="3">
        <v>48.0</v>
      </c>
      <c r="Y182" s="3">
        <v>40.0</v>
      </c>
      <c r="Z182" s="3">
        <v>42.0</v>
      </c>
      <c r="AA182" s="3">
        <v>34.0</v>
      </c>
      <c r="AB182" s="3">
        <v>45.0</v>
      </c>
      <c r="AC182" s="3">
        <v>36.0</v>
      </c>
      <c r="AD182" s="3">
        <v>34.0</v>
      </c>
      <c r="AE182" s="3">
        <v>46.0</v>
      </c>
      <c r="AF182" s="3">
        <v>62.0</v>
      </c>
      <c r="AG182" s="3">
        <v>11.0</v>
      </c>
      <c r="AH182" s="3">
        <v>41.0</v>
      </c>
      <c r="AI182" s="3">
        <v>76.0</v>
      </c>
      <c r="AJ182" s="3">
        <v>35.0</v>
      </c>
      <c r="AK182" s="3">
        <v>53.0</v>
      </c>
      <c r="AL182" s="3">
        <v>41.0</v>
      </c>
      <c r="AM182" s="3">
        <v>62.0</v>
      </c>
      <c r="AN182" s="3">
        <v>37.0</v>
      </c>
    </row>
    <row r="183" ht="14.25" customHeight="1">
      <c r="A183" s="3">
        <v>181.0</v>
      </c>
      <c r="B183" s="3" t="s">
        <v>6657</v>
      </c>
      <c r="C183" s="3">
        <v>23.0</v>
      </c>
      <c r="D183" s="3" t="s">
        <v>6645</v>
      </c>
      <c r="E183" s="3" t="s">
        <v>6646</v>
      </c>
      <c r="F183" s="3" t="s">
        <v>6646</v>
      </c>
      <c r="G183" s="3" t="s">
        <v>6645</v>
      </c>
      <c r="H183" s="3" t="s">
        <v>6645</v>
      </c>
      <c r="I183" s="3" t="s">
        <v>6645</v>
      </c>
      <c r="J183" s="3">
        <v>0.0</v>
      </c>
      <c r="K183" s="3">
        <v>1.0</v>
      </c>
      <c r="L183" s="3">
        <v>0.0</v>
      </c>
      <c r="M183" s="3">
        <v>0.0</v>
      </c>
      <c r="N183" s="3">
        <v>1629.0754</v>
      </c>
      <c r="O183" s="3">
        <v>211.0</v>
      </c>
      <c r="P183" s="3" t="e">
        <v>#N/A</v>
      </c>
      <c r="Q183" s="3">
        <v>44.0</v>
      </c>
      <c r="R183" s="3">
        <v>40.0</v>
      </c>
      <c r="S183" s="3">
        <v>38.0</v>
      </c>
      <c r="T183" s="3">
        <v>40.0</v>
      </c>
      <c r="U183" s="3">
        <v>38.0</v>
      </c>
      <c r="V183" s="3">
        <v>42.0</v>
      </c>
      <c r="W183" s="3">
        <v>27.0</v>
      </c>
      <c r="X183" s="3">
        <v>47.0</v>
      </c>
      <c r="Y183" s="3">
        <v>38.0</v>
      </c>
      <c r="Z183" s="3">
        <v>42.0</v>
      </c>
      <c r="AA183" s="3">
        <v>37.0</v>
      </c>
      <c r="AB183" s="3">
        <v>46.0</v>
      </c>
      <c r="AC183" s="3">
        <v>44.0</v>
      </c>
      <c r="AD183" s="3">
        <v>46.0</v>
      </c>
      <c r="AE183" s="3">
        <v>49.0</v>
      </c>
      <c r="AF183" s="3">
        <v>46.0</v>
      </c>
      <c r="AG183" s="3">
        <v>36.0</v>
      </c>
      <c r="AH183" s="3">
        <v>55.0</v>
      </c>
      <c r="AI183" s="3">
        <v>74.0</v>
      </c>
      <c r="AJ183" s="3">
        <v>35.0</v>
      </c>
      <c r="AK183" s="3">
        <v>57.0</v>
      </c>
      <c r="AL183" s="3">
        <v>61.0</v>
      </c>
      <c r="AM183" s="3">
        <v>21.0</v>
      </c>
      <c r="AN183" s="3">
        <v>34.0</v>
      </c>
    </row>
    <row r="184" ht="14.25" customHeight="1">
      <c r="A184" s="3">
        <v>182.0</v>
      </c>
      <c r="B184" s="3" t="s">
        <v>6658</v>
      </c>
      <c r="C184" s="3">
        <v>25.0</v>
      </c>
      <c r="D184" s="3" t="s">
        <v>6645</v>
      </c>
      <c r="E184" s="3" t="s">
        <v>6646</v>
      </c>
      <c r="F184" s="3" t="s">
        <v>6646</v>
      </c>
      <c r="G184" s="3" t="s">
        <v>6645</v>
      </c>
      <c r="H184" s="3" t="s">
        <v>6645</v>
      </c>
      <c r="I184" s="3" t="s">
        <v>6646</v>
      </c>
      <c r="J184" s="3">
        <v>0.0</v>
      </c>
      <c r="K184" s="3">
        <v>1.0</v>
      </c>
      <c r="L184" s="3">
        <v>0.0</v>
      </c>
      <c r="M184" s="3">
        <v>0.0</v>
      </c>
      <c r="N184" s="3">
        <v>1467.8</v>
      </c>
      <c r="O184" s="3">
        <v>198.0</v>
      </c>
      <c r="P184" s="3" t="e">
        <v>#N/A</v>
      </c>
      <c r="Q184" s="3">
        <v>46.0</v>
      </c>
      <c r="R184" s="3">
        <v>46.0</v>
      </c>
      <c r="S184" s="3">
        <v>38.0</v>
      </c>
      <c r="T184" s="3">
        <v>40.0</v>
      </c>
      <c r="U184" s="3">
        <v>44.0</v>
      </c>
      <c r="V184" s="3">
        <v>40.0</v>
      </c>
      <c r="W184" s="3">
        <v>44.0</v>
      </c>
      <c r="X184" s="3">
        <v>44.0</v>
      </c>
      <c r="Y184" s="3">
        <v>42.0</v>
      </c>
      <c r="Z184" s="3">
        <v>38.0</v>
      </c>
      <c r="AA184" s="3">
        <v>35.0</v>
      </c>
      <c r="AB184" s="3">
        <v>51.0</v>
      </c>
      <c r="AC184" s="3">
        <v>38.0</v>
      </c>
      <c r="AD184" s="3">
        <v>30.0</v>
      </c>
      <c r="AE184" s="3">
        <v>44.0</v>
      </c>
      <c r="AF184" s="3">
        <v>47.0</v>
      </c>
      <c r="AG184" s="3">
        <v>49.0</v>
      </c>
      <c r="AH184" s="3">
        <v>47.0</v>
      </c>
      <c r="AI184" s="3">
        <v>76.0</v>
      </c>
      <c r="AJ184" s="3">
        <v>39.0</v>
      </c>
      <c r="AK184" s="3">
        <v>57.0</v>
      </c>
      <c r="AL184" s="3">
        <v>51.0</v>
      </c>
      <c r="AM184" s="3">
        <v>57.0</v>
      </c>
      <c r="AN184" s="3">
        <v>33.0</v>
      </c>
    </row>
    <row r="185" ht="14.25" customHeight="1">
      <c r="A185" s="3">
        <v>183.0</v>
      </c>
      <c r="B185" s="3" t="s">
        <v>6659</v>
      </c>
      <c r="C185" s="3">
        <v>29.0</v>
      </c>
      <c r="D185" s="3" t="s">
        <v>6645</v>
      </c>
      <c r="E185" s="3" t="s">
        <v>6646</v>
      </c>
      <c r="F185" s="3" t="s">
        <v>6646</v>
      </c>
      <c r="G185" s="3" t="s">
        <v>6645</v>
      </c>
      <c r="H185" s="3" t="s">
        <v>6645</v>
      </c>
      <c r="I185" s="3" t="s">
        <v>6646</v>
      </c>
      <c r="J185" s="3">
        <v>0.0</v>
      </c>
      <c r="K185" s="3">
        <v>1.0</v>
      </c>
      <c r="L185" s="3">
        <v>0.0</v>
      </c>
      <c r="M185" s="3">
        <v>0.0</v>
      </c>
      <c r="N185" s="3">
        <v>1797.4276</v>
      </c>
      <c r="O185" s="3">
        <v>226.0</v>
      </c>
      <c r="P185" s="3" t="e">
        <v>#N/A</v>
      </c>
      <c r="Q185" s="3">
        <v>36.0</v>
      </c>
      <c r="R185" s="3">
        <v>44.0</v>
      </c>
      <c r="S185" s="3">
        <v>42.0</v>
      </c>
      <c r="T185" s="3">
        <v>40.0</v>
      </c>
      <c r="U185" s="3">
        <v>38.0</v>
      </c>
      <c r="V185" s="3">
        <v>44.0</v>
      </c>
      <c r="W185" s="3">
        <v>33.0</v>
      </c>
      <c r="X185" s="3">
        <v>44.0</v>
      </c>
      <c r="Y185" s="3">
        <v>40.0</v>
      </c>
      <c r="Z185" s="3">
        <v>38.0</v>
      </c>
      <c r="AA185" s="3">
        <v>30.0</v>
      </c>
      <c r="AB185" s="3">
        <v>45.0</v>
      </c>
      <c r="AC185" s="3">
        <v>34.0</v>
      </c>
      <c r="AD185" s="3">
        <v>38.0</v>
      </c>
      <c r="AE185" s="3">
        <v>46.0</v>
      </c>
      <c r="AF185" s="3">
        <v>52.0</v>
      </c>
      <c r="AG185" s="3">
        <v>56.0</v>
      </c>
      <c r="AH185" s="3">
        <v>61.0</v>
      </c>
      <c r="AI185" s="3">
        <v>78.0</v>
      </c>
      <c r="AJ185" s="3">
        <v>44.0</v>
      </c>
      <c r="AK185" s="3">
        <v>41.0</v>
      </c>
      <c r="AL185" s="3">
        <v>53.0</v>
      </c>
      <c r="AM185" s="3">
        <v>37.0</v>
      </c>
      <c r="AN185" s="3">
        <v>39.0</v>
      </c>
    </row>
    <row r="186" ht="14.25" customHeight="1">
      <c r="A186" s="3">
        <v>184.0</v>
      </c>
      <c r="B186" s="3" t="s">
        <v>6660</v>
      </c>
      <c r="C186" s="3">
        <v>22.0</v>
      </c>
      <c r="D186" s="3" t="s">
        <v>6645</v>
      </c>
      <c r="E186" s="3" t="s">
        <v>6646</v>
      </c>
      <c r="F186" s="3" t="s">
        <v>6646</v>
      </c>
      <c r="G186" s="3" t="s">
        <v>6645</v>
      </c>
      <c r="H186" s="3" t="s">
        <v>6645</v>
      </c>
      <c r="I186" s="3" t="s">
        <v>6645</v>
      </c>
      <c r="J186" s="3">
        <v>0.0</v>
      </c>
      <c r="K186" s="3">
        <v>0.0</v>
      </c>
      <c r="L186" s="3">
        <v>0.0</v>
      </c>
      <c r="M186" s="3">
        <v>0.0</v>
      </c>
      <c r="N186" s="3">
        <v>404.67935</v>
      </c>
      <c r="O186" s="3">
        <v>80.0</v>
      </c>
      <c r="P186" s="3" t="e">
        <v>#N/A</v>
      </c>
      <c r="Q186" s="3">
        <v>39.0</v>
      </c>
      <c r="R186" s="3">
        <v>38.0</v>
      </c>
      <c r="S186" s="3">
        <v>36.0</v>
      </c>
      <c r="T186" s="3">
        <v>36.0</v>
      </c>
      <c r="U186" s="3">
        <v>35.0</v>
      </c>
      <c r="V186" s="3">
        <v>32.0</v>
      </c>
      <c r="W186" s="3">
        <v>35.0</v>
      </c>
      <c r="X186" s="3">
        <v>44.0</v>
      </c>
      <c r="Y186" s="3">
        <v>26.0</v>
      </c>
      <c r="Z186" s="3">
        <v>28.0</v>
      </c>
      <c r="AA186" s="3">
        <v>31.0</v>
      </c>
      <c r="AB186" s="3">
        <v>42.0</v>
      </c>
      <c r="AC186" s="3">
        <v>30.0</v>
      </c>
      <c r="AD186" s="3">
        <v>29.0</v>
      </c>
      <c r="AE186" s="3">
        <v>42.0</v>
      </c>
      <c r="AF186" s="3">
        <v>45.0</v>
      </c>
      <c r="AG186" s="3">
        <v>34.0</v>
      </c>
      <c r="AH186" s="3">
        <v>45.0</v>
      </c>
      <c r="AI186" s="3">
        <v>74.0</v>
      </c>
      <c r="AJ186" s="3">
        <v>32.0</v>
      </c>
      <c r="AK186" s="3">
        <v>50.0</v>
      </c>
      <c r="AL186" s="3">
        <v>40.0</v>
      </c>
      <c r="AM186" s="3">
        <v>30.0</v>
      </c>
      <c r="AN186" s="3">
        <v>36.0</v>
      </c>
    </row>
    <row r="187" ht="14.25" customHeight="1">
      <c r="A187" s="3">
        <v>185.0</v>
      </c>
      <c r="B187" s="3" t="s">
        <v>6661</v>
      </c>
      <c r="C187" s="3">
        <v>24.0</v>
      </c>
      <c r="D187" s="3" t="s">
        <v>6645</v>
      </c>
      <c r="E187" s="3" t="s">
        <v>6646</v>
      </c>
      <c r="F187" s="3" t="s">
        <v>6646</v>
      </c>
      <c r="G187" s="3" t="s">
        <v>6645</v>
      </c>
      <c r="H187" s="3" t="s">
        <v>6645</v>
      </c>
      <c r="I187" s="3" t="s">
        <v>6646</v>
      </c>
      <c r="J187" s="3">
        <v>0.0</v>
      </c>
      <c r="K187" s="3">
        <v>0.0</v>
      </c>
      <c r="L187" s="3">
        <v>0.0</v>
      </c>
      <c r="M187" s="3">
        <v>0.0</v>
      </c>
      <c r="N187" s="3">
        <v>452.71203</v>
      </c>
      <c r="O187" s="3">
        <v>98.0</v>
      </c>
      <c r="P187" s="3" t="e">
        <v>#N/A</v>
      </c>
      <c r="Q187" s="3">
        <v>39.0</v>
      </c>
      <c r="R187" s="3">
        <v>37.0</v>
      </c>
      <c r="S187" s="3">
        <v>30.0</v>
      </c>
      <c r="T187" s="3">
        <v>34.0</v>
      </c>
      <c r="U187" s="3">
        <v>32.0</v>
      </c>
      <c r="V187" s="3">
        <v>36.0</v>
      </c>
      <c r="W187" s="3">
        <v>36.0</v>
      </c>
      <c r="X187" s="3">
        <v>44.0</v>
      </c>
      <c r="Y187" s="3">
        <v>34.0</v>
      </c>
      <c r="Z187" s="3">
        <v>28.0</v>
      </c>
      <c r="AA187" s="3">
        <v>38.0</v>
      </c>
      <c r="AB187" s="3">
        <v>44.0</v>
      </c>
      <c r="AC187" s="3">
        <v>30.0</v>
      </c>
      <c r="AD187" s="3">
        <v>26.0</v>
      </c>
      <c r="AE187" s="3">
        <v>46.0</v>
      </c>
      <c r="AF187" s="3">
        <v>41.0</v>
      </c>
      <c r="AG187" s="3">
        <v>25.0</v>
      </c>
      <c r="AH187" s="3">
        <v>32.0</v>
      </c>
      <c r="AI187" s="3">
        <v>75.0</v>
      </c>
      <c r="AJ187" s="3">
        <v>59.0</v>
      </c>
      <c r="AK187" s="3">
        <v>44.0</v>
      </c>
      <c r="AL187" s="3">
        <v>52.0</v>
      </c>
      <c r="AM187" s="3">
        <v>46.0</v>
      </c>
      <c r="AN187" s="3">
        <v>47.0</v>
      </c>
    </row>
    <row r="188" ht="14.25" customHeight="1">
      <c r="A188" s="3">
        <v>186.0</v>
      </c>
      <c r="B188" s="3" t="s">
        <v>6662</v>
      </c>
      <c r="C188" s="3">
        <v>16.0</v>
      </c>
      <c r="D188" s="3" t="s">
        <v>6645</v>
      </c>
      <c r="E188" s="3" t="s">
        <v>6646</v>
      </c>
      <c r="F188" s="3" t="s">
        <v>6646</v>
      </c>
      <c r="G188" s="3" t="s">
        <v>6645</v>
      </c>
      <c r="H188" s="3" t="s">
        <v>6645</v>
      </c>
      <c r="I188" s="3" t="s">
        <v>6646</v>
      </c>
      <c r="J188" s="3">
        <v>0.0</v>
      </c>
      <c r="K188" s="3">
        <v>0.0</v>
      </c>
      <c r="L188" s="3">
        <v>0.0</v>
      </c>
      <c r="M188" s="3">
        <v>0.0</v>
      </c>
      <c r="N188" s="3">
        <v>520.605</v>
      </c>
      <c r="O188" s="3">
        <v>76.0</v>
      </c>
      <c r="P188" s="3" t="e">
        <v>#N/A</v>
      </c>
      <c r="Q188" s="3">
        <v>37.0</v>
      </c>
      <c r="R188" s="3">
        <v>39.0</v>
      </c>
      <c r="S188" s="3">
        <v>38.0</v>
      </c>
      <c r="T188" s="3">
        <v>30.0</v>
      </c>
      <c r="U188" s="3">
        <v>36.0</v>
      </c>
      <c r="V188" s="3">
        <v>34.0</v>
      </c>
      <c r="W188" s="3">
        <v>23.0</v>
      </c>
      <c r="X188" s="3">
        <v>43.0</v>
      </c>
      <c r="Y188" s="3">
        <v>34.0</v>
      </c>
      <c r="Z188" s="3">
        <v>26.0</v>
      </c>
      <c r="AA188" s="3">
        <v>32.0</v>
      </c>
      <c r="AB188" s="3">
        <v>39.0</v>
      </c>
      <c r="AC188" s="3">
        <v>29.0</v>
      </c>
      <c r="AD188" s="3">
        <v>37.0</v>
      </c>
      <c r="AE188" s="3">
        <v>44.0</v>
      </c>
      <c r="AF188" s="3">
        <v>57.0</v>
      </c>
      <c r="AG188" s="3">
        <v>38.0</v>
      </c>
      <c r="AH188" s="3">
        <v>58.0</v>
      </c>
      <c r="AI188" s="3">
        <v>71.0</v>
      </c>
      <c r="AJ188" s="3">
        <v>53.0</v>
      </c>
      <c r="AK188" s="3">
        <v>33.0</v>
      </c>
      <c r="AL188" s="3">
        <v>37.0</v>
      </c>
      <c r="AM188" s="3">
        <v>22.0</v>
      </c>
      <c r="AN188" s="3">
        <v>30.0</v>
      </c>
    </row>
    <row r="189" ht="14.25" customHeight="1">
      <c r="A189" s="3">
        <v>187.0</v>
      </c>
      <c r="B189" s="3" t="s">
        <v>6663</v>
      </c>
      <c r="C189" s="3">
        <v>19.0</v>
      </c>
      <c r="D189" s="3" t="s">
        <v>6645</v>
      </c>
      <c r="E189" s="3" t="s">
        <v>6646</v>
      </c>
      <c r="F189" s="3" t="s">
        <v>6646</v>
      </c>
      <c r="G189" s="3" t="s">
        <v>6645</v>
      </c>
      <c r="H189" s="3" t="s">
        <v>6645</v>
      </c>
      <c r="I189" s="3" t="s">
        <v>6646</v>
      </c>
      <c r="J189" s="3">
        <v>0.0</v>
      </c>
      <c r="K189" s="3">
        <v>0.0</v>
      </c>
      <c r="L189" s="3">
        <v>0.0</v>
      </c>
      <c r="M189" s="3">
        <v>0.0</v>
      </c>
      <c r="N189" s="3">
        <v>528.11584</v>
      </c>
      <c r="O189" s="3">
        <v>86.0</v>
      </c>
      <c r="P189" s="3" t="e">
        <v>#N/A</v>
      </c>
      <c r="Q189" s="3">
        <v>33.0</v>
      </c>
      <c r="R189" s="3">
        <v>31.0</v>
      </c>
      <c r="S189" s="3">
        <v>32.0</v>
      </c>
      <c r="T189" s="3">
        <v>34.0</v>
      </c>
      <c r="U189" s="3">
        <v>36.0</v>
      </c>
      <c r="V189" s="3">
        <v>31.0</v>
      </c>
      <c r="W189" s="3">
        <v>23.0</v>
      </c>
      <c r="X189" s="3">
        <v>47.0</v>
      </c>
      <c r="Y189" s="3">
        <v>25.0</v>
      </c>
      <c r="Z189" s="3">
        <v>29.0</v>
      </c>
      <c r="AA189" s="3">
        <v>38.0</v>
      </c>
      <c r="AB189" s="3">
        <v>40.0</v>
      </c>
      <c r="AC189" s="3">
        <v>37.0</v>
      </c>
      <c r="AD189" s="3">
        <v>31.0</v>
      </c>
      <c r="AE189" s="3">
        <v>39.0</v>
      </c>
      <c r="AF189" s="3">
        <v>33.0</v>
      </c>
      <c r="AG189" s="3">
        <v>32.0</v>
      </c>
      <c r="AH189" s="3">
        <v>56.0</v>
      </c>
      <c r="AI189" s="3">
        <v>79.0</v>
      </c>
      <c r="AJ189" s="3">
        <v>44.0</v>
      </c>
      <c r="AK189" s="3">
        <v>10.0</v>
      </c>
      <c r="AL189" s="3">
        <v>45.0</v>
      </c>
      <c r="AM189" s="3">
        <v>44.0</v>
      </c>
      <c r="AN189" s="3">
        <v>41.0</v>
      </c>
    </row>
    <row r="190" ht="14.25" customHeight="1">
      <c r="A190" s="3">
        <v>188.0</v>
      </c>
      <c r="B190" s="3" t="s">
        <v>6664</v>
      </c>
      <c r="C190" s="3">
        <v>20.0</v>
      </c>
      <c r="D190" s="3" t="s">
        <v>6645</v>
      </c>
      <c r="E190" s="3" t="s">
        <v>6646</v>
      </c>
      <c r="F190" s="3" t="s">
        <v>6646</v>
      </c>
      <c r="G190" s="3" t="s">
        <v>6645</v>
      </c>
      <c r="H190" s="3" t="s">
        <v>6645</v>
      </c>
      <c r="I190" s="3" t="s">
        <v>6646</v>
      </c>
      <c r="J190" s="3">
        <v>0.0</v>
      </c>
      <c r="K190" s="3">
        <v>0.0</v>
      </c>
      <c r="L190" s="3">
        <v>0.0</v>
      </c>
      <c r="M190" s="3">
        <v>0.0</v>
      </c>
      <c r="N190" s="3">
        <v>401.64312</v>
      </c>
      <c r="O190" s="3">
        <v>102.0</v>
      </c>
      <c r="P190" s="3" t="e">
        <v>#N/A</v>
      </c>
      <c r="Q190" s="3">
        <v>30.0</v>
      </c>
      <c r="R190" s="3">
        <v>37.0</v>
      </c>
      <c r="S190" s="3">
        <v>38.0</v>
      </c>
      <c r="T190" s="3">
        <v>37.0</v>
      </c>
      <c r="U190" s="3">
        <v>35.0</v>
      </c>
      <c r="V190" s="3">
        <v>33.0</v>
      </c>
      <c r="W190" s="3">
        <v>31.0</v>
      </c>
      <c r="X190" s="3">
        <v>44.0</v>
      </c>
      <c r="Y190" s="3">
        <v>30.0</v>
      </c>
      <c r="Z190" s="3">
        <v>34.0</v>
      </c>
      <c r="AA190" s="3">
        <v>27.0</v>
      </c>
      <c r="AB190" s="3">
        <v>44.0</v>
      </c>
      <c r="AC190" s="3">
        <v>20.0</v>
      </c>
      <c r="AD190" s="3">
        <v>30.0</v>
      </c>
      <c r="AE190" s="3">
        <v>42.0</v>
      </c>
      <c r="AF190" s="3">
        <v>31.0</v>
      </c>
      <c r="AG190" s="3">
        <v>41.0</v>
      </c>
      <c r="AH190" s="3">
        <v>40.0</v>
      </c>
      <c r="AI190" s="3">
        <v>65.0</v>
      </c>
      <c r="AJ190" s="3">
        <v>34.0</v>
      </c>
      <c r="AK190" s="3">
        <v>56.0</v>
      </c>
      <c r="AL190" s="3">
        <v>0.0</v>
      </c>
      <c r="AM190" s="3">
        <v>56.0</v>
      </c>
      <c r="AN190" s="3">
        <v>48.0</v>
      </c>
    </row>
    <row r="191" ht="14.25" customHeight="1">
      <c r="A191" s="3">
        <v>189.0</v>
      </c>
      <c r="B191" s="3" t="s">
        <v>6665</v>
      </c>
      <c r="C191" s="3">
        <v>42.0</v>
      </c>
      <c r="D191" s="3" t="s">
        <v>6645</v>
      </c>
      <c r="E191" s="3" t="s">
        <v>6646</v>
      </c>
      <c r="F191" s="3" t="s">
        <v>6646</v>
      </c>
      <c r="G191" s="3" t="s">
        <v>6645</v>
      </c>
      <c r="H191" s="3" t="s">
        <v>6645</v>
      </c>
      <c r="I191" s="3" t="s">
        <v>6646</v>
      </c>
      <c r="J191" s="3">
        <v>1.0</v>
      </c>
      <c r="K191" s="3">
        <v>4.0</v>
      </c>
      <c r="L191" s="3">
        <v>0.0</v>
      </c>
      <c r="M191" s="3">
        <v>0.0</v>
      </c>
      <c r="N191" s="3">
        <v>12181.076</v>
      </c>
      <c r="O191" s="3">
        <v>1297.0</v>
      </c>
      <c r="P191" s="3" t="e">
        <v>#N/A</v>
      </c>
      <c r="Q191" s="3">
        <v>59.0</v>
      </c>
      <c r="R191" s="3">
        <v>80.0</v>
      </c>
      <c r="S191" s="3">
        <v>78.0</v>
      </c>
      <c r="T191" s="3">
        <v>66.0</v>
      </c>
      <c r="U191" s="3">
        <v>61.0</v>
      </c>
      <c r="V191" s="3">
        <v>63.0</v>
      </c>
      <c r="W191" s="3">
        <v>61.0</v>
      </c>
      <c r="X191" s="3">
        <v>71.0</v>
      </c>
      <c r="Y191" s="3">
        <v>81.0</v>
      </c>
      <c r="Z191" s="3">
        <v>60.0</v>
      </c>
      <c r="AA191" s="3">
        <v>66.0</v>
      </c>
      <c r="AB191" s="3">
        <v>68.0</v>
      </c>
      <c r="AC191" s="3">
        <v>56.0</v>
      </c>
      <c r="AD191" s="3">
        <v>67.0</v>
      </c>
      <c r="AE191" s="3">
        <v>96.0</v>
      </c>
      <c r="AF191" s="3">
        <v>46.0</v>
      </c>
      <c r="AG191" s="3">
        <v>93.0</v>
      </c>
      <c r="AH191" s="3">
        <v>39.0</v>
      </c>
      <c r="AI191" s="3">
        <v>67.0</v>
      </c>
      <c r="AJ191" s="3">
        <v>42.0</v>
      </c>
      <c r="AK191" s="3">
        <v>69.0</v>
      </c>
      <c r="AL191" s="3">
        <v>46.0</v>
      </c>
      <c r="AM191" s="3">
        <v>49.0</v>
      </c>
      <c r="AN191" s="3">
        <v>69.0</v>
      </c>
    </row>
    <row r="192" ht="14.25" customHeight="1">
      <c r="A192" s="3">
        <v>190.0</v>
      </c>
      <c r="B192" s="3" t="s">
        <v>6666</v>
      </c>
      <c r="C192" s="3">
        <v>36.0</v>
      </c>
      <c r="D192" s="3" t="s">
        <v>6645</v>
      </c>
      <c r="E192" s="3" t="s">
        <v>6646</v>
      </c>
      <c r="F192" s="3" t="s">
        <v>6646</v>
      </c>
      <c r="G192" s="3" t="s">
        <v>6645</v>
      </c>
      <c r="H192" s="3" t="s">
        <v>6645</v>
      </c>
      <c r="I192" s="3" t="s">
        <v>6645</v>
      </c>
      <c r="J192" s="3">
        <v>1.0</v>
      </c>
      <c r="K192" s="3">
        <v>4.0</v>
      </c>
      <c r="L192" s="3">
        <v>0.0</v>
      </c>
      <c r="M192" s="3">
        <v>0.0</v>
      </c>
      <c r="N192" s="3">
        <v>11622.591</v>
      </c>
      <c r="O192" s="3">
        <v>1257.0</v>
      </c>
      <c r="P192" s="3" t="e">
        <v>#N/A</v>
      </c>
      <c r="Q192" s="3">
        <v>66.0</v>
      </c>
      <c r="R192" s="3">
        <v>76.0</v>
      </c>
      <c r="S192" s="3">
        <v>74.0</v>
      </c>
      <c r="T192" s="3">
        <v>62.0</v>
      </c>
      <c r="U192" s="3">
        <v>67.0</v>
      </c>
      <c r="V192" s="3">
        <v>58.0</v>
      </c>
      <c r="W192" s="3">
        <v>68.0</v>
      </c>
      <c r="X192" s="3">
        <v>65.0</v>
      </c>
      <c r="Y192" s="3">
        <v>78.0</v>
      </c>
      <c r="Z192" s="3">
        <v>56.0</v>
      </c>
      <c r="AA192" s="3">
        <v>57.0</v>
      </c>
      <c r="AB192" s="3">
        <v>66.0</v>
      </c>
      <c r="AC192" s="3">
        <v>57.0</v>
      </c>
      <c r="AD192" s="3">
        <v>64.0</v>
      </c>
      <c r="AE192" s="3">
        <v>88.0</v>
      </c>
      <c r="AF192" s="3">
        <v>59.0</v>
      </c>
      <c r="AG192" s="3">
        <v>86.0</v>
      </c>
      <c r="AH192" s="3">
        <v>42.0</v>
      </c>
      <c r="AI192" s="3">
        <v>60.0</v>
      </c>
      <c r="AJ192" s="3">
        <v>29.0</v>
      </c>
      <c r="AK192" s="3">
        <v>71.0</v>
      </c>
      <c r="AL192" s="3">
        <v>42.0</v>
      </c>
      <c r="AM192" s="3">
        <v>60.0</v>
      </c>
      <c r="AN192" s="3">
        <v>66.0</v>
      </c>
    </row>
    <row r="193" ht="14.25" customHeight="1">
      <c r="A193" s="3">
        <v>191.0</v>
      </c>
      <c r="B193" s="3" t="s">
        <v>6667</v>
      </c>
      <c r="C193" s="3">
        <v>36.0</v>
      </c>
      <c r="D193" s="3" t="s">
        <v>6645</v>
      </c>
      <c r="E193" s="3" t="s">
        <v>6646</v>
      </c>
      <c r="F193" s="3" t="s">
        <v>6646</v>
      </c>
      <c r="G193" s="3" t="s">
        <v>6645</v>
      </c>
      <c r="H193" s="3" t="s">
        <v>6645</v>
      </c>
      <c r="I193" s="3" t="s">
        <v>6645</v>
      </c>
      <c r="J193" s="3">
        <v>1.0</v>
      </c>
      <c r="K193" s="3">
        <v>4.0</v>
      </c>
      <c r="L193" s="3">
        <v>0.0</v>
      </c>
      <c r="M193" s="3">
        <v>0.0</v>
      </c>
      <c r="N193" s="3">
        <v>11955.1</v>
      </c>
      <c r="O193" s="3">
        <v>1748.0</v>
      </c>
      <c r="P193" s="3" t="e">
        <v>#N/A</v>
      </c>
      <c r="Q193" s="3">
        <v>60.0</v>
      </c>
      <c r="R193" s="3">
        <v>74.0</v>
      </c>
      <c r="S193" s="3">
        <v>75.0</v>
      </c>
      <c r="T193" s="3">
        <v>60.0</v>
      </c>
      <c r="U193" s="3">
        <v>65.0</v>
      </c>
      <c r="V193" s="3">
        <v>59.0</v>
      </c>
      <c r="W193" s="3">
        <v>72.0</v>
      </c>
      <c r="X193" s="3">
        <v>70.0</v>
      </c>
      <c r="Y193" s="3">
        <v>78.0</v>
      </c>
      <c r="Z193" s="3">
        <v>63.0</v>
      </c>
      <c r="AA193" s="3">
        <v>61.0</v>
      </c>
      <c r="AB193" s="3">
        <v>62.0</v>
      </c>
      <c r="AC193" s="3">
        <v>62.0</v>
      </c>
      <c r="AD193" s="3">
        <v>58.0</v>
      </c>
      <c r="AE193" s="3">
        <v>93.0</v>
      </c>
      <c r="AF193" s="3">
        <v>52.0</v>
      </c>
      <c r="AG193" s="3">
        <v>88.0</v>
      </c>
      <c r="AH193" s="3">
        <v>42.0</v>
      </c>
      <c r="AI193" s="3">
        <v>43.0</v>
      </c>
      <c r="AJ193" s="3">
        <v>63.0</v>
      </c>
      <c r="AK193" s="3">
        <v>61.0</v>
      </c>
      <c r="AL193" s="3">
        <v>40.0</v>
      </c>
      <c r="AM193" s="3">
        <v>50.0</v>
      </c>
      <c r="AN193" s="3">
        <v>60.0</v>
      </c>
    </row>
    <row r="194" ht="14.25" customHeight="1">
      <c r="A194" s="3">
        <v>192.0</v>
      </c>
      <c r="B194" s="3" t="s">
        <v>6668</v>
      </c>
      <c r="C194" s="3">
        <v>38.0</v>
      </c>
      <c r="D194" s="3" t="s">
        <v>6645</v>
      </c>
      <c r="E194" s="3" t="s">
        <v>6646</v>
      </c>
      <c r="F194" s="3" t="s">
        <v>6646</v>
      </c>
      <c r="G194" s="3" t="s">
        <v>6645</v>
      </c>
      <c r="H194" s="3" t="s">
        <v>6645</v>
      </c>
      <c r="I194" s="3" t="s">
        <v>6646</v>
      </c>
      <c r="J194" s="3">
        <v>1.0</v>
      </c>
      <c r="K194" s="3">
        <v>3.0</v>
      </c>
      <c r="L194" s="3">
        <v>0.0</v>
      </c>
      <c r="M194" s="3">
        <v>0.0</v>
      </c>
      <c r="N194" s="3">
        <v>8135.88</v>
      </c>
      <c r="O194" s="3">
        <v>903.0</v>
      </c>
      <c r="P194" s="3" t="e">
        <v>#N/A</v>
      </c>
      <c r="Q194" s="3">
        <v>56.0</v>
      </c>
      <c r="R194" s="3">
        <v>60.0</v>
      </c>
      <c r="S194" s="3">
        <v>62.0</v>
      </c>
      <c r="T194" s="3">
        <v>54.0</v>
      </c>
      <c r="U194" s="3">
        <v>52.0</v>
      </c>
      <c r="V194" s="3">
        <v>58.0</v>
      </c>
      <c r="W194" s="3">
        <v>51.0</v>
      </c>
      <c r="X194" s="3">
        <v>64.0</v>
      </c>
      <c r="Y194" s="3">
        <v>65.0</v>
      </c>
      <c r="Z194" s="3">
        <v>54.0</v>
      </c>
      <c r="AA194" s="3">
        <v>60.0</v>
      </c>
      <c r="AB194" s="3">
        <v>66.0</v>
      </c>
      <c r="AC194" s="3">
        <v>51.0</v>
      </c>
      <c r="AD194" s="3">
        <v>60.0</v>
      </c>
      <c r="AE194" s="3">
        <v>74.0</v>
      </c>
      <c r="AF194" s="3">
        <v>67.0</v>
      </c>
      <c r="AG194" s="3">
        <v>82.0</v>
      </c>
      <c r="AH194" s="3">
        <v>40.0</v>
      </c>
      <c r="AI194" s="3">
        <v>54.0</v>
      </c>
      <c r="AJ194" s="3">
        <v>52.0</v>
      </c>
      <c r="AK194" s="3">
        <v>66.0</v>
      </c>
      <c r="AL194" s="3">
        <v>54.0</v>
      </c>
      <c r="AM194" s="3">
        <v>34.0</v>
      </c>
      <c r="AN194" s="3">
        <v>47.0</v>
      </c>
    </row>
    <row r="195" ht="14.25" customHeight="1">
      <c r="A195" s="3">
        <v>193.0</v>
      </c>
      <c r="B195" s="3" t="s">
        <v>6669</v>
      </c>
      <c r="C195" s="3">
        <v>30.0</v>
      </c>
      <c r="D195" s="3" t="s">
        <v>6645</v>
      </c>
      <c r="E195" s="3" t="s">
        <v>6646</v>
      </c>
      <c r="F195" s="3" t="s">
        <v>6646</v>
      </c>
      <c r="G195" s="3" t="s">
        <v>6645</v>
      </c>
      <c r="H195" s="3" t="s">
        <v>6645</v>
      </c>
      <c r="I195" s="3" t="s">
        <v>6646</v>
      </c>
      <c r="J195" s="3">
        <v>1.0</v>
      </c>
      <c r="K195" s="3">
        <v>3.0</v>
      </c>
      <c r="L195" s="3">
        <v>0.0</v>
      </c>
      <c r="M195" s="3">
        <v>0.0</v>
      </c>
      <c r="N195" s="3">
        <v>7221.4213</v>
      </c>
      <c r="O195" s="3">
        <v>981.0</v>
      </c>
      <c r="P195" s="3" t="e">
        <v>#N/A</v>
      </c>
      <c r="Q195" s="3">
        <v>51.0</v>
      </c>
      <c r="R195" s="3">
        <v>57.0</v>
      </c>
      <c r="S195" s="3">
        <v>57.0</v>
      </c>
      <c r="T195" s="3">
        <v>52.0</v>
      </c>
      <c r="U195" s="3">
        <v>51.0</v>
      </c>
      <c r="V195" s="3">
        <v>54.0</v>
      </c>
      <c r="W195" s="3">
        <v>59.0</v>
      </c>
      <c r="X195" s="3">
        <v>52.0</v>
      </c>
      <c r="Y195" s="3">
        <v>68.0</v>
      </c>
      <c r="Z195" s="3">
        <v>53.0</v>
      </c>
      <c r="AA195" s="3">
        <v>45.0</v>
      </c>
      <c r="AB195" s="3">
        <v>64.0</v>
      </c>
      <c r="AC195" s="3">
        <v>56.0</v>
      </c>
      <c r="AD195" s="3">
        <v>60.0</v>
      </c>
      <c r="AE195" s="3">
        <v>77.0</v>
      </c>
      <c r="AF195" s="3">
        <v>27.0</v>
      </c>
      <c r="AG195" s="3">
        <v>84.0</v>
      </c>
      <c r="AH195" s="3">
        <v>55.0</v>
      </c>
      <c r="AI195" s="3">
        <v>65.0</v>
      </c>
      <c r="AJ195" s="3">
        <v>52.0</v>
      </c>
      <c r="AK195" s="3">
        <v>39.0</v>
      </c>
      <c r="AL195" s="3">
        <v>50.0</v>
      </c>
      <c r="AM195" s="3">
        <v>42.0</v>
      </c>
      <c r="AN195" s="3">
        <v>66.0</v>
      </c>
    </row>
    <row r="196" ht="14.25" customHeight="1">
      <c r="A196" s="3">
        <v>194.0</v>
      </c>
      <c r="B196" s="3" t="s">
        <v>6670</v>
      </c>
      <c r="C196" s="3">
        <v>30.0</v>
      </c>
      <c r="D196" s="3" t="s">
        <v>6645</v>
      </c>
      <c r="E196" s="3" t="s">
        <v>6646</v>
      </c>
      <c r="F196" s="3" t="s">
        <v>6646</v>
      </c>
      <c r="G196" s="3" t="s">
        <v>6645</v>
      </c>
      <c r="H196" s="3" t="s">
        <v>6645</v>
      </c>
      <c r="I196" s="3" t="s">
        <v>6645</v>
      </c>
      <c r="J196" s="3">
        <v>1.0</v>
      </c>
      <c r="K196" s="3">
        <v>3.0</v>
      </c>
      <c r="L196" s="3">
        <v>0.0</v>
      </c>
      <c r="M196" s="3">
        <v>0.0</v>
      </c>
      <c r="N196" s="3">
        <v>7100.8237</v>
      </c>
      <c r="O196" s="3">
        <v>978.0</v>
      </c>
      <c r="P196" s="3" t="e">
        <v>#N/A</v>
      </c>
      <c r="Q196" s="3">
        <v>57.0</v>
      </c>
      <c r="R196" s="3">
        <v>57.0</v>
      </c>
      <c r="S196" s="3">
        <v>59.0</v>
      </c>
      <c r="T196" s="3">
        <v>52.0</v>
      </c>
      <c r="U196" s="3">
        <v>58.0</v>
      </c>
      <c r="V196" s="3">
        <v>57.0</v>
      </c>
      <c r="W196" s="3">
        <v>52.0</v>
      </c>
      <c r="X196" s="3">
        <v>51.0</v>
      </c>
      <c r="Y196" s="3">
        <v>61.0</v>
      </c>
      <c r="Z196" s="3">
        <v>58.0</v>
      </c>
      <c r="AA196" s="3">
        <v>57.0</v>
      </c>
      <c r="AB196" s="3">
        <v>58.0</v>
      </c>
      <c r="AC196" s="3">
        <v>57.0</v>
      </c>
      <c r="AD196" s="3">
        <v>54.0</v>
      </c>
      <c r="AE196" s="3">
        <v>78.0</v>
      </c>
      <c r="AF196" s="3">
        <v>43.0</v>
      </c>
      <c r="AG196" s="3">
        <v>87.0</v>
      </c>
      <c r="AH196" s="3">
        <v>50.0</v>
      </c>
      <c r="AI196" s="3">
        <v>59.0</v>
      </c>
      <c r="AJ196" s="3">
        <v>52.0</v>
      </c>
      <c r="AK196" s="3">
        <v>51.0</v>
      </c>
      <c r="AL196" s="3">
        <v>26.0</v>
      </c>
      <c r="AM196" s="3">
        <v>58.0</v>
      </c>
      <c r="AN196" s="3">
        <v>49.0</v>
      </c>
    </row>
    <row r="197" ht="14.25" customHeight="1">
      <c r="A197" s="3">
        <v>195.0</v>
      </c>
      <c r="B197" s="3" t="s">
        <v>6671</v>
      </c>
      <c r="C197" s="3">
        <v>27.0</v>
      </c>
      <c r="D197" s="3" t="s">
        <v>6645</v>
      </c>
      <c r="E197" s="3" t="s">
        <v>6646</v>
      </c>
      <c r="F197" s="3" t="s">
        <v>6646</v>
      </c>
      <c r="G197" s="3" t="s">
        <v>6645</v>
      </c>
      <c r="H197" s="3" t="s">
        <v>6645</v>
      </c>
      <c r="I197" s="3" t="s">
        <v>6645</v>
      </c>
      <c r="J197" s="3">
        <v>1.0</v>
      </c>
      <c r="K197" s="3">
        <v>2.0</v>
      </c>
      <c r="L197" s="3">
        <v>0.0</v>
      </c>
      <c r="M197" s="3">
        <v>0.0</v>
      </c>
      <c r="N197" s="3">
        <v>3832.377</v>
      </c>
      <c r="O197" s="3">
        <v>414.0</v>
      </c>
      <c r="P197" s="3" t="e">
        <v>#N/A</v>
      </c>
      <c r="Q197" s="3">
        <v>50.0</v>
      </c>
      <c r="R197" s="3">
        <v>52.0</v>
      </c>
      <c r="S197" s="3">
        <v>45.0</v>
      </c>
      <c r="T197" s="3">
        <v>49.0</v>
      </c>
      <c r="U197" s="3">
        <v>46.0</v>
      </c>
      <c r="V197" s="3">
        <v>44.0</v>
      </c>
      <c r="W197" s="3">
        <v>50.0</v>
      </c>
      <c r="X197" s="3">
        <v>39.0</v>
      </c>
      <c r="Y197" s="3">
        <v>54.0</v>
      </c>
      <c r="Z197" s="3">
        <v>46.0</v>
      </c>
      <c r="AA197" s="3">
        <v>43.0</v>
      </c>
      <c r="AB197" s="3">
        <v>53.0</v>
      </c>
      <c r="AC197" s="3">
        <v>38.0</v>
      </c>
      <c r="AD197" s="3">
        <v>49.0</v>
      </c>
      <c r="AE197" s="3">
        <v>62.0</v>
      </c>
      <c r="AF197" s="3">
        <v>55.0</v>
      </c>
      <c r="AG197" s="3">
        <v>77.0</v>
      </c>
      <c r="AH197" s="3">
        <v>46.0</v>
      </c>
      <c r="AI197" s="3">
        <v>40.0</v>
      </c>
      <c r="AJ197" s="3">
        <v>37.0</v>
      </c>
      <c r="AK197" s="3">
        <v>63.0</v>
      </c>
      <c r="AL197" s="3">
        <v>59.0</v>
      </c>
      <c r="AM197" s="3">
        <v>52.0</v>
      </c>
      <c r="AN197" s="3">
        <v>38.0</v>
      </c>
    </row>
    <row r="198" ht="14.25" customHeight="1">
      <c r="A198" s="3">
        <v>196.0</v>
      </c>
      <c r="B198" s="3" t="s">
        <v>6672</v>
      </c>
      <c r="C198" s="3">
        <v>30.0</v>
      </c>
      <c r="D198" s="3" t="s">
        <v>6645</v>
      </c>
      <c r="E198" s="3" t="s">
        <v>6646</v>
      </c>
      <c r="F198" s="3" t="s">
        <v>6646</v>
      </c>
      <c r="G198" s="3" t="s">
        <v>6645</v>
      </c>
      <c r="H198" s="3" t="s">
        <v>6645</v>
      </c>
      <c r="I198" s="3" t="s">
        <v>6646</v>
      </c>
      <c r="J198" s="3">
        <v>1.0</v>
      </c>
      <c r="K198" s="3">
        <v>2.0</v>
      </c>
      <c r="L198" s="3">
        <v>0.0</v>
      </c>
      <c r="M198" s="3">
        <v>0.0</v>
      </c>
      <c r="N198" s="3">
        <v>3914.61</v>
      </c>
      <c r="O198" s="3">
        <v>408.0</v>
      </c>
      <c r="P198" s="3" t="e">
        <v>#N/A</v>
      </c>
      <c r="Q198" s="3">
        <v>45.0</v>
      </c>
      <c r="R198" s="3">
        <v>50.0</v>
      </c>
      <c r="S198" s="3">
        <v>46.0</v>
      </c>
      <c r="T198" s="3">
        <v>44.0</v>
      </c>
      <c r="U198" s="3">
        <v>53.0</v>
      </c>
      <c r="V198" s="3">
        <v>53.0</v>
      </c>
      <c r="W198" s="3">
        <v>52.0</v>
      </c>
      <c r="X198" s="3">
        <v>39.0</v>
      </c>
      <c r="Y198" s="3">
        <v>60.0</v>
      </c>
      <c r="Z198" s="3">
        <v>46.0</v>
      </c>
      <c r="AA198" s="3">
        <v>41.0</v>
      </c>
      <c r="AB198" s="3">
        <v>57.0</v>
      </c>
      <c r="AC198" s="3">
        <v>49.0</v>
      </c>
      <c r="AD198" s="3">
        <v>42.0</v>
      </c>
      <c r="AE198" s="3">
        <v>54.0</v>
      </c>
      <c r="AF198" s="3">
        <v>56.0</v>
      </c>
      <c r="AG198" s="3">
        <v>75.0</v>
      </c>
      <c r="AH198" s="3">
        <v>39.0</v>
      </c>
      <c r="AI198" s="3">
        <v>46.0</v>
      </c>
      <c r="AJ198" s="3">
        <v>24.0</v>
      </c>
      <c r="AK198" s="3">
        <v>42.0</v>
      </c>
      <c r="AL198" s="3">
        <v>47.0</v>
      </c>
      <c r="AM198" s="3">
        <v>44.0</v>
      </c>
      <c r="AN198" s="3">
        <v>42.0</v>
      </c>
    </row>
    <row r="199" ht="14.25" customHeight="1">
      <c r="A199" s="3">
        <v>197.0</v>
      </c>
      <c r="B199" s="3" t="s">
        <v>6673</v>
      </c>
      <c r="C199" s="3">
        <v>34.0</v>
      </c>
      <c r="D199" s="3" t="s">
        <v>6645</v>
      </c>
      <c r="E199" s="3" t="s">
        <v>6646</v>
      </c>
      <c r="F199" s="3" t="s">
        <v>6646</v>
      </c>
      <c r="G199" s="3" t="s">
        <v>6645</v>
      </c>
      <c r="H199" s="3" t="s">
        <v>6645</v>
      </c>
      <c r="I199" s="3" t="s">
        <v>6646</v>
      </c>
      <c r="J199" s="3">
        <v>1.0</v>
      </c>
      <c r="K199" s="3">
        <v>2.0</v>
      </c>
      <c r="L199" s="3">
        <v>0.0</v>
      </c>
      <c r="M199" s="3">
        <v>0.0</v>
      </c>
      <c r="N199" s="3">
        <v>3985.71</v>
      </c>
      <c r="O199" s="3">
        <v>322.0</v>
      </c>
      <c r="P199" s="3" t="e">
        <v>#N/A</v>
      </c>
      <c r="Q199" s="3">
        <v>48.0</v>
      </c>
      <c r="R199" s="3">
        <v>48.0</v>
      </c>
      <c r="S199" s="3">
        <v>47.0</v>
      </c>
      <c r="T199" s="3">
        <v>51.0</v>
      </c>
      <c r="U199" s="3">
        <v>48.0</v>
      </c>
      <c r="V199" s="3">
        <v>44.0</v>
      </c>
      <c r="W199" s="3">
        <v>44.0</v>
      </c>
      <c r="X199" s="3">
        <v>40.0</v>
      </c>
      <c r="Y199" s="3">
        <v>59.0</v>
      </c>
      <c r="Z199" s="3">
        <v>49.0</v>
      </c>
      <c r="AA199" s="3">
        <v>44.0</v>
      </c>
      <c r="AB199" s="3">
        <v>59.0</v>
      </c>
      <c r="AC199" s="3">
        <v>37.0</v>
      </c>
      <c r="AD199" s="3">
        <v>53.0</v>
      </c>
      <c r="AE199" s="3">
        <v>54.0</v>
      </c>
      <c r="AF199" s="3">
        <v>55.0</v>
      </c>
      <c r="AG199" s="3">
        <v>74.0</v>
      </c>
      <c r="AH199" s="3">
        <v>60.0</v>
      </c>
      <c r="AI199" s="3">
        <v>48.0</v>
      </c>
      <c r="AJ199" s="3">
        <v>56.0</v>
      </c>
      <c r="AK199" s="3">
        <v>41.0</v>
      </c>
      <c r="AL199" s="3">
        <v>16.0</v>
      </c>
      <c r="AM199" s="3">
        <v>39.0</v>
      </c>
      <c r="AN199" s="3">
        <v>39.0</v>
      </c>
    </row>
    <row r="200" ht="14.25" customHeight="1">
      <c r="A200" s="3">
        <v>198.0</v>
      </c>
      <c r="B200" s="3" t="s">
        <v>6674</v>
      </c>
      <c r="C200" s="3">
        <v>32.0</v>
      </c>
      <c r="D200" s="3" t="s">
        <v>6645</v>
      </c>
      <c r="E200" s="3" t="s">
        <v>6646</v>
      </c>
      <c r="F200" s="3" t="s">
        <v>6646</v>
      </c>
      <c r="G200" s="3" t="s">
        <v>6645</v>
      </c>
      <c r="H200" s="3" t="s">
        <v>6645</v>
      </c>
      <c r="I200" s="3" t="s">
        <v>6646</v>
      </c>
      <c r="J200" s="3">
        <v>1.0</v>
      </c>
      <c r="K200" s="3">
        <v>2.0</v>
      </c>
      <c r="L200" s="3">
        <v>0.0</v>
      </c>
      <c r="M200" s="3">
        <v>0.0</v>
      </c>
      <c r="N200" s="3">
        <v>3597.2651</v>
      </c>
      <c r="O200" s="3">
        <v>373.0</v>
      </c>
      <c r="P200" s="3" t="e">
        <v>#N/A</v>
      </c>
      <c r="Q200" s="3">
        <v>47.0</v>
      </c>
      <c r="R200" s="3">
        <v>50.0</v>
      </c>
      <c r="S200" s="3">
        <v>46.0</v>
      </c>
      <c r="T200" s="3">
        <v>50.0</v>
      </c>
      <c r="U200" s="3">
        <v>45.0</v>
      </c>
      <c r="V200" s="3">
        <v>47.0</v>
      </c>
      <c r="W200" s="3">
        <v>44.0</v>
      </c>
      <c r="X200" s="3">
        <v>45.0</v>
      </c>
      <c r="Y200" s="3">
        <v>49.0</v>
      </c>
      <c r="Z200" s="3">
        <v>41.0</v>
      </c>
      <c r="AA200" s="3">
        <v>51.0</v>
      </c>
      <c r="AB200" s="3">
        <v>50.0</v>
      </c>
      <c r="AC200" s="3">
        <v>47.0</v>
      </c>
      <c r="AD200" s="3">
        <v>44.0</v>
      </c>
      <c r="AE200" s="3">
        <v>58.0</v>
      </c>
      <c r="AF200" s="3">
        <v>54.0</v>
      </c>
      <c r="AG200" s="3">
        <v>82.0</v>
      </c>
      <c r="AH200" s="3">
        <v>41.0</v>
      </c>
      <c r="AI200" s="3">
        <v>46.0</v>
      </c>
      <c r="AJ200" s="3">
        <v>45.0</v>
      </c>
      <c r="AK200" s="3">
        <v>65.0</v>
      </c>
      <c r="AL200" s="3">
        <v>65.0</v>
      </c>
      <c r="AM200" s="3">
        <v>57.0</v>
      </c>
      <c r="AN200" s="3">
        <v>27.0</v>
      </c>
    </row>
    <row r="201" ht="14.25" customHeight="1">
      <c r="A201" s="3">
        <v>199.0</v>
      </c>
      <c r="B201" s="3" t="s">
        <v>6675</v>
      </c>
      <c r="C201" s="3">
        <v>25.0</v>
      </c>
      <c r="D201" s="3" t="s">
        <v>6645</v>
      </c>
      <c r="E201" s="3" t="s">
        <v>6646</v>
      </c>
      <c r="F201" s="3" t="s">
        <v>6646</v>
      </c>
      <c r="G201" s="3" t="s">
        <v>6645</v>
      </c>
      <c r="H201" s="3" t="s">
        <v>6645</v>
      </c>
      <c r="I201" s="3" t="s">
        <v>6645</v>
      </c>
      <c r="J201" s="3">
        <v>1.0</v>
      </c>
      <c r="K201" s="3">
        <v>1.0</v>
      </c>
      <c r="L201" s="3">
        <v>0.0</v>
      </c>
      <c r="M201" s="3">
        <v>0.0</v>
      </c>
      <c r="N201" s="3">
        <v>1668.7556</v>
      </c>
      <c r="O201" s="3">
        <v>201.0</v>
      </c>
      <c r="P201" s="3" t="e">
        <v>#N/A</v>
      </c>
      <c r="Q201" s="3">
        <v>45.0</v>
      </c>
      <c r="R201" s="3">
        <v>41.0</v>
      </c>
      <c r="S201" s="3">
        <v>38.0</v>
      </c>
      <c r="T201" s="3">
        <v>41.0</v>
      </c>
      <c r="U201" s="3">
        <v>43.0</v>
      </c>
      <c r="V201" s="3">
        <v>43.0</v>
      </c>
      <c r="W201" s="3">
        <v>39.0</v>
      </c>
      <c r="X201" s="3">
        <v>35.0</v>
      </c>
      <c r="Y201" s="3">
        <v>44.0</v>
      </c>
      <c r="Z201" s="3">
        <v>44.0</v>
      </c>
      <c r="AA201" s="3">
        <v>42.0</v>
      </c>
      <c r="AB201" s="3">
        <v>52.0</v>
      </c>
      <c r="AC201" s="3">
        <v>35.0</v>
      </c>
      <c r="AD201" s="3">
        <v>37.0</v>
      </c>
      <c r="AE201" s="3">
        <v>53.0</v>
      </c>
      <c r="AF201" s="3">
        <v>40.0</v>
      </c>
      <c r="AG201" s="3">
        <v>81.0</v>
      </c>
      <c r="AH201" s="3">
        <v>33.0</v>
      </c>
      <c r="AI201" s="3">
        <v>50.0</v>
      </c>
      <c r="AJ201" s="3">
        <v>44.0</v>
      </c>
      <c r="AK201" s="3">
        <v>39.0</v>
      </c>
      <c r="AL201" s="3">
        <v>26.0</v>
      </c>
      <c r="AM201" s="3">
        <v>62.0</v>
      </c>
      <c r="AN201" s="3">
        <v>34.0</v>
      </c>
    </row>
    <row r="202" ht="14.25" customHeight="1">
      <c r="A202" s="3">
        <v>200.0</v>
      </c>
      <c r="B202" s="3" t="s">
        <v>6676</v>
      </c>
      <c r="C202" s="3">
        <v>21.0</v>
      </c>
      <c r="D202" s="3" t="s">
        <v>6645</v>
      </c>
      <c r="E202" s="3" t="s">
        <v>6646</v>
      </c>
      <c r="F202" s="3" t="s">
        <v>6646</v>
      </c>
      <c r="G202" s="3" t="s">
        <v>6645</v>
      </c>
      <c r="H202" s="3" t="s">
        <v>6645</v>
      </c>
      <c r="I202" s="3" t="s">
        <v>6646</v>
      </c>
      <c r="J202" s="3">
        <v>1.0</v>
      </c>
      <c r="K202" s="3">
        <v>1.0</v>
      </c>
      <c r="L202" s="3">
        <v>0.0</v>
      </c>
      <c r="M202" s="3">
        <v>0.0</v>
      </c>
      <c r="N202" s="3">
        <v>1402.3033</v>
      </c>
      <c r="O202" s="3">
        <v>231.0</v>
      </c>
      <c r="P202" s="3" t="e">
        <v>#N/A</v>
      </c>
      <c r="Q202" s="3">
        <v>46.0</v>
      </c>
      <c r="R202" s="3">
        <v>41.0</v>
      </c>
      <c r="S202" s="3">
        <v>46.0</v>
      </c>
      <c r="T202" s="3">
        <v>40.0</v>
      </c>
      <c r="U202" s="3">
        <v>39.0</v>
      </c>
      <c r="V202" s="3">
        <v>40.0</v>
      </c>
      <c r="W202" s="3">
        <v>41.0</v>
      </c>
      <c r="X202" s="3">
        <v>41.0</v>
      </c>
      <c r="Y202" s="3">
        <v>43.0</v>
      </c>
      <c r="Z202" s="3">
        <v>39.0</v>
      </c>
      <c r="AA202" s="3">
        <v>37.0</v>
      </c>
      <c r="AB202" s="3">
        <v>42.0</v>
      </c>
      <c r="AC202" s="3">
        <v>33.0</v>
      </c>
      <c r="AD202" s="3">
        <v>40.0</v>
      </c>
      <c r="AE202" s="3">
        <v>47.0</v>
      </c>
      <c r="AF202" s="3">
        <v>47.0</v>
      </c>
      <c r="AG202" s="3">
        <v>74.0</v>
      </c>
      <c r="AH202" s="3">
        <v>35.0</v>
      </c>
      <c r="AI202" s="3">
        <v>46.0</v>
      </c>
      <c r="AJ202" s="3">
        <v>44.0</v>
      </c>
      <c r="AK202" s="3">
        <v>55.0</v>
      </c>
      <c r="AL202" s="3">
        <v>16.0</v>
      </c>
      <c r="AM202" s="3">
        <v>59.0</v>
      </c>
      <c r="AN202" s="3">
        <v>43.0</v>
      </c>
    </row>
    <row r="203" ht="14.25" customHeight="1">
      <c r="A203" s="3">
        <v>201.0</v>
      </c>
      <c r="B203" s="3" t="s">
        <v>6677</v>
      </c>
      <c r="C203" s="3">
        <v>21.0</v>
      </c>
      <c r="D203" s="3" t="s">
        <v>6645</v>
      </c>
      <c r="E203" s="3" t="s">
        <v>6646</v>
      </c>
      <c r="F203" s="3" t="s">
        <v>6646</v>
      </c>
      <c r="G203" s="3" t="s">
        <v>6645</v>
      </c>
      <c r="H203" s="3" t="s">
        <v>6645</v>
      </c>
      <c r="I203" s="3" t="s">
        <v>6646</v>
      </c>
      <c r="J203" s="3">
        <v>1.0</v>
      </c>
      <c r="K203" s="3">
        <v>1.0</v>
      </c>
      <c r="L203" s="3">
        <v>0.0</v>
      </c>
      <c r="M203" s="3">
        <v>0.0</v>
      </c>
      <c r="N203" s="3">
        <v>1591.2692</v>
      </c>
      <c r="O203" s="3">
        <v>210.0</v>
      </c>
      <c r="P203" s="3" t="e">
        <v>#N/A</v>
      </c>
      <c r="Q203" s="3">
        <v>40.0</v>
      </c>
      <c r="R203" s="3">
        <v>44.0</v>
      </c>
      <c r="S203" s="3">
        <v>45.0</v>
      </c>
      <c r="T203" s="3">
        <v>40.0</v>
      </c>
      <c r="U203" s="3">
        <v>37.0</v>
      </c>
      <c r="V203" s="3">
        <v>37.0</v>
      </c>
      <c r="W203" s="3">
        <v>40.0</v>
      </c>
      <c r="X203" s="3">
        <v>36.0</v>
      </c>
      <c r="Y203" s="3">
        <v>49.0</v>
      </c>
      <c r="Z203" s="3">
        <v>38.0</v>
      </c>
      <c r="AA203" s="3">
        <v>40.0</v>
      </c>
      <c r="AB203" s="3">
        <v>49.0</v>
      </c>
      <c r="AC203" s="3">
        <v>34.0</v>
      </c>
      <c r="AD203" s="3">
        <v>38.0</v>
      </c>
      <c r="AE203" s="3">
        <v>44.0</v>
      </c>
      <c r="AF203" s="3">
        <v>53.0</v>
      </c>
      <c r="AG203" s="3">
        <v>66.0</v>
      </c>
      <c r="AH203" s="3">
        <v>54.0</v>
      </c>
      <c r="AI203" s="3">
        <v>57.0</v>
      </c>
      <c r="AJ203" s="3">
        <v>48.0</v>
      </c>
      <c r="AK203" s="3">
        <v>32.0</v>
      </c>
      <c r="AL203" s="3">
        <v>40.0</v>
      </c>
      <c r="AM203" s="3">
        <v>37.0</v>
      </c>
      <c r="AN203" s="3">
        <v>37.0</v>
      </c>
    </row>
    <row r="204" ht="14.25" customHeight="1">
      <c r="A204" s="3">
        <v>202.0</v>
      </c>
      <c r="B204" s="3" t="s">
        <v>6678</v>
      </c>
      <c r="C204" s="3">
        <v>25.0</v>
      </c>
      <c r="D204" s="3" t="s">
        <v>6645</v>
      </c>
      <c r="E204" s="3" t="s">
        <v>6646</v>
      </c>
      <c r="F204" s="3" t="s">
        <v>6646</v>
      </c>
      <c r="G204" s="3" t="s">
        <v>6645</v>
      </c>
      <c r="H204" s="3" t="s">
        <v>6645</v>
      </c>
      <c r="I204" s="3" t="s">
        <v>6646</v>
      </c>
      <c r="J204" s="3">
        <v>1.0</v>
      </c>
      <c r="K204" s="3">
        <v>1.0</v>
      </c>
      <c r="L204" s="3">
        <v>0.0</v>
      </c>
      <c r="M204" s="3">
        <v>0.0</v>
      </c>
      <c r="N204" s="3">
        <v>1579.2476</v>
      </c>
      <c r="O204" s="3">
        <v>172.0</v>
      </c>
      <c r="P204" s="3" t="e">
        <v>#N/A</v>
      </c>
      <c r="Q204" s="3">
        <v>42.0</v>
      </c>
      <c r="R204" s="3">
        <v>42.0</v>
      </c>
      <c r="S204" s="3">
        <v>45.0</v>
      </c>
      <c r="T204" s="3">
        <v>45.0</v>
      </c>
      <c r="U204" s="3">
        <v>38.0</v>
      </c>
      <c r="V204" s="3">
        <v>37.0</v>
      </c>
      <c r="W204" s="3">
        <v>33.0</v>
      </c>
      <c r="X204" s="3">
        <v>42.0</v>
      </c>
      <c r="Y204" s="3">
        <v>52.0</v>
      </c>
      <c r="Z204" s="3">
        <v>44.0</v>
      </c>
      <c r="AA204" s="3">
        <v>36.0</v>
      </c>
      <c r="AB204" s="3">
        <v>46.0</v>
      </c>
      <c r="AC204" s="3">
        <v>36.0</v>
      </c>
      <c r="AD204" s="3">
        <v>45.0</v>
      </c>
      <c r="AE204" s="3">
        <v>45.0</v>
      </c>
      <c r="AF204" s="3">
        <v>14.0</v>
      </c>
      <c r="AG204" s="3">
        <v>71.0</v>
      </c>
      <c r="AH204" s="3">
        <v>49.0</v>
      </c>
      <c r="AI204" s="3">
        <v>44.0</v>
      </c>
      <c r="AJ204" s="3">
        <v>47.0</v>
      </c>
      <c r="AK204" s="3">
        <v>54.0</v>
      </c>
      <c r="AL204" s="3">
        <v>34.0</v>
      </c>
      <c r="AM204" s="3">
        <v>34.0</v>
      </c>
      <c r="AN204" s="3">
        <v>45.0</v>
      </c>
    </row>
    <row r="205" ht="14.25" customHeight="1">
      <c r="A205" s="3">
        <v>203.0</v>
      </c>
      <c r="B205" s="3" t="s">
        <v>6679</v>
      </c>
      <c r="C205" s="3">
        <v>21.0</v>
      </c>
      <c r="D205" s="3" t="s">
        <v>6645</v>
      </c>
      <c r="E205" s="3" t="s">
        <v>6646</v>
      </c>
      <c r="F205" s="3" t="s">
        <v>6646</v>
      </c>
      <c r="G205" s="3" t="s">
        <v>6645</v>
      </c>
      <c r="H205" s="3" t="s">
        <v>6645</v>
      </c>
      <c r="I205" s="3" t="s">
        <v>6645</v>
      </c>
      <c r="J205" s="3">
        <v>1.0</v>
      </c>
      <c r="K205" s="3">
        <v>1.0</v>
      </c>
      <c r="L205" s="3">
        <v>0.0</v>
      </c>
      <c r="M205" s="3">
        <v>0.0</v>
      </c>
      <c r="N205" s="3">
        <v>1572.6893</v>
      </c>
      <c r="O205" s="3">
        <v>207.0</v>
      </c>
      <c r="P205" s="3" t="e">
        <v>#N/A</v>
      </c>
      <c r="Q205" s="3">
        <v>39.0</v>
      </c>
      <c r="R205" s="3">
        <v>44.0</v>
      </c>
      <c r="S205" s="3">
        <v>40.0</v>
      </c>
      <c r="T205" s="3">
        <v>43.0</v>
      </c>
      <c r="U205" s="3">
        <v>37.0</v>
      </c>
      <c r="V205" s="3">
        <v>45.0</v>
      </c>
      <c r="W205" s="3">
        <v>34.0</v>
      </c>
      <c r="X205" s="3">
        <v>44.0</v>
      </c>
      <c r="Y205" s="3">
        <v>45.0</v>
      </c>
      <c r="Z205" s="3">
        <v>42.0</v>
      </c>
      <c r="AA205" s="3">
        <v>39.0</v>
      </c>
      <c r="AB205" s="3">
        <v>50.0</v>
      </c>
      <c r="AC205" s="3">
        <v>39.0</v>
      </c>
      <c r="AD205" s="3">
        <v>34.0</v>
      </c>
      <c r="AE205" s="3">
        <v>55.0</v>
      </c>
      <c r="AF205" s="3">
        <v>61.0</v>
      </c>
      <c r="AG205" s="3">
        <v>70.0</v>
      </c>
      <c r="AH205" s="3">
        <v>35.0</v>
      </c>
      <c r="AI205" s="3">
        <v>45.0</v>
      </c>
      <c r="AJ205" s="3">
        <v>50.0</v>
      </c>
      <c r="AK205" s="3">
        <v>33.0</v>
      </c>
      <c r="AL205" s="3">
        <v>10.0</v>
      </c>
      <c r="AM205" s="3">
        <v>43.0</v>
      </c>
      <c r="AN205" s="3">
        <v>33.0</v>
      </c>
    </row>
    <row r="206" ht="14.25" customHeight="1">
      <c r="A206" s="3">
        <v>204.0</v>
      </c>
      <c r="B206" s="3" t="s">
        <v>6680</v>
      </c>
      <c r="C206" s="3">
        <v>23.0</v>
      </c>
      <c r="D206" s="3" t="s">
        <v>6645</v>
      </c>
      <c r="E206" s="3" t="s">
        <v>6646</v>
      </c>
      <c r="F206" s="3" t="s">
        <v>6646</v>
      </c>
      <c r="G206" s="3" t="s">
        <v>6645</v>
      </c>
      <c r="H206" s="3" t="s">
        <v>6645</v>
      </c>
      <c r="I206" s="3" t="s">
        <v>6645</v>
      </c>
      <c r="J206" s="3">
        <v>1.0</v>
      </c>
      <c r="K206" s="3">
        <v>0.0</v>
      </c>
      <c r="L206" s="3">
        <v>0.0</v>
      </c>
      <c r="M206" s="3">
        <v>0.0</v>
      </c>
      <c r="N206" s="3">
        <v>496.919</v>
      </c>
      <c r="O206" s="3">
        <v>99.0</v>
      </c>
      <c r="P206" s="3" t="e">
        <v>#N/A</v>
      </c>
      <c r="Q206" s="3">
        <v>34.0</v>
      </c>
      <c r="R206" s="3">
        <v>31.0</v>
      </c>
      <c r="S206" s="3">
        <v>30.0</v>
      </c>
      <c r="T206" s="3">
        <v>38.0</v>
      </c>
      <c r="U206" s="3">
        <v>31.0</v>
      </c>
      <c r="V206" s="3">
        <v>31.0</v>
      </c>
      <c r="W206" s="3">
        <v>32.0</v>
      </c>
      <c r="X206" s="3">
        <v>36.0</v>
      </c>
      <c r="Y206" s="3">
        <v>41.0</v>
      </c>
      <c r="Z206" s="3">
        <v>27.0</v>
      </c>
      <c r="AA206" s="3">
        <v>32.0</v>
      </c>
      <c r="AB206" s="3">
        <v>44.0</v>
      </c>
      <c r="AC206" s="3">
        <v>31.0</v>
      </c>
      <c r="AD206" s="3">
        <v>27.0</v>
      </c>
      <c r="AE206" s="3">
        <v>44.0</v>
      </c>
      <c r="AF206" s="3">
        <v>46.0</v>
      </c>
      <c r="AG206" s="3">
        <v>63.0</v>
      </c>
      <c r="AH206" s="3">
        <v>45.0</v>
      </c>
      <c r="AI206" s="3">
        <v>37.0</v>
      </c>
      <c r="AJ206" s="3">
        <v>56.0</v>
      </c>
      <c r="AK206" s="3">
        <v>56.0</v>
      </c>
      <c r="AL206" s="3">
        <v>12.0</v>
      </c>
      <c r="AM206" s="3">
        <v>46.0</v>
      </c>
      <c r="AN206" s="3">
        <v>53.0</v>
      </c>
    </row>
    <row r="207" ht="14.25" customHeight="1">
      <c r="A207" s="3">
        <v>205.0</v>
      </c>
      <c r="B207" s="3" t="s">
        <v>6681</v>
      </c>
      <c r="C207" s="3">
        <v>18.0</v>
      </c>
      <c r="D207" s="3" t="s">
        <v>6645</v>
      </c>
      <c r="E207" s="3" t="s">
        <v>6646</v>
      </c>
      <c r="F207" s="3" t="s">
        <v>6646</v>
      </c>
      <c r="G207" s="3" t="s">
        <v>6645</v>
      </c>
      <c r="H207" s="3" t="s">
        <v>6645</v>
      </c>
      <c r="I207" s="3" t="s">
        <v>6646</v>
      </c>
      <c r="J207" s="3">
        <v>1.0</v>
      </c>
      <c r="K207" s="3">
        <v>0.0</v>
      </c>
      <c r="L207" s="3">
        <v>0.0</v>
      </c>
      <c r="M207" s="3">
        <v>0.0</v>
      </c>
      <c r="N207" s="3">
        <v>520.3113</v>
      </c>
      <c r="O207" s="3">
        <v>83.0</v>
      </c>
      <c r="P207" s="3" t="e">
        <v>#N/A</v>
      </c>
      <c r="Q207" s="3">
        <v>34.0</v>
      </c>
      <c r="R207" s="3">
        <v>34.0</v>
      </c>
      <c r="S207" s="3">
        <v>39.0</v>
      </c>
      <c r="T207" s="3">
        <v>39.0</v>
      </c>
      <c r="U207" s="3">
        <v>36.0</v>
      </c>
      <c r="V207" s="3">
        <v>35.0</v>
      </c>
      <c r="W207" s="3">
        <v>36.0</v>
      </c>
      <c r="X207" s="3">
        <v>22.0</v>
      </c>
      <c r="Y207" s="3">
        <v>44.0</v>
      </c>
      <c r="Z207" s="3">
        <v>32.0</v>
      </c>
      <c r="AA207" s="3">
        <v>30.0</v>
      </c>
      <c r="AB207" s="3">
        <v>45.0</v>
      </c>
      <c r="AC207" s="3">
        <v>37.0</v>
      </c>
      <c r="AD207" s="3">
        <v>36.0</v>
      </c>
      <c r="AE207" s="3">
        <v>43.0</v>
      </c>
      <c r="AF207" s="3">
        <v>42.0</v>
      </c>
      <c r="AG207" s="3">
        <v>64.0</v>
      </c>
      <c r="AH207" s="3">
        <v>39.0</v>
      </c>
      <c r="AI207" s="3">
        <v>38.0</v>
      </c>
      <c r="AJ207" s="3">
        <v>36.0</v>
      </c>
      <c r="AK207" s="3">
        <v>24.0</v>
      </c>
      <c r="AL207" s="3">
        <v>56.0</v>
      </c>
      <c r="AM207" s="3">
        <v>55.0</v>
      </c>
      <c r="AN207" s="3">
        <v>51.0</v>
      </c>
    </row>
    <row r="208" ht="14.25" customHeight="1">
      <c r="A208" s="3">
        <v>206.0</v>
      </c>
      <c r="B208" s="3" t="s">
        <v>6682</v>
      </c>
      <c r="C208" s="3">
        <v>18.0</v>
      </c>
      <c r="D208" s="3" t="s">
        <v>6645</v>
      </c>
      <c r="E208" s="3" t="s">
        <v>6646</v>
      </c>
      <c r="F208" s="3" t="s">
        <v>6646</v>
      </c>
      <c r="G208" s="3" t="s">
        <v>6645</v>
      </c>
      <c r="H208" s="3" t="s">
        <v>6645</v>
      </c>
      <c r="I208" s="3" t="s">
        <v>6645</v>
      </c>
      <c r="J208" s="3">
        <v>1.0</v>
      </c>
      <c r="K208" s="3">
        <v>0.0</v>
      </c>
      <c r="L208" s="3">
        <v>0.0</v>
      </c>
      <c r="M208" s="3">
        <v>0.0</v>
      </c>
      <c r="N208" s="3">
        <v>506.6721</v>
      </c>
      <c r="O208" s="3">
        <v>92.0</v>
      </c>
      <c r="P208" s="3" t="e">
        <v>#N/A</v>
      </c>
      <c r="Q208" s="3">
        <v>39.0</v>
      </c>
      <c r="R208" s="3">
        <v>39.0</v>
      </c>
      <c r="S208" s="3">
        <v>31.0</v>
      </c>
      <c r="T208" s="3">
        <v>37.0</v>
      </c>
      <c r="U208" s="3">
        <v>32.0</v>
      </c>
      <c r="V208" s="3">
        <v>35.0</v>
      </c>
      <c r="W208" s="3">
        <v>31.0</v>
      </c>
      <c r="X208" s="3">
        <v>31.0</v>
      </c>
      <c r="Y208" s="3">
        <v>36.0</v>
      </c>
      <c r="Z208" s="3">
        <v>32.0</v>
      </c>
      <c r="AA208" s="3">
        <v>23.0</v>
      </c>
      <c r="AB208" s="3">
        <v>39.0</v>
      </c>
      <c r="AC208" s="3">
        <v>37.0</v>
      </c>
      <c r="AD208" s="3">
        <v>36.0</v>
      </c>
      <c r="AE208" s="3">
        <v>47.0</v>
      </c>
      <c r="AF208" s="3">
        <v>53.0</v>
      </c>
      <c r="AG208" s="3">
        <v>70.0</v>
      </c>
      <c r="AH208" s="3">
        <v>50.0</v>
      </c>
      <c r="AI208" s="3">
        <v>53.0</v>
      </c>
      <c r="AJ208" s="3">
        <v>30.0</v>
      </c>
      <c r="AK208" s="3">
        <v>31.0</v>
      </c>
      <c r="AL208" s="3">
        <v>53.0</v>
      </c>
      <c r="AM208" s="3">
        <v>18.0</v>
      </c>
      <c r="AN208" s="3">
        <v>50.0</v>
      </c>
    </row>
    <row r="209" ht="14.25" customHeight="1">
      <c r="A209" s="3">
        <v>207.0</v>
      </c>
      <c r="B209" s="3" t="s">
        <v>6683</v>
      </c>
      <c r="C209" s="3">
        <v>23.0</v>
      </c>
      <c r="D209" s="3" t="s">
        <v>6645</v>
      </c>
      <c r="E209" s="3" t="s">
        <v>6646</v>
      </c>
      <c r="F209" s="3" t="s">
        <v>6646</v>
      </c>
      <c r="G209" s="3" t="s">
        <v>6645</v>
      </c>
      <c r="H209" s="3" t="s">
        <v>6645</v>
      </c>
      <c r="I209" s="3" t="s">
        <v>6646</v>
      </c>
      <c r="J209" s="3">
        <v>1.0</v>
      </c>
      <c r="K209" s="3">
        <v>0.0</v>
      </c>
      <c r="L209" s="3">
        <v>0.0</v>
      </c>
      <c r="M209" s="3">
        <v>0.0</v>
      </c>
      <c r="N209" s="3">
        <v>499.433</v>
      </c>
      <c r="O209" s="3">
        <v>106.0</v>
      </c>
      <c r="P209" s="3" t="e">
        <v>#N/A</v>
      </c>
      <c r="Q209" s="3">
        <v>30.0</v>
      </c>
      <c r="R209" s="3">
        <v>33.0</v>
      </c>
      <c r="S209" s="3">
        <v>39.0</v>
      </c>
      <c r="T209" s="3">
        <v>34.0</v>
      </c>
      <c r="U209" s="3">
        <v>31.0</v>
      </c>
      <c r="V209" s="3">
        <v>32.0</v>
      </c>
      <c r="W209" s="3">
        <v>29.0</v>
      </c>
      <c r="X209" s="3">
        <v>31.0</v>
      </c>
      <c r="Y209" s="3">
        <v>43.0</v>
      </c>
      <c r="Z209" s="3">
        <v>29.0</v>
      </c>
      <c r="AA209" s="3">
        <v>37.0</v>
      </c>
      <c r="AB209" s="3">
        <v>40.0</v>
      </c>
      <c r="AC209" s="3">
        <v>30.0</v>
      </c>
      <c r="AD209" s="3">
        <v>24.0</v>
      </c>
      <c r="AE209" s="3">
        <v>37.0</v>
      </c>
      <c r="AF209" s="3">
        <v>50.0</v>
      </c>
      <c r="AG209" s="3">
        <v>73.0</v>
      </c>
      <c r="AH209" s="3">
        <v>59.0</v>
      </c>
      <c r="AI209" s="3">
        <v>53.0</v>
      </c>
      <c r="AJ209" s="3">
        <v>40.0</v>
      </c>
      <c r="AK209" s="3">
        <v>42.0</v>
      </c>
      <c r="AL209" s="3">
        <v>59.0</v>
      </c>
      <c r="AM209" s="3">
        <v>33.0</v>
      </c>
      <c r="AN209" s="3">
        <v>23.0</v>
      </c>
    </row>
    <row r="210" ht="14.25" customHeight="1">
      <c r="A210" s="3">
        <v>208.0</v>
      </c>
      <c r="B210" s="3" t="s">
        <v>6684</v>
      </c>
      <c r="C210" s="3">
        <v>17.0</v>
      </c>
      <c r="D210" s="3" t="s">
        <v>6645</v>
      </c>
      <c r="E210" s="3" t="s">
        <v>6646</v>
      </c>
      <c r="F210" s="3" t="s">
        <v>6646</v>
      </c>
      <c r="G210" s="3" t="s">
        <v>6645</v>
      </c>
      <c r="H210" s="3" t="s">
        <v>6645</v>
      </c>
      <c r="I210" s="3" t="s">
        <v>6646</v>
      </c>
      <c r="J210" s="3">
        <v>1.0</v>
      </c>
      <c r="K210" s="3">
        <v>0.0</v>
      </c>
      <c r="L210" s="3">
        <v>0.0</v>
      </c>
      <c r="M210" s="3">
        <v>0.0</v>
      </c>
      <c r="N210" s="3">
        <v>466.8962</v>
      </c>
      <c r="O210" s="3">
        <v>124.0</v>
      </c>
      <c r="P210" s="3" t="e">
        <v>#N/A</v>
      </c>
      <c r="Q210" s="3">
        <v>37.0</v>
      </c>
      <c r="R210" s="3">
        <v>31.0</v>
      </c>
      <c r="S210" s="3">
        <v>33.0</v>
      </c>
      <c r="T210" s="3">
        <v>35.0</v>
      </c>
      <c r="U210" s="3">
        <v>30.0</v>
      </c>
      <c r="V210" s="3">
        <v>35.0</v>
      </c>
      <c r="W210" s="3">
        <v>25.0</v>
      </c>
      <c r="X210" s="3">
        <v>32.0</v>
      </c>
      <c r="Y210" s="3">
        <v>49.0</v>
      </c>
      <c r="Z210" s="3">
        <v>39.0</v>
      </c>
      <c r="AA210" s="3">
        <v>38.0</v>
      </c>
      <c r="AB210" s="3">
        <v>39.0</v>
      </c>
      <c r="AC210" s="3">
        <v>34.0</v>
      </c>
      <c r="AD210" s="3">
        <v>34.0</v>
      </c>
      <c r="AE210" s="3">
        <v>45.0</v>
      </c>
      <c r="AF210" s="3">
        <v>33.0</v>
      </c>
      <c r="AG210" s="3">
        <v>76.0</v>
      </c>
      <c r="AH210" s="3">
        <v>35.0</v>
      </c>
      <c r="AI210" s="3">
        <v>57.0</v>
      </c>
      <c r="AJ210" s="3">
        <v>54.0</v>
      </c>
      <c r="AK210" s="3">
        <v>34.0</v>
      </c>
      <c r="AL210" s="3">
        <v>46.0</v>
      </c>
      <c r="AM210" s="3">
        <v>47.0</v>
      </c>
      <c r="AN210" s="3">
        <v>49.0</v>
      </c>
    </row>
    <row r="211" ht="14.25" customHeight="1">
      <c r="A211" s="3">
        <v>209.0</v>
      </c>
      <c r="B211" s="3" t="s">
        <v>6685</v>
      </c>
      <c r="C211" s="3">
        <v>40.0</v>
      </c>
      <c r="D211" s="3" t="s">
        <v>6645</v>
      </c>
      <c r="E211" s="3" t="s">
        <v>6646</v>
      </c>
      <c r="F211" s="3" t="s">
        <v>6646</v>
      </c>
      <c r="G211" s="3" t="s">
        <v>6645</v>
      </c>
      <c r="H211" s="3" t="s">
        <v>6645</v>
      </c>
      <c r="I211" s="3" t="s">
        <v>6645</v>
      </c>
      <c r="J211" s="3">
        <v>2.0</v>
      </c>
      <c r="K211" s="3">
        <v>4.0</v>
      </c>
      <c r="L211" s="3">
        <v>0.0</v>
      </c>
      <c r="M211" s="3">
        <v>0.0</v>
      </c>
      <c r="N211" s="3">
        <v>11306.151</v>
      </c>
      <c r="O211" s="3">
        <v>1824.0</v>
      </c>
      <c r="P211" s="3" t="e">
        <v>#N/A</v>
      </c>
      <c r="Q211" s="3">
        <v>61.0</v>
      </c>
      <c r="R211" s="3">
        <v>66.0</v>
      </c>
      <c r="S211" s="3">
        <v>83.0</v>
      </c>
      <c r="T211" s="3">
        <v>67.0</v>
      </c>
      <c r="U211" s="3">
        <v>73.0</v>
      </c>
      <c r="V211" s="3">
        <v>77.0</v>
      </c>
      <c r="W211" s="3">
        <v>66.0</v>
      </c>
      <c r="X211" s="3">
        <v>71.0</v>
      </c>
      <c r="Y211" s="3">
        <v>57.0</v>
      </c>
      <c r="Z211" s="3">
        <v>78.0</v>
      </c>
      <c r="AA211" s="3">
        <v>63.0</v>
      </c>
      <c r="AB211" s="3">
        <v>63.0</v>
      </c>
      <c r="AC211" s="3">
        <v>66.0</v>
      </c>
      <c r="AD211" s="3">
        <v>53.0</v>
      </c>
      <c r="AE211" s="3">
        <v>66.0</v>
      </c>
      <c r="AF211" s="3">
        <v>100.0</v>
      </c>
      <c r="AG211" s="3">
        <v>70.0</v>
      </c>
      <c r="AH211" s="3">
        <v>64.0</v>
      </c>
      <c r="AI211" s="3">
        <v>28.0</v>
      </c>
      <c r="AJ211" s="3">
        <v>63.0</v>
      </c>
      <c r="AK211" s="3">
        <v>49.0</v>
      </c>
      <c r="AL211" s="3">
        <v>52.0</v>
      </c>
      <c r="AM211" s="3">
        <v>82.0</v>
      </c>
      <c r="AN211" s="3">
        <v>65.0</v>
      </c>
    </row>
    <row r="212" ht="14.25" customHeight="1">
      <c r="A212" s="3">
        <v>210.0</v>
      </c>
      <c r="B212" s="3" t="s">
        <v>6686</v>
      </c>
      <c r="C212" s="3">
        <v>35.0</v>
      </c>
      <c r="D212" s="3" t="s">
        <v>6645</v>
      </c>
      <c r="E212" s="3" t="s">
        <v>6646</v>
      </c>
      <c r="F212" s="3" t="s">
        <v>6646</v>
      </c>
      <c r="G212" s="3" t="s">
        <v>6645</v>
      </c>
      <c r="H212" s="3" t="s">
        <v>6645</v>
      </c>
      <c r="I212" s="3" t="s">
        <v>6645</v>
      </c>
      <c r="J212" s="3">
        <v>2.0</v>
      </c>
      <c r="K212" s="3">
        <v>4.0</v>
      </c>
      <c r="L212" s="3">
        <v>0.0</v>
      </c>
      <c r="M212" s="3">
        <v>0.0</v>
      </c>
      <c r="N212" s="3">
        <v>11481.0</v>
      </c>
      <c r="O212" s="3">
        <v>1278.0</v>
      </c>
      <c r="P212" s="3" t="e">
        <v>#N/A</v>
      </c>
      <c r="Q212" s="3">
        <v>67.0</v>
      </c>
      <c r="R212" s="3">
        <v>59.0</v>
      </c>
      <c r="S212" s="3">
        <v>84.0</v>
      </c>
      <c r="T212" s="3">
        <v>58.0</v>
      </c>
      <c r="U212" s="3">
        <v>68.0</v>
      </c>
      <c r="V212" s="3">
        <v>73.0</v>
      </c>
      <c r="W212" s="3">
        <v>71.0</v>
      </c>
      <c r="X212" s="3">
        <v>60.0</v>
      </c>
      <c r="Y212" s="3">
        <v>56.0</v>
      </c>
      <c r="Z212" s="3">
        <v>83.0</v>
      </c>
      <c r="AA212" s="3">
        <v>62.0</v>
      </c>
      <c r="AB212" s="3">
        <v>65.0</v>
      </c>
      <c r="AC212" s="3">
        <v>60.0</v>
      </c>
      <c r="AD212" s="3">
        <v>55.0</v>
      </c>
      <c r="AE212" s="3">
        <v>65.0</v>
      </c>
      <c r="AF212" s="3">
        <v>92.0</v>
      </c>
      <c r="AG212" s="3">
        <v>68.0</v>
      </c>
      <c r="AH212" s="3">
        <v>44.0</v>
      </c>
      <c r="AI212" s="3">
        <v>29.0</v>
      </c>
      <c r="AJ212" s="3">
        <v>16.0</v>
      </c>
      <c r="AK212" s="3">
        <v>57.0</v>
      </c>
      <c r="AL212" s="3">
        <v>43.0</v>
      </c>
      <c r="AM212" s="3">
        <v>80.0</v>
      </c>
      <c r="AN212" s="3">
        <v>52.0</v>
      </c>
    </row>
    <row r="213" ht="14.25" customHeight="1">
      <c r="A213" s="3">
        <v>211.0</v>
      </c>
      <c r="B213" s="3" t="s">
        <v>6687</v>
      </c>
      <c r="C213" s="3">
        <v>41.0</v>
      </c>
      <c r="D213" s="3" t="s">
        <v>6645</v>
      </c>
      <c r="E213" s="3" t="s">
        <v>6646</v>
      </c>
      <c r="F213" s="3" t="s">
        <v>6646</v>
      </c>
      <c r="G213" s="3" t="s">
        <v>6645</v>
      </c>
      <c r="H213" s="3" t="s">
        <v>6645</v>
      </c>
      <c r="I213" s="3" t="s">
        <v>6646</v>
      </c>
      <c r="J213" s="3">
        <v>2.0</v>
      </c>
      <c r="K213" s="3">
        <v>4.0</v>
      </c>
      <c r="L213" s="3">
        <v>0.0</v>
      </c>
      <c r="M213" s="3">
        <v>0.0</v>
      </c>
      <c r="N213" s="3">
        <v>12028.688</v>
      </c>
      <c r="O213" s="3">
        <v>1974.0</v>
      </c>
      <c r="P213" s="3" t="e">
        <v>#N/A</v>
      </c>
      <c r="Q213" s="3">
        <v>64.0</v>
      </c>
      <c r="R213" s="3">
        <v>61.0</v>
      </c>
      <c r="S213" s="3">
        <v>84.0</v>
      </c>
      <c r="T213" s="3">
        <v>67.0</v>
      </c>
      <c r="U213" s="3">
        <v>75.0</v>
      </c>
      <c r="V213" s="3">
        <v>76.0</v>
      </c>
      <c r="W213" s="3">
        <v>70.0</v>
      </c>
      <c r="X213" s="3">
        <v>70.0</v>
      </c>
      <c r="Y213" s="3">
        <v>53.0</v>
      </c>
      <c r="Z213" s="3">
        <v>74.0</v>
      </c>
      <c r="AA213" s="3">
        <v>59.0</v>
      </c>
      <c r="AB213" s="3">
        <v>61.0</v>
      </c>
      <c r="AC213" s="3">
        <v>61.0</v>
      </c>
      <c r="AD213" s="3">
        <v>60.0</v>
      </c>
      <c r="AE213" s="3">
        <v>63.0</v>
      </c>
      <c r="AF213" s="3">
        <v>100.0</v>
      </c>
      <c r="AG213" s="3">
        <v>53.0</v>
      </c>
      <c r="AH213" s="3">
        <v>66.0</v>
      </c>
      <c r="AI213" s="3">
        <v>36.0</v>
      </c>
      <c r="AJ213" s="3">
        <v>60.0</v>
      </c>
      <c r="AK213" s="3">
        <v>62.0</v>
      </c>
      <c r="AL213" s="3">
        <v>41.0</v>
      </c>
      <c r="AM213" s="3">
        <v>82.0</v>
      </c>
      <c r="AN213" s="3">
        <v>43.0</v>
      </c>
    </row>
    <row r="214" ht="14.25" customHeight="1">
      <c r="A214" s="3">
        <v>212.0</v>
      </c>
      <c r="B214" s="3" t="s">
        <v>6688</v>
      </c>
      <c r="C214" s="3">
        <v>37.0</v>
      </c>
      <c r="D214" s="3" t="s">
        <v>6645</v>
      </c>
      <c r="E214" s="3" t="s">
        <v>6646</v>
      </c>
      <c r="F214" s="3" t="s">
        <v>6646</v>
      </c>
      <c r="G214" s="3" t="s">
        <v>6645</v>
      </c>
      <c r="H214" s="3" t="s">
        <v>6645</v>
      </c>
      <c r="I214" s="3" t="s">
        <v>6645</v>
      </c>
      <c r="J214" s="3">
        <v>2.0</v>
      </c>
      <c r="K214" s="3">
        <v>3.0</v>
      </c>
      <c r="L214" s="3">
        <v>0.0</v>
      </c>
      <c r="M214" s="3">
        <v>0.0</v>
      </c>
      <c r="N214" s="3">
        <v>7317.2504</v>
      </c>
      <c r="O214" s="3">
        <v>979.0</v>
      </c>
      <c r="P214" s="3" t="e">
        <v>#N/A</v>
      </c>
      <c r="Q214" s="3">
        <v>51.0</v>
      </c>
      <c r="R214" s="3">
        <v>52.0</v>
      </c>
      <c r="S214" s="3">
        <v>66.0</v>
      </c>
      <c r="T214" s="3">
        <v>58.0</v>
      </c>
      <c r="U214" s="3">
        <v>59.0</v>
      </c>
      <c r="V214" s="3">
        <v>56.0</v>
      </c>
      <c r="W214" s="3">
        <v>59.0</v>
      </c>
      <c r="X214" s="3">
        <v>62.0</v>
      </c>
      <c r="Y214" s="3">
        <v>60.0</v>
      </c>
      <c r="Z214" s="3">
        <v>68.0</v>
      </c>
      <c r="AA214" s="3">
        <v>52.0</v>
      </c>
      <c r="AB214" s="3">
        <v>54.0</v>
      </c>
      <c r="AC214" s="3">
        <v>55.0</v>
      </c>
      <c r="AD214" s="3">
        <v>45.0</v>
      </c>
      <c r="AE214" s="3">
        <v>60.0</v>
      </c>
      <c r="AF214" s="3">
        <v>84.0</v>
      </c>
      <c r="AG214" s="3">
        <v>70.0</v>
      </c>
      <c r="AH214" s="3">
        <v>43.0</v>
      </c>
      <c r="AI214" s="3">
        <v>60.0</v>
      </c>
      <c r="AJ214" s="3">
        <v>47.0</v>
      </c>
      <c r="AK214" s="3">
        <v>20.0</v>
      </c>
      <c r="AL214" s="3">
        <v>67.0</v>
      </c>
      <c r="AM214" s="3">
        <v>82.0</v>
      </c>
      <c r="AN214" s="3">
        <v>18.0</v>
      </c>
    </row>
    <row r="215" ht="14.25" customHeight="1">
      <c r="A215" s="3">
        <v>213.0</v>
      </c>
      <c r="B215" s="3" t="s">
        <v>6689</v>
      </c>
      <c r="C215" s="3">
        <v>36.0</v>
      </c>
      <c r="D215" s="3" t="s">
        <v>6645</v>
      </c>
      <c r="E215" s="3" t="s">
        <v>6646</v>
      </c>
      <c r="F215" s="3" t="s">
        <v>6646</v>
      </c>
      <c r="G215" s="3" t="s">
        <v>6645</v>
      </c>
      <c r="H215" s="3" t="s">
        <v>6645</v>
      </c>
      <c r="I215" s="3" t="s">
        <v>6646</v>
      </c>
      <c r="J215" s="3">
        <v>2.0</v>
      </c>
      <c r="K215" s="3">
        <v>3.0</v>
      </c>
      <c r="L215" s="3">
        <v>0.0</v>
      </c>
      <c r="M215" s="3">
        <v>0.0</v>
      </c>
      <c r="N215" s="3">
        <v>7522.11</v>
      </c>
      <c r="O215" s="3">
        <v>800.0</v>
      </c>
      <c r="P215" s="3" t="e">
        <v>#N/A</v>
      </c>
      <c r="Q215" s="3">
        <v>58.0</v>
      </c>
      <c r="R215" s="3">
        <v>58.0</v>
      </c>
      <c r="S215" s="3">
        <v>63.0</v>
      </c>
      <c r="T215" s="3">
        <v>58.0</v>
      </c>
      <c r="U215" s="3">
        <v>55.0</v>
      </c>
      <c r="V215" s="3">
        <v>55.0</v>
      </c>
      <c r="W215" s="3">
        <v>60.0</v>
      </c>
      <c r="X215" s="3">
        <v>58.0</v>
      </c>
      <c r="Y215" s="3">
        <v>52.0</v>
      </c>
      <c r="Z215" s="3">
        <v>59.0</v>
      </c>
      <c r="AA215" s="3">
        <v>56.0</v>
      </c>
      <c r="AB215" s="3">
        <v>50.0</v>
      </c>
      <c r="AC215" s="3">
        <v>55.0</v>
      </c>
      <c r="AD215" s="3">
        <v>58.0</v>
      </c>
      <c r="AE215" s="3">
        <v>64.0</v>
      </c>
      <c r="AF215" s="3">
        <v>83.0</v>
      </c>
      <c r="AG215" s="3">
        <v>69.0</v>
      </c>
      <c r="AH215" s="3">
        <v>44.0</v>
      </c>
      <c r="AI215" s="3">
        <v>59.0</v>
      </c>
      <c r="AJ215" s="3">
        <v>25.0</v>
      </c>
      <c r="AK215" s="3">
        <v>65.0</v>
      </c>
      <c r="AL215" s="3">
        <v>60.0</v>
      </c>
      <c r="AM215" s="3">
        <v>77.0</v>
      </c>
      <c r="AN215" s="3">
        <v>46.0</v>
      </c>
    </row>
    <row r="216" ht="14.25" customHeight="1">
      <c r="A216" s="3">
        <v>214.0</v>
      </c>
      <c r="B216" s="3" t="s">
        <v>6690</v>
      </c>
      <c r="C216" s="3">
        <v>36.0</v>
      </c>
      <c r="D216" s="3" t="s">
        <v>6645</v>
      </c>
      <c r="E216" s="3" t="s">
        <v>6646</v>
      </c>
      <c r="F216" s="3" t="s">
        <v>6646</v>
      </c>
      <c r="G216" s="3" t="s">
        <v>6645</v>
      </c>
      <c r="H216" s="3" t="s">
        <v>6645</v>
      </c>
      <c r="I216" s="3" t="s">
        <v>6646</v>
      </c>
      <c r="J216" s="3">
        <v>2.0</v>
      </c>
      <c r="K216" s="3">
        <v>3.0</v>
      </c>
      <c r="L216" s="3">
        <v>0.0</v>
      </c>
      <c r="M216" s="3">
        <v>0.0</v>
      </c>
      <c r="N216" s="3">
        <v>7408.0522</v>
      </c>
      <c r="O216" s="3">
        <v>993.0</v>
      </c>
      <c r="P216" s="3" t="e">
        <v>#N/A</v>
      </c>
      <c r="Q216" s="3">
        <v>56.0</v>
      </c>
      <c r="R216" s="3">
        <v>51.0</v>
      </c>
      <c r="S216" s="3">
        <v>64.0</v>
      </c>
      <c r="T216" s="3">
        <v>54.0</v>
      </c>
      <c r="U216" s="3">
        <v>64.0</v>
      </c>
      <c r="V216" s="3">
        <v>57.0</v>
      </c>
      <c r="W216" s="3">
        <v>58.0</v>
      </c>
      <c r="X216" s="3">
        <v>54.0</v>
      </c>
      <c r="Y216" s="3">
        <v>52.0</v>
      </c>
      <c r="Z216" s="3">
        <v>67.0</v>
      </c>
      <c r="AA216" s="3">
        <v>60.0</v>
      </c>
      <c r="AB216" s="3">
        <v>49.0</v>
      </c>
      <c r="AC216" s="3">
        <v>47.0</v>
      </c>
      <c r="AD216" s="3">
        <v>60.0</v>
      </c>
      <c r="AE216" s="3">
        <v>58.0</v>
      </c>
      <c r="AF216" s="3">
        <v>78.0</v>
      </c>
      <c r="AG216" s="3">
        <v>39.0</v>
      </c>
      <c r="AH216" s="3">
        <v>61.0</v>
      </c>
      <c r="AI216" s="3">
        <v>61.0</v>
      </c>
      <c r="AJ216" s="3">
        <v>64.0</v>
      </c>
      <c r="AK216" s="3">
        <v>47.0</v>
      </c>
      <c r="AL216" s="3">
        <v>59.0</v>
      </c>
      <c r="AM216" s="3">
        <v>68.0</v>
      </c>
      <c r="AN216" s="3">
        <v>24.0</v>
      </c>
    </row>
    <row r="217" ht="14.25" customHeight="1">
      <c r="A217" s="3">
        <v>215.0</v>
      </c>
      <c r="B217" s="3" t="s">
        <v>6691</v>
      </c>
      <c r="C217" s="3">
        <v>34.0</v>
      </c>
      <c r="D217" s="3" t="s">
        <v>6645</v>
      </c>
      <c r="E217" s="3" t="s">
        <v>6646</v>
      </c>
      <c r="F217" s="3" t="s">
        <v>6646</v>
      </c>
      <c r="G217" s="3" t="s">
        <v>6645</v>
      </c>
      <c r="H217" s="3" t="s">
        <v>6645</v>
      </c>
      <c r="I217" s="3" t="s">
        <v>6646</v>
      </c>
      <c r="J217" s="3">
        <v>2.0</v>
      </c>
      <c r="K217" s="3">
        <v>3.0</v>
      </c>
      <c r="L217" s="3">
        <v>0.0</v>
      </c>
      <c r="M217" s="3">
        <v>0.0</v>
      </c>
      <c r="N217" s="3">
        <v>6755.2006</v>
      </c>
      <c r="O217" s="3">
        <v>762.0</v>
      </c>
      <c r="P217" s="3" t="e">
        <v>#N/A</v>
      </c>
      <c r="Q217" s="3">
        <v>56.0</v>
      </c>
      <c r="R217" s="3">
        <v>55.0</v>
      </c>
      <c r="S217" s="3">
        <v>62.0</v>
      </c>
      <c r="T217" s="3">
        <v>60.0</v>
      </c>
      <c r="U217" s="3">
        <v>55.0</v>
      </c>
      <c r="V217" s="3">
        <v>54.0</v>
      </c>
      <c r="W217" s="3">
        <v>58.0</v>
      </c>
      <c r="X217" s="3">
        <v>64.0</v>
      </c>
      <c r="Y217" s="3">
        <v>51.0</v>
      </c>
      <c r="Z217" s="3">
        <v>63.0</v>
      </c>
      <c r="AA217" s="3">
        <v>50.0</v>
      </c>
      <c r="AB217" s="3">
        <v>54.0</v>
      </c>
      <c r="AC217" s="3">
        <v>49.0</v>
      </c>
      <c r="AD217" s="3">
        <v>52.0</v>
      </c>
      <c r="AE217" s="3">
        <v>58.0</v>
      </c>
      <c r="AF217" s="3">
        <v>81.0</v>
      </c>
      <c r="AG217" s="3">
        <v>63.0</v>
      </c>
      <c r="AH217" s="3">
        <v>43.0</v>
      </c>
      <c r="AI217" s="3">
        <v>56.0</v>
      </c>
      <c r="AJ217" s="3">
        <v>63.0</v>
      </c>
      <c r="AK217" s="3">
        <v>37.0</v>
      </c>
      <c r="AL217" s="3">
        <v>40.0</v>
      </c>
      <c r="AM217" s="3">
        <v>84.0</v>
      </c>
      <c r="AN217" s="3">
        <v>46.0</v>
      </c>
    </row>
    <row r="218" ht="14.25" customHeight="1">
      <c r="A218" s="3">
        <v>216.0</v>
      </c>
      <c r="B218" s="3" t="s">
        <v>6692</v>
      </c>
      <c r="C218" s="3">
        <v>31.0</v>
      </c>
      <c r="D218" s="3" t="s">
        <v>6645</v>
      </c>
      <c r="E218" s="3" t="s">
        <v>6646</v>
      </c>
      <c r="F218" s="3" t="s">
        <v>6646</v>
      </c>
      <c r="G218" s="3" t="s">
        <v>6645</v>
      </c>
      <c r="H218" s="3" t="s">
        <v>6645</v>
      </c>
      <c r="I218" s="3" t="s">
        <v>6645</v>
      </c>
      <c r="J218" s="3">
        <v>2.0</v>
      </c>
      <c r="K218" s="3">
        <v>2.0</v>
      </c>
      <c r="L218" s="3">
        <v>0.0</v>
      </c>
      <c r="M218" s="3">
        <v>0.0</v>
      </c>
      <c r="N218" s="3">
        <v>4179.1484</v>
      </c>
      <c r="O218" s="3">
        <v>460.0</v>
      </c>
      <c r="P218" s="3" t="e">
        <v>#N/A</v>
      </c>
      <c r="Q218" s="3">
        <v>50.0</v>
      </c>
      <c r="R218" s="3">
        <v>52.0</v>
      </c>
      <c r="S218" s="3">
        <v>47.0</v>
      </c>
      <c r="T218" s="3">
        <v>44.0</v>
      </c>
      <c r="U218" s="3">
        <v>51.0</v>
      </c>
      <c r="V218" s="3">
        <v>48.0</v>
      </c>
      <c r="W218" s="3">
        <v>58.0</v>
      </c>
      <c r="X218" s="3">
        <v>50.0</v>
      </c>
      <c r="Y218" s="3">
        <v>46.0</v>
      </c>
      <c r="Z218" s="3">
        <v>58.0</v>
      </c>
      <c r="AA218" s="3">
        <v>48.0</v>
      </c>
      <c r="AB218" s="3">
        <v>46.0</v>
      </c>
      <c r="AC218" s="3">
        <v>37.0</v>
      </c>
      <c r="AD218" s="3">
        <v>37.0</v>
      </c>
      <c r="AE218" s="3">
        <v>55.0</v>
      </c>
      <c r="AF218" s="3">
        <v>73.0</v>
      </c>
      <c r="AG218" s="3">
        <v>46.0</v>
      </c>
      <c r="AH218" s="3">
        <v>52.0</v>
      </c>
      <c r="AI218" s="3">
        <v>61.0</v>
      </c>
      <c r="AJ218" s="3">
        <v>64.0</v>
      </c>
      <c r="AK218" s="3">
        <v>40.0</v>
      </c>
      <c r="AL218" s="3">
        <v>26.0</v>
      </c>
      <c r="AM218" s="3">
        <v>71.0</v>
      </c>
      <c r="AN218" s="3">
        <v>9.0</v>
      </c>
    </row>
    <row r="219" ht="14.25" customHeight="1">
      <c r="A219" s="3">
        <v>217.0</v>
      </c>
      <c r="B219" s="3" t="s">
        <v>6693</v>
      </c>
      <c r="C219" s="3">
        <v>34.0</v>
      </c>
      <c r="D219" s="3" t="s">
        <v>6645</v>
      </c>
      <c r="E219" s="3" t="s">
        <v>6646</v>
      </c>
      <c r="F219" s="3" t="s">
        <v>6646</v>
      </c>
      <c r="G219" s="3" t="s">
        <v>6645</v>
      </c>
      <c r="H219" s="3" t="s">
        <v>6645</v>
      </c>
      <c r="I219" s="3" t="s">
        <v>6645</v>
      </c>
      <c r="J219" s="3">
        <v>2.0</v>
      </c>
      <c r="K219" s="3">
        <v>2.0</v>
      </c>
      <c r="L219" s="3">
        <v>0.0</v>
      </c>
      <c r="M219" s="3">
        <v>0.0</v>
      </c>
      <c r="N219" s="3">
        <v>4231.7</v>
      </c>
      <c r="O219" s="3">
        <v>463.0</v>
      </c>
      <c r="P219" s="3" t="e">
        <v>#N/A</v>
      </c>
      <c r="Q219" s="3">
        <v>50.0</v>
      </c>
      <c r="R219" s="3">
        <v>49.0</v>
      </c>
      <c r="S219" s="3">
        <v>51.0</v>
      </c>
      <c r="T219" s="3">
        <v>50.0</v>
      </c>
      <c r="U219" s="3">
        <v>47.0</v>
      </c>
      <c r="V219" s="3">
        <v>46.0</v>
      </c>
      <c r="W219" s="3">
        <v>50.0</v>
      </c>
      <c r="X219" s="3">
        <v>53.0</v>
      </c>
      <c r="Y219" s="3">
        <v>48.0</v>
      </c>
      <c r="Z219" s="3">
        <v>54.0</v>
      </c>
      <c r="AA219" s="3">
        <v>45.0</v>
      </c>
      <c r="AB219" s="3">
        <v>40.0</v>
      </c>
      <c r="AC219" s="3">
        <v>53.0</v>
      </c>
      <c r="AD219" s="3">
        <v>44.0</v>
      </c>
      <c r="AE219" s="3">
        <v>49.0</v>
      </c>
      <c r="AF219" s="3">
        <v>78.0</v>
      </c>
      <c r="AG219" s="3">
        <v>47.0</v>
      </c>
      <c r="AH219" s="3">
        <v>21.0</v>
      </c>
      <c r="AI219" s="3">
        <v>48.0</v>
      </c>
      <c r="AJ219" s="3">
        <v>25.0</v>
      </c>
      <c r="AK219" s="3">
        <v>64.0</v>
      </c>
      <c r="AL219" s="3">
        <v>61.0</v>
      </c>
      <c r="AM219" s="3">
        <v>79.0</v>
      </c>
      <c r="AN219" s="3">
        <v>63.0</v>
      </c>
    </row>
    <row r="220" ht="14.25" customHeight="1">
      <c r="A220" s="3">
        <v>218.0</v>
      </c>
      <c r="B220" s="3" t="s">
        <v>6694</v>
      </c>
      <c r="C220" s="3">
        <v>25.0</v>
      </c>
      <c r="D220" s="3" t="s">
        <v>6645</v>
      </c>
      <c r="E220" s="3" t="s">
        <v>6646</v>
      </c>
      <c r="F220" s="3" t="s">
        <v>6646</v>
      </c>
      <c r="G220" s="3" t="s">
        <v>6645</v>
      </c>
      <c r="H220" s="3" t="s">
        <v>6645</v>
      </c>
      <c r="I220" s="3" t="s">
        <v>6646</v>
      </c>
      <c r="J220" s="3">
        <v>2.0</v>
      </c>
      <c r="K220" s="3">
        <v>2.0</v>
      </c>
      <c r="L220" s="3">
        <v>0.0</v>
      </c>
      <c r="M220" s="3">
        <v>0.0</v>
      </c>
      <c r="N220" s="3">
        <v>4306.97</v>
      </c>
      <c r="O220" s="3">
        <v>492.0</v>
      </c>
      <c r="P220" s="3" t="e">
        <v>#N/A</v>
      </c>
      <c r="Q220" s="3">
        <v>44.0</v>
      </c>
      <c r="R220" s="3">
        <v>49.0</v>
      </c>
      <c r="S220" s="3">
        <v>44.0</v>
      </c>
      <c r="T220" s="3">
        <v>45.0</v>
      </c>
      <c r="U220" s="3">
        <v>49.0</v>
      </c>
      <c r="V220" s="3">
        <v>47.0</v>
      </c>
      <c r="W220" s="3">
        <v>54.0</v>
      </c>
      <c r="X220" s="3">
        <v>44.0</v>
      </c>
      <c r="Y220" s="3">
        <v>38.0</v>
      </c>
      <c r="Z220" s="3">
        <v>54.0</v>
      </c>
      <c r="AA220" s="3">
        <v>44.0</v>
      </c>
      <c r="AB220" s="3">
        <v>50.0</v>
      </c>
      <c r="AC220" s="3">
        <v>46.0</v>
      </c>
      <c r="AD220" s="3">
        <v>53.0</v>
      </c>
      <c r="AE220" s="3">
        <v>52.0</v>
      </c>
      <c r="AF220" s="3">
        <v>68.0</v>
      </c>
      <c r="AG220" s="3">
        <v>53.0</v>
      </c>
      <c r="AH220" s="3">
        <v>37.0</v>
      </c>
      <c r="AI220" s="3">
        <v>12.0</v>
      </c>
      <c r="AJ220" s="3">
        <v>51.0</v>
      </c>
      <c r="AK220" s="3">
        <v>63.0</v>
      </c>
      <c r="AL220" s="3">
        <v>34.0</v>
      </c>
      <c r="AM220" s="3">
        <v>71.0</v>
      </c>
      <c r="AN220" s="3">
        <v>40.0</v>
      </c>
    </row>
    <row r="221" ht="14.25" customHeight="1">
      <c r="A221" s="3">
        <v>219.0</v>
      </c>
      <c r="B221" s="3" t="s">
        <v>6695</v>
      </c>
      <c r="C221" s="3">
        <v>32.0</v>
      </c>
      <c r="D221" s="3" t="s">
        <v>6645</v>
      </c>
      <c r="E221" s="3" t="s">
        <v>6646</v>
      </c>
      <c r="F221" s="3" t="s">
        <v>6646</v>
      </c>
      <c r="G221" s="3" t="s">
        <v>6645</v>
      </c>
      <c r="H221" s="3" t="s">
        <v>6645</v>
      </c>
      <c r="I221" s="3" t="s">
        <v>6646</v>
      </c>
      <c r="J221" s="3">
        <v>2.0</v>
      </c>
      <c r="K221" s="3">
        <v>2.0</v>
      </c>
      <c r="L221" s="3">
        <v>0.0</v>
      </c>
      <c r="M221" s="3">
        <v>0.0</v>
      </c>
      <c r="N221" s="3">
        <v>4311.03</v>
      </c>
      <c r="O221" s="3">
        <v>383.0</v>
      </c>
      <c r="P221" s="3" t="e">
        <v>#N/A</v>
      </c>
      <c r="Q221" s="3">
        <v>47.0</v>
      </c>
      <c r="R221" s="3">
        <v>48.0</v>
      </c>
      <c r="S221" s="3">
        <v>45.0</v>
      </c>
      <c r="T221" s="3">
        <v>45.0</v>
      </c>
      <c r="U221" s="3">
        <v>49.0</v>
      </c>
      <c r="V221" s="3">
        <v>51.0</v>
      </c>
      <c r="W221" s="3">
        <v>57.0</v>
      </c>
      <c r="X221" s="3">
        <v>40.0</v>
      </c>
      <c r="Y221" s="3">
        <v>53.0</v>
      </c>
      <c r="Z221" s="3">
        <v>58.0</v>
      </c>
      <c r="AA221" s="3">
        <v>47.0</v>
      </c>
      <c r="AB221" s="3">
        <v>46.0</v>
      </c>
      <c r="AC221" s="3">
        <v>45.0</v>
      </c>
      <c r="AD221" s="3">
        <v>37.0</v>
      </c>
      <c r="AE221" s="3">
        <v>60.0</v>
      </c>
      <c r="AF221" s="3">
        <v>73.0</v>
      </c>
      <c r="AG221" s="3">
        <v>59.0</v>
      </c>
      <c r="AH221" s="3">
        <v>55.0</v>
      </c>
      <c r="AI221" s="3">
        <v>63.0</v>
      </c>
      <c r="AJ221" s="3">
        <v>53.0</v>
      </c>
      <c r="AK221" s="3">
        <v>35.0</v>
      </c>
      <c r="AL221" s="3">
        <v>48.0</v>
      </c>
      <c r="AM221" s="3">
        <v>73.0</v>
      </c>
      <c r="AN221" s="3">
        <v>16.0</v>
      </c>
    </row>
    <row r="222" ht="14.25" customHeight="1">
      <c r="A222" s="3">
        <v>220.0</v>
      </c>
      <c r="B222" s="3" t="s">
        <v>6696</v>
      </c>
      <c r="C222" s="3">
        <v>20.0</v>
      </c>
      <c r="D222" s="3" t="s">
        <v>6645</v>
      </c>
      <c r="E222" s="3" t="s">
        <v>6646</v>
      </c>
      <c r="F222" s="3" t="s">
        <v>6646</v>
      </c>
      <c r="G222" s="3" t="s">
        <v>6645</v>
      </c>
      <c r="H222" s="3" t="s">
        <v>6645</v>
      </c>
      <c r="I222" s="3" t="s">
        <v>6645</v>
      </c>
      <c r="J222" s="3">
        <v>2.0</v>
      </c>
      <c r="K222" s="3">
        <v>1.0</v>
      </c>
      <c r="L222" s="3">
        <v>0.0</v>
      </c>
      <c r="M222" s="3">
        <v>0.0</v>
      </c>
      <c r="N222" s="3">
        <v>1755.4484</v>
      </c>
      <c r="O222" s="3">
        <v>245.0</v>
      </c>
      <c r="P222" s="3" t="e">
        <v>#N/A</v>
      </c>
      <c r="Q222" s="3">
        <v>42.0</v>
      </c>
      <c r="R222" s="3">
        <v>40.0</v>
      </c>
      <c r="S222" s="3">
        <v>43.0</v>
      </c>
      <c r="T222" s="3">
        <v>38.0</v>
      </c>
      <c r="U222" s="3">
        <v>39.0</v>
      </c>
      <c r="V222" s="3">
        <v>40.0</v>
      </c>
      <c r="W222" s="3">
        <v>46.0</v>
      </c>
      <c r="X222" s="3">
        <v>36.0</v>
      </c>
      <c r="Y222" s="3">
        <v>43.0</v>
      </c>
      <c r="Z222" s="3">
        <v>50.0</v>
      </c>
      <c r="AA222" s="3">
        <v>37.0</v>
      </c>
      <c r="AB222" s="3">
        <v>34.0</v>
      </c>
      <c r="AC222" s="3">
        <v>38.0</v>
      </c>
      <c r="AD222" s="3">
        <v>42.0</v>
      </c>
      <c r="AE222" s="3">
        <v>50.0</v>
      </c>
      <c r="AF222" s="3">
        <v>74.0</v>
      </c>
      <c r="AG222" s="3">
        <v>9.0</v>
      </c>
      <c r="AH222" s="3">
        <v>36.0</v>
      </c>
      <c r="AI222" s="3">
        <v>18.0</v>
      </c>
      <c r="AJ222" s="3">
        <v>34.0</v>
      </c>
      <c r="AK222" s="3">
        <v>42.0</v>
      </c>
      <c r="AL222" s="3">
        <v>48.0</v>
      </c>
      <c r="AM222" s="3">
        <v>70.0</v>
      </c>
      <c r="AN222" s="3">
        <v>48.0</v>
      </c>
    </row>
    <row r="223" ht="14.25" customHeight="1">
      <c r="A223" s="3">
        <v>221.0</v>
      </c>
      <c r="B223" s="3" t="s">
        <v>6697</v>
      </c>
      <c r="C223" s="3">
        <v>25.0</v>
      </c>
      <c r="D223" s="3" t="s">
        <v>6645</v>
      </c>
      <c r="E223" s="3" t="s">
        <v>6646</v>
      </c>
      <c r="F223" s="3" t="s">
        <v>6646</v>
      </c>
      <c r="G223" s="3" t="s">
        <v>6645</v>
      </c>
      <c r="H223" s="3" t="s">
        <v>6645</v>
      </c>
      <c r="I223" s="3" t="s">
        <v>6646</v>
      </c>
      <c r="J223" s="3">
        <v>2.0</v>
      </c>
      <c r="K223" s="3">
        <v>1.0</v>
      </c>
      <c r="L223" s="3">
        <v>0.0</v>
      </c>
      <c r="M223" s="3">
        <v>0.0</v>
      </c>
      <c r="N223" s="3">
        <v>1505.0904</v>
      </c>
      <c r="O223" s="3">
        <v>160.0</v>
      </c>
      <c r="P223" s="3" t="e">
        <v>#N/A</v>
      </c>
      <c r="Q223" s="3">
        <v>42.0</v>
      </c>
      <c r="R223" s="3">
        <v>46.0</v>
      </c>
      <c r="S223" s="3">
        <v>44.0</v>
      </c>
      <c r="T223" s="3">
        <v>45.0</v>
      </c>
      <c r="U223" s="3">
        <v>43.0</v>
      </c>
      <c r="V223" s="3">
        <v>41.0</v>
      </c>
      <c r="W223" s="3">
        <v>43.0</v>
      </c>
      <c r="X223" s="3">
        <v>45.0</v>
      </c>
      <c r="Y223" s="3">
        <v>38.0</v>
      </c>
      <c r="Z223" s="3">
        <v>47.0</v>
      </c>
      <c r="AA223" s="3">
        <v>37.0</v>
      </c>
      <c r="AB223" s="3">
        <v>35.0</v>
      </c>
      <c r="AC223" s="3">
        <v>31.0</v>
      </c>
      <c r="AD223" s="3">
        <v>44.0</v>
      </c>
      <c r="AE223" s="3">
        <v>44.0</v>
      </c>
      <c r="AF223" s="3">
        <v>66.0</v>
      </c>
      <c r="AG223" s="3">
        <v>34.0</v>
      </c>
      <c r="AH223" s="3">
        <v>54.0</v>
      </c>
      <c r="AI223" s="3">
        <v>34.0</v>
      </c>
      <c r="AJ223" s="3">
        <v>42.0</v>
      </c>
      <c r="AK223" s="3">
        <v>14.0</v>
      </c>
      <c r="AL223" s="3">
        <v>17.0</v>
      </c>
      <c r="AM223" s="3">
        <v>77.0</v>
      </c>
      <c r="AN223" s="3">
        <v>40.0</v>
      </c>
    </row>
    <row r="224" ht="14.25" customHeight="1">
      <c r="A224" s="3">
        <v>222.0</v>
      </c>
      <c r="B224" s="3" t="s">
        <v>6698</v>
      </c>
      <c r="C224" s="3">
        <v>29.0</v>
      </c>
      <c r="D224" s="3" t="s">
        <v>6645</v>
      </c>
      <c r="E224" s="3" t="s">
        <v>6646</v>
      </c>
      <c r="F224" s="3" t="s">
        <v>6646</v>
      </c>
      <c r="G224" s="3" t="s">
        <v>6645</v>
      </c>
      <c r="H224" s="3" t="s">
        <v>6645</v>
      </c>
      <c r="I224" s="3" t="s">
        <v>6645</v>
      </c>
      <c r="J224" s="3">
        <v>2.0</v>
      </c>
      <c r="K224" s="3">
        <v>1.0</v>
      </c>
      <c r="L224" s="3">
        <v>0.0</v>
      </c>
      <c r="M224" s="3">
        <v>0.0</v>
      </c>
      <c r="N224" s="3">
        <v>1723.174</v>
      </c>
      <c r="O224" s="3">
        <v>156.0</v>
      </c>
      <c r="P224" s="3" t="e">
        <v>#N/A</v>
      </c>
      <c r="Q224" s="3">
        <v>38.0</v>
      </c>
      <c r="R224" s="3">
        <v>46.0</v>
      </c>
      <c r="S224" s="3">
        <v>38.0</v>
      </c>
      <c r="T224" s="3">
        <v>42.0</v>
      </c>
      <c r="U224" s="3">
        <v>42.0</v>
      </c>
      <c r="V224" s="3">
        <v>46.0</v>
      </c>
      <c r="W224" s="3">
        <v>48.0</v>
      </c>
      <c r="X224" s="3">
        <v>41.0</v>
      </c>
      <c r="Y224" s="3">
        <v>31.0</v>
      </c>
      <c r="Z224" s="3">
        <v>47.0</v>
      </c>
      <c r="AA224" s="3">
        <v>43.0</v>
      </c>
      <c r="AB224" s="3">
        <v>30.0</v>
      </c>
      <c r="AC224" s="3">
        <v>36.0</v>
      </c>
      <c r="AD224" s="3">
        <v>43.0</v>
      </c>
      <c r="AE224" s="3">
        <v>53.0</v>
      </c>
      <c r="AF224" s="3">
        <v>76.0</v>
      </c>
      <c r="AG224" s="3">
        <v>39.0</v>
      </c>
      <c r="AH224" s="3">
        <v>49.0</v>
      </c>
      <c r="AI224" s="3">
        <v>48.0</v>
      </c>
      <c r="AJ224" s="3">
        <v>57.0</v>
      </c>
      <c r="AK224" s="3">
        <v>11.0</v>
      </c>
      <c r="AL224" s="3">
        <v>7.0</v>
      </c>
      <c r="AM224" s="3">
        <v>64.0</v>
      </c>
      <c r="AN224" s="3">
        <v>51.0</v>
      </c>
    </row>
    <row r="225" ht="14.25" customHeight="1">
      <c r="A225" s="3">
        <v>223.0</v>
      </c>
      <c r="B225" s="3" t="s">
        <v>6699</v>
      </c>
      <c r="C225" s="3">
        <v>21.0</v>
      </c>
      <c r="D225" s="3" t="s">
        <v>6645</v>
      </c>
      <c r="E225" s="3" t="s">
        <v>6646</v>
      </c>
      <c r="F225" s="3" t="s">
        <v>6646</v>
      </c>
      <c r="G225" s="3" t="s">
        <v>6645</v>
      </c>
      <c r="H225" s="3" t="s">
        <v>6645</v>
      </c>
      <c r="I225" s="3" t="s">
        <v>6646</v>
      </c>
      <c r="J225" s="3">
        <v>2.0</v>
      </c>
      <c r="K225" s="3">
        <v>1.0</v>
      </c>
      <c r="L225" s="3">
        <v>0.0</v>
      </c>
      <c r="M225" s="3">
        <v>0.0</v>
      </c>
      <c r="N225" s="3">
        <v>1759.6112</v>
      </c>
      <c r="O225" s="3">
        <v>167.0</v>
      </c>
      <c r="P225" s="3" t="e">
        <v>#N/A</v>
      </c>
      <c r="Q225" s="3">
        <v>45.0</v>
      </c>
      <c r="R225" s="3">
        <v>41.0</v>
      </c>
      <c r="S225" s="3">
        <v>40.0</v>
      </c>
      <c r="T225" s="3">
        <v>43.0</v>
      </c>
      <c r="U225" s="3">
        <v>37.0</v>
      </c>
      <c r="V225" s="3">
        <v>44.0</v>
      </c>
      <c r="W225" s="3">
        <v>54.0</v>
      </c>
      <c r="X225" s="3">
        <v>38.0</v>
      </c>
      <c r="Y225" s="3">
        <v>40.0</v>
      </c>
      <c r="Z225" s="3">
        <v>46.0</v>
      </c>
      <c r="AA225" s="3">
        <v>44.0</v>
      </c>
      <c r="AB225" s="3">
        <v>31.0</v>
      </c>
      <c r="AC225" s="3">
        <v>42.0</v>
      </c>
      <c r="AD225" s="3">
        <v>40.0</v>
      </c>
      <c r="AE225" s="3">
        <v>52.0</v>
      </c>
      <c r="AF225" s="3">
        <v>79.0</v>
      </c>
      <c r="AG225" s="3">
        <v>35.0</v>
      </c>
      <c r="AH225" s="3">
        <v>62.0</v>
      </c>
      <c r="AI225" s="3">
        <v>46.0</v>
      </c>
      <c r="AJ225" s="3">
        <v>19.0</v>
      </c>
      <c r="AK225" s="3">
        <v>45.0</v>
      </c>
      <c r="AL225" s="3">
        <v>55.0</v>
      </c>
      <c r="AM225" s="3">
        <v>73.0</v>
      </c>
      <c r="AN225" s="3">
        <v>29.0</v>
      </c>
    </row>
    <row r="226" ht="14.25" customHeight="1">
      <c r="A226" s="3">
        <v>224.0</v>
      </c>
      <c r="B226" s="3" t="s">
        <v>6700</v>
      </c>
      <c r="C226" s="3">
        <v>25.0</v>
      </c>
      <c r="D226" s="3" t="s">
        <v>6645</v>
      </c>
      <c r="E226" s="3" t="s">
        <v>6646</v>
      </c>
      <c r="F226" s="3" t="s">
        <v>6646</v>
      </c>
      <c r="G226" s="3" t="s">
        <v>6645</v>
      </c>
      <c r="H226" s="3" t="s">
        <v>6645</v>
      </c>
      <c r="I226" s="3" t="s">
        <v>6646</v>
      </c>
      <c r="J226" s="3">
        <v>2.0</v>
      </c>
      <c r="K226" s="3">
        <v>1.0</v>
      </c>
      <c r="L226" s="3">
        <v>0.0</v>
      </c>
      <c r="M226" s="3">
        <v>0.0</v>
      </c>
      <c r="N226" s="3">
        <v>1869.6951</v>
      </c>
      <c r="O226" s="3">
        <v>241.0</v>
      </c>
      <c r="P226" s="3" t="e">
        <v>#N/A</v>
      </c>
      <c r="Q226" s="3">
        <v>42.0</v>
      </c>
      <c r="R226" s="3">
        <v>43.0</v>
      </c>
      <c r="S226" s="3">
        <v>40.0</v>
      </c>
      <c r="T226" s="3">
        <v>37.0</v>
      </c>
      <c r="U226" s="3">
        <v>37.0</v>
      </c>
      <c r="V226" s="3">
        <v>46.0</v>
      </c>
      <c r="W226" s="3">
        <v>46.0</v>
      </c>
      <c r="X226" s="3">
        <v>29.0</v>
      </c>
      <c r="Y226" s="3">
        <v>35.0</v>
      </c>
      <c r="Z226" s="3">
        <v>51.0</v>
      </c>
      <c r="AA226" s="3">
        <v>43.0</v>
      </c>
      <c r="AB226" s="3">
        <v>42.0</v>
      </c>
      <c r="AC226" s="3">
        <v>33.0</v>
      </c>
      <c r="AD226" s="3">
        <v>44.0</v>
      </c>
      <c r="AE226" s="3">
        <v>48.0</v>
      </c>
      <c r="AF226" s="3">
        <v>73.0</v>
      </c>
      <c r="AG226" s="3">
        <v>48.0</v>
      </c>
      <c r="AH226" s="3">
        <v>49.0</v>
      </c>
      <c r="AI226" s="3">
        <v>20.0</v>
      </c>
      <c r="AJ226" s="3">
        <v>31.0</v>
      </c>
      <c r="AK226" s="3">
        <v>47.0</v>
      </c>
      <c r="AL226" s="3">
        <v>48.0</v>
      </c>
      <c r="AM226" s="3">
        <v>73.0</v>
      </c>
      <c r="AN226" s="3">
        <v>44.0</v>
      </c>
    </row>
    <row r="227" ht="14.25" customHeight="1">
      <c r="A227" s="3">
        <v>225.0</v>
      </c>
      <c r="B227" s="3" t="s">
        <v>6701</v>
      </c>
      <c r="C227" s="3">
        <v>22.0</v>
      </c>
      <c r="D227" s="3" t="s">
        <v>6645</v>
      </c>
      <c r="E227" s="3" t="s">
        <v>6646</v>
      </c>
      <c r="F227" s="3" t="s">
        <v>6646</v>
      </c>
      <c r="G227" s="3" t="s">
        <v>6645</v>
      </c>
      <c r="H227" s="3" t="s">
        <v>6645</v>
      </c>
      <c r="I227" s="3" t="s">
        <v>6646</v>
      </c>
      <c r="J227" s="3">
        <v>2.0</v>
      </c>
      <c r="K227" s="3">
        <v>0.0</v>
      </c>
      <c r="L227" s="3">
        <v>0.0</v>
      </c>
      <c r="M227" s="3">
        <v>0.0</v>
      </c>
      <c r="N227" s="3">
        <v>481.12951</v>
      </c>
      <c r="O227" s="3">
        <v>94.0</v>
      </c>
      <c r="P227" s="3" t="e">
        <v>#N/A</v>
      </c>
      <c r="Q227" s="3">
        <v>38.0</v>
      </c>
      <c r="R227" s="3">
        <v>30.0</v>
      </c>
      <c r="S227" s="3">
        <v>37.0</v>
      </c>
      <c r="T227" s="3">
        <v>38.0</v>
      </c>
      <c r="U227" s="3">
        <v>30.0</v>
      </c>
      <c r="V227" s="3">
        <v>38.0</v>
      </c>
      <c r="W227" s="3">
        <v>37.0</v>
      </c>
      <c r="X227" s="3">
        <v>30.0</v>
      </c>
      <c r="Y227" s="3">
        <v>24.0</v>
      </c>
      <c r="Z227" s="3">
        <v>39.0</v>
      </c>
      <c r="AA227" s="3">
        <v>31.0</v>
      </c>
      <c r="AB227" s="3">
        <v>30.0</v>
      </c>
      <c r="AC227" s="3">
        <v>35.0</v>
      </c>
      <c r="AD227" s="3">
        <v>25.0</v>
      </c>
      <c r="AE227" s="3">
        <v>43.0</v>
      </c>
      <c r="AF227" s="3">
        <v>66.0</v>
      </c>
      <c r="AG227" s="3">
        <v>58.0</v>
      </c>
      <c r="AH227" s="3">
        <v>41.0</v>
      </c>
      <c r="AI227" s="3">
        <v>33.0</v>
      </c>
      <c r="AJ227" s="3">
        <v>29.0</v>
      </c>
      <c r="AK227" s="3">
        <v>43.0</v>
      </c>
      <c r="AL227" s="3">
        <v>47.0</v>
      </c>
      <c r="AM227" s="3">
        <v>70.0</v>
      </c>
      <c r="AN227" s="3">
        <v>11.0</v>
      </c>
    </row>
    <row r="228" ht="14.25" customHeight="1">
      <c r="A228" s="3">
        <v>226.0</v>
      </c>
      <c r="B228" s="3" t="s">
        <v>6702</v>
      </c>
      <c r="C228" s="3">
        <v>22.0</v>
      </c>
      <c r="D228" s="3" t="s">
        <v>6645</v>
      </c>
      <c r="E228" s="3" t="s">
        <v>6646</v>
      </c>
      <c r="F228" s="3" t="s">
        <v>6646</v>
      </c>
      <c r="G228" s="3" t="s">
        <v>6645</v>
      </c>
      <c r="H228" s="3" t="s">
        <v>6645</v>
      </c>
      <c r="I228" s="3" t="s">
        <v>6646</v>
      </c>
      <c r="J228" s="3">
        <v>2.0</v>
      </c>
      <c r="K228" s="3">
        <v>0.0</v>
      </c>
      <c r="L228" s="3">
        <v>0.0</v>
      </c>
      <c r="M228" s="3">
        <v>0.0</v>
      </c>
      <c r="N228" s="3">
        <v>442.53982</v>
      </c>
      <c r="O228" s="3">
        <v>115.0</v>
      </c>
      <c r="P228" s="3" t="e">
        <v>#N/A</v>
      </c>
      <c r="Q228" s="3">
        <v>36.0</v>
      </c>
      <c r="R228" s="3">
        <v>39.0</v>
      </c>
      <c r="S228" s="3">
        <v>33.0</v>
      </c>
      <c r="T228" s="3">
        <v>34.0</v>
      </c>
      <c r="U228" s="3">
        <v>32.0</v>
      </c>
      <c r="V228" s="3">
        <v>32.0</v>
      </c>
      <c r="W228" s="3">
        <v>45.0</v>
      </c>
      <c r="X228" s="3">
        <v>27.0</v>
      </c>
      <c r="Y228" s="3">
        <v>32.0</v>
      </c>
      <c r="Z228" s="3">
        <v>44.0</v>
      </c>
      <c r="AA228" s="3">
        <v>24.0</v>
      </c>
      <c r="AB228" s="3">
        <v>30.0</v>
      </c>
      <c r="AC228" s="3">
        <v>31.0</v>
      </c>
      <c r="AD228" s="3">
        <v>26.0</v>
      </c>
      <c r="AE228" s="3">
        <v>42.0</v>
      </c>
      <c r="AF228" s="3">
        <v>68.0</v>
      </c>
      <c r="AG228" s="3">
        <v>1.0</v>
      </c>
      <c r="AH228" s="3">
        <v>13.0</v>
      </c>
      <c r="AI228" s="3">
        <v>59.0</v>
      </c>
      <c r="AJ228" s="3">
        <v>54.0</v>
      </c>
      <c r="AK228" s="3">
        <v>36.0</v>
      </c>
      <c r="AL228" s="3">
        <v>37.0</v>
      </c>
      <c r="AM228" s="3">
        <v>72.0</v>
      </c>
      <c r="AN228" s="3">
        <v>53.0</v>
      </c>
    </row>
    <row r="229" ht="14.25" customHeight="1">
      <c r="A229" s="3">
        <v>227.0</v>
      </c>
      <c r="B229" s="3" t="s">
        <v>6703</v>
      </c>
      <c r="C229" s="3">
        <v>23.0</v>
      </c>
      <c r="D229" s="3" t="s">
        <v>6645</v>
      </c>
      <c r="E229" s="3" t="s">
        <v>6646</v>
      </c>
      <c r="F229" s="3" t="s">
        <v>6646</v>
      </c>
      <c r="G229" s="3" t="s">
        <v>6645</v>
      </c>
      <c r="H229" s="3" t="s">
        <v>6645</v>
      </c>
      <c r="I229" s="3" t="s">
        <v>6645</v>
      </c>
      <c r="J229" s="3">
        <v>2.0</v>
      </c>
      <c r="K229" s="3">
        <v>0.0</v>
      </c>
      <c r="L229" s="3">
        <v>0.0</v>
      </c>
      <c r="M229" s="3">
        <v>0.0</v>
      </c>
      <c r="N229" s="3">
        <v>508.59808</v>
      </c>
      <c r="O229" s="3">
        <v>114.0</v>
      </c>
      <c r="P229" s="3" t="e">
        <v>#N/A</v>
      </c>
      <c r="Q229" s="3">
        <v>35.0</v>
      </c>
      <c r="R229" s="3">
        <v>39.0</v>
      </c>
      <c r="S229" s="3">
        <v>38.0</v>
      </c>
      <c r="T229" s="3">
        <v>38.0</v>
      </c>
      <c r="U229" s="3">
        <v>36.0</v>
      </c>
      <c r="V229" s="3">
        <v>38.0</v>
      </c>
      <c r="W229" s="3">
        <v>41.0</v>
      </c>
      <c r="X229" s="3">
        <v>32.0</v>
      </c>
      <c r="Y229" s="3">
        <v>31.0</v>
      </c>
      <c r="Z229" s="3">
        <v>39.0</v>
      </c>
      <c r="AA229" s="3">
        <v>34.0</v>
      </c>
      <c r="AB229" s="3">
        <v>35.0</v>
      </c>
      <c r="AC229" s="3">
        <v>29.0</v>
      </c>
      <c r="AD229" s="3">
        <v>22.0</v>
      </c>
      <c r="AE229" s="3">
        <v>44.0</v>
      </c>
      <c r="AF229" s="3">
        <v>75.0</v>
      </c>
      <c r="AG229" s="3">
        <v>54.0</v>
      </c>
      <c r="AH229" s="3">
        <v>32.0</v>
      </c>
      <c r="AI229" s="3">
        <v>57.0</v>
      </c>
      <c r="AJ229" s="3">
        <v>38.0</v>
      </c>
      <c r="AK229" s="3">
        <v>47.0</v>
      </c>
      <c r="AL229" s="3">
        <v>29.0</v>
      </c>
      <c r="AM229" s="3">
        <v>67.0</v>
      </c>
      <c r="AN229" s="3">
        <v>56.0</v>
      </c>
    </row>
    <row r="230" ht="14.25" customHeight="1">
      <c r="A230" s="3">
        <v>228.0</v>
      </c>
      <c r="B230" s="3" t="s">
        <v>6704</v>
      </c>
      <c r="C230" s="3">
        <v>22.0</v>
      </c>
      <c r="D230" s="3" t="s">
        <v>6645</v>
      </c>
      <c r="E230" s="3" t="s">
        <v>6646</v>
      </c>
      <c r="F230" s="3" t="s">
        <v>6646</v>
      </c>
      <c r="G230" s="3" t="s">
        <v>6645</v>
      </c>
      <c r="H230" s="3" t="s">
        <v>6645</v>
      </c>
      <c r="I230" s="3" t="s">
        <v>6645</v>
      </c>
      <c r="J230" s="3">
        <v>2.0</v>
      </c>
      <c r="K230" s="3">
        <v>0.0</v>
      </c>
      <c r="L230" s="3">
        <v>0.0</v>
      </c>
      <c r="M230" s="3">
        <v>0.0</v>
      </c>
      <c r="N230" s="3">
        <v>471.19766</v>
      </c>
      <c r="O230" s="3">
        <v>77.0</v>
      </c>
      <c r="P230" s="3" t="e">
        <v>#N/A</v>
      </c>
      <c r="Q230" s="3">
        <v>30.0</v>
      </c>
      <c r="R230" s="3">
        <v>38.0</v>
      </c>
      <c r="S230" s="3">
        <v>35.0</v>
      </c>
      <c r="T230" s="3">
        <v>35.0</v>
      </c>
      <c r="U230" s="3">
        <v>32.0</v>
      </c>
      <c r="V230" s="3">
        <v>38.0</v>
      </c>
      <c r="W230" s="3">
        <v>46.0</v>
      </c>
      <c r="X230" s="3">
        <v>36.0</v>
      </c>
      <c r="Y230" s="3">
        <v>37.0</v>
      </c>
      <c r="Z230" s="3">
        <v>38.0</v>
      </c>
      <c r="AA230" s="3">
        <v>29.0</v>
      </c>
      <c r="AB230" s="3">
        <v>31.0</v>
      </c>
      <c r="AC230" s="3">
        <v>25.0</v>
      </c>
      <c r="AD230" s="3">
        <v>26.0</v>
      </c>
      <c r="AE230" s="3">
        <v>43.0</v>
      </c>
      <c r="AF230" s="3">
        <v>72.0</v>
      </c>
      <c r="AG230" s="3">
        <v>57.0</v>
      </c>
      <c r="AH230" s="3">
        <v>37.0</v>
      </c>
      <c r="AI230" s="3">
        <v>40.0</v>
      </c>
      <c r="AJ230" s="3">
        <v>6.0</v>
      </c>
      <c r="AK230" s="3">
        <v>40.0</v>
      </c>
      <c r="AL230" s="3">
        <v>54.0</v>
      </c>
      <c r="AM230" s="3">
        <v>71.0</v>
      </c>
      <c r="AN230" s="3">
        <v>9.0</v>
      </c>
    </row>
    <row r="231" ht="14.25" customHeight="1">
      <c r="A231" s="3">
        <v>229.0</v>
      </c>
      <c r="B231" s="3" t="s">
        <v>6705</v>
      </c>
      <c r="C231" s="3">
        <v>20.0</v>
      </c>
      <c r="D231" s="3" t="s">
        <v>6645</v>
      </c>
      <c r="E231" s="3" t="s">
        <v>6646</v>
      </c>
      <c r="F231" s="3" t="s">
        <v>6646</v>
      </c>
      <c r="G231" s="3" t="s">
        <v>6645</v>
      </c>
      <c r="H231" s="3" t="s">
        <v>6645</v>
      </c>
      <c r="I231" s="3" t="s">
        <v>6645</v>
      </c>
      <c r="J231" s="3">
        <v>2.0</v>
      </c>
      <c r="K231" s="3">
        <v>0.0</v>
      </c>
      <c r="L231" s="3">
        <v>0.0</v>
      </c>
      <c r="M231" s="3">
        <v>0.0</v>
      </c>
      <c r="N231" s="3">
        <v>474.25997</v>
      </c>
      <c r="O231" s="3">
        <v>91.0</v>
      </c>
      <c r="P231" s="3" t="e">
        <v>#N/A</v>
      </c>
      <c r="Q231" s="3">
        <v>34.0</v>
      </c>
      <c r="R231" s="3">
        <v>31.0</v>
      </c>
      <c r="S231" s="3">
        <v>38.0</v>
      </c>
      <c r="T231" s="3">
        <v>37.0</v>
      </c>
      <c r="U231" s="3">
        <v>32.0</v>
      </c>
      <c r="V231" s="3">
        <v>37.0</v>
      </c>
      <c r="W231" s="3">
        <v>37.0</v>
      </c>
      <c r="X231" s="3">
        <v>28.0</v>
      </c>
      <c r="Y231" s="3">
        <v>34.0</v>
      </c>
      <c r="Z231" s="3">
        <v>41.0</v>
      </c>
      <c r="AA231" s="3">
        <v>31.0</v>
      </c>
      <c r="AB231" s="3">
        <v>33.0</v>
      </c>
      <c r="AC231" s="3">
        <v>36.0</v>
      </c>
      <c r="AD231" s="3">
        <v>30.0</v>
      </c>
      <c r="AE231" s="3">
        <v>43.0</v>
      </c>
      <c r="AF231" s="3">
        <v>66.0</v>
      </c>
      <c r="AG231" s="3">
        <v>46.0</v>
      </c>
      <c r="AH231" s="3">
        <v>38.0</v>
      </c>
      <c r="AI231" s="3">
        <v>40.0</v>
      </c>
      <c r="AJ231" s="3">
        <v>8.0</v>
      </c>
      <c r="AK231" s="3">
        <v>27.0</v>
      </c>
      <c r="AL231" s="3">
        <v>36.0</v>
      </c>
      <c r="AM231" s="3">
        <v>76.0</v>
      </c>
      <c r="AN231" s="3">
        <v>45.0</v>
      </c>
    </row>
    <row r="232" ht="14.25" customHeight="1">
      <c r="A232" s="3">
        <v>230.0</v>
      </c>
      <c r="B232" s="3" t="s">
        <v>6706</v>
      </c>
      <c r="C232" s="3">
        <v>35.0</v>
      </c>
      <c r="D232" s="3" t="s">
        <v>6645</v>
      </c>
      <c r="E232" s="3" t="s">
        <v>6646</v>
      </c>
      <c r="F232" s="3" t="s">
        <v>6646</v>
      </c>
      <c r="G232" s="3" t="s">
        <v>6645</v>
      </c>
      <c r="H232" s="3" t="s">
        <v>6645</v>
      </c>
      <c r="I232" s="3" t="s">
        <v>6645</v>
      </c>
      <c r="J232" s="3">
        <v>3.0</v>
      </c>
      <c r="K232" s="3">
        <v>4.0</v>
      </c>
      <c r="L232" s="3">
        <v>0.0</v>
      </c>
      <c r="M232" s="3">
        <v>0.0</v>
      </c>
      <c r="N232" s="3">
        <v>14231.597</v>
      </c>
      <c r="O232" s="3">
        <v>1258.0</v>
      </c>
      <c r="P232" s="3" t="e">
        <v>#N/A</v>
      </c>
      <c r="Q232" s="3">
        <v>76.0</v>
      </c>
      <c r="R232" s="3">
        <v>67.0</v>
      </c>
      <c r="S232" s="3">
        <v>69.0</v>
      </c>
      <c r="T232" s="3">
        <v>67.0</v>
      </c>
      <c r="U232" s="3">
        <v>62.0</v>
      </c>
      <c r="V232" s="3">
        <v>87.0</v>
      </c>
      <c r="W232" s="3">
        <v>70.0</v>
      </c>
      <c r="X232" s="3">
        <v>70.0</v>
      </c>
      <c r="Y232" s="3">
        <v>75.0</v>
      </c>
      <c r="Z232" s="3">
        <v>80.0</v>
      </c>
      <c r="AA232" s="3">
        <v>60.0</v>
      </c>
      <c r="AB232" s="3">
        <v>65.0</v>
      </c>
      <c r="AC232" s="3">
        <v>84.0</v>
      </c>
      <c r="AD232" s="3">
        <v>64.0</v>
      </c>
      <c r="AE232" s="3">
        <v>58.0</v>
      </c>
      <c r="AF232" s="3">
        <v>65.0</v>
      </c>
      <c r="AG232" s="3">
        <v>30.0</v>
      </c>
      <c r="AH232" s="3">
        <v>46.0</v>
      </c>
      <c r="AI232" s="3">
        <v>83.0</v>
      </c>
      <c r="AJ232" s="3">
        <v>45.0</v>
      </c>
      <c r="AK232" s="3">
        <v>51.0</v>
      </c>
      <c r="AL232" s="3">
        <v>63.0</v>
      </c>
      <c r="AM232" s="3">
        <v>61.0</v>
      </c>
      <c r="AN232" s="3">
        <v>77.0</v>
      </c>
    </row>
    <row r="233" ht="14.25" customHeight="1">
      <c r="A233" s="3">
        <v>231.0</v>
      </c>
      <c r="B233" s="3" t="s">
        <v>6707</v>
      </c>
      <c r="C233" s="3">
        <v>42.0</v>
      </c>
      <c r="D233" s="3" t="s">
        <v>6645</v>
      </c>
      <c r="E233" s="3" t="s">
        <v>6646</v>
      </c>
      <c r="F233" s="3" t="s">
        <v>6646</v>
      </c>
      <c r="G233" s="3" t="s">
        <v>6645</v>
      </c>
      <c r="H233" s="3" t="s">
        <v>6645</v>
      </c>
      <c r="I233" s="3" t="s">
        <v>6646</v>
      </c>
      <c r="J233" s="3">
        <v>3.0</v>
      </c>
      <c r="K233" s="3">
        <v>4.0</v>
      </c>
      <c r="L233" s="3">
        <v>0.0</v>
      </c>
      <c r="M233" s="3">
        <v>0.0</v>
      </c>
      <c r="N233" s="3">
        <v>13899.853</v>
      </c>
      <c r="O233" s="3">
        <v>1548.0</v>
      </c>
      <c r="P233" s="3" t="e">
        <v>#N/A</v>
      </c>
      <c r="Q233" s="3">
        <v>84.0</v>
      </c>
      <c r="R233" s="3">
        <v>63.0</v>
      </c>
      <c r="S233" s="3">
        <v>64.0</v>
      </c>
      <c r="T233" s="3">
        <v>62.0</v>
      </c>
      <c r="U233" s="3">
        <v>69.0</v>
      </c>
      <c r="V233" s="3">
        <v>76.0</v>
      </c>
      <c r="W233" s="3">
        <v>64.0</v>
      </c>
      <c r="X233" s="3">
        <v>66.0</v>
      </c>
      <c r="Y233" s="3">
        <v>75.0</v>
      </c>
      <c r="Z233" s="3">
        <v>86.0</v>
      </c>
      <c r="AA233" s="3">
        <v>58.0</v>
      </c>
      <c r="AB233" s="3">
        <v>63.0</v>
      </c>
      <c r="AC233" s="3">
        <v>85.0</v>
      </c>
      <c r="AD233" s="3">
        <v>66.0</v>
      </c>
      <c r="AE233" s="3">
        <v>68.0</v>
      </c>
      <c r="AF233" s="3">
        <v>23.0</v>
      </c>
      <c r="AG233" s="3">
        <v>50.0</v>
      </c>
      <c r="AH233" s="3">
        <v>59.0</v>
      </c>
      <c r="AI233" s="3">
        <v>79.0</v>
      </c>
      <c r="AJ233" s="3">
        <v>62.0</v>
      </c>
      <c r="AK233" s="3">
        <v>70.0</v>
      </c>
      <c r="AL233" s="3">
        <v>47.0</v>
      </c>
      <c r="AM233" s="3">
        <v>63.0</v>
      </c>
      <c r="AN233" s="3">
        <v>78.0</v>
      </c>
    </row>
    <row r="234" ht="14.25" customHeight="1">
      <c r="A234" s="3">
        <v>232.0</v>
      </c>
      <c r="B234" s="3" t="s">
        <v>6708</v>
      </c>
      <c r="C234" s="3">
        <v>41.0</v>
      </c>
      <c r="D234" s="3" t="s">
        <v>6645</v>
      </c>
      <c r="E234" s="3" t="s">
        <v>6646</v>
      </c>
      <c r="F234" s="3" t="s">
        <v>6646</v>
      </c>
      <c r="G234" s="3" t="s">
        <v>6645</v>
      </c>
      <c r="H234" s="3" t="s">
        <v>6645</v>
      </c>
      <c r="I234" s="3" t="s">
        <v>6646</v>
      </c>
      <c r="J234" s="3">
        <v>3.0</v>
      </c>
      <c r="K234" s="3">
        <v>4.0</v>
      </c>
      <c r="L234" s="3">
        <v>0.0</v>
      </c>
      <c r="M234" s="3">
        <v>0.0</v>
      </c>
      <c r="N234" s="3">
        <v>14355.518</v>
      </c>
      <c r="O234" s="3">
        <v>1490.0</v>
      </c>
      <c r="P234" s="3" t="e">
        <v>#N/A</v>
      </c>
      <c r="Q234" s="3">
        <v>79.0</v>
      </c>
      <c r="R234" s="3">
        <v>68.0</v>
      </c>
      <c r="S234" s="3">
        <v>62.0</v>
      </c>
      <c r="T234" s="3">
        <v>64.0</v>
      </c>
      <c r="U234" s="3">
        <v>63.0</v>
      </c>
      <c r="V234" s="3">
        <v>85.0</v>
      </c>
      <c r="W234" s="3">
        <v>78.0</v>
      </c>
      <c r="X234" s="3">
        <v>73.0</v>
      </c>
      <c r="Y234" s="3">
        <v>76.0</v>
      </c>
      <c r="Z234" s="3">
        <v>81.0</v>
      </c>
      <c r="AA234" s="3">
        <v>66.0</v>
      </c>
      <c r="AB234" s="3">
        <v>59.0</v>
      </c>
      <c r="AC234" s="3">
        <v>87.0</v>
      </c>
      <c r="AD234" s="3">
        <v>63.0</v>
      </c>
      <c r="AE234" s="3">
        <v>62.0</v>
      </c>
      <c r="AF234" s="3">
        <v>62.0</v>
      </c>
      <c r="AG234" s="3">
        <v>51.0</v>
      </c>
      <c r="AH234" s="3">
        <v>26.0</v>
      </c>
      <c r="AI234" s="3">
        <v>85.0</v>
      </c>
      <c r="AJ234" s="3">
        <v>68.0</v>
      </c>
      <c r="AK234" s="3">
        <v>69.0</v>
      </c>
      <c r="AL234" s="3">
        <v>69.0</v>
      </c>
      <c r="AM234" s="3">
        <v>49.0</v>
      </c>
      <c r="AN234" s="3">
        <v>76.0</v>
      </c>
    </row>
    <row r="235" ht="14.25" customHeight="1">
      <c r="A235" s="3">
        <v>233.0</v>
      </c>
      <c r="B235" s="3" t="s">
        <v>6709</v>
      </c>
      <c r="C235" s="3">
        <v>34.0</v>
      </c>
      <c r="D235" s="3" t="s">
        <v>6645</v>
      </c>
      <c r="E235" s="3" t="s">
        <v>6646</v>
      </c>
      <c r="F235" s="3" t="s">
        <v>6646</v>
      </c>
      <c r="G235" s="3" t="s">
        <v>6645</v>
      </c>
      <c r="H235" s="3" t="s">
        <v>6645</v>
      </c>
      <c r="I235" s="3" t="s">
        <v>6645</v>
      </c>
      <c r="J235" s="3">
        <v>3.0</v>
      </c>
      <c r="K235" s="3">
        <v>3.0</v>
      </c>
      <c r="L235" s="3">
        <v>0.0</v>
      </c>
      <c r="M235" s="3">
        <v>0.0</v>
      </c>
      <c r="N235" s="3">
        <v>7589.56</v>
      </c>
      <c r="O235" s="3">
        <v>626.0</v>
      </c>
      <c r="P235" s="3" t="e">
        <v>#N/A</v>
      </c>
      <c r="Q235" s="3">
        <v>63.0</v>
      </c>
      <c r="R235" s="3">
        <v>62.0</v>
      </c>
      <c r="S235" s="3">
        <v>54.0</v>
      </c>
      <c r="T235" s="3">
        <v>52.0</v>
      </c>
      <c r="U235" s="3">
        <v>58.0</v>
      </c>
      <c r="V235" s="3">
        <v>64.0</v>
      </c>
      <c r="W235" s="3">
        <v>61.0</v>
      </c>
      <c r="X235" s="3">
        <v>51.0</v>
      </c>
      <c r="Y235" s="3">
        <v>62.0</v>
      </c>
      <c r="Z235" s="3">
        <v>69.0</v>
      </c>
      <c r="AA235" s="3">
        <v>60.0</v>
      </c>
      <c r="AB235" s="3">
        <v>58.0</v>
      </c>
      <c r="AC235" s="3">
        <v>66.0</v>
      </c>
      <c r="AD235" s="3">
        <v>60.0</v>
      </c>
      <c r="AE235" s="3">
        <v>55.0</v>
      </c>
      <c r="AF235" s="3">
        <v>34.0</v>
      </c>
      <c r="AG235" s="3">
        <v>64.0</v>
      </c>
      <c r="AH235" s="3">
        <v>59.0</v>
      </c>
      <c r="AI235" s="3">
        <v>76.0</v>
      </c>
      <c r="AJ235" s="3">
        <v>50.0</v>
      </c>
      <c r="AK235" s="3">
        <v>68.0</v>
      </c>
      <c r="AL235" s="3">
        <v>43.0</v>
      </c>
      <c r="AM235" s="3">
        <v>41.0</v>
      </c>
      <c r="AN235" s="3">
        <v>74.0</v>
      </c>
    </row>
    <row r="236" ht="14.25" customHeight="1">
      <c r="A236" s="3">
        <v>234.0</v>
      </c>
      <c r="B236" s="3" t="s">
        <v>6710</v>
      </c>
      <c r="C236" s="3">
        <v>35.0</v>
      </c>
      <c r="D236" s="3" t="s">
        <v>6645</v>
      </c>
      <c r="E236" s="3" t="s">
        <v>6646</v>
      </c>
      <c r="F236" s="3" t="s">
        <v>6646</v>
      </c>
      <c r="G236" s="3" t="s">
        <v>6645</v>
      </c>
      <c r="H236" s="3" t="s">
        <v>6645</v>
      </c>
      <c r="I236" s="3" t="s">
        <v>6645</v>
      </c>
      <c r="J236" s="3">
        <v>3.0</v>
      </c>
      <c r="K236" s="3">
        <v>3.0</v>
      </c>
      <c r="L236" s="3">
        <v>0.0</v>
      </c>
      <c r="M236" s="3">
        <v>0.0</v>
      </c>
      <c r="N236" s="3">
        <v>7672.39</v>
      </c>
      <c r="O236" s="3">
        <v>721.0</v>
      </c>
      <c r="P236" s="3" t="e">
        <v>#N/A</v>
      </c>
      <c r="Q236" s="3">
        <v>64.0</v>
      </c>
      <c r="R236" s="3">
        <v>60.0</v>
      </c>
      <c r="S236" s="3">
        <v>58.0</v>
      </c>
      <c r="T236" s="3">
        <v>54.0</v>
      </c>
      <c r="U236" s="3">
        <v>58.0</v>
      </c>
      <c r="V236" s="3">
        <v>64.0</v>
      </c>
      <c r="W236" s="3">
        <v>55.0</v>
      </c>
      <c r="X236" s="3">
        <v>56.0</v>
      </c>
      <c r="Y236" s="3">
        <v>68.0</v>
      </c>
      <c r="Z236" s="3">
        <v>62.0</v>
      </c>
      <c r="AA236" s="3">
        <v>56.0</v>
      </c>
      <c r="AB236" s="3">
        <v>48.0</v>
      </c>
      <c r="AC236" s="3">
        <v>67.0</v>
      </c>
      <c r="AD236" s="3">
        <v>53.0</v>
      </c>
      <c r="AE236" s="3">
        <v>60.0</v>
      </c>
      <c r="AF236" s="3">
        <v>47.0</v>
      </c>
      <c r="AG236" s="3">
        <v>46.0</v>
      </c>
      <c r="AH236" s="3">
        <v>53.0</v>
      </c>
      <c r="AI236" s="3">
        <v>86.0</v>
      </c>
      <c r="AJ236" s="3">
        <v>61.0</v>
      </c>
      <c r="AK236" s="3">
        <v>57.0</v>
      </c>
      <c r="AL236" s="3">
        <v>63.0</v>
      </c>
      <c r="AM236" s="3">
        <v>38.0</v>
      </c>
      <c r="AN236" s="3">
        <v>87.0</v>
      </c>
    </row>
    <row r="237" ht="14.25" customHeight="1">
      <c r="A237" s="3">
        <v>235.0</v>
      </c>
      <c r="B237" s="3" t="s">
        <v>6711</v>
      </c>
      <c r="C237" s="3">
        <v>39.0</v>
      </c>
      <c r="D237" s="3" t="s">
        <v>6645</v>
      </c>
      <c r="E237" s="3" t="s">
        <v>6646</v>
      </c>
      <c r="F237" s="3" t="s">
        <v>6646</v>
      </c>
      <c r="G237" s="3" t="s">
        <v>6645</v>
      </c>
      <c r="H237" s="3" t="s">
        <v>6645</v>
      </c>
      <c r="I237" s="3" t="s">
        <v>6646</v>
      </c>
      <c r="J237" s="3">
        <v>3.0</v>
      </c>
      <c r="K237" s="3">
        <v>3.0</v>
      </c>
      <c r="L237" s="3">
        <v>0.0</v>
      </c>
      <c r="M237" s="3">
        <v>0.0</v>
      </c>
      <c r="N237" s="3">
        <v>8935.25</v>
      </c>
      <c r="O237" s="3">
        <v>941.0</v>
      </c>
      <c r="P237" s="3" t="e">
        <v>#N/A</v>
      </c>
      <c r="Q237" s="3">
        <v>63.0</v>
      </c>
      <c r="R237" s="3">
        <v>52.0</v>
      </c>
      <c r="S237" s="3">
        <v>54.0</v>
      </c>
      <c r="T237" s="3">
        <v>58.0</v>
      </c>
      <c r="U237" s="3">
        <v>58.0</v>
      </c>
      <c r="V237" s="3">
        <v>66.0</v>
      </c>
      <c r="W237" s="3">
        <v>59.0</v>
      </c>
      <c r="X237" s="3">
        <v>49.0</v>
      </c>
      <c r="Y237" s="3">
        <v>65.0</v>
      </c>
      <c r="Z237" s="3">
        <v>68.0</v>
      </c>
      <c r="AA237" s="3">
        <v>48.0</v>
      </c>
      <c r="AB237" s="3">
        <v>50.0</v>
      </c>
      <c r="AC237" s="3">
        <v>66.0</v>
      </c>
      <c r="AD237" s="3">
        <v>62.0</v>
      </c>
      <c r="AE237" s="3">
        <v>58.0</v>
      </c>
      <c r="AF237" s="3">
        <v>46.0</v>
      </c>
      <c r="AG237" s="3">
        <v>62.0</v>
      </c>
      <c r="AH237" s="3">
        <v>21.0</v>
      </c>
      <c r="AI237" s="3">
        <v>85.0</v>
      </c>
      <c r="AJ237" s="3">
        <v>48.0</v>
      </c>
      <c r="AK237" s="3">
        <v>52.0</v>
      </c>
      <c r="AL237" s="3">
        <v>58.0</v>
      </c>
      <c r="AM237" s="3">
        <v>52.0</v>
      </c>
      <c r="AN237" s="3">
        <v>79.0</v>
      </c>
    </row>
    <row r="238" ht="14.25" customHeight="1">
      <c r="A238" s="3">
        <v>236.0</v>
      </c>
      <c r="B238" s="3" t="s">
        <v>6712</v>
      </c>
      <c r="C238" s="3">
        <v>31.0</v>
      </c>
      <c r="D238" s="3" t="s">
        <v>6645</v>
      </c>
      <c r="E238" s="3" t="s">
        <v>6646</v>
      </c>
      <c r="F238" s="3" t="s">
        <v>6646</v>
      </c>
      <c r="G238" s="3" t="s">
        <v>6645</v>
      </c>
      <c r="H238" s="3" t="s">
        <v>6645</v>
      </c>
      <c r="I238" s="3" t="s">
        <v>6646</v>
      </c>
      <c r="J238" s="3">
        <v>3.0</v>
      </c>
      <c r="K238" s="3">
        <v>3.0</v>
      </c>
      <c r="L238" s="3">
        <v>0.0</v>
      </c>
      <c r="M238" s="3">
        <v>0.0</v>
      </c>
      <c r="N238" s="3">
        <v>7329.83</v>
      </c>
      <c r="O238" s="3">
        <v>878.0</v>
      </c>
      <c r="P238" s="3" t="e">
        <v>#N/A</v>
      </c>
      <c r="Q238" s="3">
        <v>57.0</v>
      </c>
      <c r="R238" s="3">
        <v>58.0</v>
      </c>
      <c r="S238" s="3">
        <v>56.0</v>
      </c>
      <c r="T238" s="3">
        <v>62.0</v>
      </c>
      <c r="U238" s="3">
        <v>54.0</v>
      </c>
      <c r="V238" s="3">
        <v>58.0</v>
      </c>
      <c r="W238" s="3">
        <v>58.0</v>
      </c>
      <c r="X238" s="3">
        <v>51.0</v>
      </c>
      <c r="Y238" s="3">
        <v>62.0</v>
      </c>
      <c r="Z238" s="3">
        <v>65.0</v>
      </c>
      <c r="AA238" s="3">
        <v>53.0</v>
      </c>
      <c r="AB238" s="3">
        <v>54.0</v>
      </c>
      <c r="AC238" s="3">
        <v>61.0</v>
      </c>
      <c r="AD238" s="3">
        <v>53.0</v>
      </c>
      <c r="AE238" s="3">
        <v>56.0</v>
      </c>
      <c r="AF238" s="3">
        <v>64.0</v>
      </c>
      <c r="AG238" s="3">
        <v>50.0</v>
      </c>
      <c r="AH238" s="3">
        <v>41.0</v>
      </c>
      <c r="AI238" s="3">
        <v>78.0</v>
      </c>
      <c r="AJ238" s="3">
        <v>19.0</v>
      </c>
      <c r="AK238" s="3">
        <v>46.0</v>
      </c>
      <c r="AL238" s="3">
        <v>46.0</v>
      </c>
      <c r="AM238" s="3">
        <v>66.0</v>
      </c>
      <c r="AN238" s="3">
        <v>75.0</v>
      </c>
    </row>
    <row r="239" ht="14.25" customHeight="1">
      <c r="A239" s="3">
        <v>237.0</v>
      </c>
      <c r="B239" s="3" t="s">
        <v>6713</v>
      </c>
      <c r="C239" s="3">
        <v>28.0</v>
      </c>
      <c r="D239" s="3" t="s">
        <v>6645</v>
      </c>
      <c r="E239" s="3" t="s">
        <v>6646</v>
      </c>
      <c r="F239" s="3" t="s">
        <v>6646</v>
      </c>
      <c r="G239" s="3" t="s">
        <v>6645</v>
      </c>
      <c r="H239" s="3" t="s">
        <v>6645</v>
      </c>
      <c r="I239" s="3" t="s">
        <v>6646</v>
      </c>
      <c r="J239" s="3">
        <v>3.0</v>
      </c>
      <c r="K239" s="3">
        <v>2.0</v>
      </c>
      <c r="L239" s="3">
        <v>0.0</v>
      </c>
      <c r="M239" s="3">
        <v>0.0</v>
      </c>
      <c r="N239" s="3">
        <v>4233.8</v>
      </c>
      <c r="O239" s="3">
        <v>323.0</v>
      </c>
      <c r="P239" s="3" t="e">
        <v>#N/A</v>
      </c>
      <c r="Q239" s="3">
        <v>45.0</v>
      </c>
      <c r="R239" s="3">
        <v>46.0</v>
      </c>
      <c r="S239" s="3">
        <v>54.0</v>
      </c>
      <c r="T239" s="3">
        <v>50.0</v>
      </c>
      <c r="U239" s="3">
        <v>49.0</v>
      </c>
      <c r="V239" s="3">
        <v>52.0</v>
      </c>
      <c r="W239" s="3">
        <v>41.0</v>
      </c>
      <c r="X239" s="3">
        <v>53.0</v>
      </c>
      <c r="Y239" s="3">
        <v>55.0</v>
      </c>
      <c r="Z239" s="3">
        <v>55.0</v>
      </c>
      <c r="AA239" s="3">
        <v>43.0</v>
      </c>
      <c r="AB239" s="3">
        <v>46.0</v>
      </c>
      <c r="AC239" s="3">
        <v>58.0</v>
      </c>
      <c r="AD239" s="3">
        <v>54.0</v>
      </c>
      <c r="AE239" s="3">
        <v>40.0</v>
      </c>
      <c r="AF239" s="3">
        <v>46.0</v>
      </c>
      <c r="AG239" s="3">
        <v>62.0</v>
      </c>
      <c r="AH239" s="3">
        <v>56.0</v>
      </c>
      <c r="AI239" s="3">
        <v>74.0</v>
      </c>
      <c r="AJ239" s="3">
        <v>50.0</v>
      </c>
      <c r="AK239" s="3">
        <v>48.0</v>
      </c>
      <c r="AL239" s="3">
        <v>10.0</v>
      </c>
      <c r="AM239" s="3">
        <v>33.0</v>
      </c>
      <c r="AN239" s="3">
        <v>75.0</v>
      </c>
    </row>
    <row r="240" ht="14.25" customHeight="1">
      <c r="A240" s="3">
        <v>238.0</v>
      </c>
      <c r="B240" s="3" t="s">
        <v>6714</v>
      </c>
      <c r="C240" s="3">
        <v>32.0</v>
      </c>
      <c r="D240" s="3" t="s">
        <v>6645</v>
      </c>
      <c r="E240" s="3" t="s">
        <v>6646</v>
      </c>
      <c r="F240" s="3" t="s">
        <v>6646</v>
      </c>
      <c r="G240" s="3" t="s">
        <v>6645</v>
      </c>
      <c r="H240" s="3" t="s">
        <v>6645</v>
      </c>
      <c r="I240" s="3" t="s">
        <v>6646</v>
      </c>
      <c r="J240" s="3">
        <v>3.0</v>
      </c>
      <c r="K240" s="3">
        <v>2.0</v>
      </c>
      <c r="L240" s="3">
        <v>0.0</v>
      </c>
      <c r="M240" s="3">
        <v>0.0</v>
      </c>
      <c r="N240" s="3">
        <v>4629.1586</v>
      </c>
      <c r="O240" s="3">
        <v>338.0</v>
      </c>
      <c r="P240" s="3" t="e">
        <v>#N/A</v>
      </c>
      <c r="Q240" s="3">
        <v>51.0</v>
      </c>
      <c r="R240" s="3">
        <v>51.0</v>
      </c>
      <c r="S240" s="3">
        <v>48.0</v>
      </c>
      <c r="T240" s="3">
        <v>54.0</v>
      </c>
      <c r="U240" s="3">
        <v>51.0</v>
      </c>
      <c r="V240" s="3">
        <v>51.0</v>
      </c>
      <c r="W240" s="3">
        <v>48.0</v>
      </c>
      <c r="X240" s="3">
        <v>46.0</v>
      </c>
      <c r="Y240" s="3">
        <v>59.0</v>
      </c>
      <c r="Z240" s="3">
        <v>56.0</v>
      </c>
      <c r="AA240" s="3">
        <v>45.0</v>
      </c>
      <c r="AB240" s="3">
        <v>53.0</v>
      </c>
      <c r="AC240" s="3">
        <v>59.0</v>
      </c>
      <c r="AD240" s="3">
        <v>51.0</v>
      </c>
      <c r="AE240" s="3">
        <v>42.0</v>
      </c>
      <c r="AF240" s="3">
        <v>18.0</v>
      </c>
      <c r="AG240" s="3">
        <v>40.0</v>
      </c>
      <c r="AH240" s="3">
        <v>28.0</v>
      </c>
      <c r="AI240" s="3">
        <v>74.0</v>
      </c>
      <c r="AJ240" s="3">
        <v>62.0</v>
      </c>
      <c r="AK240" s="3">
        <v>60.0</v>
      </c>
      <c r="AL240" s="3">
        <v>52.0</v>
      </c>
      <c r="AM240" s="3">
        <v>60.0</v>
      </c>
      <c r="AN240" s="3">
        <v>76.0</v>
      </c>
    </row>
    <row r="241" ht="14.25" customHeight="1">
      <c r="A241" s="3">
        <v>239.0</v>
      </c>
      <c r="B241" s="3" t="s">
        <v>6715</v>
      </c>
      <c r="C241" s="3">
        <v>34.0</v>
      </c>
      <c r="D241" s="3" t="s">
        <v>6645</v>
      </c>
      <c r="E241" s="3" t="s">
        <v>6646</v>
      </c>
      <c r="F241" s="3" t="s">
        <v>6646</v>
      </c>
      <c r="G241" s="3" t="s">
        <v>6645</v>
      </c>
      <c r="H241" s="3" t="s">
        <v>6645</v>
      </c>
      <c r="I241" s="3" t="s">
        <v>6645</v>
      </c>
      <c r="J241" s="3">
        <v>3.0</v>
      </c>
      <c r="K241" s="3">
        <v>2.0</v>
      </c>
      <c r="L241" s="3">
        <v>0.0</v>
      </c>
      <c r="M241" s="3">
        <v>0.0</v>
      </c>
      <c r="N241" s="3">
        <v>3900.6474</v>
      </c>
      <c r="O241" s="3">
        <v>466.0</v>
      </c>
      <c r="P241" s="3" t="e">
        <v>#N/A</v>
      </c>
      <c r="Q241" s="3">
        <v>52.0</v>
      </c>
      <c r="R241" s="3">
        <v>47.0</v>
      </c>
      <c r="S241" s="3">
        <v>51.0</v>
      </c>
      <c r="T241" s="3">
        <v>47.0</v>
      </c>
      <c r="U241" s="3">
        <v>51.0</v>
      </c>
      <c r="V241" s="3">
        <v>47.0</v>
      </c>
      <c r="W241" s="3">
        <v>54.0</v>
      </c>
      <c r="X241" s="3">
        <v>46.0</v>
      </c>
      <c r="Y241" s="3">
        <v>58.0</v>
      </c>
      <c r="Z241" s="3">
        <v>56.0</v>
      </c>
      <c r="AA241" s="3">
        <v>44.0</v>
      </c>
      <c r="AB241" s="3">
        <v>43.0</v>
      </c>
      <c r="AC241" s="3">
        <v>53.0</v>
      </c>
      <c r="AD241" s="3">
        <v>54.0</v>
      </c>
      <c r="AE241" s="3">
        <v>51.0</v>
      </c>
      <c r="AF241" s="3">
        <v>46.0</v>
      </c>
      <c r="AG241" s="3">
        <v>28.0</v>
      </c>
      <c r="AH241" s="3">
        <v>48.0</v>
      </c>
      <c r="AI241" s="3">
        <v>82.0</v>
      </c>
      <c r="AJ241" s="3">
        <v>38.0</v>
      </c>
      <c r="AK241" s="3">
        <v>64.0</v>
      </c>
      <c r="AL241" s="3">
        <v>36.0</v>
      </c>
      <c r="AM241" s="3">
        <v>44.0</v>
      </c>
      <c r="AN241" s="3">
        <v>70.0</v>
      </c>
    </row>
    <row r="242" ht="14.25" customHeight="1">
      <c r="A242" s="3">
        <v>240.0</v>
      </c>
      <c r="B242" s="3" t="s">
        <v>6716</v>
      </c>
      <c r="C242" s="3">
        <v>34.0</v>
      </c>
      <c r="D242" s="3" t="s">
        <v>6645</v>
      </c>
      <c r="E242" s="3" t="s">
        <v>6646</v>
      </c>
      <c r="F242" s="3" t="s">
        <v>6646</v>
      </c>
      <c r="G242" s="3" t="s">
        <v>6645</v>
      </c>
      <c r="H242" s="3" t="s">
        <v>6645</v>
      </c>
      <c r="I242" s="3" t="s">
        <v>6645</v>
      </c>
      <c r="J242" s="3">
        <v>3.0</v>
      </c>
      <c r="K242" s="3">
        <v>2.0</v>
      </c>
      <c r="L242" s="3">
        <v>0.0</v>
      </c>
      <c r="M242" s="3">
        <v>0.0</v>
      </c>
      <c r="N242" s="3">
        <v>4317.2607</v>
      </c>
      <c r="O242" s="3">
        <v>392.0</v>
      </c>
      <c r="P242" s="3" t="e">
        <v>#N/A</v>
      </c>
      <c r="Q242" s="3">
        <v>48.0</v>
      </c>
      <c r="R242" s="3">
        <v>48.0</v>
      </c>
      <c r="S242" s="3">
        <v>50.0</v>
      </c>
      <c r="T242" s="3">
        <v>50.0</v>
      </c>
      <c r="U242" s="3">
        <v>54.0</v>
      </c>
      <c r="V242" s="3">
        <v>53.0</v>
      </c>
      <c r="W242" s="3">
        <v>40.0</v>
      </c>
      <c r="X242" s="3">
        <v>42.0</v>
      </c>
      <c r="Y242" s="3">
        <v>53.0</v>
      </c>
      <c r="Z242" s="3">
        <v>55.0</v>
      </c>
      <c r="AA242" s="3">
        <v>54.0</v>
      </c>
      <c r="AB242" s="3">
        <v>53.0</v>
      </c>
      <c r="AC242" s="3">
        <v>55.0</v>
      </c>
      <c r="AD242" s="3">
        <v>44.0</v>
      </c>
      <c r="AE242" s="3">
        <v>45.0</v>
      </c>
      <c r="AF242" s="3">
        <v>38.0</v>
      </c>
      <c r="AG242" s="3">
        <v>62.0</v>
      </c>
      <c r="AH242" s="3">
        <v>54.0</v>
      </c>
      <c r="AI242" s="3">
        <v>78.0</v>
      </c>
      <c r="AJ242" s="3">
        <v>48.0</v>
      </c>
      <c r="AK242" s="3">
        <v>38.0</v>
      </c>
      <c r="AL242" s="3">
        <v>40.0</v>
      </c>
      <c r="AM242" s="3">
        <v>30.0</v>
      </c>
      <c r="AN242" s="3">
        <v>80.0</v>
      </c>
    </row>
    <row r="243" ht="14.25" customHeight="1">
      <c r="A243" s="3">
        <v>241.0</v>
      </c>
      <c r="B243" s="3" t="s">
        <v>6717</v>
      </c>
      <c r="C243" s="3">
        <v>23.0</v>
      </c>
      <c r="D243" s="3" t="s">
        <v>6645</v>
      </c>
      <c r="E243" s="3" t="s">
        <v>6646</v>
      </c>
      <c r="F243" s="3" t="s">
        <v>6646</v>
      </c>
      <c r="G243" s="3" t="s">
        <v>6645</v>
      </c>
      <c r="H243" s="3" t="s">
        <v>6645</v>
      </c>
      <c r="I243" s="3" t="s">
        <v>6645</v>
      </c>
      <c r="J243" s="3">
        <v>3.0</v>
      </c>
      <c r="K243" s="3">
        <v>1.0</v>
      </c>
      <c r="L243" s="3">
        <v>0.0</v>
      </c>
      <c r="M243" s="3">
        <v>0.0</v>
      </c>
      <c r="N243" s="3">
        <v>2023.3288</v>
      </c>
      <c r="O243" s="3">
        <v>208.0</v>
      </c>
      <c r="P243" s="3" t="e">
        <v>#N/A</v>
      </c>
      <c r="Q243" s="3">
        <v>42.0</v>
      </c>
      <c r="R243" s="3">
        <v>46.0</v>
      </c>
      <c r="S243" s="3">
        <v>46.0</v>
      </c>
      <c r="T243" s="3">
        <v>42.0</v>
      </c>
      <c r="U243" s="3">
        <v>38.0</v>
      </c>
      <c r="V243" s="3">
        <v>46.0</v>
      </c>
      <c r="W243" s="3">
        <v>40.0</v>
      </c>
      <c r="X243" s="3">
        <v>35.0</v>
      </c>
      <c r="Y243" s="3">
        <v>53.0</v>
      </c>
      <c r="Z243" s="3">
        <v>51.0</v>
      </c>
      <c r="AA243" s="3">
        <v>37.0</v>
      </c>
      <c r="AB243" s="3">
        <v>44.0</v>
      </c>
      <c r="AC243" s="3">
        <v>49.0</v>
      </c>
      <c r="AD243" s="3">
        <v>35.0</v>
      </c>
      <c r="AE243" s="3">
        <v>46.0</v>
      </c>
      <c r="AF243" s="3">
        <v>21.0</v>
      </c>
      <c r="AG243" s="3">
        <v>30.0</v>
      </c>
      <c r="AH243" s="3">
        <v>61.0</v>
      </c>
      <c r="AI243" s="3">
        <v>72.0</v>
      </c>
      <c r="AJ243" s="3">
        <v>48.0</v>
      </c>
      <c r="AK243" s="3">
        <v>55.0</v>
      </c>
      <c r="AL243" s="3">
        <v>61.0</v>
      </c>
      <c r="AM243" s="3">
        <v>54.0</v>
      </c>
      <c r="AN243" s="3">
        <v>75.0</v>
      </c>
    </row>
    <row r="244" ht="14.25" customHeight="1">
      <c r="A244" s="3">
        <v>242.0</v>
      </c>
      <c r="B244" s="3" t="s">
        <v>6718</v>
      </c>
      <c r="C244" s="3">
        <v>24.0</v>
      </c>
      <c r="D244" s="3" t="s">
        <v>6645</v>
      </c>
      <c r="E244" s="3" t="s">
        <v>6646</v>
      </c>
      <c r="F244" s="3" t="s">
        <v>6646</v>
      </c>
      <c r="G244" s="3" t="s">
        <v>6645</v>
      </c>
      <c r="H244" s="3" t="s">
        <v>6645</v>
      </c>
      <c r="I244" s="3" t="s">
        <v>6645</v>
      </c>
      <c r="J244" s="3">
        <v>3.0</v>
      </c>
      <c r="K244" s="3">
        <v>1.0</v>
      </c>
      <c r="L244" s="3">
        <v>0.0</v>
      </c>
      <c r="M244" s="3">
        <v>0.0</v>
      </c>
      <c r="N244" s="3">
        <v>1818.7482</v>
      </c>
      <c r="O244" s="3">
        <v>216.0</v>
      </c>
      <c r="P244" s="3" t="e">
        <v>#N/A</v>
      </c>
      <c r="Q244" s="3">
        <v>40.0</v>
      </c>
      <c r="R244" s="3">
        <v>44.0</v>
      </c>
      <c r="S244" s="3">
        <v>40.0</v>
      </c>
      <c r="T244" s="3">
        <v>38.0</v>
      </c>
      <c r="U244" s="3">
        <v>40.0</v>
      </c>
      <c r="V244" s="3">
        <v>44.0</v>
      </c>
      <c r="W244" s="3">
        <v>40.0</v>
      </c>
      <c r="X244" s="3">
        <v>46.0</v>
      </c>
      <c r="Y244" s="3">
        <v>46.0</v>
      </c>
      <c r="Z244" s="3">
        <v>55.0</v>
      </c>
      <c r="AA244" s="3">
        <v>37.0</v>
      </c>
      <c r="AB244" s="3">
        <v>42.0</v>
      </c>
      <c r="AC244" s="3">
        <v>43.0</v>
      </c>
      <c r="AD244" s="3">
        <v>33.0</v>
      </c>
      <c r="AE244" s="3">
        <v>30.0</v>
      </c>
      <c r="AF244" s="3">
        <v>37.0</v>
      </c>
      <c r="AG244" s="3">
        <v>26.0</v>
      </c>
      <c r="AH244" s="3">
        <v>54.0</v>
      </c>
      <c r="AI244" s="3">
        <v>66.0</v>
      </c>
      <c r="AJ244" s="3">
        <v>35.0</v>
      </c>
      <c r="AK244" s="3">
        <v>5.0</v>
      </c>
      <c r="AL244" s="3">
        <v>38.0</v>
      </c>
      <c r="AM244" s="3">
        <v>33.0</v>
      </c>
      <c r="AN244" s="3">
        <v>79.0</v>
      </c>
    </row>
    <row r="245" ht="14.25" customHeight="1">
      <c r="A245" s="3">
        <v>243.0</v>
      </c>
      <c r="B245" s="3" t="s">
        <v>6719</v>
      </c>
      <c r="C245" s="3">
        <v>23.0</v>
      </c>
      <c r="D245" s="3" t="s">
        <v>6645</v>
      </c>
      <c r="E245" s="3" t="s">
        <v>6646</v>
      </c>
      <c r="F245" s="3" t="s">
        <v>6646</v>
      </c>
      <c r="G245" s="3" t="s">
        <v>6645</v>
      </c>
      <c r="H245" s="3" t="s">
        <v>6645</v>
      </c>
      <c r="I245" s="3" t="s">
        <v>6646</v>
      </c>
      <c r="J245" s="3">
        <v>3.0</v>
      </c>
      <c r="K245" s="3">
        <v>1.0</v>
      </c>
      <c r="L245" s="3">
        <v>0.0</v>
      </c>
      <c r="M245" s="3">
        <v>0.0</v>
      </c>
      <c r="N245" s="3">
        <v>1876.5441</v>
      </c>
      <c r="O245" s="3">
        <v>165.0</v>
      </c>
      <c r="P245" s="3" t="e">
        <v>#N/A</v>
      </c>
      <c r="Q245" s="3">
        <v>42.0</v>
      </c>
      <c r="R245" s="3">
        <v>40.0</v>
      </c>
      <c r="S245" s="3">
        <v>38.0</v>
      </c>
      <c r="T245" s="3">
        <v>46.0</v>
      </c>
      <c r="U245" s="3">
        <v>44.0</v>
      </c>
      <c r="V245" s="3">
        <v>40.0</v>
      </c>
      <c r="W245" s="3">
        <v>44.0</v>
      </c>
      <c r="X245" s="3">
        <v>33.0</v>
      </c>
      <c r="Y245" s="3">
        <v>51.0</v>
      </c>
      <c r="Z245" s="3">
        <v>45.0</v>
      </c>
      <c r="AA245" s="3">
        <v>35.0</v>
      </c>
      <c r="AB245" s="3">
        <v>42.0</v>
      </c>
      <c r="AC245" s="3">
        <v>53.0</v>
      </c>
      <c r="AD245" s="3">
        <v>42.0</v>
      </c>
      <c r="AE245" s="3">
        <v>35.0</v>
      </c>
      <c r="AF245" s="3">
        <v>29.0</v>
      </c>
      <c r="AG245" s="3">
        <v>37.0</v>
      </c>
      <c r="AH245" s="3">
        <v>51.0</v>
      </c>
      <c r="AI245" s="3">
        <v>72.0</v>
      </c>
      <c r="AJ245" s="3">
        <v>59.0</v>
      </c>
      <c r="AK245" s="3">
        <v>52.0</v>
      </c>
      <c r="AL245" s="3">
        <v>57.0</v>
      </c>
      <c r="AM245" s="3">
        <v>29.0</v>
      </c>
      <c r="AN245" s="3">
        <v>75.0</v>
      </c>
    </row>
    <row r="246" ht="14.25" customHeight="1">
      <c r="A246" s="3">
        <v>244.0</v>
      </c>
      <c r="B246" s="3" t="s">
        <v>6720</v>
      </c>
      <c r="C246" s="3">
        <v>26.0</v>
      </c>
      <c r="D246" s="3" t="s">
        <v>6645</v>
      </c>
      <c r="E246" s="3" t="s">
        <v>6646</v>
      </c>
      <c r="F246" s="3" t="s">
        <v>6646</v>
      </c>
      <c r="G246" s="3" t="s">
        <v>6645</v>
      </c>
      <c r="H246" s="3" t="s">
        <v>6645</v>
      </c>
      <c r="I246" s="3" t="s">
        <v>6646</v>
      </c>
      <c r="J246" s="3">
        <v>3.0</v>
      </c>
      <c r="K246" s="3">
        <v>1.0</v>
      </c>
      <c r="L246" s="3">
        <v>0.0</v>
      </c>
      <c r="M246" s="3">
        <v>0.0</v>
      </c>
      <c r="N246" s="3">
        <v>1745.4007</v>
      </c>
      <c r="O246" s="3">
        <v>183.0</v>
      </c>
      <c r="P246" s="3" t="e">
        <v>#N/A</v>
      </c>
      <c r="Q246" s="3">
        <v>42.0</v>
      </c>
      <c r="R246" s="3">
        <v>44.0</v>
      </c>
      <c r="S246" s="3">
        <v>42.0</v>
      </c>
      <c r="T246" s="3">
        <v>42.0</v>
      </c>
      <c r="U246" s="3">
        <v>44.0</v>
      </c>
      <c r="V246" s="3">
        <v>44.0</v>
      </c>
      <c r="W246" s="3">
        <v>37.0</v>
      </c>
      <c r="X246" s="3">
        <v>42.0</v>
      </c>
      <c r="Y246" s="3">
        <v>43.0</v>
      </c>
      <c r="Z246" s="3">
        <v>47.0</v>
      </c>
      <c r="AA246" s="3">
        <v>40.0</v>
      </c>
      <c r="AB246" s="3">
        <v>38.0</v>
      </c>
      <c r="AC246" s="3">
        <v>55.0</v>
      </c>
      <c r="AD246" s="3">
        <v>41.0</v>
      </c>
      <c r="AE246" s="3">
        <v>33.0</v>
      </c>
      <c r="AF246" s="3">
        <v>7.0</v>
      </c>
      <c r="AG246" s="3">
        <v>41.0</v>
      </c>
      <c r="AH246" s="3">
        <v>54.0</v>
      </c>
      <c r="AI246" s="3">
        <v>73.0</v>
      </c>
      <c r="AJ246" s="3">
        <v>39.0</v>
      </c>
      <c r="AK246" s="3">
        <v>40.0</v>
      </c>
      <c r="AL246" s="3">
        <v>50.0</v>
      </c>
      <c r="AM246" s="3">
        <v>36.0</v>
      </c>
      <c r="AN246" s="3">
        <v>81.0</v>
      </c>
    </row>
    <row r="247" ht="14.25" customHeight="1">
      <c r="A247" s="3">
        <v>245.0</v>
      </c>
      <c r="B247" s="3" t="s">
        <v>6721</v>
      </c>
      <c r="C247" s="3">
        <v>29.0</v>
      </c>
      <c r="D247" s="3" t="s">
        <v>6645</v>
      </c>
      <c r="E247" s="3" t="s">
        <v>6646</v>
      </c>
      <c r="F247" s="3" t="s">
        <v>6646</v>
      </c>
      <c r="G247" s="3" t="s">
        <v>6645</v>
      </c>
      <c r="H247" s="3" t="s">
        <v>6645</v>
      </c>
      <c r="I247" s="3" t="s">
        <v>6646</v>
      </c>
      <c r="J247" s="3">
        <v>3.0</v>
      </c>
      <c r="K247" s="3">
        <v>1.0</v>
      </c>
      <c r="L247" s="3">
        <v>0.0</v>
      </c>
      <c r="M247" s="3">
        <v>0.0</v>
      </c>
      <c r="N247" s="3">
        <v>1924.1303</v>
      </c>
      <c r="O247" s="3">
        <v>152.0</v>
      </c>
      <c r="P247" s="3" t="e">
        <v>#N/A</v>
      </c>
      <c r="Q247" s="3">
        <v>42.0</v>
      </c>
      <c r="R247" s="3">
        <v>42.0</v>
      </c>
      <c r="S247" s="3">
        <v>42.0</v>
      </c>
      <c r="T247" s="3">
        <v>40.0</v>
      </c>
      <c r="U247" s="3">
        <v>40.0</v>
      </c>
      <c r="V247" s="3">
        <v>42.0</v>
      </c>
      <c r="W247" s="3">
        <v>35.0</v>
      </c>
      <c r="X247" s="3">
        <v>44.0</v>
      </c>
      <c r="Y247" s="3">
        <v>53.0</v>
      </c>
      <c r="Z247" s="3">
        <v>49.0</v>
      </c>
      <c r="AA247" s="3">
        <v>42.0</v>
      </c>
      <c r="AB247" s="3">
        <v>29.0</v>
      </c>
      <c r="AC247" s="3">
        <v>55.0</v>
      </c>
      <c r="AD247" s="3">
        <v>31.0</v>
      </c>
      <c r="AE247" s="3">
        <v>38.0</v>
      </c>
      <c r="AF247" s="3">
        <v>33.0</v>
      </c>
      <c r="AG247" s="3">
        <v>35.0</v>
      </c>
      <c r="AH247" s="3">
        <v>46.0</v>
      </c>
      <c r="AI247" s="3">
        <v>75.0</v>
      </c>
      <c r="AJ247" s="3">
        <v>26.0</v>
      </c>
      <c r="AK247" s="3">
        <v>59.0</v>
      </c>
      <c r="AL247" s="3">
        <v>33.0</v>
      </c>
      <c r="AM247" s="3">
        <v>55.0</v>
      </c>
      <c r="AN247" s="3">
        <v>72.0</v>
      </c>
    </row>
    <row r="248" ht="14.25" customHeight="1">
      <c r="A248" s="3">
        <v>246.0</v>
      </c>
      <c r="B248" s="3" t="s">
        <v>6722</v>
      </c>
      <c r="C248" s="3">
        <v>20.0</v>
      </c>
      <c r="D248" s="3" t="s">
        <v>6645</v>
      </c>
      <c r="E248" s="3" t="s">
        <v>6646</v>
      </c>
      <c r="F248" s="3" t="s">
        <v>6646</v>
      </c>
      <c r="G248" s="3" t="s">
        <v>6645</v>
      </c>
      <c r="H248" s="3" t="s">
        <v>6645</v>
      </c>
      <c r="I248" s="3" t="s">
        <v>6646</v>
      </c>
      <c r="J248" s="3">
        <v>3.0</v>
      </c>
      <c r="K248" s="3">
        <v>0.0</v>
      </c>
      <c r="L248" s="3">
        <v>0.0</v>
      </c>
      <c r="M248" s="3">
        <v>0.0</v>
      </c>
      <c r="N248" s="3">
        <v>458.941</v>
      </c>
      <c r="O248" s="3">
        <v>120.0</v>
      </c>
      <c r="P248" s="3" t="e">
        <v>#N/A</v>
      </c>
      <c r="Q248" s="3">
        <v>37.0</v>
      </c>
      <c r="R248" s="3">
        <v>30.0</v>
      </c>
      <c r="S248" s="3">
        <v>32.0</v>
      </c>
      <c r="T248" s="3">
        <v>33.0</v>
      </c>
      <c r="U248" s="3">
        <v>37.0</v>
      </c>
      <c r="V248" s="3">
        <v>32.0</v>
      </c>
      <c r="W248" s="3">
        <v>24.0</v>
      </c>
      <c r="X248" s="3">
        <v>33.0</v>
      </c>
      <c r="Y248" s="3">
        <v>39.0</v>
      </c>
      <c r="Z248" s="3">
        <v>37.0</v>
      </c>
      <c r="AA248" s="3">
        <v>36.0</v>
      </c>
      <c r="AB248" s="3">
        <v>31.0</v>
      </c>
      <c r="AC248" s="3">
        <v>43.0</v>
      </c>
      <c r="AD248" s="3">
        <v>34.0</v>
      </c>
      <c r="AE248" s="3">
        <v>32.0</v>
      </c>
      <c r="AF248" s="3">
        <v>50.0</v>
      </c>
      <c r="AG248" s="3">
        <v>47.0</v>
      </c>
      <c r="AH248" s="3">
        <v>38.0</v>
      </c>
      <c r="AI248" s="3">
        <v>71.0</v>
      </c>
      <c r="AJ248" s="3">
        <v>38.0</v>
      </c>
      <c r="AK248" s="3">
        <v>41.0</v>
      </c>
      <c r="AL248" s="3">
        <v>17.0</v>
      </c>
      <c r="AM248" s="3">
        <v>22.0</v>
      </c>
      <c r="AN248" s="3">
        <v>69.0</v>
      </c>
    </row>
    <row r="249" ht="14.25" customHeight="1">
      <c r="A249" s="3">
        <v>247.0</v>
      </c>
      <c r="B249" s="3" t="s">
        <v>6723</v>
      </c>
      <c r="C249" s="3">
        <v>19.0</v>
      </c>
      <c r="D249" s="3" t="s">
        <v>6645</v>
      </c>
      <c r="E249" s="3" t="s">
        <v>6646</v>
      </c>
      <c r="F249" s="3" t="s">
        <v>6646</v>
      </c>
      <c r="G249" s="3" t="s">
        <v>6645</v>
      </c>
      <c r="H249" s="3" t="s">
        <v>6645</v>
      </c>
      <c r="I249" s="3" t="s">
        <v>6646</v>
      </c>
      <c r="J249" s="3">
        <v>3.0</v>
      </c>
      <c r="K249" s="3">
        <v>0.0</v>
      </c>
      <c r="L249" s="3">
        <v>0.0</v>
      </c>
      <c r="M249" s="3">
        <v>0.0</v>
      </c>
      <c r="N249" s="3">
        <v>524.22454</v>
      </c>
      <c r="O249" s="3">
        <v>82.0</v>
      </c>
      <c r="P249" s="3" t="e">
        <v>#N/A</v>
      </c>
      <c r="Q249" s="3">
        <v>31.0</v>
      </c>
      <c r="R249" s="3">
        <v>35.0</v>
      </c>
      <c r="S249" s="3">
        <v>33.0</v>
      </c>
      <c r="T249" s="3">
        <v>33.0</v>
      </c>
      <c r="U249" s="3">
        <v>37.0</v>
      </c>
      <c r="V249" s="3">
        <v>32.0</v>
      </c>
      <c r="W249" s="3">
        <v>23.0</v>
      </c>
      <c r="X249" s="3">
        <v>32.0</v>
      </c>
      <c r="Y249" s="3">
        <v>41.0</v>
      </c>
      <c r="Z249" s="3">
        <v>43.0</v>
      </c>
      <c r="AA249" s="3">
        <v>38.0</v>
      </c>
      <c r="AB249" s="3">
        <v>35.0</v>
      </c>
      <c r="AC249" s="3">
        <v>46.0</v>
      </c>
      <c r="AD249" s="3">
        <v>36.0</v>
      </c>
      <c r="AE249" s="3">
        <v>24.0</v>
      </c>
      <c r="AF249" s="3">
        <v>55.0</v>
      </c>
      <c r="AG249" s="3">
        <v>38.0</v>
      </c>
      <c r="AH249" s="3">
        <v>6.0</v>
      </c>
      <c r="AI249" s="3">
        <v>66.0</v>
      </c>
      <c r="AJ249" s="3">
        <v>6.0</v>
      </c>
      <c r="AK249" s="3">
        <v>33.0</v>
      </c>
      <c r="AL249" s="3">
        <v>37.0</v>
      </c>
      <c r="AM249" s="3">
        <v>32.0</v>
      </c>
      <c r="AN249" s="3">
        <v>66.0</v>
      </c>
    </row>
    <row r="250" ht="14.25" customHeight="1">
      <c r="A250" s="3">
        <v>248.0</v>
      </c>
      <c r="B250" s="3" t="s">
        <v>6724</v>
      </c>
      <c r="C250" s="3">
        <v>19.0</v>
      </c>
      <c r="D250" s="3" t="s">
        <v>6645</v>
      </c>
      <c r="E250" s="3" t="s">
        <v>6646</v>
      </c>
      <c r="F250" s="3" t="s">
        <v>6646</v>
      </c>
      <c r="G250" s="3" t="s">
        <v>6645</v>
      </c>
      <c r="H250" s="3" t="s">
        <v>6645</v>
      </c>
      <c r="I250" s="3" t="s">
        <v>6645</v>
      </c>
      <c r="J250" s="3">
        <v>3.0</v>
      </c>
      <c r="K250" s="3">
        <v>0.0</v>
      </c>
      <c r="L250" s="3">
        <v>0.0</v>
      </c>
      <c r="M250" s="3">
        <v>0.0</v>
      </c>
      <c r="N250" s="3">
        <v>480.47024</v>
      </c>
      <c r="O250" s="3">
        <v>112.0</v>
      </c>
      <c r="P250" s="3" t="e">
        <v>#N/A</v>
      </c>
      <c r="Q250" s="3">
        <v>38.0</v>
      </c>
      <c r="R250" s="3">
        <v>36.0</v>
      </c>
      <c r="S250" s="3">
        <v>35.0</v>
      </c>
      <c r="T250" s="3">
        <v>30.0</v>
      </c>
      <c r="U250" s="3">
        <v>38.0</v>
      </c>
      <c r="V250" s="3">
        <v>32.0</v>
      </c>
      <c r="W250" s="3">
        <v>33.0</v>
      </c>
      <c r="X250" s="3">
        <v>24.0</v>
      </c>
      <c r="Y250" s="3">
        <v>40.0</v>
      </c>
      <c r="Z250" s="3">
        <v>44.0</v>
      </c>
      <c r="AA250" s="3">
        <v>34.0</v>
      </c>
      <c r="AB250" s="3">
        <v>32.0</v>
      </c>
      <c r="AC250" s="3">
        <v>40.0</v>
      </c>
      <c r="AD250" s="3">
        <v>23.0</v>
      </c>
      <c r="AE250" s="3">
        <v>32.0</v>
      </c>
      <c r="AF250" s="3">
        <v>14.0</v>
      </c>
      <c r="AG250" s="3">
        <v>53.0</v>
      </c>
      <c r="AH250" s="3">
        <v>59.0</v>
      </c>
      <c r="AI250" s="3">
        <v>76.0</v>
      </c>
      <c r="AJ250" s="3">
        <v>55.0</v>
      </c>
      <c r="AK250" s="3">
        <v>56.0</v>
      </c>
      <c r="AL250" s="3">
        <v>36.0</v>
      </c>
      <c r="AM250" s="3">
        <v>29.0</v>
      </c>
      <c r="AN250" s="3">
        <v>60.0</v>
      </c>
    </row>
    <row r="251" ht="14.25" customHeight="1">
      <c r="A251" s="3">
        <v>249.0</v>
      </c>
      <c r="B251" s="3" t="s">
        <v>6725</v>
      </c>
      <c r="C251" s="3">
        <v>20.0</v>
      </c>
      <c r="D251" s="3" t="s">
        <v>6645</v>
      </c>
      <c r="E251" s="3" t="s">
        <v>6646</v>
      </c>
      <c r="F251" s="3" t="s">
        <v>6646</v>
      </c>
      <c r="G251" s="3" t="s">
        <v>6645</v>
      </c>
      <c r="H251" s="3" t="s">
        <v>6645</v>
      </c>
      <c r="I251" s="3" t="s">
        <v>6645</v>
      </c>
      <c r="J251" s="3">
        <v>3.0</v>
      </c>
      <c r="K251" s="3">
        <v>0.0</v>
      </c>
      <c r="L251" s="3">
        <v>0.0</v>
      </c>
      <c r="M251" s="3">
        <v>0.0</v>
      </c>
      <c r="N251" s="3">
        <v>469.184</v>
      </c>
      <c r="O251" s="3">
        <v>105.0</v>
      </c>
      <c r="P251" s="3" t="e">
        <v>#N/A</v>
      </c>
      <c r="Q251" s="3">
        <v>33.0</v>
      </c>
      <c r="R251" s="3">
        <v>37.0</v>
      </c>
      <c r="S251" s="3">
        <v>35.0</v>
      </c>
      <c r="T251" s="3">
        <v>36.0</v>
      </c>
      <c r="U251" s="3">
        <v>30.0</v>
      </c>
      <c r="V251" s="3">
        <v>35.0</v>
      </c>
      <c r="W251" s="3">
        <v>39.0</v>
      </c>
      <c r="X251" s="3">
        <v>31.0</v>
      </c>
      <c r="Y251" s="3">
        <v>45.0</v>
      </c>
      <c r="Z251" s="3">
        <v>39.0</v>
      </c>
      <c r="AA251" s="3">
        <v>22.0</v>
      </c>
      <c r="AB251" s="3">
        <v>30.0</v>
      </c>
      <c r="AC251" s="3">
        <v>43.0</v>
      </c>
      <c r="AD251" s="3">
        <v>29.0</v>
      </c>
      <c r="AE251" s="3">
        <v>30.0</v>
      </c>
      <c r="AF251" s="3">
        <v>57.0</v>
      </c>
      <c r="AG251" s="3">
        <v>43.0</v>
      </c>
      <c r="AH251" s="3">
        <v>59.0</v>
      </c>
      <c r="AI251" s="3">
        <v>65.0</v>
      </c>
      <c r="AJ251" s="3">
        <v>57.0</v>
      </c>
      <c r="AK251" s="3">
        <v>40.0</v>
      </c>
      <c r="AL251" s="3">
        <v>15.0</v>
      </c>
      <c r="AM251" s="3">
        <v>15.0</v>
      </c>
      <c r="AN251" s="3">
        <v>63.0</v>
      </c>
    </row>
    <row r="252" ht="14.25" customHeight="1">
      <c r="A252" s="3">
        <v>250.0</v>
      </c>
      <c r="B252" s="3" t="s">
        <v>6726</v>
      </c>
      <c r="C252" s="3">
        <v>23.0</v>
      </c>
      <c r="D252" s="3" t="s">
        <v>6645</v>
      </c>
      <c r="E252" s="3" t="s">
        <v>6646</v>
      </c>
      <c r="F252" s="3" t="s">
        <v>6646</v>
      </c>
      <c r="G252" s="3" t="s">
        <v>6645</v>
      </c>
      <c r="H252" s="3" t="s">
        <v>6645</v>
      </c>
      <c r="I252" s="3" t="s">
        <v>6646</v>
      </c>
      <c r="J252" s="3">
        <v>3.0</v>
      </c>
      <c r="K252" s="3">
        <v>0.0</v>
      </c>
      <c r="L252" s="3">
        <v>0.0</v>
      </c>
      <c r="M252" s="3">
        <v>0.0</v>
      </c>
      <c r="N252" s="3">
        <v>492.85607</v>
      </c>
      <c r="O252" s="3">
        <v>109.0</v>
      </c>
      <c r="P252" s="3" t="e">
        <v>#N/A</v>
      </c>
      <c r="Q252" s="3">
        <v>38.0</v>
      </c>
      <c r="R252" s="3">
        <v>34.0</v>
      </c>
      <c r="S252" s="3">
        <v>35.0</v>
      </c>
      <c r="T252" s="3">
        <v>33.0</v>
      </c>
      <c r="U252" s="3">
        <v>33.0</v>
      </c>
      <c r="V252" s="3">
        <v>31.0</v>
      </c>
      <c r="W252" s="3">
        <v>30.0</v>
      </c>
      <c r="X252" s="3">
        <v>30.0</v>
      </c>
      <c r="Y252" s="3">
        <v>43.0</v>
      </c>
      <c r="Z252" s="3">
        <v>38.0</v>
      </c>
      <c r="AA252" s="3">
        <v>32.0</v>
      </c>
      <c r="AB252" s="3">
        <v>23.0</v>
      </c>
      <c r="AC252" s="3">
        <v>42.0</v>
      </c>
      <c r="AD252" s="3">
        <v>31.0</v>
      </c>
      <c r="AE252" s="3">
        <v>30.0</v>
      </c>
      <c r="AF252" s="3">
        <v>44.0</v>
      </c>
      <c r="AG252" s="3">
        <v>59.0</v>
      </c>
      <c r="AH252" s="3">
        <v>12.0</v>
      </c>
      <c r="AI252" s="3">
        <v>68.0</v>
      </c>
      <c r="AJ252" s="3">
        <v>16.0</v>
      </c>
      <c r="AK252" s="3">
        <v>59.0</v>
      </c>
      <c r="AL252" s="3">
        <v>54.0</v>
      </c>
      <c r="AM252" s="3">
        <v>47.0</v>
      </c>
      <c r="AN252" s="3">
        <v>70.0</v>
      </c>
    </row>
    <row r="253" ht="14.25" customHeight="1">
      <c r="A253" s="3">
        <v>251.0</v>
      </c>
      <c r="B253" s="3" t="s">
        <v>6727</v>
      </c>
      <c r="C253" s="3">
        <v>37.0</v>
      </c>
      <c r="D253" s="3" t="s">
        <v>6645</v>
      </c>
      <c r="E253" s="3" t="s">
        <v>6646</v>
      </c>
      <c r="F253" s="3" t="s">
        <v>6646</v>
      </c>
      <c r="G253" s="3" t="s">
        <v>6645</v>
      </c>
      <c r="H253" s="3" t="s">
        <v>6645</v>
      </c>
      <c r="I253" s="3" t="s">
        <v>6646</v>
      </c>
      <c r="J253" s="3">
        <v>4.0</v>
      </c>
      <c r="K253" s="3">
        <v>4.0</v>
      </c>
      <c r="L253" s="3">
        <v>0.0</v>
      </c>
      <c r="M253" s="3">
        <v>0.0</v>
      </c>
      <c r="N253" s="3">
        <v>13795.29</v>
      </c>
      <c r="O253" s="3">
        <v>1457.0</v>
      </c>
      <c r="P253" s="3" t="e">
        <v>#N/A</v>
      </c>
      <c r="Q253" s="3">
        <v>83.0</v>
      </c>
      <c r="R253" s="3">
        <v>64.0</v>
      </c>
      <c r="S253" s="3">
        <v>58.0</v>
      </c>
      <c r="T253" s="3">
        <v>77.0</v>
      </c>
      <c r="U253" s="3">
        <v>83.0</v>
      </c>
      <c r="V253" s="3">
        <v>61.0</v>
      </c>
      <c r="W253" s="3">
        <v>68.0</v>
      </c>
      <c r="X253" s="3">
        <v>60.0</v>
      </c>
      <c r="Y253" s="3">
        <v>74.0</v>
      </c>
      <c r="Z253" s="3">
        <v>58.0</v>
      </c>
      <c r="AA253" s="3">
        <v>64.0</v>
      </c>
      <c r="AB253" s="3">
        <v>73.0</v>
      </c>
      <c r="AC253" s="3">
        <v>87.0</v>
      </c>
      <c r="AD253" s="3">
        <v>58.0</v>
      </c>
      <c r="AE253" s="3">
        <v>63.0</v>
      </c>
      <c r="AF253" s="3">
        <v>48.0</v>
      </c>
      <c r="AG253" s="3">
        <v>62.0</v>
      </c>
      <c r="AH253" s="3">
        <v>66.0</v>
      </c>
      <c r="AI253" s="3">
        <v>47.0</v>
      </c>
      <c r="AJ253" s="3">
        <v>78.0</v>
      </c>
      <c r="AK253" s="3">
        <v>68.0</v>
      </c>
      <c r="AL253" s="3">
        <v>29.0</v>
      </c>
      <c r="AM253" s="3">
        <v>50.0</v>
      </c>
      <c r="AN253" s="3">
        <v>65.0</v>
      </c>
    </row>
    <row r="254" ht="14.25" customHeight="1">
      <c r="A254" s="3">
        <v>252.0</v>
      </c>
      <c r="B254" s="3" t="s">
        <v>6728</v>
      </c>
      <c r="C254" s="3">
        <v>44.0</v>
      </c>
      <c r="D254" s="3" t="s">
        <v>6645</v>
      </c>
      <c r="E254" s="3" t="s">
        <v>6646</v>
      </c>
      <c r="F254" s="3" t="s">
        <v>6646</v>
      </c>
      <c r="G254" s="3" t="s">
        <v>6645</v>
      </c>
      <c r="H254" s="3" t="s">
        <v>6645</v>
      </c>
      <c r="I254" s="3" t="s">
        <v>6645</v>
      </c>
      <c r="J254" s="3">
        <v>4.0</v>
      </c>
      <c r="K254" s="3">
        <v>4.0</v>
      </c>
      <c r="L254" s="3">
        <v>0.0</v>
      </c>
      <c r="M254" s="3">
        <v>0.0</v>
      </c>
      <c r="N254" s="3">
        <v>13651.84</v>
      </c>
      <c r="O254" s="3">
        <v>1729.0</v>
      </c>
      <c r="P254" s="3" t="e">
        <v>#N/A</v>
      </c>
      <c r="Q254" s="3">
        <v>85.0</v>
      </c>
      <c r="R254" s="3">
        <v>67.0</v>
      </c>
      <c r="S254" s="3">
        <v>58.0</v>
      </c>
      <c r="T254" s="3">
        <v>77.0</v>
      </c>
      <c r="U254" s="3">
        <v>82.0</v>
      </c>
      <c r="V254" s="3">
        <v>60.0</v>
      </c>
      <c r="W254" s="3">
        <v>61.0</v>
      </c>
      <c r="X254" s="3">
        <v>73.0</v>
      </c>
      <c r="Y254" s="3">
        <v>66.0</v>
      </c>
      <c r="Z254" s="3">
        <v>60.0</v>
      </c>
      <c r="AA254" s="3">
        <v>56.0</v>
      </c>
      <c r="AB254" s="3">
        <v>63.0</v>
      </c>
      <c r="AC254" s="3">
        <v>81.0</v>
      </c>
      <c r="AD254" s="3">
        <v>58.0</v>
      </c>
      <c r="AE254" s="3">
        <v>58.0</v>
      </c>
      <c r="AF254" s="3">
        <v>26.0</v>
      </c>
      <c r="AG254" s="3">
        <v>66.0</v>
      </c>
      <c r="AH254" s="3">
        <v>49.0</v>
      </c>
      <c r="AI254" s="3">
        <v>63.0</v>
      </c>
      <c r="AJ254" s="3">
        <v>89.0</v>
      </c>
      <c r="AK254" s="3">
        <v>48.0</v>
      </c>
      <c r="AL254" s="3">
        <v>45.0</v>
      </c>
      <c r="AM254" s="3">
        <v>52.0</v>
      </c>
      <c r="AN254" s="3">
        <v>66.0</v>
      </c>
    </row>
    <row r="255" ht="14.25" customHeight="1">
      <c r="A255" s="3">
        <v>253.0</v>
      </c>
      <c r="B255" s="3" t="s">
        <v>6729</v>
      </c>
      <c r="C255" s="3">
        <v>41.0</v>
      </c>
      <c r="D255" s="3" t="s">
        <v>6645</v>
      </c>
      <c r="E255" s="3" t="s">
        <v>6646</v>
      </c>
      <c r="F255" s="3" t="s">
        <v>6646</v>
      </c>
      <c r="G255" s="3" t="s">
        <v>6645</v>
      </c>
      <c r="H255" s="3" t="s">
        <v>6645</v>
      </c>
      <c r="I255" s="3" t="s">
        <v>6645</v>
      </c>
      <c r="J255" s="3">
        <v>4.0</v>
      </c>
      <c r="K255" s="3">
        <v>4.0</v>
      </c>
      <c r="L255" s="3">
        <v>0.0</v>
      </c>
      <c r="M255" s="3">
        <v>0.0</v>
      </c>
      <c r="N255" s="3">
        <v>12843.16</v>
      </c>
      <c r="O255" s="3">
        <v>1454.0</v>
      </c>
      <c r="P255" s="3" t="e">
        <v>#N/A</v>
      </c>
      <c r="Q255" s="3">
        <v>78.0</v>
      </c>
      <c r="R255" s="3">
        <v>60.0</v>
      </c>
      <c r="S255" s="3">
        <v>60.0</v>
      </c>
      <c r="T255" s="3">
        <v>77.0</v>
      </c>
      <c r="U255" s="3">
        <v>84.0</v>
      </c>
      <c r="V255" s="3">
        <v>66.0</v>
      </c>
      <c r="W255" s="3">
        <v>67.0</v>
      </c>
      <c r="X255" s="3">
        <v>61.0</v>
      </c>
      <c r="Y255" s="3">
        <v>72.0</v>
      </c>
      <c r="Z255" s="3">
        <v>58.0</v>
      </c>
      <c r="AA255" s="3">
        <v>53.0</v>
      </c>
      <c r="AB255" s="3">
        <v>65.0</v>
      </c>
      <c r="AC255" s="3">
        <v>84.0</v>
      </c>
      <c r="AD255" s="3">
        <v>59.0</v>
      </c>
      <c r="AE255" s="3">
        <v>59.0</v>
      </c>
      <c r="AF255" s="3">
        <v>59.0</v>
      </c>
      <c r="AG255" s="3">
        <v>60.0</v>
      </c>
      <c r="AH255" s="3">
        <v>61.0</v>
      </c>
      <c r="AI255" s="3">
        <v>53.0</v>
      </c>
      <c r="AJ255" s="3">
        <v>79.0</v>
      </c>
      <c r="AK255" s="3">
        <v>68.0</v>
      </c>
      <c r="AL255" s="3">
        <v>34.0</v>
      </c>
      <c r="AM255" s="3">
        <v>49.0</v>
      </c>
      <c r="AN255" s="3">
        <v>44.0</v>
      </c>
    </row>
    <row r="256" ht="14.25" customHeight="1">
      <c r="A256" s="3">
        <v>254.0</v>
      </c>
      <c r="B256" s="3" t="s">
        <v>6730</v>
      </c>
      <c r="C256" s="3">
        <v>39.0</v>
      </c>
      <c r="D256" s="3" t="s">
        <v>6645</v>
      </c>
      <c r="E256" s="3" t="s">
        <v>6646</v>
      </c>
      <c r="F256" s="3" t="s">
        <v>6646</v>
      </c>
      <c r="G256" s="3" t="s">
        <v>6645</v>
      </c>
      <c r="H256" s="3" t="s">
        <v>6645</v>
      </c>
      <c r="I256" s="3" t="s">
        <v>6646</v>
      </c>
      <c r="J256" s="3">
        <v>4.0</v>
      </c>
      <c r="K256" s="3">
        <v>3.0</v>
      </c>
      <c r="L256" s="3">
        <v>0.0</v>
      </c>
      <c r="M256" s="3">
        <v>0.0</v>
      </c>
      <c r="N256" s="3">
        <v>6825.58</v>
      </c>
      <c r="O256" s="3">
        <v>687.0</v>
      </c>
      <c r="P256" s="3" t="e">
        <v>#N/A</v>
      </c>
      <c r="Q256" s="3">
        <v>56.0</v>
      </c>
      <c r="R256" s="3">
        <v>56.0</v>
      </c>
      <c r="S256" s="3">
        <v>54.0</v>
      </c>
      <c r="T256" s="3">
        <v>58.0</v>
      </c>
      <c r="U256" s="3">
        <v>62.0</v>
      </c>
      <c r="V256" s="3">
        <v>60.0</v>
      </c>
      <c r="W256" s="3">
        <v>58.0</v>
      </c>
      <c r="X256" s="3">
        <v>45.0</v>
      </c>
      <c r="Y256" s="3">
        <v>63.0</v>
      </c>
      <c r="Z256" s="3">
        <v>51.0</v>
      </c>
      <c r="AA256" s="3">
        <v>58.0</v>
      </c>
      <c r="AB256" s="3">
        <v>67.0</v>
      </c>
      <c r="AC256" s="3">
        <v>68.0</v>
      </c>
      <c r="AD256" s="3">
        <v>56.0</v>
      </c>
      <c r="AE256" s="3">
        <v>49.0</v>
      </c>
      <c r="AF256" s="3">
        <v>59.0</v>
      </c>
      <c r="AG256" s="3">
        <v>67.0</v>
      </c>
      <c r="AH256" s="3">
        <v>67.0</v>
      </c>
      <c r="AI256" s="3">
        <v>67.0</v>
      </c>
      <c r="AJ256" s="3">
        <v>73.0</v>
      </c>
      <c r="AK256" s="3">
        <v>44.0</v>
      </c>
      <c r="AL256" s="3">
        <v>56.0</v>
      </c>
      <c r="AM256" s="3">
        <v>31.0</v>
      </c>
      <c r="AN256" s="3">
        <v>45.0</v>
      </c>
    </row>
    <row r="257" ht="14.25" customHeight="1">
      <c r="A257" s="3">
        <v>255.0</v>
      </c>
      <c r="B257" s="3" t="s">
        <v>6731</v>
      </c>
      <c r="C257" s="3">
        <v>35.0</v>
      </c>
      <c r="D257" s="3" t="s">
        <v>6645</v>
      </c>
      <c r="E257" s="3" t="s">
        <v>6646</v>
      </c>
      <c r="F257" s="3" t="s">
        <v>6646</v>
      </c>
      <c r="G257" s="3" t="s">
        <v>6645</v>
      </c>
      <c r="H257" s="3" t="s">
        <v>6645</v>
      </c>
      <c r="I257" s="3" t="s">
        <v>6645</v>
      </c>
      <c r="J257" s="3">
        <v>4.0</v>
      </c>
      <c r="K257" s="3">
        <v>3.0</v>
      </c>
      <c r="L257" s="3">
        <v>0.0</v>
      </c>
      <c r="M257" s="3">
        <v>0.0</v>
      </c>
      <c r="N257" s="3">
        <v>6846.7602</v>
      </c>
      <c r="O257" s="3">
        <v>766.0</v>
      </c>
      <c r="P257" s="3" t="e">
        <v>#N/A</v>
      </c>
      <c r="Q257" s="3">
        <v>58.0</v>
      </c>
      <c r="R257" s="3">
        <v>60.0</v>
      </c>
      <c r="S257" s="3">
        <v>57.0</v>
      </c>
      <c r="T257" s="3">
        <v>58.0</v>
      </c>
      <c r="U257" s="3">
        <v>67.0</v>
      </c>
      <c r="V257" s="3">
        <v>55.0</v>
      </c>
      <c r="W257" s="3">
        <v>56.0</v>
      </c>
      <c r="X257" s="3">
        <v>46.0</v>
      </c>
      <c r="Y257" s="3">
        <v>64.0</v>
      </c>
      <c r="Z257" s="3">
        <v>49.0</v>
      </c>
      <c r="AA257" s="3">
        <v>51.0</v>
      </c>
      <c r="AB257" s="3">
        <v>60.0</v>
      </c>
      <c r="AC257" s="3">
        <v>69.0</v>
      </c>
      <c r="AD257" s="3">
        <v>48.0</v>
      </c>
      <c r="AE257" s="3">
        <v>53.0</v>
      </c>
      <c r="AF257" s="3">
        <v>36.0</v>
      </c>
      <c r="AG257" s="3">
        <v>45.0</v>
      </c>
      <c r="AH257" s="3">
        <v>56.0</v>
      </c>
      <c r="AI257" s="3">
        <v>61.0</v>
      </c>
      <c r="AJ257" s="3">
        <v>86.0</v>
      </c>
      <c r="AK257" s="3">
        <v>55.0</v>
      </c>
      <c r="AL257" s="3">
        <v>47.0</v>
      </c>
      <c r="AM257" s="3">
        <v>62.0</v>
      </c>
      <c r="AN257" s="3">
        <v>52.0</v>
      </c>
    </row>
    <row r="258" ht="14.25" customHeight="1">
      <c r="A258" s="3">
        <v>256.0</v>
      </c>
      <c r="B258" s="3" t="s">
        <v>6732</v>
      </c>
      <c r="C258" s="3">
        <v>32.0</v>
      </c>
      <c r="D258" s="3" t="s">
        <v>6645</v>
      </c>
      <c r="E258" s="3" t="s">
        <v>6646</v>
      </c>
      <c r="F258" s="3" t="s">
        <v>6646</v>
      </c>
      <c r="G258" s="3" t="s">
        <v>6645</v>
      </c>
      <c r="H258" s="3" t="s">
        <v>6645</v>
      </c>
      <c r="I258" s="3" t="s">
        <v>6645</v>
      </c>
      <c r="J258" s="3">
        <v>4.0</v>
      </c>
      <c r="K258" s="3">
        <v>3.0</v>
      </c>
      <c r="L258" s="3">
        <v>0.0</v>
      </c>
      <c r="M258" s="3">
        <v>0.0</v>
      </c>
      <c r="N258" s="3">
        <v>6999.5214</v>
      </c>
      <c r="O258" s="3">
        <v>607.0</v>
      </c>
      <c r="P258" s="3" t="e">
        <v>#N/A</v>
      </c>
      <c r="Q258" s="3">
        <v>56.0</v>
      </c>
      <c r="R258" s="3">
        <v>51.0</v>
      </c>
      <c r="S258" s="3">
        <v>55.0</v>
      </c>
      <c r="T258" s="3">
        <v>59.0</v>
      </c>
      <c r="U258" s="3">
        <v>62.0</v>
      </c>
      <c r="V258" s="3">
        <v>60.0</v>
      </c>
      <c r="W258" s="3">
        <v>56.0</v>
      </c>
      <c r="X258" s="3">
        <v>55.0</v>
      </c>
      <c r="Y258" s="3">
        <v>65.0</v>
      </c>
      <c r="Z258" s="3">
        <v>60.0</v>
      </c>
      <c r="AA258" s="3">
        <v>47.0</v>
      </c>
      <c r="AB258" s="3">
        <v>63.0</v>
      </c>
      <c r="AC258" s="3">
        <v>68.0</v>
      </c>
      <c r="AD258" s="3">
        <v>53.0</v>
      </c>
      <c r="AE258" s="3">
        <v>46.0</v>
      </c>
      <c r="AF258" s="3">
        <v>45.0</v>
      </c>
      <c r="AG258" s="3">
        <v>51.0</v>
      </c>
      <c r="AH258" s="3">
        <v>63.0</v>
      </c>
      <c r="AI258" s="3">
        <v>57.0</v>
      </c>
      <c r="AJ258" s="3">
        <v>78.0</v>
      </c>
      <c r="AK258" s="3">
        <v>49.0</v>
      </c>
      <c r="AL258" s="3">
        <v>52.0</v>
      </c>
      <c r="AM258" s="3">
        <v>42.0</v>
      </c>
      <c r="AN258" s="3">
        <v>52.0</v>
      </c>
    </row>
    <row r="259" ht="14.25" customHeight="1">
      <c r="A259" s="3">
        <v>257.0</v>
      </c>
      <c r="B259" s="3" t="s">
        <v>6733</v>
      </c>
      <c r="C259" s="3">
        <v>32.0</v>
      </c>
      <c r="D259" s="3" t="s">
        <v>6645</v>
      </c>
      <c r="E259" s="3" t="s">
        <v>6646</v>
      </c>
      <c r="F259" s="3" t="s">
        <v>6646</v>
      </c>
      <c r="G259" s="3" t="s">
        <v>6645</v>
      </c>
      <c r="H259" s="3" t="s">
        <v>6645</v>
      </c>
      <c r="I259" s="3" t="s">
        <v>6645</v>
      </c>
      <c r="J259" s="3">
        <v>4.0</v>
      </c>
      <c r="K259" s="3">
        <v>3.0</v>
      </c>
      <c r="L259" s="3">
        <v>0.0</v>
      </c>
      <c r="M259" s="3">
        <v>0.0</v>
      </c>
      <c r="N259" s="3">
        <v>7271.9194</v>
      </c>
      <c r="O259" s="3">
        <v>696.0</v>
      </c>
      <c r="P259" s="3" t="e">
        <v>#N/A</v>
      </c>
      <c r="Q259" s="3">
        <v>57.0</v>
      </c>
      <c r="R259" s="3">
        <v>51.0</v>
      </c>
      <c r="S259" s="3">
        <v>56.0</v>
      </c>
      <c r="T259" s="3">
        <v>57.0</v>
      </c>
      <c r="U259" s="3">
        <v>60.0</v>
      </c>
      <c r="V259" s="3">
        <v>54.0</v>
      </c>
      <c r="W259" s="3">
        <v>58.0</v>
      </c>
      <c r="X259" s="3">
        <v>49.0</v>
      </c>
      <c r="Y259" s="3">
        <v>69.0</v>
      </c>
      <c r="Z259" s="3">
        <v>58.0</v>
      </c>
      <c r="AA259" s="3">
        <v>51.0</v>
      </c>
      <c r="AB259" s="3">
        <v>61.0</v>
      </c>
      <c r="AC259" s="3">
        <v>74.0</v>
      </c>
      <c r="AD259" s="3">
        <v>55.0</v>
      </c>
      <c r="AE259" s="3">
        <v>46.0</v>
      </c>
      <c r="AF259" s="3">
        <v>41.0</v>
      </c>
      <c r="AG259" s="3">
        <v>62.0</v>
      </c>
      <c r="AH259" s="3">
        <v>61.0</v>
      </c>
      <c r="AI259" s="3">
        <v>43.0</v>
      </c>
      <c r="AJ259" s="3">
        <v>80.0</v>
      </c>
      <c r="AK259" s="3">
        <v>49.0</v>
      </c>
      <c r="AL259" s="3">
        <v>65.0</v>
      </c>
      <c r="AM259" s="3">
        <v>51.0</v>
      </c>
      <c r="AN259" s="3">
        <v>60.0</v>
      </c>
    </row>
    <row r="260" ht="14.25" customHeight="1">
      <c r="A260" s="3">
        <v>258.0</v>
      </c>
      <c r="B260" s="3" t="s">
        <v>6734</v>
      </c>
      <c r="C260" s="3">
        <v>33.0</v>
      </c>
      <c r="D260" s="3" t="s">
        <v>6645</v>
      </c>
      <c r="E260" s="3" t="s">
        <v>6646</v>
      </c>
      <c r="F260" s="3" t="s">
        <v>6646</v>
      </c>
      <c r="G260" s="3" t="s">
        <v>6645</v>
      </c>
      <c r="H260" s="3" t="s">
        <v>6645</v>
      </c>
      <c r="I260" s="3" t="s">
        <v>6646</v>
      </c>
      <c r="J260" s="3">
        <v>4.0</v>
      </c>
      <c r="K260" s="3">
        <v>2.0</v>
      </c>
      <c r="L260" s="3">
        <v>0.0</v>
      </c>
      <c r="M260" s="3">
        <v>0.0</v>
      </c>
      <c r="N260" s="3">
        <v>4200.74</v>
      </c>
      <c r="O260" s="3">
        <v>313.0</v>
      </c>
      <c r="P260" s="3" t="e">
        <v>#N/A</v>
      </c>
      <c r="Q260" s="3">
        <v>46.0</v>
      </c>
      <c r="R260" s="3">
        <v>52.0</v>
      </c>
      <c r="S260" s="3">
        <v>53.0</v>
      </c>
      <c r="T260" s="3">
        <v>48.0</v>
      </c>
      <c r="U260" s="3">
        <v>44.0</v>
      </c>
      <c r="V260" s="3">
        <v>47.0</v>
      </c>
      <c r="W260" s="3">
        <v>50.0</v>
      </c>
      <c r="X260" s="3">
        <v>45.0</v>
      </c>
      <c r="Y260" s="3">
        <v>58.0</v>
      </c>
      <c r="Z260" s="3">
        <v>37.0</v>
      </c>
      <c r="AA260" s="3">
        <v>43.0</v>
      </c>
      <c r="AB260" s="3">
        <v>53.0</v>
      </c>
      <c r="AC260" s="3">
        <v>60.0</v>
      </c>
      <c r="AD260" s="3">
        <v>49.0</v>
      </c>
      <c r="AE260" s="3">
        <v>53.0</v>
      </c>
      <c r="AF260" s="3">
        <v>37.0</v>
      </c>
      <c r="AG260" s="3">
        <v>60.0</v>
      </c>
      <c r="AH260" s="3">
        <v>32.0</v>
      </c>
      <c r="AI260" s="3">
        <v>41.0</v>
      </c>
      <c r="AJ260" s="3">
        <v>74.0</v>
      </c>
      <c r="AK260" s="3">
        <v>52.0</v>
      </c>
      <c r="AL260" s="3">
        <v>56.0</v>
      </c>
      <c r="AM260" s="3">
        <v>38.0</v>
      </c>
      <c r="AN260" s="3">
        <v>37.0</v>
      </c>
    </row>
    <row r="261" ht="14.25" customHeight="1">
      <c r="A261" s="3">
        <v>259.0</v>
      </c>
      <c r="B261" s="3" t="s">
        <v>6735</v>
      </c>
      <c r="C261" s="3">
        <v>31.0</v>
      </c>
      <c r="D261" s="3" t="s">
        <v>6645</v>
      </c>
      <c r="E261" s="3" t="s">
        <v>6646</v>
      </c>
      <c r="F261" s="3" t="s">
        <v>6646</v>
      </c>
      <c r="G261" s="3" t="s">
        <v>6645</v>
      </c>
      <c r="H261" s="3" t="s">
        <v>6645</v>
      </c>
      <c r="I261" s="3" t="s">
        <v>6645</v>
      </c>
      <c r="J261" s="3">
        <v>4.0</v>
      </c>
      <c r="K261" s="3">
        <v>2.0</v>
      </c>
      <c r="L261" s="3">
        <v>0.0</v>
      </c>
      <c r="M261" s="3">
        <v>0.0</v>
      </c>
      <c r="N261" s="3">
        <v>3915.1728</v>
      </c>
      <c r="O261" s="3">
        <v>350.0</v>
      </c>
      <c r="P261" s="3" t="e">
        <v>#N/A</v>
      </c>
      <c r="Q261" s="3">
        <v>52.0</v>
      </c>
      <c r="R261" s="3">
        <v>51.0</v>
      </c>
      <c r="S261" s="3">
        <v>44.0</v>
      </c>
      <c r="T261" s="3">
        <v>50.0</v>
      </c>
      <c r="U261" s="3">
        <v>50.0</v>
      </c>
      <c r="V261" s="3">
        <v>52.0</v>
      </c>
      <c r="W261" s="3">
        <v>44.0</v>
      </c>
      <c r="X261" s="3">
        <v>46.0</v>
      </c>
      <c r="Y261" s="3">
        <v>51.0</v>
      </c>
      <c r="Z261" s="3">
        <v>47.0</v>
      </c>
      <c r="AA261" s="3">
        <v>50.0</v>
      </c>
      <c r="AB261" s="3">
        <v>61.0</v>
      </c>
      <c r="AC261" s="3">
        <v>50.0</v>
      </c>
      <c r="AD261" s="3">
        <v>45.0</v>
      </c>
      <c r="AE261" s="3">
        <v>48.0</v>
      </c>
      <c r="AF261" s="3">
        <v>65.0</v>
      </c>
      <c r="AG261" s="3">
        <v>32.0</v>
      </c>
      <c r="AH261" s="3">
        <v>64.0</v>
      </c>
      <c r="AI261" s="3">
        <v>60.0</v>
      </c>
      <c r="AJ261" s="3">
        <v>73.0</v>
      </c>
      <c r="AK261" s="3">
        <v>36.0</v>
      </c>
      <c r="AL261" s="3">
        <v>59.0</v>
      </c>
      <c r="AM261" s="3">
        <v>48.0</v>
      </c>
      <c r="AN261" s="3">
        <v>45.0</v>
      </c>
    </row>
    <row r="262" ht="14.25" customHeight="1">
      <c r="A262" s="3">
        <v>260.0</v>
      </c>
      <c r="B262" s="3" t="s">
        <v>6736</v>
      </c>
      <c r="C262" s="3">
        <v>32.0</v>
      </c>
      <c r="D262" s="3" t="s">
        <v>6645</v>
      </c>
      <c r="E262" s="3" t="s">
        <v>6646</v>
      </c>
      <c r="F262" s="3" t="s">
        <v>6646</v>
      </c>
      <c r="G262" s="3" t="s">
        <v>6645</v>
      </c>
      <c r="H262" s="3" t="s">
        <v>6645</v>
      </c>
      <c r="I262" s="3" t="s">
        <v>6646</v>
      </c>
      <c r="J262" s="3">
        <v>4.0</v>
      </c>
      <c r="K262" s="3">
        <v>2.0</v>
      </c>
      <c r="L262" s="3">
        <v>0.0</v>
      </c>
      <c r="M262" s="3">
        <v>0.0</v>
      </c>
      <c r="N262" s="3">
        <v>3978.9025</v>
      </c>
      <c r="O262" s="3">
        <v>392.0</v>
      </c>
      <c r="P262" s="3" t="e">
        <v>#N/A</v>
      </c>
      <c r="Q262" s="3">
        <v>48.0</v>
      </c>
      <c r="R262" s="3">
        <v>47.0</v>
      </c>
      <c r="S262" s="3">
        <v>50.0</v>
      </c>
      <c r="T262" s="3">
        <v>49.0</v>
      </c>
      <c r="U262" s="3">
        <v>51.0</v>
      </c>
      <c r="V262" s="3">
        <v>45.0</v>
      </c>
      <c r="W262" s="3">
        <v>52.0</v>
      </c>
      <c r="X262" s="3">
        <v>44.0</v>
      </c>
      <c r="Y262" s="3">
        <v>53.0</v>
      </c>
      <c r="Z262" s="3">
        <v>40.0</v>
      </c>
      <c r="AA262" s="3">
        <v>44.0</v>
      </c>
      <c r="AB262" s="3">
        <v>50.0</v>
      </c>
      <c r="AC262" s="3">
        <v>54.0</v>
      </c>
      <c r="AD262" s="3">
        <v>49.0</v>
      </c>
      <c r="AE262" s="3">
        <v>45.0</v>
      </c>
      <c r="AF262" s="3">
        <v>49.0</v>
      </c>
      <c r="AG262" s="3">
        <v>55.0</v>
      </c>
      <c r="AH262" s="3">
        <v>54.0</v>
      </c>
      <c r="AI262" s="3">
        <v>34.0</v>
      </c>
      <c r="AJ262" s="3">
        <v>66.0</v>
      </c>
      <c r="AK262" s="3">
        <v>50.0</v>
      </c>
      <c r="AL262" s="3">
        <v>55.0</v>
      </c>
      <c r="AM262" s="3">
        <v>64.0</v>
      </c>
      <c r="AN262" s="3">
        <v>39.0</v>
      </c>
    </row>
    <row r="263" ht="14.25" customHeight="1">
      <c r="A263" s="3">
        <v>261.0</v>
      </c>
      <c r="B263" s="3" t="s">
        <v>6737</v>
      </c>
      <c r="C263" s="3">
        <v>29.0</v>
      </c>
      <c r="D263" s="3" t="s">
        <v>6645</v>
      </c>
      <c r="E263" s="3" t="s">
        <v>6646</v>
      </c>
      <c r="F263" s="3" t="s">
        <v>6646</v>
      </c>
      <c r="G263" s="3" t="s">
        <v>6645</v>
      </c>
      <c r="H263" s="3" t="s">
        <v>6645</v>
      </c>
      <c r="I263" s="3" t="s">
        <v>6645</v>
      </c>
      <c r="J263" s="3">
        <v>4.0</v>
      </c>
      <c r="K263" s="3">
        <v>2.0</v>
      </c>
      <c r="L263" s="3">
        <v>0.0</v>
      </c>
      <c r="M263" s="3">
        <v>0.0</v>
      </c>
      <c r="N263" s="3">
        <v>3117.1335</v>
      </c>
      <c r="O263" s="3">
        <v>313.0</v>
      </c>
      <c r="P263" s="3" t="e">
        <v>#N/A</v>
      </c>
      <c r="Q263" s="3">
        <v>49.0</v>
      </c>
      <c r="R263" s="3">
        <v>52.0</v>
      </c>
      <c r="S263" s="3">
        <v>46.0</v>
      </c>
      <c r="T263" s="3">
        <v>53.0</v>
      </c>
      <c r="U263" s="3">
        <v>44.0</v>
      </c>
      <c r="V263" s="3">
        <v>44.0</v>
      </c>
      <c r="W263" s="3">
        <v>47.0</v>
      </c>
      <c r="X263" s="3">
        <v>41.0</v>
      </c>
      <c r="Y263" s="3">
        <v>52.0</v>
      </c>
      <c r="Z263" s="3">
        <v>50.0</v>
      </c>
      <c r="AA263" s="3">
        <v>41.0</v>
      </c>
      <c r="AB263" s="3">
        <v>57.0</v>
      </c>
      <c r="AC263" s="3">
        <v>56.0</v>
      </c>
      <c r="AD263" s="3">
        <v>52.0</v>
      </c>
      <c r="AE263" s="3">
        <v>40.0</v>
      </c>
      <c r="AF263" s="3">
        <v>41.0</v>
      </c>
      <c r="AG263" s="3">
        <v>59.0</v>
      </c>
      <c r="AH263" s="3">
        <v>41.0</v>
      </c>
      <c r="AI263" s="3">
        <v>48.0</v>
      </c>
      <c r="AJ263" s="3">
        <v>73.0</v>
      </c>
      <c r="AK263" s="3">
        <v>59.0</v>
      </c>
      <c r="AL263" s="3">
        <v>50.0</v>
      </c>
      <c r="AM263" s="3">
        <v>5.0</v>
      </c>
      <c r="AN263" s="3">
        <v>63.0</v>
      </c>
    </row>
    <row r="264" ht="14.25" customHeight="1">
      <c r="A264" s="3">
        <v>262.0</v>
      </c>
      <c r="B264" s="3" t="s">
        <v>6738</v>
      </c>
      <c r="C264" s="3">
        <v>20.0</v>
      </c>
      <c r="D264" s="3" t="s">
        <v>6645</v>
      </c>
      <c r="E264" s="3" t="s">
        <v>6646</v>
      </c>
      <c r="F264" s="3" t="s">
        <v>6646</v>
      </c>
      <c r="G264" s="3" t="s">
        <v>6645</v>
      </c>
      <c r="H264" s="3" t="s">
        <v>6645</v>
      </c>
      <c r="I264" s="3" t="s">
        <v>6645</v>
      </c>
      <c r="J264" s="3">
        <v>4.0</v>
      </c>
      <c r="K264" s="3">
        <v>1.0</v>
      </c>
      <c r="L264" s="3">
        <v>0.0</v>
      </c>
      <c r="M264" s="3">
        <v>0.0</v>
      </c>
      <c r="N264" s="3">
        <v>1559.5079</v>
      </c>
      <c r="O264" s="3">
        <v>237.0</v>
      </c>
      <c r="P264" s="3" t="e">
        <v>#N/A</v>
      </c>
      <c r="Q264" s="3">
        <v>37.0</v>
      </c>
      <c r="R264" s="3">
        <v>39.0</v>
      </c>
      <c r="S264" s="3">
        <v>38.0</v>
      </c>
      <c r="T264" s="3">
        <v>41.0</v>
      </c>
      <c r="U264" s="3">
        <v>43.0</v>
      </c>
      <c r="V264" s="3">
        <v>39.0</v>
      </c>
      <c r="W264" s="3">
        <v>41.0</v>
      </c>
      <c r="X264" s="3">
        <v>46.0</v>
      </c>
      <c r="Y264" s="3">
        <v>43.0</v>
      </c>
      <c r="Z264" s="3">
        <v>35.0</v>
      </c>
      <c r="AA264" s="3">
        <v>36.0</v>
      </c>
      <c r="AB264" s="3">
        <v>49.0</v>
      </c>
      <c r="AC264" s="3">
        <v>49.0</v>
      </c>
      <c r="AD264" s="3">
        <v>45.0</v>
      </c>
      <c r="AE264" s="3">
        <v>45.0</v>
      </c>
      <c r="AF264" s="3">
        <v>59.0</v>
      </c>
      <c r="AG264" s="3">
        <v>59.0</v>
      </c>
      <c r="AH264" s="3">
        <v>43.0</v>
      </c>
      <c r="AI264" s="3">
        <v>55.0</v>
      </c>
      <c r="AJ264" s="3">
        <v>78.0</v>
      </c>
      <c r="AK264" s="3">
        <v>42.0</v>
      </c>
      <c r="AL264" s="3">
        <v>53.0</v>
      </c>
      <c r="AM264" s="3">
        <v>33.0</v>
      </c>
      <c r="AN264" s="3">
        <v>57.0</v>
      </c>
    </row>
    <row r="265" ht="14.25" customHeight="1">
      <c r="A265" s="3">
        <v>263.0</v>
      </c>
      <c r="B265" s="3" t="s">
        <v>6739</v>
      </c>
      <c r="C265" s="3">
        <v>23.0</v>
      </c>
      <c r="D265" s="3" t="s">
        <v>6645</v>
      </c>
      <c r="E265" s="3" t="s">
        <v>6646</v>
      </c>
      <c r="F265" s="3" t="s">
        <v>6646</v>
      </c>
      <c r="G265" s="3" t="s">
        <v>6645</v>
      </c>
      <c r="H265" s="3" t="s">
        <v>6645</v>
      </c>
      <c r="I265" s="3" t="s">
        <v>6645</v>
      </c>
      <c r="J265" s="3">
        <v>4.0</v>
      </c>
      <c r="K265" s="3">
        <v>1.0</v>
      </c>
      <c r="L265" s="3">
        <v>0.0</v>
      </c>
      <c r="M265" s="3">
        <v>0.0</v>
      </c>
      <c r="N265" s="3">
        <v>1591.2603</v>
      </c>
      <c r="O265" s="3">
        <v>174.0</v>
      </c>
      <c r="P265" s="3" t="e">
        <v>#N/A</v>
      </c>
      <c r="Q265" s="3">
        <v>42.0</v>
      </c>
      <c r="R265" s="3">
        <v>42.0</v>
      </c>
      <c r="S265" s="3">
        <v>44.0</v>
      </c>
      <c r="T265" s="3">
        <v>41.0</v>
      </c>
      <c r="U265" s="3">
        <v>44.0</v>
      </c>
      <c r="V265" s="3">
        <v>40.0</v>
      </c>
      <c r="W265" s="3">
        <v>37.0</v>
      </c>
      <c r="X265" s="3">
        <v>45.0</v>
      </c>
      <c r="Y265" s="3">
        <v>53.0</v>
      </c>
      <c r="Z265" s="3">
        <v>31.0</v>
      </c>
      <c r="AA265" s="3">
        <v>36.0</v>
      </c>
      <c r="AB265" s="3">
        <v>51.0</v>
      </c>
      <c r="AC265" s="3">
        <v>44.0</v>
      </c>
      <c r="AD265" s="3">
        <v>34.0</v>
      </c>
      <c r="AE265" s="3">
        <v>44.0</v>
      </c>
      <c r="AF265" s="3">
        <v>34.0</v>
      </c>
      <c r="AG265" s="3">
        <v>35.0</v>
      </c>
      <c r="AH265" s="3">
        <v>54.0</v>
      </c>
      <c r="AI265" s="3">
        <v>40.0</v>
      </c>
      <c r="AJ265" s="3">
        <v>73.0</v>
      </c>
      <c r="AK265" s="3">
        <v>58.0</v>
      </c>
      <c r="AL265" s="3">
        <v>33.0</v>
      </c>
      <c r="AM265" s="3">
        <v>37.0</v>
      </c>
      <c r="AN265" s="3">
        <v>32.0</v>
      </c>
    </row>
    <row r="266" ht="14.25" customHeight="1">
      <c r="A266" s="3">
        <v>264.0</v>
      </c>
      <c r="B266" s="3" t="s">
        <v>6740</v>
      </c>
      <c r="C266" s="3">
        <v>26.0</v>
      </c>
      <c r="D266" s="3" t="s">
        <v>6645</v>
      </c>
      <c r="E266" s="3" t="s">
        <v>6646</v>
      </c>
      <c r="F266" s="3" t="s">
        <v>6646</v>
      </c>
      <c r="G266" s="3" t="s">
        <v>6645</v>
      </c>
      <c r="H266" s="3" t="s">
        <v>6645</v>
      </c>
      <c r="I266" s="3" t="s">
        <v>6645</v>
      </c>
      <c r="J266" s="3">
        <v>4.0</v>
      </c>
      <c r="K266" s="3">
        <v>1.0</v>
      </c>
      <c r="L266" s="3">
        <v>0.0</v>
      </c>
      <c r="M266" s="3">
        <v>0.0</v>
      </c>
      <c r="N266" s="3">
        <v>1945.6496</v>
      </c>
      <c r="O266" s="3">
        <v>247.0</v>
      </c>
      <c r="P266" s="3" t="e">
        <v>#N/A</v>
      </c>
      <c r="Q266" s="3">
        <v>43.0</v>
      </c>
      <c r="R266" s="3">
        <v>39.0</v>
      </c>
      <c r="S266" s="3">
        <v>46.0</v>
      </c>
      <c r="T266" s="3">
        <v>40.0</v>
      </c>
      <c r="U266" s="3">
        <v>37.0</v>
      </c>
      <c r="V266" s="3">
        <v>44.0</v>
      </c>
      <c r="W266" s="3">
        <v>46.0</v>
      </c>
      <c r="X266" s="3">
        <v>43.0</v>
      </c>
      <c r="Y266" s="3">
        <v>49.0</v>
      </c>
      <c r="Z266" s="3">
        <v>35.0</v>
      </c>
      <c r="AA266" s="3">
        <v>45.0</v>
      </c>
      <c r="AB266" s="3">
        <v>46.0</v>
      </c>
      <c r="AC266" s="3">
        <v>52.0</v>
      </c>
      <c r="AD266" s="3">
        <v>33.0</v>
      </c>
      <c r="AE266" s="3">
        <v>39.0</v>
      </c>
      <c r="AF266" s="3">
        <v>47.0</v>
      </c>
      <c r="AG266" s="3">
        <v>39.0</v>
      </c>
      <c r="AH266" s="3">
        <v>34.0</v>
      </c>
      <c r="AI266" s="3">
        <v>38.0</v>
      </c>
      <c r="AJ266" s="3">
        <v>74.0</v>
      </c>
      <c r="AK266" s="3">
        <v>9.0</v>
      </c>
      <c r="AL266" s="3">
        <v>33.0</v>
      </c>
      <c r="AM266" s="3">
        <v>49.0</v>
      </c>
      <c r="AN266" s="3">
        <v>60.0</v>
      </c>
    </row>
    <row r="267" ht="14.25" customHeight="1">
      <c r="A267" s="3">
        <v>265.0</v>
      </c>
      <c r="B267" s="3" t="s">
        <v>6741</v>
      </c>
      <c r="C267" s="3">
        <v>29.0</v>
      </c>
      <c r="D267" s="3" t="s">
        <v>6645</v>
      </c>
      <c r="E267" s="3" t="s">
        <v>6646</v>
      </c>
      <c r="F267" s="3" t="s">
        <v>6646</v>
      </c>
      <c r="G267" s="3" t="s">
        <v>6645</v>
      </c>
      <c r="H267" s="3" t="s">
        <v>6645</v>
      </c>
      <c r="I267" s="3" t="s">
        <v>6646</v>
      </c>
      <c r="J267" s="3">
        <v>4.0</v>
      </c>
      <c r="K267" s="3">
        <v>1.0</v>
      </c>
      <c r="L267" s="3">
        <v>0.0</v>
      </c>
      <c r="M267" s="3">
        <v>0.0</v>
      </c>
      <c r="N267" s="3">
        <v>1621.9547</v>
      </c>
      <c r="O267" s="3">
        <v>212.0</v>
      </c>
      <c r="P267" s="3" t="e">
        <v>#N/A</v>
      </c>
      <c r="Q267" s="3">
        <v>42.0</v>
      </c>
      <c r="R267" s="3">
        <v>38.0</v>
      </c>
      <c r="S267" s="3">
        <v>37.0</v>
      </c>
      <c r="T267" s="3">
        <v>38.0</v>
      </c>
      <c r="U267" s="3">
        <v>44.0</v>
      </c>
      <c r="V267" s="3">
        <v>44.0</v>
      </c>
      <c r="W267" s="3">
        <v>38.0</v>
      </c>
      <c r="X267" s="3">
        <v>39.0</v>
      </c>
      <c r="Y267" s="3">
        <v>51.0</v>
      </c>
      <c r="Z267" s="3">
        <v>34.0</v>
      </c>
      <c r="AA267" s="3">
        <v>31.0</v>
      </c>
      <c r="AB267" s="3">
        <v>46.0</v>
      </c>
      <c r="AC267" s="3">
        <v>46.0</v>
      </c>
      <c r="AD267" s="3">
        <v>33.0</v>
      </c>
      <c r="AE267" s="3">
        <v>45.0</v>
      </c>
      <c r="AF267" s="3">
        <v>44.0</v>
      </c>
      <c r="AG267" s="3">
        <v>42.0</v>
      </c>
      <c r="AH267" s="3">
        <v>41.0</v>
      </c>
      <c r="AI267" s="3">
        <v>46.0</v>
      </c>
      <c r="AJ267" s="3">
        <v>71.0</v>
      </c>
      <c r="AK267" s="3">
        <v>17.0</v>
      </c>
      <c r="AL267" s="3">
        <v>60.0</v>
      </c>
      <c r="AM267" s="3">
        <v>49.0</v>
      </c>
      <c r="AN267" s="3">
        <v>38.0</v>
      </c>
    </row>
    <row r="268" ht="14.25" customHeight="1">
      <c r="A268" s="3">
        <v>266.0</v>
      </c>
      <c r="B268" s="3" t="s">
        <v>6742</v>
      </c>
      <c r="C268" s="3">
        <v>27.0</v>
      </c>
      <c r="D268" s="3" t="s">
        <v>6645</v>
      </c>
      <c r="E268" s="3" t="s">
        <v>6646</v>
      </c>
      <c r="F268" s="3" t="s">
        <v>6646</v>
      </c>
      <c r="G268" s="3" t="s">
        <v>6645</v>
      </c>
      <c r="H268" s="3" t="s">
        <v>6645</v>
      </c>
      <c r="I268" s="3" t="s">
        <v>6645</v>
      </c>
      <c r="J268" s="3">
        <v>4.0</v>
      </c>
      <c r="K268" s="3">
        <v>1.0</v>
      </c>
      <c r="L268" s="3">
        <v>0.0</v>
      </c>
      <c r="M268" s="3">
        <v>0.0</v>
      </c>
      <c r="N268" s="3">
        <v>1746.9027</v>
      </c>
      <c r="O268" s="3">
        <v>165.0</v>
      </c>
      <c r="P268" s="3" t="e">
        <v>#N/A</v>
      </c>
      <c r="Q268" s="3">
        <v>37.0</v>
      </c>
      <c r="R268" s="3">
        <v>44.0</v>
      </c>
      <c r="S268" s="3">
        <v>40.0</v>
      </c>
      <c r="T268" s="3">
        <v>39.0</v>
      </c>
      <c r="U268" s="3">
        <v>44.0</v>
      </c>
      <c r="V268" s="3">
        <v>46.0</v>
      </c>
      <c r="W268" s="3">
        <v>33.0</v>
      </c>
      <c r="X268" s="3">
        <v>40.0</v>
      </c>
      <c r="Y268" s="3">
        <v>49.0</v>
      </c>
      <c r="Z268" s="3">
        <v>38.0</v>
      </c>
      <c r="AA268" s="3">
        <v>41.0</v>
      </c>
      <c r="AB268" s="3">
        <v>50.0</v>
      </c>
      <c r="AC268" s="3">
        <v>46.0</v>
      </c>
      <c r="AD268" s="3">
        <v>33.0</v>
      </c>
      <c r="AE268" s="3">
        <v>42.0</v>
      </c>
      <c r="AF268" s="3">
        <v>51.0</v>
      </c>
      <c r="AG268" s="3">
        <v>39.0</v>
      </c>
      <c r="AH268" s="3">
        <v>50.0</v>
      </c>
      <c r="AI268" s="3">
        <v>35.0</v>
      </c>
      <c r="AJ268" s="3">
        <v>72.0</v>
      </c>
      <c r="AK268" s="3">
        <v>47.0</v>
      </c>
      <c r="AL268" s="3">
        <v>36.0</v>
      </c>
      <c r="AM268" s="3">
        <v>41.0</v>
      </c>
      <c r="AN268" s="3">
        <v>28.0</v>
      </c>
    </row>
    <row r="269" ht="14.25" customHeight="1">
      <c r="A269" s="3">
        <v>267.0</v>
      </c>
      <c r="B269" s="3" t="s">
        <v>6743</v>
      </c>
      <c r="C269" s="3">
        <v>21.0</v>
      </c>
      <c r="D269" s="3" t="s">
        <v>6645</v>
      </c>
      <c r="E269" s="3" t="s">
        <v>6646</v>
      </c>
      <c r="F269" s="3" t="s">
        <v>6646</v>
      </c>
      <c r="G269" s="3" t="s">
        <v>6645</v>
      </c>
      <c r="H269" s="3" t="s">
        <v>6645</v>
      </c>
      <c r="I269" s="3" t="s">
        <v>6646</v>
      </c>
      <c r="J269" s="3">
        <v>4.0</v>
      </c>
      <c r="K269" s="3">
        <v>0.0</v>
      </c>
      <c r="L269" s="3">
        <v>0.0</v>
      </c>
      <c r="M269" s="3">
        <v>0.0</v>
      </c>
      <c r="N269" s="3">
        <v>511.8738</v>
      </c>
      <c r="O269" s="3">
        <v>87.0</v>
      </c>
      <c r="P269" s="3" t="e">
        <v>#N/A</v>
      </c>
      <c r="Q269" s="3">
        <v>35.0</v>
      </c>
      <c r="R269" s="3">
        <v>37.0</v>
      </c>
      <c r="S269" s="3">
        <v>32.0</v>
      </c>
      <c r="T269" s="3">
        <v>33.0</v>
      </c>
      <c r="U269" s="3">
        <v>30.0</v>
      </c>
      <c r="V269" s="3">
        <v>30.0</v>
      </c>
      <c r="W269" s="3">
        <v>26.0</v>
      </c>
      <c r="X269" s="3">
        <v>32.0</v>
      </c>
      <c r="Y269" s="3">
        <v>45.0</v>
      </c>
      <c r="Z269" s="3">
        <v>33.0</v>
      </c>
      <c r="AA269" s="3">
        <v>25.0</v>
      </c>
      <c r="AB269" s="3">
        <v>45.0</v>
      </c>
      <c r="AC269" s="3">
        <v>40.0</v>
      </c>
      <c r="AD269" s="3">
        <v>31.0</v>
      </c>
      <c r="AE269" s="3">
        <v>39.0</v>
      </c>
      <c r="AF269" s="3">
        <v>31.0</v>
      </c>
      <c r="AG269" s="3">
        <v>55.0</v>
      </c>
      <c r="AH269" s="3">
        <v>54.0</v>
      </c>
      <c r="AI269" s="3">
        <v>29.0</v>
      </c>
      <c r="AJ269" s="3">
        <v>69.0</v>
      </c>
      <c r="AK269" s="3">
        <v>40.0</v>
      </c>
      <c r="AL269" s="3">
        <v>36.0</v>
      </c>
      <c r="AM269" s="3">
        <v>42.0</v>
      </c>
      <c r="AN269" s="3">
        <v>58.0</v>
      </c>
    </row>
    <row r="270" ht="14.25" customHeight="1">
      <c r="A270" s="3">
        <v>268.0</v>
      </c>
      <c r="B270" s="3" t="s">
        <v>6744</v>
      </c>
      <c r="C270" s="3">
        <v>18.0</v>
      </c>
      <c r="D270" s="3" t="s">
        <v>6645</v>
      </c>
      <c r="E270" s="3" t="s">
        <v>6646</v>
      </c>
      <c r="F270" s="3" t="s">
        <v>6646</v>
      </c>
      <c r="G270" s="3" t="s">
        <v>6645</v>
      </c>
      <c r="H270" s="3" t="s">
        <v>6645</v>
      </c>
      <c r="I270" s="3" t="s">
        <v>6645</v>
      </c>
      <c r="J270" s="3">
        <v>4.0</v>
      </c>
      <c r="K270" s="3">
        <v>0.0</v>
      </c>
      <c r="L270" s="3">
        <v>0.0</v>
      </c>
      <c r="M270" s="3">
        <v>0.0</v>
      </c>
      <c r="N270" s="3">
        <v>455.86642</v>
      </c>
      <c r="O270" s="3">
        <v>111.0</v>
      </c>
      <c r="P270" s="3" t="e">
        <v>#N/A</v>
      </c>
      <c r="Q270" s="3">
        <v>38.0</v>
      </c>
      <c r="R270" s="3">
        <v>36.0</v>
      </c>
      <c r="S270" s="3">
        <v>33.0</v>
      </c>
      <c r="T270" s="3">
        <v>39.0</v>
      </c>
      <c r="U270" s="3">
        <v>35.0</v>
      </c>
      <c r="V270" s="3">
        <v>39.0</v>
      </c>
      <c r="W270" s="3">
        <v>39.0</v>
      </c>
      <c r="X270" s="3">
        <v>31.0</v>
      </c>
      <c r="Y270" s="3">
        <v>37.0</v>
      </c>
      <c r="Z270" s="3">
        <v>28.0</v>
      </c>
      <c r="AA270" s="3">
        <v>26.0</v>
      </c>
      <c r="AB270" s="3">
        <v>42.0</v>
      </c>
      <c r="AC270" s="3">
        <v>38.0</v>
      </c>
      <c r="AD270" s="3">
        <v>30.0</v>
      </c>
      <c r="AE270" s="3">
        <v>30.0</v>
      </c>
      <c r="AF270" s="3">
        <v>40.0</v>
      </c>
      <c r="AG270" s="3">
        <v>30.0</v>
      </c>
      <c r="AH270" s="3">
        <v>47.0</v>
      </c>
      <c r="AI270" s="3">
        <v>40.0</v>
      </c>
      <c r="AJ270" s="3">
        <v>74.0</v>
      </c>
      <c r="AK270" s="3">
        <v>45.0</v>
      </c>
      <c r="AL270" s="3">
        <v>42.0</v>
      </c>
      <c r="AM270" s="3">
        <v>45.0</v>
      </c>
      <c r="AN270" s="3">
        <v>55.0</v>
      </c>
    </row>
    <row r="271" ht="14.25" customHeight="1">
      <c r="A271" s="3">
        <v>269.0</v>
      </c>
      <c r="B271" s="3" t="s">
        <v>6745</v>
      </c>
      <c r="C271" s="3">
        <v>23.0</v>
      </c>
      <c r="D271" s="3" t="s">
        <v>6645</v>
      </c>
      <c r="E271" s="3" t="s">
        <v>6646</v>
      </c>
      <c r="F271" s="3" t="s">
        <v>6646</v>
      </c>
      <c r="G271" s="3" t="s">
        <v>6645</v>
      </c>
      <c r="H271" s="3" t="s">
        <v>6645</v>
      </c>
      <c r="I271" s="3" t="s">
        <v>6645</v>
      </c>
      <c r="J271" s="3">
        <v>4.0</v>
      </c>
      <c r="K271" s="3">
        <v>0.0</v>
      </c>
      <c r="L271" s="3">
        <v>0.0</v>
      </c>
      <c r="M271" s="3">
        <v>0.0</v>
      </c>
      <c r="N271" s="3">
        <v>422.07937</v>
      </c>
      <c r="O271" s="3">
        <v>85.0</v>
      </c>
      <c r="P271" s="3" t="e">
        <v>#N/A</v>
      </c>
      <c r="Q271" s="3">
        <v>30.0</v>
      </c>
      <c r="R271" s="3">
        <v>34.0</v>
      </c>
      <c r="S271" s="3">
        <v>33.0</v>
      </c>
      <c r="T271" s="3">
        <v>36.0</v>
      </c>
      <c r="U271" s="3">
        <v>39.0</v>
      </c>
      <c r="V271" s="3">
        <v>35.0</v>
      </c>
      <c r="W271" s="3">
        <v>21.0</v>
      </c>
      <c r="X271" s="3">
        <v>30.0</v>
      </c>
      <c r="Y271" s="3">
        <v>48.0</v>
      </c>
      <c r="Z271" s="3">
        <v>36.0</v>
      </c>
      <c r="AA271" s="3">
        <v>27.0</v>
      </c>
      <c r="AB271" s="3">
        <v>42.0</v>
      </c>
      <c r="AC271" s="3">
        <v>41.0</v>
      </c>
      <c r="AD271" s="3">
        <v>30.0</v>
      </c>
      <c r="AE271" s="3">
        <v>35.0</v>
      </c>
      <c r="AF271" s="3">
        <v>59.0</v>
      </c>
      <c r="AG271" s="3">
        <v>52.0</v>
      </c>
      <c r="AH271" s="3">
        <v>18.0</v>
      </c>
      <c r="AI271" s="3">
        <v>50.0</v>
      </c>
      <c r="AJ271" s="3">
        <v>76.0</v>
      </c>
      <c r="AK271" s="3">
        <v>52.0</v>
      </c>
      <c r="AL271" s="3">
        <v>46.0</v>
      </c>
      <c r="AM271" s="3">
        <v>58.0</v>
      </c>
      <c r="AN271" s="3">
        <v>38.0</v>
      </c>
    </row>
    <row r="272" ht="14.25" customHeight="1">
      <c r="A272" s="3">
        <v>270.0</v>
      </c>
      <c r="B272" s="3" t="s">
        <v>6746</v>
      </c>
      <c r="C272" s="3">
        <v>17.0</v>
      </c>
      <c r="D272" s="3" t="s">
        <v>6645</v>
      </c>
      <c r="E272" s="3" t="s">
        <v>6646</v>
      </c>
      <c r="F272" s="3" t="s">
        <v>6646</v>
      </c>
      <c r="G272" s="3" t="s">
        <v>6645</v>
      </c>
      <c r="H272" s="3" t="s">
        <v>6645</v>
      </c>
      <c r="I272" s="3" t="s">
        <v>6646</v>
      </c>
      <c r="J272" s="3">
        <v>4.0</v>
      </c>
      <c r="K272" s="3">
        <v>0.0</v>
      </c>
      <c r="L272" s="3">
        <v>0.0</v>
      </c>
      <c r="M272" s="3">
        <v>0.0</v>
      </c>
      <c r="N272" s="3">
        <v>534.211</v>
      </c>
      <c r="O272" s="3">
        <v>123.0</v>
      </c>
      <c r="P272" s="3" t="e">
        <v>#N/A</v>
      </c>
      <c r="Q272" s="3">
        <v>31.0</v>
      </c>
      <c r="R272" s="3">
        <v>33.0</v>
      </c>
      <c r="S272" s="3">
        <v>38.0</v>
      </c>
      <c r="T272" s="3">
        <v>37.0</v>
      </c>
      <c r="U272" s="3">
        <v>34.0</v>
      </c>
      <c r="V272" s="3">
        <v>37.0</v>
      </c>
      <c r="W272" s="3">
        <v>24.0</v>
      </c>
      <c r="X272" s="3">
        <v>32.0</v>
      </c>
      <c r="Y272" s="3">
        <v>38.0</v>
      </c>
      <c r="Z272" s="3">
        <v>29.0</v>
      </c>
      <c r="AA272" s="3">
        <v>28.0</v>
      </c>
      <c r="AB272" s="3">
        <v>39.0</v>
      </c>
      <c r="AC272" s="3">
        <v>49.0</v>
      </c>
      <c r="AD272" s="3">
        <v>30.0</v>
      </c>
      <c r="AE272" s="3">
        <v>34.0</v>
      </c>
      <c r="AF272" s="3">
        <v>51.0</v>
      </c>
      <c r="AG272" s="3">
        <v>52.0</v>
      </c>
      <c r="AH272" s="3">
        <v>47.0</v>
      </c>
      <c r="AI272" s="3">
        <v>43.0</v>
      </c>
      <c r="AJ272" s="3">
        <v>60.0</v>
      </c>
      <c r="AK272" s="3">
        <v>51.0</v>
      </c>
      <c r="AL272" s="3">
        <v>33.0</v>
      </c>
      <c r="AM272" s="3">
        <v>58.0</v>
      </c>
      <c r="AN272" s="3">
        <v>16.0</v>
      </c>
    </row>
    <row r="273" ht="14.25" customHeight="1">
      <c r="A273" s="3">
        <v>271.0</v>
      </c>
      <c r="B273" s="3" t="s">
        <v>6747</v>
      </c>
      <c r="C273" s="3">
        <v>20.0</v>
      </c>
      <c r="D273" s="3" t="s">
        <v>6645</v>
      </c>
      <c r="E273" s="3" t="s">
        <v>6646</v>
      </c>
      <c r="F273" s="3" t="s">
        <v>6646</v>
      </c>
      <c r="G273" s="3" t="s">
        <v>6645</v>
      </c>
      <c r="H273" s="3" t="s">
        <v>6645</v>
      </c>
      <c r="I273" s="3" t="s">
        <v>6645</v>
      </c>
      <c r="J273" s="3">
        <v>4.0</v>
      </c>
      <c r="K273" s="3">
        <v>0.0</v>
      </c>
      <c r="L273" s="3">
        <v>0.0</v>
      </c>
      <c r="M273" s="3">
        <v>0.0</v>
      </c>
      <c r="N273" s="3">
        <v>406.18817</v>
      </c>
      <c r="O273" s="3">
        <v>96.0</v>
      </c>
      <c r="P273" s="3" t="e">
        <v>#N/A</v>
      </c>
      <c r="Q273" s="3">
        <v>33.0</v>
      </c>
      <c r="R273" s="3">
        <v>31.0</v>
      </c>
      <c r="S273" s="3">
        <v>31.0</v>
      </c>
      <c r="T273" s="3">
        <v>34.0</v>
      </c>
      <c r="U273" s="3">
        <v>39.0</v>
      </c>
      <c r="V273" s="3">
        <v>38.0</v>
      </c>
      <c r="W273" s="3">
        <v>26.0</v>
      </c>
      <c r="X273" s="3">
        <v>38.0</v>
      </c>
      <c r="Y273" s="3">
        <v>38.0</v>
      </c>
      <c r="Z273" s="3">
        <v>38.0</v>
      </c>
      <c r="AA273" s="3">
        <v>38.0</v>
      </c>
      <c r="AB273" s="3">
        <v>44.0</v>
      </c>
      <c r="AC273" s="3">
        <v>37.0</v>
      </c>
      <c r="AD273" s="3">
        <v>29.0</v>
      </c>
      <c r="AE273" s="3">
        <v>30.0</v>
      </c>
      <c r="AF273" s="3">
        <v>55.0</v>
      </c>
      <c r="AG273" s="3">
        <v>27.0</v>
      </c>
      <c r="AH273" s="3">
        <v>47.0</v>
      </c>
      <c r="AI273" s="3">
        <v>37.0</v>
      </c>
      <c r="AJ273" s="3">
        <v>68.0</v>
      </c>
      <c r="AK273" s="3">
        <v>53.0</v>
      </c>
      <c r="AL273" s="3">
        <v>33.0</v>
      </c>
      <c r="AM273" s="3">
        <v>58.0</v>
      </c>
      <c r="AN273" s="3">
        <v>43.0</v>
      </c>
    </row>
    <row r="274" ht="14.25" customHeight="1">
      <c r="A274" s="3">
        <v>272.0</v>
      </c>
      <c r="B274" s="3" t="s">
        <v>6748</v>
      </c>
      <c r="C274" s="3">
        <v>40.0</v>
      </c>
      <c r="D274" s="3" t="s">
        <v>6645</v>
      </c>
      <c r="E274" s="3" t="s">
        <v>6646</v>
      </c>
      <c r="F274" s="3" t="s">
        <v>6646</v>
      </c>
      <c r="G274" s="3" t="s">
        <v>6645</v>
      </c>
      <c r="H274" s="3" t="s">
        <v>6645</v>
      </c>
      <c r="I274" s="3" t="s">
        <v>6646</v>
      </c>
      <c r="J274" s="3">
        <v>5.0</v>
      </c>
      <c r="K274" s="3">
        <v>4.0</v>
      </c>
      <c r="L274" s="3">
        <v>0.0</v>
      </c>
      <c r="M274" s="3">
        <v>0.0</v>
      </c>
      <c r="N274" s="3">
        <v>16772.687</v>
      </c>
      <c r="O274" s="3">
        <v>1695.0</v>
      </c>
      <c r="P274" s="3" t="e">
        <v>#N/A</v>
      </c>
      <c r="Q274" s="3">
        <v>68.0</v>
      </c>
      <c r="R274" s="3">
        <v>62.0</v>
      </c>
      <c r="S274" s="3">
        <v>82.0</v>
      </c>
      <c r="T274" s="3">
        <v>83.0</v>
      </c>
      <c r="U274" s="3">
        <v>83.0</v>
      </c>
      <c r="V274" s="3">
        <v>74.0</v>
      </c>
      <c r="W274" s="3">
        <v>72.0</v>
      </c>
      <c r="X274" s="3">
        <v>74.0</v>
      </c>
      <c r="Y274" s="3">
        <v>88.0</v>
      </c>
      <c r="Z274" s="3">
        <v>63.0</v>
      </c>
      <c r="AA274" s="3">
        <v>75.0</v>
      </c>
      <c r="AB274" s="3">
        <v>58.0</v>
      </c>
      <c r="AC274" s="3">
        <v>65.0</v>
      </c>
      <c r="AD274" s="3">
        <v>83.0</v>
      </c>
      <c r="AE274" s="3">
        <v>61.0</v>
      </c>
      <c r="AF274" s="3">
        <v>41.0</v>
      </c>
      <c r="AG274" s="3">
        <v>68.0</v>
      </c>
      <c r="AH274" s="3">
        <v>48.0</v>
      </c>
      <c r="AI274" s="3">
        <v>59.0</v>
      </c>
      <c r="AJ274" s="3">
        <v>67.0</v>
      </c>
      <c r="AK274" s="3">
        <v>66.0</v>
      </c>
      <c r="AL274" s="3">
        <v>61.0</v>
      </c>
      <c r="AM274" s="3">
        <v>79.0</v>
      </c>
      <c r="AN274" s="3">
        <v>49.0</v>
      </c>
    </row>
    <row r="275" ht="14.25" customHeight="1">
      <c r="A275" s="3">
        <v>273.0</v>
      </c>
      <c r="B275" s="3" t="s">
        <v>6749</v>
      </c>
      <c r="C275" s="3">
        <v>37.0</v>
      </c>
      <c r="D275" s="3" t="s">
        <v>6645</v>
      </c>
      <c r="E275" s="3" t="s">
        <v>6646</v>
      </c>
      <c r="F275" s="3" t="s">
        <v>6646</v>
      </c>
      <c r="G275" s="3" t="s">
        <v>6645</v>
      </c>
      <c r="H275" s="3" t="s">
        <v>6645</v>
      </c>
      <c r="I275" s="3" t="s">
        <v>6645</v>
      </c>
      <c r="J275" s="3">
        <v>5.0</v>
      </c>
      <c r="K275" s="3">
        <v>4.0</v>
      </c>
      <c r="L275" s="3">
        <v>0.0</v>
      </c>
      <c r="M275" s="3">
        <v>0.0</v>
      </c>
      <c r="N275" s="3">
        <v>15526.525</v>
      </c>
      <c r="O275" s="3">
        <v>1461.0</v>
      </c>
      <c r="P275" s="3" t="e">
        <v>#N/A</v>
      </c>
      <c r="Q275" s="3">
        <v>61.0</v>
      </c>
      <c r="R275" s="3">
        <v>66.0</v>
      </c>
      <c r="S275" s="3">
        <v>83.0</v>
      </c>
      <c r="T275" s="3">
        <v>76.0</v>
      </c>
      <c r="U275" s="3">
        <v>83.0</v>
      </c>
      <c r="V275" s="3">
        <v>74.0</v>
      </c>
      <c r="W275" s="3">
        <v>80.0</v>
      </c>
      <c r="X275" s="3">
        <v>78.0</v>
      </c>
      <c r="Y275" s="3">
        <v>79.0</v>
      </c>
      <c r="Z275" s="3">
        <v>58.0</v>
      </c>
      <c r="AA275" s="3">
        <v>77.0</v>
      </c>
      <c r="AB275" s="3">
        <v>60.0</v>
      </c>
      <c r="AC275" s="3">
        <v>57.0</v>
      </c>
      <c r="AD275" s="3">
        <v>85.0</v>
      </c>
      <c r="AE275" s="3">
        <v>65.0</v>
      </c>
      <c r="AF275" s="3">
        <v>66.0</v>
      </c>
      <c r="AG275" s="3">
        <v>44.0</v>
      </c>
      <c r="AH275" s="3">
        <v>57.0</v>
      </c>
      <c r="AI275" s="3">
        <v>37.0</v>
      </c>
      <c r="AJ275" s="3">
        <v>60.0</v>
      </c>
      <c r="AK275" s="3">
        <v>61.0</v>
      </c>
      <c r="AL275" s="3">
        <v>54.0</v>
      </c>
      <c r="AM275" s="3">
        <v>78.0</v>
      </c>
      <c r="AN275" s="3">
        <v>52.0</v>
      </c>
    </row>
    <row r="276" ht="14.25" customHeight="1">
      <c r="A276" s="3">
        <v>274.0</v>
      </c>
      <c r="B276" s="3" t="s">
        <v>6750</v>
      </c>
      <c r="C276" s="3">
        <v>39.0</v>
      </c>
      <c r="D276" s="3" t="s">
        <v>6645</v>
      </c>
      <c r="E276" s="3" t="s">
        <v>6646</v>
      </c>
      <c r="F276" s="3" t="s">
        <v>6646</v>
      </c>
      <c r="G276" s="3" t="s">
        <v>6645</v>
      </c>
      <c r="H276" s="3" t="s">
        <v>6645</v>
      </c>
      <c r="I276" s="3" t="s">
        <v>6645</v>
      </c>
      <c r="J276" s="3">
        <v>5.0</v>
      </c>
      <c r="K276" s="3">
        <v>4.0</v>
      </c>
      <c r="L276" s="3">
        <v>0.0</v>
      </c>
      <c r="M276" s="3">
        <v>0.0</v>
      </c>
      <c r="N276" s="3">
        <v>16644.947</v>
      </c>
      <c r="O276" s="3">
        <v>1697.0</v>
      </c>
      <c r="P276" s="3" t="e">
        <v>#N/A</v>
      </c>
      <c r="Q276" s="3">
        <v>63.0</v>
      </c>
      <c r="R276" s="3">
        <v>63.0</v>
      </c>
      <c r="S276" s="3">
        <v>81.0</v>
      </c>
      <c r="T276" s="3">
        <v>75.0</v>
      </c>
      <c r="U276" s="3">
        <v>77.0</v>
      </c>
      <c r="V276" s="3">
        <v>83.0</v>
      </c>
      <c r="W276" s="3">
        <v>76.0</v>
      </c>
      <c r="X276" s="3">
        <v>69.0</v>
      </c>
      <c r="Y276" s="3">
        <v>77.0</v>
      </c>
      <c r="Z276" s="3">
        <v>67.0</v>
      </c>
      <c r="AA276" s="3">
        <v>75.0</v>
      </c>
      <c r="AB276" s="3">
        <v>60.0</v>
      </c>
      <c r="AC276" s="3">
        <v>60.0</v>
      </c>
      <c r="AD276" s="3">
        <v>85.0</v>
      </c>
      <c r="AE276" s="3">
        <v>62.0</v>
      </c>
      <c r="AF276" s="3">
        <v>27.0</v>
      </c>
      <c r="AG276" s="3">
        <v>71.0</v>
      </c>
      <c r="AH276" s="3">
        <v>67.0</v>
      </c>
      <c r="AI276" s="3">
        <v>66.0</v>
      </c>
      <c r="AJ276" s="3">
        <v>48.0</v>
      </c>
      <c r="AK276" s="3">
        <v>44.0</v>
      </c>
      <c r="AL276" s="3">
        <v>66.0</v>
      </c>
      <c r="AM276" s="3">
        <v>81.0</v>
      </c>
      <c r="AN276" s="3">
        <v>60.0</v>
      </c>
    </row>
    <row r="277" ht="14.25" customHeight="1">
      <c r="A277" s="3">
        <v>275.0</v>
      </c>
      <c r="B277" s="3" t="s">
        <v>6751</v>
      </c>
      <c r="C277" s="3">
        <v>39.0</v>
      </c>
      <c r="D277" s="3" t="s">
        <v>6645</v>
      </c>
      <c r="E277" s="3" t="s">
        <v>6646</v>
      </c>
      <c r="F277" s="3" t="s">
        <v>6646</v>
      </c>
      <c r="G277" s="3" t="s">
        <v>6645</v>
      </c>
      <c r="H277" s="3" t="s">
        <v>6645</v>
      </c>
      <c r="I277" s="3" t="s">
        <v>6645</v>
      </c>
      <c r="J277" s="3">
        <v>5.0</v>
      </c>
      <c r="K277" s="3">
        <v>3.0</v>
      </c>
      <c r="L277" s="3">
        <v>0.0</v>
      </c>
      <c r="M277" s="3">
        <v>0.0</v>
      </c>
      <c r="N277" s="3">
        <v>8888.44</v>
      </c>
      <c r="O277" s="3">
        <v>763.0</v>
      </c>
      <c r="P277" s="3" t="e">
        <v>#N/A</v>
      </c>
      <c r="Q277" s="3">
        <v>54.0</v>
      </c>
      <c r="R277" s="3">
        <v>54.0</v>
      </c>
      <c r="S277" s="3">
        <v>61.0</v>
      </c>
      <c r="T277" s="3">
        <v>66.0</v>
      </c>
      <c r="U277" s="3">
        <v>64.0</v>
      </c>
      <c r="V277" s="3">
        <v>64.0</v>
      </c>
      <c r="W277" s="3">
        <v>58.0</v>
      </c>
      <c r="X277" s="3">
        <v>57.0</v>
      </c>
      <c r="Y277" s="3">
        <v>66.0</v>
      </c>
      <c r="Z277" s="3">
        <v>54.0</v>
      </c>
      <c r="AA277" s="3">
        <v>62.0</v>
      </c>
      <c r="AB277" s="3">
        <v>49.0</v>
      </c>
      <c r="AC277" s="3">
        <v>54.0</v>
      </c>
      <c r="AD277" s="3">
        <v>71.0</v>
      </c>
      <c r="AE277" s="3">
        <v>52.0</v>
      </c>
      <c r="AF277" s="3">
        <v>64.0</v>
      </c>
      <c r="AG277" s="3">
        <v>52.0</v>
      </c>
      <c r="AH277" s="3">
        <v>59.0</v>
      </c>
      <c r="AI277" s="3">
        <v>44.0</v>
      </c>
      <c r="AJ277" s="3">
        <v>61.0</v>
      </c>
      <c r="AK277" s="3">
        <v>50.0</v>
      </c>
      <c r="AL277" s="3">
        <v>36.0</v>
      </c>
      <c r="AM277" s="3">
        <v>85.0</v>
      </c>
      <c r="AN277" s="3">
        <v>62.0</v>
      </c>
    </row>
    <row r="278" ht="14.25" customHeight="1">
      <c r="A278" s="3">
        <v>276.0</v>
      </c>
      <c r="B278" s="3" t="s">
        <v>6752</v>
      </c>
      <c r="C278" s="3">
        <v>38.0</v>
      </c>
      <c r="D278" s="3" t="s">
        <v>6645</v>
      </c>
      <c r="E278" s="3" t="s">
        <v>6646</v>
      </c>
      <c r="F278" s="3" t="s">
        <v>6646</v>
      </c>
      <c r="G278" s="3" t="s">
        <v>6645</v>
      </c>
      <c r="H278" s="3" t="s">
        <v>6645</v>
      </c>
      <c r="I278" s="3" t="s">
        <v>6646</v>
      </c>
      <c r="J278" s="3">
        <v>5.0</v>
      </c>
      <c r="K278" s="3">
        <v>3.0</v>
      </c>
      <c r="L278" s="3">
        <v>0.0</v>
      </c>
      <c r="M278" s="3">
        <v>0.0</v>
      </c>
      <c r="N278" s="3">
        <v>8583.79</v>
      </c>
      <c r="O278" s="3">
        <v>889.0</v>
      </c>
      <c r="P278" s="3" t="e">
        <v>#N/A</v>
      </c>
      <c r="Q278" s="3">
        <v>58.0</v>
      </c>
      <c r="R278" s="3">
        <v>62.0</v>
      </c>
      <c r="S278" s="3">
        <v>55.0</v>
      </c>
      <c r="T278" s="3">
        <v>65.0</v>
      </c>
      <c r="U278" s="3">
        <v>66.0</v>
      </c>
      <c r="V278" s="3">
        <v>61.0</v>
      </c>
      <c r="W278" s="3">
        <v>63.0</v>
      </c>
      <c r="X278" s="3">
        <v>52.0</v>
      </c>
      <c r="Y278" s="3">
        <v>65.0</v>
      </c>
      <c r="Z278" s="3">
        <v>48.0</v>
      </c>
      <c r="AA278" s="3">
        <v>69.0</v>
      </c>
      <c r="AB278" s="3">
        <v>52.0</v>
      </c>
      <c r="AC278" s="3">
        <v>60.0</v>
      </c>
      <c r="AD278" s="3">
        <v>66.0</v>
      </c>
      <c r="AE278" s="3">
        <v>56.0</v>
      </c>
      <c r="AF278" s="3">
        <v>69.0</v>
      </c>
      <c r="AG278" s="3">
        <v>66.0</v>
      </c>
      <c r="AH278" s="3">
        <v>47.0</v>
      </c>
      <c r="AI278" s="3">
        <v>45.0</v>
      </c>
      <c r="AJ278" s="3">
        <v>49.0</v>
      </c>
      <c r="AK278" s="3">
        <v>29.0</v>
      </c>
      <c r="AL278" s="3">
        <v>60.0</v>
      </c>
      <c r="AM278" s="3">
        <v>82.0</v>
      </c>
      <c r="AN278" s="3">
        <v>50.0</v>
      </c>
    </row>
    <row r="279" ht="14.25" customHeight="1">
      <c r="A279" s="3">
        <v>277.0</v>
      </c>
      <c r="B279" s="3" t="s">
        <v>6753</v>
      </c>
      <c r="C279" s="3">
        <v>31.0</v>
      </c>
      <c r="D279" s="3" t="s">
        <v>6645</v>
      </c>
      <c r="E279" s="3" t="s">
        <v>6646</v>
      </c>
      <c r="F279" s="3" t="s">
        <v>6646</v>
      </c>
      <c r="G279" s="3" t="s">
        <v>6645</v>
      </c>
      <c r="H279" s="3" t="s">
        <v>6645</v>
      </c>
      <c r="I279" s="3" t="s">
        <v>6646</v>
      </c>
      <c r="J279" s="3">
        <v>5.0</v>
      </c>
      <c r="K279" s="3">
        <v>3.0</v>
      </c>
      <c r="L279" s="3">
        <v>0.0</v>
      </c>
      <c r="M279" s="3">
        <v>0.0</v>
      </c>
      <c r="N279" s="3">
        <v>9223.53</v>
      </c>
      <c r="O279" s="3">
        <v>948.0</v>
      </c>
      <c r="P279" s="3" t="e">
        <v>#N/A</v>
      </c>
      <c r="Q279" s="3">
        <v>58.0</v>
      </c>
      <c r="R279" s="3">
        <v>56.0</v>
      </c>
      <c r="S279" s="3">
        <v>60.0</v>
      </c>
      <c r="T279" s="3">
        <v>69.0</v>
      </c>
      <c r="U279" s="3">
        <v>57.0</v>
      </c>
      <c r="V279" s="3">
        <v>63.0</v>
      </c>
      <c r="W279" s="3">
        <v>65.0</v>
      </c>
      <c r="X279" s="3">
        <v>50.0</v>
      </c>
      <c r="Y279" s="3">
        <v>71.0</v>
      </c>
      <c r="Z279" s="3">
        <v>55.0</v>
      </c>
      <c r="AA279" s="3">
        <v>67.0</v>
      </c>
      <c r="AB279" s="3">
        <v>54.0</v>
      </c>
      <c r="AC279" s="3">
        <v>54.0</v>
      </c>
      <c r="AD279" s="3">
        <v>64.0</v>
      </c>
      <c r="AE279" s="3">
        <v>45.0</v>
      </c>
      <c r="AF279" s="3">
        <v>54.0</v>
      </c>
      <c r="AG279" s="3">
        <v>46.0</v>
      </c>
      <c r="AH279" s="3">
        <v>55.0</v>
      </c>
      <c r="AI279" s="3">
        <v>40.0</v>
      </c>
      <c r="AJ279" s="3">
        <v>59.0</v>
      </c>
      <c r="AK279" s="3">
        <v>54.0</v>
      </c>
      <c r="AL279" s="3">
        <v>52.0</v>
      </c>
      <c r="AM279" s="3">
        <v>76.0</v>
      </c>
      <c r="AN279" s="3">
        <v>23.0</v>
      </c>
    </row>
    <row r="280" ht="14.25" customHeight="1">
      <c r="A280" s="3">
        <v>278.0</v>
      </c>
      <c r="B280" s="3" t="s">
        <v>6754</v>
      </c>
      <c r="C280" s="3">
        <v>34.0</v>
      </c>
      <c r="D280" s="3" t="s">
        <v>6645</v>
      </c>
      <c r="E280" s="3" t="s">
        <v>6646</v>
      </c>
      <c r="F280" s="3" t="s">
        <v>6646</v>
      </c>
      <c r="G280" s="3" t="s">
        <v>6645</v>
      </c>
      <c r="H280" s="3" t="s">
        <v>6645</v>
      </c>
      <c r="I280" s="3" t="s">
        <v>6646</v>
      </c>
      <c r="J280" s="3">
        <v>5.0</v>
      </c>
      <c r="K280" s="3">
        <v>3.0</v>
      </c>
      <c r="L280" s="3">
        <v>0.0</v>
      </c>
      <c r="M280" s="3">
        <v>0.0</v>
      </c>
      <c r="N280" s="3">
        <v>9099.56</v>
      </c>
      <c r="O280" s="3">
        <v>851.0</v>
      </c>
      <c r="P280" s="3" t="e">
        <v>#N/A</v>
      </c>
      <c r="Q280" s="3">
        <v>56.0</v>
      </c>
      <c r="R280" s="3">
        <v>58.0</v>
      </c>
      <c r="S280" s="3">
        <v>63.0</v>
      </c>
      <c r="T280" s="3">
        <v>64.0</v>
      </c>
      <c r="U280" s="3">
        <v>62.0</v>
      </c>
      <c r="V280" s="3">
        <v>63.0</v>
      </c>
      <c r="W280" s="3">
        <v>59.0</v>
      </c>
      <c r="X280" s="3">
        <v>59.0</v>
      </c>
      <c r="Y280" s="3">
        <v>68.0</v>
      </c>
      <c r="Z280" s="3">
        <v>62.0</v>
      </c>
      <c r="AA280" s="3">
        <v>69.0</v>
      </c>
      <c r="AB280" s="3">
        <v>46.0</v>
      </c>
      <c r="AC280" s="3">
        <v>47.0</v>
      </c>
      <c r="AD280" s="3">
        <v>69.0</v>
      </c>
      <c r="AE280" s="3">
        <v>58.0</v>
      </c>
      <c r="AF280" s="3">
        <v>36.0</v>
      </c>
      <c r="AG280" s="3">
        <v>46.0</v>
      </c>
      <c r="AH280" s="3">
        <v>49.0</v>
      </c>
      <c r="AI280" s="3">
        <v>43.0</v>
      </c>
      <c r="AJ280" s="3">
        <v>49.0</v>
      </c>
      <c r="AK280" s="3">
        <v>61.0</v>
      </c>
      <c r="AL280" s="3">
        <v>69.0</v>
      </c>
      <c r="AM280" s="3">
        <v>70.0</v>
      </c>
      <c r="AN280" s="3">
        <v>68.0</v>
      </c>
    </row>
    <row r="281" ht="14.25" customHeight="1">
      <c r="A281" s="3">
        <v>279.0</v>
      </c>
      <c r="B281" s="3" t="s">
        <v>6755</v>
      </c>
      <c r="C281" s="3">
        <v>33.0</v>
      </c>
      <c r="D281" s="3" t="s">
        <v>6645</v>
      </c>
      <c r="E281" s="3" t="s">
        <v>6646</v>
      </c>
      <c r="F281" s="3" t="s">
        <v>6646</v>
      </c>
      <c r="G281" s="3" t="s">
        <v>6645</v>
      </c>
      <c r="H281" s="3" t="s">
        <v>6645</v>
      </c>
      <c r="I281" s="3" t="s">
        <v>6646</v>
      </c>
      <c r="J281" s="3">
        <v>5.0</v>
      </c>
      <c r="K281" s="3">
        <v>2.0</v>
      </c>
      <c r="L281" s="3">
        <v>0.0</v>
      </c>
      <c r="M281" s="3">
        <v>0.0</v>
      </c>
      <c r="N281" s="3">
        <v>4352.3593</v>
      </c>
      <c r="O281" s="3">
        <v>434.0</v>
      </c>
      <c r="P281" s="3" t="e">
        <v>#N/A</v>
      </c>
      <c r="Q281" s="3">
        <v>54.0</v>
      </c>
      <c r="R281" s="3">
        <v>51.0</v>
      </c>
      <c r="S281" s="3">
        <v>46.0</v>
      </c>
      <c r="T281" s="3">
        <v>45.0</v>
      </c>
      <c r="U281" s="3">
        <v>54.0</v>
      </c>
      <c r="V281" s="3">
        <v>45.0</v>
      </c>
      <c r="W281" s="3">
        <v>48.0</v>
      </c>
      <c r="X281" s="3">
        <v>40.0</v>
      </c>
      <c r="Y281" s="3">
        <v>56.0</v>
      </c>
      <c r="Z281" s="3">
        <v>54.0</v>
      </c>
      <c r="AA281" s="3">
        <v>57.0</v>
      </c>
      <c r="AB281" s="3">
        <v>46.0</v>
      </c>
      <c r="AC281" s="3">
        <v>47.0</v>
      </c>
      <c r="AD281" s="3">
        <v>52.0</v>
      </c>
      <c r="AE281" s="3">
        <v>51.0</v>
      </c>
      <c r="AF281" s="3">
        <v>33.0</v>
      </c>
      <c r="AG281" s="3">
        <v>64.0</v>
      </c>
      <c r="AH281" s="3">
        <v>44.0</v>
      </c>
      <c r="AI281" s="3">
        <v>60.0</v>
      </c>
      <c r="AJ281" s="3">
        <v>56.0</v>
      </c>
      <c r="AK281" s="3">
        <v>44.0</v>
      </c>
      <c r="AL281" s="3">
        <v>36.0</v>
      </c>
      <c r="AM281" s="3">
        <v>85.0</v>
      </c>
      <c r="AN281" s="3">
        <v>60.0</v>
      </c>
    </row>
    <row r="282" ht="14.25" customHeight="1">
      <c r="A282" s="3">
        <v>280.0</v>
      </c>
      <c r="B282" s="3" t="s">
        <v>6756</v>
      </c>
      <c r="C282" s="3">
        <v>31.0</v>
      </c>
      <c r="D282" s="3" t="s">
        <v>6645</v>
      </c>
      <c r="E282" s="3" t="s">
        <v>6646</v>
      </c>
      <c r="F282" s="3" t="s">
        <v>6646</v>
      </c>
      <c r="G282" s="3" t="s">
        <v>6645</v>
      </c>
      <c r="H282" s="3" t="s">
        <v>6645</v>
      </c>
      <c r="I282" s="3" t="s">
        <v>6646</v>
      </c>
      <c r="J282" s="3">
        <v>5.0</v>
      </c>
      <c r="K282" s="3">
        <v>2.0</v>
      </c>
      <c r="L282" s="3">
        <v>0.0</v>
      </c>
      <c r="M282" s="3">
        <v>0.0</v>
      </c>
      <c r="N282" s="3">
        <v>5062.53</v>
      </c>
      <c r="O282" s="3">
        <v>432.0</v>
      </c>
      <c r="P282" s="3" t="e">
        <v>#N/A</v>
      </c>
      <c r="Q282" s="3">
        <v>51.0</v>
      </c>
      <c r="R282" s="3">
        <v>45.0</v>
      </c>
      <c r="S282" s="3">
        <v>50.0</v>
      </c>
      <c r="T282" s="3">
        <v>52.0</v>
      </c>
      <c r="U282" s="3">
        <v>45.0</v>
      </c>
      <c r="V282" s="3">
        <v>54.0</v>
      </c>
      <c r="W282" s="3">
        <v>45.0</v>
      </c>
      <c r="X282" s="3">
        <v>49.0</v>
      </c>
      <c r="Y282" s="3">
        <v>61.0</v>
      </c>
      <c r="Z282" s="3">
        <v>45.0</v>
      </c>
      <c r="AA282" s="3">
        <v>58.0</v>
      </c>
      <c r="AB282" s="3">
        <v>41.0</v>
      </c>
      <c r="AC282" s="3">
        <v>40.0</v>
      </c>
      <c r="AD282" s="3">
        <v>58.0</v>
      </c>
      <c r="AE282" s="3">
        <v>52.0</v>
      </c>
      <c r="AF282" s="3">
        <v>38.0</v>
      </c>
      <c r="AG282" s="3">
        <v>54.0</v>
      </c>
      <c r="AH282" s="3">
        <v>62.0</v>
      </c>
      <c r="AI282" s="3">
        <v>58.0</v>
      </c>
      <c r="AJ282" s="3">
        <v>60.0</v>
      </c>
      <c r="AK282" s="3">
        <v>62.0</v>
      </c>
      <c r="AL282" s="3">
        <v>46.0</v>
      </c>
      <c r="AM282" s="3">
        <v>74.0</v>
      </c>
      <c r="AN282" s="3">
        <v>42.0</v>
      </c>
    </row>
    <row r="283" ht="14.25" customHeight="1">
      <c r="A283" s="3">
        <v>281.0</v>
      </c>
      <c r="B283" s="3" t="s">
        <v>6757</v>
      </c>
      <c r="C283" s="3">
        <v>30.0</v>
      </c>
      <c r="D283" s="3" t="s">
        <v>6645</v>
      </c>
      <c r="E283" s="3" t="s">
        <v>6646</v>
      </c>
      <c r="F283" s="3" t="s">
        <v>6646</v>
      </c>
      <c r="G283" s="3" t="s">
        <v>6645</v>
      </c>
      <c r="H283" s="3" t="s">
        <v>6645</v>
      </c>
      <c r="I283" s="3" t="s">
        <v>6645</v>
      </c>
      <c r="J283" s="3">
        <v>5.0</v>
      </c>
      <c r="K283" s="3">
        <v>2.0</v>
      </c>
      <c r="L283" s="3">
        <v>0.0</v>
      </c>
      <c r="M283" s="3">
        <v>0.0</v>
      </c>
      <c r="N283" s="3">
        <v>4189.23</v>
      </c>
      <c r="O283" s="3">
        <v>447.0</v>
      </c>
      <c r="P283" s="3" t="e">
        <v>#N/A</v>
      </c>
      <c r="Q283" s="3">
        <v>48.0</v>
      </c>
      <c r="R283" s="3">
        <v>51.0</v>
      </c>
      <c r="S283" s="3">
        <v>48.0</v>
      </c>
      <c r="T283" s="3">
        <v>46.0</v>
      </c>
      <c r="U283" s="3">
        <v>48.0</v>
      </c>
      <c r="V283" s="3">
        <v>49.0</v>
      </c>
      <c r="W283" s="3">
        <v>49.0</v>
      </c>
      <c r="X283" s="3">
        <v>48.0</v>
      </c>
      <c r="Y283" s="3">
        <v>52.0</v>
      </c>
      <c r="Z283" s="3">
        <v>47.0</v>
      </c>
      <c r="AA283" s="3">
        <v>54.0</v>
      </c>
      <c r="AB283" s="3">
        <v>44.0</v>
      </c>
      <c r="AC283" s="3">
        <v>50.0</v>
      </c>
      <c r="AD283" s="3">
        <v>54.0</v>
      </c>
      <c r="AE283" s="3">
        <v>47.0</v>
      </c>
      <c r="AF283" s="3">
        <v>50.0</v>
      </c>
      <c r="AG283" s="3">
        <v>30.0</v>
      </c>
      <c r="AH283" s="3">
        <v>46.0</v>
      </c>
      <c r="AI283" s="3">
        <v>38.0</v>
      </c>
      <c r="AJ283" s="3">
        <v>60.0</v>
      </c>
      <c r="AK283" s="3">
        <v>48.0</v>
      </c>
      <c r="AL283" s="3">
        <v>50.0</v>
      </c>
      <c r="AM283" s="3">
        <v>74.0</v>
      </c>
      <c r="AN283" s="3">
        <v>58.0</v>
      </c>
    </row>
    <row r="284" ht="14.25" customHeight="1">
      <c r="A284" s="3">
        <v>282.0</v>
      </c>
      <c r="B284" s="3" t="s">
        <v>6758</v>
      </c>
      <c r="C284" s="3">
        <v>32.0</v>
      </c>
      <c r="D284" s="3" t="s">
        <v>6645</v>
      </c>
      <c r="E284" s="3" t="s">
        <v>6646</v>
      </c>
      <c r="F284" s="3" t="s">
        <v>6646</v>
      </c>
      <c r="G284" s="3" t="s">
        <v>6645</v>
      </c>
      <c r="H284" s="3" t="s">
        <v>6645</v>
      </c>
      <c r="I284" s="3" t="s">
        <v>6645</v>
      </c>
      <c r="J284" s="3">
        <v>5.0</v>
      </c>
      <c r="K284" s="3">
        <v>2.0</v>
      </c>
      <c r="L284" s="3">
        <v>0.0</v>
      </c>
      <c r="M284" s="3">
        <v>0.0</v>
      </c>
      <c r="N284" s="3">
        <v>4579.58</v>
      </c>
      <c r="O284" s="3">
        <v>376.0</v>
      </c>
      <c r="P284" s="3" t="e">
        <v>#N/A</v>
      </c>
      <c r="Q284" s="3">
        <v>52.0</v>
      </c>
      <c r="R284" s="3">
        <v>48.0</v>
      </c>
      <c r="S284" s="3">
        <v>45.0</v>
      </c>
      <c r="T284" s="3">
        <v>52.0</v>
      </c>
      <c r="U284" s="3">
        <v>45.0</v>
      </c>
      <c r="V284" s="3">
        <v>54.0</v>
      </c>
      <c r="W284" s="3">
        <v>44.0</v>
      </c>
      <c r="X284" s="3">
        <v>52.0</v>
      </c>
      <c r="Y284" s="3">
        <v>59.0</v>
      </c>
      <c r="Z284" s="3">
        <v>43.0</v>
      </c>
      <c r="AA284" s="3">
        <v>61.0</v>
      </c>
      <c r="AB284" s="3">
        <v>54.0</v>
      </c>
      <c r="AC284" s="3">
        <v>45.0</v>
      </c>
      <c r="AD284" s="3">
        <v>57.0</v>
      </c>
      <c r="AE284" s="3">
        <v>38.0</v>
      </c>
      <c r="AF284" s="3">
        <v>58.0</v>
      </c>
      <c r="AG284" s="3">
        <v>62.0</v>
      </c>
      <c r="AH284" s="3">
        <v>32.0</v>
      </c>
      <c r="AI284" s="3">
        <v>56.0</v>
      </c>
      <c r="AJ284" s="3">
        <v>58.0</v>
      </c>
      <c r="AK284" s="3">
        <v>58.0</v>
      </c>
      <c r="AL284" s="3">
        <v>64.0</v>
      </c>
      <c r="AM284" s="3">
        <v>78.0</v>
      </c>
      <c r="AN284" s="3">
        <v>50.0</v>
      </c>
    </row>
    <row r="285" ht="14.25" customHeight="1">
      <c r="A285" s="3">
        <v>283.0</v>
      </c>
      <c r="B285" s="3" t="s">
        <v>6759</v>
      </c>
      <c r="C285" s="3">
        <v>24.0</v>
      </c>
      <c r="D285" s="3" t="s">
        <v>6645</v>
      </c>
      <c r="E285" s="3" t="s">
        <v>6646</v>
      </c>
      <c r="F285" s="3" t="s">
        <v>6646</v>
      </c>
      <c r="G285" s="3" t="s">
        <v>6645</v>
      </c>
      <c r="H285" s="3" t="s">
        <v>6645</v>
      </c>
      <c r="I285" s="3" t="s">
        <v>6645</v>
      </c>
      <c r="J285" s="3">
        <v>5.0</v>
      </c>
      <c r="K285" s="3">
        <v>1.0</v>
      </c>
      <c r="L285" s="3">
        <v>0.0</v>
      </c>
      <c r="M285" s="3">
        <v>0.0</v>
      </c>
      <c r="N285" s="3">
        <v>1906.819</v>
      </c>
      <c r="O285" s="3">
        <v>237.0</v>
      </c>
      <c r="P285" s="3" t="e">
        <v>#N/A</v>
      </c>
      <c r="Q285" s="3">
        <v>46.0</v>
      </c>
      <c r="R285" s="3">
        <v>44.0</v>
      </c>
      <c r="S285" s="3">
        <v>44.0</v>
      </c>
      <c r="T285" s="3">
        <v>38.0</v>
      </c>
      <c r="U285" s="3">
        <v>40.0</v>
      </c>
      <c r="V285" s="3">
        <v>44.0</v>
      </c>
      <c r="W285" s="3">
        <v>39.0</v>
      </c>
      <c r="X285" s="3">
        <v>42.0</v>
      </c>
      <c r="Y285" s="3">
        <v>49.0</v>
      </c>
      <c r="Z285" s="3">
        <v>38.0</v>
      </c>
      <c r="AA285" s="3">
        <v>47.0</v>
      </c>
      <c r="AB285" s="3">
        <v>31.0</v>
      </c>
      <c r="AC285" s="3">
        <v>36.0</v>
      </c>
      <c r="AD285" s="3">
        <v>54.0</v>
      </c>
      <c r="AE285" s="3">
        <v>42.0</v>
      </c>
      <c r="AF285" s="3">
        <v>23.0</v>
      </c>
      <c r="AG285" s="3">
        <v>33.0</v>
      </c>
      <c r="AH285" s="3">
        <v>38.0</v>
      </c>
      <c r="AI285" s="3">
        <v>47.0</v>
      </c>
      <c r="AJ285" s="3">
        <v>35.0</v>
      </c>
      <c r="AK285" s="3">
        <v>56.0</v>
      </c>
      <c r="AL285" s="3">
        <v>37.0</v>
      </c>
      <c r="AM285" s="3">
        <v>71.0</v>
      </c>
      <c r="AN285" s="3">
        <v>55.0</v>
      </c>
    </row>
    <row r="286" ht="14.25" customHeight="1">
      <c r="A286" s="3">
        <v>284.0</v>
      </c>
      <c r="B286" s="3" t="s">
        <v>6760</v>
      </c>
      <c r="C286" s="3">
        <v>28.0</v>
      </c>
      <c r="D286" s="3" t="s">
        <v>6645</v>
      </c>
      <c r="E286" s="3" t="s">
        <v>6646</v>
      </c>
      <c r="F286" s="3" t="s">
        <v>6646</v>
      </c>
      <c r="G286" s="3" t="s">
        <v>6645</v>
      </c>
      <c r="H286" s="3" t="s">
        <v>6645</v>
      </c>
      <c r="I286" s="3" t="s">
        <v>6645</v>
      </c>
      <c r="J286" s="3">
        <v>5.0</v>
      </c>
      <c r="K286" s="3">
        <v>1.0</v>
      </c>
      <c r="L286" s="3">
        <v>0.0</v>
      </c>
      <c r="M286" s="3">
        <v>0.0</v>
      </c>
      <c r="N286" s="3">
        <v>1933.1276</v>
      </c>
      <c r="O286" s="3">
        <v>232.0</v>
      </c>
      <c r="P286" s="3" t="e">
        <v>#N/A</v>
      </c>
      <c r="Q286" s="3">
        <v>38.0</v>
      </c>
      <c r="R286" s="3">
        <v>44.0</v>
      </c>
      <c r="S286" s="3">
        <v>38.0</v>
      </c>
      <c r="T286" s="3">
        <v>40.0</v>
      </c>
      <c r="U286" s="3">
        <v>42.0</v>
      </c>
      <c r="V286" s="3">
        <v>42.0</v>
      </c>
      <c r="W286" s="3">
        <v>40.0</v>
      </c>
      <c r="X286" s="3">
        <v>33.0</v>
      </c>
      <c r="Y286" s="3">
        <v>54.0</v>
      </c>
      <c r="Z286" s="3">
        <v>34.0</v>
      </c>
      <c r="AA286" s="3">
        <v>51.0</v>
      </c>
      <c r="AB286" s="3">
        <v>42.0</v>
      </c>
      <c r="AC286" s="3">
        <v>38.0</v>
      </c>
      <c r="AD286" s="3">
        <v>44.0</v>
      </c>
      <c r="AE286" s="3">
        <v>36.0</v>
      </c>
      <c r="AF286" s="3">
        <v>61.0</v>
      </c>
      <c r="AG286" s="3">
        <v>55.0</v>
      </c>
      <c r="AH286" s="3">
        <v>60.0</v>
      </c>
      <c r="AI286" s="3">
        <v>34.0</v>
      </c>
      <c r="AJ286" s="3">
        <v>57.0</v>
      </c>
      <c r="AK286" s="3">
        <v>38.0</v>
      </c>
      <c r="AL286" s="3">
        <v>49.0</v>
      </c>
      <c r="AM286" s="3">
        <v>80.0</v>
      </c>
      <c r="AN286" s="3">
        <v>37.0</v>
      </c>
    </row>
    <row r="287" ht="14.25" customHeight="1">
      <c r="A287" s="3">
        <v>285.0</v>
      </c>
      <c r="B287" s="3" t="s">
        <v>6761</v>
      </c>
      <c r="C287" s="3">
        <v>26.0</v>
      </c>
      <c r="D287" s="3" t="s">
        <v>6645</v>
      </c>
      <c r="E287" s="3" t="s">
        <v>6646</v>
      </c>
      <c r="F287" s="3" t="s">
        <v>6646</v>
      </c>
      <c r="G287" s="3" t="s">
        <v>6645</v>
      </c>
      <c r="H287" s="3" t="s">
        <v>6645</v>
      </c>
      <c r="I287" s="3" t="s">
        <v>6645</v>
      </c>
      <c r="J287" s="3">
        <v>5.0</v>
      </c>
      <c r="K287" s="3">
        <v>1.0</v>
      </c>
      <c r="L287" s="3">
        <v>0.0</v>
      </c>
      <c r="M287" s="3">
        <v>0.0</v>
      </c>
      <c r="N287" s="3">
        <v>1942.6214</v>
      </c>
      <c r="O287" s="3">
        <v>226.0</v>
      </c>
      <c r="P287" s="3" t="e">
        <v>#N/A</v>
      </c>
      <c r="Q287" s="3">
        <v>46.0</v>
      </c>
      <c r="R287" s="3">
        <v>40.0</v>
      </c>
      <c r="S287" s="3">
        <v>46.0</v>
      </c>
      <c r="T287" s="3">
        <v>46.0</v>
      </c>
      <c r="U287" s="3">
        <v>38.0</v>
      </c>
      <c r="V287" s="3">
        <v>46.0</v>
      </c>
      <c r="W287" s="3">
        <v>38.0</v>
      </c>
      <c r="X287" s="3">
        <v>35.0</v>
      </c>
      <c r="Y287" s="3">
        <v>43.0</v>
      </c>
      <c r="Z287" s="3">
        <v>35.0</v>
      </c>
      <c r="AA287" s="3">
        <v>49.0</v>
      </c>
      <c r="AB287" s="3">
        <v>40.0</v>
      </c>
      <c r="AC287" s="3">
        <v>37.0</v>
      </c>
      <c r="AD287" s="3">
        <v>49.0</v>
      </c>
      <c r="AE287" s="3">
        <v>40.0</v>
      </c>
      <c r="AF287" s="3">
        <v>55.0</v>
      </c>
      <c r="AG287" s="3">
        <v>5.0</v>
      </c>
      <c r="AH287" s="3">
        <v>41.0</v>
      </c>
      <c r="AI287" s="3">
        <v>46.0</v>
      </c>
      <c r="AJ287" s="3">
        <v>55.0</v>
      </c>
      <c r="AK287" s="3">
        <v>37.0</v>
      </c>
      <c r="AL287" s="3">
        <v>52.0</v>
      </c>
      <c r="AM287" s="3">
        <v>65.0</v>
      </c>
      <c r="AN287" s="3">
        <v>34.0</v>
      </c>
    </row>
    <row r="288" ht="14.25" customHeight="1">
      <c r="A288" s="3">
        <v>286.0</v>
      </c>
      <c r="B288" s="3" t="s">
        <v>6762</v>
      </c>
      <c r="C288" s="3">
        <v>23.0</v>
      </c>
      <c r="D288" s="3" t="s">
        <v>6645</v>
      </c>
      <c r="E288" s="3" t="s">
        <v>6646</v>
      </c>
      <c r="F288" s="3" t="s">
        <v>6646</v>
      </c>
      <c r="G288" s="3" t="s">
        <v>6645</v>
      </c>
      <c r="H288" s="3" t="s">
        <v>6645</v>
      </c>
      <c r="I288" s="3" t="s">
        <v>6646</v>
      </c>
      <c r="J288" s="3">
        <v>5.0</v>
      </c>
      <c r="K288" s="3">
        <v>1.0</v>
      </c>
      <c r="L288" s="3">
        <v>0.0</v>
      </c>
      <c r="M288" s="3">
        <v>0.0</v>
      </c>
      <c r="N288" s="3">
        <v>1703.4825</v>
      </c>
      <c r="O288" s="3">
        <v>204.0</v>
      </c>
      <c r="P288" s="3" t="e">
        <v>#N/A</v>
      </c>
      <c r="Q288" s="3">
        <v>40.0</v>
      </c>
      <c r="R288" s="3">
        <v>46.0</v>
      </c>
      <c r="S288" s="3">
        <v>38.0</v>
      </c>
      <c r="T288" s="3">
        <v>40.0</v>
      </c>
      <c r="U288" s="3">
        <v>46.0</v>
      </c>
      <c r="V288" s="3">
        <v>46.0</v>
      </c>
      <c r="W288" s="3">
        <v>35.0</v>
      </c>
      <c r="X288" s="3">
        <v>29.0</v>
      </c>
      <c r="Y288" s="3">
        <v>47.0</v>
      </c>
      <c r="Z288" s="3">
        <v>38.0</v>
      </c>
      <c r="AA288" s="3">
        <v>55.0</v>
      </c>
      <c r="AB288" s="3">
        <v>42.0</v>
      </c>
      <c r="AC288" s="3">
        <v>30.0</v>
      </c>
      <c r="AD288" s="3">
        <v>46.0</v>
      </c>
      <c r="AE288" s="3">
        <v>38.0</v>
      </c>
      <c r="AF288" s="3">
        <v>42.0</v>
      </c>
      <c r="AG288" s="3">
        <v>48.0</v>
      </c>
      <c r="AH288" s="3">
        <v>21.0</v>
      </c>
      <c r="AI288" s="3">
        <v>57.0</v>
      </c>
      <c r="AJ288" s="3">
        <v>41.0</v>
      </c>
      <c r="AK288" s="3">
        <v>41.0</v>
      </c>
      <c r="AL288" s="3">
        <v>52.0</v>
      </c>
      <c r="AM288" s="3">
        <v>65.0</v>
      </c>
      <c r="AN288" s="3">
        <v>53.0</v>
      </c>
    </row>
    <row r="289" ht="14.25" customHeight="1">
      <c r="A289" s="3">
        <v>287.0</v>
      </c>
      <c r="B289" s="3" t="s">
        <v>6763</v>
      </c>
      <c r="C289" s="3">
        <v>25.0</v>
      </c>
      <c r="D289" s="3" t="s">
        <v>6645</v>
      </c>
      <c r="E289" s="3" t="s">
        <v>6646</v>
      </c>
      <c r="F289" s="3" t="s">
        <v>6646</v>
      </c>
      <c r="G289" s="3" t="s">
        <v>6645</v>
      </c>
      <c r="H289" s="3" t="s">
        <v>6645</v>
      </c>
      <c r="I289" s="3" t="s">
        <v>6646</v>
      </c>
      <c r="J289" s="3">
        <v>5.0</v>
      </c>
      <c r="K289" s="3">
        <v>1.0</v>
      </c>
      <c r="L289" s="3">
        <v>0.0</v>
      </c>
      <c r="M289" s="3">
        <v>0.0</v>
      </c>
      <c r="N289" s="3">
        <v>2041.7265</v>
      </c>
      <c r="O289" s="3">
        <v>198.0</v>
      </c>
      <c r="P289" s="3" t="e">
        <v>#N/A</v>
      </c>
      <c r="Q289" s="3">
        <v>42.0</v>
      </c>
      <c r="R289" s="3">
        <v>44.0</v>
      </c>
      <c r="S289" s="3">
        <v>42.0</v>
      </c>
      <c r="T289" s="3">
        <v>38.0</v>
      </c>
      <c r="U289" s="3">
        <v>40.0</v>
      </c>
      <c r="V289" s="3">
        <v>38.0</v>
      </c>
      <c r="W289" s="3">
        <v>38.0</v>
      </c>
      <c r="X289" s="3">
        <v>32.0</v>
      </c>
      <c r="Y289" s="3">
        <v>46.0</v>
      </c>
      <c r="Z289" s="3">
        <v>37.0</v>
      </c>
      <c r="AA289" s="3">
        <v>49.0</v>
      </c>
      <c r="AB289" s="3">
        <v>46.0</v>
      </c>
      <c r="AC289" s="3">
        <v>37.0</v>
      </c>
      <c r="AD289" s="3">
        <v>47.0</v>
      </c>
      <c r="AE289" s="3">
        <v>40.0</v>
      </c>
      <c r="AF289" s="3">
        <v>45.0</v>
      </c>
      <c r="AG289" s="3">
        <v>45.0</v>
      </c>
      <c r="AH289" s="3">
        <v>15.0</v>
      </c>
      <c r="AI289" s="3">
        <v>36.0</v>
      </c>
      <c r="AJ289" s="3">
        <v>49.0</v>
      </c>
      <c r="AK289" s="3">
        <v>36.0</v>
      </c>
      <c r="AL289" s="3">
        <v>51.0</v>
      </c>
      <c r="AM289" s="3">
        <v>69.0</v>
      </c>
      <c r="AN289" s="3">
        <v>54.0</v>
      </c>
    </row>
    <row r="290" ht="14.25" customHeight="1">
      <c r="A290" s="3">
        <v>288.0</v>
      </c>
      <c r="B290" s="3" t="s">
        <v>6764</v>
      </c>
      <c r="C290" s="3">
        <v>17.0</v>
      </c>
      <c r="D290" s="3" t="s">
        <v>6645</v>
      </c>
      <c r="E290" s="3" t="s">
        <v>6646</v>
      </c>
      <c r="F290" s="3" t="s">
        <v>6646</v>
      </c>
      <c r="G290" s="3" t="s">
        <v>6645</v>
      </c>
      <c r="H290" s="3" t="s">
        <v>6645</v>
      </c>
      <c r="I290" s="3" t="s">
        <v>6645</v>
      </c>
      <c r="J290" s="3">
        <v>5.0</v>
      </c>
      <c r="K290" s="3">
        <v>0.0</v>
      </c>
      <c r="L290" s="3">
        <v>0.0</v>
      </c>
      <c r="M290" s="3">
        <v>0.0</v>
      </c>
      <c r="N290" s="3">
        <v>542.501</v>
      </c>
      <c r="O290" s="3">
        <v>98.0</v>
      </c>
      <c r="P290" s="3" t="e">
        <v>#N/A</v>
      </c>
      <c r="Q290" s="3">
        <v>30.0</v>
      </c>
      <c r="R290" s="3">
        <v>37.0</v>
      </c>
      <c r="S290" s="3">
        <v>30.0</v>
      </c>
      <c r="T290" s="3">
        <v>32.0</v>
      </c>
      <c r="U290" s="3">
        <v>34.0</v>
      </c>
      <c r="V290" s="3">
        <v>39.0</v>
      </c>
      <c r="W290" s="3">
        <v>26.0</v>
      </c>
      <c r="X290" s="3">
        <v>38.0</v>
      </c>
      <c r="Y290" s="3">
        <v>43.0</v>
      </c>
      <c r="Z290" s="3">
        <v>22.0</v>
      </c>
      <c r="AA290" s="3">
        <v>43.0</v>
      </c>
      <c r="AB290" s="3">
        <v>27.0</v>
      </c>
      <c r="AC290" s="3">
        <v>33.0</v>
      </c>
      <c r="AD290" s="3">
        <v>46.0</v>
      </c>
      <c r="AE290" s="3">
        <v>31.0</v>
      </c>
      <c r="AF290" s="3">
        <v>51.0</v>
      </c>
      <c r="AG290" s="3">
        <v>39.0</v>
      </c>
      <c r="AH290" s="3">
        <v>11.0</v>
      </c>
      <c r="AI290" s="3">
        <v>45.0</v>
      </c>
      <c r="AJ290" s="3">
        <v>37.0</v>
      </c>
      <c r="AK290" s="3">
        <v>36.0</v>
      </c>
      <c r="AL290" s="3">
        <v>58.0</v>
      </c>
      <c r="AM290" s="3">
        <v>76.0</v>
      </c>
      <c r="AN290" s="3">
        <v>30.0</v>
      </c>
    </row>
    <row r="291" ht="14.25" customHeight="1">
      <c r="A291" s="3">
        <v>289.0</v>
      </c>
      <c r="B291" s="3" t="s">
        <v>6765</v>
      </c>
      <c r="C291" s="3">
        <v>18.0</v>
      </c>
      <c r="D291" s="3" t="s">
        <v>6645</v>
      </c>
      <c r="E291" s="3" t="s">
        <v>6646</v>
      </c>
      <c r="F291" s="3" t="s">
        <v>6646</v>
      </c>
      <c r="G291" s="3" t="s">
        <v>6645</v>
      </c>
      <c r="H291" s="3" t="s">
        <v>6645</v>
      </c>
      <c r="I291" s="3" t="s">
        <v>6645</v>
      </c>
      <c r="J291" s="3">
        <v>5.0</v>
      </c>
      <c r="K291" s="3">
        <v>0.0</v>
      </c>
      <c r="L291" s="3">
        <v>0.0</v>
      </c>
      <c r="M291" s="3">
        <v>0.0</v>
      </c>
      <c r="N291" s="3">
        <v>538.471</v>
      </c>
      <c r="O291" s="3">
        <v>98.0</v>
      </c>
      <c r="P291" s="3" t="e">
        <v>#N/A</v>
      </c>
      <c r="Q291" s="3">
        <v>31.0</v>
      </c>
      <c r="R291" s="3">
        <v>35.0</v>
      </c>
      <c r="S291" s="3">
        <v>35.0</v>
      </c>
      <c r="T291" s="3">
        <v>30.0</v>
      </c>
      <c r="U291" s="3">
        <v>33.0</v>
      </c>
      <c r="V291" s="3">
        <v>34.0</v>
      </c>
      <c r="W291" s="3">
        <v>35.0</v>
      </c>
      <c r="X291" s="3">
        <v>33.0</v>
      </c>
      <c r="Y291" s="3">
        <v>48.0</v>
      </c>
      <c r="Z291" s="3">
        <v>31.0</v>
      </c>
      <c r="AA291" s="3">
        <v>47.0</v>
      </c>
      <c r="AB291" s="3">
        <v>24.0</v>
      </c>
      <c r="AC291" s="3">
        <v>29.0</v>
      </c>
      <c r="AD291" s="3">
        <v>42.0</v>
      </c>
      <c r="AE291" s="3">
        <v>23.0</v>
      </c>
      <c r="AF291" s="3">
        <v>43.0</v>
      </c>
      <c r="AG291" s="3">
        <v>45.0</v>
      </c>
      <c r="AH291" s="3">
        <v>16.0</v>
      </c>
      <c r="AI291" s="3">
        <v>40.0</v>
      </c>
      <c r="AJ291" s="3">
        <v>38.0</v>
      </c>
      <c r="AK291" s="3">
        <v>33.0</v>
      </c>
      <c r="AL291" s="3">
        <v>48.0</v>
      </c>
      <c r="AM291" s="3">
        <v>66.0</v>
      </c>
      <c r="AN291" s="3">
        <v>32.0</v>
      </c>
    </row>
    <row r="292" ht="14.25" customHeight="1">
      <c r="A292" s="3">
        <v>290.0</v>
      </c>
      <c r="B292" s="3" t="s">
        <v>6766</v>
      </c>
      <c r="C292" s="3">
        <v>24.0</v>
      </c>
      <c r="D292" s="3" t="s">
        <v>6645</v>
      </c>
      <c r="E292" s="3" t="s">
        <v>6646</v>
      </c>
      <c r="F292" s="3" t="s">
        <v>6646</v>
      </c>
      <c r="G292" s="3" t="s">
        <v>6645</v>
      </c>
      <c r="H292" s="3" t="s">
        <v>6645</v>
      </c>
      <c r="I292" s="3" t="s">
        <v>6646</v>
      </c>
      <c r="J292" s="3">
        <v>5.0</v>
      </c>
      <c r="K292" s="3">
        <v>0.0</v>
      </c>
      <c r="L292" s="3">
        <v>0.0</v>
      </c>
      <c r="M292" s="3">
        <v>0.0</v>
      </c>
      <c r="N292" s="3">
        <v>637.443</v>
      </c>
      <c r="O292" s="3">
        <v>105.0</v>
      </c>
      <c r="P292" s="3" t="e">
        <v>#N/A</v>
      </c>
      <c r="Q292" s="3">
        <v>39.0</v>
      </c>
      <c r="R292" s="3">
        <v>30.0</v>
      </c>
      <c r="S292" s="3">
        <v>37.0</v>
      </c>
      <c r="T292" s="3">
        <v>34.0</v>
      </c>
      <c r="U292" s="3">
        <v>37.0</v>
      </c>
      <c r="V292" s="3">
        <v>38.0</v>
      </c>
      <c r="W292" s="3">
        <v>30.0</v>
      </c>
      <c r="X292" s="3">
        <v>31.0</v>
      </c>
      <c r="Y292" s="3">
        <v>45.0</v>
      </c>
      <c r="Z292" s="3">
        <v>20.0</v>
      </c>
      <c r="AA292" s="3">
        <v>49.0</v>
      </c>
      <c r="AB292" s="3">
        <v>25.0</v>
      </c>
      <c r="AC292" s="3">
        <v>36.0</v>
      </c>
      <c r="AD292" s="3">
        <v>48.0</v>
      </c>
      <c r="AE292" s="3">
        <v>29.0</v>
      </c>
      <c r="AF292" s="3">
        <v>30.0</v>
      </c>
      <c r="AG292" s="3">
        <v>50.0</v>
      </c>
      <c r="AH292" s="3">
        <v>35.0</v>
      </c>
      <c r="AI292" s="3">
        <v>40.0</v>
      </c>
      <c r="AJ292" s="3">
        <v>28.0</v>
      </c>
      <c r="AK292" s="3">
        <v>42.0</v>
      </c>
      <c r="AL292" s="3">
        <v>45.0</v>
      </c>
      <c r="AM292" s="3">
        <v>62.0</v>
      </c>
      <c r="AN292" s="3">
        <v>45.0</v>
      </c>
    </row>
    <row r="293" ht="14.25" customHeight="1">
      <c r="A293" s="3">
        <v>291.0</v>
      </c>
      <c r="B293" s="3" t="s">
        <v>6767</v>
      </c>
      <c r="C293" s="3">
        <v>16.0</v>
      </c>
      <c r="D293" s="3" t="s">
        <v>6645</v>
      </c>
      <c r="E293" s="3" t="s">
        <v>6646</v>
      </c>
      <c r="F293" s="3" t="s">
        <v>6646</v>
      </c>
      <c r="G293" s="3" t="s">
        <v>6645</v>
      </c>
      <c r="H293" s="3" t="s">
        <v>6645</v>
      </c>
      <c r="I293" s="3" t="s">
        <v>6646</v>
      </c>
      <c r="J293" s="3">
        <v>5.0</v>
      </c>
      <c r="K293" s="3">
        <v>0.0</v>
      </c>
      <c r="L293" s="3">
        <v>0.0</v>
      </c>
      <c r="M293" s="3">
        <v>0.0</v>
      </c>
      <c r="N293" s="3">
        <v>585.422</v>
      </c>
      <c r="O293" s="3">
        <v>112.0</v>
      </c>
      <c r="P293" s="3" t="e">
        <v>#N/A</v>
      </c>
      <c r="Q293" s="3">
        <v>34.0</v>
      </c>
      <c r="R293" s="3">
        <v>32.0</v>
      </c>
      <c r="S293" s="3">
        <v>33.0</v>
      </c>
      <c r="T293" s="3">
        <v>33.0</v>
      </c>
      <c r="U293" s="3">
        <v>35.0</v>
      </c>
      <c r="V293" s="3">
        <v>35.0</v>
      </c>
      <c r="W293" s="3">
        <v>34.0</v>
      </c>
      <c r="X293" s="3">
        <v>20.0</v>
      </c>
      <c r="Y293" s="3">
        <v>44.0</v>
      </c>
      <c r="Z293" s="3">
        <v>31.0</v>
      </c>
      <c r="AA293" s="3">
        <v>37.0</v>
      </c>
      <c r="AB293" s="3">
        <v>25.0</v>
      </c>
      <c r="AC293" s="3">
        <v>28.0</v>
      </c>
      <c r="AD293" s="3">
        <v>43.0</v>
      </c>
      <c r="AE293" s="3">
        <v>39.0</v>
      </c>
      <c r="AF293" s="3">
        <v>58.0</v>
      </c>
      <c r="AG293" s="3">
        <v>40.0</v>
      </c>
      <c r="AH293" s="3">
        <v>55.0</v>
      </c>
      <c r="AI293" s="3">
        <v>41.0</v>
      </c>
      <c r="AJ293" s="3">
        <v>59.0</v>
      </c>
      <c r="AK293" s="3">
        <v>26.0</v>
      </c>
      <c r="AL293" s="3">
        <v>43.0</v>
      </c>
      <c r="AM293" s="3">
        <v>78.0</v>
      </c>
      <c r="AN293" s="3">
        <v>36.0</v>
      </c>
    </row>
    <row r="294" ht="14.25" customHeight="1">
      <c r="A294" s="3">
        <v>292.0</v>
      </c>
      <c r="B294" s="3" t="s">
        <v>6768</v>
      </c>
      <c r="C294" s="3">
        <v>18.0</v>
      </c>
      <c r="D294" s="3" t="s">
        <v>6645</v>
      </c>
      <c r="E294" s="3" t="s">
        <v>6646</v>
      </c>
      <c r="F294" s="3" t="s">
        <v>6646</v>
      </c>
      <c r="G294" s="3" t="s">
        <v>6645</v>
      </c>
      <c r="H294" s="3" t="s">
        <v>6645</v>
      </c>
      <c r="I294" s="3" t="s">
        <v>6646</v>
      </c>
      <c r="J294" s="3">
        <v>5.0</v>
      </c>
      <c r="K294" s="3">
        <v>0.0</v>
      </c>
      <c r="L294" s="3">
        <v>0.0</v>
      </c>
      <c r="M294" s="3">
        <v>0.0</v>
      </c>
      <c r="N294" s="3">
        <v>590.108</v>
      </c>
      <c r="O294" s="3">
        <v>91.0</v>
      </c>
      <c r="P294" s="3" t="e">
        <v>#N/A</v>
      </c>
      <c r="Q294" s="3">
        <v>31.0</v>
      </c>
      <c r="R294" s="3">
        <v>33.0</v>
      </c>
      <c r="S294" s="3">
        <v>33.0</v>
      </c>
      <c r="T294" s="3">
        <v>36.0</v>
      </c>
      <c r="U294" s="3">
        <v>36.0</v>
      </c>
      <c r="V294" s="3">
        <v>36.0</v>
      </c>
      <c r="W294" s="3">
        <v>34.0</v>
      </c>
      <c r="X294" s="3">
        <v>30.0</v>
      </c>
      <c r="Y294" s="3">
        <v>39.0</v>
      </c>
      <c r="Z294" s="3">
        <v>26.0</v>
      </c>
      <c r="AA294" s="3">
        <v>38.0</v>
      </c>
      <c r="AB294" s="3">
        <v>30.0</v>
      </c>
      <c r="AC294" s="3">
        <v>34.0</v>
      </c>
      <c r="AD294" s="3">
        <v>44.0</v>
      </c>
      <c r="AE294" s="3">
        <v>38.0</v>
      </c>
      <c r="AF294" s="3">
        <v>44.0</v>
      </c>
      <c r="AG294" s="3">
        <v>52.0</v>
      </c>
      <c r="AH294" s="3">
        <v>31.0</v>
      </c>
      <c r="AI294" s="3">
        <v>31.0</v>
      </c>
      <c r="AJ294" s="3">
        <v>34.0</v>
      </c>
      <c r="AK294" s="3">
        <v>51.0</v>
      </c>
      <c r="AL294" s="3">
        <v>54.0</v>
      </c>
      <c r="AM294" s="3">
        <v>70.0</v>
      </c>
      <c r="AN294" s="3">
        <v>59.0</v>
      </c>
    </row>
    <row r="295" ht="14.25" customHeight="1">
      <c r="A295" s="3">
        <v>293.0</v>
      </c>
      <c r="B295" s="3" t="s">
        <v>6769</v>
      </c>
      <c r="C295" s="3">
        <v>40.0</v>
      </c>
      <c r="D295" s="3" t="s">
        <v>6645</v>
      </c>
      <c r="E295" s="3" t="s">
        <v>6646</v>
      </c>
      <c r="F295" s="3" t="s">
        <v>6646</v>
      </c>
      <c r="G295" s="3" t="s">
        <v>6645</v>
      </c>
      <c r="H295" s="3" t="s">
        <v>6645</v>
      </c>
      <c r="I295" s="3" t="s">
        <v>6645</v>
      </c>
      <c r="J295" s="3">
        <v>6.0</v>
      </c>
      <c r="K295" s="3">
        <v>4.0</v>
      </c>
      <c r="L295" s="3">
        <v>0.0</v>
      </c>
      <c r="M295" s="3">
        <v>0.0</v>
      </c>
      <c r="N295" s="3">
        <v>11750.511</v>
      </c>
      <c r="O295" s="3">
        <v>1287.0</v>
      </c>
      <c r="P295" s="3" t="e">
        <v>#N/A</v>
      </c>
      <c r="Q295" s="3">
        <v>74.0</v>
      </c>
      <c r="R295" s="3">
        <v>73.0</v>
      </c>
      <c r="S295" s="3">
        <v>64.0</v>
      </c>
      <c r="T295" s="3">
        <v>65.0</v>
      </c>
      <c r="U295" s="3">
        <v>57.0</v>
      </c>
      <c r="V295" s="3">
        <v>64.0</v>
      </c>
      <c r="W295" s="3">
        <v>66.0</v>
      </c>
      <c r="X295" s="3">
        <v>60.0</v>
      </c>
      <c r="Y295" s="3">
        <v>75.0</v>
      </c>
      <c r="Z295" s="3">
        <v>56.0</v>
      </c>
      <c r="AA295" s="3">
        <v>85.0</v>
      </c>
      <c r="AB295" s="3">
        <v>74.0</v>
      </c>
      <c r="AC295" s="3">
        <v>61.0</v>
      </c>
      <c r="AD295" s="3">
        <v>59.0</v>
      </c>
      <c r="AE295" s="3">
        <v>64.0</v>
      </c>
      <c r="AF295" s="3">
        <v>32.0</v>
      </c>
      <c r="AG295" s="3">
        <v>62.0</v>
      </c>
      <c r="AH295" s="3">
        <v>46.0</v>
      </c>
      <c r="AI295" s="3">
        <v>41.0</v>
      </c>
      <c r="AJ295" s="3">
        <v>83.0</v>
      </c>
      <c r="AK295" s="3">
        <v>54.0</v>
      </c>
      <c r="AL295" s="3">
        <v>80.0</v>
      </c>
      <c r="AM295" s="3">
        <v>59.0</v>
      </c>
      <c r="AN295" s="3">
        <v>50.0</v>
      </c>
    </row>
    <row r="296" ht="14.25" customHeight="1">
      <c r="A296" s="3">
        <v>294.0</v>
      </c>
      <c r="B296" s="3" t="s">
        <v>6770</v>
      </c>
      <c r="C296" s="3">
        <v>42.0</v>
      </c>
      <c r="D296" s="3" t="s">
        <v>6645</v>
      </c>
      <c r="E296" s="3" t="s">
        <v>6646</v>
      </c>
      <c r="F296" s="3" t="s">
        <v>6646</v>
      </c>
      <c r="G296" s="3" t="s">
        <v>6645</v>
      </c>
      <c r="H296" s="3" t="s">
        <v>6645</v>
      </c>
      <c r="I296" s="3" t="s">
        <v>6646</v>
      </c>
      <c r="J296" s="3">
        <v>6.0</v>
      </c>
      <c r="K296" s="3">
        <v>4.0</v>
      </c>
      <c r="L296" s="3">
        <v>0.0</v>
      </c>
      <c r="M296" s="3">
        <v>0.0</v>
      </c>
      <c r="N296" s="3">
        <v>12910.388</v>
      </c>
      <c r="O296" s="3">
        <v>1903.0</v>
      </c>
      <c r="P296" s="3" t="e">
        <v>#N/A</v>
      </c>
      <c r="Q296" s="3">
        <v>81.0</v>
      </c>
      <c r="R296" s="3">
        <v>74.0</v>
      </c>
      <c r="S296" s="3">
        <v>65.0</v>
      </c>
      <c r="T296" s="3">
        <v>59.0</v>
      </c>
      <c r="U296" s="3">
        <v>58.0</v>
      </c>
      <c r="V296" s="3">
        <v>57.0</v>
      </c>
      <c r="W296" s="3">
        <v>60.0</v>
      </c>
      <c r="X296" s="3">
        <v>66.0</v>
      </c>
      <c r="Y296" s="3">
        <v>78.0</v>
      </c>
      <c r="Z296" s="3">
        <v>57.0</v>
      </c>
      <c r="AA296" s="3">
        <v>83.0</v>
      </c>
      <c r="AB296" s="3">
        <v>71.0</v>
      </c>
      <c r="AC296" s="3">
        <v>57.0</v>
      </c>
      <c r="AD296" s="3">
        <v>62.0</v>
      </c>
      <c r="AE296" s="3">
        <v>61.0</v>
      </c>
      <c r="AF296" s="3">
        <v>54.0</v>
      </c>
      <c r="AG296" s="3">
        <v>67.0</v>
      </c>
      <c r="AH296" s="3">
        <v>51.0</v>
      </c>
      <c r="AI296" s="3">
        <v>23.0</v>
      </c>
      <c r="AJ296" s="3">
        <v>87.0</v>
      </c>
      <c r="AK296" s="3">
        <v>54.0</v>
      </c>
      <c r="AL296" s="3">
        <v>84.0</v>
      </c>
      <c r="AM296" s="3">
        <v>34.0</v>
      </c>
      <c r="AN296" s="3">
        <v>64.0</v>
      </c>
    </row>
    <row r="297" ht="14.25" customHeight="1">
      <c r="A297" s="3">
        <v>295.0</v>
      </c>
      <c r="B297" s="3" t="s">
        <v>6771</v>
      </c>
      <c r="C297" s="3">
        <v>36.0</v>
      </c>
      <c r="D297" s="3" t="s">
        <v>6645</v>
      </c>
      <c r="E297" s="3" t="s">
        <v>6646</v>
      </c>
      <c r="F297" s="3" t="s">
        <v>6646</v>
      </c>
      <c r="G297" s="3" t="s">
        <v>6645</v>
      </c>
      <c r="H297" s="3" t="s">
        <v>6645</v>
      </c>
      <c r="I297" s="3" t="s">
        <v>6646</v>
      </c>
      <c r="J297" s="3">
        <v>6.0</v>
      </c>
      <c r="K297" s="3">
        <v>4.0</v>
      </c>
      <c r="L297" s="3">
        <v>0.0</v>
      </c>
      <c r="M297" s="3">
        <v>0.0</v>
      </c>
      <c r="N297" s="3">
        <v>11867.597</v>
      </c>
      <c r="O297" s="3">
        <v>1641.0</v>
      </c>
      <c r="P297" s="3" t="e">
        <v>#N/A</v>
      </c>
      <c r="Q297" s="3">
        <v>73.0</v>
      </c>
      <c r="R297" s="3">
        <v>69.0</v>
      </c>
      <c r="S297" s="3">
        <v>63.0</v>
      </c>
      <c r="T297" s="3">
        <v>62.0</v>
      </c>
      <c r="U297" s="3">
        <v>65.0</v>
      </c>
      <c r="V297" s="3">
        <v>63.0</v>
      </c>
      <c r="W297" s="3">
        <v>67.0</v>
      </c>
      <c r="X297" s="3">
        <v>57.0</v>
      </c>
      <c r="Y297" s="3">
        <v>76.0</v>
      </c>
      <c r="Z297" s="3">
        <v>57.0</v>
      </c>
      <c r="AA297" s="3">
        <v>87.0</v>
      </c>
      <c r="AB297" s="3">
        <v>73.0</v>
      </c>
      <c r="AC297" s="3">
        <v>60.0</v>
      </c>
      <c r="AD297" s="3">
        <v>54.0</v>
      </c>
      <c r="AE297" s="3">
        <v>62.0</v>
      </c>
      <c r="AF297" s="3">
        <v>65.0</v>
      </c>
      <c r="AG297" s="3">
        <v>54.0</v>
      </c>
      <c r="AH297" s="3">
        <v>22.0</v>
      </c>
      <c r="AI297" s="3">
        <v>60.0</v>
      </c>
      <c r="AJ297" s="3">
        <v>72.0</v>
      </c>
      <c r="AK297" s="3">
        <v>48.0</v>
      </c>
      <c r="AL297" s="3">
        <v>78.0</v>
      </c>
      <c r="AM297" s="3">
        <v>50.0</v>
      </c>
      <c r="AN297" s="3">
        <v>14.0</v>
      </c>
    </row>
    <row r="298" ht="14.25" customHeight="1">
      <c r="A298" s="3">
        <v>296.0</v>
      </c>
      <c r="B298" s="3" t="s">
        <v>6772</v>
      </c>
      <c r="C298" s="3">
        <v>39.0</v>
      </c>
      <c r="D298" s="3" t="s">
        <v>6645</v>
      </c>
      <c r="E298" s="3" t="s">
        <v>6646</v>
      </c>
      <c r="F298" s="3" t="s">
        <v>6646</v>
      </c>
      <c r="G298" s="3" t="s">
        <v>6645</v>
      </c>
      <c r="H298" s="3" t="s">
        <v>6645</v>
      </c>
      <c r="I298" s="3" t="s">
        <v>6645</v>
      </c>
      <c r="J298" s="3">
        <v>6.0</v>
      </c>
      <c r="K298" s="3">
        <v>3.0</v>
      </c>
      <c r="L298" s="3">
        <v>0.0</v>
      </c>
      <c r="M298" s="3">
        <v>0.0</v>
      </c>
      <c r="N298" s="3">
        <v>6846.2304</v>
      </c>
      <c r="O298" s="3">
        <v>929.0</v>
      </c>
      <c r="P298" s="3" t="e">
        <v>#N/A</v>
      </c>
      <c r="Q298" s="3">
        <v>57.0</v>
      </c>
      <c r="R298" s="3">
        <v>53.0</v>
      </c>
      <c r="S298" s="3">
        <v>56.0</v>
      </c>
      <c r="T298" s="3">
        <v>52.0</v>
      </c>
      <c r="U298" s="3">
        <v>50.0</v>
      </c>
      <c r="V298" s="3">
        <v>58.0</v>
      </c>
      <c r="W298" s="3">
        <v>49.0</v>
      </c>
      <c r="X298" s="3">
        <v>49.0</v>
      </c>
      <c r="Y298" s="3">
        <v>58.0</v>
      </c>
      <c r="Z298" s="3">
        <v>56.0</v>
      </c>
      <c r="AA298" s="3">
        <v>75.0</v>
      </c>
      <c r="AB298" s="3">
        <v>65.0</v>
      </c>
      <c r="AC298" s="3">
        <v>58.0</v>
      </c>
      <c r="AD298" s="3">
        <v>58.0</v>
      </c>
      <c r="AE298" s="3">
        <v>47.0</v>
      </c>
      <c r="AF298" s="3">
        <v>45.0</v>
      </c>
      <c r="AG298" s="3">
        <v>45.0</v>
      </c>
      <c r="AH298" s="3">
        <v>48.0</v>
      </c>
      <c r="AI298" s="3">
        <v>65.0</v>
      </c>
      <c r="AJ298" s="3">
        <v>77.0</v>
      </c>
      <c r="AK298" s="3">
        <v>46.0</v>
      </c>
      <c r="AL298" s="3">
        <v>80.0</v>
      </c>
      <c r="AM298" s="3">
        <v>40.0</v>
      </c>
      <c r="AN298" s="3">
        <v>39.0</v>
      </c>
    </row>
    <row r="299" ht="14.25" customHeight="1">
      <c r="A299" s="3">
        <v>297.0</v>
      </c>
      <c r="B299" s="3" t="s">
        <v>6773</v>
      </c>
      <c r="C299" s="3">
        <v>30.0</v>
      </c>
      <c r="D299" s="3" t="s">
        <v>6645</v>
      </c>
      <c r="E299" s="3" t="s">
        <v>6646</v>
      </c>
      <c r="F299" s="3" t="s">
        <v>6646</v>
      </c>
      <c r="G299" s="3" t="s">
        <v>6645</v>
      </c>
      <c r="H299" s="3" t="s">
        <v>6645</v>
      </c>
      <c r="I299" s="3" t="s">
        <v>6646</v>
      </c>
      <c r="J299" s="3">
        <v>6.0</v>
      </c>
      <c r="K299" s="3">
        <v>3.0</v>
      </c>
      <c r="L299" s="3">
        <v>0.0</v>
      </c>
      <c r="M299" s="3">
        <v>0.0</v>
      </c>
      <c r="N299" s="3">
        <v>7390.2866</v>
      </c>
      <c r="O299" s="3">
        <v>885.0</v>
      </c>
      <c r="P299" s="3" t="e">
        <v>#N/A</v>
      </c>
      <c r="Q299" s="3">
        <v>57.0</v>
      </c>
      <c r="R299" s="3">
        <v>55.0</v>
      </c>
      <c r="S299" s="3">
        <v>50.0</v>
      </c>
      <c r="T299" s="3">
        <v>50.0</v>
      </c>
      <c r="U299" s="3">
        <v>50.0</v>
      </c>
      <c r="V299" s="3">
        <v>58.0</v>
      </c>
      <c r="W299" s="3">
        <v>54.0</v>
      </c>
      <c r="X299" s="3">
        <v>61.0</v>
      </c>
      <c r="Y299" s="3">
        <v>67.0</v>
      </c>
      <c r="Z299" s="3">
        <v>49.0</v>
      </c>
      <c r="AA299" s="3">
        <v>70.0</v>
      </c>
      <c r="AB299" s="3">
        <v>59.0</v>
      </c>
      <c r="AC299" s="3">
        <v>49.0</v>
      </c>
      <c r="AD299" s="3">
        <v>46.0</v>
      </c>
      <c r="AE299" s="3">
        <v>58.0</v>
      </c>
      <c r="AF299" s="3">
        <v>41.0</v>
      </c>
      <c r="AG299" s="3">
        <v>39.0</v>
      </c>
      <c r="AH299" s="3">
        <v>49.0</v>
      </c>
      <c r="AI299" s="3">
        <v>55.0</v>
      </c>
      <c r="AJ299" s="3">
        <v>80.0</v>
      </c>
      <c r="AK299" s="3">
        <v>38.0</v>
      </c>
      <c r="AL299" s="3">
        <v>80.0</v>
      </c>
      <c r="AM299" s="3">
        <v>33.0</v>
      </c>
      <c r="AN299" s="3">
        <v>56.0</v>
      </c>
    </row>
    <row r="300" ht="14.25" customHeight="1">
      <c r="A300" s="3">
        <v>298.0</v>
      </c>
      <c r="B300" s="3" t="s">
        <v>6774</v>
      </c>
      <c r="C300" s="3">
        <v>34.0</v>
      </c>
      <c r="D300" s="3" t="s">
        <v>6645</v>
      </c>
      <c r="E300" s="3" t="s">
        <v>6646</v>
      </c>
      <c r="F300" s="3" t="s">
        <v>6646</v>
      </c>
      <c r="G300" s="3" t="s">
        <v>6645</v>
      </c>
      <c r="H300" s="3" t="s">
        <v>6645</v>
      </c>
      <c r="I300" s="3" t="s">
        <v>6646</v>
      </c>
      <c r="J300" s="3">
        <v>6.0</v>
      </c>
      <c r="K300" s="3">
        <v>3.0</v>
      </c>
      <c r="L300" s="3">
        <v>0.0</v>
      </c>
      <c r="M300" s="3">
        <v>0.0</v>
      </c>
      <c r="N300" s="3">
        <v>6979.26</v>
      </c>
      <c r="O300" s="3">
        <v>955.0</v>
      </c>
      <c r="P300" s="3" t="e">
        <v>#N/A</v>
      </c>
      <c r="Q300" s="3">
        <v>57.0</v>
      </c>
      <c r="R300" s="3">
        <v>59.0</v>
      </c>
      <c r="S300" s="3">
        <v>56.0</v>
      </c>
      <c r="T300" s="3">
        <v>58.0</v>
      </c>
      <c r="U300" s="3">
        <v>52.0</v>
      </c>
      <c r="V300" s="3">
        <v>54.0</v>
      </c>
      <c r="W300" s="3">
        <v>49.0</v>
      </c>
      <c r="X300" s="3">
        <v>54.0</v>
      </c>
      <c r="Y300" s="3">
        <v>62.0</v>
      </c>
      <c r="Z300" s="3">
        <v>56.0</v>
      </c>
      <c r="AA300" s="3">
        <v>69.0</v>
      </c>
      <c r="AB300" s="3">
        <v>62.0</v>
      </c>
      <c r="AC300" s="3">
        <v>49.0</v>
      </c>
      <c r="AD300" s="3">
        <v>58.0</v>
      </c>
      <c r="AE300" s="3">
        <v>56.0</v>
      </c>
      <c r="AF300" s="3">
        <v>46.0</v>
      </c>
      <c r="AG300" s="3">
        <v>58.0</v>
      </c>
      <c r="AH300" s="3">
        <v>56.0</v>
      </c>
      <c r="AI300" s="3">
        <v>40.0</v>
      </c>
      <c r="AJ300" s="3">
        <v>76.0</v>
      </c>
      <c r="AK300" s="3">
        <v>54.0</v>
      </c>
      <c r="AL300" s="3">
        <v>79.0</v>
      </c>
      <c r="AM300" s="3">
        <v>47.0</v>
      </c>
      <c r="AN300" s="3">
        <v>41.0</v>
      </c>
    </row>
    <row r="301" ht="14.25" customHeight="1">
      <c r="A301" s="3">
        <v>299.0</v>
      </c>
      <c r="B301" s="3" t="s">
        <v>6775</v>
      </c>
      <c r="C301" s="3">
        <v>33.0</v>
      </c>
      <c r="D301" s="3" t="s">
        <v>6645</v>
      </c>
      <c r="E301" s="3" t="s">
        <v>6646</v>
      </c>
      <c r="F301" s="3" t="s">
        <v>6646</v>
      </c>
      <c r="G301" s="3" t="s">
        <v>6645</v>
      </c>
      <c r="H301" s="3" t="s">
        <v>6645</v>
      </c>
      <c r="I301" s="3" t="s">
        <v>6645</v>
      </c>
      <c r="J301" s="3">
        <v>6.0</v>
      </c>
      <c r="K301" s="3">
        <v>2.0</v>
      </c>
      <c r="L301" s="3">
        <v>0.0</v>
      </c>
      <c r="M301" s="3">
        <v>0.0</v>
      </c>
      <c r="N301" s="3">
        <v>3948.5205</v>
      </c>
      <c r="O301" s="3">
        <v>384.0</v>
      </c>
      <c r="P301" s="3" t="e">
        <v>#N/A</v>
      </c>
      <c r="Q301" s="3">
        <v>43.0</v>
      </c>
      <c r="R301" s="3">
        <v>52.0</v>
      </c>
      <c r="S301" s="3">
        <v>48.0</v>
      </c>
      <c r="T301" s="3">
        <v>52.0</v>
      </c>
      <c r="U301" s="3">
        <v>51.0</v>
      </c>
      <c r="V301" s="3">
        <v>43.0</v>
      </c>
      <c r="W301" s="3">
        <v>40.0</v>
      </c>
      <c r="X301" s="3">
        <v>47.0</v>
      </c>
      <c r="Y301" s="3">
        <v>53.0</v>
      </c>
      <c r="Z301" s="3">
        <v>38.0</v>
      </c>
      <c r="AA301" s="3">
        <v>55.0</v>
      </c>
      <c r="AB301" s="3">
        <v>51.0</v>
      </c>
      <c r="AC301" s="3">
        <v>52.0</v>
      </c>
      <c r="AD301" s="3">
        <v>43.0</v>
      </c>
      <c r="AE301" s="3">
        <v>42.0</v>
      </c>
      <c r="AF301" s="3">
        <v>40.0</v>
      </c>
      <c r="AG301" s="3">
        <v>32.0</v>
      </c>
      <c r="AH301" s="3">
        <v>64.0</v>
      </c>
      <c r="AI301" s="3">
        <v>38.0</v>
      </c>
      <c r="AJ301" s="3">
        <v>67.0</v>
      </c>
      <c r="AK301" s="3">
        <v>21.0</v>
      </c>
      <c r="AL301" s="3">
        <v>76.0</v>
      </c>
      <c r="AM301" s="3">
        <v>38.0</v>
      </c>
      <c r="AN301" s="3">
        <v>46.0</v>
      </c>
    </row>
    <row r="302" ht="14.25" customHeight="1">
      <c r="A302" s="3">
        <v>300.0</v>
      </c>
      <c r="B302" s="3" t="s">
        <v>6776</v>
      </c>
      <c r="C302" s="3">
        <v>27.0</v>
      </c>
      <c r="D302" s="3" t="s">
        <v>6645</v>
      </c>
      <c r="E302" s="3" t="s">
        <v>6646</v>
      </c>
      <c r="F302" s="3" t="s">
        <v>6646</v>
      </c>
      <c r="G302" s="3" t="s">
        <v>6645</v>
      </c>
      <c r="H302" s="3" t="s">
        <v>6645</v>
      </c>
      <c r="I302" s="3" t="s">
        <v>6646</v>
      </c>
      <c r="J302" s="3">
        <v>6.0</v>
      </c>
      <c r="K302" s="3">
        <v>2.0</v>
      </c>
      <c r="L302" s="3">
        <v>0.0</v>
      </c>
      <c r="M302" s="3">
        <v>0.0</v>
      </c>
      <c r="N302" s="3">
        <v>3908.8613</v>
      </c>
      <c r="O302" s="3">
        <v>408.0</v>
      </c>
      <c r="P302" s="3" t="e">
        <v>#N/A</v>
      </c>
      <c r="Q302" s="3">
        <v>45.0</v>
      </c>
      <c r="R302" s="3">
        <v>49.0</v>
      </c>
      <c r="S302" s="3">
        <v>43.0</v>
      </c>
      <c r="T302" s="3">
        <v>51.0</v>
      </c>
      <c r="U302" s="3">
        <v>43.0</v>
      </c>
      <c r="V302" s="3">
        <v>48.0</v>
      </c>
      <c r="W302" s="3">
        <v>43.0</v>
      </c>
      <c r="X302" s="3">
        <v>44.0</v>
      </c>
      <c r="Y302" s="3">
        <v>49.0</v>
      </c>
      <c r="Z302" s="3">
        <v>52.0</v>
      </c>
      <c r="AA302" s="3">
        <v>62.0</v>
      </c>
      <c r="AB302" s="3">
        <v>55.0</v>
      </c>
      <c r="AC302" s="3">
        <v>44.0</v>
      </c>
      <c r="AD302" s="3">
        <v>43.0</v>
      </c>
      <c r="AE302" s="3">
        <v>43.0</v>
      </c>
      <c r="AF302" s="3">
        <v>36.0</v>
      </c>
      <c r="AG302" s="3">
        <v>34.0</v>
      </c>
      <c r="AH302" s="3">
        <v>36.0</v>
      </c>
      <c r="AI302" s="3">
        <v>62.0</v>
      </c>
      <c r="AJ302" s="3">
        <v>72.0</v>
      </c>
      <c r="AK302" s="3">
        <v>36.0</v>
      </c>
      <c r="AL302" s="3">
        <v>68.0</v>
      </c>
      <c r="AM302" s="3">
        <v>52.0</v>
      </c>
      <c r="AN302" s="3">
        <v>50.0</v>
      </c>
    </row>
    <row r="303" ht="14.25" customHeight="1">
      <c r="A303" s="3">
        <v>301.0</v>
      </c>
      <c r="B303" s="3" t="s">
        <v>6777</v>
      </c>
      <c r="C303" s="3">
        <v>26.0</v>
      </c>
      <c r="D303" s="3" t="s">
        <v>6645</v>
      </c>
      <c r="E303" s="3" t="s">
        <v>6646</v>
      </c>
      <c r="F303" s="3" t="s">
        <v>6646</v>
      </c>
      <c r="G303" s="3" t="s">
        <v>6645</v>
      </c>
      <c r="H303" s="3" t="s">
        <v>6645</v>
      </c>
      <c r="I303" s="3" t="s">
        <v>6645</v>
      </c>
      <c r="J303" s="3">
        <v>6.0</v>
      </c>
      <c r="K303" s="3">
        <v>2.0</v>
      </c>
      <c r="L303" s="3">
        <v>0.0</v>
      </c>
      <c r="M303" s="3">
        <v>0.0</v>
      </c>
      <c r="N303" s="3">
        <v>4006.29</v>
      </c>
      <c r="O303" s="3">
        <v>352.0</v>
      </c>
      <c r="P303" s="3" t="e">
        <v>#N/A</v>
      </c>
      <c r="Q303" s="3">
        <v>43.0</v>
      </c>
      <c r="R303" s="3">
        <v>49.0</v>
      </c>
      <c r="S303" s="3">
        <v>51.0</v>
      </c>
      <c r="T303" s="3">
        <v>47.0</v>
      </c>
      <c r="U303" s="3">
        <v>52.0</v>
      </c>
      <c r="V303" s="3">
        <v>50.0</v>
      </c>
      <c r="W303" s="3">
        <v>41.0</v>
      </c>
      <c r="X303" s="3">
        <v>48.0</v>
      </c>
      <c r="Y303" s="3">
        <v>59.0</v>
      </c>
      <c r="Z303" s="3">
        <v>43.0</v>
      </c>
      <c r="AA303" s="3">
        <v>60.0</v>
      </c>
      <c r="AB303" s="3">
        <v>56.0</v>
      </c>
      <c r="AC303" s="3">
        <v>41.0</v>
      </c>
      <c r="AD303" s="3">
        <v>50.0</v>
      </c>
      <c r="AE303" s="3">
        <v>39.0</v>
      </c>
      <c r="AF303" s="3">
        <v>40.0</v>
      </c>
      <c r="AG303" s="3">
        <v>54.0</v>
      </c>
      <c r="AH303" s="3">
        <v>42.0</v>
      </c>
      <c r="AI303" s="3">
        <v>52.0</v>
      </c>
      <c r="AJ303" s="3">
        <v>79.0</v>
      </c>
      <c r="AK303" s="3">
        <v>36.0</v>
      </c>
      <c r="AL303" s="3">
        <v>74.0</v>
      </c>
      <c r="AM303" s="3">
        <v>47.0</v>
      </c>
      <c r="AN303" s="3">
        <v>46.0</v>
      </c>
    </row>
    <row r="304" ht="14.25" customHeight="1">
      <c r="A304" s="3">
        <v>302.0</v>
      </c>
      <c r="B304" s="3" t="s">
        <v>6778</v>
      </c>
      <c r="C304" s="3">
        <v>33.0</v>
      </c>
      <c r="D304" s="3" t="s">
        <v>6645</v>
      </c>
      <c r="E304" s="3" t="s">
        <v>6646</v>
      </c>
      <c r="F304" s="3" t="s">
        <v>6646</v>
      </c>
      <c r="G304" s="3" t="s">
        <v>6645</v>
      </c>
      <c r="H304" s="3" t="s">
        <v>6645</v>
      </c>
      <c r="I304" s="3" t="s">
        <v>6645</v>
      </c>
      <c r="J304" s="3">
        <v>6.0</v>
      </c>
      <c r="K304" s="3">
        <v>2.0</v>
      </c>
      <c r="L304" s="3">
        <v>0.0</v>
      </c>
      <c r="M304" s="3">
        <v>0.0</v>
      </c>
      <c r="N304" s="3">
        <v>3691.4448</v>
      </c>
      <c r="O304" s="3">
        <v>380.0</v>
      </c>
      <c r="P304" s="3" t="e">
        <v>#N/A</v>
      </c>
      <c r="Q304" s="3">
        <v>51.0</v>
      </c>
      <c r="R304" s="3">
        <v>43.0</v>
      </c>
      <c r="S304" s="3">
        <v>51.0</v>
      </c>
      <c r="T304" s="3">
        <v>44.0</v>
      </c>
      <c r="U304" s="3">
        <v>45.0</v>
      </c>
      <c r="V304" s="3">
        <v>43.0</v>
      </c>
      <c r="W304" s="3">
        <v>41.0</v>
      </c>
      <c r="X304" s="3">
        <v>44.0</v>
      </c>
      <c r="Y304" s="3">
        <v>48.0</v>
      </c>
      <c r="Z304" s="3">
        <v>44.0</v>
      </c>
      <c r="AA304" s="3">
        <v>56.0</v>
      </c>
      <c r="AB304" s="3">
        <v>54.0</v>
      </c>
      <c r="AC304" s="3">
        <v>52.0</v>
      </c>
      <c r="AD304" s="3">
        <v>45.0</v>
      </c>
      <c r="AE304" s="3">
        <v>42.0</v>
      </c>
      <c r="AF304" s="3">
        <v>37.0</v>
      </c>
      <c r="AG304" s="3">
        <v>58.0</v>
      </c>
      <c r="AH304" s="3">
        <v>58.0</v>
      </c>
      <c r="AI304" s="3">
        <v>46.0</v>
      </c>
      <c r="AJ304" s="3">
        <v>70.0</v>
      </c>
      <c r="AK304" s="3">
        <v>8.0</v>
      </c>
      <c r="AL304" s="3">
        <v>71.0</v>
      </c>
      <c r="AM304" s="3">
        <v>44.0</v>
      </c>
      <c r="AN304" s="3">
        <v>46.0</v>
      </c>
    </row>
    <row r="305" ht="14.25" customHeight="1">
      <c r="A305" s="3">
        <v>303.0</v>
      </c>
      <c r="B305" s="3" t="s">
        <v>6779</v>
      </c>
      <c r="C305" s="3">
        <v>26.0</v>
      </c>
      <c r="D305" s="3" t="s">
        <v>6645</v>
      </c>
      <c r="E305" s="3" t="s">
        <v>6646</v>
      </c>
      <c r="F305" s="3" t="s">
        <v>6646</v>
      </c>
      <c r="G305" s="3" t="s">
        <v>6645</v>
      </c>
      <c r="H305" s="3" t="s">
        <v>6645</v>
      </c>
      <c r="I305" s="3" t="s">
        <v>6646</v>
      </c>
      <c r="J305" s="3">
        <v>6.0</v>
      </c>
      <c r="K305" s="3">
        <v>1.0</v>
      </c>
      <c r="L305" s="3">
        <v>0.0</v>
      </c>
      <c r="M305" s="3">
        <v>0.0</v>
      </c>
      <c r="N305" s="3">
        <v>1759.9461</v>
      </c>
      <c r="O305" s="3">
        <v>214.0</v>
      </c>
      <c r="P305" s="3" t="e">
        <v>#N/A</v>
      </c>
      <c r="Q305" s="3">
        <v>40.0</v>
      </c>
      <c r="R305" s="3">
        <v>44.0</v>
      </c>
      <c r="S305" s="3">
        <v>46.0</v>
      </c>
      <c r="T305" s="3">
        <v>36.0</v>
      </c>
      <c r="U305" s="3">
        <v>44.0</v>
      </c>
      <c r="V305" s="3">
        <v>40.0</v>
      </c>
      <c r="W305" s="3">
        <v>38.0</v>
      </c>
      <c r="X305" s="3">
        <v>38.0</v>
      </c>
      <c r="Y305" s="3">
        <v>44.0</v>
      </c>
      <c r="Z305" s="3">
        <v>34.0</v>
      </c>
      <c r="AA305" s="3">
        <v>50.0</v>
      </c>
      <c r="AB305" s="3">
        <v>47.0</v>
      </c>
      <c r="AC305" s="3">
        <v>36.0</v>
      </c>
      <c r="AD305" s="3">
        <v>40.0</v>
      </c>
      <c r="AE305" s="3">
        <v>37.0</v>
      </c>
      <c r="AF305" s="3">
        <v>50.0</v>
      </c>
      <c r="AG305" s="3">
        <v>58.0</v>
      </c>
      <c r="AH305" s="3">
        <v>39.0</v>
      </c>
      <c r="AI305" s="3">
        <v>24.0</v>
      </c>
      <c r="AJ305" s="3">
        <v>75.0</v>
      </c>
      <c r="AK305" s="3">
        <v>53.0</v>
      </c>
      <c r="AL305" s="3">
        <v>68.0</v>
      </c>
      <c r="AM305" s="3">
        <v>37.0</v>
      </c>
      <c r="AN305" s="3">
        <v>16.0</v>
      </c>
    </row>
    <row r="306" ht="14.25" customHeight="1">
      <c r="A306" s="3">
        <v>304.0</v>
      </c>
      <c r="B306" s="3" t="s">
        <v>6780</v>
      </c>
      <c r="C306" s="3">
        <v>22.0</v>
      </c>
      <c r="D306" s="3" t="s">
        <v>6645</v>
      </c>
      <c r="E306" s="3" t="s">
        <v>6646</v>
      </c>
      <c r="F306" s="3" t="s">
        <v>6646</v>
      </c>
      <c r="G306" s="3" t="s">
        <v>6645</v>
      </c>
      <c r="H306" s="3" t="s">
        <v>6645</v>
      </c>
      <c r="I306" s="3" t="s">
        <v>6645</v>
      </c>
      <c r="J306" s="3">
        <v>6.0</v>
      </c>
      <c r="K306" s="3">
        <v>1.0</v>
      </c>
      <c r="L306" s="3">
        <v>0.0</v>
      </c>
      <c r="M306" s="3">
        <v>0.0</v>
      </c>
      <c r="N306" s="3">
        <v>1658.2966</v>
      </c>
      <c r="O306" s="3">
        <v>161.0</v>
      </c>
      <c r="P306" s="3" t="e">
        <v>#N/A</v>
      </c>
      <c r="Q306" s="3">
        <v>42.0</v>
      </c>
      <c r="R306" s="3">
        <v>42.0</v>
      </c>
      <c r="S306" s="3">
        <v>44.0</v>
      </c>
      <c r="T306" s="3">
        <v>40.0</v>
      </c>
      <c r="U306" s="3">
        <v>44.0</v>
      </c>
      <c r="V306" s="3">
        <v>38.0</v>
      </c>
      <c r="W306" s="3">
        <v>37.0</v>
      </c>
      <c r="X306" s="3">
        <v>42.0</v>
      </c>
      <c r="Y306" s="3">
        <v>53.0</v>
      </c>
      <c r="Z306" s="3">
        <v>38.0</v>
      </c>
      <c r="AA306" s="3">
        <v>43.0</v>
      </c>
      <c r="AB306" s="3">
        <v>53.0</v>
      </c>
      <c r="AC306" s="3">
        <v>38.0</v>
      </c>
      <c r="AD306" s="3">
        <v>35.0</v>
      </c>
      <c r="AE306" s="3">
        <v>29.0</v>
      </c>
      <c r="AF306" s="3">
        <v>30.0</v>
      </c>
      <c r="AG306" s="3">
        <v>60.0</v>
      </c>
      <c r="AH306" s="3">
        <v>30.0</v>
      </c>
      <c r="AI306" s="3">
        <v>61.0</v>
      </c>
      <c r="AJ306" s="3">
        <v>71.0</v>
      </c>
      <c r="AK306" s="3">
        <v>33.0</v>
      </c>
      <c r="AL306" s="3">
        <v>79.0</v>
      </c>
      <c r="AM306" s="3">
        <v>46.0</v>
      </c>
      <c r="AN306" s="3">
        <v>62.0</v>
      </c>
    </row>
    <row r="307" ht="14.25" customHeight="1">
      <c r="A307" s="3">
        <v>305.0</v>
      </c>
      <c r="B307" s="3" t="s">
        <v>6781</v>
      </c>
      <c r="C307" s="3">
        <v>21.0</v>
      </c>
      <c r="D307" s="3" t="s">
        <v>6645</v>
      </c>
      <c r="E307" s="3" t="s">
        <v>6646</v>
      </c>
      <c r="F307" s="3" t="s">
        <v>6646</v>
      </c>
      <c r="G307" s="3" t="s">
        <v>6645</v>
      </c>
      <c r="H307" s="3" t="s">
        <v>6645</v>
      </c>
      <c r="I307" s="3" t="s">
        <v>6645</v>
      </c>
      <c r="J307" s="3">
        <v>6.0</v>
      </c>
      <c r="K307" s="3">
        <v>1.0</v>
      </c>
      <c r="L307" s="3">
        <v>0.0</v>
      </c>
      <c r="M307" s="3">
        <v>0.0</v>
      </c>
      <c r="N307" s="3">
        <v>1685.8535</v>
      </c>
      <c r="O307" s="3">
        <v>184.0</v>
      </c>
      <c r="P307" s="3" t="e">
        <v>#N/A</v>
      </c>
      <c r="Q307" s="3">
        <v>44.0</v>
      </c>
      <c r="R307" s="3">
        <v>40.0</v>
      </c>
      <c r="S307" s="3">
        <v>36.0</v>
      </c>
      <c r="T307" s="3">
        <v>44.0</v>
      </c>
      <c r="U307" s="3">
        <v>46.0</v>
      </c>
      <c r="V307" s="3">
        <v>36.0</v>
      </c>
      <c r="W307" s="3">
        <v>31.0</v>
      </c>
      <c r="X307" s="3">
        <v>37.0</v>
      </c>
      <c r="Y307" s="3">
        <v>45.0</v>
      </c>
      <c r="Z307" s="3">
        <v>44.0</v>
      </c>
      <c r="AA307" s="3">
        <v>44.0</v>
      </c>
      <c r="AB307" s="3">
        <v>45.0</v>
      </c>
      <c r="AC307" s="3">
        <v>34.0</v>
      </c>
      <c r="AD307" s="3">
        <v>40.0</v>
      </c>
      <c r="AE307" s="3">
        <v>42.0</v>
      </c>
      <c r="AF307" s="3">
        <v>19.0</v>
      </c>
      <c r="AG307" s="3">
        <v>40.0</v>
      </c>
      <c r="AH307" s="3">
        <v>41.0</v>
      </c>
      <c r="AI307" s="3">
        <v>34.0</v>
      </c>
      <c r="AJ307" s="3">
        <v>79.0</v>
      </c>
      <c r="AK307" s="3">
        <v>44.0</v>
      </c>
      <c r="AL307" s="3">
        <v>62.0</v>
      </c>
      <c r="AM307" s="3">
        <v>61.0</v>
      </c>
      <c r="AN307" s="3">
        <v>28.0</v>
      </c>
    </row>
    <row r="308" ht="14.25" customHeight="1">
      <c r="A308" s="3">
        <v>306.0</v>
      </c>
      <c r="B308" s="3" t="s">
        <v>6782</v>
      </c>
      <c r="C308" s="3">
        <v>28.0</v>
      </c>
      <c r="D308" s="3" t="s">
        <v>6645</v>
      </c>
      <c r="E308" s="3" t="s">
        <v>6646</v>
      </c>
      <c r="F308" s="3" t="s">
        <v>6646</v>
      </c>
      <c r="G308" s="3" t="s">
        <v>6645</v>
      </c>
      <c r="H308" s="3" t="s">
        <v>6645</v>
      </c>
      <c r="I308" s="3" t="s">
        <v>6645</v>
      </c>
      <c r="J308" s="3">
        <v>6.0</v>
      </c>
      <c r="K308" s="3">
        <v>1.0</v>
      </c>
      <c r="L308" s="3">
        <v>0.0</v>
      </c>
      <c r="M308" s="3">
        <v>0.0</v>
      </c>
      <c r="N308" s="3">
        <v>1750.3498</v>
      </c>
      <c r="O308" s="3">
        <v>153.0</v>
      </c>
      <c r="P308" s="3" t="e">
        <v>#N/A</v>
      </c>
      <c r="Q308" s="3">
        <v>38.0</v>
      </c>
      <c r="R308" s="3">
        <v>36.0</v>
      </c>
      <c r="S308" s="3">
        <v>38.0</v>
      </c>
      <c r="T308" s="3">
        <v>36.0</v>
      </c>
      <c r="U308" s="3">
        <v>42.0</v>
      </c>
      <c r="V308" s="3">
        <v>40.0</v>
      </c>
      <c r="W308" s="3">
        <v>28.0</v>
      </c>
      <c r="X308" s="3">
        <v>42.0</v>
      </c>
      <c r="Y308" s="3">
        <v>55.0</v>
      </c>
      <c r="Z308" s="3">
        <v>33.0</v>
      </c>
      <c r="AA308" s="3">
        <v>47.0</v>
      </c>
      <c r="AB308" s="3">
        <v>48.0</v>
      </c>
      <c r="AC308" s="3">
        <v>27.0</v>
      </c>
      <c r="AD308" s="3">
        <v>38.0</v>
      </c>
      <c r="AE308" s="3">
        <v>44.0</v>
      </c>
      <c r="AF308" s="3">
        <v>50.0</v>
      </c>
      <c r="AG308" s="3">
        <v>23.0</v>
      </c>
      <c r="AH308" s="3">
        <v>48.0</v>
      </c>
      <c r="AI308" s="3">
        <v>60.0</v>
      </c>
      <c r="AJ308" s="3">
        <v>74.0</v>
      </c>
      <c r="AK308" s="3">
        <v>42.0</v>
      </c>
      <c r="AL308" s="3">
        <v>68.0</v>
      </c>
      <c r="AM308" s="3">
        <v>47.0</v>
      </c>
      <c r="AN308" s="3">
        <v>35.0</v>
      </c>
    </row>
    <row r="309" ht="14.25" customHeight="1">
      <c r="A309" s="3">
        <v>307.0</v>
      </c>
      <c r="B309" s="3" t="s">
        <v>6783</v>
      </c>
      <c r="C309" s="3">
        <v>18.0</v>
      </c>
      <c r="D309" s="3" t="s">
        <v>6645</v>
      </c>
      <c r="E309" s="3" t="s">
        <v>6646</v>
      </c>
      <c r="F309" s="3" t="s">
        <v>6646</v>
      </c>
      <c r="G309" s="3" t="s">
        <v>6645</v>
      </c>
      <c r="H309" s="3" t="s">
        <v>6645</v>
      </c>
      <c r="I309" s="3" t="s">
        <v>6646</v>
      </c>
      <c r="J309" s="3">
        <v>6.0</v>
      </c>
      <c r="K309" s="3">
        <v>0.0</v>
      </c>
      <c r="L309" s="3">
        <v>0.0</v>
      </c>
      <c r="M309" s="3">
        <v>0.0</v>
      </c>
      <c r="N309" s="3">
        <v>535.09216</v>
      </c>
      <c r="O309" s="3">
        <v>77.0</v>
      </c>
      <c r="P309" s="3" t="e">
        <v>#N/A</v>
      </c>
      <c r="Q309" s="3">
        <v>30.0</v>
      </c>
      <c r="R309" s="3">
        <v>30.0</v>
      </c>
      <c r="S309" s="3">
        <v>35.0</v>
      </c>
      <c r="T309" s="3">
        <v>38.0</v>
      </c>
      <c r="U309" s="3">
        <v>30.0</v>
      </c>
      <c r="V309" s="3">
        <v>32.0</v>
      </c>
      <c r="W309" s="3">
        <v>38.0</v>
      </c>
      <c r="X309" s="3">
        <v>27.0</v>
      </c>
      <c r="Y309" s="3">
        <v>38.0</v>
      </c>
      <c r="Z309" s="3">
        <v>36.0</v>
      </c>
      <c r="AA309" s="3">
        <v>38.0</v>
      </c>
      <c r="AB309" s="3">
        <v>44.0</v>
      </c>
      <c r="AC309" s="3">
        <v>24.0</v>
      </c>
      <c r="AD309" s="3">
        <v>24.0</v>
      </c>
      <c r="AE309" s="3">
        <v>31.0</v>
      </c>
      <c r="AF309" s="3">
        <v>32.0</v>
      </c>
      <c r="AG309" s="3">
        <v>46.0</v>
      </c>
      <c r="AH309" s="3">
        <v>18.0</v>
      </c>
      <c r="AI309" s="3">
        <v>31.0</v>
      </c>
      <c r="AJ309" s="3">
        <v>67.0</v>
      </c>
      <c r="AK309" s="3">
        <v>46.0</v>
      </c>
      <c r="AL309" s="3">
        <v>77.0</v>
      </c>
      <c r="AM309" s="3">
        <v>58.0</v>
      </c>
      <c r="AN309" s="3">
        <v>1.0</v>
      </c>
    </row>
    <row r="310" ht="14.25" customHeight="1">
      <c r="A310" s="3">
        <v>308.0</v>
      </c>
      <c r="B310" s="3" t="s">
        <v>6784</v>
      </c>
      <c r="C310" s="3">
        <v>24.0</v>
      </c>
      <c r="D310" s="3" t="s">
        <v>6645</v>
      </c>
      <c r="E310" s="3" t="s">
        <v>6646</v>
      </c>
      <c r="F310" s="3" t="s">
        <v>6646</v>
      </c>
      <c r="G310" s="3" t="s">
        <v>6645</v>
      </c>
      <c r="H310" s="3" t="s">
        <v>6645</v>
      </c>
      <c r="I310" s="3" t="s">
        <v>6645</v>
      </c>
      <c r="J310" s="3">
        <v>6.0</v>
      </c>
      <c r="K310" s="3">
        <v>0.0</v>
      </c>
      <c r="L310" s="3">
        <v>0.0</v>
      </c>
      <c r="M310" s="3">
        <v>0.0</v>
      </c>
      <c r="N310" s="3">
        <v>451.452</v>
      </c>
      <c r="O310" s="3">
        <v>78.0</v>
      </c>
      <c r="P310" s="3" t="e">
        <v>#N/A</v>
      </c>
      <c r="Q310" s="3">
        <v>35.0</v>
      </c>
      <c r="R310" s="3">
        <v>37.0</v>
      </c>
      <c r="S310" s="3">
        <v>39.0</v>
      </c>
      <c r="T310" s="3">
        <v>33.0</v>
      </c>
      <c r="U310" s="3">
        <v>37.0</v>
      </c>
      <c r="V310" s="3">
        <v>32.0</v>
      </c>
      <c r="W310" s="3">
        <v>31.0</v>
      </c>
      <c r="X310" s="3">
        <v>27.0</v>
      </c>
      <c r="Y310" s="3">
        <v>37.0</v>
      </c>
      <c r="Z310" s="3">
        <v>33.0</v>
      </c>
      <c r="AA310" s="3">
        <v>40.0</v>
      </c>
      <c r="AB310" s="3">
        <v>40.0</v>
      </c>
      <c r="AC310" s="3">
        <v>33.0</v>
      </c>
      <c r="AD310" s="3">
        <v>39.0</v>
      </c>
      <c r="AE310" s="3">
        <v>29.0</v>
      </c>
      <c r="AF310" s="3">
        <v>50.0</v>
      </c>
      <c r="AG310" s="3">
        <v>22.0</v>
      </c>
      <c r="AH310" s="3">
        <v>20.0</v>
      </c>
      <c r="AI310" s="3">
        <v>49.0</v>
      </c>
      <c r="AJ310" s="3">
        <v>79.0</v>
      </c>
      <c r="AK310" s="3">
        <v>34.0</v>
      </c>
      <c r="AL310" s="3">
        <v>73.0</v>
      </c>
      <c r="AM310" s="3">
        <v>53.0</v>
      </c>
      <c r="AN310" s="3">
        <v>55.0</v>
      </c>
    </row>
    <row r="311" ht="14.25" customHeight="1">
      <c r="A311" s="3">
        <v>309.0</v>
      </c>
      <c r="B311" s="3" t="s">
        <v>6785</v>
      </c>
      <c r="C311" s="3">
        <v>24.0</v>
      </c>
      <c r="D311" s="3" t="s">
        <v>6645</v>
      </c>
      <c r="E311" s="3" t="s">
        <v>6646</v>
      </c>
      <c r="F311" s="3" t="s">
        <v>6646</v>
      </c>
      <c r="G311" s="3" t="s">
        <v>6645</v>
      </c>
      <c r="H311" s="3" t="s">
        <v>6645</v>
      </c>
      <c r="I311" s="3" t="s">
        <v>6645</v>
      </c>
      <c r="J311" s="3">
        <v>6.0</v>
      </c>
      <c r="K311" s="3">
        <v>0.0</v>
      </c>
      <c r="L311" s="3">
        <v>0.0</v>
      </c>
      <c r="M311" s="3">
        <v>0.0</v>
      </c>
      <c r="N311" s="3">
        <v>478.46896</v>
      </c>
      <c r="O311" s="3">
        <v>79.0</v>
      </c>
      <c r="P311" s="3" t="e">
        <v>#N/A</v>
      </c>
      <c r="Q311" s="3">
        <v>32.0</v>
      </c>
      <c r="R311" s="3">
        <v>34.0</v>
      </c>
      <c r="S311" s="3">
        <v>32.0</v>
      </c>
      <c r="T311" s="3">
        <v>37.0</v>
      </c>
      <c r="U311" s="3">
        <v>36.0</v>
      </c>
      <c r="V311" s="3">
        <v>36.0</v>
      </c>
      <c r="W311" s="3">
        <v>36.0</v>
      </c>
      <c r="X311" s="3">
        <v>27.0</v>
      </c>
      <c r="Y311" s="3">
        <v>41.0</v>
      </c>
      <c r="Z311" s="3">
        <v>36.0</v>
      </c>
      <c r="AA311" s="3">
        <v>42.0</v>
      </c>
      <c r="AB311" s="3">
        <v>38.0</v>
      </c>
      <c r="AC311" s="3">
        <v>32.0</v>
      </c>
      <c r="AD311" s="3">
        <v>31.0</v>
      </c>
      <c r="AE311" s="3">
        <v>27.0</v>
      </c>
      <c r="AF311" s="3">
        <v>24.0</v>
      </c>
      <c r="AG311" s="3">
        <v>7.0</v>
      </c>
      <c r="AH311" s="3">
        <v>46.0</v>
      </c>
      <c r="AI311" s="3">
        <v>54.0</v>
      </c>
      <c r="AJ311" s="3">
        <v>76.0</v>
      </c>
      <c r="AK311" s="3">
        <v>50.0</v>
      </c>
      <c r="AL311" s="3">
        <v>75.0</v>
      </c>
      <c r="AM311" s="3">
        <v>35.0</v>
      </c>
      <c r="AN311" s="3">
        <v>36.0</v>
      </c>
    </row>
    <row r="312" ht="14.25" customHeight="1">
      <c r="A312" s="3">
        <v>310.0</v>
      </c>
      <c r="B312" s="3" t="s">
        <v>6786</v>
      </c>
      <c r="C312" s="3">
        <v>19.0</v>
      </c>
      <c r="D312" s="3" t="s">
        <v>6645</v>
      </c>
      <c r="E312" s="3" t="s">
        <v>6646</v>
      </c>
      <c r="F312" s="3" t="s">
        <v>6646</v>
      </c>
      <c r="G312" s="3" t="s">
        <v>6645</v>
      </c>
      <c r="H312" s="3" t="s">
        <v>6645</v>
      </c>
      <c r="I312" s="3" t="s">
        <v>6646</v>
      </c>
      <c r="J312" s="3">
        <v>6.0</v>
      </c>
      <c r="K312" s="3">
        <v>0.0</v>
      </c>
      <c r="L312" s="3">
        <v>0.0</v>
      </c>
      <c r="M312" s="3">
        <v>0.0</v>
      </c>
      <c r="N312" s="3">
        <v>584.583</v>
      </c>
      <c r="O312" s="3">
        <v>79.0</v>
      </c>
      <c r="P312" s="3" t="e">
        <v>#N/A</v>
      </c>
      <c r="Q312" s="3">
        <v>33.0</v>
      </c>
      <c r="R312" s="3">
        <v>36.0</v>
      </c>
      <c r="S312" s="3">
        <v>37.0</v>
      </c>
      <c r="T312" s="3">
        <v>33.0</v>
      </c>
      <c r="U312" s="3">
        <v>34.0</v>
      </c>
      <c r="V312" s="3">
        <v>31.0</v>
      </c>
      <c r="W312" s="3">
        <v>27.0</v>
      </c>
      <c r="X312" s="3">
        <v>25.0</v>
      </c>
      <c r="Y312" s="3">
        <v>43.0</v>
      </c>
      <c r="Z312" s="3">
        <v>34.0</v>
      </c>
      <c r="AA312" s="3">
        <v>46.0</v>
      </c>
      <c r="AB312" s="3">
        <v>36.0</v>
      </c>
      <c r="AC312" s="3">
        <v>38.0</v>
      </c>
      <c r="AD312" s="3">
        <v>22.0</v>
      </c>
      <c r="AE312" s="3">
        <v>30.0</v>
      </c>
      <c r="AF312" s="3">
        <v>31.0</v>
      </c>
      <c r="AG312" s="3">
        <v>52.0</v>
      </c>
      <c r="AH312" s="3">
        <v>9.0</v>
      </c>
      <c r="AI312" s="3">
        <v>40.0</v>
      </c>
      <c r="AJ312" s="3">
        <v>67.0</v>
      </c>
      <c r="AK312" s="3">
        <v>38.0</v>
      </c>
      <c r="AL312" s="3">
        <v>70.0</v>
      </c>
      <c r="AM312" s="3">
        <v>49.0</v>
      </c>
      <c r="AN312" s="3">
        <v>29.0</v>
      </c>
    </row>
    <row r="313" ht="14.25" customHeight="1">
      <c r="A313" s="3">
        <v>311.0</v>
      </c>
      <c r="B313" s="3" t="s">
        <v>6787</v>
      </c>
      <c r="C313" s="3">
        <v>15.0</v>
      </c>
      <c r="D313" s="3" t="s">
        <v>6645</v>
      </c>
      <c r="E313" s="3" t="s">
        <v>6646</v>
      </c>
      <c r="F313" s="3" t="s">
        <v>6646</v>
      </c>
      <c r="G313" s="3" t="s">
        <v>6645</v>
      </c>
      <c r="H313" s="3" t="s">
        <v>6645</v>
      </c>
      <c r="I313" s="3" t="s">
        <v>6646</v>
      </c>
      <c r="J313" s="3">
        <v>6.0</v>
      </c>
      <c r="K313" s="3">
        <v>0.0</v>
      </c>
      <c r="L313" s="3">
        <v>0.0</v>
      </c>
      <c r="M313" s="3">
        <v>0.0</v>
      </c>
      <c r="N313" s="3">
        <v>494.04882</v>
      </c>
      <c r="O313" s="3">
        <v>99.0</v>
      </c>
      <c r="P313" s="3" t="e">
        <v>#N/A</v>
      </c>
      <c r="Q313" s="3">
        <v>37.0</v>
      </c>
      <c r="R313" s="3">
        <v>33.0</v>
      </c>
      <c r="S313" s="3">
        <v>30.0</v>
      </c>
      <c r="T313" s="3">
        <v>36.0</v>
      </c>
      <c r="U313" s="3">
        <v>33.0</v>
      </c>
      <c r="V313" s="3">
        <v>37.0</v>
      </c>
      <c r="W313" s="3">
        <v>31.0</v>
      </c>
      <c r="X313" s="3">
        <v>36.0</v>
      </c>
      <c r="Y313" s="3">
        <v>37.0</v>
      </c>
      <c r="Z313" s="3">
        <v>30.0</v>
      </c>
      <c r="AA313" s="3">
        <v>43.0</v>
      </c>
      <c r="AB313" s="3">
        <v>39.0</v>
      </c>
      <c r="AC313" s="3">
        <v>21.0</v>
      </c>
      <c r="AD313" s="3">
        <v>32.0</v>
      </c>
      <c r="AE313" s="3">
        <v>32.0</v>
      </c>
      <c r="AF313" s="3">
        <v>18.0</v>
      </c>
      <c r="AG313" s="3">
        <v>48.0</v>
      </c>
      <c r="AH313" s="3">
        <v>17.0</v>
      </c>
      <c r="AI313" s="3">
        <v>34.0</v>
      </c>
      <c r="AJ313" s="3">
        <v>61.0</v>
      </c>
      <c r="AK313" s="3">
        <v>43.0</v>
      </c>
      <c r="AL313" s="3">
        <v>67.0</v>
      </c>
      <c r="AM313" s="3">
        <v>30.0</v>
      </c>
      <c r="AN313" s="3">
        <v>34.0</v>
      </c>
    </row>
    <row r="314" ht="14.25" customHeight="1">
      <c r="A314" s="3">
        <v>312.0</v>
      </c>
      <c r="B314" s="3" t="s">
        <v>6788</v>
      </c>
      <c r="C314" s="3">
        <v>39.0</v>
      </c>
      <c r="D314" s="3" t="s">
        <v>6645</v>
      </c>
      <c r="E314" s="3" t="s">
        <v>6646</v>
      </c>
      <c r="F314" s="3" t="s">
        <v>6646</v>
      </c>
      <c r="G314" s="3" t="s">
        <v>6645</v>
      </c>
      <c r="H314" s="3" t="s">
        <v>6645</v>
      </c>
      <c r="I314" s="3" t="s">
        <v>6646</v>
      </c>
      <c r="J314" s="3">
        <v>7.0</v>
      </c>
      <c r="K314" s="3">
        <v>4.0</v>
      </c>
      <c r="L314" s="3">
        <v>0.0</v>
      </c>
      <c r="M314" s="3">
        <v>0.0</v>
      </c>
      <c r="N314" s="3">
        <v>12973.0</v>
      </c>
      <c r="O314" s="3">
        <v>1672.0</v>
      </c>
      <c r="P314" s="3" t="e">
        <v>#N/A</v>
      </c>
      <c r="Q314" s="3">
        <v>60.0</v>
      </c>
      <c r="R314" s="3">
        <v>64.0</v>
      </c>
      <c r="S314" s="3">
        <v>70.0</v>
      </c>
      <c r="T314" s="3">
        <v>76.0</v>
      </c>
      <c r="U314" s="3">
        <v>64.0</v>
      </c>
      <c r="V314" s="3">
        <v>64.0</v>
      </c>
      <c r="W314" s="3">
        <v>72.0</v>
      </c>
      <c r="X314" s="3">
        <v>77.0</v>
      </c>
      <c r="Y314" s="3">
        <v>77.0</v>
      </c>
      <c r="Z314" s="3">
        <v>81.0</v>
      </c>
      <c r="AA314" s="3">
        <v>62.0</v>
      </c>
      <c r="AB314" s="3">
        <v>62.0</v>
      </c>
      <c r="AC314" s="3">
        <v>61.0</v>
      </c>
      <c r="AD314" s="3">
        <v>82.0</v>
      </c>
      <c r="AE314" s="3">
        <v>67.0</v>
      </c>
      <c r="AF314" s="3">
        <v>38.0</v>
      </c>
      <c r="AG314" s="3">
        <v>100.0</v>
      </c>
      <c r="AH314" s="3">
        <v>51.0</v>
      </c>
      <c r="AI314" s="3">
        <v>64.0</v>
      </c>
      <c r="AJ314" s="3">
        <v>54.0</v>
      </c>
      <c r="AK314" s="3">
        <v>85.0</v>
      </c>
      <c r="AL314" s="3">
        <v>70.0</v>
      </c>
      <c r="AM314" s="3">
        <v>66.0</v>
      </c>
      <c r="AN314" s="3">
        <v>58.0</v>
      </c>
    </row>
    <row r="315" ht="14.25" customHeight="1">
      <c r="A315" s="3">
        <v>313.0</v>
      </c>
      <c r="B315" s="3" t="s">
        <v>6789</v>
      </c>
      <c r="C315" s="3">
        <v>42.0</v>
      </c>
      <c r="D315" s="3" t="s">
        <v>6645</v>
      </c>
      <c r="E315" s="3" t="s">
        <v>6646</v>
      </c>
      <c r="F315" s="3" t="s">
        <v>6646</v>
      </c>
      <c r="G315" s="3" t="s">
        <v>6645</v>
      </c>
      <c r="H315" s="3" t="s">
        <v>6645</v>
      </c>
      <c r="I315" s="3" t="s">
        <v>6645</v>
      </c>
      <c r="J315" s="3">
        <v>7.0</v>
      </c>
      <c r="K315" s="3">
        <v>4.0</v>
      </c>
      <c r="L315" s="3">
        <v>0.0</v>
      </c>
      <c r="M315" s="3">
        <v>0.0</v>
      </c>
      <c r="N315" s="3">
        <v>13202.789</v>
      </c>
      <c r="O315" s="3">
        <v>1376.0</v>
      </c>
      <c r="P315" s="3" t="e">
        <v>#N/A</v>
      </c>
      <c r="Q315" s="3">
        <v>64.0</v>
      </c>
      <c r="R315" s="3">
        <v>68.0</v>
      </c>
      <c r="S315" s="3">
        <v>67.0</v>
      </c>
      <c r="T315" s="3">
        <v>72.0</v>
      </c>
      <c r="U315" s="3">
        <v>65.0</v>
      </c>
      <c r="V315" s="3">
        <v>64.0</v>
      </c>
      <c r="W315" s="3">
        <v>69.0</v>
      </c>
      <c r="X315" s="3">
        <v>82.0</v>
      </c>
      <c r="Y315" s="3">
        <v>74.0</v>
      </c>
      <c r="Z315" s="3">
        <v>75.0</v>
      </c>
      <c r="AA315" s="3">
        <v>60.0</v>
      </c>
      <c r="AB315" s="3">
        <v>65.0</v>
      </c>
      <c r="AC315" s="3">
        <v>63.0</v>
      </c>
      <c r="AD315" s="3">
        <v>84.0</v>
      </c>
      <c r="AE315" s="3">
        <v>75.0</v>
      </c>
      <c r="AF315" s="3">
        <v>67.0</v>
      </c>
      <c r="AG315" s="3">
        <v>99.0</v>
      </c>
      <c r="AH315" s="3">
        <v>54.0</v>
      </c>
      <c r="AI315" s="3">
        <v>48.0</v>
      </c>
      <c r="AJ315" s="3">
        <v>36.0</v>
      </c>
      <c r="AK315" s="3">
        <v>85.0</v>
      </c>
      <c r="AL315" s="3">
        <v>72.0</v>
      </c>
      <c r="AM315" s="3">
        <v>53.0</v>
      </c>
      <c r="AN315" s="3">
        <v>42.0</v>
      </c>
    </row>
    <row r="316" ht="14.25" customHeight="1">
      <c r="A316" s="3">
        <v>314.0</v>
      </c>
      <c r="B316" s="3" t="s">
        <v>6790</v>
      </c>
      <c r="C316" s="3">
        <v>30.0</v>
      </c>
      <c r="D316" s="3" t="s">
        <v>6645</v>
      </c>
      <c r="E316" s="3" t="s">
        <v>6646</v>
      </c>
      <c r="F316" s="3" t="s">
        <v>6646</v>
      </c>
      <c r="G316" s="3" t="s">
        <v>6645</v>
      </c>
      <c r="H316" s="3" t="s">
        <v>6645</v>
      </c>
      <c r="I316" s="3" t="s">
        <v>6646</v>
      </c>
      <c r="J316" s="3">
        <v>7.0</v>
      </c>
      <c r="K316" s="3">
        <v>3.0</v>
      </c>
      <c r="L316" s="3">
        <v>0.0</v>
      </c>
      <c r="M316" s="3">
        <v>0.0</v>
      </c>
      <c r="N316" s="3">
        <v>7292.5673</v>
      </c>
      <c r="O316" s="3">
        <v>613.0</v>
      </c>
      <c r="P316" s="3" t="e">
        <v>#N/A</v>
      </c>
      <c r="Q316" s="3">
        <v>56.0</v>
      </c>
      <c r="R316" s="3">
        <v>52.0</v>
      </c>
      <c r="S316" s="3">
        <v>58.0</v>
      </c>
      <c r="T316" s="3">
        <v>52.0</v>
      </c>
      <c r="U316" s="3">
        <v>56.0</v>
      </c>
      <c r="V316" s="3">
        <v>60.0</v>
      </c>
      <c r="W316" s="3">
        <v>60.0</v>
      </c>
      <c r="X316" s="3">
        <v>61.0</v>
      </c>
      <c r="Y316" s="3">
        <v>61.0</v>
      </c>
      <c r="Z316" s="3">
        <v>67.0</v>
      </c>
      <c r="AA316" s="3">
        <v>56.0</v>
      </c>
      <c r="AB316" s="3">
        <v>60.0</v>
      </c>
      <c r="AC316" s="3">
        <v>46.0</v>
      </c>
      <c r="AD316" s="3">
        <v>61.0</v>
      </c>
      <c r="AE316" s="3">
        <v>55.0</v>
      </c>
      <c r="AF316" s="3">
        <v>38.0</v>
      </c>
      <c r="AG316" s="3">
        <v>85.0</v>
      </c>
      <c r="AH316" s="3">
        <v>21.0</v>
      </c>
      <c r="AI316" s="3">
        <v>51.0</v>
      </c>
      <c r="AJ316" s="3">
        <v>60.0</v>
      </c>
      <c r="AK316" s="3">
        <v>77.0</v>
      </c>
      <c r="AL316" s="3">
        <v>43.0</v>
      </c>
      <c r="AM316" s="3">
        <v>44.0</v>
      </c>
      <c r="AN316" s="3">
        <v>48.0</v>
      </c>
    </row>
    <row r="317" ht="14.25" customHeight="1">
      <c r="A317" s="3">
        <v>315.0</v>
      </c>
      <c r="B317" s="3" t="s">
        <v>6791</v>
      </c>
      <c r="C317" s="3">
        <v>31.0</v>
      </c>
      <c r="D317" s="3" t="s">
        <v>6645</v>
      </c>
      <c r="E317" s="3" t="s">
        <v>6646</v>
      </c>
      <c r="F317" s="3" t="s">
        <v>6646</v>
      </c>
      <c r="G317" s="3" t="s">
        <v>6645</v>
      </c>
      <c r="H317" s="3" t="s">
        <v>6645</v>
      </c>
      <c r="I317" s="3" t="s">
        <v>6646</v>
      </c>
      <c r="J317" s="3">
        <v>7.0</v>
      </c>
      <c r="K317" s="3">
        <v>3.0</v>
      </c>
      <c r="L317" s="3">
        <v>0.0</v>
      </c>
      <c r="M317" s="3">
        <v>0.0</v>
      </c>
      <c r="N317" s="3">
        <v>7440.7905</v>
      </c>
      <c r="O317" s="3">
        <v>866.0</v>
      </c>
      <c r="P317" s="3" t="e">
        <v>#N/A</v>
      </c>
      <c r="Q317" s="3">
        <v>58.0</v>
      </c>
      <c r="R317" s="3">
        <v>54.0</v>
      </c>
      <c r="S317" s="3">
        <v>60.0</v>
      </c>
      <c r="T317" s="3">
        <v>58.0</v>
      </c>
      <c r="U317" s="3">
        <v>56.0</v>
      </c>
      <c r="V317" s="3">
        <v>58.0</v>
      </c>
      <c r="W317" s="3">
        <v>55.0</v>
      </c>
      <c r="X317" s="3">
        <v>60.0</v>
      </c>
      <c r="Y317" s="3">
        <v>67.0</v>
      </c>
      <c r="Z317" s="3">
        <v>61.0</v>
      </c>
      <c r="AA317" s="3">
        <v>50.0</v>
      </c>
      <c r="AB317" s="3">
        <v>48.0</v>
      </c>
      <c r="AC317" s="3">
        <v>56.0</v>
      </c>
      <c r="AD317" s="3">
        <v>67.0</v>
      </c>
      <c r="AE317" s="3">
        <v>63.0</v>
      </c>
      <c r="AF317" s="3">
        <v>60.0</v>
      </c>
      <c r="AG317" s="3">
        <v>88.0</v>
      </c>
      <c r="AH317" s="3">
        <v>56.0</v>
      </c>
      <c r="AI317" s="3">
        <v>21.0</v>
      </c>
      <c r="AJ317" s="3">
        <v>64.0</v>
      </c>
      <c r="AK317" s="3">
        <v>74.0</v>
      </c>
      <c r="AL317" s="3">
        <v>44.0</v>
      </c>
      <c r="AM317" s="3">
        <v>59.0</v>
      </c>
      <c r="AN317" s="3">
        <v>13.0</v>
      </c>
    </row>
    <row r="318" ht="14.25" customHeight="1">
      <c r="A318" s="3">
        <v>316.0</v>
      </c>
      <c r="B318" s="3" t="s">
        <v>6792</v>
      </c>
      <c r="C318" s="3">
        <v>32.0</v>
      </c>
      <c r="D318" s="3" t="s">
        <v>6645</v>
      </c>
      <c r="E318" s="3" t="s">
        <v>6646</v>
      </c>
      <c r="F318" s="3" t="s">
        <v>6646</v>
      </c>
      <c r="G318" s="3" t="s">
        <v>6645</v>
      </c>
      <c r="H318" s="3" t="s">
        <v>6645</v>
      </c>
      <c r="I318" s="3" t="s">
        <v>6645</v>
      </c>
      <c r="J318" s="3">
        <v>7.0</v>
      </c>
      <c r="K318" s="3">
        <v>3.0</v>
      </c>
      <c r="L318" s="3">
        <v>0.0</v>
      </c>
      <c r="M318" s="3">
        <v>0.0</v>
      </c>
      <c r="N318" s="3">
        <v>7996.0795</v>
      </c>
      <c r="O318" s="3">
        <v>948.0</v>
      </c>
      <c r="P318" s="3" t="e">
        <v>#N/A</v>
      </c>
      <c r="Q318" s="3">
        <v>58.0</v>
      </c>
      <c r="R318" s="3">
        <v>60.0</v>
      </c>
      <c r="S318" s="3">
        <v>60.0</v>
      </c>
      <c r="T318" s="3">
        <v>62.0</v>
      </c>
      <c r="U318" s="3">
        <v>52.0</v>
      </c>
      <c r="V318" s="3">
        <v>56.0</v>
      </c>
      <c r="W318" s="3">
        <v>59.0</v>
      </c>
      <c r="X318" s="3">
        <v>61.0</v>
      </c>
      <c r="Y318" s="3">
        <v>64.0</v>
      </c>
      <c r="Z318" s="3">
        <v>67.0</v>
      </c>
      <c r="AA318" s="3">
        <v>56.0</v>
      </c>
      <c r="AB318" s="3">
        <v>52.0</v>
      </c>
      <c r="AC318" s="3">
        <v>52.0</v>
      </c>
      <c r="AD318" s="3">
        <v>61.0</v>
      </c>
      <c r="AE318" s="3">
        <v>60.0</v>
      </c>
      <c r="AF318" s="3">
        <v>61.0</v>
      </c>
      <c r="AG318" s="3">
        <v>82.0</v>
      </c>
      <c r="AH318" s="3">
        <v>54.0</v>
      </c>
      <c r="AI318" s="3">
        <v>42.0</v>
      </c>
      <c r="AJ318" s="3">
        <v>29.0</v>
      </c>
      <c r="AK318" s="3">
        <v>82.0</v>
      </c>
      <c r="AL318" s="3">
        <v>42.0</v>
      </c>
      <c r="AM318" s="3">
        <v>53.0</v>
      </c>
      <c r="AN318" s="3">
        <v>50.0</v>
      </c>
    </row>
    <row r="319" ht="14.25" customHeight="1">
      <c r="A319" s="3">
        <v>317.0</v>
      </c>
      <c r="B319" s="3" t="s">
        <v>6793</v>
      </c>
      <c r="C319" s="3">
        <v>36.0</v>
      </c>
      <c r="D319" s="3" t="s">
        <v>6645</v>
      </c>
      <c r="E319" s="3" t="s">
        <v>6646</v>
      </c>
      <c r="F319" s="3" t="s">
        <v>6646</v>
      </c>
      <c r="G319" s="3" t="s">
        <v>6645</v>
      </c>
      <c r="H319" s="3" t="s">
        <v>6645</v>
      </c>
      <c r="I319" s="3" t="s">
        <v>6645</v>
      </c>
      <c r="J319" s="3">
        <v>7.0</v>
      </c>
      <c r="K319" s="3">
        <v>3.0</v>
      </c>
      <c r="L319" s="3">
        <v>0.0</v>
      </c>
      <c r="M319" s="3">
        <v>0.0</v>
      </c>
      <c r="N319" s="3">
        <v>7865.82</v>
      </c>
      <c r="O319" s="3">
        <v>800.0</v>
      </c>
      <c r="P319" s="3" t="e">
        <v>#N/A</v>
      </c>
      <c r="Q319" s="3">
        <v>58.0</v>
      </c>
      <c r="R319" s="3">
        <v>52.0</v>
      </c>
      <c r="S319" s="3">
        <v>56.0</v>
      </c>
      <c r="T319" s="3">
        <v>62.0</v>
      </c>
      <c r="U319" s="3">
        <v>58.0</v>
      </c>
      <c r="V319" s="3">
        <v>52.0</v>
      </c>
      <c r="W319" s="3">
        <v>66.0</v>
      </c>
      <c r="X319" s="3">
        <v>60.0</v>
      </c>
      <c r="Y319" s="3">
        <v>68.0</v>
      </c>
      <c r="Z319" s="3">
        <v>62.0</v>
      </c>
      <c r="AA319" s="3">
        <v>49.0</v>
      </c>
      <c r="AB319" s="3">
        <v>54.0</v>
      </c>
      <c r="AC319" s="3">
        <v>56.0</v>
      </c>
      <c r="AD319" s="3">
        <v>70.0</v>
      </c>
      <c r="AE319" s="3">
        <v>55.0</v>
      </c>
      <c r="AF319" s="3">
        <v>20.0</v>
      </c>
      <c r="AG319" s="3">
        <v>85.0</v>
      </c>
      <c r="AH319" s="3">
        <v>65.0</v>
      </c>
      <c r="AI319" s="3">
        <v>51.0</v>
      </c>
      <c r="AJ319" s="3">
        <v>58.0</v>
      </c>
      <c r="AK319" s="3">
        <v>69.0</v>
      </c>
      <c r="AL319" s="3">
        <v>40.0</v>
      </c>
      <c r="AM319" s="3">
        <v>56.0</v>
      </c>
      <c r="AN319" s="3">
        <v>53.0</v>
      </c>
    </row>
    <row r="320" ht="14.25" customHeight="1">
      <c r="A320" s="3">
        <v>318.0</v>
      </c>
      <c r="B320" s="3" t="s">
        <v>6794</v>
      </c>
      <c r="C320" s="3">
        <v>34.0</v>
      </c>
      <c r="D320" s="3" t="s">
        <v>6645</v>
      </c>
      <c r="E320" s="3" t="s">
        <v>6646</v>
      </c>
      <c r="F320" s="3" t="s">
        <v>6646</v>
      </c>
      <c r="G320" s="3" t="s">
        <v>6645</v>
      </c>
      <c r="H320" s="3" t="s">
        <v>6645</v>
      </c>
      <c r="I320" s="3" t="s">
        <v>6645</v>
      </c>
      <c r="J320" s="3">
        <v>7.0</v>
      </c>
      <c r="K320" s="3">
        <v>2.0</v>
      </c>
      <c r="L320" s="3">
        <v>0.0</v>
      </c>
      <c r="M320" s="3">
        <v>0.0</v>
      </c>
      <c r="N320" s="3">
        <v>4403.6005</v>
      </c>
      <c r="O320" s="3">
        <v>447.0</v>
      </c>
      <c r="P320" s="3" t="e">
        <v>#N/A</v>
      </c>
      <c r="Q320" s="3">
        <v>47.0</v>
      </c>
      <c r="R320" s="3">
        <v>50.0</v>
      </c>
      <c r="S320" s="3">
        <v>53.0</v>
      </c>
      <c r="T320" s="3">
        <v>47.0</v>
      </c>
      <c r="U320" s="3">
        <v>54.0</v>
      </c>
      <c r="V320" s="3">
        <v>47.0</v>
      </c>
      <c r="W320" s="3">
        <v>39.0</v>
      </c>
      <c r="X320" s="3">
        <v>50.0</v>
      </c>
      <c r="Y320" s="3">
        <v>55.0</v>
      </c>
      <c r="Z320" s="3">
        <v>50.0</v>
      </c>
      <c r="AA320" s="3">
        <v>49.0</v>
      </c>
      <c r="AB320" s="3">
        <v>43.0</v>
      </c>
      <c r="AC320" s="3">
        <v>43.0</v>
      </c>
      <c r="AD320" s="3">
        <v>56.0</v>
      </c>
      <c r="AE320" s="3">
        <v>52.0</v>
      </c>
      <c r="AF320" s="3">
        <v>33.0</v>
      </c>
      <c r="AG320" s="3">
        <v>68.0</v>
      </c>
      <c r="AH320" s="3">
        <v>16.0</v>
      </c>
      <c r="AI320" s="3">
        <v>64.0</v>
      </c>
      <c r="AJ320" s="3">
        <v>40.0</v>
      </c>
      <c r="AK320" s="3">
        <v>85.0</v>
      </c>
      <c r="AL320" s="3">
        <v>58.0</v>
      </c>
      <c r="AM320" s="3">
        <v>42.0</v>
      </c>
      <c r="AN320" s="3">
        <v>54.0</v>
      </c>
    </row>
    <row r="321" ht="14.25" customHeight="1">
      <c r="A321" s="3">
        <v>319.0</v>
      </c>
      <c r="B321" s="3" t="s">
        <v>6795</v>
      </c>
      <c r="C321" s="3">
        <v>32.0</v>
      </c>
      <c r="D321" s="3" t="s">
        <v>6645</v>
      </c>
      <c r="E321" s="3" t="s">
        <v>6646</v>
      </c>
      <c r="F321" s="3" t="s">
        <v>6646</v>
      </c>
      <c r="G321" s="3" t="s">
        <v>6645</v>
      </c>
      <c r="H321" s="3" t="s">
        <v>6645</v>
      </c>
      <c r="I321" s="3" t="s">
        <v>6646</v>
      </c>
      <c r="J321" s="3">
        <v>7.0</v>
      </c>
      <c r="K321" s="3">
        <v>2.0</v>
      </c>
      <c r="L321" s="3">
        <v>0.0</v>
      </c>
      <c r="M321" s="3">
        <v>0.0</v>
      </c>
      <c r="N321" s="3">
        <v>4317.31</v>
      </c>
      <c r="O321" s="3">
        <v>407.0</v>
      </c>
      <c r="P321" s="3" t="e">
        <v>#N/A</v>
      </c>
      <c r="Q321" s="3">
        <v>52.0</v>
      </c>
      <c r="R321" s="3">
        <v>45.0</v>
      </c>
      <c r="S321" s="3">
        <v>45.0</v>
      </c>
      <c r="T321" s="3">
        <v>48.0</v>
      </c>
      <c r="U321" s="3">
        <v>47.0</v>
      </c>
      <c r="V321" s="3">
        <v>49.0</v>
      </c>
      <c r="W321" s="3">
        <v>45.0</v>
      </c>
      <c r="X321" s="3">
        <v>53.0</v>
      </c>
      <c r="Y321" s="3">
        <v>51.0</v>
      </c>
      <c r="Z321" s="3">
        <v>57.0</v>
      </c>
      <c r="AA321" s="3">
        <v>44.0</v>
      </c>
      <c r="AB321" s="3">
        <v>48.0</v>
      </c>
      <c r="AC321" s="3">
        <v>49.0</v>
      </c>
      <c r="AD321" s="3">
        <v>55.0</v>
      </c>
      <c r="AE321" s="3">
        <v>41.0</v>
      </c>
      <c r="AF321" s="3">
        <v>33.0</v>
      </c>
      <c r="AG321" s="3">
        <v>81.0</v>
      </c>
      <c r="AH321" s="3">
        <v>21.0</v>
      </c>
      <c r="AI321" s="3">
        <v>64.0</v>
      </c>
      <c r="AJ321" s="3">
        <v>36.0</v>
      </c>
      <c r="AK321" s="3">
        <v>75.0</v>
      </c>
      <c r="AL321" s="3">
        <v>56.0</v>
      </c>
      <c r="AM321" s="3">
        <v>50.0</v>
      </c>
      <c r="AN321" s="3">
        <v>58.0</v>
      </c>
    </row>
    <row r="322" ht="14.25" customHeight="1">
      <c r="A322" s="3">
        <v>320.0</v>
      </c>
      <c r="B322" s="3" t="s">
        <v>6796</v>
      </c>
      <c r="C322" s="3">
        <v>33.0</v>
      </c>
      <c r="D322" s="3" t="s">
        <v>6645</v>
      </c>
      <c r="E322" s="3" t="s">
        <v>6646</v>
      </c>
      <c r="F322" s="3" t="s">
        <v>6646</v>
      </c>
      <c r="G322" s="3" t="s">
        <v>6645</v>
      </c>
      <c r="H322" s="3" t="s">
        <v>6645</v>
      </c>
      <c r="I322" s="3" t="s">
        <v>6645</v>
      </c>
      <c r="J322" s="3">
        <v>7.0</v>
      </c>
      <c r="K322" s="3">
        <v>2.0</v>
      </c>
      <c r="L322" s="3">
        <v>0.0</v>
      </c>
      <c r="M322" s="3">
        <v>0.0</v>
      </c>
      <c r="N322" s="3">
        <v>4203.22</v>
      </c>
      <c r="O322" s="3">
        <v>398.0</v>
      </c>
      <c r="P322" s="3" t="e">
        <v>#N/A</v>
      </c>
      <c r="Q322" s="3">
        <v>48.0</v>
      </c>
      <c r="R322" s="3">
        <v>53.0</v>
      </c>
      <c r="S322" s="3">
        <v>53.0</v>
      </c>
      <c r="T322" s="3">
        <v>49.0</v>
      </c>
      <c r="U322" s="3">
        <v>47.0</v>
      </c>
      <c r="V322" s="3">
        <v>51.0</v>
      </c>
      <c r="W322" s="3">
        <v>42.0</v>
      </c>
      <c r="X322" s="3">
        <v>45.0</v>
      </c>
      <c r="Y322" s="3">
        <v>52.0</v>
      </c>
      <c r="Z322" s="3">
        <v>56.0</v>
      </c>
      <c r="AA322" s="3">
        <v>54.0</v>
      </c>
      <c r="AB322" s="3">
        <v>47.0</v>
      </c>
      <c r="AC322" s="3">
        <v>42.0</v>
      </c>
      <c r="AD322" s="3">
        <v>55.0</v>
      </c>
      <c r="AE322" s="3">
        <v>51.0</v>
      </c>
      <c r="AF322" s="3">
        <v>56.0</v>
      </c>
      <c r="AG322" s="3">
        <v>78.0</v>
      </c>
      <c r="AH322" s="3">
        <v>42.0</v>
      </c>
      <c r="AI322" s="3">
        <v>58.0</v>
      </c>
      <c r="AJ322" s="3">
        <v>66.0</v>
      </c>
      <c r="AK322" s="3">
        <v>70.0</v>
      </c>
      <c r="AL322" s="3">
        <v>20.0</v>
      </c>
      <c r="AM322" s="3">
        <v>38.0</v>
      </c>
      <c r="AN322" s="3">
        <v>56.0</v>
      </c>
    </row>
    <row r="323" ht="14.25" customHeight="1">
      <c r="A323" s="3">
        <v>321.0</v>
      </c>
      <c r="B323" s="3" t="s">
        <v>6797</v>
      </c>
      <c r="C323" s="3">
        <v>28.0</v>
      </c>
      <c r="D323" s="3" t="s">
        <v>6645</v>
      </c>
      <c r="E323" s="3" t="s">
        <v>6646</v>
      </c>
      <c r="F323" s="3" t="s">
        <v>6646</v>
      </c>
      <c r="G323" s="3" t="s">
        <v>6645</v>
      </c>
      <c r="H323" s="3" t="s">
        <v>6645</v>
      </c>
      <c r="I323" s="3" t="s">
        <v>6646</v>
      </c>
      <c r="J323" s="3">
        <v>7.0</v>
      </c>
      <c r="K323" s="3">
        <v>2.0</v>
      </c>
      <c r="L323" s="3">
        <v>0.0</v>
      </c>
      <c r="M323" s="3">
        <v>0.0</v>
      </c>
      <c r="N323" s="3">
        <v>4445.13</v>
      </c>
      <c r="O323" s="3">
        <v>449.0</v>
      </c>
      <c r="P323" s="3" t="e">
        <v>#N/A</v>
      </c>
      <c r="Q323" s="3">
        <v>51.0</v>
      </c>
      <c r="R323" s="3">
        <v>52.0</v>
      </c>
      <c r="S323" s="3">
        <v>49.0</v>
      </c>
      <c r="T323" s="3">
        <v>53.0</v>
      </c>
      <c r="U323" s="3">
        <v>54.0</v>
      </c>
      <c r="V323" s="3">
        <v>48.0</v>
      </c>
      <c r="W323" s="3">
        <v>54.0</v>
      </c>
      <c r="X323" s="3">
        <v>41.0</v>
      </c>
      <c r="Y323" s="3">
        <v>61.0</v>
      </c>
      <c r="Z323" s="3">
        <v>58.0</v>
      </c>
      <c r="AA323" s="3">
        <v>43.0</v>
      </c>
      <c r="AB323" s="3">
        <v>40.0</v>
      </c>
      <c r="AC323" s="3">
        <v>54.0</v>
      </c>
      <c r="AD323" s="3">
        <v>57.0</v>
      </c>
      <c r="AE323" s="3">
        <v>51.0</v>
      </c>
      <c r="AF323" s="3">
        <v>54.0</v>
      </c>
      <c r="AG323" s="3">
        <v>74.0</v>
      </c>
      <c r="AH323" s="3">
        <v>28.0</v>
      </c>
      <c r="AI323" s="3">
        <v>46.0</v>
      </c>
      <c r="AJ323" s="3">
        <v>36.0</v>
      </c>
      <c r="AK323" s="3">
        <v>74.0</v>
      </c>
      <c r="AL323" s="3">
        <v>46.0</v>
      </c>
      <c r="AM323" s="3">
        <v>26.0</v>
      </c>
      <c r="AN323" s="3">
        <v>60.0</v>
      </c>
    </row>
    <row r="324" ht="14.25" customHeight="1">
      <c r="A324" s="3">
        <v>322.0</v>
      </c>
      <c r="B324" s="3" t="s">
        <v>6798</v>
      </c>
      <c r="C324" s="3">
        <v>21.0</v>
      </c>
      <c r="D324" s="3" t="s">
        <v>6645</v>
      </c>
      <c r="E324" s="3" t="s">
        <v>6646</v>
      </c>
      <c r="F324" s="3" t="s">
        <v>6646</v>
      </c>
      <c r="G324" s="3" t="s">
        <v>6645</v>
      </c>
      <c r="H324" s="3" t="s">
        <v>6645</v>
      </c>
      <c r="I324" s="3" t="s">
        <v>6646</v>
      </c>
      <c r="J324" s="3">
        <v>7.0</v>
      </c>
      <c r="K324" s="3">
        <v>1.0</v>
      </c>
      <c r="L324" s="3">
        <v>0.0</v>
      </c>
      <c r="M324" s="3">
        <v>0.0</v>
      </c>
      <c r="N324" s="3">
        <v>1554.2757</v>
      </c>
      <c r="O324" s="3">
        <v>223.0</v>
      </c>
      <c r="P324" s="3" t="e">
        <v>#N/A</v>
      </c>
      <c r="Q324" s="3">
        <v>44.0</v>
      </c>
      <c r="R324" s="3">
        <v>40.0</v>
      </c>
      <c r="S324" s="3">
        <v>38.0</v>
      </c>
      <c r="T324" s="3">
        <v>46.0</v>
      </c>
      <c r="U324" s="3">
        <v>38.0</v>
      </c>
      <c r="V324" s="3">
        <v>44.0</v>
      </c>
      <c r="W324" s="3">
        <v>38.0</v>
      </c>
      <c r="X324" s="3">
        <v>34.0</v>
      </c>
      <c r="Y324" s="3">
        <v>48.0</v>
      </c>
      <c r="Z324" s="3">
        <v>54.0</v>
      </c>
      <c r="AA324" s="3">
        <v>40.0</v>
      </c>
      <c r="AB324" s="3">
        <v>40.0</v>
      </c>
      <c r="AC324" s="3">
        <v>38.0</v>
      </c>
      <c r="AD324" s="3">
        <v>46.0</v>
      </c>
      <c r="AE324" s="3">
        <v>34.0</v>
      </c>
      <c r="AF324" s="3">
        <v>43.0</v>
      </c>
      <c r="AG324" s="3">
        <v>70.0</v>
      </c>
      <c r="AH324" s="3">
        <v>39.0</v>
      </c>
      <c r="AI324" s="3">
        <v>60.0</v>
      </c>
      <c r="AJ324" s="3">
        <v>28.0</v>
      </c>
      <c r="AK324" s="3">
        <v>77.0</v>
      </c>
      <c r="AL324" s="3">
        <v>42.0</v>
      </c>
      <c r="AM324" s="3">
        <v>33.0</v>
      </c>
      <c r="AN324" s="3">
        <v>35.0</v>
      </c>
    </row>
    <row r="325" ht="14.25" customHeight="1">
      <c r="A325" s="3">
        <v>323.0</v>
      </c>
      <c r="B325" s="3" t="s">
        <v>6799</v>
      </c>
      <c r="C325" s="3">
        <v>22.0</v>
      </c>
      <c r="D325" s="3" t="s">
        <v>6645</v>
      </c>
      <c r="E325" s="3" t="s">
        <v>6646</v>
      </c>
      <c r="F325" s="3" t="s">
        <v>6646</v>
      </c>
      <c r="G325" s="3" t="s">
        <v>6645</v>
      </c>
      <c r="H325" s="3" t="s">
        <v>6645</v>
      </c>
      <c r="I325" s="3" t="s">
        <v>6646</v>
      </c>
      <c r="J325" s="3">
        <v>7.0</v>
      </c>
      <c r="K325" s="3">
        <v>1.0</v>
      </c>
      <c r="L325" s="3">
        <v>0.0</v>
      </c>
      <c r="M325" s="3">
        <v>0.0</v>
      </c>
      <c r="N325" s="3">
        <v>1637.7026</v>
      </c>
      <c r="O325" s="3">
        <v>150.0</v>
      </c>
      <c r="P325" s="3" t="e">
        <v>#N/A</v>
      </c>
      <c r="Q325" s="3">
        <v>38.0</v>
      </c>
      <c r="R325" s="3">
        <v>44.0</v>
      </c>
      <c r="S325" s="3">
        <v>46.0</v>
      </c>
      <c r="T325" s="3">
        <v>38.0</v>
      </c>
      <c r="U325" s="3">
        <v>46.0</v>
      </c>
      <c r="V325" s="3">
        <v>40.0</v>
      </c>
      <c r="W325" s="3">
        <v>41.0</v>
      </c>
      <c r="X325" s="3">
        <v>38.0</v>
      </c>
      <c r="Y325" s="3">
        <v>47.0</v>
      </c>
      <c r="Z325" s="3">
        <v>53.0</v>
      </c>
      <c r="AA325" s="3">
        <v>38.0</v>
      </c>
      <c r="AB325" s="3">
        <v>44.0</v>
      </c>
      <c r="AC325" s="3">
        <v>31.0</v>
      </c>
      <c r="AD325" s="3">
        <v>46.0</v>
      </c>
      <c r="AE325" s="3">
        <v>46.0</v>
      </c>
      <c r="AF325" s="3">
        <v>28.0</v>
      </c>
      <c r="AG325" s="3">
        <v>72.0</v>
      </c>
      <c r="AH325" s="3">
        <v>45.0</v>
      </c>
      <c r="AI325" s="3">
        <v>52.0</v>
      </c>
      <c r="AJ325" s="3">
        <v>50.0</v>
      </c>
      <c r="AK325" s="3">
        <v>70.0</v>
      </c>
      <c r="AL325" s="3">
        <v>35.0</v>
      </c>
      <c r="AM325" s="3">
        <v>39.0</v>
      </c>
      <c r="AN325" s="3">
        <v>40.0</v>
      </c>
    </row>
    <row r="326" ht="14.25" customHeight="1">
      <c r="A326" s="3">
        <v>324.0</v>
      </c>
      <c r="B326" s="3" t="s">
        <v>6800</v>
      </c>
      <c r="C326" s="3">
        <v>27.0</v>
      </c>
      <c r="D326" s="3" t="s">
        <v>6645</v>
      </c>
      <c r="E326" s="3" t="s">
        <v>6646</v>
      </c>
      <c r="F326" s="3" t="s">
        <v>6646</v>
      </c>
      <c r="G326" s="3" t="s">
        <v>6645</v>
      </c>
      <c r="H326" s="3" t="s">
        <v>6645</v>
      </c>
      <c r="I326" s="3" t="s">
        <v>6645</v>
      </c>
      <c r="J326" s="3">
        <v>7.0</v>
      </c>
      <c r="K326" s="3">
        <v>1.0</v>
      </c>
      <c r="L326" s="3">
        <v>0.0</v>
      </c>
      <c r="M326" s="3">
        <v>0.0</v>
      </c>
      <c r="N326" s="3">
        <v>1718.4982</v>
      </c>
      <c r="O326" s="3">
        <v>230.0</v>
      </c>
      <c r="P326" s="3" t="e">
        <v>#N/A</v>
      </c>
      <c r="Q326" s="3">
        <v>44.0</v>
      </c>
      <c r="R326" s="3">
        <v>46.0</v>
      </c>
      <c r="S326" s="3">
        <v>44.0</v>
      </c>
      <c r="T326" s="3">
        <v>42.0</v>
      </c>
      <c r="U326" s="3">
        <v>42.0</v>
      </c>
      <c r="V326" s="3">
        <v>38.0</v>
      </c>
      <c r="W326" s="3">
        <v>35.0</v>
      </c>
      <c r="X326" s="3">
        <v>46.0</v>
      </c>
      <c r="Y326" s="3">
        <v>52.0</v>
      </c>
      <c r="Z326" s="3">
        <v>55.0</v>
      </c>
      <c r="AA326" s="3">
        <v>35.0</v>
      </c>
      <c r="AB326" s="3">
        <v>36.0</v>
      </c>
      <c r="AC326" s="3">
        <v>42.0</v>
      </c>
      <c r="AD326" s="3">
        <v>51.0</v>
      </c>
      <c r="AE326" s="3">
        <v>44.0</v>
      </c>
      <c r="AF326" s="3">
        <v>53.0</v>
      </c>
      <c r="AG326" s="3">
        <v>65.0</v>
      </c>
      <c r="AH326" s="3">
        <v>59.0</v>
      </c>
      <c r="AI326" s="3">
        <v>34.0</v>
      </c>
      <c r="AJ326" s="3">
        <v>35.0</v>
      </c>
      <c r="AK326" s="3">
        <v>78.0</v>
      </c>
      <c r="AL326" s="3">
        <v>24.0</v>
      </c>
      <c r="AM326" s="3">
        <v>42.0</v>
      </c>
      <c r="AN326" s="3">
        <v>21.0</v>
      </c>
    </row>
    <row r="327" ht="14.25" customHeight="1">
      <c r="A327" s="3">
        <v>325.0</v>
      </c>
      <c r="B327" s="3" t="s">
        <v>6801</v>
      </c>
      <c r="C327" s="3">
        <v>23.0</v>
      </c>
      <c r="D327" s="3" t="s">
        <v>6645</v>
      </c>
      <c r="E327" s="3" t="s">
        <v>6646</v>
      </c>
      <c r="F327" s="3" t="s">
        <v>6646</v>
      </c>
      <c r="G327" s="3" t="s">
        <v>6645</v>
      </c>
      <c r="H327" s="3" t="s">
        <v>6645</v>
      </c>
      <c r="I327" s="3" t="s">
        <v>6645</v>
      </c>
      <c r="J327" s="3">
        <v>7.0</v>
      </c>
      <c r="K327" s="3">
        <v>1.0</v>
      </c>
      <c r="L327" s="3">
        <v>0.0</v>
      </c>
      <c r="M327" s="3">
        <v>0.0</v>
      </c>
      <c r="N327" s="3">
        <v>1608.6146</v>
      </c>
      <c r="O327" s="3">
        <v>241.0</v>
      </c>
      <c r="P327" s="3" t="e">
        <v>#N/A</v>
      </c>
      <c r="Q327" s="3">
        <v>44.0</v>
      </c>
      <c r="R327" s="3">
        <v>40.0</v>
      </c>
      <c r="S327" s="3">
        <v>46.0</v>
      </c>
      <c r="T327" s="3">
        <v>46.0</v>
      </c>
      <c r="U327" s="3">
        <v>38.0</v>
      </c>
      <c r="V327" s="3">
        <v>40.0</v>
      </c>
      <c r="W327" s="3">
        <v>40.0</v>
      </c>
      <c r="X327" s="3">
        <v>38.0</v>
      </c>
      <c r="Y327" s="3">
        <v>51.0</v>
      </c>
      <c r="Z327" s="3">
        <v>46.0</v>
      </c>
      <c r="AA327" s="3">
        <v>40.0</v>
      </c>
      <c r="AB327" s="3">
        <v>35.0</v>
      </c>
      <c r="AC327" s="3">
        <v>44.0</v>
      </c>
      <c r="AD327" s="3">
        <v>52.0</v>
      </c>
      <c r="AE327" s="3">
        <v>36.0</v>
      </c>
      <c r="AF327" s="3">
        <v>55.0</v>
      </c>
      <c r="AG327" s="3">
        <v>72.0</v>
      </c>
      <c r="AH327" s="3">
        <v>36.0</v>
      </c>
      <c r="AI327" s="3">
        <v>28.0</v>
      </c>
      <c r="AJ327" s="3">
        <v>19.0</v>
      </c>
      <c r="AK327" s="3">
        <v>72.0</v>
      </c>
      <c r="AL327" s="3">
        <v>33.0</v>
      </c>
      <c r="AM327" s="3">
        <v>49.0</v>
      </c>
      <c r="AN327" s="3">
        <v>55.0</v>
      </c>
    </row>
    <row r="328" ht="14.25" customHeight="1">
      <c r="A328" s="3">
        <v>326.0</v>
      </c>
      <c r="B328" s="3" t="s">
        <v>6802</v>
      </c>
      <c r="C328" s="3">
        <v>26.0</v>
      </c>
      <c r="D328" s="3" t="s">
        <v>6645</v>
      </c>
      <c r="E328" s="3" t="s">
        <v>6646</v>
      </c>
      <c r="F328" s="3" t="s">
        <v>6646</v>
      </c>
      <c r="G328" s="3" t="s">
        <v>6645</v>
      </c>
      <c r="H328" s="3" t="s">
        <v>6645</v>
      </c>
      <c r="I328" s="3" t="s">
        <v>6645</v>
      </c>
      <c r="J328" s="3">
        <v>7.0</v>
      </c>
      <c r="K328" s="3">
        <v>1.0</v>
      </c>
      <c r="L328" s="3">
        <v>0.0</v>
      </c>
      <c r="M328" s="3">
        <v>0.0</v>
      </c>
      <c r="N328" s="3">
        <v>1649.6236</v>
      </c>
      <c r="O328" s="3">
        <v>229.0</v>
      </c>
      <c r="P328" s="3" t="e">
        <v>#N/A</v>
      </c>
      <c r="Q328" s="3">
        <v>40.0</v>
      </c>
      <c r="R328" s="3">
        <v>40.0</v>
      </c>
      <c r="S328" s="3">
        <v>42.0</v>
      </c>
      <c r="T328" s="3">
        <v>42.0</v>
      </c>
      <c r="U328" s="3">
        <v>44.0</v>
      </c>
      <c r="V328" s="3">
        <v>40.0</v>
      </c>
      <c r="W328" s="3">
        <v>42.0</v>
      </c>
      <c r="X328" s="3">
        <v>44.0</v>
      </c>
      <c r="Y328" s="3">
        <v>45.0</v>
      </c>
      <c r="Z328" s="3">
        <v>53.0</v>
      </c>
      <c r="AA328" s="3">
        <v>31.0</v>
      </c>
      <c r="AB328" s="3">
        <v>29.0</v>
      </c>
      <c r="AC328" s="3">
        <v>37.0</v>
      </c>
      <c r="AD328" s="3">
        <v>49.0</v>
      </c>
      <c r="AE328" s="3">
        <v>46.0</v>
      </c>
      <c r="AF328" s="3">
        <v>62.0</v>
      </c>
      <c r="AG328" s="3">
        <v>72.0</v>
      </c>
      <c r="AH328" s="3">
        <v>58.0</v>
      </c>
      <c r="AI328" s="3">
        <v>61.0</v>
      </c>
      <c r="AJ328" s="3">
        <v>11.0</v>
      </c>
      <c r="AK328" s="3">
        <v>76.0</v>
      </c>
      <c r="AL328" s="3">
        <v>48.0</v>
      </c>
      <c r="AM328" s="3">
        <v>41.0</v>
      </c>
      <c r="AN328" s="3">
        <v>16.0</v>
      </c>
    </row>
    <row r="329" ht="14.25" customHeight="1">
      <c r="A329" s="3">
        <v>327.0</v>
      </c>
      <c r="B329" s="3" t="s">
        <v>6803</v>
      </c>
      <c r="C329" s="3">
        <v>17.0</v>
      </c>
      <c r="D329" s="3" t="s">
        <v>6645</v>
      </c>
      <c r="E329" s="3" t="s">
        <v>6646</v>
      </c>
      <c r="F329" s="3" t="s">
        <v>6646</v>
      </c>
      <c r="G329" s="3" t="s">
        <v>6645</v>
      </c>
      <c r="H329" s="3" t="s">
        <v>6645</v>
      </c>
      <c r="I329" s="3" t="s">
        <v>6646</v>
      </c>
      <c r="J329" s="3">
        <v>7.0</v>
      </c>
      <c r="K329" s="3">
        <v>0.0</v>
      </c>
      <c r="L329" s="3">
        <v>0.0</v>
      </c>
      <c r="M329" s="3">
        <v>0.0</v>
      </c>
      <c r="N329" s="3">
        <v>397.54476</v>
      </c>
      <c r="O329" s="3">
        <v>90.0</v>
      </c>
      <c r="P329" s="3" t="e">
        <v>#N/A</v>
      </c>
      <c r="Q329" s="3">
        <v>39.0</v>
      </c>
      <c r="R329" s="3">
        <v>35.0</v>
      </c>
      <c r="S329" s="3">
        <v>36.0</v>
      </c>
      <c r="T329" s="3">
        <v>30.0</v>
      </c>
      <c r="U329" s="3">
        <v>36.0</v>
      </c>
      <c r="V329" s="3">
        <v>39.0</v>
      </c>
      <c r="W329" s="3">
        <v>24.0</v>
      </c>
      <c r="X329" s="3">
        <v>38.0</v>
      </c>
      <c r="Y329" s="3">
        <v>36.0</v>
      </c>
      <c r="Z329" s="3">
        <v>46.0</v>
      </c>
      <c r="AA329" s="3">
        <v>22.0</v>
      </c>
      <c r="AB329" s="3">
        <v>32.0</v>
      </c>
      <c r="AC329" s="3">
        <v>23.0</v>
      </c>
      <c r="AD329" s="3">
        <v>45.0</v>
      </c>
      <c r="AE329" s="3">
        <v>35.0</v>
      </c>
      <c r="AF329" s="3">
        <v>53.0</v>
      </c>
      <c r="AG329" s="3">
        <v>69.0</v>
      </c>
      <c r="AH329" s="3">
        <v>48.0</v>
      </c>
      <c r="AI329" s="3">
        <v>22.0</v>
      </c>
      <c r="AJ329" s="3">
        <v>48.0</v>
      </c>
      <c r="AK329" s="3">
        <v>63.0</v>
      </c>
      <c r="AL329" s="3">
        <v>58.0</v>
      </c>
      <c r="AM329" s="3">
        <v>20.0</v>
      </c>
      <c r="AN329" s="3">
        <v>41.0</v>
      </c>
    </row>
    <row r="330" ht="14.25" customHeight="1">
      <c r="A330" s="3">
        <v>328.0</v>
      </c>
      <c r="B330" s="3" t="s">
        <v>6804</v>
      </c>
      <c r="C330" s="3">
        <v>17.0</v>
      </c>
      <c r="D330" s="3" t="s">
        <v>6645</v>
      </c>
      <c r="E330" s="3" t="s">
        <v>6646</v>
      </c>
      <c r="F330" s="3" t="s">
        <v>6646</v>
      </c>
      <c r="G330" s="3" t="s">
        <v>6645</v>
      </c>
      <c r="H330" s="3" t="s">
        <v>6645</v>
      </c>
      <c r="I330" s="3" t="s">
        <v>6645</v>
      </c>
      <c r="J330" s="3">
        <v>7.0</v>
      </c>
      <c r="K330" s="3">
        <v>0.0</v>
      </c>
      <c r="L330" s="3">
        <v>0.0</v>
      </c>
      <c r="M330" s="3">
        <v>0.0</v>
      </c>
      <c r="N330" s="3">
        <v>568.98986</v>
      </c>
      <c r="O330" s="3">
        <v>115.0</v>
      </c>
      <c r="P330" s="3" t="e">
        <v>#N/A</v>
      </c>
      <c r="Q330" s="3">
        <v>31.0</v>
      </c>
      <c r="R330" s="3">
        <v>38.0</v>
      </c>
      <c r="S330" s="3">
        <v>33.0</v>
      </c>
      <c r="T330" s="3">
        <v>39.0</v>
      </c>
      <c r="U330" s="3">
        <v>34.0</v>
      </c>
      <c r="V330" s="3">
        <v>35.0</v>
      </c>
      <c r="W330" s="3">
        <v>34.0</v>
      </c>
      <c r="X330" s="3">
        <v>36.0</v>
      </c>
      <c r="Y330" s="3">
        <v>36.0</v>
      </c>
      <c r="Z330" s="3">
        <v>48.0</v>
      </c>
      <c r="AA330" s="3">
        <v>26.0</v>
      </c>
      <c r="AB330" s="3">
        <v>34.0</v>
      </c>
      <c r="AC330" s="3">
        <v>24.0</v>
      </c>
      <c r="AD330" s="3">
        <v>46.0</v>
      </c>
      <c r="AE330" s="3">
        <v>34.0</v>
      </c>
      <c r="AF330" s="3">
        <v>42.0</v>
      </c>
      <c r="AG330" s="3">
        <v>62.0</v>
      </c>
      <c r="AH330" s="3">
        <v>27.0</v>
      </c>
      <c r="AI330" s="3">
        <v>22.0</v>
      </c>
      <c r="AJ330" s="3">
        <v>43.0</v>
      </c>
      <c r="AK330" s="3">
        <v>70.0</v>
      </c>
      <c r="AL330" s="3">
        <v>35.0</v>
      </c>
      <c r="AM330" s="3">
        <v>38.0</v>
      </c>
      <c r="AN330" s="3">
        <v>39.0</v>
      </c>
    </row>
    <row r="331" ht="14.25" customHeight="1">
      <c r="A331" s="3">
        <v>329.0</v>
      </c>
      <c r="B331" s="3" t="s">
        <v>6805</v>
      </c>
      <c r="C331" s="3">
        <v>16.0</v>
      </c>
      <c r="D331" s="3" t="s">
        <v>6645</v>
      </c>
      <c r="E331" s="3" t="s">
        <v>6646</v>
      </c>
      <c r="F331" s="3" t="s">
        <v>6646</v>
      </c>
      <c r="G331" s="3" t="s">
        <v>6645</v>
      </c>
      <c r="H331" s="3" t="s">
        <v>6645</v>
      </c>
      <c r="I331" s="3" t="s">
        <v>6645</v>
      </c>
      <c r="J331" s="3">
        <v>7.0</v>
      </c>
      <c r="K331" s="3">
        <v>0.0</v>
      </c>
      <c r="L331" s="3">
        <v>0.0</v>
      </c>
      <c r="M331" s="3">
        <v>0.0</v>
      </c>
      <c r="N331" s="3">
        <v>463.03097</v>
      </c>
      <c r="O331" s="3">
        <v>78.0</v>
      </c>
      <c r="P331" s="3" t="e">
        <v>#N/A</v>
      </c>
      <c r="Q331" s="3">
        <v>35.0</v>
      </c>
      <c r="R331" s="3">
        <v>37.0</v>
      </c>
      <c r="S331" s="3">
        <v>35.0</v>
      </c>
      <c r="T331" s="3">
        <v>30.0</v>
      </c>
      <c r="U331" s="3">
        <v>39.0</v>
      </c>
      <c r="V331" s="3">
        <v>35.0</v>
      </c>
      <c r="W331" s="3">
        <v>36.0</v>
      </c>
      <c r="X331" s="3">
        <v>31.0</v>
      </c>
      <c r="Y331" s="3">
        <v>46.0</v>
      </c>
      <c r="Z331" s="3">
        <v>42.0</v>
      </c>
      <c r="AA331" s="3">
        <v>28.0</v>
      </c>
      <c r="AB331" s="3">
        <v>27.0</v>
      </c>
      <c r="AC331" s="3">
        <v>35.0</v>
      </c>
      <c r="AD331" s="3">
        <v>46.0</v>
      </c>
      <c r="AE331" s="3">
        <v>36.0</v>
      </c>
      <c r="AF331" s="3">
        <v>53.0</v>
      </c>
      <c r="AG331" s="3">
        <v>74.0</v>
      </c>
      <c r="AH331" s="3">
        <v>31.0</v>
      </c>
      <c r="AI331" s="3">
        <v>13.0</v>
      </c>
      <c r="AJ331" s="3">
        <v>54.0</v>
      </c>
      <c r="AK331" s="3">
        <v>74.0</v>
      </c>
      <c r="AL331" s="3">
        <v>33.0</v>
      </c>
      <c r="AM331" s="3">
        <v>51.0</v>
      </c>
      <c r="AN331" s="3">
        <v>37.0</v>
      </c>
    </row>
    <row r="332" ht="14.25" customHeight="1">
      <c r="A332" s="3">
        <v>330.0</v>
      </c>
      <c r="B332" s="3" t="s">
        <v>6806</v>
      </c>
      <c r="C332" s="3">
        <v>24.0</v>
      </c>
      <c r="D332" s="3" t="s">
        <v>6645</v>
      </c>
      <c r="E332" s="3" t="s">
        <v>6646</v>
      </c>
      <c r="F332" s="3" t="s">
        <v>6646</v>
      </c>
      <c r="G332" s="3" t="s">
        <v>6645</v>
      </c>
      <c r="H332" s="3" t="s">
        <v>6645</v>
      </c>
      <c r="I332" s="3" t="s">
        <v>6646</v>
      </c>
      <c r="J332" s="3">
        <v>7.0</v>
      </c>
      <c r="K332" s="3">
        <v>0.0</v>
      </c>
      <c r="L332" s="3">
        <v>0.0</v>
      </c>
      <c r="M332" s="3">
        <v>0.0</v>
      </c>
      <c r="N332" s="3">
        <v>493.75683</v>
      </c>
      <c r="O332" s="3">
        <v>95.0</v>
      </c>
      <c r="P332" s="3" t="e">
        <v>#N/A</v>
      </c>
      <c r="Q332" s="3">
        <v>35.0</v>
      </c>
      <c r="R332" s="3">
        <v>32.0</v>
      </c>
      <c r="S332" s="3">
        <v>37.0</v>
      </c>
      <c r="T332" s="3">
        <v>36.0</v>
      </c>
      <c r="U332" s="3">
        <v>35.0</v>
      </c>
      <c r="V332" s="3">
        <v>35.0</v>
      </c>
      <c r="W332" s="3">
        <v>23.0</v>
      </c>
      <c r="X332" s="3">
        <v>30.0</v>
      </c>
      <c r="Y332" s="3">
        <v>43.0</v>
      </c>
      <c r="Z332" s="3">
        <v>48.0</v>
      </c>
      <c r="AA332" s="3">
        <v>23.0</v>
      </c>
      <c r="AB332" s="3">
        <v>32.0</v>
      </c>
      <c r="AC332" s="3">
        <v>33.0</v>
      </c>
      <c r="AD332" s="3">
        <v>44.0</v>
      </c>
      <c r="AE332" s="3">
        <v>38.0</v>
      </c>
      <c r="AF332" s="3">
        <v>37.0</v>
      </c>
      <c r="AG332" s="3">
        <v>77.0</v>
      </c>
      <c r="AH332" s="3">
        <v>43.0</v>
      </c>
      <c r="AI332" s="3">
        <v>38.0</v>
      </c>
      <c r="AJ332" s="3">
        <v>18.0</v>
      </c>
      <c r="AK332" s="3">
        <v>77.0</v>
      </c>
      <c r="AL332" s="3">
        <v>31.0</v>
      </c>
      <c r="AM332" s="3">
        <v>45.0</v>
      </c>
      <c r="AN332" s="3">
        <v>35.0</v>
      </c>
    </row>
    <row r="333" ht="14.25" customHeight="1">
      <c r="A333" s="3">
        <v>331.0</v>
      </c>
      <c r="B333" s="3" t="s">
        <v>6807</v>
      </c>
      <c r="C333" s="3">
        <v>15.0</v>
      </c>
      <c r="D333" s="3" t="s">
        <v>6645</v>
      </c>
      <c r="E333" s="3" t="s">
        <v>6646</v>
      </c>
      <c r="F333" s="3" t="s">
        <v>6646</v>
      </c>
      <c r="G333" s="3" t="s">
        <v>6645</v>
      </c>
      <c r="H333" s="3" t="s">
        <v>6645</v>
      </c>
      <c r="I333" s="3" t="s">
        <v>6646</v>
      </c>
      <c r="J333" s="3">
        <v>7.0</v>
      </c>
      <c r="K333" s="3">
        <v>0.0</v>
      </c>
      <c r="L333" s="3">
        <v>0.0</v>
      </c>
      <c r="M333" s="3">
        <v>0.0</v>
      </c>
      <c r="N333" s="3">
        <v>436.55374</v>
      </c>
      <c r="O333" s="3">
        <v>100.0</v>
      </c>
      <c r="P333" s="3" t="e">
        <v>#N/A</v>
      </c>
      <c r="Q333" s="3">
        <v>39.0</v>
      </c>
      <c r="R333" s="3">
        <v>33.0</v>
      </c>
      <c r="S333" s="3">
        <v>34.0</v>
      </c>
      <c r="T333" s="3">
        <v>30.0</v>
      </c>
      <c r="U333" s="3">
        <v>34.0</v>
      </c>
      <c r="V333" s="3">
        <v>36.0</v>
      </c>
      <c r="W333" s="3">
        <v>24.0</v>
      </c>
      <c r="X333" s="3">
        <v>32.0</v>
      </c>
      <c r="Y333" s="3">
        <v>40.0</v>
      </c>
      <c r="Z333" s="3">
        <v>47.0</v>
      </c>
      <c r="AA333" s="3">
        <v>23.0</v>
      </c>
      <c r="AB333" s="3">
        <v>34.0</v>
      </c>
      <c r="AC333" s="3">
        <v>35.0</v>
      </c>
      <c r="AD333" s="3">
        <v>39.0</v>
      </c>
      <c r="AE333" s="3">
        <v>27.0</v>
      </c>
      <c r="AF333" s="3">
        <v>54.0</v>
      </c>
      <c r="AG333" s="3">
        <v>74.0</v>
      </c>
      <c r="AH333" s="3">
        <v>39.0</v>
      </c>
      <c r="AI333" s="3">
        <v>57.0</v>
      </c>
      <c r="AJ333" s="3">
        <v>16.0</v>
      </c>
      <c r="AK333" s="3">
        <v>67.0</v>
      </c>
      <c r="AL333" s="3">
        <v>51.0</v>
      </c>
      <c r="AM333" s="3">
        <v>9.0</v>
      </c>
      <c r="AN333" s="3">
        <v>57.0</v>
      </c>
    </row>
    <row r="334" ht="14.25" customHeight="1">
      <c r="A334" s="3">
        <v>332.0</v>
      </c>
      <c r="B334" s="3" t="s">
        <v>6808</v>
      </c>
      <c r="C334" s="3">
        <v>33.0</v>
      </c>
      <c r="D334" s="3" t="s">
        <v>6645</v>
      </c>
      <c r="E334" s="3" t="s">
        <v>6646</v>
      </c>
      <c r="F334" s="3" t="s">
        <v>6646</v>
      </c>
      <c r="G334" s="3" t="s">
        <v>6645</v>
      </c>
      <c r="H334" s="3" t="s">
        <v>6645</v>
      </c>
      <c r="I334" s="3" t="s">
        <v>6646</v>
      </c>
      <c r="J334" s="3">
        <v>8.0</v>
      </c>
      <c r="K334" s="3">
        <v>3.0</v>
      </c>
      <c r="L334" s="3">
        <v>0.0</v>
      </c>
      <c r="M334" s="3">
        <v>0.0</v>
      </c>
      <c r="N334" s="3">
        <v>8288.61</v>
      </c>
      <c r="O334" s="3">
        <v>745.0</v>
      </c>
      <c r="P334" s="3" t="e">
        <v>#N/A</v>
      </c>
      <c r="Q334" s="3">
        <v>59.0</v>
      </c>
      <c r="R334" s="3">
        <v>62.0</v>
      </c>
      <c r="S334" s="3">
        <v>57.0</v>
      </c>
      <c r="T334" s="3">
        <v>58.0</v>
      </c>
      <c r="U334" s="3">
        <v>60.0</v>
      </c>
      <c r="V334" s="3">
        <v>58.0</v>
      </c>
      <c r="W334" s="3">
        <v>67.0</v>
      </c>
      <c r="X334" s="3">
        <v>63.0</v>
      </c>
      <c r="Y334" s="3">
        <v>71.0</v>
      </c>
      <c r="Z334" s="3">
        <v>71.0</v>
      </c>
      <c r="AA334" s="3">
        <v>51.0</v>
      </c>
      <c r="AB334" s="3">
        <v>67.0</v>
      </c>
      <c r="AC334" s="3">
        <v>58.0</v>
      </c>
      <c r="AD334" s="3">
        <v>56.0</v>
      </c>
      <c r="AE334" s="3">
        <v>47.0</v>
      </c>
      <c r="AF334" s="3">
        <v>50.0</v>
      </c>
      <c r="AG334" s="3">
        <v>50.0</v>
      </c>
      <c r="AH334" s="3">
        <v>68.0</v>
      </c>
      <c r="AI334" s="3">
        <v>42.0</v>
      </c>
      <c r="AJ334" s="3">
        <v>86.0</v>
      </c>
      <c r="AK334" s="3">
        <v>66.0</v>
      </c>
      <c r="AL334" s="3">
        <v>64.0</v>
      </c>
      <c r="AM334" s="3">
        <v>62.0</v>
      </c>
      <c r="AN334" s="3">
        <v>54.0</v>
      </c>
    </row>
    <row r="335" ht="14.25" customHeight="1">
      <c r="A335" s="3">
        <v>333.0</v>
      </c>
      <c r="B335" s="3" t="s">
        <v>6809</v>
      </c>
      <c r="C335" s="3">
        <v>36.0</v>
      </c>
      <c r="D335" s="3" t="s">
        <v>6645</v>
      </c>
      <c r="E335" s="3" t="s">
        <v>6646</v>
      </c>
      <c r="F335" s="3" t="s">
        <v>6646</v>
      </c>
      <c r="G335" s="3" t="s">
        <v>6645</v>
      </c>
      <c r="H335" s="3" t="s">
        <v>6645</v>
      </c>
      <c r="I335" s="3" t="s">
        <v>6646</v>
      </c>
      <c r="J335" s="3">
        <v>8.0</v>
      </c>
      <c r="K335" s="3">
        <v>3.0</v>
      </c>
      <c r="L335" s="3">
        <v>0.0</v>
      </c>
      <c r="M335" s="3">
        <v>0.0</v>
      </c>
      <c r="N335" s="3">
        <v>8651.56</v>
      </c>
      <c r="O335" s="3">
        <v>771.0</v>
      </c>
      <c r="P335" s="3" t="e">
        <v>#N/A</v>
      </c>
      <c r="Q335" s="3">
        <v>63.0</v>
      </c>
      <c r="R335" s="3">
        <v>54.0</v>
      </c>
      <c r="S335" s="3">
        <v>57.0</v>
      </c>
      <c r="T335" s="3">
        <v>55.0</v>
      </c>
      <c r="U335" s="3">
        <v>63.0</v>
      </c>
      <c r="V335" s="3">
        <v>61.0</v>
      </c>
      <c r="W335" s="3">
        <v>67.0</v>
      </c>
      <c r="X335" s="3">
        <v>53.0</v>
      </c>
      <c r="Y335" s="3">
        <v>73.0</v>
      </c>
      <c r="Z335" s="3">
        <v>65.0</v>
      </c>
      <c r="AA335" s="3">
        <v>55.0</v>
      </c>
      <c r="AB335" s="3">
        <v>64.0</v>
      </c>
      <c r="AC335" s="3">
        <v>53.0</v>
      </c>
      <c r="AD335" s="3">
        <v>51.0</v>
      </c>
      <c r="AE335" s="3">
        <v>52.0</v>
      </c>
      <c r="AF335" s="3">
        <v>42.0</v>
      </c>
      <c r="AG335" s="3">
        <v>60.0</v>
      </c>
      <c r="AH335" s="3">
        <v>30.0</v>
      </c>
      <c r="AI335" s="3">
        <v>58.0</v>
      </c>
      <c r="AJ335" s="3">
        <v>74.0</v>
      </c>
      <c r="AK335" s="3">
        <v>42.0</v>
      </c>
      <c r="AL335" s="3">
        <v>52.0</v>
      </c>
      <c r="AM335" s="3">
        <v>68.0</v>
      </c>
      <c r="AN335" s="3">
        <v>62.0</v>
      </c>
    </row>
    <row r="336" ht="14.25" customHeight="1">
      <c r="A336" s="3">
        <v>334.0</v>
      </c>
      <c r="B336" s="3" t="s">
        <v>6810</v>
      </c>
      <c r="C336" s="3">
        <v>31.0</v>
      </c>
      <c r="D336" s="3" t="s">
        <v>6645</v>
      </c>
      <c r="E336" s="3" t="s">
        <v>6646</v>
      </c>
      <c r="F336" s="3" t="s">
        <v>6646</v>
      </c>
      <c r="G336" s="3" t="s">
        <v>6645</v>
      </c>
      <c r="H336" s="3" t="s">
        <v>6645</v>
      </c>
      <c r="I336" s="3" t="s">
        <v>6645</v>
      </c>
      <c r="J336" s="3">
        <v>8.0</v>
      </c>
      <c r="K336" s="3">
        <v>3.0</v>
      </c>
      <c r="L336" s="3">
        <v>0.0</v>
      </c>
      <c r="M336" s="3">
        <v>0.0</v>
      </c>
      <c r="N336" s="3">
        <v>8920.8</v>
      </c>
      <c r="O336" s="3">
        <v>945.0</v>
      </c>
      <c r="P336" s="3" t="e">
        <v>#N/A</v>
      </c>
      <c r="Q336" s="3">
        <v>63.0</v>
      </c>
      <c r="R336" s="3">
        <v>63.0</v>
      </c>
      <c r="S336" s="3">
        <v>61.0</v>
      </c>
      <c r="T336" s="3">
        <v>62.0</v>
      </c>
      <c r="U336" s="3">
        <v>65.0</v>
      </c>
      <c r="V336" s="3">
        <v>58.0</v>
      </c>
      <c r="W336" s="3">
        <v>72.0</v>
      </c>
      <c r="X336" s="3">
        <v>54.0</v>
      </c>
      <c r="Y336" s="3">
        <v>69.0</v>
      </c>
      <c r="Z336" s="3">
        <v>67.0</v>
      </c>
      <c r="AA336" s="3">
        <v>56.0</v>
      </c>
      <c r="AB336" s="3">
        <v>66.0</v>
      </c>
      <c r="AC336" s="3">
        <v>53.0</v>
      </c>
      <c r="AD336" s="3">
        <v>53.0</v>
      </c>
      <c r="AE336" s="3">
        <v>52.0</v>
      </c>
      <c r="AF336" s="3">
        <v>52.0</v>
      </c>
      <c r="AG336" s="3">
        <v>50.0</v>
      </c>
      <c r="AH336" s="3">
        <v>64.0</v>
      </c>
      <c r="AI336" s="3">
        <v>46.0</v>
      </c>
      <c r="AJ336" s="3">
        <v>84.0</v>
      </c>
      <c r="AK336" s="3">
        <v>36.0</v>
      </c>
      <c r="AL336" s="3">
        <v>60.0</v>
      </c>
      <c r="AM336" s="3">
        <v>68.0</v>
      </c>
      <c r="AN336" s="3">
        <v>52.0</v>
      </c>
    </row>
    <row r="337" ht="14.25" customHeight="1">
      <c r="A337" s="3">
        <v>335.0</v>
      </c>
      <c r="B337" s="3" t="s">
        <v>6811</v>
      </c>
      <c r="C337" s="3">
        <v>38.0</v>
      </c>
      <c r="D337" s="3" t="s">
        <v>6645</v>
      </c>
      <c r="E337" s="3" t="s">
        <v>6646</v>
      </c>
      <c r="F337" s="3" t="s">
        <v>6646</v>
      </c>
      <c r="G337" s="3" t="s">
        <v>6645</v>
      </c>
      <c r="H337" s="3" t="s">
        <v>6645</v>
      </c>
      <c r="I337" s="3" t="s">
        <v>6645</v>
      </c>
      <c r="J337" s="3">
        <v>8.0</v>
      </c>
      <c r="K337" s="3">
        <v>3.0</v>
      </c>
      <c r="L337" s="3">
        <v>0.0</v>
      </c>
      <c r="M337" s="3">
        <v>0.0</v>
      </c>
      <c r="N337" s="3">
        <v>8425.45</v>
      </c>
      <c r="O337" s="3">
        <v>696.0</v>
      </c>
      <c r="P337" s="3" t="e">
        <v>#N/A</v>
      </c>
      <c r="Q337" s="3">
        <v>58.0</v>
      </c>
      <c r="R337" s="3">
        <v>54.0</v>
      </c>
      <c r="S337" s="3">
        <v>62.0</v>
      </c>
      <c r="T337" s="3">
        <v>58.0</v>
      </c>
      <c r="U337" s="3">
        <v>61.0</v>
      </c>
      <c r="V337" s="3">
        <v>58.0</v>
      </c>
      <c r="W337" s="3">
        <v>68.0</v>
      </c>
      <c r="X337" s="3">
        <v>56.0</v>
      </c>
      <c r="Y337" s="3">
        <v>69.0</v>
      </c>
      <c r="Z337" s="3">
        <v>73.0</v>
      </c>
      <c r="AA337" s="3">
        <v>50.0</v>
      </c>
      <c r="AB337" s="3">
        <v>63.0</v>
      </c>
      <c r="AC337" s="3">
        <v>61.0</v>
      </c>
      <c r="AD337" s="3">
        <v>56.0</v>
      </c>
      <c r="AE337" s="3">
        <v>52.0</v>
      </c>
      <c r="AF337" s="3">
        <v>26.0</v>
      </c>
      <c r="AG337" s="3">
        <v>62.0</v>
      </c>
      <c r="AH337" s="3">
        <v>60.0</v>
      </c>
      <c r="AI337" s="3">
        <v>64.0</v>
      </c>
      <c r="AJ337" s="3">
        <v>70.0</v>
      </c>
      <c r="AK337" s="3">
        <v>70.0</v>
      </c>
      <c r="AL337" s="3">
        <v>62.0</v>
      </c>
      <c r="AM337" s="3">
        <v>52.0</v>
      </c>
      <c r="AN337" s="3">
        <v>66.0</v>
      </c>
    </row>
    <row r="338" ht="14.25" customHeight="1">
      <c r="A338" s="3">
        <v>336.0</v>
      </c>
      <c r="B338" s="3" t="s">
        <v>6812</v>
      </c>
      <c r="C338" s="3">
        <v>34.0</v>
      </c>
      <c r="D338" s="3" t="s">
        <v>6645</v>
      </c>
      <c r="E338" s="3" t="s">
        <v>6646</v>
      </c>
      <c r="F338" s="3" t="s">
        <v>6646</v>
      </c>
      <c r="G338" s="3" t="s">
        <v>6645</v>
      </c>
      <c r="H338" s="3" t="s">
        <v>6645</v>
      </c>
      <c r="I338" s="3" t="s">
        <v>6646</v>
      </c>
      <c r="J338" s="3">
        <v>8.0</v>
      </c>
      <c r="K338" s="3">
        <v>2.0</v>
      </c>
      <c r="L338" s="3">
        <v>0.0</v>
      </c>
      <c r="M338" s="3">
        <v>0.0</v>
      </c>
      <c r="N338" s="3">
        <v>5057.7954</v>
      </c>
      <c r="O338" s="3">
        <v>359.0</v>
      </c>
      <c r="P338" s="3" t="e">
        <v>#N/A</v>
      </c>
      <c r="Q338" s="3">
        <v>55.0</v>
      </c>
      <c r="R338" s="3">
        <v>47.0</v>
      </c>
      <c r="S338" s="3">
        <v>55.0</v>
      </c>
      <c r="T338" s="3">
        <v>46.0</v>
      </c>
      <c r="U338" s="3">
        <v>51.0</v>
      </c>
      <c r="V338" s="3">
        <v>52.0</v>
      </c>
      <c r="W338" s="3">
        <v>57.0</v>
      </c>
      <c r="X338" s="3">
        <v>50.0</v>
      </c>
      <c r="Y338" s="3">
        <v>58.0</v>
      </c>
      <c r="Z338" s="3">
        <v>61.0</v>
      </c>
      <c r="AA338" s="3">
        <v>42.0</v>
      </c>
      <c r="AB338" s="3">
        <v>62.0</v>
      </c>
      <c r="AC338" s="3">
        <v>38.0</v>
      </c>
      <c r="AD338" s="3">
        <v>39.0</v>
      </c>
      <c r="AE338" s="3">
        <v>48.0</v>
      </c>
      <c r="AF338" s="3">
        <v>38.0</v>
      </c>
      <c r="AG338" s="3">
        <v>62.0</v>
      </c>
      <c r="AH338" s="3">
        <v>56.0</v>
      </c>
      <c r="AI338" s="3">
        <v>44.0</v>
      </c>
      <c r="AJ338" s="3">
        <v>78.0</v>
      </c>
      <c r="AK338" s="3">
        <v>48.0</v>
      </c>
      <c r="AL338" s="3">
        <v>60.0</v>
      </c>
      <c r="AM338" s="3">
        <v>66.0</v>
      </c>
      <c r="AN338" s="3">
        <v>31.0</v>
      </c>
    </row>
    <row r="339" ht="14.25" customHeight="1">
      <c r="A339" s="3">
        <v>337.0</v>
      </c>
      <c r="B339" s="3" t="s">
        <v>6813</v>
      </c>
      <c r="C339" s="3">
        <v>27.0</v>
      </c>
      <c r="D339" s="3" t="s">
        <v>6645</v>
      </c>
      <c r="E339" s="3" t="s">
        <v>6646</v>
      </c>
      <c r="F339" s="3" t="s">
        <v>6646</v>
      </c>
      <c r="G339" s="3" t="s">
        <v>6645</v>
      </c>
      <c r="H339" s="3" t="s">
        <v>6645</v>
      </c>
      <c r="I339" s="3" t="s">
        <v>6646</v>
      </c>
      <c r="J339" s="3">
        <v>8.0</v>
      </c>
      <c r="K339" s="3">
        <v>2.0</v>
      </c>
      <c r="L339" s="3">
        <v>0.0</v>
      </c>
      <c r="M339" s="3">
        <v>0.0</v>
      </c>
      <c r="N339" s="3">
        <v>4606.22</v>
      </c>
      <c r="O339" s="3">
        <v>456.0</v>
      </c>
      <c r="P339" s="3" t="e">
        <v>#N/A</v>
      </c>
      <c r="Q339" s="3">
        <v>54.0</v>
      </c>
      <c r="R339" s="3">
        <v>51.0</v>
      </c>
      <c r="S339" s="3">
        <v>54.0</v>
      </c>
      <c r="T339" s="3">
        <v>53.0</v>
      </c>
      <c r="U339" s="3">
        <v>46.0</v>
      </c>
      <c r="V339" s="3">
        <v>46.0</v>
      </c>
      <c r="W339" s="3">
        <v>56.0</v>
      </c>
      <c r="X339" s="3">
        <v>49.0</v>
      </c>
      <c r="Y339" s="3">
        <v>53.0</v>
      </c>
      <c r="Z339" s="3">
        <v>55.0</v>
      </c>
      <c r="AA339" s="3">
        <v>39.0</v>
      </c>
      <c r="AB339" s="3">
        <v>58.0</v>
      </c>
      <c r="AC339" s="3">
        <v>41.0</v>
      </c>
      <c r="AD339" s="3">
        <v>40.0</v>
      </c>
      <c r="AE339" s="3">
        <v>50.0</v>
      </c>
      <c r="AF339" s="3">
        <v>38.0</v>
      </c>
      <c r="AG339" s="3">
        <v>45.0</v>
      </c>
      <c r="AH339" s="3">
        <v>37.0</v>
      </c>
      <c r="AI339" s="3">
        <v>20.0</v>
      </c>
      <c r="AJ339" s="3">
        <v>74.0</v>
      </c>
      <c r="AK339" s="3">
        <v>51.0</v>
      </c>
      <c r="AL339" s="3">
        <v>42.0</v>
      </c>
      <c r="AM339" s="3">
        <v>59.0</v>
      </c>
      <c r="AN339" s="3">
        <v>55.0</v>
      </c>
    </row>
    <row r="340" ht="14.25" customHeight="1">
      <c r="A340" s="3">
        <v>338.0</v>
      </c>
      <c r="B340" s="3" t="s">
        <v>6814</v>
      </c>
      <c r="C340" s="3">
        <v>29.0</v>
      </c>
      <c r="D340" s="3" t="s">
        <v>6645</v>
      </c>
      <c r="E340" s="3" t="s">
        <v>6646</v>
      </c>
      <c r="F340" s="3" t="s">
        <v>6646</v>
      </c>
      <c r="G340" s="3" t="s">
        <v>6645</v>
      </c>
      <c r="H340" s="3" t="s">
        <v>6645</v>
      </c>
      <c r="I340" s="3" t="s">
        <v>6646</v>
      </c>
      <c r="J340" s="3">
        <v>8.0</v>
      </c>
      <c r="K340" s="3">
        <v>2.0</v>
      </c>
      <c r="L340" s="3">
        <v>0.0</v>
      </c>
      <c r="M340" s="3">
        <v>0.0</v>
      </c>
      <c r="N340" s="3">
        <v>4336.15</v>
      </c>
      <c r="O340" s="3">
        <v>445.0</v>
      </c>
      <c r="P340" s="3" t="e">
        <v>#N/A</v>
      </c>
      <c r="Q340" s="3">
        <v>46.0</v>
      </c>
      <c r="R340" s="3">
        <v>47.0</v>
      </c>
      <c r="S340" s="3">
        <v>48.0</v>
      </c>
      <c r="T340" s="3">
        <v>51.0</v>
      </c>
      <c r="U340" s="3">
        <v>48.0</v>
      </c>
      <c r="V340" s="3">
        <v>47.0</v>
      </c>
      <c r="W340" s="3">
        <v>57.0</v>
      </c>
      <c r="X340" s="3">
        <v>53.0</v>
      </c>
      <c r="Y340" s="3">
        <v>54.0</v>
      </c>
      <c r="Z340" s="3">
        <v>55.0</v>
      </c>
      <c r="AA340" s="3">
        <v>47.0</v>
      </c>
      <c r="AB340" s="3">
        <v>55.0</v>
      </c>
      <c r="AC340" s="3">
        <v>47.0</v>
      </c>
      <c r="AD340" s="3">
        <v>41.0</v>
      </c>
      <c r="AE340" s="3">
        <v>39.0</v>
      </c>
      <c r="AF340" s="3">
        <v>49.0</v>
      </c>
      <c r="AG340" s="3">
        <v>53.0</v>
      </c>
      <c r="AH340" s="3">
        <v>42.0</v>
      </c>
      <c r="AI340" s="3">
        <v>61.0</v>
      </c>
      <c r="AJ340" s="3">
        <v>71.0</v>
      </c>
      <c r="AK340" s="3">
        <v>55.0</v>
      </c>
      <c r="AL340" s="3">
        <v>44.0</v>
      </c>
      <c r="AM340" s="3">
        <v>44.0</v>
      </c>
      <c r="AN340" s="3">
        <v>23.0</v>
      </c>
    </row>
    <row r="341" ht="14.25" customHeight="1">
      <c r="A341" s="3">
        <v>339.0</v>
      </c>
      <c r="B341" s="3" t="s">
        <v>6815</v>
      </c>
      <c r="C341" s="3">
        <v>30.0</v>
      </c>
      <c r="D341" s="3" t="s">
        <v>6645</v>
      </c>
      <c r="E341" s="3" t="s">
        <v>6646</v>
      </c>
      <c r="F341" s="3" t="s">
        <v>6646</v>
      </c>
      <c r="G341" s="3" t="s">
        <v>6645</v>
      </c>
      <c r="H341" s="3" t="s">
        <v>6645</v>
      </c>
      <c r="I341" s="3" t="s">
        <v>6645</v>
      </c>
      <c r="J341" s="3">
        <v>8.0</v>
      </c>
      <c r="K341" s="3">
        <v>2.0</v>
      </c>
      <c r="L341" s="3">
        <v>0.0</v>
      </c>
      <c r="M341" s="3">
        <v>0.0</v>
      </c>
      <c r="N341" s="3">
        <v>4715.46</v>
      </c>
      <c r="O341" s="3">
        <v>451.0</v>
      </c>
      <c r="P341" s="3" t="e">
        <v>#N/A</v>
      </c>
      <c r="Q341" s="3">
        <v>55.0</v>
      </c>
      <c r="R341" s="3">
        <v>49.0</v>
      </c>
      <c r="S341" s="3">
        <v>52.0</v>
      </c>
      <c r="T341" s="3">
        <v>55.0</v>
      </c>
      <c r="U341" s="3">
        <v>54.0</v>
      </c>
      <c r="V341" s="3">
        <v>53.0</v>
      </c>
      <c r="W341" s="3">
        <v>57.0</v>
      </c>
      <c r="X341" s="3">
        <v>45.0</v>
      </c>
      <c r="Y341" s="3">
        <v>55.0</v>
      </c>
      <c r="Z341" s="3">
        <v>58.0</v>
      </c>
      <c r="AA341" s="3">
        <v>43.0</v>
      </c>
      <c r="AB341" s="3">
        <v>54.0</v>
      </c>
      <c r="AC341" s="3">
        <v>39.0</v>
      </c>
      <c r="AD341" s="3">
        <v>44.0</v>
      </c>
      <c r="AE341" s="3">
        <v>55.0</v>
      </c>
      <c r="AF341" s="3">
        <v>53.0</v>
      </c>
      <c r="AG341" s="3">
        <v>34.0</v>
      </c>
      <c r="AH341" s="3">
        <v>64.0</v>
      </c>
      <c r="AI341" s="3">
        <v>39.0</v>
      </c>
      <c r="AJ341" s="3">
        <v>76.0</v>
      </c>
      <c r="AK341" s="3">
        <v>51.0</v>
      </c>
      <c r="AL341" s="3">
        <v>59.0</v>
      </c>
      <c r="AM341" s="3">
        <v>48.0</v>
      </c>
      <c r="AN341" s="3">
        <v>53.0</v>
      </c>
    </row>
    <row r="342" ht="14.25" customHeight="1">
      <c r="A342" s="3">
        <v>340.0</v>
      </c>
      <c r="B342" s="3" t="s">
        <v>6816</v>
      </c>
      <c r="C342" s="3">
        <v>33.0</v>
      </c>
      <c r="D342" s="3" t="s">
        <v>6645</v>
      </c>
      <c r="E342" s="3" t="s">
        <v>6646</v>
      </c>
      <c r="F342" s="3" t="s">
        <v>6646</v>
      </c>
      <c r="G342" s="3" t="s">
        <v>6645</v>
      </c>
      <c r="H342" s="3" t="s">
        <v>6645</v>
      </c>
      <c r="I342" s="3" t="s">
        <v>6645</v>
      </c>
      <c r="J342" s="3">
        <v>8.0</v>
      </c>
      <c r="K342" s="3">
        <v>2.0</v>
      </c>
      <c r="L342" s="3">
        <v>0.0</v>
      </c>
      <c r="M342" s="3">
        <v>0.0</v>
      </c>
      <c r="N342" s="3">
        <v>4986.81</v>
      </c>
      <c r="O342" s="3">
        <v>405.0</v>
      </c>
      <c r="P342" s="3" t="e">
        <v>#N/A</v>
      </c>
      <c r="Q342" s="3">
        <v>49.0</v>
      </c>
      <c r="R342" s="3">
        <v>49.0</v>
      </c>
      <c r="S342" s="3">
        <v>54.0</v>
      </c>
      <c r="T342" s="3">
        <v>52.0</v>
      </c>
      <c r="U342" s="3">
        <v>54.0</v>
      </c>
      <c r="V342" s="3">
        <v>50.0</v>
      </c>
      <c r="W342" s="3">
        <v>59.0</v>
      </c>
      <c r="X342" s="3">
        <v>42.0</v>
      </c>
      <c r="Y342" s="3">
        <v>61.0</v>
      </c>
      <c r="Z342" s="3">
        <v>51.0</v>
      </c>
      <c r="AA342" s="3">
        <v>42.0</v>
      </c>
      <c r="AB342" s="3">
        <v>56.0</v>
      </c>
      <c r="AC342" s="3">
        <v>45.0</v>
      </c>
      <c r="AD342" s="3">
        <v>50.0</v>
      </c>
      <c r="AE342" s="3">
        <v>50.0</v>
      </c>
      <c r="AF342" s="3">
        <v>51.0</v>
      </c>
      <c r="AG342" s="3">
        <v>66.0</v>
      </c>
      <c r="AH342" s="3">
        <v>58.0</v>
      </c>
      <c r="AI342" s="3">
        <v>48.0</v>
      </c>
      <c r="AJ342" s="3">
        <v>68.0</v>
      </c>
      <c r="AK342" s="3">
        <v>46.0</v>
      </c>
      <c r="AL342" s="3">
        <v>23.0</v>
      </c>
      <c r="AM342" s="3">
        <v>44.0</v>
      </c>
      <c r="AN342" s="3">
        <v>64.0</v>
      </c>
    </row>
    <row r="343" ht="14.25" customHeight="1">
      <c r="A343" s="3">
        <v>341.0</v>
      </c>
      <c r="B343" s="3" t="s">
        <v>6817</v>
      </c>
      <c r="C343" s="3">
        <v>24.0</v>
      </c>
      <c r="D343" s="3" t="s">
        <v>6645</v>
      </c>
      <c r="E343" s="3" t="s">
        <v>6646</v>
      </c>
      <c r="F343" s="3" t="s">
        <v>6646</v>
      </c>
      <c r="G343" s="3" t="s">
        <v>6645</v>
      </c>
      <c r="H343" s="3" t="s">
        <v>6645</v>
      </c>
      <c r="I343" s="3" t="s">
        <v>6645</v>
      </c>
      <c r="J343" s="3">
        <v>8.0</v>
      </c>
      <c r="K343" s="3">
        <v>1.0</v>
      </c>
      <c r="L343" s="3">
        <v>0.0</v>
      </c>
      <c r="M343" s="3">
        <v>0.0</v>
      </c>
      <c r="N343" s="3">
        <v>2008.9881</v>
      </c>
      <c r="O343" s="3">
        <v>224.0</v>
      </c>
      <c r="P343" s="3" t="e">
        <v>#N/A</v>
      </c>
      <c r="Q343" s="3">
        <v>42.0</v>
      </c>
      <c r="R343" s="3">
        <v>45.0</v>
      </c>
      <c r="S343" s="3">
        <v>43.0</v>
      </c>
      <c r="T343" s="3">
        <v>47.0</v>
      </c>
      <c r="U343" s="3">
        <v>41.0</v>
      </c>
      <c r="V343" s="3">
        <v>42.0</v>
      </c>
      <c r="W343" s="3">
        <v>49.0</v>
      </c>
      <c r="X343" s="3">
        <v>38.0</v>
      </c>
      <c r="Y343" s="3">
        <v>45.0</v>
      </c>
      <c r="Z343" s="3">
        <v>48.0</v>
      </c>
      <c r="AA343" s="3">
        <v>38.0</v>
      </c>
      <c r="AB343" s="3">
        <v>46.0</v>
      </c>
      <c r="AC343" s="3">
        <v>35.0</v>
      </c>
      <c r="AD343" s="3">
        <v>36.0</v>
      </c>
      <c r="AE343" s="3">
        <v>34.0</v>
      </c>
      <c r="AF343" s="3">
        <v>34.0</v>
      </c>
      <c r="AG343" s="3">
        <v>50.0</v>
      </c>
      <c r="AH343" s="3">
        <v>60.0</v>
      </c>
      <c r="AI343" s="3">
        <v>46.0</v>
      </c>
      <c r="AJ343" s="3">
        <v>79.0</v>
      </c>
      <c r="AK343" s="3">
        <v>19.0</v>
      </c>
      <c r="AL343" s="3">
        <v>56.0</v>
      </c>
      <c r="AM343" s="3">
        <v>40.0</v>
      </c>
      <c r="AN343" s="3">
        <v>44.0</v>
      </c>
    </row>
    <row r="344" ht="14.25" customHeight="1">
      <c r="A344" s="3">
        <v>342.0</v>
      </c>
      <c r="B344" s="3" t="s">
        <v>6818</v>
      </c>
      <c r="C344" s="3">
        <v>29.0</v>
      </c>
      <c r="D344" s="3" t="s">
        <v>6645</v>
      </c>
      <c r="E344" s="3" t="s">
        <v>6646</v>
      </c>
      <c r="F344" s="3" t="s">
        <v>6646</v>
      </c>
      <c r="G344" s="3" t="s">
        <v>6645</v>
      </c>
      <c r="H344" s="3" t="s">
        <v>6645</v>
      </c>
      <c r="I344" s="3" t="s">
        <v>6645</v>
      </c>
      <c r="J344" s="3">
        <v>8.0</v>
      </c>
      <c r="K344" s="3">
        <v>1.0</v>
      </c>
      <c r="L344" s="3">
        <v>0.0</v>
      </c>
      <c r="M344" s="3">
        <v>0.0</v>
      </c>
      <c r="N344" s="3">
        <v>1837.9473</v>
      </c>
      <c r="O344" s="3">
        <v>198.0</v>
      </c>
      <c r="P344" s="3" t="e">
        <v>#N/A</v>
      </c>
      <c r="Q344" s="3">
        <v>38.0</v>
      </c>
      <c r="R344" s="3">
        <v>39.0</v>
      </c>
      <c r="S344" s="3">
        <v>42.0</v>
      </c>
      <c r="T344" s="3">
        <v>45.0</v>
      </c>
      <c r="U344" s="3">
        <v>41.0</v>
      </c>
      <c r="V344" s="3">
        <v>47.0</v>
      </c>
      <c r="W344" s="3">
        <v>45.0</v>
      </c>
      <c r="X344" s="3">
        <v>34.0</v>
      </c>
      <c r="Y344" s="3">
        <v>56.0</v>
      </c>
      <c r="Z344" s="3">
        <v>51.0</v>
      </c>
      <c r="AA344" s="3">
        <v>39.0</v>
      </c>
      <c r="AB344" s="3">
        <v>45.0</v>
      </c>
      <c r="AC344" s="3">
        <v>37.0</v>
      </c>
      <c r="AD344" s="3">
        <v>31.0</v>
      </c>
      <c r="AE344" s="3">
        <v>36.0</v>
      </c>
      <c r="AF344" s="3">
        <v>52.0</v>
      </c>
      <c r="AG344" s="3">
        <v>36.0</v>
      </c>
      <c r="AH344" s="3">
        <v>26.0</v>
      </c>
      <c r="AI344" s="3">
        <v>46.0</v>
      </c>
      <c r="AJ344" s="3">
        <v>74.0</v>
      </c>
      <c r="AK344" s="3">
        <v>62.0</v>
      </c>
      <c r="AL344" s="3">
        <v>60.0</v>
      </c>
      <c r="AM344" s="3">
        <v>50.0</v>
      </c>
      <c r="AN344" s="3">
        <v>60.0</v>
      </c>
    </row>
    <row r="345" ht="14.25" customHeight="1">
      <c r="A345" s="3">
        <v>343.0</v>
      </c>
      <c r="B345" s="3" t="s">
        <v>6819</v>
      </c>
      <c r="C345" s="3">
        <v>27.0</v>
      </c>
      <c r="D345" s="3" t="s">
        <v>6645</v>
      </c>
      <c r="E345" s="3" t="s">
        <v>6646</v>
      </c>
      <c r="F345" s="3" t="s">
        <v>6646</v>
      </c>
      <c r="G345" s="3" t="s">
        <v>6645</v>
      </c>
      <c r="H345" s="3" t="s">
        <v>6645</v>
      </c>
      <c r="I345" s="3" t="s">
        <v>6646</v>
      </c>
      <c r="J345" s="3">
        <v>8.0</v>
      </c>
      <c r="K345" s="3">
        <v>1.0</v>
      </c>
      <c r="L345" s="3">
        <v>0.0</v>
      </c>
      <c r="M345" s="3">
        <v>0.0</v>
      </c>
      <c r="N345" s="3">
        <v>1933.814</v>
      </c>
      <c r="O345" s="3">
        <v>201.0</v>
      </c>
      <c r="P345" s="3" t="e">
        <v>#N/A</v>
      </c>
      <c r="Q345" s="3">
        <v>45.0</v>
      </c>
      <c r="R345" s="3">
        <v>39.0</v>
      </c>
      <c r="S345" s="3">
        <v>41.0</v>
      </c>
      <c r="T345" s="3">
        <v>44.0</v>
      </c>
      <c r="U345" s="3">
        <v>45.0</v>
      </c>
      <c r="V345" s="3">
        <v>41.0</v>
      </c>
      <c r="W345" s="3">
        <v>49.0</v>
      </c>
      <c r="X345" s="3">
        <v>42.0</v>
      </c>
      <c r="Y345" s="3">
        <v>48.0</v>
      </c>
      <c r="Z345" s="3">
        <v>49.0</v>
      </c>
      <c r="AA345" s="3">
        <v>33.0</v>
      </c>
      <c r="AB345" s="3">
        <v>54.0</v>
      </c>
      <c r="AC345" s="3">
        <v>39.0</v>
      </c>
      <c r="AD345" s="3">
        <v>38.0</v>
      </c>
      <c r="AE345" s="3">
        <v>37.0</v>
      </c>
      <c r="AF345" s="3">
        <v>36.0</v>
      </c>
      <c r="AG345" s="3">
        <v>46.0</v>
      </c>
      <c r="AH345" s="3">
        <v>20.0</v>
      </c>
      <c r="AI345" s="3">
        <v>50.0</v>
      </c>
      <c r="AJ345" s="3">
        <v>64.0</v>
      </c>
      <c r="AK345" s="3">
        <v>36.0</v>
      </c>
      <c r="AL345" s="3">
        <v>54.0</v>
      </c>
      <c r="AM345" s="3">
        <v>62.0</v>
      </c>
      <c r="AN345" s="3">
        <v>36.0</v>
      </c>
    </row>
    <row r="346" ht="14.25" customHeight="1">
      <c r="A346" s="3">
        <v>344.0</v>
      </c>
      <c r="B346" s="3" t="s">
        <v>6820</v>
      </c>
      <c r="C346" s="3">
        <v>21.0</v>
      </c>
      <c r="D346" s="3" t="s">
        <v>6645</v>
      </c>
      <c r="E346" s="3" t="s">
        <v>6646</v>
      </c>
      <c r="F346" s="3" t="s">
        <v>6646</v>
      </c>
      <c r="G346" s="3" t="s">
        <v>6645</v>
      </c>
      <c r="H346" s="3" t="s">
        <v>6645</v>
      </c>
      <c r="I346" s="3" t="s">
        <v>6646</v>
      </c>
      <c r="J346" s="3">
        <v>8.0</v>
      </c>
      <c r="K346" s="3">
        <v>1.0</v>
      </c>
      <c r="L346" s="3">
        <v>0.0</v>
      </c>
      <c r="M346" s="3">
        <v>0.0</v>
      </c>
      <c r="N346" s="3">
        <v>1918.059</v>
      </c>
      <c r="O346" s="3">
        <v>166.0</v>
      </c>
      <c r="P346" s="3" t="e">
        <v>#N/A</v>
      </c>
      <c r="Q346" s="3">
        <v>38.0</v>
      </c>
      <c r="R346" s="3">
        <v>43.0</v>
      </c>
      <c r="S346" s="3">
        <v>42.0</v>
      </c>
      <c r="T346" s="3">
        <v>39.0</v>
      </c>
      <c r="U346" s="3">
        <v>40.0</v>
      </c>
      <c r="V346" s="3">
        <v>46.0</v>
      </c>
      <c r="W346" s="3">
        <v>52.0</v>
      </c>
      <c r="X346" s="3">
        <v>32.0</v>
      </c>
      <c r="Y346" s="3">
        <v>49.0</v>
      </c>
      <c r="Z346" s="3">
        <v>46.0</v>
      </c>
      <c r="AA346" s="3">
        <v>36.0</v>
      </c>
      <c r="AB346" s="3">
        <v>46.0</v>
      </c>
      <c r="AC346" s="3">
        <v>47.0</v>
      </c>
      <c r="AD346" s="3">
        <v>42.0</v>
      </c>
      <c r="AE346" s="3">
        <v>33.0</v>
      </c>
      <c r="AF346" s="3">
        <v>58.0</v>
      </c>
      <c r="AG346" s="3">
        <v>34.0</v>
      </c>
      <c r="AH346" s="3">
        <v>38.0</v>
      </c>
      <c r="AI346" s="3">
        <v>56.0</v>
      </c>
      <c r="AJ346" s="3">
        <v>74.0</v>
      </c>
      <c r="AK346" s="3">
        <v>34.0</v>
      </c>
      <c r="AL346" s="3">
        <v>44.0</v>
      </c>
      <c r="AM346" s="3">
        <v>8.0</v>
      </c>
      <c r="AN346" s="3">
        <v>54.0</v>
      </c>
    </row>
    <row r="347" ht="14.25" customHeight="1">
      <c r="A347" s="3">
        <v>345.0</v>
      </c>
      <c r="B347" s="3" t="s">
        <v>6821</v>
      </c>
      <c r="C347" s="3">
        <v>24.0</v>
      </c>
      <c r="D347" s="3" t="s">
        <v>6645</v>
      </c>
      <c r="E347" s="3" t="s">
        <v>6646</v>
      </c>
      <c r="F347" s="3" t="s">
        <v>6646</v>
      </c>
      <c r="G347" s="3" t="s">
        <v>6645</v>
      </c>
      <c r="H347" s="3" t="s">
        <v>6645</v>
      </c>
      <c r="I347" s="3" t="s">
        <v>6646</v>
      </c>
      <c r="J347" s="3">
        <v>8.0</v>
      </c>
      <c r="K347" s="3">
        <v>1.0</v>
      </c>
      <c r="L347" s="3">
        <v>0.0</v>
      </c>
      <c r="M347" s="3">
        <v>0.0</v>
      </c>
      <c r="N347" s="3">
        <v>1814.3394</v>
      </c>
      <c r="O347" s="3">
        <v>204.0</v>
      </c>
      <c r="P347" s="3" t="e">
        <v>#N/A</v>
      </c>
      <c r="Q347" s="3">
        <v>47.0</v>
      </c>
      <c r="R347" s="3">
        <v>38.0</v>
      </c>
      <c r="S347" s="3">
        <v>38.0</v>
      </c>
      <c r="T347" s="3">
        <v>40.0</v>
      </c>
      <c r="U347" s="3">
        <v>38.0</v>
      </c>
      <c r="V347" s="3">
        <v>47.0</v>
      </c>
      <c r="W347" s="3">
        <v>53.0</v>
      </c>
      <c r="X347" s="3">
        <v>31.0</v>
      </c>
      <c r="Y347" s="3">
        <v>50.0</v>
      </c>
      <c r="Z347" s="3">
        <v>48.0</v>
      </c>
      <c r="AA347" s="3">
        <v>33.0</v>
      </c>
      <c r="AB347" s="3">
        <v>47.0</v>
      </c>
      <c r="AC347" s="3">
        <v>43.0</v>
      </c>
      <c r="AD347" s="3">
        <v>42.0</v>
      </c>
      <c r="AE347" s="3">
        <v>41.0</v>
      </c>
      <c r="AF347" s="3">
        <v>19.0</v>
      </c>
      <c r="AG347" s="3">
        <v>60.0</v>
      </c>
      <c r="AH347" s="3">
        <v>44.0</v>
      </c>
      <c r="AI347" s="3">
        <v>62.0</v>
      </c>
      <c r="AJ347" s="3">
        <v>73.0</v>
      </c>
      <c r="AK347" s="3">
        <v>34.0</v>
      </c>
      <c r="AL347" s="3">
        <v>60.0</v>
      </c>
      <c r="AM347" s="3">
        <v>46.0</v>
      </c>
      <c r="AN347" s="3">
        <v>44.0</v>
      </c>
    </row>
    <row r="348" ht="14.25" customHeight="1">
      <c r="A348" s="3">
        <v>346.0</v>
      </c>
      <c r="B348" s="3" t="s">
        <v>6822</v>
      </c>
      <c r="C348" s="3">
        <v>15.0</v>
      </c>
      <c r="D348" s="3" t="s">
        <v>6645</v>
      </c>
      <c r="E348" s="3" t="s">
        <v>6646</v>
      </c>
      <c r="F348" s="3" t="s">
        <v>6646</v>
      </c>
      <c r="G348" s="3" t="s">
        <v>6645</v>
      </c>
      <c r="H348" s="3" t="s">
        <v>6645</v>
      </c>
      <c r="I348" s="3" t="s">
        <v>6645</v>
      </c>
      <c r="J348" s="3">
        <v>8.0</v>
      </c>
      <c r="K348" s="3">
        <v>0.0</v>
      </c>
      <c r="L348" s="3">
        <v>0.0</v>
      </c>
      <c r="M348" s="3">
        <v>0.0</v>
      </c>
      <c r="N348" s="3">
        <v>576.22</v>
      </c>
      <c r="O348" s="3">
        <v>116.0</v>
      </c>
      <c r="P348" s="3" t="e">
        <v>#N/A</v>
      </c>
      <c r="Q348" s="3">
        <v>30.0</v>
      </c>
      <c r="R348" s="3">
        <v>33.0</v>
      </c>
      <c r="S348" s="3">
        <v>36.0</v>
      </c>
      <c r="T348" s="3">
        <v>36.0</v>
      </c>
      <c r="U348" s="3">
        <v>30.0</v>
      </c>
      <c r="V348" s="3">
        <v>36.0</v>
      </c>
      <c r="W348" s="3">
        <v>45.0</v>
      </c>
      <c r="X348" s="3">
        <v>22.0</v>
      </c>
      <c r="Y348" s="3">
        <v>40.0</v>
      </c>
      <c r="Z348" s="3">
        <v>45.0</v>
      </c>
      <c r="AA348" s="3">
        <v>30.0</v>
      </c>
      <c r="AB348" s="3">
        <v>40.0</v>
      </c>
      <c r="AC348" s="3">
        <v>32.0</v>
      </c>
      <c r="AD348" s="3">
        <v>31.0</v>
      </c>
      <c r="AE348" s="3">
        <v>22.0</v>
      </c>
      <c r="AF348" s="3">
        <v>48.0</v>
      </c>
      <c r="AG348" s="3">
        <v>40.0</v>
      </c>
      <c r="AH348" s="3">
        <v>39.0</v>
      </c>
      <c r="AI348" s="3">
        <v>23.0</v>
      </c>
      <c r="AJ348" s="3">
        <v>71.0</v>
      </c>
      <c r="AK348" s="3">
        <v>47.0</v>
      </c>
      <c r="AL348" s="3">
        <v>41.0</v>
      </c>
      <c r="AM348" s="3">
        <v>37.0</v>
      </c>
      <c r="AN348" s="3">
        <v>37.0</v>
      </c>
    </row>
    <row r="349" ht="14.25" customHeight="1">
      <c r="A349" s="3">
        <v>347.0</v>
      </c>
      <c r="B349" s="3" t="s">
        <v>6823</v>
      </c>
      <c r="C349" s="3">
        <v>16.0</v>
      </c>
      <c r="D349" s="3" t="s">
        <v>6645</v>
      </c>
      <c r="E349" s="3" t="s">
        <v>6646</v>
      </c>
      <c r="F349" s="3" t="s">
        <v>6646</v>
      </c>
      <c r="G349" s="3" t="s">
        <v>6645</v>
      </c>
      <c r="H349" s="3" t="s">
        <v>6645</v>
      </c>
      <c r="I349" s="3" t="s">
        <v>6646</v>
      </c>
      <c r="J349" s="3">
        <v>8.0</v>
      </c>
      <c r="K349" s="3">
        <v>0.0</v>
      </c>
      <c r="L349" s="3">
        <v>0.0</v>
      </c>
      <c r="M349" s="3">
        <v>0.0</v>
      </c>
      <c r="N349" s="3">
        <v>554.81323</v>
      </c>
      <c r="O349" s="3">
        <v>119.0</v>
      </c>
      <c r="P349" s="3" t="e">
        <v>#N/A</v>
      </c>
      <c r="Q349" s="3">
        <v>30.0</v>
      </c>
      <c r="R349" s="3">
        <v>31.0</v>
      </c>
      <c r="S349" s="3">
        <v>31.0</v>
      </c>
      <c r="T349" s="3">
        <v>35.0</v>
      </c>
      <c r="U349" s="3">
        <v>35.0</v>
      </c>
      <c r="V349" s="3">
        <v>34.0</v>
      </c>
      <c r="W349" s="3">
        <v>37.0</v>
      </c>
      <c r="X349" s="3">
        <v>37.0</v>
      </c>
      <c r="Y349" s="3">
        <v>43.0</v>
      </c>
      <c r="Z349" s="3">
        <v>47.0</v>
      </c>
      <c r="AA349" s="3">
        <v>23.0</v>
      </c>
      <c r="AB349" s="3">
        <v>46.0</v>
      </c>
      <c r="AC349" s="3">
        <v>33.0</v>
      </c>
      <c r="AD349" s="3">
        <v>24.0</v>
      </c>
      <c r="AE349" s="3">
        <v>23.0</v>
      </c>
      <c r="AF349" s="3">
        <v>56.0</v>
      </c>
      <c r="AG349" s="3">
        <v>55.0</v>
      </c>
      <c r="AH349" s="3">
        <v>38.0</v>
      </c>
      <c r="AI349" s="3">
        <v>49.0</v>
      </c>
      <c r="AJ349" s="3">
        <v>68.0</v>
      </c>
      <c r="AK349" s="3">
        <v>46.0</v>
      </c>
      <c r="AL349" s="3">
        <v>47.0</v>
      </c>
      <c r="AM349" s="3">
        <v>23.0</v>
      </c>
      <c r="AN349" s="3">
        <v>48.0</v>
      </c>
    </row>
    <row r="350" ht="14.25" customHeight="1">
      <c r="A350" s="3">
        <v>348.0</v>
      </c>
      <c r="B350" s="3" t="s">
        <v>6824</v>
      </c>
      <c r="C350" s="3">
        <v>18.0</v>
      </c>
      <c r="D350" s="3" t="s">
        <v>6645</v>
      </c>
      <c r="E350" s="3" t="s">
        <v>6646</v>
      </c>
      <c r="F350" s="3" t="s">
        <v>6646</v>
      </c>
      <c r="G350" s="3" t="s">
        <v>6645</v>
      </c>
      <c r="H350" s="3" t="s">
        <v>6645</v>
      </c>
      <c r="I350" s="3" t="s">
        <v>6645</v>
      </c>
      <c r="J350" s="3">
        <v>8.0</v>
      </c>
      <c r="K350" s="3">
        <v>0.0</v>
      </c>
      <c r="L350" s="3">
        <v>0.0</v>
      </c>
      <c r="M350" s="3">
        <v>0.0</v>
      </c>
      <c r="N350" s="3">
        <v>622.899</v>
      </c>
      <c r="O350" s="3">
        <v>86.0</v>
      </c>
      <c r="P350" s="3" t="e">
        <v>#N/A</v>
      </c>
      <c r="Q350" s="3">
        <v>33.0</v>
      </c>
      <c r="R350" s="3">
        <v>30.0</v>
      </c>
      <c r="S350" s="3">
        <v>31.0</v>
      </c>
      <c r="T350" s="3">
        <v>36.0</v>
      </c>
      <c r="U350" s="3">
        <v>35.0</v>
      </c>
      <c r="V350" s="3">
        <v>37.0</v>
      </c>
      <c r="W350" s="3">
        <v>37.0</v>
      </c>
      <c r="X350" s="3">
        <v>39.0</v>
      </c>
      <c r="Y350" s="3">
        <v>45.0</v>
      </c>
      <c r="Z350" s="3">
        <v>41.0</v>
      </c>
      <c r="AA350" s="3">
        <v>26.0</v>
      </c>
      <c r="AB350" s="3">
        <v>39.0</v>
      </c>
      <c r="AC350" s="3">
        <v>29.0</v>
      </c>
      <c r="AD350" s="3">
        <v>29.0</v>
      </c>
      <c r="AE350" s="3">
        <v>27.0</v>
      </c>
      <c r="AF350" s="3">
        <v>49.0</v>
      </c>
      <c r="AG350" s="3">
        <v>48.0</v>
      </c>
      <c r="AH350" s="3">
        <v>57.0</v>
      </c>
      <c r="AI350" s="3">
        <v>45.0</v>
      </c>
      <c r="AJ350" s="3">
        <v>65.0</v>
      </c>
      <c r="AK350" s="3">
        <v>30.0</v>
      </c>
      <c r="AL350" s="3">
        <v>48.0</v>
      </c>
      <c r="AM350" s="3">
        <v>1.0</v>
      </c>
      <c r="AN350" s="3">
        <v>33.0</v>
      </c>
    </row>
    <row r="351" ht="14.25" customHeight="1">
      <c r="A351" s="3">
        <v>349.0</v>
      </c>
      <c r="B351" s="3" t="s">
        <v>6825</v>
      </c>
      <c r="C351" s="3">
        <v>23.0</v>
      </c>
      <c r="D351" s="3" t="s">
        <v>6645</v>
      </c>
      <c r="E351" s="3" t="s">
        <v>6646</v>
      </c>
      <c r="F351" s="3" t="s">
        <v>6646</v>
      </c>
      <c r="G351" s="3" t="s">
        <v>6645</v>
      </c>
      <c r="H351" s="3" t="s">
        <v>6645</v>
      </c>
      <c r="I351" s="3" t="s">
        <v>6646</v>
      </c>
      <c r="J351" s="3">
        <v>8.0</v>
      </c>
      <c r="K351" s="3">
        <v>0.0</v>
      </c>
      <c r="L351" s="3">
        <v>0.0</v>
      </c>
      <c r="M351" s="3">
        <v>0.0</v>
      </c>
      <c r="N351" s="3">
        <v>555.69366</v>
      </c>
      <c r="O351" s="3">
        <v>104.0</v>
      </c>
      <c r="P351" s="3" t="e">
        <v>#N/A</v>
      </c>
      <c r="Q351" s="3">
        <v>32.0</v>
      </c>
      <c r="R351" s="3">
        <v>39.0</v>
      </c>
      <c r="S351" s="3">
        <v>30.0</v>
      </c>
      <c r="T351" s="3">
        <v>33.0</v>
      </c>
      <c r="U351" s="3">
        <v>30.0</v>
      </c>
      <c r="V351" s="3">
        <v>38.0</v>
      </c>
      <c r="W351" s="3">
        <v>42.0</v>
      </c>
      <c r="X351" s="3">
        <v>25.0</v>
      </c>
      <c r="Y351" s="3">
        <v>39.0</v>
      </c>
      <c r="Z351" s="3">
        <v>38.0</v>
      </c>
      <c r="AA351" s="3">
        <v>25.0</v>
      </c>
      <c r="AB351" s="3">
        <v>36.0</v>
      </c>
      <c r="AC351" s="3">
        <v>24.0</v>
      </c>
      <c r="AD351" s="3">
        <v>38.0</v>
      </c>
      <c r="AE351" s="3">
        <v>31.0</v>
      </c>
      <c r="AF351" s="3">
        <v>53.0</v>
      </c>
      <c r="AG351" s="3">
        <v>11.0</v>
      </c>
      <c r="AH351" s="3">
        <v>46.0</v>
      </c>
      <c r="AI351" s="3">
        <v>35.0</v>
      </c>
      <c r="AJ351" s="3">
        <v>71.0</v>
      </c>
      <c r="AK351" s="3">
        <v>44.0</v>
      </c>
      <c r="AL351" s="3">
        <v>47.0</v>
      </c>
      <c r="AM351" s="3">
        <v>33.0</v>
      </c>
      <c r="AN351" s="3">
        <v>56.0</v>
      </c>
    </row>
    <row r="352" ht="14.25" customHeight="1">
      <c r="A352" s="3">
        <v>350.0</v>
      </c>
      <c r="B352" s="3" t="s">
        <v>6826</v>
      </c>
      <c r="C352" s="3">
        <v>21.0</v>
      </c>
      <c r="D352" s="3" t="s">
        <v>6645</v>
      </c>
      <c r="E352" s="3" t="s">
        <v>6646</v>
      </c>
      <c r="F352" s="3" t="s">
        <v>6646</v>
      </c>
      <c r="G352" s="3" t="s">
        <v>6645</v>
      </c>
      <c r="H352" s="3" t="s">
        <v>6645</v>
      </c>
      <c r="I352" s="3" t="s">
        <v>6646</v>
      </c>
      <c r="J352" s="3">
        <v>8.0</v>
      </c>
      <c r="K352" s="3">
        <v>0.0</v>
      </c>
      <c r="L352" s="3">
        <v>0.0</v>
      </c>
      <c r="M352" s="3">
        <v>0.0</v>
      </c>
      <c r="N352" s="3">
        <v>578.06</v>
      </c>
      <c r="O352" s="3">
        <v>109.0</v>
      </c>
      <c r="P352" s="3" t="e">
        <v>#N/A</v>
      </c>
      <c r="Q352" s="3">
        <v>31.0</v>
      </c>
      <c r="R352" s="3">
        <v>33.0</v>
      </c>
      <c r="S352" s="3">
        <v>39.0</v>
      </c>
      <c r="T352" s="3">
        <v>33.0</v>
      </c>
      <c r="U352" s="3">
        <v>30.0</v>
      </c>
      <c r="V352" s="3">
        <v>39.0</v>
      </c>
      <c r="W352" s="3">
        <v>46.0</v>
      </c>
      <c r="X352" s="3">
        <v>28.0</v>
      </c>
      <c r="Y352" s="3">
        <v>44.0</v>
      </c>
      <c r="Z352" s="3">
        <v>41.0</v>
      </c>
      <c r="AA352" s="3">
        <v>38.0</v>
      </c>
      <c r="AB352" s="3">
        <v>48.0</v>
      </c>
      <c r="AC352" s="3">
        <v>24.0</v>
      </c>
      <c r="AD352" s="3">
        <v>30.0</v>
      </c>
      <c r="AE352" s="3">
        <v>29.0</v>
      </c>
      <c r="AF352" s="3">
        <v>34.0</v>
      </c>
      <c r="AG352" s="3">
        <v>44.0</v>
      </c>
      <c r="AH352" s="3">
        <v>31.0</v>
      </c>
      <c r="AI352" s="3">
        <v>30.0</v>
      </c>
      <c r="AJ352" s="3">
        <v>63.0</v>
      </c>
      <c r="AK352" s="3">
        <v>40.0</v>
      </c>
      <c r="AL352" s="3">
        <v>13.0</v>
      </c>
      <c r="AM352" s="3">
        <v>47.0</v>
      </c>
      <c r="AN352" s="3">
        <v>38.0</v>
      </c>
    </row>
    <row r="353" ht="14.25" customHeight="1">
      <c r="A353" s="3">
        <v>351.0</v>
      </c>
      <c r="B353" s="3" t="s">
        <v>6827</v>
      </c>
      <c r="C353" s="3">
        <v>21.0</v>
      </c>
      <c r="D353" s="3" t="s">
        <v>6645</v>
      </c>
      <c r="E353" s="3" t="s">
        <v>6646</v>
      </c>
      <c r="F353" s="3" t="s">
        <v>6646</v>
      </c>
      <c r="G353" s="3" t="s">
        <v>6645</v>
      </c>
      <c r="H353" s="3" t="s">
        <v>6645</v>
      </c>
      <c r="I353" s="3" t="s">
        <v>6645</v>
      </c>
      <c r="J353" s="3">
        <v>8.0</v>
      </c>
      <c r="K353" s="3">
        <v>0.0</v>
      </c>
      <c r="L353" s="3">
        <v>0.0</v>
      </c>
      <c r="M353" s="3">
        <v>0.0</v>
      </c>
      <c r="N353" s="3">
        <v>576.44</v>
      </c>
      <c r="O353" s="3">
        <v>81.0</v>
      </c>
      <c r="P353" s="3" t="e">
        <v>#N/A</v>
      </c>
      <c r="Q353" s="3">
        <v>38.0</v>
      </c>
      <c r="R353" s="3">
        <v>39.0</v>
      </c>
      <c r="S353" s="3">
        <v>37.0</v>
      </c>
      <c r="T353" s="3">
        <v>37.0</v>
      </c>
      <c r="U353" s="3">
        <v>39.0</v>
      </c>
      <c r="V353" s="3">
        <v>30.0</v>
      </c>
      <c r="W353" s="3">
        <v>38.0</v>
      </c>
      <c r="X353" s="3">
        <v>34.0</v>
      </c>
      <c r="Y353" s="3">
        <v>37.0</v>
      </c>
      <c r="Z353" s="3">
        <v>36.0</v>
      </c>
      <c r="AA353" s="3">
        <v>24.0</v>
      </c>
      <c r="AB353" s="3">
        <v>48.0</v>
      </c>
      <c r="AC353" s="3">
        <v>31.0</v>
      </c>
      <c r="AD353" s="3">
        <v>31.0</v>
      </c>
      <c r="AE353" s="3">
        <v>30.0</v>
      </c>
      <c r="AF353" s="3">
        <v>47.0</v>
      </c>
      <c r="AG353" s="3">
        <v>13.0</v>
      </c>
      <c r="AH353" s="3">
        <v>42.0</v>
      </c>
      <c r="AI353" s="3">
        <v>47.0</v>
      </c>
      <c r="AJ353" s="3">
        <v>66.0</v>
      </c>
      <c r="AK353" s="3">
        <v>41.0</v>
      </c>
      <c r="AL353" s="3">
        <v>31.0</v>
      </c>
      <c r="AM353" s="3">
        <v>57.0</v>
      </c>
      <c r="AN353" s="3">
        <v>50.0</v>
      </c>
    </row>
    <row r="354" ht="14.25" customHeight="1">
      <c r="A354" s="3">
        <v>352.0</v>
      </c>
      <c r="B354" s="3" t="s">
        <v>6828</v>
      </c>
      <c r="C354" s="3">
        <v>44.0</v>
      </c>
      <c r="D354" s="3" t="s">
        <v>6645</v>
      </c>
      <c r="E354" s="3" t="s">
        <v>6646</v>
      </c>
      <c r="F354" s="3" t="s">
        <v>6646</v>
      </c>
      <c r="G354" s="3" t="s">
        <v>6645</v>
      </c>
      <c r="H354" s="3" t="s">
        <v>6645</v>
      </c>
      <c r="I354" s="3" t="s">
        <v>6646</v>
      </c>
      <c r="J354" s="3">
        <v>9.0</v>
      </c>
      <c r="K354" s="3">
        <v>4.0</v>
      </c>
      <c r="L354" s="3">
        <v>0.0</v>
      </c>
      <c r="M354" s="3">
        <v>0.0</v>
      </c>
      <c r="N354" s="3">
        <v>15218.938</v>
      </c>
      <c r="O354" s="3">
        <v>1541.0</v>
      </c>
      <c r="P354" s="3" t="e">
        <v>#N/A</v>
      </c>
      <c r="Q354" s="3">
        <v>63.0</v>
      </c>
      <c r="R354" s="3">
        <v>78.0</v>
      </c>
      <c r="S354" s="3">
        <v>79.0</v>
      </c>
      <c r="T354" s="3">
        <v>78.0</v>
      </c>
      <c r="U354" s="3">
        <v>63.0</v>
      </c>
      <c r="V354" s="3">
        <v>65.0</v>
      </c>
      <c r="W354" s="3">
        <v>95.0</v>
      </c>
      <c r="X354" s="3">
        <v>81.0</v>
      </c>
      <c r="Y354" s="3">
        <v>75.0</v>
      </c>
      <c r="Z354" s="3">
        <v>59.0</v>
      </c>
      <c r="AA354" s="3">
        <v>85.0</v>
      </c>
      <c r="AB354" s="3">
        <v>59.0</v>
      </c>
      <c r="AC354" s="3">
        <v>61.0</v>
      </c>
      <c r="AD354" s="3">
        <v>82.0</v>
      </c>
      <c r="AE354" s="3">
        <v>76.0</v>
      </c>
      <c r="AF354" s="3">
        <v>38.0</v>
      </c>
      <c r="AG354" s="3">
        <v>62.0</v>
      </c>
      <c r="AH354" s="3">
        <v>78.0</v>
      </c>
      <c r="AI354" s="3">
        <v>78.0</v>
      </c>
      <c r="AJ354" s="3">
        <v>65.0</v>
      </c>
      <c r="AK354" s="3">
        <v>71.0</v>
      </c>
      <c r="AL354" s="3">
        <v>38.0</v>
      </c>
      <c r="AM354" s="3">
        <v>57.0</v>
      </c>
      <c r="AN354" s="3">
        <v>57.0</v>
      </c>
    </row>
    <row r="355" ht="14.25" customHeight="1">
      <c r="A355" s="3">
        <v>353.0</v>
      </c>
      <c r="B355" s="3" t="s">
        <v>6829</v>
      </c>
      <c r="C355" s="3">
        <v>36.0</v>
      </c>
      <c r="D355" s="3" t="s">
        <v>6645</v>
      </c>
      <c r="E355" s="3" t="s">
        <v>6646</v>
      </c>
      <c r="F355" s="3" t="s">
        <v>6646</v>
      </c>
      <c r="G355" s="3" t="s">
        <v>6645</v>
      </c>
      <c r="H355" s="3" t="s">
        <v>6645</v>
      </c>
      <c r="I355" s="3" t="s">
        <v>6645</v>
      </c>
      <c r="J355" s="3">
        <v>9.0</v>
      </c>
      <c r="K355" s="3">
        <v>4.0</v>
      </c>
      <c r="L355" s="3">
        <v>0.0</v>
      </c>
      <c r="M355" s="3">
        <v>0.0</v>
      </c>
      <c r="N355" s="3">
        <v>16048.5</v>
      </c>
      <c r="O355" s="3">
        <v>1324.0</v>
      </c>
      <c r="P355" s="3" t="e">
        <v>#N/A</v>
      </c>
      <c r="Q355" s="3">
        <v>71.0</v>
      </c>
      <c r="R355" s="3">
        <v>79.0</v>
      </c>
      <c r="S355" s="3">
        <v>81.0</v>
      </c>
      <c r="T355" s="3">
        <v>82.0</v>
      </c>
      <c r="U355" s="3">
        <v>70.0</v>
      </c>
      <c r="V355" s="3">
        <v>70.0</v>
      </c>
      <c r="W355" s="3">
        <v>93.0</v>
      </c>
      <c r="X355" s="3">
        <v>82.0</v>
      </c>
      <c r="Y355" s="3">
        <v>66.0</v>
      </c>
      <c r="Z355" s="3">
        <v>58.0</v>
      </c>
      <c r="AA355" s="3">
        <v>86.0</v>
      </c>
      <c r="AB355" s="3">
        <v>58.0</v>
      </c>
      <c r="AC355" s="3">
        <v>65.0</v>
      </c>
      <c r="AD355" s="3">
        <v>86.0</v>
      </c>
      <c r="AE355" s="3">
        <v>80.0</v>
      </c>
      <c r="AF355" s="3">
        <v>73.0</v>
      </c>
      <c r="AG355" s="3">
        <v>58.0</v>
      </c>
      <c r="AH355" s="3">
        <v>75.0</v>
      </c>
      <c r="AI355" s="3">
        <v>87.0</v>
      </c>
      <c r="AJ355" s="3">
        <v>56.0</v>
      </c>
      <c r="AK355" s="3">
        <v>72.0</v>
      </c>
      <c r="AL355" s="3">
        <v>44.0</v>
      </c>
      <c r="AM355" s="3">
        <v>42.0</v>
      </c>
      <c r="AN355" s="3">
        <v>45.0</v>
      </c>
    </row>
    <row r="356" ht="14.25" customHeight="1">
      <c r="A356" s="3">
        <v>354.0</v>
      </c>
      <c r="B356" s="3" t="s">
        <v>6830</v>
      </c>
      <c r="C356" s="3">
        <v>35.0</v>
      </c>
      <c r="D356" s="3" t="s">
        <v>6645</v>
      </c>
      <c r="E356" s="3" t="s">
        <v>6646</v>
      </c>
      <c r="F356" s="3" t="s">
        <v>6646</v>
      </c>
      <c r="G356" s="3" t="s">
        <v>6645</v>
      </c>
      <c r="H356" s="3" t="s">
        <v>6645</v>
      </c>
      <c r="I356" s="3" t="s">
        <v>6645</v>
      </c>
      <c r="J356" s="3">
        <v>9.0</v>
      </c>
      <c r="K356" s="3">
        <v>4.0</v>
      </c>
      <c r="L356" s="3">
        <v>0.0</v>
      </c>
      <c r="M356" s="3">
        <v>0.0</v>
      </c>
      <c r="N356" s="3">
        <v>15861.604</v>
      </c>
      <c r="O356" s="3">
        <v>1712.0</v>
      </c>
      <c r="P356" s="3" t="e">
        <v>#N/A</v>
      </c>
      <c r="Q356" s="3">
        <v>67.0</v>
      </c>
      <c r="R356" s="3">
        <v>75.0</v>
      </c>
      <c r="S356" s="3">
        <v>82.0</v>
      </c>
      <c r="T356" s="3">
        <v>84.0</v>
      </c>
      <c r="U356" s="3">
        <v>67.0</v>
      </c>
      <c r="V356" s="3">
        <v>69.0</v>
      </c>
      <c r="W356" s="3">
        <v>98.0</v>
      </c>
      <c r="X356" s="3">
        <v>85.0</v>
      </c>
      <c r="Y356" s="3">
        <v>74.0</v>
      </c>
      <c r="Z356" s="3">
        <v>59.0</v>
      </c>
      <c r="AA356" s="3">
        <v>78.0</v>
      </c>
      <c r="AB356" s="3">
        <v>59.0</v>
      </c>
      <c r="AC356" s="3">
        <v>63.0</v>
      </c>
      <c r="AD356" s="3">
        <v>88.0</v>
      </c>
      <c r="AE356" s="3">
        <v>71.0</v>
      </c>
      <c r="AF356" s="3">
        <v>58.0</v>
      </c>
      <c r="AG356" s="3">
        <v>55.0</v>
      </c>
      <c r="AH356" s="3">
        <v>79.0</v>
      </c>
      <c r="AI356" s="3">
        <v>80.0</v>
      </c>
      <c r="AJ356" s="3">
        <v>23.0</v>
      </c>
      <c r="AK356" s="3">
        <v>73.0</v>
      </c>
      <c r="AL356" s="3">
        <v>35.0</v>
      </c>
      <c r="AM356" s="3">
        <v>60.0</v>
      </c>
      <c r="AN356" s="3">
        <v>64.0</v>
      </c>
    </row>
    <row r="357" ht="14.25" customHeight="1">
      <c r="A357" s="3">
        <v>355.0</v>
      </c>
      <c r="B357" s="3" t="s">
        <v>6831</v>
      </c>
      <c r="C357" s="3">
        <v>41.0</v>
      </c>
      <c r="D357" s="3" t="s">
        <v>6645</v>
      </c>
      <c r="E357" s="3" t="s">
        <v>6646</v>
      </c>
      <c r="F357" s="3" t="s">
        <v>6646</v>
      </c>
      <c r="G357" s="3" t="s">
        <v>6645</v>
      </c>
      <c r="H357" s="3" t="s">
        <v>6645</v>
      </c>
      <c r="I357" s="3" t="s">
        <v>6645</v>
      </c>
      <c r="J357" s="3">
        <v>9.0</v>
      </c>
      <c r="K357" s="3">
        <v>4.0</v>
      </c>
      <c r="L357" s="3">
        <v>0.0</v>
      </c>
      <c r="M357" s="3">
        <v>0.0</v>
      </c>
      <c r="N357" s="3">
        <v>14657.318</v>
      </c>
      <c r="O357" s="3">
        <v>1438.0</v>
      </c>
      <c r="P357" s="3" t="e">
        <v>#N/A</v>
      </c>
      <c r="Q357" s="3">
        <v>70.0</v>
      </c>
      <c r="R357" s="3">
        <v>72.0</v>
      </c>
      <c r="S357" s="3">
        <v>78.0</v>
      </c>
      <c r="T357" s="3">
        <v>81.0</v>
      </c>
      <c r="U357" s="3">
        <v>63.0</v>
      </c>
      <c r="V357" s="3">
        <v>65.0</v>
      </c>
      <c r="W357" s="3">
        <v>90.0</v>
      </c>
      <c r="X357" s="3">
        <v>79.0</v>
      </c>
      <c r="Y357" s="3">
        <v>69.0</v>
      </c>
      <c r="Z357" s="3">
        <v>69.0</v>
      </c>
      <c r="AA357" s="3">
        <v>87.0</v>
      </c>
      <c r="AB357" s="3">
        <v>64.0</v>
      </c>
      <c r="AC357" s="3">
        <v>58.0</v>
      </c>
      <c r="AD357" s="3">
        <v>83.0</v>
      </c>
      <c r="AE357" s="3">
        <v>72.0</v>
      </c>
      <c r="AF357" s="3">
        <v>49.0</v>
      </c>
      <c r="AG357" s="3">
        <v>45.0</v>
      </c>
      <c r="AH357" s="3">
        <v>74.0</v>
      </c>
      <c r="AI357" s="3">
        <v>80.0</v>
      </c>
      <c r="AJ357" s="3">
        <v>50.0</v>
      </c>
      <c r="AK357" s="3">
        <v>51.0</v>
      </c>
      <c r="AL357" s="3">
        <v>42.0</v>
      </c>
      <c r="AM357" s="3">
        <v>73.0</v>
      </c>
      <c r="AN357" s="3">
        <v>65.0</v>
      </c>
    </row>
    <row r="358" ht="14.25" customHeight="1">
      <c r="A358" s="3">
        <v>356.0</v>
      </c>
      <c r="B358" s="3" t="s">
        <v>6832</v>
      </c>
      <c r="C358" s="3">
        <v>34.0</v>
      </c>
      <c r="D358" s="3" t="s">
        <v>6645</v>
      </c>
      <c r="E358" s="3" t="s">
        <v>6646</v>
      </c>
      <c r="F358" s="3" t="s">
        <v>6646</v>
      </c>
      <c r="G358" s="3" t="s">
        <v>6645</v>
      </c>
      <c r="H358" s="3" t="s">
        <v>6645</v>
      </c>
      <c r="I358" s="3" t="s">
        <v>6645</v>
      </c>
      <c r="J358" s="3">
        <v>9.0</v>
      </c>
      <c r="K358" s="3">
        <v>3.0</v>
      </c>
      <c r="L358" s="3">
        <v>0.0</v>
      </c>
      <c r="M358" s="3">
        <v>0.0</v>
      </c>
      <c r="N358" s="3">
        <v>8345.18</v>
      </c>
      <c r="O358" s="3">
        <v>620.0</v>
      </c>
      <c r="P358" s="3" t="e">
        <v>#N/A</v>
      </c>
      <c r="Q358" s="3">
        <v>63.0</v>
      </c>
      <c r="R358" s="3">
        <v>57.0</v>
      </c>
      <c r="S358" s="3">
        <v>66.0</v>
      </c>
      <c r="T358" s="3">
        <v>60.0</v>
      </c>
      <c r="U358" s="3">
        <v>61.0</v>
      </c>
      <c r="V358" s="3">
        <v>60.0</v>
      </c>
      <c r="W358" s="3">
        <v>73.0</v>
      </c>
      <c r="X358" s="3">
        <v>69.0</v>
      </c>
      <c r="Y358" s="3">
        <v>59.0</v>
      </c>
      <c r="Z358" s="3">
        <v>48.0</v>
      </c>
      <c r="AA358" s="3">
        <v>65.0</v>
      </c>
      <c r="AB358" s="3">
        <v>49.0</v>
      </c>
      <c r="AC358" s="3">
        <v>57.0</v>
      </c>
      <c r="AD358" s="3">
        <v>66.0</v>
      </c>
      <c r="AE358" s="3">
        <v>58.0</v>
      </c>
      <c r="AF358" s="3">
        <v>16.0</v>
      </c>
      <c r="AG358" s="3">
        <v>56.0</v>
      </c>
      <c r="AH358" s="3">
        <v>71.0</v>
      </c>
      <c r="AI358" s="3">
        <v>72.0</v>
      </c>
      <c r="AJ358" s="3">
        <v>33.0</v>
      </c>
      <c r="AK358" s="3">
        <v>42.0</v>
      </c>
      <c r="AL358" s="3">
        <v>62.0</v>
      </c>
      <c r="AM358" s="3">
        <v>58.0</v>
      </c>
      <c r="AN358" s="3">
        <v>56.0</v>
      </c>
    </row>
    <row r="359" ht="14.25" customHeight="1">
      <c r="A359" s="3">
        <v>357.0</v>
      </c>
      <c r="B359" s="3" t="s">
        <v>6833</v>
      </c>
      <c r="C359" s="3">
        <v>36.0</v>
      </c>
      <c r="D359" s="3" t="s">
        <v>6645</v>
      </c>
      <c r="E359" s="3" t="s">
        <v>6646</v>
      </c>
      <c r="F359" s="3" t="s">
        <v>6646</v>
      </c>
      <c r="G359" s="3" t="s">
        <v>6645</v>
      </c>
      <c r="H359" s="3" t="s">
        <v>6645</v>
      </c>
      <c r="I359" s="3" t="s">
        <v>6646</v>
      </c>
      <c r="J359" s="3">
        <v>9.0</v>
      </c>
      <c r="K359" s="3">
        <v>3.0</v>
      </c>
      <c r="L359" s="3">
        <v>0.0</v>
      </c>
      <c r="M359" s="3">
        <v>0.0</v>
      </c>
      <c r="N359" s="3">
        <v>8864.36</v>
      </c>
      <c r="O359" s="3">
        <v>697.0</v>
      </c>
      <c r="P359" s="3" t="e">
        <v>#N/A</v>
      </c>
      <c r="Q359" s="3">
        <v>62.0</v>
      </c>
      <c r="R359" s="3">
        <v>56.0</v>
      </c>
      <c r="S359" s="3">
        <v>62.0</v>
      </c>
      <c r="T359" s="3">
        <v>66.0</v>
      </c>
      <c r="U359" s="3">
        <v>59.0</v>
      </c>
      <c r="V359" s="3">
        <v>60.0</v>
      </c>
      <c r="W359" s="3">
        <v>73.0</v>
      </c>
      <c r="X359" s="3">
        <v>74.0</v>
      </c>
      <c r="Y359" s="3">
        <v>59.0</v>
      </c>
      <c r="Z359" s="3">
        <v>54.0</v>
      </c>
      <c r="AA359" s="3">
        <v>66.0</v>
      </c>
      <c r="AB359" s="3">
        <v>56.0</v>
      </c>
      <c r="AC359" s="3">
        <v>50.0</v>
      </c>
      <c r="AD359" s="3">
        <v>66.0</v>
      </c>
      <c r="AE359" s="3">
        <v>65.0</v>
      </c>
      <c r="AF359" s="3">
        <v>50.0</v>
      </c>
      <c r="AG359" s="3">
        <v>50.0</v>
      </c>
      <c r="AH359" s="3">
        <v>73.0</v>
      </c>
      <c r="AI359" s="3">
        <v>76.0</v>
      </c>
      <c r="AJ359" s="3">
        <v>58.0</v>
      </c>
      <c r="AK359" s="3">
        <v>42.0</v>
      </c>
      <c r="AL359" s="3">
        <v>22.0</v>
      </c>
      <c r="AM359" s="3">
        <v>17.0</v>
      </c>
      <c r="AN359" s="3">
        <v>52.0</v>
      </c>
    </row>
    <row r="360" ht="14.25" customHeight="1">
      <c r="A360" s="3">
        <v>358.0</v>
      </c>
      <c r="B360" s="3" t="s">
        <v>6834</v>
      </c>
      <c r="C360" s="3">
        <v>38.0</v>
      </c>
      <c r="D360" s="3" t="s">
        <v>6645</v>
      </c>
      <c r="E360" s="3" t="s">
        <v>6646</v>
      </c>
      <c r="F360" s="3" t="s">
        <v>6646</v>
      </c>
      <c r="G360" s="3" t="s">
        <v>6645</v>
      </c>
      <c r="H360" s="3" t="s">
        <v>6645</v>
      </c>
      <c r="I360" s="3" t="s">
        <v>6645</v>
      </c>
      <c r="J360" s="3">
        <v>9.0</v>
      </c>
      <c r="K360" s="3">
        <v>3.0</v>
      </c>
      <c r="L360" s="3">
        <v>0.0</v>
      </c>
      <c r="M360" s="3">
        <v>0.0</v>
      </c>
      <c r="N360" s="3">
        <v>8614.63</v>
      </c>
      <c r="O360" s="3">
        <v>926.0</v>
      </c>
      <c r="P360" s="3" t="e">
        <v>#N/A</v>
      </c>
      <c r="Q360" s="3">
        <v>62.0</v>
      </c>
      <c r="R360" s="3">
        <v>56.0</v>
      </c>
      <c r="S360" s="3">
        <v>61.0</v>
      </c>
      <c r="T360" s="3">
        <v>66.0</v>
      </c>
      <c r="U360" s="3">
        <v>56.0</v>
      </c>
      <c r="V360" s="3">
        <v>56.0</v>
      </c>
      <c r="W360" s="3">
        <v>69.0</v>
      </c>
      <c r="X360" s="3">
        <v>68.0</v>
      </c>
      <c r="Y360" s="3">
        <v>56.0</v>
      </c>
      <c r="Z360" s="3">
        <v>58.0</v>
      </c>
      <c r="AA360" s="3">
        <v>69.0</v>
      </c>
      <c r="AB360" s="3">
        <v>50.0</v>
      </c>
      <c r="AC360" s="3">
        <v>49.0</v>
      </c>
      <c r="AD360" s="3">
        <v>69.0</v>
      </c>
      <c r="AE360" s="3">
        <v>59.0</v>
      </c>
      <c r="AF360" s="3">
        <v>46.0</v>
      </c>
      <c r="AG360" s="3">
        <v>54.0</v>
      </c>
      <c r="AH360" s="3">
        <v>69.0</v>
      </c>
      <c r="AI360" s="3">
        <v>82.0</v>
      </c>
      <c r="AJ360" s="3">
        <v>56.0</v>
      </c>
      <c r="AK360" s="3">
        <v>50.0</v>
      </c>
      <c r="AL360" s="3">
        <v>68.0</v>
      </c>
      <c r="AM360" s="3">
        <v>13.0</v>
      </c>
      <c r="AN360" s="3">
        <v>56.0</v>
      </c>
    </row>
    <row r="361" ht="14.25" customHeight="1">
      <c r="A361" s="3">
        <v>359.0</v>
      </c>
      <c r="B361" s="3" t="s">
        <v>6835</v>
      </c>
      <c r="C361" s="3">
        <v>37.0</v>
      </c>
      <c r="D361" s="3" t="s">
        <v>6645</v>
      </c>
      <c r="E361" s="3" t="s">
        <v>6646</v>
      </c>
      <c r="F361" s="3" t="s">
        <v>6646</v>
      </c>
      <c r="G361" s="3" t="s">
        <v>6645</v>
      </c>
      <c r="H361" s="3" t="s">
        <v>6645</v>
      </c>
      <c r="I361" s="3" t="s">
        <v>6646</v>
      </c>
      <c r="J361" s="3">
        <v>9.0</v>
      </c>
      <c r="K361" s="3">
        <v>3.0</v>
      </c>
      <c r="L361" s="3">
        <v>0.0</v>
      </c>
      <c r="M361" s="3">
        <v>0.0</v>
      </c>
      <c r="N361" s="3">
        <v>9076.36</v>
      </c>
      <c r="O361" s="3">
        <v>647.0</v>
      </c>
      <c r="P361" s="3" t="e">
        <v>#N/A</v>
      </c>
      <c r="Q361" s="3">
        <v>55.0</v>
      </c>
      <c r="R361" s="3">
        <v>62.0</v>
      </c>
      <c r="S361" s="3">
        <v>66.0</v>
      </c>
      <c r="T361" s="3">
        <v>65.0</v>
      </c>
      <c r="U361" s="3">
        <v>54.0</v>
      </c>
      <c r="V361" s="3">
        <v>59.0</v>
      </c>
      <c r="W361" s="3">
        <v>68.0</v>
      </c>
      <c r="X361" s="3">
        <v>65.0</v>
      </c>
      <c r="Y361" s="3">
        <v>58.0</v>
      </c>
      <c r="Z361" s="3">
        <v>52.0</v>
      </c>
      <c r="AA361" s="3">
        <v>70.0</v>
      </c>
      <c r="AB361" s="3">
        <v>51.0</v>
      </c>
      <c r="AC361" s="3">
        <v>48.0</v>
      </c>
      <c r="AD361" s="3">
        <v>71.0</v>
      </c>
      <c r="AE361" s="3">
        <v>60.0</v>
      </c>
      <c r="AF361" s="3">
        <v>51.0</v>
      </c>
      <c r="AG361" s="3">
        <v>38.0</v>
      </c>
      <c r="AH361" s="3">
        <v>78.0</v>
      </c>
      <c r="AI361" s="3">
        <v>85.0</v>
      </c>
      <c r="AJ361" s="3">
        <v>42.0</v>
      </c>
      <c r="AK361" s="3">
        <v>48.0</v>
      </c>
      <c r="AL361" s="3">
        <v>54.0</v>
      </c>
      <c r="AM361" s="3">
        <v>58.0</v>
      </c>
      <c r="AN361" s="3">
        <v>50.0</v>
      </c>
    </row>
    <row r="362" ht="14.25" customHeight="1">
      <c r="A362" s="3">
        <v>360.0</v>
      </c>
      <c r="B362" s="3" t="s">
        <v>6836</v>
      </c>
      <c r="C362" s="3">
        <v>33.0</v>
      </c>
      <c r="D362" s="3" t="s">
        <v>6645</v>
      </c>
      <c r="E362" s="3" t="s">
        <v>6646</v>
      </c>
      <c r="F362" s="3" t="s">
        <v>6646</v>
      </c>
      <c r="G362" s="3" t="s">
        <v>6645</v>
      </c>
      <c r="H362" s="3" t="s">
        <v>6645</v>
      </c>
      <c r="I362" s="3" t="s">
        <v>6646</v>
      </c>
      <c r="J362" s="3">
        <v>9.0</v>
      </c>
      <c r="K362" s="3">
        <v>2.0</v>
      </c>
      <c r="L362" s="3">
        <v>0.0</v>
      </c>
      <c r="M362" s="3">
        <v>0.0</v>
      </c>
      <c r="N362" s="3">
        <v>5268.366</v>
      </c>
      <c r="O362" s="3">
        <v>412.0</v>
      </c>
      <c r="P362" s="3" t="e">
        <v>#N/A</v>
      </c>
      <c r="Q362" s="3">
        <v>49.0</v>
      </c>
      <c r="R362" s="3">
        <v>52.0</v>
      </c>
      <c r="S362" s="3">
        <v>55.0</v>
      </c>
      <c r="T362" s="3">
        <v>48.0</v>
      </c>
      <c r="U362" s="3">
        <v>51.0</v>
      </c>
      <c r="V362" s="3">
        <v>51.0</v>
      </c>
      <c r="W362" s="3">
        <v>53.0</v>
      </c>
      <c r="X362" s="3">
        <v>62.0</v>
      </c>
      <c r="Y362" s="3">
        <v>44.0</v>
      </c>
      <c r="Z362" s="3">
        <v>54.0</v>
      </c>
      <c r="AA362" s="3">
        <v>55.0</v>
      </c>
      <c r="AB362" s="3">
        <v>38.0</v>
      </c>
      <c r="AC362" s="3">
        <v>43.0</v>
      </c>
      <c r="AD362" s="3">
        <v>52.0</v>
      </c>
      <c r="AE362" s="3">
        <v>43.0</v>
      </c>
      <c r="AF362" s="3">
        <v>51.0</v>
      </c>
      <c r="AG362" s="3">
        <v>35.0</v>
      </c>
      <c r="AH362" s="3">
        <v>74.0</v>
      </c>
      <c r="AI362" s="3">
        <v>75.0</v>
      </c>
      <c r="AJ362" s="3">
        <v>39.0</v>
      </c>
      <c r="AK362" s="3">
        <v>17.0</v>
      </c>
      <c r="AL362" s="3">
        <v>48.0</v>
      </c>
      <c r="AM362" s="3">
        <v>45.0</v>
      </c>
      <c r="AN362" s="3">
        <v>45.0</v>
      </c>
    </row>
    <row r="363" ht="14.25" customHeight="1">
      <c r="A363" s="3">
        <v>361.0</v>
      </c>
      <c r="B363" s="3" t="s">
        <v>6837</v>
      </c>
      <c r="C363" s="3">
        <v>30.0</v>
      </c>
      <c r="D363" s="3" t="s">
        <v>6645</v>
      </c>
      <c r="E363" s="3" t="s">
        <v>6646</v>
      </c>
      <c r="F363" s="3" t="s">
        <v>6646</v>
      </c>
      <c r="G363" s="3" t="s">
        <v>6645</v>
      </c>
      <c r="H363" s="3" t="s">
        <v>6645</v>
      </c>
      <c r="I363" s="3" t="s">
        <v>6645</v>
      </c>
      <c r="J363" s="3">
        <v>9.0</v>
      </c>
      <c r="K363" s="3">
        <v>2.0</v>
      </c>
      <c r="L363" s="3">
        <v>0.0</v>
      </c>
      <c r="M363" s="3">
        <v>0.0</v>
      </c>
      <c r="N363" s="3">
        <v>4722.3466</v>
      </c>
      <c r="O363" s="3">
        <v>383.0</v>
      </c>
      <c r="P363" s="3" t="e">
        <v>#N/A</v>
      </c>
      <c r="Q363" s="3">
        <v>46.0</v>
      </c>
      <c r="R363" s="3">
        <v>49.0</v>
      </c>
      <c r="S363" s="3">
        <v>50.0</v>
      </c>
      <c r="T363" s="3">
        <v>48.0</v>
      </c>
      <c r="U363" s="3">
        <v>51.0</v>
      </c>
      <c r="V363" s="3">
        <v>50.0</v>
      </c>
      <c r="W363" s="3">
        <v>59.0</v>
      </c>
      <c r="X363" s="3">
        <v>62.0</v>
      </c>
      <c r="Y363" s="3">
        <v>43.0</v>
      </c>
      <c r="Z363" s="3">
        <v>44.0</v>
      </c>
      <c r="AA363" s="3">
        <v>53.0</v>
      </c>
      <c r="AB363" s="3">
        <v>46.0</v>
      </c>
      <c r="AC363" s="3">
        <v>47.0</v>
      </c>
      <c r="AD363" s="3">
        <v>59.0</v>
      </c>
      <c r="AE363" s="3">
        <v>45.0</v>
      </c>
      <c r="AF363" s="3">
        <v>30.0</v>
      </c>
      <c r="AG363" s="3">
        <v>40.0</v>
      </c>
      <c r="AH363" s="3">
        <v>79.0</v>
      </c>
      <c r="AI363" s="3">
        <v>78.0</v>
      </c>
      <c r="AJ363" s="3">
        <v>66.0</v>
      </c>
      <c r="AK363" s="3">
        <v>53.0</v>
      </c>
      <c r="AL363" s="3">
        <v>41.0</v>
      </c>
      <c r="AM363" s="3">
        <v>37.0</v>
      </c>
      <c r="AN363" s="3">
        <v>39.0</v>
      </c>
    </row>
    <row r="364" ht="14.25" customHeight="1">
      <c r="A364" s="3">
        <v>362.0</v>
      </c>
      <c r="B364" s="3" t="s">
        <v>6838</v>
      </c>
      <c r="C364" s="3">
        <v>33.0</v>
      </c>
      <c r="D364" s="3" t="s">
        <v>6645</v>
      </c>
      <c r="E364" s="3" t="s">
        <v>6646</v>
      </c>
      <c r="F364" s="3" t="s">
        <v>6646</v>
      </c>
      <c r="G364" s="3" t="s">
        <v>6645</v>
      </c>
      <c r="H364" s="3" t="s">
        <v>6645</v>
      </c>
      <c r="I364" s="3" t="s">
        <v>6646</v>
      </c>
      <c r="J364" s="3">
        <v>9.0</v>
      </c>
      <c r="K364" s="3">
        <v>2.0</v>
      </c>
      <c r="L364" s="3">
        <v>0.0</v>
      </c>
      <c r="M364" s="3">
        <v>0.0</v>
      </c>
      <c r="N364" s="3">
        <v>4692.3115</v>
      </c>
      <c r="O364" s="3">
        <v>302.0</v>
      </c>
      <c r="P364" s="3" t="e">
        <v>#N/A</v>
      </c>
      <c r="Q364" s="3">
        <v>54.0</v>
      </c>
      <c r="R364" s="3">
        <v>54.0</v>
      </c>
      <c r="S364" s="3">
        <v>55.0</v>
      </c>
      <c r="T364" s="3">
        <v>47.0</v>
      </c>
      <c r="U364" s="3">
        <v>48.0</v>
      </c>
      <c r="V364" s="3">
        <v>52.0</v>
      </c>
      <c r="W364" s="3">
        <v>51.0</v>
      </c>
      <c r="X364" s="3">
        <v>55.0</v>
      </c>
      <c r="Y364" s="3">
        <v>47.0</v>
      </c>
      <c r="Z364" s="3">
        <v>52.0</v>
      </c>
      <c r="AA364" s="3">
        <v>51.0</v>
      </c>
      <c r="AB364" s="3">
        <v>46.0</v>
      </c>
      <c r="AC364" s="3">
        <v>51.0</v>
      </c>
      <c r="AD364" s="3">
        <v>53.0</v>
      </c>
      <c r="AE364" s="3">
        <v>43.0</v>
      </c>
      <c r="AF364" s="3">
        <v>65.0</v>
      </c>
      <c r="AG364" s="3">
        <v>46.0</v>
      </c>
      <c r="AH364" s="3">
        <v>78.0</v>
      </c>
      <c r="AI364" s="3">
        <v>81.0</v>
      </c>
      <c r="AJ364" s="3">
        <v>46.0</v>
      </c>
      <c r="AK364" s="3">
        <v>48.0</v>
      </c>
      <c r="AL364" s="3">
        <v>35.0</v>
      </c>
      <c r="AM364" s="3">
        <v>45.0</v>
      </c>
      <c r="AN364" s="3">
        <v>41.0</v>
      </c>
    </row>
    <row r="365" ht="14.25" customHeight="1">
      <c r="A365" s="3">
        <v>363.0</v>
      </c>
      <c r="B365" s="3" t="s">
        <v>6839</v>
      </c>
      <c r="C365" s="3">
        <v>30.0</v>
      </c>
      <c r="D365" s="3" t="s">
        <v>6645</v>
      </c>
      <c r="E365" s="3" t="s">
        <v>6646</v>
      </c>
      <c r="F365" s="3" t="s">
        <v>6646</v>
      </c>
      <c r="G365" s="3" t="s">
        <v>6645</v>
      </c>
      <c r="H365" s="3" t="s">
        <v>6645</v>
      </c>
      <c r="I365" s="3" t="s">
        <v>6645</v>
      </c>
      <c r="J365" s="3">
        <v>9.0</v>
      </c>
      <c r="K365" s="3">
        <v>2.0</v>
      </c>
      <c r="L365" s="3">
        <v>0.0</v>
      </c>
      <c r="M365" s="3">
        <v>0.0</v>
      </c>
      <c r="N365" s="3">
        <v>4824.13</v>
      </c>
      <c r="O365" s="3">
        <v>328.0</v>
      </c>
      <c r="P365" s="3" t="e">
        <v>#N/A</v>
      </c>
      <c r="Q365" s="3">
        <v>53.0</v>
      </c>
      <c r="R365" s="3">
        <v>54.0</v>
      </c>
      <c r="S365" s="3">
        <v>48.0</v>
      </c>
      <c r="T365" s="3">
        <v>51.0</v>
      </c>
      <c r="U365" s="3">
        <v>55.0</v>
      </c>
      <c r="V365" s="3">
        <v>47.0</v>
      </c>
      <c r="W365" s="3">
        <v>55.0</v>
      </c>
      <c r="X365" s="3">
        <v>56.0</v>
      </c>
      <c r="Y365" s="3">
        <v>48.0</v>
      </c>
      <c r="Z365" s="3">
        <v>47.0</v>
      </c>
      <c r="AA365" s="3">
        <v>57.0</v>
      </c>
      <c r="AB365" s="3">
        <v>43.0</v>
      </c>
      <c r="AC365" s="3">
        <v>50.0</v>
      </c>
      <c r="AD365" s="3">
        <v>60.0</v>
      </c>
      <c r="AE365" s="3">
        <v>45.0</v>
      </c>
      <c r="AF365" s="3">
        <v>52.0</v>
      </c>
      <c r="AG365" s="3">
        <v>46.0</v>
      </c>
      <c r="AH365" s="3">
        <v>79.0</v>
      </c>
      <c r="AI365" s="3">
        <v>69.0</v>
      </c>
      <c r="AJ365" s="3">
        <v>43.0</v>
      </c>
      <c r="AK365" s="3">
        <v>37.0</v>
      </c>
      <c r="AL365" s="3">
        <v>18.0</v>
      </c>
      <c r="AM365" s="3">
        <v>48.0</v>
      </c>
      <c r="AN365" s="3">
        <v>17.0</v>
      </c>
    </row>
    <row r="366" ht="14.25" customHeight="1">
      <c r="A366" s="3">
        <v>364.0</v>
      </c>
      <c r="B366" s="3" t="s">
        <v>6840</v>
      </c>
      <c r="C366" s="3">
        <v>30.0</v>
      </c>
      <c r="D366" s="3" t="s">
        <v>6645</v>
      </c>
      <c r="E366" s="3" t="s">
        <v>6646</v>
      </c>
      <c r="F366" s="3" t="s">
        <v>6646</v>
      </c>
      <c r="G366" s="3" t="s">
        <v>6645</v>
      </c>
      <c r="H366" s="3" t="s">
        <v>6645</v>
      </c>
      <c r="I366" s="3" t="s">
        <v>6646</v>
      </c>
      <c r="J366" s="3">
        <v>9.0</v>
      </c>
      <c r="K366" s="3">
        <v>2.0</v>
      </c>
      <c r="L366" s="3">
        <v>0.0</v>
      </c>
      <c r="M366" s="3">
        <v>0.0</v>
      </c>
      <c r="N366" s="3">
        <v>4876.75</v>
      </c>
      <c r="O366" s="3">
        <v>446.0</v>
      </c>
      <c r="P366" s="3" t="e">
        <v>#N/A</v>
      </c>
      <c r="Q366" s="3">
        <v>47.0</v>
      </c>
      <c r="R366" s="3">
        <v>53.0</v>
      </c>
      <c r="S366" s="3">
        <v>51.0</v>
      </c>
      <c r="T366" s="3">
        <v>54.0</v>
      </c>
      <c r="U366" s="3">
        <v>48.0</v>
      </c>
      <c r="V366" s="3">
        <v>52.0</v>
      </c>
      <c r="W366" s="3">
        <v>55.0</v>
      </c>
      <c r="X366" s="3">
        <v>52.0</v>
      </c>
      <c r="Y366" s="3">
        <v>41.0</v>
      </c>
      <c r="Z366" s="3">
        <v>44.0</v>
      </c>
      <c r="AA366" s="3">
        <v>57.0</v>
      </c>
      <c r="AB366" s="3">
        <v>39.0</v>
      </c>
      <c r="AC366" s="3">
        <v>41.0</v>
      </c>
      <c r="AD366" s="3">
        <v>52.0</v>
      </c>
      <c r="AE366" s="3">
        <v>48.0</v>
      </c>
      <c r="AF366" s="3">
        <v>38.0</v>
      </c>
      <c r="AG366" s="3">
        <v>38.0</v>
      </c>
      <c r="AH366" s="3">
        <v>72.0</v>
      </c>
      <c r="AI366" s="3">
        <v>74.0</v>
      </c>
      <c r="AJ366" s="3">
        <v>38.0</v>
      </c>
      <c r="AK366" s="3">
        <v>66.0</v>
      </c>
      <c r="AL366" s="3">
        <v>35.0</v>
      </c>
      <c r="AM366" s="3">
        <v>14.0</v>
      </c>
      <c r="AN366" s="3">
        <v>48.0</v>
      </c>
    </row>
    <row r="367" ht="14.25" customHeight="1">
      <c r="A367" s="3">
        <v>365.0</v>
      </c>
      <c r="B367" s="3" t="s">
        <v>6841</v>
      </c>
      <c r="C367" s="3">
        <v>22.0</v>
      </c>
      <c r="D367" s="3" t="s">
        <v>6645</v>
      </c>
      <c r="E367" s="3" t="s">
        <v>6646</v>
      </c>
      <c r="F367" s="3" t="s">
        <v>6646</v>
      </c>
      <c r="G367" s="3" t="s">
        <v>6645</v>
      </c>
      <c r="H367" s="3" t="s">
        <v>6645</v>
      </c>
      <c r="I367" s="3" t="s">
        <v>6646</v>
      </c>
      <c r="J367" s="3">
        <v>9.0</v>
      </c>
      <c r="K367" s="3">
        <v>1.0</v>
      </c>
      <c r="L367" s="3">
        <v>0.0</v>
      </c>
      <c r="M367" s="3">
        <v>0.0</v>
      </c>
      <c r="N367" s="3">
        <v>2197.89</v>
      </c>
      <c r="O367" s="3">
        <v>234.0</v>
      </c>
      <c r="P367" s="3" t="e">
        <v>#N/A</v>
      </c>
      <c r="Q367" s="3">
        <v>42.0</v>
      </c>
      <c r="R367" s="3">
        <v>41.0</v>
      </c>
      <c r="S367" s="3">
        <v>41.0</v>
      </c>
      <c r="T367" s="3">
        <v>44.0</v>
      </c>
      <c r="U367" s="3">
        <v>42.0</v>
      </c>
      <c r="V367" s="3">
        <v>45.0</v>
      </c>
      <c r="W367" s="3">
        <v>45.0</v>
      </c>
      <c r="X367" s="3">
        <v>46.0</v>
      </c>
      <c r="Y367" s="3">
        <v>33.0</v>
      </c>
      <c r="Z367" s="3">
        <v>37.0</v>
      </c>
      <c r="AA367" s="3">
        <v>49.0</v>
      </c>
      <c r="AB367" s="3">
        <v>37.0</v>
      </c>
      <c r="AC367" s="3">
        <v>40.0</v>
      </c>
      <c r="AD367" s="3">
        <v>51.0</v>
      </c>
      <c r="AE367" s="3">
        <v>47.0</v>
      </c>
      <c r="AF367" s="3">
        <v>24.0</v>
      </c>
      <c r="AG367" s="3">
        <v>40.0</v>
      </c>
      <c r="AH367" s="3">
        <v>76.0</v>
      </c>
      <c r="AI367" s="3">
        <v>77.0</v>
      </c>
      <c r="AJ367" s="3">
        <v>60.0</v>
      </c>
      <c r="AK367" s="3">
        <v>41.0</v>
      </c>
      <c r="AL367" s="3">
        <v>34.0</v>
      </c>
      <c r="AM367" s="3">
        <v>46.0</v>
      </c>
      <c r="AN367" s="3">
        <v>50.0</v>
      </c>
    </row>
    <row r="368" ht="14.25" customHeight="1">
      <c r="A368" s="3">
        <v>366.0</v>
      </c>
      <c r="B368" s="3" t="s">
        <v>6842</v>
      </c>
      <c r="C368" s="3">
        <v>24.0</v>
      </c>
      <c r="D368" s="3" t="s">
        <v>6645</v>
      </c>
      <c r="E368" s="3" t="s">
        <v>6646</v>
      </c>
      <c r="F368" s="3" t="s">
        <v>6646</v>
      </c>
      <c r="G368" s="3" t="s">
        <v>6645</v>
      </c>
      <c r="H368" s="3" t="s">
        <v>6645</v>
      </c>
      <c r="I368" s="3" t="s">
        <v>6645</v>
      </c>
      <c r="J368" s="3">
        <v>9.0</v>
      </c>
      <c r="K368" s="3">
        <v>1.0</v>
      </c>
      <c r="L368" s="3">
        <v>0.0</v>
      </c>
      <c r="M368" s="3">
        <v>0.0</v>
      </c>
      <c r="N368" s="3">
        <v>2000.7324</v>
      </c>
      <c r="O368" s="3">
        <v>239.0</v>
      </c>
      <c r="P368" s="3" t="e">
        <v>#N/A</v>
      </c>
      <c r="Q368" s="3">
        <v>43.0</v>
      </c>
      <c r="R368" s="3">
        <v>44.0</v>
      </c>
      <c r="S368" s="3">
        <v>44.0</v>
      </c>
      <c r="T368" s="3">
        <v>45.0</v>
      </c>
      <c r="U368" s="3">
        <v>45.0</v>
      </c>
      <c r="V368" s="3">
        <v>41.0</v>
      </c>
      <c r="W368" s="3">
        <v>49.0</v>
      </c>
      <c r="X368" s="3">
        <v>52.0</v>
      </c>
      <c r="Y368" s="3">
        <v>38.0</v>
      </c>
      <c r="Z368" s="3">
        <v>34.0</v>
      </c>
      <c r="AA368" s="3">
        <v>45.0</v>
      </c>
      <c r="AB368" s="3">
        <v>38.0</v>
      </c>
      <c r="AC368" s="3">
        <v>33.0</v>
      </c>
      <c r="AD368" s="3">
        <v>51.0</v>
      </c>
      <c r="AE368" s="3">
        <v>34.0</v>
      </c>
      <c r="AF368" s="3">
        <v>31.0</v>
      </c>
      <c r="AG368" s="3">
        <v>54.0</v>
      </c>
      <c r="AH368" s="3">
        <v>76.0</v>
      </c>
      <c r="AI368" s="3">
        <v>69.0</v>
      </c>
      <c r="AJ368" s="3">
        <v>58.0</v>
      </c>
      <c r="AK368" s="3">
        <v>38.0</v>
      </c>
      <c r="AL368" s="3">
        <v>18.0</v>
      </c>
      <c r="AM368" s="3">
        <v>40.0</v>
      </c>
      <c r="AN368" s="3">
        <v>50.0</v>
      </c>
    </row>
    <row r="369" ht="14.25" customHeight="1">
      <c r="A369" s="3">
        <v>367.0</v>
      </c>
      <c r="B369" s="3" t="s">
        <v>6843</v>
      </c>
      <c r="C369" s="3">
        <v>24.0</v>
      </c>
      <c r="D369" s="3" t="s">
        <v>6645</v>
      </c>
      <c r="E369" s="3" t="s">
        <v>6646</v>
      </c>
      <c r="F369" s="3" t="s">
        <v>6646</v>
      </c>
      <c r="G369" s="3" t="s">
        <v>6645</v>
      </c>
      <c r="H369" s="3" t="s">
        <v>6645</v>
      </c>
      <c r="I369" s="3" t="s">
        <v>6645</v>
      </c>
      <c r="J369" s="3">
        <v>9.0</v>
      </c>
      <c r="K369" s="3">
        <v>1.0</v>
      </c>
      <c r="L369" s="3">
        <v>0.0</v>
      </c>
      <c r="M369" s="3">
        <v>0.0</v>
      </c>
      <c r="N369" s="3">
        <v>1944.9567</v>
      </c>
      <c r="O369" s="3">
        <v>175.0</v>
      </c>
      <c r="P369" s="3" t="e">
        <v>#N/A</v>
      </c>
      <c r="Q369" s="3">
        <v>46.0</v>
      </c>
      <c r="R369" s="3">
        <v>47.0</v>
      </c>
      <c r="S369" s="3">
        <v>46.0</v>
      </c>
      <c r="T369" s="3">
        <v>42.0</v>
      </c>
      <c r="U369" s="3">
        <v>43.0</v>
      </c>
      <c r="V369" s="3">
        <v>44.0</v>
      </c>
      <c r="W369" s="3">
        <v>50.0</v>
      </c>
      <c r="X369" s="3">
        <v>55.0</v>
      </c>
      <c r="Y369" s="3">
        <v>41.0</v>
      </c>
      <c r="Z369" s="3">
        <v>30.0</v>
      </c>
      <c r="AA369" s="3">
        <v>53.0</v>
      </c>
      <c r="AB369" s="3">
        <v>36.0</v>
      </c>
      <c r="AC369" s="3">
        <v>36.0</v>
      </c>
      <c r="AD369" s="3">
        <v>47.0</v>
      </c>
      <c r="AE369" s="3">
        <v>39.0</v>
      </c>
      <c r="AF369" s="3">
        <v>34.0</v>
      </c>
      <c r="AG369" s="3">
        <v>41.0</v>
      </c>
      <c r="AH369" s="3">
        <v>75.0</v>
      </c>
      <c r="AI369" s="3">
        <v>75.0</v>
      </c>
      <c r="AJ369" s="3">
        <v>52.0</v>
      </c>
      <c r="AK369" s="3">
        <v>40.0</v>
      </c>
      <c r="AL369" s="3">
        <v>60.0</v>
      </c>
      <c r="AM369" s="3">
        <v>56.0</v>
      </c>
      <c r="AN369" s="3">
        <v>35.0</v>
      </c>
    </row>
    <row r="370" ht="14.25" customHeight="1">
      <c r="A370" s="3">
        <v>368.0</v>
      </c>
      <c r="B370" s="3" t="s">
        <v>6844</v>
      </c>
      <c r="C370" s="3">
        <v>29.0</v>
      </c>
      <c r="D370" s="3" t="s">
        <v>6645</v>
      </c>
      <c r="E370" s="3" t="s">
        <v>6646</v>
      </c>
      <c r="F370" s="3" t="s">
        <v>6646</v>
      </c>
      <c r="G370" s="3" t="s">
        <v>6645</v>
      </c>
      <c r="H370" s="3" t="s">
        <v>6645</v>
      </c>
      <c r="I370" s="3" t="s">
        <v>6646</v>
      </c>
      <c r="J370" s="3">
        <v>9.0</v>
      </c>
      <c r="K370" s="3">
        <v>1.0</v>
      </c>
      <c r="L370" s="3">
        <v>0.0</v>
      </c>
      <c r="M370" s="3">
        <v>0.0</v>
      </c>
      <c r="N370" s="3">
        <v>2016.94</v>
      </c>
      <c r="O370" s="3">
        <v>214.0</v>
      </c>
      <c r="P370" s="3" t="e">
        <v>#N/A</v>
      </c>
      <c r="Q370" s="3">
        <v>47.0</v>
      </c>
      <c r="R370" s="3">
        <v>45.0</v>
      </c>
      <c r="S370" s="3">
        <v>45.0</v>
      </c>
      <c r="T370" s="3">
        <v>43.0</v>
      </c>
      <c r="U370" s="3">
        <v>41.0</v>
      </c>
      <c r="V370" s="3">
        <v>45.0</v>
      </c>
      <c r="W370" s="3">
        <v>52.0</v>
      </c>
      <c r="X370" s="3">
        <v>52.0</v>
      </c>
      <c r="Y370" s="3">
        <v>32.0</v>
      </c>
      <c r="Z370" s="3">
        <v>44.0</v>
      </c>
      <c r="AA370" s="3">
        <v>46.0</v>
      </c>
      <c r="AB370" s="3">
        <v>35.0</v>
      </c>
      <c r="AC370" s="3">
        <v>35.0</v>
      </c>
      <c r="AD370" s="3">
        <v>51.0</v>
      </c>
      <c r="AE370" s="3">
        <v>34.0</v>
      </c>
      <c r="AF370" s="3">
        <v>32.0</v>
      </c>
      <c r="AG370" s="3">
        <v>15.0</v>
      </c>
      <c r="AH370" s="3">
        <v>69.0</v>
      </c>
      <c r="AI370" s="3">
        <v>80.0</v>
      </c>
      <c r="AJ370" s="3">
        <v>38.0</v>
      </c>
      <c r="AK370" s="3">
        <v>54.0</v>
      </c>
      <c r="AL370" s="3">
        <v>34.0</v>
      </c>
      <c r="AM370" s="3">
        <v>34.0</v>
      </c>
      <c r="AN370" s="3">
        <v>34.0</v>
      </c>
    </row>
    <row r="371" ht="14.25" customHeight="1">
      <c r="A371" s="3">
        <v>369.0</v>
      </c>
      <c r="B371" s="3" t="s">
        <v>6845</v>
      </c>
      <c r="C371" s="3">
        <v>28.0</v>
      </c>
      <c r="D371" s="3" t="s">
        <v>6645</v>
      </c>
      <c r="E371" s="3" t="s">
        <v>6646</v>
      </c>
      <c r="F371" s="3" t="s">
        <v>6646</v>
      </c>
      <c r="G371" s="3" t="s">
        <v>6645</v>
      </c>
      <c r="H371" s="3" t="s">
        <v>6645</v>
      </c>
      <c r="I371" s="3" t="s">
        <v>6646</v>
      </c>
      <c r="J371" s="3">
        <v>9.0</v>
      </c>
      <c r="K371" s="3">
        <v>1.0</v>
      </c>
      <c r="L371" s="3">
        <v>0.0</v>
      </c>
      <c r="M371" s="3">
        <v>0.0</v>
      </c>
      <c r="N371" s="3">
        <v>2237.63</v>
      </c>
      <c r="O371" s="3">
        <v>153.0</v>
      </c>
      <c r="P371" s="3" t="e">
        <v>#N/A</v>
      </c>
      <c r="Q371" s="3">
        <v>40.0</v>
      </c>
      <c r="R371" s="3">
        <v>42.0</v>
      </c>
      <c r="S371" s="3">
        <v>38.0</v>
      </c>
      <c r="T371" s="3">
        <v>39.0</v>
      </c>
      <c r="U371" s="3">
        <v>47.0</v>
      </c>
      <c r="V371" s="3">
        <v>40.0</v>
      </c>
      <c r="W371" s="3">
        <v>50.0</v>
      </c>
      <c r="X371" s="3">
        <v>53.0</v>
      </c>
      <c r="Y371" s="3">
        <v>37.0</v>
      </c>
      <c r="Z371" s="3">
        <v>34.0</v>
      </c>
      <c r="AA371" s="3">
        <v>46.0</v>
      </c>
      <c r="AB371" s="3">
        <v>34.0</v>
      </c>
      <c r="AC371" s="3">
        <v>38.0</v>
      </c>
      <c r="AD371" s="3">
        <v>52.0</v>
      </c>
      <c r="AE371" s="3">
        <v>46.0</v>
      </c>
      <c r="AF371" s="3">
        <v>27.0</v>
      </c>
      <c r="AG371" s="3">
        <v>38.0</v>
      </c>
      <c r="AH371" s="3">
        <v>78.0</v>
      </c>
      <c r="AI371" s="3">
        <v>81.0</v>
      </c>
      <c r="AJ371" s="3">
        <v>36.0</v>
      </c>
      <c r="AK371" s="3">
        <v>44.0</v>
      </c>
      <c r="AL371" s="3">
        <v>32.0</v>
      </c>
      <c r="AM371" s="3">
        <v>50.0</v>
      </c>
      <c r="AN371" s="3">
        <v>48.0</v>
      </c>
    </row>
    <row r="372" ht="14.25" customHeight="1">
      <c r="A372" s="3">
        <v>370.0</v>
      </c>
      <c r="B372" s="3" t="s">
        <v>6846</v>
      </c>
      <c r="C372" s="3">
        <v>18.0</v>
      </c>
      <c r="D372" s="3" t="s">
        <v>6645</v>
      </c>
      <c r="E372" s="3" t="s">
        <v>6646</v>
      </c>
      <c r="F372" s="3" t="s">
        <v>6646</v>
      </c>
      <c r="G372" s="3" t="s">
        <v>6645</v>
      </c>
      <c r="H372" s="3" t="s">
        <v>6645</v>
      </c>
      <c r="I372" s="3" t="s">
        <v>6646</v>
      </c>
      <c r="J372" s="3">
        <v>9.0</v>
      </c>
      <c r="K372" s="3">
        <v>0.0</v>
      </c>
      <c r="L372" s="3">
        <v>0.0</v>
      </c>
      <c r="M372" s="3">
        <v>0.0</v>
      </c>
      <c r="N372" s="3">
        <v>539.304</v>
      </c>
      <c r="O372" s="3">
        <v>78.0</v>
      </c>
      <c r="P372" s="3" t="e">
        <v>#N/A</v>
      </c>
      <c r="Q372" s="3">
        <v>39.0</v>
      </c>
      <c r="R372" s="3">
        <v>34.0</v>
      </c>
      <c r="S372" s="3">
        <v>32.0</v>
      </c>
      <c r="T372" s="3">
        <v>34.0</v>
      </c>
      <c r="U372" s="3">
        <v>35.0</v>
      </c>
      <c r="V372" s="3">
        <v>37.0</v>
      </c>
      <c r="W372" s="3">
        <v>48.0</v>
      </c>
      <c r="X372" s="3">
        <v>38.0</v>
      </c>
      <c r="Y372" s="3">
        <v>31.0</v>
      </c>
      <c r="Z372" s="3">
        <v>29.0</v>
      </c>
      <c r="AA372" s="3">
        <v>39.0</v>
      </c>
      <c r="AB372" s="3">
        <v>23.0</v>
      </c>
      <c r="AC372" s="3">
        <v>27.0</v>
      </c>
      <c r="AD372" s="3">
        <v>45.0</v>
      </c>
      <c r="AE372" s="3">
        <v>33.0</v>
      </c>
      <c r="AF372" s="3">
        <v>33.0</v>
      </c>
      <c r="AG372" s="3">
        <v>26.0</v>
      </c>
      <c r="AH372" s="3">
        <v>63.0</v>
      </c>
      <c r="AI372" s="3">
        <v>66.0</v>
      </c>
      <c r="AJ372" s="3">
        <v>34.0</v>
      </c>
      <c r="AK372" s="3">
        <v>56.0</v>
      </c>
      <c r="AL372" s="3">
        <v>50.0</v>
      </c>
      <c r="AM372" s="3">
        <v>11.0</v>
      </c>
      <c r="AN372" s="3">
        <v>33.0</v>
      </c>
    </row>
    <row r="373" ht="14.25" customHeight="1">
      <c r="A373" s="3">
        <v>371.0</v>
      </c>
      <c r="B373" s="3" t="s">
        <v>6847</v>
      </c>
      <c r="C373" s="3">
        <v>24.0</v>
      </c>
      <c r="D373" s="3" t="s">
        <v>6645</v>
      </c>
      <c r="E373" s="3" t="s">
        <v>6646</v>
      </c>
      <c r="F373" s="3" t="s">
        <v>6646</v>
      </c>
      <c r="G373" s="3" t="s">
        <v>6645</v>
      </c>
      <c r="H373" s="3" t="s">
        <v>6645</v>
      </c>
      <c r="I373" s="3" t="s">
        <v>6645</v>
      </c>
      <c r="J373" s="3">
        <v>9.0</v>
      </c>
      <c r="K373" s="3">
        <v>0.0</v>
      </c>
      <c r="L373" s="3">
        <v>0.0</v>
      </c>
      <c r="M373" s="3">
        <v>0.0</v>
      </c>
      <c r="N373" s="3">
        <v>444.098</v>
      </c>
      <c r="O373" s="3">
        <v>76.0</v>
      </c>
      <c r="P373" s="3" t="e">
        <v>#N/A</v>
      </c>
      <c r="Q373" s="3">
        <v>33.0</v>
      </c>
      <c r="R373" s="3">
        <v>38.0</v>
      </c>
      <c r="S373" s="3">
        <v>34.0</v>
      </c>
      <c r="T373" s="3">
        <v>30.0</v>
      </c>
      <c r="U373" s="3">
        <v>33.0</v>
      </c>
      <c r="V373" s="3">
        <v>36.0</v>
      </c>
      <c r="W373" s="3">
        <v>47.0</v>
      </c>
      <c r="X373" s="3">
        <v>39.0</v>
      </c>
      <c r="Y373" s="3">
        <v>27.0</v>
      </c>
      <c r="Z373" s="3">
        <v>32.0</v>
      </c>
      <c r="AA373" s="3">
        <v>44.0</v>
      </c>
      <c r="AB373" s="3">
        <v>20.0</v>
      </c>
      <c r="AC373" s="3">
        <v>24.0</v>
      </c>
      <c r="AD373" s="3">
        <v>40.0</v>
      </c>
      <c r="AE373" s="3">
        <v>23.0</v>
      </c>
      <c r="AF373" s="3">
        <v>30.0</v>
      </c>
      <c r="AG373" s="3">
        <v>26.0</v>
      </c>
      <c r="AH373" s="3">
        <v>78.0</v>
      </c>
      <c r="AI373" s="3">
        <v>72.0</v>
      </c>
      <c r="AJ373" s="3">
        <v>59.0</v>
      </c>
      <c r="AK373" s="3">
        <v>7.0</v>
      </c>
      <c r="AL373" s="3">
        <v>31.0</v>
      </c>
      <c r="AM373" s="3">
        <v>37.0</v>
      </c>
      <c r="AN373" s="3">
        <v>54.0</v>
      </c>
    </row>
    <row r="374" ht="14.25" customHeight="1">
      <c r="A374" s="3">
        <v>372.0</v>
      </c>
      <c r="B374" s="3" t="s">
        <v>6848</v>
      </c>
      <c r="C374" s="3">
        <v>17.0</v>
      </c>
      <c r="D374" s="3" t="s">
        <v>6645</v>
      </c>
      <c r="E374" s="3" t="s">
        <v>6646</v>
      </c>
      <c r="F374" s="3" t="s">
        <v>6646</v>
      </c>
      <c r="G374" s="3" t="s">
        <v>6645</v>
      </c>
      <c r="H374" s="3" t="s">
        <v>6645</v>
      </c>
      <c r="I374" s="3" t="s">
        <v>6646</v>
      </c>
      <c r="J374" s="3">
        <v>9.0</v>
      </c>
      <c r="K374" s="3">
        <v>0.0</v>
      </c>
      <c r="L374" s="3">
        <v>0.0</v>
      </c>
      <c r="M374" s="3">
        <v>0.0</v>
      </c>
      <c r="N374" s="3">
        <v>497.54</v>
      </c>
      <c r="O374" s="3">
        <v>112.0</v>
      </c>
      <c r="P374" s="3" t="e">
        <v>#N/A</v>
      </c>
      <c r="Q374" s="3">
        <v>37.0</v>
      </c>
      <c r="R374" s="3">
        <v>39.0</v>
      </c>
      <c r="S374" s="3">
        <v>30.0</v>
      </c>
      <c r="T374" s="3">
        <v>37.0</v>
      </c>
      <c r="U374" s="3">
        <v>33.0</v>
      </c>
      <c r="V374" s="3">
        <v>34.0</v>
      </c>
      <c r="W374" s="3">
        <v>44.0</v>
      </c>
      <c r="X374" s="3">
        <v>48.0</v>
      </c>
      <c r="Y374" s="3">
        <v>25.0</v>
      </c>
      <c r="Z374" s="3">
        <v>25.0</v>
      </c>
      <c r="AA374" s="3">
        <v>45.0</v>
      </c>
      <c r="AB374" s="3">
        <v>33.0</v>
      </c>
      <c r="AC374" s="3">
        <v>25.0</v>
      </c>
      <c r="AD374" s="3">
        <v>38.0</v>
      </c>
      <c r="AE374" s="3">
        <v>25.0</v>
      </c>
      <c r="AF374" s="3">
        <v>32.0</v>
      </c>
      <c r="AG374" s="3">
        <v>55.0</v>
      </c>
      <c r="AH374" s="3">
        <v>71.0</v>
      </c>
      <c r="AI374" s="3">
        <v>74.0</v>
      </c>
      <c r="AJ374" s="3">
        <v>58.0</v>
      </c>
      <c r="AK374" s="3">
        <v>43.0</v>
      </c>
      <c r="AL374" s="3">
        <v>33.0</v>
      </c>
      <c r="AM374" s="3">
        <v>34.0</v>
      </c>
      <c r="AN374" s="3">
        <v>8.0</v>
      </c>
    </row>
    <row r="375" ht="14.25" customHeight="1">
      <c r="A375" s="3">
        <v>373.0</v>
      </c>
      <c r="B375" s="3" t="s">
        <v>6849</v>
      </c>
      <c r="C375" s="3">
        <v>18.0</v>
      </c>
      <c r="D375" s="3" t="s">
        <v>6645</v>
      </c>
      <c r="E375" s="3" t="s">
        <v>6646</v>
      </c>
      <c r="F375" s="3" t="s">
        <v>6646</v>
      </c>
      <c r="G375" s="3" t="s">
        <v>6645</v>
      </c>
      <c r="H375" s="3" t="s">
        <v>6645</v>
      </c>
      <c r="I375" s="3" t="s">
        <v>6645</v>
      </c>
      <c r="J375" s="3">
        <v>9.0</v>
      </c>
      <c r="K375" s="3">
        <v>0.0</v>
      </c>
      <c r="L375" s="3">
        <v>0.0</v>
      </c>
      <c r="M375" s="3">
        <v>0.0</v>
      </c>
      <c r="N375" s="3">
        <v>613.449</v>
      </c>
      <c r="O375" s="3">
        <v>94.0</v>
      </c>
      <c r="P375" s="3" t="e">
        <v>#N/A</v>
      </c>
      <c r="Q375" s="3">
        <v>32.0</v>
      </c>
      <c r="R375" s="3">
        <v>32.0</v>
      </c>
      <c r="S375" s="3">
        <v>32.0</v>
      </c>
      <c r="T375" s="3">
        <v>32.0</v>
      </c>
      <c r="U375" s="3">
        <v>37.0</v>
      </c>
      <c r="V375" s="3">
        <v>38.0</v>
      </c>
      <c r="W375" s="3">
        <v>36.0</v>
      </c>
      <c r="X375" s="3">
        <v>40.0</v>
      </c>
      <c r="Y375" s="3">
        <v>22.0</v>
      </c>
      <c r="Z375" s="3">
        <v>34.0</v>
      </c>
      <c r="AA375" s="3">
        <v>41.0</v>
      </c>
      <c r="AB375" s="3">
        <v>26.0</v>
      </c>
      <c r="AC375" s="3">
        <v>31.0</v>
      </c>
      <c r="AD375" s="3">
        <v>42.0</v>
      </c>
      <c r="AE375" s="3">
        <v>38.0</v>
      </c>
      <c r="AF375" s="3">
        <v>6.0</v>
      </c>
      <c r="AG375" s="3">
        <v>40.0</v>
      </c>
      <c r="AH375" s="3">
        <v>76.0</v>
      </c>
      <c r="AI375" s="3">
        <v>63.0</v>
      </c>
      <c r="AJ375" s="3">
        <v>33.0</v>
      </c>
      <c r="AK375" s="3">
        <v>39.0</v>
      </c>
      <c r="AL375" s="3">
        <v>49.0</v>
      </c>
      <c r="AM375" s="3">
        <v>50.0</v>
      </c>
      <c r="AN375" s="3">
        <v>40.0</v>
      </c>
    </row>
    <row r="376" ht="14.25" customHeight="1">
      <c r="A376" s="3">
        <v>374.0</v>
      </c>
      <c r="B376" s="3" t="s">
        <v>6850</v>
      </c>
      <c r="C376" s="3">
        <v>18.0</v>
      </c>
      <c r="D376" s="3" t="s">
        <v>6645</v>
      </c>
      <c r="E376" s="3" t="s">
        <v>6646</v>
      </c>
      <c r="F376" s="3" t="s">
        <v>6646</v>
      </c>
      <c r="G376" s="3" t="s">
        <v>6645</v>
      </c>
      <c r="H376" s="3" t="s">
        <v>6645</v>
      </c>
      <c r="I376" s="3" t="s">
        <v>6646</v>
      </c>
      <c r="J376" s="3">
        <v>9.0</v>
      </c>
      <c r="K376" s="3">
        <v>0.0</v>
      </c>
      <c r="L376" s="3">
        <v>0.0</v>
      </c>
      <c r="M376" s="3">
        <v>0.0</v>
      </c>
      <c r="N376" s="3">
        <v>503.59027</v>
      </c>
      <c r="O376" s="3">
        <v>111.0</v>
      </c>
      <c r="P376" s="3" t="e">
        <v>#N/A</v>
      </c>
      <c r="Q376" s="3">
        <v>30.0</v>
      </c>
      <c r="R376" s="3">
        <v>36.0</v>
      </c>
      <c r="S376" s="3">
        <v>39.0</v>
      </c>
      <c r="T376" s="3">
        <v>38.0</v>
      </c>
      <c r="U376" s="3">
        <v>33.0</v>
      </c>
      <c r="V376" s="3">
        <v>30.0</v>
      </c>
      <c r="W376" s="3">
        <v>48.0</v>
      </c>
      <c r="X376" s="3">
        <v>45.0</v>
      </c>
      <c r="Y376" s="3">
        <v>21.0</v>
      </c>
      <c r="Z376" s="3">
        <v>27.0</v>
      </c>
      <c r="AA376" s="3">
        <v>44.0</v>
      </c>
      <c r="AB376" s="3">
        <v>27.0</v>
      </c>
      <c r="AC376" s="3">
        <v>34.0</v>
      </c>
      <c r="AD376" s="3">
        <v>42.0</v>
      </c>
      <c r="AE376" s="3">
        <v>34.0</v>
      </c>
      <c r="AF376" s="3">
        <v>45.0</v>
      </c>
      <c r="AG376" s="3">
        <v>49.0</v>
      </c>
      <c r="AH376" s="3">
        <v>75.0</v>
      </c>
      <c r="AI376" s="3">
        <v>66.0</v>
      </c>
      <c r="AJ376" s="3">
        <v>59.0</v>
      </c>
      <c r="AK376" s="3">
        <v>31.0</v>
      </c>
      <c r="AL376" s="3">
        <v>25.0</v>
      </c>
      <c r="AM376" s="3">
        <v>0.0</v>
      </c>
      <c r="AN376" s="3">
        <v>53.0</v>
      </c>
    </row>
    <row r="377" ht="14.25" customHeight="1">
      <c r="A377" s="3">
        <v>375.0</v>
      </c>
      <c r="B377" s="3" t="s">
        <v>6851</v>
      </c>
      <c r="C377" s="3">
        <v>23.0</v>
      </c>
      <c r="D377" s="3" t="s">
        <v>6645</v>
      </c>
      <c r="E377" s="3" t="s">
        <v>6646</v>
      </c>
      <c r="F377" s="3" t="s">
        <v>6646</v>
      </c>
      <c r="G377" s="3" t="s">
        <v>6645</v>
      </c>
      <c r="H377" s="3" t="s">
        <v>6645</v>
      </c>
      <c r="I377" s="3" t="s">
        <v>6646</v>
      </c>
      <c r="J377" s="3">
        <v>9.0</v>
      </c>
      <c r="K377" s="3">
        <v>0.0</v>
      </c>
      <c r="L377" s="3">
        <v>0.0</v>
      </c>
      <c r="M377" s="3">
        <v>0.0</v>
      </c>
      <c r="N377" s="3">
        <v>593.46484</v>
      </c>
      <c r="O377" s="3">
        <v>103.0</v>
      </c>
      <c r="P377" s="3" t="e">
        <v>#N/A</v>
      </c>
      <c r="Q377" s="3">
        <v>37.0</v>
      </c>
      <c r="R377" s="3">
        <v>34.0</v>
      </c>
      <c r="S377" s="3">
        <v>30.0</v>
      </c>
      <c r="T377" s="3">
        <v>31.0</v>
      </c>
      <c r="U377" s="3">
        <v>37.0</v>
      </c>
      <c r="V377" s="3">
        <v>38.0</v>
      </c>
      <c r="W377" s="3">
        <v>40.0</v>
      </c>
      <c r="X377" s="3">
        <v>44.0</v>
      </c>
      <c r="Y377" s="3">
        <v>34.0</v>
      </c>
      <c r="Z377" s="3">
        <v>25.0</v>
      </c>
      <c r="AA377" s="3">
        <v>48.0</v>
      </c>
      <c r="AB377" s="3">
        <v>23.0</v>
      </c>
      <c r="AC377" s="3">
        <v>25.0</v>
      </c>
      <c r="AD377" s="3">
        <v>47.0</v>
      </c>
      <c r="AE377" s="3">
        <v>27.0</v>
      </c>
      <c r="AF377" s="3">
        <v>14.0</v>
      </c>
      <c r="AG377" s="3">
        <v>47.0</v>
      </c>
      <c r="AH377" s="3">
        <v>67.0</v>
      </c>
      <c r="AI377" s="3">
        <v>64.0</v>
      </c>
      <c r="AJ377" s="3">
        <v>45.0</v>
      </c>
      <c r="AK377" s="3">
        <v>26.0</v>
      </c>
      <c r="AL377" s="3">
        <v>58.0</v>
      </c>
      <c r="AM377" s="3">
        <v>35.0</v>
      </c>
      <c r="AN377" s="3">
        <v>34.0</v>
      </c>
    </row>
    <row r="378" ht="14.25" customHeight="1">
      <c r="A378" s="3">
        <v>376.0</v>
      </c>
      <c r="B378" s="3" t="s">
        <v>6852</v>
      </c>
      <c r="C378" s="3">
        <v>38.0</v>
      </c>
      <c r="D378" s="3" t="s">
        <v>6645</v>
      </c>
      <c r="E378" s="3" t="s">
        <v>6646</v>
      </c>
      <c r="F378" s="3" t="s">
        <v>6646</v>
      </c>
      <c r="G378" s="3" t="s">
        <v>6645</v>
      </c>
      <c r="H378" s="3" t="s">
        <v>6645</v>
      </c>
      <c r="I378" s="3" t="s">
        <v>6645</v>
      </c>
      <c r="J378" s="3">
        <v>10.0</v>
      </c>
      <c r="K378" s="3">
        <v>4.0</v>
      </c>
      <c r="L378" s="3">
        <v>0.0</v>
      </c>
      <c r="M378" s="3">
        <v>0.0</v>
      </c>
      <c r="N378" s="3">
        <v>15064.067</v>
      </c>
      <c r="O378" s="3">
        <v>1676.0</v>
      </c>
      <c r="P378" s="3" t="e">
        <v>#N/A</v>
      </c>
      <c r="Q378" s="3">
        <v>81.0</v>
      </c>
      <c r="R378" s="3">
        <v>68.0</v>
      </c>
      <c r="S378" s="3">
        <v>68.0</v>
      </c>
      <c r="T378" s="3">
        <v>63.0</v>
      </c>
      <c r="U378" s="3">
        <v>81.0</v>
      </c>
      <c r="V378" s="3">
        <v>62.0</v>
      </c>
      <c r="W378" s="3">
        <v>87.0</v>
      </c>
      <c r="X378" s="3">
        <v>69.0</v>
      </c>
      <c r="Y378" s="3">
        <v>84.0</v>
      </c>
      <c r="Z378" s="3">
        <v>82.0</v>
      </c>
      <c r="AA378" s="3">
        <v>65.0</v>
      </c>
      <c r="AB378" s="3">
        <v>60.0</v>
      </c>
      <c r="AC378" s="3">
        <v>82.0</v>
      </c>
      <c r="AD378" s="3">
        <v>74.0</v>
      </c>
      <c r="AE378" s="3">
        <v>63.0</v>
      </c>
      <c r="AF378" s="3">
        <v>77.0</v>
      </c>
      <c r="AG378" s="3">
        <v>71.0</v>
      </c>
      <c r="AH378" s="3">
        <v>72.0</v>
      </c>
      <c r="AI378" s="3">
        <v>61.0</v>
      </c>
      <c r="AJ378" s="3">
        <v>52.0</v>
      </c>
      <c r="AK378" s="3">
        <v>51.0</v>
      </c>
      <c r="AL378" s="3">
        <v>57.0</v>
      </c>
      <c r="AM378" s="3">
        <v>30.0</v>
      </c>
      <c r="AN378" s="3">
        <v>61.0</v>
      </c>
    </row>
    <row r="379" ht="14.25" customHeight="1">
      <c r="A379" s="3">
        <v>377.0</v>
      </c>
      <c r="B379" s="3" t="s">
        <v>6853</v>
      </c>
      <c r="C379" s="3">
        <v>35.0</v>
      </c>
      <c r="D379" s="3" t="s">
        <v>6645</v>
      </c>
      <c r="E379" s="3" t="s">
        <v>6646</v>
      </c>
      <c r="F379" s="3" t="s">
        <v>6646</v>
      </c>
      <c r="G379" s="3" t="s">
        <v>6645</v>
      </c>
      <c r="H379" s="3" t="s">
        <v>6645</v>
      </c>
      <c r="I379" s="3" t="s">
        <v>6645</v>
      </c>
      <c r="J379" s="3">
        <v>10.0</v>
      </c>
      <c r="K379" s="3">
        <v>4.0</v>
      </c>
      <c r="L379" s="3">
        <v>0.0</v>
      </c>
      <c r="M379" s="3">
        <v>0.0</v>
      </c>
      <c r="N379" s="3">
        <v>17507.902</v>
      </c>
      <c r="O379" s="3">
        <v>1340.0</v>
      </c>
      <c r="P379" s="3" t="e">
        <v>#N/A</v>
      </c>
      <c r="Q379" s="3">
        <v>84.0</v>
      </c>
      <c r="R379" s="3">
        <v>66.0</v>
      </c>
      <c r="S379" s="3">
        <v>67.0</v>
      </c>
      <c r="T379" s="3">
        <v>64.0</v>
      </c>
      <c r="U379" s="3">
        <v>86.0</v>
      </c>
      <c r="V379" s="3">
        <v>64.0</v>
      </c>
      <c r="W379" s="3">
        <v>89.0</v>
      </c>
      <c r="X379" s="3">
        <v>75.0</v>
      </c>
      <c r="Y379" s="3">
        <v>77.0</v>
      </c>
      <c r="Z379" s="3">
        <v>85.0</v>
      </c>
      <c r="AA379" s="3">
        <v>62.0</v>
      </c>
      <c r="AB379" s="3">
        <v>65.0</v>
      </c>
      <c r="AC379" s="3">
        <v>84.0</v>
      </c>
      <c r="AD379" s="3">
        <v>84.0</v>
      </c>
      <c r="AE379" s="3">
        <v>66.0</v>
      </c>
      <c r="AF379" s="3">
        <v>75.0</v>
      </c>
      <c r="AG379" s="3">
        <v>44.0</v>
      </c>
      <c r="AH379" s="3">
        <v>54.0</v>
      </c>
      <c r="AI379" s="3">
        <v>58.0</v>
      </c>
      <c r="AJ379" s="3">
        <v>58.0</v>
      </c>
      <c r="AK379" s="3">
        <v>48.0</v>
      </c>
      <c r="AL379" s="3">
        <v>47.0</v>
      </c>
      <c r="AM379" s="3">
        <v>44.0</v>
      </c>
      <c r="AN379" s="3">
        <v>35.0</v>
      </c>
    </row>
    <row r="380" ht="14.25" customHeight="1">
      <c r="A380" s="3">
        <v>378.0</v>
      </c>
      <c r="B380" s="3" t="s">
        <v>6854</v>
      </c>
      <c r="C380" s="3">
        <v>41.0</v>
      </c>
      <c r="D380" s="3" t="s">
        <v>6645</v>
      </c>
      <c r="E380" s="3" t="s">
        <v>6646</v>
      </c>
      <c r="F380" s="3" t="s">
        <v>6646</v>
      </c>
      <c r="G380" s="3" t="s">
        <v>6645</v>
      </c>
      <c r="H380" s="3" t="s">
        <v>6645</v>
      </c>
      <c r="I380" s="3" t="s">
        <v>6645</v>
      </c>
      <c r="J380" s="3">
        <v>10.0</v>
      </c>
      <c r="K380" s="3">
        <v>4.0</v>
      </c>
      <c r="L380" s="3">
        <v>0.0</v>
      </c>
      <c r="M380" s="3">
        <v>0.0</v>
      </c>
      <c r="N380" s="3">
        <v>16844.474</v>
      </c>
      <c r="O380" s="3">
        <v>1453.0</v>
      </c>
      <c r="P380" s="3" t="e">
        <v>#N/A</v>
      </c>
      <c r="Q380" s="3">
        <v>83.0</v>
      </c>
      <c r="R380" s="3">
        <v>66.0</v>
      </c>
      <c r="S380" s="3">
        <v>69.0</v>
      </c>
      <c r="T380" s="3">
        <v>68.0</v>
      </c>
      <c r="U380" s="3">
        <v>79.0</v>
      </c>
      <c r="V380" s="3">
        <v>70.0</v>
      </c>
      <c r="W380" s="3">
        <v>83.0</v>
      </c>
      <c r="X380" s="3">
        <v>75.0</v>
      </c>
      <c r="Y380" s="3">
        <v>81.0</v>
      </c>
      <c r="Z380" s="3">
        <v>87.0</v>
      </c>
      <c r="AA380" s="3">
        <v>60.0</v>
      </c>
      <c r="AB380" s="3">
        <v>65.0</v>
      </c>
      <c r="AC380" s="3">
        <v>85.0</v>
      </c>
      <c r="AD380" s="3">
        <v>71.0</v>
      </c>
      <c r="AE380" s="3">
        <v>63.0</v>
      </c>
      <c r="AF380" s="3">
        <v>82.0</v>
      </c>
      <c r="AG380" s="3">
        <v>51.0</v>
      </c>
      <c r="AH380" s="3">
        <v>49.0</v>
      </c>
      <c r="AI380" s="3">
        <v>56.0</v>
      </c>
      <c r="AJ380" s="3">
        <v>71.0</v>
      </c>
      <c r="AK380" s="3">
        <v>66.0</v>
      </c>
      <c r="AL380" s="3">
        <v>64.0</v>
      </c>
      <c r="AM380" s="3">
        <v>66.0</v>
      </c>
      <c r="AN380" s="3">
        <v>62.0</v>
      </c>
    </row>
    <row r="381" ht="14.25" customHeight="1">
      <c r="A381" s="3">
        <v>379.0</v>
      </c>
      <c r="B381" s="3" t="s">
        <v>6855</v>
      </c>
      <c r="C381" s="3">
        <v>36.0</v>
      </c>
      <c r="D381" s="3" t="s">
        <v>6645</v>
      </c>
      <c r="E381" s="3" t="s">
        <v>6646</v>
      </c>
      <c r="F381" s="3" t="s">
        <v>6646</v>
      </c>
      <c r="G381" s="3" t="s">
        <v>6645</v>
      </c>
      <c r="H381" s="3" t="s">
        <v>6645</v>
      </c>
      <c r="I381" s="3" t="s">
        <v>6645</v>
      </c>
      <c r="J381" s="3">
        <v>10.0</v>
      </c>
      <c r="K381" s="3">
        <v>4.0</v>
      </c>
      <c r="L381" s="3">
        <v>0.0</v>
      </c>
      <c r="M381" s="3">
        <v>0.0</v>
      </c>
      <c r="N381" s="3">
        <v>16082.454</v>
      </c>
      <c r="O381" s="3">
        <v>1820.0</v>
      </c>
      <c r="P381" s="3" t="e">
        <v>#N/A</v>
      </c>
      <c r="Q381" s="3">
        <v>84.0</v>
      </c>
      <c r="R381" s="3">
        <v>71.0</v>
      </c>
      <c r="S381" s="3">
        <v>62.0</v>
      </c>
      <c r="T381" s="3">
        <v>67.0</v>
      </c>
      <c r="U381" s="3">
        <v>79.0</v>
      </c>
      <c r="V381" s="3">
        <v>65.0</v>
      </c>
      <c r="W381" s="3">
        <v>84.0</v>
      </c>
      <c r="X381" s="3">
        <v>77.0</v>
      </c>
      <c r="Y381" s="3">
        <v>82.0</v>
      </c>
      <c r="Z381" s="3">
        <v>80.0</v>
      </c>
      <c r="AA381" s="3">
        <v>70.0</v>
      </c>
      <c r="AB381" s="3">
        <v>61.0</v>
      </c>
      <c r="AC381" s="3">
        <v>90.0</v>
      </c>
      <c r="AD381" s="3">
        <v>79.0</v>
      </c>
      <c r="AE381" s="3">
        <v>58.0</v>
      </c>
      <c r="AF381" s="3">
        <v>78.0</v>
      </c>
      <c r="AG381" s="3">
        <v>57.0</v>
      </c>
      <c r="AH381" s="3">
        <v>63.0</v>
      </c>
      <c r="AI381" s="3">
        <v>73.0</v>
      </c>
      <c r="AJ381" s="3">
        <v>67.0</v>
      </c>
      <c r="AK381" s="3">
        <v>71.0</v>
      </c>
      <c r="AL381" s="3">
        <v>54.0</v>
      </c>
      <c r="AM381" s="3">
        <v>38.0</v>
      </c>
      <c r="AN381" s="3">
        <v>63.0</v>
      </c>
    </row>
    <row r="382" ht="14.25" customHeight="1">
      <c r="A382" s="3">
        <v>380.0</v>
      </c>
      <c r="B382" s="3" t="s">
        <v>6856</v>
      </c>
      <c r="C382" s="3">
        <v>32.0</v>
      </c>
      <c r="D382" s="3" t="s">
        <v>6645</v>
      </c>
      <c r="E382" s="3" t="s">
        <v>6646</v>
      </c>
      <c r="F382" s="3" t="s">
        <v>6646</v>
      </c>
      <c r="G382" s="3" t="s">
        <v>6645</v>
      </c>
      <c r="H382" s="3" t="s">
        <v>6645</v>
      </c>
      <c r="I382" s="3" t="s">
        <v>6645</v>
      </c>
      <c r="J382" s="3">
        <v>10.0</v>
      </c>
      <c r="K382" s="3">
        <v>3.0</v>
      </c>
      <c r="L382" s="3">
        <v>0.0</v>
      </c>
      <c r="M382" s="3">
        <v>0.0</v>
      </c>
      <c r="N382" s="3">
        <v>9628.61</v>
      </c>
      <c r="O382" s="3">
        <v>783.0</v>
      </c>
      <c r="P382" s="3" t="e">
        <v>#N/A</v>
      </c>
      <c r="Q382" s="3">
        <v>65.0</v>
      </c>
      <c r="R382" s="3">
        <v>55.0</v>
      </c>
      <c r="S382" s="3">
        <v>61.0</v>
      </c>
      <c r="T382" s="3">
        <v>63.0</v>
      </c>
      <c r="U382" s="3">
        <v>63.0</v>
      </c>
      <c r="V382" s="3">
        <v>60.0</v>
      </c>
      <c r="W382" s="3">
        <v>66.0</v>
      </c>
      <c r="X382" s="3">
        <v>66.0</v>
      </c>
      <c r="Y382" s="3">
        <v>69.0</v>
      </c>
      <c r="Z382" s="3">
        <v>67.0</v>
      </c>
      <c r="AA382" s="3">
        <v>52.0</v>
      </c>
      <c r="AB382" s="3">
        <v>54.0</v>
      </c>
      <c r="AC382" s="3">
        <v>65.0</v>
      </c>
      <c r="AD382" s="3">
        <v>51.0</v>
      </c>
      <c r="AE382" s="3">
        <v>51.0</v>
      </c>
      <c r="AF382" s="3">
        <v>80.0</v>
      </c>
      <c r="AG382" s="3">
        <v>70.0</v>
      </c>
      <c r="AH382" s="3">
        <v>46.0</v>
      </c>
      <c r="AI382" s="3">
        <v>56.0</v>
      </c>
      <c r="AJ382" s="3">
        <v>38.0</v>
      </c>
      <c r="AK382" s="3">
        <v>54.0</v>
      </c>
      <c r="AL382" s="3">
        <v>62.0</v>
      </c>
      <c r="AM382" s="3">
        <v>66.0</v>
      </c>
      <c r="AN382" s="3">
        <v>56.0</v>
      </c>
    </row>
    <row r="383" ht="14.25" customHeight="1">
      <c r="A383" s="3">
        <v>381.0</v>
      </c>
      <c r="B383" s="3" t="s">
        <v>6857</v>
      </c>
      <c r="C383" s="3">
        <v>34.0</v>
      </c>
      <c r="D383" s="3" t="s">
        <v>6645</v>
      </c>
      <c r="E383" s="3" t="s">
        <v>6646</v>
      </c>
      <c r="F383" s="3" t="s">
        <v>6646</v>
      </c>
      <c r="G383" s="3" t="s">
        <v>6645</v>
      </c>
      <c r="H383" s="3" t="s">
        <v>6645</v>
      </c>
      <c r="I383" s="3" t="s">
        <v>6645</v>
      </c>
      <c r="J383" s="3">
        <v>10.0</v>
      </c>
      <c r="K383" s="3">
        <v>3.0</v>
      </c>
      <c r="L383" s="3">
        <v>0.0</v>
      </c>
      <c r="M383" s="3">
        <v>0.0</v>
      </c>
      <c r="N383" s="3">
        <v>8679.41</v>
      </c>
      <c r="O383" s="3">
        <v>848.0</v>
      </c>
      <c r="P383" s="3" t="e">
        <v>#N/A</v>
      </c>
      <c r="Q383" s="3">
        <v>59.0</v>
      </c>
      <c r="R383" s="3">
        <v>59.0</v>
      </c>
      <c r="S383" s="3">
        <v>59.0</v>
      </c>
      <c r="T383" s="3">
        <v>54.0</v>
      </c>
      <c r="U383" s="3">
        <v>63.0</v>
      </c>
      <c r="V383" s="3">
        <v>62.0</v>
      </c>
      <c r="W383" s="3">
        <v>67.0</v>
      </c>
      <c r="X383" s="3">
        <v>51.0</v>
      </c>
      <c r="Y383" s="3">
        <v>66.0</v>
      </c>
      <c r="Z383" s="3">
        <v>65.0</v>
      </c>
      <c r="AA383" s="3">
        <v>51.0</v>
      </c>
      <c r="AB383" s="3">
        <v>61.0</v>
      </c>
      <c r="AC383" s="3">
        <v>67.0</v>
      </c>
      <c r="AD383" s="3">
        <v>57.0</v>
      </c>
      <c r="AE383" s="3">
        <v>51.0</v>
      </c>
      <c r="AF383" s="3">
        <v>69.0</v>
      </c>
      <c r="AG383" s="3">
        <v>48.0</v>
      </c>
      <c r="AH383" s="3">
        <v>42.0</v>
      </c>
      <c r="AI383" s="3">
        <v>50.0</v>
      </c>
      <c r="AJ383" s="3">
        <v>68.0</v>
      </c>
      <c r="AK383" s="3">
        <v>50.0</v>
      </c>
      <c r="AL383" s="3">
        <v>48.0</v>
      </c>
      <c r="AM383" s="3">
        <v>37.0</v>
      </c>
      <c r="AN383" s="3">
        <v>50.0</v>
      </c>
    </row>
    <row r="384" ht="14.25" customHeight="1">
      <c r="A384" s="3">
        <v>382.0</v>
      </c>
      <c r="B384" s="3" t="s">
        <v>6858</v>
      </c>
      <c r="C384" s="3">
        <v>30.0</v>
      </c>
      <c r="D384" s="3" t="s">
        <v>6645</v>
      </c>
      <c r="E384" s="3" t="s">
        <v>6646</v>
      </c>
      <c r="F384" s="3" t="s">
        <v>6646</v>
      </c>
      <c r="G384" s="3" t="s">
        <v>6645</v>
      </c>
      <c r="H384" s="3" t="s">
        <v>6645</v>
      </c>
      <c r="I384" s="3" t="s">
        <v>6645</v>
      </c>
      <c r="J384" s="3">
        <v>10.0</v>
      </c>
      <c r="K384" s="3">
        <v>3.0</v>
      </c>
      <c r="L384" s="3">
        <v>0.0</v>
      </c>
      <c r="M384" s="3">
        <v>0.0</v>
      </c>
      <c r="N384" s="3">
        <v>9440.8544</v>
      </c>
      <c r="O384" s="3">
        <v>944.0</v>
      </c>
      <c r="P384" s="3" t="e">
        <v>#N/A</v>
      </c>
      <c r="Q384" s="3">
        <v>58.0</v>
      </c>
      <c r="R384" s="3">
        <v>54.0</v>
      </c>
      <c r="S384" s="3">
        <v>63.0</v>
      </c>
      <c r="T384" s="3">
        <v>54.0</v>
      </c>
      <c r="U384" s="3">
        <v>65.0</v>
      </c>
      <c r="V384" s="3">
        <v>59.0</v>
      </c>
      <c r="W384" s="3">
        <v>62.0</v>
      </c>
      <c r="X384" s="3">
        <v>59.0</v>
      </c>
      <c r="Y384" s="3">
        <v>68.0</v>
      </c>
      <c r="Z384" s="3">
        <v>70.0</v>
      </c>
      <c r="AA384" s="3">
        <v>51.0</v>
      </c>
      <c r="AB384" s="3">
        <v>56.0</v>
      </c>
      <c r="AC384" s="3">
        <v>69.0</v>
      </c>
      <c r="AD384" s="3">
        <v>62.0</v>
      </c>
      <c r="AE384" s="3">
        <v>50.0</v>
      </c>
      <c r="AF384" s="3">
        <v>79.0</v>
      </c>
      <c r="AG384" s="3">
        <v>56.0</v>
      </c>
      <c r="AH384" s="3">
        <v>64.0</v>
      </c>
      <c r="AI384" s="3">
        <v>64.0</v>
      </c>
      <c r="AJ384" s="3">
        <v>50.0</v>
      </c>
      <c r="AK384" s="3">
        <v>58.0</v>
      </c>
      <c r="AL384" s="3">
        <v>46.0</v>
      </c>
      <c r="AM384" s="3">
        <v>35.0</v>
      </c>
      <c r="AN384" s="3">
        <v>56.0</v>
      </c>
    </row>
    <row r="385" ht="14.25" customHeight="1">
      <c r="A385" s="3">
        <v>383.0</v>
      </c>
      <c r="B385" s="3" t="s">
        <v>6859</v>
      </c>
      <c r="C385" s="3">
        <v>31.0</v>
      </c>
      <c r="D385" s="3" t="s">
        <v>6645</v>
      </c>
      <c r="E385" s="3" t="s">
        <v>6646</v>
      </c>
      <c r="F385" s="3" t="s">
        <v>6646</v>
      </c>
      <c r="G385" s="3" t="s">
        <v>6645</v>
      </c>
      <c r="H385" s="3" t="s">
        <v>6645</v>
      </c>
      <c r="I385" s="3" t="s">
        <v>6645</v>
      </c>
      <c r="J385" s="3">
        <v>10.0</v>
      </c>
      <c r="K385" s="3">
        <v>3.0</v>
      </c>
      <c r="L385" s="3">
        <v>0.0</v>
      </c>
      <c r="M385" s="3">
        <v>0.0</v>
      </c>
      <c r="N385" s="3">
        <v>9030.32</v>
      </c>
      <c r="O385" s="3">
        <v>767.0</v>
      </c>
      <c r="P385" s="3" t="e">
        <v>#N/A</v>
      </c>
      <c r="Q385" s="3">
        <v>66.0</v>
      </c>
      <c r="R385" s="3">
        <v>55.0</v>
      </c>
      <c r="S385" s="3">
        <v>60.0</v>
      </c>
      <c r="T385" s="3">
        <v>61.0</v>
      </c>
      <c r="U385" s="3">
        <v>64.0</v>
      </c>
      <c r="V385" s="3">
        <v>54.0</v>
      </c>
      <c r="W385" s="3">
        <v>72.0</v>
      </c>
      <c r="X385" s="3">
        <v>60.0</v>
      </c>
      <c r="Y385" s="3">
        <v>61.0</v>
      </c>
      <c r="Z385" s="3">
        <v>72.0</v>
      </c>
      <c r="AA385" s="3">
        <v>54.0</v>
      </c>
      <c r="AB385" s="3">
        <v>62.0</v>
      </c>
      <c r="AC385" s="3">
        <v>66.0</v>
      </c>
      <c r="AD385" s="3">
        <v>54.0</v>
      </c>
      <c r="AE385" s="3">
        <v>57.0</v>
      </c>
      <c r="AF385" s="3">
        <v>78.0</v>
      </c>
      <c r="AG385" s="3">
        <v>50.0</v>
      </c>
      <c r="AH385" s="3">
        <v>30.0</v>
      </c>
      <c r="AI385" s="3">
        <v>52.0</v>
      </c>
      <c r="AJ385" s="3">
        <v>56.0</v>
      </c>
      <c r="AK385" s="3">
        <v>46.0</v>
      </c>
      <c r="AL385" s="3">
        <v>54.0</v>
      </c>
      <c r="AM385" s="3">
        <v>42.0</v>
      </c>
      <c r="AN385" s="3">
        <v>62.0</v>
      </c>
    </row>
    <row r="386" ht="14.25" customHeight="1">
      <c r="A386" s="3">
        <v>384.0</v>
      </c>
      <c r="B386" s="3" t="s">
        <v>6860</v>
      </c>
      <c r="C386" s="3">
        <v>25.0</v>
      </c>
      <c r="D386" s="3" t="s">
        <v>6645</v>
      </c>
      <c r="E386" s="3" t="s">
        <v>6646</v>
      </c>
      <c r="F386" s="3" t="s">
        <v>6646</v>
      </c>
      <c r="G386" s="3" t="s">
        <v>6645</v>
      </c>
      <c r="H386" s="3" t="s">
        <v>6645</v>
      </c>
      <c r="I386" s="3" t="s">
        <v>6645</v>
      </c>
      <c r="J386" s="3">
        <v>10.0</v>
      </c>
      <c r="K386" s="3">
        <v>2.0</v>
      </c>
      <c r="L386" s="3">
        <v>0.0</v>
      </c>
      <c r="M386" s="3">
        <v>0.0</v>
      </c>
      <c r="N386" s="3">
        <v>4780.2</v>
      </c>
      <c r="O386" s="3">
        <v>399.0</v>
      </c>
      <c r="P386" s="3" t="e">
        <v>#N/A</v>
      </c>
      <c r="Q386" s="3">
        <v>52.0</v>
      </c>
      <c r="R386" s="3">
        <v>50.0</v>
      </c>
      <c r="S386" s="3">
        <v>53.0</v>
      </c>
      <c r="T386" s="3">
        <v>55.0</v>
      </c>
      <c r="U386" s="3">
        <v>49.0</v>
      </c>
      <c r="V386" s="3">
        <v>49.0</v>
      </c>
      <c r="W386" s="3">
        <v>59.0</v>
      </c>
      <c r="X386" s="3">
        <v>51.0</v>
      </c>
      <c r="Y386" s="3">
        <v>60.0</v>
      </c>
      <c r="Z386" s="3">
        <v>50.0</v>
      </c>
      <c r="AA386" s="3">
        <v>45.0</v>
      </c>
      <c r="AB386" s="3">
        <v>46.0</v>
      </c>
      <c r="AC386" s="3">
        <v>55.0</v>
      </c>
      <c r="AD386" s="3">
        <v>39.0</v>
      </c>
      <c r="AE386" s="3">
        <v>41.0</v>
      </c>
      <c r="AF386" s="3">
        <v>82.0</v>
      </c>
      <c r="AG386" s="3">
        <v>59.0</v>
      </c>
      <c r="AH386" s="3">
        <v>39.0</v>
      </c>
      <c r="AI386" s="3">
        <v>65.0</v>
      </c>
      <c r="AJ386" s="3">
        <v>43.0</v>
      </c>
      <c r="AK386" s="3">
        <v>48.0</v>
      </c>
      <c r="AL386" s="3">
        <v>39.0</v>
      </c>
      <c r="AM386" s="3">
        <v>40.0</v>
      </c>
      <c r="AN386" s="3">
        <v>37.0</v>
      </c>
    </row>
    <row r="387" ht="14.25" customHeight="1">
      <c r="A387" s="3">
        <v>385.0</v>
      </c>
      <c r="B387" s="3" t="s">
        <v>6861</v>
      </c>
      <c r="C387" s="3">
        <v>30.0</v>
      </c>
      <c r="D387" s="3" t="s">
        <v>6645</v>
      </c>
      <c r="E387" s="3" t="s">
        <v>6646</v>
      </c>
      <c r="F387" s="3" t="s">
        <v>6646</v>
      </c>
      <c r="G387" s="3" t="s">
        <v>6645</v>
      </c>
      <c r="H387" s="3" t="s">
        <v>6645</v>
      </c>
      <c r="I387" s="3" t="s">
        <v>6645</v>
      </c>
      <c r="J387" s="3">
        <v>10.0</v>
      </c>
      <c r="K387" s="3">
        <v>2.0</v>
      </c>
      <c r="L387" s="3">
        <v>0.0</v>
      </c>
      <c r="M387" s="3">
        <v>0.0</v>
      </c>
      <c r="N387" s="3">
        <v>4847.9423</v>
      </c>
      <c r="O387" s="3">
        <v>421.0</v>
      </c>
      <c r="P387" s="3" t="e">
        <v>#N/A</v>
      </c>
      <c r="Q387" s="3">
        <v>53.0</v>
      </c>
      <c r="R387" s="3">
        <v>49.0</v>
      </c>
      <c r="S387" s="3">
        <v>48.0</v>
      </c>
      <c r="T387" s="3">
        <v>49.0</v>
      </c>
      <c r="U387" s="3">
        <v>50.0</v>
      </c>
      <c r="V387" s="3">
        <v>46.0</v>
      </c>
      <c r="W387" s="3">
        <v>50.0</v>
      </c>
      <c r="X387" s="3">
        <v>42.0</v>
      </c>
      <c r="Y387" s="3">
        <v>50.0</v>
      </c>
      <c r="Z387" s="3">
        <v>60.0</v>
      </c>
      <c r="AA387" s="3">
        <v>55.0</v>
      </c>
      <c r="AB387" s="3">
        <v>45.0</v>
      </c>
      <c r="AC387" s="3">
        <v>59.0</v>
      </c>
      <c r="AD387" s="3">
        <v>42.0</v>
      </c>
      <c r="AE387" s="3">
        <v>47.0</v>
      </c>
      <c r="AF387" s="3">
        <v>74.0</v>
      </c>
      <c r="AG387" s="3">
        <v>55.0</v>
      </c>
      <c r="AH387" s="3">
        <v>37.0</v>
      </c>
      <c r="AI387" s="3">
        <v>36.0</v>
      </c>
      <c r="AJ387" s="3">
        <v>46.0</v>
      </c>
      <c r="AK387" s="3">
        <v>47.0</v>
      </c>
      <c r="AL387" s="3">
        <v>49.0</v>
      </c>
      <c r="AM387" s="3">
        <v>40.0</v>
      </c>
      <c r="AN387" s="3">
        <v>53.0</v>
      </c>
    </row>
    <row r="388" ht="14.25" customHeight="1">
      <c r="A388" s="3">
        <v>386.0</v>
      </c>
      <c r="B388" s="3" t="s">
        <v>6862</v>
      </c>
      <c r="C388" s="3">
        <v>26.0</v>
      </c>
      <c r="D388" s="3" t="s">
        <v>6645</v>
      </c>
      <c r="E388" s="3" t="s">
        <v>6646</v>
      </c>
      <c r="F388" s="3" t="s">
        <v>6646</v>
      </c>
      <c r="G388" s="3" t="s">
        <v>6645</v>
      </c>
      <c r="H388" s="3" t="s">
        <v>6645</v>
      </c>
      <c r="I388" s="3" t="s">
        <v>6645</v>
      </c>
      <c r="J388" s="3">
        <v>10.0</v>
      </c>
      <c r="K388" s="3">
        <v>2.0</v>
      </c>
      <c r="L388" s="3">
        <v>0.0</v>
      </c>
      <c r="M388" s="3">
        <v>0.0</v>
      </c>
      <c r="N388" s="3">
        <v>5022.73</v>
      </c>
      <c r="O388" s="3">
        <v>331.0</v>
      </c>
      <c r="P388" s="3" t="e">
        <v>#N/A</v>
      </c>
      <c r="Q388" s="3">
        <v>55.0</v>
      </c>
      <c r="R388" s="3">
        <v>46.0</v>
      </c>
      <c r="S388" s="3">
        <v>52.0</v>
      </c>
      <c r="T388" s="3">
        <v>50.0</v>
      </c>
      <c r="U388" s="3">
        <v>50.0</v>
      </c>
      <c r="V388" s="3">
        <v>55.0</v>
      </c>
      <c r="W388" s="3">
        <v>58.0</v>
      </c>
      <c r="X388" s="3">
        <v>41.0</v>
      </c>
      <c r="Y388" s="3">
        <v>55.0</v>
      </c>
      <c r="Z388" s="3">
        <v>60.0</v>
      </c>
      <c r="AA388" s="3">
        <v>44.0</v>
      </c>
      <c r="AB388" s="3">
        <v>43.0</v>
      </c>
      <c r="AC388" s="3">
        <v>56.0</v>
      </c>
      <c r="AD388" s="3">
        <v>45.0</v>
      </c>
      <c r="AE388" s="3">
        <v>51.0</v>
      </c>
      <c r="AF388" s="3">
        <v>71.0</v>
      </c>
      <c r="AG388" s="3">
        <v>64.0</v>
      </c>
      <c r="AH388" s="3">
        <v>38.0</v>
      </c>
      <c r="AI388" s="3">
        <v>39.0</v>
      </c>
      <c r="AJ388" s="3">
        <v>52.0</v>
      </c>
      <c r="AK388" s="3">
        <v>23.0</v>
      </c>
      <c r="AL388" s="3">
        <v>56.0</v>
      </c>
      <c r="AM388" s="3">
        <v>41.0</v>
      </c>
      <c r="AN388" s="3">
        <v>49.0</v>
      </c>
    </row>
    <row r="389" ht="14.25" customHeight="1">
      <c r="A389" s="3">
        <v>387.0</v>
      </c>
      <c r="B389" s="3" t="s">
        <v>6863</v>
      </c>
      <c r="C389" s="3">
        <v>25.0</v>
      </c>
      <c r="D389" s="3" t="s">
        <v>6645</v>
      </c>
      <c r="E389" s="3" t="s">
        <v>6646</v>
      </c>
      <c r="F389" s="3" t="s">
        <v>6646</v>
      </c>
      <c r="G389" s="3" t="s">
        <v>6645</v>
      </c>
      <c r="H389" s="3" t="s">
        <v>6645</v>
      </c>
      <c r="I389" s="3" t="s">
        <v>6645</v>
      </c>
      <c r="J389" s="3">
        <v>10.0</v>
      </c>
      <c r="K389" s="3">
        <v>2.0</v>
      </c>
      <c r="L389" s="3">
        <v>0.0</v>
      </c>
      <c r="M389" s="3">
        <v>0.0</v>
      </c>
      <c r="N389" s="3">
        <v>5133.3</v>
      </c>
      <c r="O389" s="3">
        <v>444.0</v>
      </c>
      <c r="P389" s="3" t="e">
        <v>#N/A</v>
      </c>
      <c r="Q389" s="3">
        <v>47.0</v>
      </c>
      <c r="R389" s="3">
        <v>53.0</v>
      </c>
      <c r="S389" s="3">
        <v>50.0</v>
      </c>
      <c r="T389" s="3">
        <v>54.0</v>
      </c>
      <c r="U389" s="3">
        <v>46.0</v>
      </c>
      <c r="V389" s="3">
        <v>52.0</v>
      </c>
      <c r="W389" s="3">
        <v>60.0</v>
      </c>
      <c r="X389" s="3">
        <v>48.0</v>
      </c>
      <c r="Y389" s="3">
        <v>56.0</v>
      </c>
      <c r="Z389" s="3">
        <v>58.0</v>
      </c>
      <c r="AA389" s="3">
        <v>46.0</v>
      </c>
      <c r="AB389" s="3">
        <v>42.0</v>
      </c>
      <c r="AC389" s="3">
        <v>62.0</v>
      </c>
      <c r="AD389" s="3">
        <v>43.0</v>
      </c>
      <c r="AE389" s="3">
        <v>54.0</v>
      </c>
      <c r="AF389" s="3">
        <v>81.0</v>
      </c>
      <c r="AG389" s="3">
        <v>43.0</v>
      </c>
      <c r="AH389" s="3">
        <v>37.0</v>
      </c>
      <c r="AI389" s="3">
        <v>52.0</v>
      </c>
      <c r="AJ389" s="3">
        <v>65.0</v>
      </c>
      <c r="AK389" s="3">
        <v>42.0</v>
      </c>
      <c r="AL389" s="3">
        <v>46.0</v>
      </c>
      <c r="AM389" s="3">
        <v>62.0</v>
      </c>
      <c r="AN389" s="3">
        <v>34.0</v>
      </c>
    </row>
    <row r="390" ht="14.25" customHeight="1">
      <c r="A390" s="3">
        <v>388.0</v>
      </c>
      <c r="B390" s="3" t="s">
        <v>6864</v>
      </c>
      <c r="C390" s="3">
        <v>28.0</v>
      </c>
      <c r="D390" s="3" t="s">
        <v>6645</v>
      </c>
      <c r="E390" s="3" t="s">
        <v>6646</v>
      </c>
      <c r="F390" s="3" t="s">
        <v>6646</v>
      </c>
      <c r="G390" s="3" t="s">
        <v>6645</v>
      </c>
      <c r="H390" s="3" t="s">
        <v>6645</v>
      </c>
      <c r="I390" s="3" t="s">
        <v>6645</v>
      </c>
      <c r="J390" s="3">
        <v>10.0</v>
      </c>
      <c r="K390" s="3">
        <v>2.0</v>
      </c>
      <c r="L390" s="3">
        <v>0.0</v>
      </c>
      <c r="M390" s="3">
        <v>0.0</v>
      </c>
      <c r="N390" s="3">
        <v>5074.1533</v>
      </c>
      <c r="O390" s="3">
        <v>383.0</v>
      </c>
      <c r="P390" s="3" t="e">
        <v>#N/A</v>
      </c>
      <c r="Q390" s="3">
        <v>53.0</v>
      </c>
      <c r="R390" s="3">
        <v>50.0</v>
      </c>
      <c r="S390" s="3">
        <v>51.0</v>
      </c>
      <c r="T390" s="3">
        <v>51.0</v>
      </c>
      <c r="U390" s="3">
        <v>47.0</v>
      </c>
      <c r="V390" s="3">
        <v>52.0</v>
      </c>
      <c r="W390" s="3">
        <v>59.0</v>
      </c>
      <c r="X390" s="3">
        <v>42.0</v>
      </c>
      <c r="Y390" s="3">
        <v>57.0</v>
      </c>
      <c r="Z390" s="3">
        <v>56.0</v>
      </c>
      <c r="AA390" s="3">
        <v>43.0</v>
      </c>
      <c r="AB390" s="3">
        <v>54.0</v>
      </c>
      <c r="AC390" s="3">
        <v>62.0</v>
      </c>
      <c r="AD390" s="3">
        <v>50.0</v>
      </c>
      <c r="AE390" s="3">
        <v>38.0</v>
      </c>
      <c r="AF390" s="3">
        <v>75.0</v>
      </c>
      <c r="AG390" s="3">
        <v>65.0</v>
      </c>
      <c r="AH390" s="3">
        <v>51.0</v>
      </c>
      <c r="AI390" s="3">
        <v>64.0</v>
      </c>
      <c r="AJ390" s="3">
        <v>59.0</v>
      </c>
      <c r="AK390" s="3">
        <v>47.0</v>
      </c>
      <c r="AL390" s="3">
        <v>43.0</v>
      </c>
      <c r="AM390" s="3">
        <v>36.0</v>
      </c>
      <c r="AN390" s="3">
        <v>50.0</v>
      </c>
    </row>
    <row r="391" ht="14.25" customHeight="1">
      <c r="A391" s="3">
        <v>389.0</v>
      </c>
      <c r="B391" s="3" t="s">
        <v>6865</v>
      </c>
      <c r="C391" s="3">
        <v>22.0</v>
      </c>
      <c r="D391" s="3" t="s">
        <v>6645</v>
      </c>
      <c r="E391" s="3" t="s">
        <v>6646</v>
      </c>
      <c r="F391" s="3" t="s">
        <v>6646</v>
      </c>
      <c r="G391" s="3" t="s">
        <v>6645</v>
      </c>
      <c r="H391" s="3" t="s">
        <v>6645</v>
      </c>
      <c r="I391" s="3" t="s">
        <v>6645</v>
      </c>
      <c r="J391" s="3">
        <v>10.0</v>
      </c>
      <c r="K391" s="3">
        <v>1.0</v>
      </c>
      <c r="L391" s="3">
        <v>0.0</v>
      </c>
      <c r="M391" s="3">
        <v>0.0</v>
      </c>
      <c r="N391" s="3">
        <v>1859.6618</v>
      </c>
      <c r="O391" s="3">
        <v>211.0</v>
      </c>
      <c r="P391" s="3" t="e">
        <v>#N/A</v>
      </c>
      <c r="Q391" s="3">
        <v>45.0</v>
      </c>
      <c r="R391" s="3">
        <v>44.0</v>
      </c>
      <c r="S391" s="3">
        <v>39.0</v>
      </c>
      <c r="T391" s="3">
        <v>41.0</v>
      </c>
      <c r="U391" s="3">
        <v>40.0</v>
      </c>
      <c r="V391" s="3">
        <v>45.0</v>
      </c>
      <c r="W391" s="3">
        <v>49.0</v>
      </c>
      <c r="X391" s="3">
        <v>46.0</v>
      </c>
      <c r="Y391" s="3">
        <v>54.0</v>
      </c>
      <c r="Z391" s="3">
        <v>54.0</v>
      </c>
      <c r="AA391" s="3">
        <v>31.0</v>
      </c>
      <c r="AB391" s="3">
        <v>37.0</v>
      </c>
      <c r="AC391" s="3">
        <v>50.0</v>
      </c>
      <c r="AD391" s="3">
        <v>39.0</v>
      </c>
      <c r="AE391" s="3">
        <v>32.0</v>
      </c>
      <c r="AF391" s="3">
        <v>76.0</v>
      </c>
      <c r="AG391" s="3">
        <v>38.0</v>
      </c>
      <c r="AH391" s="3">
        <v>38.0</v>
      </c>
      <c r="AI391" s="3">
        <v>38.0</v>
      </c>
      <c r="AJ391" s="3">
        <v>36.0</v>
      </c>
      <c r="AK391" s="3">
        <v>56.0</v>
      </c>
      <c r="AL391" s="3">
        <v>36.0</v>
      </c>
      <c r="AM391" s="3">
        <v>40.0</v>
      </c>
      <c r="AN391" s="3">
        <v>50.0</v>
      </c>
    </row>
    <row r="392" ht="14.25" customHeight="1">
      <c r="A392" s="3">
        <v>390.0</v>
      </c>
      <c r="B392" s="3" t="s">
        <v>6866</v>
      </c>
      <c r="C392" s="3">
        <v>21.0</v>
      </c>
      <c r="D392" s="3" t="s">
        <v>6645</v>
      </c>
      <c r="E392" s="3" t="s">
        <v>6646</v>
      </c>
      <c r="F392" s="3" t="s">
        <v>6646</v>
      </c>
      <c r="G392" s="3" t="s">
        <v>6645</v>
      </c>
      <c r="H392" s="3" t="s">
        <v>6645</v>
      </c>
      <c r="I392" s="3" t="s">
        <v>6645</v>
      </c>
      <c r="J392" s="3">
        <v>10.0</v>
      </c>
      <c r="K392" s="3">
        <v>1.0</v>
      </c>
      <c r="L392" s="3">
        <v>0.0</v>
      </c>
      <c r="M392" s="3">
        <v>0.0</v>
      </c>
      <c r="N392" s="3">
        <v>1767.6617</v>
      </c>
      <c r="O392" s="3">
        <v>243.0</v>
      </c>
      <c r="P392" s="3" t="e">
        <v>#N/A</v>
      </c>
      <c r="Q392" s="3">
        <v>44.0</v>
      </c>
      <c r="R392" s="3">
        <v>43.0</v>
      </c>
      <c r="S392" s="3">
        <v>39.0</v>
      </c>
      <c r="T392" s="3">
        <v>42.0</v>
      </c>
      <c r="U392" s="3">
        <v>41.0</v>
      </c>
      <c r="V392" s="3">
        <v>46.0</v>
      </c>
      <c r="W392" s="3">
        <v>54.0</v>
      </c>
      <c r="X392" s="3">
        <v>37.0</v>
      </c>
      <c r="Y392" s="3">
        <v>44.0</v>
      </c>
      <c r="Z392" s="3">
        <v>45.0</v>
      </c>
      <c r="AA392" s="3">
        <v>42.0</v>
      </c>
      <c r="AB392" s="3">
        <v>47.0</v>
      </c>
      <c r="AC392" s="3">
        <v>47.0</v>
      </c>
      <c r="AD392" s="3">
        <v>39.0</v>
      </c>
      <c r="AE392" s="3">
        <v>34.0</v>
      </c>
      <c r="AF392" s="3">
        <v>76.0</v>
      </c>
      <c r="AG392" s="3">
        <v>52.0</v>
      </c>
      <c r="AH392" s="3">
        <v>36.0</v>
      </c>
      <c r="AI392" s="3">
        <v>48.0</v>
      </c>
      <c r="AJ392" s="3">
        <v>50.0</v>
      </c>
      <c r="AK392" s="3">
        <v>56.0</v>
      </c>
      <c r="AL392" s="3">
        <v>34.0</v>
      </c>
      <c r="AM392" s="3">
        <v>34.0</v>
      </c>
      <c r="AN392" s="3">
        <v>42.0</v>
      </c>
    </row>
    <row r="393" ht="14.25" customHeight="1">
      <c r="A393" s="3">
        <v>391.0</v>
      </c>
      <c r="B393" s="3" t="s">
        <v>6867</v>
      </c>
      <c r="C393" s="3">
        <v>27.0</v>
      </c>
      <c r="D393" s="3" t="s">
        <v>6645</v>
      </c>
      <c r="E393" s="3" t="s">
        <v>6646</v>
      </c>
      <c r="F393" s="3" t="s">
        <v>6646</v>
      </c>
      <c r="G393" s="3" t="s">
        <v>6645</v>
      </c>
      <c r="H393" s="3" t="s">
        <v>6645</v>
      </c>
      <c r="I393" s="3" t="s">
        <v>6645</v>
      </c>
      <c r="J393" s="3">
        <v>10.0</v>
      </c>
      <c r="K393" s="3">
        <v>1.0</v>
      </c>
      <c r="L393" s="3">
        <v>0.0</v>
      </c>
      <c r="M393" s="3">
        <v>0.0</v>
      </c>
      <c r="N393" s="3">
        <v>1712.872</v>
      </c>
      <c r="O393" s="3">
        <v>201.0</v>
      </c>
      <c r="P393" s="3" t="e">
        <v>#N/A</v>
      </c>
      <c r="Q393" s="3">
        <v>41.0</v>
      </c>
      <c r="R393" s="3">
        <v>40.0</v>
      </c>
      <c r="S393" s="3">
        <v>46.0</v>
      </c>
      <c r="T393" s="3">
        <v>41.0</v>
      </c>
      <c r="U393" s="3">
        <v>44.0</v>
      </c>
      <c r="V393" s="3">
        <v>43.0</v>
      </c>
      <c r="W393" s="3">
        <v>53.0</v>
      </c>
      <c r="X393" s="3">
        <v>30.0</v>
      </c>
      <c r="Y393" s="3">
        <v>52.0</v>
      </c>
      <c r="Z393" s="3">
        <v>48.0</v>
      </c>
      <c r="AA393" s="3">
        <v>42.0</v>
      </c>
      <c r="AB393" s="3">
        <v>34.0</v>
      </c>
      <c r="AC393" s="3">
        <v>52.0</v>
      </c>
      <c r="AD393" s="3">
        <v>34.0</v>
      </c>
      <c r="AE393" s="3">
        <v>36.0</v>
      </c>
      <c r="AF393" s="3">
        <v>79.0</v>
      </c>
      <c r="AG393" s="3">
        <v>44.0</v>
      </c>
      <c r="AH393" s="3">
        <v>25.0</v>
      </c>
      <c r="AI393" s="3">
        <v>52.0</v>
      </c>
      <c r="AJ393" s="3">
        <v>62.0</v>
      </c>
      <c r="AK393" s="3">
        <v>52.0</v>
      </c>
      <c r="AL393" s="3">
        <v>40.0</v>
      </c>
      <c r="AM393" s="3">
        <v>52.0</v>
      </c>
      <c r="AN393" s="3">
        <v>40.0</v>
      </c>
    </row>
    <row r="394" ht="14.25" customHeight="1">
      <c r="A394" s="3">
        <v>392.0</v>
      </c>
      <c r="B394" s="3" t="s">
        <v>6868</v>
      </c>
      <c r="C394" s="3">
        <v>20.0</v>
      </c>
      <c r="D394" s="3" t="s">
        <v>6645</v>
      </c>
      <c r="E394" s="3" t="s">
        <v>6646</v>
      </c>
      <c r="F394" s="3" t="s">
        <v>6646</v>
      </c>
      <c r="G394" s="3" t="s">
        <v>6645</v>
      </c>
      <c r="H394" s="3" t="s">
        <v>6645</v>
      </c>
      <c r="I394" s="3" t="s">
        <v>6645</v>
      </c>
      <c r="J394" s="3">
        <v>10.0</v>
      </c>
      <c r="K394" s="3">
        <v>1.0</v>
      </c>
      <c r="L394" s="3">
        <v>0.0</v>
      </c>
      <c r="M394" s="3">
        <v>0.0</v>
      </c>
      <c r="N394" s="3">
        <v>1742.2336</v>
      </c>
      <c r="O394" s="3">
        <v>197.0</v>
      </c>
      <c r="P394" s="3" t="e">
        <v>#N/A</v>
      </c>
      <c r="Q394" s="3">
        <v>46.0</v>
      </c>
      <c r="R394" s="3">
        <v>39.0</v>
      </c>
      <c r="S394" s="3">
        <v>41.0</v>
      </c>
      <c r="T394" s="3">
        <v>41.0</v>
      </c>
      <c r="U394" s="3">
        <v>42.0</v>
      </c>
      <c r="V394" s="3">
        <v>38.0</v>
      </c>
      <c r="W394" s="3">
        <v>54.0</v>
      </c>
      <c r="X394" s="3">
        <v>38.0</v>
      </c>
      <c r="Y394" s="3">
        <v>50.0</v>
      </c>
      <c r="Z394" s="3">
        <v>47.0</v>
      </c>
      <c r="AA394" s="3">
        <v>34.0</v>
      </c>
      <c r="AB394" s="3">
        <v>44.0</v>
      </c>
      <c r="AC394" s="3">
        <v>52.0</v>
      </c>
      <c r="AD394" s="3">
        <v>38.0</v>
      </c>
      <c r="AE394" s="3">
        <v>36.0</v>
      </c>
      <c r="AF394" s="3">
        <v>78.0</v>
      </c>
      <c r="AG394" s="3">
        <v>50.0</v>
      </c>
      <c r="AH394" s="3">
        <v>40.0</v>
      </c>
      <c r="AI394" s="3">
        <v>42.0</v>
      </c>
      <c r="AJ394" s="3">
        <v>42.0</v>
      </c>
      <c r="AK394" s="3">
        <v>56.0</v>
      </c>
      <c r="AL394" s="3">
        <v>24.0</v>
      </c>
      <c r="AM394" s="3">
        <v>42.0</v>
      </c>
      <c r="AN394" s="3">
        <v>34.0</v>
      </c>
    </row>
    <row r="395" ht="14.25" customHeight="1">
      <c r="A395" s="3">
        <v>393.0</v>
      </c>
      <c r="B395" s="3" t="s">
        <v>6869</v>
      </c>
      <c r="C395" s="3">
        <v>21.0</v>
      </c>
      <c r="D395" s="3" t="s">
        <v>6645</v>
      </c>
      <c r="E395" s="3" t="s">
        <v>6646</v>
      </c>
      <c r="F395" s="3" t="s">
        <v>6646</v>
      </c>
      <c r="G395" s="3" t="s">
        <v>6645</v>
      </c>
      <c r="H395" s="3" t="s">
        <v>6645</v>
      </c>
      <c r="I395" s="3" t="s">
        <v>6645</v>
      </c>
      <c r="J395" s="3">
        <v>10.0</v>
      </c>
      <c r="K395" s="3">
        <v>1.0</v>
      </c>
      <c r="L395" s="3">
        <v>0.0</v>
      </c>
      <c r="M395" s="3">
        <v>0.0</v>
      </c>
      <c r="N395" s="3">
        <v>1944.2447</v>
      </c>
      <c r="O395" s="3">
        <v>248.0</v>
      </c>
      <c r="P395" s="3" t="e">
        <v>#N/A</v>
      </c>
      <c r="Q395" s="3">
        <v>44.0</v>
      </c>
      <c r="R395" s="3">
        <v>40.0</v>
      </c>
      <c r="S395" s="3">
        <v>43.0</v>
      </c>
      <c r="T395" s="3">
        <v>43.0</v>
      </c>
      <c r="U395" s="3">
        <v>39.0</v>
      </c>
      <c r="V395" s="3">
        <v>46.0</v>
      </c>
      <c r="W395" s="3">
        <v>50.0</v>
      </c>
      <c r="X395" s="3">
        <v>40.0</v>
      </c>
      <c r="Y395" s="3">
        <v>50.0</v>
      </c>
      <c r="Z395" s="3">
        <v>46.0</v>
      </c>
      <c r="AA395" s="3">
        <v>39.0</v>
      </c>
      <c r="AB395" s="3">
        <v>31.0</v>
      </c>
      <c r="AC395" s="3">
        <v>47.0</v>
      </c>
      <c r="AD395" s="3">
        <v>31.0</v>
      </c>
      <c r="AE395" s="3">
        <v>33.0</v>
      </c>
      <c r="AF395" s="3">
        <v>65.0</v>
      </c>
      <c r="AG395" s="3">
        <v>42.0</v>
      </c>
      <c r="AH395" s="3">
        <v>56.0</v>
      </c>
      <c r="AI395" s="3">
        <v>46.0</v>
      </c>
      <c r="AJ395" s="3">
        <v>34.0</v>
      </c>
      <c r="AK395" s="3">
        <v>58.0</v>
      </c>
      <c r="AL395" s="3">
        <v>29.0</v>
      </c>
      <c r="AM395" s="3">
        <v>58.0</v>
      </c>
      <c r="AN395" s="3">
        <v>44.0</v>
      </c>
    </row>
    <row r="396" ht="14.25" customHeight="1">
      <c r="A396" s="3">
        <v>394.0</v>
      </c>
      <c r="B396" s="3" t="s">
        <v>6870</v>
      </c>
      <c r="C396" s="3">
        <v>23.0</v>
      </c>
      <c r="D396" s="3" t="s">
        <v>6645</v>
      </c>
      <c r="E396" s="3" t="s">
        <v>6646</v>
      </c>
      <c r="F396" s="3" t="s">
        <v>6646</v>
      </c>
      <c r="G396" s="3" t="s">
        <v>6645</v>
      </c>
      <c r="H396" s="3" t="s">
        <v>6645</v>
      </c>
      <c r="I396" s="3" t="s">
        <v>6645</v>
      </c>
      <c r="J396" s="3">
        <v>10.0</v>
      </c>
      <c r="K396" s="3">
        <v>0.0</v>
      </c>
      <c r="L396" s="3">
        <v>0.0</v>
      </c>
      <c r="M396" s="3">
        <v>0.0</v>
      </c>
      <c r="N396" s="3">
        <v>592.09765</v>
      </c>
      <c r="O396" s="3">
        <v>101.0</v>
      </c>
      <c r="P396" s="3" t="e">
        <v>#N/A</v>
      </c>
      <c r="Q396" s="3">
        <v>31.0</v>
      </c>
      <c r="R396" s="3">
        <v>32.0</v>
      </c>
      <c r="S396" s="3">
        <v>37.0</v>
      </c>
      <c r="T396" s="3">
        <v>35.0</v>
      </c>
      <c r="U396" s="3">
        <v>35.0</v>
      </c>
      <c r="V396" s="3">
        <v>37.0</v>
      </c>
      <c r="W396" s="3">
        <v>45.0</v>
      </c>
      <c r="X396" s="3">
        <v>23.0</v>
      </c>
      <c r="Y396" s="3">
        <v>40.0</v>
      </c>
      <c r="Z396" s="3">
        <v>41.0</v>
      </c>
      <c r="AA396" s="3">
        <v>31.0</v>
      </c>
      <c r="AB396" s="3">
        <v>20.0</v>
      </c>
      <c r="AC396" s="3">
        <v>47.0</v>
      </c>
      <c r="AD396" s="3">
        <v>28.0</v>
      </c>
      <c r="AE396" s="3">
        <v>32.0</v>
      </c>
      <c r="AF396" s="3">
        <v>75.0</v>
      </c>
      <c r="AG396" s="3">
        <v>44.0</v>
      </c>
      <c r="AH396" s="3">
        <v>35.0</v>
      </c>
      <c r="AI396" s="3">
        <v>43.0</v>
      </c>
      <c r="AJ396" s="3">
        <v>36.0</v>
      </c>
      <c r="AK396" s="3">
        <v>39.0</v>
      </c>
      <c r="AL396" s="3">
        <v>37.0</v>
      </c>
      <c r="AM396" s="3">
        <v>45.0</v>
      </c>
      <c r="AN396" s="3">
        <v>27.0</v>
      </c>
    </row>
    <row r="397" ht="14.25" customHeight="1">
      <c r="A397" s="3">
        <v>395.0</v>
      </c>
      <c r="B397" s="3" t="s">
        <v>6871</v>
      </c>
      <c r="C397" s="3">
        <v>21.0</v>
      </c>
      <c r="D397" s="3" t="s">
        <v>6645</v>
      </c>
      <c r="E397" s="3" t="s">
        <v>6646</v>
      </c>
      <c r="F397" s="3" t="s">
        <v>6646</v>
      </c>
      <c r="G397" s="3" t="s">
        <v>6645</v>
      </c>
      <c r="H397" s="3" t="s">
        <v>6645</v>
      </c>
      <c r="I397" s="3" t="s">
        <v>6645</v>
      </c>
      <c r="J397" s="3">
        <v>10.0</v>
      </c>
      <c r="K397" s="3">
        <v>0.0</v>
      </c>
      <c r="L397" s="3">
        <v>0.0</v>
      </c>
      <c r="M397" s="3">
        <v>0.0</v>
      </c>
      <c r="N397" s="3">
        <v>475.26623</v>
      </c>
      <c r="O397" s="3">
        <v>120.0</v>
      </c>
      <c r="P397" s="3" t="e">
        <v>#N/A</v>
      </c>
      <c r="Q397" s="3">
        <v>31.0</v>
      </c>
      <c r="R397" s="3">
        <v>39.0</v>
      </c>
      <c r="S397" s="3">
        <v>30.0</v>
      </c>
      <c r="T397" s="3">
        <v>37.0</v>
      </c>
      <c r="U397" s="3">
        <v>33.0</v>
      </c>
      <c r="V397" s="3">
        <v>35.0</v>
      </c>
      <c r="W397" s="3">
        <v>45.0</v>
      </c>
      <c r="X397" s="3">
        <v>25.0</v>
      </c>
      <c r="Y397" s="3">
        <v>35.0</v>
      </c>
      <c r="Z397" s="3">
        <v>46.0</v>
      </c>
      <c r="AA397" s="3">
        <v>31.0</v>
      </c>
      <c r="AB397" s="3">
        <v>28.0</v>
      </c>
      <c r="AC397" s="3">
        <v>37.0</v>
      </c>
      <c r="AD397" s="3">
        <v>39.0</v>
      </c>
      <c r="AE397" s="3">
        <v>29.0</v>
      </c>
      <c r="AF397" s="3">
        <v>72.0</v>
      </c>
      <c r="AG397" s="3">
        <v>40.0</v>
      </c>
      <c r="AH397" s="3">
        <v>41.0</v>
      </c>
      <c r="AI397" s="3">
        <v>50.0</v>
      </c>
      <c r="AJ397" s="3">
        <v>49.0</v>
      </c>
      <c r="AK397" s="3">
        <v>39.0</v>
      </c>
      <c r="AL397" s="3">
        <v>34.0</v>
      </c>
      <c r="AM397" s="3">
        <v>45.0</v>
      </c>
      <c r="AN397" s="3">
        <v>46.0</v>
      </c>
    </row>
    <row r="398" ht="14.25" customHeight="1">
      <c r="A398" s="3">
        <v>396.0</v>
      </c>
      <c r="B398" s="3" t="s">
        <v>6872</v>
      </c>
      <c r="C398" s="3">
        <v>21.0</v>
      </c>
      <c r="D398" s="3" t="s">
        <v>6645</v>
      </c>
      <c r="E398" s="3" t="s">
        <v>6646</v>
      </c>
      <c r="F398" s="3" t="s">
        <v>6646</v>
      </c>
      <c r="G398" s="3" t="s">
        <v>6645</v>
      </c>
      <c r="H398" s="3" t="s">
        <v>6645</v>
      </c>
      <c r="I398" s="3" t="s">
        <v>6645</v>
      </c>
      <c r="J398" s="3">
        <v>10.0</v>
      </c>
      <c r="K398" s="3">
        <v>0.0</v>
      </c>
      <c r="L398" s="3">
        <v>0.0</v>
      </c>
      <c r="M398" s="3">
        <v>0.0</v>
      </c>
      <c r="N398" s="3">
        <v>558.43774</v>
      </c>
      <c r="O398" s="3">
        <v>78.0</v>
      </c>
      <c r="P398" s="3" t="e">
        <v>#N/A</v>
      </c>
      <c r="Q398" s="3">
        <v>36.0</v>
      </c>
      <c r="R398" s="3">
        <v>35.0</v>
      </c>
      <c r="S398" s="3">
        <v>34.0</v>
      </c>
      <c r="T398" s="3">
        <v>31.0</v>
      </c>
      <c r="U398" s="3">
        <v>35.0</v>
      </c>
      <c r="V398" s="3">
        <v>38.0</v>
      </c>
      <c r="W398" s="3">
        <v>40.0</v>
      </c>
      <c r="X398" s="3">
        <v>31.0</v>
      </c>
      <c r="Y398" s="3">
        <v>46.0</v>
      </c>
      <c r="Z398" s="3">
        <v>36.0</v>
      </c>
      <c r="AA398" s="3">
        <v>24.0</v>
      </c>
      <c r="AB398" s="3">
        <v>23.0</v>
      </c>
      <c r="AC398" s="3">
        <v>42.0</v>
      </c>
      <c r="AD398" s="3">
        <v>34.0</v>
      </c>
      <c r="AE398" s="3">
        <v>30.0</v>
      </c>
      <c r="AF398" s="3">
        <v>74.0</v>
      </c>
      <c r="AG398" s="3">
        <v>56.0</v>
      </c>
      <c r="AH398" s="3">
        <v>15.0</v>
      </c>
      <c r="AI398" s="3">
        <v>48.0</v>
      </c>
      <c r="AJ398" s="3">
        <v>35.0</v>
      </c>
      <c r="AK398" s="3">
        <v>30.0</v>
      </c>
      <c r="AL398" s="3">
        <v>43.0</v>
      </c>
      <c r="AM398" s="3">
        <v>36.0</v>
      </c>
      <c r="AN398" s="3">
        <v>43.0</v>
      </c>
    </row>
    <row r="399" ht="14.25" customHeight="1">
      <c r="A399" s="3">
        <v>397.0</v>
      </c>
      <c r="B399" s="3" t="s">
        <v>6873</v>
      </c>
      <c r="C399" s="3">
        <v>20.0</v>
      </c>
      <c r="D399" s="3" t="s">
        <v>6645</v>
      </c>
      <c r="E399" s="3" t="s">
        <v>6646</v>
      </c>
      <c r="F399" s="3" t="s">
        <v>6646</v>
      </c>
      <c r="G399" s="3" t="s">
        <v>6645</v>
      </c>
      <c r="H399" s="3" t="s">
        <v>6645</v>
      </c>
      <c r="I399" s="3" t="s">
        <v>6645</v>
      </c>
      <c r="J399" s="3">
        <v>10.0</v>
      </c>
      <c r="K399" s="3">
        <v>0.0</v>
      </c>
      <c r="L399" s="3">
        <v>0.0</v>
      </c>
      <c r="M399" s="3">
        <v>0.0</v>
      </c>
      <c r="N399" s="3">
        <v>560.50146</v>
      </c>
      <c r="O399" s="3">
        <v>120.0</v>
      </c>
      <c r="P399" s="3" t="e">
        <v>#N/A</v>
      </c>
      <c r="Q399" s="3">
        <v>36.0</v>
      </c>
      <c r="R399" s="3">
        <v>33.0</v>
      </c>
      <c r="S399" s="3">
        <v>36.0</v>
      </c>
      <c r="T399" s="3">
        <v>33.0</v>
      </c>
      <c r="U399" s="3">
        <v>33.0</v>
      </c>
      <c r="V399" s="3">
        <v>35.0</v>
      </c>
      <c r="W399" s="3">
        <v>42.0</v>
      </c>
      <c r="X399" s="3">
        <v>29.0</v>
      </c>
      <c r="Y399" s="3">
        <v>37.0</v>
      </c>
      <c r="Z399" s="3">
        <v>41.0</v>
      </c>
      <c r="AA399" s="3">
        <v>30.0</v>
      </c>
      <c r="AB399" s="3">
        <v>31.0</v>
      </c>
      <c r="AC399" s="3">
        <v>42.0</v>
      </c>
      <c r="AD399" s="3">
        <v>28.0</v>
      </c>
      <c r="AE399" s="3">
        <v>24.0</v>
      </c>
      <c r="AF399" s="3">
        <v>68.0</v>
      </c>
      <c r="AG399" s="3">
        <v>35.0</v>
      </c>
      <c r="AH399" s="3">
        <v>49.0</v>
      </c>
      <c r="AI399" s="3">
        <v>49.0</v>
      </c>
      <c r="AJ399" s="3">
        <v>55.0</v>
      </c>
      <c r="AK399" s="3">
        <v>40.0</v>
      </c>
      <c r="AL399" s="3">
        <v>22.0</v>
      </c>
      <c r="AM399" s="3">
        <v>39.0</v>
      </c>
      <c r="AN399" s="3">
        <v>57.0</v>
      </c>
    </row>
    <row r="400" ht="14.25" customHeight="1">
      <c r="A400" s="3">
        <v>398.0</v>
      </c>
      <c r="B400" s="3" t="s">
        <v>6874</v>
      </c>
      <c r="C400" s="3">
        <v>21.0</v>
      </c>
      <c r="D400" s="3" t="s">
        <v>6645</v>
      </c>
      <c r="E400" s="3" t="s">
        <v>6646</v>
      </c>
      <c r="F400" s="3" t="s">
        <v>6646</v>
      </c>
      <c r="G400" s="3" t="s">
        <v>6645</v>
      </c>
      <c r="H400" s="3" t="s">
        <v>6645</v>
      </c>
      <c r="I400" s="3" t="s">
        <v>6645</v>
      </c>
      <c r="J400" s="3">
        <v>10.0</v>
      </c>
      <c r="K400" s="3">
        <v>0.0</v>
      </c>
      <c r="L400" s="3">
        <v>0.0</v>
      </c>
      <c r="M400" s="3">
        <v>0.0</v>
      </c>
      <c r="N400" s="3">
        <v>536.197</v>
      </c>
      <c r="O400" s="3">
        <v>99.0</v>
      </c>
      <c r="P400" s="3" t="e">
        <v>#N/A</v>
      </c>
      <c r="Q400" s="3">
        <v>33.0</v>
      </c>
      <c r="R400" s="3">
        <v>36.0</v>
      </c>
      <c r="S400" s="3">
        <v>33.0</v>
      </c>
      <c r="T400" s="3">
        <v>39.0</v>
      </c>
      <c r="U400" s="3">
        <v>31.0</v>
      </c>
      <c r="V400" s="3">
        <v>38.0</v>
      </c>
      <c r="W400" s="3">
        <v>47.0</v>
      </c>
      <c r="X400" s="3">
        <v>26.0</v>
      </c>
      <c r="Y400" s="3">
        <v>41.0</v>
      </c>
      <c r="Z400" s="3">
        <v>45.0</v>
      </c>
      <c r="AA400" s="3">
        <v>32.0</v>
      </c>
      <c r="AB400" s="3">
        <v>31.0</v>
      </c>
      <c r="AC400" s="3">
        <v>40.0</v>
      </c>
      <c r="AD400" s="3">
        <v>25.0</v>
      </c>
      <c r="AE400" s="3">
        <v>34.0</v>
      </c>
      <c r="AF400" s="3">
        <v>68.0</v>
      </c>
      <c r="AG400" s="3">
        <v>46.0</v>
      </c>
      <c r="AH400" s="3">
        <v>57.0</v>
      </c>
      <c r="AI400" s="3">
        <v>37.0</v>
      </c>
      <c r="AJ400" s="3">
        <v>25.0</v>
      </c>
      <c r="AK400" s="3">
        <v>43.0</v>
      </c>
      <c r="AL400" s="3">
        <v>32.0</v>
      </c>
      <c r="AM400" s="3">
        <v>48.0</v>
      </c>
      <c r="AN400" s="3">
        <v>58.0</v>
      </c>
    </row>
    <row r="401" ht="14.25" customHeight="1">
      <c r="A401" s="3">
        <v>399.0</v>
      </c>
      <c r="B401" s="3" t="s">
        <v>6875</v>
      </c>
      <c r="C401" s="3">
        <v>15.0</v>
      </c>
      <c r="D401" s="3" t="s">
        <v>6645</v>
      </c>
      <c r="E401" s="3" t="s">
        <v>6646</v>
      </c>
      <c r="F401" s="3" t="s">
        <v>6646</v>
      </c>
      <c r="G401" s="3" t="s">
        <v>6645</v>
      </c>
      <c r="H401" s="3" t="s">
        <v>6645</v>
      </c>
      <c r="I401" s="3" t="s">
        <v>6645</v>
      </c>
      <c r="J401" s="3">
        <v>10.0</v>
      </c>
      <c r="K401" s="3">
        <v>0.0</v>
      </c>
      <c r="L401" s="3">
        <v>0.0</v>
      </c>
      <c r="M401" s="3">
        <v>0.0</v>
      </c>
      <c r="N401" s="3">
        <v>424.772</v>
      </c>
      <c r="O401" s="3">
        <v>112.0</v>
      </c>
      <c r="P401" s="3" t="e">
        <v>#N/A</v>
      </c>
      <c r="Q401" s="3">
        <v>34.0</v>
      </c>
      <c r="R401" s="3">
        <v>38.0</v>
      </c>
      <c r="S401" s="3">
        <v>39.0</v>
      </c>
      <c r="T401" s="3">
        <v>32.0</v>
      </c>
      <c r="U401" s="3">
        <v>31.0</v>
      </c>
      <c r="V401" s="3">
        <v>31.0</v>
      </c>
      <c r="W401" s="3">
        <v>42.0</v>
      </c>
      <c r="X401" s="3">
        <v>30.0</v>
      </c>
      <c r="Y401" s="3">
        <v>39.0</v>
      </c>
      <c r="Z401" s="3">
        <v>44.0</v>
      </c>
      <c r="AA401" s="3">
        <v>31.0</v>
      </c>
      <c r="AB401" s="3">
        <v>30.0</v>
      </c>
      <c r="AC401" s="3">
        <v>35.0</v>
      </c>
      <c r="AD401" s="3">
        <v>25.0</v>
      </c>
      <c r="AE401" s="3">
        <v>28.0</v>
      </c>
      <c r="AF401" s="3">
        <v>71.0</v>
      </c>
      <c r="AG401" s="3">
        <v>47.0</v>
      </c>
      <c r="AH401" s="3">
        <v>31.0</v>
      </c>
      <c r="AI401" s="3">
        <v>28.0</v>
      </c>
      <c r="AJ401" s="3">
        <v>33.0</v>
      </c>
      <c r="AK401" s="3">
        <v>54.0</v>
      </c>
      <c r="AL401" s="3">
        <v>58.0</v>
      </c>
      <c r="AM401" s="3">
        <v>47.0</v>
      </c>
      <c r="AN401" s="3">
        <v>38.0</v>
      </c>
    </row>
    <row r="402" ht="14.25" customHeight="1">
      <c r="A402" s="3">
        <v>400.0</v>
      </c>
      <c r="B402" s="3" t="s">
        <v>6876</v>
      </c>
      <c r="C402" s="3">
        <v>43.0</v>
      </c>
      <c r="D402" s="3" t="s">
        <v>6645</v>
      </c>
      <c r="E402" s="3" t="s">
        <v>6646</v>
      </c>
      <c r="F402" s="3" t="s">
        <v>6646</v>
      </c>
      <c r="G402" s="3" t="s">
        <v>6645</v>
      </c>
      <c r="H402" s="3" t="s">
        <v>6645</v>
      </c>
      <c r="I402" s="3" t="s">
        <v>6646</v>
      </c>
      <c r="J402" s="3">
        <v>11.0</v>
      </c>
      <c r="K402" s="3">
        <v>4.0</v>
      </c>
      <c r="L402" s="3">
        <v>0.0</v>
      </c>
      <c r="M402" s="3">
        <v>0.0</v>
      </c>
      <c r="N402" s="3">
        <v>13255.523</v>
      </c>
      <c r="O402" s="3">
        <v>1440.0</v>
      </c>
      <c r="P402" s="3" t="e">
        <v>#N/A</v>
      </c>
      <c r="Q402" s="3">
        <v>61.0</v>
      </c>
      <c r="R402" s="3">
        <v>69.0</v>
      </c>
      <c r="S402" s="3">
        <v>66.0</v>
      </c>
      <c r="T402" s="3">
        <v>63.0</v>
      </c>
      <c r="U402" s="3">
        <v>60.0</v>
      </c>
      <c r="V402" s="3">
        <v>78.0</v>
      </c>
      <c r="W402" s="3">
        <v>82.0</v>
      </c>
      <c r="X402" s="3">
        <v>78.0</v>
      </c>
      <c r="Y402" s="3">
        <v>84.0</v>
      </c>
      <c r="Z402" s="3">
        <v>82.0</v>
      </c>
      <c r="AA402" s="3">
        <v>82.0</v>
      </c>
      <c r="AB402" s="3">
        <v>64.0</v>
      </c>
      <c r="AC402" s="3">
        <v>62.0</v>
      </c>
      <c r="AD402" s="3">
        <v>66.0</v>
      </c>
      <c r="AE402" s="3">
        <v>59.0</v>
      </c>
      <c r="AF402" s="3">
        <v>28.0</v>
      </c>
      <c r="AG402" s="3">
        <v>39.0</v>
      </c>
      <c r="AH402" s="3">
        <v>68.0</v>
      </c>
      <c r="AI402" s="3">
        <v>72.0</v>
      </c>
      <c r="AJ402" s="3">
        <v>61.0</v>
      </c>
      <c r="AK402" s="3">
        <v>82.0</v>
      </c>
      <c r="AL402" s="3">
        <v>71.0</v>
      </c>
      <c r="AM402" s="3">
        <v>81.0</v>
      </c>
      <c r="AN402" s="3">
        <v>46.0</v>
      </c>
    </row>
    <row r="403" ht="14.25" customHeight="1">
      <c r="A403" s="3">
        <v>401.0</v>
      </c>
      <c r="B403" s="3" t="s">
        <v>6877</v>
      </c>
      <c r="C403" s="3">
        <v>44.0</v>
      </c>
      <c r="D403" s="3" t="s">
        <v>6645</v>
      </c>
      <c r="E403" s="3" t="s">
        <v>6646</v>
      </c>
      <c r="F403" s="3" t="s">
        <v>6646</v>
      </c>
      <c r="G403" s="3" t="s">
        <v>6645</v>
      </c>
      <c r="H403" s="3" t="s">
        <v>6645</v>
      </c>
      <c r="I403" s="3" t="s">
        <v>6645</v>
      </c>
      <c r="J403" s="3">
        <v>11.0</v>
      </c>
      <c r="K403" s="3">
        <v>4.0</v>
      </c>
      <c r="L403" s="3">
        <v>0.0</v>
      </c>
      <c r="M403" s="3">
        <v>0.0</v>
      </c>
      <c r="N403" s="3">
        <v>14010.418</v>
      </c>
      <c r="O403" s="3">
        <v>1450.0</v>
      </c>
      <c r="P403" s="3" t="e">
        <v>#N/A</v>
      </c>
      <c r="Q403" s="3">
        <v>61.0</v>
      </c>
      <c r="R403" s="3">
        <v>66.0</v>
      </c>
      <c r="S403" s="3">
        <v>74.0</v>
      </c>
      <c r="T403" s="3">
        <v>65.0</v>
      </c>
      <c r="U403" s="3">
        <v>64.0</v>
      </c>
      <c r="V403" s="3">
        <v>74.0</v>
      </c>
      <c r="W403" s="3">
        <v>79.0</v>
      </c>
      <c r="X403" s="3">
        <v>76.0</v>
      </c>
      <c r="Y403" s="3">
        <v>87.0</v>
      </c>
      <c r="Z403" s="3">
        <v>77.0</v>
      </c>
      <c r="AA403" s="3">
        <v>87.0</v>
      </c>
      <c r="AB403" s="3">
        <v>63.0</v>
      </c>
      <c r="AC403" s="3">
        <v>55.0</v>
      </c>
      <c r="AD403" s="3">
        <v>55.0</v>
      </c>
      <c r="AE403" s="3">
        <v>62.0</v>
      </c>
      <c r="AF403" s="3">
        <v>27.0</v>
      </c>
      <c r="AG403" s="3">
        <v>46.0</v>
      </c>
      <c r="AH403" s="3">
        <v>55.0</v>
      </c>
      <c r="AI403" s="3">
        <v>71.0</v>
      </c>
      <c r="AJ403" s="3">
        <v>48.0</v>
      </c>
      <c r="AK403" s="3">
        <v>80.0</v>
      </c>
      <c r="AL403" s="3">
        <v>19.0</v>
      </c>
      <c r="AM403" s="3">
        <v>80.0</v>
      </c>
      <c r="AN403" s="3">
        <v>56.0</v>
      </c>
    </row>
    <row r="404" ht="14.25" customHeight="1">
      <c r="A404" s="3">
        <v>402.0</v>
      </c>
      <c r="B404" s="3" t="s">
        <v>6878</v>
      </c>
      <c r="C404" s="3">
        <v>38.0</v>
      </c>
      <c r="D404" s="3" t="s">
        <v>6645</v>
      </c>
      <c r="E404" s="3" t="s">
        <v>6646</v>
      </c>
      <c r="F404" s="3" t="s">
        <v>6646</v>
      </c>
      <c r="G404" s="3" t="s">
        <v>6645</v>
      </c>
      <c r="H404" s="3" t="s">
        <v>6645</v>
      </c>
      <c r="I404" s="3" t="s">
        <v>6646</v>
      </c>
      <c r="J404" s="3">
        <v>11.0</v>
      </c>
      <c r="K404" s="3">
        <v>4.0</v>
      </c>
      <c r="L404" s="3">
        <v>0.0</v>
      </c>
      <c r="M404" s="3">
        <v>0.0</v>
      </c>
      <c r="N404" s="3">
        <v>14440.612</v>
      </c>
      <c r="O404" s="3">
        <v>1418.0</v>
      </c>
      <c r="P404" s="3" t="e">
        <v>#N/A</v>
      </c>
      <c r="Q404" s="3">
        <v>65.0</v>
      </c>
      <c r="R404" s="3">
        <v>72.0</v>
      </c>
      <c r="S404" s="3">
        <v>75.0</v>
      </c>
      <c r="T404" s="3">
        <v>60.0</v>
      </c>
      <c r="U404" s="3">
        <v>63.0</v>
      </c>
      <c r="V404" s="3">
        <v>79.0</v>
      </c>
      <c r="W404" s="3">
        <v>78.0</v>
      </c>
      <c r="X404" s="3">
        <v>76.0</v>
      </c>
      <c r="Y404" s="3">
        <v>82.0</v>
      </c>
      <c r="Z404" s="3">
        <v>84.0</v>
      </c>
      <c r="AA404" s="3">
        <v>79.0</v>
      </c>
      <c r="AB404" s="3">
        <v>63.0</v>
      </c>
      <c r="AC404" s="3">
        <v>63.0</v>
      </c>
      <c r="AD404" s="3">
        <v>62.0</v>
      </c>
      <c r="AE404" s="3">
        <v>65.0</v>
      </c>
      <c r="AF404" s="3">
        <v>67.0</v>
      </c>
      <c r="AG404" s="3">
        <v>64.0</v>
      </c>
      <c r="AH404" s="3">
        <v>44.0</v>
      </c>
      <c r="AI404" s="3">
        <v>28.0</v>
      </c>
      <c r="AJ404" s="3">
        <v>59.0</v>
      </c>
      <c r="AK404" s="3">
        <v>85.0</v>
      </c>
      <c r="AL404" s="3">
        <v>50.0</v>
      </c>
      <c r="AM404" s="3">
        <v>78.0</v>
      </c>
      <c r="AN404" s="3">
        <v>59.0</v>
      </c>
    </row>
    <row r="405" ht="14.25" customHeight="1">
      <c r="A405" s="3">
        <v>403.0</v>
      </c>
      <c r="B405" s="3" t="s">
        <v>6879</v>
      </c>
      <c r="C405" s="3">
        <v>34.0</v>
      </c>
      <c r="D405" s="3" t="s">
        <v>6645</v>
      </c>
      <c r="E405" s="3" t="s">
        <v>6646</v>
      </c>
      <c r="F405" s="3" t="s">
        <v>6646</v>
      </c>
      <c r="G405" s="3" t="s">
        <v>6645</v>
      </c>
      <c r="H405" s="3" t="s">
        <v>6645</v>
      </c>
      <c r="I405" s="3" t="s">
        <v>6645</v>
      </c>
      <c r="J405" s="3">
        <v>11.0</v>
      </c>
      <c r="K405" s="3">
        <v>3.0</v>
      </c>
      <c r="L405" s="3">
        <v>0.0</v>
      </c>
      <c r="M405" s="3">
        <v>0.0</v>
      </c>
      <c r="N405" s="3">
        <v>7783.86</v>
      </c>
      <c r="O405" s="3">
        <v>772.0</v>
      </c>
      <c r="P405" s="3" t="e">
        <v>#N/A</v>
      </c>
      <c r="Q405" s="3">
        <v>56.0</v>
      </c>
      <c r="R405" s="3">
        <v>61.0</v>
      </c>
      <c r="S405" s="3">
        <v>60.0</v>
      </c>
      <c r="T405" s="3">
        <v>54.0</v>
      </c>
      <c r="U405" s="3">
        <v>60.0</v>
      </c>
      <c r="V405" s="3">
        <v>58.0</v>
      </c>
      <c r="W405" s="3">
        <v>70.0</v>
      </c>
      <c r="X405" s="3">
        <v>55.0</v>
      </c>
      <c r="Y405" s="3">
        <v>67.0</v>
      </c>
      <c r="Z405" s="3">
        <v>61.0</v>
      </c>
      <c r="AA405" s="3">
        <v>72.0</v>
      </c>
      <c r="AB405" s="3">
        <v>49.0</v>
      </c>
      <c r="AC405" s="3">
        <v>54.0</v>
      </c>
      <c r="AD405" s="3">
        <v>55.0</v>
      </c>
      <c r="AE405" s="3">
        <v>49.0</v>
      </c>
      <c r="AF405" s="3">
        <v>55.0</v>
      </c>
      <c r="AG405" s="3">
        <v>43.0</v>
      </c>
      <c r="AH405" s="3">
        <v>65.0</v>
      </c>
      <c r="AI405" s="3">
        <v>66.0</v>
      </c>
      <c r="AJ405" s="3">
        <v>49.0</v>
      </c>
      <c r="AK405" s="3">
        <v>82.0</v>
      </c>
      <c r="AL405" s="3">
        <v>22.0</v>
      </c>
      <c r="AM405" s="3">
        <v>78.0</v>
      </c>
      <c r="AN405" s="3">
        <v>53.0</v>
      </c>
    </row>
    <row r="406" ht="14.25" customHeight="1">
      <c r="A406" s="3">
        <v>404.0</v>
      </c>
      <c r="B406" s="3" t="s">
        <v>6880</v>
      </c>
      <c r="C406" s="3">
        <v>32.0</v>
      </c>
      <c r="D406" s="3" t="s">
        <v>6645</v>
      </c>
      <c r="E406" s="3" t="s">
        <v>6646</v>
      </c>
      <c r="F406" s="3" t="s">
        <v>6646</v>
      </c>
      <c r="G406" s="3" t="s">
        <v>6645</v>
      </c>
      <c r="H406" s="3" t="s">
        <v>6645</v>
      </c>
      <c r="I406" s="3" t="s">
        <v>6645</v>
      </c>
      <c r="J406" s="3">
        <v>11.0</v>
      </c>
      <c r="K406" s="3">
        <v>3.0</v>
      </c>
      <c r="L406" s="3">
        <v>0.0</v>
      </c>
      <c r="M406" s="3">
        <v>0.0</v>
      </c>
      <c r="N406" s="3">
        <v>8103.07</v>
      </c>
      <c r="O406" s="3">
        <v>922.0</v>
      </c>
      <c r="P406" s="3" t="e">
        <v>#N/A</v>
      </c>
      <c r="Q406" s="3">
        <v>54.0</v>
      </c>
      <c r="R406" s="3">
        <v>59.0</v>
      </c>
      <c r="S406" s="3">
        <v>58.0</v>
      </c>
      <c r="T406" s="3">
        <v>56.0</v>
      </c>
      <c r="U406" s="3">
        <v>60.0</v>
      </c>
      <c r="V406" s="3">
        <v>59.0</v>
      </c>
      <c r="W406" s="3">
        <v>70.0</v>
      </c>
      <c r="X406" s="3">
        <v>53.0</v>
      </c>
      <c r="Y406" s="3">
        <v>69.0</v>
      </c>
      <c r="Z406" s="3">
        <v>62.0</v>
      </c>
      <c r="AA406" s="3">
        <v>61.0</v>
      </c>
      <c r="AB406" s="3">
        <v>54.0</v>
      </c>
      <c r="AC406" s="3">
        <v>52.0</v>
      </c>
      <c r="AD406" s="3">
        <v>48.0</v>
      </c>
      <c r="AE406" s="3">
        <v>56.0</v>
      </c>
      <c r="AF406" s="3">
        <v>48.0</v>
      </c>
      <c r="AG406" s="3">
        <v>45.0</v>
      </c>
      <c r="AH406" s="3">
        <v>45.0</v>
      </c>
      <c r="AI406" s="3">
        <v>21.0</v>
      </c>
      <c r="AJ406" s="3">
        <v>43.0</v>
      </c>
      <c r="AK406" s="3">
        <v>83.0</v>
      </c>
      <c r="AL406" s="3">
        <v>47.0</v>
      </c>
      <c r="AM406" s="3">
        <v>78.0</v>
      </c>
      <c r="AN406" s="3">
        <v>50.0</v>
      </c>
    </row>
    <row r="407" ht="14.25" customHeight="1">
      <c r="A407" s="3">
        <v>405.0</v>
      </c>
      <c r="B407" s="3" t="s">
        <v>6881</v>
      </c>
      <c r="C407" s="3">
        <v>35.0</v>
      </c>
      <c r="D407" s="3" t="s">
        <v>6645</v>
      </c>
      <c r="E407" s="3" t="s">
        <v>6646</v>
      </c>
      <c r="F407" s="3" t="s">
        <v>6646</v>
      </c>
      <c r="G407" s="3" t="s">
        <v>6645</v>
      </c>
      <c r="H407" s="3" t="s">
        <v>6645</v>
      </c>
      <c r="I407" s="3" t="s">
        <v>6646</v>
      </c>
      <c r="J407" s="3">
        <v>11.0</v>
      </c>
      <c r="K407" s="3">
        <v>3.0</v>
      </c>
      <c r="L407" s="3">
        <v>0.0</v>
      </c>
      <c r="M407" s="3">
        <v>0.0</v>
      </c>
      <c r="N407" s="3">
        <v>7848.2304</v>
      </c>
      <c r="O407" s="3">
        <v>874.0</v>
      </c>
      <c r="P407" s="3" t="e">
        <v>#N/A</v>
      </c>
      <c r="Q407" s="3">
        <v>54.0</v>
      </c>
      <c r="R407" s="3">
        <v>59.0</v>
      </c>
      <c r="S407" s="3">
        <v>62.0</v>
      </c>
      <c r="T407" s="3">
        <v>56.0</v>
      </c>
      <c r="U407" s="3">
        <v>56.0</v>
      </c>
      <c r="V407" s="3">
        <v>59.0</v>
      </c>
      <c r="W407" s="3">
        <v>65.0</v>
      </c>
      <c r="X407" s="3">
        <v>54.0</v>
      </c>
      <c r="Y407" s="3">
        <v>67.0</v>
      </c>
      <c r="Z407" s="3">
        <v>65.0</v>
      </c>
      <c r="AA407" s="3">
        <v>63.0</v>
      </c>
      <c r="AB407" s="3">
        <v>52.0</v>
      </c>
      <c r="AC407" s="3">
        <v>51.0</v>
      </c>
      <c r="AD407" s="3">
        <v>51.0</v>
      </c>
      <c r="AE407" s="3">
        <v>49.0</v>
      </c>
      <c r="AF407" s="3">
        <v>67.0</v>
      </c>
      <c r="AG407" s="3">
        <v>55.0</v>
      </c>
      <c r="AH407" s="3">
        <v>56.0</v>
      </c>
      <c r="AI407" s="3">
        <v>51.0</v>
      </c>
      <c r="AJ407" s="3">
        <v>51.0</v>
      </c>
      <c r="AK407" s="3">
        <v>83.0</v>
      </c>
      <c r="AL407" s="3">
        <v>56.0</v>
      </c>
      <c r="AM407" s="3">
        <v>82.0</v>
      </c>
      <c r="AN407" s="3">
        <v>33.0</v>
      </c>
    </row>
    <row r="408" ht="14.25" customHeight="1">
      <c r="A408" s="3">
        <v>406.0</v>
      </c>
      <c r="B408" s="3" t="s">
        <v>6882</v>
      </c>
      <c r="C408" s="3">
        <v>32.0</v>
      </c>
      <c r="D408" s="3" t="s">
        <v>6645</v>
      </c>
      <c r="E408" s="3" t="s">
        <v>6646</v>
      </c>
      <c r="F408" s="3" t="s">
        <v>6646</v>
      </c>
      <c r="G408" s="3" t="s">
        <v>6645</v>
      </c>
      <c r="H408" s="3" t="s">
        <v>6645</v>
      </c>
      <c r="I408" s="3" t="s">
        <v>6646</v>
      </c>
      <c r="J408" s="3">
        <v>11.0</v>
      </c>
      <c r="K408" s="3">
        <v>3.0</v>
      </c>
      <c r="L408" s="3">
        <v>0.0</v>
      </c>
      <c r="M408" s="3">
        <v>0.0</v>
      </c>
      <c r="N408" s="3">
        <v>8193.31</v>
      </c>
      <c r="O408" s="3">
        <v>986.0</v>
      </c>
      <c r="P408" s="3" t="e">
        <v>#N/A</v>
      </c>
      <c r="Q408" s="3">
        <v>58.0</v>
      </c>
      <c r="R408" s="3">
        <v>65.0</v>
      </c>
      <c r="S408" s="3">
        <v>60.0</v>
      </c>
      <c r="T408" s="3">
        <v>56.0</v>
      </c>
      <c r="U408" s="3">
        <v>56.0</v>
      </c>
      <c r="V408" s="3">
        <v>65.0</v>
      </c>
      <c r="W408" s="3">
        <v>64.0</v>
      </c>
      <c r="X408" s="3">
        <v>53.0</v>
      </c>
      <c r="Y408" s="3">
        <v>67.0</v>
      </c>
      <c r="Z408" s="3">
        <v>65.0</v>
      </c>
      <c r="AA408" s="3">
        <v>61.0</v>
      </c>
      <c r="AB408" s="3">
        <v>54.0</v>
      </c>
      <c r="AC408" s="3">
        <v>48.0</v>
      </c>
      <c r="AD408" s="3">
        <v>54.0</v>
      </c>
      <c r="AE408" s="3">
        <v>62.0</v>
      </c>
      <c r="AF408" s="3">
        <v>44.0</v>
      </c>
      <c r="AG408" s="3">
        <v>48.0</v>
      </c>
      <c r="AH408" s="3">
        <v>43.0</v>
      </c>
      <c r="AI408" s="3">
        <v>43.0</v>
      </c>
      <c r="AJ408" s="3">
        <v>30.0</v>
      </c>
      <c r="AK408" s="3">
        <v>75.0</v>
      </c>
      <c r="AL408" s="3">
        <v>42.0</v>
      </c>
      <c r="AM408" s="3">
        <v>79.0</v>
      </c>
      <c r="AN408" s="3">
        <v>43.0</v>
      </c>
    </row>
    <row r="409" ht="14.25" customHeight="1">
      <c r="A409" s="3">
        <v>407.0</v>
      </c>
      <c r="B409" s="3" t="s">
        <v>6883</v>
      </c>
      <c r="C409" s="3">
        <v>28.0</v>
      </c>
      <c r="D409" s="3" t="s">
        <v>6645</v>
      </c>
      <c r="E409" s="3" t="s">
        <v>6646</v>
      </c>
      <c r="F409" s="3" t="s">
        <v>6646</v>
      </c>
      <c r="G409" s="3" t="s">
        <v>6645</v>
      </c>
      <c r="H409" s="3" t="s">
        <v>6645</v>
      </c>
      <c r="I409" s="3" t="s">
        <v>6646</v>
      </c>
      <c r="J409" s="3">
        <v>11.0</v>
      </c>
      <c r="K409" s="3">
        <v>2.0</v>
      </c>
      <c r="L409" s="3">
        <v>0.0</v>
      </c>
      <c r="M409" s="3">
        <v>0.0</v>
      </c>
      <c r="N409" s="3">
        <v>4008.6</v>
      </c>
      <c r="O409" s="3">
        <v>320.0</v>
      </c>
      <c r="P409" s="3" t="e">
        <v>#N/A</v>
      </c>
      <c r="Q409" s="3">
        <v>53.0</v>
      </c>
      <c r="R409" s="3">
        <v>49.0</v>
      </c>
      <c r="S409" s="3">
        <v>46.0</v>
      </c>
      <c r="T409" s="3">
        <v>52.0</v>
      </c>
      <c r="U409" s="3">
        <v>53.0</v>
      </c>
      <c r="V409" s="3">
        <v>47.0</v>
      </c>
      <c r="W409" s="3">
        <v>58.0</v>
      </c>
      <c r="X409" s="3">
        <v>45.0</v>
      </c>
      <c r="Y409" s="3">
        <v>50.0</v>
      </c>
      <c r="Z409" s="3">
        <v>52.0</v>
      </c>
      <c r="AA409" s="3">
        <v>55.0</v>
      </c>
      <c r="AB409" s="3">
        <v>40.0</v>
      </c>
      <c r="AC409" s="3">
        <v>49.0</v>
      </c>
      <c r="AD409" s="3">
        <v>45.0</v>
      </c>
      <c r="AE409" s="3">
        <v>45.0</v>
      </c>
      <c r="AF409" s="3">
        <v>60.0</v>
      </c>
      <c r="AG409" s="3">
        <v>64.0</v>
      </c>
      <c r="AH409" s="3">
        <v>29.0</v>
      </c>
      <c r="AI409" s="3">
        <v>28.0</v>
      </c>
      <c r="AJ409" s="3">
        <v>44.0</v>
      </c>
      <c r="AK409" s="3">
        <v>73.0</v>
      </c>
      <c r="AL409" s="3">
        <v>42.0</v>
      </c>
      <c r="AM409" s="3">
        <v>74.0</v>
      </c>
      <c r="AN409" s="3">
        <v>40.0</v>
      </c>
    </row>
    <row r="410" ht="14.25" customHeight="1">
      <c r="A410" s="3">
        <v>408.0</v>
      </c>
      <c r="B410" s="3" t="s">
        <v>6884</v>
      </c>
      <c r="C410" s="3">
        <v>30.0</v>
      </c>
      <c r="D410" s="3" t="s">
        <v>6645</v>
      </c>
      <c r="E410" s="3" t="s">
        <v>6646</v>
      </c>
      <c r="F410" s="3" t="s">
        <v>6646</v>
      </c>
      <c r="G410" s="3" t="s">
        <v>6645</v>
      </c>
      <c r="H410" s="3" t="s">
        <v>6645</v>
      </c>
      <c r="I410" s="3" t="s">
        <v>6646</v>
      </c>
      <c r="J410" s="3">
        <v>11.0</v>
      </c>
      <c r="K410" s="3">
        <v>2.0</v>
      </c>
      <c r="L410" s="3">
        <v>0.0</v>
      </c>
      <c r="M410" s="3">
        <v>0.0</v>
      </c>
      <c r="N410" s="3">
        <v>4138.1855</v>
      </c>
      <c r="O410" s="3">
        <v>397.0</v>
      </c>
      <c r="P410" s="3" t="e">
        <v>#N/A</v>
      </c>
      <c r="Q410" s="3">
        <v>52.0</v>
      </c>
      <c r="R410" s="3">
        <v>45.0</v>
      </c>
      <c r="S410" s="3">
        <v>54.0</v>
      </c>
      <c r="T410" s="3">
        <v>51.0</v>
      </c>
      <c r="U410" s="3">
        <v>53.0</v>
      </c>
      <c r="V410" s="3">
        <v>51.0</v>
      </c>
      <c r="W410" s="3">
        <v>54.0</v>
      </c>
      <c r="X410" s="3">
        <v>48.0</v>
      </c>
      <c r="Y410" s="3">
        <v>61.0</v>
      </c>
      <c r="Z410" s="3">
        <v>52.0</v>
      </c>
      <c r="AA410" s="3">
        <v>53.0</v>
      </c>
      <c r="AB410" s="3">
        <v>39.0</v>
      </c>
      <c r="AC410" s="3">
        <v>38.0</v>
      </c>
      <c r="AD410" s="3">
        <v>38.0</v>
      </c>
      <c r="AE410" s="3">
        <v>45.0</v>
      </c>
      <c r="AF410" s="3">
        <v>54.0</v>
      </c>
      <c r="AG410" s="3">
        <v>58.0</v>
      </c>
      <c r="AH410" s="3">
        <v>64.0</v>
      </c>
      <c r="AI410" s="3">
        <v>14.0</v>
      </c>
      <c r="AJ410" s="3">
        <v>54.0</v>
      </c>
      <c r="AK410" s="3">
        <v>72.0</v>
      </c>
      <c r="AL410" s="3">
        <v>28.0</v>
      </c>
      <c r="AM410" s="3">
        <v>74.0</v>
      </c>
      <c r="AN410" s="3">
        <v>64.0</v>
      </c>
    </row>
    <row r="411" ht="14.25" customHeight="1">
      <c r="A411" s="3">
        <v>409.0</v>
      </c>
      <c r="B411" s="3" t="s">
        <v>6885</v>
      </c>
      <c r="C411" s="3">
        <v>26.0</v>
      </c>
      <c r="D411" s="3" t="s">
        <v>6645</v>
      </c>
      <c r="E411" s="3" t="s">
        <v>6646</v>
      </c>
      <c r="F411" s="3" t="s">
        <v>6646</v>
      </c>
      <c r="G411" s="3" t="s">
        <v>6645</v>
      </c>
      <c r="H411" s="3" t="s">
        <v>6645</v>
      </c>
      <c r="I411" s="3" t="s">
        <v>6645</v>
      </c>
      <c r="J411" s="3">
        <v>11.0</v>
      </c>
      <c r="K411" s="3">
        <v>2.0</v>
      </c>
      <c r="L411" s="3">
        <v>0.0</v>
      </c>
      <c r="M411" s="3">
        <v>0.0</v>
      </c>
      <c r="N411" s="3">
        <v>4274.12</v>
      </c>
      <c r="O411" s="3">
        <v>352.0</v>
      </c>
      <c r="P411" s="3" t="e">
        <v>#N/A</v>
      </c>
      <c r="Q411" s="3">
        <v>51.0</v>
      </c>
      <c r="R411" s="3">
        <v>54.0</v>
      </c>
      <c r="S411" s="3">
        <v>52.0</v>
      </c>
      <c r="T411" s="3">
        <v>47.0</v>
      </c>
      <c r="U411" s="3">
        <v>46.0</v>
      </c>
      <c r="V411" s="3">
        <v>48.0</v>
      </c>
      <c r="W411" s="3">
        <v>59.0</v>
      </c>
      <c r="X411" s="3">
        <v>38.0</v>
      </c>
      <c r="Y411" s="3">
        <v>56.0</v>
      </c>
      <c r="Z411" s="3">
        <v>56.0</v>
      </c>
      <c r="AA411" s="3">
        <v>61.0</v>
      </c>
      <c r="AB411" s="3">
        <v>39.0</v>
      </c>
      <c r="AC411" s="3">
        <v>47.0</v>
      </c>
      <c r="AD411" s="3">
        <v>46.0</v>
      </c>
      <c r="AE411" s="3">
        <v>40.0</v>
      </c>
      <c r="AF411" s="3">
        <v>40.0</v>
      </c>
      <c r="AG411" s="3">
        <v>44.0</v>
      </c>
      <c r="AH411" s="3">
        <v>38.0</v>
      </c>
      <c r="AI411" s="3">
        <v>62.0</v>
      </c>
      <c r="AJ411" s="3">
        <v>46.0</v>
      </c>
      <c r="AK411" s="3">
        <v>78.0</v>
      </c>
      <c r="AL411" s="3">
        <v>52.0</v>
      </c>
      <c r="AM411" s="3">
        <v>83.0</v>
      </c>
      <c r="AN411" s="3">
        <v>25.0</v>
      </c>
    </row>
    <row r="412" ht="14.25" customHeight="1">
      <c r="A412" s="3">
        <v>410.0</v>
      </c>
      <c r="B412" s="3" t="s">
        <v>6886</v>
      </c>
      <c r="C412" s="3">
        <v>28.0</v>
      </c>
      <c r="D412" s="3" t="s">
        <v>6645</v>
      </c>
      <c r="E412" s="3" t="s">
        <v>6646</v>
      </c>
      <c r="F412" s="3" t="s">
        <v>6646</v>
      </c>
      <c r="G412" s="3" t="s">
        <v>6645</v>
      </c>
      <c r="H412" s="3" t="s">
        <v>6645</v>
      </c>
      <c r="I412" s="3" t="s">
        <v>6645</v>
      </c>
      <c r="J412" s="3">
        <v>11.0</v>
      </c>
      <c r="K412" s="3">
        <v>2.0</v>
      </c>
      <c r="L412" s="3">
        <v>0.0</v>
      </c>
      <c r="M412" s="3">
        <v>0.0</v>
      </c>
      <c r="N412" s="3">
        <v>4515.61</v>
      </c>
      <c r="O412" s="3">
        <v>483.0</v>
      </c>
      <c r="P412" s="3" t="e">
        <v>#N/A</v>
      </c>
      <c r="Q412" s="3">
        <v>54.0</v>
      </c>
      <c r="R412" s="3">
        <v>46.0</v>
      </c>
      <c r="S412" s="3">
        <v>46.0</v>
      </c>
      <c r="T412" s="3">
        <v>47.0</v>
      </c>
      <c r="U412" s="3">
        <v>53.0</v>
      </c>
      <c r="V412" s="3">
        <v>50.0</v>
      </c>
      <c r="W412" s="3">
        <v>58.0</v>
      </c>
      <c r="X412" s="3">
        <v>48.0</v>
      </c>
      <c r="Y412" s="3">
        <v>51.0</v>
      </c>
      <c r="Z412" s="3">
        <v>52.0</v>
      </c>
      <c r="AA412" s="3">
        <v>58.0</v>
      </c>
      <c r="AB412" s="3">
        <v>43.0</v>
      </c>
      <c r="AC412" s="3">
        <v>49.0</v>
      </c>
      <c r="AD412" s="3">
        <v>43.0</v>
      </c>
      <c r="AE412" s="3">
        <v>49.0</v>
      </c>
      <c r="AF412" s="3">
        <v>58.0</v>
      </c>
      <c r="AG412" s="3">
        <v>46.0</v>
      </c>
      <c r="AH412" s="3">
        <v>27.0</v>
      </c>
      <c r="AI412" s="3">
        <v>25.0</v>
      </c>
      <c r="AJ412" s="3">
        <v>36.0</v>
      </c>
      <c r="AK412" s="3">
        <v>79.0</v>
      </c>
      <c r="AL412" s="3">
        <v>42.0</v>
      </c>
      <c r="AM412" s="3">
        <v>81.0</v>
      </c>
      <c r="AN412" s="3">
        <v>42.0</v>
      </c>
    </row>
    <row r="413" ht="14.25" customHeight="1">
      <c r="A413" s="3">
        <v>411.0</v>
      </c>
      <c r="B413" s="3" t="s">
        <v>6887</v>
      </c>
      <c r="C413" s="3">
        <v>21.0</v>
      </c>
      <c r="D413" s="3" t="s">
        <v>6645</v>
      </c>
      <c r="E413" s="3" t="s">
        <v>6646</v>
      </c>
      <c r="F413" s="3" t="s">
        <v>6646</v>
      </c>
      <c r="G413" s="3" t="s">
        <v>6645</v>
      </c>
      <c r="H413" s="3" t="s">
        <v>6645</v>
      </c>
      <c r="I413" s="3" t="s">
        <v>6646</v>
      </c>
      <c r="J413" s="3">
        <v>11.0</v>
      </c>
      <c r="K413" s="3">
        <v>1.0</v>
      </c>
      <c r="L413" s="3">
        <v>0.0</v>
      </c>
      <c r="M413" s="3">
        <v>0.0</v>
      </c>
      <c r="N413" s="3">
        <v>1712.7268</v>
      </c>
      <c r="O413" s="3">
        <v>241.0</v>
      </c>
      <c r="P413" s="3" t="e">
        <v>#N/A</v>
      </c>
      <c r="Q413" s="3">
        <v>40.0</v>
      </c>
      <c r="R413" s="3">
        <v>40.0</v>
      </c>
      <c r="S413" s="3">
        <v>42.0</v>
      </c>
      <c r="T413" s="3">
        <v>38.0</v>
      </c>
      <c r="U413" s="3">
        <v>46.0</v>
      </c>
      <c r="V413" s="3">
        <v>44.0</v>
      </c>
      <c r="W413" s="3">
        <v>47.0</v>
      </c>
      <c r="X413" s="3">
        <v>39.0</v>
      </c>
      <c r="Y413" s="3">
        <v>51.0</v>
      </c>
      <c r="Z413" s="3">
        <v>46.0</v>
      </c>
      <c r="AA413" s="3">
        <v>47.0</v>
      </c>
      <c r="AB413" s="3">
        <v>35.0</v>
      </c>
      <c r="AC413" s="3">
        <v>31.0</v>
      </c>
      <c r="AD413" s="3">
        <v>46.0</v>
      </c>
      <c r="AE413" s="3">
        <v>30.0</v>
      </c>
      <c r="AF413" s="3">
        <v>53.0</v>
      </c>
      <c r="AG413" s="3">
        <v>20.0</v>
      </c>
      <c r="AH413" s="3">
        <v>48.0</v>
      </c>
      <c r="AI413" s="3">
        <v>54.0</v>
      </c>
      <c r="AJ413" s="3">
        <v>15.0</v>
      </c>
      <c r="AK413" s="3">
        <v>75.0</v>
      </c>
      <c r="AL413" s="3">
        <v>62.0</v>
      </c>
      <c r="AM413" s="3">
        <v>71.0</v>
      </c>
      <c r="AN413" s="3">
        <v>57.0</v>
      </c>
    </row>
    <row r="414" ht="14.25" customHeight="1">
      <c r="A414" s="3">
        <v>412.0</v>
      </c>
      <c r="B414" s="3" t="s">
        <v>6888</v>
      </c>
      <c r="C414" s="3">
        <v>25.0</v>
      </c>
      <c r="D414" s="3" t="s">
        <v>6645</v>
      </c>
      <c r="E414" s="3" t="s">
        <v>6646</v>
      </c>
      <c r="F414" s="3" t="s">
        <v>6646</v>
      </c>
      <c r="G414" s="3" t="s">
        <v>6645</v>
      </c>
      <c r="H414" s="3" t="s">
        <v>6645</v>
      </c>
      <c r="I414" s="3" t="s">
        <v>6645</v>
      </c>
      <c r="J414" s="3">
        <v>11.0</v>
      </c>
      <c r="K414" s="3">
        <v>1.0</v>
      </c>
      <c r="L414" s="3">
        <v>0.0</v>
      </c>
      <c r="M414" s="3">
        <v>0.0</v>
      </c>
      <c r="N414" s="3">
        <v>1941.8182</v>
      </c>
      <c r="O414" s="3">
        <v>184.0</v>
      </c>
      <c r="P414" s="3" t="e">
        <v>#N/A</v>
      </c>
      <c r="Q414" s="3">
        <v>40.0</v>
      </c>
      <c r="R414" s="3">
        <v>38.0</v>
      </c>
      <c r="S414" s="3">
        <v>38.0</v>
      </c>
      <c r="T414" s="3">
        <v>40.0</v>
      </c>
      <c r="U414" s="3">
        <v>44.0</v>
      </c>
      <c r="V414" s="3">
        <v>46.0</v>
      </c>
      <c r="W414" s="3">
        <v>47.0</v>
      </c>
      <c r="X414" s="3">
        <v>38.0</v>
      </c>
      <c r="Y414" s="3">
        <v>44.0</v>
      </c>
      <c r="Z414" s="3">
        <v>51.0</v>
      </c>
      <c r="AA414" s="3">
        <v>43.0</v>
      </c>
      <c r="AB414" s="3">
        <v>37.0</v>
      </c>
      <c r="AC414" s="3">
        <v>37.0</v>
      </c>
      <c r="AD414" s="3">
        <v>40.0</v>
      </c>
      <c r="AE414" s="3">
        <v>41.0</v>
      </c>
      <c r="AF414" s="3">
        <v>31.0</v>
      </c>
      <c r="AG414" s="3">
        <v>40.0</v>
      </c>
      <c r="AH414" s="3">
        <v>34.0</v>
      </c>
      <c r="AI414" s="3">
        <v>58.0</v>
      </c>
      <c r="AJ414" s="3">
        <v>44.0</v>
      </c>
      <c r="AK414" s="3">
        <v>75.0</v>
      </c>
      <c r="AL414" s="3">
        <v>59.0</v>
      </c>
      <c r="AM414" s="3">
        <v>77.0</v>
      </c>
      <c r="AN414" s="3">
        <v>57.0</v>
      </c>
    </row>
    <row r="415" ht="14.25" customHeight="1">
      <c r="A415" s="3">
        <v>413.0</v>
      </c>
      <c r="B415" s="3" t="s">
        <v>6889</v>
      </c>
      <c r="C415" s="3">
        <v>27.0</v>
      </c>
      <c r="D415" s="3" t="s">
        <v>6645</v>
      </c>
      <c r="E415" s="3" t="s">
        <v>6646</v>
      </c>
      <c r="F415" s="3" t="s">
        <v>6646</v>
      </c>
      <c r="G415" s="3" t="s">
        <v>6645</v>
      </c>
      <c r="H415" s="3" t="s">
        <v>6645</v>
      </c>
      <c r="I415" s="3" t="s">
        <v>6645</v>
      </c>
      <c r="J415" s="3">
        <v>11.0</v>
      </c>
      <c r="K415" s="3">
        <v>1.0</v>
      </c>
      <c r="L415" s="3">
        <v>0.0</v>
      </c>
      <c r="M415" s="3">
        <v>0.0</v>
      </c>
      <c r="N415" s="3">
        <v>2077.9052</v>
      </c>
      <c r="O415" s="3">
        <v>173.0</v>
      </c>
      <c r="P415" s="3" t="e">
        <v>#N/A</v>
      </c>
      <c r="Q415" s="3">
        <v>38.0</v>
      </c>
      <c r="R415" s="3">
        <v>38.0</v>
      </c>
      <c r="S415" s="3">
        <v>42.0</v>
      </c>
      <c r="T415" s="3">
        <v>44.0</v>
      </c>
      <c r="U415" s="3">
        <v>42.0</v>
      </c>
      <c r="V415" s="3">
        <v>40.0</v>
      </c>
      <c r="W415" s="3">
        <v>47.0</v>
      </c>
      <c r="X415" s="3">
        <v>33.0</v>
      </c>
      <c r="Y415" s="3">
        <v>46.0</v>
      </c>
      <c r="Z415" s="3">
        <v>51.0</v>
      </c>
      <c r="AA415" s="3">
        <v>43.0</v>
      </c>
      <c r="AB415" s="3">
        <v>37.0</v>
      </c>
      <c r="AC415" s="3">
        <v>32.0</v>
      </c>
      <c r="AD415" s="3">
        <v>41.0</v>
      </c>
      <c r="AE415" s="3">
        <v>40.0</v>
      </c>
      <c r="AF415" s="3">
        <v>33.0</v>
      </c>
      <c r="AG415" s="3">
        <v>37.0</v>
      </c>
      <c r="AH415" s="3">
        <v>59.0</v>
      </c>
      <c r="AI415" s="3">
        <v>37.0</v>
      </c>
      <c r="AJ415" s="3">
        <v>6.0</v>
      </c>
      <c r="AK415" s="3">
        <v>79.0</v>
      </c>
      <c r="AL415" s="3">
        <v>39.0</v>
      </c>
      <c r="AM415" s="3">
        <v>68.0</v>
      </c>
      <c r="AN415" s="3">
        <v>43.0</v>
      </c>
    </row>
    <row r="416" ht="14.25" customHeight="1">
      <c r="A416" s="3">
        <v>414.0</v>
      </c>
      <c r="B416" s="3" t="s">
        <v>6890</v>
      </c>
      <c r="C416" s="3">
        <v>29.0</v>
      </c>
      <c r="D416" s="3" t="s">
        <v>6645</v>
      </c>
      <c r="E416" s="3" t="s">
        <v>6646</v>
      </c>
      <c r="F416" s="3" t="s">
        <v>6646</v>
      </c>
      <c r="G416" s="3" t="s">
        <v>6645</v>
      </c>
      <c r="H416" s="3" t="s">
        <v>6645</v>
      </c>
      <c r="I416" s="3" t="s">
        <v>6645</v>
      </c>
      <c r="J416" s="3">
        <v>11.0</v>
      </c>
      <c r="K416" s="3">
        <v>1.0</v>
      </c>
      <c r="L416" s="3">
        <v>0.0</v>
      </c>
      <c r="M416" s="3">
        <v>0.0</v>
      </c>
      <c r="N416" s="3">
        <v>1944.7302</v>
      </c>
      <c r="O416" s="3">
        <v>186.0</v>
      </c>
      <c r="P416" s="3" t="e">
        <v>#N/A</v>
      </c>
      <c r="Q416" s="3">
        <v>46.0</v>
      </c>
      <c r="R416" s="3">
        <v>46.0</v>
      </c>
      <c r="S416" s="3">
        <v>44.0</v>
      </c>
      <c r="T416" s="3">
        <v>46.0</v>
      </c>
      <c r="U416" s="3">
        <v>44.0</v>
      </c>
      <c r="V416" s="3">
        <v>40.0</v>
      </c>
      <c r="W416" s="3">
        <v>51.0</v>
      </c>
      <c r="X416" s="3">
        <v>36.0</v>
      </c>
      <c r="Y416" s="3">
        <v>50.0</v>
      </c>
      <c r="Z416" s="3">
        <v>52.0</v>
      </c>
      <c r="AA416" s="3">
        <v>46.0</v>
      </c>
      <c r="AB416" s="3">
        <v>34.0</v>
      </c>
      <c r="AC416" s="3">
        <v>29.0</v>
      </c>
      <c r="AD416" s="3">
        <v>40.0</v>
      </c>
      <c r="AE416" s="3">
        <v>40.0</v>
      </c>
      <c r="AF416" s="3">
        <v>48.0</v>
      </c>
      <c r="AG416" s="3">
        <v>35.0</v>
      </c>
      <c r="AH416" s="3">
        <v>47.0</v>
      </c>
      <c r="AI416" s="3">
        <v>41.0</v>
      </c>
      <c r="AJ416" s="3">
        <v>35.0</v>
      </c>
      <c r="AK416" s="3">
        <v>70.0</v>
      </c>
      <c r="AL416" s="3">
        <v>38.0</v>
      </c>
      <c r="AM416" s="3">
        <v>73.0</v>
      </c>
      <c r="AN416" s="3">
        <v>47.0</v>
      </c>
    </row>
    <row r="417" ht="14.25" customHeight="1">
      <c r="A417" s="3">
        <v>415.0</v>
      </c>
      <c r="B417" s="3" t="s">
        <v>6891</v>
      </c>
      <c r="C417" s="3">
        <v>21.0</v>
      </c>
      <c r="D417" s="3" t="s">
        <v>6645</v>
      </c>
      <c r="E417" s="3" t="s">
        <v>6646</v>
      </c>
      <c r="F417" s="3" t="s">
        <v>6646</v>
      </c>
      <c r="G417" s="3" t="s">
        <v>6645</v>
      </c>
      <c r="H417" s="3" t="s">
        <v>6645</v>
      </c>
      <c r="I417" s="3" t="s">
        <v>6646</v>
      </c>
      <c r="J417" s="3">
        <v>11.0</v>
      </c>
      <c r="K417" s="3">
        <v>1.0</v>
      </c>
      <c r="L417" s="3">
        <v>0.0</v>
      </c>
      <c r="M417" s="3">
        <v>0.0</v>
      </c>
      <c r="N417" s="3">
        <v>1927.7784</v>
      </c>
      <c r="O417" s="3">
        <v>236.0</v>
      </c>
      <c r="P417" s="3" t="e">
        <v>#N/A</v>
      </c>
      <c r="Q417" s="3">
        <v>46.0</v>
      </c>
      <c r="R417" s="3">
        <v>44.0</v>
      </c>
      <c r="S417" s="3">
        <v>40.0</v>
      </c>
      <c r="T417" s="3">
        <v>44.0</v>
      </c>
      <c r="U417" s="3">
        <v>38.0</v>
      </c>
      <c r="V417" s="3">
        <v>38.0</v>
      </c>
      <c r="W417" s="3">
        <v>55.0</v>
      </c>
      <c r="X417" s="3">
        <v>44.0</v>
      </c>
      <c r="Y417" s="3">
        <v>48.0</v>
      </c>
      <c r="Z417" s="3">
        <v>54.0</v>
      </c>
      <c r="AA417" s="3">
        <v>54.0</v>
      </c>
      <c r="AB417" s="3">
        <v>34.0</v>
      </c>
      <c r="AC417" s="3">
        <v>36.0</v>
      </c>
      <c r="AD417" s="3">
        <v>36.0</v>
      </c>
      <c r="AE417" s="3">
        <v>35.0</v>
      </c>
      <c r="AF417" s="3">
        <v>55.0</v>
      </c>
      <c r="AG417" s="3">
        <v>42.0</v>
      </c>
      <c r="AH417" s="3">
        <v>38.0</v>
      </c>
      <c r="AI417" s="3">
        <v>35.0</v>
      </c>
      <c r="AJ417" s="3">
        <v>9.0</v>
      </c>
      <c r="AK417" s="3">
        <v>71.0</v>
      </c>
      <c r="AL417" s="3">
        <v>13.0</v>
      </c>
      <c r="AM417" s="3">
        <v>82.0</v>
      </c>
      <c r="AN417" s="3">
        <v>53.0</v>
      </c>
    </row>
    <row r="418" ht="14.25" customHeight="1">
      <c r="A418" s="3">
        <v>416.0</v>
      </c>
      <c r="B418" s="3" t="s">
        <v>6892</v>
      </c>
      <c r="C418" s="3">
        <v>20.0</v>
      </c>
      <c r="D418" s="3" t="s">
        <v>6645</v>
      </c>
      <c r="E418" s="3" t="s">
        <v>6646</v>
      </c>
      <c r="F418" s="3" t="s">
        <v>6646</v>
      </c>
      <c r="G418" s="3" t="s">
        <v>6645</v>
      </c>
      <c r="H418" s="3" t="s">
        <v>6645</v>
      </c>
      <c r="I418" s="3" t="s">
        <v>6645</v>
      </c>
      <c r="J418" s="3">
        <v>11.0</v>
      </c>
      <c r="K418" s="3">
        <v>0.0</v>
      </c>
      <c r="L418" s="3">
        <v>0.0</v>
      </c>
      <c r="M418" s="3">
        <v>0.0</v>
      </c>
      <c r="N418" s="3">
        <v>562.336</v>
      </c>
      <c r="O418" s="3">
        <v>79.0</v>
      </c>
      <c r="P418" s="3" t="e">
        <v>#N/A</v>
      </c>
      <c r="Q418" s="3">
        <v>35.0</v>
      </c>
      <c r="R418" s="3">
        <v>32.0</v>
      </c>
      <c r="S418" s="3">
        <v>30.0</v>
      </c>
      <c r="T418" s="3">
        <v>38.0</v>
      </c>
      <c r="U418" s="3">
        <v>35.0</v>
      </c>
      <c r="V418" s="3">
        <v>33.0</v>
      </c>
      <c r="W418" s="3">
        <v>43.0</v>
      </c>
      <c r="X418" s="3">
        <v>26.0</v>
      </c>
      <c r="Y418" s="3">
        <v>47.0</v>
      </c>
      <c r="Z418" s="3">
        <v>45.0</v>
      </c>
      <c r="AA418" s="3">
        <v>44.0</v>
      </c>
      <c r="AB418" s="3">
        <v>22.0</v>
      </c>
      <c r="AC418" s="3">
        <v>31.0</v>
      </c>
      <c r="AD418" s="3">
        <v>24.0</v>
      </c>
      <c r="AE418" s="3">
        <v>24.0</v>
      </c>
      <c r="AF418" s="3">
        <v>48.0</v>
      </c>
      <c r="AG418" s="3">
        <v>35.0</v>
      </c>
      <c r="AH418" s="3">
        <v>52.0</v>
      </c>
      <c r="AI418" s="3">
        <v>8.0</v>
      </c>
      <c r="AJ418" s="3">
        <v>44.0</v>
      </c>
      <c r="AK418" s="3">
        <v>76.0</v>
      </c>
      <c r="AL418" s="3">
        <v>12.0</v>
      </c>
      <c r="AM418" s="3">
        <v>62.0</v>
      </c>
      <c r="AN418" s="3">
        <v>49.0</v>
      </c>
    </row>
    <row r="419" ht="14.25" customHeight="1">
      <c r="A419" s="3">
        <v>417.0</v>
      </c>
      <c r="B419" s="3" t="s">
        <v>6893</v>
      </c>
      <c r="C419" s="3">
        <v>22.0</v>
      </c>
      <c r="D419" s="3" t="s">
        <v>6645</v>
      </c>
      <c r="E419" s="3" t="s">
        <v>6646</v>
      </c>
      <c r="F419" s="3" t="s">
        <v>6646</v>
      </c>
      <c r="G419" s="3" t="s">
        <v>6645</v>
      </c>
      <c r="H419" s="3" t="s">
        <v>6645</v>
      </c>
      <c r="I419" s="3" t="s">
        <v>6646</v>
      </c>
      <c r="J419" s="3">
        <v>11.0</v>
      </c>
      <c r="K419" s="3">
        <v>0.0</v>
      </c>
      <c r="L419" s="3">
        <v>0.0</v>
      </c>
      <c r="M419" s="3">
        <v>0.0</v>
      </c>
      <c r="N419" s="3">
        <v>597.46</v>
      </c>
      <c r="O419" s="3">
        <v>78.0</v>
      </c>
      <c r="P419" s="3" t="e">
        <v>#N/A</v>
      </c>
      <c r="Q419" s="3">
        <v>36.0</v>
      </c>
      <c r="R419" s="3">
        <v>37.0</v>
      </c>
      <c r="S419" s="3">
        <v>30.0</v>
      </c>
      <c r="T419" s="3">
        <v>36.0</v>
      </c>
      <c r="U419" s="3">
        <v>31.0</v>
      </c>
      <c r="V419" s="3">
        <v>30.0</v>
      </c>
      <c r="W419" s="3">
        <v>36.0</v>
      </c>
      <c r="X419" s="3">
        <v>31.0</v>
      </c>
      <c r="Y419" s="3">
        <v>46.0</v>
      </c>
      <c r="Z419" s="3">
        <v>40.0</v>
      </c>
      <c r="AA419" s="3">
        <v>44.0</v>
      </c>
      <c r="AB419" s="3">
        <v>27.0</v>
      </c>
      <c r="AC419" s="3">
        <v>37.0</v>
      </c>
      <c r="AD419" s="3">
        <v>23.0</v>
      </c>
      <c r="AE419" s="3">
        <v>29.0</v>
      </c>
      <c r="AF419" s="3">
        <v>34.0</v>
      </c>
      <c r="AG419" s="3">
        <v>36.0</v>
      </c>
      <c r="AH419" s="3">
        <v>38.0</v>
      </c>
      <c r="AI419" s="3">
        <v>39.0</v>
      </c>
      <c r="AJ419" s="3">
        <v>24.0</v>
      </c>
      <c r="AK419" s="3">
        <v>77.0</v>
      </c>
      <c r="AL419" s="3">
        <v>31.0</v>
      </c>
      <c r="AM419" s="3">
        <v>72.0</v>
      </c>
      <c r="AN419" s="3">
        <v>31.0</v>
      </c>
    </row>
    <row r="420" ht="14.25" customHeight="1">
      <c r="A420" s="3">
        <v>418.0</v>
      </c>
      <c r="B420" s="3" t="s">
        <v>6894</v>
      </c>
      <c r="C420" s="3">
        <v>15.0</v>
      </c>
      <c r="D420" s="3" t="s">
        <v>6645</v>
      </c>
      <c r="E420" s="3" t="s">
        <v>6646</v>
      </c>
      <c r="F420" s="3" t="s">
        <v>6646</v>
      </c>
      <c r="G420" s="3" t="s">
        <v>6645</v>
      </c>
      <c r="H420" s="3" t="s">
        <v>6645</v>
      </c>
      <c r="I420" s="3" t="s">
        <v>6646</v>
      </c>
      <c r="J420" s="3">
        <v>11.0</v>
      </c>
      <c r="K420" s="3">
        <v>0.0</v>
      </c>
      <c r="L420" s="3">
        <v>0.0</v>
      </c>
      <c r="M420" s="3">
        <v>0.0</v>
      </c>
      <c r="N420" s="3">
        <v>510.54443</v>
      </c>
      <c r="O420" s="3">
        <v>81.0</v>
      </c>
      <c r="P420" s="3" t="e">
        <v>#N/A</v>
      </c>
      <c r="Q420" s="3">
        <v>32.0</v>
      </c>
      <c r="R420" s="3">
        <v>37.0</v>
      </c>
      <c r="S420" s="3">
        <v>30.0</v>
      </c>
      <c r="T420" s="3">
        <v>35.0</v>
      </c>
      <c r="U420" s="3">
        <v>31.0</v>
      </c>
      <c r="V420" s="3">
        <v>32.0</v>
      </c>
      <c r="W420" s="3">
        <v>43.0</v>
      </c>
      <c r="X420" s="3">
        <v>28.0</v>
      </c>
      <c r="Y420" s="3">
        <v>43.0</v>
      </c>
      <c r="Z420" s="3">
        <v>35.0</v>
      </c>
      <c r="AA420" s="3">
        <v>39.0</v>
      </c>
      <c r="AB420" s="3">
        <v>35.0</v>
      </c>
      <c r="AC420" s="3">
        <v>26.0</v>
      </c>
      <c r="AD420" s="3">
        <v>32.0</v>
      </c>
      <c r="AE420" s="3">
        <v>22.0</v>
      </c>
      <c r="AF420" s="3">
        <v>40.0</v>
      </c>
      <c r="AG420" s="3">
        <v>37.0</v>
      </c>
      <c r="AH420" s="3">
        <v>44.0</v>
      </c>
      <c r="AI420" s="3">
        <v>42.0</v>
      </c>
      <c r="AJ420" s="3">
        <v>37.0</v>
      </c>
      <c r="AK420" s="3">
        <v>71.0</v>
      </c>
      <c r="AL420" s="3">
        <v>13.0</v>
      </c>
      <c r="AM420" s="3">
        <v>71.0</v>
      </c>
      <c r="AN420" s="3">
        <v>43.0</v>
      </c>
    </row>
    <row r="421" ht="14.25" customHeight="1">
      <c r="A421" s="3">
        <v>419.0</v>
      </c>
      <c r="B421" s="3" t="s">
        <v>6895</v>
      </c>
      <c r="C421" s="3">
        <v>17.0</v>
      </c>
      <c r="D421" s="3" t="s">
        <v>6645</v>
      </c>
      <c r="E421" s="3" t="s">
        <v>6646</v>
      </c>
      <c r="F421" s="3" t="s">
        <v>6646</v>
      </c>
      <c r="G421" s="3" t="s">
        <v>6645</v>
      </c>
      <c r="H421" s="3" t="s">
        <v>6645</v>
      </c>
      <c r="I421" s="3" t="s">
        <v>6645</v>
      </c>
      <c r="J421" s="3">
        <v>11.0</v>
      </c>
      <c r="K421" s="3">
        <v>0.0</v>
      </c>
      <c r="L421" s="3">
        <v>0.0</v>
      </c>
      <c r="M421" s="3">
        <v>0.0</v>
      </c>
      <c r="N421" s="3">
        <v>536.698</v>
      </c>
      <c r="O421" s="3">
        <v>123.0</v>
      </c>
      <c r="P421" s="3" t="e">
        <v>#N/A</v>
      </c>
      <c r="Q421" s="3">
        <v>39.0</v>
      </c>
      <c r="R421" s="3">
        <v>38.0</v>
      </c>
      <c r="S421" s="3">
        <v>37.0</v>
      </c>
      <c r="T421" s="3">
        <v>35.0</v>
      </c>
      <c r="U421" s="3">
        <v>31.0</v>
      </c>
      <c r="V421" s="3">
        <v>36.0</v>
      </c>
      <c r="W421" s="3">
        <v>40.0</v>
      </c>
      <c r="X421" s="3">
        <v>31.0</v>
      </c>
      <c r="Y421" s="3">
        <v>45.0</v>
      </c>
      <c r="Z421" s="3">
        <v>42.0</v>
      </c>
      <c r="AA421" s="3">
        <v>44.0</v>
      </c>
      <c r="AB421" s="3">
        <v>32.0</v>
      </c>
      <c r="AC421" s="3">
        <v>28.0</v>
      </c>
      <c r="AD421" s="3">
        <v>22.0</v>
      </c>
      <c r="AE421" s="3">
        <v>31.0</v>
      </c>
      <c r="AF421" s="3">
        <v>36.0</v>
      </c>
      <c r="AG421" s="3">
        <v>59.0</v>
      </c>
      <c r="AH421" s="3">
        <v>45.0</v>
      </c>
      <c r="AI421" s="3">
        <v>38.0</v>
      </c>
      <c r="AJ421" s="3">
        <v>37.0</v>
      </c>
      <c r="AK421" s="3">
        <v>78.0</v>
      </c>
      <c r="AL421" s="3">
        <v>32.0</v>
      </c>
      <c r="AM421" s="3">
        <v>74.0</v>
      </c>
      <c r="AN421" s="3">
        <v>53.0</v>
      </c>
    </row>
    <row r="422" ht="14.25" customHeight="1">
      <c r="A422" s="3">
        <v>420.0</v>
      </c>
      <c r="B422" s="3" t="s">
        <v>6896</v>
      </c>
      <c r="C422" s="3">
        <v>24.0</v>
      </c>
      <c r="D422" s="3" t="s">
        <v>6645</v>
      </c>
      <c r="E422" s="3" t="s">
        <v>6646</v>
      </c>
      <c r="F422" s="3" t="s">
        <v>6646</v>
      </c>
      <c r="G422" s="3" t="s">
        <v>6645</v>
      </c>
      <c r="H422" s="3" t="s">
        <v>6645</v>
      </c>
      <c r="I422" s="3" t="s">
        <v>6645</v>
      </c>
      <c r="J422" s="3">
        <v>11.0</v>
      </c>
      <c r="K422" s="3">
        <v>0.0</v>
      </c>
      <c r="L422" s="3">
        <v>0.0</v>
      </c>
      <c r="M422" s="3">
        <v>0.0</v>
      </c>
      <c r="N422" s="3">
        <v>490.46856</v>
      </c>
      <c r="O422" s="3">
        <v>112.0</v>
      </c>
      <c r="P422" s="3" t="e">
        <v>#N/A</v>
      </c>
      <c r="Q422" s="3">
        <v>36.0</v>
      </c>
      <c r="R422" s="3">
        <v>34.0</v>
      </c>
      <c r="S422" s="3">
        <v>30.0</v>
      </c>
      <c r="T422" s="3">
        <v>34.0</v>
      </c>
      <c r="U422" s="3">
        <v>32.0</v>
      </c>
      <c r="V422" s="3">
        <v>36.0</v>
      </c>
      <c r="W422" s="3">
        <v>45.0</v>
      </c>
      <c r="X422" s="3">
        <v>23.0</v>
      </c>
      <c r="Y422" s="3">
        <v>45.0</v>
      </c>
      <c r="Z422" s="3">
        <v>41.0</v>
      </c>
      <c r="AA422" s="3">
        <v>41.0</v>
      </c>
      <c r="AB422" s="3">
        <v>35.0</v>
      </c>
      <c r="AC422" s="3">
        <v>31.0</v>
      </c>
      <c r="AD422" s="3">
        <v>25.0</v>
      </c>
      <c r="AE422" s="3">
        <v>28.0</v>
      </c>
      <c r="AF422" s="3">
        <v>54.0</v>
      </c>
      <c r="AG422" s="3">
        <v>57.0</v>
      </c>
      <c r="AH422" s="3">
        <v>38.0</v>
      </c>
      <c r="AI422" s="3">
        <v>50.0</v>
      </c>
      <c r="AJ422" s="3">
        <v>38.0</v>
      </c>
      <c r="AK422" s="3">
        <v>76.0</v>
      </c>
      <c r="AL422" s="3">
        <v>16.0</v>
      </c>
      <c r="AM422" s="3">
        <v>71.0</v>
      </c>
      <c r="AN422" s="3">
        <v>57.0</v>
      </c>
    </row>
    <row r="423" ht="14.25" customHeight="1">
      <c r="A423" s="3">
        <v>421.0</v>
      </c>
      <c r="B423" s="3" t="s">
        <v>6897</v>
      </c>
      <c r="C423" s="3">
        <v>41.0</v>
      </c>
      <c r="D423" s="3" t="s">
        <v>6645</v>
      </c>
      <c r="E423" s="3" t="s">
        <v>6646</v>
      </c>
      <c r="F423" s="3" t="s">
        <v>6646</v>
      </c>
      <c r="G423" s="3" t="s">
        <v>6645</v>
      </c>
      <c r="H423" s="3" t="s">
        <v>6645</v>
      </c>
      <c r="I423" s="3" t="s">
        <v>6646</v>
      </c>
      <c r="J423" s="3">
        <v>12.0</v>
      </c>
      <c r="K423" s="3">
        <v>4.0</v>
      </c>
      <c r="L423" s="3">
        <v>0.0</v>
      </c>
      <c r="M423" s="3">
        <v>0.0</v>
      </c>
      <c r="N423" s="3">
        <v>10333.446</v>
      </c>
      <c r="O423" s="3">
        <v>1867.0</v>
      </c>
      <c r="P423" s="3" t="e">
        <v>#N/A</v>
      </c>
      <c r="Q423" s="3">
        <v>75.0</v>
      </c>
      <c r="R423" s="3">
        <v>62.0</v>
      </c>
      <c r="S423" s="3">
        <v>56.0</v>
      </c>
      <c r="T423" s="3">
        <v>64.0</v>
      </c>
      <c r="U423" s="3">
        <v>66.0</v>
      </c>
      <c r="V423" s="3">
        <v>59.0</v>
      </c>
      <c r="W423" s="3">
        <v>66.0</v>
      </c>
      <c r="X423" s="3">
        <v>62.0</v>
      </c>
      <c r="Y423" s="3">
        <v>77.0</v>
      </c>
      <c r="Z423" s="3">
        <v>58.0</v>
      </c>
      <c r="AA423" s="3">
        <v>56.0</v>
      </c>
      <c r="AB423" s="3">
        <v>74.0</v>
      </c>
      <c r="AC423" s="3">
        <v>81.0</v>
      </c>
      <c r="AD423" s="3">
        <v>65.0</v>
      </c>
      <c r="AE423" s="3">
        <v>65.0</v>
      </c>
      <c r="AF423" s="3">
        <v>60.0</v>
      </c>
      <c r="AG423" s="3">
        <v>59.0</v>
      </c>
      <c r="AH423" s="3">
        <v>50.0</v>
      </c>
      <c r="AI423" s="3">
        <v>43.0</v>
      </c>
      <c r="AJ423" s="3">
        <v>29.0</v>
      </c>
      <c r="AK423" s="3">
        <v>63.0</v>
      </c>
      <c r="AL423" s="3">
        <v>60.0</v>
      </c>
      <c r="AM423" s="3">
        <v>62.0</v>
      </c>
      <c r="AN423" s="3">
        <v>71.0</v>
      </c>
    </row>
    <row r="424" ht="14.25" customHeight="1">
      <c r="A424" s="3">
        <v>422.0</v>
      </c>
      <c r="B424" s="3" t="s">
        <v>6898</v>
      </c>
      <c r="C424" s="3">
        <v>44.0</v>
      </c>
      <c r="D424" s="3" t="s">
        <v>6645</v>
      </c>
      <c r="E424" s="3" t="s">
        <v>6646</v>
      </c>
      <c r="F424" s="3" t="s">
        <v>6646</v>
      </c>
      <c r="G424" s="3" t="s">
        <v>6645</v>
      </c>
      <c r="H424" s="3" t="s">
        <v>6645</v>
      </c>
      <c r="I424" s="3" t="s">
        <v>6645</v>
      </c>
      <c r="J424" s="3">
        <v>12.0</v>
      </c>
      <c r="K424" s="3">
        <v>4.0</v>
      </c>
      <c r="L424" s="3">
        <v>0.0</v>
      </c>
      <c r="M424" s="3">
        <v>0.0</v>
      </c>
      <c r="N424" s="3">
        <v>10814.537</v>
      </c>
      <c r="O424" s="3">
        <v>1632.0</v>
      </c>
      <c r="P424" s="3" t="e">
        <v>#N/A</v>
      </c>
      <c r="Q424" s="3">
        <v>79.0</v>
      </c>
      <c r="R424" s="3">
        <v>62.0</v>
      </c>
      <c r="S424" s="3">
        <v>65.0</v>
      </c>
      <c r="T424" s="3">
        <v>64.0</v>
      </c>
      <c r="U424" s="3">
        <v>68.0</v>
      </c>
      <c r="V424" s="3">
        <v>57.0</v>
      </c>
      <c r="W424" s="3">
        <v>60.0</v>
      </c>
      <c r="X424" s="3">
        <v>60.0</v>
      </c>
      <c r="Y424" s="3">
        <v>78.0</v>
      </c>
      <c r="Z424" s="3">
        <v>61.0</v>
      </c>
      <c r="AA424" s="3">
        <v>64.0</v>
      </c>
      <c r="AB424" s="3">
        <v>76.0</v>
      </c>
      <c r="AC424" s="3">
        <v>80.0</v>
      </c>
      <c r="AD424" s="3">
        <v>56.0</v>
      </c>
      <c r="AE424" s="3">
        <v>52.0</v>
      </c>
      <c r="AF424" s="3">
        <v>45.0</v>
      </c>
      <c r="AG424" s="3">
        <v>69.0</v>
      </c>
      <c r="AH424" s="3">
        <v>68.0</v>
      </c>
      <c r="AI424" s="3">
        <v>58.0</v>
      </c>
      <c r="AJ424" s="3">
        <v>70.0</v>
      </c>
      <c r="AK424" s="3">
        <v>51.0</v>
      </c>
      <c r="AL424" s="3">
        <v>50.0</v>
      </c>
      <c r="AM424" s="3">
        <v>53.0</v>
      </c>
      <c r="AN424" s="3">
        <v>84.0</v>
      </c>
    </row>
    <row r="425" ht="14.25" customHeight="1">
      <c r="A425" s="3">
        <v>423.0</v>
      </c>
      <c r="B425" s="3" t="s">
        <v>6899</v>
      </c>
      <c r="C425" s="3">
        <v>36.0</v>
      </c>
      <c r="D425" s="3" t="s">
        <v>6645</v>
      </c>
      <c r="E425" s="3" t="s">
        <v>6646</v>
      </c>
      <c r="F425" s="3" t="s">
        <v>6646</v>
      </c>
      <c r="G425" s="3" t="s">
        <v>6645</v>
      </c>
      <c r="H425" s="3" t="s">
        <v>6645</v>
      </c>
      <c r="I425" s="3" t="s">
        <v>6646</v>
      </c>
      <c r="J425" s="3">
        <v>12.0</v>
      </c>
      <c r="K425" s="3">
        <v>4.0</v>
      </c>
      <c r="L425" s="3">
        <v>0.0</v>
      </c>
      <c r="M425" s="3">
        <v>0.0</v>
      </c>
      <c r="N425" s="3">
        <v>11101.814</v>
      </c>
      <c r="O425" s="3">
        <v>1804.0</v>
      </c>
      <c r="P425" s="3" t="e">
        <v>#N/A</v>
      </c>
      <c r="Q425" s="3">
        <v>77.0</v>
      </c>
      <c r="R425" s="3">
        <v>65.0</v>
      </c>
      <c r="S425" s="3">
        <v>59.0</v>
      </c>
      <c r="T425" s="3">
        <v>62.0</v>
      </c>
      <c r="U425" s="3">
        <v>71.0</v>
      </c>
      <c r="V425" s="3">
        <v>58.0</v>
      </c>
      <c r="W425" s="3">
        <v>69.0</v>
      </c>
      <c r="X425" s="3">
        <v>66.0</v>
      </c>
      <c r="Y425" s="3">
        <v>81.0</v>
      </c>
      <c r="Z425" s="3">
        <v>53.0</v>
      </c>
      <c r="AA425" s="3">
        <v>55.0</v>
      </c>
      <c r="AB425" s="3">
        <v>81.0</v>
      </c>
      <c r="AC425" s="3">
        <v>76.0</v>
      </c>
      <c r="AD425" s="3">
        <v>59.0</v>
      </c>
      <c r="AE425" s="3">
        <v>56.0</v>
      </c>
      <c r="AF425" s="3">
        <v>51.0</v>
      </c>
      <c r="AG425" s="3">
        <v>58.0</v>
      </c>
      <c r="AH425" s="3">
        <v>69.0</v>
      </c>
      <c r="AI425" s="3">
        <v>68.0</v>
      </c>
      <c r="AJ425" s="3">
        <v>42.0</v>
      </c>
      <c r="AK425" s="3">
        <v>63.0</v>
      </c>
      <c r="AL425" s="3">
        <v>68.0</v>
      </c>
      <c r="AM425" s="3">
        <v>16.0</v>
      </c>
      <c r="AN425" s="3">
        <v>78.0</v>
      </c>
    </row>
    <row r="426" ht="14.25" customHeight="1">
      <c r="A426" s="3">
        <v>424.0</v>
      </c>
      <c r="B426" s="3" t="s">
        <v>6900</v>
      </c>
      <c r="C426" s="3">
        <v>37.0</v>
      </c>
      <c r="D426" s="3" t="s">
        <v>6645</v>
      </c>
      <c r="E426" s="3" t="s">
        <v>6646</v>
      </c>
      <c r="F426" s="3" t="s">
        <v>6646</v>
      </c>
      <c r="G426" s="3" t="s">
        <v>6645</v>
      </c>
      <c r="H426" s="3" t="s">
        <v>6645</v>
      </c>
      <c r="I426" s="3" t="s">
        <v>6646</v>
      </c>
      <c r="J426" s="3">
        <v>12.0</v>
      </c>
      <c r="K426" s="3">
        <v>3.0</v>
      </c>
      <c r="L426" s="3">
        <v>0.0</v>
      </c>
      <c r="M426" s="3">
        <v>0.0</v>
      </c>
      <c r="N426" s="3">
        <v>6409.2675</v>
      </c>
      <c r="O426" s="3">
        <v>980.0</v>
      </c>
      <c r="P426" s="3" t="e">
        <v>#N/A</v>
      </c>
      <c r="Q426" s="3">
        <v>61.0</v>
      </c>
      <c r="R426" s="3">
        <v>54.0</v>
      </c>
      <c r="S426" s="3">
        <v>58.0</v>
      </c>
      <c r="T426" s="3">
        <v>58.0</v>
      </c>
      <c r="U426" s="3">
        <v>61.0</v>
      </c>
      <c r="V426" s="3">
        <v>56.0</v>
      </c>
      <c r="W426" s="3">
        <v>58.0</v>
      </c>
      <c r="X426" s="3">
        <v>49.0</v>
      </c>
      <c r="Y426" s="3">
        <v>63.0</v>
      </c>
      <c r="Z426" s="3">
        <v>58.0</v>
      </c>
      <c r="AA426" s="3">
        <v>50.0</v>
      </c>
      <c r="AB426" s="3">
        <v>65.0</v>
      </c>
      <c r="AC426" s="3">
        <v>67.0</v>
      </c>
      <c r="AD426" s="3">
        <v>45.0</v>
      </c>
      <c r="AE426" s="3">
        <v>50.0</v>
      </c>
      <c r="AF426" s="3">
        <v>63.0</v>
      </c>
      <c r="AG426" s="3">
        <v>23.0</v>
      </c>
      <c r="AH426" s="3">
        <v>39.0</v>
      </c>
      <c r="AI426" s="3">
        <v>66.0</v>
      </c>
      <c r="AJ426" s="3">
        <v>62.0</v>
      </c>
      <c r="AK426" s="3">
        <v>55.0</v>
      </c>
      <c r="AL426" s="3">
        <v>63.0</v>
      </c>
      <c r="AM426" s="3">
        <v>46.0</v>
      </c>
      <c r="AN426" s="3">
        <v>80.0</v>
      </c>
    </row>
    <row r="427" ht="14.25" customHeight="1">
      <c r="A427" s="3">
        <v>425.0</v>
      </c>
      <c r="B427" s="3" t="s">
        <v>6901</v>
      </c>
      <c r="C427" s="3">
        <v>38.0</v>
      </c>
      <c r="D427" s="3" t="s">
        <v>6645</v>
      </c>
      <c r="E427" s="3" t="s">
        <v>6646</v>
      </c>
      <c r="F427" s="3" t="s">
        <v>6646</v>
      </c>
      <c r="G427" s="3" t="s">
        <v>6645</v>
      </c>
      <c r="H427" s="3" t="s">
        <v>6645</v>
      </c>
      <c r="I427" s="3" t="s">
        <v>6646</v>
      </c>
      <c r="J427" s="3">
        <v>12.0</v>
      </c>
      <c r="K427" s="3">
        <v>3.0</v>
      </c>
      <c r="L427" s="3">
        <v>0.0</v>
      </c>
      <c r="M427" s="3">
        <v>0.0</v>
      </c>
      <c r="N427" s="3">
        <v>6011.72</v>
      </c>
      <c r="O427" s="3">
        <v>976.0</v>
      </c>
      <c r="P427" s="3" t="e">
        <v>#N/A</v>
      </c>
      <c r="Q427" s="3">
        <v>57.0</v>
      </c>
      <c r="R427" s="3">
        <v>52.0</v>
      </c>
      <c r="S427" s="3">
        <v>52.0</v>
      </c>
      <c r="T427" s="3">
        <v>56.0</v>
      </c>
      <c r="U427" s="3">
        <v>59.0</v>
      </c>
      <c r="V427" s="3">
        <v>58.0</v>
      </c>
      <c r="W427" s="3">
        <v>47.0</v>
      </c>
      <c r="X427" s="3">
        <v>57.0</v>
      </c>
      <c r="Y427" s="3">
        <v>66.0</v>
      </c>
      <c r="Z427" s="3">
        <v>50.0</v>
      </c>
      <c r="AA427" s="3">
        <v>52.0</v>
      </c>
      <c r="AB427" s="3">
        <v>61.0</v>
      </c>
      <c r="AC427" s="3">
        <v>63.0</v>
      </c>
      <c r="AD427" s="3">
        <v>58.0</v>
      </c>
      <c r="AE427" s="3">
        <v>48.0</v>
      </c>
      <c r="AF427" s="3">
        <v>64.0</v>
      </c>
      <c r="AG427" s="3">
        <v>66.0</v>
      </c>
      <c r="AH427" s="3">
        <v>36.0</v>
      </c>
      <c r="AI427" s="3">
        <v>57.0</v>
      </c>
      <c r="AJ427" s="3">
        <v>56.0</v>
      </c>
      <c r="AK427" s="3">
        <v>41.0</v>
      </c>
      <c r="AL427" s="3">
        <v>66.0</v>
      </c>
      <c r="AM427" s="3">
        <v>48.0</v>
      </c>
      <c r="AN427" s="3">
        <v>68.0</v>
      </c>
    </row>
    <row r="428" ht="14.25" customHeight="1">
      <c r="A428" s="3">
        <v>426.0</v>
      </c>
      <c r="B428" s="3" t="s">
        <v>6902</v>
      </c>
      <c r="C428" s="3">
        <v>31.0</v>
      </c>
      <c r="D428" s="3" t="s">
        <v>6645</v>
      </c>
      <c r="E428" s="3" t="s">
        <v>6646</v>
      </c>
      <c r="F428" s="3" t="s">
        <v>6646</v>
      </c>
      <c r="G428" s="3" t="s">
        <v>6645</v>
      </c>
      <c r="H428" s="3" t="s">
        <v>6645</v>
      </c>
      <c r="I428" s="3" t="s">
        <v>6645</v>
      </c>
      <c r="J428" s="3">
        <v>12.0</v>
      </c>
      <c r="K428" s="3">
        <v>3.0</v>
      </c>
      <c r="L428" s="3">
        <v>0.0</v>
      </c>
      <c r="M428" s="3">
        <v>0.0</v>
      </c>
      <c r="N428" s="3">
        <v>5973.09</v>
      </c>
      <c r="O428" s="3">
        <v>928.0</v>
      </c>
      <c r="P428" s="3" t="e">
        <v>#N/A</v>
      </c>
      <c r="Q428" s="3">
        <v>57.0</v>
      </c>
      <c r="R428" s="3">
        <v>58.0</v>
      </c>
      <c r="S428" s="3">
        <v>52.0</v>
      </c>
      <c r="T428" s="3">
        <v>54.0</v>
      </c>
      <c r="U428" s="3">
        <v>53.0</v>
      </c>
      <c r="V428" s="3">
        <v>56.0</v>
      </c>
      <c r="W428" s="3">
        <v>50.0</v>
      </c>
      <c r="X428" s="3">
        <v>49.0</v>
      </c>
      <c r="Y428" s="3">
        <v>58.0</v>
      </c>
      <c r="Z428" s="3">
        <v>52.0</v>
      </c>
      <c r="AA428" s="3">
        <v>53.0</v>
      </c>
      <c r="AB428" s="3">
        <v>66.0</v>
      </c>
      <c r="AC428" s="3">
        <v>64.0</v>
      </c>
      <c r="AD428" s="3">
        <v>52.0</v>
      </c>
      <c r="AE428" s="3">
        <v>50.0</v>
      </c>
      <c r="AF428" s="3">
        <v>27.0</v>
      </c>
      <c r="AG428" s="3">
        <v>55.0</v>
      </c>
      <c r="AH428" s="3">
        <v>48.0</v>
      </c>
      <c r="AI428" s="3">
        <v>47.0</v>
      </c>
      <c r="AJ428" s="3">
        <v>66.0</v>
      </c>
      <c r="AK428" s="3">
        <v>53.0</v>
      </c>
      <c r="AL428" s="3">
        <v>42.0</v>
      </c>
      <c r="AM428" s="3">
        <v>60.0</v>
      </c>
      <c r="AN428" s="3">
        <v>82.0</v>
      </c>
    </row>
    <row r="429" ht="14.25" customHeight="1">
      <c r="A429" s="3">
        <v>427.0</v>
      </c>
      <c r="B429" s="3" t="s">
        <v>6903</v>
      </c>
      <c r="C429" s="3">
        <v>34.0</v>
      </c>
      <c r="D429" s="3" t="s">
        <v>6645</v>
      </c>
      <c r="E429" s="3" t="s">
        <v>6646</v>
      </c>
      <c r="F429" s="3" t="s">
        <v>6646</v>
      </c>
      <c r="G429" s="3" t="s">
        <v>6645</v>
      </c>
      <c r="H429" s="3" t="s">
        <v>6645</v>
      </c>
      <c r="I429" s="3" t="s">
        <v>6646</v>
      </c>
      <c r="J429" s="3">
        <v>12.0</v>
      </c>
      <c r="K429" s="3">
        <v>2.0</v>
      </c>
      <c r="L429" s="3">
        <v>0.0</v>
      </c>
      <c r="M429" s="3">
        <v>0.0</v>
      </c>
      <c r="N429" s="3">
        <v>3398.3427</v>
      </c>
      <c r="O429" s="3">
        <v>330.0</v>
      </c>
      <c r="P429" s="3" t="e">
        <v>#N/A</v>
      </c>
      <c r="Q429" s="3">
        <v>48.0</v>
      </c>
      <c r="R429" s="3">
        <v>50.0</v>
      </c>
      <c r="S429" s="3">
        <v>48.0</v>
      </c>
      <c r="T429" s="3">
        <v>43.0</v>
      </c>
      <c r="U429" s="3">
        <v>49.0</v>
      </c>
      <c r="V429" s="3">
        <v>50.0</v>
      </c>
      <c r="W429" s="3">
        <v>52.0</v>
      </c>
      <c r="X429" s="3">
        <v>46.0</v>
      </c>
      <c r="Y429" s="3">
        <v>51.0</v>
      </c>
      <c r="Z429" s="3">
        <v>37.0</v>
      </c>
      <c r="AA429" s="3">
        <v>44.0</v>
      </c>
      <c r="AB429" s="3">
        <v>56.0</v>
      </c>
      <c r="AC429" s="3">
        <v>57.0</v>
      </c>
      <c r="AD429" s="3">
        <v>43.0</v>
      </c>
      <c r="AE429" s="3">
        <v>44.0</v>
      </c>
      <c r="AF429" s="3">
        <v>52.0</v>
      </c>
      <c r="AG429" s="3">
        <v>52.0</v>
      </c>
      <c r="AH429" s="3">
        <v>18.0</v>
      </c>
      <c r="AI429" s="3">
        <v>36.0</v>
      </c>
      <c r="AJ429" s="3">
        <v>40.0</v>
      </c>
      <c r="AK429" s="3">
        <v>46.0</v>
      </c>
      <c r="AL429" s="3">
        <v>42.0</v>
      </c>
      <c r="AM429" s="3">
        <v>56.0</v>
      </c>
      <c r="AN429" s="3">
        <v>80.0</v>
      </c>
    </row>
    <row r="430" ht="14.25" customHeight="1">
      <c r="A430" s="3">
        <v>428.0</v>
      </c>
      <c r="B430" s="3" t="s">
        <v>6904</v>
      </c>
      <c r="C430" s="3">
        <v>25.0</v>
      </c>
      <c r="D430" s="3" t="s">
        <v>6645</v>
      </c>
      <c r="E430" s="3" t="s">
        <v>6646</v>
      </c>
      <c r="F430" s="3" t="s">
        <v>6646</v>
      </c>
      <c r="G430" s="3" t="s">
        <v>6645</v>
      </c>
      <c r="H430" s="3" t="s">
        <v>6645</v>
      </c>
      <c r="I430" s="3" t="s">
        <v>6645</v>
      </c>
      <c r="J430" s="3">
        <v>12.0</v>
      </c>
      <c r="K430" s="3">
        <v>2.0</v>
      </c>
      <c r="L430" s="3">
        <v>0.0</v>
      </c>
      <c r="M430" s="3">
        <v>0.0</v>
      </c>
      <c r="N430" s="3">
        <v>3722.9311</v>
      </c>
      <c r="O430" s="3">
        <v>316.0</v>
      </c>
      <c r="P430" s="3" t="e">
        <v>#N/A</v>
      </c>
      <c r="Q430" s="3">
        <v>51.0</v>
      </c>
      <c r="R430" s="3">
        <v>45.0</v>
      </c>
      <c r="S430" s="3">
        <v>43.0</v>
      </c>
      <c r="T430" s="3">
        <v>47.0</v>
      </c>
      <c r="U430" s="3">
        <v>44.0</v>
      </c>
      <c r="V430" s="3">
        <v>45.0</v>
      </c>
      <c r="W430" s="3">
        <v>51.0</v>
      </c>
      <c r="X430" s="3">
        <v>43.0</v>
      </c>
      <c r="Y430" s="3">
        <v>59.0</v>
      </c>
      <c r="Z430" s="3">
        <v>47.0</v>
      </c>
      <c r="AA430" s="3">
        <v>51.0</v>
      </c>
      <c r="AB430" s="3">
        <v>53.0</v>
      </c>
      <c r="AC430" s="3">
        <v>57.0</v>
      </c>
      <c r="AD430" s="3">
        <v>42.0</v>
      </c>
      <c r="AE430" s="3">
        <v>46.0</v>
      </c>
      <c r="AF430" s="3">
        <v>25.0</v>
      </c>
      <c r="AG430" s="3">
        <v>54.0</v>
      </c>
      <c r="AH430" s="3">
        <v>54.0</v>
      </c>
      <c r="AI430" s="3">
        <v>40.0</v>
      </c>
      <c r="AJ430" s="3">
        <v>40.0</v>
      </c>
      <c r="AK430" s="3">
        <v>62.0</v>
      </c>
      <c r="AL430" s="3">
        <v>48.0</v>
      </c>
      <c r="AM430" s="3">
        <v>40.0</v>
      </c>
      <c r="AN430" s="3">
        <v>69.0</v>
      </c>
    </row>
    <row r="431" ht="14.25" customHeight="1">
      <c r="A431" s="3">
        <v>429.0</v>
      </c>
      <c r="B431" s="3" t="s">
        <v>6905</v>
      </c>
      <c r="C431" s="3">
        <v>27.0</v>
      </c>
      <c r="D431" s="3" t="s">
        <v>6645</v>
      </c>
      <c r="E431" s="3" t="s">
        <v>6646</v>
      </c>
      <c r="F431" s="3" t="s">
        <v>6646</v>
      </c>
      <c r="G431" s="3" t="s">
        <v>6645</v>
      </c>
      <c r="H431" s="3" t="s">
        <v>6645</v>
      </c>
      <c r="I431" s="3" t="s">
        <v>6645</v>
      </c>
      <c r="J431" s="3">
        <v>12.0</v>
      </c>
      <c r="K431" s="3">
        <v>2.0</v>
      </c>
      <c r="L431" s="3">
        <v>0.0</v>
      </c>
      <c r="M431" s="3">
        <v>0.0</v>
      </c>
      <c r="N431" s="3">
        <v>3818.9084</v>
      </c>
      <c r="O431" s="3">
        <v>347.0</v>
      </c>
      <c r="P431" s="3" t="e">
        <v>#N/A</v>
      </c>
      <c r="Q431" s="3">
        <v>50.0</v>
      </c>
      <c r="R431" s="3">
        <v>45.0</v>
      </c>
      <c r="S431" s="3">
        <v>46.0</v>
      </c>
      <c r="T431" s="3">
        <v>50.0</v>
      </c>
      <c r="U431" s="3">
        <v>45.0</v>
      </c>
      <c r="V431" s="3">
        <v>47.0</v>
      </c>
      <c r="W431" s="3">
        <v>43.0</v>
      </c>
      <c r="X431" s="3">
        <v>39.0</v>
      </c>
      <c r="Y431" s="3">
        <v>57.0</v>
      </c>
      <c r="Z431" s="3">
        <v>52.0</v>
      </c>
      <c r="AA431" s="3">
        <v>47.0</v>
      </c>
      <c r="AB431" s="3">
        <v>48.0</v>
      </c>
      <c r="AC431" s="3">
        <v>52.0</v>
      </c>
      <c r="AD431" s="3">
        <v>44.0</v>
      </c>
      <c r="AE431" s="3">
        <v>51.0</v>
      </c>
      <c r="AF431" s="3">
        <v>58.0</v>
      </c>
      <c r="AG431" s="3">
        <v>56.0</v>
      </c>
      <c r="AH431" s="3">
        <v>38.0</v>
      </c>
      <c r="AI431" s="3">
        <v>31.0</v>
      </c>
      <c r="AJ431" s="3">
        <v>46.0</v>
      </c>
      <c r="AK431" s="3">
        <v>42.0</v>
      </c>
      <c r="AL431" s="3">
        <v>48.0</v>
      </c>
      <c r="AM431" s="3">
        <v>46.0</v>
      </c>
      <c r="AN431" s="3">
        <v>77.0</v>
      </c>
    </row>
    <row r="432" ht="14.25" customHeight="1">
      <c r="A432" s="3">
        <v>430.0</v>
      </c>
      <c r="B432" s="3" t="s">
        <v>6906</v>
      </c>
      <c r="C432" s="3">
        <v>34.0</v>
      </c>
      <c r="D432" s="3" t="s">
        <v>6645</v>
      </c>
      <c r="E432" s="3" t="s">
        <v>6646</v>
      </c>
      <c r="F432" s="3" t="s">
        <v>6646</v>
      </c>
      <c r="G432" s="3" t="s">
        <v>6645</v>
      </c>
      <c r="H432" s="3" t="s">
        <v>6645</v>
      </c>
      <c r="I432" s="3" t="s">
        <v>6645</v>
      </c>
      <c r="J432" s="3">
        <v>12.0</v>
      </c>
      <c r="K432" s="3">
        <v>2.0</v>
      </c>
      <c r="L432" s="3">
        <v>0.0</v>
      </c>
      <c r="M432" s="3">
        <v>0.0</v>
      </c>
      <c r="N432" s="3">
        <v>3567.15</v>
      </c>
      <c r="O432" s="3">
        <v>309.0</v>
      </c>
      <c r="P432" s="3" t="e">
        <v>#N/A</v>
      </c>
      <c r="Q432" s="3">
        <v>46.0</v>
      </c>
      <c r="R432" s="3">
        <v>52.0</v>
      </c>
      <c r="S432" s="3">
        <v>43.0</v>
      </c>
      <c r="T432" s="3">
        <v>43.0</v>
      </c>
      <c r="U432" s="3">
        <v>50.0</v>
      </c>
      <c r="V432" s="3">
        <v>46.0</v>
      </c>
      <c r="W432" s="3">
        <v>40.0</v>
      </c>
      <c r="X432" s="3">
        <v>44.0</v>
      </c>
      <c r="Y432" s="3">
        <v>52.0</v>
      </c>
      <c r="Z432" s="3">
        <v>44.0</v>
      </c>
      <c r="AA432" s="3">
        <v>46.0</v>
      </c>
      <c r="AB432" s="3">
        <v>55.0</v>
      </c>
      <c r="AC432" s="3">
        <v>52.0</v>
      </c>
      <c r="AD432" s="3">
        <v>50.0</v>
      </c>
      <c r="AE432" s="3">
        <v>49.0</v>
      </c>
      <c r="AF432" s="3">
        <v>44.0</v>
      </c>
      <c r="AG432" s="3">
        <v>50.0</v>
      </c>
      <c r="AH432" s="3">
        <v>40.0</v>
      </c>
      <c r="AI432" s="3">
        <v>42.0</v>
      </c>
      <c r="AJ432" s="3">
        <v>62.0</v>
      </c>
      <c r="AK432" s="3">
        <v>36.0</v>
      </c>
      <c r="AL432" s="3">
        <v>46.0</v>
      </c>
      <c r="AM432" s="3">
        <v>42.0</v>
      </c>
      <c r="AN432" s="3">
        <v>72.0</v>
      </c>
    </row>
    <row r="433" ht="14.25" customHeight="1">
      <c r="A433" s="3">
        <v>431.0</v>
      </c>
      <c r="B433" s="3" t="s">
        <v>6907</v>
      </c>
      <c r="C433" s="3">
        <v>22.0</v>
      </c>
      <c r="D433" s="3" t="s">
        <v>6645</v>
      </c>
      <c r="E433" s="3" t="s">
        <v>6646</v>
      </c>
      <c r="F433" s="3" t="s">
        <v>6646</v>
      </c>
      <c r="G433" s="3" t="s">
        <v>6645</v>
      </c>
      <c r="H433" s="3" t="s">
        <v>6645</v>
      </c>
      <c r="I433" s="3" t="s">
        <v>6645</v>
      </c>
      <c r="J433" s="3">
        <v>12.0</v>
      </c>
      <c r="K433" s="3">
        <v>1.0</v>
      </c>
      <c r="L433" s="3">
        <v>0.0</v>
      </c>
      <c r="M433" s="3">
        <v>0.0</v>
      </c>
      <c r="N433" s="3">
        <v>1522.898</v>
      </c>
      <c r="O433" s="3">
        <v>165.0</v>
      </c>
      <c r="P433" s="3" t="e">
        <v>#N/A</v>
      </c>
      <c r="Q433" s="3">
        <v>40.0</v>
      </c>
      <c r="R433" s="3">
        <v>40.0</v>
      </c>
      <c r="S433" s="3">
        <v>44.0</v>
      </c>
      <c r="T433" s="3">
        <v>44.0</v>
      </c>
      <c r="U433" s="3">
        <v>40.0</v>
      </c>
      <c r="V433" s="3">
        <v>42.0</v>
      </c>
      <c r="W433" s="3">
        <v>35.0</v>
      </c>
      <c r="X433" s="3">
        <v>31.0</v>
      </c>
      <c r="Y433" s="3">
        <v>43.0</v>
      </c>
      <c r="Z433" s="3">
        <v>40.0</v>
      </c>
      <c r="AA433" s="3">
        <v>42.0</v>
      </c>
      <c r="AB433" s="3">
        <v>44.0</v>
      </c>
      <c r="AC433" s="3">
        <v>43.0</v>
      </c>
      <c r="AD433" s="3">
        <v>32.0</v>
      </c>
      <c r="AE433" s="3">
        <v>38.0</v>
      </c>
      <c r="AF433" s="3">
        <v>9.0</v>
      </c>
      <c r="AG433" s="3">
        <v>62.0</v>
      </c>
      <c r="AH433" s="3">
        <v>61.0</v>
      </c>
      <c r="AI433" s="3">
        <v>52.0</v>
      </c>
      <c r="AJ433" s="3">
        <v>47.0</v>
      </c>
      <c r="AK433" s="3">
        <v>47.0</v>
      </c>
      <c r="AL433" s="3">
        <v>57.0</v>
      </c>
      <c r="AM433" s="3">
        <v>48.0</v>
      </c>
      <c r="AN433" s="3">
        <v>75.0</v>
      </c>
    </row>
    <row r="434" ht="14.25" customHeight="1">
      <c r="A434" s="3">
        <v>432.0</v>
      </c>
      <c r="B434" s="3" t="s">
        <v>6908</v>
      </c>
      <c r="C434" s="3">
        <v>22.0</v>
      </c>
      <c r="D434" s="3" t="s">
        <v>6645</v>
      </c>
      <c r="E434" s="3" t="s">
        <v>6646</v>
      </c>
      <c r="F434" s="3" t="s">
        <v>6646</v>
      </c>
      <c r="G434" s="3" t="s">
        <v>6645</v>
      </c>
      <c r="H434" s="3" t="s">
        <v>6645</v>
      </c>
      <c r="I434" s="3" t="s">
        <v>6645</v>
      </c>
      <c r="J434" s="3">
        <v>12.0</v>
      </c>
      <c r="K434" s="3">
        <v>1.0</v>
      </c>
      <c r="L434" s="3">
        <v>0.0</v>
      </c>
      <c r="M434" s="3">
        <v>0.0</v>
      </c>
      <c r="N434" s="3">
        <v>1492.3317</v>
      </c>
      <c r="O434" s="3">
        <v>223.0</v>
      </c>
      <c r="P434" s="3" t="e">
        <v>#N/A</v>
      </c>
      <c r="Q434" s="3">
        <v>44.0</v>
      </c>
      <c r="R434" s="3">
        <v>46.0</v>
      </c>
      <c r="S434" s="3">
        <v>44.0</v>
      </c>
      <c r="T434" s="3">
        <v>38.0</v>
      </c>
      <c r="U434" s="3">
        <v>44.0</v>
      </c>
      <c r="V434" s="3">
        <v>42.0</v>
      </c>
      <c r="W434" s="3">
        <v>29.0</v>
      </c>
      <c r="X434" s="3">
        <v>30.0</v>
      </c>
      <c r="Y434" s="3">
        <v>47.0</v>
      </c>
      <c r="Z434" s="3">
        <v>35.0</v>
      </c>
      <c r="AA434" s="3">
        <v>44.0</v>
      </c>
      <c r="AB434" s="3">
        <v>48.0</v>
      </c>
      <c r="AC434" s="3">
        <v>51.0</v>
      </c>
      <c r="AD434" s="3">
        <v>38.0</v>
      </c>
      <c r="AE434" s="3">
        <v>38.0</v>
      </c>
      <c r="AF434" s="3">
        <v>36.0</v>
      </c>
      <c r="AG434" s="3">
        <v>59.0</v>
      </c>
      <c r="AH434" s="3">
        <v>44.0</v>
      </c>
      <c r="AI434" s="3">
        <v>58.0</v>
      </c>
      <c r="AJ434" s="3">
        <v>43.0</v>
      </c>
      <c r="AK434" s="3">
        <v>43.0</v>
      </c>
      <c r="AL434" s="3">
        <v>49.0</v>
      </c>
      <c r="AM434" s="3">
        <v>18.0</v>
      </c>
      <c r="AN434" s="3">
        <v>72.0</v>
      </c>
    </row>
    <row r="435" ht="14.25" customHeight="1">
      <c r="A435" s="3">
        <v>433.0</v>
      </c>
      <c r="B435" s="3" t="s">
        <v>6909</v>
      </c>
      <c r="C435" s="3">
        <v>20.0</v>
      </c>
      <c r="D435" s="3" t="s">
        <v>6645</v>
      </c>
      <c r="E435" s="3" t="s">
        <v>6646</v>
      </c>
      <c r="F435" s="3" t="s">
        <v>6646</v>
      </c>
      <c r="G435" s="3" t="s">
        <v>6645</v>
      </c>
      <c r="H435" s="3" t="s">
        <v>6645</v>
      </c>
      <c r="I435" s="3" t="s">
        <v>6646</v>
      </c>
      <c r="J435" s="3">
        <v>12.0</v>
      </c>
      <c r="K435" s="3">
        <v>1.0</v>
      </c>
      <c r="L435" s="3">
        <v>0.0</v>
      </c>
      <c r="M435" s="3">
        <v>0.0</v>
      </c>
      <c r="N435" s="3">
        <v>1281.4892</v>
      </c>
      <c r="O435" s="3">
        <v>228.0</v>
      </c>
      <c r="P435" s="3" t="e">
        <v>#N/A</v>
      </c>
      <c r="Q435" s="3">
        <v>44.0</v>
      </c>
      <c r="R435" s="3">
        <v>36.0</v>
      </c>
      <c r="S435" s="3">
        <v>44.0</v>
      </c>
      <c r="T435" s="3">
        <v>44.0</v>
      </c>
      <c r="U435" s="3">
        <v>42.0</v>
      </c>
      <c r="V435" s="3">
        <v>44.0</v>
      </c>
      <c r="W435" s="3">
        <v>44.0</v>
      </c>
      <c r="X435" s="3">
        <v>35.0</v>
      </c>
      <c r="Y435" s="3">
        <v>51.0</v>
      </c>
      <c r="Z435" s="3">
        <v>36.0</v>
      </c>
      <c r="AA435" s="3">
        <v>38.0</v>
      </c>
      <c r="AB435" s="3">
        <v>45.0</v>
      </c>
      <c r="AC435" s="3">
        <v>48.0</v>
      </c>
      <c r="AD435" s="3">
        <v>29.0</v>
      </c>
      <c r="AE435" s="3">
        <v>38.0</v>
      </c>
      <c r="AF435" s="3">
        <v>39.0</v>
      </c>
      <c r="AG435" s="3">
        <v>59.0</v>
      </c>
      <c r="AH435" s="3">
        <v>38.0</v>
      </c>
      <c r="AI435" s="3">
        <v>33.0</v>
      </c>
      <c r="AJ435" s="3">
        <v>39.0</v>
      </c>
      <c r="AK435" s="3">
        <v>62.0</v>
      </c>
      <c r="AL435" s="3">
        <v>40.0</v>
      </c>
      <c r="AM435" s="3">
        <v>51.0</v>
      </c>
      <c r="AN435" s="3">
        <v>73.0</v>
      </c>
    </row>
    <row r="436" ht="14.25" customHeight="1">
      <c r="A436" s="3">
        <v>434.0</v>
      </c>
      <c r="B436" s="3" t="s">
        <v>6910</v>
      </c>
      <c r="C436" s="3">
        <v>29.0</v>
      </c>
      <c r="D436" s="3" t="s">
        <v>6645</v>
      </c>
      <c r="E436" s="3" t="s">
        <v>6646</v>
      </c>
      <c r="F436" s="3" t="s">
        <v>6646</v>
      </c>
      <c r="G436" s="3" t="s">
        <v>6645</v>
      </c>
      <c r="H436" s="3" t="s">
        <v>6645</v>
      </c>
      <c r="I436" s="3" t="s">
        <v>6646</v>
      </c>
      <c r="J436" s="3">
        <v>12.0</v>
      </c>
      <c r="K436" s="3">
        <v>1.0</v>
      </c>
      <c r="L436" s="3">
        <v>0.0</v>
      </c>
      <c r="M436" s="3">
        <v>0.0</v>
      </c>
      <c r="N436" s="3">
        <v>1482.6107</v>
      </c>
      <c r="O436" s="3">
        <v>179.0</v>
      </c>
      <c r="P436" s="3" t="e">
        <v>#N/A</v>
      </c>
      <c r="Q436" s="3">
        <v>46.0</v>
      </c>
      <c r="R436" s="3">
        <v>42.0</v>
      </c>
      <c r="S436" s="3">
        <v>46.0</v>
      </c>
      <c r="T436" s="3">
        <v>36.0</v>
      </c>
      <c r="U436" s="3">
        <v>44.0</v>
      </c>
      <c r="V436" s="3">
        <v>44.0</v>
      </c>
      <c r="W436" s="3">
        <v>42.0</v>
      </c>
      <c r="X436" s="3">
        <v>46.0</v>
      </c>
      <c r="Y436" s="3">
        <v>41.0</v>
      </c>
      <c r="Z436" s="3">
        <v>31.0</v>
      </c>
      <c r="AA436" s="3">
        <v>44.0</v>
      </c>
      <c r="AB436" s="3">
        <v>53.0</v>
      </c>
      <c r="AC436" s="3">
        <v>53.0</v>
      </c>
      <c r="AD436" s="3">
        <v>37.0</v>
      </c>
      <c r="AE436" s="3">
        <v>37.0</v>
      </c>
      <c r="AF436" s="3">
        <v>25.0</v>
      </c>
      <c r="AG436" s="3">
        <v>60.0</v>
      </c>
      <c r="AH436" s="3">
        <v>50.0</v>
      </c>
      <c r="AI436" s="3">
        <v>35.0</v>
      </c>
      <c r="AJ436" s="3">
        <v>41.0</v>
      </c>
      <c r="AK436" s="3">
        <v>60.0</v>
      </c>
      <c r="AL436" s="3">
        <v>37.0</v>
      </c>
      <c r="AM436" s="3">
        <v>42.0</v>
      </c>
      <c r="AN436" s="3">
        <v>77.0</v>
      </c>
    </row>
    <row r="437" ht="14.25" customHeight="1">
      <c r="A437" s="3">
        <v>435.0</v>
      </c>
      <c r="B437" s="3" t="s">
        <v>6911</v>
      </c>
      <c r="C437" s="3">
        <v>23.0</v>
      </c>
      <c r="D437" s="3" t="s">
        <v>6645</v>
      </c>
      <c r="E437" s="3" t="s">
        <v>6646</v>
      </c>
      <c r="F437" s="3" t="s">
        <v>6646</v>
      </c>
      <c r="G437" s="3" t="s">
        <v>6645</v>
      </c>
      <c r="H437" s="3" t="s">
        <v>6645</v>
      </c>
      <c r="I437" s="3" t="s">
        <v>6646</v>
      </c>
      <c r="J437" s="3">
        <v>12.0</v>
      </c>
      <c r="K437" s="3">
        <v>0.0</v>
      </c>
      <c r="L437" s="3">
        <v>0.0</v>
      </c>
      <c r="M437" s="3">
        <v>0.0</v>
      </c>
      <c r="N437" s="3">
        <v>446.3443</v>
      </c>
      <c r="O437" s="3">
        <v>92.0</v>
      </c>
      <c r="P437" s="3" t="e">
        <v>#N/A</v>
      </c>
      <c r="Q437" s="3">
        <v>31.0</v>
      </c>
      <c r="R437" s="3">
        <v>36.0</v>
      </c>
      <c r="S437" s="3">
        <v>35.0</v>
      </c>
      <c r="T437" s="3">
        <v>31.0</v>
      </c>
      <c r="U437" s="3">
        <v>35.0</v>
      </c>
      <c r="V437" s="3">
        <v>30.0</v>
      </c>
      <c r="W437" s="3">
        <v>31.0</v>
      </c>
      <c r="X437" s="3">
        <v>20.0</v>
      </c>
      <c r="Y437" s="3">
        <v>39.0</v>
      </c>
      <c r="Z437" s="3">
        <v>31.0</v>
      </c>
      <c r="AA437" s="3">
        <v>30.0</v>
      </c>
      <c r="AB437" s="3">
        <v>46.0</v>
      </c>
      <c r="AC437" s="3">
        <v>49.0</v>
      </c>
      <c r="AD437" s="3">
        <v>37.0</v>
      </c>
      <c r="AE437" s="3">
        <v>25.0</v>
      </c>
      <c r="AF437" s="3">
        <v>35.0</v>
      </c>
      <c r="AG437" s="3">
        <v>14.0</v>
      </c>
      <c r="AH437" s="3">
        <v>46.0</v>
      </c>
      <c r="AI437" s="3">
        <v>35.0</v>
      </c>
      <c r="AJ437" s="3">
        <v>41.0</v>
      </c>
      <c r="AK437" s="3">
        <v>35.0</v>
      </c>
      <c r="AL437" s="3">
        <v>45.0</v>
      </c>
      <c r="AM437" s="3">
        <v>58.0</v>
      </c>
      <c r="AN437" s="3">
        <v>66.0</v>
      </c>
    </row>
    <row r="438" ht="14.25" customHeight="1">
      <c r="A438" s="3">
        <v>436.0</v>
      </c>
      <c r="B438" s="3" t="s">
        <v>6912</v>
      </c>
      <c r="C438" s="3">
        <v>17.0</v>
      </c>
      <c r="D438" s="3" t="s">
        <v>6645</v>
      </c>
      <c r="E438" s="3" t="s">
        <v>6646</v>
      </c>
      <c r="F438" s="3" t="s">
        <v>6646</v>
      </c>
      <c r="G438" s="3" t="s">
        <v>6645</v>
      </c>
      <c r="H438" s="3" t="s">
        <v>6645</v>
      </c>
      <c r="I438" s="3" t="s">
        <v>6645</v>
      </c>
      <c r="J438" s="3">
        <v>12.0</v>
      </c>
      <c r="K438" s="3">
        <v>0.0</v>
      </c>
      <c r="L438" s="3">
        <v>0.0</v>
      </c>
      <c r="M438" s="3">
        <v>0.0</v>
      </c>
      <c r="N438" s="3">
        <v>455.866</v>
      </c>
      <c r="O438" s="3">
        <v>102.0</v>
      </c>
      <c r="P438" s="3" t="e">
        <v>#N/A</v>
      </c>
      <c r="Q438" s="3">
        <v>36.0</v>
      </c>
      <c r="R438" s="3">
        <v>32.0</v>
      </c>
      <c r="S438" s="3">
        <v>32.0</v>
      </c>
      <c r="T438" s="3">
        <v>35.0</v>
      </c>
      <c r="U438" s="3">
        <v>37.0</v>
      </c>
      <c r="V438" s="3">
        <v>38.0</v>
      </c>
      <c r="W438" s="3">
        <v>30.0</v>
      </c>
      <c r="X438" s="3">
        <v>29.0</v>
      </c>
      <c r="Y438" s="3">
        <v>48.0</v>
      </c>
      <c r="Z438" s="3">
        <v>29.0</v>
      </c>
      <c r="AA438" s="3">
        <v>36.0</v>
      </c>
      <c r="AB438" s="3">
        <v>38.0</v>
      </c>
      <c r="AC438" s="3">
        <v>41.0</v>
      </c>
      <c r="AD438" s="3">
        <v>37.0</v>
      </c>
      <c r="AE438" s="3">
        <v>21.0</v>
      </c>
      <c r="AF438" s="3">
        <v>38.0</v>
      </c>
      <c r="AG438" s="3">
        <v>31.0</v>
      </c>
      <c r="AH438" s="3">
        <v>46.0</v>
      </c>
      <c r="AI438" s="3">
        <v>51.0</v>
      </c>
      <c r="AJ438" s="3">
        <v>59.0</v>
      </c>
      <c r="AK438" s="3">
        <v>32.0</v>
      </c>
      <c r="AL438" s="3">
        <v>59.0</v>
      </c>
      <c r="AM438" s="3">
        <v>20.0</v>
      </c>
      <c r="AN438" s="3">
        <v>63.0</v>
      </c>
    </row>
    <row r="439" ht="14.25" customHeight="1">
      <c r="A439" s="3">
        <v>437.0</v>
      </c>
      <c r="B439" s="3" t="s">
        <v>6913</v>
      </c>
      <c r="C439" s="3">
        <v>22.0</v>
      </c>
      <c r="D439" s="3" t="s">
        <v>6645</v>
      </c>
      <c r="E439" s="3" t="s">
        <v>6646</v>
      </c>
      <c r="F439" s="3" t="s">
        <v>6646</v>
      </c>
      <c r="G439" s="3" t="s">
        <v>6645</v>
      </c>
      <c r="H439" s="3" t="s">
        <v>6645</v>
      </c>
      <c r="I439" s="3" t="s">
        <v>6645</v>
      </c>
      <c r="J439" s="3">
        <v>12.0</v>
      </c>
      <c r="K439" s="3">
        <v>0.0</v>
      </c>
      <c r="L439" s="3">
        <v>0.0</v>
      </c>
      <c r="M439" s="3">
        <v>0.0</v>
      </c>
      <c r="N439" s="3">
        <v>511.35482</v>
      </c>
      <c r="O439" s="3">
        <v>83.0</v>
      </c>
      <c r="P439" s="3" t="e">
        <v>#N/A</v>
      </c>
      <c r="Q439" s="3">
        <v>37.0</v>
      </c>
      <c r="R439" s="3">
        <v>35.0</v>
      </c>
      <c r="S439" s="3">
        <v>31.0</v>
      </c>
      <c r="T439" s="3">
        <v>32.0</v>
      </c>
      <c r="U439" s="3">
        <v>30.0</v>
      </c>
      <c r="V439" s="3">
        <v>39.0</v>
      </c>
      <c r="W439" s="3">
        <v>30.0</v>
      </c>
      <c r="X439" s="3">
        <v>28.0</v>
      </c>
      <c r="Y439" s="3">
        <v>39.0</v>
      </c>
      <c r="Z439" s="3">
        <v>31.0</v>
      </c>
      <c r="AA439" s="3">
        <v>30.0</v>
      </c>
      <c r="AB439" s="3">
        <v>41.0</v>
      </c>
      <c r="AC439" s="3">
        <v>45.0</v>
      </c>
      <c r="AD439" s="3">
        <v>25.0</v>
      </c>
      <c r="AE439" s="3">
        <v>36.0</v>
      </c>
      <c r="AF439" s="3">
        <v>53.0</v>
      </c>
      <c r="AG439" s="3">
        <v>32.0</v>
      </c>
      <c r="AH439" s="3">
        <v>4.0</v>
      </c>
      <c r="AI439" s="3">
        <v>56.0</v>
      </c>
      <c r="AJ439" s="3">
        <v>49.0</v>
      </c>
      <c r="AK439" s="3">
        <v>57.0</v>
      </c>
      <c r="AL439" s="3">
        <v>44.0</v>
      </c>
      <c r="AM439" s="3">
        <v>39.0</v>
      </c>
      <c r="AN439" s="3">
        <v>65.0</v>
      </c>
    </row>
    <row r="440" ht="14.25" customHeight="1">
      <c r="A440" s="3">
        <v>438.0</v>
      </c>
      <c r="B440" s="3" t="s">
        <v>6914</v>
      </c>
      <c r="C440" s="3">
        <v>24.0</v>
      </c>
      <c r="D440" s="3" t="s">
        <v>6645</v>
      </c>
      <c r="E440" s="3" t="s">
        <v>6646</v>
      </c>
      <c r="F440" s="3" t="s">
        <v>6646</v>
      </c>
      <c r="G440" s="3" t="s">
        <v>6645</v>
      </c>
      <c r="H440" s="3" t="s">
        <v>6645</v>
      </c>
      <c r="I440" s="3" t="s">
        <v>6646</v>
      </c>
      <c r="J440" s="3">
        <v>12.0</v>
      </c>
      <c r="K440" s="3">
        <v>0.0</v>
      </c>
      <c r="L440" s="3">
        <v>0.0</v>
      </c>
      <c r="M440" s="3">
        <v>0.0</v>
      </c>
      <c r="N440" s="3">
        <v>490.35156</v>
      </c>
      <c r="O440" s="3">
        <v>98.0</v>
      </c>
      <c r="P440" s="3" t="e">
        <v>#N/A</v>
      </c>
      <c r="Q440" s="3">
        <v>30.0</v>
      </c>
      <c r="R440" s="3">
        <v>38.0</v>
      </c>
      <c r="S440" s="3">
        <v>35.0</v>
      </c>
      <c r="T440" s="3">
        <v>32.0</v>
      </c>
      <c r="U440" s="3">
        <v>32.0</v>
      </c>
      <c r="V440" s="3">
        <v>39.0</v>
      </c>
      <c r="W440" s="3">
        <v>39.0</v>
      </c>
      <c r="X440" s="3">
        <v>28.0</v>
      </c>
      <c r="Y440" s="3">
        <v>36.0</v>
      </c>
      <c r="Z440" s="3">
        <v>30.0</v>
      </c>
      <c r="AA440" s="3">
        <v>29.0</v>
      </c>
      <c r="AB440" s="3">
        <v>43.0</v>
      </c>
      <c r="AC440" s="3">
        <v>42.0</v>
      </c>
      <c r="AD440" s="3">
        <v>37.0</v>
      </c>
      <c r="AE440" s="3">
        <v>28.0</v>
      </c>
      <c r="AF440" s="3">
        <v>34.0</v>
      </c>
      <c r="AG440" s="3">
        <v>42.0</v>
      </c>
      <c r="AH440" s="3">
        <v>44.0</v>
      </c>
      <c r="AI440" s="3">
        <v>58.0</v>
      </c>
      <c r="AJ440" s="3">
        <v>30.0</v>
      </c>
      <c r="AK440" s="3">
        <v>31.0</v>
      </c>
      <c r="AL440" s="3">
        <v>17.0</v>
      </c>
      <c r="AM440" s="3">
        <v>55.0</v>
      </c>
      <c r="AN440" s="3">
        <v>74.0</v>
      </c>
    </row>
    <row r="441" ht="14.25" customHeight="1">
      <c r="A441" s="3">
        <v>439.0</v>
      </c>
      <c r="B441" s="3" t="s">
        <v>6915</v>
      </c>
      <c r="C441" s="3">
        <v>15.0</v>
      </c>
      <c r="D441" s="3" t="s">
        <v>6645</v>
      </c>
      <c r="E441" s="3" t="s">
        <v>6646</v>
      </c>
      <c r="F441" s="3" t="s">
        <v>6646</v>
      </c>
      <c r="G441" s="3" t="s">
        <v>6645</v>
      </c>
      <c r="H441" s="3" t="s">
        <v>6645</v>
      </c>
      <c r="I441" s="3" t="s">
        <v>6645</v>
      </c>
      <c r="J441" s="3">
        <v>12.0</v>
      </c>
      <c r="K441" s="3">
        <v>0.0</v>
      </c>
      <c r="L441" s="3">
        <v>0.0</v>
      </c>
      <c r="M441" s="3">
        <v>0.0</v>
      </c>
      <c r="N441" s="3">
        <v>492.682</v>
      </c>
      <c r="O441" s="3">
        <v>124.0</v>
      </c>
      <c r="P441" s="3" t="e">
        <v>#N/A</v>
      </c>
      <c r="Q441" s="3">
        <v>38.0</v>
      </c>
      <c r="R441" s="3">
        <v>31.0</v>
      </c>
      <c r="S441" s="3">
        <v>38.0</v>
      </c>
      <c r="T441" s="3">
        <v>37.0</v>
      </c>
      <c r="U441" s="3">
        <v>35.0</v>
      </c>
      <c r="V441" s="3">
        <v>31.0</v>
      </c>
      <c r="W441" s="3">
        <v>32.0</v>
      </c>
      <c r="X441" s="3">
        <v>32.0</v>
      </c>
      <c r="Y441" s="3">
        <v>44.0</v>
      </c>
      <c r="Z441" s="3">
        <v>24.0</v>
      </c>
      <c r="AA441" s="3">
        <v>29.0</v>
      </c>
      <c r="AB441" s="3">
        <v>44.0</v>
      </c>
      <c r="AC441" s="3">
        <v>45.0</v>
      </c>
      <c r="AD441" s="3">
        <v>34.0</v>
      </c>
      <c r="AE441" s="3">
        <v>20.0</v>
      </c>
      <c r="AF441" s="3">
        <v>57.0</v>
      </c>
      <c r="AG441" s="3">
        <v>15.0</v>
      </c>
      <c r="AH441" s="3">
        <v>48.0</v>
      </c>
      <c r="AI441" s="3">
        <v>33.0</v>
      </c>
      <c r="AJ441" s="3">
        <v>46.0</v>
      </c>
      <c r="AK441" s="3">
        <v>58.0</v>
      </c>
      <c r="AL441" s="3">
        <v>41.0</v>
      </c>
      <c r="AM441" s="3">
        <v>33.0</v>
      </c>
      <c r="AN441" s="3">
        <v>62.0</v>
      </c>
    </row>
    <row r="442" ht="14.25" customHeight="1">
      <c r="A442" s="3">
        <v>440.0</v>
      </c>
      <c r="B442" s="3" t="s">
        <v>6916</v>
      </c>
      <c r="C442" s="3">
        <v>44.0</v>
      </c>
      <c r="D442" s="3" t="s">
        <v>6645</v>
      </c>
      <c r="E442" s="3" t="s">
        <v>6646</v>
      </c>
      <c r="F442" s="3" t="s">
        <v>6646</v>
      </c>
      <c r="G442" s="3" t="s">
        <v>6645</v>
      </c>
      <c r="H442" s="3" t="s">
        <v>6645</v>
      </c>
      <c r="I442" s="3" t="s">
        <v>6646</v>
      </c>
      <c r="J442" s="3">
        <v>13.0</v>
      </c>
      <c r="K442" s="3">
        <v>4.0</v>
      </c>
      <c r="L442" s="3">
        <v>0.0</v>
      </c>
      <c r="M442" s="3">
        <v>0.0</v>
      </c>
      <c r="N442" s="3">
        <v>12842.7</v>
      </c>
      <c r="O442" s="3">
        <v>1669.0</v>
      </c>
      <c r="P442" s="3" t="e">
        <v>#N/A</v>
      </c>
      <c r="Q442" s="3">
        <v>62.0</v>
      </c>
      <c r="R442" s="3">
        <v>71.0</v>
      </c>
      <c r="S442" s="3">
        <v>59.0</v>
      </c>
      <c r="T442" s="3">
        <v>64.0</v>
      </c>
      <c r="U442" s="3">
        <v>61.0</v>
      </c>
      <c r="V442" s="3">
        <v>79.0</v>
      </c>
      <c r="W442" s="3">
        <v>75.0</v>
      </c>
      <c r="X442" s="3">
        <v>73.0</v>
      </c>
      <c r="Y442" s="3">
        <v>53.0</v>
      </c>
      <c r="Z442" s="3">
        <v>59.0</v>
      </c>
      <c r="AA442" s="3">
        <v>77.0</v>
      </c>
      <c r="AB442" s="3">
        <v>55.0</v>
      </c>
      <c r="AC442" s="3">
        <v>58.0</v>
      </c>
      <c r="AD442" s="3">
        <v>76.0</v>
      </c>
      <c r="AE442" s="3">
        <v>56.0</v>
      </c>
      <c r="AF442" s="3">
        <v>70.0</v>
      </c>
      <c r="AG442" s="3">
        <v>59.0</v>
      </c>
      <c r="AH442" s="3">
        <v>83.0</v>
      </c>
      <c r="AI442" s="3">
        <v>43.0</v>
      </c>
      <c r="AJ442" s="3">
        <v>39.0</v>
      </c>
      <c r="AK442" s="3">
        <v>43.0</v>
      </c>
      <c r="AL442" s="3">
        <v>57.0</v>
      </c>
      <c r="AM442" s="3">
        <v>53.0</v>
      </c>
      <c r="AN442" s="3">
        <v>49.0</v>
      </c>
    </row>
    <row r="443" ht="14.25" customHeight="1">
      <c r="A443" s="3">
        <v>441.0</v>
      </c>
      <c r="B443" s="3" t="s">
        <v>6917</v>
      </c>
      <c r="C443" s="3">
        <v>38.0</v>
      </c>
      <c r="D443" s="3" t="s">
        <v>6645</v>
      </c>
      <c r="E443" s="3" t="s">
        <v>6646</v>
      </c>
      <c r="F443" s="3" t="s">
        <v>6646</v>
      </c>
      <c r="G443" s="3" t="s">
        <v>6645</v>
      </c>
      <c r="H443" s="3" t="s">
        <v>6645</v>
      </c>
      <c r="I443" s="3" t="s">
        <v>6646</v>
      </c>
      <c r="J443" s="3">
        <v>13.0</v>
      </c>
      <c r="K443" s="3">
        <v>4.0</v>
      </c>
      <c r="L443" s="3">
        <v>0.0</v>
      </c>
      <c r="M443" s="3">
        <v>0.0</v>
      </c>
      <c r="N443" s="3">
        <v>12249.945</v>
      </c>
      <c r="O443" s="3">
        <v>1603.0</v>
      </c>
      <c r="P443" s="3" t="e">
        <v>#N/A</v>
      </c>
      <c r="Q443" s="3">
        <v>63.0</v>
      </c>
      <c r="R443" s="3">
        <v>66.0</v>
      </c>
      <c r="S443" s="3">
        <v>64.0</v>
      </c>
      <c r="T443" s="3">
        <v>59.0</v>
      </c>
      <c r="U443" s="3">
        <v>61.0</v>
      </c>
      <c r="V443" s="3">
        <v>71.0</v>
      </c>
      <c r="W443" s="3">
        <v>79.0</v>
      </c>
      <c r="X443" s="3">
        <v>69.0</v>
      </c>
      <c r="Y443" s="3">
        <v>58.0</v>
      </c>
      <c r="Z443" s="3">
        <v>59.0</v>
      </c>
      <c r="AA443" s="3">
        <v>83.0</v>
      </c>
      <c r="AB443" s="3">
        <v>56.0</v>
      </c>
      <c r="AC443" s="3">
        <v>64.0</v>
      </c>
      <c r="AD443" s="3">
        <v>77.0</v>
      </c>
      <c r="AE443" s="3">
        <v>57.0</v>
      </c>
      <c r="AF443" s="3">
        <v>25.0</v>
      </c>
      <c r="AG443" s="3">
        <v>47.0</v>
      </c>
      <c r="AH443" s="3">
        <v>81.0</v>
      </c>
      <c r="AI443" s="3">
        <v>59.0</v>
      </c>
      <c r="AJ443" s="3">
        <v>59.0</v>
      </c>
      <c r="AK443" s="3">
        <v>42.0</v>
      </c>
      <c r="AL443" s="3">
        <v>48.0</v>
      </c>
      <c r="AM443" s="3">
        <v>57.0</v>
      </c>
      <c r="AN443" s="3">
        <v>54.0</v>
      </c>
    </row>
    <row r="444" ht="14.25" customHeight="1">
      <c r="A444" s="3">
        <v>442.0</v>
      </c>
      <c r="B444" s="3" t="s">
        <v>6918</v>
      </c>
      <c r="C444" s="3">
        <v>43.0</v>
      </c>
      <c r="D444" s="3" t="s">
        <v>6645</v>
      </c>
      <c r="E444" s="3" t="s">
        <v>6646</v>
      </c>
      <c r="F444" s="3" t="s">
        <v>6646</v>
      </c>
      <c r="G444" s="3" t="s">
        <v>6645</v>
      </c>
      <c r="H444" s="3" t="s">
        <v>6645</v>
      </c>
      <c r="I444" s="3" t="s">
        <v>6645</v>
      </c>
      <c r="J444" s="3">
        <v>13.0</v>
      </c>
      <c r="K444" s="3">
        <v>4.0</v>
      </c>
      <c r="L444" s="3">
        <v>0.0</v>
      </c>
      <c r="M444" s="3">
        <v>0.0</v>
      </c>
      <c r="N444" s="3">
        <v>12437.324</v>
      </c>
      <c r="O444" s="3">
        <v>1978.0</v>
      </c>
      <c r="P444" s="3" t="e">
        <v>#N/A</v>
      </c>
      <c r="Q444" s="3">
        <v>60.0</v>
      </c>
      <c r="R444" s="3">
        <v>74.0</v>
      </c>
      <c r="S444" s="3">
        <v>60.0</v>
      </c>
      <c r="T444" s="3">
        <v>62.0</v>
      </c>
      <c r="U444" s="3">
        <v>63.0</v>
      </c>
      <c r="V444" s="3">
        <v>75.0</v>
      </c>
      <c r="W444" s="3">
        <v>78.0</v>
      </c>
      <c r="X444" s="3">
        <v>63.0</v>
      </c>
      <c r="Y444" s="3">
        <v>50.0</v>
      </c>
      <c r="Z444" s="3">
        <v>64.0</v>
      </c>
      <c r="AA444" s="3">
        <v>88.0</v>
      </c>
      <c r="AB444" s="3">
        <v>65.0</v>
      </c>
      <c r="AC444" s="3">
        <v>57.0</v>
      </c>
      <c r="AD444" s="3">
        <v>78.0</v>
      </c>
      <c r="AE444" s="3">
        <v>55.0</v>
      </c>
      <c r="AF444" s="3">
        <v>70.0</v>
      </c>
      <c r="AG444" s="3">
        <v>58.0</v>
      </c>
      <c r="AH444" s="3">
        <v>82.0</v>
      </c>
      <c r="AI444" s="3">
        <v>48.0</v>
      </c>
      <c r="AJ444" s="3">
        <v>64.0</v>
      </c>
      <c r="AK444" s="3">
        <v>47.0</v>
      </c>
      <c r="AL444" s="3">
        <v>63.0</v>
      </c>
      <c r="AM444" s="3">
        <v>47.0</v>
      </c>
      <c r="AN444" s="3">
        <v>49.0</v>
      </c>
    </row>
    <row r="445" ht="14.25" customHeight="1">
      <c r="A445" s="3">
        <v>443.0</v>
      </c>
      <c r="B445" s="3" t="s">
        <v>6919</v>
      </c>
      <c r="C445" s="3">
        <v>38.0</v>
      </c>
      <c r="D445" s="3" t="s">
        <v>6645</v>
      </c>
      <c r="E445" s="3" t="s">
        <v>6646</v>
      </c>
      <c r="F445" s="3" t="s">
        <v>6646</v>
      </c>
      <c r="G445" s="3" t="s">
        <v>6645</v>
      </c>
      <c r="H445" s="3" t="s">
        <v>6645</v>
      </c>
      <c r="I445" s="3" t="s">
        <v>6645</v>
      </c>
      <c r="J445" s="3">
        <v>13.0</v>
      </c>
      <c r="K445" s="3">
        <v>3.0</v>
      </c>
      <c r="L445" s="3">
        <v>0.0</v>
      </c>
      <c r="M445" s="3">
        <v>0.0</v>
      </c>
      <c r="N445" s="3">
        <v>6831.8686</v>
      </c>
      <c r="O445" s="3">
        <v>736.0</v>
      </c>
      <c r="P445" s="3" t="e">
        <v>#N/A</v>
      </c>
      <c r="Q445" s="3">
        <v>50.0</v>
      </c>
      <c r="R445" s="3">
        <v>58.0</v>
      </c>
      <c r="S445" s="3">
        <v>54.0</v>
      </c>
      <c r="T445" s="3">
        <v>52.0</v>
      </c>
      <c r="U445" s="3">
        <v>50.0</v>
      </c>
      <c r="V445" s="3">
        <v>53.0</v>
      </c>
      <c r="W445" s="3">
        <v>59.0</v>
      </c>
      <c r="X445" s="3">
        <v>57.0</v>
      </c>
      <c r="Y445" s="3">
        <v>52.0</v>
      </c>
      <c r="Z445" s="3">
        <v>44.0</v>
      </c>
      <c r="AA445" s="3">
        <v>70.0</v>
      </c>
      <c r="AB445" s="3">
        <v>50.0</v>
      </c>
      <c r="AC445" s="3">
        <v>47.0</v>
      </c>
      <c r="AD445" s="3">
        <v>65.0</v>
      </c>
      <c r="AE445" s="3">
        <v>54.0</v>
      </c>
      <c r="AF445" s="3">
        <v>60.0</v>
      </c>
      <c r="AG445" s="3">
        <v>63.0</v>
      </c>
      <c r="AH445" s="3">
        <v>72.0</v>
      </c>
      <c r="AI445" s="3">
        <v>57.0</v>
      </c>
      <c r="AJ445" s="3">
        <v>53.0</v>
      </c>
      <c r="AK445" s="3">
        <v>49.0</v>
      </c>
      <c r="AL445" s="3">
        <v>45.0</v>
      </c>
      <c r="AM445" s="3">
        <v>65.0</v>
      </c>
      <c r="AN445" s="3">
        <v>26.0</v>
      </c>
    </row>
    <row r="446" ht="14.25" customHeight="1">
      <c r="A446" s="3">
        <v>444.0</v>
      </c>
      <c r="B446" s="3" t="s">
        <v>6920</v>
      </c>
      <c r="C446" s="3">
        <v>34.0</v>
      </c>
      <c r="D446" s="3" t="s">
        <v>6645</v>
      </c>
      <c r="E446" s="3" t="s">
        <v>6646</v>
      </c>
      <c r="F446" s="3" t="s">
        <v>6646</v>
      </c>
      <c r="G446" s="3" t="s">
        <v>6645</v>
      </c>
      <c r="H446" s="3" t="s">
        <v>6645</v>
      </c>
      <c r="I446" s="3" t="s">
        <v>6646</v>
      </c>
      <c r="J446" s="3">
        <v>13.0</v>
      </c>
      <c r="K446" s="3">
        <v>3.0</v>
      </c>
      <c r="L446" s="3">
        <v>0.0</v>
      </c>
      <c r="M446" s="3">
        <v>0.0</v>
      </c>
      <c r="N446" s="3">
        <v>7899.58</v>
      </c>
      <c r="O446" s="3">
        <v>805.0</v>
      </c>
      <c r="P446" s="3" t="e">
        <v>#N/A</v>
      </c>
      <c r="Q446" s="3">
        <v>54.0</v>
      </c>
      <c r="R446" s="3">
        <v>58.0</v>
      </c>
      <c r="S446" s="3">
        <v>52.0</v>
      </c>
      <c r="T446" s="3">
        <v>58.0</v>
      </c>
      <c r="U446" s="3">
        <v>56.0</v>
      </c>
      <c r="V446" s="3">
        <v>56.0</v>
      </c>
      <c r="W446" s="3">
        <v>67.0</v>
      </c>
      <c r="X446" s="3">
        <v>57.0</v>
      </c>
      <c r="Y446" s="3">
        <v>58.0</v>
      </c>
      <c r="Z446" s="3">
        <v>47.0</v>
      </c>
      <c r="AA446" s="3">
        <v>70.0</v>
      </c>
      <c r="AB446" s="3">
        <v>48.0</v>
      </c>
      <c r="AC446" s="3">
        <v>49.0</v>
      </c>
      <c r="AD446" s="3">
        <v>63.0</v>
      </c>
      <c r="AE446" s="3">
        <v>52.0</v>
      </c>
      <c r="AF446" s="3">
        <v>66.0</v>
      </c>
      <c r="AG446" s="3">
        <v>41.0</v>
      </c>
      <c r="AH446" s="3">
        <v>78.0</v>
      </c>
      <c r="AI446" s="3">
        <v>66.0</v>
      </c>
      <c r="AJ446" s="3">
        <v>43.0</v>
      </c>
      <c r="AK446" s="3">
        <v>21.0</v>
      </c>
      <c r="AL446" s="3">
        <v>52.0</v>
      </c>
      <c r="AM446" s="3">
        <v>38.0</v>
      </c>
      <c r="AN446" s="3">
        <v>46.0</v>
      </c>
    </row>
    <row r="447" ht="14.25" customHeight="1">
      <c r="A447" s="3">
        <v>445.0</v>
      </c>
      <c r="B447" s="3" t="s">
        <v>6921</v>
      </c>
      <c r="C447" s="3">
        <v>36.0</v>
      </c>
      <c r="D447" s="3" t="s">
        <v>6645</v>
      </c>
      <c r="E447" s="3" t="s">
        <v>6646</v>
      </c>
      <c r="F447" s="3" t="s">
        <v>6646</v>
      </c>
      <c r="G447" s="3" t="s">
        <v>6645</v>
      </c>
      <c r="H447" s="3" t="s">
        <v>6645</v>
      </c>
      <c r="I447" s="3" t="s">
        <v>6645</v>
      </c>
      <c r="J447" s="3">
        <v>13.0</v>
      </c>
      <c r="K447" s="3">
        <v>3.0</v>
      </c>
      <c r="L447" s="3">
        <v>0.0</v>
      </c>
      <c r="M447" s="3">
        <v>0.0</v>
      </c>
      <c r="N447" s="3">
        <v>7472.7817</v>
      </c>
      <c r="O447" s="3">
        <v>623.0</v>
      </c>
      <c r="P447" s="3" t="e">
        <v>#N/A</v>
      </c>
      <c r="Q447" s="3">
        <v>58.0</v>
      </c>
      <c r="R447" s="3">
        <v>58.0</v>
      </c>
      <c r="S447" s="3">
        <v>54.0</v>
      </c>
      <c r="T447" s="3">
        <v>54.0</v>
      </c>
      <c r="U447" s="3">
        <v>58.0</v>
      </c>
      <c r="V447" s="3">
        <v>55.0</v>
      </c>
      <c r="W447" s="3">
        <v>63.0</v>
      </c>
      <c r="X447" s="3">
        <v>57.0</v>
      </c>
      <c r="Y447" s="3">
        <v>52.0</v>
      </c>
      <c r="Z447" s="3">
        <v>52.0</v>
      </c>
      <c r="AA447" s="3">
        <v>66.0</v>
      </c>
      <c r="AB447" s="3">
        <v>52.0</v>
      </c>
      <c r="AC447" s="3">
        <v>45.0</v>
      </c>
      <c r="AD447" s="3">
        <v>59.0</v>
      </c>
      <c r="AE447" s="3">
        <v>58.0</v>
      </c>
      <c r="AF447" s="3">
        <v>52.0</v>
      </c>
      <c r="AG447" s="3">
        <v>53.0</v>
      </c>
      <c r="AH447" s="3">
        <v>77.0</v>
      </c>
      <c r="AI447" s="3">
        <v>55.0</v>
      </c>
      <c r="AJ447" s="3">
        <v>50.0</v>
      </c>
      <c r="AK447" s="3">
        <v>51.0</v>
      </c>
      <c r="AL447" s="3">
        <v>29.0</v>
      </c>
      <c r="AM447" s="3">
        <v>65.0</v>
      </c>
      <c r="AN447" s="3">
        <v>45.0</v>
      </c>
    </row>
    <row r="448" ht="14.25" customHeight="1">
      <c r="A448" s="3">
        <v>446.0</v>
      </c>
      <c r="B448" s="3" t="s">
        <v>6922</v>
      </c>
      <c r="C448" s="3">
        <v>29.0</v>
      </c>
      <c r="D448" s="3" t="s">
        <v>6645</v>
      </c>
      <c r="E448" s="3" t="s">
        <v>6646</v>
      </c>
      <c r="F448" s="3" t="s">
        <v>6646</v>
      </c>
      <c r="G448" s="3" t="s">
        <v>6645</v>
      </c>
      <c r="H448" s="3" t="s">
        <v>6645</v>
      </c>
      <c r="I448" s="3" t="s">
        <v>6646</v>
      </c>
      <c r="J448" s="3">
        <v>13.0</v>
      </c>
      <c r="K448" s="3">
        <v>2.0</v>
      </c>
      <c r="L448" s="3">
        <v>0.0</v>
      </c>
      <c r="M448" s="3">
        <v>0.0</v>
      </c>
      <c r="N448" s="3">
        <v>3328.04</v>
      </c>
      <c r="O448" s="3">
        <v>415.0</v>
      </c>
      <c r="P448" s="3" t="e">
        <v>#N/A</v>
      </c>
      <c r="Q448" s="3">
        <v>45.0</v>
      </c>
      <c r="R448" s="3">
        <v>47.0</v>
      </c>
      <c r="S448" s="3">
        <v>45.0</v>
      </c>
      <c r="T448" s="3">
        <v>52.0</v>
      </c>
      <c r="U448" s="3">
        <v>43.0</v>
      </c>
      <c r="V448" s="3">
        <v>46.0</v>
      </c>
      <c r="W448" s="3">
        <v>51.0</v>
      </c>
      <c r="X448" s="3">
        <v>46.0</v>
      </c>
      <c r="Y448" s="3">
        <v>43.0</v>
      </c>
      <c r="Z448" s="3">
        <v>45.0</v>
      </c>
      <c r="AA448" s="3">
        <v>53.0</v>
      </c>
      <c r="AB448" s="3">
        <v>40.0</v>
      </c>
      <c r="AC448" s="3">
        <v>45.0</v>
      </c>
      <c r="AD448" s="3">
        <v>53.0</v>
      </c>
      <c r="AE448" s="3">
        <v>52.0</v>
      </c>
      <c r="AF448" s="3">
        <v>36.0</v>
      </c>
      <c r="AG448" s="3">
        <v>48.0</v>
      </c>
      <c r="AH448" s="3">
        <v>74.0</v>
      </c>
      <c r="AI448" s="3">
        <v>46.0</v>
      </c>
      <c r="AJ448" s="3">
        <v>42.0</v>
      </c>
      <c r="AK448" s="3">
        <v>30.0</v>
      </c>
      <c r="AL448" s="3">
        <v>40.0</v>
      </c>
      <c r="AM448" s="3">
        <v>48.0</v>
      </c>
      <c r="AN448" s="3">
        <v>44.0</v>
      </c>
    </row>
    <row r="449" ht="14.25" customHeight="1">
      <c r="A449" s="3">
        <v>447.0</v>
      </c>
      <c r="B449" s="3" t="s">
        <v>6923</v>
      </c>
      <c r="C449" s="3">
        <v>26.0</v>
      </c>
      <c r="D449" s="3" t="s">
        <v>6645</v>
      </c>
      <c r="E449" s="3" t="s">
        <v>6646</v>
      </c>
      <c r="F449" s="3" t="s">
        <v>6646</v>
      </c>
      <c r="G449" s="3" t="s">
        <v>6645</v>
      </c>
      <c r="H449" s="3" t="s">
        <v>6645</v>
      </c>
      <c r="I449" s="3" t="s">
        <v>6645</v>
      </c>
      <c r="J449" s="3">
        <v>13.0</v>
      </c>
      <c r="K449" s="3">
        <v>2.0</v>
      </c>
      <c r="L449" s="3">
        <v>0.0</v>
      </c>
      <c r="M449" s="3">
        <v>0.0</v>
      </c>
      <c r="N449" s="3">
        <v>3668.97</v>
      </c>
      <c r="O449" s="3">
        <v>491.0</v>
      </c>
      <c r="P449" s="3" t="e">
        <v>#N/A</v>
      </c>
      <c r="Q449" s="3">
        <v>46.0</v>
      </c>
      <c r="R449" s="3">
        <v>46.0</v>
      </c>
      <c r="S449" s="3">
        <v>49.0</v>
      </c>
      <c r="T449" s="3">
        <v>43.0</v>
      </c>
      <c r="U449" s="3">
        <v>43.0</v>
      </c>
      <c r="V449" s="3">
        <v>46.0</v>
      </c>
      <c r="W449" s="3">
        <v>53.0</v>
      </c>
      <c r="X449" s="3">
        <v>41.0</v>
      </c>
      <c r="Y449" s="3">
        <v>46.0</v>
      </c>
      <c r="Z449" s="3">
        <v>52.0</v>
      </c>
      <c r="AA449" s="3">
        <v>59.0</v>
      </c>
      <c r="AB449" s="3">
        <v>51.0</v>
      </c>
      <c r="AC449" s="3">
        <v>41.0</v>
      </c>
      <c r="AD449" s="3">
        <v>54.0</v>
      </c>
      <c r="AE449" s="3">
        <v>49.0</v>
      </c>
      <c r="AF449" s="3">
        <v>64.0</v>
      </c>
      <c r="AG449" s="3">
        <v>54.0</v>
      </c>
      <c r="AH449" s="3">
        <v>76.0</v>
      </c>
      <c r="AI449" s="3">
        <v>58.0</v>
      </c>
      <c r="AJ449" s="3">
        <v>50.0</v>
      </c>
      <c r="AK449" s="3">
        <v>14.0</v>
      </c>
      <c r="AL449" s="3">
        <v>42.0</v>
      </c>
      <c r="AM449" s="3">
        <v>46.0</v>
      </c>
      <c r="AN449" s="3">
        <v>52.0</v>
      </c>
    </row>
    <row r="450" ht="14.25" customHeight="1">
      <c r="A450" s="3">
        <v>448.0</v>
      </c>
      <c r="B450" s="3" t="s">
        <v>6924</v>
      </c>
      <c r="C450" s="3">
        <v>32.0</v>
      </c>
      <c r="D450" s="3" t="s">
        <v>6645</v>
      </c>
      <c r="E450" s="3" t="s">
        <v>6646</v>
      </c>
      <c r="F450" s="3" t="s">
        <v>6646</v>
      </c>
      <c r="G450" s="3" t="s">
        <v>6645</v>
      </c>
      <c r="H450" s="3" t="s">
        <v>6645</v>
      </c>
      <c r="I450" s="3" t="s">
        <v>6645</v>
      </c>
      <c r="J450" s="3">
        <v>13.0</v>
      </c>
      <c r="K450" s="3">
        <v>2.0</v>
      </c>
      <c r="L450" s="3">
        <v>0.0</v>
      </c>
      <c r="M450" s="3">
        <v>0.0</v>
      </c>
      <c r="N450" s="3">
        <v>3808.89</v>
      </c>
      <c r="O450" s="3">
        <v>399.0</v>
      </c>
      <c r="P450" s="3" t="e">
        <v>#N/A</v>
      </c>
      <c r="Q450" s="3">
        <v>51.0</v>
      </c>
      <c r="R450" s="3">
        <v>46.0</v>
      </c>
      <c r="S450" s="3">
        <v>43.0</v>
      </c>
      <c r="T450" s="3">
        <v>47.0</v>
      </c>
      <c r="U450" s="3">
        <v>52.0</v>
      </c>
      <c r="V450" s="3">
        <v>51.0</v>
      </c>
      <c r="W450" s="3">
        <v>54.0</v>
      </c>
      <c r="X450" s="3">
        <v>43.0</v>
      </c>
      <c r="Y450" s="3">
        <v>44.0</v>
      </c>
      <c r="Z450" s="3">
        <v>43.0</v>
      </c>
      <c r="AA450" s="3">
        <v>55.0</v>
      </c>
      <c r="AB450" s="3">
        <v>49.0</v>
      </c>
      <c r="AC450" s="3">
        <v>44.0</v>
      </c>
      <c r="AD450" s="3">
        <v>48.0</v>
      </c>
      <c r="AE450" s="3">
        <v>49.0</v>
      </c>
      <c r="AF450" s="3">
        <v>64.0</v>
      </c>
      <c r="AG450" s="3">
        <v>54.0</v>
      </c>
      <c r="AH450" s="3">
        <v>78.0</v>
      </c>
      <c r="AI450" s="3">
        <v>64.0</v>
      </c>
      <c r="AJ450" s="3">
        <v>56.0</v>
      </c>
      <c r="AK450" s="3">
        <v>58.0</v>
      </c>
      <c r="AL450" s="3">
        <v>50.0</v>
      </c>
      <c r="AM450" s="3">
        <v>40.0</v>
      </c>
      <c r="AN450" s="3">
        <v>28.0</v>
      </c>
    </row>
    <row r="451" ht="14.25" customHeight="1">
      <c r="A451" s="3">
        <v>449.0</v>
      </c>
      <c r="B451" s="3" t="s">
        <v>6925</v>
      </c>
      <c r="C451" s="3">
        <v>29.0</v>
      </c>
      <c r="D451" s="3" t="s">
        <v>6645</v>
      </c>
      <c r="E451" s="3" t="s">
        <v>6646</v>
      </c>
      <c r="F451" s="3" t="s">
        <v>6646</v>
      </c>
      <c r="G451" s="3" t="s">
        <v>6645</v>
      </c>
      <c r="H451" s="3" t="s">
        <v>6645</v>
      </c>
      <c r="I451" s="3" t="s">
        <v>6645</v>
      </c>
      <c r="J451" s="3">
        <v>13.0</v>
      </c>
      <c r="K451" s="3">
        <v>2.0</v>
      </c>
      <c r="L451" s="3">
        <v>0.0</v>
      </c>
      <c r="M451" s="3">
        <v>0.0</v>
      </c>
      <c r="N451" s="3">
        <v>3983.9768</v>
      </c>
      <c r="O451" s="3">
        <v>471.0</v>
      </c>
      <c r="P451" s="3" t="e">
        <v>#N/A</v>
      </c>
      <c r="Q451" s="3">
        <v>43.0</v>
      </c>
      <c r="R451" s="3">
        <v>45.0</v>
      </c>
      <c r="S451" s="3">
        <v>47.0</v>
      </c>
      <c r="T451" s="3">
        <v>43.0</v>
      </c>
      <c r="U451" s="3">
        <v>51.0</v>
      </c>
      <c r="V451" s="3">
        <v>43.0</v>
      </c>
      <c r="W451" s="3">
        <v>53.0</v>
      </c>
      <c r="X451" s="3">
        <v>45.0</v>
      </c>
      <c r="Y451" s="3">
        <v>48.0</v>
      </c>
      <c r="Z451" s="3">
        <v>37.0</v>
      </c>
      <c r="AA451" s="3">
        <v>56.0</v>
      </c>
      <c r="AB451" s="3">
        <v>47.0</v>
      </c>
      <c r="AC451" s="3">
        <v>45.0</v>
      </c>
      <c r="AD451" s="3">
        <v>53.0</v>
      </c>
      <c r="AE451" s="3">
        <v>35.0</v>
      </c>
      <c r="AF451" s="3">
        <v>36.0</v>
      </c>
      <c r="AG451" s="3">
        <v>62.0</v>
      </c>
      <c r="AH451" s="3">
        <v>70.0</v>
      </c>
      <c r="AI451" s="3">
        <v>50.0</v>
      </c>
      <c r="AJ451" s="3">
        <v>36.0</v>
      </c>
      <c r="AK451" s="3">
        <v>44.0</v>
      </c>
      <c r="AL451" s="3">
        <v>44.0</v>
      </c>
      <c r="AM451" s="3">
        <v>24.0</v>
      </c>
      <c r="AN451" s="3">
        <v>52.0</v>
      </c>
    </row>
    <row r="452" ht="14.25" customHeight="1">
      <c r="A452" s="3">
        <v>450.0</v>
      </c>
      <c r="B452" s="3" t="s">
        <v>6926</v>
      </c>
      <c r="C452" s="3">
        <v>27.0</v>
      </c>
      <c r="D452" s="3" t="s">
        <v>6645</v>
      </c>
      <c r="E452" s="3" t="s">
        <v>6646</v>
      </c>
      <c r="F452" s="3" t="s">
        <v>6646</v>
      </c>
      <c r="G452" s="3" t="s">
        <v>6645</v>
      </c>
      <c r="H452" s="3" t="s">
        <v>6645</v>
      </c>
      <c r="I452" s="3" t="s">
        <v>6645</v>
      </c>
      <c r="J452" s="3">
        <v>13.0</v>
      </c>
      <c r="K452" s="3">
        <v>1.0</v>
      </c>
      <c r="L452" s="3">
        <v>0.0</v>
      </c>
      <c r="M452" s="3">
        <v>0.0</v>
      </c>
      <c r="N452" s="3">
        <v>1570.13</v>
      </c>
      <c r="O452" s="3">
        <v>166.0</v>
      </c>
      <c r="P452" s="3" t="e">
        <v>#N/A</v>
      </c>
      <c r="Q452" s="3">
        <v>44.0</v>
      </c>
      <c r="R452" s="3">
        <v>44.0</v>
      </c>
      <c r="S452" s="3">
        <v>38.0</v>
      </c>
      <c r="T452" s="3">
        <v>38.0</v>
      </c>
      <c r="U452" s="3">
        <v>44.0</v>
      </c>
      <c r="V452" s="3">
        <v>42.0</v>
      </c>
      <c r="W452" s="3">
        <v>47.0</v>
      </c>
      <c r="X452" s="3">
        <v>32.0</v>
      </c>
      <c r="Y452" s="3">
        <v>42.0</v>
      </c>
      <c r="Z452" s="3">
        <v>35.0</v>
      </c>
      <c r="AA452" s="3">
        <v>42.0</v>
      </c>
      <c r="AB452" s="3">
        <v>36.0</v>
      </c>
      <c r="AC452" s="3">
        <v>40.0</v>
      </c>
      <c r="AD452" s="3">
        <v>44.0</v>
      </c>
      <c r="AE452" s="3">
        <v>44.0</v>
      </c>
      <c r="AF452" s="3">
        <v>53.0</v>
      </c>
      <c r="AG452" s="3">
        <v>45.0</v>
      </c>
      <c r="AH452" s="3">
        <v>68.0</v>
      </c>
      <c r="AI452" s="3">
        <v>42.0</v>
      </c>
      <c r="AJ452" s="3">
        <v>35.0</v>
      </c>
      <c r="AK452" s="3">
        <v>46.0</v>
      </c>
      <c r="AL452" s="3">
        <v>30.0</v>
      </c>
      <c r="AM452" s="3">
        <v>55.0</v>
      </c>
      <c r="AN452" s="3">
        <v>40.0</v>
      </c>
    </row>
    <row r="453" ht="14.25" customHeight="1">
      <c r="A453" s="3">
        <v>451.0</v>
      </c>
      <c r="B453" s="3" t="s">
        <v>6927</v>
      </c>
      <c r="C453" s="3">
        <v>26.0</v>
      </c>
      <c r="D453" s="3" t="s">
        <v>6645</v>
      </c>
      <c r="E453" s="3" t="s">
        <v>6646</v>
      </c>
      <c r="F453" s="3" t="s">
        <v>6646</v>
      </c>
      <c r="G453" s="3" t="s">
        <v>6645</v>
      </c>
      <c r="H453" s="3" t="s">
        <v>6645</v>
      </c>
      <c r="I453" s="3" t="s">
        <v>6646</v>
      </c>
      <c r="J453" s="3">
        <v>13.0</v>
      </c>
      <c r="K453" s="3">
        <v>1.0</v>
      </c>
      <c r="L453" s="3">
        <v>0.0</v>
      </c>
      <c r="M453" s="3">
        <v>0.0</v>
      </c>
      <c r="N453" s="3">
        <v>1481.397</v>
      </c>
      <c r="O453" s="3">
        <v>234.0</v>
      </c>
      <c r="P453" s="3" t="e">
        <v>#N/A</v>
      </c>
      <c r="Q453" s="3">
        <v>40.0</v>
      </c>
      <c r="R453" s="3">
        <v>46.0</v>
      </c>
      <c r="S453" s="3">
        <v>42.0</v>
      </c>
      <c r="T453" s="3">
        <v>44.0</v>
      </c>
      <c r="U453" s="3">
        <v>44.0</v>
      </c>
      <c r="V453" s="3">
        <v>42.0</v>
      </c>
      <c r="W453" s="3">
        <v>50.0</v>
      </c>
      <c r="X453" s="3">
        <v>36.0</v>
      </c>
      <c r="Y453" s="3">
        <v>44.0</v>
      </c>
      <c r="Z453" s="3">
        <v>40.0</v>
      </c>
      <c r="AA453" s="3">
        <v>45.0</v>
      </c>
      <c r="AB453" s="3">
        <v>44.0</v>
      </c>
      <c r="AC453" s="3">
        <v>38.0</v>
      </c>
      <c r="AD453" s="3">
        <v>54.0</v>
      </c>
      <c r="AE453" s="3">
        <v>29.0</v>
      </c>
      <c r="AF453" s="3">
        <v>44.0</v>
      </c>
      <c r="AG453" s="3">
        <v>40.0</v>
      </c>
      <c r="AH453" s="3">
        <v>77.0</v>
      </c>
      <c r="AI453" s="3">
        <v>57.0</v>
      </c>
      <c r="AJ453" s="3">
        <v>21.0</v>
      </c>
      <c r="AK453" s="3">
        <v>56.0</v>
      </c>
      <c r="AL453" s="3">
        <v>60.0</v>
      </c>
      <c r="AM453" s="3">
        <v>37.0</v>
      </c>
      <c r="AN453" s="3">
        <v>56.0</v>
      </c>
    </row>
    <row r="454" ht="14.25" customHeight="1">
      <c r="A454" s="3">
        <v>452.0</v>
      </c>
      <c r="B454" s="3" t="s">
        <v>6928</v>
      </c>
      <c r="C454" s="3">
        <v>25.0</v>
      </c>
      <c r="D454" s="3" t="s">
        <v>6645</v>
      </c>
      <c r="E454" s="3" t="s">
        <v>6646</v>
      </c>
      <c r="F454" s="3" t="s">
        <v>6646</v>
      </c>
      <c r="G454" s="3" t="s">
        <v>6645</v>
      </c>
      <c r="H454" s="3" t="s">
        <v>6645</v>
      </c>
      <c r="I454" s="3" t="s">
        <v>6646</v>
      </c>
      <c r="J454" s="3">
        <v>13.0</v>
      </c>
      <c r="K454" s="3">
        <v>1.0</v>
      </c>
      <c r="L454" s="3">
        <v>0.0</v>
      </c>
      <c r="M454" s="3">
        <v>0.0</v>
      </c>
      <c r="N454" s="3">
        <v>1707.01</v>
      </c>
      <c r="O454" s="3">
        <v>215.0</v>
      </c>
      <c r="P454" s="3" t="e">
        <v>#N/A</v>
      </c>
      <c r="Q454" s="3">
        <v>36.0</v>
      </c>
      <c r="R454" s="3">
        <v>38.0</v>
      </c>
      <c r="S454" s="3">
        <v>38.0</v>
      </c>
      <c r="T454" s="3">
        <v>44.0</v>
      </c>
      <c r="U454" s="3">
        <v>38.0</v>
      </c>
      <c r="V454" s="3">
        <v>44.0</v>
      </c>
      <c r="W454" s="3">
        <v>50.0</v>
      </c>
      <c r="X454" s="3">
        <v>41.0</v>
      </c>
      <c r="Y454" s="3">
        <v>42.0</v>
      </c>
      <c r="Z454" s="3">
        <v>34.0</v>
      </c>
      <c r="AA454" s="3">
        <v>50.0</v>
      </c>
      <c r="AB454" s="3">
        <v>28.0</v>
      </c>
      <c r="AC454" s="3">
        <v>40.0</v>
      </c>
      <c r="AD454" s="3">
        <v>43.0</v>
      </c>
      <c r="AE454" s="3">
        <v>40.0</v>
      </c>
      <c r="AF454" s="3">
        <v>57.0</v>
      </c>
      <c r="AG454" s="3">
        <v>11.0</v>
      </c>
      <c r="AH454" s="3">
        <v>67.0</v>
      </c>
      <c r="AI454" s="3">
        <v>42.0</v>
      </c>
      <c r="AJ454" s="3">
        <v>46.0</v>
      </c>
      <c r="AK454" s="3">
        <v>55.0</v>
      </c>
      <c r="AL454" s="3">
        <v>53.0</v>
      </c>
      <c r="AM454" s="3">
        <v>60.0</v>
      </c>
      <c r="AN454" s="3">
        <v>46.0</v>
      </c>
    </row>
    <row r="455" ht="14.25" customHeight="1">
      <c r="A455" s="3">
        <v>453.0</v>
      </c>
      <c r="B455" s="3" t="s">
        <v>6929</v>
      </c>
      <c r="C455" s="3">
        <v>27.0</v>
      </c>
      <c r="D455" s="3" t="s">
        <v>6645</v>
      </c>
      <c r="E455" s="3" t="s">
        <v>6646</v>
      </c>
      <c r="F455" s="3" t="s">
        <v>6646</v>
      </c>
      <c r="G455" s="3" t="s">
        <v>6645</v>
      </c>
      <c r="H455" s="3" t="s">
        <v>6645</v>
      </c>
      <c r="I455" s="3" t="s">
        <v>6646</v>
      </c>
      <c r="J455" s="3">
        <v>13.0</v>
      </c>
      <c r="K455" s="3">
        <v>1.0</v>
      </c>
      <c r="L455" s="3">
        <v>0.0</v>
      </c>
      <c r="M455" s="3">
        <v>0.0</v>
      </c>
      <c r="N455" s="3">
        <v>1412.8986</v>
      </c>
      <c r="O455" s="3">
        <v>183.0</v>
      </c>
      <c r="P455" s="3" t="e">
        <v>#N/A</v>
      </c>
      <c r="Q455" s="3">
        <v>38.0</v>
      </c>
      <c r="R455" s="3">
        <v>44.0</v>
      </c>
      <c r="S455" s="3">
        <v>44.0</v>
      </c>
      <c r="T455" s="3">
        <v>44.0</v>
      </c>
      <c r="U455" s="3">
        <v>36.0</v>
      </c>
      <c r="V455" s="3">
        <v>46.0</v>
      </c>
      <c r="W455" s="3">
        <v>44.0</v>
      </c>
      <c r="X455" s="3">
        <v>46.0</v>
      </c>
      <c r="Y455" s="3">
        <v>36.0</v>
      </c>
      <c r="Z455" s="3">
        <v>40.0</v>
      </c>
      <c r="AA455" s="3">
        <v>52.0</v>
      </c>
      <c r="AB455" s="3">
        <v>32.0</v>
      </c>
      <c r="AC455" s="3">
        <v>40.0</v>
      </c>
      <c r="AD455" s="3">
        <v>52.0</v>
      </c>
      <c r="AE455" s="3">
        <v>28.0</v>
      </c>
      <c r="AF455" s="3">
        <v>43.0</v>
      </c>
      <c r="AG455" s="3">
        <v>53.0</v>
      </c>
      <c r="AH455" s="3">
        <v>70.0</v>
      </c>
      <c r="AI455" s="3">
        <v>33.0</v>
      </c>
      <c r="AJ455" s="3">
        <v>47.0</v>
      </c>
      <c r="AK455" s="3">
        <v>56.0</v>
      </c>
      <c r="AL455" s="3">
        <v>27.0</v>
      </c>
      <c r="AM455" s="3">
        <v>61.0</v>
      </c>
      <c r="AN455" s="3">
        <v>43.0</v>
      </c>
    </row>
    <row r="456" ht="14.25" customHeight="1">
      <c r="A456" s="3">
        <v>454.0</v>
      </c>
      <c r="B456" s="3" t="s">
        <v>6930</v>
      </c>
      <c r="C456" s="3">
        <v>20.0</v>
      </c>
      <c r="D456" s="3" t="s">
        <v>6645</v>
      </c>
      <c r="E456" s="3" t="s">
        <v>6646</v>
      </c>
      <c r="F456" s="3" t="s">
        <v>6646</v>
      </c>
      <c r="G456" s="3" t="s">
        <v>6645</v>
      </c>
      <c r="H456" s="3" t="s">
        <v>6645</v>
      </c>
      <c r="I456" s="3" t="s">
        <v>6645</v>
      </c>
      <c r="J456" s="3">
        <v>13.0</v>
      </c>
      <c r="K456" s="3">
        <v>0.0</v>
      </c>
      <c r="L456" s="3">
        <v>0.0</v>
      </c>
      <c r="M456" s="3">
        <v>0.0</v>
      </c>
      <c r="N456" s="3">
        <v>390.201</v>
      </c>
      <c r="O456" s="3">
        <v>97.0</v>
      </c>
      <c r="P456" s="3" t="e">
        <v>#N/A</v>
      </c>
      <c r="Q456" s="3">
        <v>32.0</v>
      </c>
      <c r="R456" s="3">
        <v>33.0</v>
      </c>
      <c r="S456" s="3">
        <v>36.0</v>
      </c>
      <c r="T456" s="3">
        <v>34.0</v>
      </c>
      <c r="U456" s="3">
        <v>38.0</v>
      </c>
      <c r="V456" s="3">
        <v>36.0</v>
      </c>
      <c r="W456" s="3">
        <v>48.0</v>
      </c>
      <c r="X456" s="3">
        <v>25.0</v>
      </c>
      <c r="Y456" s="3">
        <v>26.0</v>
      </c>
      <c r="Z456" s="3">
        <v>34.0</v>
      </c>
      <c r="AA456" s="3">
        <v>46.0</v>
      </c>
      <c r="AB456" s="3">
        <v>30.0</v>
      </c>
      <c r="AC456" s="3">
        <v>32.0</v>
      </c>
      <c r="AD456" s="3">
        <v>39.0</v>
      </c>
      <c r="AE456" s="3">
        <v>35.0</v>
      </c>
      <c r="AF456" s="3">
        <v>47.0</v>
      </c>
      <c r="AG456" s="3">
        <v>43.0</v>
      </c>
      <c r="AH456" s="3">
        <v>77.0</v>
      </c>
      <c r="AI456" s="3">
        <v>41.0</v>
      </c>
      <c r="AJ456" s="3">
        <v>56.0</v>
      </c>
      <c r="AK456" s="3">
        <v>50.0</v>
      </c>
      <c r="AL456" s="3">
        <v>33.0</v>
      </c>
      <c r="AM456" s="3">
        <v>48.0</v>
      </c>
      <c r="AN456" s="3">
        <v>33.0</v>
      </c>
    </row>
    <row r="457" ht="14.25" customHeight="1">
      <c r="A457" s="3">
        <v>455.0</v>
      </c>
      <c r="B457" s="3" t="s">
        <v>6931</v>
      </c>
      <c r="C457" s="3">
        <v>22.0</v>
      </c>
      <c r="D457" s="3" t="s">
        <v>6645</v>
      </c>
      <c r="E457" s="3" t="s">
        <v>6646</v>
      </c>
      <c r="F457" s="3" t="s">
        <v>6646</v>
      </c>
      <c r="G457" s="3" t="s">
        <v>6645</v>
      </c>
      <c r="H457" s="3" t="s">
        <v>6645</v>
      </c>
      <c r="I457" s="3" t="s">
        <v>6645</v>
      </c>
      <c r="J457" s="3">
        <v>13.0</v>
      </c>
      <c r="K457" s="3">
        <v>0.0</v>
      </c>
      <c r="L457" s="3">
        <v>0.0</v>
      </c>
      <c r="M457" s="3">
        <v>0.0</v>
      </c>
      <c r="N457" s="3">
        <v>440.95248</v>
      </c>
      <c r="O457" s="3">
        <v>107.0</v>
      </c>
      <c r="P457" s="3" t="e">
        <v>#N/A</v>
      </c>
      <c r="Q457" s="3">
        <v>36.0</v>
      </c>
      <c r="R457" s="3">
        <v>32.0</v>
      </c>
      <c r="S457" s="3">
        <v>32.0</v>
      </c>
      <c r="T457" s="3">
        <v>35.0</v>
      </c>
      <c r="U457" s="3">
        <v>38.0</v>
      </c>
      <c r="V457" s="3">
        <v>37.0</v>
      </c>
      <c r="W457" s="3">
        <v>39.0</v>
      </c>
      <c r="X457" s="3">
        <v>23.0</v>
      </c>
      <c r="Y457" s="3">
        <v>25.0</v>
      </c>
      <c r="Z457" s="3">
        <v>35.0</v>
      </c>
      <c r="AA457" s="3">
        <v>46.0</v>
      </c>
      <c r="AB457" s="3">
        <v>32.0</v>
      </c>
      <c r="AC457" s="3">
        <v>25.0</v>
      </c>
      <c r="AD457" s="3">
        <v>40.0</v>
      </c>
      <c r="AE457" s="3">
        <v>38.0</v>
      </c>
      <c r="AF457" s="3">
        <v>34.0</v>
      </c>
      <c r="AG457" s="3">
        <v>30.0</v>
      </c>
      <c r="AH457" s="3">
        <v>74.0</v>
      </c>
      <c r="AI457" s="3">
        <v>45.0</v>
      </c>
      <c r="AJ457" s="3">
        <v>54.0</v>
      </c>
      <c r="AK457" s="3">
        <v>46.0</v>
      </c>
      <c r="AL457" s="3">
        <v>34.0</v>
      </c>
      <c r="AM457" s="3">
        <v>59.0</v>
      </c>
      <c r="AN457" s="3">
        <v>19.0</v>
      </c>
    </row>
    <row r="458" ht="14.25" customHeight="1">
      <c r="A458" s="3">
        <v>456.0</v>
      </c>
      <c r="B458" s="3" t="s">
        <v>6932</v>
      </c>
      <c r="C458" s="3">
        <v>20.0</v>
      </c>
      <c r="D458" s="3" t="s">
        <v>6645</v>
      </c>
      <c r="E458" s="3" t="s">
        <v>6646</v>
      </c>
      <c r="F458" s="3" t="s">
        <v>6646</v>
      </c>
      <c r="G458" s="3" t="s">
        <v>6645</v>
      </c>
      <c r="H458" s="3" t="s">
        <v>6645</v>
      </c>
      <c r="I458" s="3" t="s">
        <v>6646</v>
      </c>
      <c r="J458" s="3">
        <v>13.0</v>
      </c>
      <c r="K458" s="3">
        <v>0.0</v>
      </c>
      <c r="L458" s="3">
        <v>0.0</v>
      </c>
      <c r="M458" s="3">
        <v>0.0</v>
      </c>
      <c r="N458" s="3">
        <v>417.029</v>
      </c>
      <c r="O458" s="3">
        <v>103.0</v>
      </c>
      <c r="P458" s="3" t="e">
        <v>#N/A</v>
      </c>
      <c r="Q458" s="3">
        <v>33.0</v>
      </c>
      <c r="R458" s="3">
        <v>34.0</v>
      </c>
      <c r="S458" s="3">
        <v>38.0</v>
      </c>
      <c r="T458" s="3">
        <v>38.0</v>
      </c>
      <c r="U458" s="3">
        <v>39.0</v>
      </c>
      <c r="V458" s="3">
        <v>35.0</v>
      </c>
      <c r="W458" s="3">
        <v>45.0</v>
      </c>
      <c r="X458" s="3">
        <v>39.0</v>
      </c>
      <c r="Y458" s="3">
        <v>31.0</v>
      </c>
      <c r="Z458" s="3">
        <v>34.0</v>
      </c>
      <c r="AA458" s="3">
        <v>47.0</v>
      </c>
      <c r="AB458" s="3">
        <v>33.0</v>
      </c>
      <c r="AC458" s="3">
        <v>26.0</v>
      </c>
      <c r="AD458" s="3">
        <v>42.0</v>
      </c>
      <c r="AE458" s="3">
        <v>32.0</v>
      </c>
      <c r="AF458" s="3">
        <v>44.0</v>
      </c>
      <c r="AG458" s="3">
        <v>56.0</v>
      </c>
      <c r="AH458" s="3">
        <v>70.0</v>
      </c>
      <c r="AI458" s="3">
        <v>42.0</v>
      </c>
      <c r="AJ458" s="3">
        <v>46.0</v>
      </c>
      <c r="AK458" s="3">
        <v>36.0</v>
      </c>
      <c r="AL458" s="3">
        <v>47.0</v>
      </c>
      <c r="AM458" s="3">
        <v>41.0</v>
      </c>
      <c r="AN458" s="3">
        <v>7.0</v>
      </c>
    </row>
    <row r="459" ht="14.25" customHeight="1">
      <c r="A459" s="3">
        <v>457.0</v>
      </c>
      <c r="B459" s="3" t="s">
        <v>6933</v>
      </c>
      <c r="C459" s="3">
        <v>21.0</v>
      </c>
      <c r="D459" s="3" t="s">
        <v>6645</v>
      </c>
      <c r="E459" s="3" t="s">
        <v>6646</v>
      </c>
      <c r="F459" s="3" t="s">
        <v>6646</v>
      </c>
      <c r="G459" s="3" t="s">
        <v>6645</v>
      </c>
      <c r="H459" s="3" t="s">
        <v>6645</v>
      </c>
      <c r="I459" s="3" t="s">
        <v>6646</v>
      </c>
      <c r="J459" s="3">
        <v>13.0</v>
      </c>
      <c r="K459" s="3">
        <v>0.0</v>
      </c>
      <c r="L459" s="3">
        <v>0.0</v>
      </c>
      <c r="M459" s="3">
        <v>0.0</v>
      </c>
      <c r="N459" s="3">
        <v>456.933</v>
      </c>
      <c r="O459" s="3">
        <v>115.0</v>
      </c>
      <c r="P459" s="3" t="e">
        <v>#N/A</v>
      </c>
      <c r="Q459" s="3">
        <v>38.0</v>
      </c>
      <c r="R459" s="3">
        <v>30.0</v>
      </c>
      <c r="S459" s="3">
        <v>32.0</v>
      </c>
      <c r="T459" s="3">
        <v>31.0</v>
      </c>
      <c r="U459" s="3">
        <v>31.0</v>
      </c>
      <c r="V459" s="3">
        <v>33.0</v>
      </c>
      <c r="W459" s="3">
        <v>38.0</v>
      </c>
      <c r="X459" s="3">
        <v>32.0</v>
      </c>
      <c r="Y459" s="3">
        <v>30.0</v>
      </c>
      <c r="Z459" s="3">
        <v>39.0</v>
      </c>
      <c r="AA459" s="3">
        <v>40.0</v>
      </c>
      <c r="AB459" s="3">
        <v>31.0</v>
      </c>
      <c r="AC459" s="3">
        <v>27.0</v>
      </c>
      <c r="AD459" s="3">
        <v>35.0</v>
      </c>
      <c r="AE459" s="3">
        <v>39.0</v>
      </c>
      <c r="AF459" s="3">
        <v>30.0</v>
      </c>
      <c r="AG459" s="3">
        <v>42.0</v>
      </c>
      <c r="AH459" s="3">
        <v>63.0</v>
      </c>
      <c r="AI459" s="3">
        <v>41.0</v>
      </c>
      <c r="AJ459" s="3">
        <v>22.0</v>
      </c>
      <c r="AK459" s="3">
        <v>45.0</v>
      </c>
      <c r="AL459" s="3">
        <v>36.0</v>
      </c>
      <c r="AM459" s="3">
        <v>34.0</v>
      </c>
      <c r="AN459" s="3">
        <v>48.0</v>
      </c>
    </row>
    <row r="460" ht="14.25" customHeight="1">
      <c r="A460" s="3">
        <v>458.0</v>
      </c>
      <c r="B460" s="3" t="s">
        <v>6934</v>
      </c>
      <c r="C460" s="3">
        <v>18.0</v>
      </c>
      <c r="D460" s="3" t="s">
        <v>6645</v>
      </c>
      <c r="E460" s="3" t="s">
        <v>6646</v>
      </c>
      <c r="F460" s="3" t="s">
        <v>6646</v>
      </c>
      <c r="G460" s="3" t="s">
        <v>6645</v>
      </c>
      <c r="H460" s="3" t="s">
        <v>6645</v>
      </c>
      <c r="I460" s="3" t="s">
        <v>6646</v>
      </c>
      <c r="J460" s="3">
        <v>13.0</v>
      </c>
      <c r="K460" s="3">
        <v>0.0</v>
      </c>
      <c r="L460" s="3">
        <v>0.0</v>
      </c>
      <c r="M460" s="3">
        <v>0.0</v>
      </c>
      <c r="N460" s="3">
        <v>535.751</v>
      </c>
      <c r="O460" s="3">
        <v>113.0</v>
      </c>
      <c r="P460" s="3" t="e">
        <v>#N/A</v>
      </c>
      <c r="Q460" s="3">
        <v>33.0</v>
      </c>
      <c r="R460" s="3">
        <v>35.0</v>
      </c>
      <c r="S460" s="3">
        <v>34.0</v>
      </c>
      <c r="T460" s="3">
        <v>38.0</v>
      </c>
      <c r="U460" s="3">
        <v>35.0</v>
      </c>
      <c r="V460" s="3">
        <v>39.0</v>
      </c>
      <c r="W460" s="3">
        <v>49.0</v>
      </c>
      <c r="X460" s="3">
        <v>29.0</v>
      </c>
      <c r="Y460" s="3">
        <v>26.0</v>
      </c>
      <c r="Z460" s="3">
        <v>34.0</v>
      </c>
      <c r="AA460" s="3">
        <v>41.0</v>
      </c>
      <c r="AB460" s="3">
        <v>38.0</v>
      </c>
      <c r="AC460" s="3">
        <v>39.0</v>
      </c>
      <c r="AD460" s="3">
        <v>42.0</v>
      </c>
      <c r="AE460" s="3">
        <v>25.0</v>
      </c>
      <c r="AF460" s="3">
        <v>38.0</v>
      </c>
      <c r="AG460" s="3">
        <v>53.0</v>
      </c>
      <c r="AH460" s="3">
        <v>66.0</v>
      </c>
      <c r="AI460" s="3">
        <v>45.0</v>
      </c>
      <c r="AJ460" s="3">
        <v>58.0</v>
      </c>
      <c r="AK460" s="3">
        <v>44.0</v>
      </c>
      <c r="AL460" s="3">
        <v>47.0</v>
      </c>
      <c r="AM460" s="3">
        <v>24.0</v>
      </c>
      <c r="AN460" s="3">
        <v>46.0</v>
      </c>
    </row>
    <row r="461" ht="14.25" customHeight="1">
      <c r="A461" s="3">
        <v>459.0</v>
      </c>
      <c r="B461" s="3" t="s">
        <v>6935</v>
      </c>
      <c r="C461" s="3">
        <v>37.0</v>
      </c>
      <c r="D461" s="3" t="s">
        <v>6645</v>
      </c>
      <c r="E461" s="3" t="s">
        <v>6646</v>
      </c>
      <c r="F461" s="3" t="s">
        <v>6646</v>
      </c>
      <c r="G461" s="3" t="s">
        <v>6645</v>
      </c>
      <c r="H461" s="3" t="s">
        <v>6645</v>
      </c>
      <c r="I461" s="3" t="s">
        <v>6646</v>
      </c>
      <c r="J461" s="3">
        <v>14.0</v>
      </c>
      <c r="K461" s="3">
        <v>4.0</v>
      </c>
      <c r="L461" s="3">
        <v>0.0</v>
      </c>
      <c r="M461" s="3">
        <v>0.0</v>
      </c>
      <c r="N461" s="3">
        <v>13677.424</v>
      </c>
      <c r="O461" s="3">
        <v>1236.0</v>
      </c>
      <c r="P461" s="3" t="e">
        <v>#N/A</v>
      </c>
      <c r="Q461" s="3">
        <v>65.0</v>
      </c>
      <c r="R461" s="3">
        <v>72.0</v>
      </c>
      <c r="S461" s="3">
        <v>68.0</v>
      </c>
      <c r="T461" s="3">
        <v>65.0</v>
      </c>
      <c r="U461" s="3">
        <v>65.0</v>
      </c>
      <c r="V461" s="3">
        <v>84.0</v>
      </c>
      <c r="W461" s="3">
        <v>82.0</v>
      </c>
      <c r="X461" s="3">
        <v>83.0</v>
      </c>
      <c r="Y461" s="3">
        <v>60.0</v>
      </c>
      <c r="Z461" s="3">
        <v>75.0</v>
      </c>
      <c r="AA461" s="3">
        <v>70.0</v>
      </c>
      <c r="AB461" s="3">
        <v>60.0</v>
      </c>
      <c r="AC461" s="3">
        <v>58.0</v>
      </c>
      <c r="AD461" s="3">
        <v>65.0</v>
      </c>
      <c r="AE461" s="3">
        <v>58.0</v>
      </c>
      <c r="AF461" s="3">
        <v>58.0</v>
      </c>
      <c r="AG461" s="3">
        <v>63.0</v>
      </c>
      <c r="AH461" s="3">
        <v>37.0</v>
      </c>
      <c r="AI461" s="3">
        <v>42.0</v>
      </c>
      <c r="AJ461" s="3">
        <v>44.0</v>
      </c>
      <c r="AK461" s="3">
        <v>79.0</v>
      </c>
      <c r="AL461" s="3">
        <v>55.0</v>
      </c>
      <c r="AM461" s="3">
        <v>53.0</v>
      </c>
      <c r="AN461" s="3">
        <v>42.0</v>
      </c>
    </row>
    <row r="462" ht="14.25" customHeight="1">
      <c r="A462" s="3">
        <v>460.0</v>
      </c>
      <c r="B462" s="3" t="s">
        <v>6936</v>
      </c>
      <c r="C462" s="3">
        <v>40.0</v>
      </c>
      <c r="D462" s="3" t="s">
        <v>6645</v>
      </c>
      <c r="E462" s="3" t="s">
        <v>6646</v>
      </c>
      <c r="F462" s="3" t="s">
        <v>6646</v>
      </c>
      <c r="G462" s="3" t="s">
        <v>6645</v>
      </c>
      <c r="H462" s="3" t="s">
        <v>6645</v>
      </c>
      <c r="I462" s="3" t="s">
        <v>6645</v>
      </c>
      <c r="J462" s="3">
        <v>14.0</v>
      </c>
      <c r="K462" s="3">
        <v>4.0</v>
      </c>
      <c r="L462" s="3">
        <v>0.0</v>
      </c>
      <c r="M462" s="3">
        <v>0.0</v>
      </c>
      <c r="N462" s="3">
        <v>13182.609</v>
      </c>
      <c r="O462" s="3">
        <v>1508.0</v>
      </c>
      <c r="P462" s="3" t="e">
        <v>#N/A</v>
      </c>
      <c r="Q462" s="3">
        <v>63.0</v>
      </c>
      <c r="R462" s="3">
        <v>71.0</v>
      </c>
      <c r="S462" s="3">
        <v>74.0</v>
      </c>
      <c r="T462" s="3">
        <v>66.0</v>
      </c>
      <c r="U462" s="3">
        <v>61.0</v>
      </c>
      <c r="V462" s="3">
        <v>83.0</v>
      </c>
      <c r="W462" s="3">
        <v>75.0</v>
      </c>
      <c r="X462" s="3">
        <v>82.0</v>
      </c>
      <c r="Y462" s="3">
        <v>57.0</v>
      </c>
      <c r="Z462" s="3">
        <v>80.0</v>
      </c>
      <c r="AA462" s="3">
        <v>73.0</v>
      </c>
      <c r="AB462" s="3">
        <v>61.0</v>
      </c>
      <c r="AC462" s="3">
        <v>62.0</v>
      </c>
      <c r="AD462" s="3">
        <v>63.0</v>
      </c>
      <c r="AE462" s="3">
        <v>55.0</v>
      </c>
      <c r="AF462" s="3">
        <v>20.0</v>
      </c>
      <c r="AG462" s="3">
        <v>58.0</v>
      </c>
      <c r="AH462" s="3">
        <v>56.0</v>
      </c>
      <c r="AI462" s="3">
        <v>51.0</v>
      </c>
      <c r="AJ462" s="3">
        <v>46.0</v>
      </c>
      <c r="AK462" s="3">
        <v>86.0</v>
      </c>
      <c r="AL462" s="3">
        <v>64.0</v>
      </c>
      <c r="AM462" s="3">
        <v>48.0</v>
      </c>
      <c r="AN462" s="3">
        <v>66.0</v>
      </c>
    </row>
    <row r="463" ht="14.25" customHeight="1">
      <c r="A463" s="3">
        <v>461.0</v>
      </c>
      <c r="B463" s="3" t="s">
        <v>6937</v>
      </c>
      <c r="C463" s="3">
        <v>35.0</v>
      </c>
      <c r="D463" s="3" t="s">
        <v>6645</v>
      </c>
      <c r="E463" s="3" t="s">
        <v>6646</v>
      </c>
      <c r="F463" s="3" t="s">
        <v>6646</v>
      </c>
      <c r="G463" s="3" t="s">
        <v>6645</v>
      </c>
      <c r="H463" s="3" t="s">
        <v>6645</v>
      </c>
      <c r="I463" s="3" t="s">
        <v>6645</v>
      </c>
      <c r="J463" s="3">
        <v>14.0</v>
      </c>
      <c r="K463" s="3">
        <v>4.0</v>
      </c>
      <c r="L463" s="3">
        <v>0.0</v>
      </c>
      <c r="M463" s="3">
        <v>0.0</v>
      </c>
      <c r="N463" s="3">
        <v>13521.974</v>
      </c>
      <c r="O463" s="3">
        <v>1508.0</v>
      </c>
      <c r="P463" s="3" t="e">
        <v>#N/A</v>
      </c>
      <c r="Q463" s="3">
        <v>64.0</v>
      </c>
      <c r="R463" s="3">
        <v>79.0</v>
      </c>
      <c r="S463" s="3">
        <v>69.0</v>
      </c>
      <c r="T463" s="3">
        <v>60.0</v>
      </c>
      <c r="U463" s="3">
        <v>66.0</v>
      </c>
      <c r="V463" s="3">
        <v>79.0</v>
      </c>
      <c r="W463" s="3">
        <v>78.0</v>
      </c>
      <c r="X463" s="3">
        <v>86.0</v>
      </c>
      <c r="Y463" s="3">
        <v>60.0</v>
      </c>
      <c r="Z463" s="3">
        <v>82.0</v>
      </c>
      <c r="AA463" s="3">
        <v>65.0</v>
      </c>
      <c r="AB463" s="3">
        <v>65.0</v>
      </c>
      <c r="AC463" s="3">
        <v>58.0</v>
      </c>
      <c r="AD463" s="3">
        <v>61.0</v>
      </c>
      <c r="AE463" s="3">
        <v>63.0</v>
      </c>
      <c r="AF463" s="3">
        <v>49.0</v>
      </c>
      <c r="AG463" s="3">
        <v>54.0</v>
      </c>
      <c r="AH463" s="3">
        <v>63.0</v>
      </c>
      <c r="AI463" s="3">
        <v>60.0</v>
      </c>
      <c r="AJ463" s="3">
        <v>56.0</v>
      </c>
      <c r="AK463" s="3">
        <v>81.0</v>
      </c>
      <c r="AL463" s="3">
        <v>55.0</v>
      </c>
      <c r="AM463" s="3">
        <v>46.0</v>
      </c>
      <c r="AN463" s="3">
        <v>59.0</v>
      </c>
    </row>
    <row r="464" ht="14.25" customHeight="1">
      <c r="A464" s="3">
        <v>462.0</v>
      </c>
      <c r="B464" s="3" t="s">
        <v>6938</v>
      </c>
      <c r="C464" s="3">
        <v>33.0</v>
      </c>
      <c r="D464" s="3" t="s">
        <v>6645</v>
      </c>
      <c r="E464" s="3" t="s">
        <v>6646</v>
      </c>
      <c r="F464" s="3" t="s">
        <v>6646</v>
      </c>
      <c r="G464" s="3" t="s">
        <v>6645</v>
      </c>
      <c r="H464" s="3" t="s">
        <v>6645</v>
      </c>
      <c r="I464" s="3" t="s">
        <v>6646</v>
      </c>
      <c r="J464" s="3">
        <v>14.0</v>
      </c>
      <c r="K464" s="3">
        <v>3.0</v>
      </c>
      <c r="L464" s="3">
        <v>0.0</v>
      </c>
      <c r="M464" s="3">
        <v>0.0</v>
      </c>
      <c r="N464" s="3">
        <v>8039.66</v>
      </c>
      <c r="O464" s="3">
        <v>719.0</v>
      </c>
      <c r="P464" s="3" t="e">
        <v>#N/A</v>
      </c>
      <c r="Q464" s="3">
        <v>53.0</v>
      </c>
      <c r="R464" s="3">
        <v>61.0</v>
      </c>
      <c r="S464" s="3">
        <v>58.0</v>
      </c>
      <c r="T464" s="3">
        <v>56.0</v>
      </c>
      <c r="U464" s="3">
        <v>55.0</v>
      </c>
      <c r="V464" s="3">
        <v>60.0</v>
      </c>
      <c r="W464" s="3">
        <v>63.0</v>
      </c>
      <c r="X464" s="3">
        <v>65.0</v>
      </c>
      <c r="Y464" s="3">
        <v>57.0</v>
      </c>
      <c r="Z464" s="3">
        <v>65.0</v>
      </c>
      <c r="AA464" s="3">
        <v>48.0</v>
      </c>
      <c r="AB464" s="3">
        <v>60.0</v>
      </c>
      <c r="AC464" s="3">
        <v>53.0</v>
      </c>
      <c r="AD464" s="3">
        <v>46.0</v>
      </c>
      <c r="AE464" s="3">
        <v>47.0</v>
      </c>
      <c r="AF464" s="3">
        <v>41.0</v>
      </c>
      <c r="AG464" s="3">
        <v>22.0</v>
      </c>
      <c r="AH464" s="3">
        <v>45.0</v>
      </c>
      <c r="AI464" s="3">
        <v>54.0</v>
      </c>
      <c r="AJ464" s="3">
        <v>47.0</v>
      </c>
      <c r="AK464" s="3">
        <v>84.0</v>
      </c>
      <c r="AL464" s="3">
        <v>55.0</v>
      </c>
      <c r="AM464" s="3">
        <v>60.0</v>
      </c>
      <c r="AN464" s="3">
        <v>66.0</v>
      </c>
    </row>
    <row r="465" ht="14.25" customHeight="1">
      <c r="A465" s="3">
        <v>463.0</v>
      </c>
      <c r="B465" s="3" t="s">
        <v>6939</v>
      </c>
      <c r="C465" s="3">
        <v>33.0</v>
      </c>
      <c r="D465" s="3" t="s">
        <v>6645</v>
      </c>
      <c r="E465" s="3" t="s">
        <v>6646</v>
      </c>
      <c r="F465" s="3" t="s">
        <v>6646</v>
      </c>
      <c r="G465" s="3" t="s">
        <v>6645</v>
      </c>
      <c r="H465" s="3" t="s">
        <v>6645</v>
      </c>
      <c r="I465" s="3" t="s">
        <v>6646</v>
      </c>
      <c r="J465" s="3">
        <v>14.0</v>
      </c>
      <c r="K465" s="3">
        <v>3.0</v>
      </c>
      <c r="L465" s="3">
        <v>0.0</v>
      </c>
      <c r="M465" s="3">
        <v>0.0</v>
      </c>
      <c r="N465" s="3">
        <v>7313.2285</v>
      </c>
      <c r="O465" s="3">
        <v>740.0</v>
      </c>
      <c r="P465" s="3" t="e">
        <v>#N/A</v>
      </c>
      <c r="Q465" s="3">
        <v>59.0</v>
      </c>
      <c r="R465" s="3">
        <v>61.0</v>
      </c>
      <c r="S465" s="3">
        <v>53.0</v>
      </c>
      <c r="T465" s="3">
        <v>57.0</v>
      </c>
      <c r="U465" s="3">
        <v>58.0</v>
      </c>
      <c r="V465" s="3">
        <v>67.0</v>
      </c>
      <c r="W465" s="3">
        <v>63.0</v>
      </c>
      <c r="X465" s="3">
        <v>63.0</v>
      </c>
      <c r="Y465" s="3">
        <v>52.0</v>
      </c>
      <c r="Z465" s="3">
        <v>61.0</v>
      </c>
      <c r="AA465" s="3">
        <v>51.0</v>
      </c>
      <c r="AB465" s="3">
        <v>60.0</v>
      </c>
      <c r="AC465" s="3">
        <v>49.0</v>
      </c>
      <c r="AD465" s="3">
        <v>49.0</v>
      </c>
      <c r="AE465" s="3">
        <v>56.0</v>
      </c>
      <c r="AF465" s="3">
        <v>52.0</v>
      </c>
      <c r="AG465" s="3">
        <v>65.0</v>
      </c>
      <c r="AH465" s="3">
        <v>44.0</v>
      </c>
      <c r="AI465" s="3">
        <v>54.0</v>
      </c>
      <c r="AJ465" s="3">
        <v>61.0</v>
      </c>
      <c r="AK465" s="3">
        <v>82.0</v>
      </c>
      <c r="AL465" s="3">
        <v>53.0</v>
      </c>
      <c r="AM465" s="3">
        <v>15.0</v>
      </c>
      <c r="AN465" s="3">
        <v>59.0</v>
      </c>
    </row>
    <row r="466" ht="14.25" customHeight="1">
      <c r="A466" s="3">
        <v>464.0</v>
      </c>
      <c r="B466" s="3" t="s">
        <v>6940</v>
      </c>
      <c r="C466" s="3">
        <v>36.0</v>
      </c>
      <c r="D466" s="3" t="s">
        <v>6645</v>
      </c>
      <c r="E466" s="3" t="s">
        <v>6646</v>
      </c>
      <c r="F466" s="3" t="s">
        <v>6646</v>
      </c>
      <c r="G466" s="3" t="s">
        <v>6645</v>
      </c>
      <c r="H466" s="3" t="s">
        <v>6645</v>
      </c>
      <c r="I466" s="3" t="s">
        <v>6645</v>
      </c>
      <c r="J466" s="3">
        <v>14.0</v>
      </c>
      <c r="K466" s="3">
        <v>3.0</v>
      </c>
      <c r="L466" s="3">
        <v>0.0</v>
      </c>
      <c r="M466" s="3">
        <v>0.0</v>
      </c>
      <c r="N466" s="3">
        <v>7701.5454</v>
      </c>
      <c r="O466" s="3">
        <v>777.0</v>
      </c>
      <c r="P466" s="3" t="e">
        <v>#N/A</v>
      </c>
      <c r="Q466" s="3">
        <v>54.0</v>
      </c>
      <c r="R466" s="3">
        <v>66.0</v>
      </c>
      <c r="S466" s="3">
        <v>54.0</v>
      </c>
      <c r="T466" s="3">
        <v>58.0</v>
      </c>
      <c r="U466" s="3">
        <v>54.0</v>
      </c>
      <c r="V466" s="3">
        <v>61.0</v>
      </c>
      <c r="W466" s="3">
        <v>60.0</v>
      </c>
      <c r="X466" s="3">
        <v>58.0</v>
      </c>
      <c r="Y466" s="3">
        <v>57.0</v>
      </c>
      <c r="Z466" s="3">
        <v>68.0</v>
      </c>
      <c r="AA466" s="3">
        <v>50.0</v>
      </c>
      <c r="AB466" s="3">
        <v>51.0</v>
      </c>
      <c r="AC466" s="3">
        <v>51.0</v>
      </c>
      <c r="AD466" s="3">
        <v>50.0</v>
      </c>
      <c r="AE466" s="3">
        <v>52.0</v>
      </c>
      <c r="AF466" s="3">
        <v>56.0</v>
      </c>
      <c r="AG466" s="3">
        <v>18.0</v>
      </c>
      <c r="AH466" s="3">
        <v>49.0</v>
      </c>
      <c r="AI466" s="3">
        <v>45.0</v>
      </c>
      <c r="AJ466" s="3">
        <v>47.0</v>
      </c>
      <c r="AK466" s="3">
        <v>81.0</v>
      </c>
      <c r="AL466" s="3">
        <v>54.0</v>
      </c>
      <c r="AM466" s="3">
        <v>39.0</v>
      </c>
      <c r="AN466" s="3">
        <v>50.0</v>
      </c>
    </row>
    <row r="467" ht="14.25" customHeight="1">
      <c r="A467" s="3">
        <v>465.0</v>
      </c>
      <c r="B467" s="3" t="s">
        <v>6941</v>
      </c>
      <c r="C467" s="3">
        <v>34.0</v>
      </c>
      <c r="D467" s="3" t="s">
        <v>6645</v>
      </c>
      <c r="E467" s="3" t="s">
        <v>6646</v>
      </c>
      <c r="F467" s="3" t="s">
        <v>6646</v>
      </c>
      <c r="G467" s="3" t="s">
        <v>6645</v>
      </c>
      <c r="H467" s="3" t="s">
        <v>6645</v>
      </c>
      <c r="I467" s="3" t="s">
        <v>6645</v>
      </c>
      <c r="J467" s="3">
        <v>14.0</v>
      </c>
      <c r="K467" s="3">
        <v>2.0</v>
      </c>
      <c r="L467" s="3">
        <v>0.0</v>
      </c>
      <c r="M467" s="3">
        <v>0.0</v>
      </c>
      <c r="N467" s="3">
        <v>3874.8</v>
      </c>
      <c r="O467" s="3">
        <v>316.0</v>
      </c>
      <c r="P467" s="3" t="e">
        <v>#N/A</v>
      </c>
      <c r="Q467" s="3">
        <v>45.0</v>
      </c>
      <c r="R467" s="3">
        <v>45.0</v>
      </c>
      <c r="S467" s="3">
        <v>50.0</v>
      </c>
      <c r="T467" s="3">
        <v>50.0</v>
      </c>
      <c r="U467" s="3">
        <v>47.0</v>
      </c>
      <c r="V467" s="3">
        <v>47.0</v>
      </c>
      <c r="W467" s="3">
        <v>54.0</v>
      </c>
      <c r="X467" s="3">
        <v>53.0</v>
      </c>
      <c r="Y467" s="3">
        <v>43.0</v>
      </c>
      <c r="Z467" s="3">
        <v>50.0</v>
      </c>
      <c r="AA467" s="3">
        <v>46.0</v>
      </c>
      <c r="AB467" s="3">
        <v>48.0</v>
      </c>
      <c r="AC467" s="3">
        <v>45.0</v>
      </c>
      <c r="AD467" s="3">
        <v>53.0</v>
      </c>
      <c r="AE467" s="3">
        <v>46.0</v>
      </c>
      <c r="AF467" s="3">
        <v>42.0</v>
      </c>
      <c r="AG467" s="3">
        <v>12.0</v>
      </c>
      <c r="AH467" s="3">
        <v>63.0</v>
      </c>
      <c r="AI467" s="3">
        <v>63.0</v>
      </c>
      <c r="AJ467" s="3">
        <v>39.0</v>
      </c>
      <c r="AK467" s="3">
        <v>72.0</v>
      </c>
      <c r="AL467" s="3">
        <v>60.0</v>
      </c>
      <c r="AM467" s="3">
        <v>50.0</v>
      </c>
      <c r="AN467" s="3">
        <v>53.0</v>
      </c>
    </row>
    <row r="468" ht="14.25" customHeight="1">
      <c r="A468" s="3">
        <v>466.0</v>
      </c>
      <c r="B468" s="3" t="s">
        <v>6942</v>
      </c>
      <c r="C468" s="3">
        <v>34.0</v>
      </c>
      <c r="D468" s="3" t="s">
        <v>6645</v>
      </c>
      <c r="E468" s="3" t="s">
        <v>6646</v>
      </c>
      <c r="F468" s="3" t="s">
        <v>6646</v>
      </c>
      <c r="G468" s="3" t="s">
        <v>6645</v>
      </c>
      <c r="H468" s="3" t="s">
        <v>6645</v>
      </c>
      <c r="I468" s="3" t="s">
        <v>6645</v>
      </c>
      <c r="J468" s="3">
        <v>14.0</v>
      </c>
      <c r="K468" s="3">
        <v>2.0</v>
      </c>
      <c r="L468" s="3">
        <v>0.0</v>
      </c>
      <c r="M468" s="3">
        <v>0.0</v>
      </c>
      <c r="N468" s="3">
        <v>4342.9487</v>
      </c>
      <c r="O468" s="3">
        <v>310.0</v>
      </c>
      <c r="P468" s="3" t="e">
        <v>#N/A</v>
      </c>
      <c r="Q468" s="3">
        <v>45.0</v>
      </c>
      <c r="R468" s="3">
        <v>45.0</v>
      </c>
      <c r="S468" s="3">
        <v>53.0</v>
      </c>
      <c r="T468" s="3">
        <v>44.0</v>
      </c>
      <c r="U468" s="3">
        <v>52.0</v>
      </c>
      <c r="V468" s="3">
        <v>53.0</v>
      </c>
      <c r="W468" s="3">
        <v>58.0</v>
      </c>
      <c r="X468" s="3">
        <v>55.0</v>
      </c>
      <c r="Y468" s="3">
        <v>46.0</v>
      </c>
      <c r="Z468" s="3">
        <v>55.0</v>
      </c>
      <c r="AA468" s="3">
        <v>44.0</v>
      </c>
      <c r="AB468" s="3">
        <v>45.0</v>
      </c>
      <c r="AC468" s="3">
        <v>44.0</v>
      </c>
      <c r="AD468" s="3">
        <v>52.0</v>
      </c>
      <c r="AE468" s="3">
        <v>50.0</v>
      </c>
      <c r="AF468" s="3">
        <v>52.0</v>
      </c>
      <c r="AG468" s="3">
        <v>46.0</v>
      </c>
      <c r="AH468" s="3">
        <v>65.0</v>
      </c>
      <c r="AI468" s="3">
        <v>55.0</v>
      </c>
      <c r="AJ468" s="3">
        <v>39.0</v>
      </c>
      <c r="AK468" s="3">
        <v>80.0</v>
      </c>
      <c r="AL468" s="3">
        <v>40.0</v>
      </c>
      <c r="AM468" s="3">
        <v>20.0</v>
      </c>
      <c r="AN468" s="3">
        <v>37.0</v>
      </c>
    </row>
    <row r="469" ht="14.25" customHeight="1">
      <c r="A469" s="3">
        <v>467.0</v>
      </c>
      <c r="B469" s="3" t="s">
        <v>6943</v>
      </c>
      <c r="C469" s="3">
        <v>30.0</v>
      </c>
      <c r="D469" s="3" t="s">
        <v>6645</v>
      </c>
      <c r="E469" s="3" t="s">
        <v>6646</v>
      </c>
      <c r="F469" s="3" t="s">
        <v>6646</v>
      </c>
      <c r="G469" s="3" t="s">
        <v>6645</v>
      </c>
      <c r="H469" s="3" t="s">
        <v>6645</v>
      </c>
      <c r="I469" s="3" t="s">
        <v>6646</v>
      </c>
      <c r="J469" s="3">
        <v>14.0</v>
      </c>
      <c r="K469" s="3">
        <v>2.0</v>
      </c>
      <c r="L469" s="3">
        <v>0.0</v>
      </c>
      <c r="M469" s="3">
        <v>0.0</v>
      </c>
      <c r="N469" s="3">
        <v>4236.3515</v>
      </c>
      <c r="O469" s="3">
        <v>404.0</v>
      </c>
      <c r="P469" s="3" t="e">
        <v>#N/A</v>
      </c>
      <c r="Q469" s="3">
        <v>52.0</v>
      </c>
      <c r="R469" s="3">
        <v>47.0</v>
      </c>
      <c r="S469" s="3">
        <v>50.0</v>
      </c>
      <c r="T469" s="3">
        <v>44.0</v>
      </c>
      <c r="U469" s="3">
        <v>46.0</v>
      </c>
      <c r="V469" s="3">
        <v>50.0</v>
      </c>
      <c r="W469" s="3">
        <v>57.0</v>
      </c>
      <c r="X469" s="3">
        <v>52.0</v>
      </c>
      <c r="Y469" s="3">
        <v>41.0</v>
      </c>
      <c r="Z469" s="3">
        <v>57.0</v>
      </c>
      <c r="AA469" s="3">
        <v>48.0</v>
      </c>
      <c r="AB469" s="3">
        <v>50.0</v>
      </c>
      <c r="AC469" s="3">
        <v>36.0</v>
      </c>
      <c r="AD469" s="3">
        <v>45.0</v>
      </c>
      <c r="AE469" s="3">
        <v>52.0</v>
      </c>
      <c r="AF469" s="3">
        <v>65.0</v>
      </c>
      <c r="AG469" s="3">
        <v>42.0</v>
      </c>
      <c r="AH469" s="3">
        <v>53.0</v>
      </c>
      <c r="AI469" s="3">
        <v>53.0</v>
      </c>
      <c r="AJ469" s="3">
        <v>41.0</v>
      </c>
      <c r="AK469" s="3">
        <v>77.0</v>
      </c>
      <c r="AL469" s="3">
        <v>51.0</v>
      </c>
      <c r="AM469" s="3">
        <v>31.0</v>
      </c>
      <c r="AN469" s="3">
        <v>59.0</v>
      </c>
    </row>
    <row r="470" ht="14.25" customHeight="1">
      <c r="A470" s="3">
        <v>468.0</v>
      </c>
      <c r="B470" s="3" t="s">
        <v>6944</v>
      </c>
      <c r="C470" s="3">
        <v>26.0</v>
      </c>
      <c r="D470" s="3" t="s">
        <v>6645</v>
      </c>
      <c r="E470" s="3" t="s">
        <v>6646</v>
      </c>
      <c r="F470" s="3" t="s">
        <v>6646</v>
      </c>
      <c r="G470" s="3" t="s">
        <v>6645</v>
      </c>
      <c r="H470" s="3" t="s">
        <v>6645</v>
      </c>
      <c r="I470" s="3" t="s">
        <v>6646</v>
      </c>
      <c r="J470" s="3">
        <v>14.0</v>
      </c>
      <c r="K470" s="3">
        <v>2.0</v>
      </c>
      <c r="L470" s="3">
        <v>0.0</v>
      </c>
      <c r="M470" s="3">
        <v>0.0</v>
      </c>
      <c r="N470" s="3">
        <v>4121.73</v>
      </c>
      <c r="O470" s="3">
        <v>384.0</v>
      </c>
      <c r="P470" s="3" t="e">
        <v>#N/A</v>
      </c>
      <c r="Q470" s="3">
        <v>44.0</v>
      </c>
      <c r="R470" s="3">
        <v>48.0</v>
      </c>
      <c r="S470" s="3">
        <v>50.0</v>
      </c>
      <c r="T470" s="3">
        <v>50.0</v>
      </c>
      <c r="U470" s="3">
        <v>51.0</v>
      </c>
      <c r="V470" s="3">
        <v>46.0</v>
      </c>
      <c r="W470" s="3">
        <v>51.0</v>
      </c>
      <c r="X470" s="3">
        <v>51.0</v>
      </c>
      <c r="Y470" s="3">
        <v>42.0</v>
      </c>
      <c r="Z470" s="3">
        <v>55.0</v>
      </c>
      <c r="AA470" s="3">
        <v>45.0</v>
      </c>
      <c r="AB470" s="3">
        <v>49.0</v>
      </c>
      <c r="AC470" s="3">
        <v>37.0</v>
      </c>
      <c r="AD470" s="3">
        <v>44.0</v>
      </c>
      <c r="AE470" s="3">
        <v>45.0</v>
      </c>
      <c r="AF470" s="3">
        <v>45.0</v>
      </c>
      <c r="AG470" s="3">
        <v>59.0</v>
      </c>
      <c r="AH470" s="3">
        <v>42.0</v>
      </c>
      <c r="AI470" s="3">
        <v>43.0</v>
      </c>
      <c r="AJ470" s="3">
        <v>52.0</v>
      </c>
      <c r="AK470" s="3">
        <v>66.0</v>
      </c>
      <c r="AL470" s="3">
        <v>60.0</v>
      </c>
      <c r="AM470" s="3">
        <v>13.0</v>
      </c>
      <c r="AN470" s="3">
        <v>39.0</v>
      </c>
    </row>
    <row r="471" ht="14.25" customHeight="1">
      <c r="A471" s="3">
        <v>469.0</v>
      </c>
      <c r="B471" s="3" t="s">
        <v>6945</v>
      </c>
      <c r="C471" s="3">
        <v>26.0</v>
      </c>
      <c r="D471" s="3" t="s">
        <v>6645</v>
      </c>
      <c r="E471" s="3" t="s">
        <v>6646</v>
      </c>
      <c r="F471" s="3" t="s">
        <v>6646</v>
      </c>
      <c r="G471" s="3" t="s">
        <v>6645</v>
      </c>
      <c r="H471" s="3" t="s">
        <v>6645</v>
      </c>
      <c r="I471" s="3" t="s">
        <v>6645</v>
      </c>
      <c r="J471" s="3">
        <v>14.0</v>
      </c>
      <c r="K471" s="3">
        <v>1.0</v>
      </c>
      <c r="L471" s="3">
        <v>0.0</v>
      </c>
      <c r="M471" s="3">
        <v>0.0</v>
      </c>
      <c r="N471" s="3">
        <v>1570.214</v>
      </c>
      <c r="O471" s="3">
        <v>207.0</v>
      </c>
      <c r="P471" s="3" t="e">
        <v>#N/A</v>
      </c>
      <c r="Q471" s="3">
        <v>42.0</v>
      </c>
      <c r="R471" s="3">
        <v>46.0</v>
      </c>
      <c r="S471" s="3">
        <v>37.0</v>
      </c>
      <c r="T471" s="3">
        <v>39.0</v>
      </c>
      <c r="U471" s="3">
        <v>39.0</v>
      </c>
      <c r="V471" s="3">
        <v>37.0</v>
      </c>
      <c r="W471" s="3">
        <v>51.0</v>
      </c>
      <c r="X471" s="3">
        <v>47.0</v>
      </c>
      <c r="Y471" s="3">
        <v>35.0</v>
      </c>
      <c r="Z471" s="3">
        <v>43.0</v>
      </c>
      <c r="AA471" s="3">
        <v>34.0</v>
      </c>
      <c r="AB471" s="3">
        <v>41.0</v>
      </c>
      <c r="AC471" s="3">
        <v>41.0</v>
      </c>
      <c r="AD471" s="3">
        <v>40.0</v>
      </c>
      <c r="AE471" s="3">
        <v>36.0</v>
      </c>
      <c r="AF471" s="3">
        <v>34.0</v>
      </c>
      <c r="AG471" s="3">
        <v>51.0</v>
      </c>
      <c r="AH471" s="3">
        <v>57.0</v>
      </c>
      <c r="AI471" s="3">
        <v>35.0</v>
      </c>
      <c r="AJ471" s="3">
        <v>62.0</v>
      </c>
      <c r="AK471" s="3">
        <v>80.0</v>
      </c>
      <c r="AL471" s="3">
        <v>25.0</v>
      </c>
      <c r="AM471" s="3">
        <v>39.0</v>
      </c>
      <c r="AN471" s="3">
        <v>53.0</v>
      </c>
    </row>
    <row r="472" ht="14.25" customHeight="1">
      <c r="A472" s="3">
        <v>470.0</v>
      </c>
      <c r="B472" s="3" t="s">
        <v>6946</v>
      </c>
      <c r="C472" s="3">
        <v>24.0</v>
      </c>
      <c r="D472" s="3" t="s">
        <v>6645</v>
      </c>
      <c r="E472" s="3" t="s">
        <v>6646</v>
      </c>
      <c r="F472" s="3" t="s">
        <v>6646</v>
      </c>
      <c r="G472" s="3" t="s">
        <v>6645</v>
      </c>
      <c r="H472" s="3" t="s">
        <v>6645</v>
      </c>
      <c r="I472" s="3" t="s">
        <v>6646</v>
      </c>
      <c r="J472" s="3">
        <v>14.0</v>
      </c>
      <c r="K472" s="3">
        <v>1.0</v>
      </c>
      <c r="L472" s="3">
        <v>0.0</v>
      </c>
      <c r="M472" s="3">
        <v>0.0</v>
      </c>
      <c r="N472" s="3">
        <v>1608.0578</v>
      </c>
      <c r="O472" s="3">
        <v>213.0</v>
      </c>
      <c r="P472" s="3" t="e">
        <v>#N/A</v>
      </c>
      <c r="Q472" s="3">
        <v>41.0</v>
      </c>
      <c r="R472" s="3">
        <v>44.0</v>
      </c>
      <c r="S472" s="3">
        <v>42.0</v>
      </c>
      <c r="T472" s="3">
        <v>39.0</v>
      </c>
      <c r="U472" s="3">
        <v>44.0</v>
      </c>
      <c r="V472" s="3">
        <v>46.0</v>
      </c>
      <c r="W472" s="3">
        <v>45.0</v>
      </c>
      <c r="X472" s="3">
        <v>45.0</v>
      </c>
      <c r="Y472" s="3">
        <v>46.0</v>
      </c>
      <c r="Z472" s="3">
        <v>50.0</v>
      </c>
      <c r="AA472" s="3">
        <v>32.0</v>
      </c>
      <c r="AB472" s="3">
        <v>42.0</v>
      </c>
      <c r="AC472" s="3">
        <v>42.0</v>
      </c>
      <c r="AD472" s="3">
        <v>33.0</v>
      </c>
      <c r="AE472" s="3">
        <v>33.0</v>
      </c>
      <c r="AF472" s="3">
        <v>48.0</v>
      </c>
      <c r="AG472" s="3">
        <v>43.0</v>
      </c>
      <c r="AH472" s="3">
        <v>10.0</v>
      </c>
      <c r="AI472" s="3">
        <v>45.0</v>
      </c>
      <c r="AJ472" s="3">
        <v>36.0</v>
      </c>
      <c r="AK472" s="3">
        <v>66.0</v>
      </c>
      <c r="AL472" s="3">
        <v>40.0</v>
      </c>
      <c r="AM472" s="3">
        <v>34.0</v>
      </c>
      <c r="AN472" s="3">
        <v>43.0</v>
      </c>
    </row>
    <row r="473" ht="14.25" customHeight="1">
      <c r="A473" s="3">
        <v>471.0</v>
      </c>
      <c r="B473" s="3" t="s">
        <v>6947</v>
      </c>
      <c r="C473" s="3">
        <v>27.0</v>
      </c>
      <c r="D473" s="3" t="s">
        <v>6645</v>
      </c>
      <c r="E473" s="3" t="s">
        <v>6646</v>
      </c>
      <c r="F473" s="3" t="s">
        <v>6646</v>
      </c>
      <c r="G473" s="3" t="s">
        <v>6645</v>
      </c>
      <c r="H473" s="3" t="s">
        <v>6645</v>
      </c>
      <c r="I473" s="3" t="s">
        <v>6646</v>
      </c>
      <c r="J473" s="3">
        <v>14.0</v>
      </c>
      <c r="K473" s="3">
        <v>1.0</v>
      </c>
      <c r="L473" s="3">
        <v>0.0</v>
      </c>
      <c r="M473" s="3">
        <v>0.0</v>
      </c>
      <c r="N473" s="3">
        <v>1627.8045</v>
      </c>
      <c r="O473" s="3">
        <v>226.0</v>
      </c>
      <c r="P473" s="3" t="e">
        <v>#N/A</v>
      </c>
      <c r="Q473" s="3">
        <v>42.0</v>
      </c>
      <c r="R473" s="3">
        <v>44.0</v>
      </c>
      <c r="S473" s="3">
        <v>38.0</v>
      </c>
      <c r="T473" s="3">
        <v>39.0</v>
      </c>
      <c r="U473" s="3">
        <v>43.0</v>
      </c>
      <c r="V473" s="3">
        <v>46.0</v>
      </c>
      <c r="W473" s="3">
        <v>49.0</v>
      </c>
      <c r="X473" s="3">
        <v>51.0</v>
      </c>
      <c r="Y473" s="3">
        <v>43.0</v>
      </c>
      <c r="Z473" s="3">
        <v>44.0</v>
      </c>
      <c r="AA473" s="3">
        <v>44.0</v>
      </c>
      <c r="AB473" s="3">
        <v>30.0</v>
      </c>
      <c r="AC473" s="3">
        <v>39.0</v>
      </c>
      <c r="AD473" s="3">
        <v>38.0</v>
      </c>
      <c r="AE473" s="3">
        <v>38.0</v>
      </c>
      <c r="AF473" s="3">
        <v>53.0</v>
      </c>
      <c r="AG473" s="3">
        <v>46.0</v>
      </c>
      <c r="AH473" s="3">
        <v>47.0</v>
      </c>
      <c r="AI473" s="3">
        <v>61.0</v>
      </c>
      <c r="AJ473" s="3">
        <v>34.0</v>
      </c>
      <c r="AK473" s="3">
        <v>79.0</v>
      </c>
      <c r="AL473" s="3">
        <v>18.0</v>
      </c>
      <c r="AM473" s="3">
        <v>43.0</v>
      </c>
      <c r="AN473" s="3">
        <v>60.0</v>
      </c>
    </row>
    <row r="474" ht="14.25" customHeight="1">
      <c r="A474" s="3">
        <v>472.0</v>
      </c>
      <c r="B474" s="3" t="s">
        <v>6948</v>
      </c>
      <c r="C474" s="3">
        <v>26.0</v>
      </c>
      <c r="D474" s="3" t="s">
        <v>6645</v>
      </c>
      <c r="E474" s="3" t="s">
        <v>6646</v>
      </c>
      <c r="F474" s="3" t="s">
        <v>6646</v>
      </c>
      <c r="G474" s="3" t="s">
        <v>6645</v>
      </c>
      <c r="H474" s="3" t="s">
        <v>6645</v>
      </c>
      <c r="I474" s="3" t="s">
        <v>6645</v>
      </c>
      <c r="J474" s="3">
        <v>14.0</v>
      </c>
      <c r="K474" s="3">
        <v>1.0</v>
      </c>
      <c r="L474" s="3">
        <v>0.0</v>
      </c>
      <c r="M474" s="3">
        <v>0.0</v>
      </c>
      <c r="N474" s="3">
        <v>1670.5606</v>
      </c>
      <c r="O474" s="3">
        <v>241.0</v>
      </c>
      <c r="P474" s="3" t="e">
        <v>#N/A</v>
      </c>
      <c r="Q474" s="3">
        <v>39.0</v>
      </c>
      <c r="R474" s="3">
        <v>44.0</v>
      </c>
      <c r="S474" s="3">
        <v>43.0</v>
      </c>
      <c r="T474" s="3">
        <v>46.0</v>
      </c>
      <c r="U474" s="3">
        <v>41.0</v>
      </c>
      <c r="V474" s="3">
        <v>45.0</v>
      </c>
      <c r="W474" s="3">
        <v>52.0</v>
      </c>
      <c r="X474" s="3">
        <v>47.0</v>
      </c>
      <c r="Y474" s="3">
        <v>32.0</v>
      </c>
      <c r="Z474" s="3">
        <v>51.0</v>
      </c>
      <c r="AA474" s="3">
        <v>45.0</v>
      </c>
      <c r="AB474" s="3">
        <v>45.0</v>
      </c>
      <c r="AC474" s="3">
        <v>43.0</v>
      </c>
      <c r="AD474" s="3">
        <v>29.0</v>
      </c>
      <c r="AE474" s="3">
        <v>33.0</v>
      </c>
      <c r="AF474" s="3">
        <v>57.0</v>
      </c>
      <c r="AG474" s="3">
        <v>33.0</v>
      </c>
      <c r="AH474" s="3">
        <v>17.0</v>
      </c>
      <c r="AI474" s="3">
        <v>47.0</v>
      </c>
      <c r="AJ474" s="3">
        <v>48.0</v>
      </c>
      <c r="AK474" s="3">
        <v>79.0</v>
      </c>
      <c r="AL474" s="3">
        <v>36.0</v>
      </c>
      <c r="AM474" s="3">
        <v>49.0</v>
      </c>
      <c r="AN474" s="3">
        <v>49.0</v>
      </c>
    </row>
    <row r="475" ht="14.25" customHeight="1">
      <c r="A475" s="3">
        <v>473.0</v>
      </c>
      <c r="B475" s="3" t="s">
        <v>6949</v>
      </c>
      <c r="C475" s="3">
        <v>25.0</v>
      </c>
      <c r="D475" s="3" t="s">
        <v>6645</v>
      </c>
      <c r="E475" s="3" t="s">
        <v>6646</v>
      </c>
      <c r="F475" s="3" t="s">
        <v>6646</v>
      </c>
      <c r="G475" s="3" t="s">
        <v>6645</v>
      </c>
      <c r="H475" s="3" t="s">
        <v>6645</v>
      </c>
      <c r="I475" s="3" t="s">
        <v>6645</v>
      </c>
      <c r="J475" s="3">
        <v>14.0</v>
      </c>
      <c r="K475" s="3">
        <v>1.0</v>
      </c>
      <c r="L475" s="3">
        <v>0.0</v>
      </c>
      <c r="M475" s="3">
        <v>0.0</v>
      </c>
      <c r="N475" s="3">
        <v>1335.27</v>
      </c>
      <c r="O475" s="3">
        <v>172.0</v>
      </c>
      <c r="P475" s="3" t="e">
        <v>#N/A</v>
      </c>
      <c r="Q475" s="3">
        <v>45.0</v>
      </c>
      <c r="R475" s="3">
        <v>41.0</v>
      </c>
      <c r="S475" s="3">
        <v>38.0</v>
      </c>
      <c r="T475" s="3">
        <v>38.0</v>
      </c>
      <c r="U475" s="3">
        <v>45.0</v>
      </c>
      <c r="V475" s="3">
        <v>41.0</v>
      </c>
      <c r="W475" s="3">
        <v>45.0</v>
      </c>
      <c r="X475" s="3">
        <v>47.0</v>
      </c>
      <c r="Y475" s="3">
        <v>36.0</v>
      </c>
      <c r="Z475" s="3">
        <v>49.0</v>
      </c>
      <c r="AA475" s="3">
        <v>42.0</v>
      </c>
      <c r="AB475" s="3">
        <v>39.0</v>
      </c>
      <c r="AC475" s="3">
        <v>39.0</v>
      </c>
      <c r="AD475" s="3">
        <v>37.0</v>
      </c>
      <c r="AE475" s="3">
        <v>45.0</v>
      </c>
      <c r="AF475" s="3">
        <v>53.0</v>
      </c>
      <c r="AG475" s="3">
        <v>34.0</v>
      </c>
      <c r="AH475" s="3">
        <v>62.0</v>
      </c>
      <c r="AI475" s="3">
        <v>50.0</v>
      </c>
      <c r="AJ475" s="3">
        <v>43.0</v>
      </c>
      <c r="AK475" s="3">
        <v>73.0</v>
      </c>
      <c r="AL475" s="3">
        <v>41.0</v>
      </c>
      <c r="AM475" s="3">
        <v>28.0</v>
      </c>
      <c r="AN475" s="3">
        <v>58.0</v>
      </c>
    </row>
    <row r="476" ht="14.25" customHeight="1">
      <c r="A476" s="3">
        <v>474.0</v>
      </c>
      <c r="B476" s="3" t="s">
        <v>6950</v>
      </c>
      <c r="C476" s="3">
        <v>19.0</v>
      </c>
      <c r="D476" s="3" t="s">
        <v>6645</v>
      </c>
      <c r="E476" s="3" t="s">
        <v>6646</v>
      </c>
      <c r="F476" s="3" t="s">
        <v>6646</v>
      </c>
      <c r="G476" s="3" t="s">
        <v>6645</v>
      </c>
      <c r="H476" s="3" t="s">
        <v>6645</v>
      </c>
      <c r="I476" s="3" t="s">
        <v>6645</v>
      </c>
      <c r="J476" s="3">
        <v>14.0</v>
      </c>
      <c r="K476" s="3">
        <v>0.0</v>
      </c>
      <c r="L476" s="3">
        <v>0.0</v>
      </c>
      <c r="M476" s="3">
        <v>0.0</v>
      </c>
      <c r="N476" s="3">
        <v>454.42</v>
      </c>
      <c r="O476" s="3">
        <v>113.0</v>
      </c>
      <c r="P476" s="3" t="e">
        <v>#N/A</v>
      </c>
      <c r="Q476" s="3">
        <v>33.0</v>
      </c>
      <c r="R476" s="3">
        <v>34.0</v>
      </c>
      <c r="S476" s="3">
        <v>37.0</v>
      </c>
      <c r="T476" s="3">
        <v>35.0</v>
      </c>
      <c r="U476" s="3">
        <v>39.0</v>
      </c>
      <c r="V476" s="3">
        <v>30.0</v>
      </c>
      <c r="W476" s="3">
        <v>41.0</v>
      </c>
      <c r="X476" s="3">
        <v>42.0</v>
      </c>
      <c r="Y476" s="3">
        <v>33.0</v>
      </c>
      <c r="Z476" s="3">
        <v>41.0</v>
      </c>
      <c r="AA476" s="3">
        <v>37.0</v>
      </c>
      <c r="AB476" s="3">
        <v>26.0</v>
      </c>
      <c r="AC476" s="3">
        <v>26.0</v>
      </c>
      <c r="AD476" s="3">
        <v>30.0</v>
      </c>
      <c r="AE476" s="3">
        <v>35.0</v>
      </c>
      <c r="AF476" s="3">
        <v>54.0</v>
      </c>
      <c r="AG476" s="3">
        <v>11.0</v>
      </c>
      <c r="AH476" s="3">
        <v>55.0</v>
      </c>
      <c r="AI476" s="3">
        <v>44.0</v>
      </c>
      <c r="AJ476" s="3">
        <v>50.0</v>
      </c>
      <c r="AK476" s="3">
        <v>70.0</v>
      </c>
      <c r="AL476" s="3">
        <v>58.0</v>
      </c>
      <c r="AM476" s="3">
        <v>43.0</v>
      </c>
      <c r="AN476" s="3">
        <v>31.0</v>
      </c>
    </row>
    <row r="477" ht="14.25" customHeight="1">
      <c r="A477" s="3">
        <v>475.0</v>
      </c>
      <c r="B477" s="3" t="s">
        <v>6951</v>
      </c>
      <c r="C477" s="3">
        <v>22.0</v>
      </c>
      <c r="D477" s="3" t="s">
        <v>6645</v>
      </c>
      <c r="E477" s="3" t="s">
        <v>6646</v>
      </c>
      <c r="F477" s="3" t="s">
        <v>6646</v>
      </c>
      <c r="G477" s="3" t="s">
        <v>6645</v>
      </c>
      <c r="H477" s="3" t="s">
        <v>6645</v>
      </c>
      <c r="I477" s="3" t="s">
        <v>6645</v>
      </c>
      <c r="J477" s="3">
        <v>14.0</v>
      </c>
      <c r="K477" s="3">
        <v>0.0</v>
      </c>
      <c r="L477" s="3">
        <v>0.0</v>
      </c>
      <c r="M477" s="3">
        <v>0.0</v>
      </c>
      <c r="N477" s="3">
        <v>492.72497</v>
      </c>
      <c r="O477" s="3">
        <v>110.0</v>
      </c>
      <c r="P477" s="3" t="e">
        <v>#N/A</v>
      </c>
      <c r="Q477" s="3">
        <v>32.0</v>
      </c>
      <c r="R477" s="3">
        <v>36.0</v>
      </c>
      <c r="S477" s="3">
        <v>34.0</v>
      </c>
      <c r="T477" s="3">
        <v>30.0</v>
      </c>
      <c r="U477" s="3">
        <v>37.0</v>
      </c>
      <c r="V477" s="3">
        <v>39.0</v>
      </c>
      <c r="W477" s="3">
        <v>44.0</v>
      </c>
      <c r="X477" s="3">
        <v>43.0</v>
      </c>
      <c r="Y477" s="3">
        <v>38.0</v>
      </c>
      <c r="Z477" s="3">
        <v>39.0</v>
      </c>
      <c r="AA477" s="3">
        <v>30.0</v>
      </c>
      <c r="AB477" s="3">
        <v>27.0</v>
      </c>
      <c r="AC477" s="3">
        <v>30.0</v>
      </c>
      <c r="AD477" s="3">
        <v>34.0</v>
      </c>
      <c r="AE477" s="3">
        <v>33.0</v>
      </c>
      <c r="AF477" s="3">
        <v>28.0</v>
      </c>
      <c r="AG477" s="3">
        <v>36.0</v>
      </c>
      <c r="AH477" s="3">
        <v>59.0</v>
      </c>
      <c r="AI477" s="3">
        <v>42.0</v>
      </c>
      <c r="AJ477" s="3">
        <v>30.0</v>
      </c>
      <c r="AK477" s="3">
        <v>66.0</v>
      </c>
      <c r="AL477" s="3">
        <v>57.0</v>
      </c>
      <c r="AM477" s="3">
        <v>37.0</v>
      </c>
      <c r="AN477" s="3">
        <v>42.0</v>
      </c>
    </row>
    <row r="478" ht="14.25" customHeight="1">
      <c r="A478" s="3">
        <v>476.0</v>
      </c>
      <c r="B478" s="3" t="s">
        <v>6952</v>
      </c>
      <c r="C478" s="3">
        <v>23.0</v>
      </c>
      <c r="D478" s="3" t="s">
        <v>6645</v>
      </c>
      <c r="E478" s="3" t="s">
        <v>6646</v>
      </c>
      <c r="F478" s="3" t="s">
        <v>6646</v>
      </c>
      <c r="G478" s="3" t="s">
        <v>6645</v>
      </c>
      <c r="H478" s="3" t="s">
        <v>6645</v>
      </c>
      <c r="I478" s="3" t="s">
        <v>6645</v>
      </c>
      <c r="J478" s="3">
        <v>14.0</v>
      </c>
      <c r="K478" s="3">
        <v>0.0</v>
      </c>
      <c r="L478" s="3">
        <v>0.0</v>
      </c>
      <c r="M478" s="3">
        <v>0.0</v>
      </c>
      <c r="N478" s="3">
        <v>536.512</v>
      </c>
      <c r="O478" s="3">
        <v>86.0</v>
      </c>
      <c r="P478" s="3" t="e">
        <v>#N/A</v>
      </c>
      <c r="Q478" s="3">
        <v>36.0</v>
      </c>
      <c r="R478" s="3">
        <v>39.0</v>
      </c>
      <c r="S478" s="3">
        <v>38.0</v>
      </c>
      <c r="T478" s="3">
        <v>38.0</v>
      </c>
      <c r="U478" s="3">
        <v>33.0</v>
      </c>
      <c r="V478" s="3">
        <v>37.0</v>
      </c>
      <c r="W478" s="3">
        <v>38.0</v>
      </c>
      <c r="X478" s="3">
        <v>35.0</v>
      </c>
      <c r="Y478" s="3">
        <v>31.0</v>
      </c>
      <c r="Z478" s="3">
        <v>47.0</v>
      </c>
      <c r="AA478" s="3">
        <v>26.0</v>
      </c>
      <c r="AB478" s="3">
        <v>25.0</v>
      </c>
      <c r="AC478" s="3">
        <v>26.0</v>
      </c>
      <c r="AD478" s="3">
        <v>34.0</v>
      </c>
      <c r="AE478" s="3">
        <v>35.0</v>
      </c>
      <c r="AF478" s="3">
        <v>42.0</v>
      </c>
      <c r="AG478" s="3">
        <v>38.0</v>
      </c>
      <c r="AH478" s="3">
        <v>54.0</v>
      </c>
      <c r="AI478" s="3">
        <v>58.0</v>
      </c>
      <c r="AJ478" s="3">
        <v>32.0</v>
      </c>
      <c r="AK478" s="3">
        <v>67.0</v>
      </c>
      <c r="AL478" s="3">
        <v>31.0</v>
      </c>
      <c r="AM478" s="3">
        <v>11.0</v>
      </c>
      <c r="AN478" s="3">
        <v>52.0</v>
      </c>
    </row>
    <row r="479" ht="14.25" customHeight="1">
      <c r="A479" s="3">
        <v>477.0</v>
      </c>
      <c r="B479" s="3" t="s">
        <v>6953</v>
      </c>
      <c r="C479" s="3">
        <v>23.0</v>
      </c>
      <c r="D479" s="3" t="s">
        <v>6645</v>
      </c>
      <c r="E479" s="3" t="s">
        <v>6646</v>
      </c>
      <c r="F479" s="3" t="s">
        <v>6646</v>
      </c>
      <c r="G479" s="3" t="s">
        <v>6645</v>
      </c>
      <c r="H479" s="3" t="s">
        <v>6645</v>
      </c>
      <c r="I479" s="3" t="s">
        <v>6646</v>
      </c>
      <c r="J479" s="3">
        <v>14.0</v>
      </c>
      <c r="K479" s="3">
        <v>0.0</v>
      </c>
      <c r="L479" s="3">
        <v>0.0</v>
      </c>
      <c r="M479" s="3">
        <v>0.0</v>
      </c>
      <c r="N479" s="3">
        <v>455.71417</v>
      </c>
      <c r="O479" s="3">
        <v>94.0</v>
      </c>
      <c r="P479" s="3" t="e">
        <v>#N/A</v>
      </c>
      <c r="Q479" s="3">
        <v>33.0</v>
      </c>
      <c r="R479" s="3">
        <v>39.0</v>
      </c>
      <c r="S479" s="3">
        <v>31.0</v>
      </c>
      <c r="T479" s="3">
        <v>35.0</v>
      </c>
      <c r="U479" s="3">
        <v>32.0</v>
      </c>
      <c r="V479" s="3">
        <v>32.0</v>
      </c>
      <c r="W479" s="3">
        <v>47.0</v>
      </c>
      <c r="X479" s="3">
        <v>38.0</v>
      </c>
      <c r="Y479" s="3">
        <v>30.0</v>
      </c>
      <c r="Z479" s="3">
        <v>44.0</v>
      </c>
      <c r="AA479" s="3">
        <v>36.0</v>
      </c>
      <c r="AB479" s="3">
        <v>29.0</v>
      </c>
      <c r="AC479" s="3">
        <v>37.0</v>
      </c>
      <c r="AD479" s="3">
        <v>34.0</v>
      </c>
      <c r="AE479" s="3">
        <v>31.0</v>
      </c>
      <c r="AF479" s="3">
        <v>56.0</v>
      </c>
      <c r="AG479" s="3">
        <v>47.0</v>
      </c>
      <c r="AH479" s="3">
        <v>31.0</v>
      </c>
      <c r="AI479" s="3">
        <v>26.0</v>
      </c>
      <c r="AJ479" s="3">
        <v>49.0</v>
      </c>
      <c r="AK479" s="3">
        <v>70.0</v>
      </c>
      <c r="AL479" s="3">
        <v>46.0</v>
      </c>
      <c r="AM479" s="3">
        <v>32.0</v>
      </c>
      <c r="AN479" s="3">
        <v>38.0</v>
      </c>
    </row>
    <row r="480" ht="14.25" customHeight="1">
      <c r="A480" s="3">
        <v>478.0</v>
      </c>
      <c r="B480" s="3" t="s">
        <v>6954</v>
      </c>
      <c r="C480" s="3">
        <v>21.0</v>
      </c>
      <c r="D480" s="3" t="s">
        <v>6645</v>
      </c>
      <c r="E480" s="3" t="s">
        <v>6646</v>
      </c>
      <c r="F480" s="3" t="s">
        <v>6646</v>
      </c>
      <c r="G480" s="3" t="s">
        <v>6645</v>
      </c>
      <c r="H480" s="3" t="s">
        <v>6645</v>
      </c>
      <c r="I480" s="3" t="s">
        <v>6646</v>
      </c>
      <c r="J480" s="3">
        <v>14.0</v>
      </c>
      <c r="K480" s="3">
        <v>0.0</v>
      </c>
      <c r="L480" s="3">
        <v>0.0</v>
      </c>
      <c r="M480" s="3">
        <v>0.0</v>
      </c>
      <c r="N480" s="3">
        <v>515.008</v>
      </c>
      <c r="O480" s="3">
        <v>95.0</v>
      </c>
      <c r="P480" s="3" t="e">
        <v>#N/A</v>
      </c>
      <c r="Q480" s="3">
        <v>39.0</v>
      </c>
      <c r="R480" s="3">
        <v>37.0</v>
      </c>
      <c r="S480" s="3">
        <v>37.0</v>
      </c>
      <c r="T480" s="3">
        <v>32.0</v>
      </c>
      <c r="U480" s="3">
        <v>37.0</v>
      </c>
      <c r="V480" s="3">
        <v>32.0</v>
      </c>
      <c r="W480" s="3">
        <v>39.0</v>
      </c>
      <c r="X480" s="3">
        <v>40.0</v>
      </c>
      <c r="Y480" s="3">
        <v>39.0</v>
      </c>
      <c r="Z480" s="3">
        <v>49.0</v>
      </c>
      <c r="AA480" s="3">
        <v>28.0</v>
      </c>
      <c r="AB480" s="3">
        <v>31.0</v>
      </c>
      <c r="AC480" s="3">
        <v>32.0</v>
      </c>
      <c r="AD480" s="3">
        <v>34.0</v>
      </c>
      <c r="AE480" s="3">
        <v>25.0</v>
      </c>
      <c r="AF480" s="3">
        <v>47.0</v>
      </c>
      <c r="AG480" s="3">
        <v>50.0</v>
      </c>
      <c r="AH480" s="3">
        <v>49.0</v>
      </c>
      <c r="AI480" s="3">
        <v>20.0</v>
      </c>
      <c r="AJ480" s="3">
        <v>49.0</v>
      </c>
      <c r="AK480" s="3">
        <v>68.0</v>
      </c>
      <c r="AL480" s="3">
        <v>34.0</v>
      </c>
      <c r="AM480" s="3">
        <v>58.0</v>
      </c>
      <c r="AN480" s="3">
        <v>30.0</v>
      </c>
    </row>
    <row r="481" ht="14.25" customHeight="1">
      <c r="A481" s="3">
        <v>479.0</v>
      </c>
      <c r="B481" s="3" t="s">
        <v>6955</v>
      </c>
      <c r="C481" s="3">
        <v>36.0</v>
      </c>
      <c r="D481" s="3" t="s">
        <v>6645</v>
      </c>
      <c r="E481" s="3" t="s">
        <v>6646</v>
      </c>
      <c r="F481" s="3" t="s">
        <v>6646</v>
      </c>
      <c r="G481" s="3" t="s">
        <v>6645</v>
      </c>
      <c r="H481" s="3" t="s">
        <v>6645</v>
      </c>
      <c r="I481" s="3" t="s">
        <v>6646</v>
      </c>
      <c r="J481" s="3">
        <v>15.0</v>
      </c>
      <c r="K481" s="3">
        <v>4.0</v>
      </c>
      <c r="L481" s="3">
        <v>0.0</v>
      </c>
      <c r="M481" s="3">
        <v>0.0</v>
      </c>
      <c r="N481" s="3">
        <v>11676.52</v>
      </c>
      <c r="O481" s="3">
        <v>1666.0</v>
      </c>
      <c r="P481" s="3" t="e">
        <v>#N/A</v>
      </c>
      <c r="Q481" s="3">
        <v>58.0</v>
      </c>
      <c r="R481" s="3">
        <v>65.0</v>
      </c>
      <c r="S481" s="3">
        <v>62.0</v>
      </c>
      <c r="T481" s="3">
        <v>68.0</v>
      </c>
      <c r="U481" s="3">
        <v>62.0</v>
      </c>
      <c r="V481" s="3">
        <v>62.0</v>
      </c>
      <c r="W481" s="3">
        <v>67.0</v>
      </c>
      <c r="X481" s="3">
        <v>68.0</v>
      </c>
      <c r="Y481" s="3">
        <v>78.0</v>
      </c>
      <c r="Z481" s="3">
        <v>61.0</v>
      </c>
      <c r="AA481" s="3">
        <v>53.0</v>
      </c>
      <c r="AB481" s="3">
        <v>57.0</v>
      </c>
      <c r="AC481" s="3">
        <v>77.0</v>
      </c>
      <c r="AD481" s="3">
        <v>74.0</v>
      </c>
      <c r="AE481" s="3">
        <v>59.0</v>
      </c>
      <c r="AF481" s="3">
        <v>46.0</v>
      </c>
      <c r="AG481" s="3">
        <v>76.0</v>
      </c>
      <c r="AH481" s="3">
        <v>66.0</v>
      </c>
      <c r="AI481" s="3">
        <v>53.0</v>
      </c>
      <c r="AJ481" s="3">
        <v>43.0</v>
      </c>
      <c r="AK481" s="3">
        <v>52.0</v>
      </c>
      <c r="AL481" s="3">
        <v>66.0</v>
      </c>
      <c r="AM481" s="3">
        <v>46.0</v>
      </c>
      <c r="AN481" s="3">
        <v>43.0</v>
      </c>
    </row>
    <row r="482" ht="14.25" customHeight="1">
      <c r="A482" s="3">
        <v>480.0</v>
      </c>
      <c r="B482" s="3" t="s">
        <v>6956</v>
      </c>
      <c r="C482" s="3">
        <v>37.0</v>
      </c>
      <c r="D482" s="3" t="s">
        <v>6645</v>
      </c>
      <c r="E482" s="3" t="s">
        <v>6646</v>
      </c>
      <c r="F482" s="3" t="s">
        <v>6646</v>
      </c>
      <c r="G482" s="3" t="s">
        <v>6645</v>
      </c>
      <c r="H482" s="3" t="s">
        <v>6645</v>
      </c>
      <c r="I482" s="3" t="s">
        <v>6645</v>
      </c>
      <c r="J482" s="3">
        <v>15.0</v>
      </c>
      <c r="K482" s="3">
        <v>4.0</v>
      </c>
      <c r="L482" s="3">
        <v>0.0</v>
      </c>
      <c r="M482" s="3">
        <v>0.0</v>
      </c>
      <c r="N482" s="3">
        <v>11523.323</v>
      </c>
      <c r="O482" s="3">
        <v>1322.0</v>
      </c>
      <c r="P482" s="3" t="e">
        <v>#N/A</v>
      </c>
      <c r="Q482" s="3">
        <v>64.0</v>
      </c>
      <c r="R482" s="3">
        <v>71.0</v>
      </c>
      <c r="S482" s="3">
        <v>65.0</v>
      </c>
      <c r="T482" s="3">
        <v>65.0</v>
      </c>
      <c r="U482" s="3">
        <v>56.0</v>
      </c>
      <c r="V482" s="3">
        <v>65.0</v>
      </c>
      <c r="W482" s="3">
        <v>65.0</v>
      </c>
      <c r="X482" s="3">
        <v>72.0</v>
      </c>
      <c r="Y482" s="3">
        <v>77.0</v>
      </c>
      <c r="Z482" s="3">
        <v>63.0</v>
      </c>
      <c r="AA482" s="3">
        <v>57.0</v>
      </c>
      <c r="AB482" s="3">
        <v>54.0</v>
      </c>
      <c r="AC482" s="3">
        <v>81.0</v>
      </c>
      <c r="AD482" s="3">
        <v>76.0</v>
      </c>
      <c r="AE482" s="3">
        <v>58.0</v>
      </c>
      <c r="AF482" s="3">
        <v>55.0</v>
      </c>
      <c r="AG482" s="3">
        <v>84.0</v>
      </c>
      <c r="AH482" s="3">
        <v>47.0</v>
      </c>
      <c r="AI482" s="3">
        <v>69.0</v>
      </c>
      <c r="AJ482" s="3">
        <v>54.0</v>
      </c>
      <c r="AK482" s="3">
        <v>42.0</v>
      </c>
      <c r="AL482" s="3">
        <v>50.0</v>
      </c>
      <c r="AM482" s="3">
        <v>45.0</v>
      </c>
      <c r="AN482" s="3">
        <v>47.0</v>
      </c>
    </row>
    <row r="483" ht="14.25" customHeight="1">
      <c r="A483" s="3">
        <v>481.0</v>
      </c>
      <c r="B483" s="3" t="s">
        <v>6957</v>
      </c>
      <c r="C483" s="3">
        <v>37.0</v>
      </c>
      <c r="D483" s="3" t="s">
        <v>6645</v>
      </c>
      <c r="E483" s="3" t="s">
        <v>6646</v>
      </c>
      <c r="F483" s="3" t="s">
        <v>6646</v>
      </c>
      <c r="G483" s="3" t="s">
        <v>6645</v>
      </c>
      <c r="H483" s="3" t="s">
        <v>6645</v>
      </c>
      <c r="I483" s="3" t="s">
        <v>6645</v>
      </c>
      <c r="J483" s="3">
        <v>15.0</v>
      </c>
      <c r="K483" s="3">
        <v>4.0</v>
      </c>
      <c r="L483" s="3">
        <v>0.0</v>
      </c>
      <c r="M483" s="3">
        <v>0.0</v>
      </c>
      <c r="N483" s="3">
        <v>11544.351</v>
      </c>
      <c r="O483" s="3">
        <v>1463.0</v>
      </c>
      <c r="P483" s="3" t="e">
        <v>#N/A</v>
      </c>
      <c r="Q483" s="3">
        <v>64.0</v>
      </c>
      <c r="R483" s="3">
        <v>62.0</v>
      </c>
      <c r="S483" s="3">
        <v>61.0</v>
      </c>
      <c r="T483" s="3">
        <v>66.0</v>
      </c>
      <c r="U483" s="3">
        <v>58.0</v>
      </c>
      <c r="V483" s="3">
        <v>56.0</v>
      </c>
      <c r="W483" s="3">
        <v>71.0</v>
      </c>
      <c r="X483" s="3">
        <v>66.0</v>
      </c>
      <c r="Y483" s="3">
        <v>82.0</v>
      </c>
      <c r="Z483" s="3">
        <v>61.0</v>
      </c>
      <c r="AA483" s="3">
        <v>60.0</v>
      </c>
      <c r="AB483" s="3">
        <v>57.0</v>
      </c>
      <c r="AC483" s="3">
        <v>80.0</v>
      </c>
      <c r="AD483" s="3">
        <v>77.0</v>
      </c>
      <c r="AE483" s="3">
        <v>63.0</v>
      </c>
      <c r="AF483" s="3">
        <v>65.0</v>
      </c>
      <c r="AG483" s="3">
        <v>69.0</v>
      </c>
      <c r="AH483" s="3">
        <v>70.0</v>
      </c>
      <c r="AI483" s="3">
        <v>30.0</v>
      </c>
      <c r="AJ483" s="3">
        <v>70.0</v>
      </c>
      <c r="AK483" s="3">
        <v>70.0</v>
      </c>
      <c r="AL483" s="3">
        <v>59.0</v>
      </c>
      <c r="AM483" s="3">
        <v>46.0</v>
      </c>
      <c r="AN483" s="3">
        <v>67.0</v>
      </c>
    </row>
    <row r="484" ht="14.25" customHeight="1">
      <c r="A484" s="3">
        <v>482.0</v>
      </c>
      <c r="B484" s="3" t="s">
        <v>6958</v>
      </c>
      <c r="C484" s="3">
        <v>30.0</v>
      </c>
      <c r="D484" s="3" t="s">
        <v>6645</v>
      </c>
      <c r="E484" s="3" t="s">
        <v>6646</v>
      </c>
      <c r="F484" s="3" t="s">
        <v>6646</v>
      </c>
      <c r="G484" s="3" t="s">
        <v>6645</v>
      </c>
      <c r="H484" s="3" t="s">
        <v>6645</v>
      </c>
      <c r="I484" s="3" t="s">
        <v>6646</v>
      </c>
      <c r="J484" s="3">
        <v>15.0</v>
      </c>
      <c r="K484" s="3">
        <v>3.0</v>
      </c>
      <c r="L484" s="3">
        <v>0.0</v>
      </c>
      <c r="M484" s="3">
        <v>0.0</v>
      </c>
      <c r="N484" s="3">
        <v>7127.93</v>
      </c>
      <c r="O484" s="3">
        <v>888.0</v>
      </c>
      <c r="P484" s="3" t="e">
        <v>#N/A</v>
      </c>
      <c r="Q484" s="3">
        <v>50.0</v>
      </c>
      <c r="R484" s="3">
        <v>61.0</v>
      </c>
      <c r="S484" s="3">
        <v>54.0</v>
      </c>
      <c r="T484" s="3">
        <v>58.0</v>
      </c>
      <c r="U484" s="3">
        <v>58.0</v>
      </c>
      <c r="V484" s="3">
        <v>54.0</v>
      </c>
      <c r="W484" s="3">
        <v>47.0</v>
      </c>
      <c r="X484" s="3">
        <v>61.0</v>
      </c>
      <c r="Y484" s="3">
        <v>61.0</v>
      </c>
      <c r="Z484" s="3">
        <v>48.0</v>
      </c>
      <c r="AA484" s="3">
        <v>43.0</v>
      </c>
      <c r="AB484" s="3">
        <v>54.0</v>
      </c>
      <c r="AC484" s="3">
        <v>59.0</v>
      </c>
      <c r="AD484" s="3">
        <v>61.0</v>
      </c>
      <c r="AE484" s="3">
        <v>54.0</v>
      </c>
      <c r="AF484" s="3">
        <v>63.0</v>
      </c>
      <c r="AG484" s="3">
        <v>74.0</v>
      </c>
      <c r="AH484" s="3">
        <v>43.0</v>
      </c>
      <c r="AI484" s="3">
        <v>64.0</v>
      </c>
      <c r="AJ484" s="3">
        <v>63.0</v>
      </c>
      <c r="AK484" s="3">
        <v>45.0</v>
      </c>
      <c r="AL484" s="3">
        <v>37.0</v>
      </c>
      <c r="AM484" s="3">
        <v>38.0</v>
      </c>
      <c r="AN484" s="3">
        <v>57.0</v>
      </c>
    </row>
    <row r="485" ht="14.25" customHeight="1">
      <c r="A485" s="3">
        <v>483.0</v>
      </c>
      <c r="B485" s="3" t="s">
        <v>6959</v>
      </c>
      <c r="C485" s="3">
        <v>38.0</v>
      </c>
      <c r="D485" s="3" t="s">
        <v>6645</v>
      </c>
      <c r="E485" s="3" t="s">
        <v>6646</v>
      </c>
      <c r="F485" s="3" t="s">
        <v>6646</v>
      </c>
      <c r="G485" s="3" t="s">
        <v>6645</v>
      </c>
      <c r="H485" s="3" t="s">
        <v>6645</v>
      </c>
      <c r="I485" s="3" t="s">
        <v>6646</v>
      </c>
      <c r="J485" s="3">
        <v>15.0</v>
      </c>
      <c r="K485" s="3">
        <v>3.0</v>
      </c>
      <c r="L485" s="3">
        <v>0.0</v>
      </c>
      <c r="M485" s="3">
        <v>0.0</v>
      </c>
      <c r="N485" s="3">
        <v>6409.0224</v>
      </c>
      <c r="O485" s="3">
        <v>754.0</v>
      </c>
      <c r="P485" s="3" t="e">
        <v>#N/A</v>
      </c>
      <c r="Q485" s="3">
        <v>52.0</v>
      </c>
      <c r="R485" s="3">
        <v>57.0</v>
      </c>
      <c r="S485" s="3">
        <v>52.0</v>
      </c>
      <c r="T485" s="3">
        <v>56.0</v>
      </c>
      <c r="U485" s="3">
        <v>54.0</v>
      </c>
      <c r="V485" s="3">
        <v>50.0</v>
      </c>
      <c r="W485" s="3">
        <v>57.0</v>
      </c>
      <c r="X485" s="3">
        <v>52.0</v>
      </c>
      <c r="Y485" s="3">
        <v>59.0</v>
      </c>
      <c r="Z485" s="3">
        <v>50.0</v>
      </c>
      <c r="AA485" s="3">
        <v>43.0</v>
      </c>
      <c r="AB485" s="3">
        <v>52.0</v>
      </c>
      <c r="AC485" s="3">
        <v>63.0</v>
      </c>
      <c r="AD485" s="3">
        <v>64.0</v>
      </c>
      <c r="AE485" s="3">
        <v>52.0</v>
      </c>
      <c r="AF485" s="3">
        <v>56.0</v>
      </c>
      <c r="AG485" s="3">
        <v>81.0</v>
      </c>
      <c r="AH485" s="3">
        <v>63.0</v>
      </c>
      <c r="AI485" s="3">
        <v>49.0</v>
      </c>
      <c r="AJ485" s="3">
        <v>56.0</v>
      </c>
      <c r="AK485" s="3">
        <v>43.0</v>
      </c>
      <c r="AL485" s="3">
        <v>64.0</v>
      </c>
      <c r="AM485" s="3">
        <v>32.0</v>
      </c>
      <c r="AN485" s="3">
        <v>60.0</v>
      </c>
    </row>
    <row r="486" ht="14.25" customHeight="1">
      <c r="A486" s="3">
        <v>484.0</v>
      </c>
      <c r="B486" s="3" t="s">
        <v>6960</v>
      </c>
      <c r="C486" s="3">
        <v>34.0</v>
      </c>
      <c r="D486" s="3" t="s">
        <v>6645</v>
      </c>
      <c r="E486" s="3" t="s">
        <v>6646</v>
      </c>
      <c r="F486" s="3" t="s">
        <v>6646</v>
      </c>
      <c r="G486" s="3" t="s">
        <v>6645</v>
      </c>
      <c r="H486" s="3" t="s">
        <v>6645</v>
      </c>
      <c r="I486" s="3" t="s">
        <v>6645</v>
      </c>
      <c r="J486" s="3">
        <v>15.0</v>
      </c>
      <c r="K486" s="3">
        <v>3.0</v>
      </c>
      <c r="L486" s="3">
        <v>0.0</v>
      </c>
      <c r="M486" s="3">
        <v>0.0</v>
      </c>
      <c r="N486" s="3">
        <v>6838.1567</v>
      </c>
      <c r="O486" s="3">
        <v>743.0</v>
      </c>
      <c r="P486" s="3" t="e">
        <v>#N/A</v>
      </c>
      <c r="Q486" s="3">
        <v>52.0</v>
      </c>
      <c r="R486" s="3">
        <v>54.0</v>
      </c>
      <c r="S486" s="3">
        <v>58.0</v>
      </c>
      <c r="T486" s="3">
        <v>58.0</v>
      </c>
      <c r="U486" s="3">
        <v>56.0</v>
      </c>
      <c r="V486" s="3">
        <v>54.0</v>
      </c>
      <c r="W486" s="3">
        <v>58.0</v>
      </c>
      <c r="X486" s="3">
        <v>52.0</v>
      </c>
      <c r="Y486" s="3">
        <v>63.0</v>
      </c>
      <c r="Z486" s="3">
        <v>52.0</v>
      </c>
      <c r="AA486" s="3">
        <v>56.0</v>
      </c>
      <c r="AB486" s="3">
        <v>54.0</v>
      </c>
      <c r="AC486" s="3">
        <v>67.0</v>
      </c>
      <c r="AD486" s="3">
        <v>61.0</v>
      </c>
      <c r="AE486" s="3">
        <v>46.0</v>
      </c>
      <c r="AF486" s="3">
        <v>54.0</v>
      </c>
      <c r="AG486" s="3">
        <v>82.0</v>
      </c>
      <c r="AH486" s="3">
        <v>51.0</v>
      </c>
      <c r="AI486" s="3">
        <v>42.0</v>
      </c>
      <c r="AJ486" s="3">
        <v>60.0</v>
      </c>
      <c r="AK486" s="3">
        <v>60.0</v>
      </c>
      <c r="AL486" s="3">
        <v>14.0</v>
      </c>
      <c r="AM486" s="3">
        <v>47.0</v>
      </c>
      <c r="AN486" s="3">
        <v>47.0</v>
      </c>
    </row>
    <row r="487" ht="14.25" customHeight="1">
      <c r="A487" s="3">
        <v>485.0</v>
      </c>
      <c r="B487" s="3" t="s">
        <v>6961</v>
      </c>
      <c r="C487" s="3">
        <v>32.0</v>
      </c>
      <c r="D487" s="3" t="s">
        <v>6645</v>
      </c>
      <c r="E487" s="3" t="s">
        <v>6646</v>
      </c>
      <c r="F487" s="3" t="s">
        <v>6646</v>
      </c>
      <c r="G487" s="3" t="s">
        <v>6645</v>
      </c>
      <c r="H487" s="3" t="s">
        <v>6645</v>
      </c>
      <c r="I487" s="3" t="s">
        <v>6646</v>
      </c>
      <c r="J487" s="3">
        <v>15.0</v>
      </c>
      <c r="K487" s="3">
        <v>2.0</v>
      </c>
      <c r="L487" s="3">
        <v>0.0</v>
      </c>
      <c r="M487" s="3">
        <v>0.0</v>
      </c>
      <c r="N487" s="3">
        <v>4078.56</v>
      </c>
      <c r="O487" s="3">
        <v>403.0</v>
      </c>
      <c r="P487" s="3" t="e">
        <v>#N/A</v>
      </c>
      <c r="Q487" s="3">
        <v>43.0</v>
      </c>
      <c r="R487" s="3">
        <v>51.0</v>
      </c>
      <c r="S487" s="3">
        <v>46.0</v>
      </c>
      <c r="T487" s="3">
        <v>49.0</v>
      </c>
      <c r="U487" s="3">
        <v>50.0</v>
      </c>
      <c r="V487" s="3">
        <v>48.0</v>
      </c>
      <c r="W487" s="3">
        <v>42.0</v>
      </c>
      <c r="X487" s="3">
        <v>45.0</v>
      </c>
      <c r="Y487" s="3">
        <v>54.0</v>
      </c>
      <c r="Z487" s="3">
        <v>49.0</v>
      </c>
      <c r="AA487" s="3">
        <v>43.0</v>
      </c>
      <c r="AB487" s="3">
        <v>47.0</v>
      </c>
      <c r="AC487" s="3">
        <v>56.0</v>
      </c>
      <c r="AD487" s="3">
        <v>55.0</v>
      </c>
      <c r="AE487" s="3">
        <v>41.0</v>
      </c>
      <c r="AF487" s="3">
        <v>50.0</v>
      </c>
      <c r="AG487" s="3">
        <v>71.0</v>
      </c>
      <c r="AH487" s="3">
        <v>64.0</v>
      </c>
      <c r="AI487" s="3">
        <v>40.0</v>
      </c>
      <c r="AJ487" s="3">
        <v>42.0</v>
      </c>
      <c r="AK487" s="3">
        <v>38.0</v>
      </c>
      <c r="AL487" s="3">
        <v>52.0</v>
      </c>
      <c r="AM487" s="3">
        <v>64.0</v>
      </c>
      <c r="AN487" s="3">
        <v>15.0</v>
      </c>
    </row>
    <row r="488" ht="14.25" customHeight="1">
      <c r="A488" s="3">
        <v>486.0</v>
      </c>
      <c r="B488" s="3" t="s">
        <v>6962</v>
      </c>
      <c r="C488" s="3">
        <v>33.0</v>
      </c>
      <c r="D488" s="3" t="s">
        <v>6645</v>
      </c>
      <c r="E488" s="3" t="s">
        <v>6646</v>
      </c>
      <c r="F488" s="3" t="s">
        <v>6646</v>
      </c>
      <c r="G488" s="3" t="s">
        <v>6645</v>
      </c>
      <c r="H488" s="3" t="s">
        <v>6645</v>
      </c>
      <c r="I488" s="3" t="s">
        <v>6645</v>
      </c>
      <c r="J488" s="3">
        <v>15.0</v>
      </c>
      <c r="K488" s="3">
        <v>2.0</v>
      </c>
      <c r="L488" s="3">
        <v>0.0</v>
      </c>
      <c r="M488" s="3">
        <v>0.0</v>
      </c>
      <c r="N488" s="3">
        <v>4156.0595</v>
      </c>
      <c r="O488" s="3">
        <v>362.0</v>
      </c>
      <c r="P488" s="3" t="e">
        <v>#N/A</v>
      </c>
      <c r="Q488" s="3">
        <v>46.0</v>
      </c>
      <c r="R488" s="3">
        <v>48.0</v>
      </c>
      <c r="S488" s="3">
        <v>43.0</v>
      </c>
      <c r="T488" s="3">
        <v>49.0</v>
      </c>
      <c r="U488" s="3">
        <v>48.0</v>
      </c>
      <c r="V488" s="3">
        <v>43.0</v>
      </c>
      <c r="W488" s="3">
        <v>50.0</v>
      </c>
      <c r="X488" s="3">
        <v>46.0</v>
      </c>
      <c r="Y488" s="3">
        <v>56.0</v>
      </c>
      <c r="Z488" s="3">
        <v>44.0</v>
      </c>
      <c r="AA488" s="3">
        <v>46.0</v>
      </c>
      <c r="AB488" s="3">
        <v>49.0</v>
      </c>
      <c r="AC488" s="3">
        <v>54.0</v>
      </c>
      <c r="AD488" s="3">
        <v>55.0</v>
      </c>
      <c r="AE488" s="3">
        <v>40.0</v>
      </c>
      <c r="AF488" s="3">
        <v>54.0</v>
      </c>
      <c r="AG488" s="3">
        <v>79.0</v>
      </c>
      <c r="AH488" s="3">
        <v>31.0</v>
      </c>
      <c r="AI488" s="3">
        <v>62.0</v>
      </c>
      <c r="AJ488" s="3">
        <v>42.0</v>
      </c>
      <c r="AK488" s="3">
        <v>60.0</v>
      </c>
      <c r="AL488" s="3">
        <v>46.0</v>
      </c>
      <c r="AM488" s="3">
        <v>62.0</v>
      </c>
      <c r="AN488" s="3">
        <v>62.0</v>
      </c>
    </row>
    <row r="489" ht="14.25" customHeight="1">
      <c r="A489" s="3">
        <v>487.0</v>
      </c>
      <c r="B489" s="3" t="s">
        <v>6963</v>
      </c>
      <c r="C489" s="3">
        <v>33.0</v>
      </c>
      <c r="D489" s="3" t="s">
        <v>6645</v>
      </c>
      <c r="E489" s="3" t="s">
        <v>6646</v>
      </c>
      <c r="F489" s="3" t="s">
        <v>6646</v>
      </c>
      <c r="G489" s="3" t="s">
        <v>6645</v>
      </c>
      <c r="H489" s="3" t="s">
        <v>6645</v>
      </c>
      <c r="I489" s="3" t="s">
        <v>6645</v>
      </c>
      <c r="J489" s="3">
        <v>15.0</v>
      </c>
      <c r="K489" s="3">
        <v>2.0</v>
      </c>
      <c r="L489" s="3">
        <v>0.0</v>
      </c>
      <c r="M489" s="3">
        <v>0.0</v>
      </c>
      <c r="N489" s="3">
        <v>3856.6301</v>
      </c>
      <c r="O489" s="3">
        <v>363.0</v>
      </c>
      <c r="P489" s="3" t="e">
        <v>#N/A</v>
      </c>
      <c r="Q489" s="3">
        <v>52.0</v>
      </c>
      <c r="R489" s="3">
        <v>49.0</v>
      </c>
      <c r="S489" s="3">
        <v>52.0</v>
      </c>
      <c r="T489" s="3">
        <v>45.0</v>
      </c>
      <c r="U489" s="3">
        <v>46.0</v>
      </c>
      <c r="V489" s="3">
        <v>49.0</v>
      </c>
      <c r="W489" s="3">
        <v>43.0</v>
      </c>
      <c r="X489" s="3">
        <v>41.0</v>
      </c>
      <c r="Y489" s="3">
        <v>51.0</v>
      </c>
      <c r="Z489" s="3">
        <v>40.0</v>
      </c>
      <c r="AA489" s="3">
        <v>38.0</v>
      </c>
      <c r="AB489" s="3">
        <v>48.0</v>
      </c>
      <c r="AC489" s="3">
        <v>54.0</v>
      </c>
      <c r="AD489" s="3">
        <v>55.0</v>
      </c>
      <c r="AE489" s="3">
        <v>52.0</v>
      </c>
      <c r="AF489" s="3">
        <v>60.0</v>
      </c>
      <c r="AG489" s="3">
        <v>76.0</v>
      </c>
      <c r="AH489" s="3">
        <v>62.0</v>
      </c>
      <c r="AI489" s="3">
        <v>50.0</v>
      </c>
      <c r="AJ489" s="3">
        <v>60.0</v>
      </c>
      <c r="AK489" s="3">
        <v>30.0</v>
      </c>
      <c r="AL489" s="3">
        <v>64.0</v>
      </c>
      <c r="AM489" s="3">
        <v>46.0</v>
      </c>
      <c r="AN489" s="3">
        <v>62.0</v>
      </c>
    </row>
    <row r="490" ht="14.25" customHeight="1">
      <c r="A490" s="3">
        <v>488.0</v>
      </c>
      <c r="B490" s="3" t="s">
        <v>6964</v>
      </c>
      <c r="C490" s="3">
        <v>29.0</v>
      </c>
      <c r="D490" s="3" t="s">
        <v>6645</v>
      </c>
      <c r="E490" s="3" t="s">
        <v>6646</v>
      </c>
      <c r="F490" s="3" t="s">
        <v>6646</v>
      </c>
      <c r="G490" s="3" t="s">
        <v>6645</v>
      </c>
      <c r="H490" s="3" t="s">
        <v>6645</v>
      </c>
      <c r="I490" s="3" t="s">
        <v>6646</v>
      </c>
      <c r="J490" s="3">
        <v>15.0</v>
      </c>
      <c r="K490" s="3">
        <v>2.0</v>
      </c>
      <c r="L490" s="3">
        <v>0.0</v>
      </c>
      <c r="M490" s="3">
        <v>0.0</v>
      </c>
      <c r="N490" s="3">
        <v>4118.0156</v>
      </c>
      <c r="O490" s="3">
        <v>380.0</v>
      </c>
      <c r="P490" s="3" t="e">
        <v>#N/A</v>
      </c>
      <c r="Q490" s="3">
        <v>52.0</v>
      </c>
      <c r="R490" s="3">
        <v>43.0</v>
      </c>
      <c r="S490" s="3">
        <v>49.0</v>
      </c>
      <c r="T490" s="3">
        <v>51.0</v>
      </c>
      <c r="U490" s="3">
        <v>47.0</v>
      </c>
      <c r="V490" s="3">
        <v>49.0</v>
      </c>
      <c r="W490" s="3">
        <v>45.0</v>
      </c>
      <c r="X490" s="3">
        <v>37.0</v>
      </c>
      <c r="Y490" s="3">
        <v>50.0</v>
      </c>
      <c r="Z490" s="3">
        <v>39.0</v>
      </c>
      <c r="AA490" s="3">
        <v>47.0</v>
      </c>
      <c r="AB490" s="3">
        <v>43.0</v>
      </c>
      <c r="AC490" s="3">
        <v>56.0</v>
      </c>
      <c r="AD490" s="3">
        <v>59.0</v>
      </c>
      <c r="AE490" s="3">
        <v>43.0</v>
      </c>
      <c r="AF490" s="3">
        <v>42.0</v>
      </c>
      <c r="AG490" s="3">
        <v>76.0</v>
      </c>
      <c r="AH490" s="3">
        <v>40.0</v>
      </c>
      <c r="AI490" s="3">
        <v>46.0</v>
      </c>
      <c r="AJ490" s="3">
        <v>46.0</v>
      </c>
      <c r="AK490" s="3">
        <v>54.0</v>
      </c>
      <c r="AL490" s="3">
        <v>60.0</v>
      </c>
      <c r="AM490" s="3">
        <v>38.0</v>
      </c>
      <c r="AN490" s="3">
        <v>48.0</v>
      </c>
    </row>
    <row r="491" ht="14.25" customHeight="1">
      <c r="A491" s="3">
        <v>489.0</v>
      </c>
      <c r="B491" s="3" t="s">
        <v>6965</v>
      </c>
      <c r="C491" s="3">
        <v>28.0</v>
      </c>
      <c r="D491" s="3" t="s">
        <v>6645</v>
      </c>
      <c r="E491" s="3" t="s">
        <v>6646</v>
      </c>
      <c r="F491" s="3" t="s">
        <v>6646</v>
      </c>
      <c r="G491" s="3" t="s">
        <v>6645</v>
      </c>
      <c r="H491" s="3" t="s">
        <v>6645</v>
      </c>
      <c r="I491" s="3" t="s">
        <v>6645</v>
      </c>
      <c r="J491" s="3">
        <v>15.0</v>
      </c>
      <c r="K491" s="3">
        <v>1.0</v>
      </c>
      <c r="L491" s="3">
        <v>0.0</v>
      </c>
      <c r="M491" s="3">
        <v>0.0</v>
      </c>
      <c r="N491" s="3">
        <v>1656.2231</v>
      </c>
      <c r="O491" s="3">
        <v>199.0</v>
      </c>
      <c r="P491" s="3" t="e">
        <v>#N/A</v>
      </c>
      <c r="Q491" s="3">
        <v>46.0</v>
      </c>
      <c r="R491" s="3">
        <v>42.0</v>
      </c>
      <c r="S491" s="3">
        <v>44.0</v>
      </c>
      <c r="T491" s="3">
        <v>42.0</v>
      </c>
      <c r="U491" s="3">
        <v>38.0</v>
      </c>
      <c r="V491" s="3">
        <v>42.0</v>
      </c>
      <c r="W491" s="3">
        <v>31.0</v>
      </c>
      <c r="X491" s="3">
        <v>38.0</v>
      </c>
      <c r="Y491" s="3">
        <v>53.0</v>
      </c>
      <c r="Z491" s="3">
        <v>37.0</v>
      </c>
      <c r="AA491" s="3">
        <v>34.0</v>
      </c>
      <c r="AB491" s="3">
        <v>46.0</v>
      </c>
      <c r="AC491" s="3">
        <v>46.0</v>
      </c>
      <c r="AD491" s="3">
        <v>51.0</v>
      </c>
      <c r="AE491" s="3">
        <v>42.0</v>
      </c>
      <c r="AF491" s="3">
        <v>33.0</v>
      </c>
      <c r="AG491" s="3">
        <v>69.0</v>
      </c>
      <c r="AH491" s="3">
        <v>62.0</v>
      </c>
      <c r="AI491" s="3">
        <v>39.0</v>
      </c>
      <c r="AJ491" s="3">
        <v>42.0</v>
      </c>
      <c r="AK491" s="3">
        <v>34.0</v>
      </c>
      <c r="AL491" s="3">
        <v>52.0</v>
      </c>
      <c r="AM491" s="3">
        <v>40.0</v>
      </c>
      <c r="AN491" s="3">
        <v>53.0</v>
      </c>
    </row>
    <row r="492" ht="14.25" customHeight="1">
      <c r="A492" s="3">
        <v>490.0</v>
      </c>
      <c r="B492" s="3" t="s">
        <v>6966</v>
      </c>
      <c r="C492" s="3">
        <v>22.0</v>
      </c>
      <c r="D492" s="3" t="s">
        <v>6645</v>
      </c>
      <c r="E492" s="3" t="s">
        <v>6646</v>
      </c>
      <c r="F492" s="3" t="s">
        <v>6646</v>
      </c>
      <c r="G492" s="3" t="s">
        <v>6645</v>
      </c>
      <c r="H492" s="3" t="s">
        <v>6645</v>
      </c>
      <c r="I492" s="3" t="s">
        <v>6646</v>
      </c>
      <c r="J492" s="3">
        <v>15.0</v>
      </c>
      <c r="K492" s="3">
        <v>1.0</v>
      </c>
      <c r="L492" s="3">
        <v>0.0</v>
      </c>
      <c r="M492" s="3">
        <v>0.0</v>
      </c>
      <c r="N492" s="3">
        <v>1567.0443</v>
      </c>
      <c r="O492" s="3">
        <v>233.0</v>
      </c>
      <c r="P492" s="3" t="e">
        <v>#N/A</v>
      </c>
      <c r="Q492" s="3">
        <v>36.0</v>
      </c>
      <c r="R492" s="3">
        <v>44.0</v>
      </c>
      <c r="S492" s="3">
        <v>46.0</v>
      </c>
      <c r="T492" s="3">
        <v>44.0</v>
      </c>
      <c r="U492" s="3">
        <v>42.0</v>
      </c>
      <c r="V492" s="3">
        <v>42.0</v>
      </c>
      <c r="W492" s="3">
        <v>38.0</v>
      </c>
      <c r="X492" s="3">
        <v>33.0</v>
      </c>
      <c r="Y492" s="3">
        <v>43.0</v>
      </c>
      <c r="Z492" s="3">
        <v>40.0</v>
      </c>
      <c r="AA492" s="3">
        <v>39.0</v>
      </c>
      <c r="AB492" s="3">
        <v>38.0</v>
      </c>
      <c r="AC492" s="3">
        <v>49.0</v>
      </c>
      <c r="AD492" s="3">
        <v>46.0</v>
      </c>
      <c r="AE492" s="3">
        <v>38.0</v>
      </c>
      <c r="AF492" s="3">
        <v>39.0</v>
      </c>
      <c r="AG492" s="3">
        <v>79.0</v>
      </c>
      <c r="AH492" s="3">
        <v>37.0</v>
      </c>
      <c r="AI492" s="3">
        <v>38.0</v>
      </c>
      <c r="AJ492" s="3">
        <v>52.0</v>
      </c>
      <c r="AK492" s="3">
        <v>44.0</v>
      </c>
      <c r="AL492" s="3">
        <v>59.0</v>
      </c>
      <c r="AM492" s="3">
        <v>51.0</v>
      </c>
      <c r="AN492" s="3">
        <v>59.0</v>
      </c>
    </row>
    <row r="493" ht="14.25" customHeight="1">
      <c r="A493" s="3">
        <v>491.0</v>
      </c>
      <c r="B493" s="3" t="s">
        <v>6967</v>
      </c>
      <c r="C493" s="3">
        <v>27.0</v>
      </c>
      <c r="D493" s="3" t="s">
        <v>6645</v>
      </c>
      <c r="E493" s="3" t="s">
        <v>6646</v>
      </c>
      <c r="F493" s="3" t="s">
        <v>6646</v>
      </c>
      <c r="G493" s="3" t="s">
        <v>6645</v>
      </c>
      <c r="H493" s="3" t="s">
        <v>6645</v>
      </c>
      <c r="I493" s="3" t="s">
        <v>6646</v>
      </c>
      <c r="J493" s="3">
        <v>15.0</v>
      </c>
      <c r="K493" s="3">
        <v>1.0</v>
      </c>
      <c r="L493" s="3">
        <v>0.0</v>
      </c>
      <c r="M493" s="3">
        <v>0.0</v>
      </c>
      <c r="N493" s="3">
        <v>1587.57</v>
      </c>
      <c r="O493" s="3">
        <v>168.0</v>
      </c>
      <c r="P493" s="3" t="e">
        <v>#N/A</v>
      </c>
      <c r="Q493" s="3">
        <v>40.0</v>
      </c>
      <c r="R493" s="3">
        <v>44.0</v>
      </c>
      <c r="S493" s="3">
        <v>40.0</v>
      </c>
      <c r="T493" s="3">
        <v>46.0</v>
      </c>
      <c r="U493" s="3">
        <v>42.0</v>
      </c>
      <c r="V493" s="3">
        <v>44.0</v>
      </c>
      <c r="W493" s="3">
        <v>42.0</v>
      </c>
      <c r="X493" s="3">
        <v>40.0</v>
      </c>
      <c r="Y493" s="3">
        <v>50.0</v>
      </c>
      <c r="Z493" s="3">
        <v>38.0</v>
      </c>
      <c r="AA493" s="3">
        <v>34.0</v>
      </c>
      <c r="AB493" s="3">
        <v>31.0</v>
      </c>
      <c r="AC493" s="3">
        <v>51.0</v>
      </c>
      <c r="AD493" s="3">
        <v>49.0</v>
      </c>
      <c r="AE493" s="3">
        <v>39.0</v>
      </c>
      <c r="AF493" s="3">
        <v>54.0</v>
      </c>
      <c r="AG493" s="3">
        <v>72.0</v>
      </c>
      <c r="AH493" s="3">
        <v>55.0</v>
      </c>
      <c r="AI493" s="3">
        <v>62.0</v>
      </c>
      <c r="AJ493" s="3">
        <v>43.0</v>
      </c>
      <c r="AK493" s="3">
        <v>22.0</v>
      </c>
      <c r="AL493" s="3">
        <v>42.0</v>
      </c>
      <c r="AM493" s="3">
        <v>39.0</v>
      </c>
      <c r="AN493" s="3">
        <v>49.0</v>
      </c>
    </row>
    <row r="494" ht="14.25" customHeight="1">
      <c r="A494" s="3">
        <v>492.0</v>
      </c>
      <c r="B494" s="3" t="s">
        <v>6968</v>
      </c>
      <c r="C494" s="3">
        <v>26.0</v>
      </c>
      <c r="D494" s="3" t="s">
        <v>6645</v>
      </c>
      <c r="E494" s="3" t="s">
        <v>6646</v>
      </c>
      <c r="F494" s="3" t="s">
        <v>6646</v>
      </c>
      <c r="G494" s="3" t="s">
        <v>6645</v>
      </c>
      <c r="H494" s="3" t="s">
        <v>6645</v>
      </c>
      <c r="I494" s="3" t="s">
        <v>6645</v>
      </c>
      <c r="J494" s="3">
        <v>15.0</v>
      </c>
      <c r="K494" s="3">
        <v>1.0</v>
      </c>
      <c r="L494" s="3">
        <v>0.0</v>
      </c>
      <c r="M494" s="3">
        <v>0.0</v>
      </c>
      <c r="N494" s="3">
        <v>1434.7796</v>
      </c>
      <c r="O494" s="3">
        <v>244.0</v>
      </c>
      <c r="P494" s="3" t="e">
        <v>#N/A</v>
      </c>
      <c r="Q494" s="3">
        <v>40.0</v>
      </c>
      <c r="R494" s="3">
        <v>40.0</v>
      </c>
      <c r="S494" s="3">
        <v>40.0</v>
      </c>
      <c r="T494" s="3">
        <v>38.0</v>
      </c>
      <c r="U494" s="3">
        <v>46.0</v>
      </c>
      <c r="V494" s="3">
        <v>44.0</v>
      </c>
      <c r="W494" s="3">
        <v>40.0</v>
      </c>
      <c r="X494" s="3">
        <v>30.0</v>
      </c>
      <c r="Y494" s="3">
        <v>53.0</v>
      </c>
      <c r="Z494" s="3">
        <v>31.0</v>
      </c>
      <c r="AA494" s="3">
        <v>29.0</v>
      </c>
      <c r="AB494" s="3">
        <v>36.0</v>
      </c>
      <c r="AC494" s="3">
        <v>43.0</v>
      </c>
      <c r="AD494" s="3">
        <v>50.0</v>
      </c>
      <c r="AE494" s="3">
        <v>42.0</v>
      </c>
      <c r="AF494" s="3">
        <v>51.0</v>
      </c>
      <c r="AG494" s="3">
        <v>76.0</v>
      </c>
      <c r="AH494" s="3">
        <v>52.0</v>
      </c>
      <c r="AI494" s="3">
        <v>52.0</v>
      </c>
      <c r="AJ494" s="3">
        <v>41.0</v>
      </c>
      <c r="AK494" s="3">
        <v>62.0</v>
      </c>
      <c r="AL494" s="3">
        <v>45.0</v>
      </c>
      <c r="AM494" s="3">
        <v>40.0</v>
      </c>
      <c r="AN494" s="3">
        <v>56.0</v>
      </c>
    </row>
    <row r="495" ht="14.25" customHeight="1">
      <c r="A495" s="3">
        <v>493.0</v>
      </c>
      <c r="B495" s="3" t="s">
        <v>6969</v>
      </c>
      <c r="C495" s="3">
        <v>18.0</v>
      </c>
      <c r="D495" s="3" t="s">
        <v>6645</v>
      </c>
      <c r="E495" s="3" t="s">
        <v>6646</v>
      </c>
      <c r="F495" s="3" t="s">
        <v>6646</v>
      </c>
      <c r="G495" s="3" t="s">
        <v>6645</v>
      </c>
      <c r="H495" s="3" t="s">
        <v>6645</v>
      </c>
      <c r="I495" s="3" t="s">
        <v>6646</v>
      </c>
      <c r="J495" s="3">
        <v>15.0</v>
      </c>
      <c r="K495" s="3">
        <v>0.0</v>
      </c>
      <c r="L495" s="3">
        <v>0.0</v>
      </c>
      <c r="M495" s="3">
        <v>0.0</v>
      </c>
      <c r="N495" s="3">
        <v>491.36</v>
      </c>
      <c r="O495" s="3">
        <v>92.0</v>
      </c>
      <c r="P495" s="3" t="e">
        <v>#N/A</v>
      </c>
      <c r="Q495" s="3">
        <v>37.0</v>
      </c>
      <c r="R495" s="3">
        <v>37.0</v>
      </c>
      <c r="S495" s="3">
        <v>32.0</v>
      </c>
      <c r="T495" s="3">
        <v>36.0</v>
      </c>
      <c r="U495" s="3">
        <v>30.0</v>
      </c>
      <c r="V495" s="3">
        <v>32.0</v>
      </c>
      <c r="W495" s="3">
        <v>32.0</v>
      </c>
      <c r="X495" s="3">
        <v>35.0</v>
      </c>
      <c r="Y495" s="3">
        <v>38.0</v>
      </c>
      <c r="Z495" s="3">
        <v>31.0</v>
      </c>
      <c r="AA495" s="3">
        <v>29.0</v>
      </c>
      <c r="AB495" s="3">
        <v>27.0</v>
      </c>
      <c r="AC495" s="3">
        <v>46.0</v>
      </c>
      <c r="AD495" s="3">
        <v>41.0</v>
      </c>
      <c r="AE495" s="3">
        <v>26.0</v>
      </c>
      <c r="AF495" s="3">
        <v>55.0</v>
      </c>
      <c r="AG495" s="3">
        <v>71.0</v>
      </c>
      <c r="AH495" s="3">
        <v>47.0</v>
      </c>
      <c r="AI495" s="3">
        <v>49.0</v>
      </c>
      <c r="AJ495" s="3">
        <v>33.0</v>
      </c>
      <c r="AK495" s="3">
        <v>39.0</v>
      </c>
      <c r="AL495" s="3">
        <v>46.0</v>
      </c>
      <c r="AM495" s="3">
        <v>7.0</v>
      </c>
      <c r="AN495" s="3">
        <v>38.0</v>
      </c>
    </row>
    <row r="496" ht="14.25" customHeight="1">
      <c r="A496" s="3">
        <v>494.0</v>
      </c>
      <c r="B496" s="3" t="s">
        <v>6970</v>
      </c>
      <c r="C496" s="3">
        <v>23.0</v>
      </c>
      <c r="D496" s="3" t="s">
        <v>6645</v>
      </c>
      <c r="E496" s="3" t="s">
        <v>6646</v>
      </c>
      <c r="F496" s="3" t="s">
        <v>6646</v>
      </c>
      <c r="G496" s="3" t="s">
        <v>6645</v>
      </c>
      <c r="H496" s="3" t="s">
        <v>6645</v>
      </c>
      <c r="I496" s="3" t="s">
        <v>6645</v>
      </c>
      <c r="J496" s="3">
        <v>15.0</v>
      </c>
      <c r="K496" s="3">
        <v>0.0</v>
      </c>
      <c r="L496" s="3">
        <v>0.0</v>
      </c>
      <c r="M496" s="3">
        <v>0.0</v>
      </c>
      <c r="N496" s="3">
        <v>554.879</v>
      </c>
      <c r="O496" s="3">
        <v>75.0</v>
      </c>
      <c r="P496" s="3" t="e">
        <v>#N/A</v>
      </c>
      <c r="Q496" s="3">
        <v>30.0</v>
      </c>
      <c r="R496" s="3">
        <v>33.0</v>
      </c>
      <c r="S496" s="3">
        <v>32.0</v>
      </c>
      <c r="T496" s="3">
        <v>34.0</v>
      </c>
      <c r="U496" s="3">
        <v>31.0</v>
      </c>
      <c r="V496" s="3">
        <v>39.0</v>
      </c>
      <c r="W496" s="3">
        <v>30.0</v>
      </c>
      <c r="X496" s="3">
        <v>27.0</v>
      </c>
      <c r="Y496" s="3">
        <v>40.0</v>
      </c>
      <c r="Z496" s="3">
        <v>26.0</v>
      </c>
      <c r="AA496" s="3">
        <v>39.0</v>
      </c>
      <c r="AB496" s="3">
        <v>28.0</v>
      </c>
      <c r="AC496" s="3">
        <v>40.0</v>
      </c>
      <c r="AD496" s="3">
        <v>41.0</v>
      </c>
      <c r="AE496" s="3">
        <v>38.0</v>
      </c>
      <c r="AF496" s="3">
        <v>38.0</v>
      </c>
      <c r="AG496" s="3">
        <v>62.0</v>
      </c>
      <c r="AH496" s="3">
        <v>56.0</v>
      </c>
      <c r="AI496" s="3">
        <v>27.0</v>
      </c>
      <c r="AJ496" s="3">
        <v>47.0</v>
      </c>
      <c r="AK496" s="3">
        <v>38.0</v>
      </c>
      <c r="AL496" s="3">
        <v>46.0</v>
      </c>
      <c r="AM496" s="3">
        <v>58.0</v>
      </c>
      <c r="AN496" s="3">
        <v>51.0</v>
      </c>
    </row>
    <row r="497" ht="14.25" customHeight="1">
      <c r="A497" s="3">
        <v>495.0</v>
      </c>
      <c r="B497" s="3" t="s">
        <v>6971</v>
      </c>
      <c r="C497" s="3">
        <v>24.0</v>
      </c>
      <c r="D497" s="3" t="s">
        <v>6645</v>
      </c>
      <c r="E497" s="3" t="s">
        <v>6646</v>
      </c>
      <c r="F497" s="3" t="s">
        <v>6646</v>
      </c>
      <c r="G497" s="3" t="s">
        <v>6645</v>
      </c>
      <c r="H497" s="3" t="s">
        <v>6645</v>
      </c>
      <c r="I497" s="3" t="s">
        <v>6646</v>
      </c>
      <c r="J497" s="3">
        <v>15.0</v>
      </c>
      <c r="K497" s="3">
        <v>0.0</v>
      </c>
      <c r="L497" s="3">
        <v>0.0</v>
      </c>
      <c r="M497" s="3">
        <v>0.0</v>
      </c>
      <c r="N497" s="3">
        <v>402.94</v>
      </c>
      <c r="O497" s="3">
        <v>93.0</v>
      </c>
      <c r="P497" s="3" t="e">
        <v>#N/A</v>
      </c>
      <c r="Q497" s="3">
        <v>35.0</v>
      </c>
      <c r="R497" s="3">
        <v>34.0</v>
      </c>
      <c r="S497" s="3">
        <v>36.0</v>
      </c>
      <c r="T497" s="3">
        <v>36.0</v>
      </c>
      <c r="U497" s="3">
        <v>35.0</v>
      </c>
      <c r="V497" s="3">
        <v>33.0</v>
      </c>
      <c r="W497" s="3">
        <v>21.0</v>
      </c>
      <c r="X497" s="3">
        <v>20.0</v>
      </c>
      <c r="Y497" s="3">
        <v>39.0</v>
      </c>
      <c r="Z497" s="3">
        <v>26.0</v>
      </c>
      <c r="AA497" s="3">
        <v>35.0</v>
      </c>
      <c r="AB497" s="3">
        <v>35.0</v>
      </c>
      <c r="AC497" s="3">
        <v>43.0</v>
      </c>
      <c r="AD497" s="3">
        <v>37.0</v>
      </c>
      <c r="AE497" s="3">
        <v>36.0</v>
      </c>
      <c r="AF497" s="3">
        <v>8.0</v>
      </c>
      <c r="AG497" s="3">
        <v>71.0</v>
      </c>
      <c r="AH497" s="3">
        <v>33.0</v>
      </c>
      <c r="AI497" s="3">
        <v>35.0</v>
      </c>
      <c r="AJ497" s="3">
        <v>38.0</v>
      </c>
      <c r="AK497" s="3">
        <v>40.0</v>
      </c>
      <c r="AL497" s="3">
        <v>56.0</v>
      </c>
      <c r="AM497" s="3">
        <v>31.0</v>
      </c>
      <c r="AN497" s="3">
        <v>49.0</v>
      </c>
    </row>
    <row r="498" ht="14.25" customHeight="1">
      <c r="A498" s="3">
        <v>496.0</v>
      </c>
      <c r="B498" s="3" t="s">
        <v>6972</v>
      </c>
      <c r="C498" s="3">
        <v>17.0</v>
      </c>
      <c r="D498" s="3" t="s">
        <v>6645</v>
      </c>
      <c r="E498" s="3" t="s">
        <v>6646</v>
      </c>
      <c r="F498" s="3" t="s">
        <v>6646</v>
      </c>
      <c r="G498" s="3" t="s">
        <v>6645</v>
      </c>
      <c r="H498" s="3" t="s">
        <v>6645</v>
      </c>
      <c r="I498" s="3" t="s">
        <v>6645</v>
      </c>
      <c r="J498" s="3">
        <v>15.0</v>
      </c>
      <c r="K498" s="3">
        <v>0.0</v>
      </c>
      <c r="L498" s="3">
        <v>0.0</v>
      </c>
      <c r="M498" s="3">
        <v>0.0</v>
      </c>
      <c r="N498" s="3">
        <v>400.56472</v>
      </c>
      <c r="O498" s="3">
        <v>115.0</v>
      </c>
      <c r="P498" s="3" t="e">
        <v>#N/A</v>
      </c>
      <c r="Q498" s="3">
        <v>39.0</v>
      </c>
      <c r="R498" s="3">
        <v>32.0</v>
      </c>
      <c r="S498" s="3">
        <v>35.0</v>
      </c>
      <c r="T498" s="3">
        <v>35.0</v>
      </c>
      <c r="U498" s="3">
        <v>31.0</v>
      </c>
      <c r="V498" s="3">
        <v>33.0</v>
      </c>
      <c r="W498" s="3">
        <v>36.0</v>
      </c>
      <c r="X498" s="3">
        <v>33.0</v>
      </c>
      <c r="Y498" s="3">
        <v>44.0</v>
      </c>
      <c r="Z498" s="3">
        <v>35.0</v>
      </c>
      <c r="AA498" s="3">
        <v>31.0</v>
      </c>
      <c r="AB498" s="3">
        <v>27.0</v>
      </c>
      <c r="AC498" s="3">
        <v>44.0</v>
      </c>
      <c r="AD498" s="3">
        <v>41.0</v>
      </c>
      <c r="AE498" s="3">
        <v>27.0</v>
      </c>
      <c r="AF498" s="3">
        <v>49.0</v>
      </c>
      <c r="AG498" s="3">
        <v>70.0</v>
      </c>
      <c r="AH498" s="3">
        <v>37.0</v>
      </c>
      <c r="AI498" s="3">
        <v>12.0</v>
      </c>
      <c r="AJ498" s="3">
        <v>49.0</v>
      </c>
      <c r="AK498" s="3">
        <v>39.0</v>
      </c>
      <c r="AL498" s="3">
        <v>38.0</v>
      </c>
      <c r="AM498" s="3">
        <v>31.0</v>
      </c>
      <c r="AN498" s="3">
        <v>32.0</v>
      </c>
    </row>
    <row r="499" ht="14.25" customHeight="1">
      <c r="A499" s="3">
        <v>497.0</v>
      </c>
      <c r="B499" s="3" t="s">
        <v>6973</v>
      </c>
      <c r="C499" s="3">
        <v>24.0</v>
      </c>
      <c r="D499" s="3" t="s">
        <v>6645</v>
      </c>
      <c r="E499" s="3" t="s">
        <v>6646</v>
      </c>
      <c r="F499" s="3" t="s">
        <v>6646</v>
      </c>
      <c r="G499" s="3" t="s">
        <v>6645</v>
      </c>
      <c r="H499" s="3" t="s">
        <v>6645</v>
      </c>
      <c r="I499" s="3" t="s">
        <v>6646</v>
      </c>
      <c r="J499" s="3">
        <v>15.0</v>
      </c>
      <c r="K499" s="3">
        <v>0.0</v>
      </c>
      <c r="L499" s="3">
        <v>0.0</v>
      </c>
      <c r="M499" s="3">
        <v>0.0</v>
      </c>
      <c r="N499" s="3">
        <v>470.40957</v>
      </c>
      <c r="O499" s="3">
        <v>110.0</v>
      </c>
      <c r="P499" s="3" t="e">
        <v>#N/A</v>
      </c>
      <c r="Q499" s="3">
        <v>31.0</v>
      </c>
      <c r="R499" s="3">
        <v>36.0</v>
      </c>
      <c r="S499" s="3">
        <v>31.0</v>
      </c>
      <c r="T499" s="3">
        <v>33.0</v>
      </c>
      <c r="U499" s="3">
        <v>35.0</v>
      </c>
      <c r="V499" s="3">
        <v>36.0</v>
      </c>
      <c r="W499" s="3">
        <v>32.0</v>
      </c>
      <c r="X499" s="3">
        <v>29.0</v>
      </c>
      <c r="Y499" s="3">
        <v>48.0</v>
      </c>
      <c r="Z499" s="3">
        <v>21.0</v>
      </c>
      <c r="AA499" s="3">
        <v>32.0</v>
      </c>
      <c r="AB499" s="3">
        <v>25.0</v>
      </c>
      <c r="AC499" s="3">
        <v>47.0</v>
      </c>
      <c r="AD499" s="3">
        <v>43.0</v>
      </c>
      <c r="AE499" s="3">
        <v>33.0</v>
      </c>
      <c r="AF499" s="3">
        <v>47.0</v>
      </c>
      <c r="AG499" s="3">
        <v>61.0</v>
      </c>
      <c r="AH499" s="3">
        <v>7.0</v>
      </c>
      <c r="AI499" s="3">
        <v>44.0</v>
      </c>
      <c r="AJ499" s="3">
        <v>41.0</v>
      </c>
      <c r="AK499" s="3">
        <v>57.0</v>
      </c>
      <c r="AL499" s="3">
        <v>35.0</v>
      </c>
      <c r="AM499" s="3">
        <v>34.0</v>
      </c>
      <c r="AN499" s="3">
        <v>49.0</v>
      </c>
    </row>
    <row r="500" ht="14.25" customHeight="1">
      <c r="A500" s="3">
        <v>498.0</v>
      </c>
      <c r="B500" s="3" t="s">
        <v>6974</v>
      </c>
      <c r="C500" s="3">
        <v>43.0</v>
      </c>
      <c r="D500" s="3" t="s">
        <v>6645</v>
      </c>
      <c r="E500" s="3" t="s">
        <v>6646</v>
      </c>
      <c r="F500" s="3" t="s">
        <v>6646</v>
      </c>
      <c r="G500" s="3" t="s">
        <v>6645</v>
      </c>
      <c r="H500" s="3" t="s">
        <v>6645</v>
      </c>
      <c r="I500" s="3" t="s">
        <v>6646</v>
      </c>
      <c r="J500" s="3">
        <v>16.0</v>
      </c>
      <c r="K500" s="3">
        <v>4.0</v>
      </c>
      <c r="L500" s="3">
        <v>0.0</v>
      </c>
      <c r="M500" s="3">
        <v>0.0</v>
      </c>
      <c r="N500" s="3">
        <v>12870.54</v>
      </c>
      <c r="O500" s="3">
        <v>1922.0</v>
      </c>
      <c r="P500" s="3" t="e">
        <v>#N/A</v>
      </c>
      <c r="Q500" s="3">
        <v>63.0</v>
      </c>
      <c r="R500" s="3">
        <v>65.0</v>
      </c>
      <c r="S500" s="3">
        <v>75.0</v>
      </c>
      <c r="T500" s="3">
        <v>64.0</v>
      </c>
      <c r="U500" s="3">
        <v>66.0</v>
      </c>
      <c r="V500" s="3">
        <v>62.0</v>
      </c>
      <c r="W500" s="3">
        <v>75.0</v>
      </c>
      <c r="X500" s="3">
        <v>66.0</v>
      </c>
      <c r="Y500" s="3">
        <v>74.0</v>
      </c>
      <c r="Z500" s="3">
        <v>57.0</v>
      </c>
      <c r="AA500" s="3">
        <v>60.0</v>
      </c>
      <c r="AB500" s="3">
        <v>67.0</v>
      </c>
      <c r="AC500" s="3">
        <v>57.0</v>
      </c>
      <c r="AD500" s="3">
        <v>84.0</v>
      </c>
      <c r="AE500" s="3">
        <v>81.0</v>
      </c>
      <c r="AF500" s="3">
        <v>69.0</v>
      </c>
      <c r="AG500" s="3">
        <v>64.0</v>
      </c>
      <c r="AH500" s="3">
        <v>79.0</v>
      </c>
      <c r="AI500" s="3">
        <v>63.0</v>
      </c>
      <c r="AJ500" s="3">
        <v>63.0</v>
      </c>
      <c r="AK500" s="3">
        <v>18.0</v>
      </c>
      <c r="AL500" s="3">
        <v>74.0</v>
      </c>
      <c r="AM500" s="3">
        <v>29.0</v>
      </c>
      <c r="AN500" s="3">
        <v>62.0</v>
      </c>
    </row>
    <row r="501" ht="14.25" customHeight="1">
      <c r="A501" s="3">
        <v>499.0</v>
      </c>
      <c r="B501" s="3" t="s">
        <v>6975</v>
      </c>
      <c r="C501" s="3">
        <v>35.0</v>
      </c>
      <c r="D501" s="3" t="s">
        <v>6645</v>
      </c>
      <c r="E501" s="3" t="s">
        <v>6646</v>
      </c>
      <c r="F501" s="3" t="s">
        <v>6646</v>
      </c>
      <c r="G501" s="3" t="s">
        <v>6645</v>
      </c>
      <c r="H501" s="3" t="s">
        <v>6645</v>
      </c>
      <c r="I501" s="3" t="s">
        <v>6645</v>
      </c>
      <c r="J501" s="3">
        <v>16.0</v>
      </c>
      <c r="K501" s="3">
        <v>4.0</v>
      </c>
      <c r="L501" s="3">
        <v>0.0</v>
      </c>
      <c r="M501" s="3">
        <v>0.0</v>
      </c>
      <c r="N501" s="3">
        <v>11838.199</v>
      </c>
      <c r="O501" s="3">
        <v>1295.0</v>
      </c>
      <c r="P501" s="3" t="e">
        <v>#N/A</v>
      </c>
      <c r="Q501" s="3">
        <v>58.0</v>
      </c>
      <c r="R501" s="3">
        <v>65.0</v>
      </c>
      <c r="S501" s="3">
        <v>80.0</v>
      </c>
      <c r="T501" s="3">
        <v>59.0</v>
      </c>
      <c r="U501" s="3">
        <v>64.0</v>
      </c>
      <c r="V501" s="3">
        <v>65.0</v>
      </c>
      <c r="W501" s="3">
        <v>74.0</v>
      </c>
      <c r="X501" s="3">
        <v>66.0</v>
      </c>
      <c r="Y501" s="3">
        <v>72.0</v>
      </c>
      <c r="Z501" s="3">
        <v>63.0</v>
      </c>
      <c r="AA501" s="3">
        <v>60.0</v>
      </c>
      <c r="AB501" s="3">
        <v>64.0</v>
      </c>
      <c r="AC501" s="3">
        <v>60.0</v>
      </c>
      <c r="AD501" s="3">
        <v>78.0</v>
      </c>
      <c r="AE501" s="3">
        <v>74.0</v>
      </c>
      <c r="AF501" s="3">
        <v>55.0</v>
      </c>
      <c r="AG501" s="3">
        <v>33.0</v>
      </c>
      <c r="AH501" s="3">
        <v>73.0</v>
      </c>
      <c r="AI501" s="3">
        <v>62.0</v>
      </c>
      <c r="AJ501" s="3">
        <v>68.0</v>
      </c>
      <c r="AK501" s="3">
        <v>37.0</v>
      </c>
      <c r="AL501" s="3">
        <v>80.0</v>
      </c>
      <c r="AM501" s="3">
        <v>56.0</v>
      </c>
      <c r="AN501" s="3">
        <v>67.0</v>
      </c>
    </row>
    <row r="502" ht="14.25" customHeight="1">
      <c r="A502" s="3">
        <v>500.0</v>
      </c>
      <c r="B502" s="3" t="s">
        <v>6976</v>
      </c>
      <c r="C502" s="3">
        <v>44.0</v>
      </c>
      <c r="D502" s="3" t="s">
        <v>6645</v>
      </c>
      <c r="E502" s="3" t="s">
        <v>6646</v>
      </c>
      <c r="F502" s="3" t="s">
        <v>6646</v>
      </c>
      <c r="G502" s="3" t="s">
        <v>6645</v>
      </c>
      <c r="H502" s="3" t="s">
        <v>6645</v>
      </c>
      <c r="I502" s="3" t="s">
        <v>6646</v>
      </c>
      <c r="J502" s="3">
        <v>16.0</v>
      </c>
      <c r="K502" s="3">
        <v>4.0</v>
      </c>
      <c r="L502" s="3">
        <v>0.0</v>
      </c>
      <c r="M502" s="3">
        <v>0.0</v>
      </c>
      <c r="N502" s="3">
        <v>13398.362</v>
      </c>
      <c r="O502" s="3">
        <v>1730.0</v>
      </c>
      <c r="P502" s="3" t="e">
        <v>#N/A</v>
      </c>
      <c r="Q502" s="3">
        <v>66.0</v>
      </c>
      <c r="R502" s="3">
        <v>70.0</v>
      </c>
      <c r="S502" s="3">
        <v>74.0</v>
      </c>
      <c r="T502" s="3">
        <v>63.0</v>
      </c>
      <c r="U502" s="3">
        <v>66.0</v>
      </c>
      <c r="V502" s="3">
        <v>58.0</v>
      </c>
      <c r="W502" s="3">
        <v>75.0</v>
      </c>
      <c r="X502" s="3">
        <v>68.0</v>
      </c>
      <c r="Y502" s="3">
        <v>69.0</v>
      </c>
      <c r="Z502" s="3">
        <v>63.0</v>
      </c>
      <c r="AA502" s="3">
        <v>62.0</v>
      </c>
      <c r="AB502" s="3">
        <v>57.0</v>
      </c>
      <c r="AC502" s="3">
        <v>64.0</v>
      </c>
      <c r="AD502" s="3">
        <v>81.0</v>
      </c>
      <c r="AE502" s="3">
        <v>78.0</v>
      </c>
      <c r="AF502" s="3">
        <v>51.0</v>
      </c>
      <c r="AG502" s="3">
        <v>65.0</v>
      </c>
      <c r="AH502" s="3">
        <v>73.0</v>
      </c>
      <c r="AI502" s="3">
        <v>18.0</v>
      </c>
      <c r="AJ502" s="3">
        <v>68.0</v>
      </c>
      <c r="AK502" s="3">
        <v>54.0</v>
      </c>
      <c r="AL502" s="3">
        <v>79.0</v>
      </c>
      <c r="AM502" s="3">
        <v>38.0</v>
      </c>
      <c r="AN502" s="3">
        <v>65.0</v>
      </c>
    </row>
    <row r="503" ht="14.25" customHeight="1">
      <c r="A503" s="3">
        <v>501.0</v>
      </c>
      <c r="B503" s="3" t="s">
        <v>6977</v>
      </c>
      <c r="C503" s="3">
        <v>30.0</v>
      </c>
      <c r="D503" s="3" t="s">
        <v>6645</v>
      </c>
      <c r="E503" s="3" t="s">
        <v>6646</v>
      </c>
      <c r="F503" s="3" t="s">
        <v>6646</v>
      </c>
      <c r="G503" s="3" t="s">
        <v>6645</v>
      </c>
      <c r="H503" s="3" t="s">
        <v>6645</v>
      </c>
      <c r="I503" s="3" t="s">
        <v>6646</v>
      </c>
      <c r="J503" s="3">
        <v>16.0</v>
      </c>
      <c r="K503" s="3">
        <v>3.0</v>
      </c>
      <c r="L503" s="3">
        <v>0.0</v>
      </c>
      <c r="M503" s="3">
        <v>0.0</v>
      </c>
      <c r="N503" s="3">
        <v>7712.24</v>
      </c>
      <c r="O503" s="3">
        <v>784.0</v>
      </c>
      <c r="P503" s="3" t="e">
        <v>#N/A</v>
      </c>
      <c r="Q503" s="3">
        <v>54.0</v>
      </c>
      <c r="R503" s="3">
        <v>52.0</v>
      </c>
      <c r="S503" s="3">
        <v>57.0</v>
      </c>
      <c r="T503" s="3">
        <v>55.0</v>
      </c>
      <c r="U503" s="3">
        <v>58.0</v>
      </c>
      <c r="V503" s="3">
        <v>55.0</v>
      </c>
      <c r="W503" s="3">
        <v>59.0</v>
      </c>
      <c r="X503" s="3">
        <v>52.0</v>
      </c>
      <c r="Y503" s="3">
        <v>70.0</v>
      </c>
      <c r="Z503" s="3">
        <v>53.0</v>
      </c>
      <c r="AA503" s="3">
        <v>53.0</v>
      </c>
      <c r="AB503" s="3">
        <v>50.0</v>
      </c>
      <c r="AC503" s="3">
        <v>51.0</v>
      </c>
      <c r="AD503" s="3">
        <v>60.0</v>
      </c>
      <c r="AE503" s="3">
        <v>61.0</v>
      </c>
      <c r="AF503" s="3">
        <v>25.0</v>
      </c>
      <c r="AG503" s="3">
        <v>63.0</v>
      </c>
      <c r="AH503" s="3">
        <v>76.0</v>
      </c>
      <c r="AI503" s="3">
        <v>45.0</v>
      </c>
      <c r="AJ503" s="3">
        <v>48.0</v>
      </c>
      <c r="AK503" s="3">
        <v>53.0</v>
      </c>
      <c r="AL503" s="3">
        <v>68.0</v>
      </c>
      <c r="AM503" s="3">
        <v>24.0</v>
      </c>
      <c r="AN503" s="3">
        <v>45.0</v>
      </c>
    </row>
    <row r="504" ht="14.25" customHeight="1">
      <c r="A504" s="3">
        <v>502.0</v>
      </c>
      <c r="B504" s="3" t="s">
        <v>6978</v>
      </c>
      <c r="C504" s="3">
        <v>30.0</v>
      </c>
      <c r="D504" s="3" t="s">
        <v>6645</v>
      </c>
      <c r="E504" s="3" t="s">
        <v>6646</v>
      </c>
      <c r="F504" s="3" t="s">
        <v>6646</v>
      </c>
      <c r="G504" s="3" t="s">
        <v>6645</v>
      </c>
      <c r="H504" s="3" t="s">
        <v>6645</v>
      </c>
      <c r="I504" s="3" t="s">
        <v>6646</v>
      </c>
      <c r="J504" s="3">
        <v>16.0</v>
      </c>
      <c r="K504" s="3">
        <v>3.0</v>
      </c>
      <c r="L504" s="3">
        <v>0.0</v>
      </c>
      <c r="M504" s="3">
        <v>0.0</v>
      </c>
      <c r="N504" s="3">
        <v>7073.84</v>
      </c>
      <c r="O504" s="3">
        <v>643.0</v>
      </c>
      <c r="P504" s="3" t="e">
        <v>#N/A</v>
      </c>
      <c r="Q504" s="3">
        <v>53.0</v>
      </c>
      <c r="R504" s="3">
        <v>53.0</v>
      </c>
      <c r="S504" s="3">
        <v>58.0</v>
      </c>
      <c r="T504" s="3">
        <v>51.0</v>
      </c>
      <c r="U504" s="3">
        <v>60.0</v>
      </c>
      <c r="V504" s="3">
        <v>57.0</v>
      </c>
      <c r="W504" s="3">
        <v>52.0</v>
      </c>
      <c r="X504" s="3">
        <v>55.0</v>
      </c>
      <c r="Y504" s="3">
        <v>62.0</v>
      </c>
      <c r="Z504" s="3">
        <v>56.0</v>
      </c>
      <c r="AA504" s="3">
        <v>48.0</v>
      </c>
      <c r="AB504" s="3">
        <v>59.0</v>
      </c>
      <c r="AC504" s="3">
        <v>51.0</v>
      </c>
      <c r="AD504" s="3">
        <v>61.0</v>
      </c>
      <c r="AE504" s="3">
        <v>67.0</v>
      </c>
      <c r="AF504" s="3">
        <v>18.0</v>
      </c>
      <c r="AG504" s="3">
        <v>41.0</v>
      </c>
      <c r="AH504" s="3">
        <v>76.0</v>
      </c>
      <c r="AI504" s="3">
        <v>55.0</v>
      </c>
      <c r="AJ504" s="3">
        <v>63.0</v>
      </c>
      <c r="AK504" s="3">
        <v>67.0</v>
      </c>
      <c r="AL504" s="3">
        <v>69.0</v>
      </c>
      <c r="AM504" s="3">
        <v>49.0</v>
      </c>
      <c r="AN504" s="3">
        <v>13.0</v>
      </c>
    </row>
    <row r="505" ht="14.25" customHeight="1">
      <c r="A505" s="3">
        <v>503.0</v>
      </c>
      <c r="B505" s="3" t="s">
        <v>6979</v>
      </c>
      <c r="C505" s="3">
        <v>37.0</v>
      </c>
      <c r="D505" s="3" t="s">
        <v>6645</v>
      </c>
      <c r="E505" s="3" t="s">
        <v>6646</v>
      </c>
      <c r="F505" s="3" t="s">
        <v>6646</v>
      </c>
      <c r="G505" s="3" t="s">
        <v>6645</v>
      </c>
      <c r="H505" s="3" t="s">
        <v>6645</v>
      </c>
      <c r="I505" s="3" t="s">
        <v>6645</v>
      </c>
      <c r="J505" s="3">
        <v>16.0</v>
      </c>
      <c r="K505" s="3">
        <v>3.0</v>
      </c>
      <c r="L505" s="3">
        <v>0.0</v>
      </c>
      <c r="M505" s="3">
        <v>0.0</v>
      </c>
      <c r="N505" s="3">
        <v>7266.25</v>
      </c>
      <c r="O505" s="3">
        <v>953.0</v>
      </c>
      <c r="P505" s="3" t="e">
        <v>#N/A</v>
      </c>
      <c r="Q505" s="3">
        <v>55.0</v>
      </c>
      <c r="R505" s="3">
        <v>53.0</v>
      </c>
      <c r="S505" s="3">
        <v>58.0</v>
      </c>
      <c r="T505" s="3">
        <v>57.0</v>
      </c>
      <c r="U505" s="3">
        <v>58.0</v>
      </c>
      <c r="V505" s="3">
        <v>51.0</v>
      </c>
      <c r="W505" s="3">
        <v>57.0</v>
      </c>
      <c r="X505" s="3">
        <v>57.0</v>
      </c>
      <c r="Y505" s="3">
        <v>68.0</v>
      </c>
      <c r="Z505" s="3">
        <v>55.0</v>
      </c>
      <c r="AA505" s="3">
        <v>59.0</v>
      </c>
      <c r="AB505" s="3">
        <v>60.0</v>
      </c>
      <c r="AC505" s="3">
        <v>59.0</v>
      </c>
      <c r="AD505" s="3">
        <v>65.0</v>
      </c>
      <c r="AE505" s="3">
        <v>59.0</v>
      </c>
      <c r="AF505" s="3">
        <v>62.0</v>
      </c>
      <c r="AG505" s="3">
        <v>40.0</v>
      </c>
      <c r="AH505" s="3">
        <v>79.0</v>
      </c>
      <c r="AI505" s="3">
        <v>46.0</v>
      </c>
      <c r="AJ505" s="3">
        <v>26.0</v>
      </c>
      <c r="AK505" s="3">
        <v>63.0</v>
      </c>
      <c r="AL505" s="3">
        <v>78.0</v>
      </c>
      <c r="AM505" s="3">
        <v>39.0</v>
      </c>
      <c r="AN505" s="3">
        <v>54.0</v>
      </c>
    </row>
    <row r="506" ht="14.25" customHeight="1">
      <c r="A506" s="3">
        <v>504.0</v>
      </c>
      <c r="B506" s="3" t="s">
        <v>6980</v>
      </c>
      <c r="C506" s="3">
        <v>31.0</v>
      </c>
      <c r="D506" s="3" t="s">
        <v>6645</v>
      </c>
      <c r="E506" s="3" t="s">
        <v>6646</v>
      </c>
      <c r="F506" s="3" t="s">
        <v>6646</v>
      </c>
      <c r="G506" s="3" t="s">
        <v>6645</v>
      </c>
      <c r="H506" s="3" t="s">
        <v>6645</v>
      </c>
      <c r="I506" s="3" t="s">
        <v>6645</v>
      </c>
      <c r="J506" s="3">
        <v>16.0</v>
      </c>
      <c r="K506" s="3">
        <v>3.0</v>
      </c>
      <c r="L506" s="3">
        <v>0.0</v>
      </c>
      <c r="M506" s="3">
        <v>0.0</v>
      </c>
      <c r="N506" s="3">
        <v>7056.7446</v>
      </c>
      <c r="O506" s="3">
        <v>761.0</v>
      </c>
      <c r="P506" s="3" t="e">
        <v>#N/A</v>
      </c>
      <c r="Q506" s="3">
        <v>53.0</v>
      </c>
      <c r="R506" s="3">
        <v>58.0</v>
      </c>
      <c r="S506" s="3">
        <v>58.0</v>
      </c>
      <c r="T506" s="3">
        <v>53.0</v>
      </c>
      <c r="U506" s="3">
        <v>51.0</v>
      </c>
      <c r="V506" s="3">
        <v>58.0</v>
      </c>
      <c r="W506" s="3">
        <v>60.0</v>
      </c>
      <c r="X506" s="3">
        <v>63.0</v>
      </c>
      <c r="Y506" s="3">
        <v>59.0</v>
      </c>
      <c r="Z506" s="3">
        <v>48.0</v>
      </c>
      <c r="AA506" s="3">
        <v>59.0</v>
      </c>
      <c r="AB506" s="3">
        <v>47.0</v>
      </c>
      <c r="AC506" s="3">
        <v>47.0</v>
      </c>
      <c r="AD506" s="3">
        <v>68.0</v>
      </c>
      <c r="AE506" s="3">
        <v>62.0</v>
      </c>
      <c r="AF506" s="3">
        <v>67.0</v>
      </c>
      <c r="AG506" s="3">
        <v>43.0</v>
      </c>
      <c r="AH506" s="3">
        <v>76.0</v>
      </c>
      <c r="AI506" s="3">
        <v>39.0</v>
      </c>
      <c r="AJ506" s="3">
        <v>33.0</v>
      </c>
      <c r="AK506" s="3">
        <v>65.0</v>
      </c>
      <c r="AL506" s="3">
        <v>78.0</v>
      </c>
      <c r="AM506" s="3">
        <v>40.0</v>
      </c>
      <c r="AN506" s="3">
        <v>41.0</v>
      </c>
    </row>
    <row r="507" ht="14.25" customHeight="1">
      <c r="A507" s="3">
        <v>505.0</v>
      </c>
      <c r="B507" s="3" t="s">
        <v>6981</v>
      </c>
      <c r="C507" s="3">
        <v>31.0</v>
      </c>
      <c r="D507" s="3" t="s">
        <v>6645</v>
      </c>
      <c r="E507" s="3" t="s">
        <v>6646</v>
      </c>
      <c r="F507" s="3" t="s">
        <v>6646</v>
      </c>
      <c r="G507" s="3" t="s">
        <v>6645</v>
      </c>
      <c r="H507" s="3" t="s">
        <v>6645</v>
      </c>
      <c r="I507" s="3" t="s">
        <v>6645</v>
      </c>
      <c r="J507" s="3">
        <v>16.0</v>
      </c>
      <c r="K507" s="3">
        <v>2.0</v>
      </c>
      <c r="L507" s="3">
        <v>0.0</v>
      </c>
      <c r="M507" s="3">
        <v>0.0</v>
      </c>
      <c r="N507" s="3">
        <v>4285.08</v>
      </c>
      <c r="O507" s="3">
        <v>377.0</v>
      </c>
      <c r="P507" s="3" t="e">
        <v>#N/A</v>
      </c>
      <c r="Q507" s="3">
        <v>44.0</v>
      </c>
      <c r="R507" s="3">
        <v>47.0</v>
      </c>
      <c r="S507" s="3">
        <v>53.0</v>
      </c>
      <c r="T507" s="3">
        <v>46.0</v>
      </c>
      <c r="U507" s="3">
        <v>46.0</v>
      </c>
      <c r="V507" s="3">
        <v>44.0</v>
      </c>
      <c r="W507" s="3">
        <v>41.0</v>
      </c>
      <c r="X507" s="3">
        <v>44.0</v>
      </c>
      <c r="Y507" s="3">
        <v>49.0</v>
      </c>
      <c r="Z507" s="3">
        <v>44.0</v>
      </c>
      <c r="AA507" s="3">
        <v>42.0</v>
      </c>
      <c r="AB507" s="3">
        <v>44.0</v>
      </c>
      <c r="AC507" s="3">
        <v>49.0</v>
      </c>
      <c r="AD507" s="3">
        <v>57.0</v>
      </c>
      <c r="AE507" s="3">
        <v>57.0</v>
      </c>
      <c r="AF507" s="3">
        <v>50.0</v>
      </c>
      <c r="AG507" s="3">
        <v>31.0</v>
      </c>
      <c r="AH507" s="3">
        <v>68.0</v>
      </c>
      <c r="AI507" s="3">
        <v>44.0</v>
      </c>
      <c r="AJ507" s="3">
        <v>39.0</v>
      </c>
      <c r="AK507" s="3">
        <v>37.0</v>
      </c>
      <c r="AL507" s="3">
        <v>72.0</v>
      </c>
      <c r="AM507" s="3">
        <v>44.0</v>
      </c>
      <c r="AN507" s="3">
        <v>65.0</v>
      </c>
    </row>
    <row r="508" ht="14.25" customHeight="1">
      <c r="A508" s="3">
        <v>506.0</v>
      </c>
      <c r="B508" s="3" t="s">
        <v>6982</v>
      </c>
      <c r="C508" s="3">
        <v>34.0</v>
      </c>
      <c r="D508" s="3" t="s">
        <v>6645</v>
      </c>
      <c r="E508" s="3" t="s">
        <v>6646</v>
      </c>
      <c r="F508" s="3" t="s">
        <v>6646</v>
      </c>
      <c r="G508" s="3" t="s">
        <v>6645</v>
      </c>
      <c r="H508" s="3" t="s">
        <v>6645</v>
      </c>
      <c r="I508" s="3" t="s">
        <v>6645</v>
      </c>
      <c r="J508" s="3">
        <v>16.0</v>
      </c>
      <c r="K508" s="3">
        <v>2.0</v>
      </c>
      <c r="L508" s="3">
        <v>0.0</v>
      </c>
      <c r="M508" s="3">
        <v>0.0</v>
      </c>
      <c r="N508" s="3">
        <v>4740.37</v>
      </c>
      <c r="O508" s="3">
        <v>405.0</v>
      </c>
      <c r="P508" s="3" t="e">
        <v>#N/A</v>
      </c>
      <c r="Q508" s="3">
        <v>48.0</v>
      </c>
      <c r="R508" s="3">
        <v>51.0</v>
      </c>
      <c r="S508" s="3">
        <v>51.0</v>
      </c>
      <c r="T508" s="3">
        <v>44.0</v>
      </c>
      <c r="U508" s="3">
        <v>45.0</v>
      </c>
      <c r="V508" s="3">
        <v>48.0</v>
      </c>
      <c r="W508" s="3">
        <v>45.0</v>
      </c>
      <c r="X508" s="3">
        <v>52.0</v>
      </c>
      <c r="Y508" s="3">
        <v>55.0</v>
      </c>
      <c r="Z508" s="3">
        <v>51.0</v>
      </c>
      <c r="AA508" s="3">
        <v>51.0</v>
      </c>
      <c r="AB508" s="3">
        <v>38.0</v>
      </c>
      <c r="AC508" s="3">
        <v>41.0</v>
      </c>
      <c r="AD508" s="3">
        <v>59.0</v>
      </c>
      <c r="AE508" s="3">
        <v>52.0</v>
      </c>
      <c r="AF508" s="3">
        <v>42.0</v>
      </c>
      <c r="AG508" s="3">
        <v>21.0</v>
      </c>
      <c r="AH508" s="3">
        <v>68.0</v>
      </c>
      <c r="AI508" s="3">
        <v>42.0</v>
      </c>
      <c r="AJ508" s="3">
        <v>42.0</v>
      </c>
      <c r="AK508" s="3">
        <v>27.0</v>
      </c>
      <c r="AL508" s="3">
        <v>82.0</v>
      </c>
      <c r="AM508" s="3">
        <v>57.0</v>
      </c>
      <c r="AN508" s="3">
        <v>58.0</v>
      </c>
    </row>
    <row r="509" ht="14.25" customHeight="1">
      <c r="A509" s="3">
        <v>507.0</v>
      </c>
      <c r="B509" s="3" t="s">
        <v>6983</v>
      </c>
      <c r="C509" s="3">
        <v>27.0</v>
      </c>
      <c r="D509" s="3" t="s">
        <v>6645</v>
      </c>
      <c r="E509" s="3" t="s">
        <v>6646</v>
      </c>
      <c r="F509" s="3" t="s">
        <v>6646</v>
      </c>
      <c r="G509" s="3" t="s">
        <v>6645</v>
      </c>
      <c r="H509" s="3" t="s">
        <v>6645</v>
      </c>
      <c r="I509" s="3" t="s">
        <v>6645</v>
      </c>
      <c r="J509" s="3">
        <v>16.0</v>
      </c>
      <c r="K509" s="3">
        <v>2.0</v>
      </c>
      <c r="L509" s="3">
        <v>0.0</v>
      </c>
      <c r="M509" s="3">
        <v>0.0</v>
      </c>
      <c r="N509" s="3">
        <v>4074.4348</v>
      </c>
      <c r="O509" s="3">
        <v>449.0</v>
      </c>
      <c r="P509" s="3" t="e">
        <v>#N/A</v>
      </c>
      <c r="Q509" s="3">
        <v>46.0</v>
      </c>
      <c r="R509" s="3">
        <v>49.0</v>
      </c>
      <c r="S509" s="3">
        <v>46.0</v>
      </c>
      <c r="T509" s="3">
        <v>50.0</v>
      </c>
      <c r="U509" s="3">
        <v>49.0</v>
      </c>
      <c r="V509" s="3">
        <v>48.0</v>
      </c>
      <c r="W509" s="3">
        <v>47.0</v>
      </c>
      <c r="X509" s="3">
        <v>44.0</v>
      </c>
      <c r="Y509" s="3">
        <v>54.0</v>
      </c>
      <c r="Z509" s="3">
        <v>46.0</v>
      </c>
      <c r="AA509" s="3">
        <v>51.0</v>
      </c>
      <c r="AB509" s="3">
        <v>45.0</v>
      </c>
      <c r="AC509" s="3">
        <v>47.0</v>
      </c>
      <c r="AD509" s="3">
        <v>56.0</v>
      </c>
      <c r="AE509" s="3">
        <v>51.0</v>
      </c>
      <c r="AF509" s="3">
        <v>51.0</v>
      </c>
      <c r="AG509" s="3">
        <v>59.0</v>
      </c>
      <c r="AH509" s="3">
        <v>80.0</v>
      </c>
      <c r="AI509" s="3">
        <v>16.0</v>
      </c>
      <c r="AJ509" s="3">
        <v>44.0</v>
      </c>
      <c r="AK509" s="3">
        <v>61.0</v>
      </c>
      <c r="AL509" s="3">
        <v>78.0</v>
      </c>
      <c r="AM509" s="3">
        <v>54.0</v>
      </c>
      <c r="AN509" s="3">
        <v>56.0</v>
      </c>
    </row>
    <row r="510" ht="14.25" customHeight="1">
      <c r="A510" s="3">
        <v>508.0</v>
      </c>
      <c r="B510" s="3" t="s">
        <v>6984</v>
      </c>
      <c r="C510" s="3">
        <v>31.0</v>
      </c>
      <c r="D510" s="3" t="s">
        <v>6645</v>
      </c>
      <c r="E510" s="3" t="s">
        <v>6646</v>
      </c>
      <c r="F510" s="3" t="s">
        <v>6646</v>
      </c>
      <c r="G510" s="3" t="s">
        <v>6645</v>
      </c>
      <c r="H510" s="3" t="s">
        <v>6645</v>
      </c>
      <c r="I510" s="3" t="s">
        <v>6646</v>
      </c>
      <c r="J510" s="3">
        <v>16.0</v>
      </c>
      <c r="K510" s="3">
        <v>2.0</v>
      </c>
      <c r="L510" s="3">
        <v>0.0</v>
      </c>
      <c r="M510" s="3">
        <v>0.0</v>
      </c>
      <c r="N510" s="3">
        <v>4096.73</v>
      </c>
      <c r="O510" s="3">
        <v>415.0</v>
      </c>
      <c r="P510" s="3" t="e">
        <v>#N/A</v>
      </c>
      <c r="Q510" s="3">
        <v>51.0</v>
      </c>
      <c r="R510" s="3">
        <v>53.0</v>
      </c>
      <c r="S510" s="3">
        <v>50.0</v>
      </c>
      <c r="T510" s="3">
        <v>53.0</v>
      </c>
      <c r="U510" s="3">
        <v>47.0</v>
      </c>
      <c r="V510" s="3">
        <v>51.0</v>
      </c>
      <c r="W510" s="3">
        <v>44.0</v>
      </c>
      <c r="X510" s="3">
        <v>53.0</v>
      </c>
      <c r="Y510" s="3">
        <v>57.0</v>
      </c>
      <c r="Z510" s="3">
        <v>47.0</v>
      </c>
      <c r="AA510" s="3">
        <v>41.0</v>
      </c>
      <c r="AB510" s="3">
        <v>42.0</v>
      </c>
      <c r="AC510" s="3">
        <v>51.0</v>
      </c>
      <c r="AD510" s="3">
        <v>50.0</v>
      </c>
      <c r="AE510" s="3">
        <v>52.0</v>
      </c>
      <c r="AF510" s="3">
        <v>47.0</v>
      </c>
      <c r="AG510" s="3">
        <v>50.0</v>
      </c>
      <c r="AH510" s="3">
        <v>78.0</v>
      </c>
      <c r="AI510" s="3">
        <v>56.0</v>
      </c>
      <c r="AJ510" s="3">
        <v>40.0</v>
      </c>
      <c r="AK510" s="3">
        <v>57.0</v>
      </c>
      <c r="AL510" s="3">
        <v>79.0</v>
      </c>
      <c r="AM510" s="3">
        <v>29.0</v>
      </c>
      <c r="AN510" s="3">
        <v>32.0</v>
      </c>
    </row>
    <row r="511" ht="14.25" customHeight="1">
      <c r="A511" s="3">
        <v>509.0</v>
      </c>
      <c r="B511" s="3" t="s">
        <v>6985</v>
      </c>
      <c r="C511" s="3">
        <v>28.0</v>
      </c>
      <c r="D511" s="3" t="s">
        <v>6645</v>
      </c>
      <c r="E511" s="3" t="s">
        <v>6646</v>
      </c>
      <c r="F511" s="3" t="s">
        <v>6646</v>
      </c>
      <c r="G511" s="3" t="s">
        <v>6645</v>
      </c>
      <c r="H511" s="3" t="s">
        <v>6645</v>
      </c>
      <c r="I511" s="3" t="s">
        <v>6645</v>
      </c>
      <c r="J511" s="3">
        <v>16.0</v>
      </c>
      <c r="K511" s="3">
        <v>1.0</v>
      </c>
      <c r="L511" s="3">
        <v>0.0</v>
      </c>
      <c r="M511" s="3">
        <v>0.0</v>
      </c>
      <c r="N511" s="3">
        <v>1728.0983</v>
      </c>
      <c r="O511" s="3">
        <v>239.0</v>
      </c>
      <c r="P511" s="3" t="e">
        <v>#N/A</v>
      </c>
      <c r="Q511" s="3">
        <v>41.0</v>
      </c>
      <c r="R511" s="3">
        <v>40.0</v>
      </c>
      <c r="S511" s="3">
        <v>44.0</v>
      </c>
      <c r="T511" s="3">
        <v>38.0</v>
      </c>
      <c r="U511" s="3">
        <v>40.0</v>
      </c>
      <c r="V511" s="3">
        <v>40.0</v>
      </c>
      <c r="W511" s="3">
        <v>40.0</v>
      </c>
      <c r="X511" s="3">
        <v>37.0</v>
      </c>
      <c r="Y511" s="3">
        <v>47.0</v>
      </c>
      <c r="Z511" s="3">
        <v>37.0</v>
      </c>
      <c r="AA511" s="3">
        <v>35.0</v>
      </c>
      <c r="AB511" s="3">
        <v>34.0</v>
      </c>
      <c r="AC511" s="3">
        <v>46.0</v>
      </c>
      <c r="AD511" s="3">
        <v>51.0</v>
      </c>
      <c r="AE511" s="3">
        <v>48.0</v>
      </c>
      <c r="AF511" s="3">
        <v>52.0</v>
      </c>
      <c r="AG511" s="3">
        <v>58.0</v>
      </c>
      <c r="AH511" s="3">
        <v>69.0</v>
      </c>
      <c r="AI511" s="3">
        <v>34.0</v>
      </c>
      <c r="AJ511" s="3">
        <v>15.0</v>
      </c>
      <c r="AK511" s="3">
        <v>59.0</v>
      </c>
      <c r="AL511" s="3">
        <v>73.0</v>
      </c>
      <c r="AM511" s="3">
        <v>12.0</v>
      </c>
      <c r="AN511" s="3">
        <v>43.0</v>
      </c>
    </row>
    <row r="512" ht="14.25" customHeight="1">
      <c r="A512" s="3">
        <v>510.0</v>
      </c>
      <c r="B512" s="3" t="s">
        <v>6986</v>
      </c>
      <c r="C512" s="3">
        <v>24.0</v>
      </c>
      <c r="D512" s="3" t="s">
        <v>6645</v>
      </c>
      <c r="E512" s="3" t="s">
        <v>6646</v>
      </c>
      <c r="F512" s="3" t="s">
        <v>6646</v>
      </c>
      <c r="G512" s="3" t="s">
        <v>6645</v>
      </c>
      <c r="H512" s="3" t="s">
        <v>6645</v>
      </c>
      <c r="I512" s="3" t="s">
        <v>6646</v>
      </c>
      <c r="J512" s="3">
        <v>16.0</v>
      </c>
      <c r="K512" s="3">
        <v>1.0</v>
      </c>
      <c r="L512" s="3">
        <v>0.0</v>
      </c>
      <c r="M512" s="3">
        <v>0.0</v>
      </c>
      <c r="N512" s="3">
        <v>1565.95</v>
      </c>
      <c r="O512" s="3">
        <v>243.0</v>
      </c>
      <c r="P512" s="3" t="e">
        <v>#N/A</v>
      </c>
      <c r="Q512" s="3">
        <v>43.0</v>
      </c>
      <c r="R512" s="3">
        <v>37.0</v>
      </c>
      <c r="S512" s="3">
        <v>39.0</v>
      </c>
      <c r="T512" s="3">
        <v>43.0</v>
      </c>
      <c r="U512" s="3">
        <v>43.0</v>
      </c>
      <c r="V512" s="3">
        <v>41.0</v>
      </c>
      <c r="W512" s="3">
        <v>33.0</v>
      </c>
      <c r="X512" s="3">
        <v>34.0</v>
      </c>
      <c r="Y512" s="3">
        <v>47.0</v>
      </c>
      <c r="Z512" s="3">
        <v>38.0</v>
      </c>
      <c r="AA512" s="3">
        <v>32.0</v>
      </c>
      <c r="AB512" s="3">
        <v>42.0</v>
      </c>
      <c r="AC512" s="3">
        <v>39.0</v>
      </c>
      <c r="AD512" s="3">
        <v>52.0</v>
      </c>
      <c r="AE512" s="3">
        <v>55.0</v>
      </c>
      <c r="AF512" s="3">
        <v>59.0</v>
      </c>
      <c r="AG512" s="3">
        <v>60.0</v>
      </c>
      <c r="AH512" s="3">
        <v>77.0</v>
      </c>
      <c r="AI512" s="3">
        <v>43.0</v>
      </c>
      <c r="AJ512" s="3">
        <v>41.0</v>
      </c>
      <c r="AK512" s="3">
        <v>31.0</v>
      </c>
      <c r="AL512" s="3">
        <v>72.0</v>
      </c>
      <c r="AM512" s="3">
        <v>43.0</v>
      </c>
      <c r="AN512" s="3">
        <v>51.0</v>
      </c>
    </row>
    <row r="513" ht="14.25" customHeight="1">
      <c r="A513" s="3">
        <v>511.0</v>
      </c>
      <c r="B513" s="3" t="s">
        <v>6987</v>
      </c>
      <c r="C513" s="3">
        <v>22.0</v>
      </c>
      <c r="D513" s="3" t="s">
        <v>6645</v>
      </c>
      <c r="E513" s="3" t="s">
        <v>6646</v>
      </c>
      <c r="F513" s="3" t="s">
        <v>6646</v>
      </c>
      <c r="G513" s="3" t="s">
        <v>6645</v>
      </c>
      <c r="H513" s="3" t="s">
        <v>6645</v>
      </c>
      <c r="I513" s="3" t="s">
        <v>6645</v>
      </c>
      <c r="J513" s="3">
        <v>16.0</v>
      </c>
      <c r="K513" s="3">
        <v>1.0</v>
      </c>
      <c r="L513" s="3">
        <v>0.0</v>
      </c>
      <c r="M513" s="3">
        <v>0.0</v>
      </c>
      <c r="N513" s="3">
        <v>1623.2034</v>
      </c>
      <c r="O513" s="3">
        <v>203.0</v>
      </c>
      <c r="P513" s="3" t="e">
        <v>#N/A</v>
      </c>
      <c r="Q513" s="3">
        <v>41.0</v>
      </c>
      <c r="R513" s="3">
        <v>43.0</v>
      </c>
      <c r="S513" s="3">
        <v>38.0</v>
      </c>
      <c r="T513" s="3">
        <v>45.0</v>
      </c>
      <c r="U513" s="3">
        <v>45.0</v>
      </c>
      <c r="V513" s="3">
        <v>43.0</v>
      </c>
      <c r="W513" s="3">
        <v>45.0</v>
      </c>
      <c r="X513" s="3">
        <v>40.0</v>
      </c>
      <c r="Y513" s="3">
        <v>48.0</v>
      </c>
      <c r="Z513" s="3">
        <v>44.0</v>
      </c>
      <c r="AA513" s="3">
        <v>40.0</v>
      </c>
      <c r="AB513" s="3">
        <v>28.0</v>
      </c>
      <c r="AC513" s="3">
        <v>38.0</v>
      </c>
      <c r="AD513" s="3">
        <v>44.0</v>
      </c>
      <c r="AE513" s="3">
        <v>54.0</v>
      </c>
      <c r="AF513" s="3">
        <v>57.0</v>
      </c>
      <c r="AG513" s="3">
        <v>39.0</v>
      </c>
      <c r="AH513" s="3">
        <v>67.0</v>
      </c>
      <c r="AI513" s="3">
        <v>28.0</v>
      </c>
      <c r="AJ513" s="3">
        <v>56.0</v>
      </c>
      <c r="AK513" s="3">
        <v>34.0</v>
      </c>
      <c r="AL513" s="3">
        <v>78.0</v>
      </c>
      <c r="AM513" s="3">
        <v>44.0</v>
      </c>
      <c r="AN513" s="3">
        <v>41.0</v>
      </c>
    </row>
    <row r="514" ht="14.25" customHeight="1">
      <c r="A514" s="3">
        <v>512.0</v>
      </c>
      <c r="B514" s="3" t="s">
        <v>6988</v>
      </c>
      <c r="C514" s="3">
        <v>29.0</v>
      </c>
      <c r="D514" s="3" t="s">
        <v>6645</v>
      </c>
      <c r="E514" s="3" t="s">
        <v>6646</v>
      </c>
      <c r="F514" s="3" t="s">
        <v>6646</v>
      </c>
      <c r="G514" s="3" t="s">
        <v>6645</v>
      </c>
      <c r="H514" s="3" t="s">
        <v>6645</v>
      </c>
      <c r="I514" s="3" t="s">
        <v>6645</v>
      </c>
      <c r="J514" s="3">
        <v>16.0</v>
      </c>
      <c r="K514" s="3">
        <v>1.0</v>
      </c>
      <c r="L514" s="3">
        <v>0.0</v>
      </c>
      <c r="M514" s="3">
        <v>0.0</v>
      </c>
      <c r="N514" s="3">
        <v>1836.1063</v>
      </c>
      <c r="O514" s="3">
        <v>179.0</v>
      </c>
      <c r="P514" s="3" t="e">
        <v>#N/A</v>
      </c>
      <c r="Q514" s="3">
        <v>41.0</v>
      </c>
      <c r="R514" s="3">
        <v>45.0</v>
      </c>
      <c r="S514" s="3">
        <v>43.0</v>
      </c>
      <c r="T514" s="3">
        <v>39.0</v>
      </c>
      <c r="U514" s="3">
        <v>41.0</v>
      </c>
      <c r="V514" s="3">
        <v>38.0</v>
      </c>
      <c r="W514" s="3">
        <v>41.0</v>
      </c>
      <c r="X514" s="3">
        <v>34.0</v>
      </c>
      <c r="Y514" s="3">
        <v>50.0</v>
      </c>
      <c r="Z514" s="3">
        <v>36.0</v>
      </c>
      <c r="AA514" s="3">
        <v>45.0</v>
      </c>
      <c r="AB514" s="3">
        <v>39.0</v>
      </c>
      <c r="AC514" s="3">
        <v>31.0</v>
      </c>
      <c r="AD514" s="3">
        <v>48.0</v>
      </c>
      <c r="AE514" s="3">
        <v>47.0</v>
      </c>
      <c r="AF514" s="3">
        <v>28.0</v>
      </c>
      <c r="AG514" s="3">
        <v>62.0</v>
      </c>
      <c r="AH514" s="3">
        <v>71.0</v>
      </c>
      <c r="AI514" s="3">
        <v>45.0</v>
      </c>
      <c r="AJ514" s="3">
        <v>12.0</v>
      </c>
      <c r="AK514" s="3">
        <v>38.0</v>
      </c>
      <c r="AL514" s="3">
        <v>77.0</v>
      </c>
      <c r="AM514" s="3">
        <v>58.0</v>
      </c>
      <c r="AN514" s="3">
        <v>41.0</v>
      </c>
    </row>
    <row r="515" ht="14.25" customHeight="1">
      <c r="A515" s="3">
        <v>513.0</v>
      </c>
      <c r="B515" s="3" t="s">
        <v>6989</v>
      </c>
      <c r="C515" s="3">
        <v>28.0</v>
      </c>
      <c r="D515" s="3" t="s">
        <v>6645</v>
      </c>
      <c r="E515" s="3" t="s">
        <v>6646</v>
      </c>
      <c r="F515" s="3" t="s">
        <v>6646</v>
      </c>
      <c r="G515" s="3" t="s">
        <v>6645</v>
      </c>
      <c r="H515" s="3" t="s">
        <v>6645</v>
      </c>
      <c r="I515" s="3" t="s">
        <v>6646</v>
      </c>
      <c r="J515" s="3">
        <v>16.0</v>
      </c>
      <c r="K515" s="3">
        <v>1.0</v>
      </c>
      <c r="L515" s="3">
        <v>0.0</v>
      </c>
      <c r="M515" s="3">
        <v>0.0</v>
      </c>
      <c r="N515" s="3">
        <v>1665.24</v>
      </c>
      <c r="O515" s="3">
        <v>207.0</v>
      </c>
      <c r="P515" s="3" t="e">
        <v>#N/A</v>
      </c>
      <c r="Q515" s="3">
        <v>45.0</v>
      </c>
      <c r="R515" s="3">
        <v>41.0</v>
      </c>
      <c r="S515" s="3">
        <v>41.0</v>
      </c>
      <c r="T515" s="3">
        <v>44.0</v>
      </c>
      <c r="U515" s="3">
        <v>43.0</v>
      </c>
      <c r="V515" s="3">
        <v>41.0</v>
      </c>
      <c r="W515" s="3">
        <v>43.0</v>
      </c>
      <c r="X515" s="3">
        <v>45.0</v>
      </c>
      <c r="Y515" s="3">
        <v>52.0</v>
      </c>
      <c r="Z515" s="3">
        <v>32.0</v>
      </c>
      <c r="AA515" s="3">
        <v>38.0</v>
      </c>
      <c r="AB515" s="3">
        <v>31.0</v>
      </c>
      <c r="AC515" s="3">
        <v>38.0</v>
      </c>
      <c r="AD515" s="3">
        <v>50.0</v>
      </c>
      <c r="AE515" s="3">
        <v>48.0</v>
      </c>
      <c r="AF515" s="3">
        <v>37.0</v>
      </c>
      <c r="AG515" s="3">
        <v>39.0</v>
      </c>
      <c r="AH515" s="3">
        <v>73.0</v>
      </c>
      <c r="AI515" s="3">
        <v>58.0</v>
      </c>
      <c r="AJ515" s="3">
        <v>35.0</v>
      </c>
      <c r="AK515" s="3">
        <v>4.0</v>
      </c>
      <c r="AL515" s="3">
        <v>70.0</v>
      </c>
      <c r="AM515" s="3">
        <v>58.0</v>
      </c>
      <c r="AN515" s="3">
        <v>24.0</v>
      </c>
    </row>
    <row r="516" ht="14.25" customHeight="1">
      <c r="A516" s="3">
        <v>514.0</v>
      </c>
      <c r="B516" s="3" t="s">
        <v>6990</v>
      </c>
      <c r="C516" s="3">
        <v>15.0</v>
      </c>
      <c r="D516" s="3" t="s">
        <v>6645</v>
      </c>
      <c r="E516" s="3" t="s">
        <v>6646</v>
      </c>
      <c r="F516" s="3" t="s">
        <v>6646</v>
      </c>
      <c r="G516" s="3" t="s">
        <v>6645</v>
      </c>
      <c r="H516" s="3" t="s">
        <v>6645</v>
      </c>
      <c r="I516" s="3" t="s">
        <v>6646</v>
      </c>
      <c r="J516" s="3">
        <v>16.0</v>
      </c>
      <c r="K516" s="3">
        <v>0.0</v>
      </c>
      <c r="L516" s="3">
        <v>0.0</v>
      </c>
      <c r="M516" s="3">
        <v>0.0</v>
      </c>
      <c r="N516" s="3">
        <v>572.222</v>
      </c>
      <c r="O516" s="3">
        <v>99.0</v>
      </c>
      <c r="P516" s="3" t="e">
        <v>#N/A</v>
      </c>
      <c r="Q516" s="3">
        <v>38.0</v>
      </c>
      <c r="R516" s="3">
        <v>38.0</v>
      </c>
      <c r="S516" s="3">
        <v>37.0</v>
      </c>
      <c r="T516" s="3">
        <v>31.0</v>
      </c>
      <c r="U516" s="3">
        <v>34.0</v>
      </c>
      <c r="V516" s="3">
        <v>32.0</v>
      </c>
      <c r="W516" s="3">
        <v>35.0</v>
      </c>
      <c r="X516" s="3">
        <v>28.0</v>
      </c>
      <c r="Y516" s="3">
        <v>46.0</v>
      </c>
      <c r="Z516" s="3">
        <v>38.0</v>
      </c>
      <c r="AA516" s="3">
        <v>34.0</v>
      </c>
      <c r="AB516" s="3">
        <v>26.0</v>
      </c>
      <c r="AC516" s="3">
        <v>23.0</v>
      </c>
      <c r="AD516" s="3">
        <v>42.0</v>
      </c>
      <c r="AE516" s="3">
        <v>42.0</v>
      </c>
      <c r="AF516" s="3">
        <v>55.0</v>
      </c>
      <c r="AG516" s="3">
        <v>26.0</v>
      </c>
      <c r="AH516" s="3">
        <v>74.0</v>
      </c>
      <c r="AI516" s="3">
        <v>56.0</v>
      </c>
      <c r="AJ516" s="3">
        <v>30.0</v>
      </c>
      <c r="AK516" s="3">
        <v>35.0</v>
      </c>
      <c r="AL516" s="3">
        <v>69.0</v>
      </c>
      <c r="AM516" s="3">
        <v>31.0</v>
      </c>
      <c r="AN516" s="3">
        <v>33.0</v>
      </c>
    </row>
    <row r="517" ht="14.25" customHeight="1">
      <c r="A517" s="3">
        <v>515.0</v>
      </c>
      <c r="B517" s="3" t="s">
        <v>6991</v>
      </c>
      <c r="C517" s="3">
        <v>19.0</v>
      </c>
      <c r="D517" s="3" t="s">
        <v>6645</v>
      </c>
      <c r="E517" s="3" t="s">
        <v>6646</v>
      </c>
      <c r="F517" s="3" t="s">
        <v>6646</v>
      </c>
      <c r="G517" s="3" t="s">
        <v>6645</v>
      </c>
      <c r="H517" s="3" t="s">
        <v>6645</v>
      </c>
      <c r="I517" s="3" t="s">
        <v>6646</v>
      </c>
      <c r="J517" s="3">
        <v>16.0</v>
      </c>
      <c r="K517" s="3">
        <v>0.0</v>
      </c>
      <c r="L517" s="3">
        <v>0.0</v>
      </c>
      <c r="M517" s="3">
        <v>0.0</v>
      </c>
      <c r="N517" s="3">
        <v>431.07214</v>
      </c>
      <c r="O517" s="3">
        <v>118.0</v>
      </c>
      <c r="P517" s="3" t="e">
        <v>#N/A</v>
      </c>
      <c r="Q517" s="3">
        <v>30.0</v>
      </c>
      <c r="R517" s="3">
        <v>39.0</v>
      </c>
      <c r="S517" s="3">
        <v>34.0</v>
      </c>
      <c r="T517" s="3">
        <v>33.0</v>
      </c>
      <c r="U517" s="3">
        <v>30.0</v>
      </c>
      <c r="V517" s="3">
        <v>34.0</v>
      </c>
      <c r="W517" s="3">
        <v>30.0</v>
      </c>
      <c r="X517" s="3">
        <v>24.0</v>
      </c>
      <c r="Y517" s="3">
        <v>42.0</v>
      </c>
      <c r="Z517" s="3">
        <v>37.0</v>
      </c>
      <c r="AA517" s="3">
        <v>24.0</v>
      </c>
      <c r="AB517" s="3">
        <v>28.0</v>
      </c>
      <c r="AC517" s="3">
        <v>34.0</v>
      </c>
      <c r="AD517" s="3">
        <v>47.0</v>
      </c>
      <c r="AE517" s="3">
        <v>36.0</v>
      </c>
      <c r="AF517" s="3">
        <v>9.0</v>
      </c>
      <c r="AG517" s="3">
        <v>51.0</v>
      </c>
      <c r="AH517" s="3">
        <v>77.0</v>
      </c>
      <c r="AI517" s="3">
        <v>53.0</v>
      </c>
      <c r="AJ517" s="3">
        <v>55.0</v>
      </c>
      <c r="AK517" s="3">
        <v>33.0</v>
      </c>
      <c r="AL517" s="3">
        <v>67.0</v>
      </c>
      <c r="AM517" s="3">
        <v>48.0</v>
      </c>
      <c r="AN517" s="3">
        <v>13.0</v>
      </c>
    </row>
    <row r="518" ht="14.25" customHeight="1">
      <c r="A518" s="3">
        <v>516.0</v>
      </c>
      <c r="B518" s="3" t="s">
        <v>6992</v>
      </c>
      <c r="C518" s="3">
        <v>24.0</v>
      </c>
      <c r="D518" s="3" t="s">
        <v>6645</v>
      </c>
      <c r="E518" s="3" t="s">
        <v>6646</v>
      </c>
      <c r="F518" s="3" t="s">
        <v>6646</v>
      </c>
      <c r="G518" s="3" t="s">
        <v>6645</v>
      </c>
      <c r="H518" s="3" t="s">
        <v>6645</v>
      </c>
      <c r="I518" s="3" t="s">
        <v>6645</v>
      </c>
      <c r="J518" s="3">
        <v>16.0</v>
      </c>
      <c r="K518" s="3">
        <v>0.0</v>
      </c>
      <c r="L518" s="3">
        <v>0.0</v>
      </c>
      <c r="M518" s="3">
        <v>0.0</v>
      </c>
      <c r="N518" s="3">
        <v>515.849</v>
      </c>
      <c r="O518" s="3">
        <v>120.0</v>
      </c>
      <c r="P518" s="3" t="e">
        <v>#N/A</v>
      </c>
      <c r="Q518" s="3">
        <v>33.0</v>
      </c>
      <c r="R518" s="3">
        <v>36.0</v>
      </c>
      <c r="S518" s="3">
        <v>31.0</v>
      </c>
      <c r="T518" s="3">
        <v>32.0</v>
      </c>
      <c r="U518" s="3">
        <v>31.0</v>
      </c>
      <c r="V518" s="3">
        <v>39.0</v>
      </c>
      <c r="W518" s="3">
        <v>36.0</v>
      </c>
      <c r="X518" s="3">
        <v>34.0</v>
      </c>
      <c r="Y518" s="3">
        <v>46.0</v>
      </c>
      <c r="Z518" s="3">
        <v>31.0</v>
      </c>
      <c r="AA518" s="3">
        <v>23.0</v>
      </c>
      <c r="AB518" s="3">
        <v>34.0</v>
      </c>
      <c r="AC518" s="3">
        <v>37.0</v>
      </c>
      <c r="AD518" s="3">
        <v>38.0</v>
      </c>
      <c r="AE518" s="3">
        <v>35.0</v>
      </c>
      <c r="AF518" s="3">
        <v>5.0</v>
      </c>
      <c r="AG518" s="3">
        <v>50.0</v>
      </c>
      <c r="AH518" s="3">
        <v>62.0</v>
      </c>
      <c r="AI518" s="3">
        <v>35.0</v>
      </c>
      <c r="AJ518" s="3">
        <v>39.0</v>
      </c>
      <c r="AK518" s="3">
        <v>41.0</v>
      </c>
      <c r="AL518" s="3">
        <v>69.0</v>
      </c>
      <c r="AM518" s="3">
        <v>40.0</v>
      </c>
      <c r="AN518" s="3">
        <v>4.0</v>
      </c>
    </row>
    <row r="519" ht="14.25" customHeight="1">
      <c r="A519" s="3">
        <v>517.0</v>
      </c>
      <c r="B519" s="3" t="s">
        <v>6993</v>
      </c>
      <c r="C519" s="3">
        <v>22.0</v>
      </c>
      <c r="D519" s="3" t="s">
        <v>6645</v>
      </c>
      <c r="E519" s="3" t="s">
        <v>6646</v>
      </c>
      <c r="F519" s="3" t="s">
        <v>6646</v>
      </c>
      <c r="G519" s="3" t="s">
        <v>6645</v>
      </c>
      <c r="H519" s="3" t="s">
        <v>6645</v>
      </c>
      <c r="I519" s="3" t="s">
        <v>6645</v>
      </c>
      <c r="J519" s="3">
        <v>16.0</v>
      </c>
      <c r="K519" s="3">
        <v>0.0</v>
      </c>
      <c r="L519" s="3">
        <v>0.0</v>
      </c>
      <c r="M519" s="3">
        <v>0.0</v>
      </c>
      <c r="N519" s="3">
        <v>637.66693</v>
      </c>
      <c r="O519" s="3">
        <v>108.0</v>
      </c>
      <c r="P519" s="3" t="e">
        <v>#N/A</v>
      </c>
      <c r="Q519" s="3">
        <v>30.0</v>
      </c>
      <c r="R519" s="3">
        <v>31.0</v>
      </c>
      <c r="S519" s="3">
        <v>37.0</v>
      </c>
      <c r="T519" s="3">
        <v>37.0</v>
      </c>
      <c r="U519" s="3">
        <v>39.0</v>
      </c>
      <c r="V519" s="3">
        <v>34.0</v>
      </c>
      <c r="W519" s="3">
        <v>38.0</v>
      </c>
      <c r="X519" s="3">
        <v>36.0</v>
      </c>
      <c r="Y519" s="3">
        <v>37.0</v>
      </c>
      <c r="Z519" s="3">
        <v>26.0</v>
      </c>
      <c r="AA519" s="3">
        <v>23.0</v>
      </c>
      <c r="AB519" s="3">
        <v>31.0</v>
      </c>
      <c r="AC519" s="3">
        <v>33.0</v>
      </c>
      <c r="AD519" s="3">
        <v>44.0</v>
      </c>
      <c r="AE519" s="3">
        <v>44.0</v>
      </c>
      <c r="AF519" s="3">
        <v>24.0</v>
      </c>
      <c r="AG519" s="3">
        <v>31.0</v>
      </c>
      <c r="AH519" s="3">
        <v>75.0</v>
      </c>
      <c r="AI519" s="3">
        <v>11.0</v>
      </c>
      <c r="AJ519" s="3">
        <v>58.0</v>
      </c>
      <c r="AK519" s="3">
        <v>34.0</v>
      </c>
      <c r="AL519" s="3">
        <v>74.0</v>
      </c>
      <c r="AM519" s="3">
        <v>40.0</v>
      </c>
      <c r="AN519" s="3">
        <v>31.0</v>
      </c>
    </row>
    <row r="520" ht="14.25" customHeight="1">
      <c r="A520" s="3">
        <v>518.0</v>
      </c>
      <c r="B520" s="3" t="s">
        <v>6994</v>
      </c>
      <c r="C520" s="3">
        <v>18.0</v>
      </c>
      <c r="D520" s="3" t="s">
        <v>6645</v>
      </c>
      <c r="E520" s="3" t="s">
        <v>6646</v>
      </c>
      <c r="F520" s="3" t="s">
        <v>6646</v>
      </c>
      <c r="G520" s="3" t="s">
        <v>6645</v>
      </c>
      <c r="H520" s="3" t="s">
        <v>6645</v>
      </c>
      <c r="I520" s="3" t="s">
        <v>6646</v>
      </c>
      <c r="J520" s="3">
        <v>16.0</v>
      </c>
      <c r="K520" s="3">
        <v>0.0</v>
      </c>
      <c r="L520" s="3">
        <v>0.0</v>
      </c>
      <c r="M520" s="3">
        <v>0.0</v>
      </c>
      <c r="N520" s="3">
        <v>597.19403</v>
      </c>
      <c r="O520" s="3">
        <v>79.0</v>
      </c>
      <c r="P520" s="3" t="e">
        <v>#N/A</v>
      </c>
      <c r="Q520" s="3">
        <v>33.0</v>
      </c>
      <c r="R520" s="3">
        <v>39.0</v>
      </c>
      <c r="S520" s="3">
        <v>34.0</v>
      </c>
      <c r="T520" s="3">
        <v>30.0</v>
      </c>
      <c r="U520" s="3">
        <v>34.0</v>
      </c>
      <c r="V520" s="3">
        <v>32.0</v>
      </c>
      <c r="W520" s="3">
        <v>34.0</v>
      </c>
      <c r="X520" s="3">
        <v>36.0</v>
      </c>
      <c r="Y520" s="3">
        <v>42.0</v>
      </c>
      <c r="Z520" s="3">
        <v>29.0</v>
      </c>
      <c r="AA520" s="3">
        <v>26.0</v>
      </c>
      <c r="AB520" s="3">
        <v>37.0</v>
      </c>
      <c r="AC520" s="3">
        <v>28.0</v>
      </c>
      <c r="AD520" s="3">
        <v>38.0</v>
      </c>
      <c r="AE520" s="3">
        <v>39.0</v>
      </c>
      <c r="AF520" s="3">
        <v>41.0</v>
      </c>
      <c r="AG520" s="3">
        <v>34.0</v>
      </c>
      <c r="AH520" s="3">
        <v>73.0</v>
      </c>
      <c r="AI520" s="3">
        <v>35.0</v>
      </c>
      <c r="AJ520" s="3">
        <v>30.0</v>
      </c>
      <c r="AK520" s="3">
        <v>10.0</v>
      </c>
      <c r="AL520" s="3">
        <v>69.0</v>
      </c>
      <c r="AM520" s="3">
        <v>53.0</v>
      </c>
      <c r="AN520" s="3">
        <v>56.0</v>
      </c>
    </row>
    <row r="521" ht="14.25" customHeight="1">
      <c r="A521" s="3">
        <v>519.0</v>
      </c>
      <c r="B521" s="3" t="s">
        <v>6995</v>
      </c>
      <c r="C521" s="3">
        <v>40.0</v>
      </c>
      <c r="D521" s="3" t="s">
        <v>6645</v>
      </c>
      <c r="E521" s="3" t="s">
        <v>6646</v>
      </c>
      <c r="F521" s="3" t="s">
        <v>6646</v>
      </c>
      <c r="G521" s="3" t="s">
        <v>6645</v>
      </c>
      <c r="H521" s="3" t="s">
        <v>6645</v>
      </c>
      <c r="I521" s="3" t="s">
        <v>6645</v>
      </c>
      <c r="J521" s="3">
        <v>17.0</v>
      </c>
      <c r="K521" s="3">
        <v>4.0</v>
      </c>
      <c r="L521" s="3">
        <v>0.0</v>
      </c>
      <c r="M521" s="3">
        <v>0.0</v>
      </c>
      <c r="N521" s="3">
        <v>11591.765</v>
      </c>
      <c r="O521" s="3">
        <v>1757.0</v>
      </c>
      <c r="P521" s="3" t="e">
        <v>#N/A</v>
      </c>
      <c r="Q521" s="3">
        <v>62.0</v>
      </c>
      <c r="R521" s="3">
        <v>62.0</v>
      </c>
      <c r="S521" s="3">
        <v>80.0</v>
      </c>
      <c r="T521" s="3">
        <v>73.0</v>
      </c>
      <c r="U521" s="3">
        <v>59.0</v>
      </c>
      <c r="V521" s="3">
        <v>62.0</v>
      </c>
      <c r="W521" s="3">
        <v>65.0</v>
      </c>
      <c r="X521" s="3">
        <v>66.0</v>
      </c>
      <c r="Y521" s="3">
        <v>67.0</v>
      </c>
      <c r="Z521" s="3">
        <v>65.0</v>
      </c>
      <c r="AA521" s="3">
        <v>53.0</v>
      </c>
      <c r="AB521" s="3">
        <v>65.0</v>
      </c>
      <c r="AC521" s="3">
        <v>77.0</v>
      </c>
      <c r="AD521" s="3">
        <v>56.0</v>
      </c>
      <c r="AE521" s="3">
        <v>91.0</v>
      </c>
      <c r="AF521" s="3">
        <v>46.0</v>
      </c>
      <c r="AG521" s="3">
        <v>49.0</v>
      </c>
      <c r="AH521" s="3">
        <v>60.0</v>
      </c>
      <c r="AI521" s="3">
        <v>65.0</v>
      </c>
      <c r="AJ521" s="3">
        <v>41.0</v>
      </c>
      <c r="AK521" s="3">
        <v>23.0</v>
      </c>
      <c r="AL521" s="3">
        <v>89.0</v>
      </c>
      <c r="AM521" s="3">
        <v>44.0</v>
      </c>
      <c r="AN521" s="3">
        <v>59.0</v>
      </c>
    </row>
    <row r="522" ht="14.25" customHeight="1">
      <c r="A522" s="3">
        <v>520.0</v>
      </c>
      <c r="B522" s="3" t="s">
        <v>6996</v>
      </c>
      <c r="C522" s="3">
        <v>44.0</v>
      </c>
      <c r="D522" s="3" t="s">
        <v>6645</v>
      </c>
      <c r="E522" s="3" t="s">
        <v>6646</v>
      </c>
      <c r="F522" s="3" t="s">
        <v>6646</v>
      </c>
      <c r="G522" s="3" t="s">
        <v>6645</v>
      </c>
      <c r="H522" s="3" t="s">
        <v>6645</v>
      </c>
      <c r="I522" s="3" t="s">
        <v>6645</v>
      </c>
      <c r="J522" s="3">
        <v>17.0</v>
      </c>
      <c r="K522" s="3">
        <v>4.0</v>
      </c>
      <c r="L522" s="3">
        <v>0.0</v>
      </c>
      <c r="M522" s="3">
        <v>0.0</v>
      </c>
      <c r="N522" s="3">
        <v>10489.62</v>
      </c>
      <c r="O522" s="3">
        <v>1595.0</v>
      </c>
      <c r="P522" s="3" t="e">
        <v>#N/A</v>
      </c>
      <c r="Q522" s="3">
        <v>57.0</v>
      </c>
      <c r="R522" s="3">
        <v>62.0</v>
      </c>
      <c r="S522" s="3">
        <v>78.0</v>
      </c>
      <c r="T522" s="3">
        <v>74.0</v>
      </c>
      <c r="U522" s="3">
        <v>60.0</v>
      </c>
      <c r="V522" s="3">
        <v>63.0</v>
      </c>
      <c r="W522" s="3">
        <v>64.0</v>
      </c>
      <c r="X522" s="3">
        <v>64.0</v>
      </c>
      <c r="Y522" s="3">
        <v>62.0</v>
      </c>
      <c r="Z522" s="3">
        <v>65.0</v>
      </c>
      <c r="AA522" s="3">
        <v>58.0</v>
      </c>
      <c r="AB522" s="3">
        <v>60.0</v>
      </c>
      <c r="AC522" s="3">
        <v>72.0</v>
      </c>
      <c r="AD522" s="3">
        <v>59.0</v>
      </c>
      <c r="AE522" s="3">
        <v>90.0</v>
      </c>
      <c r="AF522" s="3">
        <v>60.0</v>
      </c>
      <c r="AG522" s="3">
        <v>48.0</v>
      </c>
      <c r="AH522" s="3">
        <v>62.0</v>
      </c>
      <c r="AI522" s="3">
        <v>49.0</v>
      </c>
      <c r="AJ522" s="3">
        <v>49.0</v>
      </c>
      <c r="AK522" s="3">
        <v>33.0</v>
      </c>
      <c r="AL522" s="3">
        <v>90.0</v>
      </c>
      <c r="AM522" s="3">
        <v>69.0</v>
      </c>
      <c r="AN522" s="3">
        <v>67.0</v>
      </c>
    </row>
    <row r="523" ht="14.25" customHeight="1">
      <c r="A523" s="3">
        <v>521.0</v>
      </c>
      <c r="B523" s="3" t="s">
        <v>6997</v>
      </c>
      <c r="C523" s="3">
        <v>38.0</v>
      </c>
      <c r="D523" s="3" t="s">
        <v>6645</v>
      </c>
      <c r="E523" s="3" t="s">
        <v>6646</v>
      </c>
      <c r="F523" s="3" t="s">
        <v>6646</v>
      </c>
      <c r="G523" s="3" t="s">
        <v>6645</v>
      </c>
      <c r="H523" s="3" t="s">
        <v>6645</v>
      </c>
      <c r="I523" s="3" t="s">
        <v>6646</v>
      </c>
      <c r="J523" s="3">
        <v>17.0</v>
      </c>
      <c r="K523" s="3">
        <v>4.0</v>
      </c>
      <c r="L523" s="3">
        <v>0.0</v>
      </c>
      <c r="M523" s="3">
        <v>0.0</v>
      </c>
      <c r="N523" s="3">
        <v>11118.812</v>
      </c>
      <c r="O523" s="3">
        <v>1415.0</v>
      </c>
      <c r="P523" s="3" t="e">
        <v>#N/A</v>
      </c>
      <c r="Q523" s="3">
        <v>64.0</v>
      </c>
      <c r="R523" s="3">
        <v>60.0</v>
      </c>
      <c r="S523" s="3">
        <v>78.0</v>
      </c>
      <c r="T523" s="3">
        <v>81.0</v>
      </c>
      <c r="U523" s="3">
        <v>63.0</v>
      </c>
      <c r="V523" s="3">
        <v>61.0</v>
      </c>
      <c r="W523" s="3">
        <v>59.0</v>
      </c>
      <c r="X523" s="3">
        <v>66.0</v>
      </c>
      <c r="Y523" s="3">
        <v>67.0</v>
      </c>
      <c r="Z523" s="3">
        <v>56.0</v>
      </c>
      <c r="AA523" s="3">
        <v>59.0</v>
      </c>
      <c r="AB523" s="3">
        <v>51.0</v>
      </c>
      <c r="AC523" s="3">
        <v>76.0</v>
      </c>
      <c r="AD523" s="3">
        <v>52.0</v>
      </c>
      <c r="AE523" s="3">
        <v>81.0</v>
      </c>
      <c r="AF523" s="3">
        <v>49.0</v>
      </c>
      <c r="AG523" s="3">
        <v>24.0</v>
      </c>
      <c r="AH523" s="3">
        <v>64.0</v>
      </c>
      <c r="AI523" s="3">
        <v>59.0</v>
      </c>
      <c r="AJ523" s="3">
        <v>51.0</v>
      </c>
      <c r="AK523" s="3">
        <v>58.0</v>
      </c>
      <c r="AL523" s="3">
        <v>100.0</v>
      </c>
      <c r="AM523" s="3">
        <v>65.0</v>
      </c>
      <c r="AN523" s="3">
        <v>52.0</v>
      </c>
    </row>
    <row r="524" ht="14.25" customHeight="1">
      <c r="A524" s="3">
        <v>522.0</v>
      </c>
      <c r="B524" s="3" t="s">
        <v>6998</v>
      </c>
      <c r="C524" s="3">
        <v>32.0</v>
      </c>
      <c r="D524" s="3" t="s">
        <v>6645</v>
      </c>
      <c r="E524" s="3" t="s">
        <v>6646</v>
      </c>
      <c r="F524" s="3" t="s">
        <v>6646</v>
      </c>
      <c r="G524" s="3" t="s">
        <v>6645</v>
      </c>
      <c r="H524" s="3" t="s">
        <v>6645</v>
      </c>
      <c r="I524" s="3" t="s">
        <v>6646</v>
      </c>
      <c r="J524" s="3">
        <v>17.0</v>
      </c>
      <c r="K524" s="3">
        <v>3.0</v>
      </c>
      <c r="L524" s="3">
        <v>0.0</v>
      </c>
      <c r="M524" s="3">
        <v>0.0</v>
      </c>
      <c r="N524" s="3">
        <v>7167.0576</v>
      </c>
      <c r="O524" s="3">
        <v>955.0</v>
      </c>
      <c r="P524" s="3" t="e">
        <v>#N/A</v>
      </c>
      <c r="Q524" s="3">
        <v>58.0</v>
      </c>
      <c r="R524" s="3">
        <v>56.0</v>
      </c>
      <c r="S524" s="3">
        <v>66.0</v>
      </c>
      <c r="T524" s="3">
        <v>60.0</v>
      </c>
      <c r="U524" s="3">
        <v>50.0</v>
      </c>
      <c r="V524" s="3">
        <v>58.0</v>
      </c>
      <c r="W524" s="3">
        <v>62.0</v>
      </c>
      <c r="X524" s="3">
        <v>55.0</v>
      </c>
      <c r="Y524" s="3">
        <v>58.0</v>
      </c>
      <c r="Z524" s="3">
        <v>52.0</v>
      </c>
      <c r="AA524" s="3">
        <v>50.0</v>
      </c>
      <c r="AB524" s="3">
        <v>49.0</v>
      </c>
      <c r="AC524" s="3">
        <v>60.0</v>
      </c>
      <c r="AD524" s="3">
        <v>52.0</v>
      </c>
      <c r="AE524" s="3">
        <v>69.0</v>
      </c>
      <c r="AF524" s="3">
        <v>60.0</v>
      </c>
      <c r="AG524" s="3">
        <v>38.0</v>
      </c>
      <c r="AH524" s="3">
        <v>48.0</v>
      </c>
      <c r="AI524" s="3">
        <v>40.0</v>
      </c>
      <c r="AJ524" s="3">
        <v>59.0</v>
      </c>
      <c r="AK524" s="3">
        <v>43.0</v>
      </c>
      <c r="AL524" s="3">
        <v>88.0</v>
      </c>
      <c r="AM524" s="3">
        <v>46.0</v>
      </c>
      <c r="AN524" s="3">
        <v>38.0</v>
      </c>
    </row>
    <row r="525" ht="14.25" customHeight="1">
      <c r="A525" s="3">
        <v>523.0</v>
      </c>
      <c r="B525" s="3" t="s">
        <v>6999</v>
      </c>
      <c r="C525" s="3">
        <v>34.0</v>
      </c>
      <c r="D525" s="3" t="s">
        <v>6645</v>
      </c>
      <c r="E525" s="3" t="s">
        <v>6646</v>
      </c>
      <c r="F525" s="3" t="s">
        <v>6646</v>
      </c>
      <c r="G525" s="3" t="s">
        <v>6645</v>
      </c>
      <c r="H525" s="3" t="s">
        <v>6645</v>
      </c>
      <c r="I525" s="3" t="s">
        <v>6645</v>
      </c>
      <c r="J525" s="3">
        <v>17.0</v>
      </c>
      <c r="K525" s="3">
        <v>3.0</v>
      </c>
      <c r="L525" s="3">
        <v>0.0</v>
      </c>
      <c r="M525" s="3">
        <v>0.0</v>
      </c>
      <c r="N525" s="3">
        <v>6853.79</v>
      </c>
      <c r="O525" s="3">
        <v>615.0</v>
      </c>
      <c r="P525" s="3" t="e">
        <v>#N/A</v>
      </c>
      <c r="Q525" s="3">
        <v>50.0</v>
      </c>
      <c r="R525" s="3">
        <v>56.0</v>
      </c>
      <c r="S525" s="3">
        <v>60.0</v>
      </c>
      <c r="T525" s="3">
        <v>57.0</v>
      </c>
      <c r="U525" s="3">
        <v>56.0</v>
      </c>
      <c r="V525" s="3">
        <v>52.0</v>
      </c>
      <c r="W525" s="3">
        <v>62.0</v>
      </c>
      <c r="X525" s="3">
        <v>58.0</v>
      </c>
      <c r="Y525" s="3">
        <v>63.0</v>
      </c>
      <c r="Z525" s="3">
        <v>50.0</v>
      </c>
      <c r="AA525" s="3">
        <v>43.0</v>
      </c>
      <c r="AB525" s="3">
        <v>48.0</v>
      </c>
      <c r="AC525" s="3">
        <v>61.0</v>
      </c>
      <c r="AD525" s="3">
        <v>52.0</v>
      </c>
      <c r="AE525" s="3">
        <v>70.0</v>
      </c>
      <c r="AF525" s="3">
        <v>47.0</v>
      </c>
      <c r="AG525" s="3">
        <v>64.0</v>
      </c>
      <c r="AH525" s="3">
        <v>64.0</v>
      </c>
      <c r="AI525" s="3">
        <v>38.0</v>
      </c>
      <c r="AJ525" s="3">
        <v>67.0</v>
      </c>
      <c r="AK525" s="3">
        <v>39.0</v>
      </c>
      <c r="AL525" s="3">
        <v>72.0</v>
      </c>
      <c r="AM525" s="3">
        <v>64.0</v>
      </c>
      <c r="AN525" s="3">
        <v>20.0</v>
      </c>
    </row>
    <row r="526" ht="14.25" customHeight="1">
      <c r="A526" s="3">
        <v>524.0</v>
      </c>
      <c r="B526" s="3" t="s">
        <v>7000</v>
      </c>
      <c r="C526" s="3">
        <v>31.0</v>
      </c>
      <c r="D526" s="3" t="s">
        <v>6645</v>
      </c>
      <c r="E526" s="3" t="s">
        <v>6646</v>
      </c>
      <c r="F526" s="3" t="s">
        <v>6646</v>
      </c>
      <c r="G526" s="3" t="s">
        <v>6645</v>
      </c>
      <c r="H526" s="3" t="s">
        <v>6645</v>
      </c>
      <c r="I526" s="3" t="s">
        <v>6645</v>
      </c>
      <c r="J526" s="3">
        <v>17.0</v>
      </c>
      <c r="K526" s="3">
        <v>2.0</v>
      </c>
      <c r="L526" s="3">
        <v>0.0</v>
      </c>
      <c r="M526" s="3">
        <v>0.0</v>
      </c>
      <c r="N526" s="3">
        <v>3606.7031</v>
      </c>
      <c r="O526" s="3">
        <v>351.0</v>
      </c>
      <c r="P526" s="3" t="e">
        <v>#N/A</v>
      </c>
      <c r="Q526" s="3">
        <v>44.0</v>
      </c>
      <c r="R526" s="3">
        <v>48.0</v>
      </c>
      <c r="S526" s="3">
        <v>47.0</v>
      </c>
      <c r="T526" s="3">
        <v>48.0</v>
      </c>
      <c r="U526" s="3">
        <v>51.0</v>
      </c>
      <c r="V526" s="3">
        <v>46.0</v>
      </c>
      <c r="W526" s="3">
        <v>50.0</v>
      </c>
      <c r="X526" s="3">
        <v>52.0</v>
      </c>
      <c r="Y526" s="3">
        <v>49.0</v>
      </c>
      <c r="Z526" s="3">
        <v>46.0</v>
      </c>
      <c r="AA526" s="3">
        <v>38.0</v>
      </c>
      <c r="AB526" s="3">
        <v>39.0</v>
      </c>
      <c r="AC526" s="3">
        <v>51.0</v>
      </c>
      <c r="AD526" s="3">
        <v>42.0</v>
      </c>
      <c r="AE526" s="3">
        <v>58.0</v>
      </c>
      <c r="AF526" s="3">
        <v>62.0</v>
      </c>
      <c r="AG526" s="3">
        <v>50.0</v>
      </c>
      <c r="AH526" s="3">
        <v>17.0</v>
      </c>
      <c r="AI526" s="3">
        <v>48.0</v>
      </c>
      <c r="AJ526" s="3">
        <v>40.0</v>
      </c>
      <c r="AK526" s="3">
        <v>54.0</v>
      </c>
      <c r="AL526" s="3">
        <v>79.0</v>
      </c>
      <c r="AM526" s="3">
        <v>60.0</v>
      </c>
      <c r="AN526" s="3">
        <v>44.0</v>
      </c>
    </row>
    <row r="527" ht="14.25" customHeight="1">
      <c r="A527" s="3">
        <v>525.0</v>
      </c>
      <c r="B527" s="3" t="s">
        <v>7001</v>
      </c>
      <c r="C527" s="3">
        <v>31.0</v>
      </c>
      <c r="D527" s="3" t="s">
        <v>6645</v>
      </c>
      <c r="E527" s="3" t="s">
        <v>6646</v>
      </c>
      <c r="F527" s="3" t="s">
        <v>6646</v>
      </c>
      <c r="G527" s="3" t="s">
        <v>6645</v>
      </c>
      <c r="H527" s="3" t="s">
        <v>6645</v>
      </c>
      <c r="I527" s="3" t="s">
        <v>6645</v>
      </c>
      <c r="J527" s="3">
        <v>17.0</v>
      </c>
      <c r="K527" s="3">
        <v>2.0</v>
      </c>
      <c r="L527" s="3">
        <v>0.0</v>
      </c>
      <c r="M527" s="3">
        <v>0.0</v>
      </c>
      <c r="N527" s="3">
        <v>3719.893</v>
      </c>
      <c r="O527" s="3">
        <v>436.0</v>
      </c>
      <c r="P527" s="3" t="e">
        <v>#N/A</v>
      </c>
      <c r="Q527" s="3">
        <v>52.0</v>
      </c>
      <c r="R527" s="3">
        <v>50.0</v>
      </c>
      <c r="S527" s="3">
        <v>44.0</v>
      </c>
      <c r="T527" s="3">
        <v>44.0</v>
      </c>
      <c r="U527" s="3">
        <v>46.0</v>
      </c>
      <c r="V527" s="3">
        <v>48.0</v>
      </c>
      <c r="W527" s="3">
        <v>46.0</v>
      </c>
      <c r="X527" s="3">
        <v>49.0</v>
      </c>
      <c r="Y527" s="3">
        <v>56.0</v>
      </c>
      <c r="Z527" s="3">
        <v>49.0</v>
      </c>
      <c r="AA527" s="3">
        <v>40.0</v>
      </c>
      <c r="AB527" s="3">
        <v>43.0</v>
      </c>
      <c r="AC527" s="3">
        <v>53.0</v>
      </c>
      <c r="AD527" s="3">
        <v>39.0</v>
      </c>
      <c r="AE527" s="3">
        <v>59.0</v>
      </c>
      <c r="AF527" s="3">
        <v>54.0</v>
      </c>
      <c r="AG527" s="3">
        <v>54.0</v>
      </c>
      <c r="AH527" s="3">
        <v>42.0</v>
      </c>
      <c r="AI527" s="3">
        <v>62.0</v>
      </c>
      <c r="AJ527" s="3">
        <v>18.0</v>
      </c>
      <c r="AK527" s="3">
        <v>62.0</v>
      </c>
      <c r="AL527" s="3">
        <v>68.0</v>
      </c>
      <c r="AM527" s="3">
        <v>58.0</v>
      </c>
      <c r="AN527" s="3">
        <v>40.0</v>
      </c>
    </row>
    <row r="528" ht="14.25" customHeight="1">
      <c r="A528" s="3">
        <v>526.0</v>
      </c>
      <c r="B528" s="3" t="s">
        <v>7002</v>
      </c>
      <c r="C528" s="3">
        <v>29.0</v>
      </c>
      <c r="D528" s="3" t="s">
        <v>6645</v>
      </c>
      <c r="E528" s="3" t="s">
        <v>6646</v>
      </c>
      <c r="F528" s="3" t="s">
        <v>6646</v>
      </c>
      <c r="G528" s="3" t="s">
        <v>6645</v>
      </c>
      <c r="H528" s="3" t="s">
        <v>6645</v>
      </c>
      <c r="I528" s="3" t="s">
        <v>6646</v>
      </c>
      <c r="J528" s="3">
        <v>17.0</v>
      </c>
      <c r="K528" s="3">
        <v>2.0</v>
      </c>
      <c r="L528" s="3">
        <v>0.0</v>
      </c>
      <c r="M528" s="3">
        <v>0.0</v>
      </c>
      <c r="N528" s="3">
        <v>3781.5903</v>
      </c>
      <c r="O528" s="3">
        <v>369.0</v>
      </c>
      <c r="P528" s="3" t="e">
        <v>#N/A</v>
      </c>
      <c r="Q528" s="3">
        <v>48.0</v>
      </c>
      <c r="R528" s="3">
        <v>51.0</v>
      </c>
      <c r="S528" s="3">
        <v>52.0</v>
      </c>
      <c r="T528" s="3">
        <v>45.0</v>
      </c>
      <c r="U528" s="3">
        <v>43.0</v>
      </c>
      <c r="V528" s="3">
        <v>43.0</v>
      </c>
      <c r="W528" s="3">
        <v>40.0</v>
      </c>
      <c r="X528" s="3">
        <v>45.0</v>
      </c>
      <c r="Y528" s="3">
        <v>52.0</v>
      </c>
      <c r="Z528" s="3">
        <v>37.0</v>
      </c>
      <c r="AA528" s="3">
        <v>51.0</v>
      </c>
      <c r="AB528" s="3">
        <v>52.0</v>
      </c>
      <c r="AC528" s="3">
        <v>51.0</v>
      </c>
      <c r="AD528" s="3">
        <v>52.0</v>
      </c>
      <c r="AE528" s="3">
        <v>60.0</v>
      </c>
      <c r="AF528" s="3">
        <v>50.0</v>
      </c>
      <c r="AG528" s="3">
        <v>46.0</v>
      </c>
      <c r="AH528" s="3">
        <v>58.0</v>
      </c>
      <c r="AI528" s="3">
        <v>36.0</v>
      </c>
      <c r="AJ528" s="3">
        <v>44.0</v>
      </c>
      <c r="AK528" s="3">
        <v>18.0</v>
      </c>
      <c r="AL528" s="3">
        <v>76.0</v>
      </c>
      <c r="AM528" s="3">
        <v>36.0</v>
      </c>
      <c r="AN528" s="3">
        <v>60.0</v>
      </c>
    </row>
    <row r="529" ht="14.25" customHeight="1">
      <c r="A529" s="3">
        <v>527.0</v>
      </c>
      <c r="B529" s="3" t="s">
        <v>7003</v>
      </c>
      <c r="C529" s="3">
        <v>29.0</v>
      </c>
      <c r="D529" s="3" t="s">
        <v>6645</v>
      </c>
      <c r="E529" s="3" t="s">
        <v>6646</v>
      </c>
      <c r="F529" s="3" t="s">
        <v>6646</v>
      </c>
      <c r="G529" s="3" t="s">
        <v>6645</v>
      </c>
      <c r="H529" s="3" t="s">
        <v>6645</v>
      </c>
      <c r="I529" s="3" t="s">
        <v>6646</v>
      </c>
      <c r="J529" s="3">
        <v>17.0</v>
      </c>
      <c r="K529" s="3">
        <v>2.0</v>
      </c>
      <c r="L529" s="3">
        <v>0.0</v>
      </c>
      <c r="M529" s="3">
        <v>0.0</v>
      </c>
      <c r="N529" s="3">
        <v>3528.8293</v>
      </c>
      <c r="O529" s="3">
        <v>464.0</v>
      </c>
      <c r="P529" s="3" t="e">
        <v>#N/A</v>
      </c>
      <c r="Q529" s="3">
        <v>52.0</v>
      </c>
      <c r="R529" s="3">
        <v>52.0</v>
      </c>
      <c r="S529" s="3">
        <v>43.0</v>
      </c>
      <c r="T529" s="3">
        <v>48.0</v>
      </c>
      <c r="U529" s="3">
        <v>47.0</v>
      </c>
      <c r="V529" s="3">
        <v>51.0</v>
      </c>
      <c r="W529" s="3">
        <v>43.0</v>
      </c>
      <c r="X529" s="3">
        <v>46.0</v>
      </c>
      <c r="Y529" s="3">
        <v>51.0</v>
      </c>
      <c r="Z529" s="3">
        <v>38.0</v>
      </c>
      <c r="AA529" s="3">
        <v>48.0</v>
      </c>
      <c r="AB529" s="3">
        <v>45.0</v>
      </c>
      <c r="AC529" s="3">
        <v>50.0</v>
      </c>
      <c r="AD529" s="3">
        <v>37.0</v>
      </c>
      <c r="AE529" s="3">
        <v>63.0</v>
      </c>
      <c r="AF529" s="3">
        <v>46.0</v>
      </c>
      <c r="AG529" s="3">
        <v>56.0</v>
      </c>
      <c r="AH529" s="3">
        <v>50.0</v>
      </c>
      <c r="AI529" s="3">
        <v>42.0</v>
      </c>
      <c r="AJ529" s="3">
        <v>62.0</v>
      </c>
      <c r="AK529" s="3">
        <v>64.0</v>
      </c>
      <c r="AL529" s="3">
        <v>77.0</v>
      </c>
      <c r="AM529" s="3">
        <v>29.0</v>
      </c>
      <c r="AN529" s="3">
        <v>64.0</v>
      </c>
    </row>
    <row r="530" ht="14.25" customHeight="1">
      <c r="A530" s="3">
        <v>528.0</v>
      </c>
      <c r="B530" s="3" t="s">
        <v>7004</v>
      </c>
      <c r="C530" s="3">
        <v>21.0</v>
      </c>
      <c r="D530" s="3" t="s">
        <v>6645</v>
      </c>
      <c r="E530" s="3" t="s">
        <v>6646</v>
      </c>
      <c r="F530" s="3" t="s">
        <v>6646</v>
      </c>
      <c r="G530" s="3" t="s">
        <v>6645</v>
      </c>
      <c r="H530" s="3" t="s">
        <v>6645</v>
      </c>
      <c r="I530" s="3" t="s">
        <v>6646</v>
      </c>
      <c r="J530" s="3">
        <v>17.0</v>
      </c>
      <c r="K530" s="3">
        <v>1.0</v>
      </c>
      <c r="L530" s="3">
        <v>0.0</v>
      </c>
      <c r="M530" s="3">
        <v>0.0</v>
      </c>
      <c r="N530" s="3">
        <v>1558.7717</v>
      </c>
      <c r="O530" s="3">
        <v>191.0</v>
      </c>
      <c r="P530" s="3" t="e">
        <v>#N/A</v>
      </c>
      <c r="Q530" s="3">
        <v>36.0</v>
      </c>
      <c r="R530" s="3">
        <v>46.0</v>
      </c>
      <c r="S530" s="3">
        <v>40.0</v>
      </c>
      <c r="T530" s="3">
        <v>36.0</v>
      </c>
      <c r="U530" s="3">
        <v>46.0</v>
      </c>
      <c r="V530" s="3">
        <v>40.0</v>
      </c>
      <c r="W530" s="3">
        <v>40.0</v>
      </c>
      <c r="X530" s="3">
        <v>36.0</v>
      </c>
      <c r="Y530" s="3">
        <v>48.0</v>
      </c>
      <c r="Z530" s="3">
        <v>38.0</v>
      </c>
      <c r="AA530" s="3">
        <v>35.0</v>
      </c>
      <c r="AB530" s="3">
        <v>46.0</v>
      </c>
      <c r="AC530" s="3">
        <v>48.0</v>
      </c>
      <c r="AD530" s="3">
        <v>38.0</v>
      </c>
      <c r="AE530" s="3">
        <v>47.0</v>
      </c>
      <c r="AF530" s="3">
        <v>53.0</v>
      </c>
      <c r="AG530" s="3">
        <v>59.0</v>
      </c>
      <c r="AH530" s="3">
        <v>59.0</v>
      </c>
      <c r="AI530" s="3">
        <v>48.0</v>
      </c>
      <c r="AJ530" s="3">
        <v>57.0</v>
      </c>
      <c r="AK530" s="3">
        <v>57.0</v>
      </c>
      <c r="AL530" s="3">
        <v>75.0</v>
      </c>
      <c r="AM530" s="3">
        <v>40.0</v>
      </c>
      <c r="AN530" s="3">
        <v>10.0</v>
      </c>
    </row>
    <row r="531" ht="14.25" customHeight="1">
      <c r="A531" s="3">
        <v>529.0</v>
      </c>
      <c r="B531" s="3" t="s">
        <v>7005</v>
      </c>
      <c r="C531" s="3">
        <v>20.0</v>
      </c>
      <c r="D531" s="3" t="s">
        <v>6645</v>
      </c>
      <c r="E531" s="3" t="s">
        <v>6646</v>
      </c>
      <c r="F531" s="3" t="s">
        <v>6646</v>
      </c>
      <c r="G531" s="3" t="s">
        <v>6645</v>
      </c>
      <c r="H531" s="3" t="s">
        <v>6645</v>
      </c>
      <c r="I531" s="3" t="s">
        <v>6645</v>
      </c>
      <c r="J531" s="3">
        <v>17.0</v>
      </c>
      <c r="K531" s="3">
        <v>1.0</v>
      </c>
      <c r="L531" s="3">
        <v>0.0</v>
      </c>
      <c r="M531" s="3">
        <v>0.0</v>
      </c>
      <c r="N531" s="3">
        <v>1843.4201</v>
      </c>
      <c r="O531" s="3">
        <v>166.0</v>
      </c>
      <c r="P531" s="3" t="e">
        <v>#N/A</v>
      </c>
      <c r="Q531" s="3">
        <v>38.0</v>
      </c>
      <c r="R531" s="3">
        <v>42.0</v>
      </c>
      <c r="S531" s="3">
        <v>42.0</v>
      </c>
      <c r="T531" s="3">
        <v>40.0</v>
      </c>
      <c r="U531" s="3">
        <v>38.0</v>
      </c>
      <c r="V531" s="3">
        <v>36.0</v>
      </c>
      <c r="W531" s="3">
        <v>39.0</v>
      </c>
      <c r="X531" s="3">
        <v>42.0</v>
      </c>
      <c r="Y531" s="3">
        <v>43.0</v>
      </c>
      <c r="Z531" s="3">
        <v>33.0</v>
      </c>
      <c r="AA531" s="3">
        <v>44.0</v>
      </c>
      <c r="AB531" s="3">
        <v>35.0</v>
      </c>
      <c r="AC531" s="3">
        <v>47.0</v>
      </c>
      <c r="AD531" s="3">
        <v>40.0</v>
      </c>
      <c r="AE531" s="3">
        <v>45.0</v>
      </c>
      <c r="AF531" s="3">
        <v>40.0</v>
      </c>
      <c r="AG531" s="3">
        <v>43.0</v>
      </c>
      <c r="AH531" s="3">
        <v>50.0</v>
      </c>
      <c r="AI531" s="3">
        <v>57.0</v>
      </c>
      <c r="AJ531" s="3">
        <v>46.0</v>
      </c>
      <c r="AK531" s="3">
        <v>39.0</v>
      </c>
      <c r="AL531" s="3">
        <v>74.0</v>
      </c>
      <c r="AM531" s="3">
        <v>9.0</v>
      </c>
      <c r="AN531" s="3">
        <v>56.0</v>
      </c>
    </row>
    <row r="532" ht="14.25" customHeight="1">
      <c r="A532" s="3">
        <v>530.0</v>
      </c>
      <c r="B532" s="3" t="s">
        <v>7006</v>
      </c>
      <c r="C532" s="3">
        <v>20.0</v>
      </c>
      <c r="D532" s="3" t="s">
        <v>6645</v>
      </c>
      <c r="E532" s="3" t="s">
        <v>6646</v>
      </c>
      <c r="F532" s="3" t="s">
        <v>6646</v>
      </c>
      <c r="G532" s="3" t="s">
        <v>6645</v>
      </c>
      <c r="H532" s="3" t="s">
        <v>6645</v>
      </c>
      <c r="I532" s="3" t="s">
        <v>6645</v>
      </c>
      <c r="J532" s="3">
        <v>17.0</v>
      </c>
      <c r="K532" s="3">
        <v>1.0</v>
      </c>
      <c r="L532" s="3">
        <v>0.0</v>
      </c>
      <c r="M532" s="3">
        <v>0.0</v>
      </c>
      <c r="N532" s="3">
        <v>1492.4952</v>
      </c>
      <c r="O532" s="3">
        <v>161.0</v>
      </c>
      <c r="P532" s="3" t="e">
        <v>#N/A</v>
      </c>
      <c r="Q532" s="3">
        <v>40.0</v>
      </c>
      <c r="R532" s="3">
        <v>46.0</v>
      </c>
      <c r="S532" s="3">
        <v>38.0</v>
      </c>
      <c r="T532" s="3">
        <v>38.0</v>
      </c>
      <c r="U532" s="3">
        <v>36.0</v>
      </c>
      <c r="V532" s="3">
        <v>36.0</v>
      </c>
      <c r="W532" s="3">
        <v>29.0</v>
      </c>
      <c r="X532" s="3">
        <v>42.0</v>
      </c>
      <c r="Y532" s="3">
        <v>47.0</v>
      </c>
      <c r="Z532" s="3">
        <v>38.0</v>
      </c>
      <c r="AA532" s="3">
        <v>37.0</v>
      </c>
      <c r="AB532" s="3">
        <v>44.0</v>
      </c>
      <c r="AC532" s="3">
        <v>49.0</v>
      </c>
      <c r="AD532" s="3">
        <v>36.0</v>
      </c>
      <c r="AE532" s="3">
        <v>44.0</v>
      </c>
      <c r="AF532" s="3">
        <v>55.0</v>
      </c>
      <c r="AG532" s="3">
        <v>53.0</v>
      </c>
      <c r="AH532" s="3">
        <v>59.0</v>
      </c>
      <c r="AI532" s="3">
        <v>58.0</v>
      </c>
      <c r="AJ532" s="3">
        <v>38.0</v>
      </c>
      <c r="AK532" s="3">
        <v>56.0</v>
      </c>
      <c r="AL532" s="3">
        <v>70.0</v>
      </c>
      <c r="AM532" s="3">
        <v>17.0</v>
      </c>
      <c r="AN532" s="3">
        <v>61.0</v>
      </c>
    </row>
    <row r="533" ht="14.25" customHeight="1">
      <c r="A533" s="3">
        <v>531.0</v>
      </c>
      <c r="B533" s="3" t="s">
        <v>7007</v>
      </c>
      <c r="C533" s="3">
        <v>24.0</v>
      </c>
      <c r="D533" s="3" t="s">
        <v>6645</v>
      </c>
      <c r="E533" s="3" t="s">
        <v>6646</v>
      </c>
      <c r="F533" s="3" t="s">
        <v>6646</v>
      </c>
      <c r="G533" s="3" t="s">
        <v>6645</v>
      </c>
      <c r="H533" s="3" t="s">
        <v>6645</v>
      </c>
      <c r="I533" s="3" t="s">
        <v>6645</v>
      </c>
      <c r="J533" s="3">
        <v>17.0</v>
      </c>
      <c r="K533" s="3">
        <v>1.0</v>
      </c>
      <c r="L533" s="3">
        <v>0.0</v>
      </c>
      <c r="M533" s="3">
        <v>0.0</v>
      </c>
      <c r="N533" s="3">
        <v>1421.022</v>
      </c>
      <c r="O533" s="3">
        <v>194.0</v>
      </c>
      <c r="P533" s="3" t="e">
        <v>#N/A</v>
      </c>
      <c r="Q533" s="3">
        <v>38.0</v>
      </c>
      <c r="R533" s="3">
        <v>40.0</v>
      </c>
      <c r="S533" s="3">
        <v>38.0</v>
      </c>
      <c r="T533" s="3">
        <v>40.0</v>
      </c>
      <c r="U533" s="3">
        <v>46.0</v>
      </c>
      <c r="V533" s="3">
        <v>40.0</v>
      </c>
      <c r="W533" s="3">
        <v>44.0</v>
      </c>
      <c r="X533" s="3">
        <v>38.0</v>
      </c>
      <c r="Y533" s="3">
        <v>49.0</v>
      </c>
      <c r="Z533" s="3">
        <v>38.0</v>
      </c>
      <c r="AA533" s="3">
        <v>37.0</v>
      </c>
      <c r="AB533" s="3">
        <v>35.0</v>
      </c>
      <c r="AC533" s="3">
        <v>48.0</v>
      </c>
      <c r="AD533" s="3">
        <v>30.0</v>
      </c>
      <c r="AE533" s="3">
        <v>47.0</v>
      </c>
      <c r="AF533" s="3">
        <v>52.0</v>
      </c>
      <c r="AG533" s="3">
        <v>48.0</v>
      </c>
      <c r="AH533" s="3">
        <v>34.0</v>
      </c>
      <c r="AI533" s="3">
        <v>38.0</v>
      </c>
      <c r="AJ533" s="3">
        <v>56.0</v>
      </c>
      <c r="AK533" s="3">
        <v>46.0</v>
      </c>
      <c r="AL533" s="3">
        <v>72.0</v>
      </c>
      <c r="AM533" s="3">
        <v>54.0</v>
      </c>
      <c r="AN533" s="3">
        <v>28.0</v>
      </c>
    </row>
    <row r="534" ht="14.25" customHeight="1">
      <c r="A534" s="3">
        <v>532.0</v>
      </c>
      <c r="B534" s="3" t="s">
        <v>7008</v>
      </c>
      <c r="C534" s="3">
        <v>20.0</v>
      </c>
      <c r="D534" s="3" t="s">
        <v>6645</v>
      </c>
      <c r="E534" s="3" t="s">
        <v>6646</v>
      </c>
      <c r="F534" s="3" t="s">
        <v>6646</v>
      </c>
      <c r="G534" s="3" t="s">
        <v>6645</v>
      </c>
      <c r="H534" s="3" t="s">
        <v>6645</v>
      </c>
      <c r="I534" s="3" t="s">
        <v>6645</v>
      </c>
      <c r="J534" s="3">
        <v>17.0</v>
      </c>
      <c r="K534" s="3">
        <v>0.0</v>
      </c>
      <c r="L534" s="3">
        <v>0.0</v>
      </c>
      <c r="M534" s="3">
        <v>0.0</v>
      </c>
      <c r="N534" s="3">
        <v>485.56057</v>
      </c>
      <c r="O534" s="3">
        <v>118.0</v>
      </c>
      <c r="P534" s="3" t="e">
        <v>#N/A</v>
      </c>
      <c r="Q534" s="3">
        <v>30.0</v>
      </c>
      <c r="R534" s="3">
        <v>33.0</v>
      </c>
      <c r="S534" s="3">
        <v>37.0</v>
      </c>
      <c r="T534" s="3">
        <v>36.0</v>
      </c>
      <c r="U534" s="3">
        <v>39.0</v>
      </c>
      <c r="V534" s="3">
        <v>31.0</v>
      </c>
      <c r="W534" s="3">
        <v>22.0</v>
      </c>
      <c r="X534" s="3">
        <v>32.0</v>
      </c>
      <c r="Y534" s="3">
        <v>41.0</v>
      </c>
      <c r="Z534" s="3">
        <v>31.0</v>
      </c>
      <c r="AA534" s="3">
        <v>39.0</v>
      </c>
      <c r="AB534" s="3">
        <v>27.0</v>
      </c>
      <c r="AC534" s="3">
        <v>40.0</v>
      </c>
      <c r="AD534" s="3">
        <v>26.0</v>
      </c>
      <c r="AE534" s="3">
        <v>40.0</v>
      </c>
      <c r="AF534" s="3">
        <v>33.0</v>
      </c>
      <c r="AG534" s="3">
        <v>32.0</v>
      </c>
      <c r="AH534" s="3">
        <v>45.0</v>
      </c>
      <c r="AI534" s="3">
        <v>43.0</v>
      </c>
      <c r="AJ534" s="3">
        <v>26.0</v>
      </c>
      <c r="AK534" s="3">
        <v>36.0</v>
      </c>
      <c r="AL534" s="3">
        <v>76.0</v>
      </c>
      <c r="AM534" s="3">
        <v>41.0</v>
      </c>
      <c r="AN534" s="3">
        <v>44.0</v>
      </c>
    </row>
    <row r="535" ht="14.25" customHeight="1">
      <c r="A535" s="3">
        <v>533.0</v>
      </c>
      <c r="B535" s="3" t="s">
        <v>7009</v>
      </c>
      <c r="C535" s="3">
        <v>16.0</v>
      </c>
      <c r="D535" s="3" t="s">
        <v>6645</v>
      </c>
      <c r="E535" s="3" t="s">
        <v>6646</v>
      </c>
      <c r="F535" s="3" t="s">
        <v>6646</v>
      </c>
      <c r="G535" s="3" t="s">
        <v>6645</v>
      </c>
      <c r="H535" s="3" t="s">
        <v>6645</v>
      </c>
      <c r="I535" s="3" t="s">
        <v>6646</v>
      </c>
      <c r="J535" s="3">
        <v>17.0</v>
      </c>
      <c r="K535" s="3">
        <v>0.0</v>
      </c>
      <c r="L535" s="3">
        <v>0.0</v>
      </c>
      <c r="M535" s="3">
        <v>0.0</v>
      </c>
      <c r="N535" s="3">
        <v>550.724</v>
      </c>
      <c r="O535" s="3">
        <v>112.0</v>
      </c>
      <c r="P535" s="3" t="e">
        <v>#N/A</v>
      </c>
      <c r="Q535" s="3">
        <v>30.0</v>
      </c>
      <c r="R535" s="3">
        <v>30.0</v>
      </c>
      <c r="S535" s="3">
        <v>38.0</v>
      </c>
      <c r="T535" s="3">
        <v>33.0</v>
      </c>
      <c r="U535" s="3">
        <v>31.0</v>
      </c>
      <c r="V535" s="3">
        <v>33.0</v>
      </c>
      <c r="W535" s="3">
        <v>24.0</v>
      </c>
      <c r="X535" s="3">
        <v>33.0</v>
      </c>
      <c r="Y535" s="3">
        <v>43.0</v>
      </c>
      <c r="Z535" s="3">
        <v>26.0</v>
      </c>
      <c r="AA535" s="3">
        <v>35.0</v>
      </c>
      <c r="AB535" s="3">
        <v>32.0</v>
      </c>
      <c r="AC535" s="3">
        <v>43.0</v>
      </c>
      <c r="AD535" s="3">
        <v>32.0</v>
      </c>
      <c r="AE535" s="3">
        <v>40.0</v>
      </c>
      <c r="AF535" s="3">
        <v>49.0</v>
      </c>
      <c r="AG535" s="3">
        <v>28.0</v>
      </c>
      <c r="AH535" s="3">
        <v>42.0</v>
      </c>
      <c r="AI535" s="3">
        <v>33.0</v>
      </c>
      <c r="AJ535" s="3">
        <v>45.0</v>
      </c>
      <c r="AK535" s="3">
        <v>52.0</v>
      </c>
      <c r="AL535" s="3">
        <v>67.0</v>
      </c>
      <c r="AM535" s="3">
        <v>32.0</v>
      </c>
      <c r="AN535" s="3">
        <v>51.0</v>
      </c>
    </row>
    <row r="536" ht="14.25" customHeight="1">
      <c r="A536" s="3">
        <v>534.0</v>
      </c>
      <c r="B536" s="3" t="s">
        <v>7010</v>
      </c>
      <c r="C536" s="3">
        <v>21.0</v>
      </c>
      <c r="D536" s="3" t="s">
        <v>6645</v>
      </c>
      <c r="E536" s="3" t="s">
        <v>6646</v>
      </c>
      <c r="F536" s="3" t="s">
        <v>6646</v>
      </c>
      <c r="G536" s="3" t="s">
        <v>6645</v>
      </c>
      <c r="H536" s="3" t="s">
        <v>6645</v>
      </c>
      <c r="I536" s="3" t="s">
        <v>6645</v>
      </c>
      <c r="J536" s="3">
        <v>17.0</v>
      </c>
      <c r="K536" s="3">
        <v>0.0</v>
      </c>
      <c r="L536" s="3">
        <v>0.0</v>
      </c>
      <c r="M536" s="3">
        <v>0.0</v>
      </c>
      <c r="N536" s="3">
        <v>410.726</v>
      </c>
      <c r="O536" s="3">
        <v>115.0</v>
      </c>
      <c r="P536" s="3" t="e">
        <v>#N/A</v>
      </c>
      <c r="Q536" s="3">
        <v>30.0</v>
      </c>
      <c r="R536" s="3">
        <v>30.0</v>
      </c>
      <c r="S536" s="3">
        <v>32.0</v>
      </c>
      <c r="T536" s="3">
        <v>33.0</v>
      </c>
      <c r="U536" s="3">
        <v>32.0</v>
      </c>
      <c r="V536" s="3">
        <v>36.0</v>
      </c>
      <c r="W536" s="3">
        <v>34.0</v>
      </c>
      <c r="X536" s="3">
        <v>23.0</v>
      </c>
      <c r="Y536" s="3">
        <v>40.0</v>
      </c>
      <c r="Z536" s="3">
        <v>31.0</v>
      </c>
      <c r="AA536" s="3">
        <v>31.0</v>
      </c>
      <c r="AB536" s="3">
        <v>39.0</v>
      </c>
      <c r="AC536" s="3">
        <v>43.0</v>
      </c>
      <c r="AD536" s="3">
        <v>22.0</v>
      </c>
      <c r="AE536" s="3">
        <v>43.0</v>
      </c>
      <c r="AF536" s="3">
        <v>34.0</v>
      </c>
      <c r="AG536" s="3">
        <v>12.0</v>
      </c>
      <c r="AH536" s="3">
        <v>31.0</v>
      </c>
      <c r="AI536" s="3">
        <v>52.0</v>
      </c>
      <c r="AJ536" s="3">
        <v>40.0</v>
      </c>
      <c r="AK536" s="3">
        <v>34.0</v>
      </c>
      <c r="AL536" s="3">
        <v>72.0</v>
      </c>
      <c r="AM536" s="3">
        <v>57.0</v>
      </c>
      <c r="AN536" s="3">
        <v>40.0</v>
      </c>
    </row>
    <row r="537" ht="14.25" customHeight="1">
      <c r="A537" s="3">
        <v>535.0</v>
      </c>
      <c r="B537" s="3" t="s">
        <v>7011</v>
      </c>
      <c r="C537" s="3">
        <v>17.0</v>
      </c>
      <c r="D537" s="3" t="s">
        <v>6645</v>
      </c>
      <c r="E537" s="3" t="s">
        <v>6646</v>
      </c>
      <c r="F537" s="3" t="s">
        <v>6646</v>
      </c>
      <c r="G537" s="3" t="s">
        <v>6645</v>
      </c>
      <c r="H537" s="3" t="s">
        <v>6645</v>
      </c>
      <c r="I537" s="3" t="s">
        <v>6645</v>
      </c>
      <c r="J537" s="3">
        <v>17.0</v>
      </c>
      <c r="K537" s="3">
        <v>0.0</v>
      </c>
      <c r="L537" s="3">
        <v>0.0</v>
      </c>
      <c r="M537" s="3">
        <v>0.0</v>
      </c>
      <c r="N537" s="3">
        <v>536.656</v>
      </c>
      <c r="O537" s="3">
        <v>100.0</v>
      </c>
      <c r="P537" s="3" t="e">
        <v>#N/A</v>
      </c>
      <c r="Q537" s="3">
        <v>38.0</v>
      </c>
      <c r="R537" s="3">
        <v>31.0</v>
      </c>
      <c r="S537" s="3">
        <v>32.0</v>
      </c>
      <c r="T537" s="3">
        <v>32.0</v>
      </c>
      <c r="U537" s="3">
        <v>34.0</v>
      </c>
      <c r="V537" s="3">
        <v>30.0</v>
      </c>
      <c r="W537" s="3">
        <v>23.0</v>
      </c>
      <c r="X537" s="3">
        <v>31.0</v>
      </c>
      <c r="Y537" s="3">
        <v>44.0</v>
      </c>
      <c r="Z537" s="3">
        <v>31.0</v>
      </c>
      <c r="AA537" s="3">
        <v>22.0</v>
      </c>
      <c r="AB537" s="3">
        <v>26.0</v>
      </c>
      <c r="AC537" s="3">
        <v>46.0</v>
      </c>
      <c r="AD537" s="3">
        <v>34.0</v>
      </c>
      <c r="AE537" s="3">
        <v>39.0</v>
      </c>
      <c r="AF537" s="3">
        <v>53.0</v>
      </c>
      <c r="AG537" s="3">
        <v>43.0</v>
      </c>
      <c r="AH537" s="3">
        <v>32.0</v>
      </c>
      <c r="AI537" s="3">
        <v>50.0</v>
      </c>
      <c r="AJ537" s="3">
        <v>42.0</v>
      </c>
      <c r="AK537" s="3">
        <v>31.0</v>
      </c>
      <c r="AL537" s="3">
        <v>62.0</v>
      </c>
      <c r="AM537" s="3">
        <v>18.0</v>
      </c>
      <c r="AN537" s="3">
        <v>58.0</v>
      </c>
    </row>
    <row r="538" ht="14.25" customHeight="1">
      <c r="A538" s="3">
        <v>536.0</v>
      </c>
      <c r="B538" s="3" t="s">
        <v>7012</v>
      </c>
      <c r="C538" s="3">
        <v>19.0</v>
      </c>
      <c r="D538" s="3" t="s">
        <v>6645</v>
      </c>
      <c r="E538" s="3" t="s">
        <v>6646</v>
      </c>
      <c r="F538" s="3" t="s">
        <v>6646</v>
      </c>
      <c r="G538" s="3" t="s">
        <v>6645</v>
      </c>
      <c r="H538" s="3" t="s">
        <v>6645</v>
      </c>
      <c r="I538" s="3" t="s">
        <v>6646</v>
      </c>
      <c r="J538" s="3">
        <v>17.0</v>
      </c>
      <c r="K538" s="3">
        <v>0.0</v>
      </c>
      <c r="L538" s="3">
        <v>0.0</v>
      </c>
      <c r="M538" s="3">
        <v>0.0</v>
      </c>
      <c r="N538" s="3">
        <v>544.985</v>
      </c>
      <c r="O538" s="3">
        <v>123.0</v>
      </c>
      <c r="P538" s="3" t="e">
        <v>#N/A</v>
      </c>
      <c r="Q538" s="3">
        <v>34.0</v>
      </c>
      <c r="R538" s="3">
        <v>34.0</v>
      </c>
      <c r="S538" s="3">
        <v>35.0</v>
      </c>
      <c r="T538" s="3">
        <v>36.0</v>
      </c>
      <c r="U538" s="3">
        <v>35.0</v>
      </c>
      <c r="V538" s="3">
        <v>35.0</v>
      </c>
      <c r="W538" s="3">
        <v>21.0</v>
      </c>
      <c r="X538" s="3">
        <v>33.0</v>
      </c>
      <c r="Y538" s="3">
        <v>49.0</v>
      </c>
      <c r="Z538" s="3">
        <v>34.0</v>
      </c>
      <c r="AA538" s="3">
        <v>35.0</v>
      </c>
      <c r="AB538" s="3">
        <v>25.0</v>
      </c>
      <c r="AC538" s="3">
        <v>41.0</v>
      </c>
      <c r="AD538" s="3">
        <v>29.0</v>
      </c>
      <c r="AE538" s="3">
        <v>41.0</v>
      </c>
      <c r="AF538" s="3">
        <v>39.0</v>
      </c>
      <c r="AG538" s="3">
        <v>43.0</v>
      </c>
      <c r="AH538" s="3">
        <v>43.0</v>
      </c>
      <c r="AI538" s="3">
        <v>57.0</v>
      </c>
      <c r="AJ538" s="3">
        <v>31.0</v>
      </c>
      <c r="AK538" s="3">
        <v>56.0</v>
      </c>
      <c r="AL538" s="3">
        <v>71.0</v>
      </c>
      <c r="AM538" s="3">
        <v>48.0</v>
      </c>
      <c r="AN538" s="3">
        <v>57.0</v>
      </c>
    </row>
    <row r="539" ht="14.25" customHeight="1">
      <c r="A539" s="3">
        <v>537.0</v>
      </c>
      <c r="B539" s="3" t="s">
        <v>7013</v>
      </c>
      <c r="C539" s="3">
        <v>40.0</v>
      </c>
      <c r="D539" s="3" t="s">
        <v>6645</v>
      </c>
      <c r="E539" s="3" t="s">
        <v>6646</v>
      </c>
      <c r="F539" s="3" t="s">
        <v>6646</v>
      </c>
      <c r="G539" s="3" t="s">
        <v>6645</v>
      </c>
      <c r="H539" s="3" t="s">
        <v>6645</v>
      </c>
      <c r="I539" s="3" t="s">
        <v>6646</v>
      </c>
      <c r="J539" s="3">
        <v>18.0</v>
      </c>
      <c r="K539" s="3">
        <v>4.0</v>
      </c>
      <c r="L539" s="3">
        <v>0.0</v>
      </c>
      <c r="M539" s="3">
        <v>0.0</v>
      </c>
      <c r="N539" s="3">
        <v>14285.105</v>
      </c>
      <c r="O539" s="3">
        <v>1759.0</v>
      </c>
      <c r="P539" s="3" t="e">
        <v>#N/A</v>
      </c>
      <c r="Q539" s="3">
        <v>79.0</v>
      </c>
      <c r="R539" s="3">
        <v>66.0</v>
      </c>
      <c r="S539" s="3">
        <v>86.0</v>
      </c>
      <c r="T539" s="3">
        <v>68.0</v>
      </c>
      <c r="U539" s="3">
        <v>80.0</v>
      </c>
      <c r="V539" s="3">
        <v>61.0</v>
      </c>
      <c r="W539" s="3">
        <v>79.0</v>
      </c>
      <c r="X539" s="3">
        <v>64.0</v>
      </c>
      <c r="Y539" s="3">
        <v>83.0</v>
      </c>
      <c r="Z539" s="3">
        <v>67.0</v>
      </c>
      <c r="AA539" s="3">
        <v>61.0</v>
      </c>
      <c r="AB539" s="3">
        <v>79.0</v>
      </c>
      <c r="AC539" s="3">
        <v>63.0</v>
      </c>
      <c r="AD539" s="3">
        <v>80.0</v>
      </c>
      <c r="AE539" s="3">
        <v>62.0</v>
      </c>
      <c r="AF539" s="3">
        <v>71.0</v>
      </c>
      <c r="AG539" s="3">
        <v>49.0</v>
      </c>
      <c r="AH539" s="3">
        <v>64.0</v>
      </c>
      <c r="AI539" s="3">
        <v>56.0</v>
      </c>
      <c r="AJ539" s="3">
        <v>58.0</v>
      </c>
      <c r="AK539" s="3">
        <v>52.0</v>
      </c>
      <c r="AL539" s="3">
        <v>15.0</v>
      </c>
      <c r="AM539" s="3">
        <v>59.0</v>
      </c>
      <c r="AN539" s="3">
        <v>74.0</v>
      </c>
    </row>
    <row r="540" ht="14.25" customHeight="1">
      <c r="A540" s="3">
        <v>538.0</v>
      </c>
      <c r="B540" s="3" t="s">
        <v>7014</v>
      </c>
      <c r="C540" s="3">
        <v>41.0</v>
      </c>
      <c r="D540" s="3" t="s">
        <v>6645</v>
      </c>
      <c r="E540" s="3" t="s">
        <v>6646</v>
      </c>
      <c r="F540" s="3" t="s">
        <v>6646</v>
      </c>
      <c r="G540" s="3" t="s">
        <v>6645</v>
      </c>
      <c r="H540" s="3" t="s">
        <v>6645</v>
      </c>
      <c r="I540" s="3" t="s">
        <v>6645</v>
      </c>
      <c r="J540" s="3">
        <v>18.0</v>
      </c>
      <c r="K540" s="3">
        <v>4.0</v>
      </c>
      <c r="L540" s="3">
        <v>0.0</v>
      </c>
      <c r="M540" s="3">
        <v>0.0</v>
      </c>
      <c r="N540" s="3">
        <v>15465.5</v>
      </c>
      <c r="O540" s="3">
        <v>1282.0</v>
      </c>
      <c r="P540" s="3" t="e">
        <v>#N/A</v>
      </c>
      <c r="Q540" s="3">
        <v>80.0</v>
      </c>
      <c r="R540" s="3">
        <v>66.0</v>
      </c>
      <c r="S540" s="3">
        <v>86.0</v>
      </c>
      <c r="T540" s="3">
        <v>66.0</v>
      </c>
      <c r="U540" s="3">
        <v>83.0</v>
      </c>
      <c r="V540" s="3">
        <v>61.0</v>
      </c>
      <c r="W540" s="3">
        <v>86.0</v>
      </c>
      <c r="X540" s="3">
        <v>65.0</v>
      </c>
      <c r="Y540" s="3">
        <v>80.0</v>
      </c>
      <c r="Z540" s="3">
        <v>69.0</v>
      </c>
      <c r="AA540" s="3">
        <v>62.0</v>
      </c>
      <c r="AB540" s="3">
        <v>70.0</v>
      </c>
      <c r="AC540" s="3">
        <v>66.0</v>
      </c>
      <c r="AD540" s="3">
        <v>88.0</v>
      </c>
      <c r="AE540" s="3">
        <v>55.0</v>
      </c>
      <c r="AF540" s="3">
        <v>46.0</v>
      </c>
      <c r="AG540" s="3">
        <v>49.0</v>
      </c>
      <c r="AH540" s="3">
        <v>56.0</v>
      </c>
      <c r="AI540" s="3">
        <v>67.0</v>
      </c>
      <c r="AJ540" s="3">
        <v>47.0</v>
      </c>
      <c r="AK540" s="3">
        <v>37.0</v>
      </c>
      <c r="AL540" s="3">
        <v>48.0</v>
      </c>
      <c r="AM540" s="3">
        <v>54.0</v>
      </c>
      <c r="AN540" s="3">
        <v>78.0</v>
      </c>
    </row>
    <row r="541" ht="14.25" customHeight="1">
      <c r="A541" s="3">
        <v>539.0</v>
      </c>
      <c r="B541" s="3" t="s">
        <v>7015</v>
      </c>
      <c r="C541" s="3">
        <v>44.0</v>
      </c>
      <c r="D541" s="3" t="s">
        <v>6645</v>
      </c>
      <c r="E541" s="3" t="s">
        <v>6646</v>
      </c>
      <c r="F541" s="3" t="s">
        <v>6646</v>
      </c>
      <c r="G541" s="3" t="s">
        <v>6645</v>
      </c>
      <c r="H541" s="3" t="s">
        <v>6645</v>
      </c>
      <c r="I541" s="3" t="s">
        <v>6645</v>
      </c>
      <c r="J541" s="3">
        <v>18.0</v>
      </c>
      <c r="K541" s="3">
        <v>4.0</v>
      </c>
      <c r="L541" s="3">
        <v>0.0</v>
      </c>
      <c r="M541" s="3">
        <v>0.0</v>
      </c>
      <c r="N541" s="3">
        <v>15886.578</v>
      </c>
      <c r="O541" s="3">
        <v>1516.0</v>
      </c>
      <c r="P541" s="3" t="e">
        <v>#N/A</v>
      </c>
      <c r="Q541" s="3">
        <v>84.0</v>
      </c>
      <c r="R541" s="3">
        <v>63.0</v>
      </c>
      <c r="S541" s="3">
        <v>85.0</v>
      </c>
      <c r="T541" s="3">
        <v>67.0</v>
      </c>
      <c r="U541" s="3">
        <v>79.0</v>
      </c>
      <c r="V541" s="3">
        <v>66.0</v>
      </c>
      <c r="W541" s="3">
        <v>85.0</v>
      </c>
      <c r="X541" s="3">
        <v>64.0</v>
      </c>
      <c r="Y541" s="3">
        <v>83.0</v>
      </c>
      <c r="Z541" s="3">
        <v>58.0</v>
      </c>
      <c r="AA541" s="3">
        <v>62.0</v>
      </c>
      <c r="AB541" s="3">
        <v>69.0</v>
      </c>
      <c r="AC541" s="3">
        <v>68.0</v>
      </c>
      <c r="AD541" s="3">
        <v>84.0</v>
      </c>
      <c r="AE541" s="3">
        <v>65.0</v>
      </c>
      <c r="AF541" s="3">
        <v>57.0</v>
      </c>
      <c r="AG541" s="3">
        <v>60.0</v>
      </c>
      <c r="AH541" s="3">
        <v>21.0</v>
      </c>
      <c r="AI541" s="3">
        <v>66.0</v>
      </c>
      <c r="AJ541" s="3">
        <v>68.0</v>
      </c>
      <c r="AK541" s="3">
        <v>67.0</v>
      </c>
      <c r="AL541" s="3">
        <v>52.0</v>
      </c>
      <c r="AM541" s="3">
        <v>51.0</v>
      </c>
      <c r="AN541" s="3">
        <v>77.0</v>
      </c>
    </row>
    <row r="542" ht="14.25" customHeight="1">
      <c r="A542" s="3">
        <v>540.0</v>
      </c>
      <c r="B542" s="3" t="s">
        <v>7016</v>
      </c>
      <c r="C542" s="3">
        <v>34.0</v>
      </c>
      <c r="D542" s="3" t="s">
        <v>6645</v>
      </c>
      <c r="E542" s="3" t="s">
        <v>6646</v>
      </c>
      <c r="F542" s="3" t="s">
        <v>6646</v>
      </c>
      <c r="G542" s="3" t="s">
        <v>6645</v>
      </c>
      <c r="H542" s="3" t="s">
        <v>6645</v>
      </c>
      <c r="I542" s="3" t="s">
        <v>6646</v>
      </c>
      <c r="J542" s="3">
        <v>18.0</v>
      </c>
      <c r="K542" s="3">
        <v>3.0</v>
      </c>
      <c r="L542" s="3">
        <v>0.0</v>
      </c>
      <c r="M542" s="3">
        <v>0.0</v>
      </c>
      <c r="N542" s="3">
        <v>9033.0</v>
      </c>
      <c r="O542" s="3">
        <v>987.0</v>
      </c>
      <c r="P542" s="3" t="e">
        <v>#N/A</v>
      </c>
      <c r="Q542" s="3">
        <v>64.0</v>
      </c>
      <c r="R542" s="3">
        <v>54.0</v>
      </c>
      <c r="S542" s="3">
        <v>64.0</v>
      </c>
      <c r="T542" s="3">
        <v>56.0</v>
      </c>
      <c r="U542" s="3">
        <v>66.0</v>
      </c>
      <c r="V542" s="3">
        <v>56.0</v>
      </c>
      <c r="W542" s="3">
        <v>69.0</v>
      </c>
      <c r="X542" s="3">
        <v>52.0</v>
      </c>
      <c r="Y542" s="3">
        <v>65.0</v>
      </c>
      <c r="Z542" s="3">
        <v>54.0</v>
      </c>
      <c r="AA542" s="3">
        <v>45.0</v>
      </c>
      <c r="AB542" s="3">
        <v>64.0</v>
      </c>
      <c r="AC542" s="3">
        <v>53.0</v>
      </c>
      <c r="AD542" s="3">
        <v>67.0</v>
      </c>
      <c r="AE542" s="3">
        <v>58.0</v>
      </c>
      <c r="AF542" s="3">
        <v>41.0</v>
      </c>
      <c r="AG542" s="3">
        <v>65.0</v>
      </c>
      <c r="AH542" s="3">
        <v>60.0</v>
      </c>
      <c r="AI542" s="3">
        <v>66.0</v>
      </c>
      <c r="AJ542" s="3">
        <v>65.0</v>
      </c>
      <c r="AK542" s="3">
        <v>68.0</v>
      </c>
      <c r="AL542" s="3">
        <v>55.0</v>
      </c>
      <c r="AM542" s="3">
        <v>65.0</v>
      </c>
      <c r="AN542" s="3">
        <v>77.0</v>
      </c>
    </row>
    <row r="543" ht="14.25" customHeight="1">
      <c r="A543" s="3">
        <v>541.0</v>
      </c>
      <c r="B543" s="3" t="s">
        <v>7017</v>
      </c>
      <c r="C543" s="3">
        <v>32.0</v>
      </c>
      <c r="D543" s="3" t="s">
        <v>6645</v>
      </c>
      <c r="E543" s="3" t="s">
        <v>6646</v>
      </c>
      <c r="F543" s="3" t="s">
        <v>6646</v>
      </c>
      <c r="G543" s="3" t="s">
        <v>6645</v>
      </c>
      <c r="H543" s="3" t="s">
        <v>6645</v>
      </c>
      <c r="I543" s="3" t="s">
        <v>6645</v>
      </c>
      <c r="J543" s="3">
        <v>18.0</v>
      </c>
      <c r="K543" s="3">
        <v>3.0</v>
      </c>
      <c r="L543" s="3">
        <v>0.0</v>
      </c>
      <c r="M543" s="3">
        <v>0.0</v>
      </c>
      <c r="N543" s="3">
        <v>8250.85</v>
      </c>
      <c r="O543" s="3">
        <v>952.0</v>
      </c>
      <c r="P543" s="3" t="e">
        <v>#N/A</v>
      </c>
      <c r="Q543" s="3">
        <v>60.0</v>
      </c>
      <c r="R543" s="3">
        <v>52.0</v>
      </c>
      <c r="S543" s="3">
        <v>67.0</v>
      </c>
      <c r="T543" s="3">
        <v>52.0</v>
      </c>
      <c r="U543" s="3">
        <v>63.0</v>
      </c>
      <c r="V543" s="3">
        <v>56.0</v>
      </c>
      <c r="W543" s="3">
        <v>70.0</v>
      </c>
      <c r="X543" s="3">
        <v>58.0</v>
      </c>
      <c r="Y543" s="3">
        <v>68.0</v>
      </c>
      <c r="Z543" s="3">
        <v>52.0</v>
      </c>
      <c r="AA543" s="3">
        <v>56.0</v>
      </c>
      <c r="AB543" s="3">
        <v>57.0</v>
      </c>
      <c r="AC543" s="3">
        <v>47.0</v>
      </c>
      <c r="AD543" s="3">
        <v>65.0</v>
      </c>
      <c r="AE543" s="3">
        <v>50.0</v>
      </c>
      <c r="AF543" s="3">
        <v>28.0</v>
      </c>
      <c r="AG543" s="3">
        <v>61.0</v>
      </c>
      <c r="AH543" s="3">
        <v>59.0</v>
      </c>
      <c r="AI543" s="3">
        <v>68.0</v>
      </c>
      <c r="AJ543" s="3">
        <v>65.0</v>
      </c>
      <c r="AK543" s="3">
        <v>64.0</v>
      </c>
      <c r="AL543" s="3">
        <v>65.0</v>
      </c>
      <c r="AM543" s="3">
        <v>46.0</v>
      </c>
      <c r="AN543" s="3">
        <v>72.0</v>
      </c>
    </row>
    <row r="544" ht="14.25" customHeight="1">
      <c r="A544" s="3">
        <v>542.0</v>
      </c>
      <c r="B544" s="3" t="s">
        <v>7018</v>
      </c>
      <c r="C544" s="3">
        <v>33.0</v>
      </c>
      <c r="D544" s="3" t="s">
        <v>6645</v>
      </c>
      <c r="E544" s="3" t="s">
        <v>6646</v>
      </c>
      <c r="F544" s="3" t="s">
        <v>6646</v>
      </c>
      <c r="G544" s="3" t="s">
        <v>6645</v>
      </c>
      <c r="H544" s="3" t="s">
        <v>6645</v>
      </c>
      <c r="I544" s="3" t="s">
        <v>6646</v>
      </c>
      <c r="J544" s="3">
        <v>18.0</v>
      </c>
      <c r="K544" s="3">
        <v>3.0</v>
      </c>
      <c r="L544" s="3">
        <v>0.0</v>
      </c>
      <c r="M544" s="3">
        <v>0.0</v>
      </c>
      <c r="N544" s="3">
        <v>9350.35</v>
      </c>
      <c r="O544" s="3">
        <v>605.0</v>
      </c>
      <c r="P544" s="3" t="e">
        <v>#N/A</v>
      </c>
      <c r="Q544" s="3">
        <v>66.0</v>
      </c>
      <c r="R544" s="3">
        <v>54.0</v>
      </c>
      <c r="S544" s="3">
        <v>69.0</v>
      </c>
      <c r="T544" s="3">
        <v>52.0</v>
      </c>
      <c r="U544" s="3">
        <v>66.0</v>
      </c>
      <c r="V544" s="3">
        <v>60.0</v>
      </c>
      <c r="W544" s="3">
        <v>62.0</v>
      </c>
      <c r="X544" s="3">
        <v>59.0</v>
      </c>
      <c r="Y544" s="3">
        <v>71.0</v>
      </c>
      <c r="Z544" s="3">
        <v>49.0</v>
      </c>
      <c r="AA544" s="3">
        <v>54.0</v>
      </c>
      <c r="AB544" s="3">
        <v>60.0</v>
      </c>
      <c r="AC544" s="3">
        <v>62.0</v>
      </c>
      <c r="AD544" s="3">
        <v>67.0</v>
      </c>
      <c r="AE544" s="3">
        <v>58.0</v>
      </c>
      <c r="AF544" s="3">
        <v>51.0</v>
      </c>
      <c r="AG544" s="3">
        <v>50.0</v>
      </c>
      <c r="AH544" s="3">
        <v>26.0</v>
      </c>
      <c r="AI544" s="3">
        <v>63.0</v>
      </c>
      <c r="AJ544" s="3">
        <v>66.0</v>
      </c>
      <c r="AK544" s="3">
        <v>48.0</v>
      </c>
      <c r="AL544" s="3">
        <v>45.0</v>
      </c>
      <c r="AM544" s="3">
        <v>44.0</v>
      </c>
      <c r="AN544" s="3">
        <v>80.0</v>
      </c>
    </row>
    <row r="545" ht="14.25" customHeight="1">
      <c r="A545" s="3">
        <v>543.0</v>
      </c>
      <c r="B545" s="3" t="s">
        <v>7019</v>
      </c>
      <c r="C545" s="3">
        <v>35.0</v>
      </c>
      <c r="D545" s="3" t="s">
        <v>6645</v>
      </c>
      <c r="E545" s="3" t="s">
        <v>6646</v>
      </c>
      <c r="F545" s="3" t="s">
        <v>6646</v>
      </c>
      <c r="G545" s="3" t="s">
        <v>6645</v>
      </c>
      <c r="H545" s="3" t="s">
        <v>6645</v>
      </c>
      <c r="I545" s="3" t="s">
        <v>6645</v>
      </c>
      <c r="J545" s="3">
        <v>18.0</v>
      </c>
      <c r="K545" s="3">
        <v>3.0</v>
      </c>
      <c r="L545" s="3">
        <v>0.0</v>
      </c>
      <c r="M545" s="3">
        <v>0.0</v>
      </c>
      <c r="N545" s="3">
        <v>8302.61</v>
      </c>
      <c r="O545" s="3">
        <v>894.0</v>
      </c>
      <c r="P545" s="3" t="e">
        <v>#N/A</v>
      </c>
      <c r="Q545" s="3">
        <v>62.0</v>
      </c>
      <c r="R545" s="3">
        <v>58.0</v>
      </c>
      <c r="S545" s="3">
        <v>66.0</v>
      </c>
      <c r="T545" s="3">
        <v>58.0</v>
      </c>
      <c r="U545" s="3">
        <v>65.0</v>
      </c>
      <c r="V545" s="3">
        <v>62.0</v>
      </c>
      <c r="W545" s="3">
        <v>73.0</v>
      </c>
      <c r="X545" s="3">
        <v>58.0</v>
      </c>
      <c r="Y545" s="3">
        <v>65.0</v>
      </c>
      <c r="Z545" s="3">
        <v>55.0</v>
      </c>
      <c r="AA545" s="3">
        <v>52.0</v>
      </c>
      <c r="AB545" s="3">
        <v>56.0</v>
      </c>
      <c r="AC545" s="3">
        <v>56.0</v>
      </c>
      <c r="AD545" s="3">
        <v>64.0</v>
      </c>
      <c r="AE545" s="3">
        <v>52.0</v>
      </c>
      <c r="AF545" s="3">
        <v>53.0</v>
      </c>
      <c r="AG545" s="3">
        <v>47.0</v>
      </c>
      <c r="AH545" s="3">
        <v>44.0</v>
      </c>
      <c r="AI545" s="3">
        <v>60.0</v>
      </c>
      <c r="AJ545" s="3">
        <v>66.0</v>
      </c>
      <c r="AK545" s="3">
        <v>49.0</v>
      </c>
      <c r="AL545" s="3">
        <v>22.0</v>
      </c>
      <c r="AM545" s="3">
        <v>48.0</v>
      </c>
      <c r="AN545" s="3">
        <v>79.0</v>
      </c>
    </row>
    <row r="546" ht="14.25" customHeight="1">
      <c r="A546" s="3">
        <v>544.0</v>
      </c>
      <c r="B546" s="3" t="s">
        <v>7020</v>
      </c>
      <c r="C546" s="3">
        <v>29.0</v>
      </c>
      <c r="D546" s="3" t="s">
        <v>6645</v>
      </c>
      <c r="E546" s="3" t="s">
        <v>6646</v>
      </c>
      <c r="F546" s="3" t="s">
        <v>6646</v>
      </c>
      <c r="G546" s="3" t="s">
        <v>6645</v>
      </c>
      <c r="H546" s="3" t="s">
        <v>6645</v>
      </c>
      <c r="I546" s="3" t="s">
        <v>6645</v>
      </c>
      <c r="J546" s="3">
        <v>18.0</v>
      </c>
      <c r="K546" s="3">
        <v>2.0</v>
      </c>
      <c r="L546" s="3">
        <v>0.0</v>
      </c>
      <c r="M546" s="3">
        <v>0.0</v>
      </c>
      <c r="N546" s="3">
        <v>4634.37</v>
      </c>
      <c r="O546" s="3">
        <v>432.0</v>
      </c>
      <c r="P546" s="3" t="e">
        <v>#N/A</v>
      </c>
      <c r="Q546" s="3">
        <v>49.0</v>
      </c>
      <c r="R546" s="3">
        <v>52.0</v>
      </c>
      <c r="S546" s="3">
        <v>51.0</v>
      </c>
      <c r="T546" s="3">
        <v>49.0</v>
      </c>
      <c r="U546" s="3">
        <v>51.0</v>
      </c>
      <c r="V546" s="3">
        <v>52.0</v>
      </c>
      <c r="W546" s="3">
        <v>62.0</v>
      </c>
      <c r="X546" s="3">
        <v>53.0</v>
      </c>
      <c r="Y546" s="3">
        <v>59.0</v>
      </c>
      <c r="Z546" s="3">
        <v>42.0</v>
      </c>
      <c r="AA546" s="3">
        <v>37.0</v>
      </c>
      <c r="AB546" s="3">
        <v>47.0</v>
      </c>
      <c r="AC546" s="3">
        <v>49.0</v>
      </c>
      <c r="AD546" s="3">
        <v>61.0</v>
      </c>
      <c r="AE546" s="3">
        <v>41.0</v>
      </c>
      <c r="AF546" s="3">
        <v>42.0</v>
      </c>
      <c r="AG546" s="3">
        <v>62.0</v>
      </c>
      <c r="AH546" s="3">
        <v>58.0</v>
      </c>
      <c r="AI546" s="3">
        <v>56.0</v>
      </c>
      <c r="AJ546" s="3">
        <v>46.0</v>
      </c>
      <c r="AK546" s="3">
        <v>66.0</v>
      </c>
      <c r="AL546" s="3">
        <v>40.0</v>
      </c>
      <c r="AM546" s="3">
        <v>36.0</v>
      </c>
      <c r="AN546" s="3">
        <v>74.0</v>
      </c>
    </row>
    <row r="547" ht="14.25" customHeight="1">
      <c r="A547" s="3">
        <v>545.0</v>
      </c>
      <c r="B547" s="3" t="s">
        <v>7021</v>
      </c>
      <c r="C547" s="3">
        <v>29.0</v>
      </c>
      <c r="D547" s="3" t="s">
        <v>6645</v>
      </c>
      <c r="E547" s="3" t="s">
        <v>6646</v>
      </c>
      <c r="F547" s="3" t="s">
        <v>6646</v>
      </c>
      <c r="G547" s="3" t="s">
        <v>6645</v>
      </c>
      <c r="H547" s="3" t="s">
        <v>6645</v>
      </c>
      <c r="I547" s="3" t="s">
        <v>6646</v>
      </c>
      <c r="J547" s="3">
        <v>18.0</v>
      </c>
      <c r="K547" s="3">
        <v>2.0</v>
      </c>
      <c r="L547" s="3">
        <v>0.0</v>
      </c>
      <c r="M547" s="3">
        <v>0.0</v>
      </c>
      <c r="N547" s="3">
        <v>4692.91</v>
      </c>
      <c r="O547" s="3">
        <v>389.0</v>
      </c>
      <c r="P547" s="3" t="e">
        <v>#N/A</v>
      </c>
      <c r="Q547" s="3">
        <v>49.0</v>
      </c>
      <c r="R547" s="3">
        <v>47.0</v>
      </c>
      <c r="S547" s="3">
        <v>56.0</v>
      </c>
      <c r="T547" s="3">
        <v>45.0</v>
      </c>
      <c r="U547" s="3">
        <v>52.0</v>
      </c>
      <c r="V547" s="3">
        <v>52.0</v>
      </c>
      <c r="W547" s="3">
        <v>49.0</v>
      </c>
      <c r="X547" s="3">
        <v>39.0</v>
      </c>
      <c r="Y547" s="3">
        <v>56.0</v>
      </c>
      <c r="Z547" s="3">
        <v>48.0</v>
      </c>
      <c r="AA547" s="3">
        <v>45.0</v>
      </c>
      <c r="AB547" s="3">
        <v>44.0</v>
      </c>
      <c r="AC547" s="3">
        <v>52.0</v>
      </c>
      <c r="AD547" s="3">
        <v>57.0</v>
      </c>
      <c r="AE547" s="3">
        <v>47.0</v>
      </c>
      <c r="AF547" s="3">
        <v>56.0</v>
      </c>
      <c r="AG547" s="3">
        <v>15.0</v>
      </c>
      <c r="AH547" s="3">
        <v>62.0</v>
      </c>
      <c r="AI547" s="3">
        <v>50.0</v>
      </c>
      <c r="AJ547" s="3">
        <v>46.0</v>
      </c>
      <c r="AK547" s="3">
        <v>50.0</v>
      </c>
      <c r="AL547" s="3">
        <v>52.0</v>
      </c>
      <c r="AM547" s="3">
        <v>40.0</v>
      </c>
      <c r="AN547" s="3">
        <v>83.0</v>
      </c>
    </row>
    <row r="548" ht="14.25" customHeight="1">
      <c r="A548" s="3">
        <v>546.0</v>
      </c>
      <c r="B548" s="3" t="s">
        <v>7022</v>
      </c>
      <c r="C548" s="3">
        <v>32.0</v>
      </c>
      <c r="D548" s="3" t="s">
        <v>6645</v>
      </c>
      <c r="E548" s="3" t="s">
        <v>6646</v>
      </c>
      <c r="F548" s="3" t="s">
        <v>6646</v>
      </c>
      <c r="G548" s="3" t="s">
        <v>6645</v>
      </c>
      <c r="H548" s="3" t="s">
        <v>6645</v>
      </c>
      <c r="I548" s="3" t="s">
        <v>6646</v>
      </c>
      <c r="J548" s="3">
        <v>18.0</v>
      </c>
      <c r="K548" s="3">
        <v>2.0</v>
      </c>
      <c r="L548" s="3">
        <v>0.0</v>
      </c>
      <c r="M548" s="3">
        <v>0.0</v>
      </c>
      <c r="N548" s="3">
        <v>4792.07</v>
      </c>
      <c r="O548" s="3">
        <v>349.0</v>
      </c>
      <c r="P548" s="3" t="e">
        <v>#N/A</v>
      </c>
      <c r="Q548" s="3">
        <v>50.0</v>
      </c>
      <c r="R548" s="3">
        <v>47.0</v>
      </c>
      <c r="S548" s="3">
        <v>57.0</v>
      </c>
      <c r="T548" s="3">
        <v>48.0</v>
      </c>
      <c r="U548" s="3">
        <v>57.0</v>
      </c>
      <c r="V548" s="3">
        <v>47.0</v>
      </c>
      <c r="W548" s="3">
        <v>55.0</v>
      </c>
      <c r="X548" s="3">
        <v>43.0</v>
      </c>
      <c r="Y548" s="3">
        <v>56.0</v>
      </c>
      <c r="Z548" s="3">
        <v>53.0</v>
      </c>
      <c r="AA548" s="3">
        <v>46.0</v>
      </c>
      <c r="AB548" s="3">
        <v>38.0</v>
      </c>
      <c r="AC548" s="3">
        <v>49.0</v>
      </c>
      <c r="AD548" s="3">
        <v>60.0</v>
      </c>
      <c r="AE548" s="3">
        <v>43.0</v>
      </c>
      <c r="AF548" s="3">
        <v>64.0</v>
      </c>
      <c r="AG548" s="3">
        <v>58.0</v>
      </c>
      <c r="AH548" s="3">
        <v>40.0</v>
      </c>
      <c r="AI548" s="3">
        <v>58.0</v>
      </c>
      <c r="AJ548" s="3">
        <v>48.0</v>
      </c>
      <c r="AK548" s="3">
        <v>40.0</v>
      </c>
      <c r="AL548" s="3">
        <v>34.0</v>
      </c>
      <c r="AM548" s="3">
        <v>38.0</v>
      </c>
      <c r="AN548" s="3">
        <v>82.0</v>
      </c>
    </row>
    <row r="549" ht="14.25" customHeight="1">
      <c r="A549" s="3">
        <v>547.0</v>
      </c>
      <c r="B549" s="3" t="s">
        <v>7023</v>
      </c>
      <c r="C549" s="3">
        <v>29.0</v>
      </c>
      <c r="D549" s="3" t="s">
        <v>6645</v>
      </c>
      <c r="E549" s="3" t="s">
        <v>6646</v>
      </c>
      <c r="F549" s="3" t="s">
        <v>6646</v>
      </c>
      <c r="G549" s="3" t="s">
        <v>6645</v>
      </c>
      <c r="H549" s="3" t="s">
        <v>6645</v>
      </c>
      <c r="I549" s="3" t="s">
        <v>6646</v>
      </c>
      <c r="J549" s="3">
        <v>18.0</v>
      </c>
      <c r="K549" s="3">
        <v>2.0</v>
      </c>
      <c r="L549" s="3">
        <v>0.0</v>
      </c>
      <c r="M549" s="3">
        <v>0.0</v>
      </c>
      <c r="N549" s="3">
        <v>4587.83</v>
      </c>
      <c r="O549" s="3">
        <v>471.0</v>
      </c>
      <c r="P549" s="3" t="e">
        <v>#N/A</v>
      </c>
      <c r="Q549" s="3">
        <v>45.0</v>
      </c>
      <c r="R549" s="3">
        <v>53.0</v>
      </c>
      <c r="S549" s="3">
        <v>59.0</v>
      </c>
      <c r="T549" s="3">
        <v>49.0</v>
      </c>
      <c r="U549" s="3">
        <v>54.0</v>
      </c>
      <c r="V549" s="3">
        <v>52.0</v>
      </c>
      <c r="W549" s="3">
        <v>59.0</v>
      </c>
      <c r="X549" s="3">
        <v>43.0</v>
      </c>
      <c r="Y549" s="3">
        <v>62.0</v>
      </c>
      <c r="Z549" s="3">
        <v>54.0</v>
      </c>
      <c r="AA549" s="3">
        <v>37.0</v>
      </c>
      <c r="AB549" s="3">
        <v>45.0</v>
      </c>
      <c r="AC549" s="3">
        <v>48.0</v>
      </c>
      <c r="AD549" s="3">
        <v>54.0</v>
      </c>
      <c r="AE549" s="3">
        <v>48.0</v>
      </c>
      <c r="AF549" s="3">
        <v>48.0</v>
      </c>
      <c r="AG549" s="3">
        <v>62.0</v>
      </c>
      <c r="AH549" s="3">
        <v>64.0</v>
      </c>
      <c r="AI549" s="3">
        <v>52.0</v>
      </c>
      <c r="AJ549" s="3">
        <v>64.0</v>
      </c>
      <c r="AK549" s="3">
        <v>9.0</v>
      </c>
      <c r="AL549" s="3">
        <v>56.0</v>
      </c>
      <c r="AM549" s="3">
        <v>60.0</v>
      </c>
      <c r="AN549" s="3">
        <v>77.0</v>
      </c>
    </row>
    <row r="550" ht="14.25" customHeight="1">
      <c r="A550" s="3">
        <v>548.0</v>
      </c>
      <c r="B550" s="3" t="s">
        <v>7024</v>
      </c>
      <c r="C550" s="3">
        <v>20.0</v>
      </c>
      <c r="D550" s="3" t="s">
        <v>6645</v>
      </c>
      <c r="E550" s="3" t="s">
        <v>6646</v>
      </c>
      <c r="F550" s="3" t="s">
        <v>6646</v>
      </c>
      <c r="G550" s="3" t="s">
        <v>6645</v>
      </c>
      <c r="H550" s="3" t="s">
        <v>6645</v>
      </c>
      <c r="I550" s="3" t="s">
        <v>6646</v>
      </c>
      <c r="J550" s="3">
        <v>18.0</v>
      </c>
      <c r="K550" s="3">
        <v>1.0</v>
      </c>
      <c r="L550" s="3">
        <v>0.0</v>
      </c>
      <c r="M550" s="3">
        <v>0.0</v>
      </c>
      <c r="N550" s="3">
        <v>1957.3101</v>
      </c>
      <c r="O550" s="3">
        <v>203.0</v>
      </c>
      <c r="P550" s="3" t="e">
        <v>#N/A</v>
      </c>
      <c r="Q550" s="3">
        <v>42.0</v>
      </c>
      <c r="R550" s="3">
        <v>40.0</v>
      </c>
      <c r="S550" s="3">
        <v>47.0</v>
      </c>
      <c r="T550" s="3">
        <v>38.0</v>
      </c>
      <c r="U550" s="3">
        <v>38.0</v>
      </c>
      <c r="V550" s="3">
        <v>44.0</v>
      </c>
      <c r="W550" s="3">
        <v>52.0</v>
      </c>
      <c r="X550" s="3">
        <v>38.0</v>
      </c>
      <c r="Y550" s="3">
        <v>51.0</v>
      </c>
      <c r="Z550" s="3">
        <v>36.0</v>
      </c>
      <c r="AA550" s="3">
        <v>35.0</v>
      </c>
      <c r="AB550" s="3">
        <v>38.0</v>
      </c>
      <c r="AC550" s="3">
        <v>44.0</v>
      </c>
      <c r="AD550" s="3">
        <v>43.0</v>
      </c>
      <c r="AE550" s="3">
        <v>37.0</v>
      </c>
      <c r="AF550" s="3">
        <v>56.0</v>
      </c>
      <c r="AG550" s="3">
        <v>30.0</v>
      </c>
      <c r="AH550" s="3">
        <v>45.0</v>
      </c>
      <c r="AI550" s="3">
        <v>52.0</v>
      </c>
      <c r="AJ550" s="3">
        <v>52.0</v>
      </c>
      <c r="AK550" s="3">
        <v>36.0</v>
      </c>
      <c r="AL550" s="3">
        <v>40.0</v>
      </c>
      <c r="AM550" s="3">
        <v>50.0</v>
      </c>
      <c r="AN550" s="3">
        <v>71.0</v>
      </c>
    </row>
    <row r="551" ht="14.25" customHeight="1">
      <c r="A551" s="3">
        <v>549.0</v>
      </c>
      <c r="B551" s="3" t="s">
        <v>7025</v>
      </c>
      <c r="C551" s="3">
        <v>26.0</v>
      </c>
      <c r="D551" s="3" t="s">
        <v>6645</v>
      </c>
      <c r="E551" s="3" t="s">
        <v>6646</v>
      </c>
      <c r="F551" s="3" t="s">
        <v>6646</v>
      </c>
      <c r="G551" s="3" t="s">
        <v>6645</v>
      </c>
      <c r="H551" s="3" t="s">
        <v>6645</v>
      </c>
      <c r="I551" s="3" t="s">
        <v>6646</v>
      </c>
      <c r="J551" s="3">
        <v>18.0</v>
      </c>
      <c r="K551" s="3">
        <v>1.0</v>
      </c>
      <c r="L551" s="3">
        <v>0.0</v>
      </c>
      <c r="M551" s="3">
        <v>0.0</v>
      </c>
      <c r="N551" s="3">
        <v>1838.0156</v>
      </c>
      <c r="O551" s="3">
        <v>197.0</v>
      </c>
      <c r="P551" s="3" t="e">
        <v>#N/A</v>
      </c>
      <c r="Q551" s="3">
        <v>38.0</v>
      </c>
      <c r="R551" s="3">
        <v>40.0</v>
      </c>
      <c r="S551" s="3">
        <v>49.0</v>
      </c>
      <c r="T551" s="3">
        <v>44.0</v>
      </c>
      <c r="U551" s="3">
        <v>38.0</v>
      </c>
      <c r="V551" s="3">
        <v>40.0</v>
      </c>
      <c r="W551" s="3">
        <v>49.0</v>
      </c>
      <c r="X551" s="3">
        <v>33.0</v>
      </c>
      <c r="Y551" s="3">
        <v>48.0</v>
      </c>
      <c r="Z551" s="3">
        <v>46.0</v>
      </c>
      <c r="AA551" s="3">
        <v>38.0</v>
      </c>
      <c r="AB551" s="3">
        <v>36.0</v>
      </c>
      <c r="AC551" s="3">
        <v>38.0</v>
      </c>
      <c r="AD551" s="3">
        <v>46.0</v>
      </c>
      <c r="AE551" s="3">
        <v>32.0</v>
      </c>
      <c r="AF551" s="3">
        <v>44.0</v>
      </c>
      <c r="AG551" s="3">
        <v>54.0</v>
      </c>
      <c r="AH551" s="3">
        <v>46.0</v>
      </c>
      <c r="AI551" s="3">
        <v>46.0</v>
      </c>
      <c r="AJ551" s="3">
        <v>39.0</v>
      </c>
      <c r="AK551" s="3">
        <v>56.0</v>
      </c>
      <c r="AL551" s="3">
        <v>9.0</v>
      </c>
      <c r="AM551" s="3">
        <v>51.0</v>
      </c>
      <c r="AN551" s="3">
        <v>69.0</v>
      </c>
    </row>
    <row r="552" ht="14.25" customHeight="1">
      <c r="A552" s="3">
        <v>550.0</v>
      </c>
      <c r="B552" s="3" t="s">
        <v>7026</v>
      </c>
      <c r="C552" s="3">
        <v>26.0</v>
      </c>
      <c r="D552" s="3" t="s">
        <v>6645</v>
      </c>
      <c r="E552" s="3" t="s">
        <v>6646</v>
      </c>
      <c r="F552" s="3" t="s">
        <v>6646</v>
      </c>
      <c r="G552" s="3" t="s">
        <v>6645</v>
      </c>
      <c r="H552" s="3" t="s">
        <v>6645</v>
      </c>
      <c r="I552" s="3" t="s">
        <v>6645</v>
      </c>
      <c r="J552" s="3">
        <v>18.0</v>
      </c>
      <c r="K552" s="3">
        <v>1.0</v>
      </c>
      <c r="L552" s="3">
        <v>0.0</v>
      </c>
      <c r="M552" s="3">
        <v>0.0</v>
      </c>
      <c r="N552" s="3">
        <v>1709.0881</v>
      </c>
      <c r="O552" s="3">
        <v>172.0</v>
      </c>
      <c r="P552" s="3" t="e">
        <v>#N/A</v>
      </c>
      <c r="Q552" s="3">
        <v>46.0</v>
      </c>
      <c r="R552" s="3">
        <v>46.0</v>
      </c>
      <c r="S552" s="3">
        <v>46.0</v>
      </c>
      <c r="T552" s="3">
        <v>44.0</v>
      </c>
      <c r="U552" s="3">
        <v>38.0</v>
      </c>
      <c r="V552" s="3">
        <v>40.0</v>
      </c>
      <c r="W552" s="3">
        <v>47.0</v>
      </c>
      <c r="X552" s="3">
        <v>37.0</v>
      </c>
      <c r="Y552" s="3">
        <v>53.0</v>
      </c>
      <c r="Z552" s="3">
        <v>44.0</v>
      </c>
      <c r="AA552" s="3">
        <v>46.0</v>
      </c>
      <c r="AB552" s="3">
        <v>42.0</v>
      </c>
      <c r="AC552" s="3">
        <v>37.0</v>
      </c>
      <c r="AD552" s="3">
        <v>49.0</v>
      </c>
      <c r="AE552" s="3">
        <v>33.0</v>
      </c>
      <c r="AF552" s="3">
        <v>14.0</v>
      </c>
      <c r="AG552" s="3">
        <v>42.0</v>
      </c>
      <c r="AH552" s="3">
        <v>46.0</v>
      </c>
      <c r="AI552" s="3">
        <v>52.0</v>
      </c>
      <c r="AJ552" s="3">
        <v>34.0</v>
      </c>
      <c r="AK552" s="3">
        <v>55.0</v>
      </c>
      <c r="AL552" s="3">
        <v>57.0</v>
      </c>
      <c r="AM552" s="3">
        <v>42.0</v>
      </c>
      <c r="AN552" s="3">
        <v>66.0</v>
      </c>
    </row>
    <row r="553" ht="14.25" customHeight="1">
      <c r="A553" s="3">
        <v>551.0</v>
      </c>
      <c r="B553" s="3" t="s">
        <v>7027</v>
      </c>
      <c r="C553" s="3">
        <v>20.0</v>
      </c>
      <c r="D553" s="3" t="s">
        <v>6645</v>
      </c>
      <c r="E553" s="3" t="s">
        <v>6646</v>
      </c>
      <c r="F553" s="3" t="s">
        <v>6646</v>
      </c>
      <c r="G553" s="3" t="s">
        <v>6645</v>
      </c>
      <c r="H553" s="3" t="s">
        <v>6645</v>
      </c>
      <c r="I553" s="3" t="s">
        <v>6645</v>
      </c>
      <c r="J553" s="3">
        <v>18.0</v>
      </c>
      <c r="K553" s="3">
        <v>1.0</v>
      </c>
      <c r="L553" s="3">
        <v>0.0</v>
      </c>
      <c r="M553" s="3">
        <v>0.0</v>
      </c>
      <c r="N553" s="3">
        <v>1902.6057</v>
      </c>
      <c r="O553" s="3">
        <v>187.0</v>
      </c>
      <c r="P553" s="3" t="e">
        <v>#N/A</v>
      </c>
      <c r="Q553" s="3">
        <v>38.0</v>
      </c>
      <c r="R553" s="3">
        <v>46.0</v>
      </c>
      <c r="S553" s="3">
        <v>50.0</v>
      </c>
      <c r="T553" s="3">
        <v>46.0</v>
      </c>
      <c r="U553" s="3">
        <v>38.0</v>
      </c>
      <c r="V553" s="3">
        <v>46.0</v>
      </c>
      <c r="W553" s="3">
        <v>47.0</v>
      </c>
      <c r="X553" s="3">
        <v>44.0</v>
      </c>
      <c r="Y553" s="3">
        <v>46.0</v>
      </c>
      <c r="Z553" s="3">
        <v>46.0</v>
      </c>
      <c r="AA553" s="3">
        <v>31.0</v>
      </c>
      <c r="AB553" s="3">
        <v>39.0</v>
      </c>
      <c r="AC553" s="3">
        <v>46.0</v>
      </c>
      <c r="AD553" s="3">
        <v>51.0</v>
      </c>
      <c r="AE553" s="3">
        <v>36.0</v>
      </c>
      <c r="AF553" s="3">
        <v>34.0</v>
      </c>
      <c r="AG553" s="3">
        <v>52.0</v>
      </c>
      <c r="AH553" s="3">
        <v>52.0</v>
      </c>
      <c r="AI553" s="3">
        <v>62.0</v>
      </c>
      <c r="AJ553" s="3">
        <v>47.0</v>
      </c>
      <c r="AK553" s="3">
        <v>39.0</v>
      </c>
      <c r="AL553" s="3">
        <v>36.0</v>
      </c>
      <c r="AM553" s="3">
        <v>56.0</v>
      </c>
      <c r="AN553" s="3">
        <v>74.0</v>
      </c>
    </row>
    <row r="554" ht="14.25" customHeight="1">
      <c r="A554" s="3">
        <v>552.0</v>
      </c>
      <c r="B554" s="3" t="s">
        <v>7028</v>
      </c>
      <c r="C554" s="3">
        <v>27.0</v>
      </c>
      <c r="D554" s="3" t="s">
        <v>6645</v>
      </c>
      <c r="E554" s="3" t="s">
        <v>6646</v>
      </c>
      <c r="F554" s="3" t="s">
        <v>6646</v>
      </c>
      <c r="G554" s="3" t="s">
        <v>6645</v>
      </c>
      <c r="H554" s="3" t="s">
        <v>6645</v>
      </c>
      <c r="I554" s="3" t="s">
        <v>6645</v>
      </c>
      <c r="J554" s="3">
        <v>18.0</v>
      </c>
      <c r="K554" s="3">
        <v>1.0</v>
      </c>
      <c r="L554" s="3">
        <v>0.0</v>
      </c>
      <c r="M554" s="3">
        <v>0.0</v>
      </c>
      <c r="N554" s="3">
        <v>1960.3817</v>
      </c>
      <c r="O554" s="3">
        <v>163.0</v>
      </c>
      <c r="P554" s="3" t="e">
        <v>#N/A</v>
      </c>
      <c r="Q554" s="3">
        <v>46.0</v>
      </c>
      <c r="R554" s="3">
        <v>38.0</v>
      </c>
      <c r="S554" s="3">
        <v>48.0</v>
      </c>
      <c r="T554" s="3">
        <v>44.0</v>
      </c>
      <c r="U554" s="3">
        <v>46.0</v>
      </c>
      <c r="V554" s="3">
        <v>40.0</v>
      </c>
      <c r="W554" s="3">
        <v>53.0</v>
      </c>
      <c r="X554" s="3">
        <v>31.0</v>
      </c>
      <c r="Y554" s="3">
        <v>45.0</v>
      </c>
      <c r="Z554" s="3">
        <v>31.0</v>
      </c>
      <c r="AA554" s="3">
        <v>34.0</v>
      </c>
      <c r="AB554" s="3">
        <v>38.0</v>
      </c>
      <c r="AC554" s="3">
        <v>46.0</v>
      </c>
      <c r="AD554" s="3">
        <v>50.0</v>
      </c>
      <c r="AE554" s="3">
        <v>44.0</v>
      </c>
      <c r="AF554" s="3">
        <v>35.0</v>
      </c>
      <c r="AG554" s="3">
        <v>61.0</v>
      </c>
      <c r="AH554" s="3">
        <v>39.0</v>
      </c>
      <c r="AI554" s="3">
        <v>51.0</v>
      </c>
      <c r="AJ554" s="3">
        <v>62.0</v>
      </c>
      <c r="AK554" s="3">
        <v>38.0</v>
      </c>
      <c r="AL554" s="3">
        <v>54.0</v>
      </c>
      <c r="AM554" s="3">
        <v>42.0</v>
      </c>
      <c r="AN554" s="3">
        <v>75.0</v>
      </c>
    </row>
    <row r="555" ht="14.25" customHeight="1">
      <c r="A555" s="3">
        <v>553.0</v>
      </c>
      <c r="B555" s="3" t="s">
        <v>7029</v>
      </c>
      <c r="C555" s="3">
        <v>19.0</v>
      </c>
      <c r="D555" s="3" t="s">
        <v>6645</v>
      </c>
      <c r="E555" s="3" t="s">
        <v>6646</v>
      </c>
      <c r="F555" s="3" t="s">
        <v>6646</v>
      </c>
      <c r="G555" s="3" t="s">
        <v>6645</v>
      </c>
      <c r="H555" s="3" t="s">
        <v>6645</v>
      </c>
      <c r="I555" s="3" t="s">
        <v>6645</v>
      </c>
      <c r="J555" s="3">
        <v>18.0</v>
      </c>
      <c r="K555" s="3">
        <v>0.0</v>
      </c>
      <c r="L555" s="3">
        <v>0.0</v>
      </c>
      <c r="M555" s="3">
        <v>0.0</v>
      </c>
      <c r="N555" s="3">
        <v>551.06573</v>
      </c>
      <c r="O555" s="3">
        <v>101.0</v>
      </c>
      <c r="P555" s="3" t="e">
        <v>#N/A</v>
      </c>
      <c r="Q555" s="3">
        <v>35.0</v>
      </c>
      <c r="R555" s="3">
        <v>31.0</v>
      </c>
      <c r="S555" s="3">
        <v>38.0</v>
      </c>
      <c r="T555" s="3">
        <v>30.0</v>
      </c>
      <c r="U555" s="3">
        <v>37.0</v>
      </c>
      <c r="V555" s="3">
        <v>33.0</v>
      </c>
      <c r="W555" s="3">
        <v>38.0</v>
      </c>
      <c r="X555" s="3">
        <v>25.0</v>
      </c>
      <c r="Y555" s="3">
        <v>39.0</v>
      </c>
      <c r="Z555" s="3">
        <v>38.0</v>
      </c>
      <c r="AA555" s="3">
        <v>36.0</v>
      </c>
      <c r="AB555" s="3">
        <v>31.0</v>
      </c>
      <c r="AC555" s="3">
        <v>34.0</v>
      </c>
      <c r="AD555" s="3">
        <v>41.0</v>
      </c>
      <c r="AE555" s="3">
        <v>28.0</v>
      </c>
      <c r="AF555" s="3">
        <v>53.0</v>
      </c>
      <c r="AG555" s="3">
        <v>51.0</v>
      </c>
      <c r="AH555" s="3">
        <v>46.0</v>
      </c>
      <c r="AI555" s="3">
        <v>59.0</v>
      </c>
      <c r="AJ555" s="3">
        <v>52.0</v>
      </c>
      <c r="AK555" s="3">
        <v>30.0</v>
      </c>
      <c r="AL555" s="3">
        <v>1.0</v>
      </c>
      <c r="AM555" s="3">
        <v>49.0</v>
      </c>
      <c r="AN555" s="3">
        <v>70.0</v>
      </c>
    </row>
    <row r="556" ht="14.25" customHeight="1">
      <c r="A556" s="3">
        <v>554.0</v>
      </c>
      <c r="B556" s="3" t="s">
        <v>7030</v>
      </c>
      <c r="C556" s="3">
        <v>19.0</v>
      </c>
      <c r="D556" s="3" t="s">
        <v>6645</v>
      </c>
      <c r="E556" s="3" t="s">
        <v>6646</v>
      </c>
      <c r="F556" s="3" t="s">
        <v>6646</v>
      </c>
      <c r="G556" s="3" t="s">
        <v>6645</v>
      </c>
      <c r="H556" s="3" t="s">
        <v>6645</v>
      </c>
      <c r="I556" s="3" t="s">
        <v>6645</v>
      </c>
      <c r="J556" s="3">
        <v>18.0</v>
      </c>
      <c r="K556" s="3">
        <v>0.0</v>
      </c>
      <c r="L556" s="3">
        <v>0.0</v>
      </c>
      <c r="M556" s="3">
        <v>0.0</v>
      </c>
      <c r="N556" s="3">
        <v>580.649</v>
      </c>
      <c r="O556" s="3">
        <v>81.0</v>
      </c>
      <c r="P556" s="3" t="e">
        <v>#N/A</v>
      </c>
      <c r="Q556" s="3">
        <v>39.0</v>
      </c>
      <c r="R556" s="3">
        <v>30.0</v>
      </c>
      <c r="S556" s="3">
        <v>37.0</v>
      </c>
      <c r="T556" s="3">
        <v>38.0</v>
      </c>
      <c r="U556" s="3">
        <v>36.0</v>
      </c>
      <c r="V556" s="3">
        <v>30.0</v>
      </c>
      <c r="W556" s="3">
        <v>41.0</v>
      </c>
      <c r="X556" s="3">
        <v>22.0</v>
      </c>
      <c r="Y556" s="3">
        <v>41.0</v>
      </c>
      <c r="Z556" s="3">
        <v>33.0</v>
      </c>
      <c r="AA556" s="3">
        <v>32.0</v>
      </c>
      <c r="AB556" s="3">
        <v>36.0</v>
      </c>
      <c r="AC556" s="3">
        <v>22.0</v>
      </c>
      <c r="AD556" s="3">
        <v>46.0</v>
      </c>
      <c r="AE556" s="3">
        <v>35.0</v>
      </c>
      <c r="AF556" s="3">
        <v>27.0</v>
      </c>
      <c r="AG556" s="3">
        <v>35.0</v>
      </c>
      <c r="AH556" s="3">
        <v>51.0</v>
      </c>
      <c r="AI556" s="3">
        <v>41.0</v>
      </c>
      <c r="AJ556" s="3">
        <v>52.0</v>
      </c>
      <c r="AK556" s="3">
        <v>55.0</v>
      </c>
      <c r="AL556" s="3">
        <v>38.0</v>
      </c>
      <c r="AM556" s="3">
        <v>37.0</v>
      </c>
      <c r="AN556" s="3">
        <v>79.0</v>
      </c>
    </row>
    <row r="557" ht="14.25" customHeight="1">
      <c r="A557" s="3">
        <v>555.0</v>
      </c>
      <c r="B557" s="3" t="s">
        <v>7031</v>
      </c>
      <c r="C557" s="3">
        <v>19.0</v>
      </c>
      <c r="D557" s="3" t="s">
        <v>6645</v>
      </c>
      <c r="E557" s="3" t="s">
        <v>6646</v>
      </c>
      <c r="F557" s="3" t="s">
        <v>6646</v>
      </c>
      <c r="G557" s="3" t="s">
        <v>6645</v>
      </c>
      <c r="H557" s="3" t="s">
        <v>6645</v>
      </c>
      <c r="I557" s="3" t="s">
        <v>6646</v>
      </c>
      <c r="J557" s="3">
        <v>18.0</v>
      </c>
      <c r="K557" s="3">
        <v>0.0</v>
      </c>
      <c r="L557" s="3">
        <v>0.0</v>
      </c>
      <c r="M557" s="3">
        <v>0.0</v>
      </c>
      <c r="N557" s="3">
        <v>569.963</v>
      </c>
      <c r="O557" s="3">
        <v>82.0</v>
      </c>
      <c r="P557" s="3" t="e">
        <v>#N/A</v>
      </c>
      <c r="Q557" s="3">
        <v>35.0</v>
      </c>
      <c r="R557" s="3">
        <v>33.0</v>
      </c>
      <c r="S557" s="3">
        <v>39.0</v>
      </c>
      <c r="T557" s="3">
        <v>33.0</v>
      </c>
      <c r="U557" s="3">
        <v>30.0</v>
      </c>
      <c r="V557" s="3">
        <v>32.0</v>
      </c>
      <c r="W557" s="3">
        <v>42.0</v>
      </c>
      <c r="X557" s="3">
        <v>36.0</v>
      </c>
      <c r="Y557" s="3">
        <v>42.0</v>
      </c>
      <c r="Z557" s="3">
        <v>37.0</v>
      </c>
      <c r="AA557" s="3">
        <v>24.0</v>
      </c>
      <c r="AB557" s="3">
        <v>24.0</v>
      </c>
      <c r="AC557" s="3">
        <v>34.0</v>
      </c>
      <c r="AD557" s="3">
        <v>45.0</v>
      </c>
      <c r="AE557" s="3">
        <v>27.0</v>
      </c>
      <c r="AF557" s="3">
        <v>45.0</v>
      </c>
      <c r="AG557" s="3">
        <v>26.0</v>
      </c>
      <c r="AH557" s="3">
        <v>36.0</v>
      </c>
      <c r="AI557" s="3">
        <v>41.0</v>
      </c>
      <c r="AJ557" s="3">
        <v>48.0</v>
      </c>
      <c r="AK557" s="3">
        <v>44.0</v>
      </c>
      <c r="AL557" s="3">
        <v>38.0</v>
      </c>
      <c r="AM557" s="3">
        <v>46.0</v>
      </c>
      <c r="AN557" s="3">
        <v>76.0</v>
      </c>
    </row>
    <row r="558" ht="14.25" customHeight="1">
      <c r="A558" s="3">
        <v>556.0</v>
      </c>
      <c r="B558" s="3" t="s">
        <v>7032</v>
      </c>
      <c r="C558" s="3">
        <v>16.0</v>
      </c>
      <c r="D558" s="3" t="s">
        <v>6645</v>
      </c>
      <c r="E558" s="3" t="s">
        <v>6646</v>
      </c>
      <c r="F558" s="3" t="s">
        <v>6646</v>
      </c>
      <c r="G558" s="3" t="s">
        <v>6645</v>
      </c>
      <c r="H558" s="3" t="s">
        <v>6645</v>
      </c>
      <c r="I558" s="3" t="s">
        <v>6646</v>
      </c>
      <c r="J558" s="3">
        <v>18.0</v>
      </c>
      <c r="K558" s="3">
        <v>0.0</v>
      </c>
      <c r="L558" s="3">
        <v>0.0</v>
      </c>
      <c r="M558" s="3">
        <v>0.0</v>
      </c>
      <c r="N558" s="3">
        <v>501.136</v>
      </c>
      <c r="O558" s="3">
        <v>101.0</v>
      </c>
      <c r="P558" s="3" t="e">
        <v>#N/A</v>
      </c>
      <c r="Q558" s="3">
        <v>37.0</v>
      </c>
      <c r="R558" s="3">
        <v>32.0</v>
      </c>
      <c r="S558" s="3">
        <v>34.0</v>
      </c>
      <c r="T558" s="3">
        <v>33.0</v>
      </c>
      <c r="U558" s="3">
        <v>38.0</v>
      </c>
      <c r="V558" s="3">
        <v>33.0</v>
      </c>
      <c r="W558" s="3">
        <v>46.0</v>
      </c>
      <c r="X558" s="3">
        <v>38.0</v>
      </c>
      <c r="Y558" s="3">
        <v>40.0</v>
      </c>
      <c r="Z558" s="3">
        <v>29.0</v>
      </c>
      <c r="AA558" s="3">
        <v>29.0</v>
      </c>
      <c r="AB558" s="3">
        <v>31.0</v>
      </c>
      <c r="AC558" s="3">
        <v>36.0</v>
      </c>
      <c r="AD558" s="3">
        <v>44.0</v>
      </c>
      <c r="AE558" s="3">
        <v>26.0</v>
      </c>
      <c r="AF558" s="3">
        <v>36.0</v>
      </c>
      <c r="AG558" s="3">
        <v>17.0</v>
      </c>
      <c r="AH558" s="3">
        <v>40.0</v>
      </c>
      <c r="AI558" s="3">
        <v>59.0</v>
      </c>
      <c r="AJ558" s="3">
        <v>38.0</v>
      </c>
      <c r="AK558" s="3">
        <v>46.0</v>
      </c>
      <c r="AL558" s="3">
        <v>36.0</v>
      </c>
      <c r="AM558" s="3">
        <v>55.0</v>
      </c>
      <c r="AN558" s="3">
        <v>64.0</v>
      </c>
    </row>
    <row r="559" ht="14.25" customHeight="1">
      <c r="A559" s="3">
        <v>557.0</v>
      </c>
      <c r="B559" s="3" t="s">
        <v>7033</v>
      </c>
      <c r="C559" s="3">
        <v>19.0</v>
      </c>
      <c r="D559" s="3" t="s">
        <v>6645</v>
      </c>
      <c r="E559" s="3" t="s">
        <v>6646</v>
      </c>
      <c r="F559" s="3" t="s">
        <v>6646</v>
      </c>
      <c r="G559" s="3" t="s">
        <v>6645</v>
      </c>
      <c r="H559" s="3" t="s">
        <v>6645</v>
      </c>
      <c r="I559" s="3" t="s">
        <v>6646</v>
      </c>
      <c r="J559" s="3">
        <v>18.0</v>
      </c>
      <c r="K559" s="3">
        <v>0.0</v>
      </c>
      <c r="L559" s="3">
        <v>0.0</v>
      </c>
      <c r="M559" s="3">
        <v>0.0</v>
      </c>
      <c r="N559" s="3">
        <v>631.84</v>
      </c>
      <c r="O559" s="3">
        <v>119.0</v>
      </c>
      <c r="P559" s="3" t="e">
        <v>#N/A</v>
      </c>
      <c r="Q559" s="3">
        <v>36.0</v>
      </c>
      <c r="R559" s="3">
        <v>34.0</v>
      </c>
      <c r="S559" s="3">
        <v>31.0</v>
      </c>
      <c r="T559" s="3">
        <v>39.0</v>
      </c>
      <c r="U559" s="3">
        <v>39.0</v>
      </c>
      <c r="V559" s="3">
        <v>36.0</v>
      </c>
      <c r="W559" s="3">
        <v>36.0</v>
      </c>
      <c r="X559" s="3">
        <v>33.0</v>
      </c>
      <c r="Y559" s="3">
        <v>41.0</v>
      </c>
      <c r="Z559" s="3">
        <v>32.0</v>
      </c>
      <c r="AA559" s="3">
        <v>30.0</v>
      </c>
      <c r="AB559" s="3">
        <v>35.0</v>
      </c>
      <c r="AC559" s="3">
        <v>31.0</v>
      </c>
      <c r="AD559" s="3">
        <v>38.0</v>
      </c>
      <c r="AE559" s="3">
        <v>28.0</v>
      </c>
      <c r="AF559" s="3">
        <v>58.0</v>
      </c>
      <c r="AG559" s="3">
        <v>48.0</v>
      </c>
      <c r="AH559" s="3">
        <v>43.0</v>
      </c>
      <c r="AI559" s="3">
        <v>31.0</v>
      </c>
      <c r="AJ559" s="3">
        <v>29.0</v>
      </c>
      <c r="AK559" s="3">
        <v>57.0</v>
      </c>
      <c r="AL559" s="3">
        <v>46.0</v>
      </c>
      <c r="AM559" s="3">
        <v>58.0</v>
      </c>
      <c r="AN559" s="3">
        <v>68.0</v>
      </c>
    </row>
    <row r="560" ht="14.25" customHeight="1">
      <c r="A560" s="3">
        <v>558.0</v>
      </c>
      <c r="B560" s="3" t="s">
        <v>7034</v>
      </c>
      <c r="C560" s="3">
        <v>38.0</v>
      </c>
      <c r="D560" s="3" t="s">
        <v>6645</v>
      </c>
      <c r="E560" s="3" t="s">
        <v>6646</v>
      </c>
      <c r="F560" s="3" t="s">
        <v>6646</v>
      </c>
      <c r="G560" s="3" t="s">
        <v>6645</v>
      </c>
      <c r="H560" s="3" t="s">
        <v>6645</v>
      </c>
      <c r="I560" s="3" t="s">
        <v>6645</v>
      </c>
      <c r="J560" s="3">
        <v>19.0</v>
      </c>
      <c r="K560" s="3">
        <v>4.0</v>
      </c>
      <c r="L560" s="3">
        <v>0.0</v>
      </c>
      <c r="M560" s="3">
        <v>0.0</v>
      </c>
      <c r="N560" s="3">
        <v>13477.474</v>
      </c>
      <c r="O560" s="3">
        <v>1461.0</v>
      </c>
      <c r="P560" s="3" t="e">
        <v>#N/A</v>
      </c>
      <c r="Q560" s="3">
        <v>67.0</v>
      </c>
      <c r="R560" s="3">
        <v>73.0</v>
      </c>
      <c r="S560" s="3">
        <v>63.0</v>
      </c>
      <c r="T560" s="3">
        <v>66.0</v>
      </c>
      <c r="U560" s="3">
        <v>64.0</v>
      </c>
      <c r="V560" s="3">
        <v>77.0</v>
      </c>
      <c r="W560" s="3">
        <v>83.0</v>
      </c>
      <c r="X560" s="3">
        <v>76.0</v>
      </c>
      <c r="Y560" s="3">
        <v>61.0</v>
      </c>
      <c r="Z560" s="3">
        <v>84.0</v>
      </c>
      <c r="AA560" s="3">
        <v>70.0</v>
      </c>
      <c r="AB560" s="3">
        <v>61.0</v>
      </c>
      <c r="AC560" s="3">
        <v>63.0</v>
      </c>
      <c r="AD560" s="3">
        <v>64.0</v>
      </c>
      <c r="AE560" s="3">
        <v>58.0</v>
      </c>
      <c r="AF560" s="3">
        <v>72.0</v>
      </c>
      <c r="AG560" s="3">
        <v>54.0</v>
      </c>
      <c r="AH560" s="3">
        <v>54.0</v>
      </c>
      <c r="AI560" s="3">
        <v>69.0</v>
      </c>
      <c r="AJ560" s="3">
        <v>40.0</v>
      </c>
      <c r="AK560" s="3">
        <v>61.0</v>
      </c>
      <c r="AL560" s="3">
        <v>66.0</v>
      </c>
      <c r="AM560" s="3">
        <v>52.0</v>
      </c>
      <c r="AN560" s="3">
        <v>69.0</v>
      </c>
    </row>
    <row r="561" ht="14.25" customHeight="1">
      <c r="A561" s="3">
        <v>559.0</v>
      </c>
      <c r="B561" s="3" t="s">
        <v>7035</v>
      </c>
      <c r="C561" s="3">
        <v>36.0</v>
      </c>
      <c r="D561" s="3" t="s">
        <v>6645</v>
      </c>
      <c r="E561" s="3" t="s">
        <v>6646</v>
      </c>
      <c r="F561" s="3" t="s">
        <v>6646</v>
      </c>
      <c r="G561" s="3" t="s">
        <v>6645</v>
      </c>
      <c r="H561" s="3" t="s">
        <v>6645</v>
      </c>
      <c r="I561" s="3" t="s">
        <v>6645</v>
      </c>
      <c r="J561" s="3">
        <v>19.0</v>
      </c>
      <c r="K561" s="3">
        <v>4.0</v>
      </c>
      <c r="L561" s="3">
        <v>0.0</v>
      </c>
      <c r="M561" s="3">
        <v>0.0</v>
      </c>
      <c r="N561" s="3">
        <v>13996.7</v>
      </c>
      <c r="O561" s="3">
        <v>1580.0</v>
      </c>
      <c r="P561" s="3" t="e">
        <v>#N/A</v>
      </c>
      <c r="Q561" s="3">
        <v>71.0</v>
      </c>
      <c r="R561" s="3">
        <v>79.0</v>
      </c>
      <c r="S561" s="3">
        <v>67.0</v>
      </c>
      <c r="T561" s="3">
        <v>66.0</v>
      </c>
      <c r="U561" s="3">
        <v>67.0</v>
      </c>
      <c r="V561" s="3">
        <v>71.0</v>
      </c>
      <c r="W561" s="3">
        <v>86.0</v>
      </c>
      <c r="X561" s="3">
        <v>73.0</v>
      </c>
      <c r="Y561" s="3">
        <v>63.0</v>
      </c>
      <c r="Z561" s="3">
        <v>80.0</v>
      </c>
      <c r="AA561" s="3">
        <v>76.0</v>
      </c>
      <c r="AB561" s="3">
        <v>66.0</v>
      </c>
      <c r="AC561" s="3">
        <v>57.0</v>
      </c>
      <c r="AD561" s="3">
        <v>53.0</v>
      </c>
      <c r="AE561" s="3">
        <v>62.0</v>
      </c>
      <c r="AF561" s="3">
        <v>76.0</v>
      </c>
      <c r="AG561" s="3">
        <v>68.0</v>
      </c>
      <c r="AH561" s="3">
        <v>64.0</v>
      </c>
      <c r="AI561" s="3">
        <v>48.0</v>
      </c>
      <c r="AJ561" s="3">
        <v>45.0</v>
      </c>
      <c r="AK561" s="3">
        <v>65.0</v>
      </c>
      <c r="AL561" s="3">
        <v>60.0</v>
      </c>
      <c r="AM561" s="3">
        <v>38.0</v>
      </c>
      <c r="AN561" s="3">
        <v>57.0</v>
      </c>
    </row>
    <row r="562" ht="14.25" customHeight="1">
      <c r="A562" s="3">
        <v>560.0</v>
      </c>
      <c r="B562" s="3" t="s">
        <v>7036</v>
      </c>
      <c r="C562" s="3">
        <v>37.0</v>
      </c>
      <c r="D562" s="3" t="s">
        <v>6645</v>
      </c>
      <c r="E562" s="3" t="s">
        <v>6646</v>
      </c>
      <c r="F562" s="3" t="s">
        <v>6646</v>
      </c>
      <c r="G562" s="3" t="s">
        <v>6645</v>
      </c>
      <c r="H562" s="3" t="s">
        <v>6645</v>
      </c>
      <c r="I562" s="3" t="s">
        <v>6646</v>
      </c>
      <c r="J562" s="3">
        <v>19.0</v>
      </c>
      <c r="K562" s="3">
        <v>3.0</v>
      </c>
      <c r="L562" s="3">
        <v>0.0</v>
      </c>
      <c r="M562" s="3">
        <v>0.0</v>
      </c>
      <c r="N562" s="3">
        <v>7990.5175</v>
      </c>
      <c r="O562" s="3">
        <v>920.0</v>
      </c>
      <c r="P562" s="3" t="e">
        <v>#N/A</v>
      </c>
      <c r="Q562" s="3">
        <v>56.0</v>
      </c>
      <c r="R562" s="3">
        <v>55.0</v>
      </c>
      <c r="S562" s="3">
        <v>55.0</v>
      </c>
      <c r="T562" s="3">
        <v>57.0</v>
      </c>
      <c r="U562" s="3">
        <v>55.0</v>
      </c>
      <c r="V562" s="3">
        <v>61.0</v>
      </c>
      <c r="W562" s="3">
        <v>64.0</v>
      </c>
      <c r="X562" s="3">
        <v>69.0</v>
      </c>
      <c r="Y562" s="3">
        <v>51.0</v>
      </c>
      <c r="Z562" s="3">
        <v>61.0</v>
      </c>
      <c r="AA562" s="3">
        <v>51.0</v>
      </c>
      <c r="AB562" s="3">
        <v>56.0</v>
      </c>
      <c r="AC562" s="3">
        <v>47.0</v>
      </c>
      <c r="AD562" s="3">
        <v>53.0</v>
      </c>
      <c r="AE562" s="3">
        <v>55.0</v>
      </c>
      <c r="AF562" s="3">
        <v>78.0</v>
      </c>
      <c r="AG562" s="3">
        <v>65.0</v>
      </c>
      <c r="AH562" s="3">
        <v>53.0</v>
      </c>
      <c r="AI562" s="3">
        <v>60.0</v>
      </c>
      <c r="AJ562" s="3">
        <v>58.0</v>
      </c>
      <c r="AK562" s="3">
        <v>42.0</v>
      </c>
      <c r="AL562" s="3">
        <v>65.0</v>
      </c>
      <c r="AM562" s="3">
        <v>67.0</v>
      </c>
      <c r="AN562" s="3">
        <v>20.0</v>
      </c>
    </row>
    <row r="563" ht="14.25" customHeight="1">
      <c r="A563" s="3">
        <v>561.0</v>
      </c>
      <c r="B563" s="3" t="s">
        <v>7037</v>
      </c>
      <c r="C563" s="3">
        <v>35.0</v>
      </c>
      <c r="D563" s="3" t="s">
        <v>6645</v>
      </c>
      <c r="E563" s="3" t="s">
        <v>6646</v>
      </c>
      <c r="F563" s="3" t="s">
        <v>6646</v>
      </c>
      <c r="G563" s="3" t="s">
        <v>6645</v>
      </c>
      <c r="H563" s="3" t="s">
        <v>6645</v>
      </c>
      <c r="I563" s="3" t="s">
        <v>6645</v>
      </c>
      <c r="J563" s="3">
        <v>19.0</v>
      </c>
      <c r="K563" s="3">
        <v>3.0</v>
      </c>
      <c r="L563" s="3">
        <v>0.0</v>
      </c>
      <c r="M563" s="3">
        <v>0.0</v>
      </c>
      <c r="N563" s="3">
        <v>7434.9077</v>
      </c>
      <c r="O563" s="3">
        <v>844.0</v>
      </c>
      <c r="P563" s="3" t="e">
        <v>#N/A</v>
      </c>
      <c r="Q563" s="3">
        <v>60.0</v>
      </c>
      <c r="R563" s="3">
        <v>59.0</v>
      </c>
      <c r="S563" s="3">
        <v>57.0</v>
      </c>
      <c r="T563" s="3">
        <v>57.0</v>
      </c>
      <c r="U563" s="3">
        <v>54.0</v>
      </c>
      <c r="V563" s="3">
        <v>56.0</v>
      </c>
      <c r="W563" s="3">
        <v>62.0</v>
      </c>
      <c r="X563" s="3">
        <v>61.0</v>
      </c>
      <c r="Y563" s="3">
        <v>56.0</v>
      </c>
      <c r="Z563" s="3">
        <v>63.0</v>
      </c>
      <c r="AA563" s="3">
        <v>50.0</v>
      </c>
      <c r="AB563" s="3">
        <v>46.0</v>
      </c>
      <c r="AC563" s="3">
        <v>58.0</v>
      </c>
      <c r="AD563" s="3">
        <v>51.0</v>
      </c>
      <c r="AE563" s="3">
        <v>46.0</v>
      </c>
      <c r="AF563" s="3">
        <v>73.0</v>
      </c>
      <c r="AG563" s="3">
        <v>47.0</v>
      </c>
      <c r="AH563" s="3">
        <v>68.0</v>
      </c>
      <c r="AI563" s="3">
        <v>64.0</v>
      </c>
      <c r="AJ563" s="3">
        <v>65.0</v>
      </c>
      <c r="AK563" s="3">
        <v>56.0</v>
      </c>
      <c r="AL563" s="3">
        <v>51.0</v>
      </c>
      <c r="AM563" s="3">
        <v>66.0</v>
      </c>
      <c r="AN563" s="3">
        <v>36.0</v>
      </c>
    </row>
    <row r="564" ht="14.25" customHeight="1">
      <c r="A564" s="3">
        <v>562.0</v>
      </c>
      <c r="B564" s="3" t="s">
        <v>7038</v>
      </c>
      <c r="C564" s="3">
        <v>33.0</v>
      </c>
      <c r="D564" s="3" t="s">
        <v>6645</v>
      </c>
      <c r="E564" s="3" t="s">
        <v>6646</v>
      </c>
      <c r="F564" s="3" t="s">
        <v>6646</v>
      </c>
      <c r="G564" s="3" t="s">
        <v>6645</v>
      </c>
      <c r="H564" s="3" t="s">
        <v>6645</v>
      </c>
      <c r="I564" s="3" t="s">
        <v>6645</v>
      </c>
      <c r="J564" s="3">
        <v>19.0</v>
      </c>
      <c r="K564" s="3">
        <v>3.0</v>
      </c>
      <c r="L564" s="3">
        <v>0.0</v>
      </c>
      <c r="M564" s="3">
        <v>0.0</v>
      </c>
      <c r="N564" s="3">
        <v>9190.45</v>
      </c>
      <c r="O564" s="3">
        <v>815.0</v>
      </c>
      <c r="P564" s="3" t="e">
        <v>#N/A</v>
      </c>
      <c r="Q564" s="3">
        <v>59.0</v>
      </c>
      <c r="R564" s="3">
        <v>62.0</v>
      </c>
      <c r="S564" s="3">
        <v>58.0</v>
      </c>
      <c r="T564" s="3">
        <v>52.0</v>
      </c>
      <c r="U564" s="3">
        <v>60.0</v>
      </c>
      <c r="V564" s="3">
        <v>56.0</v>
      </c>
      <c r="W564" s="3">
        <v>65.0</v>
      </c>
      <c r="X564" s="3">
        <v>62.0</v>
      </c>
      <c r="Y564" s="3">
        <v>49.0</v>
      </c>
      <c r="Z564" s="3">
        <v>66.0</v>
      </c>
      <c r="AA564" s="3">
        <v>55.0</v>
      </c>
      <c r="AB564" s="3">
        <v>59.0</v>
      </c>
      <c r="AC564" s="3">
        <v>52.0</v>
      </c>
      <c r="AD564" s="3">
        <v>46.0</v>
      </c>
      <c r="AE564" s="3">
        <v>48.0</v>
      </c>
      <c r="AF564" s="3">
        <v>81.0</v>
      </c>
      <c r="AG564" s="3">
        <v>34.0</v>
      </c>
      <c r="AH564" s="3">
        <v>46.0</v>
      </c>
      <c r="AI564" s="3">
        <v>47.0</v>
      </c>
      <c r="AJ564" s="3">
        <v>57.0</v>
      </c>
      <c r="AK564" s="3">
        <v>67.0</v>
      </c>
      <c r="AL564" s="3">
        <v>68.0</v>
      </c>
      <c r="AM564" s="3">
        <v>56.0</v>
      </c>
      <c r="AN564" s="3">
        <v>50.0</v>
      </c>
    </row>
    <row r="565" ht="14.25" customHeight="1">
      <c r="A565" s="3">
        <v>563.0</v>
      </c>
      <c r="B565" s="3" t="s">
        <v>7039</v>
      </c>
      <c r="C565" s="3">
        <v>31.0</v>
      </c>
      <c r="D565" s="3" t="s">
        <v>6645</v>
      </c>
      <c r="E565" s="3" t="s">
        <v>6646</v>
      </c>
      <c r="F565" s="3" t="s">
        <v>6646</v>
      </c>
      <c r="G565" s="3" t="s">
        <v>6645</v>
      </c>
      <c r="H565" s="3" t="s">
        <v>6645</v>
      </c>
      <c r="I565" s="3" t="s">
        <v>6646</v>
      </c>
      <c r="J565" s="3">
        <v>19.0</v>
      </c>
      <c r="K565" s="3">
        <v>3.0</v>
      </c>
      <c r="L565" s="3">
        <v>0.0</v>
      </c>
      <c r="M565" s="3">
        <v>0.0</v>
      </c>
      <c r="N565" s="3">
        <v>8273.3</v>
      </c>
      <c r="O565" s="3">
        <v>787.0</v>
      </c>
      <c r="P565" s="3" t="e">
        <v>#N/A</v>
      </c>
      <c r="Q565" s="3">
        <v>62.0</v>
      </c>
      <c r="R565" s="3">
        <v>60.0</v>
      </c>
      <c r="S565" s="3">
        <v>60.0</v>
      </c>
      <c r="T565" s="3">
        <v>60.0</v>
      </c>
      <c r="U565" s="3">
        <v>58.0</v>
      </c>
      <c r="V565" s="3">
        <v>55.0</v>
      </c>
      <c r="W565" s="3">
        <v>65.0</v>
      </c>
      <c r="X565" s="3">
        <v>61.0</v>
      </c>
      <c r="Y565" s="3">
        <v>57.0</v>
      </c>
      <c r="Z565" s="3">
        <v>69.0</v>
      </c>
      <c r="AA565" s="3">
        <v>62.0</v>
      </c>
      <c r="AB565" s="3">
        <v>45.0</v>
      </c>
      <c r="AC565" s="3">
        <v>59.0</v>
      </c>
      <c r="AD565" s="3">
        <v>46.0</v>
      </c>
      <c r="AE565" s="3">
        <v>48.0</v>
      </c>
      <c r="AF565" s="3">
        <v>81.0</v>
      </c>
      <c r="AG565" s="3">
        <v>41.0</v>
      </c>
      <c r="AH565" s="3">
        <v>44.0</v>
      </c>
      <c r="AI565" s="3">
        <v>65.0</v>
      </c>
      <c r="AJ565" s="3">
        <v>42.0</v>
      </c>
      <c r="AK565" s="3">
        <v>45.0</v>
      </c>
      <c r="AL565" s="3">
        <v>53.0</v>
      </c>
      <c r="AM565" s="3">
        <v>47.0</v>
      </c>
      <c r="AN565" s="3">
        <v>66.0</v>
      </c>
    </row>
    <row r="566" ht="14.25" customHeight="1">
      <c r="A566" s="3">
        <v>564.0</v>
      </c>
      <c r="B566" s="3" t="s">
        <v>7040</v>
      </c>
      <c r="C566" s="3">
        <v>29.0</v>
      </c>
      <c r="D566" s="3" t="s">
        <v>6645</v>
      </c>
      <c r="E566" s="3" t="s">
        <v>6646</v>
      </c>
      <c r="F566" s="3" t="s">
        <v>6646</v>
      </c>
      <c r="G566" s="3" t="s">
        <v>6645</v>
      </c>
      <c r="H566" s="3" t="s">
        <v>6645</v>
      </c>
      <c r="I566" s="3" t="s">
        <v>6646</v>
      </c>
      <c r="J566" s="3">
        <v>19.0</v>
      </c>
      <c r="K566" s="3">
        <v>2.0</v>
      </c>
      <c r="L566" s="3">
        <v>0.0</v>
      </c>
      <c r="M566" s="3">
        <v>0.0</v>
      </c>
      <c r="N566" s="3">
        <v>4333.8642</v>
      </c>
      <c r="O566" s="3">
        <v>353.0</v>
      </c>
      <c r="P566" s="3" t="e">
        <v>#N/A</v>
      </c>
      <c r="Q566" s="3">
        <v>50.0</v>
      </c>
      <c r="R566" s="3">
        <v>52.0</v>
      </c>
      <c r="S566" s="3">
        <v>48.0</v>
      </c>
      <c r="T566" s="3">
        <v>46.0</v>
      </c>
      <c r="U566" s="3">
        <v>49.0</v>
      </c>
      <c r="V566" s="3">
        <v>51.0</v>
      </c>
      <c r="W566" s="3">
        <v>54.0</v>
      </c>
      <c r="X566" s="3">
        <v>57.0</v>
      </c>
      <c r="Y566" s="3">
        <v>45.0</v>
      </c>
      <c r="Z566" s="3">
        <v>53.0</v>
      </c>
      <c r="AA566" s="3">
        <v>44.0</v>
      </c>
      <c r="AB566" s="3">
        <v>48.0</v>
      </c>
      <c r="AC566" s="3">
        <v>37.0</v>
      </c>
      <c r="AD566" s="3">
        <v>44.0</v>
      </c>
      <c r="AE566" s="3">
        <v>48.0</v>
      </c>
      <c r="AF566" s="3">
        <v>68.0</v>
      </c>
      <c r="AG566" s="3">
        <v>19.0</v>
      </c>
      <c r="AH566" s="3">
        <v>36.0</v>
      </c>
      <c r="AI566" s="3">
        <v>44.0</v>
      </c>
      <c r="AJ566" s="3">
        <v>64.0</v>
      </c>
      <c r="AK566" s="3">
        <v>56.0</v>
      </c>
      <c r="AL566" s="3">
        <v>50.0</v>
      </c>
      <c r="AM566" s="3">
        <v>48.0</v>
      </c>
      <c r="AN566" s="3">
        <v>51.0</v>
      </c>
    </row>
    <row r="567" ht="14.25" customHeight="1">
      <c r="A567" s="3">
        <v>565.0</v>
      </c>
      <c r="B567" s="3" t="s">
        <v>7041</v>
      </c>
      <c r="C567" s="3">
        <v>33.0</v>
      </c>
      <c r="D567" s="3" t="s">
        <v>6645</v>
      </c>
      <c r="E567" s="3" t="s">
        <v>6646</v>
      </c>
      <c r="F567" s="3" t="s">
        <v>6646</v>
      </c>
      <c r="G567" s="3" t="s">
        <v>6645</v>
      </c>
      <c r="H567" s="3" t="s">
        <v>6645</v>
      </c>
      <c r="I567" s="3" t="s">
        <v>6645</v>
      </c>
      <c r="J567" s="3">
        <v>19.0</v>
      </c>
      <c r="K567" s="3">
        <v>2.0</v>
      </c>
      <c r="L567" s="3">
        <v>0.0</v>
      </c>
      <c r="M567" s="3">
        <v>0.0</v>
      </c>
      <c r="N567" s="3">
        <v>5002.2973</v>
      </c>
      <c r="O567" s="3">
        <v>384.0</v>
      </c>
      <c r="P567" s="3" t="e">
        <v>#N/A</v>
      </c>
      <c r="Q567" s="3">
        <v>50.0</v>
      </c>
      <c r="R567" s="3">
        <v>48.0</v>
      </c>
      <c r="S567" s="3">
        <v>51.0</v>
      </c>
      <c r="T567" s="3">
        <v>46.0</v>
      </c>
      <c r="U567" s="3">
        <v>50.0</v>
      </c>
      <c r="V567" s="3">
        <v>53.0</v>
      </c>
      <c r="W567" s="3">
        <v>58.0</v>
      </c>
      <c r="X567" s="3">
        <v>55.0</v>
      </c>
      <c r="Y567" s="3">
        <v>37.0</v>
      </c>
      <c r="Z567" s="3">
        <v>55.0</v>
      </c>
      <c r="AA567" s="3">
        <v>37.0</v>
      </c>
      <c r="AB567" s="3">
        <v>51.0</v>
      </c>
      <c r="AC567" s="3">
        <v>51.0</v>
      </c>
      <c r="AD567" s="3">
        <v>47.0</v>
      </c>
      <c r="AE567" s="3">
        <v>42.0</v>
      </c>
      <c r="AF567" s="3">
        <v>75.0</v>
      </c>
      <c r="AG567" s="3">
        <v>45.0</v>
      </c>
      <c r="AH567" s="3">
        <v>38.0</v>
      </c>
      <c r="AI567" s="3">
        <v>12.0</v>
      </c>
      <c r="AJ567" s="3">
        <v>39.0</v>
      </c>
      <c r="AK567" s="3">
        <v>58.0</v>
      </c>
      <c r="AL567" s="3">
        <v>57.0</v>
      </c>
      <c r="AM567" s="3">
        <v>45.0</v>
      </c>
      <c r="AN567" s="3">
        <v>48.0</v>
      </c>
    </row>
    <row r="568" ht="14.25" customHeight="1">
      <c r="A568" s="3">
        <v>566.0</v>
      </c>
      <c r="B568" s="3" t="s">
        <v>7042</v>
      </c>
      <c r="C568" s="3">
        <v>32.0</v>
      </c>
      <c r="D568" s="3" t="s">
        <v>6645</v>
      </c>
      <c r="E568" s="3" t="s">
        <v>6646</v>
      </c>
      <c r="F568" s="3" t="s">
        <v>6646</v>
      </c>
      <c r="G568" s="3" t="s">
        <v>6645</v>
      </c>
      <c r="H568" s="3" t="s">
        <v>6645</v>
      </c>
      <c r="I568" s="3" t="s">
        <v>6646</v>
      </c>
      <c r="J568" s="3">
        <v>19.0</v>
      </c>
      <c r="K568" s="3">
        <v>2.0</v>
      </c>
      <c r="L568" s="3">
        <v>0.0</v>
      </c>
      <c r="M568" s="3">
        <v>0.0</v>
      </c>
      <c r="N568" s="3">
        <v>3967.43</v>
      </c>
      <c r="O568" s="3">
        <v>448.0</v>
      </c>
      <c r="P568" s="3" t="e">
        <v>#N/A</v>
      </c>
      <c r="Q568" s="3">
        <v>48.0</v>
      </c>
      <c r="R568" s="3">
        <v>46.0</v>
      </c>
      <c r="S568" s="3">
        <v>46.0</v>
      </c>
      <c r="T568" s="3">
        <v>51.0</v>
      </c>
      <c r="U568" s="3">
        <v>53.0</v>
      </c>
      <c r="V568" s="3">
        <v>44.0</v>
      </c>
      <c r="W568" s="3">
        <v>58.0</v>
      </c>
      <c r="X568" s="3">
        <v>54.0</v>
      </c>
      <c r="Y568" s="3">
        <v>52.0</v>
      </c>
      <c r="Z568" s="3">
        <v>54.0</v>
      </c>
      <c r="AA568" s="3">
        <v>42.0</v>
      </c>
      <c r="AB568" s="3">
        <v>53.0</v>
      </c>
      <c r="AC568" s="3">
        <v>47.0</v>
      </c>
      <c r="AD568" s="3">
        <v>41.0</v>
      </c>
      <c r="AE568" s="3">
        <v>45.0</v>
      </c>
      <c r="AF568" s="3">
        <v>78.0</v>
      </c>
      <c r="AG568" s="3">
        <v>17.0</v>
      </c>
      <c r="AH568" s="3">
        <v>51.0</v>
      </c>
      <c r="AI568" s="3">
        <v>55.0</v>
      </c>
      <c r="AJ568" s="3">
        <v>46.0</v>
      </c>
      <c r="AK568" s="3">
        <v>37.0</v>
      </c>
      <c r="AL568" s="3">
        <v>54.0</v>
      </c>
      <c r="AM568" s="3">
        <v>59.0</v>
      </c>
      <c r="AN568" s="3">
        <v>37.0</v>
      </c>
    </row>
    <row r="569" ht="14.25" customHeight="1">
      <c r="A569" s="3">
        <v>567.0</v>
      </c>
      <c r="B569" s="3" t="s">
        <v>7043</v>
      </c>
      <c r="C569" s="3">
        <v>29.0</v>
      </c>
      <c r="D569" s="3" t="s">
        <v>6645</v>
      </c>
      <c r="E569" s="3" t="s">
        <v>6646</v>
      </c>
      <c r="F569" s="3" t="s">
        <v>6646</v>
      </c>
      <c r="G569" s="3" t="s">
        <v>6645</v>
      </c>
      <c r="H569" s="3" t="s">
        <v>6645</v>
      </c>
      <c r="I569" s="3" t="s">
        <v>6646</v>
      </c>
      <c r="J569" s="3">
        <v>19.0</v>
      </c>
      <c r="K569" s="3">
        <v>2.0</v>
      </c>
      <c r="L569" s="3">
        <v>0.0</v>
      </c>
      <c r="M569" s="3">
        <v>0.0</v>
      </c>
      <c r="N569" s="3">
        <v>4442.7397</v>
      </c>
      <c r="O569" s="3">
        <v>482.0</v>
      </c>
      <c r="P569" s="3" t="e">
        <v>#N/A</v>
      </c>
      <c r="Q569" s="3">
        <v>49.0</v>
      </c>
      <c r="R569" s="3">
        <v>47.0</v>
      </c>
      <c r="S569" s="3">
        <v>44.0</v>
      </c>
      <c r="T569" s="3">
        <v>45.0</v>
      </c>
      <c r="U569" s="3">
        <v>53.0</v>
      </c>
      <c r="V569" s="3">
        <v>52.0</v>
      </c>
      <c r="W569" s="3">
        <v>60.0</v>
      </c>
      <c r="X569" s="3">
        <v>52.0</v>
      </c>
      <c r="Y569" s="3">
        <v>42.0</v>
      </c>
      <c r="Z569" s="3">
        <v>56.0</v>
      </c>
      <c r="AA569" s="3">
        <v>42.0</v>
      </c>
      <c r="AB569" s="3">
        <v>45.0</v>
      </c>
      <c r="AC569" s="3">
        <v>50.0</v>
      </c>
      <c r="AD569" s="3">
        <v>44.0</v>
      </c>
      <c r="AE569" s="3">
        <v>52.0</v>
      </c>
      <c r="AF569" s="3">
        <v>74.0</v>
      </c>
      <c r="AG569" s="3">
        <v>62.0</v>
      </c>
      <c r="AH569" s="3">
        <v>62.0</v>
      </c>
      <c r="AI569" s="3">
        <v>64.0</v>
      </c>
      <c r="AJ569" s="3">
        <v>59.0</v>
      </c>
      <c r="AK569" s="3">
        <v>53.0</v>
      </c>
      <c r="AL569" s="3">
        <v>45.0</v>
      </c>
      <c r="AM569" s="3">
        <v>38.0</v>
      </c>
      <c r="AN569" s="3">
        <v>55.0</v>
      </c>
    </row>
    <row r="570" ht="14.25" customHeight="1">
      <c r="A570" s="3">
        <v>568.0</v>
      </c>
      <c r="B570" s="3" t="s">
        <v>7044</v>
      </c>
      <c r="C570" s="3">
        <v>24.0</v>
      </c>
      <c r="D570" s="3" t="s">
        <v>6645</v>
      </c>
      <c r="E570" s="3" t="s">
        <v>6646</v>
      </c>
      <c r="F570" s="3" t="s">
        <v>6646</v>
      </c>
      <c r="G570" s="3" t="s">
        <v>6645</v>
      </c>
      <c r="H570" s="3" t="s">
        <v>6645</v>
      </c>
      <c r="I570" s="3" t="s">
        <v>6646</v>
      </c>
      <c r="J570" s="3">
        <v>19.0</v>
      </c>
      <c r="K570" s="3">
        <v>1.0</v>
      </c>
      <c r="L570" s="3">
        <v>0.0</v>
      </c>
      <c r="M570" s="3">
        <v>0.0</v>
      </c>
      <c r="N570" s="3">
        <v>1672.1257</v>
      </c>
      <c r="O570" s="3">
        <v>188.0</v>
      </c>
      <c r="P570" s="3" t="e">
        <v>#N/A</v>
      </c>
      <c r="Q570" s="3">
        <v>45.0</v>
      </c>
      <c r="R570" s="3">
        <v>40.0</v>
      </c>
      <c r="S570" s="3">
        <v>46.0</v>
      </c>
      <c r="T570" s="3">
        <v>40.0</v>
      </c>
      <c r="U570" s="3">
        <v>38.0</v>
      </c>
      <c r="V570" s="3">
        <v>44.0</v>
      </c>
      <c r="W570" s="3">
        <v>49.0</v>
      </c>
      <c r="X570" s="3">
        <v>43.0</v>
      </c>
      <c r="Y570" s="3">
        <v>34.0</v>
      </c>
      <c r="Z570" s="3">
        <v>45.0</v>
      </c>
      <c r="AA570" s="3">
        <v>38.0</v>
      </c>
      <c r="AB570" s="3">
        <v>38.0</v>
      </c>
      <c r="AC570" s="3">
        <v>39.0</v>
      </c>
      <c r="AD570" s="3">
        <v>34.0</v>
      </c>
      <c r="AE570" s="3">
        <v>43.0</v>
      </c>
      <c r="AF570" s="3">
        <v>80.0</v>
      </c>
      <c r="AG570" s="3">
        <v>45.0</v>
      </c>
      <c r="AH570" s="3">
        <v>57.0</v>
      </c>
      <c r="AI570" s="3">
        <v>55.0</v>
      </c>
      <c r="AJ570" s="3">
        <v>59.0</v>
      </c>
      <c r="AK570" s="3">
        <v>35.0</v>
      </c>
      <c r="AL570" s="3">
        <v>30.0</v>
      </c>
      <c r="AM570" s="3">
        <v>57.0</v>
      </c>
      <c r="AN570" s="3">
        <v>47.0</v>
      </c>
    </row>
    <row r="571" ht="14.25" customHeight="1">
      <c r="A571" s="3">
        <v>569.0</v>
      </c>
      <c r="B571" s="3" t="s">
        <v>7045</v>
      </c>
      <c r="C571" s="3">
        <v>29.0</v>
      </c>
      <c r="D571" s="3" t="s">
        <v>6645</v>
      </c>
      <c r="E571" s="3" t="s">
        <v>6646</v>
      </c>
      <c r="F571" s="3" t="s">
        <v>6646</v>
      </c>
      <c r="G571" s="3" t="s">
        <v>6645</v>
      </c>
      <c r="H571" s="3" t="s">
        <v>6645</v>
      </c>
      <c r="I571" s="3" t="s">
        <v>6645</v>
      </c>
      <c r="J571" s="3">
        <v>19.0</v>
      </c>
      <c r="K571" s="3">
        <v>1.0</v>
      </c>
      <c r="L571" s="3">
        <v>0.0</v>
      </c>
      <c r="M571" s="3">
        <v>0.0</v>
      </c>
      <c r="N571" s="3">
        <v>1715.8421</v>
      </c>
      <c r="O571" s="3">
        <v>207.0</v>
      </c>
      <c r="P571" s="3" t="e">
        <v>#N/A</v>
      </c>
      <c r="Q571" s="3">
        <v>37.0</v>
      </c>
      <c r="R571" s="3">
        <v>40.0</v>
      </c>
      <c r="S571" s="3">
        <v>39.0</v>
      </c>
      <c r="T571" s="3">
        <v>45.0</v>
      </c>
      <c r="U571" s="3">
        <v>44.0</v>
      </c>
      <c r="V571" s="3">
        <v>40.0</v>
      </c>
      <c r="W571" s="3">
        <v>51.0</v>
      </c>
      <c r="X571" s="3">
        <v>47.0</v>
      </c>
      <c r="Y571" s="3">
        <v>31.0</v>
      </c>
      <c r="Z571" s="3">
        <v>46.0</v>
      </c>
      <c r="AA571" s="3">
        <v>29.0</v>
      </c>
      <c r="AB571" s="3">
        <v>44.0</v>
      </c>
      <c r="AC571" s="3">
        <v>39.0</v>
      </c>
      <c r="AD571" s="3">
        <v>41.0</v>
      </c>
      <c r="AE571" s="3">
        <v>45.0</v>
      </c>
      <c r="AF571" s="3">
        <v>71.0</v>
      </c>
      <c r="AG571" s="3">
        <v>59.0</v>
      </c>
      <c r="AH571" s="3">
        <v>8.0</v>
      </c>
      <c r="AI571" s="3">
        <v>56.0</v>
      </c>
      <c r="AJ571" s="3">
        <v>53.0</v>
      </c>
      <c r="AK571" s="3">
        <v>55.0</v>
      </c>
      <c r="AL571" s="3">
        <v>59.0</v>
      </c>
      <c r="AM571" s="3">
        <v>40.0</v>
      </c>
      <c r="AN571" s="3">
        <v>33.0</v>
      </c>
    </row>
    <row r="572" ht="14.25" customHeight="1">
      <c r="A572" s="3">
        <v>570.0</v>
      </c>
      <c r="B572" s="3" t="s">
        <v>7046</v>
      </c>
      <c r="C572" s="3">
        <v>29.0</v>
      </c>
      <c r="D572" s="3" t="s">
        <v>6645</v>
      </c>
      <c r="E572" s="3" t="s">
        <v>6646</v>
      </c>
      <c r="F572" s="3" t="s">
        <v>6646</v>
      </c>
      <c r="G572" s="3" t="s">
        <v>6645</v>
      </c>
      <c r="H572" s="3" t="s">
        <v>6645</v>
      </c>
      <c r="I572" s="3" t="s">
        <v>6646</v>
      </c>
      <c r="J572" s="3">
        <v>19.0</v>
      </c>
      <c r="K572" s="3">
        <v>1.0</v>
      </c>
      <c r="L572" s="3">
        <v>0.0</v>
      </c>
      <c r="M572" s="3">
        <v>0.0</v>
      </c>
      <c r="N572" s="3">
        <v>1702.3911</v>
      </c>
      <c r="O572" s="3">
        <v>155.0</v>
      </c>
      <c r="P572" s="3" t="e">
        <v>#N/A</v>
      </c>
      <c r="Q572" s="3">
        <v>38.0</v>
      </c>
      <c r="R572" s="3">
        <v>46.0</v>
      </c>
      <c r="S572" s="3">
        <v>46.0</v>
      </c>
      <c r="T572" s="3">
        <v>41.0</v>
      </c>
      <c r="U572" s="3">
        <v>43.0</v>
      </c>
      <c r="V572" s="3">
        <v>40.0</v>
      </c>
      <c r="W572" s="3">
        <v>45.0</v>
      </c>
      <c r="X572" s="3">
        <v>45.0</v>
      </c>
      <c r="Y572" s="3">
        <v>44.0</v>
      </c>
      <c r="Z572" s="3">
        <v>53.0</v>
      </c>
      <c r="AA572" s="3">
        <v>34.0</v>
      </c>
      <c r="AB572" s="3">
        <v>34.0</v>
      </c>
      <c r="AC572" s="3">
        <v>37.0</v>
      </c>
      <c r="AD572" s="3">
        <v>41.0</v>
      </c>
      <c r="AE572" s="3">
        <v>46.0</v>
      </c>
      <c r="AF572" s="3">
        <v>68.0</v>
      </c>
      <c r="AG572" s="3">
        <v>40.0</v>
      </c>
      <c r="AH572" s="3">
        <v>34.0</v>
      </c>
      <c r="AI572" s="3">
        <v>19.0</v>
      </c>
      <c r="AJ572" s="3">
        <v>42.0</v>
      </c>
      <c r="AK572" s="3">
        <v>40.0</v>
      </c>
      <c r="AL572" s="3">
        <v>49.0</v>
      </c>
      <c r="AM572" s="3">
        <v>59.0</v>
      </c>
      <c r="AN572" s="3">
        <v>49.0</v>
      </c>
    </row>
    <row r="573" ht="14.25" customHeight="1">
      <c r="A573" s="3">
        <v>571.0</v>
      </c>
      <c r="B573" s="3" t="s">
        <v>7047</v>
      </c>
      <c r="C573" s="3">
        <v>27.0</v>
      </c>
      <c r="D573" s="3" t="s">
        <v>6645</v>
      </c>
      <c r="E573" s="3" t="s">
        <v>6646</v>
      </c>
      <c r="F573" s="3" t="s">
        <v>6646</v>
      </c>
      <c r="G573" s="3" t="s">
        <v>6645</v>
      </c>
      <c r="H573" s="3" t="s">
        <v>6645</v>
      </c>
      <c r="I573" s="3" t="s">
        <v>6646</v>
      </c>
      <c r="J573" s="3">
        <v>19.0</v>
      </c>
      <c r="K573" s="3">
        <v>1.0</v>
      </c>
      <c r="L573" s="3">
        <v>0.0</v>
      </c>
      <c r="M573" s="3">
        <v>0.0</v>
      </c>
      <c r="N573" s="3">
        <v>1422.45</v>
      </c>
      <c r="O573" s="3">
        <v>188.0</v>
      </c>
      <c r="P573" s="3" t="e">
        <v>#N/A</v>
      </c>
      <c r="Q573" s="3">
        <v>43.0</v>
      </c>
      <c r="R573" s="3">
        <v>44.0</v>
      </c>
      <c r="S573" s="3">
        <v>43.0</v>
      </c>
      <c r="T573" s="3">
        <v>46.0</v>
      </c>
      <c r="U573" s="3">
        <v>39.0</v>
      </c>
      <c r="V573" s="3">
        <v>44.0</v>
      </c>
      <c r="W573" s="3">
        <v>55.0</v>
      </c>
      <c r="X573" s="3">
        <v>49.0</v>
      </c>
      <c r="Y573" s="3">
        <v>35.0</v>
      </c>
      <c r="Z573" s="3">
        <v>47.0</v>
      </c>
      <c r="AA573" s="3">
        <v>29.0</v>
      </c>
      <c r="AB573" s="3">
        <v>42.0</v>
      </c>
      <c r="AC573" s="3">
        <v>44.0</v>
      </c>
      <c r="AD573" s="3">
        <v>37.0</v>
      </c>
      <c r="AE573" s="3">
        <v>31.0</v>
      </c>
      <c r="AF573" s="3">
        <v>74.0</v>
      </c>
      <c r="AG573" s="3">
        <v>37.0</v>
      </c>
      <c r="AH573" s="3">
        <v>28.0</v>
      </c>
      <c r="AI573" s="3">
        <v>48.0</v>
      </c>
      <c r="AJ573" s="3">
        <v>51.0</v>
      </c>
      <c r="AK573" s="3">
        <v>52.0</v>
      </c>
      <c r="AL573" s="3">
        <v>56.0</v>
      </c>
      <c r="AM573" s="3">
        <v>33.0</v>
      </c>
      <c r="AN573" s="3">
        <v>62.0</v>
      </c>
    </row>
    <row r="574" ht="14.25" customHeight="1">
      <c r="A574" s="3">
        <v>572.0</v>
      </c>
      <c r="B574" s="3" t="s">
        <v>7048</v>
      </c>
      <c r="C574" s="3">
        <v>28.0</v>
      </c>
      <c r="D574" s="3" t="s">
        <v>6645</v>
      </c>
      <c r="E574" s="3" t="s">
        <v>6646</v>
      </c>
      <c r="F574" s="3" t="s">
        <v>6646</v>
      </c>
      <c r="G574" s="3" t="s">
        <v>6645</v>
      </c>
      <c r="H574" s="3" t="s">
        <v>6645</v>
      </c>
      <c r="I574" s="3" t="s">
        <v>6646</v>
      </c>
      <c r="J574" s="3">
        <v>19.0</v>
      </c>
      <c r="K574" s="3">
        <v>1.0</v>
      </c>
      <c r="L574" s="3">
        <v>0.0</v>
      </c>
      <c r="M574" s="3">
        <v>0.0</v>
      </c>
      <c r="N574" s="3">
        <v>1654.0001</v>
      </c>
      <c r="O574" s="3">
        <v>232.0</v>
      </c>
      <c r="P574" s="3" t="e">
        <v>#N/A</v>
      </c>
      <c r="Q574" s="3">
        <v>37.0</v>
      </c>
      <c r="R574" s="3">
        <v>42.0</v>
      </c>
      <c r="S574" s="3">
        <v>44.0</v>
      </c>
      <c r="T574" s="3">
        <v>45.0</v>
      </c>
      <c r="U574" s="3">
        <v>43.0</v>
      </c>
      <c r="V574" s="3">
        <v>42.0</v>
      </c>
      <c r="W574" s="3">
        <v>46.0</v>
      </c>
      <c r="X574" s="3">
        <v>54.0</v>
      </c>
      <c r="Y574" s="3">
        <v>42.0</v>
      </c>
      <c r="Z574" s="3">
        <v>53.0</v>
      </c>
      <c r="AA574" s="3">
        <v>43.0</v>
      </c>
      <c r="AB574" s="3">
        <v>32.0</v>
      </c>
      <c r="AC574" s="3">
        <v>30.0</v>
      </c>
      <c r="AD574" s="3">
        <v>43.0</v>
      </c>
      <c r="AE574" s="3">
        <v>40.0</v>
      </c>
      <c r="AF574" s="3">
        <v>68.0</v>
      </c>
      <c r="AG574" s="3">
        <v>39.0</v>
      </c>
      <c r="AH574" s="3">
        <v>38.0</v>
      </c>
      <c r="AI574" s="3">
        <v>60.0</v>
      </c>
      <c r="AJ574" s="3">
        <v>38.0</v>
      </c>
      <c r="AK574" s="3">
        <v>46.0</v>
      </c>
      <c r="AL574" s="3">
        <v>52.0</v>
      </c>
      <c r="AM574" s="3">
        <v>54.0</v>
      </c>
      <c r="AN574" s="3">
        <v>20.0</v>
      </c>
    </row>
    <row r="575" ht="14.25" customHeight="1">
      <c r="A575" s="3">
        <v>573.0</v>
      </c>
      <c r="B575" s="3" t="s">
        <v>7049</v>
      </c>
      <c r="C575" s="3">
        <v>24.0</v>
      </c>
      <c r="D575" s="3" t="s">
        <v>6645</v>
      </c>
      <c r="E575" s="3" t="s">
        <v>6646</v>
      </c>
      <c r="F575" s="3" t="s">
        <v>6646</v>
      </c>
      <c r="G575" s="3" t="s">
        <v>6645</v>
      </c>
      <c r="H575" s="3" t="s">
        <v>6645</v>
      </c>
      <c r="I575" s="3" t="s">
        <v>6645</v>
      </c>
      <c r="J575" s="3">
        <v>19.0</v>
      </c>
      <c r="K575" s="3">
        <v>0.0</v>
      </c>
      <c r="L575" s="3">
        <v>0.0</v>
      </c>
      <c r="M575" s="3">
        <v>0.0</v>
      </c>
      <c r="N575" s="3">
        <v>367.005</v>
      </c>
      <c r="O575" s="3">
        <v>106.0</v>
      </c>
      <c r="P575" s="3" t="e">
        <v>#N/A</v>
      </c>
      <c r="Q575" s="3">
        <v>38.0</v>
      </c>
      <c r="R575" s="3">
        <v>32.0</v>
      </c>
      <c r="S575" s="3">
        <v>39.0</v>
      </c>
      <c r="T575" s="3">
        <v>32.0</v>
      </c>
      <c r="U575" s="3">
        <v>32.0</v>
      </c>
      <c r="V575" s="3">
        <v>38.0</v>
      </c>
      <c r="W575" s="3">
        <v>42.0</v>
      </c>
      <c r="X575" s="3">
        <v>38.0</v>
      </c>
      <c r="Y575" s="3">
        <v>27.0</v>
      </c>
      <c r="Z575" s="3">
        <v>43.0</v>
      </c>
      <c r="AA575" s="3">
        <v>35.0</v>
      </c>
      <c r="AB575" s="3">
        <v>37.0</v>
      </c>
      <c r="AC575" s="3">
        <v>22.0</v>
      </c>
      <c r="AD575" s="3">
        <v>31.0</v>
      </c>
      <c r="AE575" s="3">
        <v>37.0</v>
      </c>
      <c r="AF575" s="3">
        <v>72.0</v>
      </c>
      <c r="AG575" s="3">
        <v>51.0</v>
      </c>
      <c r="AH575" s="3">
        <v>27.0</v>
      </c>
      <c r="AI575" s="3">
        <v>41.0</v>
      </c>
      <c r="AJ575" s="3">
        <v>30.0</v>
      </c>
      <c r="AK575" s="3">
        <v>52.0</v>
      </c>
      <c r="AL575" s="3">
        <v>52.0</v>
      </c>
      <c r="AM575" s="3">
        <v>39.0</v>
      </c>
      <c r="AN575" s="3">
        <v>51.0</v>
      </c>
    </row>
    <row r="576" ht="14.25" customHeight="1">
      <c r="A576" s="3">
        <v>574.0</v>
      </c>
      <c r="B576" s="3" t="s">
        <v>7050</v>
      </c>
      <c r="C576" s="3">
        <v>23.0</v>
      </c>
      <c r="D576" s="3" t="s">
        <v>6645</v>
      </c>
      <c r="E576" s="3" t="s">
        <v>6646</v>
      </c>
      <c r="F576" s="3" t="s">
        <v>6646</v>
      </c>
      <c r="G576" s="3" t="s">
        <v>6645</v>
      </c>
      <c r="H576" s="3" t="s">
        <v>6645</v>
      </c>
      <c r="I576" s="3" t="s">
        <v>6645</v>
      </c>
      <c r="J576" s="3">
        <v>19.0</v>
      </c>
      <c r="K576" s="3">
        <v>0.0</v>
      </c>
      <c r="L576" s="3">
        <v>0.0</v>
      </c>
      <c r="M576" s="3">
        <v>0.0</v>
      </c>
      <c r="N576" s="3">
        <v>531.161</v>
      </c>
      <c r="O576" s="3">
        <v>77.0</v>
      </c>
      <c r="P576" s="3" t="e">
        <v>#N/A</v>
      </c>
      <c r="Q576" s="3">
        <v>34.0</v>
      </c>
      <c r="R576" s="3">
        <v>38.0</v>
      </c>
      <c r="S576" s="3">
        <v>32.0</v>
      </c>
      <c r="T576" s="3">
        <v>37.0</v>
      </c>
      <c r="U576" s="3">
        <v>36.0</v>
      </c>
      <c r="V576" s="3">
        <v>31.0</v>
      </c>
      <c r="W576" s="3">
        <v>46.0</v>
      </c>
      <c r="X576" s="3">
        <v>44.0</v>
      </c>
      <c r="Y576" s="3">
        <v>34.0</v>
      </c>
      <c r="Z576" s="3">
        <v>44.0</v>
      </c>
      <c r="AA576" s="3">
        <v>35.0</v>
      </c>
      <c r="AB576" s="3">
        <v>24.0</v>
      </c>
      <c r="AC576" s="3">
        <v>21.0</v>
      </c>
      <c r="AD576" s="3">
        <v>25.0</v>
      </c>
      <c r="AE576" s="3">
        <v>32.0</v>
      </c>
      <c r="AF576" s="3">
        <v>62.0</v>
      </c>
      <c r="AG576" s="3">
        <v>39.0</v>
      </c>
      <c r="AH576" s="3">
        <v>55.0</v>
      </c>
      <c r="AI576" s="3">
        <v>35.0</v>
      </c>
      <c r="AJ576" s="3">
        <v>47.0</v>
      </c>
      <c r="AK576" s="3">
        <v>44.0</v>
      </c>
      <c r="AL576" s="3">
        <v>41.0</v>
      </c>
      <c r="AM576" s="3">
        <v>45.0</v>
      </c>
      <c r="AN576" s="3">
        <v>20.0</v>
      </c>
    </row>
    <row r="577" ht="14.25" customHeight="1">
      <c r="A577" s="3">
        <v>575.0</v>
      </c>
      <c r="B577" s="3" t="s">
        <v>7051</v>
      </c>
      <c r="C577" s="3">
        <v>15.0</v>
      </c>
      <c r="D577" s="3" t="s">
        <v>6645</v>
      </c>
      <c r="E577" s="3" t="s">
        <v>6646</v>
      </c>
      <c r="F577" s="3" t="s">
        <v>6646</v>
      </c>
      <c r="G577" s="3" t="s">
        <v>6645</v>
      </c>
      <c r="H577" s="3" t="s">
        <v>6645</v>
      </c>
      <c r="I577" s="3" t="s">
        <v>6646</v>
      </c>
      <c r="J577" s="3">
        <v>19.0</v>
      </c>
      <c r="K577" s="3">
        <v>0.0</v>
      </c>
      <c r="L577" s="3">
        <v>0.0</v>
      </c>
      <c r="M577" s="3">
        <v>0.0</v>
      </c>
      <c r="N577" s="3">
        <v>479.83123</v>
      </c>
      <c r="O577" s="3">
        <v>118.0</v>
      </c>
      <c r="P577" s="3" t="e">
        <v>#N/A</v>
      </c>
      <c r="Q577" s="3">
        <v>31.0</v>
      </c>
      <c r="R577" s="3">
        <v>34.0</v>
      </c>
      <c r="S577" s="3">
        <v>37.0</v>
      </c>
      <c r="T577" s="3">
        <v>30.0</v>
      </c>
      <c r="U577" s="3">
        <v>32.0</v>
      </c>
      <c r="V577" s="3">
        <v>33.0</v>
      </c>
      <c r="W577" s="3">
        <v>38.0</v>
      </c>
      <c r="X577" s="3">
        <v>46.0</v>
      </c>
      <c r="Y577" s="3">
        <v>29.0</v>
      </c>
      <c r="Z577" s="3">
        <v>44.0</v>
      </c>
      <c r="AA577" s="3">
        <v>31.0</v>
      </c>
      <c r="AB577" s="3">
        <v>35.0</v>
      </c>
      <c r="AC577" s="3">
        <v>22.0</v>
      </c>
      <c r="AD577" s="3">
        <v>22.0</v>
      </c>
      <c r="AE577" s="3">
        <v>35.0</v>
      </c>
      <c r="AF577" s="3">
        <v>63.0</v>
      </c>
      <c r="AG577" s="3">
        <v>57.0</v>
      </c>
      <c r="AH577" s="3">
        <v>43.0</v>
      </c>
      <c r="AI577" s="3">
        <v>57.0</v>
      </c>
      <c r="AJ577" s="3">
        <v>50.0</v>
      </c>
      <c r="AK577" s="3">
        <v>57.0</v>
      </c>
      <c r="AL577" s="3">
        <v>10.0</v>
      </c>
      <c r="AM577" s="3">
        <v>33.0</v>
      </c>
      <c r="AN577" s="3">
        <v>52.0</v>
      </c>
    </row>
    <row r="578" ht="14.25" customHeight="1">
      <c r="A578" s="3">
        <v>576.0</v>
      </c>
      <c r="B578" s="3" t="s">
        <v>7052</v>
      </c>
      <c r="C578" s="3">
        <v>16.0</v>
      </c>
      <c r="D578" s="3" t="s">
        <v>6645</v>
      </c>
      <c r="E578" s="3" t="s">
        <v>6646</v>
      </c>
      <c r="F578" s="3" t="s">
        <v>6646</v>
      </c>
      <c r="G578" s="3" t="s">
        <v>6645</v>
      </c>
      <c r="H578" s="3" t="s">
        <v>6645</v>
      </c>
      <c r="I578" s="3" t="s">
        <v>6646</v>
      </c>
      <c r="J578" s="3">
        <v>19.0</v>
      </c>
      <c r="K578" s="3">
        <v>0.0</v>
      </c>
      <c r="L578" s="3">
        <v>0.0</v>
      </c>
      <c r="M578" s="3">
        <v>0.0</v>
      </c>
      <c r="N578" s="3">
        <v>487.68313</v>
      </c>
      <c r="O578" s="3">
        <v>75.0</v>
      </c>
      <c r="P578" s="3" t="e">
        <v>#N/A</v>
      </c>
      <c r="Q578" s="3">
        <v>32.0</v>
      </c>
      <c r="R578" s="3">
        <v>34.0</v>
      </c>
      <c r="S578" s="3">
        <v>32.0</v>
      </c>
      <c r="T578" s="3">
        <v>35.0</v>
      </c>
      <c r="U578" s="3">
        <v>36.0</v>
      </c>
      <c r="V578" s="3">
        <v>36.0</v>
      </c>
      <c r="W578" s="3">
        <v>49.0</v>
      </c>
      <c r="X578" s="3">
        <v>43.0</v>
      </c>
      <c r="Y578" s="3">
        <v>37.0</v>
      </c>
      <c r="Z578" s="3">
        <v>47.0</v>
      </c>
      <c r="AA578" s="3">
        <v>28.0</v>
      </c>
      <c r="AB578" s="3">
        <v>32.0</v>
      </c>
      <c r="AC578" s="3">
        <v>20.0</v>
      </c>
      <c r="AD578" s="3">
        <v>31.0</v>
      </c>
      <c r="AE578" s="3">
        <v>25.0</v>
      </c>
      <c r="AF578" s="3">
        <v>73.0</v>
      </c>
      <c r="AG578" s="3">
        <v>21.0</v>
      </c>
      <c r="AH578" s="3">
        <v>58.0</v>
      </c>
      <c r="AI578" s="3">
        <v>59.0</v>
      </c>
      <c r="AJ578" s="3">
        <v>36.0</v>
      </c>
      <c r="AK578" s="3">
        <v>56.0</v>
      </c>
      <c r="AL578" s="3">
        <v>48.0</v>
      </c>
      <c r="AM578" s="3">
        <v>36.0</v>
      </c>
      <c r="AN578" s="3">
        <v>45.0</v>
      </c>
    </row>
    <row r="579" ht="14.25" customHeight="1">
      <c r="A579" s="3">
        <v>577.0</v>
      </c>
      <c r="B579" s="3" t="s">
        <v>7053</v>
      </c>
      <c r="C579" s="3">
        <v>24.0</v>
      </c>
      <c r="D579" s="3" t="s">
        <v>6645</v>
      </c>
      <c r="E579" s="3" t="s">
        <v>6646</v>
      </c>
      <c r="F579" s="3" t="s">
        <v>6646</v>
      </c>
      <c r="G579" s="3" t="s">
        <v>6645</v>
      </c>
      <c r="H579" s="3" t="s">
        <v>6645</v>
      </c>
      <c r="I579" s="3" t="s">
        <v>6646</v>
      </c>
      <c r="J579" s="3">
        <v>19.0</v>
      </c>
      <c r="K579" s="3">
        <v>0.0</v>
      </c>
      <c r="L579" s="3">
        <v>0.0</v>
      </c>
      <c r="M579" s="3">
        <v>0.0</v>
      </c>
      <c r="N579" s="3">
        <v>458.40356</v>
      </c>
      <c r="O579" s="3">
        <v>109.0</v>
      </c>
      <c r="P579" s="3" t="e">
        <v>#N/A</v>
      </c>
      <c r="Q579" s="3">
        <v>36.0</v>
      </c>
      <c r="R579" s="3">
        <v>34.0</v>
      </c>
      <c r="S579" s="3">
        <v>36.0</v>
      </c>
      <c r="T579" s="3">
        <v>38.0</v>
      </c>
      <c r="U579" s="3">
        <v>38.0</v>
      </c>
      <c r="V579" s="3">
        <v>37.0</v>
      </c>
      <c r="W579" s="3">
        <v>36.0</v>
      </c>
      <c r="X579" s="3">
        <v>44.0</v>
      </c>
      <c r="Y579" s="3">
        <v>30.0</v>
      </c>
      <c r="Z579" s="3">
        <v>40.0</v>
      </c>
      <c r="AA579" s="3">
        <v>30.0</v>
      </c>
      <c r="AB579" s="3">
        <v>28.0</v>
      </c>
      <c r="AC579" s="3">
        <v>30.0</v>
      </c>
      <c r="AD579" s="3">
        <v>36.0</v>
      </c>
      <c r="AE579" s="3">
        <v>35.0</v>
      </c>
      <c r="AF579" s="3">
        <v>67.0</v>
      </c>
      <c r="AG579" s="3">
        <v>42.0</v>
      </c>
      <c r="AH579" s="3">
        <v>34.0</v>
      </c>
      <c r="AI579" s="3">
        <v>29.0</v>
      </c>
      <c r="AJ579" s="3">
        <v>40.0</v>
      </c>
      <c r="AK579" s="3">
        <v>32.0</v>
      </c>
      <c r="AL579" s="3">
        <v>40.0</v>
      </c>
      <c r="AM579" s="3">
        <v>58.0</v>
      </c>
      <c r="AN579" s="3">
        <v>51.0</v>
      </c>
    </row>
    <row r="580" ht="14.25" customHeight="1">
      <c r="A580" s="3">
        <v>578.0</v>
      </c>
      <c r="B580" s="3" t="s">
        <v>7054</v>
      </c>
      <c r="C580" s="3">
        <v>47.0</v>
      </c>
      <c r="D580" s="3" t="s">
        <v>6645</v>
      </c>
      <c r="E580" s="3" t="s">
        <v>6646</v>
      </c>
      <c r="F580" s="3" t="s">
        <v>6646</v>
      </c>
      <c r="G580" s="3" t="s">
        <v>6645</v>
      </c>
      <c r="H580" s="3" t="s">
        <v>6645</v>
      </c>
      <c r="I580" s="3" t="s">
        <v>6646</v>
      </c>
      <c r="J580" s="3">
        <v>20.0</v>
      </c>
      <c r="K580" s="3">
        <v>5.0</v>
      </c>
      <c r="L580" s="3">
        <v>0.0</v>
      </c>
      <c r="M580" s="3">
        <v>0.0</v>
      </c>
      <c r="N580" s="3">
        <v>11805.896</v>
      </c>
      <c r="O580" s="3">
        <v>3627.0</v>
      </c>
      <c r="P580" s="3" t="e">
        <v>#N/A</v>
      </c>
      <c r="Q580" s="3">
        <v>67.0</v>
      </c>
      <c r="R580" s="3">
        <v>64.0</v>
      </c>
      <c r="S580" s="3">
        <v>69.0</v>
      </c>
      <c r="T580" s="3">
        <v>61.0</v>
      </c>
      <c r="U580" s="3">
        <v>62.0</v>
      </c>
      <c r="V580" s="3">
        <v>80.0</v>
      </c>
      <c r="W580" s="3">
        <v>69.0</v>
      </c>
      <c r="X580" s="3">
        <v>63.0</v>
      </c>
      <c r="Y580" s="3">
        <v>65.0</v>
      </c>
      <c r="Z580" s="3">
        <v>72.0</v>
      </c>
      <c r="AA580" s="3">
        <v>66.0</v>
      </c>
      <c r="AB580" s="3">
        <v>62.0</v>
      </c>
      <c r="AC580" s="3">
        <v>77.0</v>
      </c>
      <c r="AD580" s="3">
        <v>66.0</v>
      </c>
      <c r="AE580" s="3">
        <v>60.0</v>
      </c>
      <c r="AF580" s="3">
        <v>60.0</v>
      </c>
      <c r="AG580" s="3">
        <v>62.0</v>
      </c>
      <c r="AH580" s="3">
        <v>48.0</v>
      </c>
      <c r="AI580" s="3">
        <v>68.0</v>
      </c>
      <c r="AJ580" s="3">
        <v>58.0</v>
      </c>
      <c r="AK580" s="3">
        <v>52.0</v>
      </c>
      <c r="AL580" s="3">
        <v>70.0</v>
      </c>
      <c r="AM580" s="3">
        <v>44.0</v>
      </c>
      <c r="AN580" s="3">
        <v>70.0</v>
      </c>
    </row>
    <row r="581" ht="14.25" customHeight="1">
      <c r="A581" s="3">
        <v>579.0</v>
      </c>
      <c r="B581" s="3" t="s">
        <v>7055</v>
      </c>
      <c r="C581" s="3">
        <v>38.0</v>
      </c>
      <c r="D581" s="3" t="s">
        <v>6645</v>
      </c>
      <c r="E581" s="3" t="s">
        <v>6646</v>
      </c>
      <c r="F581" s="3" t="s">
        <v>6646</v>
      </c>
      <c r="G581" s="3" t="s">
        <v>6645</v>
      </c>
      <c r="H581" s="3" t="s">
        <v>6645</v>
      </c>
      <c r="I581" s="3" t="s">
        <v>6646</v>
      </c>
      <c r="J581" s="3">
        <v>20.0</v>
      </c>
      <c r="K581" s="3">
        <v>4.0</v>
      </c>
      <c r="L581" s="3">
        <v>0.0</v>
      </c>
      <c r="M581" s="3">
        <v>0.0</v>
      </c>
      <c r="N581" s="3">
        <v>8798.8</v>
      </c>
      <c r="O581" s="3">
        <v>1286.0</v>
      </c>
      <c r="P581" s="3" t="e">
        <v>#N/A</v>
      </c>
      <c r="Q581" s="3">
        <v>57.0</v>
      </c>
      <c r="R581" s="3">
        <v>59.0</v>
      </c>
      <c r="S581" s="3">
        <v>58.0</v>
      </c>
      <c r="T581" s="3">
        <v>61.0</v>
      </c>
      <c r="U581" s="3">
        <v>63.0</v>
      </c>
      <c r="V581" s="3">
        <v>74.0</v>
      </c>
      <c r="W581" s="3">
        <v>65.0</v>
      </c>
      <c r="X581" s="3">
        <v>63.0</v>
      </c>
      <c r="Y581" s="3">
        <v>60.0</v>
      </c>
      <c r="Z581" s="3">
        <v>64.0</v>
      </c>
      <c r="AA581" s="3">
        <v>55.0</v>
      </c>
      <c r="AB581" s="3">
        <v>51.0</v>
      </c>
      <c r="AC581" s="3">
        <v>73.0</v>
      </c>
      <c r="AD581" s="3">
        <v>58.0</v>
      </c>
      <c r="AE581" s="3">
        <v>52.0</v>
      </c>
      <c r="AF581" s="3">
        <v>58.0</v>
      </c>
      <c r="AG581" s="3">
        <v>40.0</v>
      </c>
      <c r="AH581" s="3">
        <v>68.0</v>
      </c>
      <c r="AI581" s="3">
        <v>50.0</v>
      </c>
      <c r="AJ581" s="3">
        <v>60.0</v>
      </c>
      <c r="AK581" s="3">
        <v>41.0</v>
      </c>
      <c r="AL581" s="3">
        <v>45.0</v>
      </c>
      <c r="AM581" s="3">
        <v>56.0</v>
      </c>
      <c r="AN581" s="3">
        <v>58.0</v>
      </c>
    </row>
    <row r="582" ht="14.25" customHeight="1">
      <c r="A582" s="3">
        <v>580.0</v>
      </c>
      <c r="B582" s="3" t="s">
        <v>7056</v>
      </c>
      <c r="C582" s="3">
        <v>40.0</v>
      </c>
      <c r="D582" s="3" t="s">
        <v>6645</v>
      </c>
      <c r="E582" s="3" t="s">
        <v>6646</v>
      </c>
      <c r="F582" s="3" t="s">
        <v>6646</v>
      </c>
      <c r="G582" s="3" t="s">
        <v>6645</v>
      </c>
      <c r="H582" s="3" t="s">
        <v>6645</v>
      </c>
      <c r="I582" s="3" t="s">
        <v>6646</v>
      </c>
      <c r="J582" s="3">
        <v>20.0</v>
      </c>
      <c r="K582" s="3">
        <v>4.0</v>
      </c>
      <c r="L582" s="3">
        <v>0.0</v>
      </c>
      <c r="M582" s="3">
        <v>0.0</v>
      </c>
      <c r="N582" s="3">
        <v>7924.9555</v>
      </c>
      <c r="O582" s="3">
        <v>1899.0</v>
      </c>
      <c r="P582" s="3" t="e">
        <v>#N/A</v>
      </c>
      <c r="Q582" s="3">
        <v>61.0</v>
      </c>
      <c r="R582" s="3">
        <v>60.0</v>
      </c>
      <c r="S582" s="3">
        <v>62.0</v>
      </c>
      <c r="T582" s="3">
        <v>56.0</v>
      </c>
      <c r="U582" s="3">
        <v>55.0</v>
      </c>
      <c r="V582" s="3">
        <v>66.0</v>
      </c>
      <c r="W582" s="3">
        <v>64.0</v>
      </c>
      <c r="X582" s="3">
        <v>56.0</v>
      </c>
      <c r="Y582" s="3">
        <v>54.0</v>
      </c>
      <c r="Z582" s="3">
        <v>59.0</v>
      </c>
      <c r="AA582" s="3">
        <v>53.0</v>
      </c>
      <c r="AB582" s="3">
        <v>57.0</v>
      </c>
      <c r="AC582" s="3">
        <v>62.0</v>
      </c>
      <c r="AD582" s="3">
        <v>57.0</v>
      </c>
      <c r="AE582" s="3">
        <v>61.0</v>
      </c>
      <c r="AF582" s="3">
        <v>65.0</v>
      </c>
      <c r="AG582" s="3">
        <v>41.0</v>
      </c>
      <c r="AH582" s="3">
        <v>49.0</v>
      </c>
      <c r="AI582" s="3">
        <v>68.0</v>
      </c>
      <c r="AJ582" s="3">
        <v>54.0</v>
      </c>
      <c r="AK582" s="3">
        <v>50.0</v>
      </c>
      <c r="AL582" s="3">
        <v>41.0</v>
      </c>
      <c r="AM582" s="3">
        <v>68.0</v>
      </c>
      <c r="AN582" s="3">
        <v>62.0</v>
      </c>
    </row>
    <row r="583" ht="14.25" customHeight="1">
      <c r="A583" s="3">
        <v>581.0</v>
      </c>
      <c r="B583" s="3" t="s">
        <v>7057</v>
      </c>
      <c r="C583" s="3">
        <v>43.0</v>
      </c>
      <c r="D583" s="3" t="s">
        <v>6645</v>
      </c>
      <c r="E583" s="3" t="s">
        <v>6646</v>
      </c>
      <c r="F583" s="3" t="s">
        <v>6646</v>
      </c>
      <c r="G583" s="3" t="s">
        <v>6645</v>
      </c>
      <c r="H583" s="3" t="s">
        <v>6645</v>
      </c>
      <c r="I583" s="3" t="s">
        <v>6645</v>
      </c>
      <c r="J583" s="3">
        <v>20.0</v>
      </c>
      <c r="K583" s="3">
        <v>4.0</v>
      </c>
      <c r="L583" s="3">
        <v>0.0</v>
      </c>
      <c r="M583" s="3">
        <v>0.0</v>
      </c>
      <c r="N583" s="3">
        <v>8900.39</v>
      </c>
      <c r="O583" s="3">
        <v>1455.0</v>
      </c>
      <c r="P583" s="3" t="e">
        <v>#N/A</v>
      </c>
      <c r="Q583" s="3">
        <v>63.0</v>
      </c>
      <c r="R583" s="3">
        <v>62.0</v>
      </c>
      <c r="S583" s="3">
        <v>60.0</v>
      </c>
      <c r="T583" s="3">
        <v>63.0</v>
      </c>
      <c r="U583" s="3">
        <v>57.0</v>
      </c>
      <c r="V583" s="3">
        <v>69.0</v>
      </c>
      <c r="W583" s="3">
        <v>61.0</v>
      </c>
      <c r="X583" s="3">
        <v>56.0</v>
      </c>
      <c r="Y583" s="3">
        <v>49.0</v>
      </c>
      <c r="Z583" s="3">
        <v>60.0</v>
      </c>
      <c r="AA583" s="3">
        <v>54.0</v>
      </c>
      <c r="AB583" s="3">
        <v>54.0</v>
      </c>
      <c r="AC583" s="3">
        <v>70.0</v>
      </c>
      <c r="AD583" s="3">
        <v>60.0</v>
      </c>
      <c r="AE583" s="3">
        <v>60.0</v>
      </c>
      <c r="AF583" s="3">
        <v>67.0</v>
      </c>
      <c r="AG583" s="3">
        <v>48.0</v>
      </c>
      <c r="AH583" s="3">
        <v>49.0</v>
      </c>
      <c r="AI583" s="3">
        <v>54.0</v>
      </c>
      <c r="AJ583" s="3">
        <v>52.0</v>
      </c>
      <c r="AK583" s="3">
        <v>61.0</v>
      </c>
      <c r="AL583" s="3">
        <v>69.0</v>
      </c>
      <c r="AM583" s="3">
        <v>54.0</v>
      </c>
      <c r="AN583" s="3">
        <v>51.0</v>
      </c>
    </row>
    <row r="584" ht="14.25" customHeight="1">
      <c r="A584" s="3">
        <v>582.0</v>
      </c>
      <c r="B584" s="3" t="s">
        <v>7058</v>
      </c>
      <c r="C584" s="3">
        <v>37.0</v>
      </c>
      <c r="D584" s="3" t="s">
        <v>6645</v>
      </c>
      <c r="E584" s="3" t="s">
        <v>6646</v>
      </c>
      <c r="F584" s="3" t="s">
        <v>6646</v>
      </c>
      <c r="G584" s="3" t="s">
        <v>6645</v>
      </c>
      <c r="H584" s="3" t="s">
        <v>6645</v>
      </c>
      <c r="I584" s="3" t="s">
        <v>6646</v>
      </c>
      <c r="J584" s="3">
        <v>20.0</v>
      </c>
      <c r="K584" s="3">
        <v>3.0</v>
      </c>
      <c r="L584" s="3">
        <v>0.0</v>
      </c>
      <c r="M584" s="3">
        <v>0.0</v>
      </c>
      <c r="N584" s="3">
        <v>5690.41</v>
      </c>
      <c r="O584" s="3">
        <v>980.0</v>
      </c>
      <c r="P584" s="3" t="e">
        <v>#N/A</v>
      </c>
      <c r="Q584" s="3">
        <v>48.0</v>
      </c>
      <c r="R584" s="3">
        <v>49.0</v>
      </c>
      <c r="S584" s="3">
        <v>48.0</v>
      </c>
      <c r="T584" s="3">
        <v>53.0</v>
      </c>
      <c r="U584" s="3">
        <v>54.0</v>
      </c>
      <c r="V584" s="3">
        <v>61.0</v>
      </c>
      <c r="W584" s="3">
        <v>54.0</v>
      </c>
      <c r="X584" s="3">
        <v>45.0</v>
      </c>
      <c r="Y584" s="3">
        <v>48.0</v>
      </c>
      <c r="Z584" s="3">
        <v>59.0</v>
      </c>
      <c r="AA584" s="3">
        <v>53.0</v>
      </c>
      <c r="AB584" s="3">
        <v>53.0</v>
      </c>
      <c r="AC584" s="3">
        <v>66.0</v>
      </c>
      <c r="AD584" s="3">
        <v>46.0</v>
      </c>
      <c r="AE584" s="3">
        <v>44.0</v>
      </c>
      <c r="AF584" s="3">
        <v>50.0</v>
      </c>
      <c r="AG584" s="3">
        <v>54.0</v>
      </c>
      <c r="AH584" s="3">
        <v>54.0</v>
      </c>
      <c r="AI584" s="3">
        <v>52.0</v>
      </c>
      <c r="AJ584" s="3">
        <v>54.0</v>
      </c>
      <c r="AK584" s="3">
        <v>44.0</v>
      </c>
      <c r="AL584" s="3">
        <v>42.0</v>
      </c>
      <c r="AM584" s="3">
        <v>58.0</v>
      </c>
      <c r="AN584" s="3">
        <v>66.0</v>
      </c>
    </row>
    <row r="585" ht="14.25" customHeight="1">
      <c r="A585" s="3">
        <v>583.0</v>
      </c>
      <c r="B585" s="3" t="s">
        <v>7059</v>
      </c>
      <c r="C585" s="3">
        <v>35.0</v>
      </c>
      <c r="D585" s="3" t="s">
        <v>6645</v>
      </c>
      <c r="E585" s="3" t="s">
        <v>6646</v>
      </c>
      <c r="F585" s="3" t="s">
        <v>6646</v>
      </c>
      <c r="G585" s="3" t="s">
        <v>6645</v>
      </c>
      <c r="H585" s="3" t="s">
        <v>6645</v>
      </c>
      <c r="I585" s="3" t="s">
        <v>6645</v>
      </c>
      <c r="J585" s="3">
        <v>20.0</v>
      </c>
      <c r="K585" s="3">
        <v>3.0</v>
      </c>
      <c r="L585" s="3">
        <v>0.0</v>
      </c>
      <c r="M585" s="3">
        <v>0.0</v>
      </c>
      <c r="N585" s="3">
        <v>5872.6</v>
      </c>
      <c r="O585" s="3">
        <v>743.0</v>
      </c>
      <c r="P585" s="3" t="e">
        <v>#N/A</v>
      </c>
      <c r="Q585" s="3">
        <v>51.0</v>
      </c>
      <c r="R585" s="3">
        <v>57.0</v>
      </c>
      <c r="S585" s="3">
        <v>51.0</v>
      </c>
      <c r="T585" s="3">
        <v>57.0</v>
      </c>
      <c r="U585" s="3">
        <v>49.0</v>
      </c>
      <c r="V585" s="3">
        <v>57.0</v>
      </c>
      <c r="W585" s="3">
        <v>63.0</v>
      </c>
      <c r="X585" s="3">
        <v>44.0</v>
      </c>
      <c r="Y585" s="3">
        <v>52.0</v>
      </c>
      <c r="Z585" s="3">
        <v>54.0</v>
      </c>
      <c r="AA585" s="3">
        <v>50.0</v>
      </c>
      <c r="AB585" s="3">
        <v>43.0</v>
      </c>
      <c r="AC585" s="3">
        <v>58.0</v>
      </c>
      <c r="AD585" s="3">
        <v>57.0</v>
      </c>
      <c r="AE585" s="3">
        <v>49.0</v>
      </c>
      <c r="AF585" s="3">
        <v>44.0</v>
      </c>
      <c r="AG585" s="3">
        <v>54.0</v>
      </c>
      <c r="AH585" s="3">
        <v>62.0</v>
      </c>
      <c r="AI585" s="3">
        <v>66.0</v>
      </c>
      <c r="AJ585" s="3">
        <v>58.0</v>
      </c>
      <c r="AK585" s="3">
        <v>52.0</v>
      </c>
      <c r="AL585" s="3">
        <v>50.0</v>
      </c>
      <c r="AM585" s="3">
        <v>46.0</v>
      </c>
      <c r="AN585" s="3">
        <v>64.0</v>
      </c>
    </row>
    <row r="586" ht="14.25" customHeight="1">
      <c r="A586" s="3">
        <v>584.0</v>
      </c>
      <c r="B586" s="3" t="s">
        <v>7060</v>
      </c>
      <c r="C586" s="3">
        <v>36.0</v>
      </c>
      <c r="D586" s="3" t="s">
        <v>6645</v>
      </c>
      <c r="E586" s="3" t="s">
        <v>6646</v>
      </c>
      <c r="F586" s="3" t="s">
        <v>6646</v>
      </c>
      <c r="G586" s="3" t="s">
        <v>6645</v>
      </c>
      <c r="H586" s="3" t="s">
        <v>6645</v>
      </c>
      <c r="I586" s="3" t="s">
        <v>6645</v>
      </c>
      <c r="J586" s="3">
        <v>20.0</v>
      </c>
      <c r="K586" s="3">
        <v>3.0</v>
      </c>
      <c r="L586" s="3">
        <v>0.0</v>
      </c>
      <c r="M586" s="3">
        <v>0.0</v>
      </c>
      <c r="N586" s="3">
        <v>5628.7983</v>
      </c>
      <c r="O586" s="3">
        <v>788.0</v>
      </c>
      <c r="P586" s="3" t="e">
        <v>#N/A</v>
      </c>
      <c r="Q586" s="3">
        <v>48.0</v>
      </c>
      <c r="R586" s="3">
        <v>51.0</v>
      </c>
      <c r="S586" s="3">
        <v>48.0</v>
      </c>
      <c r="T586" s="3">
        <v>48.0</v>
      </c>
      <c r="U586" s="3">
        <v>48.0</v>
      </c>
      <c r="V586" s="3">
        <v>61.0</v>
      </c>
      <c r="W586" s="3">
        <v>52.0</v>
      </c>
      <c r="X586" s="3">
        <v>44.0</v>
      </c>
      <c r="Y586" s="3">
        <v>55.0</v>
      </c>
      <c r="Z586" s="3">
        <v>58.0</v>
      </c>
      <c r="AA586" s="3">
        <v>42.0</v>
      </c>
      <c r="AB586" s="3">
        <v>48.0</v>
      </c>
      <c r="AC586" s="3">
        <v>61.0</v>
      </c>
      <c r="AD586" s="3">
        <v>50.0</v>
      </c>
      <c r="AE586" s="3">
        <v>52.0</v>
      </c>
      <c r="AF586" s="3">
        <v>60.0</v>
      </c>
      <c r="AG586" s="3">
        <v>40.0</v>
      </c>
      <c r="AH586" s="3">
        <v>62.0</v>
      </c>
      <c r="AI586" s="3">
        <v>50.0</v>
      </c>
      <c r="AJ586" s="3">
        <v>52.0</v>
      </c>
      <c r="AK586" s="3">
        <v>40.0</v>
      </c>
      <c r="AL586" s="3">
        <v>38.0</v>
      </c>
      <c r="AM586" s="3">
        <v>42.0</v>
      </c>
      <c r="AN586" s="3">
        <v>62.0</v>
      </c>
    </row>
    <row r="587" ht="14.25" customHeight="1">
      <c r="A587" s="3">
        <v>585.0</v>
      </c>
      <c r="B587" s="3" t="s">
        <v>7061</v>
      </c>
      <c r="C587" s="3">
        <v>30.0</v>
      </c>
      <c r="D587" s="3" t="s">
        <v>6645</v>
      </c>
      <c r="E587" s="3" t="s">
        <v>6646</v>
      </c>
      <c r="F587" s="3" t="s">
        <v>6646</v>
      </c>
      <c r="G587" s="3" t="s">
        <v>6645</v>
      </c>
      <c r="H587" s="3" t="s">
        <v>6645</v>
      </c>
      <c r="I587" s="3" t="s">
        <v>6645</v>
      </c>
      <c r="J587" s="3">
        <v>20.0</v>
      </c>
      <c r="K587" s="3">
        <v>2.0</v>
      </c>
      <c r="L587" s="3">
        <v>0.0</v>
      </c>
      <c r="M587" s="3">
        <v>0.0</v>
      </c>
      <c r="N587" s="3">
        <v>3577.8073</v>
      </c>
      <c r="O587" s="3">
        <v>397.0</v>
      </c>
      <c r="P587" s="3" t="e">
        <v>#N/A</v>
      </c>
      <c r="Q587" s="3">
        <v>50.0</v>
      </c>
      <c r="R587" s="3">
        <v>42.0</v>
      </c>
      <c r="S587" s="3">
        <v>46.0</v>
      </c>
      <c r="T587" s="3">
        <v>50.0</v>
      </c>
      <c r="U587" s="3">
        <v>46.0</v>
      </c>
      <c r="V587" s="3">
        <v>50.0</v>
      </c>
      <c r="W587" s="3">
        <v>53.0</v>
      </c>
      <c r="X587" s="3">
        <v>44.0</v>
      </c>
      <c r="Y587" s="3">
        <v>45.0</v>
      </c>
      <c r="Z587" s="3">
        <v>49.0</v>
      </c>
      <c r="AA587" s="3">
        <v>40.0</v>
      </c>
      <c r="AB587" s="3">
        <v>42.0</v>
      </c>
      <c r="AC587" s="3">
        <v>51.0</v>
      </c>
      <c r="AD587" s="3">
        <v>49.0</v>
      </c>
      <c r="AE587" s="3">
        <v>50.0</v>
      </c>
      <c r="AF587" s="3">
        <v>36.0</v>
      </c>
      <c r="AG587" s="3">
        <v>52.0</v>
      </c>
      <c r="AH587" s="3">
        <v>49.0</v>
      </c>
      <c r="AI587" s="3">
        <v>49.0</v>
      </c>
      <c r="AJ587" s="3">
        <v>57.0</v>
      </c>
      <c r="AK587" s="3">
        <v>44.0</v>
      </c>
      <c r="AL587" s="3">
        <v>45.0</v>
      </c>
      <c r="AM587" s="3">
        <v>53.0</v>
      </c>
      <c r="AN587" s="3">
        <v>56.0</v>
      </c>
    </row>
    <row r="588" ht="14.25" customHeight="1">
      <c r="A588" s="3">
        <v>586.0</v>
      </c>
      <c r="B588" s="3" t="s">
        <v>7062</v>
      </c>
      <c r="C588" s="3">
        <v>31.0</v>
      </c>
      <c r="D588" s="3" t="s">
        <v>6645</v>
      </c>
      <c r="E588" s="3" t="s">
        <v>6646</v>
      </c>
      <c r="F588" s="3" t="s">
        <v>6646</v>
      </c>
      <c r="G588" s="3" t="s">
        <v>6645</v>
      </c>
      <c r="H588" s="3" t="s">
        <v>6645</v>
      </c>
      <c r="I588" s="3" t="s">
        <v>6645</v>
      </c>
      <c r="J588" s="3">
        <v>20.0</v>
      </c>
      <c r="K588" s="3">
        <v>2.0</v>
      </c>
      <c r="L588" s="3">
        <v>0.0</v>
      </c>
      <c r="M588" s="3">
        <v>0.0</v>
      </c>
      <c r="N588" s="3">
        <v>3920.2131</v>
      </c>
      <c r="O588" s="3">
        <v>423.0</v>
      </c>
      <c r="P588" s="3" t="e">
        <v>#N/A</v>
      </c>
      <c r="Q588" s="3">
        <v>49.0</v>
      </c>
      <c r="R588" s="3">
        <v>48.0</v>
      </c>
      <c r="S588" s="3">
        <v>47.0</v>
      </c>
      <c r="T588" s="3">
        <v>44.0</v>
      </c>
      <c r="U588" s="3">
        <v>48.0</v>
      </c>
      <c r="V588" s="3">
        <v>43.0</v>
      </c>
      <c r="W588" s="3">
        <v>54.0</v>
      </c>
      <c r="X588" s="3">
        <v>45.0</v>
      </c>
      <c r="Y588" s="3">
        <v>48.0</v>
      </c>
      <c r="Z588" s="3">
        <v>58.0</v>
      </c>
      <c r="AA588" s="3">
        <v>49.0</v>
      </c>
      <c r="AB588" s="3">
        <v>44.0</v>
      </c>
      <c r="AC588" s="3">
        <v>55.0</v>
      </c>
      <c r="AD588" s="3">
        <v>44.0</v>
      </c>
      <c r="AE588" s="3">
        <v>37.0</v>
      </c>
      <c r="AF588" s="3">
        <v>57.0</v>
      </c>
      <c r="AG588" s="3">
        <v>59.0</v>
      </c>
      <c r="AH588" s="3">
        <v>51.0</v>
      </c>
      <c r="AI588" s="3">
        <v>35.0</v>
      </c>
      <c r="AJ588" s="3">
        <v>49.0</v>
      </c>
      <c r="AK588" s="3">
        <v>42.0</v>
      </c>
      <c r="AL588" s="3">
        <v>53.0</v>
      </c>
      <c r="AM588" s="3">
        <v>38.0</v>
      </c>
      <c r="AN588" s="3">
        <v>40.0</v>
      </c>
    </row>
    <row r="589" ht="14.25" customHeight="1">
      <c r="A589" s="3">
        <v>587.0</v>
      </c>
      <c r="B589" s="3" t="s">
        <v>7063</v>
      </c>
      <c r="C589" s="3">
        <v>34.0</v>
      </c>
      <c r="D589" s="3" t="s">
        <v>6645</v>
      </c>
      <c r="E589" s="3" t="s">
        <v>6646</v>
      </c>
      <c r="F589" s="3" t="s">
        <v>6646</v>
      </c>
      <c r="G589" s="3" t="s">
        <v>6645</v>
      </c>
      <c r="H589" s="3" t="s">
        <v>6645</v>
      </c>
      <c r="I589" s="3" t="s">
        <v>6646</v>
      </c>
      <c r="J589" s="3">
        <v>20.0</v>
      </c>
      <c r="K589" s="3">
        <v>2.0</v>
      </c>
      <c r="L589" s="3">
        <v>0.0</v>
      </c>
      <c r="M589" s="3">
        <v>0.0</v>
      </c>
      <c r="N589" s="3">
        <v>3435.4023</v>
      </c>
      <c r="O589" s="3">
        <v>457.0</v>
      </c>
      <c r="P589" s="3" t="e">
        <v>#N/A</v>
      </c>
      <c r="Q589" s="3">
        <v>51.0</v>
      </c>
      <c r="R589" s="3">
        <v>46.0</v>
      </c>
      <c r="S589" s="3">
        <v>46.0</v>
      </c>
      <c r="T589" s="3">
        <v>49.0</v>
      </c>
      <c r="U589" s="3">
        <v>48.0</v>
      </c>
      <c r="V589" s="3">
        <v>44.0</v>
      </c>
      <c r="W589" s="3">
        <v>57.0</v>
      </c>
      <c r="X589" s="3">
        <v>42.0</v>
      </c>
      <c r="Y589" s="3">
        <v>37.0</v>
      </c>
      <c r="Z589" s="3">
        <v>50.0</v>
      </c>
      <c r="AA589" s="3">
        <v>42.0</v>
      </c>
      <c r="AB589" s="3">
        <v>38.0</v>
      </c>
      <c r="AC589" s="3">
        <v>51.0</v>
      </c>
      <c r="AD589" s="3">
        <v>47.0</v>
      </c>
      <c r="AE589" s="3">
        <v>42.0</v>
      </c>
      <c r="AF589" s="3">
        <v>46.0</v>
      </c>
      <c r="AG589" s="3">
        <v>53.0</v>
      </c>
      <c r="AH589" s="3">
        <v>40.0</v>
      </c>
      <c r="AI589" s="3">
        <v>58.0</v>
      </c>
      <c r="AJ589" s="3">
        <v>42.0</v>
      </c>
      <c r="AK589" s="3">
        <v>40.0</v>
      </c>
      <c r="AL589" s="3">
        <v>63.0</v>
      </c>
      <c r="AM589" s="3">
        <v>49.0</v>
      </c>
      <c r="AN589" s="3">
        <v>39.0</v>
      </c>
    </row>
    <row r="590" ht="14.25" customHeight="1">
      <c r="A590" s="3">
        <v>588.0</v>
      </c>
      <c r="B590" s="3" t="s">
        <v>7064</v>
      </c>
      <c r="C590" s="3">
        <v>25.0</v>
      </c>
      <c r="D590" s="3" t="s">
        <v>6645</v>
      </c>
      <c r="E590" s="3" t="s">
        <v>6646</v>
      </c>
      <c r="F590" s="3" t="s">
        <v>6646</v>
      </c>
      <c r="G590" s="3" t="s">
        <v>6645</v>
      </c>
      <c r="H590" s="3" t="s">
        <v>6645</v>
      </c>
      <c r="I590" s="3" t="s">
        <v>6646</v>
      </c>
      <c r="J590" s="3">
        <v>20.0</v>
      </c>
      <c r="K590" s="3">
        <v>2.0</v>
      </c>
      <c r="L590" s="3">
        <v>0.0</v>
      </c>
      <c r="M590" s="3">
        <v>0.0</v>
      </c>
      <c r="N590" s="3">
        <v>3314.5817</v>
      </c>
      <c r="O590" s="3">
        <v>463.0</v>
      </c>
      <c r="P590" s="3" t="e">
        <v>#N/A</v>
      </c>
      <c r="Q590" s="3">
        <v>46.0</v>
      </c>
      <c r="R590" s="3">
        <v>51.0</v>
      </c>
      <c r="S590" s="3">
        <v>45.0</v>
      </c>
      <c r="T590" s="3">
        <v>50.0</v>
      </c>
      <c r="U590" s="3">
        <v>44.0</v>
      </c>
      <c r="V590" s="3">
        <v>45.0</v>
      </c>
      <c r="W590" s="3">
        <v>51.0</v>
      </c>
      <c r="X590" s="3">
        <v>42.0</v>
      </c>
      <c r="Y590" s="3">
        <v>47.0</v>
      </c>
      <c r="Z590" s="3">
        <v>52.0</v>
      </c>
      <c r="AA590" s="3">
        <v>43.0</v>
      </c>
      <c r="AB590" s="3">
        <v>47.0</v>
      </c>
      <c r="AC590" s="3">
        <v>49.0</v>
      </c>
      <c r="AD590" s="3">
        <v>34.0</v>
      </c>
      <c r="AE590" s="3">
        <v>36.0</v>
      </c>
      <c r="AF590" s="3">
        <v>37.0</v>
      </c>
      <c r="AG590" s="3">
        <v>46.0</v>
      </c>
      <c r="AH590" s="3">
        <v>36.0</v>
      </c>
      <c r="AI590" s="3">
        <v>42.0</v>
      </c>
      <c r="AJ590" s="3">
        <v>56.0</v>
      </c>
      <c r="AK590" s="3">
        <v>48.0</v>
      </c>
      <c r="AL590" s="3">
        <v>61.0</v>
      </c>
      <c r="AM590" s="3">
        <v>46.0</v>
      </c>
      <c r="AN590" s="3">
        <v>37.0</v>
      </c>
    </row>
    <row r="591" ht="14.25" customHeight="1">
      <c r="A591" s="3">
        <v>589.0</v>
      </c>
      <c r="B591" s="3" t="s">
        <v>7065</v>
      </c>
      <c r="C591" s="3">
        <v>21.0</v>
      </c>
      <c r="D591" s="3" t="s">
        <v>6645</v>
      </c>
      <c r="E591" s="3" t="s">
        <v>6646</v>
      </c>
      <c r="F591" s="3" t="s">
        <v>6646</v>
      </c>
      <c r="G591" s="3" t="s">
        <v>6645</v>
      </c>
      <c r="H591" s="3" t="s">
        <v>6645</v>
      </c>
      <c r="I591" s="3" t="s">
        <v>6646</v>
      </c>
      <c r="J591" s="3">
        <v>20.0</v>
      </c>
      <c r="K591" s="3">
        <v>1.0</v>
      </c>
      <c r="L591" s="3">
        <v>0.0</v>
      </c>
      <c r="M591" s="3">
        <v>0.0</v>
      </c>
      <c r="N591" s="3">
        <v>1251.11</v>
      </c>
      <c r="O591" s="3">
        <v>179.0</v>
      </c>
      <c r="P591" s="3" t="e">
        <v>#N/A</v>
      </c>
      <c r="Q591" s="3">
        <v>45.0</v>
      </c>
      <c r="R591" s="3">
        <v>41.0</v>
      </c>
      <c r="S591" s="3">
        <v>42.0</v>
      </c>
      <c r="T591" s="3">
        <v>37.0</v>
      </c>
      <c r="U591" s="3">
        <v>42.0</v>
      </c>
      <c r="V591" s="3">
        <v>43.0</v>
      </c>
      <c r="W591" s="3">
        <v>43.0</v>
      </c>
      <c r="X591" s="3">
        <v>37.0</v>
      </c>
      <c r="Y591" s="3">
        <v>38.0</v>
      </c>
      <c r="Z591" s="3">
        <v>45.0</v>
      </c>
      <c r="AA591" s="3">
        <v>31.0</v>
      </c>
      <c r="AB591" s="3">
        <v>36.0</v>
      </c>
      <c r="AC591" s="3">
        <v>50.0</v>
      </c>
      <c r="AD591" s="3">
        <v>39.0</v>
      </c>
      <c r="AE591" s="3">
        <v>42.0</v>
      </c>
      <c r="AF591" s="3">
        <v>42.0</v>
      </c>
      <c r="AG591" s="3">
        <v>56.0</v>
      </c>
      <c r="AH591" s="3">
        <v>62.0</v>
      </c>
      <c r="AI591" s="3">
        <v>34.0</v>
      </c>
      <c r="AJ591" s="3">
        <v>40.0</v>
      </c>
      <c r="AK591" s="3">
        <v>32.0</v>
      </c>
      <c r="AL591" s="3">
        <v>56.0</v>
      </c>
      <c r="AM591" s="3">
        <v>44.0</v>
      </c>
      <c r="AN591" s="3">
        <v>36.0</v>
      </c>
    </row>
    <row r="592" ht="14.25" customHeight="1">
      <c r="A592" s="3">
        <v>590.0</v>
      </c>
      <c r="B592" s="3" t="s">
        <v>7066</v>
      </c>
      <c r="C592" s="3">
        <v>29.0</v>
      </c>
      <c r="D592" s="3" t="s">
        <v>6645</v>
      </c>
      <c r="E592" s="3" t="s">
        <v>6646</v>
      </c>
      <c r="F592" s="3" t="s">
        <v>6646</v>
      </c>
      <c r="G592" s="3" t="s">
        <v>6645</v>
      </c>
      <c r="H592" s="3" t="s">
        <v>6645</v>
      </c>
      <c r="I592" s="3" t="s">
        <v>6645</v>
      </c>
      <c r="J592" s="3">
        <v>20.0</v>
      </c>
      <c r="K592" s="3">
        <v>1.0</v>
      </c>
      <c r="L592" s="3">
        <v>0.0</v>
      </c>
      <c r="M592" s="3">
        <v>0.0</v>
      </c>
      <c r="N592" s="3">
        <v>1468.065</v>
      </c>
      <c r="O592" s="3">
        <v>164.0</v>
      </c>
      <c r="P592" s="3" t="e">
        <v>#N/A</v>
      </c>
      <c r="Q592" s="3">
        <v>45.0</v>
      </c>
      <c r="R592" s="3">
        <v>45.0</v>
      </c>
      <c r="S592" s="3">
        <v>44.0</v>
      </c>
      <c r="T592" s="3">
        <v>44.0</v>
      </c>
      <c r="U592" s="3">
        <v>42.0</v>
      </c>
      <c r="V592" s="3">
        <v>36.0</v>
      </c>
      <c r="W592" s="3">
        <v>48.0</v>
      </c>
      <c r="X592" s="3">
        <v>42.0</v>
      </c>
      <c r="Y592" s="3">
        <v>30.0</v>
      </c>
      <c r="Z592" s="3">
        <v>44.0</v>
      </c>
      <c r="AA592" s="3">
        <v>33.0</v>
      </c>
      <c r="AB592" s="3">
        <v>31.0</v>
      </c>
      <c r="AC592" s="3">
        <v>45.0</v>
      </c>
      <c r="AD592" s="3">
        <v>45.0</v>
      </c>
      <c r="AE592" s="3">
        <v>39.0</v>
      </c>
      <c r="AF592" s="3">
        <v>58.0</v>
      </c>
      <c r="AG592" s="3">
        <v>48.0</v>
      </c>
      <c r="AH592" s="3">
        <v>38.0</v>
      </c>
      <c r="AI592" s="3">
        <v>36.0</v>
      </c>
      <c r="AJ592" s="3">
        <v>34.0</v>
      </c>
      <c r="AK592" s="3">
        <v>32.0</v>
      </c>
      <c r="AL592" s="3">
        <v>34.0</v>
      </c>
      <c r="AM592" s="3">
        <v>50.0</v>
      </c>
      <c r="AN592" s="3">
        <v>52.0</v>
      </c>
    </row>
    <row r="593" ht="14.25" customHeight="1">
      <c r="A593" s="3">
        <v>591.0</v>
      </c>
      <c r="B593" s="3" t="s">
        <v>7067</v>
      </c>
      <c r="C593" s="3">
        <v>23.0</v>
      </c>
      <c r="D593" s="3" t="s">
        <v>6645</v>
      </c>
      <c r="E593" s="3" t="s">
        <v>6646</v>
      </c>
      <c r="F593" s="3" t="s">
        <v>6646</v>
      </c>
      <c r="G593" s="3" t="s">
        <v>6645</v>
      </c>
      <c r="H593" s="3" t="s">
        <v>6645</v>
      </c>
      <c r="I593" s="3" t="s">
        <v>6646</v>
      </c>
      <c r="J593" s="3">
        <v>20.0</v>
      </c>
      <c r="K593" s="3">
        <v>1.0</v>
      </c>
      <c r="L593" s="3">
        <v>0.0</v>
      </c>
      <c r="M593" s="3">
        <v>0.0</v>
      </c>
      <c r="N593" s="3">
        <v>1556.3983</v>
      </c>
      <c r="O593" s="3">
        <v>182.0</v>
      </c>
      <c r="P593" s="3" t="e">
        <v>#N/A</v>
      </c>
      <c r="Q593" s="3">
        <v>39.0</v>
      </c>
      <c r="R593" s="3">
        <v>45.0</v>
      </c>
      <c r="S593" s="3">
        <v>42.0</v>
      </c>
      <c r="T593" s="3">
        <v>41.0</v>
      </c>
      <c r="U593" s="3">
        <v>41.0</v>
      </c>
      <c r="V593" s="3">
        <v>36.0</v>
      </c>
      <c r="W593" s="3">
        <v>44.0</v>
      </c>
      <c r="X593" s="3">
        <v>32.0</v>
      </c>
      <c r="Y593" s="3">
        <v>36.0</v>
      </c>
      <c r="Z593" s="3">
        <v>49.0</v>
      </c>
      <c r="AA593" s="3">
        <v>35.0</v>
      </c>
      <c r="AB593" s="3">
        <v>38.0</v>
      </c>
      <c r="AC593" s="3">
        <v>47.0</v>
      </c>
      <c r="AD593" s="3">
        <v>41.0</v>
      </c>
      <c r="AE593" s="3">
        <v>34.0</v>
      </c>
      <c r="AF593" s="3">
        <v>46.0</v>
      </c>
      <c r="AG593" s="3">
        <v>38.0</v>
      </c>
      <c r="AH593" s="3">
        <v>48.0</v>
      </c>
      <c r="AI593" s="3">
        <v>48.0</v>
      </c>
      <c r="AJ593" s="3">
        <v>40.0</v>
      </c>
      <c r="AK593" s="3">
        <v>56.0</v>
      </c>
      <c r="AL593" s="3">
        <v>52.0</v>
      </c>
      <c r="AM593" s="3">
        <v>46.0</v>
      </c>
      <c r="AN593" s="3">
        <v>48.0</v>
      </c>
    </row>
    <row r="594" ht="14.25" customHeight="1">
      <c r="A594" s="3">
        <v>592.0</v>
      </c>
      <c r="B594" s="3" t="s">
        <v>7068</v>
      </c>
      <c r="C594" s="3">
        <v>28.0</v>
      </c>
      <c r="D594" s="3" t="s">
        <v>6645</v>
      </c>
      <c r="E594" s="3" t="s">
        <v>6646</v>
      </c>
      <c r="F594" s="3" t="s">
        <v>6646</v>
      </c>
      <c r="G594" s="3" t="s">
        <v>6645</v>
      </c>
      <c r="H594" s="3" t="s">
        <v>6645</v>
      </c>
      <c r="I594" s="3" t="s">
        <v>6645</v>
      </c>
      <c r="J594" s="3">
        <v>20.0</v>
      </c>
      <c r="K594" s="3">
        <v>1.0</v>
      </c>
      <c r="L594" s="3">
        <v>0.0</v>
      </c>
      <c r="M594" s="3">
        <v>0.0</v>
      </c>
      <c r="N594" s="3">
        <v>1343.0368</v>
      </c>
      <c r="O594" s="3">
        <v>223.0</v>
      </c>
      <c r="P594" s="3" t="e">
        <v>#N/A</v>
      </c>
      <c r="Q594" s="3">
        <v>40.0</v>
      </c>
      <c r="R594" s="3">
        <v>42.0</v>
      </c>
      <c r="S594" s="3">
        <v>39.0</v>
      </c>
      <c r="T594" s="3">
        <v>37.0</v>
      </c>
      <c r="U594" s="3">
        <v>37.0</v>
      </c>
      <c r="V594" s="3">
        <v>44.0</v>
      </c>
      <c r="W594" s="3">
        <v>49.0</v>
      </c>
      <c r="X594" s="3">
        <v>30.0</v>
      </c>
      <c r="Y594" s="3">
        <v>37.0</v>
      </c>
      <c r="Z594" s="3">
        <v>49.0</v>
      </c>
      <c r="AA594" s="3">
        <v>44.0</v>
      </c>
      <c r="AB594" s="3">
        <v>39.0</v>
      </c>
      <c r="AC594" s="3">
        <v>47.0</v>
      </c>
      <c r="AD594" s="3">
        <v>29.0</v>
      </c>
      <c r="AE594" s="3">
        <v>37.0</v>
      </c>
      <c r="AF594" s="3">
        <v>48.0</v>
      </c>
      <c r="AG594" s="3">
        <v>42.0</v>
      </c>
      <c r="AH594" s="3">
        <v>50.0</v>
      </c>
      <c r="AI594" s="3">
        <v>36.0</v>
      </c>
      <c r="AJ594" s="3">
        <v>52.0</v>
      </c>
      <c r="AK594" s="3">
        <v>58.0</v>
      </c>
      <c r="AL594" s="3">
        <v>34.0</v>
      </c>
      <c r="AM594" s="3">
        <v>62.0</v>
      </c>
      <c r="AN594" s="3">
        <v>50.0</v>
      </c>
    </row>
    <row r="595" ht="14.25" customHeight="1">
      <c r="A595" s="3">
        <v>593.0</v>
      </c>
      <c r="B595" s="3" t="s">
        <v>7069</v>
      </c>
      <c r="C595" s="3">
        <v>19.0</v>
      </c>
      <c r="D595" s="3" t="s">
        <v>6645</v>
      </c>
      <c r="E595" s="3" t="s">
        <v>6646</v>
      </c>
      <c r="F595" s="3" t="s">
        <v>6646</v>
      </c>
      <c r="G595" s="3" t="s">
        <v>6645</v>
      </c>
      <c r="H595" s="3" t="s">
        <v>6645</v>
      </c>
      <c r="I595" s="3" t="s">
        <v>6645</v>
      </c>
      <c r="J595" s="3">
        <v>20.0</v>
      </c>
      <c r="K595" s="3">
        <v>0.0</v>
      </c>
      <c r="L595" s="3">
        <v>0.0</v>
      </c>
      <c r="M595" s="3">
        <v>0.0</v>
      </c>
      <c r="N595" s="3">
        <v>395.84686</v>
      </c>
      <c r="O595" s="3">
        <v>86.0</v>
      </c>
      <c r="P595" s="3" t="e">
        <v>#N/A</v>
      </c>
      <c r="Q595" s="3">
        <v>38.0</v>
      </c>
      <c r="R595" s="3">
        <v>39.0</v>
      </c>
      <c r="S595" s="3">
        <v>32.0</v>
      </c>
      <c r="T595" s="3">
        <v>38.0</v>
      </c>
      <c r="U595" s="3">
        <v>32.0</v>
      </c>
      <c r="V595" s="3">
        <v>39.0</v>
      </c>
      <c r="W595" s="3">
        <v>43.0</v>
      </c>
      <c r="X595" s="3">
        <v>38.0</v>
      </c>
      <c r="Y595" s="3">
        <v>36.0</v>
      </c>
      <c r="Z595" s="3">
        <v>45.0</v>
      </c>
      <c r="AA595" s="3">
        <v>29.0</v>
      </c>
      <c r="AB595" s="3">
        <v>30.0</v>
      </c>
      <c r="AC595" s="3">
        <v>42.0</v>
      </c>
      <c r="AD595" s="3">
        <v>34.0</v>
      </c>
      <c r="AE595" s="3">
        <v>27.0</v>
      </c>
      <c r="AF595" s="3">
        <v>54.0</v>
      </c>
      <c r="AG595" s="3">
        <v>40.0</v>
      </c>
      <c r="AH595" s="3">
        <v>49.0</v>
      </c>
      <c r="AI595" s="3">
        <v>51.0</v>
      </c>
      <c r="AJ595" s="3">
        <v>35.0</v>
      </c>
      <c r="AK595" s="3">
        <v>34.0</v>
      </c>
      <c r="AL595" s="3">
        <v>46.0</v>
      </c>
      <c r="AM595" s="3">
        <v>46.0</v>
      </c>
      <c r="AN595" s="3">
        <v>49.0</v>
      </c>
    </row>
    <row r="596" ht="14.25" customHeight="1">
      <c r="A596" s="3">
        <v>594.0</v>
      </c>
      <c r="B596" s="3" t="s">
        <v>7070</v>
      </c>
      <c r="C596" s="3">
        <v>15.0</v>
      </c>
      <c r="D596" s="3" t="s">
        <v>6645</v>
      </c>
      <c r="E596" s="3" t="s">
        <v>6646</v>
      </c>
      <c r="F596" s="3" t="s">
        <v>6646</v>
      </c>
      <c r="G596" s="3" t="s">
        <v>6645</v>
      </c>
      <c r="H596" s="3" t="s">
        <v>6645</v>
      </c>
      <c r="I596" s="3" t="s">
        <v>6646</v>
      </c>
      <c r="J596" s="3">
        <v>20.0</v>
      </c>
      <c r="K596" s="3">
        <v>0.0</v>
      </c>
      <c r="L596" s="3">
        <v>0.0</v>
      </c>
      <c r="M596" s="3">
        <v>0.0</v>
      </c>
      <c r="N596" s="3">
        <v>461.82882</v>
      </c>
      <c r="O596" s="3">
        <v>75.0</v>
      </c>
      <c r="P596" s="3" t="e">
        <v>#N/A</v>
      </c>
      <c r="Q596" s="3">
        <v>31.0</v>
      </c>
      <c r="R596" s="3">
        <v>33.0</v>
      </c>
      <c r="S596" s="3">
        <v>32.0</v>
      </c>
      <c r="T596" s="3">
        <v>35.0</v>
      </c>
      <c r="U596" s="3">
        <v>31.0</v>
      </c>
      <c r="V596" s="3">
        <v>37.0</v>
      </c>
      <c r="W596" s="3">
        <v>43.0</v>
      </c>
      <c r="X596" s="3">
        <v>38.0</v>
      </c>
      <c r="Y596" s="3">
        <v>27.0</v>
      </c>
      <c r="Z596" s="3">
        <v>41.0</v>
      </c>
      <c r="AA596" s="3">
        <v>36.0</v>
      </c>
      <c r="AB596" s="3">
        <v>21.0</v>
      </c>
      <c r="AC596" s="3">
        <v>47.0</v>
      </c>
      <c r="AD596" s="3">
        <v>29.0</v>
      </c>
      <c r="AE596" s="3">
        <v>38.0</v>
      </c>
      <c r="AF596" s="3">
        <v>58.0</v>
      </c>
      <c r="AG596" s="3">
        <v>30.0</v>
      </c>
      <c r="AH596" s="3">
        <v>45.0</v>
      </c>
      <c r="AI596" s="3">
        <v>32.0</v>
      </c>
      <c r="AJ596" s="3">
        <v>54.0</v>
      </c>
      <c r="AK596" s="3">
        <v>39.0</v>
      </c>
      <c r="AL596" s="3">
        <v>46.0</v>
      </c>
      <c r="AM596" s="3">
        <v>46.0</v>
      </c>
      <c r="AN596" s="3">
        <v>53.0</v>
      </c>
    </row>
    <row r="597" ht="14.25" customHeight="1">
      <c r="A597" s="3">
        <v>595.0</v>
      </c>
      <c r="B597" s="3" t="s">
        <v>7071</v>
      </c>
      <c r="C597" s="3">
        <v>19.0</v>
      </c>
      <c r="D597" s="3" t="s">
        <v>6645</v>
      </c>
      <c r="E597" s="3" t="s">
        <v>6646</v>
      </c>
      <c r="F597" s="3" t="s">
        <v>6646</v>
      </c>
      <c r="G597" s="3" t="s">
        <v>6645</v>
      </c>
      <c r="H597" s="3" t="s">
        <v>6645</v>
      </c>
      <c r="I597" s="3" t="s">
        <v>6645</v>
      </c>
      <c r="J597" s="3">
        <v>20.0</v>
      </c>
      <c r="K597" s="3">
        <v>0.0</v>
      </c>
      <c r="L597" s="3">
        <v>0.0</v>
      </c>
      <c r="M597" s="3">
        <v>0.0</v>
      </c>
      <c r="N597" s="3">
        <v>565.84</v>
      </c>
      <c r="O597" s="3">
        <v>84.0</v>
      </c>
      <c r="P597" s="3" t="e">
        <v>#N/A</v>
      </c>
      <c r="Q597" s="3">
        <v>30.0</v>
      </c>
      <c r="R597" s="3">
        <v>38.0</v>
      </c>
      <c r="S597" s="3">
        <v>35.0</v>
      </c>
      <c r="T597" s="3">
        <v>36.0</v>
      </c>
      <c r="U597" s="3">
        <v>32.0</v>
      </c>
      <c r="V597" s="3">
        <v>35.0</v>
      </c>
      <c r="W597" s="3">
        <v>48.0</v>
      </c>
      <c r="X597" s="3">
        <v>33.0</v>
      </c>
      <c r="Y597" s="3">
        <v>26.0</v>
      </c>
      <c r="Z597" s="3">
        <v>40.0</v>
      </c>
      <c r="AA597" s="3">
        <v>33.0</v>
      </c>
      <c r="AB597" s="3">
        <v>32.0</v>
      </c>
      <c r="AC597" s="3">
        <v>44.0</v>
      </c>
      <c r="AD597" s="3">
        <v>24.0</v>
      </c>
      <c r="AE597" s="3">
        <v>39.0</v>
      </c>
      <c r="AF597" s="3">
        <v>52.0</v>
      </c>
      <c r="AG597" s="3">
        <v>58.0</v>
      </c>
      <c r="AH597" s="3">
        <v>51.0</v>
      </c>
      <c r="AI597" s="3">
        <v>55.0</v>
      </c>
      <c r="AJ597" s="3">
        <v>54.0</v>
      </c>
      <c r="AK597" s="3">
        <v>54.0</v>
      </c>
      <c r="AL597" s="3">
        <v>47.0</v>
      </c>
      <c r="AM597" s="3">
        <v>55.0</v>
      </c>
      <c r="AN597" s="3">
        <v>51.0</v>
      </c>
    </row>
    <row r="598" ht="14.25" customHeight="1">
      <c r="A598" s="3">
        <v>596.0</v>
      </c>
      <c r="B598" s="3" t="s">
        <v>7072</v>
      </c>
      <c r="C598" s="3">
        <v>22.0</v>
      </c>
      <c r="D598" s="3" t="s">
        <v>6645</v>
      </c>
      <c r="E598" s="3" t="s">
        <v>6646</v>
      </c>
      <c r="F598" s="3" t="s">
        <v>6646</v>
      </c>
      <c r="G598" s="3" t="s">
        <v>6645</v>
      </c>
      <c r="H598" s="3" t="s">
        <v>6645</v>
      </c>
      <c r="I598" s="3" t="s">
        <v>6646</v>
      </c>
      <c r="J598" s="3">
        <v>20.0</v>
      </c>
      <c r="K598" s="3">
        <v>0.0</v>
      </c>
      <c r="L598" s="3">
        <v>0.0</v>
      </c>
      <c r="M598" s="3">
        <v>0.0</v>
      </c>
      <c r="N598" s="3">
        <v>468.80502</v>
      </c>
      <c r="O598" s="3">
        <v>93.0</v>
      </c>
      <c r="P598" s="3" t="e">
        <v>#N/A</v>
      </c>
      <c r="Q598" s="3">
        <v>33.0</v>
      </c>
      <c r="R598" s="3">
        <v>39.0</v>
      </c>
      <c r="S598" s="3">
        <v>30.0</v>
      </c>
      <c r="T598" s="3">
        <v>30.0</v>
      </c>
      <c r="U598" s="3">
        <v>35.0</v>
      </c>
      <c r="V598" s="3">
        <v>39.0</v>
      </c>
      <c r="W598" s="3">
        <v>40.0</v>
      </c>
      <c r="X598" s="3">
        <v>23.0</v>
      </c>
      <c r="Y598" s="3">
        <v>35.0</v>
      </c>
      <c r="Z598" s="3">
        <v>38.0</v>
      </c>
      <c r="AA598" s="3">
        <v>39.0</v>
      </c>
      <c r="AB598" s="3">
        <v>28.0</v>
      </c>
      <c r="AC598" s="3">
        <v>35.0</v>
      </c>
      <c r="AD598" s="3">
        <v>39.0</v>
      </c>
      <c r="AE598" s="3">
        <v>28.0</v>
      </c>
      <c r="AF598" s="3">
        <v>33.0</v>
      </c>
      <c r="AG598" s="3">
        <v>37.0</v>
      </c>
      <c r="AH598" s="3">
        <v>32.0</v>
      </c>
      <c r="AI598" s="3">
        <v>52.0</v>
      </c>
      <c r="AJ598" s="3">
        <v>53.0</v>
      </c>
      <c r="AK598" s="3">
        <v>56.0</v>
      </c>
      <c r="AL598" s="3">
        <v>35.0</v>
      </c>
      <c r="AM598" s="3">
        <v>46.0</v>
      </c>
      <c r="AN598" s="3">
        <v>42.0</v>
      </c>
    </row>
    <row r="599" ht="14.25" customHeight="1">
      <c r="A599" s="3">
        <v>597.0</v>
      </c>
      <c r="B599" s="3" t="s">
        <v>7073</v>
      </c>
      <c r="C599" s="3">
        <v>21.0</v>
      </c>
      <c r="D599" s="3" t="s">
        <v>6645</v>
      </c>
      <c r="E599" s="3" t="s">
        <v>6646</v>
      </c>
      <c r="F599" s="3" t="s">
        <v>6646</v>
      </c>
      <c r="G599" s="3" t="s">
        <v>6645</v>
      </c>
      <c r="H599" s="3" t="s">
        <v>6645</v>
      </c>
      <c r="I599" s="3" t="s">
        <v>6646</v>
      </c>
      <c r="J599" s="3">
        <v>20.0</v>
      </c>
      <c r="K599" s="3">
        <v>0.0</v>
      </c>
      <c r="L599" s="3">
        <v>0.0</v>
      </c>
      <c r="M599" s="3">
        <v>0.0</v>
      </c>
      <c r="N599" s="3">
        <v>500.16854</v>
      </c>
      <c r="O599" s="3">
        <v>81.0</v>
      </c>
      <c r="P599" s="3" t="e">
        <v>#N/A</v>
      </c>
      <c r="Q599" s="3">
        <v>39.0</v>
      </c>
      <c r="R599" s="3">
        <v>37.0</v>
      </c>
      <c r="S599" s="3">
        <v>31.0</v>
      </c>
      <c r="T599" s="3">
        <v>36.0</v>
      </c>
      <c r="U599" s="3">
        <v>34.0</v>
      </c>
      <c r="V599" s="3">
        <v>32.0</v>
      </c>
      <c r="W599" s="3">
        <v>41.0</v>
      </c>
      <c r="X599" s="3">
        <v>34.0</v>
      </c>
      <c r="Y599" s="3">
        <v>34.0</v>
      </c>
      <c r="Z599" s="3">
        <v>39.0</v>
      </c>
      <c r="AA599" s="3">
        <v>26.0</v>
      </c>
      <c r="AB599" s="3">
        <v>25.0</v>
      </c>
      <c r="AC599" s="3">
        <v>36.0</v>
      </c>
      <c r="AD599" s="3">
        <v>34.0</v>
      </c>
      <c r="AE599" s="3">
        <v>39.0</v>
      </c>
      <c r="AF599" s="3">
        <v>49.0</v>
      </c>
      <c r="AG599" s="3">
        <v>31.0</v>
      </c>
      <c r="AH599" s="3">
        <v>45.0</v>
      </c>
      <c r="AI599" s="3">
        <v>41.0</v>
      </c>
      <c r="AJ599" s="3">
        <v>55.0</v>
      </c>
      <c r="AK599" s="3">
        <v>37.0</v>
      </c>
      <c r="AL599" s="3">
        <v>45.0</v>
      </c>
      <c r="AM599" s="3">
        <v>44.0</v>
      </c>
      <c r="AN599" s="3">
        <v>52.0</v>
      </c>
    </row>
    <row r="600" ht="14.25" customHeight="1">
      <c r="A600" s="3">
        <v>598.0</v>
      </c>
      <c r="B600" s="3" t="s">
        <v>7074</v>
      </c>
      <c r="C600" s="3">
        <v>35.0</v>
      </c>
      <c r="D600" s="3" t="s">
        <v>6645</v>
      </c>
      <c r="E600" s="3" t="s">
        <v>6646</v>
      </c>
      <c r="F600" s="3" t="s">
        <v>6646</v>
      </c>
      <c r="G600" s="3" t="s">
        <v>6645</v>
      </c>
      <c r="H600" s="3" t="s">
        <v>6645</v>
      </c>
      <c r="I600" s="3" t="s">
        <v>6645</v>
      </c>
      <c r="J600" s="3">
        <v>21.0</v>
      </c>
      <c r="K600" s="3">
        <v>4.0</v>
      </c>
      <c r="L600" s="3">
        <v>0.0</v>
      </c>
      <c r="M600" s="3">
        <v>0.0</v>
      </c>
      <c r="N600" s="3">
        <v>7658.4</v>
      </c>
      <c r="O600" s="3">
        <v>1811.0</v>
      </c>
      <c r="P600" s="3" t="e">
        <v>#N/A</v>
      </c>
      <c r="Q600" s="3">
        <v>54.0</v>
      </c>
      <c r="R600" s="3">
        <v>56.0</v>
      </c>
      <c r="S600" s="3">
        <v>58.0</v>
      </c>
      <c r="T600" s="3">
        <v>59.0</v>
      </c>
      <c r="U600" s="3">
        <v>57.0</v>
      </c>
      <c r="V600" s="3">
        <v>58.0</v>
      </c>
      <c r="W600" s="3">
        <v>54.0</v>
      </c>
      <c r="X600" s="3">
        <v>55.0</v>
      </c>
      <c r="Y600" s="3">
        <v>58.0</v>
      </c>
      <c r="Z600" s="3">
        <v>47.0</v>
      </c>
      <c r="AA600" s="3">
        <v>55.0</v>
      </c>
      <c r="AB600" s="3">
        <v>61.0</v>
      </c>
      <c r="AC600" s="3">
        <v>55.0</v>
      </c>
      <c r="AD600" s="3">
        <v>59.0</v>
      </c>
      <c r="AE600" s="3">
        <v>51.0</v>
      </c>
      <c r="AF600" s="3">
        <v>67.0</v>
      </c>
      <c r="AG600" s="3">
        <v>56.0</v>
      </c>
      <c r="AH600" s="3">
        <v>58.0</v>
      </c>
      <c r="AI600" s="3">
        <v>47.0</v>
      </c>
      <c r="AJ600" s="3">
        <v>44.0</v>
      </c>
      <c r="AK600" s="3">
        <v>51.0</v>
      </c>
      <c r="AL600" s="3">
        <v>38.0</v>
      </c>
      <c r="AM600" s="3">
        <v>43.0</v>
      </c>
      <c r="AN600" s="3">
        <v>41.0</v>
      </c>
    </row>
    <row r="601" ht="14.25" customHeight="1">
      <c r="A601" s="3">
        <v>599.0</v>
      </c>
      <c r="B601" s="3" t="s">
        <v>7075</v>
      </c>
      <c r="C601" s="3">
        <v>36.0</v>
      </c>
      <c r="D601" s="3" t="s">
        <v>6645</v>
      </c>
      <c r="E601" s="3" t="s">
        <v>6646</v>
      </c>
      <c r="F601" s="3" t="s">
        <v>6646</v>
      </c>
      <c r="G601" s="3" t="s">
        <v>6645</v>
      </c>
      <c r="H601" s="3" t="s">
        <v>6645</v>
      </c>
      <c r="I601" s="3" t="s">
        <v>6646</v>
      </c>
      <c r="J601" s="3">
        <v>21.0</v>
      </c>
      <c r="K601" s="3">
        <v>4.0</v>
      </c>
      <c r="L601" s="3">
        <v>0.0</v>
      </c>
      <c r="M601" s="3">
        <v>0.0</v>
      </c>
      <c r="N601" s="3">
        <v>7559.9404</v>
      </c>
      <c r="O601" s="3">
        <v>1249.0</v>
      </c>
      <c r="P601" s="3" t="e">
        <v>#N/A</v>
      </c>
      <c r="Q601" s="3">
        <v>58.0</v>
      </c>
      <c r="R601" s="3">
        <v>58.0</v>
      </c>
      <c r="S601" s="3">
        <v>53.0</v>
      </c>
      <c r="T601" s="3">
        <v>59.0</v>
      </c>
      <c r="U601" s="3">
        <v>55.0</v>
      </c>
      <c r="V601" s="3">
        <v>57.0</v>
      </c>
      <c r="W601" s="3">
        <v>51.0</v>
      </c>
      <c r="X601" s="3">
        <v>55.0</v>
      </c>
      <c r="Y601" s="3">
        <v>50.0</v>
      </c>
      <c r="Z601" s="3">
        <v>52.0</v>
      </c>
      <c r="AA601" s="3">
        <v>55.0</v>
      </c>
      <c r="AB601" s="3">
        <v>61.0</v>
      </c>
      <c r="AC601" s="3">
        <v>57.0</v>
      </c>
      <c r="AD601" s="3">
        <v>52.0</v>
      </c>
      <c r="AE601" s="3">
        <v>51.0</v>
      </c>
      <c r="AF601" s="3">
        <v>52.0</v>
      </c>
      <c r="AG601" s="3">
        <v>45.0</v>
      </c>
      <c r="AH601" s="3">
        <v>38.0</v>
      </c>
      <c r="AI601" s="3">
        <v>51.0</v>
      </c>
      <c r="AJ601" s="3">
        <v>66.0</v>
      </c>
      <c r="AK601" s="3">
        <v>54.0</v>
      </c>
      <c r="AL601" s="3">
        <v>48.0</v>
      </c>
      <c r="AM601" s="3">
        <v>67.0</v>
      </c>
      <c r="AN601" s="3">
        <v>55.0</v>
      </c>
    </row>
    <row r="602" ht="14.25" customHeight="1">
      <c r="A602" s="3">
        <v>600.0</v>
      </c>
      <c r="B602" s="3" t="s">
        <v>7076</v>
      </c>
      <c r="C602" s="3">
        <v>31.0</v>
      </c>
      <c r="D602" s="3" t="s">
        <v>6645</v>
      </c>
      <c r="E602" s="3" t="s">
        <v>6646</v>
      </c>
      <c r="F602" s="3" t="s">
        <v>6646</v>
      </c>
      <c r="G602" s="3" t="s">
        <v>6645</v>
      </c>
      <c r="H602" s="3" t="s">
        <v>6645</v>
      </c>
      <c r="I602" s="3" t="s">
        <v>6646</v>
      </c>
      <c r="J602" s="3">
        <v>21.0</v>
      </c>
      <c r="K602" s="3">
        <v>3.0</v>
      </c>
      <c r="L602" s="3">
        <v>0.0</v>
      </c>
      <c r="M602" s="3">
        <v>0.0</v>
      </c>
      <c r="N602" s="3">
        <v>5339.96</v>
      </c>
      <c r="O602" s="3">
        <v>817.0</v>
      </c>
      <c r="P602" s="3" t="e">
        <v>#N/A</v>
      </c>
      <c r="Q602" s="3">
        <v>45.0</v>
      </c>
      <c r="R602" s="3">
        <v>52.0</v>
      </c>
      <c r="S602" s="3">
        <v>49.0</v>
      </c>
      <c r="T602" s="3">
        <v>45.0</v>
      </c>
      <c r="U602" s="3">
        <v>52.0</v>
      </c>
      <c r="V602" s="3">
        <v>52.0</v>
      </c>
      <c r="W602" s="3">
        <v>45.0</v>
      </c>
      <c r="X602" s="3">
        <v>51.0</v>
      </c>
      <c r="Y602" s="3">
        <v>50.0</v>
      </c>
      <c r="Z602" s="3">
        <v>45.0</v>
      </c>
      <c r="AA602" s="3">
        <v>48.0</v>
      </c>
      <c r="AB602" s="3">
        <v>60.0</v>
      </c>
      <c r="AC602" s="3">
        <v>38.0</v>
      </c>
      <c r="AD602" s="3">
        <v>47.0</v>
      </c>
      <c r="AE602" s="3">
        <v>54.0</v>
      </c>
      <c r="AF602" s="3">
        <v>62.0</v>
      </c>
      <c r="AG602" s="3">
        <v>47.0</v>
      </c>
      <c r="AH602" s="3">
        <v>36.0</v>
      </c>
      <c r="AI602" s="3">
        <v>39.0</v>
      </c>
      <c r="AJ602" s="3">
        <v>57.0</v>
      </c>
      <c r="AK602" s="3">
        <v>62.0</v>
      </c>
      <c r="AL602" s="3">
        <v>46.0</v>
      </c>
      <c r="AM602" s="3">
        <v>63.0</v>
      </c>
      <c r="AN602" s="3">
        <v>44.0</v>
      </c>
    </row>
    <row r="603" ht="14.25" customHeight="1">
      <c r="A603" s="3">
        <v>601.0</v>
      </c>
      <c r="B603" s="3" t="s">
        <v>7077</v>
      </c>
      <c r="C603" s="3">
        <v>39.0</v>
      </c>
      <c r="D603" s="3" t="s">
        <v>6645</v>
      </c>
      <c r="E603" s="3" t="s">
        <v>6646</v>
      </c>
      <c r="F603" s="3" t="s">
        <v>6646</v>
      </c>
      <c r="G603" s="3" t="s">
        <v>6645</v>
      </c>
      <c r="H603" s="3" t="s">
        <v>6645</v>
      </c>
      <c r="I603" s="3" t="s">
        <v>6645</v>
      </c>
      <c r="J603" s="3">
        <v>21.0</v>
      </c>
      <c r="K603" s="3">
        <v>3.0</v>
      </c>
      <c r="L603" s="3">
        <v>0.0</v>
      </c>
      <c r="M603" s="3">
        <v>0.0</v>
      </c>
      <c r="N603" s="3">
        <v>5319.0063</v>
      </c>
      <c r="O603" s="3">
        <v>926.0</v>
      </c>
      <c r="P603" s="3" t="e">
        <v>#N/A</v>
      </c>
      <c r="Q603" s="3">
        <v>48.0</v>
      </c>
      <c r="R603" s="3">
        <v>56.0</v>
      </c>
      <c r="S603" s="3">
        <v>54.0</v>
      </c>
      <c r="T603" s="3">
        <v>51.0</v>
      </c>
      <c r="U603" s="3">
        <v>52.0</v>
      </c>
      <c r="V603" s="3">
        <v>48.0</v>
      </c>
      <c r="W603" s="3">
        <v>44.0</v>
      </c>
      <c r="X603" s="3">
        <v>53.0</v>
      </c>
      <c r="Y603" s="3">
        <v>45.0</v>
      </c>
      <c r="Z603" s="3">
        <v>48.0</v>
      </c>
      <c r="AA603" s="3">
        <v>47.0</v>
      </c>
      <c r="AB603" s="3">
        <v>58.0</v>
      </c>
      <c r="AC603" s="3">
        <v>46.0</v>
      </c>
      <c r="AD603" s="3">
        <v>47.0</v>
      </c>
      <c r="AE603" s="3">
        <v>52.0</v>
      </c>
      <c r="AF603" s="3">
        <v>42.0</v>
      </c>
      <c r="AG603" s="3">
        <v>51.0</v>
      </c>
      <c r="AH603" s="3">
        <v>62.0</v>
      </c>
      <c r="AI603" s="3">
        <v>51.0</v>
      </c>
      <c r="AJ603" s="3">
        <v>61.0</v>
      </c>
      <c r="AK603" s="3">
        <v>63.0</v>
      </c>
      <c r="AL603" s="3">
        <v>61.0</v>
      </c>
      <c r="AM603" s="3">
        <v>56.0</v>
      </c>
      <c r="AN603" s="3">
        <v>60.0</v>
      </c>
    </row>
    <row r="604" ht="14.25" customHeight="1">
      <c r="A604" s="3">
        <v>602.0</v>
      </c>
      <c r="B604" s="3" t="s">
        <v>7078</v>
      </c>
      <c r="C604" s="3">
        <v>34.0</v>
      </c>
      <c r="D604" s="3" t="s">
        <v>6645</v>
      </c>
      <c r="E604" s="3" t="s">
        <v>6646</v>
      </c>
      <c r="F604" s="3" t="s">
        <v>6646</v>
      </c>
      <c r="G604" s="3" t="s">
        <v>6645</v>
      </c>
      <c r="H604" s="3" t="s">
        <v>6645</v>
      </c>
      <c r="I604" s="3" t="s">
        <v>6645</v>
      </c>
      <c r="J604" s="3">
        <v>21.0</v>
      </c>
      <c r="K604" s="3">
        <v>3.0</v>
      </c>
      <c r="L604" s="3">
        <v>0.0</v>
      </c>
      <c r="M604" s="3">
        <v>0.0</v>
      </c>
      <c r="N604" s="3">
        <v>5523.9755</v>
      </c>
      <c r="O604" s="3">
        <v>732.0</v>
      </c>
      <c r="P604" s="3" t="e">
        <v>#N/A</v>
      </c>
      <c r="Q604" s="3">
        <v>51.0</v>
      </c>
      <c r="R604" s="3">
        <v>52.0</v>
      </c>
      <c r="S604" s="3">
        <v>54.0</v>
      </c>
      <c r="T604" s="3">
        <v>48.0</v>
      </c>
      <c r="U604" s="3">
        <v>51.0</v>
      </c>
      <c r="V604" s="3">
        <v>45.0</v>
      </c>
      <c r="W604" s="3">
        <v>46.0</v>
      </c>
      <c r="X604" s="3">
        <v>58.0</v>
      </c>
      <c r="Y604" s="3">
        <v>50.0</v>
      </c>
      <c r="Z604" s="3">
        <v>47.0</v>
      </c>
      <c r="AA604" s="3">
        <v>45.0</v>
      </c>
      <c r="AB604" s="3">
        <v>53.0</v>
      </c>
      <c r="AC604" s="3">
        <v>49.0</v>
      </c>
      <c r="AD604" s="3">
        <v>43.0</v>
      </c>
      <c r="AE604" s="3">
        <v>51.0</v>
      </c>
      <c r="AF604" s="3">
        <v>43.0</v>
      </c>
      <c r="AG604" s="3">
        <v>60.0</v>
      </c>
      <c r="AH604" s="3">
        <v>62.0</v>
      </c>
      <c r="AI604" s="3">
        <v>37.0</v>
      </c>
      <c r="AJ604" s="3">
        <v>47.0</v>
      </c>
      <c r="AK604" s="3">
        <v>39.0</v>
      </c>
      <c r="AL604" s="3">
        <v>36.0</v>
      </c>
      <c r="AM604" s="3">
        <v>55.0</v>
      </c>
      <c r="AN604" s="3">
        <v>44.0</v>
      </c>
    </row>
    <row r="605" ht="14.25" customHeight="1">
      <c r="A605" s="3">
        <v>603.0</v>
      </c>
      <c r="B605" s="3" t="s">
        <v>7079</v>
      </c>
      <c r="C605" s="3">
        <v>33.0</v>
      </c>
      <c r="D605" s="3" t="s">
        <v>6645</v>
      </c>
      <c r="E605" s="3" t="s">
        <v>6646</v>
      </c>
      <c r="F605" s="3" t="s">
        <v>6646</v>
      </c>
      <c r="G605" s="3" t="s">
        <v>6645</v>
      </c>
      <c r="H605" s="3" t="s">
        <v>6645</v>
      </c>
      <c r="I605" s="3" t="s">
        <v>6646</v>
      </c>
      <c r="J605" s="3">
        <v>21.0</v>
      </c>
      <c r="K605" s="3">
        <v>2.0</v>
      </c>
      <c r="L605" s="3">
        <v>0.0</v>
      </c>
      <c r="M605" s="3">
        <v>0.0</v>
      </c>
      <c r="N605" s="3">
        <v>3393.7443</v>
      </c>
      <c r="O605" s="3">
        <v>351.0</v>
      </c>
      <c r="P605" s="3" t="e">
        <v>#N/A</v>
      </c>
      <c r="Q605" s="3">
        <v>44.0</v>
      </c>
      <c r="R605" s="3">
        <v>41.0</v>
      </c>
      <c r="S605" s="3">
        <v>42.0</v>
      </c>
      <c r="T605" s="3">
        <v>42.0</v>
      </c>
      <c r="U605" s="3">
        <v>41.0</v>
      </c>
      <c r="V605" s="3">
        <v>44.0</v>
      </c>
      <c r="W605" s="3">
        <v>45.0</v>
      </c>
      <c r="X605" s="3">
        <v>46.0</v>
      </c>
      <c r="Y605" s="3">
        <v>49.0</v>
      </c>
      <c r="Z605" s="3">
        <v>46.0</v>
      </c>
      <c r="AA605" s="3">
        <v>37.0</v>
      </c>
      <c r="AB605" s="3">
        <v>50.0</v>
      </c>
      <c r="AC605" s="3">
        <v>42.0</v>
      </c>
      <c r="AD605" s="3">
        <v>43.0</v>
      </c>
      <c r="AE605" s="3">
        <v>47.0</v>
      </c>
      <c r="AF605" s="3">
        <v>53.0</v>
      </c>
      <c r="AG605" s="3">
        <v>38.0</v>
      </c>
      <c r="AH605" s="3">
        <v>54.0</v>
      </c>
      <c r="AI605" s="3">
        <v>55.0</v>
      </c>
      <c r="AJ605" s="3">
        <v>36.0</v>
      </c>
      <c r="AK605" s="3">
        <v>52.0</v>
      </c>
      <c r="AL605" s="3">
        <v>47.0</v>
      </c>
      <c r="AM605" s="3">
        <v>55.0</v>
      </c>
      <c r="AN605" s="3">
        <v>44.0</v>
      </c>
    </row>
    <row r="606" ht="14.25" customHeight="1">
      <c r="A606" s="3">
        <v>604.0</v>
      </c>
      <c r="B606" s="3" t="s">
        <v>7080</v>
      </c>
      <c r="C606" s="3">
        <v>27.0</v>
      </c>
      <c r="D606" s="3" t="s">
        <v>6645</v>
      </c>
      <c r="E606" s="3" t="s">
        <v>6646</v>
      </c>
      <c r="F606" s="3" t="s">
        <v>6646</v>
      </c>
      <c r="G606" s="3" t="s">
        <v>6645</v>
      </c>
      <c r="H606" s="3" t="s">
        <v>6645</v>
      </c>
      <c r="I606" s="3" t="s">
        <v>6645</v>
      </c>
      <c r="J606" s="3">
        <v>21.0</v>
      </c>
      <c r="K606" s="3">
        <v>2.0</v>
      </c>
      <c r="L606" s="3">
        <v>0.0</v>
      </c>
      <c r="M606" s="3">
        <v>0.0</v>
      </c>
      <c r="N606" s="3">
        <v>3220.3437</v>
      </c>
      <c r="O606" s="3">
        <v>423.0</v>
      </c>
      <c r="P606" s="3" t="e">
        <v>#N/A</v>
      </c>
      <c r="Q606" s="3">
        <v>46.0</v>
      </c>
      <c r="R606" s="3">
        <v>44.0</v>
      </c>
      <c r="S606" s="3">
        <v>42.0</v>
      </c>
      <c r="T606" s="3">
        <v>44.0</v>
      </c>
      <c r="U606" s="3">
        <v>41.0</v>
      </c>
      <c r="V606" s="3">
        <v>40.0</v>
      </c>
      <c r="W606" s="3">
        <v>45.0</v>
      </c>
      <c r="X606" s="3">
        <v>53.0</v>
      </c>
      <c r="Y606" s="3">
        <v>48.0</v>
      </c>
      <c r="Z606" s="3">
        <v>40.0</v>
      </c>
      <c r="AA606" s="3">
        <v>49.0</v>
      </c>
      <c r="AB606" s="3">
        <v>54.0</v>
      </c>
      <c r="AC606" s="3">
        <v>42.0</v>
      </c>
      <c r="AD606" s="3">
        <v>42.0</v>
      </c>
      <c r="AE606" s="3">
        <v>36.0</v>
      </c>
      <c r="AF606" s="3">
        <v>45.0</v>
      </c>
      <c r="AG606" s="3">
        <v>53.0</v>
      </c>
      <c r="AH606" s="3">
        <v>61.0</v>
      </c>
      <c r="AI606" s="3">
        <v>62.0</v>
      </c>
      <c r="AJ606" s="3">
        <v>34.0</v>
      </c>
      <c r="AK606" s="3">
        <v>46.0</v>
      </c>
      <c r="AL606" s="3">
        <v>51.0</v>
      </c>
      <c r="AM606" s="3">
        <v>44.0</v>
      </c>
      <c r="AN606" s="3">
        <v>34.0</v>
      </c>
    </row>
    <row r="607" ht="14.25" customHeight="1">
      <c r="A607" s="3">
        <v>605.0</v>
      </c>
      <c r="B607" s="3" t="s">
        <v>7081</v>
      </c>
      <c r="C607" s="3">
        <v>32.0</v>
      </c>
      <c r="D607" s="3" t="s">
        <v>6645</v>
      </c>
      <c r="E607" s="3" t="s">
        <v>6646</v>
      </c>
      <c r="F607" s="3" t="s">
        <v>6646</v>
      </c>
      <c r="G607" s="3" t="s">
        <v>6645</v>
      </c>
      <c r="H607" s="3" t="s">
        <v>6645</v>
      </c>
      <c r="I607" s="3" t="s">
        <v>6646</v>
      </c>
      <c r="J607" s="3">
        <v>21.0</v>
      </c>
      <c r="K607" s="3">
        <v>2.0</v>
      </c>
      <c r="L607" s="3">
        <v>0.0</v>
      </c>
      <c r="M607" s="3">
        <v>0.0</v>
      </c>
      <c r="N607" s="3">
        <v>3704.5817</v>
      </c>
      <c r="O607" s="3">
        <v>406.0</v>
      </c>
      <c r="P607" s="3" t="e">
        <v>#N/A</v>
      </c>
      <c r="Q607" s="3">
        <v>44.0</v>
      </c>
      <c r="R607" s="3">
        <v>43.0</v>
      </c>
      <c r="S607" s="3">
        <v>45.0</v>
      </c>
      <c r="T607" s="3">
        <v>48.0</v>
      </c>
      <c r="U607" s="3">
        <v>47.0</v>
      </c>
      <c r="V607" s="3">
        <v>48.0</v>
      </c>
      <c r="W607" s="3">
        <v>40.0</v>
      </c>
      <c r="X607" s="3">
        <v>56.0</v>
      </c>
      <c r="Y607" s="3">
        <v>42.0</v>
      </c>
      <c r="Z607" s="3">
        <v>42.0</v>
      </c>
      <c r="AA607" s="3">
        <v>39.0</v>
      </c>
      <c r="AB607" s="3">
        <v>48.0</v>
      </c>
      <c r="AC607" s="3">
        <v>42.0</v>
      </c>
      <c r="AD607" s="3">
        <v>45.0</v>
      </c>
      <c r="AE607" s="3">
        <v>41.0</v>
      </c>
      <c r="AF607" s="3">
        <v>45.0</v>
      </c>
      <c r="AG607" s="3">
        <v>50.0</v>
      </c>
      <c r="AH607" s="3">
        <v>49.0</v>
      </c>
      <c r="AI607" s="3">
        <v>35.0</v>
      </c>
      <c r="AJ607" s="3">
        <v>58.0</v>
      </c>
      <c r="AK607" s="3">
        <v>62.0</v>
      </c>
      <c r="AL607" s="3">
        <v>57.0</v>
      </c>
      <c r="AM607" s="3">
        <v>36.0</v>
      </c>
      <c r="AN607" s="3">
        <v>36.0</v>
      </c>
    </row>
    <row r="608" ht="14.25" customHeight="1">
      <c r="A608" s="3">
        <v>606.0</v>
      </c>
      <c r="B608" s="3" t="s">
        <v>7082</v>
      </c>
      <c r="C608" s="3">
        <v>29.0</v>
      </c>
      <c r="D608" s="3" t="s">
        <v>6645</v>
      </c>
      <c r="E608" s="3" t="s">
        <v>6646</v>
      </c>
      <c r="F608" s="3" t="s">
        <v>6646</v>
      </c>
      <c r="G608" s="3" t="s">
        <v>6645</v>
      </c>
      <c r="H608" s="3" t="s">
        <v>6645</v>
      </c>
      <c r="I608" s="3" t="s">
        <v>6646</v>
      </c>
      <c r="J608" s="3">
        <v>21.0</v>
      </c>
      <c r="K608" s="3">
        <v>1.0</v>
      </c>
      <c r="L608" s="3">
        <v>0.0</v>
      </c>
      <c r="M608" s="3">
        <v>0.0</v>
      </c>
      <c r="N608" s="3">
        <v>1195.866</v>
      </c>
      <c r="O608" s="3">
        <v>191.0</v>
      </c>
      <c r="P608" s="3" t="e">
        <v>#N/A</v>
      </c>
      <c r="Q608" s="3">
        <v>39.0</v>
      </c>
      <c r="R608" s="3">
        <v>41.0</v>
      </c>
      <c r="S608" s="3">
        <v>44.0</v>
      </c>
      <c r="T608" s="3">
        <v>35.0</v>
      </c>
      <c r="U608" s="3">
        <v>43.0</v>
      </c>
      <c r="V608" s="3">
        <v>35.0</v>
      </c>
      <c r="W608" s="3">
        <v>37.0</v>
      </c>
      <c r="X608" s="3">
        <v>46.0</v>
      </c>
      <c r="Y608" s="3">
        <v>28.0</v>
      </c>
      <c r="Z608" s="3">
        <v>35.0</v>
      </c>
      <c r="AA608" s="3">
        <v>43.0</v>
      </c>
      <c r="AB608" s="3">
        <v>44.0</v>
      </c>
      <c r="AC608" s="3">
        <v>44.0</v>
      </c>
      <c r="AD608" s="3">
        <v>41.0</v>
      </c>
      <c r="AE608" s="3">
        <v>40.0</v>
      </c>
      <c r="AF608" s="3">
        <v>35.0</v>
      </c>
      <c r="AG608" s="3">
        <v>42.0</v>
      </c>
      <c r="AH608" s="3">
        <v>36.0</v>
      </c>
      <c r="AI608" s="3">
        <v>43.0</v>
      </c>
      <c r="AJ608" s="3">
        <v>40.0</v>
      </c>
      <c r="AK608" s="3">
        <v>34.0</v>
      </c>
      <c r="AL608" s="3">
        <v>56.0</v>
      </c>
      <c r="AM608" s="3">
        <v>56.0</v>
      </c>
      <c r="AN608" s="3">
        <v>59.0</v>
      </c>
    </row>
    <row r="609" ht="14.25" customHeight="1">
      <c r="A609" s="3">
        <v>607.0</v>
      </c>
      <c r="B609" s="3" t="s">
        <v>7083</v>
      </c>
      <c r="C609" s="3">
        <v>23.0</v>
      </c>
      <c r="D609" s="3" t="s">
        <v>6645</v>
      </c>
      <c r="E609" s="3" t="s">
        <v>6646</v>
      </c>
      <c r="F609" s="3" t="s">
        <v>6646</v>
      </c>
      <c r="G609" s="3" t="s">
        <v>6645</v>
      </c>
      <c r="H609" s="3" t="s">
        <v>6645</v>
      </c>
      <c r="I609" s="3" t="s">
        <v>6645</v>
      </c>
      <c r="J609" s="3">
        <v>21.0</v>
      </c>
      <c r="K609" s="3">
        <v>1.0</v>
      </c>
      <c r="L609" s="3">
        <v>0.0</v>
      </c>
      <c r="M609" s="3">
        <v>0.0</v>
      </c>
      <c r="N609" s="3">
        <v>1094.1536</v>
      </c>
      <c r="O609" s="3">
        <v>192.0</v>
      </c>
      <c r="P609" s="3" t="e">
        <v>#N/A</v>
      </c>
      <c r="Q609" s="3">
        <v>36.0</v>
      </c>
      <c r="R609" s="3">
        <v>40.0</v>
      </c>
      <c r="S609" s="3">
        <v>39.0</v>
      </c>
      <c r="T609" s="3">
        <v>37.0</v>
      </c>
      <c r="U609" s="3">
        <v>43.0</v>
      </c>
      <c r="V609" s="3">
        <v>43.0</v>
      </c>
      <c r="W609" s="3">
        <v>32.0</v>
      </c>
      <c r="X609" s="3">
        <v>40.0</v>
      </c>
      <c r="Y609" s="3">
        <v>38.0</v>
      </c>
      <c r="Z609" s="3">
        <v>39.0</v>
      </c>
      <c r="AA609" s="3">
        <v>44.0</v>
      </c>
      <c r="AB609" s="3">
        <v>48.0</v>
      </c>
      <c r="AC609" s="3">
        <v>37.0</v>
      </c>
      <c r="AD609" s="3">
        <v>38.0</v>
      </c>
      <c r="AE609" s="3">
        <v>41.0</v>
      </c>
      <c r="AF609" s="3">
        <v>59.0</v>
      </c>
      <c r="AG609" s="3">
        <v>50.0</v>
      </c>
      <c r="AH609" s="3">
        <v>39.0</v>
      </c>
      <c r="AI609" s="3">
        <v>37.0</v>
      </c>
      <c r="AJ609" s="3">
        <v>44.0</v>
      </c>
      <c r="AK609" s="3">
        <v>36.0</v>
      </c>
      <c r="AL609" s="3">
        <v>47.0</v>
      </c>
      <c r="AM609" s="3">
        <v>41.0</v>
      </c>
      <c r="AN609" s="3">
        <v>48.0</v>
      </c>
    </row>
    <row r="610" ht="14.25" customHeight="1">
      <c r="A610" s="3">
        <v>608.0</v>
      </c>
      <c r="B610" s="3" t="s">
        <v>7084</v>
      </c>
      <c r="C610" s="3">
        <v>24.0</v>
      </c>
      <c r="D610" s="3" t="s">
        <v>6645</v>
      </c>
      <c r="E610" s="3" t="s">
        <v>6646</v>
      </c>
      <c r="F610" s="3" t="s">
        <v>6646</v>
      </c>
      <c r="G610" s="3" t="s">
        <v>6645</v>
      </c>
      <c r="H610" s="3" t="s">
        <v>6645</v>
      </c>
      <c r="I610" s="3" t="s">
        <v>6646</v>
      </c>
      <c r="J610" s="3">
        <v>21.0</v>
      </c>
      <c r="K610" s="3">
        <v>1.0</v>
      </c>
      <c r="L610" s="3">
        <v>0.0</v>
      </c>
      <c r="M610" s="3">
        <v>0.0</v>
      </c>
      <c r="N610" s="3">
        <v>1265.0867</v>
      </c>
      <c r="O610" s="3">
        <v>194.0</v>
      </c>
      <c r="P610" s="3" t="e">
        <v>#N/A</v>
      </c>
      <c r="Q610" s="3">
        <v>40.0</v>
      </c>
      <c r="R610" s="3">
        <v>43.0</v>
      </c>
      <c r="S610" s="3">
        <v>36.0</v>
      </c>
      <c r="T610" s="3">
        <v>35.0</v>
      </c>
      <c r="U610" s="3">
        <v>44.0</v>
      </c>
      <c r="V610" s="3">
        <v>39.0</v>
      </c>
      <c r="W610" s="3">
        <v>39.0</v>
      </c>
      <c r="X610" s="3">
        <v>43.0</v>
      </c>
      <c r="Y610" s="3">
        <v>37.0</v>
      </c>
      <c r="Z610" s="3">
        <v>43.0</v>
      </c>
      <c r="AA610" s="3">
        <v>39.0</v>
      </c>
      <c r="AB610" s="3">
        <v>41.0</v>
      </c>
      <c r="AC610" s="3">
        <v>43.0</v>
      </c>
      <c r="AD610" s="3">
        <v>40.0</v>
      </c>
      <c r="AE610" s="3">
        <v>31.0</v>
      </c>
      <c r="AF610" s="3">
        <v>56.0</v>
      </c>
      <c r="AG610" s="3">
        <v>37.0</v>
      </c>
      <c r="AH610" s="3">
        <v>55.0</v>
      </c>
      <c r="AI610" s="3">
        <v>45.0</v>
      </c>
      <c r="AJ610" s="3">
        <v>39.0</v>
      </c>
      <c r="AK610" s="3">
        <v>54.0</v>
      </c>
      <c r="AL610" s="3">
        <v>58.0</v>
      </c>
      <c r="AM610" s="3">
        <v>48.0</v>
      </c>
      <c r="AN610" s="3">
        <v>42.0</v>
      </c>
    </row>
    <row r="611" ht="14.25" customHeight="1">
      <c r="A611" s="3">
        <v>609.0</v>
      </c>
      <c r="B611" s="3" t="s">
        <v>7085</v>
      </c>
      <c r="C611" s="3">
        <v>24.0</v>
      </c>
      <c r="D611" s="3" t="s">
        <v>6645</v>
      </c>
      <c r="E611" s="3" t="s">
        <v>6646</v>
      </c>
      <c r="F611" s="3" t="s">
        <v>6646</v>
      </c>
      <c r="G611" s="3" t="s">
        <v>6645</v>
      </c>
      <c r="H611" s="3" t="s">
        <v>6645</v>
      </c>
      <c r="I611" s="3" t="s">
        <v>6645</v>
      </c>
      <c r="J611" s="3">
        <v>21.0</v>
      </c>
      <c r="K611" s="3">
        <v>1.0</v>
      </c>
      <c r="L611" s="3">
        <v>0.0</v>
      </c>
      <c r="M611" s="3">
        <v>0.0</v>
      </c>
      <c r="N611" s="3">
        <v>1402.8945</v>
      </c>
      <c r="O611" s="3">
        <v>208.0</v>
      </c>
      <c r="P611" s="3" t="e">
        <v>#N/A</v>
      </c>
      <c r="Q611" s="3">
        <v>44.0</v>
      </c>
      <c r="R611" s="3">
        <v>39.0</v>
      </c>
      <c r="S611" s="3">
        <v>37.0</v>
      </c>
      <c r="T611" s="3">
        <v>36.0</v>
      </c>
      <c r="U611" s="3">
        <v>44.0</v>
      </c>
      <c r="V611" s="3">
        <v>44.0</v>
      </c>
      <c r="W611" s="3">
        <v>36.0</v>
      </c>
      <c r="X611" s="3">
        <v>47.0</v>
      </c>
      <c r="Y611" s="3">
        <v>40.0</v>
      </c>
      <c r="Z611" s="3">
        <v>36.0</v>
      </c>
      <c r="AA611" s="3">
        <v>36.0</v>
      </c>
      <c r="AB611" s="3">
        <v>41.0</v>
      </c>
      <c r="AC611" s="3">
        <v>32.0</v>
      </c>
      <c r="AD611" s="3">
        <v>37.0</v>
      </c>
      <c r="AE611" s="3">
        <v>38.0</v>
      </c>
      <c r="AF611" s="3">
        <v>59.0</v>
      </c>
      <c r="AG611" s="3">
        <v>49.0</v>
      </c>
      <c r="AH611" s="3">
        <v>39.0</v>
      </c>
      <c r="AI611" s="3">
        <v>57.0</v>
      </c>
      <c r="AJ611" s="3">
        <v>37.0</v>
      </c>
      <c r="AK611" s="3">
        <v>41.0</v>
      </c>
      <c r="AL611" s="3">
        <v>46.0</v>
      </c>
      <c r="AM611" s="3">
        <v>44.0</v>
      </c>
      <c r="AN611" s="3">
        <v>51.0</v>
      </c>
    </row>
    <row r="612" ht="14.25" customHeight="1">
      <c r="A612" s="3">
        <v>610.0</v>
      </c>
      <c r="B612" s="3" t="s">
        <v>7086</v>
      </c>
      <c r="C612" s="3">
        <v>15.0</v>
      </c>
      <c r="D612" s="3" t="s">
        <v>6645</v>
      </c>
      <c r="E612" s="3" t="s">
        <v>6646</v>
      </c>
      <c r="F612" s="3" t="s">
        <v>6646</v>
      </c>
      <c r="G612" s="3" t="s">
        <v>6645</v>
      </c>
      <c r="H612" s="3" t="s">
        <v>6645</v>
      </c>
      <c r="I612" s="3" t="s">
        <v>6646</v>
      </c>
      <c r="J612" s="3">
        <v>21.0</v>
      </c>
      <c r="K612" s="3">
        <v>0.0</v>
      </c>
      <c r="L612" s="3">
        <v>0.0</v>
      </c>
      <c r="M612" s="3">
        <v>0.0</v>
      </c>
      <c r="N612" s="3">
        <v>506.16772</v>
      </c>
      <c r="O612" s="3">
        <v>96.0</v>
      </c>
      <c r="P612" s="3" t="e">
        <v>#N/A</v>
      </c>
      <c r="Q612" s="3">
        <v>31.0</v>
      </c>
      <c r="R612" s="3">
        <v>31.0</v>
      </c>
      <c r="S612" s="3">
        <v>32.0</v>
      </c>
      <c r="T612" s="3">
        <v>35.0</v>
      </c>
      <c r="U612" s="3">
        <v>30.0</v>
      </c>
      <c r="V612" s="3">
        <v>37.0</v>
      </c>
      <c r="W612" s="3">
        <v>33.0</v>
      </c>
      <c r="X612" s="3">
        <v>44.0</v>
      </c>
      <c r="Y612" s="3">
        <v>27.0</v>
      </c>
      <c r="Z612" s="3">
        <v>30.0</v>
      </c>
      <c r="AA612" s="3">
        <v>37.0</v>
      </c>
      <c r="AB612" s="3">
        <v>38.0</v>
      </c>
      <c r="AC612" s="3">
        <v>36.0</v>
      </c>
      <c r="AD612" s="3">
        <v>31.0</v>
      </c>
      <c r="AE612" s="3">
        <v>37.0</v>
      </c>
      <c r="AF612" s="3">
        <v>47.0</v>
      </c>
      <c r="AG612" s="3">
        <v>52.0</v>
      </c>
      <c r="AH612" s="3">
        <v>55.0</v>
      </c>
      <c r="AI612" s="3">
        <v>53.0</v>
      </c>
      <c r="AJ612" s="3">
        <v>55.0</v>
      </c>
      <c r="AK612" s="3">
        <v>52.0</v>
      </c>
      <c r="AL612" s="3">
        <v>59.0</v>
      </c>
      <c r="AM612" s="3">
        <v>41.0</v>
      </c>
      <c r="AN612" s="3">
        <v>37.0</v>
      </c>
    </row>
    <row r="613" ht="14.25" customHeight="1">
      <c r="A613" s="3">
        <v>611.0</v>
      </c>
      <c r="B613" s="3" t="s">
        <v>7087</v>
      </c>
      <c r="C613" s="3">
        <v>22.0</v>
      </c>
      <c r="D613" s="3" t="s">
        <v>6645</v>
      </c>
      <c r="E613" s="3" t="s">
        <v>6646</v>
      </c>
      <c r="F613" s="3" t="s">
        <v>6646</v>
      </c>
      <c r="G613" s="3" t="s">
        <v>6645</v>
      </c>
      <c r="H613" s="3" t="s">
        <v>6645</v>
      </c>
      <c r="I613" s="3" t="s">
        <v>6645</v>
      </c>
      <c r="J613" s="3">
        <v>21.0</v>
      </c>
      <c r="K613" s="3">
        <v>0.0</v>
      </c>
      <c r="L613" s="3">
        <v>0.0</v>
      </c>
      <c r="M613" s="3">
        <v>0.0</v>
      </c>
      <c r="N613" s="3">
        <v>455.21704</v>
      </c>
      <c r="O613" s="3">
        <v>75.0</v>
      </c>
      <c r="P613" s="3" t="e">
        <v>#N/A</v>
      </c>
      <c r="Q613" s="3">
        <v>31.0</v>
      </c>
      <c r="R613" s="3">
        <v>30.0</v>
      </c>
      <c r="S613" s="3">
        <v>34.0</v>
      </c>
      <c r="T613" s="3">
        <v>39.0</v>
      </c>
      <c r="U613" s="3">
        <v>39.0</v>
      </c>
      <c r="V613" s="3">
        <v>32.0</v>
      </c>
      <c r="W613" s="3">
        <v>36.0</v>
      </c>
      <c r="X613" s="3">
        <v>39.0</v>
      </c>
      <c r="Y613" s="3">
        <v>36.0</v>
      </c>
      <c r="Z613" s="3">
        <v>39.0</v>
      </c>
      <c r="AA613" s="3">
        <v>30.0</v>
      </c>
      <c r="AB613" s="3">
        <v>40.0</v>
      </c>
      <c r="AC613" s="3">
        <v>27.0</v>
      </c>
      <c r="AD613" s="3">
        <v>34.0</v>
      </c>
      <c r="AE613" s="3">
        <v>27.0</v>
      </c>
      <c r="AF613" s="3">
        <v>47.0</v>
      </c>
      <c r="AG613" s="3">
        <v>32.0</v>
      </c>
      <c r="AH613" s="3">
        <v>32.0</v>
      </c>
      <c r="AI613" s="3">
        <v>54.0</v>
      </c>
      <c r="AJ613" s="3">
        <v>36.0</v>
      </c>
      <c r="AK613" s="3">
        <v>53.0</v>
      </c>
      <c r="AL613" s="3">
        <v>39.0</v>
      </c>
      <c r="AM613" s="3">
        <v>43.0</v>
      </c>
      <c r="AN613" s="3">
        <v>44.0</v>
      </c>
    </row>
    <row r="614" ht="14.25" customHeight="1">
      <c r="A614" s="3">
        <v>612.0</v>
      </c>
      <c r="B614" s="3" t="s">
        <v>7088</v>
      </c>
      <c r="C614" s="3">
        <v>15.0</v>
      </c>
      <c r="D614" s="3" t="s">
        <v>6645</v>
      </c>
      <c r="E614" s="3" t="s">
        <v>6646</v>
      </c>
      <c r="F614" s="3" t="s">
        <v>6646</v>
      </c>
      <c r="G614" s="3" t="s">
        <v>6645</v>
      </c>
      <c r="H614" s="3" t="s">
        <v>6645</v>
      </c>
      <c r="I614" s="3" t="s">
        <v>6645</v>
      </c>
      <c r="J614" s="3">
        <v>21.0</v>
      </c>
      <c r="K614" s="3">
        <v>0.0</v>
      </c>
      <c r="L614" s="3">
        <v>0.0</v>
      </c>
      <c r="M614" s="3">
        <v>0.0</v>
      </c>
      <c r="N614" s="3">
        <v>409.67953</v>
      </c>
      <c r="O614" s="3">
        <v>94.0</v>
      </c>
      <c r="P614" s="3" t="e">
        <v>#N/A</v>
      </c>
      <c r="Q614" s="3">
        <v>30.0</v>
      </c>
      <c r="R614" s="3">
        <v>30.0</v>
      </c>
      <c r="S614" s="3">
        <v>37.0</v>
      </c>
      <c r="T614" s="3">
        <v>38.0</v>
      </c>
      <c r="U614" s="3">
        <v>39.0</v>
      </c>
      <c r="V614" s="3">
        <v>36.0</v>
      </c>
      <c r="W614" s="3">
        <v>39.0</v>
      </c>
      <c r="X614" s="3">
        <v>39.0</v>
      </c>
      <c r="Y614" s="3">
        <v>39.0</v>
      </c>
      <c r="Z614" s="3">
        <v>31.0</v>
      </c>
      <c r="AA614" s="3">
        <v>36.0</v>
      </c>
      <c r="AB614" s="3">
        <v>36.0</v>
      </c>
      <c r="AC614" s="3">
        <v>30.0</v>
      </c>
      <c r="AD614" s="3">
        <v>24.0</v>
      </c>
      <c r="AE614" s="3">
        <v>29.0</v>
      </c>
      <c r="AF614" s="3">
        <v>49.0</v>
      </c>
      <c r="AG614" s="3">
        <v>35.0</v>
      </c>
      <c r="AH614" s="3">
        <v>58.0</v>
      </c>
      <c r="AI614" s="3">
        <v>34.0</v>
      </c>
      <c r="AJ614" s="3">
        <v>39.0</v>
      </c>
      <c r="AK614" s="3">
        <v>54.0</v>
      </c>
      <c r="AL614" s="3">
        <v>41.0</v>
      </c>
      <c r="AM614" s="3">
        <v>42.0</v>
      </c>
      <c r="AN614" s="3">
        <v>36.0</v>
      </c>
    </row>
    <row r="615" ht="14.25" customHeight="1">
      <c r="A615" s="3">
        <v>613.0</v>
      </c>
      <c r="B615" s="3" t="s">
        <v>7089</v>
      </c>
      <c r="C615" s="3">
        <v>18.0</v>
      </c>
      <c r="D615" s="3" t="s">
        <v>6645</v>
      </c>
      <c r="E615" s="3" t="s">
        <v>6646</v>
      </c>
      <c r="F615" s="3" t="s">
        <v>6646</v>
      </c>
      <c r="G615" s="3" t="s">
        <v>6645</v>
      </c>
      <c r="H615" s="3" t="s">
        <v>6645</v>
      </c>
      <c r="I615" s="3" t="s">
        <v>6646</v>
      </c>
      <c r="J615" s="3">
        <v>21.0</v>
      </c>
      <c r="K615" s="3">
        <v>0.0</v>
      </c>
      <c r="L615" s="3">
        <v>0.0</v>
      </c>
      <c r="M615" s="3">
        <v>0.0</v>
      </c>
      <c r="N615" s="3">
        <v>457.22015</v>
      </c>
      <c r="O615" s="3">
        <v>76.0</v>
      </c>
      <c r="P615" s="3" t="e">
        <v>#N/A</v>
      </c>
      <c r="Q615" s="3">
        <v>39.0</v>
      </c>
      <c r="R615" s="3">
        <v>38.0</v>
      </c>
      <c r="S615" s="3">
        <v>32.0</v>
      </c>
      <c r="T615" s="3">
        <v>34.0</v>
      </c>
      <c r="U615" s="3">
        <v>36.0</v>
      </c>
      <c r="V615" s="3">
        <v>35.0</v>
      </c>
      <c r="W615" s="3">
        <v>30.0</v>
      </c>
      <c r="X615" s="3">
        <v>38.0</v>
      </c>
      <c r="Y615" s="3">
        <v>39.0</v>
      </c>
      <c r="Z615" s="3">
        <v>22.0</v>
      </c>
      <c r="AA615" s="3">
        <v>32.0</v>
      </c>
      <c r="AB615" s="3">
        <v>40.0</v>
      </c>
      <c r="AC615" s="3">
        <v>39.0</v>
      </c>
      <c r="AD615" s="3">
        <v>32.0</v>
      </c>
      <c r="AE615" s="3">
        <v>32.0</v>
      </c>
      <c r="AF615" s="3">
        <v>54.0</v>
      </c>
      <c r="AG615" s="3">
        <v>34.0</v>
      </c>
      <c r="AH615" s="3">
        <v>48.0</v>
      </c>
      <c r="AI615" s="3">
        <v>31.0</v>
      </c>
      <c r="AJ615" s="3">
        <v>42.0</v>
      </c>
      <c r="AK615" s="3">
        <v>55.0</v>
      </c>
      <c r="AL615" s="3">
        <v>38.0</v>
      </c>
      <c r="AM615" s="3">
        <v>33.0</v>
      </c>
      <c r="AN615" s="3">
        <v>45.0</v>
      </c>
    </row>
    <row r="616" ht="14.25" customHeight="1">
      <c r="A616" s="3">
        <v>614.0</v>
      </c>
      <c r="B616" s="3" t="s">
        <v>7090</v>
      </c>
      <c r="C616" s="3">
        <v>43.0</v>
      </c>
      <c r="D616" s="3" t="s">
        <v>6645</v>
      </c>
      <c r="E616" s="3" t="s">
        <v>6646</v>
      </c>
      <c r="F616" s="3" t="s">
        <v>6646</v>
      </c>
      <c r="G616" s="3" t="s">
        <v>6645</v>
      </c>
      <c r="H616" s="3" t="s">
        <v>6645</v>
      </c>
      <c r="I616" s="3" t="s">
        <v>6646</v>
      </c>
      <c r="J616" s="3">
        <v>22.0</v>
      </c>
      <c r="K616" s="3">
        <v>4.0</v>
      </c>
      <c r="L616" s="3">
        <v>0.0</v>
      </c>
      <c r="M616" s="3">
        <v>0.0</v>
      </c>
      <c r="N616" s="3">
        <v>7306.0922</v>
      </c>
      <c r="O616" s="3">
        <v>1750.0</v>
      </c>
      <c r="P616" s="3" t="e">
        <v>#N/A</v>
      </c>
      <c r="Q616" s="3">
        <v>59.0</v>
      </c>
      <c r="R616" s="3">
        <v>58.0</v>
      </c>
      <c r="S616" s="3">
        <v>60.0</v>
      </c>
      <c r="T616" s="3">
        <v>54.0</v>
      </c>
      <c r="U616" s="3">
        <v>61.0</v>
      </c>
      <c r="V616" s="3">
        <v>54.0</v>
      </c>
      <c r="W616" s="3">
        <v>51.0</v>
      </c>
      <c r="X616" s="3">
        <v>56.0</v>
      </c>
      <c r="Y616" s="3">
        <v>59.0</v>
      </c>
      <c r="Z616" s="3">
        <v>53.0</v>
      </c>
      <c r="AA616" s="3">
        <v>67.0</v>
      </c>
      <c r="AB616" s="3">
        <v>59.0</v>
      </c>
      <c r="AC616" s="3">
        <v>54.0</v>
      </c>
      <c r="AD616" s="3">
        <v>64.0</v>
      </c>
      <c r="AE616" s="3">
        <v>53.0</v>
      </c>
      <c r="AF616" s="3">
        <v>39.0</v>
      </c>
      <c r="AG616" s="3">
        <v>40.0</v>
      </c>
      <c r="AH616" s="3">
        <v>64.0</v>
      </c>
      <c r="AI616" s="3">
        <v>51.0</v>
      </c>
      <c r="AJ616" s="3">
        <v>47.0</v>
      </c>
      <c r="AK616" s="3">
        <v>58.0</v>
      </c>
      <c r="AL616" s="3">
        <v>64.0</v>
      </c>
      <c r="AM616" s="3">
        <v>48.0</v>
      </c>
      <c r="AN616" s="3">
        <v>45.0</v>
      </c>
    </row>
    <row r="617" ht="14.25" customHeight="1">
      <c r="A617" s="3">
        <v>615.0</v>
      </c>
      <c r="B617" s="3" t="s">
        <v>7091</v>
      </c>
      <c r="C617" s="3">
        <v>42.0</v>
      </c>
      <c r="D617" s="3" t="s">
        <v>6645</v>
      </c>
      <c r="E617" s="3" t="s">
        <v>6646</v>
      </c>
      <c r="F617" s="3" t="s">
        <v>6646</v>
      </c>
      <c r="G617" s="3" t="s">
        <v>6645</v>
      </c>
      <c r="H617" s="3" t="s">
        <v>6645</v>
      </c>
      <c r="I617" s="3" t="s">
        <v>6645</v>
      </c>
      <c r="J617" s="3">
        <v>22.0</v>
      </c>
      <c r="K617" s="3">
        <v>4.0</v>
      </c>
      <c r="L617" s="3">
        <v>0.0</v>
      </c>
      <c r="M617" s="3">
        <v>0.0</v>
      </c>
      <c r="N617" s="3">
        <v>8228.14</v>
      </c>
      <c r="O617" s="3">
        <v>1320.0</v>
      </c>
      <c r="P617" s="3" t="e">
        <v>#N/A</v>
      </c>
      <c r="Q617" s="3">
        <v>56.0</v>
      </c>
      <c r="R617" s="3">
        <v>59.0</v>
      </c>
      <c r="S617" s="3">
        <v>58.0</v>
      </c>
      <c r="T617" s="3">
        <v>58.0</v>
      </c>
      <c r="U617" s="3">
        <v>62.0</v>
      </c>
      <c r="V617" s="3">
        <v>59.0</v>
      </c>
      <c r="W617" s="3">
        <v>57.0</v>
      </c>
      <c r="X617" s="3">
        <v>50.0</v>
      </c>
      <c r="Y617" s="3">
        <v>61.0</v>
      </c>
      <c r="Z617" s="3">
        <v>59.0</v>
      </c>
      <c r="AA617" s="3">
        <v>72.0</v>
      </c>
      <c r="AB617" s="3">
        <v>52.0</v>
      </c>
      <c r="AC617" s="3">
        <v>56.0</v>
      </c>
      <c r="AD617" s="3">
        <v>68.0</v>
      </c>
      <c r="AE617" s="3">
        <v>48.0</v>
      </c>
      <c r="AF617" s="3">
        <v>39.0</v>
      </c>
      <c r="AG617" s="3">
        <v>45.0</v>
      </c>
      <c r="AH617" s="3">
        <v>39.0</v>
      </c>
      <c r="AI617" s="3">
        <v>57.0</v>
      </c>
      <c r="AJ617" s="3">
        <v>44.0</v>
      </c>
      <c r="AK617" s="3">
        <v>52.0</v>
      </c>
      <c r="AL617" s="3">
        <v>47.0</v>
      </c>
      <c r="AM617" s="3">
        <v>48.0</v>
      </c>
      <c r="AN617" s="3">
        <v>62.0</v>
      </c>
    </row>
    <row r="618" ht="14.25" customHeight="1">
      <c r="A618" s="3">
        <v>616.0</v>
      </c>
      <c r="B618" s="3" t="s">
        <v>7092</v>
      </c>
      <c r="C618" s="3">
        <v>34.0</v>
      </c>
      <c r="D618" s="3" t="s">
        <v>6645</v>
      </c>
      <c r="E618" s="3" t="s">
        <v>6646</v>
      </c>
      <c r="F618" s="3" t="s">
        <v>6646</v>
      </c>
      <c r="G618" s="3" t="s">
        <v>6645</v>
      </c>
      <c r="H618" s="3" t="s">
        <v>6645</v>
      </c>
      <c r="I618" s="3" t="s">
        <v>6646</v>
      </c>
      <c r="J618" s="3">
        <v>22.0</v>
      </c>
      <c r="K618" s="3">
        <v>3.0</v>
      </c>
      <c r="L618" s="3">
        <v>0.0</v>
      </c>
      <c r="M618" s="3">
        <v>0.0</v>
      </c>
      <c r="N618" s="3">
        <v>5567.6723</v>
      </c>
      <c r="O618" s="3">
        <v>666.0</v>
      </c>
      <c r="P618" s="3" t="e">
        <v>#N/A</v>
      </c>
      <c r="Q618" s="3">
        <v>46.0</v>
      </c>
      <c r="R618" s="3">
        <v>52.0</v>
      </c>
      <c r="S618" s="3">
        <v>50.0</v>
      </c>
      <c r="T618" s="3">
        <v>54.0</v>
      </c>
      <c r="U618" s="3">
        <v>53.0</v>
      </c>
      <c r="V618" s="3">
        <v>56.0</v>
      </c>
      <c r="W618" s="3">
        <v>48.0</v>
      </c>
      <c r="X618" s="3">
        <v>44.0</v>
      </c>
      <c r="Y618" s="3">
        <v>58.0</v>
      </c>
      <c r="Z618" s="3">
        <v>56.0</v>
      </c>
      <c r="AA618" s="3">
        <v>55.0</v>
      </c>
      <c r="AB618" s="3">
        <v>51.0</v>
      </c>
      <c r="AC618" s="3">
        <v>44.0</v>
      </c>
      <c r="AD618" s="3">
        <v>62.0</v>
      </c>
      <c r="AE618" s="3">
        <v>50.0</v>
      </c>
      <c r="AF618" s="3">
        <v>59.0</v>
      </c>
      <c r="AG618" s="3">
        <v>46.0</v>
      </c>
      <c r="AH618" s="3">
        <v>60.0</v>
      </c>
      <c r="AI618" s="3">
        <v>45.0</v>
      </c>
      <c r="AJ618" s="3">
        <v>51.0</v>
      </c>
      <c r="AK618" s="3">
        <v>53.0</v>
      </c>
      <c r="AL618" s="3">
        <v>60.0</v>
      </c>
      <c r="AM618" s="3">
        <v>46.0</v>
      </c>
      <c r="AN618" s="3">
        <v>55.0</v>
      </c>
    </row>
    <row r="619" ht="14.25" customHeight="1">
      <c r="A619" s="3">
        <v>617.0</v>
      </c>
      <c r="B619" s="3" t="s">
        <v>7093</v>
      </c>
      <c r="C619" s="3">
        <v>36.0</v>
      </c>
      <c r="D619" s="3" t="s">
        <v>6645</v>
      </c>
      <c r="E619" s="3" t="s">
        <v>6646</v>
      </c>
      <c r="F619" s="3" t="s">
        <v>6646</v>
      </c>
      <c r="G619" s="3" t="s">
        <v>6645</v>
      </c>
      <c r="H619" s="3" t="s">
        <v>6645</v>
      </c>
      <c r="I619" s="3" t="s">
        <v>6646</v>
      </c>
      <c r="J619" s="3">
        <v>22.0</v>
      </c>
      <c r="K619" s="3">
        <v>3.0</v>
      </c>
      <c r="L619" s="3">
        <v>0.0</v>
      </c>
      <c r="M619" s="3">
        <v>0.0</v>
      </c>
      <c r="N619" s="3">
        <v>5317.94</v>
      </c>
      <c r="O619" s="3">
        <v>647.0</v>
      </c>
      <c r="P619" s="3" t="e">
        <v>#N/A</v>
      </c>
      <c r="Q619" s="3">
        <v>50.0</v>
      </c>
      <c r="R619" s="3">
        <v>56.0</v>
      </c>
      <c r="S619" s="3">
        <v>50.0</v>
      </c>
      <c r="T619" s="3">
        <v>46.0</v>
      </c>
      <c r="U619" s="3">
        <v>53.0</v>
      </c>
      <c r="V619" s="3">
        <v>52.0</v>
      </c>
      <c r="W619" s="3">
        <v>49.0</v>
      </c>
      <c r="X619" s="3">
        <v>52.0</v>
      </c>
      <c r="Y619" s="3">
        <v>59.0</v>
      </c>
      <c r="Z619" s="3">
        <v>44.0</v>
      </c>
      <c r="AA619" s="3">
        <v>63.0</v>
      </c>
      <c r="AB619" s="3">
        <v>47.0</v>
      </c>
      <c r="AC619" s="3">
        <v>50.0</v>
      </c>
      <c r="AD619" s="3">
        <v>64.0</v>
      </c>
      <c r="AE619" s="3">
        <v>54.0</v>
      </c>
      <c r="AF619" s="3">
        <v>64.0</v>
      </c>
      <c r="AG619" s="3">
        <v>50.0</v>
      </c>
      <c r="AH619" s="3">
        <v>44.0</v>
      </c>
      <c r="AI619" s="3">
        <v>50.0</v>
      </c>
      <c r="AJ619" s="3">
        <v>57.0</v>
      </c>
      <c r="AK619" s="3">
        <v>66.0</v>
      </c>
      <c r="AL619" s="3">
        <v>50.0</v>
      </c>
      <c r="AM619" s="3">
        <v>57.0</v>
      </c>
      <c r="AN619" s="3">
        <v>57.0</v>
      </c>
    </row>
    <row r="620" ht="14.25" customHeight="1">
      <c r="A620" s="3">
        <v>618.0</v>
      </c>
      <c r="B620" s="3" t="s">
        <v>7094</v>
      </c>
      <c r="C620" s="3">
        <v>37.0</v>
      </c>
      <c r="D620" s="3" t="s">
        <v>6645</v>
      </c>
      <c r="E620" s="3" t="s">
        <v>6646</v>
      </c>
      <c r="F620" s="3" t="s">
        <v>6646</v>
      </c>
      <c r="G620" s="3" t="s">
        <v>6645</v>
      </c>
      <c r="H620" s="3" t="s">
        <v>6645</v>
      </c>
      <c r="I620" s="3" t="s">
        <v>6645</v>
      </c>
      <c r="J620" s="3">
        <v>22.0</v>
      </c>
      <c r="K620" s="3">
        <v>3.0</v>
      </c>
      <c r="L620" s="3">
        <v>0.0</v>
      </c>
      <c r="M620" s="3">
        <v>0.0</v>
      </c>
      <c r="N620" s="3">
        <v>5838.7343</v>
      </c>
      <c r="O620" s="3">
        <v>638.0</v>
      </c>
      <c r="P620" s="3" t="e">
        <v>#N/A</v>
      </c>
      <c r="Q620" s="3">
        <v>50.0</v>
      </c>
      <c r="R620" s="3">
        <v>54.0</v>
      </c>
      <c r="S620" s="3">
        <v>48.0</v>
      </c>
      <c r="T620" s="3">
        <v>54.0</v>
      </c>
      <c r="U620" s="3">
        <v>60.0</v>
      </c>
      <c r="V620" s="3">
        <v>48.0</v>
      </c>
      <c r="W620" s="3">
        <v>48.0</v>
      </c>
      <c r="X620" s="3">
        <v>50.0</v>
      </c>
      <c r="Y620" s="3">
        <v>59.0</v>
      </c>
      <c r="Z620" s="3">
        <v>51.0</v>
      </c>
      <c r="AA620" s="3">
        <v>59.0</v>
      </c>
      <c r="AB620" s="3">
        <v>46.0</v>
      </c>
      <c r="AC620" s="3">
        <v>47.0</v>
      </c>
      <c r="AD620" s="3">
        <v>57.0</v>
      </c>
      <c r="AE620" s="3">
        <v>56.0</v>
      </c>
      <c r="AF620" s="3">
        <v>45.0</v>
      </c>
      <c r="AG620" s="3">
        <v>47.0</v>
      </c>
      <c r="AH620" s="3">
        <v>64.0</v>
      </c>
      <c r="AI620" s="3">
        <v>42.0</v>
      </c>
      <c r="AJ620" s="3">
        <v>52.0</v>
      </c>
      <c r="AK620" s="3">
        <v>66.0</v>
      </c>
      <c r="AL620" s="3">
        <v>59.0</v>
      </c>
      <c r="AM620" s="3">
        <v>39.0</v>
      </c>
      <c r="AN620" s="3">
        <v>61.0</v>
      </c>
    </row>
    <row r="621" ht="14.25" customHeight="1">
      <c r="A621" s="3">
        <v>619.0</v>
      </c>
      <c r="B621" s="3" t="s">
        <v>7095</v>
      </c>
      <c r="C621" s="3">
        <v>25.0</v>
      </c>
      <c r="D621" s="3" t="s">
        <v>6645</v>
      </c>
      <c r="E621" s="3" t="s">
        <v>6646</v>
      </c>
      <c r="F621" s="3" t="s">
        <v>6646</v>
      </c>
      <c r="G621" s="3" t="s">
        <v>6645</v>
      </c>
      <c r="H621" s="3" t="s">
        <v>6645</v>
      </c>
      <c r="I621" s="3" t="s">
        <v>6645</v>
      </c>
      <c r="J621" s="3">
        <v>22.0</v>
      </c>
      <c r="K621" s="3">
        <v>2.0</v>
      </c>
      <c r="L621" s="3">
        <v>0.0</v>
      </c>
      <c r="M621" s="3">
        <v>0.0</v>
      </c>
      <c r="N621" s="3">
        <v>3255.2314</v>
      </c>
      <c r="O621" s="3">
        <v>428.0</v>
      </c>
      <c r="P621" s="3" t="e">
        <v>#N/A</v>
      </c>
      <c r="Q621" s="3">
        <v>46.0</v>
      </c>
      <c r="R621" s="3">
        <v>44.0</v>
      </c>
      <c r="S621" s="3">
        <v>43.0</v>
      </c>
      <c r="T621" s="3">
        <v>42.0</v>
      </c>
      <c r="U621" s="3">
        <v>48.0</v>
      </c>
      <c r="V621" s="3">
        <v>48.0</v>
      </c>
      <c r="W621" s="3">
        <v>36.0</v>
      </c>
      <c r="X621" s="3">
        <v>46.0</v>
      </c>
      <c r="Y621" s="3">
        <v>55.0</v>
      </c>
      <c r="Z621" s="3">
        <v>42.0</v>
      </c>
      <c r="AA621" s="3">
        <v>51.0</v>
      </c>
      <c r="AB621" s="3">
        <v>35.0</v>
      </c>
      <c r="AC621" s="3">
        <v>50.0</v>
      </c>
      <c r="AD621" s="3">
        <v>51.0</v>
      </c>
      <c r="AE621" s="3">
        <v>42.0</v>
      </c>
      <c r="AF621" s="3">
        <v>54.0</v>
      </c>
      <c r="AG621" s="3">
        <v>44.0</v>
      </c>
      <c r="AH621" s="3">
        <v>34.0</v>
      </c>
      <c r="AI621" s="3">
        <v>38.0</v>
      </c>
      <c r="AJ621" s="3">
        <v>58.0</v>
      </c>
      <c r="AK621" s="3">
        <v>40.0</v>
      </c>
      <c r="AL621" s="3">
        <v>36.0</v>
      </c>
      <c r="AM621" s="3">
        <v>62.0</v>
      </c>
      <c r="AN621" s="3">
        <v>40.0</v>
      </c>
    </row>
    <row r="622" ht="14.25" customHeight="1">
      <c r="A622" s="3">
        <v>620.0</v>
      </c>
      <c r="B622" s="3" t="s">
        <v>7096</v>
      </c>
      <c r="C622" s="3">
        <v>29.0</v>
      </c>
      <c r="D622" s="3" t="s">
        <v>6645</v>
      </c>
      <c r="E622" s="3" t="s">
        <v>6646</v>
      </c>
      <c r="F622" s="3" t="s">
        <v>6646</v>
      </c>
      <c r="G622" s="3" t="s">
        <v>6645</v>
      </c>
      <c r="H622" s="3" t="s">
        <v>6645</v>
      </c>
      <c r="I622" s="3" t="s">
        <v>6645</v>
      </c>
      <c r="J622" s="3">
        <v>22.0</v>
      </c>
      <c r="K622" s="3">
        <v>2.0</v>
      </c>
      <c r="L622" s="3">
        <v>0.0</v>
      </c>
      <c r="M622" s="3">
        <v>0.0</v>
      </c>
      <c r="N622" s="3">
        <v>3070.9545</v>
      </c>
      <c r="O622" s="3">
        <v>494.0</v>
      </c>
      <c r="P622" s="3" t="e">
        <v>#N/A</v>
      </c>
      <c r="Q622" s="3">
        <v>48.0</v>
      </c>
      <c r="R622" s="3">
        <v>47.0</v>
      </c>
      <c r="S622" s="3">
        <v>48.0</v>
      </c>
      <c r="T622" s="3">
        <v>43.0</v>
      </c>
      <c r="U622" s="3">
        <v>41.0</v>
      </c>
      <c r="V622" s="3">
        <v>47.0</v>
      </c>
      <c r="W622" s="3">
        <v>37.0</v>
      </c>
      <c r="X622" s="3">
        <v>39.0</v>
      </c>
      <c r="Y622" s="3">
        <v>57.0</v>
      </c>
      <c r="Z622" s="3">
        <v>46.0</v>
      </c>
      <c r="AA622" s="3">
        <v>55.0</v>
      </c>
      <c r="AB622" s="3">
        <v>35.0</v>
      </c>
      <c r="AC622" s="3">
        <v>48.0</v>
      </c>
      <c r="AD622" s="3">
        <v>52.0</v>
      </c>
      <c r="AE622" s="3">
        <v>42.0</v>
      </c>
      <c r="AF622" s="3">
        <v>50.0</v>
      </c>
      <c r="AG622" s="3">
        <v>48.0</v>
      </c>
      <c r="AH622" s="3">
        <v>42.0</v>
      </c>
      <c r="AI622" s="3">
        <v>56.0</v>
      </c>
      <c r="AJ622" s="3">
        <v>54.0</v>
      </c>
      <c r="AK622" s="3">
        <v>56.0</v>
      </c>
      <c r="AL622" s="3">
        <v>36.0</v>
      </c>
      <c r="AM622" s="3">
        <v>44.0</v>
      </c>
      <c r="AN622" s="3">
        <v>64.0</v>
      </c>
    </row>
    <row r="623" ht="14.25" customHeight="1">
      <c r="A623" s="3">
        <v>621.0</v>
      </c>
      <c r="B623" s="3" t="s">
        <v>7097</v>
      </c>
      <c r="C623" s="3">
        <v>26.0</v>
      </c>
      <c r="D623" s="3" t="s">
        <v>6645</v>
      </c>
      <c r="E623" s="3" t="s">
        <v>6646</v>
      </c>
      <c r="F623" s="3" t="s">
        <v>6646</v>
      </c>
      <c r="G623" s="3" t="s">
        <v>6645</v>
      </c>
      <c r="H623" s="3" t="s">
        <v>6645</v>
      </c>
      <c r="I623" s="3" t="s">
        <v>6646</v>
      </c>
      <c r="J623" s="3">
        <v>22.0</v>
      </c>
      <c r="K623" s="3">
        <v>2.0</v>
      </c>
      <c r="L623" s="3">
        <v>0.0</v>
      </c>
      <c r="M623" s="3">
        <v>0.0</v>
      </c>
      <c r="N623" s="3">
        <v>3211.6525</v>
      </c>
      <c r="O623" s="3">
        <v>345.0</v>
      </c>
      <c r="P623" s="3" t="e">
        <v>#N/A</v>
      </c>
      <c r="Q623" s="3">
        <v>46.0</v>
      </c>
      <c r="R623" s="3">
        <v>49.0</v>
      </c>
      <c r="S623" s="3">
        <v>50.0</v>
      </c>
      <c r="T623" s="3">
        <v>49.0</v>
      </c>
      <c r="U623" s="3">
        <v>42.0</v>
      </c>
      <c r="V623" s="3">
        <v>45.0</v>
      </c>
      <c r="W623" s="3">
        <v>45.0</v>
      </c>
      <c r="X623" s="3">
        <v>47.0</v>
      </c>
      <c r="Y623" s="3">
        <v>55.0</v>
      </c>
      <c r="Z623" s="3">
        <v>39.0</v>
      </c>
      <c r="AA623" s="3">
        <v>53.0</v>
      </c>
      <c r="AB623" s="3">
        <v>45.0</v>
      </c>
      <c r="AC623" s="3">
        <v>41.0</v>
      </c>
      <c r="AD623" s="3">
        <v>45.0</v>
      </c>
      <c r="AE623" s="3">
        <v>48.0</v>
      </c>
      <c r="AF623" s="3">
        <v>48.0</v>
      </c>
      <c r="AG623" s="3">
        <v>60.0</v>
      </c>
      <c r="AH623" s="3">
        <v>38.0</v>
      </c>
      <c r="AI623" s="3">
        <v>38.0</v>
      </c>
      <c r="AJ623" s="3">
        <v>42.0</v>
      </c>
      <c r="AK623" s="3">
        <v>42.0</v>
      </c>
      <c r="AL623" s="3">
        <v>40.0</v>
      </c>
      <c r="AM623" s="3">
        <v>52.0</v>
      </c>
      <c r="AN623" s="3">
        <v>34.0</v>
      </c>
    </row>
    <row r="624" ht="14.25" customHeight="1">
      <c r="A624" s="3">
        <v>622.0</v>
      </c>
      <c r="B624" s="3" t="s">
        <v>7098</v>
      </c>
      <c r="C624" s="3">
        <v>25.0</v>
      </c>
      <c r="D624" s="3" t="s">
        <v>6645</v>
      </c>
      <c r="E624" s="3" t="s">
        <v>6646</v>
      </c>
      <c r="F624" s="3" t="s">
        <v>6646</v>
      </c>
      <c r="G624" s="3" t="s">
        <v>6645</v>
      </c>
      <c r="H624" s="3" t="s">
        <v>6645</v>
      </c>
      <c r="I624" s="3" t="s">
        <v>6646</v>
      </c>
      <c r="J624" s="3">
        <v>22.0</v>
      </c>
      <c r="K624" s="3">
        <v>1.0</v>
      </c>
      <c r="L624" s="3">
        <v>0.0</v>
      </c>
      <c r="M624" s="3">
        <v>0.0</v>
      </c>
      <c r="N624" s="3">
        <v>1240.3475</v>
      </c>
      <c r="O624" s="3">
        <v>163.0</v>
      </c>
      <c r="P624" s="3" t="e">
        <v>#N/A</v>
      </c>
      <c r="Q624" s="3">
        <v>36.0</v>
      </c>
      <c r="R624" s="3">
        <v>38.0</v>
      </c>
      <c r="S624" s="3">
        <v>40.0</v>
      </c>
      <c r="T624" s="3">
        <v>42.0</v>
      </c>
      <c r="U624" s="3">
        <v>42.0</v>
      </c>
      <c r="V624" s="3">
        <v>36.0</v>
      </c>
      <c r="W624" s="3">
        <v>44.0</v>
      </c>
      <c r="X624" s="3">
        <v>29.0</v>
      </c>
      <c r="Y624" s="3">
        <v>47.0</v>
      </c>
      <c r="Z624" s="3">
        <v>36.0</v>
      </c>
      <c r="AA624" s="3">
        <v>53.0</v>
      </c>
      <c r="AB624" s="3">
        <v>33.0</v>
      </c>
      <c r="AC624" s="3">
        <v>37.0</v>
      </c>
      <c r="AD624" s="3">
        <v>47.0</v>
      </c>
      <c r="AE624" s="3">
        <v>38.0</v>
      </c>
      <c r="AF624" s="3">
        <v>35.0</v>
      </c>
      <c r="AG624" s="3">
        <v>58.0</v>
      </c>
      <c r="AH624" s="3">
        <v>40.0</v>
      </c>
      <c r="AI624" s="3">
        <v>33.0</v>
      </c>
      <c r="AJ624" s="3">
        <v>45.0</v>
      </c>
      <c r="AK624" s="3">
        <v>40.0</v>
      </c>
      <c r="AL624" s="3">
        <v>55.0</v>
      </c>
      <c r="AM624" s="3">
        <v>59.0</v>
      </c>
      <c r="AN624" s="3">
        <v>55.0</v>
      </c>
    </row>
    <row r="625" ht="14.25" customHeight="1">
      <c r="A625" s="3">
        <v>623.0</v>
      </c>
      <c r="B625" s="3" t="s">
        <v>7099</v>
      </c>
      <c r="C625" s="3">
        <v>20.0</v>
      </c>
      <c r="D625" s="3" t="s">
        <v>6645</v>
      </c>
      <c r="E625" s="3" t="s">
        <v>6646</v>
      </c>
      <c r="F625" s="3" t="s">
        <v>6646</v>
      </c>
      <c r="G625" s="3" t="s">
        <v>6645</v>
      </c>
      <c r="H625" s="3" t="s">
        <v>6645</v>
      </c>
      <c r="I625" s="3" t="s">
        <v>6646</v>
      </c>
      <c r="J625" s="3">
        <v>22.0</v>
      </c>
      <c r="K625" s="3">
        <v>1.0</v>
      </c>
      <c r="L625" s="3">
        <v>0.0</v>
      </c>
      <c r="M625" s="3">
        <v>0.0</v>
      </c>
      <c r="N625" s="3">
        <v>1182.6804</v>
      </c>
      <c r="O625" s="3">
        <v>199.0</v>
      </c>
      <c r="P625" s="3" t="e">
        <v>#N/A</v>
      </c>
      <c r="Q625" s="3">
        <v>40.0</v>
      </c>
      <c r="R625" s="3">
        <v>36.0</v>
      </c>
      <c r="S625" s="3">
        <v>40.0</v>
      </c>
      <c r="T625" s="3">
        <v>42.0</v>
      </c>
      <c r="U625" s="3">
        <v>42.0</v>
      </c>
      <c r="V625" s="3">
        <v>44.0</v>
      </c>
      <c r="W625" s="3">
        <v>31.0</v>
      </c>
      <c r="X625" s="3">
        <v>38.0</v>
      </c>
      <c r="Y625" s="3">
        <v>43.0</v>
      </c>
      <c r="Z625" s="3">
        <v>37.0</v>
      </c>
      <c r="AA625" s="3">
        <v>53.0</v>
      </c>
      <c r="AB625" s="3">
        <v>31.0</v>
      </c>
      <c r="AC625" s="3">
        <v>44.0</v>
      </c>
      <c r="AD625" s="3">
        <v>43.0</v>
      </c>
      <c r="AE625" s="3">
        <v>36.0</v>
      </c>
      <c r="AF625" s="3">
        <v>39.0</v>
      </c>
      <c r="AG625" s="3">
        <v>42.0</v>
      </c>
      <c r="AH625" s="3">
        <v>55.0</v>
      </c>
      <c r="AI625" s="3">
        <v>59.0</v>
      </c>
      <c r="AJ625" s="3">
        <v>37.0</v>
      </c>
      <c r="AK625" s="3">
        <v>44.0</v>
      </c>
      <c r="AL625" s="3">
        <v>48.0</v>
      </c>
      <c r="AM625" s="3">
        <v>53.0</v>
      </c>
      <c r="AN625" s="3">
        <v>48.0</v>
      </c>
    </row>
    <row r="626" ht="14.25" customHeight="1">
      <c r="A626" s="3">
        <v>624.0</v>
      </c>
      <c r="B626" s="3" t="s">
        <v>7100</v>
      </c>
      <c r="C626" s="3">
        <v>27.0</v>
      </c>
      <c r="D626" s="3" t="s">
        <v>6645</v>
      </c>
      <c r="E626" s="3" t="s">
        <v>6646</v>
      </c>
      <c r="F626" s="3" t="s">
        <v>6646</v>
      </c>
      <c r="G626" s="3" t="s">
        <v>6645</v>
      </c>
      <c r="H626" s="3" t="s">
        <v>6645</v>
      </c>
      <c r="I626" s="3" t="s">
        <v>6645</v>
      </c>
      <c r="J626" s="3">
        <v>22.0</v>
      </c>
      <c r="K626" s="3">
        <v>1.0</v>
      </c>
      <c r="L626" s="3">
        <v>0.0</v>
      </c>
      <c r="M626" s="3">
        <v>0.0</v>
      </c>
      <c r="N626" s="3">
        <v>1359.74</v>
      </c>
      <c r="O626" s="3">
        <v>229.0</v>
      </c>
      <c r="P626" s="3" t="e">
        <v>#N/A</v>
      </c>
      <c r="Q626" s="3">
        <v>44.0</v>
      </c>
      <c r="R626" s="3">
        <v>42.0</v>
      </c>
      <c r="S626" s="3">
        <v>44.0</v>
      </c>
      <c r="T626" s="3">
        <v>38.0</v>
      </c>
      <c r="U626" s="3">
        <v>42.0</v>
      </c>
      <c r="V626" s="3">
        <v>42.0</v>
      </c>
      <c r="W626" s="3">
        <v>40.0</v>
      </c>
      <c r="X626" s="3">
        <v>34.0</v>
      </c>
      <c r="Y626" s="3">
        <v>43.0</v>
      </c>
      <c r="Z626" s="3">
        <v>30.0</v>
      </c>
      <c r="AA626" s="3">
        <v>42.0</v>
      </c>
      <c r="AB626" s="3">
        <v>38.0</v>
      </c>
      <c r="AC626" s="3">
        <v>40.0</v>
      </c>
      <c r="AD626" s="3">
        <v>48.0</v>
      </c>
      <c r="AE626" s="3">
        <v>33.0</v>
      </c>
      <c r="AF626" s="3">
        <v>50.0</v>
      </c>
      <c r="AG626" s="3">
        <v>43.0</v>
      </c>
      <c r="AH626" s="3">
        <v>57.0</v>
      </c>
      <c r="AI626" s="3">
        <v>42.0</v>
      </c>
      <c r="AJ626" s="3">
        <v>48.0</v>
      </c>
      <c r="AK626" s="3">
        <v>59.0</v>
      </c>
      <c r="AL626" s="3">
        <v>56.0</v>
      </c>
      <c r="AM626" s="3">
        <v>48.0</v>
      </c>
      <c r="AN626" s="3">
        <v>34.0</v>
      </c>
    </row>
    <row r="627" ht="14.25" customHeight="1">
      <c r="A627" s="3">
        <v>625.0</v>
      </c>
      <c r="B627" s="3" t="s">
        <v>7101</v>
      </c>
      <c r="C627" s="3">
        <v>21.0</v>
      </c>
      <c r="D627" s="3" t="s">
        <v>6645</v>
      </c>
      <c r="E627" s="3" t="s">
        <v>6646</v>
      </c>
      <c r="F627" s="3" t="s">
        <v>6646</v>
      </c>
      <c r="G627" s="3" t="s">
        <v>6645</v>
      </c>
      <c r="H627" s="3" t="s">
        <v>6645</v>
      </c>
      <c r="I627" s="3" t="s">
        <v>6645</v>
      </c>
      <c r="J627" s="3">
        <v>22.0</v>
      </c>
      <c r="K627" s="3">
        <v>1.0</v>
      </c>
      <c r="L627" s="3">
        <v>0.0</v>
      </c>
      <c r="M627" s="3">
        <v>0.0</v>
      </c>
      <c r="N627" s="3">
        <v>1230.7515</v>
      </c>
      <c r="O627" s="3">
        <v>168.0</v>
      </c>
      <c r="P627" s="3" t="e">
        <v>#N/A</v>
      </c>
      <c r="Q627" s="3">
        <v>38.0</v>
      </c>
      <c r="R627" s="3">
        <v>40.0</v>
      </c>
      <c r="S627" s="3">
        <v>38.0</v>
      </c>
      <c r="T627" s="3">
        <v>36.0</v>
      </c>
      <c r="U627" s="3">
        <v>44.0</v>
      </c>
      <c r="V627" s="3">
        <v>40.0</v>
      </c>
      <c r="W627" s="3">
        <v>38.0</v>
      </c>
      <c r="X627" s="3">
        <v>33.0</v>
      </c>
      <c r="Y627" s="3">
        <v>47.0</v>
      </c>
      <c r="Z627" s="3">
        <v>35.0</v>
      </c>
      <c r="AA627" s="3">
        <v>48.0</v>
      </c>
      <c r="AB627" s="3">
        <v>36.0</v>
      </c>
      <c r="AC627" s="3">
        <v>38.0</v>
      </c>
      <c r="AD627" s="3">
        <v>47.0</v>
      </c>
      <c r="AE627" s="3">
        <v>38.0</v>
      </c>
      <c r="AF627" s="3">
        <v>55.0</v>
      </c>
      <c r="AG627" s="3">
        <v>60.0</v>
      </c>
      <c r="AH627" s="3">
        <v>55.0</v>
      </c>
      <c r="AI627" s="3">
        <v>44.0</v>
      </c>
      <c r="AJ627" s="3">
        <v>56.0</v>
      </c>
      <c r="AK627" s="3">
        <v>58.0</v>
      </c>
      <c r="AL627" s="3">
        <v>57.0</v>
      </c>
      <c r="AM627" s="3">
        <v>36.0</v>
      </c>
      <c r="AN627" s="3">
        <v>46.0</v>
      </c>
    </row>
    <row r="628" ht="14.25" customHeight="1">
      <c r="A628" s="3">
        <v>626.0</v>
      </c>
      <c r="B628" s="3" t="s">
        <v>7102</v>
      </c>
      <c r="C628" s="3">
        <v>24.0</v>
      </c>
      <c r="D628" s="3" t="s">
        <v>6645</v>
      </c>
      <c r="E628" s="3" t="s">
        <v>6646</v>
      </c>
      <c r="F628" s="3" t="s">
        <v>6646</v>
      </c>
      <c r="G628" s="3" t="s">
        <v>6645</v>
      </c>
      <c r="H628" s="3" t="s">
        <v>6645</v>
      </c>
      <c r="I628" s="3" t="s">
        <v>6646</v>
      </c>
      <c r="J628" s="3">
        <v>22.0</v>
      </c>
      <c r="K628" s="3">
        <v>0.0</v>
      </c>
      <c r="L628" s="3">
        <v>0.0</v>
      </c>
      <c r="M628" s="3">
        <v>0.0</v>
      </c>
      <c r="N628" s="3">
        <v>467.85491</v>
      </c>
      <c r="O628" s="3">
        <v>105.0</v>
      </c>
      <c r="P628" s="3" t="e">
        <v>#N/A</v>
      </c>
      <c r="Q628" s="3">
        <v>33.0</v>
      </c>
      <c r="R628" s="3">
        <v>33.0</v>
      </c>
      <c r="S628" s="3">
        <v>36.0</v>
      </c>
      <c r="T628" s="3">
        <v>38.0</v>
      </c>
      <c r="U628" s="3">
        <v>30.0</v>
      </c>
      <c r="V628" s="3">
        <v>35.0</v>
      </c>
      <c r="W628" s="3">
        <v>36.0</v>
      </c>
      <c r="X628" s="3">
        <v>29.0</v>
      </c>
      <c r="Y628" s="3">
        <v>44.0</v>
      </c>
      <c r="Z628" s="3">
        <v>26.0</v>
      </c>
      <c r="AA628" s="3">
        <v>47.0</v>
      </c>
      <c r="AB628" s="3">
        <v>33.0</v>
      </c>
      <c r="AC628" s="3">
        <v>31.0</v>
      </c>
      <c r="AD628" s="3">
        <v>49.0</v>
      </c>
      <c r="AE628" s="3">
        <v>27.0</v>
      </c>
      <c r="AF628" s="3">
        <v>41.0</v>
      </c>
      <c r="AG628" s="3">
        <v>33.0</v>
      </c>
      <c r="AH628" s="3">
        <v>44.0</v>
      </c>
      <c r="AI628" s="3">
        <v>37.0</v>
      </c>
      <c r="AJ628" s="3">
        <v>54.0</v>
      </c>
      <c r="AK628" s="3">
        <v>34.0</v>
      </c>
      <c r="AL628" s="3">
        <v>39.0</v>
      </c>
      <c r="AM628" s="3">
        <v>51.0</v>
      </c>
      <c r="AN628" s="3">
        <v>39.0</v>
      </c>
    </row>
    <row r="629" ht="14.25" customHeight="1">
      <c r="A629" s="3">
        <v>627.0</v>
      </c>
      <c r="B629" s="3" t="s">
        <v>7103</v>
      </c>
      <c r="C629" s="3">
        <v>24.0</v>
      </c>
      <c r="D629" s="3" t="s">
        <v>6645</v>
      </c>
      <c r="E629" s="3" t="s">
        <v>6646</v>
      </c>
      <c r="F629" s="3" t="s">
        <v>6646</v>
      </c>
      <c r="G629" s="3" t="s">
        <v>6645</v>
      </c>
      <c r="H629" s="3" t="s">
        <v>6645</v>
      </c>
      <c r="I629" s="3" t="s">
        <v>6645</v>
      </c>
      <c r="J629" s="3">
        <v>22.0</v>
      </c>
      <c r="K629" s="3">
        <v>0.0</v>
      </c>
      <c r="L629" s="3">
        <v>0.0</v>
      </c>
      <c r="M629" s="3">
        <v>0.0</v>
      </c>
      <c r="N629" s="3">
        <v>460.79678</v>
      </c>
      <c r="O629" s="3">
        <v>122.0</v>
      </c>
      <c r="P629" s="3" t="e">
        <v>#N/A</v>
      </c>
      <c r="Q629" s="3">
        <v>31.0</v>
      </c>
      <c r="R629" s="3">
        <v>39.0</v>
      </c>
      <c r="S629" s="3">
        <v>38.0</v>
      </c>
      <c r="T629" s="3">
        <v>33.0</v>
      </c>
      <c r="U629" s="3">
        <v>31.0</v>
      </c>
      <c r="V629" s="3">
        <v>35.0</v>
      </c>
      <c r="W629" s="3">
        <v>36.0</v>
      </c>
      <c r="X629" s="3">
        <v>37.0</v>
      </c>
      <c r="Y629" s="3">
        <v>44.0</v>
      </c>
      <c r="Z629" s="3">
        <v>33.0</v>
      </c>
      <c r="AA629" s="3">
        <v>45.0</v>
      </c>
      <c r="AB629" s="3">
        <v>37.0</v>
      </c>
      <c r="AC629" s="3">
        <v>30.0</v>
      </c>
      <c r="AD629" s="3">
        <v>41.0</v>
      </c>
      <c r="AE629" s="3">
        <v>23.0</v>
      </c>
      <c r="AF629" s="3">
        <v>58.0</v>
      </c>
      <c r="AG629" s="3">
        <v>58.0</v>
      </c>
      <c r="AH629" s="3">
        <v>53.0</v>
      </c>
      <c r="AI629" s="3">
        <v>48.0</v>
      </c>
      <c r="AJ629" s="3">
        <v>34.0</v>
      </c>
      <c r="AK629" s="3">
        <v>35.0</v>
      </c>
      <c r="AL629" s="3">
        <v>48.0</v>
      </c>
      <c r="AM629" s="3">
        <v>36.0</v>
      </c>
      <c r="AN629" s="3">
        <v>49.0</v>
      </c>
    </row>
    <row r="630" ht="14.25" customHeight="1">
      <c r="A630" s="3">
        <v>628.0</v>
      </c>
      <c r="B630" s="3" t="s">
        <v>7104</v>
      </c>
      <c r="C630" s="3">
        <v>16.0</v>
      </c>
      <c r="D630" s="3" t="s">
        <v>6645</v>
      </c>
      <c r="E630" s="3" t="s">
        <v>6646</v>
      </c>
      <c r="F630" s="3" t="s">
        <v>6646</v>
      </c>
      <c r="G630" s="3" t="s">
        <v>6645</v>
      </c>
      <c r="H630" s="3" t="s">
        <v>6645</v>
      </c>
      <c r="I630" s="3" t="s">
        <v>6645</v>
      </c>
      <c r="J630" s="3">
        <v>22.0</v>
      </c>
      <c r="K630" s="3">
        <v>0.0</v>
      </c>
      <c r="L630" s="3">
        <v>0.0</v>
      </c>
      <c r="M630" s="3">
        <v>0.0</v>
      </c>
      <c r="N630" s="3">
        <v>555.273</v>
      </c>
      <c r="O630" s="3">
        <v>103.0</v>
      </c>
      <c r="P630" s="3" t="e">
        <v>#N/A</v>
      </c>
      <c r="Q630" s="3">
        <v>30.0</v>
      </c>
      <c r="R630" s="3">
        <v>38.0</v>
      </c>
      <c r="S630" s="3">
        <v>34.0</v>
      </c>
      <c r="T630" s="3">
        <v>38.0</v>
      </c>
      <c r="U630" s="3">
        <v>34.0</v>
      </c>
      <c r="V630" s="3">
        <v>34.0</v>
      </c>
      <c r="W630" s="3">
        <v>28.0</v>
      </c>
      <c r="X630" s="3">
        <v>26.0</v>
      </c>
      <c r="Y630" s="3">
        <v>40.0</v>
      </c>
      <c r="Z630" s="3">
        <v>34.0</v>
      </c>
      <c r="AA630" s="3">
        <v>40.0</v>
      </c>
      <c r="AB630" s="3">
        <v>31.0</v>
      </c>
      <c r="AC630" s="3">
        <v>22.0</v>
      </c>
      <c r="AD630" s="3">
        <v>48.0</v>
      </c>
      <c r="AE630" s="3">
        <v>33.0</v>
      </c>
      <c r="AF630" s="3">
        <v>58.0</v>
      </c>
      <c r="AG630" s="3">
        <v>54.0</v>
      </c>
      <c r="AH630" s="3">
        <v>46.0</v>
      </c>
      <c r="AI630" s="3">
        <v>37.0</v>
      </c>
      <c r="AJ630" s="3">
        <v>51.0</v>
      </c>
      <c r="AK630" s="3">
        <v>42.0</v>
      </c>
      <c r="AL630" s="3">
        <v>55.0</v>
      </c>
      <c r="AM630" s="3">
        <v>55.0</v>
      </c>
      <c r="AN630" s="3">
        <v>39.0</v>
      </c>
    </row>
    <row r="631" ht="14.25" customHeight="1">
      <c r="A631" s="3">
        <v>629.0</v>
      </c>
      <c r="B631" s="3" t="s">
        <v>7105</v>
      </c>
      <c r="C631" s="3">
        <v>21.0</v>
      </c>
      <c r="D631" s="3" t="s">
        <v>6645</v>
      </c>
      <c r="E631" s="3" t="s">
        <v>6646</v>
      </c>
      <c r="F631" s="3" t="s">
        <v>6646</v>
      </c>
      <c r="G631" s="3" t="s">
        <v>6645</v>
      </c>
      <c r="H631" s="3" t="s">
        <v>6645</v>
      </c>
      <c r="I631" s="3" t="s">
        <v>6645</v>
      </c>
      <c r="J631" s="3">
        <v>22.0</v>
      </c>
      <c r="K631" s="3">
        <v>0.0</v>
      </c>
      <c r="L631" s="3">
        <v>0.0</v>
      </c>
      <c r="M631" s="3">
        <v>0.0</v>
      </c>
      <c r="N631" s="3">
        <v>465.78094</v>
      </c>
      <c r="O631" s="3">
        <v>109.0</v>
      </c>
      <c r="P631" s="3" t="e">
        <v>#N/A</v>
      </c>
      <c r="Q631" s="3">
        <v>37.0</v>
      </c>
      <c r="R631" s="3">
        <v>31.0</v>
      </c>
      <c r="S631" s="3">
        <v>36.0</v>
      </c>
      <c r="T631" s="3">
        <v>31.0</v>
      </c>
      <c r="U631" s="3">
        <v>35.0</v>
      </c>
      <c r="V631" s="3">
        <v>31.0</v>
      </c>
      <c r="W631" s="3">
        <v>24.0</v>
      </c>
      <c r="X631" s="3">
        <v>28.0</v>
      </c>
      <c r="Y631" s="3">
        <v>36.0</v>
      </c>
      <c r="Z631" s="3">
        <v>38.0</v>
      </c>
      <c r="AA631" s="3">
        <v>44.0</v>
      </c>
      <c r="AB631" s="3">
        <v>36.0</v>
      </c>
      <c r="AC631" s="3">
        <v>33.0</v>
      </c>
      <c r="AD631" s="3">
        <v>38.0</v>
      </c>
      <c r="AE631" s="3">
        <v>30.0</v>
      </c>
      <c r="AF631" s="3">
        <v>41.0</v>
      </c>
      <c r="AG631" s="3">
        <v>31.0</v>
      </c>
      <c r="AH631" s="3">
        <v>38.0</v>
      </c>
      <c r="AI631" s="3">
        <v>41.0</v>
      </c>
      <c r="AJ631" s="3">
        <v>32.0</v>
      </c>
      <c r="AK631" s="3">
        <v>55.0</v>
      </c>
      <c r="AL631" s="3">
        <v>55.0</v>
      </c>
      <c r="AM631" s="3">
        <v>52.0</v>
      </c>
      <c r="AN631" s="3">
        <v>58.0</v>
      </c>
    </row>
    <row r="632" ht="14.25" customHeight="1">
      <c r="A632" s="3">
        <v>630.0</v>
      </c>
      <c r="B632" s="3" t="s">
        <v>7106</v>
      </c>
      <c r="C632" s="3">
        <v>42.0</v>
      </c>
      <c r="D632" s="3" t="s">
        <v>6645</v>
      </c>
      <c r="E632" s="3" t="s">
        <v>6646</v>
      </c>
      <c r="F632" s="3" t="s">
        <v>6646</v>
      </c>
      <c r="G632" s="3" t="s">
        <v>6645</v>
      </c>
      <c r="H632" s="3" t="s">
        <v>6645</v>
      </c>
      <c r="I632" s="3" t="s">
        <v>6646</v>
      </c>
      <c r="J632" s="3">
        <v>23.0</v>
      </c>
      <c r="K632" s="3">
        <v>4.0</v>
      </c>
      <c r="L632" s="3">
        <v>0.0</v>
      </c>
      <c r="M632" s="3">
        <v>0.0</v>
      </c>
      <c r="N632" s="3">
        <v>7884.57</v>
      </c>
      <c r="O632" s="3">
        <v>1894.0</v>
      </c>
      <c r="P632" s="3" t="e">
        <v>#N/A</v>
      </c>
      <c r="Q632" s="3">
        <v>51.0</v>
      </c>
      <c r="R632" s="3">
        <v>59.0</v>
      </c>
      <c r="S632" s="3">
        <v>50.0</v>
      </c>
      <c r="T632" s="3">
        <v>53.0</v>
      </c>
      <c r="U632" s="3">
        <v>51.0</v>
      </c>
      <c r="V632" s="3">
        <v>55.0</v>
      </c>
      <c r="W632" s="3">
        <v>52.0</v>
      </c>
      <c r="X632" s="3">
        <v>55.0</v>
      </c>
      <c r="Y632" s="3">
        <v>64.0</v>
      </c>
      <c r="Z632" s="3">
        <v>52.0</v>
      </c>
      <c r="AA632" s="3">
        <v>50.0</v>
      </c>
      <c r="AB632" s="3">
        <v>68.0</v>
      </c>
      <c r="AC632" s="3">
        <v>57.0</v>
      </c>
      <c r="AD632" s="3">
        <v>51.0</v>
      </c>
      <c r="AE632" s="3">
        <v>57.0</v>
      </c>
      <c r="AF632" s="3">
        <v>47.0</v>
      </c>
      <c r="AG632" s="3">
        <v>66.0</v>
      </c>
      <c r="AH632" s="3">
        <v>40.0</v>
      </c>
      <c r="AI632" s="3">
        <v>60.0</v>
      </c>
      <c r="AJ632" s="3">
        <v>67.0</v>
      </c>
      <c r="AK632" s="3">
        <v>49.0</v>
      </c>
      <c r="AL632" s="3">
        <v>51.0</v>
      </c>
      <c r="AM632" s="3">
        <v>38.0</v>
      </c>
      <c r="AN632" s="3">
        <v>45.0</v>
      </c>
    </row>
    <row r="633" ht="14.25" customHeight="1">
      <c r="A633" s="3">
        <v>631.0</v>
      </c>
      <c r="B633" s="3" t="s">
        <v>7107</v>
      </c>
      <c r="C633" s="3">
        <v>39.0</v>
      </c>
      <c r="D633" s="3" t="s">
        <v>6645</v>
      </c>
      <c r="E633" s="3" t="s">
        <v>6646</v>
      </c>
      <c r="F633" s="3" t="s">
        <v>6646</v>
      </c>
      <c r="G633" s="3" t="s">
        <v>6645</v>
      </c>
      <c r="H633" s="3" t="s">
        <v>6645</v>
      </c>
      <c r="I633" s="3" t="s">
        <v>6645</v>
      </c>
      <c r="J633" s="3">
        <v>23.0</v>
      </c>
      <c r="K633" s="3">
        <v>4.0</v>
      </c>
      <c r="L633" s="3">
        <v>0.0</v>
      </c>
      <c r="M633" s="3">
        <v>0.0</v>
      </c>
      <c r="N633" s="3">
        <v>7160.29</v>
      </c>
      <c r="O633" s="3">
        <v>1465.0</v>
      </c>
      <c r="P633" s="3" t="e">
        <v>#N/A</v>
      </c>
      <c r="Q633" s="3">
        <v>50.0</v>
      </c>
      <c r="R633" s="3">
        <v>55.0</v>
      </c>
      <c r="S633" s="3">
        <v>56.0</v>
      </c>
      <c r="T633" s="3">
        <v>54.0</v>
      </c>
      <c r="U633" s="3">
        <v>52.0</v>
      </c>
      <c r="V633" s="3">
        <v>54.0</v>
      </c>
      <c r="W633" s="3">
        <v>52.0</v>
      </c>
      <c r="X633" s="3">
        <v>56.0</v>
      </c>
      <c r="Y633" s="3">
        <v>62.0</v>
      </c>
      <c r="Z633" s="3">
        <v>53.0</v>
      </c>
      <c r="AA633" s="3">
        <v>55.0</v>
      </c>
      <c r="AB633" s="3">
        <v>61.0</v>
      </c>
      <c r="AC633" s="3">
        <v>45.0</v>
      </c>
      <c r="AD633" s="3">
        <v>56.0</v>
      </c>
      <c r="AE633" s="3">
        <v>47.0</v>
      </c>
      <c r="AF633" s="3">
        <v>51.0</v>
      </c>
      <c r="AG633" s="3">
        <v>57.0</v>
      </c>
      <c r="AH633" s="3">
        <v>67.0</v>
      </c>
      <c r="AI633" s="3">
        <v>58.0</v>
      </c>
      <c r="AJ633" s="3">
        <v>61.0</v>
      </c>
      <c r="AK633" s="3">
        <v>48.0</v>
      </c>
      <c r="AL633" s="3">
        <v>63.0</v>
      </c>
      <c r="AM633" s="3">
        <v>50.0</v>
      </c>
      <c r="AN633" s="3">
        <v>51.0</v>
      </c>
    </row>
    <row r="634" ht="14.25" customHeight="1">
      <c r="A634" s="3">
        <v>632.0</v>
      </c>
      <c r="B634" s="3" t="s">
        <v>7108</v>
      </c>
      <c r="C634" s="3">
        <v>32.0</v>
      </c>
      <c r="D634" s="3" t="s">
        <v>6645</v>
      </c>
      <c r="E634" s="3" t="s">
        <v>6646</v>
      </c>
      <c r="F634" s="3" t="s">
        <v>6646</v>
      </c>
      <c r="G634" s="3" t="s">
        <v>6645</v>
      </c>
      <c r="H634" s="3" t="s">
        <v>6645</v>
      </c>
      <c r="I634" s="3" t="s">
        <v>6645</v>
      </c>
      <c r="J634" s="3">
        <v>23.0</v>
      </c>
      <c r="K634" s="3">
        <v>3.0</v>
      </c>
      <c r="L634" s="3">
        <v>0.0</v>
      </c>
      <c r="M634" s="3">
        <v>0.0</v>
      </c>
      <c r="N634" s="3">
        <v>5081.1845</v>
      </c>
      <c r="O634" s="3">
        <v>825.0</v>
      </c>
      <c r="P634" s="3" t="e">
        <v>#N/A</v>
      </c>
      <c r="Q634" s="3">
        <v>51.0</v>
      </c>
      <c r="R634" s="3">
        <v>51.0</v>
      </c>
      <c r="S634" s="3">
        <v>53.0</v>
      </c>
      <c r="T634" s="3">
        <v>53.0</v>
      </c>
      <c r="U634" s="3">
        <v>48.0</v>
      </c>
      <c r="V634" s="3">
        <v>50.0</v>
      </c>
      <c r="W634" s="3">
        <v>41.0</v>
      </c>
      <c r="X634" s="3">
        <v>47.0</v>
      </c>
      <c r="Y634" s="3">
        <v>58.0</v>
      </c>
      <c r="Z634" s="3">
        <v>54.0</v>
      </c>
      <c r="AA634" s="3">
        <v>54.0</v>
      </c>
      <c r="AB634" s="3">
        <v>58.0</v>
      </c>
      <c r="AC634" s="3">
        <v>47.0</v>
      </c>
      <c r="AD634" s="3">
        <v>44.0</v>
      </c>
      <c r="AE634" s="3">
        <v>54.0</v>
      </c>
      <c r="AF634" s="3">
        <v>53.0</v>
      </c>
      <c r="AG634" s="3">
        <v>54.0</v>
      </c>
      <c r="AH634" s="3">
        <v>46.0</v>
      </c>
      <c r="AI634" s="3">
        <v>47.0</v>
      </c>
      <c r="AJ634" s="3">
        <v>47.0</v>
      </c>
      <c r="AK634" s="3">
        <v>51.0</v>
      </c>
      <c r="AL634" s="3">
        <v>63.0</v>
      </c>
      <c r="AM634" s="3">
        <v>49.0</v>
      </c>
      <c r="AN634" s="3">
        <v>48.0</v>
      </c>
    </row>
    <row r="635" ht="14.25" customHeight="1">
      <c r="A635" s="3">
        <v>633.0</v>
      </c>
      <c r="B635" s="3" t="s">
        <v>7109</v>
      </c>
      <c r="C635" s="3">
        <v>30.0</v>
      </c>
      <c r="D635" s="3" t="s">
        <v>6645</v>
      </c>
      <c r="E635" s="3" t="s">
        <v>6646</v>
      </c>
      <c r="F635" s="3" t="s">
        <v>6646</v>
      </c>
      <c r="G635" s="3" t="s">
        <v>6645</v>
      </c>
      <c r="H635" s="3" t="s">
        <v>6645</v>
      </c>
      <c r="I635" s="3" t="s">
        <v>6646</v>
      </c>
      <c r="J635" s="3">
        <v>23.0</v>
      </c>
      <c r="K635" s="3">
        <v>3.0</v>
      </c>
      <c r="L635" s="3">
        <v>0.0</v>
      </c>
      <c r="M635" s="3">
        <v>0.0</v>
      </c>
      <c r="N635" s="3">
        <v>4986.28</v>
      </c>
      <c r="O635" s="3">
        <v>926.0</v>
      </c>
      <c r="P635" s="3" t="e">
        <v>#N/A</v>
      </c>
      <c r="Q635" s="3">
        <v>54.0</v>
      </c>
      <c r="R635" s="3">
        <v>49.0</v>
      </c>
      <c r="S635" s="3">
        <v>49.0</v>
      </c>
      <c r="T635" s="3">
        <v>53.0</v>
      </c>
      <c r="U635" s="3">
        <v>48.0</v>
      </c>
      <c r="V635" s="3">
        <v>48.0</v>
      </c>
      <c r="W635" s="3">
        <v>54.0</v>
      </c>
      <c r="X635" s="3">
        <v>45.0</v>
      </c>
      <c r="Y635" s="3">
        <v>58.0</v>
      </c>
      <c r="Z635" s="3">
        <v>47.0</v>
      </c>
      <c r="AA635" s="3">
        <v>48.0</v>
      </c>
      <c r="AB635" s="3">
        <v>59.0</v>
      </c>
      <c r="AC635" s="3">
        <v>41.0</v>
      </c>
      <c r="AD635" s="3">
        <v>51.0</v>
      </c>
      <c r="AE635" s="3">
        <v>53.0</v>
      </c>
      <c r="AF635" s="3">
        <v>40.0</v>
      </c>
      <c r="AG635" s="3">
        <v>54.0</v>
      </c>
      <c r="AH635" s="3">
        <v>64.0</v>
      </c>
      <c r="AI635" s="3">
        <v>57.0</v>
      </c>
      <c r="AJ635" s="3">
        <v>58.0</v>
      </c>
      <c r="AK635" s="3">
        <v>65.0</v>
      </c>
      <c r="AL635" s="3">
        <v>40.0</v>
      </c>
      <c r="AM635" s="3">
        <v>64.0</v>
      </c>
      <c r="AN635" s="3">
        <v>52.0</v>
      </c>
    </row>
    <row r="636" ht="14.25" customHeight="1">
      <c r="A636" s="3">
        <v>634.0</v>
      </c>
      <c r="B636" s="3" t="s">
        <v>7110</v>
      </c>
      <c r="C636" s="3">
        <v>39.0</v>
      </c>
      <c r="D636" s="3" t="s">
        <v>6645</v>
      </c>
      <c r="E636" s="3" t="s">
        <v>6646</v>
      </c>
      <c r="F636" s="3" t="s">
        <v>6646</v>
      </c>
      <c r="G636" s="3" t="s">
        <v>6645</v>
      </c>
      <c r="H636" s="3" t="s">
        <v>6645</v>
      </c>
      <c r="I636" s="3" t="s">
        <v>6646</v>
      </c>
      <c r="J636" s="3">
        <v>23.0</v>
      </c>
      <c r="K636" s="3">
        <v>3.0</v>
      </c>
      <c r="L636" s="3">
        <v>0.0</v>
      </c>
      <c r="M636" s="3">
        <v>0.0</v>
      </c>
      <c r="N636" s="3">
        <v>4916.9785</v>
      </c>
      <c r="O636" s="3">
        <v>950.0</v>
      </c>
      <c r="P636" s="3" t="e">
        <v>#N/A</v>
      </c>
      <c r="Q636" s="3">
        <v>53.0</v>
      </c>
      <c r="R636" s="3">
        <v>51.0</v>
      </c>
      <c r="S636" s="3">
        <v>54.0</v>
      </c>
      <c r="T636" s="3">
        <v>47.0</v>
      </c>
      <c r="U636" s="3">
        <v>51.0</v>
      </c>
      <c r="V636" s="3">
        <v>52.0</v>
      </c>
      <c r="W636" s="3">
        <v>48.0</v>
      </c>
      <c r="X636" s="3">
        <v>47.0</v>
      </c>
      <c r="Y636" s="3">
        <v>63.0</v>
      </c>
      <c r="Z636" s="3">
        <v>54.0</v>
      </c>
      <c r="AA636" s="3">
        <v>49.0</v>
      </c>
      <c r="AB636" s="3">
        <v>54.0</v>
      </c>
      <c r="AC636" s="3">
        <v>50.0</v>
      </c>
      <c r="AD636" s="3">
        <v>43.0</v>
      </c>
      <c r="AE636" s="3">
        <v>46.0</v>
      </c>
      <c r="AF636" s="3">
        <v>44.0</v>
      </c>
      <c r="AG636" s="3">
        <v>61.0</v>
      </c>
      <c r="AH636" s="3">
        <v>65.0</v>
      </c>
      <c r="AI636" s="3">
        <v>58.0</v>
      </c>
      <c r="AJ636" s="3">
        <v>38.0</v>
      </c>
      <c r="AK636" s="3">
        <v>56.0</v>
      </c>
      <c r="AL636" s="3">
        <v>53.0</v>
      </c>
      <c r="AM636" s="3">
        <v>45.0</v>
      </c>
      <c r="AN636" s="3">
        <v>38.0</v>
      </c>
    </row>
    <row r="637" ht="14.25" customHeight="1">
      <c r="A637" s="3">
        <v>635.0</v>
      </c>
      <c r="B637" s="3" t="s">
        <v>7111</v>
      </c>
      <c r="C637" s="3">
        <v>29.0</v>
      </c>
      <c r="D637" s="3" t="s">
        <v>6645</v>
      </c>
      <c r="E637" s="3" t="s">
        <v>6646</v>
      </c>
      <c r="F637" s="3" t="s">
        <v>6646</v>
      </c>
      <c r="G637" s="3" t="s">
        <v>6645</v>
      </c>
      <c r="H637" s="3" t="s">
        <v>6645</v>
      </c>
      <c r="I637" s="3" t="s">
        <v>6645</v>
      </c>
      <c r="J637" s="3">
        <v>23.0</v>
      </c>
      <c r="K637" s="3">
        <v>2.0</v>
      </c>
      <c r="L637" s="3">
        <v>0.0</v>
      </c>
      <c r="M637" s="3">
        <v>0.0</v>
      </c>
      <c r="N637" s="3">
        <v>3429.6452</v>
      </c>
      <c r="O637" s="3">
        <v>362.0</v>
      </c>
      <c r="P637" s="3" t="e">
        <v>#N/A</v>
      </c>
      <c r="Q637" s="3">
        <v>41.0</v>
      </c>
      <c r="R637" s="3">
        <v>49.0</v>
      </c>
      <c r="S637" s="3">
        <v>48.0</v>
      </c>
      <c r="T637" s="3">
        <v>45.0</v>
      </c>
      <c r="U637" s="3">
        <v>40.0</v>
      </c>
      <c r="V637" s="3">
        <v>42.0</v>
      </c>
      <c r="W637" s="3">
        <v>44.0</v>
      </c>
      <c r="X637" s="3">
        <v>42.0</v>
      </c>
      <c r="Y637" s="3">
        <v>52.0</v>
      </c>
      <c r="Z637" s="3">
        <v>42.0</v>
      </c>
      <c r="AA637" s="3">
        <v>45.0</v>
      </c>
      <c r="AB637" s="3">
        <v>54.0</v>
      </c>
      <c r="AC637" s="3">
        <v>40.0</v>
      </c>
      <c r="AD637" s="3">
        <v>39.0</v>
      </c>
      <c r="AE637" s="3">
        <v>43.0</v>
      </c>
      <c r="AF637" s="3">
        <v>42.0</v>
      </c>
      <c r="AG637" s="3">
        <v>35.0</v>
      </c>
      <c r="AH637" s="3">
        <v>42.0</v>
      </c>
      <c r="AI637" s="3">
        <v>60.0</v>
      </c>
      <c r="AJ637" s="3">
        <v>38.0</v>
      </c>
      <c r="AK637" s="3">
        <v>42.0</v>
      </c>
      <c r="AL637" s="3">
        <v>55.0</v>
      </c>
      <c r="AM637" s="3">
        <v>62.0</v>
      </c>
      <c r="AN637" s="3">
        <v>61.0</v>
      </c>
    </row>
    <row r="638" ht="14.25" customHeight="1">
      <c r="A638" s="3">
        <v>636.0</v>
      </c>
      <c r="B638" s="3" t="s">
        <v>7112</v>
      </c>
      <c r="C638" s="3">
        <v>29.0</v>
      </c>
      <c r="D638" s="3" t="s">
        <v>6645</v>
      </c>
      <c r="E638" s="3" t="s">
        <v>6646</v>
      </c>
      <c r="F638" s="3" t="s">
        <v>6646</v>
      </c>
      <c r="G638" s="3" t="s">
        <v>6645</v>
      </c>
      <c r="H638" s="3" t="s">
        <v>6645</v>
      </c>
      <c r="I638" s="3" t="s">
        <v>6645</v>
      </c>
      <c r="J638" s="3">
        <v>23.0</v>
      </c>
      <c r="K638" s="3">
        <v>2.0</v>
      </c>
      <c r="L638" s="3">
        <v>0.0</v>
      </c>
      <c r="M638" s="3">
        <v>0.0</v>
      </c>
      <c r="N638" s="3">
        <v>2857.79</v>
      </c>
      <c r="O638" s="3">
        <v>454.0</v>
      </c>
      <c r="P638" s="3" t="e">
        <v>#N/A</v>
      </c>
      <c r="Q638" s="3">
        <v>47.0</v>
      </c>
      <c r="R638" s="3">
        <v>45.0</v>
      </c>
      <c r="S638" s="3">
        <v>47.0</v>
      </c>
      <c r="T638" s="3">
        <v>41.0</v>
      </c>
      <c r="U638" s="3">
        <v>47.0</v>
      </c>
      <c r="V638" s="3">
        <v>45.0</v>
      </c>
      <c r="W638" s="3">
        <v>48.0</v>
      </c>
      <c r="X638" s="3">
        <v>37.0</v>
      </c>
      <c r="Y638" s="3">
        <v>49.0</v>
      </c>
      <c r="Z638" s="3">
        <v>42.0</v>
      </c>
      <c r="AA638" s="3">
        <v>41.0</v>
      </c>
      <c r="AB638" s="3">
        <v>53.0</v>
      </c>
      <c r="AC638" s="3">
        <v>43.0</v>
      </c>
      <c r="AD638" s="3">
        <v>45.0</v>
      </c>
      <c r="AE638" s="3">
        <v>38.0</v>
      </c>
      <c r="AF638" s="3">
        <v>36.0</v>
      </c>
      <c r="AG638" s="3">
        <v>60.0</v>
      </c>
      <c r="AH638" s="3">
        <v>53.0</v>
      </c>
      <c r="AI638" s="3">
        <v>58.0</v>
      </c>
      <c r="AJ638" s="3">
        <v>39.0</v>
      </c>
      <c r="AK638" s="3">
        <v>56.0</v>
      </c>
      <c r="AL638" s="3">
        <v>44.0</v>
      </c>
      <c r="AM638" s="3">
        <v>35.0</v>
      </c>
      <c r="AN638" s="3">
        <v>59.0</v>
      </c>
    </row>
    <row r="639" ht="14.25" customHeight="1">
      <c r="A639" s="3">
        <v>637.0</v>
      </c>
      <c r="B639" s="3" t="s">
        <v>7113</v>
      </c>
      <c r="C639" s="3">
        <v>29.0</v>
      </c>
      <c r="D639" s="3" t="s">
        <v>6645</v>
      </c>
      <c r="E639" s="3" t="s">
        <v>6646</v>
      </c>
      <c r="F639" s="3" t="s">
        <v>6646</v>
      </c>
      <c r="G639" s="3" t="s">
        <v>6645</v>
      </c>
      <c r="H639" s="3" t="s">
        <v>6645</v>
      </c>
      <c r="I639" s="3" t="s">
        <v>6646</v>
      </c>
      <c r="J639" s="3">
        <v>23.0</v>
      </c>
      <c r="K639" s="3">
        <v>2.0</v>
      </c>
      <c r="L639" s="3">
        <v>0.0</v>
      </c>
      <c r="M639" s="3">
        <v>0.0</v>
      </c>
      <c r="N639" s="3">
        <v>3063.2036</v>
      </c>
      <c r="O639" s="3">
        <v>486.0</v>
      </c>
      <c r="P639" s="3" t="e">
        <v>#N/A</v>
      </c>
      <c r="Q639" s="3">
        <v>41.0</v>
      </c>
      <c r="R639" s="3">
        <v>46.0</v>
      </c>
      <c r="S639" s="3">
        <v>40.0</v>
      </c>
      <c r="T639" s="3">
        <v>47.0</v>
      </c>
      <c r="U639" s="3">
        <v>42.0</v>
      </c>
      <c r="V639" s="3">
        <v>43.0</v>
      </c>
      <c r="W639" s="3">
        <v>44.0</v>
      </c>
      <c r="X639" s="3">
        <v>37.0</v>
      </c>
      <c r="Y639" s="3">
        <v>56.0</v>
      </c>
      <c r="Z639" s="3">
        <v>49.0</v>
      </c>
      <c r="AA639" s="3">
        <v>40.0</v>
      </c>
      <c r="AB639" s="3">
        <v>50.0</v>
      </c>
      <c r="AC639" s="3">
        <v>41.0</v>
      </c>
      <c r="AD639" s="3">
        <v>43.0</v>
      </c>
      <c r="AE639" s="3">
        <v>48.0</v>
      </c>
      <c r="AF639" s="3">
        <v>58.0</v>
      </c>
      <c r="AG639" s="3">
        <v>37.0</v>
      </c>
      <c r="AH639" s="3">
        <v>36.0</v>
      </c>
      <c r="AI639" s="3">
        <v>34.0</v>
      </c>
      <c r="AJ639" s="3">
        <v>60.0</v>
      </c>
      <c r="AK639" s="3">
        <v>59.0</v>
      </c>
      <c r="AL639" s="3">
        <v>44.0</v>
      </c>
      <c r="AM639" s="3">
        <v>46.0</v>
      </c>
      <c r="AN639" s="3">
        <v>50.0</v>
      </c>
    </row>
    <row r="640" ht="14.25" customHeight="1">
      <c r="A640" s="3">
        <v>638.0</v>
      </c>
      <c r="B640" s="3" t="s">
        <v>7114</v>
      </c>
      <c r="C640" s="3">
        <v>27.0</v>
      </c>
      <c r="D640" s="3" t="s">
        <v>6645</v>
      </c>
      <c r="E640" s="3" t="s">
        <v>6646</v>
      </c>
      <c r="F640" s="3" t="s">
        <v>6646</v>
      </c>
      <c r="G640" s="3" t="s">
        <v>6645</v>
      </c>
      <c r="H640" s="3" t="s">
        <v>6645</v>
      </c>
      <c r="I640" s="3" t="s">
        <v>6645</v>
      </c>
      <c r="J640" s="3">
        <v>23.0</v>
      </c>
      <c r="K640" s="3">
        <v>1.0</v>
      </c>
      <c r="L640" s="3">
        <v>0.0</v>
      </c>
      <c r="M640" s="3">
        <v>0.0</v>
      </c>
      <c r="N640" s="3">
        <v>1303.1114</v>
      </c>
      <c r="O640" s="3">
        <v>246.0</v>
      </c>
      <c r="P640" s="3" t="e">
        <v>#N/A</v>
      </c>
      <c r="Q640" s="3">
        <v>35.0</v>
      </c>
      <c r="R640" s="3">
        <v>39.0</v>
      </c>
      <c r="S640" s="3">
        <v>42.0</v>
      </c>
      <c r="T640" s="3">
        <v>40.0</v>
      </c>
      <c r="U640" s="3">
        <v>35.0</v>
      </c>
      <c r="V640" s="3">
        <v>38.0</v>
      </c>
      <c r="W640" s="3">
        <v>35.0</v>
      </c>
      <c r="X640" s="3">
        <v>31.0</v>
      </c>
      <c r="Y640" s="3">
        <v>43.0</v>
      </c>
      <c r="Z640" s="3">
        <v>36.0</v>
      </c>
      <c r="AA640" s="3">
        <v>38.0</v>
      </c>
      <c r="AB640" s="3">
        <v>42.0</v>
      </c>
      <c r="AC640" s="3">
        <v>43.0</v>
      </c>
      <c r="AD640" s="3">
        <v>44.0</v>
      </c>
      <c r="AE640" s="3">
        <v>33.0</v>
      </c>
      <c r="AF640" s="3">
        <v>43.0</v>
      </c>
      <c r="AG640" s="3">
        <v>61.0</v>
      </c>
      <c r="AH640" s="3">
        <v>61.0</v>
      </c>
      <c r="AI640" s="3">
        <v>33.0</v>
      </c>
      <c r="AJ640" s="3">
        <v>32.0</v>
      </c>
      <c r="AK640" s="3">
        <v>49.0</v>
      </c>
      <c r="AL640" s="3">
        <v>55.0</v>
      </c>
      <c r="AM640" s="3">
        <v>39.0</v>
      </c>
      <c r="AN640" s="3">
        <v>51.0</v>
      </c>
    </row>
    <row r="641" ht="14.25" customHeight="1">
      <c r="A641" s="3">
        <v>639.0</v>
      </c>
      <c r="B641" s="3" t="s">
        <v>7115</v>
      </c>
      <c r="C641" s="3">
        <v>25.0</v>
      </c>
      <c r="D641" s="3" t="s">
        <v>6645</v>
      </c>
      <c r="E641" s="3" t="s">
        <v>6646</v>
      </c>
      <c r="F641" s="3" t="s">
        <v>6646</v>
      </c>
      <c r="G641" s="3" t="s">
        <v>6645</v>
      </c>
      <c r="H641" s="3" t="s">
        <v>6645</v>
      </c>
      <c r="I641" s="3" t="s">
        <v>6646</v>
      </c>
      <c r="J641" s="3">
        <v>23.0</v>
      </c>
      <c r="K641" s="3">
        <v>1.0</v>
      </c>
      <c r="L641" s="3">
        <v>0.0</v>
      </c>
      <c r="M641" s="3">
        <v>0.0</v>
      </c>
      <c r="N641" s="3">
        <v>1355.821</v>
      </c>
      <c r="O641" s="3">
        <v>227.0</v>
      </c>
      <c r="P641" s="3" t="e">
        <v>#N/A</v>
      </c>
      <c r="Q641" s="3">
        <v>44.0</v>
      </c>
      <c r="R641" s="3">
        <v>42.0</v>
      </c>
      <c r="S641" s="3">
        <v>40.0</v>
      </c>
      <c r="T641" s="3">
        <v>39.0</v>
      </c>
      <c r="U641" s="3">
        <v>38.0</v>
      </c>
      <c r="V641" s="3">
        <v>38.0</v>
      </c>
      <c r="W641" s="3">
        <v>37.0</v>
      </c>
      <c r="X641" s="3">
        <v>37.0</v>
      </c>
      <c r="Y641" s="3">
        <v>49.0</v>
      </c>
      <c r="Z641" s="3">
        <v>35.0</v>
      </c>
      <c r="AA641" s="3">
        <v>44.0</v>
      </c>
      <c r="AB641" s="3">
        <v>49.0</v>
      </c>
      <c r="AC641" s="3">
        <v>30.0</v>
      </c>
      <c r="AD641" s="3">
        <v>44.0</v>
      </c>
      <c r="AE641" s="3">
        <v>39.0</v>
      </c>
      <c r="AF641" s="3">
        <v>38.0</v>
      </c>
      <c r="AG641" s="3">
        <v>51.0</v>
      </c>
      <c r="AH641" s="3">
        <v>50.0</v>
      </c>
      <c r="AI641" s="3">
        <v>36.0</v>
      </c>
      <c r="AJ641" s="3">
        <v>54.0</v>
      </c>
      <c r="AK641" s="3">
        <v>36.0</v>
      </c>
      <c r="AL641" s="3">
        <v>37.0</v>
      </c>
      <c r="AM641" s="3">
        <v>56.0</v>
      </c>
      <c r="AN641" s="3">
        <v>41.0</v>
      </c>
    </row>
    <row r="642" ht="14.25" customHeight="1">
      <c r="A642" s="3">
        <v>640.0</v>
      </c>
      <c r="B642" s="3" t="s">
        <v>7116</v>
      </c>
      <c r="C642" s="3">
        <v>23.0</v>
      </c>
      <c r="D642" s="3" t="s">
        <v>6645</v>
      </c>
      <c r="E642" s="3" t="s">
        <v>6646</v>
      </c>
      <c r="F642" s="3" t="s">
        <v>6646</v>
      </c>
      <c r="G642" s="3" t="s">
        <v>6645</v>
      </c>
      <c r="H642" s="3" t="s">
        <v>6645</v>
      </c>
      <c r="I642" s="3" t="s">
        <v>6646</v>
      </c>
      <c r="J642" s="3">
        <v>23.0</v>
      </c>
      <c r="K642" s="3">
        <v>1.0</v>
      </c>
      <c r="L642" s="3">
        <v>0.0</v>
      </c>
      <c r="M642" s="3">
        <v>0.0</v>
      </c>
      <c r="N642" s="3">
        <v>1342.89</v>
      </c>
      <c r="O642" s="3">
        <v>175.0</v>
      </c>
      <c r="P642" s="3" t="e">
        <v>#N/A</v>
      </c>
      <c r="Q642" s="3">
        <v>38.0</v>
      </c>
      <c r="R642" s="3">
        <v>37.0</v>
      </c>
      <c r="S642" s="3">
        <v>40.0</v>
      </c>
      <c r="T642" s="3">
        <v>42.0</v>
      </c>
      <c r="U642" s="3">
        <v>44.0</v>
      </c>
      <c r="V642" s="3">
        <v>43.0</v>
      </c>
      <c r="W642" s="3">
        <v>40.0</v>
      </c>
      <c r="X642" s="3">
        <v>37.0</v>
      </c>
      <c r="Y642" s="3">
        <v>53.0</v>
      </c>
      <c r="Z642" s="3">
        <v>42.0</v>
      </c>
      <c r="AA642" s="3">
        <v>27.0</v>
      </c>
      <c r="AB642" s="3">
        <v>50.0</v>
      </c>
      <c r="AC642" s="3">
        <v>41.0</v>
      </c>
      <c r="AD642" s="3">
        <v>30.0</v>
      </c>
      <c r="AE642" s="3">
        <v>36.0</v>
      </c>
      <c r="AF642" s="3">
        <v>41.0</v>
      </c>
      <c r="AG642" s="3">
        <v>32.0</v>
      </c>
      <c r="AH642" s="3">
        <v>34.0</v>
      </c>
      <c r="AI642" s="3">
        <v>32.0</v>
      </c>
      <c r="AJ642" s="3">
        <v>37.0</v>
      </c>
      <c r="AK642" s="3">
        <v>49.0</v>
      </c>
      <c r="AL642" s="3">
        <v>48.0</v>
      </c>
      <c r="AM642" s="3">
        <v>41.0</v>
      </c>
      <c r="AN642" s="3">
        <v>58.0</v>
      </c>
    </row>
    <row r="643" ht="14.25" customHeight="1">
      <c r="A643" s="3">
        <v>641.0</v>
      </c>
      <c r="B643" s="3" t="s">
        <v>7117</v>
      </c>
      <c r="C643" s="3">
        <v>21.0</v>
      </c>
      <c r="D643" s="3" t="s">
        <v>6645</v>
      </c>
      <c r="E643" s="3" t="s">
        <v>6646</v>
      </c>
      <c r="F643" s="3" t="s">
        <v>6646</v>
      </c>
      <c r="G643" s="3" t="s">
        <v>6645</v>
      </c>
      <c r="H643" s="3" t="s">
        <v>6645</v>
      </c>
      <c r="I643" s="3" t="s">
        <v>6646</v>
      </c>
      <c r="J643" s="3">
        <v>23.0</v>
      </c>
      <c r="K643" s="3">
        <v>1.0</v>
      </c>
      <c r="L643" s="3">
        <v>0.0</v>
      </c>
      <c r="M643" s="3">
        <v>0.0</v>
      </c>
      <c r="N643" s="3">
        <v>1495.62</v>
      </c>
      <c r="O643" s="3">
        <v>222.0</v>
      </c>
      <c r="P643" s="3" t="e">
        <v>#N/A</v>
      </c>
      <c r="Q643" s="3">
        <v>40.0</v>
      </c>
      <c r="R643" s="3">
        <v>39.0</v>
      </c>
      <c r="S643" s="3">
        <v>41.0</v>
      </c>
      <c r="T643" s="3">
        <v>36.0</v>
      </c>
      <c r="U643" s="3">
        <v>37.0</v>
      </c>
      <c r="V643" s="3">
        <v>39.0</v>
      </c>
      <c r="W643" s="3">
        <v>36.0</v>
      </c>
      <c r="X643" s="3">
        <v>34.0</v>
      </c>
      <c r="Y643" s="3">
        <v>49.0</v>
      </c>
      <c r="Z643" s="3">
        <v>43.0</v>
      </c>
      <c r="AA643" s="3">
        <v>39.0</v>
      </c>
      <c r="AB643" s="3">
        <v>49.0</v>
      </c>
      <c r="AC643" s="3">
        <v>39.0</v>
      </c>
      <c r="AD643" s="3">
        <v>42.0</v>
      </c>
      <c r="AE643" s="3">
        <v>30.0</v>
      </c>
      <c r="AF643" s="3">
        <v>36.0</v>
      </c>
      <c r="AG643" s="3">
        <v>53.0</v>
      </c>
      <c r="AH643" s="3">
        <v>35.0</v>
      </c>
      <c r="AI643" s="3">
        <v>46.0</v>
      </c>
      <c r="AJ643" s="3">
        <v>32.0</v>
      </c>
      <c r="AK643" s="3">
        <v>61.0</v>
      </c>
      <c r="AL643" s="3">
        <v>53.0</v>
      </c>
      <c r="AM643" s="3">
        <v>41.0</v>
      </c>
      <c r="AN643" s="3">
        <v>50.0</v>
      </c>
    </row>
    <row r="644" ht="14.25" customHeight="1">
      <c r="A644" s="3">
        <v>642.0</v>
      </c>
      <c r="B644" s="3" t="s">
        <v>7118</v>
      </c>
      <c r="C644" s="3">
        <v>19.0</v>
      </c>
      <c r="D644" s="3" t="s">
        <v>6645</v>
      </c>
      <c r="E644" s="3" t="s">
        <v>6646</v>
      </c>
      <c r="F644" s="3" t="s">
        <v>6646</v>
      </c>
      <c r="G644" s="3" t="s">
        <v>6645</v>
      </c>
      <c r="H644" s="3" t="s">
        <v>6645</v>
      </c>
      <c r="I644" s="3" t="s">
        <v>6645</v>
      </c>
      <c r="J644" s="3">
        <v>23.0</v>
      </c>
      <c r="K644" s="3">
        <v>0.0</v>
      </c>
      <c r="L644" s="3">
        <v>0.0</v>
      </c>
      <c r="M644" s="3">
        <v>0.0</v>
      </c>
      <c r="N644" s="3">
        <v>595.99096</v>
      </c>
      <c r="O644" s="3">
        <v>115.0</v>
      </c>
      <c r="P644" s="3" t="e">
        <v>#N/A</v>
      </c>
      <c r="Q644" s="3">
        <v>38.0</v>
      </c>
      <c r="R644" s="3">
        <v>32.0</v>
      </c>
      <c r="S644" s="3">
        <v>37.0</v>
      </c>
      <c r="T644" s="3">
        <v>37.0</v>
      </c>
      <c r="U644" s="3">
        <v>34.0</v>
      </c>
      <c r="V644" s="3">
        <v>32.0</v>
      </c>
      <c r="W644" s="3">
        <v>32.0</v>
      </c>
      <c r="X644" s="3">
        <v>39.0</v>
      </c>
      <c r="Y644" s="3">
        <v>42.0</v>
      </c>
      <c r="Z644" s="3">
        <v>33.0</v>
      </c>
      <c r="AA644" s="3">
        <v>28.0</v>
      </c>
      <c r="AB644" s="3">
        <v>42.0</v>
      </c>
      <c r="AC644" s="3">
        <v>31.0</v>
      </c>
      <c r="AD644" s="3">
        <v>31.0</v>
      </c>
      <c r="AE644" s="3">
        <v>38.0</v>
      </c>
      <c r="AF644" s="3">
        <v>31.0</v>
      </c>
      <c r="AG644" s="3">
        <v>59.0</v>
      </c>
      <c r="AH644" s="3">
        <v>55.0</v>
      </c>
      <c r="AI644" s="3">
        <v>53.0</v>
      </c>
      <c r="AJ644" s="3">
        <v>51.0</v>
      </c>
      <c r="AK644" s="3">
        <v>57.0</v>
      </c>
      <c r="AL644" s="3">
        <v>37.0</v>
      </c>
      <c r="AM644" s="3">
        <v>31.0</v>
      </c>
      <c r="AN644" s="3">
        <v>41.0</v>
      </c>
    </row>
    <row r="645" ht="14.25" customHeight="1">
      <c r="A645" s="3">
        <v>643.0</v>
      </c>
      <c r="B645" s="3" t="s">
        <v>7119</v>
      </c>
      <c r="C645" s="3">
        <v>24.0</v>
      </c>
      <c r="D645" s="3" t="s">
        <v>6645</v>
      </c>
      <c r="E645" s="3" t="s">
        <v>6646</v>
      </c>
      <c r="F645" s="3" t="s">
        <v>6646</v>
      </c>
      <c r="G645" s="3" t="s">
        <v>6645</v>
      </c>
      <c r="H645" s="3" t="s">
        <v>6645</v>
      </c>
      <c r="I645" s="3" t="s">
        <v>6646</v>
      </c>
      <c r="J645" s="3">
        <v>23.0</v>
      </c>
      <c r="K645" s="3">
        <v>0.0</v>
      </c>
      <c r="L645" s="3">
        <v>0.0</v>
      </c>
      <c r="M645" s="3">
        <v>0.0</v>
      </c>
      <c r="N645" s="3">
        <v>473.469</v>
      </c>
      <c r="O645" s="3">
        <v>88.0</v>
      </c>
      <c r="P645" s="3" t="e">
        <v>#N/A</v>
      </c>
      <c r="Q645" s="3">
        <v>31.0</v>
      </c>
      <c r="R645" s="3">
        <v>35.0</v>
      </c>
      <c r="S645" s="3">
        <v>36.0</v>
      </c>
      <c r="T645" s="3">
        <v>34.0</v>
      </c>
      <c r="U645" s="3">
        <v>30.0</v>
      </c>
      <c r="V645" s="3">
        <v>35.0</v>
      </c>
      <c r="W645" s="3">
        <v>25.0</v>
      </c>
      <c r="X645" s="3">
        <v>32.0</v>
      </c>
      <c r="Y645" s="3">
        <v>37.0</v>
      </c>
      <c r="Z645" s="3">
        <v>33.0</v>
      </c>
      <c r="AA645" s="3">
        <v>39.0</v>
      </c>
      <c r="AB645" s="3">
        <v>40.0</v>
      </c>
      <c r="AC645" s="3">
        <v>33.0</v>
      </c>
      <c r="AD645" s="3">
        <v>32.0</v>
      </c>
      <c r="AE645" s="3">
        <v>26.0</v>
      </c>
      <c r="AF645" s="3">
        <v>46.0</v>
      </c>
      <c r="AG645" s="3">
        <v>55.0</v>
      </c>
      <c r="AH645" s="3">
        <v>32.0</v>
      </c>
      <c r="AI645" s="3">
        <v>40.0</v>
      </c>
      <c r="AJ645" s="3">
        <v>43.0</v>
      </c>
      <c r="AK645" s="3">
        <v>32.0</v>
      </c>
      <c r="AL645" s="3">
        <v>58.0</v>
      </c>
      <c r="AM645" s="3">
        <v>37.0</v>
      </c>
      <c r="AN645" s="3">
        <v>35.0</v>
      </c>
    </row>
    <row r="646" ht="14.25" customHeight="1">
      <c r="A646" s="3">
        <v>644.0</v>
      </c>
      <c r="B646" s="3" t="s">
        <v>7120</v>
      </c>
      <c r="C646" s="3">
        <v>19.0</v>
      </c>
      <c r="D646" s="3" t="s">
        <v>6645</v>
      </c>
      <c r="E646" s="3" t="s">
        <v>6646</v>
      </c>
      <c r="F646" s="3" t="s">
        <v>6646</v>
      </c>
      <c r="G646" s="3" t="s">
        <v>6645</v>
      </c>
      <c r="H646" s="3" t="s">
        <v>6645</v>
      </c>
      <c r="I646" s="3" t="s">
        <v>6646</v>
      </c>
      <c r="J646" s="3">
        <v>23.0</v>
      </c>
      <c r="K646" s="3">
        <v>0.0</v>
      </c>
      <c r="L646" s="3">
        <v>0.0</v>
      </c>
      <c r="M646" s="3">
        <v>0.0</v>
      </c>
      <c r="N646" s="3">
        <v>431.117</v>
      </c>
      <c r="O646" s="3">
        <v>83.0</v>
      </c>
      <c r="P646" s="3" t="e">
        <v>#N/A</v>
      </c>
      <c r="Q646" s="3">
        <v>36.0</v>
      </c>
      <c r="R646" s="3">
        <v>35.0</v>
      </c>
      <c r="S646" s="3">
        <v>38.0</v>
      </c>
      <c r="T646" s="3">
        <v>38.0</v>
      </c>
      <c r="U646" s="3">
        <v>32.0</v>
      </c>
      <c r="V646" s="3">
        <v>32.0</v>
      </c>
      <c r="W646" s="3">
        <v>39.0</v>
      </c>
      <c r="X646" s="3">
        <v>30.0</v>
      </c>
      <c r="Y646" s="3">
        <v>44.0</v>
      </c>
      <c r="Z646" s="3">
        <v>36.0</v>
      </c>
      <c r="AA646" s="3">
        <v>22.0</v>
      </c>
      <c r="AB646" s="3">
        <v>43.0</v>
      </c>
      <c r="AC646" s="3">
        <v>32.0</v>
      </c>
      <c r="AD646" s="3">
        <v>28.0</v>
      </c>
      <c r="AE646" s="3">
        <v>32.0</v>
      </c>
      <c r="AF646" s="3">
        <v>33.0</v>
      </c>
      <c r="AG646" s="3">
        <v>43.0</v>
      </c>
      <c r="AH646" s="3">
        <v>53.0</v>
      </c>
      <c r="AI646" s="3">
        <v>33.0</v>
      </c>
      <c r="AJ646" s="3">
        <v>43.0</v>
      </c>
      <c r="AK646" s="3">
        <v>48.0</v>
      </c>
      <c r="AL646" s="3">
        <v>36.0</v>
      </c>
      <c r="AM646" s="3">
        <v>30.0</v>
      </c>
      <c r="AN646" s="3">
        <v>46.0</v>
      </c>
    </row>
    <row r="647" ht="14.25" customHeight="1">
      <c r="A647" s="3">
        <v>645.0</v>
      </c>
      <c r="B647" s="3" t="s">
        <v>7121</v>
      </c>
      <c r="C647" s="3">
        <v>22.0</v>
      </c>
      <c r="D647" s="3" t="s">
        <v>6645</v>
      </c>
      <c r="E647" s="3" t="s">
        <v>6646</v>
      </c>
      <c r="F647" s="3" t="s">
        <v>6646</v>
      </c>
      <c r="G647" s="3" t="s">
        <v>6645</v>
      </c>
      <c r="H647" s="3" t="s">
        <v>6645</v>
      </c>
      <c r="I647" s="3" t="s">
        <v>6646</v>
      </c>
      <c r="J647" s="3">
        <v>23.0</v>
      </c>
      <c r="K647" s="3">
        <v>0.0</v>
      </c>
      <c r="L647" s="3">
        <v>0.0</v>
      </c>
      <c r="M647" s="3">
        <v>0.0</v>
      </c>
      <c r="N647" s="3">
        <v>498.60244</v>
      </c>
      <c r="O647" s="3">
        <v>78.0</v>
      </c>
      <c r="P647" s="3" t="e">
        <v>#N/A</v>
      </c>
      <c r="Q647" s="3">
        <v>33.0</v>
      </c>
      <c r="R647" s="3">
        <v>30.0</v>
      </c>
      <c r="S647" s="3">
        <v>38.0</v>
      </c>
      <c r="T647" s="3">
        <v>37.0</v>
      </c>
      <c r="U647" s="3">
        <v>37.0</v>
      </c>
      <c r="V647" s="3">
        <v>36.0</v>
      </c>
      <c r="W647" s="3">
        <v>29.0</v>
      </c>
      <c r="X647" s="3">
        <v>35.0</v>
      </c>
      <c r="Y647" s="3">
        <v>37.0</v>
      </c>
      <c r="Z647" s="3">
        <v>34.0</v>
      </c>
      <c r="AA647" s="3">
        <v>25.0</v>
      </c>
      <c r="AB647" s="3">
        <v>41.0</v>
      </c>
      <c r="AC647" s="3">
        <v>31.0</v>
      </c>
      <c r="AD647" s="3">
        <v>38.0</v>
      </c>
      <c r="AE647" s="3">
        <v>33.0</v>
      </c>
      <c r="AF647" s="3">
        <v>30.0</v>
      </c>
      <c r="AG647" s="3">
        <v>32.0</v>
      </c>
      <c r="AH647" s="3">
        <v>56.0</v>
      </c>
      <c r="AI647" s="3">
        <v>30.0</v>
      </c>
      <c r="AJ647" s="3">
        <v>40.0</v>
      </c>
      <c r="AK647" s="3">
        <v>59.0</v>
      </c>
      <c r="AL647" s="3">
        <v>53.0</v>
      </c>
      <c r="AM647" s="3">
        <v>45.0</v>
      </c>
      <c r="AN647" s="3">
        <v>43.0</v>
      </c>
    </row>
    <row r="648" ht="14.25" customHeight="1">
      <c r="A648" s="3">
        <v>646.0</v>
      </c>
      <c r="B648" s="3" t="s">
        <v>7122</v>
      </c>
      <c r="C648" s="3">
        <v>30.0</v>
      </c>
      <c r="D648" s="3" t="s">
        <v>6645</v>
      </c>
      <c r="E648" s="3" t="s">
        <v>6646</v>
      </c>
      <c r="F648" s="3" t="s">
        <v>6646</v>
      </c>
      <c r="G648" s="3" t="s">
        <v>6645</v>
      </c>
      <c r="H648" s="3" t="s">
        <v>6645</v>
      </c>
      <c r="I648" s="3" t="s">
        <v>6645</v>
      </c>
      <c r="J648" s="3">
        <v>24.0</v>
      </c>
      <c r="K648" s="3">
        <v>3.0</v>
      </c>
      <c r="L648" s="3">
        <v>0.0</v>
      </c>
      <c r="M648" s="3">
        <v>0.0</v>
      </c>
      <c r="N648" s="3">
        <v>4858.49</v>
      </c>
      <c r="O648" s="3">
        <v>981.0</v>
      </c>
      <c r="P648" s="3" t="e">
        <v>#N/A</v>
      </c>
      <c r="Q648" s="3">
        <v>53.0</v>
      </c>
      <c r="R648" s="3">
        <v>52.0</v>
      </c>
      <c r="S648" s="3">
        <v>54.0</v>
      </c>
      <c r="T648" s="3">
        <v>54.0</v>
      </c>
      <c r="U648" s="3">
        <v>48.0</v>
      </c>
      <c r="V648" s="3">
        <v>50.0</v>
      </c>
      <c r="W648" s="3">
        <v>58.0</v>
      </c>
      <c r="X648" s="3">
        <v>52.0</v>
      </c>
      <c r="Y648" s="3">
        <v>48.0</v>
      </c>
      <c r="Z648" s="3">
        <v>61.0</v>
      </c>
      <c r="AA648" s="3">
        <v>49.0</v>
      </c>
      <c r="AB648" s="3">
        <v>44.0</v>
      </c>
      <c r="AC648" s="3">
        <v>54.0</v>
      </c>
      <c r="AD648" s="3">
        <v>48.0</v>
      </c>
      <c r="AE648" s="3">
        <v>46.0</v>
      </c>
      <c r="AF648" s="3">
        <v>53.0</v>
      </c>
      <c r="AG648" s="3">
        <v>43.0</v>
      </c>
      <c r="AH648" s="3">
        <v>52.0</v>
      </c>
      <c r="AI648" s="3">
        <v>54.0</v>
      </c>
      <c r="AJ648" s="3">
        <v>38.0</v>
      </c>
      <c r="AK648" s="3">
        <v>54.0</v>
      </c>
      <c r="AL648" s="3">
        <v>60.0</v>
      </c>
      <c r="AM648" s="3">
        <v>58.0</v>
      </c>
      <c r="AN648" s="3">
        <v>64.0</v>
      </c>
    </row>
    <row r="649" ht="14.25" customHeight="1">
      <c r="A649" s="3">
        <v>647.0</v>
      </c>
      <c r="B649" s="3" t="s">
        <v>7123</v>
      </c>
      <c r="C649" s="3">
        <v>33.0</v>
      </c>
      <c r="D649" s="3" t="s">
        <v>6645</v>
      </c>
      <c r="E649" s="3" t="s">
        <v>6646</v>
      </c>
      <c r="F649" s="3" t="s">
        <v>6646</v>
      </c>
      <c r="G649" s="3" t="s">
        <v>6645</v>
      </c>
      <c r="H649" s="3" t="s">
        <v>6645</v>
      </c>
      <c r="I649" s="3" t="s">
        <v>6646</v>
      </c>
      <c r="J649" s="3">
        <v>24.0</v>
      </c>
      <c r="K649" s="3">
        <v>2.0</v>
      </c>
      <c r="L649" s="3">
        <v>0.0</v>
      </c>
      <c r="M649" s="3">
        <v>0.0</v>
      </c>
      <c r="N649" s="3">
        <v>3004.9077</v>
      </c>
      <c r="O649" s="3">
        <v>389.0</v>
      </c>
      <c r="P649" s="3" t="e">
        <v>#N/A</v>
      </c>
      <c r="Q649" s="3">
        <v>43.0</v>
      </c>
      <c r="R649" s="3">
        <v>50.0</v>
      </c>
      <c r="S649" s="3">
        <v>46.0</v>
      </c>
      <c r="T649" s="3">
        <v>49.0</v>
      </c>
      <c r="U649" s="3">
        <v>48.0</v>
      </c>
      <c r="V649" s="3">
        <v>43.0</v>
      </c>
      <c r="W649" s="3">
        <v>57.0</v>
      </c>
      <c r="X649" s="3">
        <v>45.0</v>
      </c>
      <c r="Y649" s="3">
        <v>46.0</v>
      </c>
      <c r="Z649" s="3">
        <v>56.0</v>
      </c>
      <c r="AA649" s="3">
        <v>41.0</v>
      </c>
      <c r="AB649" s="3">
        <v>36.0</v>
      </c>
      <c r="AC649" s="3">
        <v>41.0</v>
      </c>
      <c r="AD649" s="3">
        <v>42.0</v>
      </c>
      <c r="AE649" s="3">
        <v>44.0</v>
      </c>
      <c r="AF649" s="3">
        <v>38.0</v>
      </c>
      <c r="AG649" s="3">
        <v>56.0</v>
      </c>
      <c r="AH649" s="3">
        <v>60.0</v>
      </c>
      <c r="AI649" s="3">
        <v>38.0</v>
      </c>
      <c r="AJ649" s="3">
        <v>42.0</v>
      </c>
      <c r="AK649" s="3">
        <v>36.0</v>
      </c>
      <c r="AL649" s="3">
        <v>50.0</v>
      </c>
      <c r="AM649" s="3">
        <v>50.0</v>
      </c>
      <c r="AN649" s="3">
        <v>42.0</v>
      </c>
    </row>
    <row r="650" ht="14.25" customHeight="1">
      <c r="A650" s="3">
        <v>648.0</v>
      </c>
      <c r="B650" s="3" t="s">
        <v>7124</v>
      </c>
      <c r="C650" s="3">
        <v>28.0</v>
      </c>
      <c r="D650" s="3" t="s">
        <v>6645</v>
      </c>
      <c r="E650" s="3" t="s">
        <v>6646</v>
      </c>
      <c r="F650" s="3" t="s">
        <v>6646</v>
      </c>
      <c r="G650" s="3" t="s">
        <v>6645</v>
      </c>
      <c r="H650" s="3" t="s">
        <v>6645</v>
      </c>
      <c r="I650" s="3" t="s">
        <v>6645</v>
      </c>
      <c r="J650" s="3">
        <v>24.0</v>
      </c>
      <c r="K650" s="3">
        <v>1.0</v>
      </c>
      <c r="L650" s="3">
        <v>0.0</v>
      </c>
      <c r="M650" s="3">
        <v>0.0</v>
      </c>
      <c r="N650" s="3">
        <v>1328.47</v>
      </c>
      <c r="O650" s="3">
        <v>169.0</v>
      </c>
      <c r="P650" s="3" t="e">
        <v>#N/A</v>
      </c>
      <c r="Q650" s="3">
        <v>42.0</v>
      </c>
      <c r="R650" s="3">
        <v>42.0</v>
      </c>
      <c r="S650" s="3">
        <v>36.0</v>
      </c>
      <c r="T650" s="3">
        <v>38.0</v>
      </c>
      <c r="U650" s="3">
        <v>38.0</v>
      </c>
      <c r="V650" s="3">
        <v>44.0</v>
      </c>
      <c r="W650" s="3">
        <v>48.0</v>
      </c>
      <c r="X650" s="3">
        <v>36.0</v>
      </c>
      <c r="Y650" s="3">
        <v>42.0</v>
      </c>
      <c r="Z650" s="3">
        <v>47.0</v>
      </c>
      <c r="AA650" s="3">
        <v>42.0</v>
      </c>
      <c r="AB650" s="3">
        <v>36.0</v>
      </c>
      <c r="AC650" s="3">
        <v>36.0</v>
      </c>
      <c r="AD650" s="3">
        <v>36.0</v>
      </c>
      <c r="AE650" s="3">
        <v>33.0</v>
      </c>
      <c r="AF650" s="3">
        <v>50.0</v>
      </c>
      <c r="AG650" s="3">
        <v>47.0</v>
      </c>
      <c r="AH650" s="3">
        <v>45.0</v>
      </c>
      <c r="AI650" s="3">
        <v>57.0</v>
      </c>
      <c r="AJ650" s="3">
        <v>59.0</v>
      </c>
      <c r="AK650" s="3">
        <v>51.0</v>
      </c>
      <c r="AL650" s="3">
        <v>32.0</v>
      </c>
      <c r="AM650" s="3">
        <v>45.0</v>
      </c>
      <c r="AN650" s="3">
        <v>51.0</v>
      </c>
    </row>
    <row r="651" ht="14.25" customHeight="1">
      <c r="A651" s="3">
        <v>649.0</v>
      </c>
      <c r="B651" s="3" t="s">
        <v>7125</v>
      </c>
      <c r="C651" s="3">
        <v>20.0</v>
      </c>
      <c r="D651" s="3" t="s">
        <v>6645</v>
      </c>
      <c r="E651" s="3" t="s">
        <v>6646</v>
      </c>
      <c r="F651" s="3" t="s">
        <v>6646</v>
      </c>
      <c r="G651" s="3" t="s">
        <v>6645</v>
      </c>
      <c r="H651" s="3" t="s">
        <v>6645</v>
      </c>
      <c r="I651" s="3" t="s">
        <v>6645</v>
      </c>
      <c r="J651" s="3">
        <v>24.0</v>
      </c>
      <c r="K651" s="3">
        <v>1.0</v>
      </c>
      <c r="L651" s="3">
        <v>0.0</v>
      </c>
      <c r="M651" s="3">
        <v>0.0</v>
      </c>
      <c r="N651" s="3">
        <v>1340.6712</v>
      </c>
      <c r="O651" s="3">
        <v>201.0</v>
      </c>
      <c r="P651" s="3" t="e">
        <v>#N/A</v>
      </c>
      <c r="Q651" s="3">
        <v>42.0</v>
      </c>
      <c r="R651" s="3">
        <v>40.0</v>
      </c>
      <c r="S651" s="3">
        <v>36.0</v>
      </c>
      <c r="T651" s="3">
        <v>36.0</v>
      </c>
      <c r="U651" s="3">
        <v>40.0</v>
      </c>
      <c r="V651" s="3">
        <v>36.0</v>
      </c>
      <c r="W651" s="3">
        <v>45.0</v>
      </c>
      <c r="X651" s="3">
        <v>44.0</v>
      </c>
      <c r="Y651" s="3">
        <v>42.0</v>
      </c>
      <c r="Z651" s="3">
        <v>47.0</v>
      </c>
      <c r="AA651" s="3">
        <v>36.0</v>
      </c>
      <c r="AB651" s="3">
        <v>29.0</v>
      </c>
      <c r="AC651" s="3">
        <v>35.0</v>
      </c>
      <c r="AD651" s="3">
        <v>38.0</v>
      </c>
      <c r="AE651" s="3">
        <v>38.0</v>
      </c>
      <c r="AF651" s="3">
        <v>54.0</v>
      </c>
      <c r="AG651" s="3">
        <v>34.0</v>
      </c>
      <c r="AH651" s="3">
        <v>47.0</v>
      </c>
      <c r="AI651" s="3">
        <v>57.0</v>
      </c>
      <c r="AJ651" s="3">
        <v>45.0</v>
      </c>
      <c r="AK651" s="3">
        <v>51.0</v>
      </c>
      <c r="AL651" s="3">
        <v>48.0</v>
      </c>
      <c r="AM651" s="3">
        <v>56.0</v>
      </c>
      <c r="AN651" s="3">
        <v>56.0</v>
      </c>
    </row>
    <row r="652" ht="14.25" customHeight="1">
      <c r="A652" s="3">
        <v>650.0</v>
      </c>
      <c r="B652" s="3" t="s">
        <v>7126</v>
      </c>
      <c r="C652" s="3">
        <v>21.0</v>
      </c>
      <c r="D652" s="3" t="s">
        <v>6645</v>
      </c>
      <c r="E652" s="3" t="s">
        <v>6646</v>
      </c>
      <c r="F652" s="3" t="s">
        <v>6646</v>
      </c>
      <c r="G652" s="3" t="s">
        <v>6645</v>
      </c>
      <c r="H652" s="3" t="s">
        <v>6645</v>
      </c>
      <c r="I652" s="3" t="s">
        <v>6646</v>
      </c>
      <c r="J652" s="3">
        <v>24.0</v>
      </c>
      <c r="K652" s="3">
        <v>1.0</v>
      </c>
      <c r="L652" s="3">
        <v>0.0</v>
      </c>
      <c r="M652" s="3">
        <v>0.0</v>
      </c>
      <c r="N652" s="3">
        <v>1361.9777</v>
      </c>
      <c r="O652" s="3">
        <v>193.0</v>
      </c>
      <c r="P652" s="3" t="e">
        <v>#N/A</v>
      </c>
      <c r="Q652" s="3">
        <v>44.0</v>
      </c>
      <c r="R652" s="3">
        <v>38.0</v>
      </c>
      <c r="S652" s="3">
        <v>36.0</v>
      </c>
      <c r="T652" s="3">
        <v>42.0</v>
      </c>
      <c r="U652" s="3">
        <v>40.0</v>
      </c>
      <c r="V652" s="3">
        <v>40.0</v>
      </c>
      <c r="W652" s="3">
        <v>47.0</v>
      </c>
      <c r="X652" s="3">
        <v>33.0</v>
      </c>
      <c r="Y652" s="3">
        <v>38.0</v>
      </c>
      <c r="Z652" s="3">
        <v>53.0</v>
      </c>
      <c r="AA652" s="3">
        <v>40.0</v>
      </c>
      <c r="AB652" s="3">
        <v>42.0</v>
      </c>
      <c r="AC652" s="3">
        <v>36.0</v>
      </c>
      <c r="AD652" s="3">
        <v>42.0</v>
      </c>
      <c r="AE652" s="3">
        <v>35.0</v>
      </c>
      <c r="AF652" s="3">
        <v>34.0</v>
      </c>
      <c r="AG652" s="3">
        <v>45.0</v>
      </c>
      <c r="AH652" s="3">
        <v>48.0</v>
      </c>
      <c r="AI652" s="3">
        <v>37.0</v>
      </c>
      <c r="AJ652" s="3">
        <v>48.0</v>
      </c>
      <c r="AK652" s="3">
        <v>32.0</v>
      </c>
      <c r="AL652" s="3">
        <v>58.0</v>
      </c>
      <c r="AM652" s="3">
        <v>58.0</v>
      </c>
      <c r="AN652" s="3">
        <v>52.0</v>
      </c>
    </row>
    <row r="653" ht="14.25" customHeight="1">
      <c r="A653" s="3">
        <v>651.0</v>
      </c>
      <c r="B653" s="3" t="s">
        <v>7127</v>
      </c>
      <c r="C653" s="3">
        <v>21.0</v>
      </c>
      <c r="D653" s="3" t="s">
        <v>6645</v>
      </c>
      <c r="E653" s="3" t="s">
        <v>6646</v>
      </c>
      <c r="F653" s="3" t="s">
        <v>6646</v>
      </c>
      <c r="G653" s="3" t="s">
        <v>6645</v>
      </c>
      <c r="H653" s="3" t="s">
        <v>6645</v>
      </c>
      <c r="I653" s="3" t="s">
        <v>6645</v>
      </c>
      <c r="J653" s="3">
        <v>24.0</v>
      </c>
      <c r="K653" s="3">
        <v>1.0</v>
      </c>
      <c r="L653" s="3">
        <v>0.0</v>
      </c>
      <c r="M653" s="3">
        <v>0.0</v>
      </c>
      <c r="N653" s="3">
        <v>1343.88</v>
      </c>
      <c r="O653" s="3">
        <v>183.0</v>
      </c>
      <c r="P653" s="3" t="e">
        <v>#N/A</v>
      </c>
      <c r="Q653" s="3">
        <v>44.0</v>
      </c>
      <c r="R653" s="3">
        <v>38.0</v>
      </c>
      <c r="S653" s="3">
        <v>36.0</v>
      </c>
      <c r="T653" s="3">
        <v>42.0</v>
      </c>
      <c r="U653" s="3">
        <v>38.0</v>
      </c>
      <c r="V653" s="3">
        <v>42.0</v>
      </c>
      <c r="W653" s="3">
        <v>42.0</v>
      </c>
      <c r="X653" s="3">
        <v>32.0</v>
      </c>
      <c r="Y653" s="3">
        <v>36.0</v>
      </c>
      <c r="Z653" s="3">
        <v>48.0</v>
      </c>
      <c r="AA653" s="3">
        <v>36.0</v>
      </c>
      <c r="AB653" s="3">
        <v>38.0</v>
      </c>
      <c r="AC653" s="3">
        <v>36.0</v>
      </c>
      <c r="AD653" s="3">
        <v>44.0</v>
      </c>
      <c r="AE653" s="3">
        <v>36.0</v>
      </c>
      <c r="AF653" s="3">
        <v>61.0</v>
      </c>
      <c r="AG653" s="3">
        <v>48.0</v>
      </c>
      <c r="AH653" s="3">
        <v>37.0</v>
      </c>
      <c r="AI653" s="3">
        <v>61.0</v>
      </c>
      <c r="AJ653" s="3">
        <v>46.0</v>
      </c>
      <c r="AK653" s="3">
        <v>43.0</v>
      </c>
      <c r="AL653" s="3">
        <v>42.0</v>
      </c>
      <c r="AM653" s="3">
        <v>53.0</v>
      </c>
      <c r="AN653" s="3">
        <v>56.0</v>
      </c>
    </row>
    <row r="654" ht="14.25" customHeight="1">
      <c r="A654" s="3">
        <v>652.0</v>
      </c>
      <c r="B654" s="3" t="s">
        <v>7128</v>
      </c>
      <c r="C654" s="3">
        <v>15.0</v>
      </c>
      <c r="D654" s="3" t="s">
        <v>6645</v>
      </c>
      <c r="E654" s="3" t="s">
        <v>6646</v>
      </c>
      <c r="F654" s="3" t="s">
        <v>6646</v>
      </c>
      <c r="G654" s="3" t="s">
        <v>6645</v>
      </c>
      <c r="H654" s="3" t="s">
        <v>6645</v>
      </c>
      <c r="I654" s="3" t="s">
        <v>6645</v>
      </c>
      <c r="J654" s="3">
        <v>24.0</v>
      </c>
      <c r="K654" s="3">
        <v>0.0</v>
      </c>
      <c r="L654" s="3">
        <v>0.0</v>
      </c>
      <c r="M654" s="3">
        <v>0.0</v>
      </c>
      <c r="N654" s="3">
        <v>514.07415</v>
      </c>
      <c r="O654" s="3">
        <v>85.0</v>
      </c>
      <c r="P654" s="3" t="e">
        <v>#N/A</v>
      </c>
      <c r="Q654" s="3">
        <v>31.0</v>
      </c>
      <c r="R654" s="3">
        <v>39.0</v>
      </c>
      <c r="S654" s="3">
        <v>32.0</v>
      </c>
      <c r="T654" s="3">
        <v>35.0</v>
      </c>
      <c r="U654" s="3">
        <v>33.0</v>
      </c>
      <c r="V654" s="3">
        <v>30.0</v>
      </c>
      <c r="W654" s="3">
        <v>40.0</v>
      </c>
      <c r="X654" s="3">
        <v>28.0</v>
      </c>
      <c r="Y654" s="3">
        <v>23.0</v>
      </c>
      <c r="Z654" s="3">
        <v>44.0</v>
      </c>
      <c r="AA654" s="3">
        <v>34.0</v>
      </c>
      <c r="AB654" s="3">
        <v>39.0</v>
      </c>
      <c r="AC654" s="3">
        <v>38.0</v>
      </c>
      <c r="AD654" s="3">
        <v>30.0</v>
      </c>
      <c r="AE654" s="3">
        <v>37.0</v>
      </c>
      <c r="AF654" s="3">
        <v>31.0</v>
      </c>
      <c r="AG654" s="3">
        <v>36.0</v>
      </c>
      <c r="AH654" s="3">
        <v>38.0</v>
      </c>
      <c r="AI654" s="3">
        <v>32.0</v>
      </c>
      <c r="AJ654" s="3">
        <v>52.0</v>
      </c>
      <c r="AK654" s="3">
        <v>58.0</v>
      </c>
      <c r="AL654" s="3">
        <v>40.0</v>
      </c>
      <c r="AM654" s="3">
        <v>58.0</v>
      </c>
      <c r="AN654" s="3">
        <v>53.0</v>
      </c>
    </row>
    <row r="655" ht="14.25" customHeight="1">
      <c r="A655" s="3">
        <v>653.0</v>
      </c>
      <c r="B655" s="3" t="s">
        <v>7129</v>
      </c>
      <c r="C655" s="3">
        <v>15.0</v>
      </c>
      <c r="D655" s="3" t="s">
        <v>6645</v>
      </c>
      <c r="E655" s="3" t="s">
        <v>6646</v>
      </c>
      <c r="F655" s="3" t="s">
        <v>6646</v>
      </c>
      <c r="G655" s="3" t="s">
        <v>6645</v>
      </c>
      <c r="H655" s="3" t="s">
        <v>6645</v>
      </c>
      <c r="I655" s="3" t="s">
        <v>6646</v>
      </c>
      <c r="J655" s="3">
        <v>24.0</v>
      </c>
      <c r="K655" s="3">
        <v>0.0</v>
      </c>
      <c r="L655" s="3">
        <v>0.0</v>
      </c>
      <c r="M655" s="3">
        <v>0.0</v>
      </c>
      <c r="N655" s="3">
        <v>594.7912</v>
      </c>
      <c r="O655" s="3">
        <v>87.0</v>
      </c>
      <c r="P655" s="3" t="e">
        <v>#N/A</v>
      </c>
      <c r="Q655" s="3">
        <v>32.0</v>
      </c>
      <c r="R655" s="3">
        <v>33.0</v>
      </c>
      <c r="S655" s="3">
        <v>39.0</v>
      </c>
      <c r="T655" s="3">
        <v>39.0</v>
      </c>
      <c r="U655" s="3">
        <v>31.0</v>
      </c>
      <c r="V655" s="3">
        <v>33.0</v>
      </c>
      <c r="W655" s="3">
        <v>43.0</v>
      </c>
      <c r="X655" s="3">
        <v>32.0</v>
      </c>
      <c r="Y655" s="3">
        <v>33.0</v>
      </c>
      <c r="Z655" s="3">
        <v>41.0</v>
      </c>
      <c r="AA655" s="3">
        <v>31.0</v>
      </c>
      <c r="AB655" s="3">
        <v>38.0</v>
      </c>
      <c r="AC655" s="3">
        <v>25.0</v>
      </c>
      <c r="AD655" s="3">
        <v>35.0</v>
      </c>
      <c r="AE655" s="3">
        <v>32.0</v>
      </c>
      <c r="AF655" s="3">
        <v>55.0</v>
      </c>
      <c r="AG655" s="3">
        <v>54.0</v>
      </c>
      <c r="AH655" s="3">
        <v>35.0</v>
      </c>
      <c r="AI655" s="3">
        <v>40.0</v>
      </c>
      <c r="AJ655" s="3">
        <v>59.0</v>
      </c>
      <c r="AK655" s="3">
        <v>33.0</v>
      </c>
      <c r="AL655" s="3">
        <v>50.0</v>
      </c>
      <c r="AM655" s="3">
        <v>50.0</v>
      </c>
      <c r="AN655" s="3">
        <v>42.0</v>
      </c>
    </row>
    <row r="656" ht="14.25" customHeight="1">
      <c r="A656" s="3">
        <v>654.0</v>
      </c>
      <c r="B656" s="3" t="s">
        <v>7130</v>
      </c>
      <c r="C656" s="3">
        <v>17.0</v>
      </c>
      <c r="D656" s="3" t="s">
        <v>6645</v>
      </c>
      <c r="E656" s="3" t="s">
        <v>6646</v>
      </c>
      <c r="F656" s="3" t="s">
        <v>6646</v>
      </c>
      <c r="G656" s="3" t="s">
        <v>6645</v>
      </c>
      <c r="H656" s="3" t="s">
        <v>6645</v>
      </c>
      <c r="I656" s="3" t="s">
        <v>6646</v>
      </c>
      <c r="J656" s="3">
        <v>24.0</v>
      </c>
      <c r="K656" s="3">
        <v>0.0</v>
      </c>
      <c r="L656" s="3">
        <v>0.0</v>
      </c>
      <c r="M656" s="3">
        <v>0.0</v>
      </c>
      <c r="N656" s="3">
        <v>508.76</v>
      </c>
      <c r="O656" s="3">
        <v>114.0</v>
      </c>
      <c r="P656" s="3" t="e">
        <v>#N/A</v>
      </c>
      <c r="Q656" s="3">
        <v>32.0</v>
      </c>
      <c r="R656" s="3">
        <v>31.0</v>
      </c>
      <c r="S656" s="3">
        <v>36.0</v>
      </c>
      <c r="T656" s="3">
        <v>31.0</v>
      </c>
      <c r="U656" s="3">
        <v>30.0</v>
      </c>
      <c r="V656" s="3">
        <v>36.0</v>
      </c>
      <c r="W656" s="3">
        <v>43.0</v>
      </c>
      <c r="X656" s="3">
        <v>31.0</v>
      </c>
      <c r="Y656" s="3">
        <v>37.0</v>
      </c>
      <c r="Z656" s="3">
        <v>37.0</v>
      </c>
      <c r="AA656" s="3">
        <v>32.0</v>
      </c>
      <c r="AB656" s="3">
        <v>28.0</v>
      </c>
      <c r="AC656" s="3">
        <v>32.0</v>
      </c>
      <c r="AD656" s="3">
        <v>35.0</v>
      </c>
      <c r="AE656" s="3">
        <v>28.0</v>
      </c>
      <c r="AF656" s="3">
        <v>48.0</v>
      </c>
      <c r="AG656" s="3">
        <v>51.0</v>
      </c>
      <c r="AH656" s="3">
        <v>54.0</v>
      </c>
      <c r="AI656" s="3">
        <v>57.0</v>
      </c>
      <c r="AJ656" s="3">
        <v>52.0</v>
      </c>
      <c r="AK656" s="3">
        <v>34.0</v>
      </c>
      <c r="AL656" s="3">
        <v>52.0</v>
      </c>
      <c r="AM656" s="3">
        <v>42.0</v>
      </c>
      <c r="AN656" s="3">
        <v>54.0</v>
      </c>
    </row>
    <row r="657" ht="14.25" customHeight="1">
      <c r="A657" s="3">
        <v>655.0</v>
      </c>
      <c r="B657" s="3" t="s">
        <v>7131</v>
      </c>
      <c r="C657" s="3">
        <v>15.0</v>
      </c>
      <c r="D657" s="3" t="s">
        <v>6645</v>
      </c>
      <c r="E657" s="3" t="s">
        <v>6646</v>
      </c>
      <c r="F657" s="3" t="s">
        <v>6646</v>
      </c>
      <c r="G657" s="3" t="s">
        <v>6645</v>
      </c>
      <c r="H657" s="3" t="s">
        <v>6645</v>
      </c>
      <c r="I657" s="3" t="s">
        <v>6646</v>
      </c>
      <c r="J657" s="3">
        <v>24.0</v>
      </c>
      <c r="K657" s="3">
        <v>0.0</v>
      </c>
      <c r="L657" s="3">
        <v>0.0</v>
      </c>
      <c r="M657" s="3">
        <v>0.0</v>
      </c>
      <c r="N657" s="3">
        <v>444.321</v>
      </c>
      <c r="O657" s="3">
        <v>113.0</v>
      </c>
      <c r="P657" s="3" t="e">
        <v>#N/A</v>
      </c>
      <c r="Q657" s="3">
        <v>32.0</v>
      </c>
      <c r="R657" s="3">
        <v>30.0</v>
      </c>
      <c r="S657" s="3">
        <v>37.0</v>
      </c>
      <c r="T657" s="3">
        <v>36.0</v>
      </c>
      <c r="U657" s="3">
        <v>31.0</v>
      </c>
      <c r="V657" s="3">
        <v>35.0</v>
      </c>
      <c r="W657" s="3">
        <v>38.0</v>
      </c>
      <c r="X657" s="3">
        <v>28.0</v>
      </c>
      <c r="Y657" s="3">
        <v>32.0</v>
      </c>
      <c r="Z657" s="3">
        <v>45.0</v>
      </c>
      <c r="AA657" s="3">
        <v>38.0</v>
      </c>
      <c r="AB657" s="3">
        <v>33.0</v>
      </c>
      <c r="AC657" s="3">
        <v>23.0</v>
      </c>
      <c r="AD657" s="3">
        <v>39.0</v>
      </c>
      <c r="AE657" s="3">
        <v>38.0</v>
      </c>
      <c r="AF657" s="3">
        <v>44.0</v>
      </c>
      <c r="AG657" s="3">
        <v>30.0</v>
      </c>
      <c r="AH657" s="3">
        <v>55.0</v>
      </c>
      <c r="AI657" s="3">
        <v>44.0</v>
      </c>
      <c r="AJ657" s="3">
        <v>47.0</v>
      </c>
      <c r="AK657" s="3">
        <v>42.0</v>
      </c>
      <c r="AL657" s="3">
        <v>42.0</v>
      </c>
      <c r="AM657" s="3">
        <v>59.0</v>
      </c>
      <c r="AN657" s="3">
        <v>53.0</v>
      </c>
    </row>
    <row r="658" ht="14.25" customHeight="1">
      <c r="A658" s="3">
        <v>656.0</v>
      </c>
      <c r="B658" s="3" t="s">
        <v>7132</v>
      </c>
      <c r="C658" s="3">
        <v>42.0</v>
      </c>
      <c r="D658" s="3" t="s">
        <v>6645</v>
      </c>
      <c r="E658" s="3" t="s">
        <v>6646</v>
      </c>
      <c r="F658" s="3" t="s">
        <v>6646</v>
      </c>
      <c r="G658" s="3" t="s">
        <v>6645</v>
      </c>
      <c r="H658" s="3" t="s">
        <v>6645</v>
      </c>
      <c r="I658" s="3" t="s">
        <v>6646</v>
      </c>
      <c r="J658" s="3">
        <v>26.0</v>
      </c>
      <c r="K658" s="3">
        <v>4.0</v>
      </c>
      <c r="L658" s="3">
        <v>0.0</v>
      </c>
      <c r="M658" s="3">
        <v>0.0</v>
      </c>
      <c r="N658" s="3">
        <v>7882.13</v>
      </c>
      <c r="O658" s="3">
        <v>1307.0</v>
      </c>
      <c r="P658" s="3" t="e">
        <v>#N/A</v>
      </c>
      <c r="Q658" s="3">
        <v>52.0</v>
      </c>
      <c r="R658" s="3">
        <v>61.0</v>
      </c>
      <c r="S658" s="3">
        <v>60.0</v>
      </c>
      <c r="T658" s="3">
        <v>57.0</v>
      </c>
      <c r="U658" s="3">
        <v>52.0</v>
      </c>
      <c r="V658" s="3">
        <v>60.0</v>
      </c>
      <c r="W658" s="3">
        <v>60.0</v>
      </c>
      <c r="X658" s="3">
        <v>62.0</v>
      </c>
      <c r="Y658" s="3">
        <v>60.0</v>
      </c>
      <c r="Z658" s="3">
        <v>54.0</v>
      </c>
      <c r="AA658" s="3">
        <v>51.0</v>
      </c>
      <c r="AB658" s="3">
        <v>47.0</v>
      </c>
      <c r="AC658" s="3">
        <v>53.0</v>
      </c>
      <c r="AD658" s="3">
        <v>55.0</v>
      </c>
      <c r="AE658" s="3">
        <v>70.0</v>
      </c>
      <c r="AF658" s="3">
        <v>61.0</v>
      </c>
      <c r="AG658" s="3">
        <v>54.0</v>
      </c>
      <c r="AH658" s="3">
        <v>61.0</v>
      </c>
      <c r="AI658" s="3">
        <v>57.0</v>
      </c>
      <c r="AJ658" s="3">
        <v>60.0</v>
      </c>
      <c r="AK658" s="3">
        <v>46.0</v>
      </c>
      <c r="AL658" s="3">
        <v>66.0</v>
      </c>
      <c r="AM658" s="3">
        <v>42.0</v>
      </c>
      <c r="AN658" s="3">
        <v>51.0</v>
      </c>
    </row>
    <row r="659" ht="14.25" customHeight="1">
      <c r="A659" s="3">
        <v>657.0</v>
      </c>
      <c r="B659" s="3" t="s">
        <v>7133</v>
      </c>
      <c r="C659" s="3">
        <v>42.0</v>
      </c>
      <c r="D659" s="3" t="s">
        <v>6645</v>
      </c>
      <c r="E659" s="3" t="s">
        <v>6646</v>
      </c>
      <c r="F659" s="3" t="s">
        <v>6646</v>
      </c>
      <c r="G659" s="3" t="s">
        <v>6645</v>
      </c>
      <c r="H659" s="3" t="s">
        <v>6645</v>
      </c>
      <c r="I659" s="3" t="s">
        <v>6645</v>
      </c>
      <c r="J659" s="3">
        <v>26.0</v>
      </c>
      <c r="K659" s="3">
        <v>4.0</v>
      </c>
      <c r="L659" s="3">
        <v>0.0</v>
      </c>
      <c r="M659" s="3">
        <v>0.0</v>
      </c>
      <c r="N659" s="3">
        <v>7823.1064</v>
      </c>
      <c r="O659" s="3">
        <v>1561.0</v>
      </c>
      <c r="P659" s="3" t="e">
        <v>#N/A</v>
      </c>
      <c r="Q659" s="3">
        <v>56.0</v>
      </c>
      <c r="R659" s="3">
        <v>59.0</v>
      </c>
      <c r="S659" s="3">
        <v>56.0</v>
      </c>
      <c r="T659" s="3">
        <v>52.0</v>
      </c>
      <c r="U659" s="3">
        <v>54.0</v>
      </c>
      <c r="V659" s="3">
        <v>52.0</v>
      </c>
      <c r="W659" s="3">
        <v>54.0</v>
      </c>
      <c r="X659" s="3">
        <v>70.0</v>
      </c>
      <c r="Y659" s="3">
        <v>60.0</v>
      </c>
      <c r="Z659" s="3">
        <v>53.0</v>
      </c>
      <c r="AA659" s="3">
        <v>53.0</v>
      </c>
      <c r="AB659" s="3">
        <v>57.0</v>
      </c>
      <c r="AC659" s="3">
        <v>54.0</v>
      </c>
      <c r="AD659" s="3">
        <v>52.0</v>
      </c>
      <c r="AE659" s="3">
        <v>71.0</v>
      </c>
      <c r="AF659" s="3">
        <v>50.0</v>
      </c>
      <c r="AG659" s="3">
        <v>63.0</v>
      </c>
      <c r="AH659" s="3">
        <v>65.0</v>
      </c>
      <c r="AI659" s="3">
        <v>62.0</v>
      </c>
      <c r="AJ659" s="3">
        <v>49.0</v>
      </c>
      <c r="AK659" s="3">
        <v>62.0</v>
      </c>
      <c r="AL659" s="3">
        <v>53.0</v>
      </c>
      <c r="AM659" s="3">
        <v>67.0</v>
      </c>
      <c r="AN659" s="3">
        <v>42.0</v>
      </c>
    </row>
    <row r="660" ht="14.25" customHeight="1">
      <c r="A660" s="3">
        <v>658.0</v>
      </c>
      <c r="B660" s="3" t="s">
        <v>7134</v>
      </c>
      <c r="C660" s="3">
        <v>34.0</v>
      </c>
      <c r="D660" s="3" t="s">
        <v>6645</v>
      </c>
      <c r="E660" s="3" t="s">
        <v>6646</v>
      </c>
      <c r="F660" s="3" t="s">
        <v>6646</v>
      </c>
      <c r="G660" s="3" t="s">
        <v>6645</v>
      </c>
      <c r="H660" s="3" t="s">
        <v>6645</v>
      </c>
      <c r="I660" s="3" t="s">
        <v>6646</v>
      </c>
      <c r="J660" s="3">
        <v>26.0</v>
      </c>
      <c r="K660" s="3">
        <v>3.0</v>
      </c>
      <c r="L660" s="3">
        <v>0.0</v>
      </c>
      <c r="M660" s="3">
        <v>0.0</v>
      </c>
      <c r="N660" s="3">
        <v>5539.09</v>
      </c>
      <c r="O660" s="3">
        <v>794.0</v>
      </c>
      <c r="P660" s="3" t="e">
        <v>#N/A</v>
      </c>
      <c r="Q660" s="3">
        <v>52.0</v>
      </c>
      <c r="R660" s="3">
        <v>50.0</v>
      </c>
      <c r="S660" s="3">
        <v>48.0</v>
      </c>
      <c r="T660" s="3">
        <v>52.0</v>
      </c>
      <c r="U660" s="3">
        <v>56.0</v>
      </c>
      <c r="V660" s="3">
        <v>56.0</v>
      </c>
      <c r="W660" s="3">
        <v>44.0</v>
      </c>
      <c r="X660" s="3">
        <v>59.0</v>
      </c>
      <c r="Y660" s="3">
        <v>54.0</v>
      </c>
      <c r="Z660" s="3">
        <v>54.0</v>
      </c>
      <c r="AA660" s="3">
        <v>52.0</v>
      </c>
      <c r="AB660" s="3">
        <v>52.0</v>
      </c>
      <c r="AC660" s="3">
        <v>48.0</v>
      </c>
      <c r="AD660" s="3">
        <v>45.0</v>
      </c>
      <c r="AE660" s="3">
        <v>60.0</v>
      </c>
      <c r="AF660" s="3">
        <v>56.0</v>
      </c>
      <c r="AG660" s="3">
        <v>62.0</v>
      </c>
      <c r="AH660" s="3">
        <v>41.0</v>
      </c>
      <c r="AI660" s="3">
        <v>38.0</v>
      </c>
      <c r="AJ660" s="3">
        <v>57.0</v>
      </c>
      <c r="AK660" s="3">
        <v>60.0</v>
      </c>
      <c r="AL660" s="3">
        <v>56.0</v>
      </c>
      <c r="AM660" s="3">
        <v>61.0</v>
      </c>
      <c r="AN660" s="3">
        <v>50.0</v>
      </c>
    </row>
    <row r="661" ht="14.25" customHeight="1">
      <c r="A661" s="3">
        <v>659.0</v>
      </c>
      <c r="B661" s="3" t="s">
        <v>7135</v>
      </c>
      <c r="C661" s="3">
        <v>32.0</v>
      </c>
      <c r="D661" s="3" t="s">
        <v>6645</v>
      </c>
      <c r="E661" s="3" t="s">
        <v>6646</v>
      </c>
      <c r="F661" s="3" t="s">
        <v>6646</v>
      </c>
      <c r="G661" s="3" t="s">
        <v>6645</v>
      </c>
      <c r="H661" s="3" t="s">
        <v>6645</v>
      </c>
      <c r="I661" s="3" t="s">
        <v>6645</v>
      </c>
      <c r="J661" s="3">
        <v>26.0</v>
      </c>
      <c r="K661" s="3">
        <v>3.0</v>
      </c>
      <c r="L661" s="3">
        <v>0.0</v>
      </c>
      <c r="M661" s="3">
        <v>0.0</v>
      </c>
      <c r="N661" s="3">
        <v>5395.6235</v>
      </c>
      <c r="O661" s="3">
        <v>733.0</v>
      </c>
      <c r="P661" s="3" t="e">
        <v>#N/A</v>
      </c>
      <c r="Q661" s="3">
        <v>46.0</v>
      </c>
      <c r="R661" s="3">
        <v>56.0</v>
      </c>
      <c r="S661" s="3">
        <v>52.0</v>
      </c>
      <c r="T661" s="3">
        <v>48.0</v>
      </c>
      <c r="U661" s="3">
        <v>50.0</v>
      </c>
      <c r="V661" s="3">
        <v>50.0</v>
      </c>
      <c r="W661" s="3">
        <v>54.0</v>
      </c>
      <c r="X661" s="3">
        <v>63.0</v>
      </c>
      <c r="Y661" s="3">
        <v>52.0</v>
      </c>
      <c r="Z661" s="3">
        <v>50.0</v>
      </c>
      <c r="AA661" s="3">
        <v>42.0</v>
      </c>
      <c r="AB661" s="3">
        <v>49.0</v>
      </c>
      <c r="AC661" s="3">
        <v>54.0</v>
      </c>
      <c r="AD661" s="3">
        <v>54.0</v>
      </c>
      <c r="AE661" s="3">
        <v>65.0</v>
      </c>
      <c r="AF661" s="3">
        <v>58.0</v>
      </c>
      <c r="AG661" s="3">
        <v>65.0</v>
      </c>
      <c r="AH661" s="3">
        <v>55.0</v>
      </c>
      <c r="AI661" s="3">
        <v>61.0</v>
      </c>
      <c r="AJ661" s="3">
        <v>58.0</v>
      </c>
      <c r="AK661" s="3">
        <v>37.0</v>
      </c>
      <c r="AL661" s="3">
        <v>65.0</v>
      </c>
      <c r="AM661" s="3">
        <v>60.0</v>
      </c>
      <c r="AN661" s="3">
        <v>63.0</v>
      </c>
    </row>
    <row r="662" ht="14.25" customHeight="1">
      <c r="A662" s="3">
        <v>660.0</v>
      </c>
      <c r="B662" s="3" t="s">
        <v>7136</v>
      </c>
      <c r="C662" s="3">
        <v>33.0</v>
      </c>
      <c r="D662" s="3" t="s">
        <v>6645</v>
      </c>
      <c r="E662" s="3" t="s">
        <v>6646</v>
      </c>
      <c r="F662" s="3" t="s">
        <v>6646</v>
      </c>
      <c r="G662" s="3" t="s">
        <v>6645</v>
      </c>
      <c r="H662" s="3" t="s">
        <v>6645</v>
      </c>
      <c r="I662" s="3" t="s">
        <v>6645</v>
      </c>
      <c r="J662" s="3">
        <v>26.0</v>
      </c>
      <c r="K662" s="3">
        <v>3.0</v>
      </c>
      <c r="L662" s="3">
        <v>0.0</v>
      </c>
      <c r="M662" s="3">
        <v>0.0</v>
      </c>
      <c r="N662" s="3">
        <v>5094.3364</v>
      </c>
      <c r="O662" s="3">
        <v>727.0</v>
      </c>
      <c r="P662" s="3" t="e">
        <v>#N/A</v>
      </c>
      <c r="Q662" s="3">
        <v>50.0</v>
      </c>
      <c r="R662" s="3">
        <v>48.0</v>
      </c>
      <c r="S662" s="3">
        <v>54.0</v>
      </c>
      <c r="T662" s="3">
        <v>50.0</v>
      </c>
      <c r="U662" s="3">
        <v>46.0</v>
      </c>
      <c r="V662" s="3">
        <v>48.0</v>
      </c>
      <c r="W662" s="3">
        <v>52.0</v>
      </c>
      <c r="X662" s="3">
        <v>61.0</v>
      </c>
      <c r="Y662" s="3">
        <v>47.0</v>
      </c>
      <c r="Z662" s="3">
        <v>52.0</v>
      </c>
      <c r="AA662" s="3">
        <v>43.0</v>
      </c>
      <c r="AB662" s="3">
        <v>52.0</v>
      </c>
      <c r="AC662" s="3">
        <v>48.0</v>
      </c>
      <c r="AD662" s="3">
        <v>50.0</v>
      </c>
      <c r="AE662" s="3">
        <v>56.0</v>
      </c>
      <c r="AF662" s="3">
        <v>56.0</v>
      </c>
      <c r="AG662" s="3">
        <v>46.0</v>
      </c>
      <c r="AH662" s="3">
        <v>39.0</v>
      </c>
      <c r="AI662" s="3">
        <v>42.0</v>
      </c>
      <c r="AJ662" s="3">
        <v>41.0</v>
      </c>
      <c r="AK662" s="3">
        <v>52.0</v>
      </c>
      <c r="AL662" s="3">
        <v>50.0</v>
      </c>
      <c r="AM662" s="3">
        <v>63.0</v>
      </c>
      <c r="AN662" s="3">
        <v>61.0</v>
      </c>
    </row>
    <row r="663" ht="14.25" customHeight="1">
      <c r="A663" s="3">
        <v>661.0</v>
      </c>
      <c r="B663" s="3" t="s">
        <v>7137</v>
      </c>
      <c r="C663" s="3">
        <v>32.0</v>
      </c>
      <c r="D663" s="3" t="s">
        <v>6645</v>
      </c>
      <c r="E663" s="3" t="s">
        <v>6646</v>
      </c>
      <c r="F663" s="3" t="s">
        <v>6646</v>
      </c>
      <c r="G663" s="3" t="s">
        <v>6645</v>
      </c>
      <c r="H663" s="3" t="s">
        <v>6645</v>
      </c>
      <c r="I663" s="3" t="s">
        <v>6645</v>
      </c>
      <c r="J663" s="3">
        <v>26.0</v>
      </c>
      <c r="K663" s="3">
        <v>2.0</v>
      </c>
      <c r="L663" s="3">
        <v>0.0</v>
      </c>
      <c r="M663" s="3">
        <v>0.0</v>
      </c>
      <c r="N663" s="3">
        <v>3048.064</v>
      </c>
      <c r="O663" s="3">
        <v>437.0</v>
      </c>
      <c r="P663" s="3" t="e">
        <v>#N/A</v>
      </c>
      <c r="Q663" s="3">
        <v>43.0</v>
      </c>
      <c r="R663" s="3">
        <v>50.0</v>
      </c>
      <c r="S663" s="3">
        <v>50.0</v>
      </c>
      <c r="T663" s="3">
        <v>46.0</v>
      </c>
      <c r="U663" s="3">
        <v>50.0</v>
      </c>
      <c r="V663" s="3">
        <v>46.0</v>
      </c>
      <c r="W663" s="3">
        <v>46.0</v>
      </c>
      <c r="X663" s="3">
        <v>49.0</v>
      </c>
      <c r="Y663" s="3">
        <v>46.0</v>
      </c>
      <c r="Z663" s="3">
        <v>37.0</v>
      </c>
      <c r="AA663" s="3">
        <v>42.0</v>
      </c>
      <c r="AB663" s="3">
        <v>39.0</v>
      </c>
      <c r="AC663" s="3">
        <v>45.0</v>
      </c>
      <c r="AD663" s="3">
        <v>44.0</v>
      </c>
      <c r="AE663" s="3">
        <v>50.0</v>
      </c>
      <c r="AF663" s="3">
        <v>40.0</v>
      </c>
      <c r="AG663" s="3">
        <v>52.0</v>
      </c>
      <c r="AH663" s="3">
        <v>38.0</v>
      </c>
      <c r="AI663" s="3">
        <v>38.0</v>
      </c>
      <c r="AJ663" s="3">
        <v>44.0</v>
      </c>
      <c r="AK663" s="3">
        <v>54.0</v>
      </c>
      <c r="AL663" s="3">
        <v>48.0</v>
      </c>
      <c r="AM663" s="3">
        <v>50.0</v>
      </c>
      <c r="AN663" s="3">
        <v>40.0</v>
      </c>
    </row>
    <row r="664" ht="14.25" customHeight="1">
      <c r="A664" s="3">
        <v>662.0</v>
      </c>
      <c r="B664" s="3" t="s">
        <v>7138</v>
      </c>
      <c r="C664" s="3">
        <v>29.0</v>
      </c>
      <c r="D664" s="3" t="s">
        <v>6645</v>
      </c>
      <c r="E664" s="3" t="s">
        <v>6646</v>
      </c>
      <c r="F664" s="3" t="s">
        <v>6646</v>
      </c>
      <c r="G664" s="3" t="s">
        <v>6645</v>
      </c>
      <c r="H664" s="3" t="s">
        <v>6645</v>
      </c>
      <c r="I664" s="3" t="s">
        <v>6646</v>
      </c>
      <c r="J664" s="3">
        <v>26.0</v>
      </c>
      <c r="K664" s="3">
        <v>2.0</v>
      </c>
      <c r="L664" s="3">
        <v>0.0</v>
      </c>
      <c r="M664" s="3">
        <v>0.0</v>
      </c>
      <c r="N664" s="3">
        <v>3217.9768</v>
      </c>
      <c r="O664" s="3">
        <v>327.0</v>
      </c>
      <c r="P664" s="3" t="e">
        <v>#N/A</v>
      </c>
      <c r="Q664" s="3">
        <v>42.0</v>
      </c>
      <c r="R664" s="3">
        <v>47.0</v>
      </c>
      <c r="S664" s="3">
        <v>42.0</v>
      </c>
      <c r="T664" s="3">
        <v>44.0</v>
      </c>
      <c r="U664" s="3">
        <v>41.0</v>
      </c>
      <c r="V664" s="3">
        <v>47.0</v>
      </c>
      <c r="W664" s="3">
        <v>47.0</v>
      </c>
      <c r="X664" s="3">
        <v>53.0</v>
      </c>
      <c r="Y664" s="3">
        <v>49.0</v>
      </c>
      <c r="Z664" s="3">
        <v>44.0</v>
      </c>
      <c r="AA664" s="3">
        <v>34.0</v>
      </c>
      <c r="AB664" s="3">
        <v>46.0</v>
      </c>
      <c r="AC664" s="3">
        <v>40.0</v>
      </c>
      <c r="AD664" s="3">
        <v>47.0</v>
      </c>
      <c r="AE664" s="3">
        <v>57.0</v>
      </c>
      <c r="AF664" s="3">
        <v>44.0</v>
      </c>
      <c r="AG664" s="3">
        <v>48.0</v>
      </c>
      <c r="AH664" s="3">
        <v>56.0</v>
      </c>
      <c r="AI664" s="3">
        <v>50.0</v>
      </c>
      <c r="AJ664" s="3">
        <v>62.0</v>
      </c>
      <c r="AK664" s="3">
        <v>34.0</v>
      </c>
      <c r="AL664" s="3">
        <v>36.0</v>
      </c>
      <c r="AM664" s="3">
        <v>44.0</v>
      </c>
      <c r="AN664" s="3">
        <v>42.0</v>
      </c>
    </row>
    <row r="665" ht="14.25" customHeight="1">
      <c r="A665" s="3">
        <v>663.0</v>
      </c>
      <c r="B665" s="3" t="s">
        <v>7139</v>
      </c>
      <c r="C665" s="3">
        <v>30.0</v>
      </c>
      <c r="D665" s="3" t="s">
        <v>6645</v>
      </c>
      <c r="E665" s="3" t="s">
        <v>6646</v>
      </c>
      <c r="F665" s="3" t="s">
        <v>6646</v>
      </c>
      <c r="G665" s="3" t="s">
        <v>6645</v>
      </c>
      <c r="H665" s="3" t="s">
        <v>6645</v>
      </c>
      <c r="I665" s="3" t="s">
        <v>6646</v>
      </c>
      <c r="J665" s="3">
        <v>26.0</v>
      </c>
      <c r="K665" s="3">
        <v>2.0</v>
      </c>
      <c r="L665" s="3">
        <v>0.0</v>
      </c>
      <c r="M665" s="3">
        <v>0.0</v>
      </c>
      <c r="N665" s="3">
        <v>2990.639</v>
      </c>
      <c r="O665" s="3">
        <v>354.0</v>
      </c>
      <c r="P665" s="3" t="e">
        <v>#N/A</v>
      </c>
      <c r="Q665" s="3">
        <v>41.0</v>
      </c>
      <c r="R665" s="3">
        <v>43.0</v>
      </c>
      <c r="S665" s="3">
        <v>41.0</v>
      </c>
      <c r="T665" s="3">
        <v>42.0</v>
      </c>
      <c r="U665" s="3">
        <v>42.0</v>
      </c>
      <c r="V665" s="3">
        <v>46.0</v>
      </c>
      <c r="W665" s="3">
        <v>45.0</v>
      </c>
      <c r="X665" s="3">
        <v>57.0</v>
      </c>
      <c r="Y665" s="3">
        <v>50.0</v>
      </c>
      <c r="Z665" s="3">
        <v>42.0</v>
      </c>
      <c r="AA665" s="3">
        <v>43.0</v>
      </c>
      <c r="AB665" s="3">
        <v>49.0</v>
      </c>
      <c r="AC665" s="3">
        <v>44.0</v>
      </c>
      <c r="AD665" s="3">
        <v>44.0</v>
      </c>
      <c r="AE665" s="3">
        <v>55.0</v>
      </c>
      <c r="AF665" s="3">
        <v>46.0</v>
      </c>
      <c r="AG665" s="3">
        <v>58.0</v>
      </c>
      <c r="AH665" s="3">
        <v>50.0</v>
      </c>
      <c r="AI665" s="3">
        <v>44.0</v>
      </c>
      <c r="AJ665" s="3">
        <v>38.0</v>
      </c>
      <c r="AK665" s="3">
        <v>48.0</v>
      </c>
      <c r="AL665" s="3">
        <v>38.0</v>
      </c>
      <c r="AM665" s="3">
        <v>60.0</v>
      </c>
      <c r="AN665" s="3">
        <v>36.0</v>
      </c>
    </row>
    <row r="666" ht="14.25" customHeight="1">
      <c r="A666" s="3">
        <v>664.0</v>
      </c>
      <c r="B666" s="3" t="s">
        <v>7140</v>
      </c>
      <c r="C666" s="3">
        <v>28.0</v>
      </c>
      <c r="D666" s="3" t="s">
        <v>6645</v>
      </c>
      <c r="E666" s="3" t="s">
        <v>6646</v>
      </c>
      <c r="F666" s="3" t="s">
        <v>6646</v>
      </c>
      <c r="G666" s="3" t="s">
        <v>6645</v>
      </c>
      <c r="H666" s="3" t="s">
        <v>6645</v>
      </c>
      <c r="I666" s="3" t="s">
        <v>6646</v>
      </c>
      <c r="J666" s="3">
        <v>26.0</v>
      </c>
      <c r="K666" s="3">
        <v>1.0</v>
      </c>
      <c r="L666" s="3">
        <v>0.0</v>
      </c>
      <c r="M666" s="3">
        <v>0.0</v>
      </c>
      <c r="N666" s="3">
        <v>1320.7491</v>
      </c>
      <c r="O666" s="3">
        <v>172.0</v>
      </c>
      <c r="P666" s="3" t="e">
        <v>#N/A</v>
      </c>
      <c r="Q666" s="3">
        <v>36.0</v>
      </c>
      <c r="R666" s="3">
        <v>42.0</v>
      </c>
      <c r="S666" s="3">
        <v>40.0</v>
      </c>
      <c r="T666" s="3">
        <v>38.0</v>
      </c>
      <c r="U666" s="3">
        <v>44.0</v>
      </c>
      <c r="V666" s="3">
        <v>36.0</v>
      </c>
      <c r="W666" s="3">
        <v>30.0</v>
      </c>
      <c r="X666" s="3">
        <v>49.0</v>
      </c>
      <c r="Y666" s="3">
        <v>38.0</v>
      </c>
      <c r="Z666" s="3">
        <v>42.0</v>
      </c>
      <c r="AA666" s="3">
        <v>42.0</v>
      </c>
      <c r="AB666" s="3">
        <v>42.0</v>
      </c>
      <c r="AC666" s="3">
        <v>38.0</v>
      </c>
      <c r="AD666" s="3">
        <v>31.0</v>
      </c>
      <c r="AE666" s="3">
        <v>44.0</v>
      </c>
      <c r="AF666" s="3">
        <v>50.0</v>
      </c>
      <c r="AG666" s="3">
        <v>56.0</v>
      </c>
      <c r="AH666" s="3">
        <v>52.0</v>
      </c>
      <c r="AI666" s="3">
        <v>35.0</v>
      </c>
      <c r="AJ666" s="3">
        <v>45.0</v>
      </c>
      <c r="AK666" s="3">
        <v>45.0</v>
      </c>
      <c r="AL666" s="3">
        <v>32.0</v>
      </c>
      <c r="AM666" s="3">
        <v>51.0</v>
      </c>
      <c r="AN666" s="3">
        <v>32.0</v>
      </c>
    </row>
    <row r="667" ht="14.25" customHeight="1">
      <c r="A667" s="3">
        <v>665.0</v>
      </c>
      <c r="B667" s="3" t="s">
        <v>7141</v>
      </c>
      <c r="C667" s="3">
        <v>23.0</v>
      </c>
      <c r="D667" s="3" t="s">
        <v>6645</v>
      </c>
      <c r="E667" s="3" t="s">
        <v>6646</v>
      </c>
      <c r="F667" s="3" t="s">
        <v>6646</v>
      </c>
      <c r="G667" s="3" t="s">
        <v>6645</v>
      </c>
      <c r="H667" s="3" t="s">
        <v>6645</v>
      </c>
      <c r="I667" s="3" t="s">
        <v>6646</v>
      </c>
      <c r="J667" s="3">
        <v>26.0</v>
      </c>
      <c r="K667" s="3">
        <v>1.0</v>
      </c>
      <c r="L667" s="3">
        <v>0.0</v>
      </c>
      <c r="M667" s="3">
        <v>0.0</v>
      </c>
      <c r="N667" s="3">
        <v>1465.7269</v>
      </c>
      <c r="O667" s="3">
        <v>178.0</v>
      </c>
      <c r="P667" s="3" t="e">
        <v>#N/A</v>
      </c>
      <c r="Q667" s="3">
        <v>44.0</v>
      </c>
      <c r="R667" s="3">
        <v>40.0</v>
      </c>
      <c r="S667" s="3">
        <v>40.0</v>
      </c>
      <c r="T667" s="3">
        <v>38.0</v>
      </c>
      <c r="U667" s="3">
        <v>36.0</v>
      </c>
      <c r="V667" s="3">
        <v>44.0</v>
      </c>
      <c r="W667" s="3">
        <v>44.0</v>
      </c>
      <c r="X667" s="3">
        <v>49.0</v>
      </c>
      <c r="Y667" s="3">
        <v>38.0</v>
      </c>
      <c r="Z667" s="3">
        <v>44.0</v>
      </c>
      <c r="AA667" s="3">
        <v>42.0</v>
      </c>
      <c r="AB667" s="3">
        <v>42.0</v>
      </c>
      <c r="AC667" s="3">
        <v>33.0</v>
      </c>
      <c r="AD667" s="3">
        <v>27.0</v>
      </c>
      <c r="AE667" s="3">
        <v>49.0</v>
      </c>
      <c r="AF667" s="3">
        <v>53.0</v>
      </c>
      <c r="AG667" s="3">
        <v>46.0</v>
      </c>
      <c r="AH667" s="3">
        <v>60.0</v>
      </c>
      <c r="AI667" s="3">
        <v>44.0</v>
      </c>
      <c r="AJ667" s="3">
        <v>52.0</v>
      </c>
      <c r="AK667" s="3">
        <v>51.0</v>
      </c>
      <c r="AL667" s="3">
        <v>43.0</v>
      </c>
      <c r="AM667" s="3">
        <v>55.0</v>
      </c>
      <c r="AN667" s="3">
        <v>40.0</v>
      </c>
    </row>
    <row r="668" ht="14.25" customHeight="1">
      <c r="A668" s="3">
        <v>666.0</v>
      </c>
      <c r="B668" s="3" t="s">
        <v>7142</v>
      </c>
      <c r="C668" s="3">
        <v>22.0</v>
      </c>
      <c r="D668" s="3" t="s">
        <v>6645</v>
      </c>
      <c r="E668" s="3" t="s">
        <v>6646</v>
      </c>
      <c r="F668" s="3" t="s">
        <v>6646</v>
      </c>
      <c r="G668" s="3" t="s">
        <v>6645</v>
      </c>
      <c r="H668" s="3" t="s">
        <v>6645</v>
      </c>
      <c r="I668" s="3" t="s">
        <v>6645</v>
      </c>
      <c r="J668" s="3">
        <v>26.0</v>
      </c>
      <c r="K668" s="3">
        <v>1.0</v>
      </c>
      <c r="L668" s="3">
        <v>0.0</v>
      </c>
      <c r="M668" s="3">
        <v>0.0</v>
      </c>
      <c r="N668" s="3">
        <v>1338.4359</v>
      </c>
      <c r="O668" s="3">
        <v>223.0</v>
      </c>
      <c r="P668" s="3" t="e">
        <v>#N/A</v>
      </c>
      <c r="Q668" s="3">
        <v>38.0</v>
      </c>
      <c r="R668" s="3">
        <v>36.0</v>
      </c>
      <c r="S668" s="3">
        <v>42.0</v>
      </c>
      <c r="T668" s="3">
        <v>44.0</v>
      </c>
      <c r="U668" s="3">
        <v>38.0</v>
      </c>
      <c r="V668" s="3">
        <v>44.0</v>
      </c>
      <c r="W668" s="3">
        <v>44.0</v>
      </c>
      <c r="X668" s="3">
        <v>48.0</v>
      </c>
      <c r="Y668" s="3">
        <v>40.0</v>
      </c>
      <c r="Z668" s="3">
        <v>36.0</v>
      </c>
      <c r="AA668" s="3">
        <v>38.0</v>
      </c>
      <c r="AB668" s="3">
        <v>32.0</v>
      </c>
      <c r="AC668" s="3">
        <v>40.0</v>
      </c>
      <c r="AD668" s="3">
        <v>36.0</v>
      </c>
      <c r="AE668" s="3">
        <v>50.0</v>
      </c>
      <c r="AF668" s="3">
        <v>37.0</v>
      </c>
      <c r="AG668" s="3">
        <v>42.0</v>
      </c>
      <c r="AH668" s="3">
        <v>38.0</v>
      </c>
      <c r="AI668" s="3">
        <v>51.0</v>
      </c>
      <c r="AJ668" s="3">
        <v>46.0</v>
      </c>
      <c r="AK668" s="3">
        <v>54.0</v>
      </c>
      <c r="AL668" s="3">
        <v>50.0</v>
      </c>
      <c r="AM668" s="3">
        <v>51.0</v>
      </c>
      <c r="AN668" s="3">
        <v>42.0</v>
      </c>
    </row>
    <row r="669" ht="14.25" customHeight="1">
      <c r="A669" s="3">
        <v>667.0</v>
      </c>
      <c r="B669" s="3" t="s">
        <v>7143</v>
      </c>
      <c r="C669" s="3">
        <v>28.0</v>
      </c>
      <c r="D669" s="3" t="s">
        <v>6645</v>
      </c>
      <c r="E669" s="3" t="s">
        <v>6646</v>
      </c>
      <c r="F669" s="3" t="s">
        <v>6646</v>
      </c>
      <c r="G669" s="3" t="s">
        <v>6645</v>
      </c>
      <c r="H669" s="3" t="s">
        <v>6645</v>
      </c>
      <c r="I669" s="3" t="s">
        <v>6645</v>
      </c>
      <c r="J669" s="3">
        <v>26.0</v>
      </c>
      <c r="K669" s="3">
        <v>1.0</v>
      </c>
      <c r="L669" s="3">
        <v>0.0</v>
      </c>
      <c r="M669" s="3">
        <v>0.0</v>
      </c>
      <c r="N669" s="3">
        <v>1333.3856</v>
      </c>
      <c r="O669" s="3">
        <v>182.0</v>
      </c>
      <c r="P669" s="3" t="e">
        <v>#N/A</v>
      </c>
      <c r="Q669" s="3">
        <v>40.0</v>
      </c>
      <c r="R669" s="3">
        <v>42.0</v>
      </c>
      <c r="S669" s="3">
        <v>40.0</v>
      </c>
      <c r="T669" s="3">
        <v>38.0</v>
      </c>
      <c r="U669" s="3">
        <v>44.0</v>
      </c>
      <c r="V669" s="3">
        <v>36.0</v>
      </c>
      <c r="W669" s="3">
        <v>42.0</v>
      </c>
      <c r="X669" s="3">
        <v>51.0</v>
      </c>
      <c r="Y669" s="3">
        <v>38.0</v>
      </c>
      <c r="Z669" s="3">
        <v>44.0</v>
      </c>
      <c r="AA669" s="3">
        <v>40.0</v>
      </c>
      <c r="AB669" s="3">
        <v>37.0</v>
      </c>
      <c r="AC669" s="3">
        <v>39.0</v>
      </c>
      <c r="AD669" s="3">
        <v>40.0</v>
      </c>
      <c r="AE669" s="3">
        <v>47.0</v>
      </c>
      <c r="AF669" s="3">
        <v>61.0</v>
      </c>
      <c r="AG669" s="3">
        <v>61.0</v>
      </c>
      <c r="AH669" s="3">
        <v>59.0</v>
      </c>
      <c r="AI669" s="3">
        <v>56.0</v>
      </c>
      <c r="AJ669" s="3">
        <v>45.0</v>
      </c>
      <c r="AK669" s="3">
        <v>55.0</v>
      </c>
      <c r="AL669" s="3">
        <v>57.0</v>
      </c>
      <c r="AM669" s="3">
        <v>32.0</v>
      </c>
      <c r="AN669" s="3">
        <v>36.0</v>
      </c>
    </row>
    <row r="670" ht="14.25" customHeight="1">
      <c r="A670" s="3">
        <v>668.0</v>
      </c>
      <c r="B670" s="3" t="s">
        <v>7144</v>
      </c>
      <c r="C670" s="3">
        <v>24.0</v>
      </c>
      <c r="D670" s="3" t="s">
        <v>6645</v>
      </c>
      <c r="E670" s="3" t="s">
        <v>6646</v>
      </c>
      <c r="F670" s="3" t="s">
        <v>6646</v>
      </c>
      <c r="G670" s="3" t="s">
        <v>6645</v>
      </c>
      <c r="H670" s="3" t="s">
        <v>6645</v>
      </c>
      <c r="I670" s="3" t="s">
        <v>6645</v>
      </c>
      <c r="J670" s="3">
        <v>26.0</v>
      </c>
      <c r="K670" s="3">
        <v>0.0</v>
      </c>
      <c r="L670" s="3">
        <v>0.0</v>
      </c>
      <c r="M670" s="3">
        <v>0.0</v>
      </c>
      <c r="N670" s="3">
        <v>494.48574</v>
      </c>
      <c r="O670" s="3">
        <v>94.0</v>
      </c>
      <c r="P670" s="3" t="e">
        <v>#N/A</v>
      </c>
      <c r="Q670" s="3">
        <v>39.0</v>
      </c>
      <c r="R670" s="3">
        <v>34.0</v>
      </c>
      <c r="S670" s="3">
        <v>35.0</v>
      </c>
      <c r="T670" s="3">
        <v>31.0</v>
      </c>
      <c r="U670" s="3">
        <v>38.0</v>
      </c>
      <c r="V670" s="3">
        <v>31.0</v>
      </c>
      <c r="W670" s="3">
        <v>29.0</v>
      </c>
      <c r="X670" s="3">
        <v>44.0</v>
      </c>
      <c r="Y670" s="3">
        <v>36.0</v>
      </c>
      <c r="Z670" s="3">
        <v>36.0</v>
      </c>
      <c r="AA670" s="3">
        <v>38.0</v>
      </c>
      <c r="AB670" s="3">
        <v>34.0</v>
      </c>
      <c r="AC670" s="3">
        <v>25.0</v>
      </c>
      <c r="AD670" s="3">
        <v>38.0</v>
      </c>
      <c r="AE670" s="3">
        <v>44.0</v>
      </c>
      <c r="AF670" s="3">
        <v>45.0</v>
      </c>
      <c r="AG670" s="3">
        <v>51.0</v>
      </c>
      <c r="AH670" s="3">
        <v>38.0</v>
      </c>
      <c r="AI670" s="3">
        <v>45.0</v>
      </c>
      <c r="AJ670" s="3">
        <v>40.0</v>
      </c>
      <c r="AK670" s="3">
        <v>47.0</v>
      </c>
      <c r="AL670" s="3">
        <v>57.0</v>
      </c>
      <c r="AM670" s="3">
        <v>57.0</v>
      </c>
      <c r="AN670" s="3">
        <v>38.0</v>
      </c>
    </row>
    <row r="671" ht="14.25" customHeight="1">
      <c r="A671" s="3">
        <v>669.0</v>
      </c>
      <c r="B671" s="3" t="s">
        <v>7145</v>
      </c>
      <c r="C671" s="3">
        <v>23.0</v>
      </c>
      <c r="D671" s="3" t="s">
        <v>6645</v>
      </c>
      <c r="E671" s="3" t="s">
        <v>6646</v>
      </c>
      <c r="F671" s="3" t="s">
        <v>6646</v>
      </c>
      <c r="G671" s="3" t="s">
        <v>6645</v>
      </c>
      <c r="H671" s="3" t="s">
        <v>6645</v>
      </c>
      <c r="I671" s="3" t="s">
        <v>6645</v>
      </c>
      <c r="J671" s="3">
        <v>26.0</v>
      </c>
      <c r="K671" s="3">
        <v>0.0</v>
      </c>
      <c r="L671" s="3">
        <v>0.0</v>
      </c>
      <c r="M671" s="3">
        <v>0.0</v>
      </c>
      <c r="N671" s="3">
        <v>500.8773</v>
      </c>
      <c r="O671" s="3">
        <v>91.0</v>
      </c>
      <c r="P671" s="3" t="e">
        <v>#N/A</v>
      </c>
      <c r="Q671" s="3">
        <v>31.0</v>
      </c>
      <c r="R671" s="3">
        <v>34.0</v>
      </c>
      <c r="S671" s="3">
        <v>30.0</v>
      </c>
      <c r="T671" s="3">
        <v>39.0</v>
      </c>
      <c r="U671" s="3">
        <v>31.0</v>
      </c>
      <c r="V671" s="3">
        <v>39.0</v>
      </c>
      <c r="W671" s="3">
        <v>37.0</v>
      </c>
      <c r="X671" s="3">
        <v>45.0</v>
      </c>
      <c r="Y671" s="3">
        <v>35.0</v>
      </c>
      <c r="Z671" s="3">
        <v>22.0</v>
      </c>
      <c r="AA671" s="3">
        <v>38.0</v>
      </c>
      <c r="AB671" s="3">
        <v>31.0</v>
      </c>
      <c r="AC671" s="3">
        <v>32.0</v>
      </c>
      <c r="AD671" s="3">
        <v>36.0</v>
      </c>
      <c r="AE671" s="3">
        <v>43.0</v>
      </c>
      <c r="AF671" s="3">
        <v>39.0</v>
      </c>
      <c r="AG671" s="3">
        <v>38.0</v>
      </c>
      <c r="AH671" s="3">
        <v>57.0</v>
      </c>
      <c r="AI671" s="3">
        <v>36.0</v>
      </c>
      <c r="AJ671" s="3">
        <v>53.0</v>
      </c>
      <c r="AK671" s="3">
        <v>50.0</v>
      </c>
      <c r="AL671" s="3">
        <v>46.0</v>
      </c>
      <c r="AM671" s="3">
        <v>32.0</v>
      </c>
      <c r="AN671" s="3">
        <v>34.0</v>
      </c>
    </row>
    <row r="672" ht="14.25" customHeight="1">
      <c r="A672" s="3">
        <v>670.0</v>
      </c>
      <c r="B672" s="3" t="s">
        <v>7146</v>
      </c>
      <c r="C672" s="3">
        <v>24.0</v>
      </c>
      <c r="D672" s="3" t="s">
        <v>6645</v>
      </c>
      <c r="E672" s="3" t="s">
        <v>6646</v>
      </c>
      <c r="F672" s="3" t="s">
        <v>6646</v>
      </c>
      <c r="G672" s="3" t="s">
        <v>6645</v>
      </c>
      <c r="H672" s="3" t="s">
        <v>6645</v>
      </c>
      <c r="I672" s="3" t="s">
        <v>6646</v>
      </c>
      <c r="J672" s="3">
        <v>26.0</v>
      </c>
      <c r="K672" s="3">
        <v>0.0</v>
      </c>
      <c r="L672" s="3">
        <v>0.0</v>
      </c>
      <c r="M672" s="3">
        <v>0.0</v>
      </c>
      <c r="N672" s="3">
        <v>392.19</v>
      </c>
      <c r="O672" s="3">
        <v>87.0</v>
      </c>
      <c r="P672" s="3" t="e">
        <v>#N/A</v>
      </c>
      <c r="Q672" s="3">
        <v>33.0</v>
      </c>
      <c r="R672" s="3">
        <v>38.0</v>
      </c>
      <c r="S672" s="3">
        <v>31.0</v>
      </c>
      <c r="T672" s="3">
        <v>32.0</v>
      </c>
      <c r="U672" s="3">
        <v>33.0</v>
      </c>
      <c r="V672" s="3">
        <v>38.0</v>
      </c>
      <c r="W672" s="3">
        <v>35.0</v>
      </c>
      <c r="X672" s="3">
        <v>43.0</v>
      </c>
      <c r="Y672" s="3">
        <v>35.0</v>
      </c>
      <c r="Z672" s="3">
        <v>31.0</v>
      </c>
      <c r="AA672" s="3">
        <v>30.0</v>
      </c>
      <c r="AB672" s="3">
        <v>33.0</v>
      </c>
      <c r="AC672" s="3">
        <v>25.0</v>
      </c>
      <c r="AD672" s="3">
        <v>33.0</v>
      </c>
      <c r="AE672" s="3">
        <v>40.0</v>
      </c>
      <c r="AF672" s="3">
        <v>43.0</v>
      </c>
      <c r="AG672" s="3">
        <v>30.0</v>
      </c>
      <c r="AH672" s="3">
        <v>55.0</v>
      </c>
      <c r="AI672" s="3">
        <v>40.0</v>
      </c>
      <c r="AJ672" s="3">
        <v>54.0</v>
      </c>
      <c r="AK672" s="3">
        <v>56.0</v>
      </c>
      <c r="AL672" s="3">
        <v>48.0</v>
      </c>
      <c r="AM672" s="3">
        <v>46.0</v>
      </c>
      <c r="AN672" s="3">
        <v>34.0</v>
      </c>
    </row>
    <row r="673" ht="14.25" customHeight="1">
      <c r="A673" s="3">
        <v>671.0</v>
      </c>
      <c r="B673" s="3" t="s">
        <v>7147</v>
      </c>
      <c r="C673" s="3">
        <v>23.0</v>
      </c>
      <c r="D673" s="3" t="s">
        <v>6645</v>
      </c>
      <c r="E673" s="3" t="s">
        <v>6646</v>
      </c>
      <c r="F673" s="3" t="s">
        <v>6646</v>
      </c>
      <c r="G673" s="3" t="s">
        <v>6645</v>
      </c>
      <c r="H673" s="3" t="s">
        <v>6645</v>
      </c>
      <c r="I673" s="3" t="s">
        <v>6646</v>
      </c>
      <c r="J673" s="3">
        <v>26.0</v>
      </c>
      <c r="K673" s="3">
        <v>0.0</v>
      </c>
      <c r="L673" s="3">
        <v>0.0</v>
      </c>
      <c r="M673" s="3">
        <v>0.0</v>
      </c>
      <c r="N673" s="3">
        <v>475.15634</v>
      </c>
      <c r="O673" s="3">
        <v>85.0</v>
      </c>
      <c r="P673" s="3" t="e">
        <v>#N/A</v>
      </c>
      <c r="Q673" s="3">
        <v>33.0</v>
      </c>
      <c r="R673" s="3">
        <v>37.0</v>
      </c>
      <c r="S673" s="3">
        <v>33.0</v>
      </c>
      <c r="T673" s="3">
        <v>34.0</v>
      </c>
      <c r="U673" s="3">
        <v>31.0</v>
      </c>
      <c r="V673" s="3">
        <v>30.0</v>
      </c>
      <c r="W673" s="3">
        <v>38.0</v>
      </c>
      <c r="X673" s="3">
        <v>48.0</v>
      </c>
      <c r="Y673" s="3">
        <v>31.0</v>
      </c>
      <c r="Z673" s="3">
        <v>32.0</v>
      </c>
      <c r="AA673" s="3">
        <v>38.0</v>
      </c>
      <c r="AB673" s="3">
        <v>22.0</v>
      </c>
      <c r="AC673" s="3">
        <v>36.0</v>
      </c>
      <c r="AD673" s="3">
        <v>32.0</v>
      </c>
      <c r="AE673" s="3">
        <v>37.0</v>
      </c>
      <c r="AF673" s="3">
        <v>48.0</v>
      </c>
      <c r="AG673" s="3">
        <v>56.0</v>
      </c>
      <c r="AH673" s="3">
        <v>57.0</v>
      </c>
      <c r="AI673" s="3">
        <v>59.0</v>
      </c>
      <c r="AJ673" s="3">
        <v>31.0</v>
      </c>
      <c r="AK673" s="3">
        <v>42.0</v>
      </c>
      <c r="AL673" s="3">
        <v>54.0</v>
      </c>
      <c r="AM673" s="3">
        <v>53.0</v>
      </c>
      <c r="AN673" s="3">
        <v>42.0</v>
      </c>
    </row>
    <row r="674" ht="14.25" customHeight="1">
      <c r="A674" s="3">
        <v>672.0</v>
      </c>
      <c r="B674" s="3" t="s">
        <v>7148</v>
      </c>
      <c r="C674" s="3">
        <v>44.0</v>
      </c>
      <c r="D674" s="3" t="s">
        <v>6645</v>
      </c>
      <c r="E674" s="3" t="s">
        <v>6646</v>
      </c>
      <c r="F674" s="3" t="s">
        <v>6646</v>
      </c>
      <c r="G674" s="3" t="s">
        <v>6645</v>
      </c>
      <c r="H674" s="3" t="s">
        <v>6645</v>
      </c>
      <c r="I674" s="3" t="s">
        <v>6645</v>
      </c>
      <c r="J674" s="3">
        <v>27.0</v>
      </c>
      <c r="K674" s="3">
        <v>5.0</v>
      </c>
      <c r="L674" s="3">
        <v>0.0</v>
      </c>
      <c r="M674" s="3">
        <v>0.0</v>
      </c>
      <c r="N674" s="3">
        <v>11778.703</v>
      </c>
      <c r="O674" s="3">
        <v>2491.0</v>
      </c>
      <c r="P674" s="3" t="e">
        <v>#N/A</v>
      </c>
      <c r="Q674" s="3">
        <v>66.0</v>
      </c>
      <c r="R674" s="3">
        <v>68.0</v>
      </c>
      <c r="S674" s="3">
        <v>71.0</v>
      </c>
      <c r="T674" s="3">
        <v>64.0</v>
      </c>
      <c r="U674" s="3">
        <v>62.0</v>
      </c>
      <c r="V674" s="3">
        <v>64.0</v>
      </c>
      <c r="W674" s="3">
        <v>72.0</v>
      </c>
      <c r="X674" s="3">
        <v>60.0</v>
      </c>
      <c r="Y674" s="3">
        <v>61.0</v>
      </c>
      <c r="Z674" s="3">
        <v>61.0</v>
      </c>
      <c r="AA674" s="3">
        <v>57.0</v>
      </c>
      <c r="AB674" s="3">
        <v>61.0</v>
      </c>
      <c r="AC674" s="3">
        <v>65.0</v>
      </c>
      <c r="AD674" s="3">
        <v>69.0</v>
      </c>
      <c r="AE674" s="3">
        <v>76.0</v>
      </c>
      <c r="AF674" s="3">
        <v>50.0</v>
      </c>
      <c r="AG674" s="3">
        <v>68.0</v>
      </c>
      <c r="AH674" s="3">
        <v>62.0</v>
      </c>
      <c r="AI674" s="3">
        <v>68.0</v>
      </c>
      <c r="AJ674" s="3">
        <v>52.0</v>
      </c>
      <c r="AK674" s="3">
        <v>66.0</v>
      </c>
      <c r="AL674" s="3">
        <v>58.0</v>
      </c>
      <c r="AM674" s="3">
        <v>70.0</v>
      </c>
      <c r="AN674" s="3">
        <v>62.0</v>
      </c>
    </row>
    <row r="675" ht="14.25" customHeight="1">
      <c r="A675" s="3">
        <v>673.0</v>
      </c>
      <c r="B675" s="3" t="s">
        <v>7149</v>
      </c>
      <c r="C675" s="3">
        <v>38.0</v>
      </c>
      <c r="D675" s="3" t="s">
        <v>6645</v>
      </c>
      <c r="E675" s="3" t="s">
        <v>6646</v>
      </c>
      <c r="F675" s="3" t="s">
        <v>6646</v>
      </c>
      <c r="G675" s="3" t="s">
        <v>6645</v>
      </c>
      <c r="H675" s="3" t="s">
        <v>6645</v>
      </c>
      <c r="I675" s="3" t="s">
        <v>6646</v>
      </c>
      <c r="J675" s="3">
        <v>27.0</v>
      </c>
      <c r="K675" s="3">
        <v>4.0</v>
      </c>
      <c r="L675" s="3">
        <v>0.0</v>
      </c>
      <c r="M675" s="3">
        <v>0.0</v>
      </c>
      <c r="N675" s="3">
        <v>8775.48</v>
      </c>
      <c r="O675" s="3">
        <v>1863.0</v>
      </c>
      <c r="P675" s="3" t="e">
        <v>#N/A</v>
      </c>
      <c r="Q675" s="3">
        <v>55.0</v>
      </c>
      <c r="R675" s="3">
        <v>58.0</v>
      </c>
      <c r="S675" s="3">
        <v>69.0</v>
      </c>
      <c r="T675" s="3">
        <v>60.0</v>
      </c>
      <c r="U675" s="3">
        <v>57.0</v>
      </c>
      <c r="V675" s="3">
        <v>54.0</v>
      </c>
      <c r="W675" s="3">
        <v>65.0</v>
      </c>
      <c r="X675" s="3">
        <v>58.0</v>
      </c>
      <c r="Y675" s="3">
        <v>61.0</v>
      </c>
      <c r="Z675" s="3">
        <v>61.0</v>
      </c>
      <c r="AA675" s="3">
        <v>58.0</v>
      </c>
      <c r="AB675" s="3">
        <v>58.0</v>
      </c>
      <c r="AC675" s="3">
        <v>62.0</v>
      </c>
      <c r="AD675" s="3">
        <v>56.0</v>
      </c>
      <c r="AE675" s="3">
        <v>65.0</v>
      </c>
      <c r="AF675" s="3">
        <v>64.0</v>
      </c>
      <c r="AG675" s="3">
        <v>60.0</v>
      </c>
      <c r="AH675" s="3">
        <v>60.0</v>
      </c>
      <c r="AI675" s="3">
        <v>41.0</v>
      </c>
      <c r="AJ675" s="3">
        <v>53.0</v>
      </c>
      <c r="AK675" s="3">
        <v>69.0</v>
      </c>
      <c r="AL675" s="3">
        <v>49.0</v>
      </c>
      <c r="AM675" s="3">
        <v>64.0</v>
      </c>
      <c r="AN675" s="3">
        <v>53.0</v>
      </c>
    </row>
    <row r="676" ht="14.25" customHeight="1">
      <c r="A676" s="3">
        <v>674.0</v>
      </c>
      <c r="B676" s="3" t="s">
        <v>7150</v>
      </c>
      <c r="C676" s="3">
        <v>42.0</v>
      </c>
      <c r="D676" s="3" t="s">
        <v>6645</v>
      </c>
      <c r="E676" s="3" t="s">
        <v>6646</v>
      </c>
      <c r="F676" s="3" t="s">
        <v>6646</v>
      </c>
      <c r="G676" s="3" t="s">
        <v>6645</v>
      </c>
      <c r="H676" s="3" t="s">
        <v>6645</v>
      </c>
      <c r="I676" s="3" t="s">
        <v>6645</v>
      </c>
      <c r="J676" s="3">
        <v>27.0</v>
      </c>
      <c r="K676" s="3">
        <v>4.0</v>
      </c>
      <c r="L676" s="3">
        <v>0.0</v>
      </c>
      <c r="M676" s="3">
        <v>0.0</v>
      </c>
      <c r="N676" s="3">
        <v>8926.3</v>
      </c>
      <c r="O676" s="3">
        <v>1226.0</v>
      </c>
      <c r="P676" s="3" t="e">
        <v>#N/A</v>
      </c>
      <c r="Q676" s="3">
        <v>58.0</v>
      </c>
      <c r="R676" s="3">
        <v>60.0</v>
      </c>
      <c r="S676" s="3">
        <v>68.0</v>
      </c>
      <c r="T676" s="3">
        <v>58.0</v>
      </c>
      <c r="U676" s="3">
        <v>55.0</v>
      </c>
      <c r="V676" s="3">
        <v>61.0</v>
      </c>
      <c r="W676" s="3">
        <v>65.0</v>
      </c>
      <c r="X676" s="3">
        <v>61.0</v>
      </c>
      <c r="Y676" s="3">
        <v>58.0</v>
      </c>
      <c r="Z676" s="3">
        <v>62.0</v>
      </c>
      <c r="AA676" s="3">
        <v>58.0</v>
      </c>
      <c r="AB676" s="3">
        <v>59.0</v>
      </c>
      <c r="AC676" s="3">
        <v>58.0</v>
      </c>
      <c r="AD676" s="3">
        <v>55.0</v>
      </c>
      <c r="AE676" s="3">
        <v>65.0</v>
      </c>
      <c r="AF676" s="3">
        <v>62.0</v>
      </c>
      <c r="AG676" s="3">
        <v>62.0</v>
      </c>
      <c r="AH676" s="3">
        <v>54.0</v>
      </c>
      <c r="AI676" s="3">
        <v>68.0</v>
      </c>
      <c r="AJ676" s="3">
        <v>62.0</v>
      </c>
      <c r="AK676" s="3">
        <v>46.0</v>
      </c>
      <c r="AL676" s="3">
        <v>69.0</v>
      </c>
      <c r="AM676" s="3">
        <v>43.0</v>
      </c>
      <c r="AN676" s="3">
        <v>41.0</v>
      </c>
    </row>
    <row r="677" ht="14.25" customHeight="1">
      <c r="A677" s="3">
        <v>675.0</v>
      </c>
      <c r="B677" s="3" t="s">
        <v>7151</v>
      </c>
      <c r="C677" s="3">
        <v>44.0</v>
      </c>
      <c r="D677" s="3" t="s">
        <v>6645</v>
      </c>
      <c r="E677" s="3" t="s">
        <v>6646</v>
      </c>
      <c r="F677" s="3" t="s">
        <v>6646</v>
      </c>
      <c r="G677" s="3" t="s">
        <v>6645</v>
      </c>
      <c r="H677" s="3" t="s">
        <v>6645</v>
      </c>
      <c r="I677" s="3" t="s">
        <v>6646</v>
      </c>
      <c r="J677" s="3">
        <v>27.0</v>
      </c>
      <c r="K677" s="3">
        <v>4.0</v>
      </c>
      <c r="L677" s="3">
        <v>0.0</v>
      </c>
      <c r="M677" s="3">
        <v>0.0</v>
      </c>
      <c r="N677" s="3">
        <v>8352.4</v>
      </c>
      <c r="O677" s="3">
        <v>1210.0</v>
      </c>
      <c r="P677" s="3" t="e">
        <v>#N/A</v>
      </c>
      <c r="Q677" s="3">
        <v>58.0</v>
      </c>
      <c r="R677" s="3">
        <v>62.0</v>
      </c>
      <c r="S677" s="3">
        <v>67.0</v>
      </c>
      <c r="T677" s="3">
        <v>59.0</v>
      </c>
      <c r="U677" s="3">
        <v>62.0</v>
      </c>
      <c r="V677" s="3">
        <v>60.0</v>
      </c>
      <c r="W677" s="3">
        <v>62.0</v>
      </c>
      <c r="X677" s="3">
        <v>53.0</v>
      </c>
      <c r="Y677" s="3">
        <v>56.0</v>
      </c>
      <c r="Z677" s="3">
        <v>60.0</v>
      </c>
      <c r="AA677" s="3">
        <v>58.0</v>
      </c>
      <c r="AB677" s="3">
        <v>59.0</v>
      </c>
      <c r="AC677" s="3">
        <v>57.0</v>
      </c>
      <c r="AD677" s="3">
        <v>63.0</v>
      </c>
      <c r="AE677" s="3">
        <v>65.0</v>
      </c>
      <c r="AF677" s="3">
        <v>46.0</v>
      </c>
      <c r="AG677" s="3">
        <v>51.0</v>
      </c>
      <c r="AH677" s="3">
        <v>40.0</v>
      </c>
      <c r="AI677" s="3">
        <v>49.0</v>
      </c>
      <c r="AJ677" s="3">
        <v>58.0</v>
      </c>
      <c r="AK677" s="3">
        <v>51.0</v>
      </c>
      <c r="AL677" s="3">
        <v>42.0</v>
      </c>
      <c r="AM677" s="3">
        <v>59.0</v>
      </c>
      <c r="AN677" s="3">
        <v>45.0</v>
      </c>
    </row>
    <row r="678" ht="14.25" customHeight="1">
      <c r="A678" s="3">
        <v>676.0</v>
      </c>
      <c r="B678" s="3" t="s">
        <v>7152</v>
      </c>
      <c r="C678" s="3">
        <v>32.0</v>
      </c>
      <c r="D678" s="3" t="s">
        <v>6645</v>
      </c>
      <c r="E678" s="3" t="s">
        <v>6646</v>
      </c>
      <c r="F678" s="3" t="s">
        <v>6646</v>
      </c>
      <c r="G678" s="3" t="s">
        <v>6645</v>
      </c>
      <c r="H678" s="3" t="s">
        <v>6645</v>
      </c>
      <c r="I678" s="3" t="s">
        <v>6646</v>
      </c>
      <c r="J678" s="3">
        <v>27.0</v>
      </c>
      <c r="K678" s="3">
        <v>3.0</v>
      </c>
      <c r="L678" s="3">
        <v>0.0</v>
      </c>
      <c r="M678" s="3">
        <v>0.0</v>
      </c>
      <c r="N678" s="3">
        <v>5536.154</v>
      </c>
      <c r="O678" s="3">
        <v>641.0</v>
      </c>
      <c r="P678" s="3" t="e">
        <v>#N/A</v>
      </c>
      <c r="Q678" s="3">
        <v>53.0</v>
      </c>
      <c r="R678" s="3">
        <v>56.0</v>
      </c>
      <c r="S678" s="3">
        <v>59.0</v>
      </c>
      <c r="T678" s="3">
        <v>49.0</v>
      </c>
      <c r="U678" s="3">
        <v>52.0</v>
      </c>
      <c r="V678" s="3">
        <v>55.0</v>
      </c>
      <c r="W678" s="3">
        <v>58.0</v>
      </c>
      <c r="X678" s="3">
        <v>49.0</v>
      </c>
      <c r="Y678" s="3">
        <v>45.0</v>
      </c>
      <c r="Z678" s="3">
        <v>55.0</v>
      </c>
      <c r="AA678" s="3">
        <v>57.0</v>
      </c>
      <c r="AB678" s="3">
        <v>57.0</v>
      </c>
      <c r="AC678" s="3">
        <v>51.0</v>
      </c>
      <c r="AD678" s="3">
        <v>51.0</v>
      </c>
      <c r="AE678" s="3">
        <v>59.0</v>
      </c>
      <c r="AF678" s="3">
        <v>40.0</v>
      </c>
      <c r="AG678" s="3">
        <v>62.0</v>
      </c>
      <c r="AH678" s="3">
        <v>58.0</v>
      </c>
      <c r="AI678" s="3">
        <v>38.0</v>
      </c>
      <c r="AJ678" s="3">
        <v>58.0</v>
      </c>
      <c r="AK678" s="3">
        <v>40.0</v>
      </c>
      <c r="AL678" s="3">
        <v>44.0</v>
      </c>
      <c r="AM678" s="3">
        <v>44.0</v>
      </c>
      <c r="AN678" s="3">
        <v>56.0</v>
      </c>
    </row>
    <row r="679" ht="14.25" customHeight="1">
      <c r="A679" s="3">
        <v>677.0</v>
      </c>
      <c r="B679" s="3" t="s">
        <v>7153</v>
      </c>
      <c r="C679" s="3">
        <v>39.0</v>
      </c>
      <c r="D679" s="3" t="s">
        <v>6645</v>
      </c>
      <c r="E679" s="3" t="s">
        <v>6646</v>
      </c>
      <c r="F679" s="3" t="s">
        <v>6646</v>
      </c>
      <c r="G679" s="3" t="s">
        <v>6645</v>
      </c>
      <c r="H679" s="3" t="s">
        <v>6645</v>
      </c>
      <c r="I679" s="3" t="s">
        <v>6646</v>
      </c>
      <c r="J679" s="3">
        <v>27.0</v>
      </c>
      <c r="K679" s="3">
        <v>3.0</v>
      </c>
      <c r="L679" s="3">
        <v>0.0</v>
      </c>
      <c r="M679" s="3">
        <v>0.0</v>
      </c>
      <c r="N679" s="3">
        <v>6175.6293</v>
      </c>
      <c r="O679" s="3">
        <v>655.0</v>
      </c>
      <c r="P679" s="3" t="e">
        <v>#N/A</v>
      </c>
      <c r="Q679" s="3">
        <v>54.0</v>
      </c>
      <c r="R679" s="3">
        <v>54.0</v>
      </c>
      <c r="S679" s="3">
        <v>51.0</v>
      </c>
      <c r="T679" s="3">
        <v>56.0</v>
      </c>
      <c r="U679" s="3">
        <v>51.0</v>
      </c>
      <c r="V679" s="3">
        <v>52.0</v>
      </c>
      <c r="W679" s="3">
        <v>59.0</v>
      </c>
      <c r="X679" s="3">
        <v>50.0</v>
      </c>
      <c r="Y679" s="3">
        <v>57.0</v>
      </c>
      <c r="Z679" s="3">
        <v>51.0</v>
      </c>
      <c r="AA679" s="3">
        <v>50.0</v>
      </c>
      <c r="AB679" s="3">
        <v>56.0</v>
      </c>
      <c r="AC679" s="3">
        <v>48.0</v>
      </c>
      <c r="AD679" s="3">
        <v>49.0</v>
      </c>
      <c r="AE679" s="3">
        <v>64.0</v>
      </c>
      <c r="AF679" s="3">
        <v>56.0</v>
      </c>
      <c r="AG679" s="3">
        <v>42.0</v>
      </c>
      <c r="AH679" s="3">
        <v>42.0</v>
      </c>
      <c r="AI679" s="3">
        <v>46.0</v>
      </c>
      <c r="AJ679" s="3">
        <v>50.0</v>
      </c>
      <c r="AK679" s="3">
        <v>38.0</v>
      </c>
      <c r="AL679" s="3">
        <v>38.0</v>
      </c>
      <c r="AM679" s="3">
        <v>44.0</v>
      </c>
      <c r="AN679" s="3">
        <v>42.0</v>
      </c>
    </row>
    <row r="680" ht="14.25" customHeight="1">
      <c r="A680" s="3">
        <v>678.0</v>
      </c>
      <c r="B680" s="3" t="s">
        <v>7154</v>
      </c>
      <c r="C680" s="3">
        <v>35.0</v>
      </c>
      <c r="D680" s="3" t="s">
        <v>6645</v>
      </c>
      <c r="E680" s="3" t="s">
        <v>6646</v>
      </c>
      <c r="F680" s="3" t="s">
        <v>6646</v>
      </c>
      <c r="G680" s="3" t="s">
        <v>6645</v>
      </c>
      <c r="H680" s="3" t="s">
        <v>6645</v>
      </c>
      <c r="I680" s="3" t="s">
        <v>6645</v>
      </c>
      <c r="J680" s="3">
        <v>27.0</v>
      </c>
      <c r="K680" s="3">
        <v>3.0</v>
      </c>
      <c r="L680" s="3">
        <v>0.0</v>
      </c>
      <c r="M680" s="3">
        <v>0.0</v>
      </c>
      <c r="N680" s="3">
        <v>5859.6464</v>
      </c>
      <c r="O680" s="3">
        <v>962.0</v>
      </c>
      <c r="P680" s="3" t="e">
        <v>#N/A</v>
      </c>
      <c r="Q680" s="3">
        <v>48.0</v>
      </c>
      <c r="R680" s="3">
        <v>49.0</v>
      </c>
      <c r="S680" s="3">
        <v>53.0</v>
      </c>
      <c r="T680" s="3">
        <v>55.0</v>
      </c>
      <c r="U680" s="3">
        <v>49.0</v>
      </c>
      <c r="V680" s="3">
        <v>53.0</v>
      </c>
      <c r="W680" s="3">
        <v>61.0</v>
      </c>
      <c r="X680" s="3">
        <v>56.0</v>
      </c>
      <c r="Y680" s="3">
        <v>45.0</v>
      </c>
      <c r="Z680" s="3">
        <v>57.0</v>
      </c>
      <c r="AA680" s="3">
        <v>56.0</v>
      </c>
      <c r="AB680" s="3">
        <v>49.0</v>
      </c>
      <c r="AC680" s="3">
        <v>43.0</v>
      </c>
      <c r="AD680" s="3">
        <v>56.0</v>
      </c>
      <c r="AE680" s="3">
        <v>67.0</v>
      </c>
      <c r="AF680" s="3">
        <v>48.0</v>
      </c>
      <c r="AG680" s="3">
        <v>58.0</v>
      </c>
      <c r="AH680" s="3">
        <v>64.0</v>
      </c>
      <c r="AI680" s="3">
        <v>52.0</v>
      </c>
      <c r="AJ680" s="3">
        <v>56.0</v>
      </c>
      <c r="AK680" s="3">
        <v>50.0</v>
      </c>
      <c r="AL680" s="3">
        <v>42.0</v>
      </c>
      <c r="AM680" s="3">
        <v>60.0</v>
      </c>
      <c r="AN680" s="3">
        <v>52.0</v>
      </c>
    </row>
    <row r="681" ht="14.25" customHeight="1">
      <c r="A681" s="3">
        <v>679.0</v>
      </c>
      <c r="B681" s="3" t="s">
        <v>7155</v>
      </c>
      <c r="C681" s="3">
        <v>30.0</v>
      </c>
      <c r="D681" s="3" t="s">
        <v>6645</v>
      </c>
      <c r="E681" s="3" t="s">
        <v>6646</v>
      </c>
      <c r="F681" s="3" t="s">
        <v>6646</v>
      </c>
      <c r="G681" s="3" t="s">
        <v>6645</v>
      </c>
      <c r="H681" s="3" t="s">
        <v>6645</v>
      </c>
      <c r="I681" s="3" t="s">
        <v>6646</v>
      </c>
      <c r="J681" s="3">
        <v>27.0</v>
      </c>
      <c r="K681" s="3">
        <v>2.0</v>
      </c>
      <c r="L681" s="3">
        <v>0.0</v>
      </c>
      <c r="M681" s="3">
        <v>0.0</v>
      </c>
      <c r="N681" s="3">
        <v>3582.44</v>
      </c>
      <c r="O681" s="3">
        <v>379.0</v>
      </c>
      <c r="P681" s="3" t="e">
        <v>#N/A</v>
      </c>
      <c r="Q681" s="3">
        <v>50.0</v>
      </c>
      <c r="R681" s="3">
        <v>47.0</v>
      </c>
      <c r="S681" s="3">
        <v>43.0</v>
      </c>
      <c r="T681" s="3">
        <v>49.0</v>
      </c>
      <c r="U681" s="3">
        <v>51.0</v>
      </c>
      <c r="V681" s="3">
        <v>50.0</v>
      </c>
      <c r="W681" s="3">
        <v>50.0</v>
      </c>
      <c r="X681" s="3">
        <v>45.0</v>
      </c>
      <c r="Y681" s="3">
        <v>43.0</v>
      </c>
      <c r="Z681" s="3">
        <v>51.0</v>
      </c>
      <c r="AA681" s="3">
        <v>46.0</v>
      </c>
      <c r="AB681" s="3">
        <v>44.0</v>
      </c>
      <c r="AC681" s="3">
        <v>44.0</v>
      </c>
      <c r="AD681" s="3">
        <v>51.0</v>
      </c>
      <c r="AE681" s="3">
        <v>46.0</v>
      </c>
      <c r="AF681" s="3">
        <v>55.0</v>
      </c>
      <c r="AG681" s="3">
        <v>59.0</v>
      </c>
      <c r="AH681" s="3">
        <v>35.0</v>
      </c>
      <c r="AI681" s="3">
        <v>61.0</v>
      </c>
      <c r="AJ681" s="3">
        <v>43.0</v>
      </c>
      <c r="AK681" s="3">
        <v>59.0</v>
      </c>
      <c r="AL681" s="3">
        <v>42.0</v>
      </c>
      <c r="AM681" s="3">
        <v>62.0</v>
      </c>
      <c r="AN681" s="3">
        <v>58.0</v>
      </c>
    </row>
    <row r="682" ht="14.25" customHeight="1">
      <c r="A682" s="3">
        <v>680.0</v>
      </c>
      <c r="B682" s="3" t="s">
        <v>7156</v>
      </c>
      <c r="C682" s="3">
        <v>33.0</v>
      </c>
      <c r="D682" s="3" t="s">
        <v>6645</v>
      </c>
      <c r="E682" s="3" t="s">
        <v>6646</v>
      </c>
      <c r="F682" s="3" t="s">
        <v>6646</v>
      </c>
      <c r="G682" s="3" t="s">
        <v>6645</v>
      </c>
      <c r="H682" s="3" t="s">
        <v>6645</v>
      </c>
      <c r="I682" s="3" t="s">
        <v>6645</v>
      </c>
      <c r="J682" s="3">
        <v>27.0</v>
      </c>
      <c r="K682" s="3">
        <v>2.0</v>
      </c>
      <c r="L682" s="3">
        <v>0.0</v>
      </c>
      <c r="M682" s="3">
        <v>0.0</v>
      </c>
      <c r="N682" s="3">
        <v>3361.65</v>
      </c>
      <c r="O682" s="3">
        <v>302.0</v>
      </c>
      <c r="P682" s="3" t="e">
        <v>#N/A</v>
      </c>
      <c r="Q682" s="3">
        <v>43.0</v>
      </c>
      <c r="R682" s="3">
        <v>48.0</v>
      </c>
      <c r="S682" s="3">
        <v>43.0</v>
      </c>
      <c r="T682" s="3">
        <v>51.0</v>
      </c>
      <c r="U682" s="3">
        <v>46.0</v>
      </c>
      <c r="V682" s="3">
        <v>43.0</v>
      </c>
      <c r="W682" s="3">
        <v>50.0</v>
      </c>
      <c r="X682" s="3">
        <v>48.0</v>
      </c>
      <c r="Y682" s="3">
        <v>46.0</v>
      </c>
      <c r="Z682" s="3">
        <v>44.0</v>
      </c>
      <c r="AA682" s="3">
        <v>40.0</v>
      </c>
      <c r="AB682" s="3">
        <v>46.0</v>
      </c>
      <c r="AC682" s="3">
        <v>43.0</v>
      </c>
      <c r="AD682" s="3">
        <v>46.0</v>
      </c>
      <c r="AE682" s="3">
        <v>48.0</v>
      </c>
      <c r="AF682" s="3">
        <v>44.0</v>
      </c>
      <c r="AG682" s="3">
        <v>45.0</v>
      </c>
      <c r="AH682" s="3">
        <v>41.0</v>
      </c>
      <c r="AI682" s="3">
        <v>39.0</v>
      </c>
      <c r="AJ682" s="3">
        <v>50.0</v>
      </c>
      <c r="AK682" s="3">
        <v>42.0</v>
      </c>
      <c r="AL682" s="3">
        <v>40.0</v>
      </c>
      <c r="AM682" s="3">
        <v>48.0</v>
      </c>
      <c r="AN682" s="3">
        <v>46.0</v>
      </c>
    </row>
    <row r="683" ht="14.25" customHeight="1">
      <c r="A683" s="3">
        <v>681.0</v>
      </c>
      <c r="B683" s="3" t="s">
        <v>7157</v>
      </c>
      <c r="C683" s="3">
        <v>27.0</v>
      </c>
      <c r="D683" s="3" t="s">
        <v>6645</v>
      </c>
      <c r="E683" s="3" t="s">
        <v>6646</v>
      </c>
      <c r="F683" s="3" t="s">
        <v>6646</v>
      </c>
      <c r="G683" s="3" t="s">
        <v>6645</v>
      </c>
      <c r="H683" s="3" t="s">
        <v>6645</v>
      </c>
      <c r="I683" s="3" t="s">
        <v>6645</v>
      </c>
      <c r="J683" s="3">
        <v>27.0</v>
      </c>
      <c r="K683" s="3">
        <v>2.0</v>
      </c>
      <c r="L683" s="3">
        <v>0.0</v>
      </c>
      <c r="M683" s="3">
        <v>0.0</v>
      </c>
      <c r="N683" s="3">
        <v>3444.9194</v>
      </c>
      <c r="O683" s="3">
        <v>327.0</v>
      </c>
      <c r="P683" s="3" t="e">
        <v>#N/A</v>
      </c>
      <c r="Q683" s="3">
        <v>43.0</v>
      </c>
      <c r="R683" s="3">
        <v>50.0</v>
      </c>
      <c r="S683" s="3">
        <v>45.0</v>
      </c>
      <c r="T683" s="3">
        <v>50.0</v>
      </c>
      <c r="U683" s="3">
        <v>50.0</v>
      </c>
      <c r="V683" s="3">
        <v>51.0</v>
      </c>
      <c r="W683" s="3">
        <v>47.0</v>
      </c>
      <c r="X683" s="3">
        <v>51.0</v>
      </c>
      <c r="Y683" s="3">
        <v>46.0</v>
      </c>
      <c r="Z683" s="3">
        <v>43.0</v>
      </c>
      <c r="AA683" s="3">
        <v>44.0</v>
      </c>
      <c r="AB683" s="3">
        <v>50.0</v>
      </c>
      <c r="AC683" s="3">
        <v>48.0</v>
      </c>
      <c r="AD683" s="3">
        <v>43.0</v>
      </c>
      <c r="AE683" s="3">
        <v>47.0</v>
      </c>
      <c r="AF683" s="3">
        <v>57.0</v>
      </c>
      <c r="AG683" s="3">
        <v>52.0</v>
      </c>
      <c r="AH683" s="3">
        <v>51.0</v>
      </c>
      <c r="AI683" s="3">
        <v>45.0</v>
      </c>
      <c r="AJ683" s="3">
        <v>63.0</v>
      </c>
      <c r="AK683" s="3">
        <v>59.0</v>
      </c>
      <c r="AL683" s="3">
        <v>53.0</v>
      </c>
      <c r="AM683" s="3">
        <v>64.0</v>
      </c>
      <c r="AN683" s="3">
        <v>54.0</v>
      </c>
    </row>
    <row r="684" ht="14.25" customHeight="1">
      <c r="A684" s="3">
        <v>682.0</v>
      </c>
      <c r="B684" s="3" t="s">
        <v>7158</v>
      </c>
      <c r="C684" s="3">
        <v>31.0</v>
      </c>
      <c r="D684" s="3" t="s">
        <v>6645</v>
      </c>
      <c r="E684" s="3" t="s">
        <v>6646</v>
      </c>
      <c r="F684" s="3" t="s">
        <v>6646</v>
      </c>
      <c r="G684" s="3" t="s">
        <v>6645</v>
      </c>
      <c r="H684" s="3" t="s">
        <v>6645</v>
      </c>
      <c r="I684" s="3" t="s">
        <v>6645</v>
      </c>
      <c r="J684" s="3">
        <v>27.0</v>
      </c>
      <c r="K684" s="3">
        <v>2.0</v>
      </c>
      <c r="L684" s="3">
        <v>0.0</v>
      </c>
      <c r="M684" s="3">
        <v>0.0</v>
      </c>
      <c r="N684" s="3">
        <v>3516.0776</v>
      </c>
      <c r="O684" s="3">
        <v>485.0</v>
      </c>
      <c r="P684" s="3" t="e">
        <v>#N/A</v>
      </c>
      <c r="Q684" s="3">
        <v>44.0</v>
      </c>
      <c r="R684" s="3">
        <v>45.0</v>
      </c>
      <c r="S684" s="3">
        <v>47.0</v>
      </c>
      <c r="T684" s="3">
        <v>50.0</v>
      </c>
      <c r="U684" s="3">
        <v>48.0</v>
      </c>
      <c r="V684" s="3">
        <v>43.0</v>
      </c>
      <c r="W684" s="3">
        <v>59.0</v>
      </c>
      <c r="X684" s="3">
        <v>48.0</v>
      </c>
      <c r="Y684" s="3">
        <v>42.0</v>
      </c>
      <c r="Z684" s="3">
        <v>51.0</v>
      </c>
      <c r="AA684" s="3">
        <v>38.0</v>
      </c>
      <c r="AB684" s="3">
        <v>43.0</v>
      </c>
      <c r="AC684" s="3">
        <v>44.0</v>
      </c>
      <c r="AD684" s="3">
        <v>38.0</v>
      </c>
      <c r="AE684" s="3">
        <v>50.0</v>
      </c>
      <c r="AF684" s="3">
        <v>45.0</v>
      </c>
      <c r="AG684" s="3">
        <v>57.0</v>
      </c>
      <c r="AH684" s="3">
        <v>39.0</v>
      </c>
      <c r="AI684" s="3">
        <v>50.0</v>
      </c>
      <c r="AJ684" s="3">
        <v>42.0</v>
      </c>
      <c r="AK684" s="3">
        <v>43.0</v>
      </c>
      <c r="AL684" s="3">
        <v>58.0</v>
      </c>
      <c r="AM684" s="3">
        <v>42.0</v>
      </c>
      <c r="AN684" s="3">
        <v>37.0</v>
      </c>
    </row>
    <row r="685" ht="14.25" customHeight="1">
      <c r="A685" s="3">
        <v>683.0</v>
      </c>
      <c r="B685" s="3" t="s">
        <v>7159</v>
      </c>
      <c r="C685" s="3">
        <v>21.0</v>
      </c>
      <c r="D685" s="3" t="s">
        <v>6645</v>
      </c>
      <c r="E685" s="3" t="s">
        <v>6646</v>
      </c>
      <c r="F685" s="3" t="s">
        <v>6646</v>
      </c>
      <c r="G685" s="3" t="s">
        <v>6645</v>
      </c>
      <c r="H685" s="3" t="s">
        <v>6645</v>
      </c>
      <c r="I685" s="3" t="s">
        <v>6645</v>
      </c>
      <c r="J685" s="3">
        <v>27.0</v>
      </c>
      <c r="K685" s="3">
        <v>1.0</v>
      </c>
      <c r="L685" s="3">
        <v>0.0</v>
      </c>
      <c r="M685" s="3">
        <v>0.0</v>
      </c>
      <c r="N685" s="3">
        <v>1392.8034</v>
      </c>
      <c r="O685" s="3">
        <v>212.0</v>
      </c>
      <c r="P685" s="3" t="e">
        <v>#N/A</v>
      </c>
      <c r="Q685" s="3">
        <v>36.0</v>
      </c>
      <c r="R685" s="3">
        <v>45.0</v>
      </c>
      <c r="S685" s="3">
        <v>38.0</v>
      </c>
      <c r="T685" s="3">
        <v>43.0</v>
      </c>
      <c r="U685" s="3">
        <v>39.0</v>
      </c>
      <c r="V685" s="3">
        <v>36.0</v>
      </c>
      <c r="W685" s="3">
        <v>51.0</v>
      </c>
      <c r="X685" s="3">
        <v>42.0</v>
      </c>
      <c r="Y685" s="3">
        <v>36.0</v>
      </c>
      <c r="Z685" s="3">
        <v>28.0</v>
      </c>
      <c r="AA685" s="3">
        <v>44.0</v>
      </c>
      <c r="AB685" s="3">
        <v>44.0</v>
      </c>
      <c r="AC685" s="3">
        <v>42.0</v>
      </c>
      <c r="AD685" s="3">
        <v>33.0</v>
      </c>
      <c r="AE685" s="3">
        <v>48.0</v>
      </c>
      <c r="AF685" s="3">
        <v>46.0</v>
      </c>
      <c r="AG685" s="3">
        <v>46.0</v>
      </c>
      <c r="AH685" s="3">
        <v>36.0</v>
      </c>
      <c r="AI685" s="3">
        <v>42.0</v>
      </c>
      <c r="AJ685" s="3">
        <v>46.0</v>
      </c>
      <c r="AK685" s="3">
        <v>36.0</v>
      </c>
      <c r="AL685" s="3">
        <v>44.0</v>
      </c>
      <c r="AM685" s="3">
        <v>42.0</v>
      </c>
      <c r="AN685" s="3">
        <v>58.0</v>
      </c>
    </row>
    <row r="686" ht="14.25" customHeight="1">
      <c r="A686" s="3">
        <v>684.0</v>
      </c>
      <c r="B686" s="3" t="s">
        <v>7160</v>
      </c>
      <c r="C686" s="3">
        <v>25.0</v>
      </c>
      <c r="D686" s="3" t="s">
        <v>6645</v>
      </c>
      <c r="E686" s="3" t="s">
        <v>6646</v>
      </c>
      <c r="F686" s="3" t="s">
        <v>6646</v>
      </c>
      <c r="G686" s="3" t="s">
        <v>6645</v>
      </c>
      <c r="H686" s="3" t="s">
        <v>6645</v>
      </c>
      <c r="I686" s="3" t="s">
        <v>6646</v>
      </c>
      <c r="J686" s="3">
        <v>27.0</v>
      </c>
      <c r="K686" s="3">
        <v>1.0</v>
      </c>
      <c r="L686" s="3">
        <v>0.0</v>
      </c>
      <c r="M686" s="3">
        <v>0.0</v>
      </c>
      <c r="N686" s="3">
        <v>1366.2248</v>
      </c>
      <c r="O686" s="3">
        <v>219.0</v>
      </c>
      <c r="P686" s="3" t="e">
        <v>#N/A</v>
      </c>
      <c r="Q686" s="3">
        <v>38.0</v>
      </c>
      <c r="R686" s="3">
        <v>40.0</v>
      </c>
      <c r="S686" s="3">
        <v>36.0</v>
      </c>
      <c r="T686" s="3">
        <v>42.0</v>
      </c>
      <c r="U686" s="3">
        <v>41.0</v>
      </c>
      <c r="V686" s="3">
        <v>36.0</v>
      </c>
      <c r="W686" s="3">
        <v>45.0</v>
      </c>
      <c r="X686" s="3">
        <v>34.0</v>
      </c>
      <c r="Y686" s="3">
        <v>37.0</v>
      </c>
      <c r="Z686" s="3">
        <v>44.0</v>
      </c>
      <c r="AA686" s="3">
        <v>37.0</v>
      </c>
      <c r="AB686" s="3">
        <v>30.0</v>
      </c>
      <c r="AC686" s="3">
        <v>39.0</v>
      </c>
      <c r="AD686" s="3">
        <v>36.0</v>
      </c>
      <c r="AE686" s="3">
        <v>48.0</v>
      </c>
      <c r="AF686" s="3">
        <v>42.0</v>
      </c>
      <c r="AG686" s="3">
        <v>38.0</v>
      </c>
      <c r="AH686" s="3">
        <v>42.0</v>
      </c>
      <c r="AI686" s="3">
        <v>40.0</v>
      </c>
      <c r="AJ686" s="3">
        <v>58.0</v>
      </c>
      <c r="AK686" s="3">
        <v>58.0</v>
      </c>
      <c r="AL686" s="3">
        <v>58.0</v>
      </c>
      <c r="AM686" s="3">
        <v>42.0</v>
      </c>
      <c r="AN686" s="3">
        <v>42.0</v>
      </c>
    </row>
    <row r="687" ht="14.25" customHeight="1">
      <c r="A687" s="3">
        <v>685.0</v>
      </c>
      <c r="B687" s="3" t="s">
        <v>7161</v>
      </c>
      <c r="C687" s="3">
        <v>22.0</v>
      </c>
      <c r="D687" s="3" t="s">
        <v>6645</v>
      </c>
      <c r="E687" s="3" t="s">
        <v>6646</v>
      </c>
      <c r="F687" s="3" t="s">
        <v>6646</v>
      </c>
      <c r="G687" s="3" t="s">
        <v>6645</v>
      </c>
      <c r="H687" s="3" t="s">
        <v>6645</v>
      </c>
      <c r="I687" s="3" t="s">
        <v>6646</v>
      </c>
      <c r="J687" s="3">
        <v>27.0</v>
      </c>
      <c r="K687" s="3">
        <v>1.0</v>
      </c>
      <c r="L687" s="3">
        <v>0.0</v>
      </c>
      <c r="M687" s="3">
        <v>0.0</v>
      </c>
      <c r="N687" s="3">
        <v>1333.5</v>
      </c>
      <c r="O687" s="3">
        <v>161.0</v>
      </c>
      <c r="P687" s="3" t="e">
        <v>#N/A</v>
      </c>
      <c r="Q687" s="3">
        <v>36.0</v>
      </c>
      <c r="R687" s="3">
        <v>43.0</v>
      </c>
      <c r="S687" s="3">
        <v>44.0</v>
      </c>
      <c r="T687" s="3">
        <v>42.0</v>
      </c>
      <c r="U687" s="3">
        <v>40.0</v>
      </c>
      <c r="V687" s="3">
        <v>40.0</v>
      </c>
      <c r="W687" s="3">
        <v>54.0</v>
      </c>
      <c r="X687" s="3">
        <v>30.0</v>
      </c>
      <c r="Y687" s="3">
        <v>41.0</v>
      </c>
      <c r="Z687" s="3">
        <v>38.0</v>
      </c>
      <c r="AA687" s="3">
        <v>30.0</v>
      </c>
      <c r="AB687" s="3">
        <v>39.0</v>
      </c>
      <c r="AC687" s="3">
        <v>43.0</v>
      </c>
      <c r="AD687" s="3">
        <v>43.0</v>
      </c>
      <c r="AE687" s="3">
        <v>44.0</v>
      </c>
      <c r="AF687" s="3">
        <v>44.0</v>
      </c>
      <c r="AG687" s="3">
        <v>58.0</v>
      </c>
      <c r="AH687" s="3">
        <v>38.0</v>
      </c>
      <c r="AI687" s="3">
        <v>58.0</v>
      </c>
      <c r="AJ687" s="3">
        <v>40.0</v>
      </c>
      <c r="AK687" s="3">
        <v>56.0</v>
      </c>
      <c r="AL687" s="3">
        <v>56.0</v>
      </c>
      <c r="AM687" s="3">
        <v>34.0</v>
      </c>
      <c r="AN687" s="3">
        <v>52.0</v>
      </c>
    </row>
    <row r="688" ht="14.25" customHeight="1">
      <c r="A688" s="3">
        <v>686.0</v>
      </c>
      <c r="B688" s="3" t="s">
        <v>7162</v>
      </c>
      <c r="C688" s="3">
        <v>24.0</v>
      </c>
      <c r="D688" s="3" t="s">
        <v>6645</v>
      </c>
      <c r="E688" s="3" t="s">
        <v>6646</v>
      </c>
      <c r="F688" s="3" t="s">
        <v>6646</v>
      </c>
      <c r="G688" s="3" t="s">
        <v>6645</v>
      </c>
      <c r="H688" s="3" t="s">
        <v>6645</v>
      </c>
      <c r="I688" s="3" t="s">
        <v>6646</v>
      </c>
      <c r="J688" s="3">
        <v>27.0</v>
      </c>
      <c r="K688" s="3">
        <v>1.0</v>
      </c>
      <c r="L688" s="3">
        <v>0.0</v>
      </c>
      <c r="M688" s="3">
        <v>0.0</v>
      </c>
      <c r="N688" s="3">
        <v>1459.0477</v>
      </c>
      <c r="O688" s="3">
        <v>248.0</v>
      </c>
      <c r="P688" s="3" t="e">
        <v>#N/A</v>
      </c>
      <c r="Q688" s="3">
        <v>37.0</v>
      </c>
      <c r="R688" s="3">
        <v>38.0</v>
      </c>
      <c r="S688" s="3">
        <v>39.0</v>
      </c>
      <c r="T688" s="3">
        <v>40.0</v>
      </c>
      <c r="U688" s="3">
        <v>37.0</v>
      </c>
      <c r="V688" s="3">
        <v>42.0</v>
      </c>
      <c r="W688" s="3">
        <v>52.0</v>
      </c>
      <c r="X688" s="3">
        <v>37.0</v>
      </c>
      <c r="Y688" s="3">
        <v>42.0</v>
      </c>
      <c r="Z688" s="3">
        <v>44.0</v>
      </c>
      <c r="AA688" s="3">
        <v>39.0</v>
      </c>
      <c r="AB688" s="3">
        <v>40.0</v>
      </c>
      <c r="AC688" s="3">
        <v>35.0</v>
      </c>
      <c r="AD688" s="3">
        <v>37.0</v>
      </c>
      <c r="AE688" s="3">
        <v>49.0</v>
      </c>
      <c r="AF688" s="3">
        <v>46.0</v>
      </c>
      <c r="AG688" s="3">
        <v>60.0</v>
      </c>
      <c r="AH688" s="3">
        <v>34.0</v>
      </c>
      <c r="AI688" s="3">
        <v>58.0</v>
      </c>
      <c r="AJ688" s="3">
        <v>60.0</v>
      </c>
      <c r="AK688" s="3">
        <v>36.0</v>
      </c>
      <c r="AL688" s="3">
        <v>56.0</v>
      </c>
      <c r="AM688" s="3">
        <v>52.0</v>
      </c>
      <c r="AN688" s="3">
        <v>50.0</v>
      </c>
    </row>
    <row r="689" ht="14.25" customHeight="1">
      <c r="A689" s="3">
        <v>687.0</v>
      </c>
      <c r="B689" s="3" t="s">
        <v>7163</v>
      </c>
      <c r="C689" s="3">
        <v>18.0</v>
      </c>
      <c r="D689" s="3" t="s">
        <v>6645</v>
      </c>
      <c r="E689" s="3" t="s">
        <v>6646</v>
      </c>
      <c r="F689" s="3" t="s">
        <v>6646</v>
      </c>
      <c r="G689" s="3" t="s">
        <v>6645</v>
      </c>
      <c r="H689" s="3" t="s">
        <v>6645</v>
      </c>
      <c r="I689" s="3" t="s">
        <v>6646</v>
      </c>
      <c r="J689" s="3">
        <v>27.0</v>
      </c>
      <c r="K689" s="3">
        <v>0.0</v>
      </c>
      <c r="L689" s="3">
        <v>0.0</v>
      </c>
      <c r="M689" s="3">
        <v>0.0</v>
      </c>
      <c r="N689" s="3">
        <v>462.096</v>
      </c>
      <c r="O689" s="3">
        <v>123.0</v>
      </c>
      <c r="P689" s="3" t="e">
        <v>#N/A</v>
      </c>
      <c r="Q689" s="3">
        <v>35.0</v>
      </c>
      <c r="R689" s="3">
        <v>36.0</v>
      </c>
      <c r="S689" s="3">
        <v>34.0</v>
      </c>
      <c r="T689" s="3">
        <v>33.0</v>
      </c>
      <c r="U689" s="3">
        <v>37.0</v>
      </c>
      <c r="V689" s="3">
        <v>33.0</v>
      </c>
      <c r="W689" s="3">
        <v>43.0</v>
      </c>
      <c r="X689" s="3">
        <v>26.0</v>
      </c>
      <c r="Y689" s="3">
        <v>39.0</v>
      </c>
      <c r="Z689" s="3">
        <v>33.0</v>
      </c>
      <c r="AA689" s="3">
        <v>29.0</v>
      </c>
      <c r="AB689" s="3">
        <v>31.0</v>
      </c>
      <c r="AC689" s="3">
        <v>34.0</v>
      </c>
      <c r="AD689" s="3">
        <v>37.0</v>
      </c>
      <c r="AE689" s="3">
        <v>40.0</v>
      </c>
      <c r="AF689" s="3">
        <v>47.0</v>
      </c>
      <c r="AG689" s="3">
        <v>58.0</v>
      </c>
      <c r="AH689" s="3">
        <v>41.0</v>
      </c>
      <c r="AI689" s="3">
        <v>34.0</v>
      </c>
      <c r="AJ689" s="3">
        <v>33.0</v>
      </c>
      <c r="AK689" s="3">
        <v>53.0</v>
      </c>
      <c r="AL689" s="3">
        <v>46.0</v>
      </c>
      <c r="AM689" s="3">
        <v>40.0</v>
      </c>
      <c r="AN689" s="3">
        <v>47.0</v>
      </c>
    </row>
    <row r="690" ht="14.25" customHeight="1">
      <c r="A690" s="3">
        <v>688.0</v>
      </c>
      <c r="B690" s="3" t="s">
        <v>7164</v>
      </c>
      <c r="C690" s="3">
        <v>22.0</v>
      </c>
      <c r="D690" s="3" t="s">
        <v>6645</v>
      </c>
      <c r="E690" s="3" t="s">
        <v>6646</v>
      </c>
      <c r="F690" s="3" t="s">
        <v>6646</v>
      </c>
      <c r="G690" s="3" t="s">
        <v>6645</v>
      </c>
      <c r="H690" s="3" t="s">
        <v>6645</v>
      </c>
      <c r="I690" s="3" t="s">
        <v>6646</v>
      </c>
      <c r="J690" s="3">
        <v>27.0</v>
      </c>
      <c r="K690" s="3">
        <v>0.0</v>
      </c>
      <c r="L690" s="3">
        <v>0.0</v>
      </c>
      <c r="M690" s="3">
        <v>0.0</v>
      </c>
      <c r="N690" s="3">
        <v>565.11566</v>
      </c>
      <c r="O690" s="3">
        <v>113.0</v>
      </c>
      <c r="P690" s="3" t="e">
        <v>#N/A</v>
      </c>
      <c r="Q690" s="3">
        <v>36.0</v>
      </c>
      <c r="R690" s="3">
        <v>32.0</v>
      </c>
      <c r="S690" s="3">
        <v>37.0</v>
      </c>
      <c r="T690" s="3">
        <v>32.0</v>
      </c>
      <c r="U690" s="3">
        <v>32.0</v>
      </c>
      <c r="V690" s="3">
        <v>32.0</v>
      </c>
      <c r="W690" s="3">
        <v>40.0</v>
      </c>
      <c r="X690" s="3">
        <v>31.0</v>
      </c>
      <c r="Y690" s="3">
        <v>37.0</v>
      </c>
      <c r="Z690" s="3">
        <v>28.0</v>
      </c>
      <c r="AA690" s="3">
        <v>26.0</v>
      </c>
      <c r="AB690" s="3">
        <v>35.0</v>
      </c>
      <c r="AC690" s="3">
        <v>39.0</v>
      </c>
      <c r="AD690" s="3">
        <v>36.0</v>
      </c>
      <c r="AE690" s="3">
        <v>42.0</v>
      </c>
      <c r="AF690" s="3">
        <v>31.0</v>
      </c>
      <c r="AG690" s="3">
        <v>56.0</v>
      </c>
      <c r="AH690" s="3">
        <v>52.0</v>
      </c>
      <c r="AI690" s="3">
        <v>38.0</v>
      </c>
      <c r="AJ690" s="3">
        <v>48.0</v>
      </c>
      <c r="AK690" s="3">
        <v>30.0</v>
      </c>
      <c r="AL690" s="3">
        <v>41.0</v>
      </c>
      <c r="AM690" s="3">
        <v>48.0</v>
      </c>
      <c r="AN690" s="3">
        <v>58.0</v>
      </c>
    </row>
    <row r="691" ht="14.25" customHeight="1">
      <c r="A691" s="3">
        <v>689.0</v>
      </c>
      <c r="B691" s="3" t="s">
        <v>7165</v>
      </c>
      <c r="C691" s="3">
        <v>18.0</v>
      </c>
      <c r="D691" s="3" t="s">
        <v>6645</v>
      </c>
      <c r="E691" s="3" t="s">
        <v>6646</v>
      </c>
      <c r="F691" s="3" t="s">
        <v>6646</v>
      </c>
      <c r="G691" s="3" t="s">
        <v>6645</v>
      </c>
      <c r="H691" s="3" t="s">
        <v>6645</v>
      </c>
      <c r="I691" s="3" t="s">
        <v>6646</v>
      </c>
      <c r="J691" s="3">
        <v>27.0</v>
      </c>
      <c r="K691" s="3">
        <v>0.0</v>
      </c>
      <c r="L691" s="3">
        <v>0.0</v>
      </c>
      <c r="M691" s="3">
        <v>0.0</v>
      </c>
      <c r="N691" s="3">
        <v>534.94403</v>
      </c>
      <c r="O691" s="3">
        <v>75.0</v>
      </c>
      <c r="P691" s="3" t="e">
        <v>#N/A</v>
      </c>
      <c r="Q691" s="3">
        <v>33.0</v>
      </c>
      <c r="R691" s="3">
        <v>35.0</v>
      </c>
      <c r="S691" s="3">
        <v>36.0</v>
      </c>
      <c r="T691" s="3">
        <v>38.0</v>
      </c>
      <c r="U691" s="3">
        <v>32.0</v>
      </c>
      <c r="V691" s="3">
        <v>33.0</v>
      </c>
      <c r="W691" s="3">
        <v>44.0</v>
      </c>
      <c r="X691" s="3">
        <v>31.0</v>
      </c>
      <c r="Y691" s="3">
        <v>31.0</v>
      </c>
      <c r="Z691" s="3">
        <v>22.0</v>
      </c>
      <c r="AA691" s="3">
        <v>31.0</v>
      </c>
      <c r="AB691" s="3">
        <v>32.0</v>
      </c>
      <c r="AC691" s="3">
        <v>31.0</v>
      </c>
      <c r="AD691" s="3">
        <v>30.0</v>
      </c>
      <c r="AE691" s="3">
        <v>45.0</v>
      </c>
      <c r="AF691" s="3">
        <v>56.0</v>
      </c>
      <c r="AG691" s="3">
        <v>54.0</v>
      </c>
      <c r="AH691" s="3">
        <v>41.0</v>
      </c>
      <c r="AI691" s="3">
        <v>51.0</v>
      </c>
      <c r="AJ691" s="3">
        <v>51.0</v>
      </c>
      <c r="AK691" s="3">
        <v>51.0</v>
      </c>
      <c r="AL691" s="3">
        <v>46.0</v>
      </c>
      <c r="AM691" s="3">
        <v>56.0</v>
      </c>
      <c r="AN691" s="3">
        <v>38.0</v>
      </c>
    </row>
    <row r="692" ht="14.25" customHeight="1">
      <c r="A692" s="3">
        <v>690.0</v>
      </c>
      <c r="B692" s="3" t="s">
        <v>7166</v>
      </c>
      <c r="C692" s="3">
        <v>21.0</v>
      </c>
      <c r="D692" s="3" t="s">
        <v>6645</v>
      </c>
      <c r="E692" s="3" t="s">
        <v>6646</v>
      </c>
      <c r="F692" s="3" t="s">
        <v>6646</v>
      </c>
      <c r="G692" s="3" t="s">
        <v>6645</v>
      </c>
      <c r="H692" s="3" t="s">
        <v>6645</v>
      </c>
      <c r="I692" s="3" t="s">
        <v>6645</v>
      </c>
      <c r="J692" s="3">
        <v>27.0</v>
      </c>
      <c r="K692" s="3">
        <v>0.0</v>
      </c>
      <c r="L692" s="3">
        <v>0.0</v>
      </c>
      <c r="M692" s="3">
        <v>0.0</v>
      </c>
      <c r="N692" s="3">
        <v>412.75466</v>
      </c>
      <c r="O692" s="3">
        <v>98.0</v>
      </c>
      <c r="P692" s="3" t="e">
        <v>#N/A</v>
      </c>
      <c r="Q692" s="3">
        <v>33.0</v>
      </c>
      <c r="R692" s="3">
        <v>39.0</v>
      </c>
      <c r="S692" s="3">
        <v>35.0</v>
      </c>
      <c r="T692" s="3">
        <v>39.0</v>
      </c>
      <c r="U692" s="3">
        <v>38.0</v>
      </c>
      <c r="V692" s="3">
        <v>34.0</v>
      </c>
      <c r="W692" s="3">
        <v>43.0</v>
      </c>
      <c r="X692" s="3">
        <v>22.0</v>
      </c>
      <c r="Y692" s="3">
        <v>37.0</v>
      </c>
      <c r="Z692" s="3">
        <v>31.0</v>
      </c>
      <c r="AA692" s="3">
        <v>37.0</v>
      </c>
      <c r="AB692" s="3">
        <v>35.0</v>
      </c>
      <c r="AC692" s="3">
        <v>34.0</v>
      </c>
      <c r="AD692" s="3">
        <v>25.0</v>
      </c>
      <c r="AE692" s="3">
        <v>46.0</v>
      </c>
      <c r="AF692" s="3">
        <v>34.0</v>
      </c>
      <c r="AG692" s="3">
        <v>36.0</v>
      </c>
      <c r="AH692" s="3">
        <v>32.0</v>
      </c>
      <c r="AI692" s="3">
        <v>45.0</v>
      </c>
      <c r="AJ692" s="3">
        <v>33.0</v>
      </c>
      <c r="AK692" s="3">
        <v>40.0</v>
      </c>
      <c r="AL692" s="3">
        <v>36.0</v>
      </c>
      <c r="AM692" s="3">
        <v>50.0</v>
      </c>
      <c r="AN692" s="3">
        <v>52.0</v>
      </c>
    </row>
    <row r="693" ht="14.25" customHeight="1">
      <c r="A693" s="3">
        <v>691.0</v>
      </c>
      <c r="B693" s="3" t="s">
        <v>7167</v>
      </c>
      <c r="C693" s="3">
        <v>18.0</v>
      </c>
      <c r="D693" s="3" t="s">
        <v>6645</v>
      </c>
      <c r="E693" s="3" t="s">
        <v>6646</v>
      </c>
      <c r="F693" s="3" t="s">
        <v>6646</v>
      </c>
      <c r="G693" s="3" t="s">
        <v>6645</v>
      </c>
      <c r="H693" s="3" t="s">
        <v>6645</v>
      </c>
      <c r="I693" s="3" t="s">
        <v>6645</v>
      </c>
      <c r="J693" s="3">
        <v>27.0</v>
      </c>
      <c r="K693" s="3">
        <v>0.0</v>
      </c>
      <c r="L693" s="3">
        <v>0.0</v>
      </c>
      <c r="M693" s="3">
        <v>0.0</v>
      </c>
      <c r="N693" s="3">
        <v>553.658</v>
      </c>
      <c r="O693" s="3">
        <v>105.0</v>
      </c>
      <c r="P693" s="3" t="e">
        <v>#N/A</v>
      </c>
      <c r="Q693" s="3">
        <v>35.0</v>
      </c>
      <c r="R693" s="3">
        <v>34.0</v>
      </c>
      <c r="S693" s="3">
        <v>31.0</v>
      </c>
      <c r="T693" s="3">
        <v>33.0</v>
      </c>
      <c r="U693" s="3">
        <v>38.0</v>
      </c>
      <c r="V693" s="3">
        <v>36.0</v>
      </c>
      <c r="W693" s="3">
        <v>42.0</v>
      </c>
      <c r="X693" s="3">
        <v>31.0</v>
      </c>
      <c r="Y693" s="3">
        <v>34.0</v>
      </c>
      <c r="Z693" s="3">
        <v>33.0</v>
      </c>
      <c r="AA693" s="3">
        <v>30.0</v>
      </c>
      <c r="AB693" s="3">
        <v>25.0</v>
      </c>
      <c r="AC693" s="3">
        <v>30.0</v>
      </c>
      <c r="AD693" s="3">
        <v>38.0</v>
      </c>
      <c r="AE693" s="3">
        <v>45.0</v>
      </c>
      <c r="AF693" s="3">
        <v>41.0</v>
      </c>
      <c r="AG693" s="3">
        <v>55.0</v>
      </c>
      <c r="AH693" s="3">
        <v>43.0</v>
      </c>
      <c r="AI693" s="3">
        <v>44.0</v>
      </c>
      <c r="AJ693" s="3">
        <v>37.0</v>
      </c>
      <c r="AK693" s="3">
        <v>57.0</v>
      </c>
      <c r="AL693" s="3">
        <v>46.0</v>
      </c>
      <c r="AM693" s="3">
        <v>45.0</v>
      </c>
      <c r="AN693" s="3">
        <v>56.0</v>
      </c>
    </row>
    <row r="694" ht="14.25" customHeight="1">
      <c r="A694" s="3">
        <v>692.0</v>
      </c>
      <c r="B694" s="3" t="s">
        <v>7168</v>
      </c>
      <c r="C694" s="3">
        <v>44.0</v>
      </c>
      <c r="D694" s="3" t="s">
        <v>6645</v>
      </c>
      <c r="E694" s="3" t="s">
        <v>6646</v>
      </c>
      <c r="F694" s="3" t="s">
        <v>6646</v>
      </c>
      <c r="G694" s="3" t="s">
        <v>6645</v>
      </c>
      <c r="H694" s="3" t="s">
        <v>6645</v>
      </c>
      <c r="I694" s="3" t="s">
        <v>6645</v>
      </c>
      <c r="J694" s="3">
        <v>28.0</v>
      </c>
      <c r="K694" s="3">
        <v>4.0</v>
      </c>
      <c r="L694" s="3">
        <v>0.0</v>
      </c>
      <c r="M694" s="3">
        <v>0.0</v>
      </c>
      <c r="N694" s="3">
        <v>8057.54</v>
      </c>
      <c r="O694" s="3">
        <v>1542.0</v>
      </c>
      <c r="P694" s="3" t="e">
        <v>#N/A</v>
      </c>
      <c r="Q694" s="3">
        <v>55.0</v>
      </c>
      <c r="R694" s="3">
        <v>52.0</v>
      </c>
      <c r="S694" s="3">
        <v>54.0</v>
      </c>
      <c r="T694" s="3">
        <v>58.0</v>
      </c>
      <c r="U694" s="3">
        <v>52.0</v>
      </c>
      <c r="V694" s="3">
        <v>59.0</v>
      </c>
      <c r="W694" s="3">
        <v>48.0</v>
      </c>
      <c r="X694" s="3">
        <v>64.0</v>
      </c>
      <c r="Y694" s="3">
        <v>60.0</v>
      </c>
      <c r="Z694" s="3">
        <v>51.0</v>
      </c>
      <c r="AA694" s="3">
        <v>71.0</v>
      </c>
      <c r="AB694" s="3">
        <v>49.0</v>
      </c>
      <c r="AC694" s="3">
        <v>58.0</v>
      </c>
      <c r="AD694" s="3">
        <v>72.0</v>
      </c>
      <c r="AE694" s="3">
        <v>57.0</v>
      </c>
      <c r="AF694" s="3">
        <v>51.0</v>
      </c>
      <c r="AG694" s="3">
        <v>49.0</v>
      </c>
      <c r="AH694" s="3">
        <v>65.0</v>
      </c>
      <c r="AI694" s="3">
        <v>67.0</v>
      </c>
      <c r="AJ694" s="3">
        <v>60.0</v>
      </c>
      <c r="AK694" s="3">
        <v>42.0</v>
      </c>
      <c r="AL694" s="3">
        <v>56.0</v>
      </c>
      <c r="AM694" s="3">
        <v>42.0</v>
      </c>
      <c r="AN694" s="3">
        <v>61.0</v>
      </c>
    </row>
    <row r="695" ht="14.25" customHeight="1">
      <c r="A695" s="3">
        <v>693.0</v>
      </c>
      <c r="B695" s="3" t="s">
        <v>7169</v>
      </c>
      <c r="C695" s="3">
        <v>39.0</v>
      </c>
      <c r="D695" s="3" t="s">
        <v>6645</v>
      </c>
      <c r="E695" s="3" t="s">
        <v>6646</v>
      </c>
      <c r="F695" s="3" t="s">
        <v>6646</v>
      </c>
      <c r="G695" s="3" t="s">
        <v>6645</v>
      </c>
      <c r="H695" s="3" t="s">
        <v>6645</v>
      </c>
      <c r="I695" s="3" t="s">
        <v>6646</v>
      </c>
      <c r="J695" s="3">
        <v>28.0</v>
      </c>
      <c r="K695" s="3">
        <v>4.0</v>
      </c>
      <c r="L695" s="3">
        <v>0.0</v>
      </c>
      <c r="M695" s="3">
        <v>0.0</v>
      </c>
      <c r="N695" s="3">
        <v>8185.791</v>
      </c>
      <c r="O695" s="3">
        <v>1923.0</v>
      </c>
      <c r="P695" s="3" t="e">
        <v>#N/A</v>
      </c>
      <c r="Q695" s="3">
        <v>60.0</v>
      </c>
      <c r="R695" s="3">
        <v>56.0</v>
      </c>
      <c r="S695" s="3">
        <v>56.0</v>
      </c>
      <c r="T695" s="3">
        <v>56.0</v>
      </c>
      <c r="U695" s="3">
        <v>53.0</v>
      </c>
      <c r="V695" s="3">
        <v>53.0</v>
      </c>
      <c r="W695" s="3">
        <v>50.0</v>
      </c>
      <c r="X695" s="3">
        <v>68.0</v>
      </c>
      <c r="Y695" s="3">
        <v>58.0</v>
      </c>
      <c r="Z695" s="3">
        <v>61.0</v>
      </c>
      <c r="AA695" s="3">
        <v>67.0</v>
      </c>
      <c r="AB695" s="3">
        <v>46.0</v>
      </c>
      <c r="AC695" s="3">
        <v>55.0</v>
      </c>
      <c r="AD695" s="3">
        <v>63.0</v>
      </c>
      <c r="AE695" s="3">
        <v>53.0</v>
      </c>
      <c r="AF695" s="3">
        <v>67.0</v>
      </c>
      <c r="AG695" s="3">
        <v>45.0</v>
      </c>
      <c r="AH695" s="3">
        <v>46.0</v>
      </c>
      <c r="AI695" s="3">
        <v>51.0</v>
      </c>
      <c r="AJ695" s="3">
        <v>52.0</v>
      </c>
      <c r="AK695" s="3">
        <v>64.0</v>
      </c>
      <c r="AL695" s="3">
        <v>58.0</v>
      </c>
      <c r="AM695" s="3">
        <v>49.0</v>
      </c>
      <c r="AN695" s="3">
        <v>67.0</v>
      </c>
    </row>
    <row r="696" ht="14.25" customHeight="1">
      <c r="A696" s="3">
        <v>694.0</v>
      </c>
      <c r="B696" s="3" t="s">
        <v>7170</v>
      </c>
      <c r="C696" s="3">
        <v>33.0</v>
      </c>
      <c r="D696" s="3" t="s">
        <v>6645</v>
      </c>
      <c r="E696" s="3" t="s">
        <v>6646</v>
      </c>
      <c r="F696" s="3" t="s">
        <v>6646</v>
      </c>
      <c r="G696" s="3" t="s">
        <v>6645</v>
      </c>
      <c r="H696" s="3" t="s">
        <v>6645</v>
      </c>
      <c r="I696" s="3" t="s">
        <v>6645</v>
      </c>
      <c r="J696" s="3">
        <v>28.0</v>
      </c>
      <c r="K696" s="3">
        <v>3.0</v>
      </c>
      <c r="L696" s="3">
        <v>0.0</v>
      </c>
      <c r="M696" s="3">
        <v>0.0</v>
      </c>
      <c r="N696" s="3">
        <v>5476.79</v>
      </c>
      <c r="O696" s="3">
        <v>951.0</v>
      </c>
      <c r="P696" s="3" t="e">
        <v>#N/A</v>
      </c>
      <c r="Q696" s="3">
        <v>54.0</v>
      </c>
      <c r="R696" s="3">
        <v>56.0</v>
      </c>
      <c r="S696" s="3">
        <v>50.0</v>
      </c>
      <c r="T696" s="3">
        <v>54.0</v>
      </c>
      <c r="U696" s="3">
        <v>54.0</v>
      </c>
      <c r="V696" s="3">
        <v>50.0</v>
      </c>
      <c r="W696" s="3">
        <v>52.0</v>
      </c>
      <c r="X696" s="3">
        <v>63.0</v>
      </c>
      <c r="Y696" s="3">
        <v>47.0</v>
      </c>
      <c r="Z696" s="3">
        <v>48.0</v>
      </c>
      <c r="AA696" s="3">
        <v>59.0</v>
      </c>
      <c r="AB696" s="3">
        <v>50.0</v>
      </c>
      <c r="AC696" s="3">
        <v>48.0</v>
      </c>
      <c r="AD696" s="3">
        <v>57.0</v>
      </c>
      <c r="AE696" s="3">
        <v>46.0</v>
      </c>
      <c r="AF696" s="3">
        <v>55.0</v>
      </c>
      <c r="AG696" s="3">
        <v>46.0</v>
      </c>
      <c r="AH696" s="3">
        <v>59.0</v>
      </c>
      <c r="AI696" s="3">
        <v>42.0</v>
      </c>
      <c r="AJ696" s="3">
        <v>63.0</v>
      </c>
      <c r="AK696" s="3">
        <v>47.0</v>
      </c>
      <c r="AL696" s="3">
        <v>56.0</v>
      </c>
      <c r="AM696" s="3">
        <v>44.0</v>
      </c>
      <c r="AN696" s="3">
        <v>65.0</v>
      </c>
    </row>
    <row r="697" ht="14.25" customHeight="1">
      <c r="A697" s="3">
        <v>695.0</v>
      </c>
      <c r="B697" s="3" t="s">
        <v>7171</v>
      </c>
      <c r="C697" s="3">
        <v>35.0</v>
      </c>
      <c r="D697" s="3" t="s">
        <v>6645</v>
      </c>
      <c r="E697" s="3" t="s">
        <v>6646</v>
      </c>
      <c r="F697" s="3" t="s">
        <v>6646</v>
      </c>
      <c r="G697" s="3" t="s">
        <v>6645</v>
      </c>
      <c r="H697" s="3" t="s">
        <v>6645</v>
      </c>
      <c r="I697" s="3" t="s">
        <v>6645</v>
      </c>
      <c r="J697" s="3">
        <v>28.0</v>
      </c>
      <c r="K697" s="3">
        <v>3.0</v>
      </c>
      <c r="L697" s="3">
        <v>0.0</v>
      </c>
      <c r="M697" s="3">
        <v>0.0</v>
      </c>
      <c r="N697" s="3">
        <v>5426.0722</v>
      </c>
      <c r="O697" s="3">
        <v>863.0</v>
      </c>
      <c r="P697" s="3" t="e">
        <v>#N/A</v>
      </c>
      <c r="Q697" s="3">
        <v>52.0</v>
      </c>
      <c r="R697" s="3">
        <v>48.0</v>
      </c>
      <c r="S697" s="3">
        <v>52.0</v>
      </c>
      <c r="T697" s="3">
        <v>52.0</v>
      </c>
      <c r="U697" s="3">
        <v>46.0</v>
      </c>
      <c r="V697" s="3">
        <v>48.0</v>
      </c>
      <c r="W697" s="3">
        <v>52.0</v>
      </c>
      <c r="X697" s="3">
        <v>60.0</v>
      </c>
      <c r="Y697" s="3">
        <v>43.0</v>
      </c>
      <c r="Z697" s="3">
        <v>48.0</v>
      </c>
      <c r="AA697" s="3">
        <v>61.0</v>
      </c>
      <c r="AB697" s="3">
        <v>54.0</v>
      </c>
      <c r="AC697" s="3">
        <v>47.0</v>
      </c>
      <c r="AD697" s="3">
        <v>54.0</v>
      </c>
      <c r="AE697" s="3">
        <v>50.0</v>
      </c>
      <c r="AF697" s="3">
        <v>65.0</v>
      </c>
      <c r="AG697" s="3">
        <v>44.0</v>
      </c>
      <c r="AH697" s="3">
        <v>54.0</v>
      </c>
      <c r="AI697" s="3">
        <v>61.0</v>
      </c>
      <c r="AJ697" s="3">
        <v>51.0</v>
      </c>
      <c r="AK697" s="3">
        <v>47.0</v>
      </c>
      <c r="AL697" s="3">
        <v>53.0</v>
      </c>
      <c r="AM697" s="3">
        <v>48.0</v>
      </c>
      <c r="AN697" s="3">
        <v>59.0</v>
      </c>
    </row>
    <row r="698" ht="14.25" customHeight="1">
      <c r="A698" s="3">
        <v>696.0</v>
      </c>
      <c r="B698" s="3" t="s">
        <v>7172</v>
      </c>
      <c r="C698" s="3">
        <v>33.0</v>
      </c>
      <c r="D698" s="3" t="s">
        <v>6645</v>
      </c>
      <c r="E698" s="3" t="s">
        <v>6646</v>
      </c>
      <c r="F698" s="3" t="s">
        <v>6646</v>
      </c>
      <c r="G698" s="3" t="s">
        <v>6645</v>
      </c>
      <c r="H698" s="3" t="s">
        <v>6645</v>
      </c>
      <c r="I698" s="3" t="s">
        <v>6646</v>
      </c>
      <c r="J698" s="3">
        <v>28.0</v>
      </c>
      <c r="K698" s="3">
        <v>3.0</v>
      </c>
      <c r="L698" s="3">
        <v>0.0</v>
      </c>
      <c r="M698" s="3">
        <v>0.0</v>
      </c>
      <c r="N698" s="3">
        <v>5786.23</v>
      </c>
      <c r="O698" s="3">
        <v>613.0</v>
      </c>
      <c r="P698" s="3" t="e">
        <v>#N/A</v>
      </c>
      <c r="Q698" s="3">
        <v>54.0</v>
      </c>
      <c r="R698" s="3">
        <v>52.0</v>
      </c>
      <c r="S698" s="3">
        <v>48.0</v>
      </c>
      <c r="T698" s="3">
        <v>48.0</v>
      </c>
      <c r="U698" s="3">
        <v>48.0</v>
      </c>
      <c r="V698" s="3">
        <v>54.0</v>
      </c>
      <c r="W698" s="3">
        <v>54.0</v>
      </c>
      <c r="X698" s="3">
        <v>53.0</v>
      </c>
      <c r="Y698" s="3">
        <v>50.0</v>
      </c>
      <c r="Z698" s="3">
        <v>50.0</v>
      </c>
      <c r="AA698" s="3">
        <v>63.0</v>
      </c>
      <c r="AB698" s="3">
        <v>40.0</v>
      </c>
      <c r="AC698" s="3">
        <v>44.0</v>
      </c>
      <c r="AD698" s="3">
        <v>55.0</v>
      </c>
      <c r="AE698" s="3">
        <v>48.0</v>
      </c>
      <c r="AF698" s="3">
        <v>66.0</v>
      </c>
      <c r="AG698" s="3">
        <v>39.0</v>
      </c>
      <c r="AH698" s="3">
        <v>51.0</v>
      </c>
      <c r="AI698" s="3">
        <v>51.0</v>
      </c>
      <c r="AJ698" s="3">
        <v>39.0</v>
      </c>
      <c r="AK698" s="3">
        <v>42.0</v>
      </c>
      <c r="AL698" s="3">
        <v>66.0</v>
      </c>
      <c r="AM698" s="3">
        <v>56.0</v>
      </c>
      <c r="AN698" s="3">
        <v>39.0</v>
      </c>
    </row>
    <row r="699" ht="14.25" customHeight="1">
      <c r="A699" s="3">
        <v>697.0</v>
      </c>
      <c r="B699" s="3" t="s">
        <v>7173</v>
      </c>
      <c r="C699" s="3">
        <v>25.0</v>
      </c>
      <c r="D699" s="3" t="s">
        <v>6645</v>
      </c>
      <c r="E699" s="3" t="s">
        <v>6646</v>
      </c>
      <c r="F699" s="3" t="s">
        <v>6646</v>
      </c>
      <c r="G699" s="3" t="s">
        <v>6645</v>
      </c>
      <c r="H699" s="3" t="s">
        <v>6645</v>
      </c>
      <c r="I699" s="3" t="s">
        <v>6646</v>
      </c>
      <c r="J699" s="3">
        <v>28.0</v>
      </c>
      <c r="K699" s="3">
        <v>2.0</v>
      </c>
      <c r="L699" s="3">
        <v>0.0</v>
      </c>
      <c r="M699" s="3">
        <v>0.0</v>
      </c>
      <c r="N699" s="3">
        <v>3438.8483</v>
      </c>
      <c r="O699" s="3">
        <v>482.0</v>
      </c>
      <c r="P699" s="3" t="e">
        <v>#N/A</v>
      </c>
      <c r="Q699" s="3">
        <v>41.0</v>
      </c>
      <c r="R699" s="3">
        <v>42.0</v>
      </c>
      <c r="S699" s="3">
        <v>48.0</v>
      </c>
      <c r="T699" s="3">
        <v>41.0</v>
      </c>
      <c r="U699" s="3">
        <v>47.0</v>
      </c>
      <c r="V699" s="3">
        <v>43.0</v>
      </c>
      <c r="W699" s="3">
        <v>49.0</v>
      </c>
      <c r="X699" s="3">
        <v>58.0</v>
      </c>
      <c r="Y699" s="3">
        <v>36.0</v>
      </c>
      <c r="Z699" s="3">
        <v>46.0</v>
      </c>
      <c r="AA699" s="3">
        <v>50.0</v>
      </c>
      <c r="AB699" s="3">
        <v>44.0</v>
      </c>
      <c r="AC699" s="3">
        <v>37.0</v>
      </c>
      <c r="AD699" s="3">
        <v>46.0</v>
      </c>
      <c r="AE699" s="3">
        <v>34.0</v>
      </c>
      <c r="AF699" s="3">
        <v>50.0</v>
      </c>
      <c r="AG699" s="3">
        <v>50.0</v>
      </c>
      <c r="AH699" s="3">
        <v>60.0</v>
      </c>
      <c r="AI699" s="3">
        <v>54.0</v>
      </c>
      <c r="AJ699" s="3">
        <v>54.0</v>
      </c>
      <c r="AK699" s="3">
        <v>58.0</v>
      </c>
      <c r="AL699" s="3">
        <v>38.0</v>
      </c>
      <c r="AM699" s="3">
        <v>38.0</v>
      </c>
      <c r="AN699" s="3">
        <v>62.0</v>
      </c>
    </row>
    <row r="700" ht="14.25" customHeight="1">
      <c r="A700" s="3">
        <v>698.0</v>
      </c>
      <c r="B700" s="3" t="s">
        <v>7174</v>
      </c>
      <c r="C700" s="3">
        <v>27.0</v>
      </c>
      <c r="D700" s="3" t="s">
        <v>6645</v>
      </c>
      <c r="E700" s="3" t="s">
        <v>6646</v>
      </c>
      <c r="F700" s="3" t="s">
        <v>6646</v>
      </c>
      <c r="G700" s="3" t="s">
        <v>6645</v>
      </c>
      <c r="H700" s="3" t="s">
        <v>6645</v>
      </c>
      <c r="I700" s="3" t="s">
        <v>6645</v>
      </c>
      <c r="J700" s="3">
        <v>28.0</v>
      </c>
      <c r="K700" s="3">
        <v>2.0</v>
      </c>
      <c r="L700" s="3">
        <v>0.0</v>
      </c>
      <c r="M700" s="3">
        <v>0.0</v>
      </c>
      <c r="N700" s="3">
        <v>3521.41</v>
      </c>
      <c r="O700" s="3">
        <v>458.0</v>
      </c>
      <c r="P700" s="3" t="e">
        <v>#N/A</v>
      </c>
      <c r="Q700" s="3">
        <v>44.0</v>
      </c>
      <c r="R700" s="3">
        <v>46.0</v>
      </c>
      <c r="S700" s="3">
        <v>50.0</v>
      </c>
      <c r="T700" s="3">
        <v>44.0</v>
      </c>
      <c r="U700" s="3">
        <v>44.0</v>
      </c>
      <c r="V700" s="3">
        <v>45.0</v>
      </c>
      <c r="W700" s="3">
        <v>41.0</v>
      </c>
      <c r="X700" s="3">
        <v>52.0</v>
      </c>
      <c r="Y700" s="3">
        <v>47.0</v>
      </c>
      <c r="Z700" s="3">
        <v>48.0</v>
      </c>
      <c r="AA700" s="3">
        <v>48.0</v>
      </c>
      <c r="AB700" s="3">
        <v>46.0</v>
      </c>
      <c r="AC700" s="3">
        <v>40.0</v>
      </c>
      <c r="AD700" s="3">
        <v>48.0</v>
      </c>
      <c r="AE700" s="3">
        <v>35.0</v>
      </c>
      <c r="AF700" s="3">
        <v>40.0</v>
      </c>
      <c r="AG700" s="3">
        <v>60.0</v>
      </c>
      <c r="AH700" s="3">
        <v>46.0</v>
      </c>
      <c r="AI700" s="3">
        <v>64.0</v>
      </c>
      <c r="AJ700" s="3">
        <v>44.0</v>
      </c>
      <c r="AK700" s="3">
        <v>36.0</v>
      </c>
      <c r="AL700" s="3">
        <v>44.0</v>
      </c>
      <c r="AM700" s="3">
        <v>64.0</v>
      </c>
      <c r="AN700" s="3">
        <v>52.0</v>
      </c>
    </row>
    <row r="701" ht="14.25" customHeight="1">
      <c r="A701" s="3">
        <v>699.0</v>
      </c>
      <c r="B701" s="3" t="s">
        <v>7175</v>
      </c>
      <c r="C701" s="3">
        <v>33.0</v>
      </c>
      <c r="D701" s="3" t="s">
        <v>6645</v>
      </c>
      <c r="E701" s="3" t="s">
        <v>6646</v>
      </c>
      <c r="F701" s="3" t="s">
        <v>6646</v>
      </c>
      <c r="G701" s="3" t="s">
        <v>6645</v>
      </c>
      <c r="H701" s="3" t="s">
        <v>6645</v>
      </c>
      <c r="I701" s="3" t="s">
        <v>6645</v>
      </c>
      <c r="J701" s="3">
        <v>28.0</v>
      </c>
      <c r="K701" s="3">
        <v>2.0</v>
      </c>
      <c r="L701" s="3">
        <v>0.0</v>
      </c>
      <c r="M701" s="3">
        <v>0.0</v>
      </c>
      <c r="N701" s="3">
        <v>3167.5</v>
      </c>
      <c r="O701" s="3">
        <v>322.0</v>
      </c>
      <c r="P701" s="3" t="e">
        <v>#N/A</v>
      </c>
      <c r="Q701" s="3">
        <v>46.0</v>
      </c>
      <c r="R701" s="3">
        <v>46.0</v>
      </c>
      <c r="S701" s="3">
        <v>44.0</v>
      </c>
      <c r="T701" s="3">
        <v>42.0</v>
      </c>
      <c r="U701" s="3">
        <v>50.0</v>
      </c>
      <c r="V701" s="3">
        <v>42.0</v>
      </c>
      <c r="W701" s="3">
        <v>39.0</v>
      </c>
      <c r="X701" s="3">
        <v>56.0</v>
      </c>
      <c r="Y701" s="3">
        <v>40.0</v>
      </c>
      <c r="Z701" s="3">
        <v>33.0</v>
      </c>
      <c r="AA701" s="3">
        <v>56.0</v>
      </c>
      <c r="AB701" s="3">
        <v>48.0</v>
      </c>
      <c r="AC701" s="3">
        <v>50.0</v>
      </c>
      <c r="AD701" s="3">
        <v>52.0</v>
      </c>
      <c r="AE701" s="3">
        <v>50.0</v>
      </c>
      <c r="AF701" s="3">
        <v>60.0</v>
      </c>
      <c r="AG701" s="3">
        <v>50.0</v>
      </c>
      <c r="AH701" s="3">
        <v>36.0</v>
      </c>
      <c r="AI701" s="3">
        <v>42.0</v>
      </c>
      <c r="AJ701" s="3">
        <v>52.0</v>
      </c>
      <c r="AK701" s="3">
        <v>60.0</v>
      </c>
      <c r="AL701" s="3">
        <v>48.0</v>
      </c>
      <c r="AM701" s="3">
        <v>52.0</v>
      </c>
      <c r="AN701" s="3">
        <v>54.0</v>
      </c>
    </row>
    <row r="702" ht="14.25" customHeight="1">
      <c r="A702" s="3">
        <v>700.0</v>
      </c>
      <c r="B702" s="3" t="s">
        <v>7176</v>
      </c>
      <c r="C702" s="3">
        <v>26.0</v>
      </c>
      <c r="D702" s="3" t="s">
        <v>6645</v>
      </c>
      <c r="E702" s="3" t="s">
        <v>6646</v>
      </c>
      <c r="F702" s="3" t="s">
        <v>6646</v>
      </c>
      <c r="G702" s="3" t="s">
        <v>6645</v>
      </c>
      <c r="H702" s="3" t="s">
        <v>6645</v>
      </c>
      <c r="I702" s="3" t="s">
        <v>6646</v>
      </c>
      <c r="J702" s="3">
        <v>28.0</v>
      </c>
      <c r="K702" s="3">
        <v>1.0</v>
      </c>
      <c r="L702" s="3">
        <v>0.0</v>
      </c>
      <c r="M702" s="3">
        <v>0.0</v>
      </c>
      <c r="N702" s="3">
        <v>1229.4003</v>
      </c>
      <c r="O702" s="3">
        <v>171.0</v>
      </c>
      <c r="P702" s="3" t="e">
        <v>#N/A</v>
      </c>
      <c r="Q702" s="3">
        <v>44.0</v>
      </c>
      <c r="R702" s="3">
        <v>36.0</v>
      </c>
      <c r="S702" s="3">
        <v>44.0</v>
      </c>
      <c r="T702" s="3">
        <v>42.0</v>
      </c>
      <c r="U702" s="3">
        <v>44.0</v>
      </c>
      <c r="V702" s="3">
        <v>40.0</v>
      </c>
      <c r="W702" s="3">
        <v>38.0</v>
      </c>
      <c r="X702" s="3">
        <v>48.0</v>
      </c>
      <c r="Y702" s="3">
        <v>42.0</v>
      </c>
      <c r="Z702" s="3">
        <v>31.0</v>
      </c>
      <c r="AA702" s="3">
        <v>43.0</v>
      </c>
      <c r="AB702" s="3">
        <v>29.0</v>
      </c>
      <c r="AC702" s="3">
        <v>38.0</v>
      </c>
      <c r="AD702" s="3">
        <v>43.0</v>
      </c>
      <c r="AE702" s="3">
        <v>42.0</v>
      </c>
      <c r="AF702" s="3">
        <v>51.0</v>
      </c>
      <c r="AG702" s="3">
        <v>58.0</v>
      </c>
      <c r="AH702" s="3">
        <v>60.0</v>
      </c>
      <c r="AI702" s="3">
        <v>54.0</v>
      </c>
      <c r="AJ702" s="3">
        <v>37.0</v>
      </c>
      <c r="AK702" s="3">
        <v>53.0</v>
      </c>
      <c r="AL702" s="3">
        <v>44.0</v>
      </c>
      <c r="AM702" s="3">
        <v>50.0</v>
      </c>
      <c r="AN702" s="3">
        <v>32.0</v>
      </c>
    </row>
    <row r="703" ht="14.25" customHeight="1">
      <c r="A703" s="3">
        <v>701.0</v>
      </c>
      <c r="B703" s="3" t="s">
        <v>7177</v>
      </c>
      <c r="C703" s="3">
        <v>26.0</v>
      </c>
      <c r="D703" s="3" t="s">
        <v>6645</v>
      </c>
      <c r="E703" s="3" t="s">
        <v>6646</v>
      </c>
      <c r="F703" s="3" t="s">
        <v>6646</v>
      </c>
      <c r="G703" s="3" t="s">
        <v>6645</v>
      </c>
      <c r="H703" s="3" t="s">
        <v>6645</v>
      </c>
      <c r="I703" s="3" t="s">
        <v>6645</v>
      </c>
      <c r="J703" s="3">
        <v>28.0</v>
      </c>
      <c r="K703" s="3">
        <v>1.0</v>
      </c>
      <c r="L703" s="3">
        <v>0.0</v>
      </c>
      <c r="M703" s="3">
        <v>0.0</v>
      </c>
      <c r="N703" s="3">
        <v>1274.8046</v>
      </c>
      <c r="O703" s="3">
        <v>215.0</v>
      </c>
      <c r="P703" s="3" t="e">
        <v>#N/A</v>
      </c>
      <c r="Q703" s="3">
        <v>38.0</v>
      </c>
      <c r="R703" s="3">
        <v>38.0</v>
      </c>
      <c r="S703" s="3">
        <v>42.0</v>
      </c>
      <c r="T703" s="3">
        <v>36.0</v>
      </c>
      <c r="U703" s="3">
        <v>36.0</v>
      </c>
      <c r="V703" s="3">
        <v>40.0</v>
      </c>
      <c r="W703" s="3">
        <v>29.0</v>
      </c>
      <c r="X703" s="3">
        <v>50.0</v>
      </c>
      <c r="Y703" s="3">
        <v>40.0</v>
      </c>
      <c r="Z703" s="3">
        <v>33.0</v>
      </c>
      <c r="AA703" s="3">
        <v>53.0</v>
      </c>
      <c r="AB703" s="3">
        <v>28.0</v>
      </c>
      <c r="AC703" s="3">
        <v>36.0</v>
      </c>
      <c r="AD703" s="3">
        <v>49.0</v>
      </c>
      <c r="AE703" s="3">
        <v>44.0</v>
      </c>
      <c r="AF703" s="3">
        <v>58.0</v>
      </c>
      <c r="AG703" s="3">
        <v>42.0</v>
      </c>
      <c r="AH703" s="3">
        <v>33.0</v>
      </c>
      <c r="AI703" s="3">
        <v>57.0</v>
      </c>
      <c r="AJ703" s="3">
        <v>61.0</v>
      </c>
      <c r="AK703" s="3">
        <v>33.0</v>
      </c>
      <c r="AL703" s="3">
        <v>33.0</v>
      </c>
      <c r="AM703" s="3">
        <v>51.0</v>
      </c>
      <c r="AN703" s="3">
        <v>47.0</v>
      </c>
    </row>
    <row r="704" ht="14.25" customHeight="1">
      <c r="A704" s="3">
        <v>702.0</v>
      </c>
      <c r="B704" s="3" t="s">
        <v>7178</v>
      </c>
      <c r="C704" s="3">
        <v>20.0</v>
      </c>
      <c r="D704" s="3" t="s">
        <v>6645</v>
      </c>
      <c r="E704" s="3" t="s">
        <v>6646</v>
      </c>
      <c r="F704" s="3" t="s">
        <v>6646</v>
      </c>
      <c r="G704" s="3" t="s">
        <v>6645</v>
      </c>
      <c r="H704" s="3" t="s">
        <v>6645</v>
      </c>
      <c r="I704" s="3" t="s">
        <v>6646</v>
      </c>
      <c r="J704" s="3">
        <v>28.0</v>
      </c>
      <c r="K704" s="3">
        <v>1.0</v>
      </c>
      <c r="L704" s="3">
        <v>0.0</v>
      </c>
      <c r="M704" s="3">
        <v>0.0</v>
      </c>
      <c r="N704" s="3">
        <v>1527.5363</v>
      </c>
      <c r="O704" s="3">
        <v>188.0</v>
      </c>
      <c r="P704" s="3" t="e">
        <v>#N/A</v>
      </c>
      <c r="Q704" s="3">
        <v>44.0</v>
      </c>
      <c r="R704" s="3">
        <v>42.0</v>
      </c>
      <c r="S704" s="3">
        <v>36.0</v>
      </c>
      <c r="T704" s="3">
        <v>38.0</v>
      </c>
      <c r="U704" s="3">
        <v>38.0</v>
      </c>
      <c r="V704" s="3">
        <v>44.0</v>
      </c>
      <c r="W704" s="3">
        <v>31.0</v>
      </c>
      <c r="X704" s="3">
        <v>49.0</v>
      </c>
      <c r="Y704" s="3">
        <v>32.0</v>
      </c>
      <c r="Z704" s="3">
        <v>40.0</v>
      </c>
      <c r="AA704" s="3">
        <v>41.0</v>
      </c>
      <c r="AB704" s="3">
        <v>33.0</v>
      </c>
      <c r="AC704" s="3">
        <v>36.0</v>
      </c>
      <c r="AD704" s="3">
        <v>50.0</v>
      </c>
      <c r="AE704" s="3">
        <v>42.0</v>
      </c>
      <c r="AF704" s="3">
        <v>48.0</v>
      </c>
      <c r="AG704" s="3">
        <v>58.0</v>
      </c>
      <c r="AH704" s="3">
        <v>46.0</v>
      </c>
      <c r="AI704" s="3">
        <v>33.0</v>
      </c>
      <c r="AJ704" s="3">
        <v>48.0</v>
      </c>
      <c r="AK704" s="3">
        <v>51.0</v>
      </c>
      <c r="AL704" s="3">
        <v>32.0</v>
      </c>
      <c r="AM704" s="3">
        <v>49.0</v>
      </c>
      <c r="AN704" s="3">
        <v>59.0</v>
      </c>
    </row>
    <row r="705" ht="14.25" customHeight="1">
      <c r="A705" s="3">
        <v>703.0</v>
      </c>
      <c r="B705" s="3" t="s">
        <v>7179</v>
      </c>
      <c r="C705" s="3">
        <v>20.0</v>
      </c>
      <c r="D705" s="3" t="s">
        <v>6645</v>
      </c>
      <c r="E705" s="3" t="s">
        <v>6646</v>
      </c>
      <c r="F705" s="3" t="s">
        <v>6646</v>
      </c>
      <c r="G705" s="3" t="s">
        <v>6645</v>
      </c>
      <c r="H705" s="3" t="s">
        <v>6645</v>
      </c>
      <c r="I705" s="3" t="s">
        <v>6645</v>
      </c>
      <c r="J705" s="3">
        <v>28.0</v>
      </c>
      <c r="K705" s="3">
        <v>1.0</v>
      </c>
      <c r="L705" s="3">
        <v>0.0</v>
      </c>
      <c r="M705" s="3">
        <v>0.0</v>
      </c>
      <c r="N705" s="3">
        <v>1164.4868</v>
      </c>
      <c r="O705" s="3">
        <v>163.0</v>
      </c>
      <c r="P705" s="3" t="e">
        <v>#N/A</v>
      </c>
      <c r="Q705" s="3">
        <v>36.0</v>
      </c>
      <c r="R705" s="3">
        <v>42.0</v>
      </c>
      <c r="S705" s="3">
        <v>36.0</v>
      </c>
      <c r="T705" s="3">
        <v>40.0</v>
      </c>
      <c r="U705" s="3">
        <v>40.0</v>
      </c>
      <c r="V705" s="3">
        <v>38.0</v>
      </c>
      <c r="W705" s="3">
        <v>40.0</v>
      </c>
      <c r="X705" s="3">
        <v>50.0</v>
      </c>
      <c r="Y705" s="3">
        <v>39.0</v>
      </c>
      <c r="Z705" s="3">
        <v>36.0</v>
      </c>
      <c r="AA705" s="3">
        <v>49.0</v>
      </c>
      <c r="AB705" s="3">
        <v>32.0</v>
      </c>
      <c r="AC705" s="3">
        <v>40.0</v>
      </c>
      <c r="AD705" s="3">
        <v>44.0</v>
      </c>
      <c r="AE705" s="3">
        <v>44.0</v>
      </c>
      <c r="AF705" s="3">
        <v>46.0</v>
      </c>
      <c r="AG705" s="3">
        <v>41.0</v>
      </c>
      <c r="AH705" s="3">
        <v>49.0</v>
      </c>
      <c r="AI705" s="3">
        <v>49.0</v>
      </c>
      <c r="AJ705" s="3">
        <v>33.0</v>
      </c>
      <c r="AK705" s="3">
        <v>56.0</v>
      </c>
      <c r="AL705" s="3">
        <v>60.0</v>
      </c>
      <c r="AM705" s="3">
        <v>61.0</v>
      </c>
      <c r="AN705" s="3">
        <v>44.0</v>
      </c>
    </row>
    <row r="706" ht="14.25" customHeight="1">
      <c r="A706" s="3">
        <v>704.0</v>
      </c>
      <c r="B706" s="3" t="s">
        <v>7180</v>
      </c>
      <c r="C706" s="3">
        <v>22.0</v>
      </c>
      <c r="D706" s="3" t="s">
        <v>6645</v>
      </c>
      <c r="E706" s="3" t="s">
        <v>6646</v>
      </c>
      <c r="F706" s="3" t="s">
        <v>6646</v>
      </c>
      <c r="G706" s="3" t="s">
        <v>6645</v>
      </c>
      <c r="H706" s="3" t="s">
        <v>6645</v>
      </c>
      <c r="I706" s="3" t="s">
        <v>6645</v>
      </c>
      <c r="J706" s="3">
        <v>28.0</v>
      </c>
      <c r="K706" s="3">
        <v>0.0</v>
      </c>
      <c r="L706" s="3">
        <v>0.0</v>
      </c>
      <c r="M706" s="3">
        <v>0.0</v>
      </c>
      <c r="N706" s="3">
        <v>569.52453</v>
      </c>
      <c r="O706" s="3">
        <v>116.0</v>
      </c>
      <c r="P706" s="3" t="e">
        <v>#N/A</v>
      </c>
      <c r="Q706" s="3">
        <v>37.0</v>
      </c>
      <c r="R706" s="3">
        <v>36.0</v>
      </c>
      <c r="S706" s="3">
        <v>34.0</v>
      </c>
      <c r="T706" s="3">
        <v>33.0</v>
      </c>
      <c r="U706" s="3">
        <v>35.0</v>
      </c>
      <c r="V706" s="3">
        <v>39.0</v>
      </c>
      <c r="W706" s="3">
        <v>30.0</v>
      </c>
      <c r="X706" s="3">
        <v>38.0</v>
      </c>
      <c r="Y706" s="3">
        <v>29.0</v>
      </c>
      <c r="Z706" s="3">
        <v>26.0</v>
      </c>
      <c r="AA706" s="3">
        <v>48.0</v>
      </c>
      <c r="AB706" s="3">
        <v>30.0</v>
      </c>
      <c r="AC706" s="3">
        <v>24.0</v>
      </c>
      <c r="AD706" s="3">
        <v>44.0</v>
      </c>
      <c r="AE706" s="3">
        <v>35.0</v>
      </c>
      <c r="AF706" s="3">
        <v>51.0</v>
      </c>
      <c r="AG706" s="3">
        <v>41.0</v>
      </c>
      <c r="AH706" s="3">
        <v>54.0</v>
      </c>
      <c r="AI706" s="3">
        <v>40.0</v>
      </c>
      <c r="AJ706" s="3">
        <v>40.0</v>
      </c>
      <c r="AK706" s="3">
        <v>57.0</v>
      </c>
      <c r="AL706" s="3">
        <v>45.0</v>
      </c>
      <c r="AM706" s="3">
        <v>48.0</v>
      </c>
      <c r="AN706" s="3">
        <v>32.0</v>
      </c>
    </row>
    <row r="707" ht="14.25" customHeight="1">
      <c r="A707" s="3">
        <v>705.0</v>
      </c>
      <c r="B707" s="3" t="s">
        <v>7181</v>
      </c>
      <c r="C707" s="3">
        <v>19.0</v>
      </c>
      <c r="D707" s="3" t="s">
        <v>6645</v>
      </c>
      <c r="E707" s="3" t="s">
        <v>6646</v>
      </c>
      <c r="F707" s="3" t="s">
        <v>6646</v>
      </c>
      <c r="G707" s="3" t="s">
        <v>6645</v>
      </c>
      <c r="H707" s="3" t="s">
        <v>6645</v>
      </c>
      <c r="I707" s="3" t="s">
        <v>6646</v>
      </c>
      <c r="J707" s="3">
        <v>28.0</v>
      </c>
      <c r="K707" s="3">
        <v>0.0</v>
      </c>
      <c r="L707" s="3">
        <v>0.0</v>
      </c>
      <c r="M707" s="3">
        <v>0.0</v>
      </c>
      <c r="N707" s="3">
        <v>477.753</v>
      </c>
      <c r="O707" s="3">
        <v>120.0</v>
      </c>
      <c r="P707" s="3" t="e">
        <v>#N/A</v>
      </c>
      <c r="Q707" s="3">
        <v>38.0</v>
      </c>
      <c r="R707" s="3">
        <v>38.0</v>
      </c>
      <c r="S707" s="3">
        <v>36.0</v>
      </c>
      <c r="T707" s="3">
        <v>31.0</v>
      </c>
      <c r="U707" s="3">
        <v>36.0</v>
      </c>
      <c r="V707" s="3">
        <v>36.0</v>
      </c>
      <c r="W707" s="3">
        <v>28.0</v>
      </c>
      <c r="X707" s="3">
        <v>46.0</v>
      </c>
      <c r="Y707" s="3">
        <v>23.0</v>
      </c>
      <c r="Z707" s="3">
        <v>32.0</v>
      </c>
      <c r="AA707" s="3">
        <v>42.0</v>
      </c>
      <c r="AB707" s="3">
        <v>38.0</v>
      </c>
      <c r="AC707" s="3">
        <v>31.0</v>
      </c>
      <c r="AD707" s="3">
        <v>41.0</v>
      </c>
      <c r="AE707" s="3">
        <v>31.0</v>
      </c>
      <c r="AF707" s="3">
        <v>56.0</v>
      </c>
      <c r="AG707" s="3">
        <v>39.0</v>
      </c>
      <c r="AH707" s="3">
        <v>40.0</v>
      </c>
      <c r="AI707" s="3">
        <v>37.0</v>
      </c>
      <c r="AJ707" s="3">
        <v>36.0</v>
      </c>
      <c r="AK707" s="3">
        <v>39.0</v>
      </c>
      <c r="AL707" s="3">
        <v>35.0</v>
      </c>
      <c r="AM707" s="3">
        <v>35.0</v>
      </c>
      <c r="AN707" s="3">
        <v>39.0</v>
      </c>
    </row>
    <row r="708" ht="14.25" customHeight="1">
      <c r="A708" s="3">
        <v>706.0</v>
      </c>
      <c r="B708" s="3" t="s">
        <v>7182</v>
      </c>
      <c r="C708" s="3">
        <v>16.0</v>
      </c>
      <c r="D708" s="3" t="s">
        <v>6645</v>
      </c>
      <c r="E708" s="3" t="s">
        <v>6646</v>
      </c>
      <c r="F708" s="3" t="s">
        <v>6646</v>
      </c>
      <c r="G708" s="3" t="s">
        <v>6645</v>
      </c>
      <c r="H708" s="3" t="s">
        <v>6645</v>
      </c>
      <c r="I708" s="3" t="s">
        <v>6646</v>
      </c>
      <c r="J708" s="3">
        <v>28.0</v>
      </c>
      <c r="K708" s="3">
        <v>0.0</v>
      </c>
      <c r="L708" s="3">
        <v>0.0</v>
      </c>
      <c r="M708" s="3">
        <v>0.0</v>
      </c>
      <c r="N708" s="3">
        <v>380.51312</v>
      </c>
      <c r="O708" s="3">
        <v>76.0</v>
      </c>
      <c r="P708" s="3" t="e">
        <v>#N/A</v>
      </c>
      <c r="Q708" s="3">
        <v>30.0</v>
      </c>
      <c r="R708" s="3">
        <v>30.0</v>
      </c>
      <c r="S708" s="3">
        <v>38.0</v>
      </c>
      <c r="T708" s="3">
        <v>36.0</v>
      </c>
      <c r="U708" s="3">
        <v>33.0</v>
      </c>
      <c r="V708" s="3">
        <v>34.0</v>
      </c>
      <c r="W708" s="3">
        <v>31.0</v>
      </c>
      <c r="X708" s="3">
        <v>44.0</v>
      </c>
      <c r="Y708" s="3">
        <v>38.0</v>
      </c>
      <c r="Z708" s="3">
        <v>25.0</v>
      </c>
      <c r="AA708" s="3">
        <v>43.0</v>
      </c>
      <c r="AB708" s="3">
        <v>39.0</v>
      </c>
      <c r="AC708" s="3">
        <v>32.0</v>
      </c>
      <c r="AD708" s="3">
        <v>41.0</v>
      </c>
      <c r="AE708" s="3">
        <v>37.0</v>
      </c>
      <c r="AF708" s="3">
        <v>38.0</v>
      </c>
      <c r="AG708" s="3">
        <v>58.0</v>
      </c>
      <c r="AH708" s="3">
        <v>56.0</v>
      </c>
      <c r="AI708" s="3">
        <v>53.0</v>
      </c>
      <c r="AJ708" s="3">
        <v>37.0</v>
      </c>
      <c r="AK708" s="3">
        <v>46.0</v>
      </c>
      <c r="AL708" s="3">
        <v>48.0</v>
      </c>
      <c r="AM708" s="3">
        <v>34.0</v>
      </c>
      <c r="AN708" s="3">
        <v>58.0</v>
      </c>
    </row>
    <row r="709" ht="14.25" customHeight="1">
      <c r="A709" s="3">
        <v>707.0</v>
      </c>
      <c r="B709" s="3" t="s">
        <v>7183</v>
      </c>
      <c r="C709" s="3">
        <v>43.0</v>
      </c>
      <c r="D709" s="3" t="s">
        <v>6645</v>
      </c>
      <c r="E709" s="3" t="s">
        <v>6646</v>
      </c>
      <c r="F709" s="3" t="s">
        <v>6646</v>
      </c>
      <c r="G709" s="3" t="s">
        <v>6645</v>
      </c>
      <c r="H709" s="3" t="s">
        <v>6645</v>
      </c>
      <c r="I709" s="3" t="s">
        <v>6646</v>
      </c>
      <c r="J709" s="3">
        <v>29.0</v>
      </c>
      <c r="K709" s="3">
        <v>4.0</v>
      </c>
      <c r="L709" s="3">
        <v>0.0</v>
      </c>
      <c r="M709" s="3">
        <v>0.0</v>
      </c>
      <c r="N709" s="3">
        <v>6695.5747</v>
      </c>
      <c r="O709" s="3">
        <v>1786.0</v>
      </c>
      <c r="P709" s="3" t="e">
        <v>#N/A</v>
      </c>
      <c r="Q709" s="3">
        <v>56.0</v>
      </c>
      <c r="R709" s="3">
        <v>50.0</v>
      </c>
      <c r="S709" s="3">
        <v>59.0</v>
      </c>
      <c r="T709" s="3">
        <v>54.0</v>
      </c>
      <c r="U709" s="3">
        <v>61.0</v>
      </c>
      <c r="V709" s="3">
        <v>54.0</v>
      </c>
      <c r="W709" s="3">
        <v>57.0</v>
      </c>
      <c r="X709" s="3">
        <v>54.0</v>
      </c>
      <c r="Y709" s="3">
        <v>69.0</v>
      </c>
      <c r="Z709" s="3">
        <v>55.0</v>
      </c>
      <c r="AA709" s="3">
        <v>48.0</v>
      </c>
      <c r="AB709" s="3">
        <v>44.0</v>
      </c>
      <c r="AC709" s="3">
        <v>55.0</v>
      </c>
      <c r="AD709" s="3">
        <v>51.0</v>
      </c>
      <c r="AE709" s="3">
        <v>51.0</v>
      </c>
      <c r="AF709" s="3">
        <v>58.0</v>
      </c>
      <c r="AG709" s="3">
        <v>39.0</v>
      </c>
      <c r="AH709" s="3">
        <v>66.0</v>
      </c>
      <c r="AI709" s="3">
        <v>41.0</v>
      </c>
      <c r="AJ709" s="3">
        <v>67.0</v>
      </c>
      <c r="AK709" s="3">
        <v>49.0</v>
      </c>
      <c r="AL709" s="3">
        <v>61.0</v>
      </c>
      <c r="AM709" s="3">
        <v>56.0</v>
      </c>
      <c r="AN709" s="3">
        <v>66.0</v>
      </c>
    </row>
    <row r="710" ht="14.25" customHeight="1">
      <c r="A710" s="3">
        <v>708.0</v>
      </c>
      <c r="B710" s="3" t="s">
        <v>7184</v>
      </c>
      <c r="C710" s="3">
        <v>41.0</v>
      </c>
      <c r="D710" s="3" t="s">
        <v>6645</v>
      </c>
      <c r="E710" s="3" t="s">
        <v>6646</v>
      </c>
      <c r="F710" s="3" t="s">
        <v>6646</v>
      </c>
      <c r="G710" s="3" t="s">
        <v>6645</v>
      </c>
      <c r="H710" s="3" t="s">
        <v>6645</v>
      </c>
      <c r="I710" s="3" t="s">
        <v>6645</v>
      </c>
      <c r="J710" s="3">
        <v>29.0</v>
      </c>
      <c r="K710" s="3">
        <v>4.0</v>
      </c>
      <c r="L710" s="3">
        <v>0.0</v>
      </c>
      <c r="M710" s="3">
        <v>0.0</v>
      </c>
      <c r="N710" s="3">
        <v>6878.2</v>
      </c>
      <c r="O710" s="3">
        <v>1454.0</v>
      </c>
      <c r="P710" s="3" t="e">
        <v>#N/A</v>
      </c>
      <c r="Q710" s="3">
        <v>52.0</v>
      </c>
      <c r="R710" s="3">
        <v>57.0</v>
      </c>
      <c r="S710" s="3">
        <v>50.0</v>
      </c>
      <c r="T710" s="3">
        <v>59.0</v>
      </c>
      <c r="U710" s="3">
        <v>57.0</v>
      </c>
      <c r="V710" s="3">
        <v>55.0</v>
      </c>
      <c r="W710" s="3">
        <v>54.0</v>
      </c>
      <c r="X710" s="3">
        <v>51.0</v>
      </c>
      <c r="Y710" s="3">
        <v>68.0</v>
      </c>
      <c r="Z710" s="3">
        <v>52.0</v>
      </c>
      <c r="AA710" s="3">
        <v>54.0</v>
      </c>
      <c r="AB710" s="3">
        <v>55.0</v>
      </c>
      <c r="AC710" s="3">
        <v>62.0</v>
      </c>
      <c r="AD710" s="3">
        <v>50.0</v>
      </c>
      <c r="AE710" s="3">
        <v>53.0</v>
      </c>
      <c r="AF710" s="3">
        <v>58.0</v>
      </c>
      <c r="AG710" s="3">
        <v>60.0</v>
      </c>
      <c r="AH710" s="3">
        <v>43.0</v>
      </c>
      <c r="AI710" s="3">
        <v>55.0</v>
      </c>
      <c r="AJ710" s="3">
        <v>58.0</v>
      </c>
      <c r="AK710" s="3">
        <v>47.0</v>
      </c>
      <c r="AL710" s="3">
        <v>42.0</v>
      </c>
      <c r="AM710" s="3">
        <v>50.0</v>
      </c>
      <c r="AN710" s="3">
        <v>53.0</v>
      </c>
    </row>
    <row r="711" ht="14.25" customHeight="1">
      <c r="A711" s="3">
        <v>709.0</v>
      </c>
      <c r="B711" s="3" t="s">
        <v>7185</v>
      </c>
      <c r="C711" s="3">
        <v>35.0</v>
      </c>
      <c r="D711" s="3" t="s">
        <v>6645</v>
      </c>
      <c r="E711" s="3" t="s">
        <v>6646</v>
      </c>
      <c r="F711" s="3" t="s">
        <v>6646</v>
      </c>
      <c r="G711" s="3" t="s">
        <v>6645</v>
      </c>
      <c r="H711" s="3" t="s">
        <v>6645</v>
      </c>
      <c r="I711" s="3" t="s">
        <v>6646</v>
      </c>
      <c r="J711" s="3">
        <v>29.0</v>
      </c>
      <c r="K711" s="3">
        <v>3.0</v>
      </c>
      <c r="L711" s="3">
        <v>0.0</v>
      </c>
      <c r="M711" s="3">
        <v>0.0</v>
      </c>
      <c r="N711" s="3">
        <v>5021.12</v>
      </c>
      <c r="O711" s="3">
        <v>970.0</v>
      </c>
      <c r="P711" s="3" t="e">
        <v>#N/A</v>
      </c>
      <c r="Q711" s="3">
        <v>48.0</v>
      </c>
      <c r="R711" s="3">
        <v>51.0</v>
      </c>
      <c r="S711" s="3">
        <v>46.0</v>
      </c>
      <c r="T711" s="3">
        <v>51.0</v>
      </c>
      <c r="U711" s="3">
        <v>48.0</v>
      </c>
      <c r="V711" s="3">
        <v>52.0</v>
      </c>
      <c r="W711" s="3">
        <v>47.0</v>
      </c>
      <c r="X711" s="3">
        <v>43.0</v>
      </c>
      <c r="Y711" s="3">
        <v>54.0</v>
      </c>
      <c r="Z711" s="3">
        <v>45.0</v>
      </c>
      <c r="AA711" s="3">
        <v>45.0</v>
      </c>
      <c r="AB711" s="3">
        <v>52.0</v>
      </c>
      <c r="AC711" s="3">
        <v>59.0</v>
      </c>
      <c r="AD711" s="3">
        <v>50.0</v>
      </c>
      <c r="AE711" s="3">
        <v>53.0</v>
      </c>
      <c r="AF711" s="3">
        <v>62.0</v>
      </c>
      <c r="AG711" s="3">
        <v>61.0</v>
      </c>
      <c r="AH711" s="3">
        <v>42.0</v>
      </c>
      <c r="AI711" s="3">
        <v>37.0</v>
      </c>
      <c r="AJ711" s="3">
        <v>47.0</v>
      </c>
      <c r="AK711" s="3">
        <v>62.0</v>
      </c>
      <c r="AL711" s="3">
        <v>52.0</v>
      </c>
      <c r="AM711" s="3">
        <v>45.0</v>
      </c>
      <c r="AN711" s="3">
        <v>60.0</v>
      </c>
    </row>
    <row r="712" ht="14.25" customHeight="1">
      <c r="A712" s="3">
        <v>710.0</v>
      </c>
      <c r="B712" s="3" t="s">
        <v>7186</v>
      </c>
      <c r="C712" s="3">
        <v>30.0</v>
      </c>
      <c r="D712" s="3" t="s">
        <v>6645</v>
      </c>
      <c r="E712" s="3" t="s">
        <v>6646</v>
      </c>
      <c r="F712" s="3" t="s">
        <v>6646</v>
      </c>
      <c r="G712" s="3" t="s">
        <v>6645</v>
      </c>
      <c r="H712" s="3" t="s">
        <v>6645</v>
      </c>
      <c r="I712" s="3" t="s">
        <v>6646</v>
      </c>
      <c r="J712" s="3">
        <v>29.0</v>
      </c>
      <c r="K712" s="3">
        <v>3.0</v>
      </c>
      <c r="L712" s="3">
        <v>0.0</v>
      </c>
      <c r="M712" s="3">
        <v>0.0</v>
      </c>
      <c r="N712" s="3">
        <v>4954.92</v>
      </c>
      <c r="O712" s="3">
        <v>856.0</v>
      </c>
      <c r="P712" s="3" t="e">
        <v>#N/A</v>
      </c>
      <c r="Q712" s="3">
        <v>45.0</v>
      </c>
      <c r="R712" s="3">
        <v>53.0</v>
      </c>
      <c r="S712" s="3">
        <v>51.0</v>
      </c>
      <c r="T712" s="3">
        <v>53.0</v>
      </c>
      <c r="U712" s="3">
        <v>49.0</v>
      </c>
      <c r="V712" s="3">
        <v>52.0</v>
      </c>
      <c r="W712" s="3">
        <v>45.0</v>
      </c>
      <c r="X712" s="3">
        <v>51.0</v>
      </c>
      <c r="Y712" s="3">
        <v>60.0</v>
      </c>
      <c r="Z712" s="3">
        <v>51.0</v>
      </c>
      <c r="AA712" s="3">
        <v>45.0</v>
      </c>
      <c r="AB712" s="3">
        <v>42.0</v>
      </c>
      <c r="AC712" s="3">
        <v>53.0</v>
      </c>
      <c r="AD712" s="3">
        <v>51.0</v>
      </c>
      <c r="AE712" s="3">
        <v>45.0</v>
      </c>
      <c r="AF712" s="3">
        <v>63.0</v>
      </c>
      <c r="AG712" s="3">
        <v>43.0</v>
      </c>
      <c r="AH712" s="3">
        <v>43.0</v>
      </c>
      <c r="AI712" s="3">
        <v>38.0</v>
      </c>
      <c r="AJ712" s="3">
        <v>55.0</v>
      </c>
      <c r="AK712" s="3">
        <v>44.0</v>
      </c>
      <c r="AL712" s="3">
        <v>58.0</v>
      </c>
      <c r="AM712" s="3">
        <v>43.0</v>
      </c>
      <c r="AN712" s="3">
        <v>43.0</v>
      </c>
    </row>
    <row r="713" ht="14.25" customHeight="1">
      <c r="A713" s="3">
        <v>711.0</v>
      </c>
      <c r="B713" s="3" t="s">
        <v>7187</v>
      </c>
      <c r="C713" s="3">
        <v>39.0</v>
      </c>
      <c r="D713" s="3" t="s">
        <v>6645</v>
      </c>
      <c r="E713" s="3" t="s">
        <v>6646</v>
      </c>
      <c r="F713" s="3" t="s">
        <v>6646</v>
      </c>
      <c r="G713" s="3" t="s">
        <v>6645</v>
      </c>
      <c r="H713" s="3" t="s">
        <v>6645</v>
      </c>
      <c r="I713" s="3" t="s">
        <v>6645</v>
      </c>
      <c r="J713" s="3">
        <v>29.0</v>
      </c>
      <c r="K713" s="3">
        <v>3.0</v>
      </c>
      <c r="L713" s="3">
        <v>0.0</v>
      </c>
      <c r="M713" s="3">
        <v>0.0</v>
      </c>
      <c r="N713" s="3">
        <v>4486.4545</v>
      </c>
      <c r="O713" s="3">
        <v>867.0</v>
      </c>
      <c r="P713" s="3" t="e">
        <v>#N/A</v>
      </c>
      <c r="Q713" s="3">
        <v>45.0</v>
      </c>
      <c r="R713" s="3">
        <v>46.0</v>
      </c>
      <c r="S713" s="3">
        <v>45.0</v>
      </c>
      <c r="T713" s="3">
        <v>53.0</v>
      </c>
      <c r="U713" s="3">
        <v>54.0</v>
      </c>
      <c r="V713" s="3">
        <v>45.0</v>
      </c>
      <c r="W713" s="3">
        <v>41.0</v>
      </c>
      <c r="X713" s="3">
        <v>53.0</v>
      </c>
      <c r="Y713" s="3">
        <v>64.0</v>
      </c>
      <c r="Z713" s="3">
        <v>48.0</v>
      </c>
      <c r="AA713" s="3">
        <v>47.0</v>
      </c>
      <c r="AB713" s="3">
        <v>46.0</v>
      </c>
      <c r="AC713" s="3">
        <v>55.0</v>
      </c>
      <c r="AD713" s="3">
        <v>51.0</v>
      </c>
      <c r="AE713" s="3">
        <v>52.0</v>
      </c>
      <c r="AF713" s="3">
        <v>43.0</v>
      </c>
      <c r="AG713" s="3">
        <v>56.0</v>
      </c>
      <c r="AH713" s="3">
        <v>48.0</v>
      </c>
      <c r="AI713" s="3">
        <v>52.0</v>
      </c>
      <c r="AJ713" s="3">
        <v>55.0</v>
      </c>
      <c r="AK713" s="3">
        <v>50.0</v>
      </c>
      <c r="AL713" s="3">
        <v>44.0</v>
      </c>
      <c r="AM713" s="3">
        <v>47.0</v>
      </c>
      <c r="AN713" s="3">
        <v>41.0</v>
      </c>
    </row>
    <row r="714" ht="14.25" customHeight="1">
      <c r="A714" s="3">
        <v>712.0</v>
      </c>
      <c r="B714" s="3" t="s">
        <v>7188</v>
      </c>
      <c r="C714" s="3">
        <v>29.0</v>
      </c>
      <c r="D714" s="3" t="s">
        <v>6645</v>
      </c>
      <c r="E714" s="3" t="s">
        <v>6646</v>
      </c>
      <c r="F714" s="3" t="s">
        <v>6646</v>
      </c>
      <c r="G714" s="3" t="s">
        <v>6645</v>
      </c>
      <c r="H714" s="3" t="s">
        <v>6645</v>
      </c>
      <c r="I714" s="3" t="s">
        <v>6645</v>
      </c>
      <c r="J714" s="3">
        <v>29.0</v>
      </c>
      <c r="K714" s="3">
        <v>2.0</v>
      </c>
      <c r="L714" s="3">
        <v>0.0</v>
      </c>
      <c r="M714" s="3">
        <v>0.0</v>
      </c>
      <c r="N714" s="3">
        <v>3044.1735</v>
      </c>
      <c r="O714" s="3">
        <v>469.0</v>
      </c>
      <c r="P714" s="3" t="e">
        <v>#N/A</v>
      </c>
      <c r="Q714" s="3">
        <v>40.0</v>
      </c>
      <c r="R714" s="3">
        <v>42.0</v>
      </c>
      <c r="S714" s="3">
        <v>48.0</v>
      </c>
      <c r="T714" s="3">
        <v>48.0</v>
      </c>
      <c r="U714" s="3">
        <v>48.0</v>
      </c>
      <c r="V714" s="3">
        <v>49.0</v>
      </c>
      <c r="W714" s="3">
        <v>39.0</v>
      </c>
      <c r="X714" s="3">
        <v>45.0</v>
      </c>
      <c r="Y714" s="3">
        <v>48.0</v>
      </c>
      <c r="Z714" s="3">
        <v>47.0</v>
      </c>
      <c r="AA714" s="3">
        <v>48.0</v>
      </c>
      <c r="AB714" s="3">
        <v>47.0</v>
      </c>
      <c r="AC714" s="3">
        <v>54.0</v>
      </c>
      <c r="AD714" s="3">
        <v>37.0</v>
      </c>
      <c r="AE714" s="3">
        <v>49.0</v>
      </c>
      <c r="AF714" s="3">
        <v>53.0</v>
      </c>
      <c r="AG714" s="3">
        <v>60.0</v>
      </c>
      <c r="AH714" s="3">
        <v>38.0</v>
      </c>
      <c r="AI714" s="3">
        <v>48.0</v>
      </c>
      <c r="AJ714" s="3">
        <v>56.0</v>
      </c>
      <c r="AK714" s="3">
        <v>43.0</v>
      </c>
      <c r="AL714" s="3">
        <v>48.0</v>
      </c>
      <c r="AM714" s="3">
        <v>41.0</v>
      </c>
      <c r="AN714" s="3">
        <v>47.0</v>
      </c>
    </row>
    <row r="715" ht="14.25" customHeight="1">
      <c r="A715" s="3">
        <v>713.0</v>
      </c>
      <c r="B715" s="3" t="s">
        <v>7189</v>
      </c>
      <c r="C715" s="3">
        <v>32.0</v>
      </c>
      <c r="D715" s="3" t="s">
        <v>6645</v>
      </c>
      <c r="E715" s="3" t="s">
        <v>6646</v>
      </c>
      <c r="F715" s="3" t="s">
        <v>6646</v>
      </c>
      <c r="G715" s="3" t="s">
        <v>6645</v>
      </c>
      <c r="H715" s="3" t="s">
        <v>6645</v>
      </c>
      <c r="I715" s="3" t="s">
        <v>6645</v>
      </c>
      <c r="J715" s="3">
        <v>29.0</v>
      </c>
      <c r="K715" s="3">
        <v>2.0</v>
      </c>
      <c r="L715" s="3">
        <v>0.0</v>
      </c>
      <c r="M715" s="3">
        <v>0.0</v>
      </c>
      <c r="N715" s="3">
        <v>2801.9018</v>
      </c>
      <c r="O715" s="3">
        <v>356.0</v>
      </c>
      <c r="P715" s="3" t="e">
        <v>#N/A</v>
      </c>
      <c r="Q715" s="3">
        <v>41.0</v>
      </c>
      <c r="R715" s="3">
        <v>40.0</v>
      </c>
      <c r="S715" s="3">
        <v>41.0</v>
      </c>
      <c r="T715" s="3">
        <v>47.0</v>
      </c>
      <c r="U715" s="3">
        <v>47.0</v>
      </c>
      <c r="V715" s="3">
        <v>40.0</v>
      </c>
      <c r="W715" s="3">
        <v>41.0</v>
      </c>
      <c r="X715" s="3">
        <v>45.0</v>
      </c>
      <c r="Y715" s="3">
        <v>54.0</v>
      </c>
      <c r="Z715" s="3">
        <v>40.0</v>
      </c>
      <c r="AA715" s="3">
        <v>44.0</v>
      </c>
      <c r="AB715" s="3">
        <v>39.0</v>
      </c>
      <c r="AC715" s="3">
        <v>45.0</v>
      </c>
      <c r="AD715" s="3">
        <v>46.0</v>
      </c>
      <c r="AE715" s="3">
        <v>45.0</v>
      </c>
      <c r="AF715" s="3">
        <v>62.0</v>
      </c>
      <c r="AG715" s="3">
        <v>41.0</v>
      </c>
      <c r="AH715" s="3">
        <v>53.0</v>
      </c>
      <c r="AI715" s="3">
        <v>61.0</v>
      </c>
      <c r="AJ715" s="3">
        <v>49.0</v>
      </c>
      <c r="AK715" s="3">
        <v>38.0</v>
      </c>
      <c r="AL715" s="3">
        <v>35.0</v>
      </c>
      <c r="AM715" s="3">
        <v>45.0</v>
      </c>
      <c r="AN715" s="3">
        <v>46.0</v>
      </c>
    </row>
    <row r="716" ht="14.25" customHeight="1">
      <c r="A716" s="3">
        <v>714.0</v>
      </c>
      <c r="B716" s="3" t="s">
        <v>7190</v>
      </c>
      <c r="C716" s="3">
        <v>25.0</v>
      </c>
      <c r="D716" s="3" t="s">
        <v>6645</v>
      </c>
      <c r="E716" s="3" t="s">
        <v>6646</v>
      </c>
      <c r="F716" s="3" t="s">
        <v>6646</v>
      </c>
      <c r="G716" s="3" t="s">
        <v>6645</v>
      </c>
      <c r="H716" s="3" t="s">
        <v>6645</v>
      </c>
      <c r="I716" s="3" t="s">
        <v>6646</v>
      </c>
      <c r="J716" s="3">
        <v>29.0</v>
      </c>
      <c r="K716" s="3">
        <v>2.0</v>
      </c>
      <c r="L716" s="3">
        <v>0.0</v>
      </c>
      <c r="M716" s="3">
        <v>0.0</v>
      </c>
      <c r="N716" s="3">
        <v>2976.0961</v>
      </c>
      <c r="O716" s="3">
        <v>306.0</v>
      </c>
      <c r="P716" s="3" t="e">
        <v>#N/A</v>
      </c>
      <c r="Q716" s="3">
        <v>46.0</v>
      </c>
      <c r="R716" s="3">
        <v>43.0</v>
      </c>
      <c r="S716" s="3">
        <v>43.0</v>
      </c>
      <c r="T716" s="3">
        <v>45.0</v>
      </c>
      <c r="U716" s="3">
        <v>42.0</v>
      </c>
      <c r="V716" s="3">
        <v>49.0</v>
      </c>
      <c r="W716" s="3">
        <v>42.0</v>
      </c>
      <c r="X716" s="3">
        <v>44.0</v>
      </c>
      <c r="Y716" s="3">
        <v>52.0</v>
      </c>
      <c r="Z716" s="3">
        <v>43.0</v>
      </c>
      <c r="AA716" s="3">
        <v>45.0</v>
      </c>
      <c r="AB716" s="3">
        <v>35.0</v>
      </c>
      <c r="AC716" s="3">
        <v>49.0</v>
      </c>
      <c r="AD716" s="3">
        <v>39.0</v>
      </c>
      <c r="AE716" s="3">
        <v>41.0</v>
      </c>
      <c r="AF716" s="3">
        <v>55.0</v>
      </c>
      <c r="AG716" s="3">
        <v>51.0</v>
      </c>
      <c r="AH716" s="3">
        <v>36.0</v>
      </c>
      <c r="AI716" s="3">
        <v>54.0</v>
      </c>
      <c r="AJ716" s="3">
        <v>62.0</v>
      </c>
      <c r="AK716" s="3">
        <v>60.0</v>
      </c>
      <c r="AL716" s="3">
        <v>57.0</v>
      </c>
      <c r="AM716" s="3">
        <v>37.0</v>
      </c>
      <c r="AN716" s="3">
        <v>62.0</v>
      </c>
    </row>
    <row r="717" ht="14.25" customHeight="1">
      <c r="A717" s="3">
        <v>715.0</v>
      </c>
      <c r="B717" s="3" t="s">
        <v>7191</v>
      </c>
      <c r="C717" s="3">
        <v>21.0</v>
      </c>
      <c r="D717" s="3" t="s">
        <v>6645</v>
      </c>
      <c r="E717" s="3" t="s">
        <v>6646</v>
      </c>
      <c r="F717" s="3" t="s">
        <v>6646</v>
      </c>
      <c r="G717" s="3" t="s">
        <v>6645</v>
      </c>
      <c r="H717" s="3" t="s">
        <v>6645</v>
      </c>
      <c r="I717" s="3" t="s">
        <v>6645</v>
      </c>
      <c r="J717" s="3">
        <v>29.0</v>
      </c>
      <c r="K717" s="3">
        <v>1.0</v>
      </c>
      <c r="L717" s="3">
        <v>0.0</v>
      </c>
      <c r="M717" s="3">
        <v>0.0</v>
      </c>
      <c r="N717" s="3">
        <v>1282.3922</v>
      </c>
      <c r="O717" s="3">
        <v>184.0</v>
      </c>
      <c r="P717" s="3" t="e">
        <v>#N/A</v>
      </c>
      <c r="Q717" s="3">
        <v>36.0</v>
      </c>
      <c r="R717" s="3">
        <v>37.0</v>
      </c>
      <c r="S717" s="3">
        <v>38.0</v>
      </c>
      <c r="T717" s="3">
        <v>40.0</v>
      </c>
      <c r="U717" s="3">
        <v>42.0</v>
      </c>
      <c r="V717" s="3">
        <v>36.0</v>
      </c>
      <c r="W717" s="3">
        <v>36.0</v>
      </c>
      <c r="X717" s="3">
        <v>44.0</v>
      </c>
      <c r="Y717" s="3">
        <v>52.0</v>
      </c>
      <c r="Z717" s="3">
        <v>36.0</v>
      </c>
      <c r="AA717" s="3">
        <v>35.0</v>
      </c>
      <c r="AB717" s="3">
        <v>35.0</v>
      </c>
      <c r="AC717" s="3">
        <v>48.0</v>
      </c>
      <c r="AD717" s="3">
        <v>35.0</v>
      </c>
      <c r="AE717" s="3">
        <v>39.0</v>
      </c>
      <c r="AF717" s="3">
        <v>49.0</v>
      </c>
      <c r="AG717" s="3">
        <v>42.0</v>
      </c>
      <c r="AH717" s="3">
        <v>43.0</v>
      </c>
      <c r="AI717" s="3">
        <v>52.0</v>
      </c>
      <c r="AJ717" s="3">
        <v>60.0</v>
      </c>
      <c r="AK717" s="3">
        <v>56.0</v>
      </c>
      <c r="AL717" s="3">
        <v>36.0</v>
      </c>
      <c r="AM717" s="3">
        <v>55.0</v>
      </c>
      <c r="AN717" s="3">
        <v>52.0</v>
      </c>
    </row>
    <row r="718" ht="14.25" customHeight="1">
      <c r="A718" s="3">
        <v>716.0</v>
      </c>
      <c r="B718" s="3" t="s">
        <v>7192</v>
      </c>
      <c r="C718" s="3">
        <v>29.0</v>
      </c>
      <c r="D718" s="3" t="s">
        <v>6645</v>
      </c>
      <c r="E718" s="3" t="s">
        <v>6646</v>
      </c>
      <c r="F718" s="3" t="s">
        <v>6646</v>
      </c>
      <c r="G718" s="3" t="s">
        <v>6645</v>
      </c>
      <c r="H718" s="3" t="s">
        <v>6645</v>
      </c>
      <c r="I718" s="3" t="s">
        <v>6646</v>
      </c>
      <c r="J718" s="3">
        <v>29.0</v>
      </c>
      <c r="K718" s="3">
        <v>1.0</v>
      </c>
      <c r="L718" s="3">
        <v>0.0</v>
      </c>
      <c r="M718" s="3">
        <v>0.0</v>
      </c>
      <c r="N718" s="3">
        <v>1310.2414</v>
      </c>
      <c r="O718" s="3">
        <v>174.0</v>
      </c>
      <c r="P718" s="3" t="e">
        <v>#N/A</v>
      </c>
      <c r="Q718" s="3">
        <v>40.0</v>
      </c>
      <c r="R718" s="3">
        <v>41.0</v>
      </c>
      <c r="S718" s="3">
        <v>43.0</v>
      </c>
      <c r="T718" s="3">
        <v>36.0</v>
      </c>
      <c r="U718" s="3">
        <v>41.0</v>
      </c>
      <c r="V718" s="3">
        <v>36.0</v>
      </c>
      <c r="W718" s="3">
        <v>39.0</v>
      </c>
      <c r="X718" s="3">
        <v>44.0</v>
      </c>
      <c r="Y718" s="3">
        <v>50.0</v>
      </c>
      <c r="Z718" s="3">
        <v>41.0</v>
      </c>
      <c r="AA718" s="3">
        <v>42.0</v>
      </c>
      <c r="AB718" s="3">
        <v>31.0</v>
      </c>
      <c r="AC718" s="3">
        <v>48.0</v>
      </c>
      <c r="AD718" s="3">
        <v>34.0</v>
      </c>
      <c r="AE718" s="3">
        <v>40.0</v>
      </c>
      <c r="AF718" s="3">
        <v>56.0</v>
      </c>
      <c r="AG718" s="3">
        <v>39.0</v>
      </c>
      <c r="AH718" s="3">
        <v>55.0</v>
      </c>
      <c r="AI718" s="3">
        <v>56.0</v>
      </c>
      <c r="AJ718" s="3">
        <v>45.0</v>
      </c>
      <c r="AK718" s="3">
        <v>50.0</v>
      </c>
      <c r="AL718" s="3">
        <v>49.0</v>
      </c>
      <c r="AM718" s="3">
        <v>38.0</v>
      </c>
      <c r="AN718" s="3">
        <v>55.0</v>
      </c>
    </row>
    <row r="719" ht="14.25" customHeight="1">
      <c r="A719" s="3">
        <v>717.0</v>
      </c>
      <c r="B719" s="3" t="s">
        <v>7193</v>
      </c>
      <c r="C719" s="3">
        <v>20.0</v>
      </c>
      <c r="D719" s="3" t="s">
        <v>6645</v>
      </c>
      <c r="E719" s="3" t="s">
        <v>6646</v>
      </c>
      <c r="F719" s="3" t="s">
        <v>6646</v>
      </c>
      <c r="G719" s="3" t="s">
        <v>6645</v>
      </c>
      <c r="H719" s="3" t="s">
        <v>6645</v>
      </c>
      <c r="I719" s="3" t="s">
        <v>6646</v>
      </c>
      <c r="J719" s="3">
        <v>29.0</v>
      </c>
      <c r="K719" s="3">
        <v>1.0</v>
      </c>
      <c r="L719" s="3">
        <v>0.0</v>
      </c>
      <c r="M719" s="3">
        <v>0.0</v>
      </c>
      <c r="N719" s="3">
        <v>1215.8643</v>
      </c>
      <c r="O719" s="3">
        <v>237.0</v>
      </c>
      <c r="P719" s="3" t="e">
        <v>#N/A</v>
      </c>
      <c r="Q719" s="3">
        <v>41.0</v>
      </c>
      <c r="R719" s="3">
        <v>38.0</v>
      </c>
      <c r="S719" s="3">
        <v>43.0</v>
      </c>
      <c r="T719" s="3">
        <v>39.0</v>
      </c>
      <c r="U719" s="3">
        <v>43.0</v>
      </c>
      <c r="V719" s="3">
        <v>37.0</v>
      </c>
      <c r="W719" s="3">
        <v>37.0</v>
      </c>
      <c r="X719" s="3">
        <v>37.0</v>
      </c>
      <c r="Y719" s="3">
        <v>42.0</v>
      </c>
      <c r="Z719" s="3">
        <v>43.0</v>
      </c>
      <c r="AA719" s="3">
        <v>36.0</v>
      </c>
      <c r="AB719" s="3">
        <v>35.0</v>
      </c>
      <c r="AC719" s="3">
        <v>42.0</v>
      </c>
      <c r="AD719" s="3">
        <v>35.0</v>
      </c>
      <c r="AE719" s="3">
        <v>30.0</v>
      </c>
      <c r="AF719" s="3">
        <v>43.0</v>
      </c>
      <c r="AG719" s="3">
        <v>59.0</v>
      </c>
      <c r="AH719" s="3">
        <v>35.0</v>
      </c>
      <c r="AI719" s="3">
        <v>36.0</v>
      </c>
      <c r="AJ719" s="3">
        <v>34.0</v>
      </c>
      <c r="AK719" s="3">
        <v>61.0</v>
      </c>
      <c r="AL719" s="3">
        <v>52.0</v>
      </c>
      <c r="AM719" s="3">
        <v>34.0</v>
      </c>
      <c r="AN719" s="3">
        <v>56.0</v>
      </c>
    </row>
    <row r="720" ht="14.25" customHeight="1">
      <c r="A720" s="3">
        <v>718.0</v>
      </c>
      <c r="B720" s="3" t="s">
        <v>7194</v>
      </c>
      <c r="C720" s="3">
        <v>23.0</v>
      </c>
      <c r="D720" s="3" t="s">
        <v>6645</v>
      </c>
      <c r="E720" s="3" t="s">
        <v>6646</v>
      </c>
      <c r="F720" s="3" t="s">
        <v>6646</v>
      </c>
      <c r="G720" s="3" t="s">
        <v>6645</v>
      </c>
      <c r="H720" s="3" t="s">
        <v>6645</v>
      </c>
      <c r="I720" s="3" t="s">
        <v>6646</v>
      </c>
      <c r="J720" s="3">
        <v>29.0</v>
      </c>
      <c r="K720" s="3">
        <v>1.0</v>
      </c>
      <c r="L720" s="3">
        <v>0.0</v>
      </c>
      <c r="M720" s="3">
        <v>0.0</v>
      </c>
      <c r="N720" s="3">
        <v>1149.8884</v>
      </c>
      <c r="O720" s="3">
        <v>235.0</v>
      </c>
      <c r="P720" s="3" t="e">
        <v>#N/A</v>
      </c>
      <c r="Q720" s="3">
        <v>42.0</v>
      </c>
      <c r="R720" s="3">
        <v>39.0</v>
      </c>
      <c r="S720" s="3">
        <v>41.0</v>
      </c>
      <c r="T720" s="3">
        <v>41.0</v>
      </c>
      <c r="U720" s="3">
        <v>38.0</v>
      </c>
      <c r="V720" s="3">
        <v>38.0</v>
      </c>
      <c r="W720" s="3">
        <v>40.0</v>
      </c>
      <c r="X720" s="3">
        <v>35.0</v>
      </c>
      <c r="Y720" s="3">
        <v>50.0</v>
      </c>
      <c r="Z720" s="3">
        <v>36.0</v>
      </c>
      <c r="AA720" s="3">
        <v>36.0</v>
      </c>
      <c r="AB720" s="3">
        <v>37.0</v>
      </c>
      <c r="AC720" s="3">
        <v>42.0</v>
      </c>
      <c r="AD720" s="3">
        <v>41.0</v>
      </c>
      <c r="AE720" s="3">
        <v>43.0</v>
      </c>
      <c r="AF720" s="3">
        <v>51.0</v>
      </c>
      <c r="AG720" s="3">
        <v>34.0</v>
      </c>
      <c r="AH720" s="3">
        <v>61.0</v>
      </c>
      <c r="AI720" s="3">
        <v>58.0</v>
      </c>
      <c r="AJ720" s="3">
        <v>45.0</v>
      </c>
      <c r="AK720" s="3">
        <v>38.0</v>
      </c>
      <c r="AL720" s="3">
        <v>44.0</v>
      </c>
      <c r="AM720" s="3">
        <v>46.0</v>
      </c>
      <c r="AN720" s="3">
        <v>60.0</v>
      </c>
    </row>
    <row r="721" ht="14.25" customHeight="1">
      <c r="A721" s="3">
        <v>719.0</v>
      </c>
      <c r="B721" s="3" t="s">
        <v>7195</v>
      </c>
      <c r="C721" s="3">
        <v>22.0</v>
      </c>
      <c r="D721" s="3" t="s">
        <v>6645</v>
      </c>
      <c r="E721" s="3" t="s">
        <v>6646</v>
      </c>
      <c r="F721" s="3" t="s">
        <v>6646</v>
      </c>
      <c r="G721" s="3" t="s">
        <v>6645</v>
      </c>
      <c r="H721" s="3" t="s">
        <v>6645</v>
      </c>
      <c r="I721" s="3" t="s">
        <v>6645</v>
      </c>
      <c r="J721" s="3">
        <v>29.0</v>
      </c>
      <c r="K721" s="3">
        <v>0.0</v>
      </c>
      <c r="L721" s="3">
        <v>0.0</v>
      </c>
      <c r="M721" s="3">
        <v>0.0</v>
      </c>
      <c r="N721" s="3">
        <v>444.696</v>
      </c>
      <c r="O721" s="3">
        <v>100.0</v>
      </c>
      <c r="P721" s="3" t="e">
        <v>#N/A</v>
      </c>
      <c r="Q721" s="3">
        <v>32.0</v>
      </c>
      <c r="R721" s="3">
        <v>34.0</v>
      </c>
      <c r="S721" s="3">
        <v>34.0</v>
      </c>
      <c r="T721" s="3">
        <v>30.0</v>
      </c>
      <c r="U721" s="3">
        <v>31.0</v>
      </c>
      <c r="V721" s="3">
        <v>32.0</v>
      </c>
      <c r="W721" s="3">
        <v>36.0</v>
      </c>
      <c r="X721" s="3">
        <v>33.0</v>
      </c>
      <c r="Y721" s="3">
        <v>40.0</v>
      </c>
      <c r="Z721" s="3">
        <v>38.0</v>
      </c>
      <c r="AA721" s="3">
        <v>38.0</v>
      </c>
      <c r="AB721" s="3">
        <v>27.0</v>
      </c>
      <c r="AC721" s="3">
        <v>45.0</v>
      </c>
      <c r="AD721" s="3">
        <v>31.0</v>
      </c>
      <c r="AE721" s="3">
        <v>29.0</v>
      </c>
      <c r="AF721" s="3">
        <v>53.0</v>
      </c>
      <c r="AG721" s="3">
        <v>54.0</v>
      </c>
      <c r="AH721" s="3">
        <v>47.0</v>
      </c>
      <c r="AI721" s="3">
        <v>53.0</v>
      </c>
      <c r="AJ721" s="3">
        <v>36.0</v>
      </c>
      <c r="AK721" s="3">
        <v>54.0</v>
      </c>
      <c r="AL721" s="3">
        <v>30.0</v>
      </c>
      <c r="AM721" s="3">
        <v>36.0</v>
      </c>
      <c r="AN721" s="3">
        <v>57.0</v>
      </c>
    </row>
    <row r="722" ht="14.25" customHeight="1">
      <c r="A722" s="3">
        <v>720.0</v>
      </c>
      <c r="B722" s="3" t="s">
        <v>7196</v>
      </c>
      <c r="C722" s="3">
        <v>20.0</v>
      </c>
      <c r="D722" s="3" t="s">
        <v>6645</v>
      </c>
      <c r="E722" s="3" t="s">
        <v>6646</v>
      </c>
      <c r="F722" s="3" t="s">
        <v>6646</v>
      </c>
      <c r="G722" s="3" t="s">
        <v>6645</v>
      </c>
      <c r="H722" s="3" t="s">
        <v>6645</v>
      </c>
      <c r="I722" s="3" t="s">
        <v>6646</v>
      </c>
      <c r="J722" s="3">
        <v>29.0</v>
      </c>
      <c r="K722" s="3">
        <v>0.0</v>
      </c>
      <c r="L722" s="3">
        <v>0.0</v>
      </c>
      <c r="M722" s="3">
        <v>0.0</v>
      </c>
      <c r="N722" s="3">
        <v>446.82852</v>
      </c>
      <c r="O722" s="3">
        <v>123.0</v>
      </c>
      <c r="P722" s="3" t="e">
        <v>#N/A</v>
      </c>
      <c r="Q722" s="3">
        <v>33.0</v>
      </c>
      <c r="R722" s="3">
        <v>38.0</v>
      </c>
      <c r="S722" s="3">
        <v>31.0</v>
      </c>
      <c r="T722" s="3">
        <v>30.0</v>
      </c>
      <c r="U722" s="3">
        <v>33.0</v>
      </c>
      <c r="V722" s="3">
        <v>32.0</v>
      </c>
      <c r="W722" s="3">
        <v>27.0</v>
      </c>
      <c r="X722" s="3">
        <v>30.0</v>
      </c>
      <c r="Y722" s="3">
        <v>46.0</v>
      </c>
      <c r="Z722" s="3">
        <v>26.0</v>
      </c>
      <c r="AA722" s="3">
        <v>30.0</v>
      </c>
      <c r="AB722" s="3">
        <v>36.0</v>
      </c>
      <c r="AC722" s="3">
        <v>37.0</v>
      </c>
      <c r="AD722" s="3">
        <v>34.0</v>
      </c>
      <c r="AE722" s="3">
        <v>32.0</v>
      </c>
      <c r="AF722" s="3">
        <v>38.0</v>
      </c>
      <c r="AG722" s="3">
        <v>50.0</v>
      </c>
      <c r="AH722" s="3">
        <v>41.0</v>
      </c>
      <c r="AI722" s="3">
        <v>34.0</v>
      </c>
      <c r="AJ722" s="3">
        <v>32.0</v>
      </c>
      <c r="AK722" s="3">
        <v>46.0</v>
      </c>
      <c r="AL722" s="3">
        <v>50.0</v>
      </c>
      <c r="AM722" s="3">
        <v>48.0</v>
      </c>
      <c r="AN722" s="3">
        <v>34.0</v>
      </c>
    </row>
    <row r="723" ht="14.25" customHeight="1">
      <c r="A723" s="3">
        <v>721.0</v>
      </c>
      <c r="B723" s="3" t="s">
        <v>7197</v>
      </c>
      <c r="C723" s="3">
        <v>23.0</v>
      </c>
      <c r="D723" s="3" t="s">
        <v>6645</v>
      </c>
      <c r="E723" s="3" t="s">
        <v>6646</v>
      </c>
      <c r="F723" s="3" t="s">
        <v>6646</v>
      </c>
      <c r="G723" s="3" t="s">
        <v>6645</v>
      </c>
      <c r="H723" s="3" t="s">
        <v>6645</v>
      </c>
      <c r="I723" s="3" t="s">
        <v>6645</v>
      </c>
      <c r="J723" s="3">
        <v>29.0</v>
      </c>
      <c r="K723" s="3">
        <v>0.0</v>
      </c>
      <c r="L723" s="3">
        <v>0.0</v>
      </c>
      <c r="M723" s="3">
        <v>0.0</v>
      </c>
      <c r="N723" s="3">
        <v>500.7</v>
      </c>
      <c r="O723" s="3">
        <v>119.0</v>
      </c>
      <c r="P723" s="3" t="e">
        <v>#N/A</v>
      </c>
      <c r="Q723" s="3">
        <v>34.0</v>
      </c>
      <c r="R723" s="3">
        <v>37.0</v>
      </c>
      <c r="S723" s="3">
        <v>31.0</v>
      </c>
      <c r="T723" s="3">
        <v>39.0</v>
      </c>
      <c r="U723" s="3">
        <v>37.0</v>
      </c>
      <c r="V723" s="3">
        <v>30.0</v>
      </c>
      <c r="W723" s="3">
        <v>21.0</v>
      </c>
      <c r="X723" s="3">
        <v>38.0</v>
      </c>
      <c r="Y723" s="3">
        <v>37.0</v>
      </c>
      <c r="Z723" s="3">
        <v>34.0</v>
      </c>
      <c r="AA723" s="3">
        <v>39.0</v>
      </c>
      <c r="AB723" s="3">
        <v>31.0</v>
      </c>
      <c r="AC723" s="3">
        <v>46.0</v>
      </c>
      <c r="AD723" s="3">
        <v>30.0</v>
      </c>
      <c r="AE723" s="3">
        <v>31.0</v>
      </c>
      <c r="AF723" s="3">
        <v>39.0</v>
      </c>
      <c r="AG723" s="3">
        <v>56.0</v>
      </c>
      <c r="AH723" s="3">
        <v>30.0</v>
      </c>
      <c r="AI723" s="3">
        <v>54.0</v>
      </c>
      <c r="AJ723" s="3">
        <v>50.0</v>
      </c>
      <c r="AK723" s="3">
        <v>49.0</v>
      </c>
      <c r="AL723" s="3">
        <v>30.0</v>
      </c>
      <c r="AM723" s="3">
        <v>45.0</v>
      </c>
      <c r="AN723" s="3">
        <v>46.0</v>
      </c>
    </row>
    <row r="724" ht="14.25" customHeight="1">
      <c r="A724" s="3">
        <v>722.0</v>
      </c>
      <c r="B724" s="3" t="s">
        <v>7198</v>
      </c>
      <c r="C724" s="3">
        <v>20.0</v>
      </c>
      <c r="D724" s="3" t="s">
        <v>6645</v>
      </c>
      <c r="E724" s="3" t="s">
        <v>6646</v>
      </c>
      <c r="F724" s="3" t="s">
        <v>6646</v>
      </c>
      <c r="G724" s="3" t="s">
        <v>6645</v>
      </c>
      <c r="H724" s="3" t="s">
        <v>6645</v>
      </c>
      <c r="I724" s="3" t="s">
        <v>6646</v>
      </c>
      <c r="J724" s="3">
        <v>29.0</v>
      </c>
      <c r="K724" s="3">
        <v>0.0</v>
      </c>
      <c r="L724" s="3">
        <v>0.0</v>
      </c>
      <c r="M724" s="3">
        <v>0.0</v>
      </c>
      <c r="N724" s="3">
        <v>387.29815</v>
      </c>
      <c r="O724" s="3">
        <v>112.0</v>
      </c>
      <c r="P724" s="3" t="e">
        <v>#N/A</v>
      </c>
      <c r="Q724" s="3">
        <v>32.0</v>
      </c>
      <c r="R724" s="3">
        <v>38.0</v>
      </c>
      <c r="S724" s="3">
        <v>34.0</v>
      </c>
      <c r="T724" s="3">
        <v>31.0</v>
      </c>
      <c r="U724" s="3">
        <v>38.0</v>
      </c>
      <c r="V724" s="3">
        <v>34.0</v>
      </c>
      <c r="W724" s="3">
        <v>39.0</v>
      </c>
      <c r="X724" s="3">
        <v>34.0</v>
      </c>
      <c r="Y724" s="3">
        <v>42.0</v>
      </c>
      <c r="Z724" s="3">
        <v>35.0</v>
      </c>
      <c r="AA724" s="3">
        <v>36.0</v>
      </c>
      <c r="AB724" s="3">
        <v>36.0</v>
      </c>
      <c r="AC724" s="3">
        <v>37.0</v>
      </c>
      <c r="AD724" s="3">
        <v>32.0</v>
      </c>
      <c r="AE724" s="3">
        <v>31.0</v>
      </c>
      <c r="AF724" s="3">
        <v>38.0</v>
      </c>
      <c r="AG724" s="3">
        <v>43.0</v>
      </c>
      <c r="AH724" s="3">
        <v>54.0</v>
      </c>
      <c r="AI724" s="3">
        <v>44.0</v>
      </c>
      <c r="AJ724" s="3">
        <v>30.0</v>
      </c>
      <c r="AK724" s="3">
        <v>47.0</v>
      </c>
      <c r="AL724" s="3">
        <v>31.0</v>
      </c>
      <c r="AM724" s="3">
        <v>42.0</v>
      </c>
      <c r="AN724" s="3">
        <v>55.0</v>
      </c>
    </row>
    <row r="725" ht="14.25" customHeight="1">
      <c r="A725" s="3">
        <v>723.0</v>
      </c>
      <c r="B725" s="3" t="s">
        <v>7199</v>
      </c>
      <c r="C725" s="3">
        <v>36.0</v>
      </c>
      <c r="D725" s="3" t="s">
        <v>6645</v>
      </c>
      <c r="E725" s="3" t="s">
        <v>6646</v>
      </c>
      <c r="F725" s="3" t="s">
        <v>6646</v>
      </c>
      <c r="G725" s="3" t="s">
        <v>6645</v>
      </c>
      <c r="H725" s="3" t="s">
        <v>6645</v>
      </c>
      <c r="I725" s="3" t="s">
        <v>6645</v>
      </c>
      <c r="J725" s="3">
        <v>-1.0</v>
      </c>
      <c r="K725" s="3">
        <v>4.0</v>
      </c>
      <c r="L725" s="3">
        <v>0.0</v>
      </c>
      <c r="M725" s="3">
        <v>0.0</v>
      </c>
      <c r="N725" s="3">
        <v>9244.78</v>
      </c>
      <c r="O725" s="3">
        <v>1694.0</v>
      </c>
      <c r="P725" s="3" t="e">
        <v>#N/A</v>
      </c>
      <c r="Q725" s="3">
        <v>63.0</v>
      </c>
      <c r="R725" s="3">
        <v>62.0</v>
      </c>
      <c r="S725" s="3">
        <v>61.0</v>
      </c>
      <c r="T725" s="3">
        <v>56.0</v>
      </c>
      <c r="U725" s="3">
        <v>53.0</v>
      </c>
      <c r="V725" s="3">
        <v>50.0</v>
      </c>
      <c r="W725" s="3">
        <v>51.0</v>
      </c>
      <c r="X725" s="3">
        <v>62.0</v>
      </c>
      <c r="Y725" s="3">
        <v>53.0</v>
      </c>
      <c r="Z725" s="3">
        <v>47.0</v>
      </c>
      <c r="AA725" s="3">
        <v>57.0</v>
      </c>
      <c r="AB725" s="3">
        <v>51.0</v>
      </c>
      <c r="AC725" s="3">
        <v>71.0</v>
      </c>
      <c r="AD725" s="3">
        <v>65.0</v>
      </c>
      <c r="AE725" s="3">
        <v>52.0</v>
      </c>
      <c r="AF725" s="3">
        <v>44.0</v>
      </c>
      <c r="AG725" s="3">
        <v>52.0</v>
      </c>
      <c r="AH725" s="3">
        <v>67.0</v>
      </c>
      <c r="AI725" s="3">
        <v>50.0</v>
      </c>
      <c r="AJ725" s="3">
        <v>65.0</v>
      </c>
      <c r="AK725" s="3">
        <v>50.0</v>
      </c>
      <c r="AL725" s="3">
        <v>45.0</v>
      </c>
      <c r="AM725" s="3">
        <v>27.0</v>
      </c>
      <c r="AN725" s="3">
        <v>73.0</v>
      </c>
    </row>
    <row r="726" ht="14.25" customHeight="1">
      <c r="A726" s="3">
        <v>724.0</v>
      </c>
      <c r="B726" s="3" t="s">
        <v>7200</v>
      </c>
      <c r="C726" s="3">
        <v>18.0</v>
      </c>
      <c r="D726" s="3" t="s">
        <v>6645</v>
      </c>
      <c r="E726" s="3" t="s">
        <v>6646</v>
      </c>
      <c r="F726" s="3" t="s">
        <v>6646</v>
      </c>
      <c r="G726" s="3" t="s">
        <v>6645</v>
      </c>
      <c r="H726" s="3" t="s">
        <v>6645</v>
      </c>
      <c r="I726" s="3" t="s">
        <v>6646</v>
      </c>
      <c r="J726" s="3">
        <v>-1.0</v>
      </c>
      <c r="K726" s="3">
        <v>0.0</v>
      </c>
      <c r="L726" s="3">
        <v>0.0</v>
      </c>
      <c r="M726" s="3">
        <v>0.0</v>
      </c>
      <c r="N726" s="3">
        <v>373.35516</v>
      </c>
      <c r="O726" s="3">
        <v>81.0</v>
      </c>
      <c r="P726" s="3" t="e">
        <v>#N/A</v>
      </c>
      <c r="Q726" s="3">
        <v>30.0</v>
      </c>
      <c r="R726" s="3">
        <v>37.0</v>
      </c>
      <c r="S726" s="3">
        <v>30.0</v>
      </c>
      <c r="T726" s="3">
        <v>37.0</v>
      </c>
      <c r="U726" s="3">
        <v>36.0</v>
      </c>
      <c r="V726" s="3">
        <v>36.0</v>
      </c>
      <c r="W726" s="3">
        <v>30.0</v>
      </c>
      <c r="X726" s="3">
        <v>32.0</v>
      </c>
      <c r="Y726" s="3">
        <v>43.0</v>
      </c>
      <c r="Z726" s="3">
        <v>30.0</v>
      </c>
      <c r="AA726" s="3">
        <v>38.0</v>
      </c>
      <c r="AB726" s="3">
        <v>31.0</v>
      </c>
      <c r="AC726" s="3">
        <v>31.0</v>
      </c>
      <c r="AD726" s="3">
        <v>29.0</v>
      </c>
      <c r="AE726" s="3">
        <v>43.0</v>
      </c>
      <c r="AF726" s="3">
        <v>75.0</v>
      </c>
      <c r="AG726" s="3">
        <v>35.0</v>
      </c>
      <c r="AH726" s="3">
        <v>31.0</v>
      </c>
      <c r="AI726" s="3">
        <v>30.0</v>
      </c>
      <c r="AJ726" s="3">
        <v>72.0</v>
      </c>
      <c r="AK726" s="3">
        <v>25.0</v>
      </c>
      <c r="AL726" s="3">
        <v>6.0</v>
      </c>
      <c r="AM726" s="3">
        <v>31.0</v>
      </c>
      <c r="AN726" s="3">
        <v>62.0</v>
      </c>
    </row>
    <row r="727" ht="14.25" customHeight="1">
      <c r="A727" s="3">
        <v>725.0</v>
      </c>
      <c r="B727" s="3" t="s">
        <v>7201</v>
      </c>
      <c r="C727" s="3">
        <v>43.0</v>
      </c>
      <c r="D727" s="3" t="s">
        <v>6645</v>
      </c>
      <c r="E727" s="3" t="s">
        <v>6646</v>
      </c>
      <c r="F727" s="3" t="s">
        <v>6646</v>
      </c>
      <c r="G727" s="3" t="s">
        <v>6645</v>
      </c>
      <c r="H727" s="3" t="s">
        <v>6645</v>
      </c>
      <c r="I727" s="3" t="s">
        <v>6646</v>
      </c>
      <c r="J727" s="3">
        <v>-1.0</v>
      </c>
      <c r="K727" s="3">
        <v>5.0</v>
      </c>
      <c r="L727" s="3">
        <v>0.0</v>
      </c>
      <c r="M727" s="3">
        <v>0.0</v>
      </c>
      <c r="N727" s="3">
        <v>13105.884</v>
      </c>
      <c r="O727" s="3">
        <v>2548.0</v>
      </c>
      <c r="P727" s="3" t="e">
        <v>#N/A</v>
      </c>
      <c r="Q727" s="3">
        <v>57.0</v>
      </c>
      <c r="R727" s="3">
        <v>61.0</v>
      </c>
      <c r="S727" s="3">
        <v>75.0</v>
      </c>
      <c r="T727" s="3">
        <v>76.0</v>
      </c>
      <c r="U727" s="3">
        <v>64.0</v>
      </c>
      <c r="V727" s="3">
        <v>61.0</v>
      </c>
      <c r="W727" s="3">
        <v>71.0</v>
      </c>
      <c r="X727" s="3">
        <v>77.0</v>
      </c>
      <c r="Y727" s="3">
        <v>75.0</v>
      </c>
      <c r="Z727" s="3">
        <v>80.0</v>
      </c>
      <c r="AA727" s="3">
        <v>54.0</v>
      </c>
      <c r="AB727" s="3">
        <v>55.0</v>
      </c>
      <c r="AC727" s="3">
        <v>57.0</v>
      </c>
      <c r="AD727" s="3">
        <v>82.0</v>
      </c>
      <c r="AE727" s="3">
        <v>81.0</v>
      </c>
      <c r="AF727" s="3">
        <v>55.0</v>
      </c>
      <c r="AG727" s="3">
        <v>100.0</v>
      </c>
      <c r="AH727" s="3">
        <v>15.0</v>
      </c>
      <c r="AI727" s="3">
        <v>44.0</v>
      </c>
      <c r="AJ727" s="3">
        <v>57.0</v>
      </c>
      <c r="AK727" s="3">
        <v>87.0</v>
      </c>
      <c r="AL727" s="3">
        <v>68.0</v>
      </c>
      <c r="AM727" s="3">
        <v>33.0</v>
      </c>
      <c r="AN727" s="3">
        <v>40.0</v>
      </c>
    </row>
    <row r="728" ht="14.25" customHeight="1">
      <c r="A728" s="3">
        <v>726.0</v>
      </c>
      <c r="B728" s="3" t="s">
        <v>7202</v>
      </c>
      <c r="C728" s="3">
        <v>24.0</v>
      </c>
      <c r="D728" s="3" t="s">
        <v>6645</v>
      </c>
      <c r="E728" s="3" t="s">
        <v>6646</v>
      </c>
      <c r="F728" s="3" t="s">
        <v>6646</v>
      </c>
      <c r="G728" s="3" t="s">
        <v>6645</v>
      </c>
      <c r="H728" s="3" t="s">
        <v>6645</v>
      </c>
      <c r="I728" s="3" t="s">
        <v>6645</v>
      </c>
      <c r="J728" s="3">
        <v>-1.0</v>
      </c>
      <c r="K728" s="3">
        <v>1.0</v>
      </c>
      <c r="L728" s="3">
        <v>0.0</v>
      </c>
      <c r="M728" s="3">
        <v>0.0</v>
      </c>
      <c r="N728" s="3">
        <v>1181.5</v>
      </c>
      <c r="O728" s="3">
        <v>240.0</v>
      </c>
      <c r="P728" s="3" t="e">
        <v>#N/A</v>
      </c>
      <c r="Q728" s="3">
        <v>37.0</v>
      </c>
      <c r="R728" s="3">
        <v>43.0</v>
      </c>
      <c r="S728" s="3">
        <v>36.0</v>
      </c>
      <c r="T728" s="3">
        <v>39.0</v>
      </c>
      <c r="U728" s="3">
        <v>41.0</v>
      </c>
      <c r="V728" s="3">
        <v>37.0</v>
      </c>
      <c r="W728" s="3">
        <v>31.0</v>
      </c>
      <c r="X728" s="3">
        <v>38.0</v>
      </c>
      <c r="Y728" s="3">
        <v>46.0</v>
      </c>
      <c r="Z728" s="3">
        <v>38.0</v>
      </c>
      <c r="AA728" s="3">
        <v>44.0</v>
      </c>
      <c r="AB728" s="3">
        <v>43.0</v>
      </c>
      <c r="AC728" s="3">
        <v>45.0</v>
      </c>
      <c r="AD728" s="3">
        <v>40.0</v>
      </c>
      <c r="AE728" s="3">
        <v>32.0</v>
      </c>
      <c r="AF728" s="3">
        <v>25.0</v>
      </c>
      <c r="AG728" s="3">
        <v>42.0</v>
      </c>
      <c r="AH728" s="3">
        <v>50.0</v>
      </c>
      <c r="AI728" s="3">
        <v>49.0</v>
      </c>
      <c r="AJ728" s="3">
        <v>56.0</v>
      </c>
      <c r="AK728" s="3">
        <v>61.0</v>
      </c>
      <c r="AL728" s="3">
        <v>49.0</v>
      </c>
      <c r="AM728" s="3">
        <v>32.0</v>
      </c>
      <c r="AN728" s="3">
        <v>77.0</v>
      </c>
    </row>
    <row r="729" ht="14.25" customHeight="1">
      <c r="A729" s="3">
        <v>727.0</v>
      </c>
      <c r="B729" s="3" t="s">
        <v>7203</v>
      </c>
      <c r="C729" s="3">
        <v>22.0</v>
      </c>
      <c r="D729" s="3" t="s">
        <v>6645</v>
      </c>
      <c r="E729" s="3" t="s">
        <v>6646</v>
      </c>
      <c r="F729" s="3" t="s">
        <v>6646</v>
      </c>
      <c r="G729" s="3" t="s">
        <v>6645</v>
      </c>
      <c r="H729" s="3" t="s">
        <v>6645</v>
      </c>
      <c r="I729" s="3" t="s">
        <v>6645</v>
      </c>
      <c r="J729" s="3">
        <v>-1.0</v>
      </c>
      <c r="K729" s="3">
        <v>0.0</v>
      </c>
      <c r="L729" s="3">
        <v>0.0</v>
      </c>
      <c r="M729" s="3">
        <v>0.0</v>
      </c>
      <c r="N729" s="3">
        <v>369.31536</v>
      </c>
      <c r="O729" s="3">
        <v>99.0</v>
      </c>
      <c r="P729" s="3" t="e">
        <v>#N/A</v>
      </c>
      <c r="Q729" s="3">
        <v>34.0</v>
      </c>
      <c r="R729" s="3">
        <v>33.0</v>
      </c>
      <c r="S729" s="3">
        <v>38.0</v>
      </c>
      <c r="T729" s="3">
        <v>35.0</v>
      </c>
      <c r="U729" s="3">
        <v>33.0</v>
      </c>
      <c r="V729" s="3">
        <v>37.0</v>
      </c>
      <c r="W729" s="3">
        <v>43.0</v>
      </c>
      <c r="X729" s="3">
        <v>21.0</v>
      </c>
      <c r="Y729" s="3">
        <v>30.0</v>
      </c>
      <c r="Z729" s="3">
        <v>35.0</v>
      </c>
      <c r="AA729" s="3">
        <v>37.0</v>
      </c>
      <c r="AB729" s="3">
        <v>30.0</v>
      </c>
      <c r="AC729" s="3">
        <v>31.0</v>
      </c>
      <c r="AD729" s="3">
        <v>40.0</v>
      </c>
      <c r="AE729" s="3">
        <v>27.0</v>
      </c>
      <c r="AF729" s="3">
        <v>35.0</v>
      </c>
      <c r="AG729" s="3">
        <v>55.0</v>
      </c>
      <c r="AH729" s="3">
        <v>74.0</v>
      </c>
      <c r="AI729" s="3">
        <v>21.0</v>
      </c>
      <c r="AJ729" s="3">
        <v>57.0</v>
      </c>
      <c r="AK729" s="3">
        <v>36.0</v>
      </c>
      <c r="AL729" s="3">
        <v>52.0</v>
      </c>
      <c r="AM729" s="3">
        <v>32.0</v>
      </c>
      <c r="AN729" s="3">
        <v>38.0</v>
      </c>
    </row>
    <row r="730" ht="14.25" customHeight="1">
      <c r="A730" s="3">
        <v>728.0</v>
      </c>
      <c r="B730" s="3" t="s">
        <v>7204</v>
      </c>
      <c r="C730" s="3">
        <v>16.0</v>
      </c>
      <c r="D730" s="3" t="s">
        <v>6645</v>
      </c>
      <c r="E730" s="3" t="s">
        <v>6646</v>
      </c>
      <c r="F730" s="3" t="s">
        <v>6646</v>
      </c>
      <c r="G730" s="3" t="s">
        <v>6645</v>
      </c>
      <c r="H730" s="3" t="s">
        <v>6645</v>
      </c>
      <c r="I730" s="3" t="s">
        <v>6646</v>
      </c>
      <c r="J730" s="3">
        <v>-1.0</v>
      </c>
      <c r="K730" s="3">
        <v>0.0</v>
      </c>
      <c r="L730" s="3">
        <v>0.0</v>
      </c>
      <c r="M730" s="3">
        <v>0.0</v>
      </c>
      <c r="N730" s="3">
        <v>365.20141</v>
      </c>
      <c r="O730" s="3">
        <v>105.0</v>
      </c>
      <c r="P730" s="3" t="e">
        <v>#N/A</v>
      </c>
      <c r="Q730" s="3">
        <v>32.0</v>
      </c>
      <c r="R730" s="3">
        <v>35.0</v>
      </c>
      <c r="S730" s="3">
        <v>38.0</v>
      </c>
      <c r="T730" s="3">
        <v>35.0</v>
      </c>
      <c r="U730" s="3">
        <v>35.0</v>
      </c>
      <c r="V730" s="3">
        <v>33.0</v>
      </c>
      <c r="W730" s="3">
        <v>31.0</v>
      </c>
      <c r="X730" s="3">
        <v>30.0</v>
      </c>
      <c r="Y730" s="3">
        <v>46.0</v>
      </c>
      <c r="Z730" s="3">
        <v>29.0</v>
      </c>
      <c r="AA730" s="3">
        <v>38.0</v>
      </c>
      <c r="AB730" s="3">
        <v>38.0</v>
      </c>
      <c r="AC730" s="3">
        <v>36.0</v>
      </c>
      <c r="AD730" s="3">
        <v>39.0</v>
      </c>
      <c r="AE730" s="3">
        <v>27.0</v>
      </c>
      <c r="AF730" s="3">
        <v>40.0</v>
      </c>
      <c r="AG730" s="3">
        <v>11.0</v>
      </c>
      <c r="AH730" s="3">
        <v>49.0</v>
      </c>
      <c r="AI730" s="3">
        <v>34.0</v>
      </c>
      <c r="AJ730" s="3">
        <v>55.0</v>
      </c>
      <c r="AK730" s="3">
        <v>34.0</v>
      </c>
      <c r="AL730" s="3">
        <v>39.0</v>
      </c>
      <c r="AM730" s="3">
        <v>79.0</v>
      </c>
      <c r="AN730" s="3">
        <v>55.0</v>
      </c>
    </row>
    <row r="731" ht="14.25" customHeight="1">
      <c r="A731" s="3">
        <v>729.0</v>
      </c>
      <c r="B731" s="3" t="s">
        <v>7205</v>
      </c>
      <c r="C731" s="3">
        <v>48.0</v>
      </c>
      <c r="D731" s="3" t="s">
        <v>6645</v>
      </c>
      <c r="E731" s="3" t="s">
        <v>6646</v>
      </c>
      <c r="F731" s="3" t="s">
        <v>6646</v>
      </c>
      <c r="G731" s="3" t="s">
        <v>6645</v>
      </c>
      <c r="H731" s="3" t="s">
        <v>6645</v>
      </c>
      <c r="I731" s="3" t="s">
        <v>6645</v>
      </c>
      <c r="J731" s="3">
        <v>-1.0</v>
      </c>
      <c r="K731" s="3">
        <v>5.0</v>
      </c>
      <c r="L731" s="3">
        <v>0.0</v>
      </c>
      <c r="M731" s="3">
        <v>0.0</v>
      </c>
      <c r="N731" s="3">
        <v>16560.802</v>
      </c>
      <c r="O731" s="3">
        <v>2963.0</v>
      </c>
      <c r="P731" s="3" t="e">
        <v>#N/A</v>
      </c>
      <c r="Q731" s="3">
        <v>62.0</v>
      </c>
      <c r="R731" s="3">
        <v>58.0</v>
      </c>
      <c r="S731" s="3">
        <v>78.0</v>
      </c>
      <c r="T731" s="3">
        <v>85.0</v>
      </c>
      <c r="U731" s="3">
        <v>70.0</v>
      </c>
      <c r="V731" s="3">
        <v>72.0</v>
      </c>
      <c r="W731" s="3">
        <v>82.0</v>
      </c>
      <c r="X731" s="3">
        <v>57.0</v>
      </c>
      <c r="Y731" s="3">
        <v>78.0</v>
      </c>
      <c r="Z731" s="3">
        <v>52.0</v>
      </c>
      <c r="AA731" s="3">
        <v>73.0</v>
      </c>
      <c r="AB731" s="3">
        <v>58.0</v>
      </c>
      <c r="AC731" s="3">
        <v>88.0</v>
      </c>
      <c r="AD731" s="3">
        <v>73.0</v>
      </c>
      <c r="AE731" s="3">
        <v>51.0</v>
      </c>
      <c r="AF731" s="3">
        <v>54.0</v>
      </c>
      <c r="AG731" s="3">
        <v>50.0</v>
      </c>
      <c r="AH731" s="3">
        <v>64.0</v>
      </c>
      <c r="AI731" s="3">
        <v>57.0</v>
      </c>
      <c r="AJ731" s="3">
        <v>55.0</v>
      </c>
      <c r="AK731" s="3">
        <v>64.0</v>
      </c>
      <c r="AL731" s="3">
        <v>62.0</v>
      </c>
      <c r="AM731" s="3">
        <v>49.0</v>
      </c>
      <c r="AN731" s="3">
        <v>41.0</v>
      </c>
    </row>
    <row r="732" ht="14.25" customHeight="1">
      <c r="A732" s="3">
        <v>730.0</v>
      </c>
      <c r="B732" s="3" t="s">
        <v>7206</v>
      </c>
      <c r="C732" s="3">
        <v>15.0</v>
      </c>
      <c r="D732" s="3" t="s">
        <v>6645</v>
      </c>
      <c r="E732" s="3" t="s">
        <v>6646</v>
      </c>
      <c r="F732" s="3" t="s">
        <v>6646</v>
      </c>
      <c r="G732" s="3" t="s">
        <v>6645</v>
      </c>
      <c r="H732" s="3" t="s">
        <v>6645</v>
      </c>
      <c r="I732" s="3" t="s">
        <v>6646</v>
      </c>
      <c r="J732" s="3">
        <v>-1.0</v>
      </c>
      <c r="K732" s="3">
        <v>0.0</v>
      </c>
      <c r="L732" s="3">
        <v>0.0</v>
      </c>
      <c r="M732" s="3">
        <v>0.0</v>
      </c>
      <c r="N732" s="3">
        <v>431.413</v>
      </c>
      <c r="O732" s="3">
        <v>93.0</v>
      </c>
      <c r="P732" s="3" t="e">
        <v>#N/A</v>
      </c>
      <c r="Q732" s="3">
        <v>31.0</v>
      </c>
      <c r="R732" s="3">
        <v>36.0</v>
      </c>
      <c r="S732" s="3">
        <v>32.0</v>
      </c>
      <c r="T732" s="3">
        <v>39.0</v>
      </c>
      <c r="U732" s="3">
        <v>35.0</v>
      </c>
      <c r="V732" s="3">
        <v>33.0</v>
      </c>
      <c r="W732" s="3">
        <v>43.0</v>
      </c>
      <c r="X732" s="3">
        <v>36.0</v>
      </c>
      <c r="Y732" s="3">
        <v>34.0</v>
      </c>
      <c r="Z732" s="3">
        <v>31.0</v>
      </c>
      <c r="AA732" s="3">
        <v>31.0</v>
      </c>
      <c r="AB732" s="3">
        <v>24.0</v>
      </c>
      <c r="AC732" s="3">
        <v>38.0</v>
      </c>
      <c r="AD732" s="3">
        <v>44.0</v>
      </c>
      <c r="AE732" s="3">
        <v>35.0</v>
      </c>
      <c r="AF732" s="3">
        <v>37.0</v>
      </c>
      <c r="AG732" s="3">
        <v>33.0</v>
      </c>
      <c r="AH732" s="3">
        <v>37.0</v>
      </c>
      <c r="AI732" s="3">
        <v>71.0</v>
      </c>
      <c r="AJ732" s="3">
        <v>59.0</v>
      </c>
      <c r="AK732" s="3">
        <v>47.0</v>
      </c>
      <c r="AL732" s="3">
        <v>57.0</v>
      </c>
      <c r="AM732" s="3">
        <v>15.0</v>
      </c>
      <c r="AN732" s="3">
        <v>59.0</v>
      </c>
    </row>
    <row r="733" ht="14.25" customHeight="1">
      <c r="A733" s="3">
        <v>731.0</v>
      </c>
      <c r="B733" s="3" t="s">
        <v>7207</v>
      </c>
      <c r="C733" s="3">
        <v>26.0</v>
      </c>
      <c r="D733" s="3" t="s">
        <v>6645</v>
      </c>
      <c r="E733" s="3" t="s">
        <v>6646</v>
      </c>
      <c r="F733" s="3" t="s">
        <v>6646</v>
      </c>
      <c r="G733" s="3" t="s">
        <v>6645</v>
      </c>
      <c r="H733" s="3" t="s">
        <v>6645</v>
      </c>
      <c r="I733" s="3" t="s">
        <v>6646</v>
      </c>
      <c r="J733" s="3">
        <v>-1.0</v>
      </c>
      <c r="K733" s="3">
        <v>2.0</v>
      </c>
      <c r="L733" s="3">
        <v>0.0</v>
      </c>
      <c r="M733" s="3">
        <v>0.0</v>
      </c>
      <c r="N733" s="3">
        <v>2261.9433</v>
      </c>
      <c r="O733" s="3">
        <v>407.0</v>
      </c>
      <c r="P733" s="3" t="e">
        <v>#N/A</v>
      </c>
      <c r="Q733" s="3">
        <v>48.0</v>
      </c>
      <c r="R733" s="3">
        <v>40.0</v>
      </c>
      <c r="S733" s="3">
        <v>45.0</v>
      </c>
      <c r="T733" s="3">
        <v>44.0</v>
      </c>
      <c r="U733" s="3">
        <v>41.0</v>
      </c>
      <c r="V733" s="3">
        <v>49.0</v>
      </c>
      <c r="W733" s="3">
        <v>33.0</v>
      </c>
      <c r="X733" s="3">
        <v>54.0</v>
      </c>
      <c r="Y733" s="3">
        <v>46.0</v>
      </c>
      <c r="Z733" s="3">
        <v>47.0</v>
      </c>
      <c r="AA733" s="3">
        <v>55.0</v>
      </c>
      <c r="AB733" s="3">
        <v>52.0</v>
      </c>
      <c r="AC733" s="3">
        <v>35.0</v>
      </c>
      <c r="AD733" s="3">
        <v>46.0</v>
      </c>
      <c r="AE733" s="3">
        <v>34.0</v>
      </c>
      <c r="AF733" s="3">
        <v>72.0</v>
      </c>
      <c r="AG733" s="3">
        <v>32.0</v>
      </c>
      <c r="AH733" s="3">
        <v>62.0</v>
      </c>
      <c r="AI733" s="3">
        <v>41.0</v>
      </c>
      <c r="AJ733" s="3">
        <v>61.0</v>
      </c>
      <c r="AK733" s="3">
        <v>13.0</v>
      </c>
      <c r="AL733" s="3">
        <v>34.0</v>
      </c>
      <c r="AM733" s="3">
        <v>74.0</v>
      </c>
      <c r="AN733" s="3">
        <v>35.0</v>
      </c>
    </row>
    <row r="734" ht="14.25" customHeight="1">
      <c r="A734" s="3">
        <v>732.0</v>
      </c>
      <c r="B734" s="3" t="s">
        <v>7208</v>
      </c>
      <c r="C734" s="3">
        <v>25.0</v>
      </c>
      <c r="D734" s="3" t="s">
        <v>6645</v>
      </c>
      <c r="E734" s="3" t="s">
        <v>6646</v>
      </c>
      <c r="F734" s="3" t="s">
        <v>6646</v>
      </c>
      <c r="G734" s="3" t="s">
        <v>6645</v>
      </c>
      <c r="H734" s="3" t="s">
        <v>6645</v>
      </c>
      <c r="I734" s="3" t="s">
        <v>6646</v>
      </c>
      <c r="J734" s="3">
        <v>-1.0</v>
      </c>
      <c r="K734" s="3">
        <v>2.0</v>
      </c>
      <c r="L734" s="3">
        <v>0.0</v>
      </c>
      <c r="M734" s="3">
        <v>0.0</v>
      </c>
      <c r="N734" s="3">
        <v>2153.2705</v>
      </c>
      <c r="O734" s="3">
        <v>390.0</v>
      </c>
      <c r="P734" s="3" t="e">
        <v>#N/A</v>
      </c>
      <c r="Q734" s="3">
        <v>41.0</v>
      </c>
      <c r="R734" s="3">
        <v>45.0</v>
      </c>
      <c r="S734" s="3">
        <v>48.0</v>
      </c>
      <c r="T734" s="3">
        <v>44.0</v>
      </c>
      <c r="U734" s="3">
        <v>49.0</v>
      </c>
      <c r="V734" s="3">
        <v>44.0</v>
      </c>
      <c r="W734" s="3">
        <v>45.0</v>
      </c>
      <c r="X734" s="3">
        <v>48.0</v>
      </c>
      <c r="Y734" s="3">
        <v>39.0</v>
      </c>
      <c r="Z734" s="3">
        <v>35.0</v>
      </c>
      <c r="AA734" s="3">
        <v>48.0</v>
      </c>
      <c r="AB734" s="3">
        <v>42.0</v>
      </c>
      <c r="AC734" s="3">
        <v>45.0</v>
      </c>
      <c r="AD734" s="3">
        <v>37.0</v>
      </c>
      <c r="AE734" s="3">
        <v>46.0</v>
      </c>
      <c r="AF734" s="3">
        <v>42.0</v>
      </c>
      <c r="AG734" s="3">
        <v>28.0</v>
      </c>
      <c r="AH734" s="3">
        <v>53.0</v>
      </c>
      <c r="AI734" s="3">
        <v>54.0</v>
      </c>
      <c r="AJ734" s="3">
        <v>55.0</v>
      </c>
      <c r="AK734" s="3">
        <v>77.0</v>
      </c>
      <c r="AL734" s="3">
        <v>61.0</v>
      </c>
      <c r="AM734" s="3">
        <v>54.0</v>
      </c>
      <c r="AN734" s="3">
        <v>36.0</v>
      </c>
    </row>
    <row r="735" ht="14.25" customHeight="1">
      <c r="A735" s="3">
        <v>733.0</v>
      </c>
      <c r="B735" s="3" t="s">
        <v>7209</v>
      </c>
      <c r="C735" s="3">
        <v>34.0</v>
      </c>
      <c r="D735" s="3" t="s">
        <v>6645</v>
      </c>
      <c r="E735" s="3" t="s">
        <v>6646</v>
      </c>
      <c r="F735" s="3" t="s">
        <v>6646</v>
      </c>
      <c r="G735" s="3" t="s">
        <v>6645</v>
      </c>
      <c r="H735" s="3" t="s">
        <v>6645</v>
      </c>
      <c r="I735" s="3" t="s">
        <v>6646</v>
      </c>
      <c r="J735" s="3">
        <v>-1.0</v>
      </c>
      <c r="K735" s="3">
        <v>3.0</v>
      </c>
      <c r="L735" s="3">
        <v>0.0</v>
      </c>
      <c r="M735" s="3">
        <v>0.0</v>
      </c>
      <c r="N735" s="3">
        <v>5222.6645</v>
      </c>
      <c r="O735" s="3">
        <v>920.0</v>
      </c>
      <c r="P735" s="3" t="e">
        <v>#N/A</v>
      </c>
      <c r="Q735" s="3">
        <v>49.0</v>
      </c>
      <c r="R735" s="3">
        <v>48.0</v>
      </c>
      <c r="S735" s="3">
        <v>52.0</v>
      </c>
      <c r="T735" s="3">
        <v>57.0</v>
      </c>
      <c r="U735" s="3">
        <v>52.0</v>
      </c>
      <c r="V735" s="3">
        <v>47.0</v>
      </c>
      <c r="W735" s="3">
        <v>58.0</v>
      </c>
      <c r="X735" s="3">
        <v>53.0</v>
      </c>
      <c r="Y735" s="3">
        <v>54.0</v>
      </c>
      <c r="Z735" s="3">
        <v>45.0</v>
      </c>
      <c r="AA735" s="3">
        <v>50.0</v>
      </c>
      <c r="AB735" s="3">
        <v>54.0</v>
      </c>
      <c r="AC735" s="3">
        <v>54.0</v>
      </c>
      <c r="AD735" s="3">
        <v>55.0</v>
      </c>
      <c r="AE735" s="3">
        <v>46.0</v>
      </c>
      <c r="AF735" s="3">
        <v>24.0</v>
      </c>
      <c r="AG735" s="3">
        <v>48.0</v>
      </c>
      <c r="AH735" s="3">
        <v>64.0</v>
      </c>
      <c r="AI735" s="3">
        <v>72.0</v>
      </c>
      <c r="AJ735" s="3">
        <v>50.0</v>
      </c>
      <c r="AK735" s="3">
        <v>40.0</v>
      </c>
      <c r="AL735" s="3">
        <v>54.0</v>
      </c>
      <c r="AM735" s="3">
        <v>58.0</v>
      </c>
      <c r="AN735" s="3">
        <v>64.0</v>
      </c>
    </row>
    <row r="736" ht="14.25" customHeight="1">
      <c r="A736" s="3">
        <v>734.0</v>
      </c>
      <c r="B736" s="3" t="s">
        <v>7210</v>
      </c>
      <c r="C736" s="3">
        <v>27.0</v>
      </c>
      <c r="D736" s="3" t="s">
        <v>6645</v>
      </c>
      <c r="E736" s="3" t="s">
        <v>6646</v>
      </c>
      <c r="F736" s="3" t="s">
        <v>6646</v>
      </c>
      <c r="G736" s="3" t="s">
        <v>6645</v>
      </c>
      <c r="H736" s="3" t="s">
        <v>6645</v>
      </c>
      <c r="I736" s="3" t="s">
        <v>6646</v>
      </c>
      <c r="J736" s="3">
        <v>-1.0</v>
      </c>
      <c r="K736" s="3">
        <v>2.0</v>
      </c>
      <c r="L736" s="3">
        <v>0.0</v>
      </c>
      <c r="M736" s="3">
        <v>0.0</v>
      </c>
      <c r="N736" s="3">
        <v>2420.1914</v>
      </c>
      <c r="O736" s="3">
        <v>458.0</v>
      </c>
      <c r="P736" s="3" t="e">
        <v>#N/A</v>
      </c>
      <c r="Q736" s="3">
        <v>49.0</v>
      </c>
      <c r="R736" s="3">
        <v>44.0</v>
      </c>
      <c r="S736" s="3">
        <v>42.0</v>
      </c>
      <c r="T736" s="3">
        <v>49.0</v>
      </c>
      <c r="U736" s="3">
        <v>40.0</v>
      </c>
      <c r="V736" s="3">
        <v>41.0</v>
      </c>
      <c r="W736" s="3">
        <v>42.0</v>
      </c>
      <c r="X736" s="3">
        <v>39.0</v>
      </c>
      <c r="Y736" s="3">
        <v>49.0</v>
      </c>
      <c r="Z736" s="3">
        <v>41.0</v>
      </c>
      <c r="AA736" s="3">
        <v>46.0</v>
      </c>
      <c r="AB736" s="3">
        <v>42.0</v>
      </c>
      <c r="AC736" s="3">
        <v>56.0</v>
      </c>
      <c r="AD736" s="3">
        <v>37.0</v>
      </c>
      <c r="AE736" s="3">
        <v>46.0</v>
      </c>
      <c r="AF736" s="3">
        <v>54.0</v>
      </c>
      <c r="AG736" s="3">
        <v>43.0</v>
      </c>
      <c r="AH736" s="3">
        <v>11.0</v>
      </c>
      <c r="AI736" s="3">
        <v>72.0</v>
      </c>
      <c r="AJ736" s="3">
        <v>42.0</v>
      </c>
      <c r="AK736" s="3">
        <v>35.0</v>
      </c>
      <c r="AL736" s="3">
        <v>50.0</v>
      </c>
      <c r="AM736" s="3">
        <v>34.0</v>
      </c>
      <c r="AN736" s="3">
        <v>55.0</v>
      </c>
    </row>
    <row r="737" ht="14.25" customHeight="1">
      <c r="A737" s="3">
        <v>735.0</v>
      </c>
      <c r="B737" s="3" t="s">
        <v>7211</v>
      </c>
      <c r="C737" s="3">
        <v>28.0</v>
      </c>
      <c r="D737" s="3" t="s">
        <v>6645</v>
      </c>
      <c r="E737" s="3" t="s">
        <v>6646</v>
      </c>
      <c r="F737" s="3" t="s">
        <v>6646</v>
      </c>
      <c r="G737" s="3" t="s">
        <v>6645</v>
      </c>
      <c r="H737" s="3" t="s">
        <v>6645</v>
      </c>
      <c r="I737" s="3" t="s">
        <v>6645</v>
      </c>
      <c r="J737" s="3">
        <v>-1.0</v>
      </c>
      <c r="K737" s="3">
        <v>1.0</v>
      </c>
      <c r="L737" s="3">
        <v>0.0</v>
      </c>
      <c r="M737" s="3">
        <v>0.0</v>
      </c>
      <c r="N737" s="3">
        <v>910.739</v>
      </c>
      <c r="O737" s="3">
        <v>239.0</v>
      </c>
      <c r="P737" s="3" t="e">
        <v>#N/A</v>
      </c>
      <c r="Q737" s="3">
        <v>35.0</v>
      </c>
      <c r="R737" s="3">
        <v>44.0</v>
      </c>
      <c r="S737" s="3">
        <v>37.0</v>
      </c>
      <c r="T737" s="3">
        <v>37.0</v>
      </c>
      <c r="U737" s="3">
        <v>36.0</v>
      </c>
      <c r="V737" s="3">
        <v>37.0</v>
      </c>
      <c r="W737" s="3">
        <v>51.0</v>
      </c>
      <c r="X737" s="3">
        <v>44.0</v>
      </c>
      <c r="Y737" s="3">
        <v>36.0</v>
      </c>
      <c r="Z737" s="3">
        <v>36.0</v>
      </c>
      <c r="AA737" s="3">
        <v>46.0</v>
      </c>
      <c r="AB737" s="3">
        <v>39.0</v>
      </c>
      <c r="AC737" s="3">
        <v>28.0</v>
      </c>
      <c r="AD737" s="3">
        <v>48.0</v>
      </c>
      <c r="AE737" s="3">
        <v>40.0</v>
      </c>
      <c r="AF737" s="3">
        <v>44.0</v>
      </c>
      <c r="AG737" s="3">
        <v>60.0</v>
      </c>
      <c r="AH737" s="3">
        <v>53.0</v>
      </c>
      <c r="AI737" s="3">
        <v>48.0</v>
      </c>
      <c r="AJ737" s="3">
        <v>53.0</v>
      </c>
      <c r="AK737" s="3">
        <v>54.0</v>
      </c>
      <c r="AL737" s="3">
        <v>43.0</v>
      </c>
      <c r="AM737" s="3">
        <v>38.0</v>
      </c>
      <c r="AN737" s="3">
        <v>55.0</v>
      </c>
    </row>
    <row r="738" ht="14.25" customHeight="1">
      <c r="A738" s="3">
        <v>736.0</v>
      </c>
      <c r="B738" s="3" t="s">
        <v>7212</v>
      </c>
      <c r="C738" s="3">
        <v>20.0</v>
      </c>
      <c r="D738" s="3" t="s">
        <v>6645</v>
      </c>
      <c r="E738" s="3" t="s">
        <v>6646</v>
      </c>
      <c r="F738" s="3" t="s">
        <v>6646</v>
      </c>
      <c r="G738" s="3" t="s">
        <v>6645</v>
      </c>
      <c r="H738" s="3" t="s">
        <v>6645</v>
      </c>
      <c r="I738" s="3" t="s">
        <v>6645</v>
      </c>
      <c r="J738" s="3">
        <v>-1.0</v>
      </c>
      <c r="K738" s="3">
        <v>1.0</v>
      </c>
      <c r="L738" s="3">
        <v>0.0</v>
      </c>
      <c r="M738" s="3">
        <v>0.0</v>
      </c>
      <c r="N738" s="3">
        <v>1430.8839</v>
      </c>
      <c r="O738" s="3">
        <v>236.0</v>
      </c>
      <c r="P738" s="3" t="e">
        <v>#N/A</v>
      </c>
      <c r="Q738" s="3">
        <v>37.0</v>
      </c>
      <c r="R738" s="3">
        <v>38.0</v>
      </c>
      <c r="S738" s="3">
        <v>35.0</v>
      </c>
      <c r="T738" s="3">
        <v>44.0</v>
      </c>
      <c r="U738" s="3">
        <v>39.0</v>
      </c>
      <c r="V738" s="3">
        <v>38.0</v>
      </c>
      <c r="W738" s="3">
        <v>41.0</v>
      </c>
      <c r="X738" s="3">
        <v>31.0</v>
      </c>
      <c r="Y738" s="3">
        <v>51.0</v>
      </c>
      <c r="Z738" s="3">
        <v>44.0</v>
      </c>
      <c r="AA738" s="3">
        <v>33.0</v>
      </c>
      <c r="AB738" s="3">
        <v>32.0</v>
      </c>
      <c r="AC738" s="3">
        <v>45.0</v>
      </c>
      <c r="AD738" s="3">
        <v>36.0</v>
      </c>
      <c r="AE738" s="3">
        <v>40.0</v>
      </c>
      <c r="AF738" s="3">
        <v>67.0</v>
      </c>
      <c r="AG738" s="3">
        <v>36.0</v>
      </c>
      <c r="AH738" s="3">
        <v>32.0</v>
      </c>
      <c r="AI738" s="3">
        <v>38.0</v>
      </c>
      <c r="AJ738" s="3">
        <v>33.0</v>
      </c>
      <c r="AK738" s="3">
        <v>37.0</v>
      </c>
      <c r="AL738" s="3">
        <v>33.0</v>
      </c>
      <c r="AM738" s="3">
        <v>18.0</v>
      </c>
      <c r="AN738" s="3">
        <v>42.0</v>
      </c>
    </row>
    <row r="739" ht="14.25" customHeight="1">
      <c r="A739" s="3">
        <v>737.0</v>
      </c>
      <c r="B739" s="3" t="s">
        <v>7213</v>
      </c>
      <c r="C739" s="3">
        <v>19.0</v>
      </c>
      <c r="D739" s="3" t="s">
        <v>6645</v>
      </c>
      <c r="E739" s="3" t="s">
        <v>6646</v>
      </c>
      <c r="F739" s="3" t="s">
        <v>6646</v>
      </c>
      <c r="G739" s="3" t="s">
        <v>6645</v>
      </c>
      <c r="H739" s="3" t="s">
        <v>6645</v>
      </c>
      <c r="I739" s="3" t="s">
        <v>6645</v>
      </c>
      <c r="J739" s="3">
        <v>-1.0</v>
      </c>
      <c r="K739" s="3">
        <v>0.0</v>
      </c>
      <c r="L739" s="3">
        <v>0.0</v>
      </c>
      <c r="M739" s="3">
        <v>0.0</v>
      </c>
      <c r="N739" s="3">
        <v>407.505</v>
      </c>
      <c r="O739" s="3">
        <v>118.0</v>
      </c>
      <c r="P739" s="3" t="e">
        <v>#N/A</v>
      </c>
      <c r="Q739" s="3">
        <v>32.0</v>
      </c>
      <c r="R739" s="3">
        <v>32.0</v>
      </c>
      <c r="S739" s="3">
        <v>31.0</v>
      </c>
      <c r="T739" s="3">
        <v>33.0</v>
      </c>
      <c r="U739" s="3">
        <v>31.0</v>
      </c>
      <c r="V739" s="3">
        <v>37.0</v>
      </c>
      <c r="W739" s="3">
        <v>24.0</v>
      </c>
      <c r="X739" s="3">
        <v>35.0</v>
      </c>
      <c r="Y739" s="3">
        <v>45.0</v>
      </c>
      <c r="Z739" s="3">
        <v>32.0</v>
      </c>
      <c r="AA739" s="3">
        <v>36.0</v>
      </c>
      <c r="AB739" s="3">
        <v>45.0</v>
      </c>
      <c r="AC739" s="3">
        <v>43.0</v>
      </c>
      <c r="AD739" s="3">
        <v>24.0</v>
      </c>
      <c r="AE739" s="3">
        <v>38.0</v>
      </c>
      <c r="AF739" s="3">
        <v>48.0</v>
      </c>
      <c r="AG739" s="3">
        <v>33.0</v>
      </c>
      <c r="AH739" s="3">
        <v>36.0</v>
      </c>
      <c r="AI739" s="3">
        <v>59.0</v>
      </c>
      <c r="AJ739" s="3">
        <v>64.0</v>
      </c>
      <c r="AK739" s="3">
        <v>41.0</v>
      </c>
      <c r="AL739" s="3">
        <v>33.0</v>
      </c>
      <c r="AM739" s="3">
        <v>45.0</v>
      </c>
      <c r="AN739" s="3">
        <v>32.0</v>
      </c>
    </row>
    <row r="740" ht="14.25" customHeight="1">
      <c r="A740" s="3">
        <v>738.0</v>
      </c>
      <c r="B740" s="3" t="s">
        <v>7214</v>
      </c>
      <c r="C740" s="3">
        <v>33.0</v>
      </c>
      <c r="D740" s="3" t="s">
        <v>6645</v>
      </c>
      <c r="E740" s="3" t="s">
        <v>6646</v>
      </c>
      <c r="F740" s="3" t="s">
        <v>6646</v>
      </c>
      <c r="G740" s="3" t="s">
        <v>6645</v>
      </c>
      <c r="H740" s="3" t="s">
        <v>6645</v>
      </c>
      <c r="I740" s="3" t="s">
        <v>6646</v>
      </c>
      <c r="J740" s="3">
        <v>-1.0</v>
      </c>
      <c r="K740" s="3">
        <v>2.0</v>
      </c>
      <c r="L740" s="3">
        <v>0.0</v>
      </c>
      <c r="M740" s="3">
        <v>0.0</v>
      </c>
      <c r="N740" s="3">
        <v>2496.8825</v>
      </c>
      <c r="O740" s="3">
        <v>392.0</v>
      </c>
      <c r="P740" s="3" t="e">
        <v>#N/A</v>
      </c>
      <c r="Q740" s="3">
        <v>44.0</v>
      </c>
      <c r="R740" s="3">
        <v>43.0</v>
      </c>
      <c r="S740" s="3">
        <v>46.0</v>
      </c>
      <c r="T740" s="3">
        <v>47.0</v>
      </c>
      <c r="U740" s="3">
        <v>45.0</v>
      </c>
      <c r="V740" s="3">
        <v>40.0</v>
      </c>
      <c r="W740" s="3">
        <v>51.0</v>
      </c>
      <c r="X740" s="3">
        <v>43.0</v>
      </c>
      <c r="Y740" s="3">
        <v>46.0</v>
      </c>
      <c r="Z740" s="3">
        <v>42.0</v>
      </c>
      <c r="AA740" s="3">
        <v>34.0</v>
      </c>
      <c r="AB740" s="3">
        <v>56.0</v>
      </c>
      <c r="AC740" s="3">
        <v>41.0</v>
      </c>
      <c r="AD740" s="3">
        <v>47.0</v>
      </c>
      <c r="AE740" s="3">
        <v>39.0</v>
      </c>
      <c r="AF740" s="3">
        <v>45.0</v>
      </c>
      <c r="AG740" s="3">
        <v>50.0</v>
      </c>
      <c r="AH740" s="3">
        <v>62.0</v>
      </c>
      <c r="AI740" s="3">
        <v>47.0</v>
      </c>
      <c r="AJ740" s="3">
        <v>52.0</v>
      </c>
      <c r="AK740" s="3">
        <v>38.0</v>
      </c>
      <c r="AL740" s="3">
        <v>36.0</v>
      </c>
      <c r="AM740" s="3">
        <v>53.0</v>
      </c>
      <c r="AN740" s="3">
        <v>34.0</v>
      </c>
    </row>
    <row r="741" ht="14.25" customHeight="1">
      <c r="A741" s="3">
        <v>739.0</v>
      </c>
      <c r="B741" s="3" t="s">
        <v>7215</v>
      </c>
      <c r="C741" s="3">
        <v>37.0</v>
      </c>
      <c r="D741" s="3" t="s">
        <v>6645</v>
      </c>
      <c r="E741" s="3" t="s">
        <v>6646</v>
      </c>
      <c r="F741" s="3" t="s">
        <v>6646</v>
      </c>
      <c r="G741" s="3" t="s">
        <v>6645</v>
      </c>
      <c r="H741" s="3" t="s">
        <v>6645</v>
      </c>
      <c r="I741" s="3" t="s">
        <v>6645</v>
      </c>
      <c r="J741" s="3">
        <v>-1.0</v>
      </c>
      <c r="K741" s="3">
        <v>4.0</v>
      </c>
      <c r="L741" s="3">
        <v>0.0</v>
      </c>
      <c r="M741" s="3">
        <v>0.0</v>
      </c>
      <c r="N741" s="3">
        <v>10788.428</v>
      </c>
      <c r="O741" s="3">
        <v>1323.0</v>
      </c>
      <c r="P741" s="3" t="e">
        <v>#N/A</v>
      </c>
      <c r="Q741" s="3">
        <v>73.0</v>
      </c>
      <c r="R741" s="3">
        <v>57.0</v>
      </c>
      <c r="S741" s="3">
        <v>81.0</v>
      </c>
      <c r="T741" s="3">
        <v>52.0</v>
      </c>
      <c r="U741" s="3">
        <v>72.0</v>
      </c>
      <c r="V741" s="3">
        <v>56.0</v>
      </c>
      <c r="W741" s="3">
        <v>78.0</v>
      </c>
      <c r="X741" s="3">
        <v>52.0</v>
      </c>
      <c r="Y741" s="3">
        <v>70.0</v>
      </c>
      <c r="Z741" s="3">
        <v>52.0</v>
      </c>
      <c r="AA741" s="3">
        <v>50.0</v>
      </c>
      <c r="AB741" s="3">
        <v>65.0</v>
      </c>
      <c r="AC741" s="3">
        <v>56.0</v>
      </c>
      <c r="AD741" s="3">
        <v>71.0</v>
      </c>
      <c r="AE741" s="3">
        <v>44.0</v>
      </c>
      <c r="AF741" s="3">
        <v>46.0</v>
      </c>
      <c r="AG741" s="3">
        <v>65.0</v>
      </c>
      <c r="AH741" s="3">
        <v>39.0</v>
      </c>
      <c r="AI741" s="3">
        <v>53.0</v>
      </c>
      <c r="AJ741" s="3">
        <v>32.0</v>
      </c>
      <c r="AK741" s="3">
        <v>46.0</v>
      </c>
      <c r="AL741" s="3">
        <v>57.0</v>
      </c>
      <c r="AM741" s="3">
        <v>38.0</v>
      </c>
      <c r="AN741" s="3">
        <v>75.0</v>
      </c>
    </row>
    <row r="742" ht="14.25" customHeight="1">
      <c r="A742" s="3">
        <v>740.0</v>
      </c>
      <c r="B742" s="3" t="s">
        <v>7216</v>
      </c>
      <c r="C742" s="3">
        <v>34.0</v>
      </c>
      <c r="D742" s="3" t="s">
        <v>6645</v>
      </c>
      <c r="E742" s="3" t="s">
        <v>6646</v>
      </c>
      <c r="F742" s="3" t="s">
        <v>6646</v>
      </c>
      <c r="G742" s="3" t="s">
        <v>6645</v>
      </c>
      <c r="H742" s="3" t="s">
        <v>6645</v>
      </c>
      <c r="I742" s="3" t="s">
        <v>6645</v>
      </c>
      <c r="J742" s="3">
        <v>-1.0</v>
      </c>
      <c r="K742" s="3">
        <v>2.0</v>
      </c>
      <c r="L742" s="3">
        <v>0.0</v>
      </c>
      <c r="M742" s="3">
        <v>0.0</v>
      </c>
      <c r="N742" s="3">
        <v>3420.1633</v>
      </c>
      <c r="O742" s="3">
        <v>441.0</v>
      </c>
      <c r="P742" s="3" t="e">
        <v>#N/A</v>
      </c>
      <c r="Q742" s="3">
        <v>42.0</v>
      </c>
      <c r="R742" s="3">
        <v>47.0</v>
      </c>
      <c r="S742" s="3">
        <v>41.0</v>
      </c>
      <c r="T742" s="3">
        <v>48.0</v>
      </c>
      <c r="U742" s="3">
        <v>42.0</v>
      </c>
      <c r="V742" s="3">
        <v>44.0</v>
      </c>
      <c r="W742" s="3">
        <v>55.0</v>
      </c>
      <c r="X742" s="3">
        <v>35.0</v>
      </c>
      <c r="Y742" s="3">
        <v>54.0</v>
      </c>
      <c r="Z742" s="3">
        <v>50.0</v>
      </c>
      <c r="AA742" s="3">
        <v>44.0</v>
      </c>
      <c r="AB742" s="3">
        <v>35.0</v>
      </c>
      <c r="AC742" s="3">
        <v>54.0</v>
      </c>
      <c r="AD742" s="3">
        <v>41.0</v>
      </c>
      <c r="AE742" s="3">
        <v>32.0</v>
      </c>
      <c r="AF742" s="3">
        <v>76.0</v>
      </c>
      <c r="AG742" s="3">
        <v>60.0</v>
      </c>
      <c r="AH742" s="3">
        <v>51.0</v>
      </c>
      <c r="AI742" s="3">
        <v>55.0</v>
      </c>
      <c r="AJ742" s="3">
        <v>58.0</v>
      </c>
      <c r="AK742" s="3">
        <v>58.0</v>
      </c>
      <c r="AL742" s="3">
        <v>9.0</v>
      </c>
      <c r="AM742" s="3">
        <v>57.0</v>
      </c>
      <c r="AN742" s="3">
        <v>63.0</v>
      </c>
    </row>
    <row r="743" ht="14.25" customHeight="1">
      <c r="A743" s="3">
        <v>741.0</v>
      </c>
      <c r="B743" s="3" t="s">
        <v>7217</v>
      </c>
      <c r="C743" s="3">
        <v>24.0</v>
      </c>
      <c r="D743" s="3" t="s">
        <v>6645</v>
      </c>
      <c r="E743" s="3" t="s">
        <v>6646</v>
      </c>
      <c r="F743" s="3" t="s">
        <v>6646</v>
      </c>
      <c r="G743" s="3" t="s">
        <v>6645</v>
      </c>
      <c r="H743" s="3" t="s">
        <v>6645</v>
      </c>
      <c r="I743" s="3" t="s">
        <v>6645</v>
      </c>
      <c r="J743" s="3">
        <v>-1.0</v>
      </c>
      <c r="K743" s="3">
        <v>1.0</v>
      </c>
      <c r="L743" s="3">
        <v>0.0</v>
      </c>
      <c r="M743" s="3">
        <v>0.0</v>
      </c>
      <c r="N743" s="3">
        <v>1077.9246</v>
      </c>
      <c r="O743" s="3">
        <v>187.0</v>
      </c>
      <c r="P743" s="3" t="e">
        <v>#N/A</v>
      </c>
      <c r="Q743" s="3">
        <v>37.0</v>
      </c>
      <c r="R743" s="3">
        <v>44.0</v>
      </c>
      <c r="S743" s="3">
        <v>42.0</v>
      </c>
      <c r="T743" s="3">
        <v>44.0</v>
      </c>
      <c r="U743" s="3">
        <v>40.0</v>
      </c>
      <c r="V743" s="3">
        <v>37.0</v>
      </c>
      <c r="W743" s="3">
        <v>30.0</v>
      </c>
      <c r="X743" s="3">
        <v>33.0</v>
      </c>
      <c r="Y743" s="3">
        <v>47.0</v>
      </c>
      <c r="Z743" s="3">
        <v>35.0</v>
      </c>
      <c r="AA743" s="3">
        <v>36.0</v>
      </c>
      <c r="AB743" s="3">
        <v>36.0</v>
      </c>
      <c r="AC743" s="3">
        <v>48.0</v>
      </c>
      <c r="AD743" s="3">
        <v>39.0</v>
      </c>
      <c r="AE743" s="3">
        <v>48.0</v>
      </c>
      <c r="AF743" s="3">
        <v>52.0</v>
      </c>
      <c r="AG743" s="3">
        <v>58.0</v>
      </c>
      <c r="AH743" s="3">
        <v>81.0</v>
      </c>
      <c r="AI743" s="3">
        <v>39.0</v>
      </c>
      <c r="AJ743" s="3">
        <v>22.0</v>
      </c>
      <c r="AK743" s="3">
        <v>69.0</v>
      </c>
      <c r="AL743" s="3">
        <v>23.0</v>
      </c>
      <c r="AM743" s="3">
        <v>35.0</v>
      </c>
      <c r="AN743" s="3">
        <v>42.0</v>
      </c>
    </row>
    <row r="744" ht="14.25" customHeight="1">
      <c r="A744" s="3">
        <v>742.0</v>
      </c>
      <c r="B744" s="3" t="s">
        <v>7218</v>
      </c>
      <c r="C744" s="3">
        <v>20.0</v>
      </c>
      <c r="D744" s="3" t="s">
        <v>6645</v>
      </c>
      <c r="E744" s="3" t="s">
        <v>6646</v>
      </c>
      <c r="F744" s="3" t="s">
        <v>6646</v>
      </c>
      <c r="G744" s="3" t="s">
        <v>6645</v>
      </c>
      <c r="H744" s="3" t="s">
        <v>6645</v>
      </c>
      <c r="I744" s="3" t="s">
        <v>6646</v>
      </c>
      <c r="J744" s="3">
        <v>-1.0</v>
      </c>
      <c r="K744" s="3">
        <v>1.0</v>
      </c>
      <c r="L744" s="3">
        <v>0.0</v>
      </c>
      <c r="M744" s="3">
        <v>0.0</v>
      </c>
      <c r="N744" s="3">
        <v>1296.22</v>
      </c>
      <c r="O744" s="3">
        <v>212.0</v>
      </c>
      <c r="P744" s="3" t="e">
        <v>#N/A</v>
      </c>
      <c r="Q744" s="3">
        <v>40.0</v>
      </c>
      <c r="R744" s="3">
        <v>37.0</v>
      </c>
      <c r="S744" s="3">
        <v>36.0</v>
      </c>
      <c r="T744" s="3">
        <v>41.0</v>
      </c>
      <c r="U744" s="3">
        <v>35.0</v>
      </c>
      <c r="V744" s="3">
        <v>39.0</v>
      </c>
      <c r="W744" s="3">
        <v>46.0</v>
      </c>
      <c r="X744" s="3">
        <v>46.0</v>
      </c>
      <c r="Y744" s="3">
        <v>42.0</v>
      </c>
      <c r="Z744" s="3">
        <v>42.0</v>
      </c>
      <c r="AA744" s="3">
        <v>35.0</v>
      </c>
      <c r="AB744" s="3">
        <v>34.0</v>
      </c>
      <c r="AC744" s="3">
        <v>37.0</v>
      </c>
      <c r="AD744" s="3">
        <v>34.0</v>
      </c>
      <c r="AE744" s="3">
        <v>39.0</v>
      </c>
      <c r="AF744" s="3">
        <v>57.0</v>
      </c>
      <c r="AG744" s="3">
        <v>32.0</v>
      </c>
      <c r="AH744" s="3">
        <v>18.0</v>
      </c>
      <c r="AI744" s="3">
        <v>41.0</v>
      </c>
      <c r="AJ744" s="3">
        <v>40.0</v>
      </c>
      <c r="AK744" s="3">
        <v>68.0</v>
      </c>
      <c r="AL744" s="3">
        <v>58.0</v>
      </c>
      <c r="AM744" s="3">
        <v>42.0</v>
      </c>
      <c r="AN744" s="3">
        <v>43.0</v>
      </c>
    </row>
    <row r="745" ht="14.25" customHeight="1">
      <c r="A745" s="3">
        <v>743.0</v>
      </c>
      <c r="B745" s="3" t="s">
        <v>7219</v>
      </c>
      <c r="C745" s="3">
        <v>22.0</v>
      </c>
      <c r="D745" s="3" t="s">
        <v>6645</v>
      </c>
      <c r="E745" s="3" t="s">
        <v>6646</v>
      </c>
      <c r="F745" s="3" t="s">
        <v>6646</v>
      </c>
      <c r="G745" s="3" t="s">
        <v>6645</v>
      </c>
      <c r="H745" s="3" t="s">
        <v>6645</v>
      </c>
      <c r="I745" s="3" t="s">
        <v>6646</v>
      </c>
      <c r="J745" s="3">
        <v>-1.0</v>
      </c>
      <c r="K745" s="3">
        <v>0.0</v>
      </c>
      <c r="L745" s="3">
        <v>0.0</v>
      </c>
      <c r="M745" s="3">
        <v>0.0</v>
      </c>
      <c r="N745" s="3">
        <v>489.26754</v>
      </c>
      <c r="O745" s="3">
        <v>114.0</v>
      </c>
      <c r="P745" s="3" t="e">
        <v>#N/A</v>
      </c>
      <c r="Q745" s="3">
        <v>30.0</v>
      </c>
      <c r="R745" s="3">
        <v>32.0</v>
      </c>
      <c r="S745" s="3">
        <v>33.0</v>
      </c>
      <c r="T745" s="3">
        <v>33.0</v>
      </c>
      <c r="U745" s="3">
        <v>38.0</v>
      </c>
      <c r="V745" s="3">
        <v>34.0</v>
      </c>
      <c r="W745" s="3">
        <v>24.0</v>
      </c>
      <c r="X745" s="3">
        <v>47.0</v>
      </c>
      <c r="Y745" s="3">
        <v>29.0</v>
      </c>
      <c r="Z745" s="3">
        <v>39.0</v>
      </c>
      <c r="AA745" s="3">
        <v>39.0</v>
      </c>
      <c r="AB745" s="3">
        <v>22.0</v>
      </c>
      <c r="AC745" s="3">
        <v>44.0</v>
      </c>
      <c r="AD745" s="3">
        <v>48.0</v>
      </c>
      <c r="AE745" s="3">
        <v>38.0</v>
      </c>
      <c r="AF745" s="3">
        <v>41.0</v>
      </c>
      <c r="AG745" s="3">
        <v>54.0</v>
      </c>
      <c r="AH745" s="3">
        <v>50.0</v>
      </c>
      <c r="AI745" s="3">
        <v>40.0</v>
      </c>
      <c r="AJ745" s="3">
        <v>52.0</v>
      </c>
      <c r="AK745" s="3">
        <v>57.0</v>
      </c>
      <c r="AL745" s="3">
        <v>53.0</v>
      </c>
      <c r="AM745" s="3">
        <v>53.0</v>
      </c>
      <c r="AN745" s="3">
        <v>33.0</v>
      </c>
    </row>
    <row r="746" ht="14.25" customHeight="1">
      <c r="A746" s="3">
        <v>744.0</v>
      </c>
      <c r="B746" s="3" t="s">
        <v>7220</v>
      </c>
      <c r="C746" s="3">
        <v>28.0</v>
      </c>
      <c r="D746" s="3" t="s">
        <v>6645</v>
      </c>
      <c r="E746" s="3" t="s">
        <v>6646</v>
      </c>
      <c r="F746" s="3" t="s">
        <v>6646</v>
      </c>
      <c r="G746" s="3" t="s">
        <v>6645</v>
      </c>
      <c r="H746" s="3" t="s">
        <v>6645</v>
      </c>
      <c r="I746" s="3" t="s">
        <v>6645</v>
      </c>
      <c r="J746" s="3">
        <v>-1.0</v>
      </c>
      <c r="K746" s="3">
        <v>1.0</v>
      </c>
      <c r="L746" s="3">
        <v>0.0</v>
      </c>
      <c r="M746" s="3">
        <v>0.0</v>
      </c>
      <c r="N746" s="3">
        <v>965.239</v>
      </c>
      <c r="O746" s="3">
        <v>224.0</v>
      </c>
      <c r="P746" s="3" t="e">
        <v>#N/A</v>
      </c>
      <c r="Q746" s="3">
        <v>36.0</v>
      </c>
      <c r="R746" s="3">
        <v>43.0</v>
      </c>
      <c r="S746" s="3">
        <v>38.0</v>
      </c>
      <c r="T746" s="3">
        <v>41.0</v>
      </c>
      <c r="U746" s="3">
        <v>43.0</v>
      </c>
      <c r="V746" s="3">
        <v>38.0</v>
      </c>
      <c r="W746" s="3">
        <v>44.0</v>
      </c>
      <c r="X746" s="3">
        <v>36.0</v>
      </c>
      <c r="Y746" s="3">
        <v>46.0</v>
      </c>
      <c r="Z746" s="3">
        <v>35.0</v>
      </c>
      <c r="AA746" s="3">
        <v>43.0</v>
      </c>
      <c r="AB746" s="3">
        <v>50.0</v>
      </c>
      <c r="AC746" s="3">
        <v>42.0</v>
      </c>
      <c r="AD746" s="3">
        <v>27.0</v>
      </c>
      <c r="AE746" s="3">
        <v>45.0</v>
      </c>
      <c r="AF746" s="3">
        <v>57.0</v>
      </c>
      <c r="AG746" s="3">
        <v>48.0</v>
      </c>
      <c r="AH746" s="3">
        <v>53.0</v>
      </c>
      <c r="AI746" s="3">
        <v>61.0</v>
      </c>
      <c r="AJ746" s="3">
        <v>56.0</v>
      </c>
      <c r="AK746" s="3">
        <v>18.0</v>
      </c>
      <c r="AL746" s="3">
        <v>33.0</v>
      </c>
      <c r="AM746" s="3">
        <v>73.0</v>
      </c>
      <c r="AN746" s="3">
        <v>51.0</v>
      </c>
    </row>
    <row r="747" ht="14.25" customHeight="1">
      <c r="A747" s="3">
        <v>745.0</v>
      </c>
      <c r="B747" s="3" t="s">
        <v>7221</v>
      </c>
      <c r="C747" s="3">
        <v>20.0</v>
      </c>
      <c r="D747" s="3" t="s">
        <v>6645</v>
      </c>
      <c r="E747" s="3" t="s">
        <v>6646</v>
      </c>
      <c r="F747" s="3" t="s">
        <v>6646</v>
      </c>
      <c r="G747" s="3" t="s">
        <v>6645</v>
      </c>
      <c r="H747" s="3" t="s">
        <v>6645</v>
      </c>
      <c r="I747" s="3" t="s">
        <v>6645</v>
      </c>
      <c r="J747" s="3">
        <v>-1.0</v>
      </c>
      <c r="K747" s="3">
        <v>0.0</v>
      </c>
      <c r="L747" s="3">
        <v>0.0</v>
      </c>
      <c r="M747" s="3">
        <v>0.0</v>
      </c>
      <c r="N747" s="3">
        <v>449.57293</v>
      </c>
      <c r="O747" s="3">
        <v>124.0</v>
      </c>
      <c r="P747" s="3" t="e">
        <v>#N/A</v>
      </c>
      <c r="Q747" s="3">
        <v>37.0</v>
      </c>
      <c r="R747" s="3">
        <v>36.0</v>
      </c>
      <c r="S747" s="3">
        <v>33.0</v>
      </c>
      <c r="T747" s="3">
        <v>34.0</v>
      </c>
      <c r="U747" s="3">
        <v>31.0</v>
      </c>
      <c r="V747" s="3">
        <v>34.0</v>
      </c>
      <c r="W747" s="3">
        <v>42.0</v>
      </c>
      <c r="X747" s="3">
        <v>28.0</v>
      </c>
      <c r="Y747" s="3">
        <v>44.0</v>
      </c>
      <c r="Z747" s="3">
        <v>39.0</v>
      </c>
      <c r="AA747" s="3">
        <v>36.0</v>
      </c>
      <c r="AB747" s="3">
        <v>21.0</v>
      </c>
      <c r="AC747" s="3">
        <v>34.0</v>
      </c>
      <c r="AD747" s="3">
        <v>22.0</v>
      </c>
      <c r="AE747" s="3">
        <v>31.0</v>
      </c>
      <c r="AF747" s="3">
        <v>23.0</v>
      </c>
      <c r="AG747" s="3">
        <v>43.0</v>
      </c>
      <c r="AH747" s="3">
        <v>25.0</v>
      </c>
      <c r="AI747" s="3">
        <v>56.0</v>
      </c>
      <c r="AJ747" s="3">
        <v>48.0</v>
      </c>
      <c r="AK747" s="3">
        <v>73.0</v>
      </c>
      <c r="AL747" s="3">
        <v>38.0</v>
      </c>
      <c r="AM747" s="3">
        <v>70.0</v>
      </c>
      <c r="AN747" s="3">
        <v>55.0</v>
      </c>
    </row>
    <row r="748" ht="14.25" customHeight="1">
      <c r="A748" s="3">
        <v>746.0</v>
      </c>
      <c r="B748" s="3" t="s">
        <v>7222</v>
      </c>
      <c r="C748" s="3">
        <v>27.0</v>
      </c>
      <c r="D748" s="3" t="s">
        <v>6645</v>
      </c>
      <c r="E748" s="3" t="s">
        <v>6646</v>
      </c>
      <c r="F748" s="3" t="s">
        <v>6646</v>
      </c>
      <c r="G748" s="3" t="s">
        <v>6645</v>
      </c>
      <c r="H748" s="3" t="s">
        <v>6645</v>
      </c>
      <c r="I748" s="3" t="s">
        <v>6646</v>
      </c>
      <c r="J748" s="3">
        <v>-1.0</v>
      </c>
      <c r="K748" s="3">
        <v>1.0</v>
      </c>
      <c r="L748" s="3">
        <v>0.0</v>
      </c>
      <c r="M748" s="3">
        <v>0.0</v>
      </c>
      <c r="N748" s="3">
        <v>1131.5534</v>
      </c>
      <c r="O748" s="3">
        <v>161.0</v>
      </c>
      <c r="P748" s="3" t="e">
        <v>#N/A</v>
      </c>
      <c r="Q748" s="3">
        <v>41.0</v>
      </c>
      <c r="R748" s="3">
        <v>40.0</v>
      </c>
      <c r="S748" s="3">
        <v>40.0</v>
      </c>
      <c r="T748" s="3">
        <v>37.0</v>
      </c>
      <c r="U748" s="3">
        <v>42.0</v>
      </c>
      <c r="V748" s="3">
        <v>37.0</v>
      </c>
      <c r="W748" s="3">
        <v>38.0</v>
      </c>
      <c r="X748" s="3">
        <v>46.0</v>
      </c>
      <c r="Y748" s="3">
        <v>31.0</v>
      </c>
      <c r="Z748" s="3">
        <v>38.0</v>
      </c>
      <c r="AA748" s="3">
        <v>41.0</v>
      </c>
      <c r="AB748" s="3">
        <v>40.0</v>
      </c>
      <c r="AC748" s="3">
        <v>35.0</v>
      </c>
      <c r="AD748" s="3">
        <v>49.0</v>
      </c>
      <c r="AE748" s="3">
        <v>42.0</v>
      </c>
      <c r="AF748" s="3">
        <v>14.0</v>
      </c>
      <c r="AG748" s="3">
        <v>55.0</v>
      </c>
      <c r="AH748" s="3">
        <v>54.0</v>
      </c>
      <c r="AI748" s="3">
        <v>37.0</v>
      </c>
      <c r="AJ748" s="3">
        <v>57.0</v>
      </c>
      <c r="AK748" s="3">
        <v>32.0</v>
      </c>
      <c r="AL748" s="3">
        <v>46.0</v>
      </c>
      <c r="AM748" s="3">
        <v>72.0</v>
      </c>
      <c r="AN748" s="3">
        <v>61.0</v>
      </c>
    </row>
    <row r="749" ht="14.25" customHeight="1">
      <c r="A749" s="3">
        <v>747.0</v>
      </c>
      <c r="B749" s="3" t="s">
        <v>7223</v>
      </c>
      <c r="C749" s="3">
        <v>24.0</v>
      </c>
      <c r="D749" s="3" t="s">
        <v>6645</v>
      </c>
      <c r="E749" s="3" t="s">
        <v>6646</v>
      </c>
      <c r="F749" s="3" t="s">
        <v>6646</v>
      </c>
      <c r="G749" s="3" t="s">
        <v>6645</v>
      </c>
      <c r="H749" s="3" t="s">
        <v>6645</v>
      </c>
      <c r="I749" s="3" t="s">
        <v>6645</v>
      </c>
      <c r="J749" s="3">
        <v>-1.0</v>
      </c>
      <c r="K749" s="3">
        <v>0.0</v>
      </c>
      <c r="L749" s="3">
        <v>0.0</v>
      </c>
      <c r="M749" s="3">
        <v>0.0</v>
      </c>
      <c r="N749" s="3">
        <v>471.86965</v>
      </c>
      <c r="O749" s="3">
        <v>78.0</v>
      </c>
      <c r="P749" s="3" t="e">
        <v>#N/A</v>
      </c>
      <c r="Q749" s="3">
        <v>30.0</v>
      </c>
      <c r="R749" s="3">
        <v>30.0</v>
      </c>
      <c r="S749" s="3">
        <v>30.0</v>
      </c>
      <c r="T749" s="3">
        <v>38.0</v>
      </c>
      <c r="U749" s="3">
        <v>36.0</v>
      </c>
      <c r="V749" s="3">
        <v>37.0</v>
      </c>
      <c r="W749" s="3">
        <v>47.0</v>
      </c>
      <c r="X749" s="3">
        <v>29.0</v>
      </c>
      <c r="Y749" s="3">
        <v>31.0</v>
      </c>
      <c r="Z749" s="3">
        <v>32.0</v>
      </c>
      <c r="AA749" s="3">
        <v>43.0</v>
      </c>
      <c r="AB749" s="3">
        <v>37.0</v>
      </c>
      <c r="AC749" s="3">
        <v>29.0</v>
      </c>
      <c r="AD749" s="3">
        <v>39.0</v>
      </c>
      <c r="AE749" s="3">
        <v>39.0</v>
      </c>
      <c r="AF749" s="3">
        <v>58.0</v>
      </c>
      <c r="AG749" s="3">
        <v>32.0</v>
      </c>
      <c r="AH749" s="3">
        <v>69.0</v>
      </c>
      <c r="AI749" s="3">
        <v>37.0</v>
      </c>
      <c r="AJ749" s="3">
        <v>27.0</v>
      </c>
      <c r="AK749" s="3">
        <v>31.0</v>
      </c>
      <c r="AL749" s="3">
        <v>36.0</v>
      </c>
      <c r="AM749" s="3">
        <v>58.0</v>
      </c>
      <c r="AN749" s="3">
        <v>54.0</v>
      </c>
    </row>
    <row r="750" ht="14.25" customHeight="1">
      <c r="A750" s="3">
        <v>748.0</v>
      </c>
      <c r="B750" s="3" t="s">
        <v>7224</v>
      </c>
      <c r="C750" s="3">
        <v>37.0</v>
      </c>
      <c r="D750" s="3" t="s">
        <v>6645</v>
      </c>
      <c r="E750" s="3" t="s">
        <v>6646</v>
      </c>
      <c r="F750" s="3" t="s">
        <v>6646</v>
      </c>
      <c r="G750" s="3" t="s">
        <v>6645</v>
      </c>
      <c r="H750" s="3" t="s">
        <v>6645</v>
      </c>
      <c r="I750" s="3" t="s">
        <v>6645</v>
      </c>
      <c r="J750" s="3">
        <v>-1.0</v>
      </c>
      <c r="K750" s="3">
        <v>4.0</v>
      </c>
      <c r="L750" s="3">
        <v>0.0</v>
      </c>
      <c r="M750" s="3">
        <v>0.0</v>
      </c>
      <c r="N750" s="3">
        <v>8355.07</v>
      </c>
      <c r="O750" s="3">
        <v>1215.0</v>
      </c>
      <c r="P750" s="3" t="e">
        <v>#N/A</v>
      </c>
      <c r="Q750" s="3">
        <v>55.0</v>
      </c>
      <c r="R750" s="3">
        <v>75.0</v>
      </c>
      <c r="S750" s="3">
        <v>50.0</v>
      </c>
      <c r="T750" s="3">
        <v>54.0</v>
      </c>
      <c r="U750" s="3">
        <v>53.0</v>
      </c>
      <c r="V750" s="3">
        <v>54.0</v>
      </c>
      <c r="W750" s="3">
        <v>48.0</v>
      </c>
      <c r="X750" s="3">
        <v>62.0</v>
      </c>
      <c r="Y750" s="3">
        <v>56.0</v>
      </c>
      <c r="Z750" s="3">
        <v>54.0</v>
      </c>
      <c r="AA750" s="3">
        <v>58.0</v>
      </c>
      <c r="AB750" s="3">
        <v>54.0</v>
      </c>
      <c r="AC750" s="3">
        <v>61.0</v>
      </c>
      <c r="AD750" s="3">
        <v>56.0</v>
      </c>
      <c r="AE750" s="3">
        <v>51.0</v>
      </c>
      <c r="AF750" s="3">
        <v>38.0</v>
      </c>
      <c r="AG750" s="3">
        <v>75.0</v>
      </c>
      <c r="AH750" s="3">
        <v>48.0</v>
      </c>
      <c r="AI750" s="3">
        <v>45.0</v>
      </c>
      <c r="AJ750" s="3">
        <v>45.0</v>
      </c>
      <c r="AK750" s="3">
        <v>49.0</v>
      </c>
      <c r="AL750" s="3">
        <v>44.0</v>
      </c>
      <c r="AM750" s="3">
        <v>41.0</v>
      </c>
      <c r="AN750" s="3">
        <v>42.0</v>
      </c>
    </row>
    <row r="751" ht="14.25" customHeight="1">
      <c r="A751" s="3">
        <v>749.0</v>
      </c>
      <c r="B751" s="3" t="s">
        <v>7225</v>
      </c>
      <c r="C751" s="3">
        <v>19.0</v>
      </c>
      <c r="D751" s="3" t="s">
        <v>6645</v>
      </c>
      <c r="E751" s="3" t="s">
        <v>6646</v>
      </c>
      <c r="F751" s="3" t="s">
        <v>6646</v>
      </c>
      <c r="G751" s="3" t="s">
        <v>6645</v>
      </c>
      <c r="H751" s="3" t="s">
        <v>6645</v>
      </c>
      <c r="I751" s="3" t="s">
        <v>6645</v>
      </c>
      <c r="J751" s="3">
        <v>-1.0</v>
      </c>
      <c r="K751" s="3">
        <v>0.0</v>
      </c>
      <c r="L751" s="3">
        <v>0.0</v>
      </c>
      <c r="M751" s="3">
        <v>0.0</v>
      </c>
      <c r="N751" s="3">
        <v>353.68957</v>
      </c>
      <c r="O751" s="3">
        <v>124.0</v>
      </c>
      <c r="P751" s="3" t="e">
        <v>#N/A</v>
      </c>
      <c r="Q751" s="3">
        <v>30.0</v>
      </c>
      <c r="R751" s="3">
        <v>39.0</v>
      </c>
      <c r="S751" s="3">
        <v>34.0</v>
      </c>
      <c r="T751" s="3">
        <v>36.0</v>
      </c>
      <c r="U751" s="3">
        <v>34.0</v>
      </c>
      <c r="V751" s="3">
        <v>38.0</v>
      </c>
      <c r="W751" s="3">
        <v>29.0</v>
      </c>
      <c r="X751" s="3">
        <v>38.0</v>
      </c>
      <c r="Y751" s="3">
        <v>42.0</v>
      </c>
      <c r="Z751" s="3">
        <v>34.0</v>
      </c>
      <c r="AA751" s="3">
        <v>34.0</v>
      </c>
      <c r="AB751" s="3">
        <v>37.0</v>
      </c>
      <c r="AC751" s="3">
        <v>27.0</v>
      </c>
      <c r="AD751" s="3">
        <v>30.0</v>
      </c>
      <c r="AE751" s="3">
        <v>36.0</v>
      </c>
      <c r="AF751" s="3">
        <v>39.0</v>
      </c>
      <c r="AG751" s="3">
        <v>63.0</v>
      </c>
      <c r="AH751" s="3">
        <v>55.0</v>
      </c>
      <c r="AI751" s="3">
        <v>9.0</v>
      </c>
      <c r="AJ751" s="3">
        <v>54.0</v>
      </c>
      <c r="AK751" s="3">
        <v>50.0</v>
      </c>
      <c r="AL751" s="3">
        <v>52.0</v>
      </c>
      <c r="AM751" s="3">
        <v>54.0</v>
      </c>
      <c r="AN751" s="3">
        <v>44.0</v>
      </c>
    </row>
    <row r="752" ht="14.25" customHeight="1">
      <c r="A752" s="3">
        <v>750.0</v>
      </c>
      <c r="B752" s="3" t="s">
        <v>7226</v>
      </c>
      <c r="C752" s="3">
        <v>23.0</v>
      </c>
      <c r="D752" s="3" t="s">
        <v>6645</v>
      </c>
      <c r="E752" s="3" t="s">
        <v>6646</v>
      </c>
      <c r="F752" s="3" t="s">
        <v>6646</v>
      </c>
      <c r="G752" s="3" t="s">
        <v>6645</v>
      </c>
      <c r="H752" s="3" t="s">
        <v>6645</v>
      </c>
      <c r="I752" s="3" t="s">
        <v>6645</v>
      </c>
      <c r="J752" s="3">
        <v>-1.0</v>
      </c>
      <c r="K752" s="3">
        <v>0.0</v>
      </c>
      <c r="L752" s="3">
        <v>0.0</v>
      </c>
      <c r="M752" s="3">
        <v>0.0</v>
      </c>
      <c r="N752" s="3">
        <v>458.1114</v>
      </c>
      <c r="O752" s="3">
        <v>75.0</v>
      </c>
      <c r="P752" s="3" t="e">
        <v>#N/A</v>
      </c>
      <c r="Q752" s="3">
        <v>34.0</v>
      </c>
      <c r="R752" s="3">
        <v>36.0</v>
      </c>
      <c r="S752" s="3">
        <v>38.0</v>
      </c>
      <c r="T752" s="3">
        <v>30.0</v>
      </c>
      <c r="U752" s="3">
        <v>30.0</v>
      </c>
      <c r="V752" s="3">
        <v>35.0</v>
      </c>
      <c r="W752" s="3">
        <v>30.0</v>
      </c>
      <c r="X752" s="3">
        <v>40.0</v>
      </c>
      <c r="Y752" s="3">
        <v>28.0</v>
      </c>
      <c r="Z752" s="3">
        <v>38.0</v>
      </c>
      <c r="AA752" s="3">
        <v>34.0</v>
      </c>
      <c r="AB752" s="3">
        <v>46.0</v>
      </c>
      <c r="AC752" s="3">
        <v>44.0</v>
      </c>
      <c r="AD752" s="3">
        <v>32.0</v>
      </c>
      <c r="AE752" s="3">
        <v>23.0</v>
      </c>
      <c r="AF752" s="3">
        <v>43.0</v>
      </c>
      <c r="AG752" s="3">
        <v>66.0</v>
      </c>
      <c r="AH752" s="3">
        <v>32.0</v>
      </c>
      <c r="AI752" s="3">
        <v>34.0</v>
      </c>
      <c r="AJ752" s="3">
        <v>51.0</v>
      </c>
      <c r="AK752" s="3">
        <v>71.0</v>
      </c>
      <c r="AL752" s="3">
        <v>34.0</v>
      </c>
      <c r="AM752" s="3">
        <v>59.0</v>
      </c>
      <c r="AN752" s="3">
        <v>48.0</v>
      </c>
    </row>
    <row r="753" ht="14.25" customHeight="1">
      <c r="A753" s="3">
        <v>751.0</v>
      </c>
      <c r="B753" s="3" t="s">
        <v>7227</v>
      </c>
      <c r="C753" s="3">
        <v>34.0</v>
      </c>
      <c r="D753" s="3" t="s">
        <v>6645</v>
      </c>
      <c r="E753" s="3" t="s">
        <v>6646</v>
      </c>
      <c r="F753" s="3" t="s">
        <v>6646</v>
      </c>
      <c r="G753" s="3" t="s">
        <v>6645</v>
      </c>
      <c r="H753" s="3" t="s">
        <v>6645</v>
      </c>
      <c r="I753" s="3" t="s">
        <v>6646</v>
      </c>
      <c r="J753" s="3">
        <v>-1.0</v>
      </c>
      <c r="K753" s="3">
        <v>3.0</v>
      </c>
      <c r="L753" s="3">
        <v>0.0</v>
      </c>
      <c r="M753" s="3">
        <v>0.0</v>
      </c>
      <c r="N753" s="3">
        <v>5849.6777</v>
      </c>
      <c r="O753" s="3">
        <v>867.0</v>
      </c>
      <c r="P753" s="3" t="e">
        <v>#N/A</v>
      </c>
      <c r="Q753" s="3">
        <v>46.0</v>
      </c>
      <c r="R753" s="3">
        <v>45.0</v>
      </c>
      <c r="S753" s="3">
        <v>50.0</v>
      </c>
      <c r="T753" s="3">
        <v>48.0</v>
      </c>
      <c r="U753" s="3">
        <v>54.0</v>
      </c>
      <c r="V753" s="3">
        <v>55.0</v>
      </c>
      <c r="W753" s="3">
        <v>61.0</v>
      </c>
      <c r="X753" s="3">
        <v>52.0</v>
      </c>
      <c r="Y753" s="3">
        <v>45.0</v>
      </c>
      <c r="Z753" s="3">
        <v>44.0</v>
      </c>
      <c r="AA753" s="3">
        <v>66.0</v>
      </c>
      <c r="AB753" s="3">
        <v>41.0</v>
      </c>
      <c r="AC753" s="3">
        <v>49.0</v>
      </c>
      <c r="AD753" s="3">
        <v>63.0</v>
      </c>
      <c r="AE753" s="3">
        <v>39.0</v>
      </c>
      <c r="AF753" s="3">
        <v>21.0</v>
      </c>
      <c r="AG753" s="3">
        <v>65.0</v>
      </c>
      <c r="AH753" s="3">
        <v>74.0</v>
      </c>
      <c r="AI753" s="3">
        <v>55.0</v>
      </c>
      <c r="AJ753" s="3">
        <v>38.0</v>
      </c>
      <c r="AK753" s="3">
        <v>39.0</v>
      </c>
      <c r="AL753" s="3">
        <v>47.0</v>
      </c>
      <c r="AM753" s="3">
        <v>57.0</v>
      </c>
      <c r="AN753" s="3">
        <v>58.0</v>
      </c>
    </row>
    <row r="754" ht="14.25" customHeight="1">
      <c r="A754" s="3">
        <v>752.0</v>
      </c>
      <c r="B754" s="3" t="s">
        <v>7228</v>
      </c>
      <c r="C754" s="3">
        <v>35.0</v>
      </c>
      <c r="D754" s="3" t="s">
        <v>6645</v>
      </c>
      <c r="E754" s="3" t="s">
        <v>6646</v>
      </c>
      <c r="F754" s="3" t="s">
        <v>6646</v>
      </c>
      <c r="G754" s="3" t="s">
        <v>6645</v>
      </c>
      <c r="H754" s="3" t="s">
        <v>6645</v>
      </c>
      <c r="I754" s="3" t="s">
        <v>6646</v>
      </c>
      <c r="J754" s="3">
        <v>-1.0</v>
      </c>
      <c r="K754" s="3">
        <v>3.0</v>
      </c>
      <c r="L754" s="3">
        <v>0.0</v>
      </c>
      <c r="M754" s="3">
        <v>0.0</v>
      </c>
      <c r="N754" s="3">
        <v>5274.14</v>
      </c>
      <c r="O754" s="3">
        <v>905.0</v>
      </c>
      <c r="P754" s="3" t="e">
        <v>#N/A</v>
      </c>
      <c r="Q754" s="3">
        <v>56.0</v>
      </c>
      <c r="R754" s="3">
        <v>50.0</v>
      </c>
      <c r="S754" s="3">
        <v>50.0</v>
      </c>
      <c r="T754" s="3">
        <v>45.0</v>
      </c>
      <c r="U754" s="3">
        <v>53.0</v>
      </c>
      <c r="V754" s="3">
        <v>53.0</v>
      </c>
      <c r="W754" s="3">
        <v>52.0</v>
      </c>
      <c r="X754" s="3">
        <v>58.0</v>
      </c>
      <c r="Y754" s="3">
        <v>46.0</v>
      </c>
      <c r="Z754" s="3">
        <v>52.0</v>
      </c>
      <c r="AA754" s="3">
        <v>61.0</v>
      </c>
      <c r="AB754" s="3">
        <v>54.0</v>
      </c>
      <c r="AC754" s="3">
        <v>41.0</v>
      </c>
      <c r="AD754" s="3">
        <v>46.0</v>
      </c>
      <c r="AE754" s="3">
        <v>50.0</v>
      </c>
      <c r="AF754" s="3">
        <v>39.0</v>
      </c>
      <c r="AG754" s="3">
        <v>52.0</v>
      </c>
      <c r="AH754" s="3">
        <v>59.0</v>
      </c>
      <c r="AI754" s="3">
        <v>40.0</v>
      </c>
      <c r="AJ754" s="3">
        <v>54.0</v>
      </c>
      <c r="AK754" s="3">
        <v>54.0</v>
      </c>
      <c r="AL754" s="3">
        <v>38.0</v>
      </c>
      <c r="AM754" s="3">
        <v>52.0</v>
      </c>
      <c r="AN754" s="3">
        <v>63.0</v>
      </c>
    </row>
    <row r="755" ht="14.25" customHeight="1">
      <c r="A755" s="3">
        <v>753.0</v>
      </c>
      <c r="B755" s="3" t="s">
        <v>7229</v>
      </c>
      <c r="C755" s="3">
        <v>29.0</v>
      </c>
      <c r="D755" s="3" t="s">
        <v>6645</v>
      </c>
      <c r="E755" s="3" t="s">
        <v>6646</v>
      </c>
      <c r="F755" s="3" t="s">
        <v>6646</v>
      </c>
      <c r="G755" s="3" t="s">
        <v>6645</v>
      </c>
      <c r="H755" s="3" t="s">
        <v>6645</v>
      </c>
      <c r="I755" s="3" t="s">
        <v>6645</v>
      </c>
      <c r="J755" s="3">
        <v>-1.0</v>
      </c>
      <c r="K755" s="3">
        <v>1.0</v>
      </c>
      <c r="L755" s="3">
        <v>0.0</v>
      </c>
      <c r="M755" s="3">
        <v>0.0</v>
      </c>
      <c r="N755" s="3">
        <v>1067.9698</v>
      </c>
      <c r="O755" s="3">
        <v>166.0</v>
      </c>
      <c r="P755" s="3" t="e">
        <v>#N/A</v>
      </c>
      <c r="Q755" s="3">
        <v>39.0</v>
      </c>
      <c r="R755" s="3">
        <v>44.0</v>
      </c>
      <c r="S755" s="3">
        <v>44.0</v>
      </c>
      <c r="T755" s="3">
        <v>37.0</v>
      </c>
      <c r="U755" s="3">
        <v>41.0</v>
      </c>
      <c r="V755" s="3">
        <v>37.0</v>
      </c>
      <c r="W755" s="3">
        <v>45.0</v>
      </c>
      <c r="X755" s="3">
        <v>28.0</v>
      </c>
      <c r="Y755" s="3">
        <v>30.0</v>
      </c>
      <c r="Z755" s="3">
        <v>41.0</v>
      </c>
      <c r="AA755" s="3">
        <v>44.0</v>
      </c>
      <c r="AB755" s="3">
        <v>38.0</v>
      </c>
      <c r="AC755" s="3">
        <v>33.0</v>
      </c>
      <c r="AD755" s="3">
        <v>36.0</v>
      </c>
      <c r="AE755" s="3">
        <v>47.0</v>
      </c>
      <c r="AF755" s="3">
        <v>52.0</v>
      </c>
      <c r="AG755" s="3">
        <v>61.0</v>
      </c>
      <c r="AH755" s="3">
        <v>72.0</v>
      </c>
      <c r="AI755" s="3">
        <v>36.0</v>
      </c>
      <c r="AJ755" s="3">
        <v>32.0</v>
      </c>
      <c r="AK755" s="3">
        <v>32.0</v>
      </c>
      <c r="AL755" s="3">
        <v>36.0</v>
      </c>
      <c r="AM755" s="3">
        <v>55.0</v>
      </c>
      <c r="AN755" s="3">
        <v>25.0</v>
      </c>
    </row>
    <row r="756" ht="14.25" customHeight="1">
      <c r="A756" s="3">
        <v>754.0</v>
      </c>
      <c r="B756" s="3" t="s">
        <v>7230</v>
      </c>
      <c r="C756" s="3">
        <v>17.0</v>
      </c>
      <c r="D756" s="3" t="s">
        <v>6645</v>
      </c>
      <c r="E756" s="3" t="s">
        <v>6646</v>
      </c>
      <c r="F756" s="3" t="s">
        <v>6646</v>
      </c>
      <c r="G756" s="3" t="s">
        <v>6645</v>
      </c>
      <c r="H756" s="3" t="s">
        <v>6645</v>
      </c>
      <c r="I756" s="3" t="s">
        <v>6646</v>
      </c>
      <c r="J756" s="3">
        <v>-1.0</v>
      </c>
      <c r="K756" s="3">
        <v>0.0</v>
      </c>
      <c r="L756" s="3">
        <v>0.0</v>
      </c>
      <c r="M756" s="3">
        <v>0.0</v>
      </c>
      <c r="N756" s="3">
        <v>481.108</v>
      </c>
      <c r="O756" s="3">
        <v>80.0</v>
      </c>
      <c r="P756" s="3" t="e">
        <v>#N/A</v>
      </c>
      <c r="Q756" s="3">
        <v>38.0</v>
      </c>
      <c r="R756" s="3">
        <v>30.0</v>
      </c>
      <c r="S756" s="3">
        <v>32.0</v>
      </c>
      <c r="T756" s="3">
        <v>32.0</v>
      </c>
      <c r="U756" s="3">
        <v>37.0</v>
      </c>
      <c r="V756" s="3">
        <v>34.0</v>
      </c>
      <c r="W756" s="3">
        <v>30.0</v>
      </c>
      <c r="X756" s="3">
        <v>20.0</v>
      </c>
      <c r="Y756" s="3">
        <v>39.0</v>
      </c>
      <c r="Z756" s="3">
        <v>22.0</v>
      </c>
      <c r="AA756" s="3">
        <v>34.0</v>
      </c>
      <c r="AB756" s="3">
        <v>46.0</v>
      </c>
      <c r="AC756" s="3">
        <v>23.0</v>
      </c>
      <c r="AD756" s="3">
        <v>36.0</v>
      </c>
      <c r="AE756" s="3">
        <v>47.0</v>
      </c>
      <c r="AF756" s="3">
        <v>56.0</v>
      </c>
      <c r="AG756" s="3">
        <v>57.0</v>
      </c>
      <c r="AH756" s="3">
        <v>43.0</v>
      </c>
      <c r="AI756" s="3">
        <v>73.0</v>
      </c>
      <c r="AJ756" s="3">
        <v>53.0</v>
      </c>
      <c r="AK756" s="3">
        <v>44.0</v>
      </c>
      <c r="AL756" s="3">
        <v>11.0</v>
      </c>
      <c r="AM756" s="3">
        <v>59.0</v>
      </c>
      <c r="AN756" s="3">
        <v>58.0</v>
      </c>
    </row>
    <row r="757" ht="14.25" customHeight="1">
      <c r="A757" s="3">
        <v>755.0</v>
      </c>
      <c r="B757" s="3" t="s">
        <v>7231</v>
      </c>
      <c r="C757" s="3">
        <v>28.0</v>
      </c>
      <c r="D757" s="3" t="s">
        <v>6645</v>
      </c>
      <c r="E757" s="3" t="s">
        <v>6646</v>
      </c>
      <c r="F757" s="3" t="s">
        <v>6646</v>
      </c>
      <c r="G757" s="3" t="s">
        <v>6645</v>
      </c>
      <c r="H757" s="3" t="s">
        <v>6645</v>
      </c>
      <c r="I757" s="3" t="s">
        <v>6646</v>
      </c>
      <c r="J757" s="3">
        <v>-1.0</v>
      </c>
      <c r="K757" s="3">
        <v>1.0</v>
      </c>
      <c r="L757" s="3">
        <v>0.0</v>
      </c>
      <c r="M757" s="3">
        <v>0.0</v>
      </c>
      <c r="N757" s="3">
        <v>930.056</v>
      </c>
      <c r="O757" s="3">
        <v>222.0</v>
      </c>
      <c r="P757" s="3" t="e">
        <v>#N/A</v>
      </c>
      <c r="Q757" s="3">
        <v>43.0</v>
      </c>
      <c r="R757" s="3">
        <v>44.0</v>
      </c>
      <c r="S757" s="3">
        <v>40.0</v>
      </c>
      <c r="T757" s="3">
        <v>42.0</v>
      </c>
      <c r="U757" s="3">
        <v>44.0</v>
      </c>
      <c r="V757" s="3">
        <v>39.0</v>
      </c>
      <c r="W757" s="3">
        <v>40.0</v>
      </c>
      <c r="X757" s="3">
        <v>35.0</v>
      </c>
      <c r="Y757" s="3">
        <v>49.0</v>
      </c>
      <c r="Z757" s="3">
        <v>30.0</v>
      </c>
      <c r="AA757" s="3">
        <v>47.0</v>
      </c>
      <c r="AB757" s="3">
        <v>32.0</v>
      </c>
      <c r="AC757" s="3">
        <v>35.0</v>
      </c>
      <c r="AD757" s="3">
        <v>44.0</v>
      </c>
      <c r="AE757" s="3">
        <v>36.0</v>
      </c>
      <c r="AF757" s="3">
        <v>41.0</v>
      </c>
      <c r="AG757" s="3">
        <v>37.0</v>
      </c>
      <c r="AH757" s="3">
        <v>59.0</v>
      </c>
      <c r="AI757" s="3">
        <v>48.0</v>
      </c>
      <c r="AJ757" s="3">
        <v>40.0</v>
      </c>
      <c r="AK757" s="3">
        <v>49.0</v>
      </c>
      <c r="AL757" s="3">
        <v>55.0</v>
      </c>
      <c r="AM757" s="3">
        <v>47.0</v>
      </c>
      <c r="AN757" s="3">
        <v>53.0</v>
      </c>
    </row>
    <row r="758" ht="14.25" customHeight="1">
      <c r="A758" s="3">
        <v>756.0</v>
      </c>
      <c r="B758" s="3" t="s">
        <v>7232</v>
      </c>
      <c r="C758" s="3">
        <v>17.0</v>
      </c>
      <c r="D758" s="3" t="s">
        <v>6645</v>
      </c>
      <c r="E758" s="3" t="s">
        <v>6646</v>
      </c>
      <c r="F758" s="3" t="s">
        <v>6646</v>
      </c>
      <c r="G758" s="3" t="s">
        <v>6645</v>
      </c>
      <c r="H758" s="3" t="s">
        <v>6645</v>
      </c>
      <c r="I758" s="3" t="s">
        <v>6645</v>
      </c>
      <c r="J758" s="3">
        <v>-1.0</v>
      </c>
      <c r="K758" s="3">
        <v>0.0</v>
      </c>
      <c r="L758" s="3">
        <v>0.0</v>
      </c>
      <c r="M758" s="3">
        <v>0.0</v>
      </c>
      <c r="N758" s="3">
        <v>430.82693</v>
      </c>
      <c r="O758" s="3">
        <v>122.0</v>
      </c>
      <c r="P758" s="3" t="e">
        <v>#N/A</v>
      </c>
      <c r="Q758" s="3">
        <v>36.0</v>
      </c>
      <c r="R758" s="3">
        <v>33.0</v>
      </c>
      <c r="S758" s="3">
        <v>34.0</v>
      </c>
      <c r="T758" s="3">
        <v>31.0</v>
      </c>
      <c r="U758" s="3">
        <v>38.0</v>
      </c>
      <c r="V758" s="3">
        <v>33.0</v>
      </c>
      <c r="W758" s="3">
        <v>26.0</v>
      </c>
      <c r="X758" s="3">
        <v>36.0</v>
      </c>
      <c r="Y758" s="3">
        <v>38.0</v>
      </c>
      <c r="Z758" s="3">
        <v>26.0</v>
      </c>
      <c r="AA758" s="3">
        <v>41.0</v>
      </c>
      <c r="AB758" s="3">
        <v>42.0</v>
      </c>
      <c r="AC758" s="3">
        <v>31.0</v>
      </c>
      <c r="AD758" s="3">
        <v>33.0</v>
      </c>
      <c r="AE758" s="3">
        <v>33.0</v>
      </c>
      <c r="AF758" s="3">
        <v>40.0</v>
      </c>
      <c r="AG758" s="3">
        <v>23.0</v>
      </c>
      <c r="AH758" s="3">
        <v>1.0</v>
      </c>
      <c r="AI758" s="3">
        <v>46.0</v>
      </c>
      <c r="AJ758" s="3">
        <v>59.0</v>
      </c>
      <c r="AK758" s="3">
        <v>67.0</v>
      </c>
      <c r="AL758" s="3">
        <v>44.0</v>
      </c>
      <c r="AM758" s="3">
        <v>77.0</v>
      </c>
      <c r="AN758" s="3">
        <v>58.0</v>
      </c>
    </row>
    <row r="759" ht="14.25" customHeight="1">
      <c r="A759" s="3">
        <v>757.0</v>
      </c>
      <c r="B759" s="3" t="s">
        <v>7233</v>
      </c>
      <c r="C759" s="3">
        <v>19.0</v>
      </c>
      <c r="D759" s="3" t="s">
        <v>6645</v>
      </c>
      <c r="E759" s="3" t="s">
        <v>6646</v>
      </c>
      <c r="F759" s="3" t="s">
        <v>6646</v>
      </c>
      <c r="G759" s="3" t="s">
        <v>6645</v>
      </c>
      <c r="H759" s="3" t="s">
        <v>6645</v>
      </c>
      <c r="I759" s="3" t="s">
        <v>6645</v>
      </c>
      <c r="J759" s="3">
        <v>-1.0</v>
      </c>
      <c r="K759" s="3">
        <v>0.0</v>
      </c>
      <c r="L759" s="3">
        <v>0.0</v>
      </c>
      <c r="M759" s="3">
        <v>0.0</v>
      </c>
      <c r="N759" s="3">
        <v>531.192</v>
      </c>
      <c r="O759" s="3">
        <v>86.0</v>
      </c>
      <c r="P759" s="3" t="e">
        <v>#N/A</v>
      </c>
      <c r="Q759" s="3">
        <v>36.0</v>
      </c>
      <c r="R759" s="3">
        <v>31.0</v>
      </c>
      <c r="S759" s="3">
        <v>39.0</v>
      </c>
      <c r="T759" s="3">
        <v>37.0</v>
      </c>
      <c r="U759" s="3">
        <v>33.0</v>
      </c>
      <c r="V759" s="3">
        <v>34.0</v>
      </c>
      <c r="W759" s="3">
        <v>23.0</v>
      </c>
      <c r="X759" s="3">
        <v>29.0</v>
      </c>
      <c r="Y759" s="3">
        <v>40.0</v>
      </c>
      <c r="Z759" s="3">
        <v>35.0</v>
      </c>
      <c r="AA759" s="3">
        <v>47.0</v>
      </c>
      <c r="AB759" s="3">
        <v>39.0</v>
      </c>
      <c r="AC759" s="3">
        <v>35.0</v>
      </c>
      <c r="AD759" s="3">
        <v>26.0</v>
      </c>
      <c r="AE759" s="3">
        <v>37.0</v>
      </c>
      <c r="AF759" s="3">
        <v>36.0</v>
      </c>
      <c r="AG759" s="3">
        <v>31.0</v>
      </c>
      <c r="AH759" s="3">
        <v>30.0</v>
      </c>
      <c r="AI759" s="3">
        <v>48.0</v>
      </c>
      <c r="AJ759" s="3">
        <v>49.0</v>
      </c>
      <c r="AK759" s="3">
        <v>65.0</v>
      </c>
      <c r="AL759" s="3">
        <v>47.0</v>
      </c>
      <c r="AM759" s="3">
        <v>51.0</v>
      </c>
      <c r="AN759" s="3">
        <v>29.0</v>
      </c>
    </row>
    <row r="760" ht="14.25" customHeight="1">
      <c r="A760" s="3">
        <v>758.0</v>
      </c>
      <c r="B760" s="3" t="s">
        <v>7234</v>
      </c>
      <c r="C760" s="3">
        <v>34.0</v>
      </c>
      <c r="D760" s="3" t="s">
        <v>6645</v>
      </c>
      <c r="E760" s="3" t="s">
        <v>6646</v>
      </c>
      <c r="F760" s="3" t="s">
        <v>6646</v>
      </c>
      <c r="G760" s="3" t="s">
        <v>6645</v>
      </c>
      <c r="H760" s="3" t="s">
        <v>6645</v>
      </c>
      <c r="I760" s="3" t="s">
        <v>6645</v>
      </c>
      <c r="J760" s="3">
        <v>-1.0</v>
      </c>
      <c r="K760" s="3">
        <v>2.0</v>
      </c>
      <c r="L760" s="3">
        <v>0.0</v>
      </c>
      <c r="M760" s="3">
        <v>0.0</v>
      </c>
      <c r="N760" s="3">
        <v>2265.9343</v>
      </c>
      <c r="O760" s="3">
        <v>402.0</v>
      </c>
      <c r="P760" s="3" t="e">
        <v>#N/A</v>
      </c>
      <c r="Q760" s="3">
        <v>45.0</v>
      </c>
      <c r="R760" s="3">
        <v>40.0</v>
      </c>
      <c r="S760" s="3">
        <v>49.0</v>
      </c>
      <c r="T760" s="3">
        <v>41.0</v>
      </c>
      <c r="U760" s="3">
        <v>49.0</v>
      </c>
      <c r="V760" s="3">
        <v>43.0</v>
      </c>
      <c r="W760" s="3">
        <v>39.0</v>
      </c>
      <c r="X760" s="3">
        <v>46.0</v>
      </c>
      <c r="Y760" s="3">
        <v>42.0</v>
      </c>
      <c r="Z760" s="3">
        <v>38.0</v>
      </c>
      <c r="AA760" s="3">
        <v>47.0</v>
      </c>
      <c r="AB760" s="3">
        <v>48.0</v>
      </c>
      <c r="AC760" s="3">
        <v>49.0</v>
      </c>
      <c r="AD760" s="3">
        <v>47.0</v>
      </c>
      <c r="AE760" s="3">
        <v>38.0</v>
      </c>
      <c r="AF760" s="3">
        <v>51.0</v>
      </c>
      <c r="AG760" s="3">
        <v>50.0</v>
      </c>
      <c r="AH760" s="3">
        <v>68.0</v>
      </c>
      <c r="AI760" s="3">
        <v>12.0</v>
      </c>
      <c r="AJ760" s="3">
        <v>52.0</v>
      </c>
      <c r="AK760" s="3">
        <v>39.0</v>
      </c>
      <c r="AL760" s="3">
        <v>51.0</v>
      </c>
      <c r="AM760" s="3">
        <v>48.0</v>
      </c>
      <c r="AN760" s="3">
        <v>63.0</v>
      </c>
    </row>
    <row r="761" ht="14.25" customHeight="1">
      <c r="A761" s="3">
        <v>759.0</v>
      </c>
      <c r="B761" s="3" t="s">
        <v>7235</v>
      </c>
      <c r="C761" s="3">
        <v>27.0</v>
      </c>
      <c r="D761" s="3" t="s">
        <v>6645</v>
      </c>
      <c r="E761" s="3" t="s">
        <v>6646</v>
      </c>
      <c r="F761" s="3" t="s">
        <v>6646</v>
      </c>
      <c r="G761" s="3" t="s">
        <v>6645</v>
      </c>
      <c r="H761" s="3" t="s">
        <v>6645</v>
      </c>
      <c r="I761" s="3" t="s">
        <v>6645</v>
      </c>
      <c r="J761" s="3">
        <v>-1.0</v>
      </c>
      <c r="K761" s="3">
        <v>1.0</v>
      </c>
      <c r="L761" s="3">
        <v>0.0</v>
      </c>
      <c r="M761" s="3">
        <v>0.0</v>
      </c>
      <c r="N761" s="3">
        <v>1018.4293</v>
      </c>
      <c r="O761" s="3">
        <v>247.0</v>
      </c>
      <c r="P761" s="3" t="e">
        <v>#N/A</v>
      </c>
      <c r="Q761" s="3">
        <v>38.0</v>
      </c>
      <c r="R761" s="3">
        <v>44.0</v>
      </c>
      <c r="S761" s="3">
        <v>44.0</v>
      </c>
      <c r="T761" s="3">
        <v>40.0</v>
      </c>
      <c r="U761" s="3">
        <v>39.0</v>
      </c>
      <c r="V761" s="3">
        <v>43.0</v>
      </c>
      <c r="W761" s="3">
        <v>35.0</v>
      </c>
      <c r="X761" s="3">
        <v>43.0</v>
      </c>
      <c r="Y761" s="3">
        <v>30.0</v>
      </c>
      <c r="Z761" s="3">
        <v>40.0</v>
      </c>
      <c r="AA761" s="3">
        <v>50.0</v>
      </c>
      <c r="AB761" s="3">
        <v>38.0</v>
      </c>
      <c r="AC761" s="3">
        <v>30.0</v>
      </c>
      <c r="AD761" s="3">
        <v>39.0</v>
      </c>
      <c r="AE761" s="3">
        <v>49.0</v>
      </c>
      <c r="AF761" s="3">
        <v>70.0</v>
      </c>
      <c r="AG761" s="3">
        <v>58.0</v>
      </c>
      <c r="AH761" s="3">
        <v>14.0</v>
      </c>
      <c r="AI761" s="3">
        <v>47.0</v>
      </c>
      <c r="AJ761" s="3">
        <v>32.0</v>
      </c>
      <c r="AK761" s="3">
        <v>32.0</v>
      </c>
      <c r="AL761" s="3">
        <v>40.0</v>
      </c>
      <c r="AM761" s="3">
        <v>71.0</v>
      </c>
      <c r="AN761" s="3">
        <v>28.0</v>
      </c>
    </row>
    <row r="762" ht="14.25" customHeight="1">
      <c r="A762" s="3">
        <v>760.0</v>
      </c>
      <c r="B762" s="3" t="s">
        <v>7236</v>
      </c>
      <c r="C762" s="3">
        <v>31.0</v>
      </c>
      <c r="D762" s="3" t="s">
        <v>6645</v>
      </c>
      <c r="E762" s="3" t="s">
        <v>6646</v>
      </c>
      <c r="F762" s="3" t="s">
        <v>6646</v>
      </c>
      <c r="G762" s="3" t="s">
        <v>6645</v>
      </c>
      <c r="H762" s="3" t="s">
        <v>6645</v>
      </c>
      <c r="I762" s="3" t="s">
        <v>6646</v>
      </c>
      <c r="J762" s="3">
        <v>-1.0</v>
      </c>
      <c r="K762" s="3">
        <v>2.0</v>
      </c>
      <c r="L762" s="3">
        <v>0.0</v>
      </c>
      <c r="M762" s="3">
        <v>0.0</v>
      </c>
      <c r="N762" s="3">
        <v>3563.4997</v>
      </c>
      <c r="O762" s="3">
        <v>445.0</v>
      </c>
      <c r="P762" s="3" t="e">
        <v>#N/A</v>
      </c>
      <c r="Q762" s="3">
        <v>45.0</v>
      </c>
      <c r="R762" s="3">
        <v>47.0</v>
      </c>
      <c r="S762" s="3">
        <v>40.0</v>
      </c>
      <c r="T762" s="3">
        <v>49.0</v>
      </c>
      <c r="U762" s="3">
        <v>47.0</v>
      </c>
      <c r="V762" s="3">
        <v>46.0</v>
      </c>
      <c r="W762" s="3">
        <v>55.0</v>
      </c>
      <c r="X762" s="3">
        <v>49.0</v>
      </c>
      <c r="Y762" s="3">
        <v>44.0</v>
      </c>
      <c r="Z762" s="3">
        <v>53.0</v>
      </c>
      <c r="AA762" s="3">
        <v>32.0</v>
      </c>
      <c r="AB762" s="3">
        <v>40.0</v>
      </c>
      <c r="AC762" s="3">
        <v>40.0</v>
      </c>
      <c r="AD762" s="3">
        <v>41.0</v>
      </c>
      <c r="AE762" s="3">
        <v>36.0</v>
      </c>
      <c r="AF762" s="3">
        <v>74.0</v>
      </c>
      <c r="AG762" s="3">
        <v>7.0</v>
      </c>
      <c r="AH762" s="3">
        <v>52.0</v>
      </c>
      <c r="AI762" s="3">
        <v>59.0</v>
      </c>
      <c r="AJ762" s="3">
        <v>61.0</v>
      </c>
      <c r="AK762" s="3">
        <v>34.0</v>
      </c>
      <c r="AL762" s="3">
        <v>55.0</v>
      </c>
      <c r="AM762" s="3">
        <v>45.0</v>
      </c>
      <c r="AN762" s="3">
        <v>59.0</v>
      </c>
    </row>
    <row r="763" ht="14.25" customHeight="1">
      <c r="A763" s="3">
        <v>761.0</v>
      </c>
      <c r="B763" s="3" t="s">
        <v>7237</v>
      </c>
      <c r="C763" s="3">
        <v>28.0</v>
      </c>
      <c r="D763" s="3" t="s">
        <v>6645</v>
      </c>
      <c r="E763" s="3" t="s">
        <v>6646</v>
      </c>
      <c r="F763" s="3" t="s">
        <v>6646</v>
      </c>
      <c r="G763" s="3" t="s">
        <v>6645</v>
      </c>
      <c r="H763" s="3" t="s">
        <v>6645</v>
      </c>
      <c r="I763" s="3" t="s">
        <v>6646</v>
      </c>
      <c r="J763" s="3">
        <v>-1.0</v>
      </c>
      <c r="K763" s="3">
        <v>2.0</v>
      </c>
      <c r="L763" s="3">
        <v>0.0</v>
      </c>
      <c r="M763" s="3">
        <v>0.0</v>
      </c>
      <c r="N763" s="3">
        <v>3492.8574</v>
      </c>
      <c r="O763" s="3">
        <v>436.0</v>
      </c>
      <c r="P763" s="3" t="e">
        <v>#N/A</v>
      </c>
      <c r="Q763" s="3">
        <v>41.0</v>
      </c>
      <c r="R763" s="3">
        <v>41.0</v>
      </c>
      <c r="S763" s="3">
        <v>43.0</v>
      </c>
      <c r="T763" s="3">
        <v>42.0</v>
      </c>
      <c r="U763" s="3">
        <v>47.0</v>
      </c>
      <c r="V763" s="3">
        <v>47.0</v>
      </c>
      <c r="W763" s="3">
        <v>41.0</v>
      </c>
      <c r="X763" s="3">
        <v>35.0</v>
      </c>
      <c r="Y763" s="3">
        <v>48.0</v>
      </c>
      <c r="Z763" s="3">
        <v>35.0</v>
      </c>
      <c r="AA763" s="3">
        <v>42.0</v>
      </c>
      <c r="AB763" s="3">
        <v>51.0</v>
      </c>
      <c r="AC763" s="3">
        <v>47.0</v>
      </c>
      <c r="AD763" s="3">
        <v>37.0</v>
      </c>
      <c r="AE763" s="3">
        <v>56.0</v>
      </c>
      <c r="AF763" s="3">
        <v>37.0</v>
      </c>
      <c r="AG763" s="3">
        <v>79.0</v>
      </c>
      <c r="AH763" s="3">
        <v>48.0</v>
      </c>
      <c r="AI763" s="3">
        <v>53.0</v>
      </c>
      <c r="AJ763" s="3">
        <v>56.0</v>
      </c>
      <c r="AK763" s="3">
        <v>37.0</v>
      </c>
      <c r="AL763" s="3">
        <v>42.0</v>
      </c>
      <c r="AM763" s="3">
        <v>33.0</v>
      </c>
      <c r="AN763" s="3">
        <v>63.0</v>
      </c>
    </row>
    <row r="764" ht="14.25" customHeight="1">
      <c r="A764" s="3">
        <v>762.0</v>
      </c>
      <c r="B764" s="3" t="s">
        <v>7238</v>
      </c>
      <c r="C764" s="3">
        <v>22.0</v>
      </c>
      <c r="D764" s="3" t="s">
        <v>6645</v>
      </c>
      <c r="E764" s="3" t="s">
        <v>6646</v>
      </c>
      <c r="F764" s="3" t="s">
        <v>6646</v>
      </c>
      <c r="G764" s="3" t="s">
        <v>6645</v>
      </c>
      <c r="H764" s="3" t="s">
        <v>6645</v>
      </c>
      <c r="I764" s="3" t="s">
        <v>6646</v>
      </c>
      <c r="J764" s="3">
        <v>-1.0</v>
      </c>
      <c r="K764" s="3">
        <v>0.0</v>
      </c>
      <c r="L764" s="3">
        <v>0.0</v>
      </c>
      <c r="M764" s="3">
        <v>0.0</v>
      </c>
      <c r="N764" s="3">
        <v>472.10037</v>
      </c>
      <c r="O764" s="3">
        <v>81.0</v>
      </c>
      <c r="P764" s="3" t="e">
        <v>#N/A</v>
      </c>
      <c r="Q764" s="3">
        <v>33.0</v>
      </c>
      <c r="R764" s="3">
        <v>38.0</v>
      </c>
      <c r="S764" s="3">
        <v>36.0</v>
      </c>
      <c r="T764" s="3">
        <v>31.0</v>
      </c>
      <c r="U764" s="3">
        <v>34.0</v>
      </c>
      <c r="V764" s="3">
        <v>32.0</v>
      </c>
      <c r="W764" s="3">
        <v>35.0</v>
      </c>
      <c r="X764" s="3">
        <v>27.0</v>
      </c>
      <c r="Y764" s="3">
        <v>41.0</v>
      </c>
      <c r="Z764" s="3">
        <v>43.0</v>
      </c>
      <c r="AA764" s="3">
        <v>35.0</v>
      </c>
      <c r="AB764" s="3">
        <v>30.0</v>
      </c>
      <c r="AC764" s="3">
        <v>37.0</v>
      </c>
      <c r="AD764" s="3">
        <v>26.0</v>
      </c>
      <c r="AE764" s="3">
        <v>26.0</v>
      </c>
      <c r="AF764" s="3">
        <v>22.0</v>
      </c>
      <c r="AG764" s="3">
        <v>35.0</v>
      </c>
      <c r="AH764" s="3">
        <v>65.0</v>
      </c>
      <c r="AI764" s="3">
        <v>11.0</v>
      </c>
      <c r="AJ764" s="3">
        <v>52.0</v>
      </c>
      <c r="AK764" s="3">
        <v>25.0</v>
      </c>
      <c r="AL764" s="3">
        <v>39.0</v>
      </c>
      <c r="AM764" s="3">
        <v>74.0</v>
      </c>
      <c r="AN764" s="3">
        <v>67.0</v>
      </c>
    </row>
    <row r="765" ht="14.25" customHeight="1">
      <c r="A765" s="3">
        <v>763.0</v>
      </c>
      <c r="B765" s="3" t="s">
        <v>7239</v>
      </c>
      <c r="C765" s="3">
        <v>18.0</v>
      </c>
      <c r="D765" s="3" t="s">
        <v>6645</v>
      </c>
      <c r="E765" s="3" t="s">
        <v>6646</v>
      </c>
      <c r="F765" s="3" t="s">
        <v>6646</v>
      </c>
      <c r="G765" s="3" t="s">
        <v>6645</v>
      </c>
      <c r="H765" s="3" t="s">
        <v>6645</v>
      </c>
      <c r="I765" s="3" t="s">
        <v>6645</v>
      </c>
      <c r="J765" s="3">
        <v>-1.0</v>
      </c>
      <c r="K765" s="3">
        <v>0.0</v>
      </c>
      <c r="L765" s="3">
        <v>0.0</v>
      </c>
      <c r="M765" s="3">
        <v>0.0</v>
      </c>
      <c r="N765" s="3">
        <v>402.65527</v>
      </c>
      <c r="O765" s="3">
        <v>93.0</v>
      </c>
      <c r="P765" s="3" t="e">
        <v>#N/A</v>
      </c>
      <c r="Q765" s="3">
        <v>33.0</v>
      </c>
      <c r="R765" s="3">
        <v>31.0</v>
      </c>
      <c r="S765" s="3">
        <v>37.0</v>
      </c>
      <c r="T765" s="3">
        <v>33.0</v>
      </c>
      <c r="U765" s="3">
        <v>36.0</v>
      </c>
      <c r="V765" s="3">
        <v>31.0</v>
      </c>
      <c r="W765" s="3">
        <v>39.0</v>
      </c>
      <c r="X765" s="3">
        <v>45.0</v>
      </c>
      <c r="Y765" s="3">
        <v>26.0</v>
      </c>
      <c r="Z765" s="3">
        <v>28.0</v>
      </c>
      <c r="AA765" s="3">
        <v>34.0</v>
      </c>
      <c r="AB765" s="3">
        <v>27.0</v>
      </c>
      <c r="AC765" s="3">
        <v>32.0</v>
      </c>
      <c r="AD765" s="3">
        <v>43.0</v>
      </c>
      <c r="AE765" s="3">
        <v>41.0</v>
      </c>
      <c r="AF765" s="3">
        <v>67.0</v>
      </c>
      <c r="AG765" s="3">
        <v>51.0</v>
      </c>
      <c r="AH765" s="3">
        <v>11.0</v>
      </c>
      <c r="AI765" s="3">
        <v>59.0</v>
      </c>
      <c r="AJ765" s="3">
        <v>48.0</v>
      </c>
      <c r="AK765" s="3">
        <v>38.0</v>
      </c>
      <c r="AL765" s="3">
        <v>42.0</v>
      </c>
      <c r="AM765" s="3">
        <v>53.0</v>
      </c>
      <c r="AN765" s="3">
        <v>57.0</v>
      </c>
    </row>
    <row r="766" ht="14.25" customHeight="1">
      <c r="A766" s="3">
        <v>764.0</v>
      </c>
      <c r="B766" s="3" t="s">
        <v>7240</v>
      </c>
      <c r="C766" s="3">
        <v>19.0</v>
      </c>
      <c r="D766" s="3" t="s">
        <v>6645</v>
      </c>
      <c r="E766" s="3" t="s">
        <v>6646</v>
      </c>
      <c r="F766" s="3" t="s">
        <v>6646</v>
      </c>
      <c r="G766" s="3" t="s">
        <v>6645</v>
      </c>
      <c r="H766" s="3" t="s">
        <v>6645</v>
      </c>
      <c r="I766" s="3" t="s">
        <v>6646</v>
      </c>
      <c r="J766" s="3">
        <v>-1.0</v>
      </c>
      <c r="K766" s="3">
        <v>0.0</v>
      </c>
      <c r="L766" s="3">
        <v>0.0</v>
      </c>
      <c r="M766" s="3">
        <v>0.0</v>
      </c>
      <c r="N766" s="3">
        <v>406.91644</v>
      </c>
      <c r="O766" s="3">
        <v>102.0</v>
      </c>
      <c r="P766" s="3" t="e">
        <v>#N/A</v>
      </c>
      <c r="Q766" s="3">
        <v>38.0</v>
      </c>
      <c r="R766" s="3">
        <v>31.0</v>
      </c>
      <c r="S766" s="3">
        <v>32.0</v>
      </c>
      <c r="T766" s="3">
        <v>33.0</v>
      </c>
      <c r="U766" s="3">
        <v>35.0</v>
      </c>
      <c r="V766" s="3">
        <v>38.0</v>
      </c>
      <c r="W766" s="3">
        <v>32.0</v>
      </c>
      <c r="X766" s="3">
        <v>31.0</v>
      </c>
      <c r="Y766" s="3">
        <v>43.0</v>
      </c>
      <c r="Z766" s="3">
        <v>30.0</v>
      </c>
      <c r="AA766" s="3">
        <v>30.0</v>
      </c>
      <c r="AB766" s="3">
        <v>38.0</v>
      </c>
      <c r="AC766" s="3">
        <v>30.0</v>
      </c>
      <c r="AD766" s="3">
        <v>23.0</v>
      </c>
      <c r="AE766" s="3">
        <v>37.0</v>
      </c>
      <c r="AF766" s="3">
        <v>3.0</v>
      </c>
      <c r="AG766" s="3">
        <v>64.0</v>
      </c>
      <c r="AH766" s="3">
        <v>40.0</v>
      </c>
      <c r="AI766" s="3">
        <v>53.0</v>
      </c>
      <c r="AJ766" s="3">
        <v>31.0</v>
      </c>
      <c r="AK766" s="3">
        <v>33.0</v>
      </c>
      <c r="AL766" s="3">
        <v>56.0</v>
      </c>
      <c r="AM766" s="3">
        <v>33.0</v>
      </c>
      <c r="AN766" s="3">
        <v>47.0</v>
      </c>
    </row>
    <row r="767" ht="14.25" customHeight="1">
      <c r="A767" s="3">
        <v>765.0</v>
      </c>
      <c r="B767" s="3" t="s">
        <v>7241</v>
      </c>
      <c r="C767" s="3">
        <v>32.0</v>
      </c>
      <c r="D767" s="3" t="s">
        <v>6645</v>
      </c>
      <c r="E767" s="3" t="s">
        <v>6646</v>
      </c>
      <c r="F767" s="3" t="s">
        <v>6646</v>
      </c>
      <c r="G767" s="3" t="s">
        <v>6645</v>
      </c>
      <c r="H767" s="3" t="s">
        <v>6645</v>
      </c>
      <c r="I767" s="3" t="s">
        <v>6645</v>
      </c>
      <c r="J767" s="3">
        <v>-1.0</v>
      </c>
      <c r="K767" s="3">
        <v>2.0</v>
      </c>
      <c r="L767" s="3">
        <v>0.0</v>
      </c>
      <c r="M767" s="3">
        <v>0.0</v>
      </c>
      <c r="N767" s="3">
        <v>3739.8815</v>
      </c>
      <c r="O767" s="3">
        <v>353.0</v>
      </c>
      <c r="P767" s="3" t="e">
        <v>#N/A</v>
      </c>
      <c r="Q767" s="3">
        <v>43.0</v>
      </c>
      <c r="R767" s="3">
        <v>41.0</v>
      </c>
      <c r="S767" s="3">
        <v>47.0</v>
      </c>
      <c r="T767" s="3">
        <v>41.0</v>
      </c>
      <c r="U767" s="3">
        <v>45.0</v>
      </c>
      <c r="V767" s="3">
        <v>43.0</v>
      </c>
      <c r="W767" s="3">
        <v>47.0</v>
      </c>
      <c r="X767" s="3">
        <v>37.0</v>
      </c>
      <c r="Y767" s="3">
        <v>49.0</v>
      </c>
      <c r="Z767" s="3">
        <v>53.0</v>
      </c>
      <c r="AA767" s="3">
        <v>37.0</v>
      </c>
      <c r="AB767" s="3">
        <v>40.0</v>
      </c>
      <c r="AC767" s="3">
        <v>52.0</v>
      </c>
      <c r="AD767" s="3">
        <v>49.0</v>
      </c>
      <c r="AE767" s="3">
        <v>42.0</v>
      </c>
      <c r="AF767" s="3">
        <v>69.0</v>
      </c>
      <c r="AG767" s="3">
        <v>41.0</v>
      </c>
      <c r="AH767" s="3">
        <v>37.0</v>
      </c>
      <c r="AI767" s="3">
        <v>46.0</v>
      </c>
      <c r="AJ767" s="3">
        <v>12.0</v>
      </c>
      <c r="AK767" s="3">
        <v>62.0</v>
      </c>
      <c r="AL767" s="3">
        <v>58.0</v>
      </c>
      <c r="AM767" s="3">
        <v>37.0</v>
      </c>
      <c r="AN767" s="3">
        <v>49.0</v>
      </c>
    </row>
    <row r="768" ht="14.25" customHeight="1">
      <c r="A768" s="3">
        <v>766.0</v>
      </c>
      <c r="B768" s="3" t="s">
        <v>7242</v>
      </c>
      <c r="C768" s="3">
        <v>19.0</v>
      </c>
      <c r="D768" s="3" t="s">
        <v>6645</v>
      </c>
      <c r="E768" s="3" t="s">
        <v>6646</v>
      </c>
      <c r="F768" s="3" t="s">
        <v>6646</v>
      </c>
      <c r="G768" s="3" t="s">
        <v>6645</v>
      </c>
      <c r="H768" s="3" t="s">
        <v>6645</v>
      </c>
      <c r="I768" s="3" t="s">
        <v>6645</v>
      </c>
      <c r="J768" s="3">
        <v>-1.0</v>
      </c>
      <c r="K768" s="3">
        <v>0.0</v>
      </c>
      <c r="L768" s="3">
        <v>0.0</v>
      </c>
      <c r="M768" s="3">
        <v>0.0</v>
      </c>
      <c r="N768" s="3">
        <v>409.10827</v>
      </c>
      <c r="O768" s="3">
        <v>78.0</v>
      </c>
      <c r="P768" s="3" t="e">
        <v>#N/A</v>
      </c>
      <c r="Q768" s="3">
        <v>39.0</v>
      </c>
      <c r="R768" s="3">
        <v>33.0</v>
      </c>
      <c r="S768" s="3">
        <v>37.0</v>
      </c>
      <c r="T768" s="3">
        <v>37.0</v>
      </c>
      <c r="U768" s="3">
        <v>38.0</v>
      </c>
      <c r="V768" s="3">
        <v>33.0</v>
      </c>
      <c r="W768" s="3">
        <v>45.0</v>
      </c>
      <c r="X768" s="3">
        <v>36.0</v>
      </c>
      <c r="Y768" s="3">
        <v>25.0</v>
      </c>
      <c r="Z768" s="3">
        <v>32.0</v>
      </c>
      <c r="AA768" s="3">
        <v>41.0</v>
      </c>
      <c r="AB768" s="3">
        <v>44.0</v>
      </c>
      <c r="AC768" s="3">
        <v>30.0</v>
      </c>
      <c r="AD768" s="3">
        <v>28.0</v>
      </c>
      <c r="AE768" s="3">
        <v>32.0</v>
      </c>
      <c r="AF768" s="3">
        <v>47.0</v>
      </c>
      <c r="AG768" s="3">
        <v>52.0</v>
      </c>
      <c r="AH768" s="3">
        <v>69.0</v>
      </c>
      <c r="AI768" s="3">
        <v>29.0</v>
      </c>
      <c r="AJ768" s="3">
        <v>53.0</v>
      </c>
      <c r="AK768" s="3">
        <v>35.0</v>
      </c>
      <c r="AL768" s="3">
        <v>41.0</v>
      </c>
      <c r="AM768" s="3">
        <v>64.0</v>
      </c>
      <c r="AN768" s="3">
        <v>19.0</v>
      </c>
    </row>
    <row r="769" ht="14.25" customHeight="1">
      <c r="A769" s="3">
        <v>767.0</v>
      </c>
      <c r="B769" s="3" t="s">
        <v>7243</v>
      </c>
      <c r="C769" s="3">
        <v>17.0</v>
      </c>
      <c r="D769" s="3" t="s">
        <v>6645</v>
      </c>
      <c r="E769" s="3" t="s">
        <v>6646</v>
      </c>
      <c r="F769" s="3" t="s">
        <v>6646</v>
      </c>
      <c r="G769" s="3" t="s">
        <v>6645</v>
      </c>
      <c r="H769" s="3" t="s">
        <v>6645</v>
      </c>
      <c r="I769" s="3" t="s">
        <v>6646</v>
      </c>
      <c r="J769" s="3">
        <v>-1.0</v>
      </c>
      <c r="K769" s="3">
        <v>0.0</v>
      </c>
      <c r="L769" s="3">
        <v>0.0</v>
      </c>
      <c r="M769" s="3">
        <v>0.0</v>
      </c>
      <c r="N769" s="3">
        <v>460.353</v>
      </c>
      <c r="O769" s="3">
        <v>95.0</v>
      </c>
      <c r="P769" s="3" t="e">
        <v>#N/A</v>
      </c>
      <c r="Q769" s="3">
        <v>33.0</v>
      </c>
      <c r="R769" s="3">
        <v>38.0</v>
      </c>
      <c r="S769" s="3">
        <v>37.0</v>
      </c>
      <c r="T769" s="3">
        <v>36.0</v>
      </c>
      <c r="U769" s="3">
        <v>39.0</v>
      </c>
      <c r="V769" s="3">
        <v>35.0</v>
      </c>
      <c r="W769" s="3">
        <v>26.0</v>
      </c>
      <c r="X769" s="3">
        <v>42.0</v>
      </c>
      <c r="Y769" s="3">
        <v>25.0</v>
      </c>
      <c r="Z769" s="3">
        <v>38.0</v>
      </c>
      <c r="AA769" s="3">
        <v>31.0</v>
      </c>
      <c r="AB769" s="3">
        <v>31.0</v>
      </c>
      <c r="AC769" s="3">
        <v>45.0</v>
      </c>
      <c r="AD769" s="3">
        <v>30.0</v>
      </c>
      <c r="AE769" s="3">
        <v>31.0</v>
      </c>
      <c r="AF769" s="3">
        <v>41.0</v>
      </c>
      <c r="AG769" s="3">
        <v>42.0</v>
      </c>
      <c r="AH769" s="3">
        <v>0.0</v>
      </c>
      <c r="AI769" s="3">
        <v>75.0</v>
      </c>
      <c r="AJ769" s="3">
        <v>68.0</v>
      </c>
      <c r="AK769" s="3">
        <v>59.0</v>
      </c>
      <c r="AL769" s="3">
        <v>54.0</v>
      </c>
      <c r="AM769" s="3">
        <v>47.0</v>
      </c>
      <c r="AN769" s="3">
        <v>19.0</v>
      </c>
    </row>
    <row r="770" ht="14.25" customHeight="1">
      <c r="A770" s="3">
        <v>768.0</v>
      </c>
      <c r="B770" s="3" t="s">
        <v>7244</v>
      </c>
      <c r="C770" s="3">
        <v>33.0</v>
      </c>
      <c r="D770" s="3" t="s">
        <v>6645</v>
      </c>
      <c r="E770" s="3" t="s">
        <v>6646</v>
      </c>
      <c r="F770" s="3" t="s">
        <v>6646</v>
      </c>
      <c r="G770" s="3" t="s">
        <v>6645</v>
      </c>
      <c r="H770" s="3" t="s">
        <v>6645</v>
      </c>
      <c r="I770" s="3" t="s">
        <v>6645</v>
      </c>
      <c r="J770" s="3">
        <v>-1.0</v>
      </c>
      <c r="K770" s="3">
        <v>3.0</v>
      </c>
      <c r="L770" s="3">
        <v>0.0</v>
      </c>
      <c r="M770" s="3">
        <v>0.0</v>
      </c>
      <c r="N770" s="3">
        <v>5052.0493</v>
      </c>
      <c r="O770" s="3">
        <v>973.0</v>
      </c>
      <c r="P770" s="3" t="e">
        <v>#N/A</v>
      </c>
      <c r="Q770" s="3">
        <v>58.0</v>
      </c>
      <c r="R770" s="3">
        <v>49.0</v>
      </c>
      <c r="S770" s="3">
        <v>51.0</v>
      </c>
      <c r="T770" s="3">
        <v>51.0</v>
      </c>
      <c r="U770" s="3">
        <v>46.0</v>
      </c>
      <c r="V770" s="3">
        <v>54.0</v>
      </c>
      <c r="W770" s="3">
        <v>58.0</v>
      </c>
      <c r="X770" s="3">
        <v>49.0</v>
      </c>
      <c r="Y770" s="3">
        <v>51.0</v>
      </c>
      <c r="Z770" s="3">
        <v>56.0</v>
      </c>
      <c r="AA770" s="3">
        <v>49.0</v>
      </c>
      <c r="AB770" s="3">
        <v>53.0</v>
      </c>
      <c r="AC770" s="3">
        <v>44.0</v>
      </c>
      <c r="AD770" s="3">
        <v>42.0</v>
      </c>
      <c r="AE770" s="3">
        <v>59.0</v>
      </c>
      <c r="AF770" s="3">
        <v>56.0</v>
      </c>
      <c r="AG770" s="3">
        <v>77.0</v>
      </c>
      <c r="AH770" s="3">
        <v>36.0</v>
      </c>
      <c r="AI770" s="3">
        <v>47.0</v>
      </c>
      <c r="AJ770" s="3">
        <v>45.0</v>
      </c>
      <c r="AK770" s="3">
        <v>71.0</v>
      </c>
      <c r="AL770" s="3">
        <v>56.0</v>
      </c>
      <c r="AM770" s="3">
        <v>43.0</v>
      </c>
      <c r="AN770" s="3">
        <v>18.0</v>
      </c>
    </row>
    <row r="771" ht="14.25" customHeight="1">
      <c r="A771" s="3">
        <v>769.0</v>
      </c>
      <c r="B771" s="3" t="s">
        <v>7245</v>
      </c>
      <c r="C771" s="3">
        <v>18.0</v>
      </c>
      <c r="D771" s="3" t="s">
        <v>6645</v>
      </c>
      <c r="E771" s="3" t="s">
        <v>6646</v>
      </c>
      <c r="F771" s="3" t="s">
        <v>6646</v>
      </c>
      <c r="G771" s="3" t="s">
        <v>6645</v>
      </c>
      <c r="H771" s="3" t="s">
        <v>6645</v>
      </c>
      <c r="I771" s="3" t="s">
        <v>6645</v>
      </c>
      <c r="J771" s="3">
        <v>-1.0</v>
      </c>
      <c r="K771" s="3">
        <v>0.0</v>
      </c>
      <c r="L771" s="3">
        <v>0.0</v>
      </c>
      <c r="M771" s="3">
        <v>0.0</v>
      </c>
      <c r="N771" s="3">
        <v>329.635</v>
      </c>
      <c r="O771" s="3">
        <v>75.0</v>
      </c>
      <c r="P771" s="3" t="e">
        <v>#N/A</v>
      </c>
      <c r="Q771" s="3">
        <v>34.0</v>
      </c>
      <c r="R771" s="3">
        <v>33.0</v>
      </c>
      <c r="S771" s="3">
        <v>31.0</v>
      </c>
      <c r="T771" s="3">
        <v>35.0</v>
      </c>
      <c r="U771" s="3">
        <v>37.0</v>
      </c>
      <c r="V771" s="3">
        <v>30.0</v>
      </c>
      <c r="W771" s="3">
        <v>37.0</v>
      </c>
      <c r="X771" s="3">
        <v>30.0</v>
      </c>
      <c r="Y771" s="3">
        <v>32.0</v>
      </c>
      <c r="Z771" s="3">
        <v>40.0</v>
      </c>
      <c r="AA771" s="3">
        <v>31.0</v>
      </c>
      <c r="AB771" s="3">
        <v>36.0</v>
      </c>
      <c r="AC771" s="3">
        <v>30.0</v>
      </c>
      <c r="AD771" s="3">
        <v>26.0</v>
      </c>
      <c r="AE771" s="3">
        <v>44.0</v>
      </c>
      <c r="AF771" s="3">
        <v>71.0</v>
      </c>
      <c r="AG771" s="3">
        <v>45.0</v>
      </c>
      <c r="AH771" s="3">
        <v>51.0</v>
      </c>
      <c r="AI771" s="3">
        <v>57.0</v>
      </c>
      <c r="AJ771" s="3">
        <v>15.0</v>
      </c>
      <c r="AK771" s="3">
        <v>22.0</v>
      </c>
      <c r="AL771" s="3">
        <v>38.0</v>
      </c>
      <c r="AM771" s="3">
        <v>74.0</v>
      </c>
      <c r="AN771" s="3">
        <v>37.0</v>
      </c>
    </row>
    <row r="772" ht="14.25" customHeight="1">
      <c r="A772" s="3">
        <v>770.0</v>
      </c>
      <c r="B772" s="3" t="s">
        <v>7246</v>
      </c>
      <c r="C772" s="3">
        <v>15.0</v>
      </c>
      <c r="D772" s="3" t="s">
        <v>6645</v>
      </c>
      <c r="E772" s="3" t="s">
        <v>6646</v>
      </c>
      <c r="F772" s="3" t="s">
        <v>6646</v>
      </c>
      <c r="G772" s="3" t="s">
        <v>6645</v>
      </c>
      <c r="H772" s="3" t="s">
        <v>6645</v>
      </c>
      <c r="I772" s="3" t="s">
        <v>6645</v>
      </c>
      <c r="J772" s="3">
        <v>-1.0</v>
      </c>
      <c r="K772" s="3">
        <v>0.0</v>
      </c>
      <c r="L772" s="3">
        <v>0.0</v>
      </c>
      <c r="M772" s="3">
        <v>0.0</v>
      </c>
      <c r="N772" s="3">
        <v>494.545</v>
      </c>
      <c r="O772" s="3">
        <v>88.0</v>
      </c>
      <c r="P772" s="3" t="e">
        <v>#N/A</v>
      </c>
      <c r="Q772" s="3">
        <v>31.0</v>
      </c>
      <c r="R772" s="3">
        <v>38.0</v>
      </c>
      <c r="S772" s="3">
        <v>32.0</v>
      </c>
      <c r="T772" s="3">
        <v>37.0</v>
      </c>
      <c r="U772" s="3">
        <v>32.0</v>
      </c>
      <c r="V772" s="3">
        <v>31.0</v>
      </c>
      <c r="W772" s="3">
        <v>41.0</v>
      </c>
      <c r="X772" s="3">
        <v>34.0</v>
      </c>
      <c r="Y772" s="3">
        <v>39.0</v>
      </c>
      <c r="Z772" s="3">
        <v>36.0</v>
      </c>
      <c r="AA772" s="3">
        <v>32.0</v>
      </c>
      <c r="AB772" s="3">
        <v>23.0</v>
      </c>
      <c r="AC772" s="3">
        <v>30.0</v>
      </c>
      <c r="AD772" s="3">
        <v>38.0</v>
      </c>
      <c r="AE772" s="3">
        <v>31.0</v>
      </c>
      <c r="AF772" s="3">
        <v>55.0</v>
      </c>
      <c r="AG772" s="3">
        <v>70.0</v>
      </c>
      <c r="AH772" s="3">
        <v>45.0</v>
      </c>
      <c r="AI772" s="3">
        <v>33.0</v>
      </c>
      <c r="AJ772" s="3">
        <v>20.0</v>
      </c>
      <c r="AK772" s="3">
        <v>43.0</v>
      </c>
      <c r="AL772" s="3">
        <v>42.0</v>
      </c>
      <c r="AM772" s="3">
        <v>70.0</v>
      </c>
      <c r="AN772" s="3">
        <v>18.0</v>
      </c>
    </row>
    <row r="773" ht="14.25" customHeight="1">
      <c r="A773" s="3">
        <v>771.0</v>
      </c>
      <c r="B773" s="3" t="s">
        <v>7247</v>
      </c>
      <c r="C773" s="3">
        <v>31.0</v>
      </c>
      <c r="D773" s="3" t="s">
        <v>6645</v>
      </c>
      <c r="E773" s="3" t="s">
        <v>6646</v>
      </c>
      <c r="F773" s="3" t="s">
        <v>6646</v>
      </c>
      <c r="G773" s="3" t="s">
        <v>6645</v>
      </c>
      <c r="H773" s="3" t="s">
        <v>6645</v>
      </c>
      <c r="I773" s="3" t="s">
        <v>6646</v>
      </c>
      <c r="J773" s="3">
        <v>-1.0</v>
      </c>
      <c r="K773" s="3">
        <v>2.0</v>
      </c>
      <c r="L773" s="3">
        <v>0.0</v>
      </c>
      <c r="M773" s="3">
        <v>0.0</v>
      </c>
      <c r="N773" s="3">
        <v>3463.924</v>
      </c>
      <c r="O773" s="3">
        <v>353.0</v>
      </c>
      <c r="P773" s="3" t="e">
        <v>#N/A</v>
      </c>
      <c r="Q773" s="3">
        <v>42.0</v>
      </c>
      <c r="R773" s="3">
        <v>45.0</v>
      </c>
      <c r="S773" s="3">
        <v>44.0</v>
      </c>
      <c r="T773" s="3">
        <v>49.0</v>
      </c>
      <c r="U773" s="3">
        <v>42.0</v>
      </c>
      <c r="V773" s="3">
        <v>41.0</v>
      </c>
      <c r="W773" s="3">
        <v>42.0</v>
      </c>
      <c r="X773" s="3">
        <v>44.0</v>
      </c>
      <c r="Y773" s="3">
        <v>55.0</v>
      </c>
      <c r="Z773" s="3">
        <v>34.0</v>
      </c>
      <c r="AA773" s="3">
        <v>57.0</v>
      </c>
      <c r="AB773" s="3">
        <v>52.0</v>
      </c>
      <c r="AC773" s="3">
        <v>46.0</v>
      </c>
      <c r="AD773" s="3">
        <v>44.0</v>
      </c>
      <c r="AE773" s="3">
        <v>39.0</v>
      </c>
      <c r="AF773" s="3">
        <v>38.0</v>
      </c>
      <c r="AG773" s="3">
        <v>10.0</v>
      </c>
      <c r="AH773" s="3">
        <v>57.0</v>
      </c>
      <c r="AI773" s="3">
        <v>53.0</v>
      </c>
      <c r="AJ773" s="3">
        <v>67.0</v>
      </c>
      <c r="AK773" s="3">
        <v>27.0</v>
      </c>
      <c r="AL773" s="3">
        <v>77.0</v>
      </c>
      <c r="AM773" s="3">
        <v>53.0</v>
      </c>
      <c r="AN773" s="3">
        <v>36.0</v>
      </c>
    </row>
    <row r="774" ht="14.25" customHeight="1">
      <c r="A774" s="3">
        <v>772.0</v>
      </c>
      <c r="B774" s="3" t="s">
        <v>7248</v>
      </c>
      <c r="C774" s="3">
        <v>34.0</v>
      </c>
      <c r="D774" s="3" t="s">
        <v>6645</v>
      </c>
      <c r="E774" s="3" t="s">
        <v>6646</v>
      </c>
      <c r="F774" s="3" t="s">
        <v>6646</v>
      </c>
      <c r="G774" s="3" t="s">
        <v>6645</v>
      </c>
      <c r="H774" s="3" t="s">
        <v>6645</v>
      </c>
      <c r="I774" s="3" t="s">
        <v>6646</v>
      </c>
      <c r="J774" s="3">
        <v>-1.0</v>
      </c>
      <c r="K774" s="3">
        <v>3.0</v>
      </c>
      <c r="L774" s="3">
        <v>0.0</v>
      </c>
      <c r="M774" s="3">
        <v>0.0</v>
      </c>
      <c r="N774" s="3">
        <v>4777.55</v>
      </c>
      <c r="O774" s="3">
        <v>668.0</v>
      </c>
      <c r="P774" s="3" t="e">
        <v>#N/A</v>
      </c>
      <c r="Q774" s="3">
        <v>46.0</v>
      </c>
      <c r="R774" s="3">
        <v>54.0</v>
      </c>
      <c r="S774" s="3">
        <v>47.0</v>
      </c>
      <c r="T774" s="3">
        <v>47.0</v>
      </c>
      <c r="U774" s="3">
        <v>50.0</v>
      </c>
      <c r="V774" s="3">
        <v>48.0</v>
      </c>
      <c r="W774" s="3">
        <v>55.0</v>
      </c>
      <c r="X774" s="3">
        <v>50.0</v>
      </c>
      <c r="Y774" s="3">
        <v>54.0</v>
      </c>
      <c r="Z774" s="3">
        <v>50.0</v>
      </c>
      <c r="AA774" s="3">
        <v>45.0</v>
      </c>
      <c r="AB774" s="3">
        <v>62.0</v>
      </c>
      <c r="AC774" s="3">
        <v>43.0</v>
      </c>
      <c r="AD774" s="3">
        <v>46.0</v>
      </c>
      <c r="AE774" s="3">
        <v>61.0</v>
      </c>
      <c r="AF774" s="3">
        <v>44.0</v>
      </c>
      <c r="AG774" s="3">
        <v>21.0</v>
      </c>
      <c r="AH774" s="3">
        <v>58.0</v>
      </c>
      <c r="AI774" s="3">
        <v>40.0</v>
      </c>
      <c r="AJ774" s="3">
        <v>69.0</v>
      </c>
      <c r="AK774" s="3">
        <v>37.0</v>
      </c>
      <c r="AL774" s="3">
        <v>76.0</v>
      </c>
      <c r="AM774" s="3">
        <v>42.0</v>
      </c>
      <c r="AN774" s="3">
        <v>43.0</v>
      </c>
    </row>
    <row r="775" ht="14.25" customHeight="1">
      <c r="A775" s="3">
        <v>773.0</v>
      </c>
      <c r="B775" s="3" t="s">
        <v>7249</v>
      </c>
      <c r="C775" s="3">
        <v>18.0</v>
      </c>
      <c r="D775" s="3" t="s">
        <v>6645</v>
      </c>
      <c r="E775" s="3" t="s">
        <v>6646</v>
      </c>
      <c r="F775" s="3" t="s">
        <v>6646</v>
      </c>
      <c r="G775" s="3" t="s">
        <v>6645</v>
      </c>
      <c r="H775" s="3" t="s">
        <v>6645</v>
      </c>
      <c r="I775" s="3" t="s">
        <v>6645</v>
      </c>
      <c r="J775" s="3">
        <v>-1.0</v>
      </c>
      <c r="K775" s="3">
        <v>0.0</v>
      </c>
      <c r="L775" s="3">
        <v>0.0</v>
      </c>
      <c r="M775" s="3">
        <v>0.0</v>
      </c>
      <c r="N775" s="3">
        <v>384.48004</v>
      </c>
      <c r="O775" s="3">
        <v>117.0</v>
      </c>
      <c r="P775" s="3" t="e">
        <v>#N/A</v>
      </c>
      <c r="Q775" s="3">
        <v>39.0</v>
      </c>
      <c r="R775" s="3">
        <v>37.0</v>
      </c>
      <c r="S775" s="3">
        <v>34.0</v>
      </c>
      <c r="T775" s="3">
        <v>37.0</v>
      </c>
      <c r="U775" s="3">
        <v>33.0</v>
      </c>
      <c r="V775" s="3">
        <v>30.0</v>
      </c>
      <c r="W775" s="3">
        <v>38.0</v>
      </c>
      <c r="X775" s="3">
        <v>21.0</v>
      </c>
      <c r="Y775" s="3">
        <v>46.0</v>
      </c>
      <c r="Z775" s="3">
        <v>28.0</v>
      </c>
      <c r="AA775" s="3">
        <v>31.0</v>
      </c>
      <c r="AB775" s="3">
        <v>33.0</v>
      </c>
      <c r="AC775" s="3">
        <v>34.0</v>
      </c>
      <c r="AD775" s="3">
        <v>44.0</v>
      </c>
      <c r="AE775" s="3">
        <v>35.0</v>
      </c>
      <c r="AF775" s="3">
        <v>29.0</v>
      </c>
      <c r="AG775" s="3">
        <v>42.0</v>
      </c>
      <c r="AH775" s="3">
        <v>77.0</v>
      </c>
      <c r="AI775" s="3">
        <v>53.0</v>
      </c>
      <c r="AJ775" s="3">
        <v>53.0</v>
      </c>
      <c r="AK775" s="3">
        <v>52.0</v>
      </c>
      <c r="AL775" s="3">
        <v>74.0</v>
      </c>
      <c r="AM775" s="3">
        <v>21.0</v>
      </c>
      <c r="AN775" s="3">
        <v>49.0</v>
      </c>
    </row>
    <row r="776" ht="14.25" customHeight="1">
      <c r="A776" s="3">
        <v>774.0</v>
      </c>
      <c r="B776" s="3" t="s">
        <v>7250</v>
      </c>
      <c r="C776" s="3">
        <v>24.0</v>
      </c>
      <c r="D776" s="3" t="s">
        <v>6645</v>
      </c>
      <c r="E776" s="3" t="s">
        <v>6646</v>
      </c>
      <c r="F776" s="3" t="s">
        <v>6646</v>
      </c>
      <c r="G776" s="3" t="s">
        <v>6645</v>
      </c>
      <c r="H776" s="3" t="s">
        <v>6645</v>
      </c>
      <c r="I776" s="3" t="s">
        <v>6645</v>
      </c>
      <c r="J776" s="3">
        <v>-1.0</v>
      </c>
      <c r="K776" s="3">
        <v>0.0</v>
      </c>
      <c r="L776" s="3">
        <v>0.0</v>
      </c>
      <c r="M776" s="3">
        <v>0.0</v>
      </c>
      <c r="N776" s="3">
        <v>468.624</v>
      </c>
      <c r="O776" s="3">
        <v>103.0</v>
      </c>
      <c r="P776" s="3" t="e">
        <v>#N/A</v>
      </c>
      <c r="Q776" s="3">
        <v>38.0</v>
      </c>
      <c r="R776" s="3">
        <v>30.0</v>
      </c>
      <c r="S776" s="3">
        <v>32.0</v>
      </c>
      <c r="T776" s="3">
        <v>35.0</v>
      </c>
      <c r="U776" s="3">
        <v>33.0</v>
      </c>
      <c r="V776" s="3">
        <v>30.0</v>
      </c>
      <c r="W776" s="3">
        <v>41.0</v>
      </c>
      <c r="X776" s="3">
        <v>26.0</v>
      </c>
      <c r="Y776" s="3">
        <v>39.0</v>
      </c>
      <c r="Z776" s="3">
        <v>42.0</v>
      </c>
      <c r="AA776" s="3">
        <v>32.0</v>
      </c>
      <c r="AB776" s="3">
        <v>42.0</v>
      </c>
      <c r="AC776" s="3">
        <v>39.0</v>
      </c>
      <c r="AD776" s="3">
        <v>26.0</v>
      </c>
      <c r="AE776" s="3">
        <v>35.0</v>
      </c>
      <c r="AF776" s="3">
        <v>51.0</v>
      </c>
      <c r="AG776" s="3">
        <v>46.0</v>
      </c>
      <c r="AH776" s="3">
        <v>48.0</v>
      </c>
      <c r="AI776" s="3">
        <v>34.0</v>
      </c>
      <c r="AJ776" s="3">
        <v>37.0</v>
      </c>
      <c r="AK776" s="3">
        <v>16.0</v>
      </c>
      <c r="AL776" s="3">
        <v>38.0</v>
      </c>
      <c r="AM776" s="3">
        <v>52.0</v>
      </c>
      <c r="AN776" s="3">
        <v>74.0</v>
      </c>
    </row>
    <row r="777" ht="14.25" customHeight="1">
      <c r="A777" s="3">
        <v>775.0</v>
      </c>
      <c r="B777" s="3" t="s">
        <v>7251</v>
      </c>
      <c r="C777" s="3">
        <v>29.0</v>
      </c>
      <c r="D777" s="3" t="s">
        <v>6645</v>
      </c>
      <c r="E777" s="3" t="s">
        <v>6646</v>
      </c>
      <c r="F777" s="3" t="s">
        <v>6646</v>
      </c>
      <c r="G777" s="3" t="s">
        <v>6645</v>
      </c>
      <c r="H777" s="3" t="s">
        <v>6645</v>
      </c>
      <c r="I777" s="3" t="s">
        <v>6645</v>
      </c>
      <c r="J777" s="3">
        <v>-1.0</v>
      </c>
      <c r="K777" s="3">
        <v>1.0</v>
      </c>
      <c r="L777" s="3">
        <v>0.0</v>
      </c>
      <c r="M777" s="3">
        <v>0.0</v>
      </c>
      <c r="N777" s="3">
        <v>1281.8936</v>
      </c>
      <c r="O777" s="3">
        <v>181.0</v>
      </c>
      <c r="P777" s="3" t="e">
        <v>#N/A</v>
      </c>
      <c r="Q777" s="3">
        <v>41.0</v>
      </c>
      <c r="R777" s="3">
        <v>35.0</v>
      </c>
      <c r="S777" s="3">
        <v>35.0</v>
      </c>
      <c r="T777" s="3">
        <v>38.0</v>
      </c>
      <c r="U777" s="3">
        <v>37.0</v>
      </c>
      <c r="V777" s="3">
        <v>44.0</v>
      </c>
      <c r="W777" s="3">
        <v>30.0</v>
      </c>
      <c r="X777" s="3">
        <v>53.0</v>
      </c>
      <c r="Y777" s="3">
        <v>35.0</v>
      </c>
      <c r="Z777" s="3">
        <v>35.0</v>
      </c>
      <c r="AA777" s="3">
        <v>35.0</v>
      </c>
      <c r="AB777" s="3">
        <v>42.0</v>
      </c>
      <c r="AC777" s="3">
        <v>35.0</v>
      </c>
      <c r="AD777" s="3">
        <v>42.0</v>
      </c>
      <c r="AE777" s="3">
        <v>45.0</v>
      </c>
      <c r="AF777" s="3">
        <v>42.0</v>
      </c>
      <c r="AG777" s="3">
        <v>25.0</v>
      </c>
      <c r="AH777" s="3">
        <v>38.0</v>
      </c>
      <c r="AI777" s="3">
        <v>68.0</v>
      </c>
      <c r="AJ777" s="3">
        <v>58.0</v>
      </c>
      <c r="AK777" s="3">
        <v>35.0</v>
      </c>
      <c r="AL777" s="3">
        <v>50.0</v>
      </c>
      <c r="AM777" s="3">
        <v>58.0</v>
      </c>
      <c r="AN777" s="3">
        <v>45.0</v>
      </c>
    </row>
    <row r="778" ht="14.25" customHeight="1">
      <c r="A778" s="3">
        <v>776.0</v>
      </c>
      <c r="B778" s="3" t="s">
        <v>7252</v>
      </c>
      <c r="C778" s="3">
        <v>23.0</v>
      </c>
      <c r="D778" s="3" t="s">
        <v>6645</v>
      </c>
      <c r="E778" s="3" t="s">
        <v>6646</v>
      </c>
      <c r="F778" s="3" t="s">
        <v>6646</v>
      </c>
      <c r="G778" s="3" t="s">
        <v>6645</v>
      </c>
      <c r="H778" s="3" t="s">
        <v>6645</v>
      </c>
      <c r="I778" s="3" t="s">
        <v>6646</v>
      </c>
      <c r="J778" s="3">
        <v>-1.0</v>
      </c>
      <c r="K778" s="3">
        <v>0.0</v>
      </c>
      <c r="L778" s="3">
        <v>0.0</v>
      </c>
      <c r="M778" s="3">
        <v>0.0</v>
      </c>
      <c r="N778" s="3">
        <v>457.1751</v>
      </c>
      <c r="O778" s="3">
        <v>113.0</v>
      </c>
      <c r="P778" s="3" t="e">
        <v>#N/A</v>
      </c>
      <c r="Q778" s="3">
        <v>38.0</v>
      </c>
      <c r="R778" s="3">
        <v>37.0</v>
      </c>
      <c r="S778" s="3">
        <v>30.0</v>
      </c>
      <c r="T778" s="3">
        <v>30.0</v>
      </c>
      <c r="U778" s="3">
        <v>38.0</v>
      </c>
      <c r="V778" s="3">
        <v>33.0</v>
      </c>
      <c r="W778" s="3">
        <v>36.0</v>
      </c>
      <c r="X778" s="3">
        <v>31.0</v>
      </c>
      <c r="Y778" s="3">
        <v>27.0</v>
      </c>
      <c r="Z778" s="3">
        <v>47.0</v>
      </c>
      <c r="AA778" s="3">
        <v>34.0</v>
      </c>
      <c r="AB778" s="3">
        <v>37.0</v>
      </c>
      <c r="AC778" s="3">
        <v>25.0</v>
      </c>
      <c r="AD778" s="3">
        <v>29.0</v>
      </c>
      <c r="AE778" s="3">
        <v>47.0</v>
      </c>
      <c r="AF778" s="3">
        <v>14.0</v>
      </c>
      <c r="AG778" s="3">
        <v>67.0</v>
      </c>
      <c r="AH778" s="3">
        <v>59.0</v>
      </c>
      <c r="AI778" s="3">
        <v>33.0</v>
      </c>
      <c r="AJ778" s="3">
        <v>47.0</v>
      </c>
      <c r="AK778" s="3">
        <v>40.0</v>
      </c>
      <c r="AL778" s="3">
        <v>59.0</v>
      </c>
      <c r="AM778" s="3">
        <v>57.0</v>
      </c>
      <c r="AN778" s="3">
        <v>74.0</v>
      </c>
    </row>
    <row r="779" ht="14.25" customHeight="1">
      <c r="A779" s="3">
        <v>777.0</v>
      </c>
      <c r="B779" s="3" t="s">
        <v>7253</v>
      </c>
      <c r="C779" s="3">
        <v>43.0</v>
      </c>
      <c r="D779" s="3" t="s">
        <v>6645</v>
      </c>
      <c r="E779" s="3" t="s">
        <v>6646</v>
      </c>
      <c r="F779" s="3" t="s">
        <v>6646</v>
      </c>
      <c r="G779" s="3" t="s">
        <v>6645</v>
      </c>
      <c r="H779" s="3" t="s">
        <v>6645</v>
      </c>
      <c r="I779" s="3" t="s">
        <v>6645</v>
      </c>
      <c r="J779" s="3">
        <v>-1.0</v>
      </c>
      <c r="K779" s="3">
        <v>5.0</v>
      </c>
      <c r="L779" s="3">
        <v>0.0</v>
      </c>
      <c r="M779" s="3">
        <v>0.0</v>
      </c>
      <c r="N779" s="3">
        <v>14635.52</v>
      </c>
      <c r="O779" s="3">
        <v>3628.0</v>
      </c>
      <c r="P779" s="3" t="e">
        <v>#N/A</v>
      </c>
      <c r="Q779" s="3">
        <v>68.0</v>
      </c>
      <c r="R779" s="3">
        <v>68.0</v>
      </c>
      <c r="S779" s="3">
        <v>61.0</v>
      </c>
      <c r="T779" s="3">
        <v>61.0</v>
      </c>
      <c r="U779" s="3">
        <v>60.0</v>
      </c>
      <c r="V779" s="3">
        <v>61.0</v>
      </c>
      <c r="W779" s="3">
        <v>79.0</v>
      </c>
      <c r="X779" s="3">
        <v>90.0</v>
      </c>
      <c r="Y779" s="3">
        <v>63.0</v>
      </c>
      <c r="Z779" s="3">
        <v>61.0</v>
      </c>
      <c r="AA779" s="3">
        <v>60.0</v>
      </c>
      <c r="AB779" s="3">
        <v>82.0</v>
      </c>
      <c r="AC779" s="3">
        <v>55.0</v>
      </c>
      <c r="AD779" s="3">
        <v>77.0</v>
      </c>
      <c r="AE779" s="3">
        <v>75.0</v>
      </c>
      <c r="AF779" s="3">
        <v>64.0</v>
      </c>
      <c r="AG779" s="3">
        <v>48.0</v>
      </c>
      <c r="AH779" s="3">
        <v>33.0</v>
      </c>
      <c r="AI779" s="3">
        <v>56.0</v>
      </c>
      <c r="AJ779" s="3">
        <v>79.0</v>
      </c>
      <c r="AK779" s="3">
        <v>62.0</v>
      </c>
      <c r="AL779" s="3">
        <v>51.0</v>
      </c>
      <c r="AM779" s="3">
        <v>51.0</v>
      </c>
      <c r="AN779" s="3">
        <v>69.0</v>
      </c>
    </row>
    <row r="780" ht="14.25" customHeight="1">
      <c r="A780" s="3">
        <v>778.0</v>
      </c>
      <c r="B780" s="3" t="s">
        <v>7254</v>
      </c>
      <c r="C780" s="3">
        <v>36.0</v>
      </c>
      <c r="D780" s="3" t="s">
        <v>6645</v>
      </c>
      <c r="E780" s="3" t="s">
        <v>6646</v>
      </c>
      <c r="F780" s="3" t="s">
        <v>6646</v>
      </c>
      <c r="G780" s="3" t="s">
        <v>6645</v>
      </c>
      <c r="H780" s="3" t="s">
        <v>6645</v>
      </c>
      <c r="I780" s="3" t="s">
        <v>6646</v>
      </c>
      <c r="J780" s="3">
        <v>-1.0</v>
      </c>
      <c r="K780" s="3">
        <v>4.0</v>
      </c>
      <c r="L780" s="3">
        <v>0.0</v>
      </c>
      <c r="M780" s="3">
        <v>0.0</v>
      </c>
      <c r="N780" s="3">
        <v>8557.29</v>
      </c>
      <c r="O780" s="3">
        <v>1532.0</v>
      </c>
      <c r="P780" s="3" t="e">
        <v>#N/A</v>
      </c>
      <c r="Q780" s="3">
        <v>58.0</v>
      </c>
      <c r="R780" s="3">
        <v>57.0</v>
      </c>
      <c r="S780" s="3">
        <v>56.0</v>
      </c>
      <c r="T780" s="3">
        <v>52.0</v>
      </c>
      <c r="U780" s="3">
        <v>59.0</v>
      </c>
      <c r="V780" s="3">
        <v>64.0</v>
      </c>
      <c r="W780" s="3">
        <v>67.0</v>
      </c>
      <c r="X780" s="3">
        <v>52.0</v>
      </c>
      <c r="Y780" s="3">
        <v>47.0</v>
      </c>
      <c r="Z780" s="3">
        <v>49.0</v>
      </c>
      <c r="AA780" s="3">
        <v>54.0</v>
      </c>
      <c r="AB780" s="3">
        <v>69.0</v>
      </c>
      <c r="AC780" s="3">
        <v>66.0</v>
      </c>
      <c r="AD780" s="3">
        <v>55.0</v>
      </c>
      <c r="AE780" s="3">
        <v>57.0</v>
      </c>
      <c r="AF780" s="3">
        <v>58.0</v>
      </c>
      <c r="AG780" s="3">
        <v>50.0</v>
      </c>
      <c r="AH780" s="3">
        <v>56.0</v>
      </c>
      <c r="AI780" s="3">
        <v>52.0</v>
      </c>
      <c r="AJ780" s="3">
        <v>78.0</v>
      </c>
      <c r="AK780" s="3">
        <v>73.0</v>
      </c>
      <c r="AL780" s="3">
        <v>36.0</v>
      </c>
      <c r="AM780" s="3">
        <v>36.0</v>
      </c>
      <c r="AN780" s="3">
        <v>45.0</v>
      </c>
    </row>
    <row r="781" ht="14.25" customHeight="1">
      <c r="A781" s="3">
        <v>779.0</v>
      </c>
      <c r="B781" s="3" t="s">
        <v>7255</v>
      </c>
      <c r="C781" s="3">
        <v>42.0</v>
      </c>
      <c r="D781" s="3" t="s">
        <v>6645</v>
      </c>
      <c r="E781" s="3" t="s">
        <v>6646</v>
      </c>
      <c r="F781" s="3" t="s">
        <v>6646</v>
      </c>
      <c r="G781" s="3" t="s">
        <v>6645</v>
      </c>
      <c r="H781" s="3" t="s">
        <v>6645</v>
      </c>
      <c r="I781" s="3" t="s">
        <v>6645</v>
      </c>
      <c r="J781" s="3">
        <v>-1.0</v>
      </c>
      <c r="K781" s="3">
        <v>4.0</v>
      </c>
      <c r="L781" s="3">
        <v>0.0</v>
      </c>
      <c r="M781" s="3">
        <v>0.0</v>
      </c>
      <c r="N781" s="3">
        <v>10953.611</v>
      </c>
      <c r="O781" s="3">
        <v>1459.0</v>
      </c>
      <c r="P781" s="3" t="e">
        <v>#N/A</v>
      </c>
      <c r="Q781" s="3">
        <v>56.0</v>
      </c>
      <c r="R781" s="3">
        <v>72.0</v>
      </c>
      <c r="S781" s="3">
        <v>53.0</v>
      </c>
      <c r="T781" s="3">
        <v>56.0</v>
      </c>
      <c r="U781" s="3">
        <v>52.0</v>
      </c>
      <c r="V781" s="3">
        <v>72.0</v>
      </c>
      <c r="W781" s="3">
        <v>67.0</v>
      </c>
      <c r="X781" s="3">
        <v>74.0</v>
      </c>
      <c r="Y781" s="3">
        <v>45.0</v>
      </c>
      <c r="Z781" s="3">
        <v>72.0</v>
      </c>
      <c r="AA781" s="3">
        <v>65.0</v>
      </c>
      <c r="AB781" s="3">
        <v>49.0</v>
      </c>
      <c r="AC781" s="3">
        <v>53.0</v>
      </c>
      <c r="AD781" s="3">
        <v>50.0</v>
      </c>
      <c r="AE781" s="3">
        <v>51.0</v>
      </c>
      <c r="AF781" s="3">
        <v>84.0</v>
      </c>
      <c r="AG781" s="3">
        <v>40.0</v>
      </c>
      <c r="AH781" s="3">
        <v>47.0</v>
      </c>
      <c r="AI781" s="3">
        <v>33.0</v>
      </c>
      <c r="AJ781" s="3">
        <v>42.0</v>
      </c>
      <c r="AK781" s="3">
        <v>61.0</v>
      </c>
      <c r="AL781" s="3">
        <v>58.0</v>
      </c>
      <c r="AM781" s="3">
        <v>67.0</v>
      </c>
      <c r="AN781" s="3">
        <v>48.0</v>
      </c>
    </row>
    <row r="782" ht="14.25" customHeight="1">
      <c r="A782" s="3">
        <v>780.0</v>
      </c>
      <c r="B782" s="3" t="s">
        <v>7256</v>
      </c>
      <c r="C782" s="3">
        <v>37.0</v>
      </c>
      <c r="D782" s="3" t="s">
        <v>6645</v>
      </c>
      <c r="E782" s="3" t="s">
        <v>6646</v>
      </c>
      <c r="F782" s="3" t="s">
        <v>6646</v>
      </c>
      <c r="G782" s="3" t="s">
        <v>6645</v>
      </c>
      <c r="H782" s="3" t="s">
        <v>6645</v>
      </c>
      <c r="I782" s="3" t="s">
        <v>6645</v>
      </c>
      <c r="J782" s="3">
        <v>-1.0</v>
      </c>
      <c r="K782" s="3">
        <v>4.0</v>
      </c>
      <c r="L782" s="3">
        <v>0.0</v>
      </c>
      <c r="M782" s="3">
        <v>0.0</v>
      </c>
      <c r="N782" s="3">
        <v>9389.19</v>
      </c>
      <c r="O782" s="3">
        <v>1831.0</v>
      </c>
      <c r="P782" s="3" t="e">
        <v>#N/A</v>
      </c>
      <c r="Q782" s="3">
        <v>50.0</v>
      </c>
      <c r="R782" s="3">
        <v>58.0</v>
      </c>
      <c r="S782" s="3">
        <v>73.0</v>
      </c>
      <c r="T782" s="3">
        <v>53.0</v>
      </c>
      <c r="U782" s="3">
        <v>51.0</v>
      </c>
      <c r="V782" s="3">
        <v>51.0</v>
      </c>
      <c r="W782" s="3">
        <v>67.0</v>
      </c>
      <c r="X782" s="3">
        <v>55.0</v>
      </c>
      <c r="Y782" s="3">
        <v>60.0</v>
      </c>
      <c r="Z782" s="3">
        <v>46.0</v>
      </c>
      <c r="AA782" s="3">
        <v>50.0</v>
      </c>
      <c r="AB782" s="3">
        <v>54.0</v>
      </c>
      <c r="AC782" s="3">
        <v>55.0</v>
      </c>
      <c r="AD782" s="3">
        <v>71.0</v>
      </c>
      <c r="AE782" s="3">
        <v>78.0</v>
      </c>
      <c r="AF782" s="3">
        <v>62.0</v>
      </c>
      <c r="AG782" s="3">
        <v>58.0</v>
      </c>
      <c r="AH782" s="3">
        <v>80.0</v>
      </c>
      <c r="AI782" s="3">
        <v>42.0</v>
      </c>
      <c r="AJ782" s="3">
        <v>55.0</v>
      </c>
      <c r="AK782" s="3">
        <v>51.0</v>
      </c>
      <c r="AL782" s="3">
        <v>84.0</v>
      </c>
      <c r="AM782" s="3">
        <v>56.0</v>
      </c>
      <c r="AN782" s="3">
        <v>37.0</v>
      </c>
    </row>
    <row r="783" ht="14.25" customHeight="1">
      <c r="A783" s="3">
        <v>781.0</v>
      </c>
      <c r="B783" s="3" t="s">
        <v>7257</v>
      </c>
      <c r="C783" s="3">
        <v>32.0</v>
      </c>
      <c r="D783" s="3" t="s">
        <v>6645</v>
      </c>
      <c r="E783" s="3" t="s">
        <v>6646</v>
      </c>
      <c r="F783" s="3" t="s">
        <v>6646</v>
      </c>
      <c r="G783" s="3" t="s">
        <v>6645</v>
      </c>
      <c r="H783" s="3" t="s">
        <v>6645</v>
      </c>
      <c r="I783" s="3" t="s">
        <v>6646</v>
      </c>
      <c r="J783" s="3">
        <v>-1.0</v>
      </c>
      <c r="K783" s="3">
        <v>2.0</v>
      </c>
      <c r="L783" s="3">
        <v>0.0</v>
      </c>
      <c r="M783" s="3">
        <v>0.0</v>
      </c>
      <c r="N783" s="3">
        <v>2174.9792</v>
      </c>
      <c r="O783" s="3">
        <v>364.0</v>
      </c>
      <c r="P783" s="3" t="e">
        <v>#N/A</v>
      </c>
      <c r="Q783" s="3">
        <v>42.0</v>
      </c>
      <c r="R783" s="3">
        <v>47.0</v>
      </c>
      <c r="S783" s="3">
        <v>44.0</v>
      </c>
      <c r="T783" s="3">
        <v>46.0</v>
      </c>
      <c r="U783" s="3">
        <v>41.0</v>
      </c>
      <c r="V783" s="3">
        <v>44.0</v>
      </c>
      <c r="W783" s="3">
        <v>42.0</v>
      </c>
      <c r="X783" s="3">
        <v>48.0</v>
      </c>
      <c r="Y783" s="3">
        <v>39.0</v>
      </c>
      <c r="Z783" s="3">
        <v>52.0</v>
      </c>
      <c r="AA783" s="3">
        <v>40.0</v>
      </c>
      <c r="AB783" s="3">
        <v>38.0</v>
      </c>
      <c r="AC783" s="3">
        <v>50.0</v>
      </c>
      <c r="AD783" s="3">
        <v>49.0</v>
      </c>
      <c r="AE783" s="3">
        <v>49.0</v>
      </c>
      <c r="AF783" s="3">
        <v>19.0</v>
      </c>
      <c r="AG783" s="3">
        <v>69.0</v>
      </c>
      <c r="AH783" s="3">
        <v>42.0</v>
      </c>
      <c r="AI783" s="3">
        <v>59.0</v>
      </c>
      <c r="AJ783" s="3">
        <v>45.0</v>
      </c>
      <c r="AK783" s="3">
        <v>14.0</v>
      </c>
      <c r="AL783" s="3">
        <v>70.0</v>
      </c>
      <c r="AM783" s="3">
        <v>48.0</v>
      </c>
      <c r="AN783" s="3">
        <v>48.0</v>
      </c>
    </row>
    <row r="784" ht="14.25" customHeight="1">
      <c r="A784" s="3">
        <v>782.0</v>
      </c>
      <c r="B784" s="3" t="s">
        <v>7258</v>
      </c>
      <c r="C784" s="3">
        <v>31.0</v>
      </c>
      <c r="D784" s="3" t="s">
        <v>6645</v>
      </c>
      <c r="E784" s="3" t="s">
        <v>6646</v>
      </c>
      <c r="F784" s="3" t="s">
        <v>6646</v>
      </c>
      <c r="G784" s="3" t="s">
        <v>6645</v>
      </c>
      <c r="H784" s="3" t="s">
        <v>6645</v>
      </c>
      <c r="I784" s="3" t="s">
        <v>6646</v>
      </c>
      <c r="J784" s="3">
        <v>-1.0</v>
      </c>
      <c r="K784" s="3">
        <v>3.0</v>
      </c>
      <c r="L784" s="3">
        <v>0.0</v>
      </c>
      <c r="M784" s="3">
        <v>0.0</v>
      </c>
      <c r="N784" s="3">
        <v>5295.9814</v>
      </c>
      <c r="O784" s="3">
        <v>858.0</v>
      </c>
      <c r="P784" s="3" t="e">
        <v>#N/A</v>
      </c>
      <c r="Q784" s="3">
        <v>50.0</v>
      </c>
      <c r="R784" s="3">
        <v>45.0</v>
      </c>
      <c r="S784" s="3">
        <v>57.0</v>
      </c>
      <c r="T784" s="3">
        <v>52.0</v>
      </c>
      <c r="U784" s="3">
        <v>58.0</v>
      </c>
      <c r="V784" s="3">
        <v>49.0</v>
      </c>
      <c r="W784" s="3">
        <v>63.0</v>
      </c>
      <c r="X784" s="3">
        <v>39.0</v>
      </c>
      <c r="Y784" s="3">
        <v>54.0</v>
      </c>
      <c r="Z784" s="3">
        <v>53.0</v>
      </c>
      <c r="AA784" s="3">
        <v>42.0</v>
      </c>
      <c r="AB784" s="3">
        <v>53.0</v>
      </c>
      <c r="AC784" s="3">
        <v>57.0</v>
      </c>
      <c r="AD784" s="3">
        <v>55.0</v>
      </c>
      <c r="AE784" s="3">
        <v>43.0</v>
      </c>
      <c r="AF784" s="3">
        <v>72.0</v>
      </c>
      <c r="AG784" s="3">
        <v>53.0</v>
      </c>
      <c r="AH784" s="3">
        <v>17.0</v>
      </c>
      <c r="AI784" s="3">
        <v>44.0</v>
      </c>
      <c r="AJ784" s="3">
        <v>34.0</v>
      </c>
      <c r="AK784" s="3">
        <v>26.0</v>
      </c>
      <c r="AL784" s="3">
        <v>68.0</v>
      </c>
      <c r="AM784" s="3">
        <v>71.0</v>
      </c>
      <c r="AN784" s="3">
        <v>49.0</v>
      </c>
    </row>
    <row r="785" ht="14.25" customHeight="1">
      <c r="A785" s="3">
        <v>783.0</v>
      </c>
      <c r="B785" s="3" t="s">
        <v>7259</v>
      </c>
      <c r="C785" s="3">
        <v>19.0</v>
      </c>
      <c r="D785" s="3" t="s">
        <v>6645</v>
      </c>
      <c r="E785" s="3" t="s">
        <v>6646</v>
      </c>
      <c r="F785" s="3" t="s">
        <v>6646</v>
      </c>
      <c r="G785" s="3" t="s">
        <v>6645</v>
      </c>
      <c r="H785" s="3" t="s">
        <v>6645</v>
      </c>
      <c r="I785" s="3" t="s">
        <v>6645</v>
      </c>
      <c r="J785" s="3">
        <v>-1.0</v>
      </c>
      <c r="K785" s="3">
        <v>0.0</v>
      </c>
      <c r="L785" s="3">
        <v>0.0</v>
      </c>
      <c r="M785" s="3">
        <v>0.0</v>
      </c>
      <c r="N785" s="3">
        <v>483.57833</v>
      </c>
      <c r="O785" s="3">
        <v>89.0</v>
      </c>
      <c r="P785" s="3" t="e">
        <v>#N/A</v>
      </c>
      <c r="Q785" s="3">
        <v>36.0</v>
      </c>
      <c r="R785" s="3">
        <v>34.0</v>
      </c>
      <c r="S785" s="3">
        <v>37.0</v>
      </c>
      <c r="T785" s="3">
        <v>33.0</v>
      </c>
      <c r="U785" s="3">
        <v>32.0</v>
      </c>
      <c r="V785" s="3">
        <v>36.0</v>
      </c>
      <c r="W785" s="3">
        <v>35.0</v>
      </c>
      <c r="X785" s="3">
        <v>24.0</v>
      </c>
      <c r="Y785" s="3">
        <v>44.0</v>
      </c>
      <c r="Z785" s="3">
        <v>46.0</v>
      </c>
      <c r="AA785" s="3">
        <v>32.0</v>
      </c>
      <c r="AB785" s="3">
        <v>45.0</v>
      </c>
      <c r="AC785" s="3">
        <v>31.0</v>
      </c>
      <c r="AD785" s="3">
        <v>35.0</v>
      </c>
      <c r="AE785" s="3">
        <v>27.0</v>
      </c>
      <c r="AF785" s="3">
        <v>6.0</v>
      </c>
      <c r="AG785" s="3">
        <v>19.0</v>
      </c>
      <c r="AH785" s="3">
        <v>32.0</v>
      </c>
      <c r="AI785" s="3">
        <v>46.0</v>
      </c>
      <c r="AJ785" s="3">
        <v>65.0</v>
      </c>
      <c r="AK785" s="3">
        <v>28.0</v>
      </c>
      <c r="AL785" s="3">
        <v>67.0</v>
      </c>
      <c r="AM785" s="3">
        <v>52.0</v>
      </c>
      <c r="AN785" s="3">
        <v>65.0</v>
      </c>
    </row>
    <row r="786" ht="14.25" customHeight="1">
      <c r="A786" s="3">
        <v>784.0</v>
      </c>
      <c r="B786" s="3" t="s">
        <v>7260</v>
      </c>
      <c r="C786" s="3">
        <v>21.0</v>
      </c>
      <c r="D786" s="3" t="s">
        <v>6645</v>
      </c>
      <c r="E786" s="3" t="s">
        <v>6646</v>
      </c>
      <c r="F786" s="3" t="s">
        <v>6646</v>
      </c>
      <c r="G786" s="3" t="s">
        <v>6645</v>
      </c>
      <c r="H786" s="3" t="s">
        <v>6645</v>
      </c>
      <c r="I786" s="3" t="s">
        <v>6645</v>
      </c>
      <c r="J786" s="3">
        <v>-1.0</v>
      </c>
      <c r="K786" s="3">
        <v>0.0</v>
      </c>
      <c r="L786" s="3">
        <v>0.0</v>
      </c>
      <c r="M786" s="3">
        <v>0.0</v>
      </c>
      <c r="N786" s="3">
        <v>490.053</v>
      </c>
      <c r="O786" s="3">
        <v>84.0</v>
      </c>
      <c r="P786" s="3" t="e">
        <v>#N/A</v>
      </c>
      <c r="Q786" s="3">
        <v>32.0</v>
      </c>
      <c r="R786" s="3">
        <v>35.0</v>
      </c>
      <c r="S786" s="3">
        <v>34.0</v>
      </c>
      <c r="T786" s="3">
        <v>31.0</v>
      </c>
      <c r="U786" s="3">
        <v>33.0</v>
      </c>
      <c r="V786" s="3">
        <v>39.0</v>
      </c>
      <c r="W786" s="3">
        <v>29.0</v>
      </c>
      <c r="X786" s="3">
        <v>39.0</v>
      </c>
      <c r="Y786" s="3">
        <v>41.0</v>
      </c>
      <c r="Z786" s="3">
        <v>35.0</v>
      </c>
      <c r="AA786" s="3">
        <v>41.0</v>
      </c>
      <c r="AB786" s="3">
        <v>30.0</v>
      </c>
      <c r="AC786" s="3">
        <v>34.0</v>
      </c>
      <c r="AD786" s="3">
        <v>42.0</v>
      </c>
      <c r="AE786" s="3">
        <v>25.0</v>
      </c>
      <c r="AF786" s="3">
        <v>32.0</v>
      </c>
      <c r="AG786" s="3">
        <v>25.0</v>
      </c>
      <c r="AH786" s="3">
        <v>33.0</v>
      </c>
      <c r="AI786" s="3">
        <v>45.0</v>
      </c>
      <c r="AJ786" s="3">
        <v>36.0</v>
      </c>
      <c r="AK786" s="3">
        <v>57.0</v>
      </c>
      <c r="AL786" s="3">
        <v>43.0</v>
      </c>
      <c r="AM786" s="3">
        <v>70.0</v>
      </c>
      <c r="AN786" s="3">
        <v>46.0</v>
      </c>
    </row>
    <row r="787" ht="14.25" customHeight="1">
      <c r="A787" s="3">
        <v>785.0</v>
      </c>
      <c r="B787" s="3" t="s">
        <v>7261</v>
      </c>
      <c r="C787" s="3">
        <v>15.0</v>
      </c>
      <c r="D787" s="3" t="s">
        <v>6645</v>
      </c>
      <c r="E787" s="3" t="s">
        <v>6646</v>
      </c>
      <c r="F787" s="3" t="s">
        <v>6646</v>
      </c>
      <c r="G787" s="3" t="s">
        <v>6645</v>
      </c>
      <c r="H787" s="3" t="s">
        <v>6645</v>
      </c>
      <c r="I787" s="3" t="s">
        <v>6646</v>
      </c>
      <c r="J787" s="3">
        <v>-1.0</v>
      </c>
      <c r="K787" s="3">
        <v>0.0</v>
      </c>
      <c r="L787" s="3">
        <v>0.0</v>
      </c>
      <c r="M787" s="3">
        <v>0.0</v>
      </c>
      <c r="N787" s="3">
        <v>482.372</v>
      </c>
      <c r="O787" s="3">
        <v>119.0</v>
      </c>
      <c r="P787" s="3" t="e">
        <v>#N/A</v>
      </c>
      <c r="Q787" s="3">
        <v>36.0</v>
      </c>
      <c r="R787" s="3">
        <v>31.0</v>
      </c>
      <c r="S787" s="3">
        <v>39.0</v>
      </c>
      <c r="T787" s="3">
        <v>34.0</v>
      </c>
      <c r="U787" s="3">
        <v>30.0</v>
      </c>
      <c r="V787" s="3">
        <v>37.0</v>
      </c>
      <c r="W787" s="3">
        <v>37.0</v>
      </c>
      <c r="X787" s="3">
        <v>44.0</v>
      </c>
      <c r="Y787" s="3">
        <v>30.0</v>
      </c>
      <c r="Z787" s="3">
        <v>37.0</v>
      </c>
      <c r="AA787" s="3">
        <v>31.0</v>
      </c>
      <c r="AB787" s="3">
        <v>32.0</v>
      </c>
      <c r="AC787" s="3">
        <v>30.0</v>
      </c>
      <c r="AD787" s="3">
        <v>32.0</v>
      </c>
      <c r="AE787" s="3">
        <v>30.0</v>
      </c>
      <c r="AF787" s="3">
        <v>68.0</v>
      </c>
      <c r="AG787" s="3">
        <v>33.0</v>
      </c>
      <c r="AH787" s="3">
        <v>58.0</v>
      </c>
      <c r="AI787" s="3">
        <v>36.0</v>
      </c>
      <c r="AJ787" s="3">
        <v>42.0</v>
      </c>
      <c r="AK787" s="3">
        <v>36.0</v>
      </c>
      <c r="AL787" s="3">
        <v>35.0</v>
      </c>
      <c r="AM787" s="3">
        <v>6.0</v>
      </c>
      <c r="AN787" s="3">
        <v>54.0</v>
      </c>
    </row>
    <row r="788" ht="14.25" customHeight="1">
      <c r="A788" s="3">
        <v>786.0</v>
      </c>
      <c r="B788" s="3" t="s">
        <v>7262</v>
      </c>
      <c r="C788" s="3">
        <v>24.0</v>
      </c>
      <c r="D788" s="3" t="s">
        <v>6645</v>
      </c>
      <c r="E788" s="3" t="s">
        <v>6646</v>
      </c>
      <c r="F788" s="3" t="s">
        <v>6646</v>
      </c>
      <c r="G788" s="3" t="s">
        <v>6645</v>
      </c>
      <c r="H788" s="3" t="s">
        <v>6645</v>
      </c>
      <c r="I788" s="3" t="s">
        <v>6646</v>
      </c>
      <c r="J788" s="3">
        <v>-1.0</v>
      </c>
      <c r="K788" s="3">
        <v>1.0</v>
      </c>
      <c r="L788" s="3">
        <v>0.0</v>
      </c>
      <c r="M788" s="3">
        <v>0.0</v>
      </c>
      <c r="N788" s="3">
        <v>1155.2211</v>
      </c>
      <c r="O788" s="3">
        <v>203.0</v>
      </c>
      <c r="P788" s="3" t="e">
        <v>#N/A</v>
      </c>
      <c r="Q788" s="3">
        <v>43.0</v>
      </c>
      <c r="R788" s="3">
        <v>40.0</v>
      </c>
      <c r="S788" s="3">
        <v>42.0</v>
      </c>
      <c r="T788" s="3">
        <v>42.0</v>
      </c>
      <c r="U788" s="3">
        <v>37.0</v>
      </c>
      <c r="V788" s="3">
        <v>39.0</v>
      </c>
      <c r="W788" s="3">
        <v>36.0</v>
      </c>
      <c r="X788" s="3">
        <v>33.0</v>
      </c>
      <c r="Y788" s="3">
        <v>45.0</v>
      </c>
      <c r="Z788" s="3">
        <v>42.0</v>
      </c>
      <c r="AA788" s="3">
        <v>31.0</v>
      </c>
      <c r="AB788" s="3">
        <v>39.0</v>
      </c>
      <c r="AC788" s="3">
        <v>43.0</v>
      </c>
      <c r="AD788" s="3">
        <v>46.0</v>
      </c>
      <c r="AE788" s="3">
        <v>30.0</v>
      </c>
      <c r="AF788" s="3">
        <v>46.0</v>
      </c>
      <c r="AG788" s="3">
        <v>71.0</v>
      </c>
      <c r="AH788" s="3">
        <v>34.0</v>
      </c>
      <c r="AI788" s="3">
        <v>2.0</v>
      </c>
      <c r="AJ788" s="3">
        <v>9.0</v>
      </c>
      <c r="AK788" s="3">
        <v>76.0</v>
      </c>
      <c r="AL788" s="3">
        <v>49.0</v>
      </c>
      <c r="AM788" s="3">
        <v>55.0</v>
      </c>
      <c r="AN788" s="3">
        <v>60.0</v>
      </c>
    </row>
    <row r="789" ht="14.25" customHeight="1">
      <c r="A789" s="3">
        <v>787.0</v>
      </c>
      <c r="B789" s="3" t="s">
        <v>7263</v>
      </c>
      <c r="C789" s="3">
        <v>19.0</v>
      </c>
      <c r="D789" s="3" t="s">
        <v>6645</v>
      </c>
      <c r="E789" s="3" t="s">
        <v>6646</v>
      </c>
      <c r="F789" s="3" t="s">
        <v>6646</v>
      </c>
      <c r="G789" s="3" t="s">
        <v>6645</v>
      </c>
      <c r="H789" s="3" t="s">
        <v>6645</v>
      </c>
      <c r="I789" s="3" t="s">
        <v>6646</v>
      </c>
      <c r="J789" s="3">
        <v>-1.0</v>
      </c>
      <c r="K789" s="3">
        <v>0.0</v>
      </c>
      <c r="L789" s="3">
        <v>0.0</v>
      </c>
      <c r="M789" s="3">
        <v>0.0</v>
      </c>
      <c r="N789" s="3">
        <v>481.05725</v>
      </c>
      <c r="O789" s="3">
        <v>101.0</v>
      </c>
      <c r="P789" s="3" t="e">
        <v>#N/A</v>
      </c>
      <c r="Q789" s="3">
        <v>34.0</v>
      </c>
      <c r="R789" s="3">
        <v>39.0</v>
      </c>
      <c r="S789" s="3">
        <v>39.0</v>
      </c>
      <c r="T789" s="3">
        <v>36.0</v>
      </c>
      <c r="U789" s="3">
        <v>32.0</v>
      </c>
      <c r="V789" s="3">
        <v>33.0</v>
      </c>
      <c r="W789" s="3">
        <v>30.0</v>
      </c>
      <c r="X789" s="3">
        <v>38.0</v>
      </c>
      <c r="Y789" s="3">
        <v>35.0</v>
      </c>
      <c r="Z789" s="3">
        <v>42.0</v>
      </c>
      <c r="AA789" s="3">
        <v>48.0</v>
      </c>
      <c r="AB789" s="3">
        <v>29.0</v>
      </c>
      <c r="AC789" s="3">
        <v>31.0</v>
      </c>
      <c r="AD789" s="3">
        <v>33.0</v>
      </c>
      <c r="AE789" s="3">
        <v>33.0</v>
      </c>
      <c r="AF789" s="3">
        <v>34.0</v>
      </c>
      <c r="AG789" s="3">
        <v>18.0</v>
      </c>
      <c r="AH789" s="3">
        <v>51.0</v>
      </c>
      <c r="AI789" s="3">
        <v>38.0</v>
      </c>
      <c r="AJ789" s="3">
        <v>53.0</v>
      </c>
      <c r="AK789" s="3">
        <v>75.0</v>
      </c>
      <c r="AL789" s="3">
        <v>31.0</v>
      </c>
      <c r="AM789" s="3">
        <v>11.0</v>
      </c>
      <c r="AN789" s="3">
        <v>65.0</v>
      </c>
    </row>
    <row r="790" ht="14.25" customHeight="1">
      <c r="A790" s="3">
        <v>788.0</v>
      </c>
      <c r="B790" s="3" t="s">
        <v>7264</v>
      </c>
      <c r="C790" s="3">
        <v>27.0</v>
      </c>
      <c r="D790" s="3" t="s">
        <v>6645</v>
      </c>
      <c r="E790" s="3" t="s">
        <v>6646</v>
      </c>
      <c r="F790" s="3" t="s">
        <v>6646</v>
      </c>
      <c r="G790" s="3" t="s">
        <v>6645</v>
      </c>
      <c r="H790" s="3" t="s">
        <v>6645</v>
      </c>
      <c r="I790" s="3" t="s">
        <v>6646</v>
      </c>
      <c r="J790" s="3">
        <v>-1.0</v>
      </c>
      <c r="K790" s="3">
        <v>2.0</v>
      </c>
      <c r="L790" s="3">
        <v>0.0</v>
      </c>
      <c r="M790" s="3">
        <v>0.0</v>
      </c>
      <c r="N790" s="3">
        <v>3446.92</v>
      </c>
      <c r="O790" s="3">
        <v>476.0</v>
      </c>
      <c r="P790" s="3" t="e">
        <v>#N/A</v>
      </c>
      <c r="Q790" s="3">
        <v>49.0</v>
      </c>
      <c r="R790" s="3">
        <v>46.0</v>
      </c>
      <c r="S790" s="3">
        <v>47.0</v>
      </c>
      <c r="T790" s="3">
        <v>44.0</v>
      </c>
      <c r="U790" s="3">
        <v>46.0</v>
      </c>
      <c r="V790" s="3">
        <v>45.0</v>
      </c>
      <c r="W790" s="3">
        <v>52.0</v>
      </c>
      <c r="X790" s="3">
        <v>54.0</v>
      </c>
      <c r="Y790" s="3">
        <v>49.0</v>
      </c>
      <c r="Z790" s="3">
        <v>52.0</v>
      </c>
      <c r="AA790" s="3">
        <v>49.0</v>
      </c>
      <c r="AB790" s="3">
        <v>35.0</v>
      </c>
      <c r="AC790" s="3">
        <v>34.0</v>
      </c>
      <c r="AD790" s="3">
        <v>42.0</v>
      </c>
      <c r="AE790" s="3">
        <v>42.0</v>
      </c>
      <c r="AF790" s="3">
        <v>69.0</v>
      </c>
      <c r="AG790" s="3">
        <v>36.0</v>
      </c>
      <c r="AH790" s="3">
        <v>40.0</v>
      </c>
      <c r="AI790" s="3">
        <v>45.0</v>
      </c>
      <c r="AJ790" s="3">
        <v>57.0</v>
      </c>
      <c r="AK790" s="3">
        <v>56.0</v>
      </c>
      <c r="AL790" s="3">
        <v>58.0</v>
      </c>
      <c r="AM790" s="3">
        <v>28.0</v>
      </c>
      <c r="AN790" s="3">
        <v>59.0</v>
      </c>
    </row>
    <row r="791" ht="14.25" customHeight="1">
      <c r="A791" s="3">
        <v>789.0</v>
      </c>
      <c r="B791" s="3" t="s">
        <v>7265</v>
      </c>
      <c r="C791" s="3">
        <v>20.0</v>
      </c>
      <c r="D791" s="3" t="s">
        <v>6645</v>
      </c>
      <c r="E791" s="3" t="s">
        <v>6646</v>
      </c>
      <c r="F791" s="3" t="s">
        <v>6646</v>
      </c>
      <c r="G791" s="3" t="s">
        <v>6645</v>
      </c>
      <c r="H791" s="3" t="s">
        <v>6645</v>
      </c>
      <c r="I791" s="3" t="s">
        <v>6645</v>
      </c>
      <c r="J791" s="3">
        <v>-1.0</v>
      </c>
      <c r="K791" s="3">
        <v>1.0</v>
      </c>
      <c r="L791" s="3">
        <v>0.0</v>
      </c>
      <c r="M791" s="3">
        <v>0.0</v>
      </c>
      <c r="N791" s="3">
        <v>1268.1555</v>
      </c>
      <c r="O791" s="3">
        <v>165.0</v>
      </c>
      <c r="P791" s="3" t="e">
        <v>#N/A</v>
      </c>
      <c r="Q791" s="3">
        <v>39.0</v>
      </c>
      <c r="R791" s="3">
        <v>39.0</v>
      </c>
      <c r="S791" s="3">
        <v>35.0</v>
      </c>
      <c r="T791" s="3">
        <v>43.0</v>
      </c>
      <c r="U791" s="3">
        <v>43.0</v>
      </c>
      <c r="V791" s="3">
        <v>38.0</v>
      </c>
      <c r="W791" s="3">
        <v>40.0</v>
      </c>
      <c r="X791" s="3">
        <v>43.0</v>
      </c>
      <c r="Y791" s="3">
        <v>49.0</v>
      </c>
      <c r="Z791" s="3">
        <v>44.0</v>
      </c>
      <c r="AA791" s="3">
        <v>36.0</v>
      </c>
      <c r="AB791" s="3">
        <v>45.0</v>
      </c>
      <c r="AC791" s="3">
        <v>42.0</v>
      </c>
      <c r="AD791" s="3">
        <v>35.0</v>
      </c>
      <c r="AE791" s="3">
        <v>38.0</v>
      </c>
      <c r="AF791" s="3">
        <v>44.0</v>
      </c>
      <c r="AG791" s="3">
        <v>53.0</v>
      </c>
      <c r="AH791" s="3">
        <v>56.0</v>
      </c>
      <c r="AI791" s="3">
        <v>33.0</v>
      </c>
      <c r="AJ791" s="3">
        <v>64.0</v>
      </c>
      <c r="AK791" s="3">
        <v>41.0</v>
      </c>
      <c r="AL791" s="3">
        <v>6.0</v>
      </c>
      <c r="AM791" s="3">
        <v>38.0</v>
      </c>
      <c r="AN791" s="3">
        <v>52.0</v>
      </c>
    </row>
    <row r="792" ht="14.25" customHeight="1">
      <c r="A792" s="3">
        <v>790.0</v>
      </c>
      <c r="B792" s="3" t="s">
        <v>7266</v>
      </c>
      <c r="C792" s="3">
        <v>16.0</v>
      </c>
      <c r="D792" s="3" t="s">
        <v>6645</v>
      </c>
      <c r="E792" s="3" t="s">
        <v>6646</v>
      </c>
      <c r="F792" s="3" t="s">
        <v>6646</v>
      </c>
      <c r="G792" s="3" t="s">
        <v>6645</v>
      </c>
      <c r="H792" s="3" t="s">
        <v>6645</v>
      </c>
      <c r="I792" s="3" t="s">
        <v>6646</v>
      </c>
      <c r="J792" s="3">
        <v>-1.0</v>
      </c>
      <c r="K792" s="3">
        <v>0.0</v>
      </c>
      <c r="L792" s="3">
        <v>0.0</v>
      </c>
      <c r="M792" s="3">
        <v>0.0</v>
      </c>
      <c r="N792" s="3">
        <v>406.19976</v>
      </c>
      <c r="O792" s="3">
        <v>83.0</v>
      </c>
      <c r="P792" s="3" t="e">
        <v>#N/A</v>
      </c>
      <c r="Q792" s="3">
        <v>37.0</v>
      </c>
      <c r="R792" s="3">
        <v>33.0</v>
      </c>
      <c r="S792" s="3">
        <v>31.0</v>
      </c>
      <c r="T792" s="3">
        <v>39.0</v>
      </c>
      <c r="U792" s="3">
        <v>39.0</v>
      </c>
      <c r="V792" s="3">
        <v>31.0</v>
      </c>
      <c r="W792" s="3">
        <v>38.0</v>
      </c>
      <c r="X792" s="3">
        <v>26.0</v>
      </c>
      <c r="Y792" s="3">
        <v>44.0</v>
      </c>
      <c r="Z792" s="3">
        <v>44.0</v>
      </c>
      <c r="AA792" s="3">
        <v>33.0</v>
      </c>
      <c r="AB792" s="3">
        <v>40.0</v>
      </c>
      <c r="AC792" s="3">
        <v>27.0</v>
      </c>
      <c r="AD792" s="3">
        <v>39.0</v>
      </c>
      <c r="AE792" s="3">
        <v>39.0</v>
      </c>
      <c r="AF792" s="3">
        <v>39.0</v>
      </c>
      <c r="AG792" s="3">
        <v>57.0</v>
      </c>
      <c r="AH792" s="3">
        <v>35.0</v>
      </c>
      <c r="AI792" s="3">
        <v>59.0</v>
      </c>
      <c r="AJ792" s="3">
        <v>32.0</v>
      </c>
      <c r="AK792" s="3">
        <v>42.0</v>
      </c>
      <c r="AL792" s="3">
        <v>43.0</v>
      </c>
      <c r="AM792" s="3">
        <v>52.0</v>
      </c>
      <c r="AN792" s="3">
        <v>48.0</v>
      </c>
    </row>
    <row r="793" ht="14.25" customHeight="1">
      <c r="A793" s="3">
        <v>791.0</v>
      </c>
      <c r="B793" s="3" t="s">
        <v>7267</v>
      </c>
      <c r="C793" s="3">
        <v>22.0</v>
      </c>
      <c r="D793" s="3" t="s">
        <v>6645</v>
      </c>
      <c r="E793" s="3" t="s">
        <v>6646</v>
      </c>
      <c r="F793" s="3" t="s">
        <v>6646</v>
      </c>
      <c r="G793" s="3" t="s">
        <v>6645</v>
      </c>
      <c r="H793" s="3" t="s">
        <v>6645</v>
      </c>
      <c r="I793" s="3" t="s">
        <v>6645</v>
      </c>
      <c r="J793" s="3">
        <v>-1.0</v>
      </c>
      <c r="K793" s="3">
        <v>1.0</v>
      </c>
      <c r="L793" s="3">
        <v>0.0</v>
      </c>
      <c r="M793" s="3">
        <v>0.0</v>
      </c>
      <c r="N793" s="3">
        <v>1040.757</v>
      </c>
      <c r="O793" s="3">
        <v>213.0</v>
      </c>
      <c r="P793" s="3" t="e">
        <v>#N/A</v>
      </c>
      <c r="Q793" s="3">
        <v>38.0</v>
      </c>
      <c r="R793" s="3">
        <v>41.0</v>
      </c>
      <c r="S793" s="3">
        <v>42.0</v>
      </c>
      <c r="T793" s="3">
        <v>36.0</v>
      </c>
      <c r="U793" s="3">
        <v>43.0</v>
      </c>
      <c r="V793" s="3">
        <v>39.0</v>
      </c>
      <c r="W793" s="3">
        <v>41.0</v>
      </c>
      <c r="X793" s="3">
        <v>34.0</v>
      </c>
      <c r="Y793" s="3">
        <v>49.0</v>
      </c>
      <c r="Z793" s="3">
        <v>28.0</v>
      </c>
      <c r="AA793" s="3">
        <v>43.0</v>
      </c>
      <c r="AB793" s="3">
        <v>37.0</v>
      </c>
      <c r="AC793" s="3">
        <v>29.0</v>
      </c>
      <c r="AD793" s="3">
        <v>47.0</v>
      </c>
      <c r="AE793" s="3">
        <v>45.0</v>
      </c>
      <c r="AF793" s="3">
        <v>47.0</v>
      </c>
      <c r="AG793" s="3">
        <v>47.0</v>
      </c>
      <c r="AH793" s="3">
        <v>41.0</v>
      </c>
      <c r="AI793" s="3">
        <v>57.0</v>
      </c>
      <c r="AJ793" s="3">
        <v>54.0</v>
      </c>
      <c r="AK793" s="3">
        <v>42.0</v>
      </c>
      <c r="AL793" s="3">
        <v>47.0</v>
      </c>
      <c r="AM793" s="3">
        <v>45.0</v>
      </c>
      <c r="AN793" s="3">
        <v>53.0</v>
      </c>
    </row>
    <row r="794" ht="14.25" customHeight="1">
      <c r="A794" s="3">
        <v>792.0</v>
      </c>
      <c r="B794" s="3" t="s">
        <v>7268</v>
      </c>
      <c r="C794" s="3">
        <v>29.0</v>
      </c>
      <c r="D794" s="3" t="s">
        <v>6645</v>
      </c>
      <c r="E794" s="3" t="s">
        <v>6646</v>
      </c>
      <c r="F794" s="3" t="s">
        <v>6646</v>
      </c>
      <c r="G794" s="3" t="s">
        <v>6645</v>
      </c>
      <c r="H794" s="3" t="s">
        <v>6645</v>
      </c>
      <c r="I794" s="3" t="s">
        <v>6645</v>
      </c>
      <c r="J794" s="3">
        <v>-1.0</v>
      </c>
      <c r="K794" s="3">
        <v>2.0</v>
      </c>
      <c r="L794" s="3">
        <v>0.0</v>
      </c>
      <c r="M794" s="3">
        <v>0.0</v>
      </c>
      <c r="N794" s="3">
        <v>2373.6562</v>
      </c>
      <c r="O794" s="3">
        <v>404.0</v>
      </c>
      <c r="P794" s="3" t="e">
        <v>#N/A</v>
      </c>
      <c r="Q794" s="3">
        <v>44.0</v>
      </c>
      <c r="R794" s="3">
        <v>40.0</v>
      </c>
      <c r="S794" s="3">
        <v>49.0</v>
      </c>
      <c r="T794" s="3">
        <v>44.0</v>
      </c>
      <c r="U794" s="3">
        <v>45.0</v>
      </c>
      <c r="V794" s="3">
        <v>48.0</v>
      </c>
      <c r="W794" s="3">
        <v>52.0</v>
      </c>
      <c r="X794" s="3">
        <v>35.0</v>
      </c>
      <c r="Y794" s="3">
        <v>44.0</v>
      </c>
      <c r="Z794" s="3">
        <v>39.0</v>
      </c>
      <c r="AA794" s="3">
        <v>36.0</v>
      </c>
      <c r="AB794" s="3">
        <v>46.0</v>
      </c>
      <c r="AC794" s="3">
        <v>45.0</v>
      </c>
      <c r="AD794" s="3">
        <v>48.0</v>
      </c>
      <c r="AE794" s="3">
        <v>56.0</v>
      </c>
      <c r="AF794" s="3">
        <v>67.0</v>
      </c>
      <c r="AG794" s="3">
        <v>34.0</v>
      </c>
      <c r="AH794" s="3">
        <v>35.0</v>
      </c>
      <c r="AI794" s="3">
        <v>77.0</v>
      </c>
      <c r="AJ794" s="3">
        <v>45.0</v>
      </c>
      <c r="AK794" s="3">
        <v>6.0</v>
      </c>
      <c r="AL794" s="3">
        <v>24.0</v>
      </c>
      <c r="AM794" s="3">
        <v>47.0</v>
      </c>
      <c r="AN794" s="3">
        <v>41.0</v>
      </c>
    </row>
    <row r="795" ht="14.25" customHeight="1">
      <c r="A795" s="3">
        <v>793.0</v>
      </c>
      <c r="B795" s="3" t="s">
        <v>7269</v>
      </c>
      <c r="C795" s="3">
        <v>32.0</v>
      </c>
      <c r="D795" s="3" t="s">
        <v>6645</v>
      </c>
      <c r="E795" s="3" t="s">
        <v>6646</v>
      </c>
      <c r="F795" s="3" t="s">
        <v>6646</v>
      </c>
      <c r="G795" s="3" t="s">
        <v>6645</v>
      </c>
      <c r="H795" s="3" t="s">
        <v>6645</v>
      </c>
      <c r="I795" s="3" t="s">
        <v>6646</v>
      </c>
      <c r="J795" s="3">
        <v>-1.0</v>
      </c>
      <c r="K795" s="3">
        <v>2.0</v>
      </c>
      <c r="L795" s="3">
        <v>0.0</v>
      </c>
      <c r="M795" s="3">
        <v>0.0</v>
      </c>
      <c r="N795" s="3">
        <v>2630.2824</v>
      </c>
      <c r="O795" s="3">
        <v>375.0</v>
      </c>
      <c r="P795" s="3" t="e">
        <v>#N/A</v>
      </c>
      <c r="Q795" s="3">
        <v>43.0</v>
      </c>
      <c r="R795" s="3">
        <v>41.0</v>
      </c>
      <c r="S795" s="3">
        <v>41.0</v>
      </c>
      <c r="T795" s="3">
        <v>47.0</v>
      </c>
      <c r="U795" s="3">
        <v>41.0</v>
      </c>
      <c r="V795" s="3">
        <v>43.0</v>
      </c>
      <c r="W795" s="3">
        <v>34.0</v>
      </c>
      <c r="X795" s="3">
        <v>48.0</v>
      </c>
      <c r="Y795" s="3">
        <v>53.0</v>
      </c>
      <c r="Z795" s="3">
        <v>40.0</v>
      </c>
      <c r="AA795" s="3">
        <v>40.0</v>
      </c>
      <c r="AB795" s="3">
        <v>46.0</v>
      </c>
      <c r="AC795" s="3">
        <v>38.0</v>
      </c>
      <c r="AD795" s="3">
        <v>36.0</v>
      </c>
      <c r="AE795" s="3">
        <v>47.0</v>
      </c>
      <c r="AF795" s="3">
        <v>57.0</v>
      </c>
      <c r="AG795" s="3">
        <v>36.0</v>
      </c>
      <c r="AH795" s="3">
        <v>43.0</v>
      </c>
      <c r="AI795" s="3">
        <v>59.0</v>
      </c>
      <c r="AJ795" s="3">
        <v>37.0</v>
      </c>
      <c r="AK795" s="3">
        <v>34.0</v>
      </c>
      <c r="AL795" s="3">
        <v>36.0</v>
      </c>
      <c r="AM795" s="3">
        <v>38.0</v>
      </c>
      <c r="AN795" s="3">
        <v>83.0</v>
      </c>
    </row>
    <row r="796" ht="14.25" customHeight="1">
      <c r="A796" s="3">
        <v>794.0</v>
      </c>
      <c r="B796" s="3" t="s">
        <v>7270</v>
      </c>
      <c r="C796" s="3">
        <v>23.0</v>
      </c>
      <c r="D796" s="3" t="s">
        <v>6645</v>
      </c>
      <c r="E796" s="3" t="s">
        <v>6646</v>
      </c>
      <c r="F796" s="3" t="s">
        <v>6646</v>
      </c>
      <c r="G796" s="3" t="s">
        <v>6645</v>
      </c>
      <c r="H796" s="3" t="s">
        <v>6645</v>
      </c>
      <c r="I796" s="3" t="s">
        <v>6646</v>
      </c>
      <c r="J796" s="3">
        <v>-1.0</v>
      </c>
      <c r="K796" s="3">
        <v>0.0</v>
      </c>
      <c r="L796" s="3">
        <v>0.0</v>
      </c>
      <c r="M796" s="3">
        <v>0.0</v>
      </c>
      <c r="N796" s="3">
        <v>598.389</v>
      </c>
      <c r="O796" s="3">
        <v>79.0</v>
      </c>
      <c r="P796" s="3" t="e">
        <v>#N/A</v>
      </c>
      <c r="Q796" s="3">
        <v>34.0</v>
      </c>
      <c r="R796" s="3">
        <v>30.0</v>
      </c>
      <c r="S796" s="3">
        <v>37.0</v>
      </c>
      <c r="T796" s="3">
        <v>35.0</v>
      </c>
      <c r="U796" s="3">
        <v>34.0</v>
      </c>
      <c r="V796" s="3">
        <v>31.0</v>
      </c>
      <c r="W796" s="3">
        <v>45.0</v>
      </c>
      <c r="X796" s="3">
        <v>29.0</v>
      </c>
      <c r="Y796" s="3">
        <v>37.0</v>
      </c>
      <c r="Z796" s="3">
        <v>28.0</v>
      </c>
      <c r="AA796" s="3">
        <v>39.0</v>
      </c>
      <c r="AB796" s="3">
        <v>37.0</v>
      </c>
      <c r="AC796" s="3">
        <v>38.0</v>
      </c>
      <c r="AD796" s="3">
        <v>39.0</v>
      </c>
      <c r="AE796" s="3">
        <v>27.0</v>
      </c>
      <c r="AF796" s="3">
        <v>40.0</v>
      </c>
      <c r="AG796" s="3">
        <v>55.0</v>
      </c>
      <c r="AH796" s="3">
        <v>36.0</v>
      </c>
      <c r="AI796" s="3">
        <v>55.0</v>
      </c>
      <c r="AJ796" s="3">
        <v>42.0</v>
      </c>
      <c r="AK796" s="3">
        <v>19.0</v>
      </c>
      <c r="AL796" s="3">
        <v>59.0</v>
      </c>
      <c r="AM796" s="3">
        <v>35.0</v>
      </c>
      <c r="AN796" s="3">
        <v>78.0</v>
      </c>
    </row>
    <row r="797" ht="14.25" customHeight="1">
      <c r="A797" s="3">
        <v>795.0</v>
      </c>
      <c r="B797" s="3" t="s">
        <v>7271</v>
      </c>
      <c r="C797" s="3">
        <v>17.0</v>
      </c>
      <c r="D797" s="3" t="s">
        <v>6645</v>
      </c>
      <c r="E797" s="3" t="s">
        <v>6646</v>
      </c>
      <c r="F797" s="3" t="s">
        <v>6646</v>
      </c>
      <c r="G797" s="3" t="s">
        <v>6645</v>
      </c>
      <c r="H797" s="3" t="s">
        <v>6645</v>
      </c>
      <c r="I797" s="3" t="s">
        <v>6645</v>
      </c>
      <c r="J797" s="3">
        <v>-1.0</v>
      </c>
      <c r="K797" s="3">
        <v>0.0</v>
      </c>
      <c r="L797" s="3">
        <v>0.0</v>
      </c>
      <c r="M797" s="3">
        <v>0.0</v>
      </c>
      <c r="N797" s="3">
        <v>464.095</v>
      </c>
      <c r="O797" s="3">
        <v>89.0</v>
      </c>
      <c r="P797" s="3" t="e">
        <v>#N/A</v>
      </c>
      <c r="Q797" s="3">
        <v>32.0</v>
      </c>
      <c r="R797" s="3">
        <v>30.0</v>
      </c>
      <c r="S797" s="3">
        <v>38.0</v>
      </c>
      <c r="T797" s="3">
        <v>30.0</v>
      </c>
      <c r="U797" s="3">
        <v>30.0</v>
      </c>
      <c r="V797" s="3">
        <v>36.0</v>
      </c>
      <c r="W797" s="3">
        <v>22.0</v>
      </c>
      <c r="X797" s="3">
        <v>27.0</v>
      </c>
      <c r="Y797" s="3">
        <v>46.0</v>
      </c>
      <c r="Z797" s="3">
        <v>37.0</v>
      </c>
      <c r="AA797" s="3">
        <v>39.0</v>
      </c>
      <c r="AB797" s="3">
        <v>39.0</v>
      </c>
      <c r="AC797" s="3">
        <v>40.0</v>
      </c>
      <c r="AD797" s="3">
        <v>32.0</v>
      </c>
      <c r="AE797" s="3">
        <v>38.0</v>
      </c>
      <c r="AF797" s="3">
        <v>31.0</v>
      </c>
      <c r="AG797" s="3">
        <v>44.0</v>
      </c>
      <c r="AH797" s="3">
        <v>54.0</v>
      </c>
      <c r="AI797" s="3">
        <v>50.0</v>
      </c>
      <c r="AJ797" s="3">
        <v>48.0</v>
      </c>
      <c r="AK797" s="3">
        <v>65.0</v>
      </c>
      <c r="AL797" s="3">
        <v>59.0</v>
      </c>
      <c r="AM797" s="3">
        <v>55.0</v>
      </c>
      <c r="AN797" s="3">
        <v>24.0</v>
      </c>
    </row>
    <row r="798" ht="14.25" customHeight="1">
      <c r="A798" s="3">
        <v>796.0</v>
      </c>
      <c r="B798" s="3" t="s">
        <v>7272</v>
      </c>
      <c r="C798" s="3">
        <v>15.0</v>
      </c>
      <c r="D798" s="3" t="s">
        <v>6645</v>
      </c>
      <c r="E798" s="3" t="s">
        <v>6646</v>
      </c>
      <c r="F798" s="3" t="s">
        <v>6646</v>
      </c>
      <c r="G798" s="3" t="s">
        <v>6645</v>
      </c>
      <c r="H798" s="3" t="s">
        <v>6645</v>
      </c>
      <c r="I798" s="3" t="s">
        <v>6646</v>
      </c>
      <c r="J798" s="3">
        <v>-1.0</v>
      </c>
      <c r="K798" s="3">
        <v>0.0</v>
      </c>
      <c r="L798" s="3">
        <v>0.0</v>
      </c>
      <c r="M798" s="3">
        <v>0.0</v>
      </c>
      <c r="N798" s="3">
        <v>451.76226</v>
      </c>
      <c r="O798" s="3">
        <v>93.0</v>
      </c>
      <c r="P798" s="3" t="e">
        <v>#N/A</v>
      </c>
      <c r="Q798" s="3">
        <v>34.0</v>
      </c>
      <c r="R798" s="3">
        <v>37.0</v>
      </c>
      <c r="S798" s="3">
        <v>30.0</v>
      </c>
      <c r="T798" s="3">
        <v>37.0</v>
      </c>
      <c r="U798" s="3">
        <v>33.0</v>
      </c>
      <c r="V798" s="3">
        <v>30.0</v>
      </c>
      <c r="W798" s="3">
        <v>33.0</v>
      </c>
      <c r="X798" s="3">
        <v>43.0</v>
      </c>
      <c r="Y798" s="3">
        <v>28.0</v>
      </c>
      <c r="Z798" s="3">
        <v>30.0</v>
      </c>
      <c r="AA798" s="3">
        <v>30.0</v>
      </c>
      <c r="AB798" s="3">
        <v>42.0</v>
      </c>
      <c r="AC798" s="3">
        <v>26.0</v>
      </c>
      <c r="AD798" s="3">
        <v>47.0</v>
      </c>
      <c r="AE798" s="3">
        <v>36.0</v>
      </c>
      <c r="AF798" s="3">
        <v>38.0</v>
      </c>
      <c r="AG798" s="3">
        <v>73.0</v>
      </c>
      <c r="AH798" s="3">
        <v>78.0</v>
      </c>
      <c r="AI798" s="3">
        <v>64.0</v>
      </c>
      <c r="AJ798" s="3">
        <v>33.0</v>
      </c>
      <c r="AK798" s="3">
        <v>2.0</v>
      </c>
      <c r="AL798" s="3">
        <v>38.0</v>
      </c>
      <c r="AM798" s="3">
        <v>59.0</v>
      </c>
      <c r="AN798" s="3">
        <v>31.0</v>
      </c>
    </row>
    <row r="799" ht="14.25" customHeight="1">
      <c r="A799" s="3">
        <v>797.0</v>
      </c>
      <c r="B799" s="3" t="s">
        <v>7273</v>
      </c>
      <c r="C799" s="3">
        <v>31.0</v>
      </c>
      <c r="D799" s="3" t="s">
        <v>6645</v>
      </c>
      <c r="E799" s="3" t="s">
        <v>6646</v>
      </c>
      <c r="F799" s="3" t="s">
        <v>6646</v>
      </c>
      <c r="G799" s="3" t="s">
        <v>6645</v>
      </c>
      <c r="H799" s="3" t="s">
        <v>6645</v>
      </c>
      <c r="I799" s="3" t="s">
        <v>6645</v>
      </c>
      <c r="J799" s="3">
        <v>-1.0</v>
      </c>
      <c r="K799" s="3">
        <v>3.0</v>
      </c>
      <c r="L799" s="3">
        <v>0.0</v>
      </c>
      <c r="M799" s="3">
        <v>0.0</v>
      </c>
      <c r="N799" s="3">
        <v>4974.55</v>
      </c>
      <c r="O799" s="3">
        <v>845.0</v>
      </c>
      <c r="P799" s="3" t="e">
        <v>#N/A</v>
      </c>
      <c r="Q799" s="3">
        <v>45.0</v>
      </c>
      <c r="R799" s="3">
        <v>53.0</v>
      </c>
      <c r="S799" s="3">
        <v>50.0</v>
      </c>
      <c r="T799" s="3">
        <v>47.0</v>
      </c>
      <c r="U799" s="3">
        <v>52.0</v>
      </c>
      <c r="V799" s="3">
        <v>54.0</v>
      </c>
      <c r="W799" s="3">
        <v>56.0</v>
      </c>
      <c r="X799" s="3">
        <v>46.0</v>
      </c>
      <c r="Y799" s="3">
        <v>47.0</v>
      </c>
      <c r="Z799" s="3">
        <v>42.0</v>
      </c>
      <c r="AA799" s="3">
        <v>44.0</v>
      </c>
      <c r="AB799" s="3">
        <v>41.0</v>
      </c>
      <c r="AC799" s="3">
        <v>54.0</v>
      </c>
      <c r="AD799" s="3">
        <v>63.0</v>
      </c>
      <c r="AE799" s="3">
        <v>53.0</v>
      </c>
      <c r="AF799" s="3">
        <v>42.0</v>
      </c>
      <c r="AG799" s="3">
        <v>44.0</v>
      </c>
      <c r="AH799" s="3">
        <v>49.0</v>
      </c>
      <c r="AI799" s="3">
        <v>61.0</v>
      </c>
      <c r="AJ799" s="3">
        <v>64.0</v>
      </c>
      <c r="AK799" s="3">
        <v>62.0</v>
      </c>
      <c r="AL799" s="3">
        <v>50.0</v>
      </c>
      <c r="AM799" s="3">
        <v>41.0</v>
      </c>
      <c r="AN799" s="3">
        <v>60.0</v>
      </c>
    </row>
    <row r="800" ht="14.25" customHeight="1">
      <c r="A800" s="3">
        <v>798.0</v>
      </c>
      <c r="B800" s="3" t="s">
        <v>7274</v>
      </c>
      <c r="C800" s="3">
        <v>41.0</v>
      </c>
      <c r="D800" s="3" t="s">
        <v>6645</v>
      </c>
      <c r="E800" s="3" t="s">
        <v>6646</v>
      </c>
      <c r="F800" s="3" t="s">
        <v>6646</v>
      </c>
      <c r="G800" s="3" t="s">
        <v>6645</v>
      </c>
      <c r="H800" s="3" t="s">
        <v>6645</v>
      </c>
      <c r="I800" s="3" t="s">
        <v>6645</v>
      </c>
      <c r="J800" s="3">
        <v>-1.0</v>
      </c>
      <c r="K800" s="3">
        <v>5.0</v>
      </c>
      <c r="L800" s="3">
        <v>0.0</v>
      </c>
      <c r="M800" s="3">
        <v>0.0</v>
      </c>
      <c r="N800" s="3">
        <v>14281.037</v>
      </c>
      <c r="O800" s="3">
        <v>2589.0</v>
      </c>
      <c r="P800" s="3" t="e">
        <v>#N/A</v>
      </c>
      <c r="Q800" s="3">
        <v>62.0</v>
      </c>
      <c r="R800" s="3">
        <v>66.0</v>
      </c>
      <c r="S800" s="3">
        <v>64.0</v>
      </c>
      <c r="T800" s="3">
        <v>58.0</v>
      </c>
      <c r="U800" s="3">
        <v>85.0</v>
      </c>
      <c r="V800" s="3">
        <v>65.0</v>
      </c>
      <c r="W800" s="3">
        <v>77.0</v>
      </c>
      <c r="X800" s="3">
        <v>62.0</v>
      </c>
      <c r="Y800" s="3">
        <v>67.0</v>
      </c>
      <c r="Z800" s="3">
        <v>63.0</v>
      </c>
      <c r="AA800" s="3">
        <v>61.0</v>
      </c>
      <c r="AB800" s="3">
        <v>85.0</v>
      </c>
      <c r="AC800" s="3">
        <v>87.0</v>
      </c>
      <c r="AD800" s="3">
        <v>63.0</v>
      </c>
      <c r="AE800" s="3">
        <v>64.0</v>
      </c>
      <c r="AF800" s="3">
        <v>52.0</v>
      </c>
      <c r="AG800" s="3">
        <v>69.0</v>
      </c>
      <c r="AH800" s="3">
        <v>41.0</v>
      </c>
      <c r="AI800" s="3">
        <v>63.0</v>
      </c>
      <c r="AJ800" s="3">
        <v>85.0</v>
      </c>
      <c r="AK800" s="3">
        <v>26.0</v>
      </c>
      <c r="AL800" s="3">
        <v>54.0</v>
      </c>
      <c r="AM800" s="3">
        <v>69.0</v>
      </c>
      <c r="AN800" s="3">
        <v>61.0</v>
      </c>
    </row>
    <row r="801" ht="14.25" customHeight="1">
      <c r="A801" s="3">
        <v>799.0</v>
      </c>
      <c r="B801" s="3" t="s">
        <v>7275</v>
      </c>
      <c r="C801" s="3">
        <v>21.0</v>
      </c>
      <c r="D801" s="3" t="s">
        <v>6645</v>
      </c>
      <c r="E801" s="3" t="s">
        <v>6646</v>
      </c>
      <c r="F801" s="3" t="s">
        <v>6646</v>
      </c>
      <c r="G801" s="3" t="s">
        <v>6645</v>
      </c>
      <c r="H801" s="3" t="s">
        <v>6645</v>
      </c>
      <c r="I801" s="3" t="s">
        <v>6646</v>
      </c>
      <c r="J801" s="3">
        <v>-1.0</v>
      </c>
      <c r="K801" s="3">
        <v>1.0</v>
      </c>
      <c r="L801" s="3">
        <v>0.0</v>
      </c>
      <c r="M801" s="3">
        <v>0.0</v>
      </c>
      <c r="N801" s="3">
        <v>1080.9135</v>
      </c>
      <c r="O801" s="3">
        <v>224.0</v>
      </c>
      <c r="P801" s="3" t="e">
        <v>#N/A</v>
      </c>
      <c r="Q801" s="3">
        <v>39.0</v>
      </c>
      <c r="R801" s="3">
        <v>42.0</v>
      </c>
      <c r="S801" s="3">
        <v>36.0</v>
      </c>
      <c r="T801" s="3">
        <v>37.0</v>
      </c>
      <c r="U801" s="3">
        <v>40.0</v>
      </c>
      <c r="V801" s="3">
        <v>44.0</v>
      </c>
      <c r="W801" s="3">
        <v>48.0</v>
      </c>
      <c r="X801" s="3">
        <v>26.0</v>
      </c>
      <c r="Y801" s="3">
        <v>35.0</v>
      </c>
      <c r="Z801" s="3">
        <v>48.0</v>
      </c>
      <c r="AA801" s="3">
        <v>33.0</v>
      </c>
      <c r="AB801" s="3">
        <v>40.0</v>
      </c>
      <c r="AC801" s="3">
        <v>38.0</v>
      </c>
      <c r="AD801" s="3">
        <v>38.0</v>
      </c>
      <c r="AE801" s="3">
        <v>50.0</v>
      </c>
      <c r="AF801" s="3">
        <v>29.0</v>
      </c>
      <c r="AG801" s="3">
        <v>68.0</v>
      </c>
      <c r="AH801" s="3">
        <v>32.0</v>
      </c>
      <c r="AI801" s="3">
        <v>53.0</v>
      </c>
      <c r="AJ801" s="3">
        <v>58.0</v>
      </c>
      <c r="AK801" s="3">
        <v>53.0</v>
      </c>
      <c r="AL801" s="3">
        <v>41.0</v>
      </c>
      <c r="AM801" s="3">
        <v>43.0</v>
      </c>
      <c r="AN801" s="3">
        <v>80.0</v>
      </c>
    </row>
    <row r="802" ht="14.25" customHeight="1">
      <c r="A802" s="3">
        <v>800.0</v>
      </c>
      <c r="B802" s="3" t="s">
        <v>7276</v>
      </c>
      <c r="C802" s="3">
        <v>31.0</v>
      </c>
      <c r="D802" s="3" t="s">
        <v>6645</v>
      </c>
      <c r="E802" s="3" t="s">
        <v>6646</v>
      </c>
      <c r="F802" s="3" t="s">
        <v>6646</v>
      </c>
      <c r="G802" s="3" t="s">
        <v>6645</v>
      </c>
      <c r="H802" s="3" t="s">
        <v>6645</v>
      </c>
      <c r="I802" s="3" t="s">
        <v>6646</v>
      </c>
      <c r="J802" s="3">
        <v>-1.0</v>
      </c>
      <c r="K802" s="3">
        <v>3.0</v>
      </c>
      <c r="L802" s="3">
        <v>0.0</v>
      </c>
      <c r="M802" s="3">
        <v>0.0</v>
      </c>
      <c r="N802" s="3">
        <v>4739.2</v>
      </c>
      <c r="O802" s="3">
        <v>614.0</v>
      </c>
      <c r="P802" s="3" t="e">
        <v>#N/A</v>
      </c>
      <c r="Q802" s="3">
        <v>51.0</v>
      </c>
      <c r="R802" s="3">
        <v>50.0</v>
      </c>
      <c r="S802" s="3">
        <v>50.0</v>
      </c>
      <c r="T802" s="3">
        <v>57.0</v>
      </c>
      <c r="U802" s="3">
        <v>53.0</v>
      </c>
      <c r="V802" s="3">
        <v>49.0</v>
      </c>
      <c r="W802" s="3">
        <v>41.0</v>
      </c>
      <c r="X802" s="3">
        <v>56.0</v>
      </c>
      <c r="Y802" s="3">
        <v>45.0</v>
      </c>
      <c r="Z802" s="3">
        <v>62.0</v>
      </c>
      <c r="AA802" s="3">
        <v>53.0</v>
      </c>
      <c r="AB802" s="3">
        <v>46.0</v>
      </c>
      <c r="AC802" s="3">
        <v>48.0</v>
      </c>
      <c r="AD802" s="3">
        <v>51.0</v>
      </c>
      <c r="AE802" s="3">
        <v>52.0</v>
      </c>
      <c r="AF802" s="3">
        <v>73.0</v>
      </c>
      <c r="AG802" s="3">
        <v>59.0</v>
      </c>
      <c r="AH802" s="3">
        <v>46.0</v>
      </c>
      <c r="AI802" s="3">
        <v>36.0</v>
      </c>
      <c r="AJ802" s="3">
        <v>24.0</v>
      </c>
      <c r="AK802" s="3">
        <v>63.0</v>
      </c>
      <c r="AL802" s="3">
        <v>54.0</v>
      </c>
      <c r="AM802" s="3">
        <v>58.0</v>
      </c>
      <c r="AN802" s="3">
        <v>78.0</v>
      </c>
    </row>
    <row r="803" ht="14.25" customHeight="1">
      <c r="A803" s="3">
        <v>801.0</v>
      </c>
      <c r="B803" s="3" t="s">
        <v>7277</v>
      </c>
      <c r="C803" s="3">
        <v>22.0</v>
      </c>
      <c r="D803" s="3" t="s">
        <v>6645</v>
      </c>
      <c r="E803" s="3" t="s">
        <v>6646</v>
      </c>
      <c r="F803" s="3" t="s">
        <v>6646</v>
      </c>
      <c r="G803" s="3" t="s">
        <v>6645</v>
      </c>
      <c r="H803" s="3" t="s">
        <v>6645</v>
      </c>
      <c r="I803" s="3" t="s">
        <v>6646</v>
      </c>
      <c r="J803" s="3">
        <v>-1.0</v>
      </c>
      <c r="K803" s="3">
        <v>0.0</v>
      </c>
      <c r="L803" s="3">
        <v>0.0</v>
      </c>
      <c r="M803" s="3">
        <v>0.0</v>
      </c>
      <c r="N803" s="3">
        <v>441.21853</v>
      </c>
      <c r="O803" s="3">
        <v>85.0</v>
      </c>
      <c r="P803" s="3" t="e">
        <v>#N/A</v>
      </c>
      <c r="Q803" s="3">
        <v>34.0</v>
      </c>
      <c r="R803" s="3">
        <v>35.0</v>
      </c>
      <c r="S803" s="3">
        <v>37.0</v>
      </c>
      <c r="T803" s="3">
        <v>30.0</v>
      </c>
      <c r="U803" s="3">
        <v>38.0</v>
      </c>
      <c r="V803" s="3">
        <v>31.0</v>
      </c>
      <c r="W803" s="3">
        <v>47.0</v>
      </c>
      <c r="X803" s="3">
        <v>23.0</v>
      </c>
      <c r="Y803" s="3">
        <v>27.0</v>
      </c>
      <c r="Z803" s="3">
        <v>38.0</v>
      </c>
      <c r="AA803" s="3">
        <v>46.0</v>
      </c>
      <c r="AB803" s="3">
        <v>38.0</v>
      </c>
      <c r="AC803" s="3">
        <v>34.0</v>
      </c>
      <c r="AD803" s="3">
        <v>32.0</v>
      </c>
      <c r="AE803" s="3">
        <v>27.0</v>
      </c>
      <c r="AF803" s="3">
        <v>41.0</v>
      </c>
      <c r="AG803" s="3">
        <v>57.0</v>
      </c>
      <c r="AH803" s="3">
        <v>43.0</v>
      </c>
      <c r="AI803" s="3">
        <v>56.0</v>
      </c>
      <c r="AJ803" s="3">
        <v>58.0</v>
      </c>
      <c r="AK803" s="3">
        <v>56.0</v>
      </c>
      <c r="AL803" s="3">
        <v>42.0</v>
      </c>
      <c r="AM803" s="3">
        <v>55.0</v>
      </c>
      <c r="AN803" s="3">
        <v>50.0</v>
      </c>
    </row>
    <row r="804" ht="14.25" customHeight="1">
      <c r="A804" s="3">
        <v>802.0</v>
      </c>
      <c r="B804" s="3" t="s">
        <v>7278</v>
      </c>
      <c r="C804" s="3">
        <v>32.0</v>
      </c>
      <c r="D804" s="3" t="s">
        <v>6645</v>
      </c>
      <c r="E804" s="3" t="s">
        <v>6646</v>
      </c>
      <c r="F804" s="3" t="s">
        <v>6646</v>
      </c>
      <c r="G804" s="3" t="s">
        <v>6645</v>
      </c>
      <c r="H804" s="3" t="s">
        <v>6645</v>
      </c>
      <c r="I804" s="3" t="s">
        <v>6645</v>
      </c>
      <c r="J804" s="3">
        <v>-1.0</v>
      </c>
      <c r="K804" s="3">
        <v>2.0</v>
      </c>
      <c r="L804" s="3">
        <v>0.0</v>
      </c>
      <c r="M804" s="3">
        <v>0.0</v>
      </c>
      <c r="N804" s="3">
        <v>3169.0</v>
      </c>
      <c r="O804" s="3">
        <v>307.0</v>
      </c>
      <c r="P804" s="3" t="e">
        <v>#N/A</v>
      </c>
      <c r="Q804" s="3">
        <v>41.0</v>
      </c>
      <c r="R804" s="3">
        <v>46.0</v>
      </c>
      <c r="S804" s="3">
        <v>46.0</v>
      </c>
      <c r="T804" s="3">
        <v>41.0</v>
      </c>
      <c r="U804" s="3">
        <v>48.0</v>
      </c>
      <c r="V804" s="3">
        <v>43.0</v>
      </c>
      <c r="W804" s="3">
        <v>53.0</v>
      </c>
      <c r="X804" s="3">
        <v>36.0</v>
      </c>
      <c r="Y804" s="3">
        <v>51.0</v>
      </c>
      <c r="Z804" s="3">
        <v>54.0</v>
      </c>
      <c r="AA804" s="3">
        <v>43.0</v>
      </c>
      <c r="AB804" s="3">
        <v>46.0</v>
      </c>
      <c r="AC804" s="3">
        <v>39.0</v>
      </c>
      <c r="AD804" s="3">
        <v>40.0</v>
      </c>
      <c r="AE804" s="3">
        <v>35.0</v>
      </c>
      <c r="AF804" s="3">
        <v>63.0</v>
      </c>
      <c r="AG804" s="3">
        <v>58.0</v>
      </c>
      <c r="AH804" s="3">
        <v>38.0</v>
      </c>
      <c r="AI804" s="3">
        <v>35.0</v>
      </c>
      <c r="AJ804" s="3">
        <v>68.0</v>
      </c>
      <c r="AK804" s="3">
        <v>47.0</v>
      </c>
      <c r="AL804" s="3">
        <v>38.0</v>
      </c>
      <c r="AM804" s="3">
        <v>49.0</v>
      </c>
      <c r="AN804" s="3">
        <v>58.0</v>
      </c>
    </row>
    <row r="805" ht="14.25" customHeight="1">
      <c r="A805" s="3">
        <v>803.0</v>
      </c>
      <c r="B805" s="3" t="s">
        <v>7279</v>
      </c>
      <c r="C805" s="3">
        <v>18.0</v>
      </c>
      <c r="D805" s="3" t="s">
        <v>6645</v>
      </c>
      <c r="E805" s="3" t="s">
        <v>6646</v>
      </c>
      <c r="F805" s="3" t="s">
        <v>6646</v>
      </c>
      <c r="G805" s="3" t="s">
        <v>6645</v>
      </c>
      <c r="H805" s="3" t="s">
        <v>6645</v>
      </c>
      <c r="I805" s="3" t="s">
        <v>6646</v>
      </c>
      <c r="J805" s="3">
        <v>-1.0</v>
      </c>
      <c r="K805" s="3">
        <v>0.0</v>
      </c>
      <c r="L805" s="3">
        <v>0.0</v>
      </c>
      <c r="M805" s="3">
        <v>0.0</v>
      </c>
      <c r="N805" s="3">
        <v>443.00677</v>
      </c>
      <c r="O805" s="3">
        <v>88.0</v>
      </c>
      <c r="P805" s="3" t="e">
        <v>#N/A</v>
      </c>
      <c r="Q805" s="3">
        <v>30.0</v>
      </c>
      <c r="R805" s="3">
        <v>37.0</v>
      </c>
      <c r="S805" s="3">
        <v>32.0</v>
      </c>
      <c r="T805" s="3">
        <v>31.0</v>
      </c>
      <c r="U805" s="3">
        <v>39.0</v>
      </c>
      <c r="V805" s="3">
        <v>35.0</v>
      </c>
      <c r="W805" s="3">
        <v>28.0</v>
      </c>
      <c r="X805" s="3">
        <v>40.0</v>
      </c>
      <c r="Y805" s="3">
        <v>25.0</v>
      </c>
      <c r="Z805" s="3">
        <v>36.0</v>
      </c>
      <c r="AA805" s="3">
        <v>25.0</v>
      </c>
      <c r="AB805" s="3">
        <v>42.0</v>
      </c>
      <c r="AC805" s="3">
        <v>31.0</v>
      </c>
      <c r="AD805" s="3">
        <v>34.0</v>
      </c>
      <c r="AE805" s="3">
        <v>42.0</v>
      </c>
      <c r="AF805" s="3">
        <v>68.0</v>
      </c>
      <c r="AG805" s="3">
        <v>39.0</v>
      </c>
      <c r="AH805" s="3">
        <v>44.0</v>
      </c>
      <c r="AI805" s="3">
        <v>48.0</v>
      </c>
      <c r="AJ805" s="3">
        <v>51.0</v>
      </c>
      <c r="AK805" s="3">
        <v>28.0</v>
      </c>
      <c r="AL805" s="3">
        <v>52.0</v>
      </c>
      <c r="AM805" s="3">
        <v>50.0</v>
      </c>
      <c r="AN805" s="3">
        <v>52.0</v>
      </c>
    </row>
    <row r="806" ht="14.25" customHeight="1">
      <c r="A806" s="3">
        <v>804.0</v>
      </c>
      <c r="B806" s="3" t="s">
        <v>7280</v>
      </c>
      <c r="C806" s="3">
        <v>22.0</v>
      </c>
      <c r="D806" s="3" t="s">
        <v>6645</v>
      </c>
      <c r="E806" s="3" t="s">
        <v>6646</v>
      </c>
      <c r="F806" s="3" t="s">
        <v>6646</v>
      </c>
      <c r="G806" s="3" t="s">
        <v>6645</v>
      </c>
      <c r="H806" s="3" t="s">
        <v>6645</v>
      </c>
      <c r="I806" s="3" t="s">
        <v>6645</v>
      </c>
      <c r="J806" s="3">
        <v>-1.0</v>
      </c>
      <c r="K806" s="3">
        <v>0.0</v>
      </c>
      <c r="L806" s="3">
        <v>0.0</v>
      </c>
      <c r="M806" s="3">
        <v>0.0</v>
      </c>
      <c r="N806" s="3">
        <v>519.797</v>
      </c>
      <c r="O806" s="3">
        <v>95.0</v>
      </c>
      <c r="P806" s="3" t="e">
        <v>#N/A</v>
      </c>
      <c r="Q806" s="3">
        <v>39.0</v>
      </c>
      <c r="R806" s="3">
        <v>31.0</v>
      </c>
      <c r="S806" s="3">
        <v>37.0</v>
      </c>
      <c r="T806" s="3">
        <v>31.0</v>
      </c>
      <c r="U806" s="3">
        <v>33.0</v>
      </c>
      <c r="V806" s="3">
        <v>39.0</v>
      </c>
      <c r="W806" s="3">
        <v>37.0</v>
      </c>
      <c r="X806" s="3">
        <v>28.0</v>
      </c>
      <c r="Y806" s="3">
        <v>33.0</v>
      </c>
      <c r="Z806" s="3">
        <v>31.0</v>
      </c>
      <c r="AA806" s="3">
        <v>30.0</v>
      </c>
      <c r="AB806" s="3">
        <v>41.0</v>
      </c>
      <c r="AC806" s="3">
        <v>31.0</v>
      </c>
      <c r="AD806" s="3">
        <v>46.0</v>
      </c>
      <c r="AE806" s="3">
        <v>26.0</v>
      </c>
      <c r="AF806" s="3">
        <v>47.0</v>
      </c>
      <c r="AG806" s="3">
        <v>48.0</v>
      </c>
      <c r="AH806" s="3">
        <v>48.0</v>
      </c>
      <c r="AI806" s="3">
        <v>41.0</v>
      </c>
      <c r="AJ806" s="3">
        <v>58.0</v>
      </c>
      <c r="AK806" s="3">
        <v>4.0</v>
      </c>
      <c r="AL806" s="3">
        <v>70.0</v>
      </c>
      <c r="AM806" s="3">
        <v>57.0</v>
      </c>
      <c r="AN806" s="3">
        <v>59.0</v>
      </c>
    </row>
    <row r="807" ht="14.25" customHeight="1">
      <c r="A807" s="3">
        <v>805.0</v>
      </c>
      <c r="B807" s="3" t="s">
        <v>7281</v>
      </c>
      <c r="C807" s="3">
        <v>23.0</v>
      </c>
      <c r="D807" s="3" t="s">
        <v>6645</v>
      </c>
      <c r="E807" s="3" t="s">
        <v>6646</v>
      </c>
      <c r="F807" s="3" t="s">
        <v>6646</v>
      </c>
      <c r="G807" s="3" t="s">
        <v>6645</v>
      </c>
      <c r="H807" s="3" t="s">
        <v>6645</v>
      </c>
      <c r="I807" s="3" t="s">
        <v>6645</v>
      </c>
      <c r="J807" s="3">
        <v>-1.0</v>
      </c>
      <c r="K807" s="3">
        <v>0.0</v>
      </c>
      <c r="L807" s="3">
        <v>0.0</v>
      </c>
      <c r="M807" s="3">
        <v>0.0</v>
      </c>
      <c r="N807" s="3">
        <v>510.78372</v>
      </c>
      <c r="O807" s="3">
        <v>90.0</v>
      </c>
      <c r="P807" s="3" t="e">
        <v>#N/A</v>
      </c>
      <c r="Q807" s="3">
        <v>30.0</v>
      </c>
      <c r="R807" s="3">
        <v>31.0</v>
      </c>
      <c r="S807" s="3">
        <v>37.0</v>
      </c>
      <c r="T807" s="3">
        <v>39.0</v>
      </c>
      <c r="U807" s="3">
        <v>33.0</v>
      </c>
      <c r="V807" s="3">
        <v>30.0</v>
      </c>
      <c r="W807" s="3">
        <v>30.0</v>
      </c>
      <c r="X807" s="3">
        <v>34.0</v>
      </c>
      <c r="Y807" s="3">
        <v>45.0</v>
      </c>
      <c r="Z807" s="3">
        <v>31.0</v>
      </c>
      <c r="AA807" s="3">
        <v>25.0</v>
      </c>
      <c r="AB807" s="3">
        <v>44.0</v>
      </c>
      <c r="AC807" s="3">
        <v>44.0</v>
      </c>
      <c r="AD807" s="3">
        <v>32.0</v>
      </c>
      <c r="AE807" s="3">
        <v>38.0</v>
      </c>
      <c r="AF807" s="3">
        <v>32.0</v>
      </c>
      <c r="AG807" s="3">
        <v>34.0</v>
      </c>
      <c r="AH807" s="3">
        <v>49.0</v>
      </c>
      <c r="AI807" s="3">
        <v>29.0</v>
      </c>
      <c r="AJ807" s="3">
        <v>34.0</v>
      </c>
      <c r="AK807" s="3">
        <v>46.0</v>
      </c>
      <c r="AL807" s="3">
        <v>54.0</v>
      </c>
      <c r="AM807" s="3">
        <v>42.0</v>
      </c>
      <c r="AN807" s="3">
        <v>67.0</v>
      </c>
    </row>
    <row r="808" ht="14.25" customHeight="1">
      <c r="A808" s="3">
        <v>806.0</v>
      </c>
      <c r="B808" s="3" t="s">
        <v>7282</v>
      </c>
      <c r="C808" s="3">
        <v>38.0</v>
      </c>
      <c r="D808" s="3" t="s">
        <v>6645</v>
      </c>
      <c r="E808" s="3" t="s">
        <v>6646</v>
      </c>
      <c r="F808" s="3" t="s">
        <v>6646</v>
      </c>
      <c r="G808" s="3" t="s">
        <v>6645</v>
      </c>
      <c r="H808" s="3" t="s">
        <v>6645</v>
      </c>
      <c r="I808" s="3" t="s">
        <v>6645</v>
      </c>
      <c r="J808" s="3">
        <v>-1.0</v>
      </c>
      <c r="K808" s="3">
        <v>3.0</v>
      </c>
      <c r="L808" s="3">
        <v>0.0</v>
      </c>
      <c r="M808" s="3">
        <v>0.0</v>
      </c>
      <c r="N808" s="3">
        <v>5042.11</v>
      </c>
      <c r="O808" s="3">
        <v>755.0</v>
      </c>
      <c r="P808" s="3" t="e">
        <v>#N/A</v>
      </c>
      <c r="Q808" s="3">
        <v>45.0</v>
      </c>
      <c r="R808" s="3">
        <v>47.0</v>
      </c>
      <c r="S808" s="3">
        <v>50.0</v>
      </c>
      <c r="T808" s="3">
        <v>50.0</v>
      </c>
      <c r="U808" s="3">
        <v>61.0</v>
      </c>
      <c r="V808" s="3">
        <v>50.0</v>
      </c>
      <c r="W808" s="3">
        <v>45.0</v>
      </c>
      <c r="X808" s="3">
        <v>49.0</v>
      </c>
      <c r="Y808" s="3">
        <v>56.0</v>
      </c>
      <c r="Z808" s="3">
        <v>47.0</v>
      </c>
      <c r="AA808" s="3">
        <v>41.0</v>
      </c>
      <c r="AB808" s="3">
        <v>55.0</v>
      </c>
      <c r="AC808" s="3">
        <v>52.0</v>
      </c>
      <c r="AD808" s="3">
        <v>45.0</v>
      </c>
      <c r="AE808" s="3">
        <v>53.0</v>
      </c>
      <c r="AF808" s="3">
        <v>37.0</v>
      </c>
      <c r="AG808" s="3">
        <v>57.0</v>
      </c>
      <c r="AH808" s="3">
        <v>74.0</v>
      </c>
      <c r="AI808" s="3">
        <v>47.0</v>
      </c>
      <c r="AJ808" s="3">
        <v>38.0</v>
      </c>
      <c r="AK808" s="3">
        <v>62.0</v>
      </c>
      <c r="AL808" s="3">
        <v>49.0</v>
      </c>
      <c r="AM808" s="3">
        <v>23.0</v>
      </c>
      <c r="AN808" s="3">
        <v>83.0</v>
      </c>
    </row>
    <row r="809" ht="14.25" customHeight="1">
      <c r="A809" s="3">
        <v>807.0</v>
      </c>
      <c r="B809" s="3" t="s">
        <v>7283</v>
      </c>
      <c r="C809" s="3">
        <v>28.0</v>
      </c>
      <c r="D809" s="3" t="s">
        <v>6645</v>
      </c>
      <c r="E809" s="3" t="s">
        <v>6646</v>
      </c>
      <c r="F809" s="3" t="s">
        <v>6646</v>
      </c>
      <c r="G809" s="3" t="s">
        <v>6645</v>
      </c>
      <c r="H809" s="3" t="s">
        <v>6645</v>
      </c>
      <c r="I809" s="3" t="s">
        <v>6646</v>
      </c>
      <c r="J809" s="3">
        <v>-1.0</v>
      </c>
      <c r="K809" s="3">
        <v>1.0</v>
      </c>
      <c r="L809" s="3">
        <v>0.0</v>
      </c>
      <c r="M809" s="3">
        <v>0.0</v>
      </c>
      <c r="N809" s="3">
        <v>1400.682</v>
      </c>
      <c r="O809" s="3">
        <v>171.0</v>
      </c>
      <c r="P809" s="3" t="e">
        <v>#N/A</v>
      </c>
      <c r="Q809" s="3">
        <v>43.0</v>
      </c>
      <c r="R809" s="3">
        <v>44.0</v>
      </c>
      <c r="S809" s="3">
        <v>39.0</v>
      </c>
      <c r="T809" s="3">
        <v>35.0</v>
      </c>
      <c r="U809" s="3">
        <v>42.0</v>
      </c>
      <c r="V809" s="3">
        <v>41.0</v>
      </c>
      <c r="W809" s="3">
        <v>43.0</v>
      </c>
      <c r="X809" s="3">
        <v>38.0</v>
      </c>
      <c r="Y809" s="3">
        <v>48.0</v>
      </c>
      <c r="Z809" s="3">
        <v>43.0</v>
      </c>
      <c r="AA809" s="3">
        <v>35.0</v>
      </c>
      <c r="AB809" s="3">
        <v>31.0</v>
      </c>
      <c r="AC809" s="3">
        <v>41.0</v>
      </c>
      <c r="AD809" s="3">
        <v>47.0</v>
      </c>
      <c r="AE809" s="3">
        <v>39.0</v>
      </c>
      <c r="AF809" s="3">
        <v>43.0</v>
      </c>
      <c r="AG809" s="3">
        <v>81.0</v>
      </c>
      <c r="AH809" s="3">
        <v>39.0</v>
      </c>
      <c r="AI809" s="3">
        <v>58.0</v>
      </c>
      <c r="AJ809" s="3">
        <v>32.0</v>
      </c>
      <c r="AK809" s="3">
        <v>32.0</v>
      </c>
      <c r="AL809" s="3">
        <v>33.0</v>
      </c>
      <c r="AM809" s="3">
        <v>14.0</v>
      </c>
      <c r="AN809" s="3">
        <v>33.0</v>
      </c>
    </row>
    <row r="810" ht="14.25" customHeight="1">
      <c r="A810" s="3">
        <v>808.0</v>
      </c>
      <c r="B810" s="3" t="s">
        <v>7284</v>
      </c>
      <c r="C810" s="3">
        <v>20.0</v>
      </c>
      <c r="D810" s="3" t="s">
        <v>6645</v>
      </c>
      <c r="E810" s="3" t="s">
        <v>6646</v>
      </c>
      <c r="F810" s="3" t="s">
        <v>6646</v>
      </c>
      <c r="G810" s="3" t="s">
        <v>6645</v>
      </c>
      <c r="H810" s="3" t="s">
        <v>6645</v>
      </c>
      <c r="I810" s="3" t="s">
        <v>6645</v>
      </c>
      <c r="J810" s="3">
        <v>-1.0</v>
      </c>
      <c r="K810" s="3">
        <v>0.0</v>
      </c>
      <c r="L810" s="3">
        <v>0.0</v>
      </c>
      <c r="M810" s="3">
        <v>0.0</v>
      </c>
      <c r="N810" s="3">
        <v>397.64047</v>
      </c>
      <c r="O810" s="3">
        <v>88.0</v>
      </c>
      <c r="P810" s="3" t="e">
        <v>#N/A</v>
      </c>
      <c r="Q810" s="3">
        <v>39.0</v>
      </c>
      <c r="R810" s="3">
        <v>37.0</v>
      </c>
      <c r="S810" s="3">
        <v>34.0</v>
      </c>
      <c r="T810" s="3">
        <v>30.0</v>
      </c>
      <c r="U810" s="3">
        <v>32.0</v>
      </c>
      <c r="V810" s="3">
        <v>36.0</v>
      </c>
      <c r="W810" s="3">
        <v>38.0</v>
      </c>
      <c r="X810" s="3">
        <v>35.0</v>
      </c>
      <c r="Y810" s="3">
        <v>21.0</v>
      </c>
      <c r="Z810" s="3">
        <v>38.0</v>
      </c>
      <c r="AA810" s="3">
        <v>40.0</v>
      </c>
      <c r="AB810" s="3">
        <v>28.0</v>
      </c>
      <c r="AC810" s="3">
        <v>39.0</v>
      </c>
      <c r="AD810" s="3">
        <v>31.0</v>
      </c>
      <c r="AE810" s="3">
        <v>37.0</v>
      </c>
      <c r="AF810" s="3">
        <v>66.0</v>
      </c>
      <c r="AG810" s="3">
        <v>50.0</v>
      </c>
      <c r="AH810" s="3">
        <v>46.0</v>
      </c>
      <c r="AI810" s="3">
        <v>74.0</v>
      </c>
      <c r="AJ810" s="3">
        <v>32.0</v>
      </c>
      <c r="AK810" s="3">
        <v>5.0</v>
      </c>
      <c r="AL810" s="3">
        <v>50.0</v>
      </c>
      <c r="AM810" s="3">
        <v>71.0</v>
      </c>
      <c r="AN810" s="3">
        <v>4.0</v>
      </c>
    </row>
    <row r="811" ht="14.25" customHeight="1">
      <c r="A811" s="3">
        <v>809.0</v>
      </c>
      <c r="B811" s="3" t="s">
        <v>7285</v>
      </c>
      <c r="C811" s="3">
        <v>24.0</v>
      </c>
      <c r="D811" s="3" t="s">
        <v>6645</v>
      </c>
      <c r="E811" s="3" t="s">
        <v>6646</v>
      </c>
      <c r="F811" s="3" t="s">
        <v>6646</v>
      </c>
      <c r="G811" s="3" t="s">
        <v>6645</v>
      </c>
      <c r="H811" s="3" t="s">
        <v>6645</v>
      </c>
      <c r="I811" s="3" t="s">
        <v>6645</v>
      </c>
      <c r="J811" s="3">
        <v>-1.0</v>
      </c>
      <c r="K811" s="3">
        <v>1.0</v>
      </c>
      <c r="L811" s="3">
        <v>0.0</v>
      </c>
      <c r="M811" s="3">
        <v>0.0</v>
      </c>
      <c r="N811" s="3">
        <v>1542.9893</v>
      </c>
      <c r="O811" s="3">
        <v>241.0</v>
      </c>
      <c r="P811" s="3" t="e">
        <v>#N/A</v>
      </c>
      <c r="Q811" s="3">
        <v>41.0</v>
      </c>
      <c r="R811" s="3">
        <v>38.0</v>
      </c>
      <c r="S811" s="3">
        <v>37.0</v>
      </c>
      <c r="T811" s="3">
        <v>39.0</v>
      </c>
      <c r="U811" s="3">
        <v>44.0</v>
      </c>
      <c r="V811" s="3">
        <v>37.0</v>
      </c>
      <c r="W811" s="3">
        <v>45.0</v>
      </c>
      <c r="X811" s="3">
        <v>32.0</v>
      </c>
      <c r="Y811" s="3">
        <v>44.0</v>
      </c>
      <c r="Z811" s="3">
        <v>45.0</v>
      </c>
      <c r="AA811" s="3">
        <v>48.0</v>
      </c>
      <c r="AB811" s="3">
        <v>26.0</v>
      </c>
      <c r="AC811" s="3">
        <v>40.0</v>
      </c>
      <c r="AD811" s="3">
        <v>35.0</v>
      </c>
      <c r="AE811" s="3">
        <v>26.0</v>
      </c>
      <c r="AF811" s="3">
        <v>36.0</v>
      </c>
      <c r="AG811" s="3">
        <v>49.0</v>
      </c>
      <c r="AH811" s="3">
        <v>46.0</v>
      </c>
      <c r="AI811" s="3">
        <v>15.0</v>
      </c>
      <c r="AJ811" s="3">
        <v>61.0</v>
      </c>
      <c r="AK811" s="3">
        <v>77.0</v>
      </c>
      <c r="AL811" s="3">
        <v>15.0</v>
      </c>
      <c r="AM811" s="3">
        <v>73.0</v>
      </c>
      <c r="AN811" s="3">
        <v>60.0</v>
      </c>
    </row>
    <row r="812" ht="14.25" customHeight="1">
      <c r="A812" s="3">
        <v>810.0</v>
      </c>
      <c r="B812" s="3" t="s">
        <v>7286</v>
      </c>
      <c r="C812" s="3">
        <v>39.0</v>
      </c>
      <c r="D812" s="3" t="s">
        <v>6645</v>
      </c>
      <c r="E812" s="3" t="s">
        <v>6646</v>
      </c>
      <c r="F812" s="3" t="s">
        <v>6646</v>
      </c>
      <c r="G812" s="3" t="s">
        <v>6645</v>
      </c>
      <c r="H812" s="3" t="s">
        <v>6645</v>
      </c>
      <c r="I812" s="3" t="s">
        <v>6646</v>
      </c>
      <c r="J812" s="3">
        <v>-1.0</v>
      </c>
      <c r="K812" s="3">
        <v>4.0</v>
      </c>
      <c r="L812" s="3">
        <v>0.0</v>
      </c>
      <c r="M812" s="3">
        <v>0.0</v>
      </c>
      <c r="N812" s="3">
        <v>8962.39</v>
      </c>
      <c r="O812" s="3">
        <v>1810.0</v>
      </c>
      <c r="P812" s="3" t="e">
        <v>#N/A</v>
      </c>
      <c r="Q812" s="3">
        <v>50.0</v>
      </c>
      <c r="R812" s="3">
        <v>74.0</v>
      </c>
      <c r="S812" s="3">
        <v>69.0</v>
      </c>
      <c r="T812" s="3">
        <v>51.0</v>
      </c>
      <c r="U812" s="3">
        <v>57.0</v>
      </c>
      <c r="V812" s="3">
        <v>51.0</v>
      </c>
      <c r="W812" s="3">
        <v>63.0</v>
      </c>
      <c r="X812" s="3">
        <v>57.0</v>
      </c>
      <c r="Y812" s="3">
        <v>71.0</v>
      </c>
      <c r="Z812" s="3">
        <v>52.0</v>
      </c>
      <c r="AA812" s="3">
        <v>51.0</v>
      </c>
      <c r="AB812" s="3">
        <v>55.0</v>
      </c>
      <c r="AC812" s="3">
        <v>54.0</v>
      </c>
      <c r="AD812" s="3">
        <v>57.0</v>
      </c>
      <c r="AE812" s="3">
        <v>89.0</v>
      </c>
      <c r="AF812" s="3">
        <v>54.0</v>
      </c>
      <c r="AG812" s="3">
        <v>85.0</v>
      </c>
      <c r="AH812" s="3">
        <v>38.0</v>
      </c>
      <c r="AI812" s="3">
        <v>61.0</v>
      </c>
      <c r="AJ812" s="3">
        <v>41.0</v>
      </c>
      <c r="AK812" s="3">
        <v>65.0</v>
      </c>
      <c r="AL812" s="3">
        <v>35.0</v>
      </c>
      <c r="AM812" s="3">
        <v>47.0</v>
      </c>
      <c r="AN812" s="3">
        <v>59.0</v>
      </c>
    </row>
    <row r="813" ht="14.25" customHeight="1">
      <c r="A813" s="3">
        <v>811.0</v>
      </c>
      <c r="B813" s="3" t="s">
        <v>7287</v>
      </c>
      <c r="C813" s="3">
        <v>16.0</v>
      </c>
      <c r="D813" s="3" t="s">
        <v>6645</v>
      </c>
      <c r="E813" s="3" t="s">
        <v>6646</v>
      </c>
      <c r="F813" s="3" t="s">
        <v>6646</v>
      </c>
      <c r="G813" s="3" t="s">
        <v>6645</v>
      </c>
      <c r="H813" s="3" t="s">
        <v>6645</v>
      </c>
      <c r="I813" s="3" t="s">
        <v>6646</v>
      </c>
      <c r="J813" s="3">
        <v>-1.0</v>
      </c>
      <c r="K813" s="3">
        <v>0.0</v>
      </c>
      <c r="L813" s="3">
        <v>0.0</v>
      </c>
      <c r="M813" s="3">
        <v>0.0</v>
      </c>
      <c r="N813" s="3">
        <v>395.5023</v>
      </c>
      <c r="O813" s="3">
        <v>112.0</v>
      </c>
      <c r="P813" s="3" t="e">
        <v>#N/A</v>
      </c>
      <c r="Q813" s="3">
        <v>36.0</v>
      </c>
      <c r="R813" s="3">
        <v>37.0</v>
      </c>
      <c r="S813" s="3">
        <v>34.0</v>
      </c>
      <c r="T813" s="3">
        <v>30.0</v>
      </c>
      <c r="U813" s="3">
        <v>33.0</v>
      </c>
      <c r="V813" s="3">
        <v>37.0</v>
      </c>
      <c r="W813" s="3">
        <v>35.0</v>
      </c>
      <c r="X813" s="3">
        <v>32.0</v>
      </c>
      <c r="Y813" s="3">
        <v>37.0</v>
      </c>
      <c r="Z813" s="3">
        <v>35.0</v>
      </c>
      <c r="AA813" s="3">
        <v>44.0</v>
      </c>
      <c r="AB813" s="3">
        <v>28.0</v>
      </c>
      <c r="AC813" s="3">
        <v>26.0</v>
      </c>
      <c r="AD813" s="3">
        <v>42.0</v>
      </c>
      <c r="AE813" s="3">
        <v>24.0</v>
      </c>
      <c r="AF813" s="3">
        <v>36.0</v>
      </c>
      <c r="AG813" s="3">
        <v>76.0</v>
      </c>
      <c r="AH813" s="3">
        <v>39.0</v>
      </c>
      <c r="AI813" s="3">
        <v>64.0</v>
      </c>
      <c r="AJ813" s="3">
        <v>9.0</v>
      </c>
      <c r="AK813" s="3">
        <v>31.0</v>
      </c>
      <c r="AL813" s="3">
        <v>3.0</v>
      </c>
      <c r="AM813" s="3">
        <v>47.0</v>
      </c>
      <c r="AN813" s="3">
        <v>33.0</v>
      </c>
    </row>
    <row r="814" ht="14.25" customHeight="1">
      <c r="A814" s="3">
        <v>812.0</v>
      </c>
      <c r="B814" s="3" t="s">
        <v>7288</v>
      </c>
      <c r="C814" s="3">
        <v>23.0</v>
      </c>
      <c r="D814" s="3" t="s">
        <v>6645</v>
      </c>
      <c r="E814" s="3" t="s">
        <v>6646</v>
      </c>
      <c r="F814" s="3" t="s">
        <v>6646</v>
      </c>
      <c r="G814" s="3" t="s">
        <v>6645</v>
      </c>
      <c r="H814" s="3" t="s">
        <v>6645</v>
      </c>
      <c r="I814" s="3" t="s">
        <v>6646</v>
      </c>
      <c r="J814" s="3">
        <v>-1.0</v>
      </c>
      <c r="K814" s="3">
        <v>0.0</v>
      </c>
      <c r="L814" s="3">
        <v>0.0</v>
      </c>
      <c r="M814" s="3">
        <v>0.0</v>
      </c>
      <c r="N814" s="3">
        <v>364.55923</v>
      </c>
      <c r="O814" s="3">
        <v>103.0</v>
      </c>
      <c r="P814" s="3" t="e">
        <v>#N/A</v>
      </c>
      <c r="Q814" s="3">
        <v>37.0</v>
      </c>
      <c r="R814" s="3">
        <v>33.0</v>
      </c>
      <c r="S814" s="3">
        <v>33.0</v>
      </c>
      <c r="T814" s="3">
        <v>34.0</v>
      </c>
      <c r="U814" s="3">
        <v>37.0</v>
      </c>
      <c r="V814" s="3">
        <v>30.0</v>
      </c>
      <c r="W814" s="3">
        <v>23.0</v>
      </c>
      <c r="X814" s="3">
        <v>33.0</v>
      </c>
      <c r="Y814" s="3">
        <v>45.0</v>
      </c>
      <c r="Z814" s="3">
        <v>30.0</v>
      </c>
      <c r="AA814" s="3">
        <v>39.0</v>
      </c>
      <c r="AB814" s="3">
        <v>45.0</v>
      </c>
      <c r="AC814" s="3">
        <v>38.0</v>
      </c>
      <c r="AD814" s="3">
        <v>32.0</v>
      </c>
      <c r="AE814" s="3">
        <v>22.0</v>
      </c>
      <c r="AF814" s="3">
        <v>39.0</v>
      </c>
      <c r="AG814" s="3">
        <v>25.0</v>
      </c>
      <c r="AH814" s="3">
        <v>4.0</v>
      </c>
      <c r="AI814" s="3">
        <v>31.0</v>
      </c>
      <c r="AJ814" s="3">
        <v>63.0</v>
      </c>
      <c r="AK814" s="3">
        <v>39.0</v>
      </c>
      <c r="AL814" s="3">
        <v>67.0</v>
      </c>
      <c r="AM814" s="3">
        <v>59.0</v>
      </c>
      <c r="AN814" s="3">
        <v>48.0</v>
      </c>
    </row>
    <row r="815" ht="14.25" customHeight="1">
      <c r="A815" s="3">
        <v>813.0</v>
      </c>
      <c r="B815" s="3" t="s">
        <v>7289</v>
      </c>
      <c r="C815" s="3">
        <v>45.0</v>
      </c>
      <c r="D815" s="3" t="s">
        <v>6645</v>
      </c>
      <c r="E815" s="3" t="s">
        <v>6646</v>
      </c>
      <c r="F815" s="3" t="s">
        <v>6646</v>
      </c>
      <c r="G815" s="3" t="s">
        <v>6645</v>
      </c>
      <c r="H815" s="3" t="s">
        <v>6645</v>
      </c>
      <c r="I815" s="3" t="s">
        <v>6645</v>
      </c>
      <c r="J815" s="3">
        <v>-1.0</v>
      </c>
      <c r="K815" s="3">
        <v>5.0</v>
      </c>
      <c r="L815" s="3">
        <v>0.0</v>
      </c>
      <c r="M815" s="3">
        <v>0.0</v>
      </c>
      <c r="N815" s="3">
        <v>15319.205</v>
      </c>
      <c r="O815" s="3">
        <v>3278.0</v>
      </c>
      <c r="P815" s="3" t="e">
        <v>#N/A</v>
      </c>
      <c r="Q815" s="3">
        <v>64.0</v>
      </c>
      <c r="R815" s="3">
        <v>62.0</v>
      </c>
      <c r="S815" s="3">
        <v>93.0</v>
      </c>
      <c r="T815" s="3">
        <v>69.0</v>
      </c>
      <c r="U815" s="3">
        <v>67.0</v>
      </c>
      <c r="V815" s="3">
        <v>62.0</v>
      </c>
      <c r="W815" s="3">
        <v>80.0</v>
      </c>
      <c r="X815" s="3">
        <v>64.0</v>
      </c>
      <c r="Y815" s="3">
        <v>77.0</v>
      </c>
      <c r="Z815" s="3">
        <v>59.0</v>
      </c>
      <c r="AA815" s="3">
        <v>69.0</v>
      </c>
      <c r="AB815" s="3">
        <v>55.0</v>
      </c>
      <c r="AC815" s="3">
        <v>86.0</v>
      </c>
      <c r="AD815" s="3">
        <v>61.0</v>
      </c>
      <c r="AE815" s="3">
        <v>78.0</v>
      </c>
      <c r="AF815" s="3">
        <v>34.0</v>
      </c>
      <c r="AG815" s="3">
        <v>83.0</v>
      </c>
      <c r="AH815" s="3">
        <v>60.0</v>
      </c>
      <c r="AI815" s="3">
        <v>47.0</v>
      </c>
      <c r="AJ815" s="3">
        <v>75.0</v>
      </c>
      <c r="AK815" s="3">
        <v>21.0</v>
      </c>
      <c r="AL815" s="3">
        <v>78.0</v>
      </c>
      <c r="AM815" s="3">
        <v>30.0</v>
      </c>
      <c r="AN815" s="3">
        <v>53.0</v>
      </c>
    </row>
    <row r="816" ht="14.25" customHeight="1">
      <c r="A816" s="3">
        <v>814.0</v>
      </c>
      <c r="B816" s="3" t="s">
        <v>7290</v>
      </c>
      <c r="C816" s="3">
        <v>37.0</v>
      </c>
      <c r="D816" s="3" t="s">
        <v>6645</v>
      </c>
      <c r="E816" s="3" t="s">
        <v>6646</v>
      </c>
      <c r="F816" s="3" t="s">
        <v>6646</v>
      </c>
      <c r="G816" s="3" t="s">
        <v>6645</v>
      </c>
      <c r="H816" s="3" t="s">
        <v>6645</v>
      </c>
      <c r="I816" s="3" t="s">
        <v>6645</v>
      </c>
      <c r="J816" s="3">
        <v>-1.0</v>
      </c>
      <c r="K816" s="3">
        <v>3.0</v>
      </c>
      <c r="L816" s="3">
        <v>0.0</v>
      </c>
      <c r="M816" s="3">
        <v>0.0</v>
      </c>
      <c r="N816" s="3">
        <v>4457.07</v>
      </c>
      <c r="O816" s="3">
        <v>845.0</v>
      </c>
      <c r="P816" s="3" t="e">
        <v>#N/A</v>
      </c>
      <c r="Q816" s="3">
        <v>48.0</v>
      </c>
      <c r="R816" s="3">
        <v>47.0</v>
      </c>
      <c r="S816" s="3">
        <v>57.0</v>
      </c>
      <c r="T816" s="3">
        <v>49.0</v>
      </c>
      <c r="U816" s="3">
        <v>49.0</v>
      </c>
      <c r="V816" s="3">
        <v>51.0</v>
      </c>
      <c r="W816" s="3">
        <v>59.0</v>
      </c>
      <c r="X816" s="3">
        <v>48.0</v>
      </c>
      <c r="Y816" s="3">
        <v>39.0</v>
      </c>
      <c r="Z816" s="3">
        <v>48.0</v>
      </c>
      <c r="AA816" s="3">
        <v>49.0</v>
      </c>
      <c r="AB816" s="3">
        <v>58.0</v>
      </c>
      <c r="AC816" s="3">
        <v>52.0</v>
      </c>
      <c r="AD816" s="3">
        <v>44.0</v>
      </c>
      <c r="AE816" s="3">
        <v>56.0</v>
      </c>
      <c r="AF816" s="3">
        <v>57.0</v>
      </c>
      <c r="AG816" s="3">
        <v>54.0</v>
      </c>
      <c r="AH816" s="3">
        <v>41.0</v>
      </c>
      <c r="AI816" s="3">
        <v>51.0</v>
      </c>
      <c r="AJ816" s="3">
        <v>45.0</v>
      </c>
      <c r="AK816" s="3">
        <v>51.0</v>
      </c>
      <c r="AL816" s="3">
        <v>39.0</v>
      </c>
      <c r="AM816" s="3">
        <v>45.0</v>
      </c>
      <c r="AN816" s="3">
        <v>40.0</v>
      </c>
    </row>
    <row r="817" ht="14.25" customHeight="1">
      <c r="A817" s="3">
        <v>815.0</v>
      </c>
      <c r="B817" s="3" t="s">
        <v>7291</v>
      </c>
      <c r="C817" s="3">
        <v>34.0</v>
      </c>
      <c r="D817" s="3" t="s">
        <v>6645</v>
      </c>
      <c r="E817" s="3" t="s">
        <v>6646</v>
      </c>
      <c r="F817" s="3" t="s">
        <v>6646</v>
      </c>
      <c r="G817" s="3" t="s">
        <v>6645</v>
      </c>
      <c r="H817" s="3" t="s">
        <v>6645</v>
      </c>
      <c r="I817" s="3" t="s">
        <v>6645</v>
      </c>
      <c r="J817" s="3">
        <v>-1.0</v>
      </c>
      <c r="K817" s="3">
        <v>2.0</v>
      </c>
      <c r="L817" s="3">
        <v>0.0</v>
      </c>
      <c r="M817" s="3">
        <v>0.0</v>
      </c>
      <c r="N817" s="3">
        <v>2491.7143</v>
      </c>
      <c r="O817" s="3">
        <v>455.0</v>
      </c>
      <c r="P817" s="3" t="e">
        <v>#N/A</v>
      </c>
      <c r="Q817" s="3">
        <v>40.0</v>
      </c>
      <c r="R817" s="3">
        <v>45.0</v>
      </c>
      <c r="S817" s="3">
        <v>41.0</v>
      </c>
      <c r="T817" s="3">
        <v>40.0</v>
      </c>
      <c r="U817" s="3">
        <v>48.0</v>
      </c>
      <c r="V817" s="3">
        <v>40.0</v>
      </c>
      <c r="W817" s="3">
        <v>37.0</v>
      </c>
      <c r="X817" s="3">
        <v>46.0</v>
      </c>
      <c r="Y817" s="3">
        <v>36.0</v>
      </c>
      <c r="Z817" s="3">
        <v>47.0</v>
      </c>
      <c r="AA817" s="3">
        <v>47.0</v>
      </c>
      <c r="AB817" s="3">
        <v>48.0</v>
      </c>
      <c r="AC817" s="3">
        <v>38.0</v>
      </c>
      <c r="AD817" s="3">
        <v>43.0</v>
      </c>
      <c r="AE817" s="3">
        <v>44.0</v>
      </c>
      <c r="AF817" s="3">
        <v>43.0</v>
      </c>
      <c r="AG817" s="3">
        <v>43.0</v>
      </c>
      <c r="AH817" s="3">
        <v>59.0</v>
      </c>
      <c r="AI817" s="3">
        <v>42.0</v>
      </c>
      <c r="AJ817" s="3">
        <v>35.0</v>
      </c>
      <c r="AK817" s="3">
        <v>52.0</v>
      </c>
      <c r="AL817" s="3">
        <v>47.0</v>
      </c>
      <c r="AM817" s="3">
        <v>60.0</v>
      </c>
      <c r="AN817" s="3">
        <v>46.0</v>
      </c>
    </row>
    <row r="818" ht="14.25" customHeight="1">
      <c r="A818" s="3">
        <v>816.0</v>
      </c>
      <c r="B818" s="3" t="s">
        <v>7292</v>
      </c>
      <c r="C818" s="3">
        <v>20.0</v>
      </c>
      <c r="D818" s="3" t="s">
        <v>6645</v>
      </c>
      <c r="E818" s="3" t="s">
        <v>6646</v>
      </c>
      <c r="F818" s="3" t="s">
        <v>6646</v>
      </c>
      <c r="G818" s="3" t="s">
        <v>6645</v>
      </c>
      <c r="H818" s="3" t="s">
        <v>6645</v>
      </c>
      <c r="I818" s="3" t="s">
        <v>6646</v>
      </c>
      <c r="J818" s="3">
        <v>-1.0</v>
      </c>
      <c r="K818" s="3">
        <v>0.0</v>
      </c>
      <c r="L818" s="3">
        <v>0.0</v>
      </c>
      <c r="M818" s="3">
        <v>0.0</v>
      </c>
      <c r="N818" s="3">
        <v>418.199</v>
      </c>
      <c r="O818" s="3">
        <v>114.0</v>
      </c>
      <c r="P818" s="3" t="e">
        <v>#N/A</v>
      </c>
      <c r="Q818" s="3">
        <v>36.0</v>
      </c>
      <c r="R818" s="3">
        <v>31.0</v>
      </c>
      <c r="S818" s="3">
        <v>38.0</v>
      </c>
      <c r="T818" s="3">
        <v>32.0</v>
      </c>
      <c r="U818" s="3">
        <v>38.0</v>
      </c>
      <c r="V818" s="3">
        <v>31.0</v>
      </c>
      <c r="W818" s="3">
        <v>29.0</v>
      </c>
      <c r="X818" s="3">
        <v>35.0</v>
      </c>
      <c r="Y818" s="3">
        <v>40.0</v>
      </c>
      <c r="Z818" s="3">
        <v>47.0</v>
      </c>
      <c r="AA818" s="3">
        <v>37.0</v>
      </c>
      <c r="AB818" s="3">
        <v>30.0</v>
      </c>
      <c r="AC818" s="3">
        <v>22.0</v>
      </c>
      <c r="AD818" s="3">
        <v>37.0</v>
      </c>
      <c r="AE818" s="3">
        <v>22.0</v>
      </c>
      <c r="AF818" s="3">
        <v>48.0</v>
      </c>
      <c r="AG818" s="3">
        <v>30.0</v>
      </c>
      <c r="AH818" s="3">
        <v>56.0</v>
      </c>
      <c r="AI818" s="3">
        <v>38.0</v>
      </c>
      <c r="AJ818" s="3">
        <v>38.0</v>
      </c>
      <c r="AK818" s="3">
        <v>31.0</v>
      </c>
      <c r="AL818" s="3">
        <v>56.0</v>
      </c>
      <c r="AM818" s="3">
        <v>38.0</v>
      </c>
      <c r="AN818" s="3">
        <v>45.0</v>
      </c>
    </row>
    <row r="819" ht="14.25" customHeight="1">
      <c r="A819" s="3">
        <v>817.0</v>
      </c>
      <c r="B819" s="3" t="s">
        <v>7293</v>
      </c>
      <c r="C819" s="3">
        <v>41.0</v>
      </c>
      <c r="D819" s="3" t="s">
        <v>6645</v>
      </c>
      <c r="E819" s="3" t="s">
        <v>6646</v>
      </c>
      <c r="F819" s="3" t="s">
        <v>6646</v>
      </c>
      <c r="G819" s="3" t="s">
        <v>6645</v>
      </c>
      <c r="H819" s="3" t="s">
        <v>6645</v>
      </c>
      <c r="I819" s="3" t="s">
        <v>6645</v>
      </c>
      <c r="J819" s="3">
        <v>-1.0</v>
      </c>
      <c r="K819" s="3">
        <v>4.0</v>
      </c>
      <c r="L819" s="3">
        <v>0.0</v>
      </c>
      <c r="M819" s="3">
        <v>0.0</v>
      </c>
      <c r="N819" s="3">
        <v>9805.2705</v>
      </c>
      <c r="O819" s="3">
        <v>1546.0</v>
      </c>
      <c r="P819" s="3" t="e">
        <v>#N/A</v>
      </c>
      <c r="Q819" s="3">
        <v>63.0</v>
      </c>
      <c r="R819" s="3">
        <v>57.0</v>
      </c>
      <c r="S819" s="3">
        <v>51.0</v>
      </c>
      <c r="T819" s="3">
        <v>56.0</v>
      </c>
      <c r="U819" s="3">
        <v>52.0</v>
      </c>
      <c r="V819" s="3">
        <v>60.0</v>
      </c>
      <c r="W819" s="3">
        <v>76.0</v>
      </c>
      <c r="X819" s="3">
        <v>48.0</v>
      </c>
      <c r="Y819" s="3">
        <v>60.0</v>
      </c>
      <c r="Z819" s="3">
        <v>55.0</v>
      </c>
      <c r="AA819" s="3">
        <v>46.0</v>
      </c>
      <c r="AB819" s="3">
        <v>62.0</v>
      </c>
      <c r="AC819" s="3">
        <v>54.0</v>
      </c>
      <c r="AD819" s="3">
        <v>77.0</v>
      </c>
      <c r="AE819" s="3">
        <v>49.0</v>
      </c>
      <c r="AF819" s="3">
        <v>36.0</v>
      </c>
      <c r="AG819" s="3">
        <v>46.0</v>
      </c>
      <c r="AH819" s="3">
        <v>77.0</v>
      </c>
      <c r="AI819" s="3">
        <v>83.0</v>
      </c>
      <c r="AJ819" s="3">
        <v>45.0</v>
      </c>
      <c r="AK819" s="3">
        <v>60.0</v>
      </c>
      <c r="AL819" s="3">
        <v>49.0</v>
      </c>
      <c r="AM819" s="3">
        <v>56.0</v>
      </c>
      <c r="AN819" s="3">
        <v>40.0</v>
      </c>
    </row>
    <row r="820" ht="14.25" customHeight="1">
      <c r="A820" s="3">
        <v>818.0</v>
      </c>
      <c r="B820" s="3" t="s">
        <v>7294</v>
      </c>
      <c r="C820" s="3">
        <v>17.0</v>
      </c>
      <c r="D820" s="3" t="s">
        <v>6645</v>
      </c>
      <c r="E820" s="3" t="s">
        <v>6646</v>
      </c>
      <c r="F820" s="3" t="s">
        <v>6646</v>
      </c>
      <c r="G820" s="3" t="s">
        <v>6645</v>
      </c>
      <c r="H820" s="3" t="s">
        <v>6645</v>
      </c>
      <c r="I820" s="3" t="s">
        <v>6646</v>
      </c>
      <c r="J820" s="3">
        <v>-1.0</v>
      </c>
      <c r="K820" s="3">
        <v>0.0</v>
      </c>
      <c r="L820" s="3">
        <v>0.0</v>
      </c>
      <c r="M820" s="3">
        <v>0.0</v>
      </c>
      <c r="N820" s="3">
        <v>386.74905</v>
      </c>
      <c r="O820" s="3">
        <v>88.0</v>
      </c>
      <c r="P820" s="3" t="e">
        <v>#N/A</v>
      </c>
      <c r="Q820" s="3">
        <v>33.0</v>
      </c>
      <c r="R820" s="3">
        <v>38.0</v>
      </c>
      <c r="S820" s="3">
        <v>31.0</v>
      </c>
      <c r="T820" s="3">
        <v>34.0</v>
      </c>
      <c r="U820" s="3">
        <v>35.0</v>
      </c>
      <c r="V820" s="3">
        <v>35.0</v>
      </c>
      <c r="W820" s="3">
        <v>42.0</v>
      </c>
      <c r="X820" s="3">
        <v>24.0</v>
      </c>
      <c r="Y820" s="3">
        <v>29.0</v>
      </c>
      <c r="Z820" s="3">
        <v>45.0</v>
      </c>
      <c r="AA820" s="3">
        <v>20.0</v>
      </c>
      <c r="AB820" s="3">
        <v>35.0</v>
      </c>
      <c r="AC820" s="3">
        <v>31.0</v>
      </c>
      <c r="AD820" s="3">
        <v>32.0</v>
      </c>
      <c r="AE820" s="3">
        <v>45.0</v>
      </c>
      <c r="AF820" s="3">
        <v>58.0</v>
      </c>
      <c r="AG820" s="3">
        <v>33.0</v>
      </c>
      <c r="AH820" s="3">
        <v>55.0</v>
      </c>
      <c r="AI820" s="3">
        <v>41.0</v>
      </c>
      <c r="AJ820" s="3">
        <v>58.0</v>
      </c>
      <c r="AK820" s="3">
        <v>48.0</v>
      </c>
      <c r="AL820" s="3">
        <v>35.0</v>
      </c>
      <c r="AM820" s="3">
        <v>69.0</v>
      </c>
      <c r="AN820" s="3">
        <v>14.0</v>
      </c>
    </row>
    <row r="821" ht="14.25" customHeight="1">
      <c r="A821" s="3">
        <v>819.0</v>
      </c>
      <c r="B821" s="3" t="s">
        <v>7295</v>
      </c>
      <c r="C821" s="3">
        <v>43.0</v>
      </c>
      <c r="D821" s="3" t="s">
        <v>6645</v>
      </c>
      <c r="E821" s="3" t="s">
        <v>6646</v>
      </c>
      <c r="F821" s="3" t="s">
        <v>6646</v>
      </c>
      <c r="G821" s="3" t="s">
        <v>6645</v>
      </c>
      <c r="H821" s="3" t="s">
        <v>6645</v>
      </c>
      <c r="I821" s="3" t="s">
        <v>6646</v>
      </c>
      <c r="J821" s="3">
        <v>-1.0</v>
      </c>
      <c r="K821" s="3">
        <v>5.0</v>
      </c>
      <c r="L821" s="3">
        <v>0.0</v>
      </c>
      <c r="M821" s="3">
        <v>0.0</v>
      </c>
      <c r="N821" s="3">
        <v>14171.863</v>
      </c>
      <c r="O821" s="3">
        <v>2521.0</v>
      </c>
      <c r="P821" s="3" t="e">
        <v>#N/A</v>
      </c>
      <c r="Q821" s="3">
        <v>62.0</v>
      </c>
      <c r="R821" s="3">
        <v>60.0</v>
      </c>
      <c r="S821" s="3">
        <v>87.0</v>
      </c>
      <c r="T821" s="3">
        <v>58.0</v>
      </c>
      <c r="U821" s="3">
        <v>71.0</v>
      </c>
      <c r="V821" s="3">
        <v>68.0</v>
      </c>
      <c r="W821" s="3">
        <v>66.0</v>
      </c>
      <c r="X821" s="3">
        <v>85.0</v>
      </c>
      <c r="Y821" s="3">
        <v>60.0</v>
      </c>
      <c r="Z821" s="3">
        <v>86.0</v>
      </c>
      <c r="AA821" s="3">
        <v>84.0</v>
      </c>
      <c r="AB821" s="3">
        <v>60.0</v>
      </c>
      <c r="AC821" s="3">
        <v>52.0</v>
      </c>
      <c r="AD821" s="3">
        <v>73.0</v>
      </c>
      <c r="AE821" s="3">
        <v>54.0</v>
      </c>
      <c r="AF821" s="3">
        <v>69.0</v>
      </c>
      <c r="AG821" s="3">
        <v>47.0</v>
      </c>
      <c r="AH821" s="3">
        <v>69.0</v>
      </c>
      <c r="AI821" s="3">
        <v>13.0</v>
      </c>
      <c r="AJ821" s="3">
        <v>45.0</v>
      </c>
      <c r="AK821" s="3">
        <v>58.0</v>
      </c>
      <c r="AL821" s="3">
        <v>65.0</v>
      </c>
      <c r="AM821" s="3">
        <v>53.0</v>
      </c>
      <c r="AN821" s="3">
        <v>76.0</v>
      </c>
    </row>
    <row r="822" ht="14.25" customHeight="1">
      <c r="A822" s="3">
        <v>820.0</v>
      </c>
      <c r="B822" s="3" t="s">
        <v>7296</v>
      </c>
      <c r="C822" s="3">
        <v>23.0</v>
      </c>
      <c r="D822" s="3" t="s">
        <v>6645</v>
      </c>
      <c r="E822" s="3" t="s">
        <v>6646</v>
      </c>
      <c r="F822" s="3" t="s">
        <v>6646</v>
      </c>
      <c r="G822" s="3" t="s">
        <v>6645</v>
      </c>
      <c r="H822" s="3" t="s">
        <v>6645</v>
      </c>
      <c r="I822" s="3" t="s">
        <v>6645</v>
      </c>
      <c r="J822" s="3">
        <v>-1.0</v>
      </c>
      <c r="K822" s="3">
        <v>0.0</v>
      </c>
      <c r="L822" s="3">
        <v>0.0</v>
      </c>
      <c r="M822" s="3">
        <v>0.0</v>
      </c>
      <c r="N822" s="3">
        <v>475.462</v>
      </c>
      <c r="O822" s="3">
        <v>110.0</v>
      </c>
      <c r="P822" s="3" t="e">
        <v>#N/A</v>
      </c>
      <c r="Q822" s="3">
        <v>34.0</v>
      </c>
      <c r="R822" s="3">
        <v>30.0</v>
      </c>
      <c r="S822" s="3">
        <v>32.0</v>
      </c>
      <c r="T822" s="3">
        <v>37.0</v>
      </c>
      <c r="U822" s="3">
        <v>36.0</v>
      </c>
      <c r="V822" s="3">
        <v>35.0</v>
      </c>
      <c r="W822" s="3">
        <v>31.0</v>
      </c>
      <c r="X822" s="3">
        <v>38.0</v>
      </c>
      <c r="Y822" s="3">
        <v>42.0</v>
      </c>
      <c r="Z822" s="3">
        <v>39.0</v>
      </c>
      <c r="AA822" s="3">
        <v>39.0</v>
      </c>
      <c r="AB822" s="3">
        <v>35.0</v>
      </c>
      <c r="AC822" s="3">
        <v>24.0</v>
      </c>
      <c r="AD822" s="3">
        <v>48.0</v>
      </c>
      <c r="AE822" s="3">
        <v>23.0</v>
      </c>
      <c r="AF822" s="3">
        <v>57.0</v>
      </c>
      <c r="AG822" s="3">
        <v>33.0</v>
      </c>
      <c r="AH822" s="3">
        <v>42.0</v>
      </c>
      <c r="AI822" s="3">
        <v>41.0</v>
      </c>
      <c r="AJ822" s="3">
        <v>36.0</v>
      </c>
      <c r="AK822" s="3">
        <v>33.0</v>
      </c>
      <c r="AL822" s="3">
        <v>53.0</v>
      </c>
      <c r="AM822" s="3">
        <v>54.0</v>
      </c>
      <c r="AN822" s="3">
        <v>49.0</v>
      </c>
    </row>
    <row r="823" ht="14.25" customHeight="1">
      <c r="A823" s="3">
        <v>821.0</v>
      </c>
      <c r="B823" s="3" t="s">
        <v>7297</v>
      </c>
      <c r="C823" s="3">
        <v>37.0</v>
      </c>
      <c r="D823" s="3" t="s">
        <v>6645</v>
      </c>
      <c r="E823" s="3" t="s">
        <v>6646</v>
      </c>
      <c r="F823" s="3" t="s">
        <v>6646</v>
      </c>
      <c r="G823" s="3" t="s">
        <v>6645</v>
      </c>
      <c r="H823" s="3" t="s">
        <v>6645</v>
      </c>
      <c r="I823" s="3" t="s">
        <v>6646</v>
      </c>
      <c r="J823" s="3">
        <v>-1.0</v>
      </c>
      <c r="K823" s="3">
        <v>3.0</v>
      </c>
      <c r="L823" s="3">
        <v>0.0</v>
      </c>
      <c r="M823" s="3">
        <v>0.0</v>
      </c>
      <c r="N823" s="3">
        <v>4843.1357</v>
      </c>
      <c r="O823" s="3">
        <v>972.0</v>
      </c>
      <c r="P823" s="3" t="e">
        <v>#N/A</v>
      </c>
      <c r="Q823" s="3">
        <v>45.0</v>
      </c>
      <c r="R823" s="3">
        <v>55.0</v>
      </c>
      <c r="S823" s="3">
        <v>50.0</v>
      </c>
      <c r="T823" s="3">
        <v>50.0</v>
      </c>
      <c r="U823" s="3">
        <v>46.0</v>
      </c>
      <c r="V823" s="3">
        <v>45.0</v>
      </c>
      <c r="W823" s="3">
        <v>53.0</v>
      </c>
      <c r="X823" s="3">
        <v>53.0</v>
      </c>
      <c r="Y823" s="3">
        <v>52.0</v>
      </c>
      <c r="Z823" s="3">
        <v>42.0</v>
      </c>
      <c r="AA823" s="3">
        <v>58.0</v>
      </c>
      <c r="AB823" s="3">
        <v>40.0</v>
      </c>
      <c r="AC823" s="3">
        <v>53.0</v>
      </c>
      <c r="AD823" s="3">
        <v>39.0</v>
      </c>
      <c r="AE823" s="3">
        <v>60.0</v>
      </c>
      <c r="AF823" s="3">
        <v>42.0</v>
      </c>
      <c r="AG823" s="3">
        <v>45.0</v>
      </c>
      <c r="AH823" s="3">
        <v>56.0</v>
      </c>
      <c r="AI823" s="3">
        <v>49.0</v>
      </c>
      <c r="AJ823" s="3">
        <v>38.0</v>
      </c>
      <c r="AK823" s="3">
        <v>36.0</v>
      </c>
      <c r="AL823" s="3">
        <v>50.0</v>
      </c>
      <c r="AM823" s="3">
        <v>51.0</v>
      </c>
      <c r="AN823" s="3">
        <v>49.0</v>
      </c>
    </row>
    <row r="824" ht="14.25" customHeight="1">
      <c r="A824" s="3">
        <v>822.0</v>
      </c>
      <c r="B824" s="3" t="s">
        <v>7298</v>
      </c>
      <c r="C824" s="3">
        <v>19.0</v>
      </c>
      <c r="D824" s="3" t="s">
        <v>6645</v>
      </c>
      <c r="E824" s="3" t="s">
        <v>6646</v>
      </c>
      <c r="F824" s="3" t="s">
        <v>6646</v>
      </c>
      <c r="G824" s="3" t="s">
        <v>6645</v>
      </c>
      <c r="H824" s="3" t="s">
        <v>6645</v>
      </c>
      <c r="I824" s="3" t="s">
        <v>6646</v>
      </c>
      <c r="J824" s="3">
        <v>-1.0</v>
      </c>
      <c r="K824" s="3">
        <v>0.0</v>
      </c>
      <c r="L824" s="3">
        <v>0.0</v>
      </c>
      <c r="M824" s="3">
        <v>0.0</v>
      </c>
      <c r="N824" s="3">
        <v>500.40872</v>
      </c>
      <c r="O824" s="3">
        <v>83.0</v>
      </c>
      <c r="P824" s="3" t="e">
        <v>#N/A</v>
      </c>
      <c r="Q824" s="3">
        <v>33.0</v>
      </c>
      <c r="R824" s="3">
        <v>31.0</v>
      </c>
      <c r="S824" s="3">
        <v>36.0</v>
      </c>
      <c r="T824" s="3">
        <v>37.0</v>
      </c>
      <c r="U824" s="3">
        <v>35.0</v>
      </c>
      <c r="V824" s="3">
        <v>35.0</v>
      </c>
      <c r="W824" s="3">
        <v>39.0</v>
      </c>
      <c r="X824" s="3">
        <v>28.0</v>
      </c>
      <c r="Y824" s="3">
        <v>39.0</v>
      </c>
      <c r="Z824" s="3">
        <v>32.0</v>
      </c>
      <c r="AA824" s="3">
        <v>31.0</v>
      </c>
      <c r="AB824" s="3">
        <v>38.0</v>
      </c>
      <c r="AC824" s="3">
        <v>31.0</v>
      </c>
      <c r="AD824" s="3">
        <v>40.0</v>
      </c>
      <c r="AE824" s="3">
        <v>37.0</v>
      </c>
      <c r="AF824" s="3">
        <v>41.0</v>
      </c>
      <c r="AG824" s="3">
        <v>55.0</v>
      </c>
      <c r="AH824" s="3">
        <v>36.0</v>
      </c>
      <c r="AI824" s="3">
        <v>52.0</v>
      </c>
      <c r="AJ824" s="3">
        <v>51.0</v>
      </c>
      <c r="AK824" s="3">
        <v>52.0</v>
      </c>
      <c r="AL824" s="3">
        <v>46.0</v>
      </c>
      <c r="AM824" s="3">
        <v>27.0</v>
      </c>
      <c r="AN824" s="3">
        <v>62.0</v>
      </c>
    </row>
    <row r="825" ht="14.25" customHeight="1">
      <c r="A825" s="3">
        <v>823.0</v>
      </c>
      <c r="B825" s="3" t="s">
        <v>7299</v>
      </c>
      <c r="C825" s="3">
        <v>32.0</v>
      </c>
      <c r="D825" s="3" t="s">
        <v>6645</v>
      </c>
      <c r="E825" s="3" t="s">
        <v>6646</v>
      </c>
      <c r="F825" s="3" t="s">
        <v>6646</v>
      </c>
      <c r="G825" s="3" t="s">
        <v>6645</v>
      </c>
      <c r="H825" s="3" t="s">
        <v>6645</v>
      </c>
      <c r="I825" s="3" t="s">
        <v>6645</v>
      </c>
      <c r="J825" s="3">
        <v>-1.0</v>
      </c>
      <c r="K825" s="3">
        <v>3.0</v>
      </c>
      <c r="L825" s="3">
        <v>0.0</v>
      </c>
      <c r="M825" s="3">
        <v>0.0</v>
      </c>
      <c r="N825" s="3">
        <v>5099.5444</v>
      </c>
      <c r="O825" s="3">
        <v>738.0</v>
      </c>
      <c r="P825" s="3" t="e">
        <v>#N/A</v>
      </c>
      <c r="Q825" s="3">
        <v>50.0</v>
      </c>
      <c r="R825" s="3">
        <v>54.0</v>
      </c>
      <c r="S825" s="3">
        <v>47.0</v>
      </c>
      <c r="T825" s="3">
        <v>45.0</v>
      </c>
      <c r="U825" s="3">
        <v>52.0</v>
      </c>
      <c r="V825" s="3">
        <v>53.0</v>
      </c>
      <c r="W825" s="3">
        <v>46.0</v>
      </c>
      <c r="X825" s="3">
        <v>58.0</v>
      </c>
      <c r="Y825" s="3">
        <v>46.0</v>
      </c>
      <c r="Z825" s="3">
        <v>59.0</v>
      </c>
      <c r="AA825" s="3">
        <v>53.0</v>
      </c>
      <c r="AB825" s="3">
        <v>43.0</v>
      </c>
      <c r="AC825" s="3">
        <v>56.0</v>
      </c>
      <c r="AD825" s="3">
        <v>53.0</v>
      </c>
      <c r="AE825" s="3">
        <v>40.0</v>
      </c>
      <c r="AF825" s="3">
        <v>51.0</v>
      </c>
      <c r="AG825" s="3">
        <v>64.0</v>
      </c>
      <c r="AH825" s="3">
        <v>46.0</v>
      </c>
      <c r="AI825" s="3">
        <v>48.0</v>
      </c>
      <c r="AJ825" s="3">
        <v>30.0</v>
      </c>
      <c r="AK825" s="3">
        <v>70.0</v>
      </c>
      <c r="AL825" s="3">
        <v>58.0</v>
      </c>
      <c r="AM825" s="3">
        <v>79.0</v>
      </c>
      <c r="AN825" s="3">
        <v>21.0</v>
      </c>
    </row>
    <row r="826" ht="14.25" customHeight="1">
      <c r="A826" s="3">
        <v>824.0</v>
      </c>
      <c r="B826" s="3" t="s">
        <v>7300</v>
      </c>
      <c r="C826" s="3">
        <v>26.0</v>
      </c>
      <c r="D826" s="3" t="s">
        <v>6645</v>
      </c>
      <c r="E826" s="3" t="s">
        <v>6646</v>
      </c>
      <c r="F826" s="3" t="s">
        <v>6646</v>
      </c>
      <c r="G826" s="3" t="s">
        <v>6645</v>
      </c>
      <c r="H826" s="3" t="s">
        <v>6645</v>
      </c>
      <c r="I826" s="3" t="s">
        <v>6646</v>
      </c>
      <c r="J826" s="3">
        <v>-1.0</v>
      </c>
      <c r="K826" s="3">
        <v>2.0</v>
      </c>
      <c r="L826" s="3">
        <v>0.0</v>
      </c>
      <c r="M826" s="3">
        <v>0.0</v>
      </c>
      <c r="N826" s="3">
        <v>3431.1848</v>
      </c>
      <c r="O826" s="3">
        <v>486.0</v>
      </c>
      <c r="P826" s="3" t="e">
        <v>#N/A</v>
      </c>
      <c r="Q826" s="3">
        <v>49.0</v>
      </c>
      <c r="R826" s="3">
        <v>46.0</v>
      </c>
      <c r="S826" s="3">
        <v>44.0</v>
      </c>
      <c r="T826" s="3">
        <v>45.0</v>
      </c>
      <c r="U826" s="3">
        <v>41.0</v>
      </c>
      <c r="V826" s="3">
        <v>46.0</v>
      </c>
      <c r="W826" s="3">
        <v>51.0</v>
      </c>
      <c r="X826" s="3">
        <v>49.0</v>
      </c>
      <c r="Y826" s="3">
        <v>49.0</v>
      </c>
      <c r="Z826" s="3">
        <v>46.0</v>
      </c>
      <c r="AA826" s="3">
        <v>45.0</v>
      </c>
      <c r="AB826" s="3">
        <v>42.0</v>
      </c>
      <c r="AC826" s="3">
        <v>35.0</v>
      </c>
      <c r="AD826" s="3">
        <v>43.0</v>
      </c>
      <c r="AE826" s="3">
        <v>49.0</v>
      </c>
      <c r="AF826" s="3">
        <v>11.0</v>
      </c>
      <c r="AG826" s="3">
        <v>58.0</v>
      </c>
      <c r="AH826" s="3">
        <v>39.0</v>
      </c>
      <c r="AI826" s="3">
        <v>52.0</v>
      </c>
      <c r="AJ826" s="3">
        <v>63.0</v>
      </c>
      <c r="AK826" s="3">
        <v>78.0</v>
      </c>
      <c r="AL826" s="3">
        <v>37.0</v>
      </c>
      <c r="AM826" s="3">
        <v>55.0</v>
      </c>
      <c r="AN826" s="3">
        <v>38.0</v>
      </c>
    </row>
    <row r="827" ht="14.25" customHeight="1">
      <c r="A827" s="3">
        <v>825.0</v>
      </c>
      <c r="B827" s="3" t="s">
        <v>7301</v>
      </c>
      <c r="C827" s="3">
        <v>45.0</v>
      </c>
      <c r="D827" s="3" t="s">
        <v>6645</v>
      </c>
      <c r="E827" s="3" t="s">
        <v>6646</v>
      </c>
      <c r="F827" s="3" t="s">
        <v>6646</v>
      </c>
      <c r="G827" s="3" t="s">
        <v>6645</v>
      </c>
      <c r="H827" s="3" t="s">
        <v>6645</v>
      </c>
      <c r="I827" s="3" t="s">
        <v>6645</v>
      </c>
      <c r="J827" s="3">
        <v>-1.0</v>
      </c>
      <c r="K827" s="3">
        <v>5.0</v>
      </c>
      <c r="L827" s="3">
        <v>0.0</v>
      </c>
      <c r="M827" s="3">
        <v>0.0</v>
      </c>
      <c r="N827" s="3">
        <v>13824.9</v>
      </c>
      <c r="O827" s="3">
        <v>2907.0</v>
      </c>
      <c r="P827" s="3" t="e">
        <v>#N/A</v>
      </c>
      <c r="Q827" s="3">
        <v>62.0</v>
      </c>
      <c r="R827" s="3">
        <v>61.0</v>
      </c>
      <c r="S827" s="3">
        <v>71.0</v>
      </c>
      <c r="T827" s="3">
        <v>62.0</v>
      </c>
      <c r="U827" s="3">
        <v>63.0</v>
      </c>
      <c r="V827" s="3">
        <v>65.0</v>
      </c>
      <c r="W827" s="3">
        <v>77.0</v>
      </c>
      <c r="X827" s="3">
        <v>69.0</v>
      </c>
      <c r="Y827" s="3">
        <v>78.0</v>
      </c>
      <c r="Z827" s="3">
        <v>58.0</v>
      </c>
      <c r="AA827" s="3">
        <v>65.0</v>
      </c>
      <c r="AB827" s="3">
        <v>59.0</v>
      </c>
      <c r="AC827" s="3">
        <v>70.0</v>
      </c>
      <c r="AD827" s="3">
        <v>84.0</v>
      </c>
      <c r="AE827" s="3">
        <v>85.0</v>
      </c>
      <c r="AF827" s="3">
        <v>56.0</v>
      </c>
      <c r="AG827" s="3">
        <v>61.0</v>
      </c>
      <c r="AH827" s="3">
        <v>46.0</v>
      </c>
      <c r="AI827" s="3">
        <v>54.0</v>
      </c>
      <c r="AJ827" s="3">
        <v>60.0</v>
      </c>
      <c r="AK827" s="3">
        <v>53.0</v>
      </c>
      <c r="AL827" s="3">
        <v>51.0</v>
      </c>
      <c r="AM827" s="3">
        <v>55.0</v>
      </c>
      <c r="AN827" s="3">
        <v>65.0</v>
      </c>
    </row>
    <row r="828" ht="14.25" customHeight="1">
      <c r="A828" s="3">
        <v>826.0</v>
      </c>
      <c r="B828" s="3" t="s">
        <v>7302</v>
      </c>
      <c r="C828" s="3">
        <v>30.0</v>
      </c>
      <c r="D828" s="3" t="s">
        <v>6645</v>
      </c>
      <c r="E828" s="3" t="s">
        <v>6646</v>
      </c>
      <c r="F828" s="3" t="s">
        <v>6646</v>
      </c>
      <c r="G828" s="3" t="s">
        <v>6645</v>
      </c>
      <c r="H828" s="3" t="s">
        <v>6645</v>
      </c>
      <c r="I828" s="3" t="s">
        <v>6646</v>
      </c>
      <c r="J828" s="3">
        <v>-1.0</v>
      </c>
      <c r="K828" s="3">
        <v>3.0</v>
      </c>
      <c r="L828" s="3">
        <v>0.0</v>
      </c>
      <c r="M828" s="3">
        <v>0.0</v>
      </c>
      <c r="N828" s="3">
        <v>5776.41</v>
      </c>
      <c r="O828" s="3">
        <v>640.0</v>
      </c>
      <c r="P828" s="3" t="e">
        <v>#N/A</v>
      </c>
      <c r="Q828" s="3">
        <v>52.0</v>
      </c>
      <c r="R828" s="3">
        <v>45.0</v>
      </c>
      <c r="S828" s="3">
        <v>51.0</v>
      </c>
      <c r="T828" s="3">
        <v>49.0</v>
      </c>
      <c r="U828" s="3">
        <v>52.0</v>
      </c>
      <c r="V828" s="3">
        <v>50.0</v>
      </c>
      <c r="W828" s="3">
        <v>56.0</v>
      </c>
      <c r="X828" s="3">
        <v>45.0</v>
      </c>
      <c r="Y828" s="3">
        <v>63.0</v>
      </c>
      <c r="Z828" s="3">
        <v>42.0</v>
      </c>
      <c r="AA828" s="3">
        <v>42.0</v>
      </c>
      <c r="AB828" s="3">
        <v>47.0</v>
      </c>
      <c r="AC828" s="3">
        <v>49.0</v>
      </c>
      <c r="AD828" s="3">
        <v>63.0</v>
      </c>
      <c r="AE828" s="3">
        <v>58.0</v>
      </c>
      <c r="AF828" s="3">
        <v>61.0</v>
      </c>
      <c r="AG828" s="3">
        <v>45.0</v>
      </c>
      <c r="AH828" s="3">
        <v>80.0</v>
      </c>
      <c r="AI828" s="3">
        <v>52.0</v>
      </c>
      <c r="AJ828" s="3">
        <v>34.0</v>
      </c>
      <c r="AK828" s="3">
        <v>50.0</v>
      </c>
      <c r="AL828" s="3">
        <v>75.0</v>
      </c>
      <c r="AM828" s="3">
        <v>63.0</v>
      </c>
      <c r="AN828" s="3">
        <v>30.0</v>
      </c>
    </row>
    <row r="829" ht="14.25" customHeight="1">
      <c r="A829" s="3">
        <v>827.0</v>
      </c>
      <c r="B829" s="3" t="s">
        <v>7303</v>
      </c>
      <c r="C829" s="3">
        <v>26.0</v>
      </c>
      <c r="D829" s="3" t="s">
        <v>6645</v>
      </c>
      <c r="E829" s="3" t="s">
        <v>6646</v>
      </c>
      <c r="F829" s="3" t="s">
        <v>6646</v>
      </c>
      <c r="G829" s="3" t="s">
        <v>6645</v>
      </c>
      <c r="H829" s="3" t="s">
        <v>6645</v>
      </c>
      <c r="I829" s="3" t="s">
        <v>6646</v>
      </c>
      <c r="J829" s="3">
        <v>-1.0</v>
      </c>
      <c r="K829" s="3">
        <v>2.0</v>
      </c>
      <c r="L829" s="3">
        <v>0.0</v>
      </c>
      <c r="M829" s="3">
        <v>0.0</v>
      </c>
      <c r="N829" s="3">
        <v>3162.3295</v>
      </c>
      <c r="O829" s="3">
        <v>337.0</v>
      </c>
      <c r="P829" s="3" t="e">
        <v>#N/A</v>
      </c>
      <c r="Q829" s="3">
        <v>47.0</v>
      </c>
      <c r="R829" s="3">
        <v>43.0</v>
      </c>
      <c r="S829" s="3">
        <v>40.0</v>
      </c>
      <c r="T829" s="3">
        <v>46.0</v>
      </c>
      <c r="U829" s="3">
        <v>42.0</v>
      </c>
      <c r="V829" s="3">
        <v>45.0</v>
      </c>
      <c r="W829" s="3">
        <v>47.0</v>
      </c>
      <c r="X829" s="3">
        <v>40.0</v>
      </c>
      <c r="Y829" s="3">
        <v>51.0</v>
      </c>
      <c r="Z829" s="3">
        <v>49.0</v>
      </c>
      <c r="AA829" s="3">
        <v>39.0</v>
      </c>
      <c r="AB829" s="3">
        <v>44.0</v>
      </c>
      <c r="AC829" s="3">
        <v>55.0</v>
      </c>
      <c r="AD829" s="3">
        <v>48.0</v>
      </c>
      <c r="AE829" s="3">
        <v>43.0</v>
      </c>
      <c r="AF829" s="3">
        <v>35.0</v>
      </c>
      <c r="AG829" s="3">
        <v>72.0</v>
      </c>
      <c r="AH829" s="3">
        <v>28.0</v>
      </c>
      <c r="AI829" s="3">
        <v>63.0</v>
      </c>
      <c r="AJ829" s="3">
        <v>37.0</v>
      </c>
      <c r="AK829" s="3">
        <v>35.0</v>
      </c>
      <c r="AL829" s="3">
        <v>44.0</v>
      </c>
      <c r="AM829" s="3">
        <v>42.0</v>
      </c>
      <c r="AN829" s="3">
        <v>47.0</v>
      </c>
    </row>
    <row r="830" ht="14.25" customHeight="1">
      <c r="A830" s="3">
        <v>828.0</v>
      </c>
      <c r="B830" s="3" t="s">
        <v>7304</v>
      </c>
      <c r="C830" s="3">
        <v>30.0</v>
      </c>
      <c r="D830" s="3" t="s">
        <v>6645</v>
      </c>
      <c r="E830" s="3" t="s">
        <v>6646</v>
      </c>
      <c r="F830" s="3" t="s">
        <v>6646</v>
      </c>
      <c r="G830" s="3" t="s">
        <v>6645</v>
      </c>
      <c r="H830" s="3" t="s">
        <v>6645</v>
      </c>
      <c r="I830" s="3" t="s">
        <v>6645</v>
      </c>
      <c r="J830" s="3">
        <v>-1.0</v>
      </c>
      <c r="K830" s="3">
        <v>2.0</v>
      </c>
      <c r="L830" s="3">
        <v>0.0</v>
      </c>
      <c r="M830" s="3">
        <v>0.0</v>
      </c>
      <c r="N830" s="3">
        <v>3234.6672</v>
      </c>
      <c r="O830" s="3">
        <v>442.0</v>
      </c>
      <c r="P830" s="3" t="e">
        <v>#N/A</v>
      </c>
      <c r="Q830" s="3">
        <v>43.0</v>
      </c>
      <c r="R830" s="3">
        <v>48.0</v>
      </c>
      <c r="S830" s="3">
        <v>47.0</v>
      </c>
      <c r="T830" s="3">
        <v>46.0</v>
      </c>
      <c r="U830" s="3">
        <v>46.0</v>
      </c>
      <c r="V830" s="3">
        <v>41.0</v>
      </c>
      <c r="W830" s="3">
        <v>45.0</v>
      </c>
      <c r="X830" s="3">
        <v>54.0</v>
      </c>
      <c r="Y830" s="3">
        <v>32.0</v>
      </c>
      <c r="Z830" s="3">
        <v>46.0</v>
      </c>
      <c r="AA830" s="3">
        <v>42.0</v>
      </c>
      <c r="AB830" s="3">
        <v>55.0</v>
      </c>
      <c r="AC830" s="3">
        <v>42.0</v>
      </c>
      <c r="AD830" s="3">
        <v>48.0</v>
      </c>
      <c r="AE830" s="3">
        <v>52.0</v>
      </c>
      <c r="AF830" s="3">
        <v>17.0</v>
      </c>
      <c r="AG830" s="3">
        <v>35.0</v>
      </c>
      <c r="AH830" s="3">
        <v>59.0</v>
      </c>
      <c r="AI830" s="3">
        <v>77.0</v>
      </c>
      <c r="AJ830" s="3">
        <v>49.0</v>
      </c>
      <c r="AK830" s="3">
        <v>49.0</v>
      </c>
      <c r="AL830" s="3">
        <v>35.0</v>
      </c>
      <c r="AM830" s="3">
        <v>37.0</v>
      </c>
      <c r="AN830" s="3">
        <v>47.0</v>
      </c>
    </row>
    <row r="831" ht="14.25" customHeight="1">
      <c r="A831" s="3">
        <v>829.0</v>
      </c>
      <c r="B831" s="3" t="s">
        <v>7305</v>
      </c>
      <c r="C831" s="3">
        <v>21.0</v>
      </c>
      <c r="D831" s="3" t="s">
        <v>6645</v>
      </c>
      <c r="E831" s="3" t="s">
        <v>6646</v>
      </c>
      <c r="F831" s="3" t="s">
        <v>6646</v>
      </c>
      <c r="G831" s="3" t="s">
        <v>6645</v>
      </c>
      <c r="H831" s="3" t="s">
        <v>6645</v>
      </c>
      <c r="I831" s="3" t="s">
        <v>6646</v>
      </c>
      <c r="J831" s="3">
        <v>-1.0</v>
      </c>
      <c r="K831" s="3">
        <v>0.0</v>
      </c>
      <c r="L831" s="3">
        <v>0.0</v>
      </c>
      <c r="M831" s="3">
        <v>0.0</v>
      </c>
      <c r="N831" s="3">
        <v>431.06198</v>
      </c>
      <c r="O831" s="3">
        <v>109.0</v>
      </c>
      <c r="P831" s="3" t="e">
        <v>#N/A</v>
      </c>
      <c r="Q831" s="3">
        <v>39.0</v>
      </c>
      <c r="R831" s="3">
        <v>30.0</v>
      </c>
      <c r="S831" s="3">
        <v>34.0</v>
      </c>
      <c r="T831" s="3">
        <v>38.0</v>
      </c>
      <c r="U831" s="3">
        <v>31.0</v>
      </c>
      <c r="V831" s="3">
        <v>34.0</v>
      </c>
      <c r="W831" s="3">
        <v>33.0</v>
      </c>
      <c r="X831" s="3">
        <v>40.0</v>
      </c>
      <c r="Y831" s="3">
        <v>38.0</v>
      </c>
      <c r="Z831" s="3">
        <v>44.0</v>
      </c>
      <c r="AA831" s="3">
        <v>22.0</v>
      </c>
      <c r="AB831" s="3">
        <v>33.0</v>
      </c>
      <c r="AC831" s="3">
        <v>47.0</v>
      </c>
      <c r="AD831" s="3">
        <v>25.0</v>
      </c>
      <c r="AE831" s="3">
        <v>29.0</v>
      </c>
      <c r="AF831" s="3">
        <v>4.0</v>
      </c>
      <c r="AG831" s="3">
        <v>33.0</v>
      </c>
      <c r="AH831" s="3">
        <v>41.0</v>
      </c>
      <c r="AI831" s="3">
        <v>46.0</v>
      </c>
      <c r="AJ831" s="3">
        <v>69.0</v>
      </c>
      <c r="AK831" s="3">
        <v>62.0</v>
      </c>
      <c r="AL831" s="3">
        <v>16.0</v>
      </c>
      <c r="AM831" s="3">
        <v>45.0</v>
      </c>
      <c r="AN831" s="3">
        <v>43.0</v>
      </c>
    </row>
    <row r="832" ht="14.25" customHeight="1">
      <c r="A832" s="3">
        <v>830.0</v>
      </c>
      <c r="B832" s="3" t="s">
        <v>7306</v>
      </c>
      <c r="C832" s="3">
        <v>33.0</v>
      </c>
      <c r="D832" s="3" t="s">
        <v>6645</v>
      </c>
      <c r="E832" s="3" t="s">
        <v>6646</v>
      </c>
      <c r="F832" s="3" t="s">
        <v>6646</v>
      </c>
      <c r="G832" s="3" t="s">
        <v>6645</v>
      </c>
      <c r="H832" s="3" t="s">
        <v>6645</v>
      </c>
      <c r="I832" s="3" t="s">
        <v>6646</v>
      </c>
      <c r="J832" s="3">
        <v>-1.0</v>
      </c>
      <c r="K832" s="3">
        <v>3.0</v>
      </c>
      <c r="L832" s="3">
        <v>0.0</v>
      </c>
      <c r="M832" s="3">
        <v>0.0</v>
      </c>
      <c r="N832" s="3">
        <v>4729.16</v>
      </c>
      <c r="O832" s="3">
        <v>873.0</v>
      </c>
      <c r="P832" s="3" t="e">
        <v>#N/A</v>
      </c>
      <c r="Q832" s="3">
        <v>49.0</v>
      </c>
      <c r="R832" s="3">
        <v>55.0</v>
      </c>
      <c r="S832" s="3">
        <v>50.0</v>
      </c>
      <c r="T832" s="3">
        <v>52.0</v>
      </c>
      <c r="U832" s="3">
        <v>53.0</v>
      </c>
      <c r="V832" s="3">
        <v>48.0</v>
      </c>
      <c r="W832" s="3">
        <v>52.0</v>
      </c>
      <c r="X832" s="3">
        <v>47.0</v>
      </c>
      <c r="Y832" s="3">
        <v>51.0</v>
      </c>
      <c r="Z832" s="3">
        <v>45.0</v>
      </c>
      <c r="AA832" s="3">
        <v>52.0</v>
      </c>
      <c r="AB832" s="3">
        <v>59.0</v>
      </c>
      <c r="AC832" s="3">
        <v>47.0</v>
      </c>
      <c r="AD832" s="3">
        <v>41.0</v>
      </c>
      <c r="AE832" s="3">
        <v>46.0</v>
      </c>
      <c r="AF832" s="3">
        <v>48.0</v>
      </c>
      <c r="AG832" s="3">
        <v>68.0</v>
      </c>
      <c r="AH832" s="3">
        <v>63.0</v>
      </c>
      <c r="AI832" s="3">
        <v>60.0</v>
      </c>
      <c r="AJ832" s="3">
        <v>47.0</v>
      </c>
      <c r="AK832" s="3">
        <v>40.0</v>
      </c>
      <c r="AL832" s="3">
        <v>56.0</v>
      </c>
      <c r="AM832" s="3">
        <v>45.0</v>
      </c>
      <c r="AN832" s="3">
        <v>31.0</v>
      </c>
    </row>
    <row r="833" ht="14.25" customHeight="1">
      <c r="A833" s="3">
        <v>831.0</v>
      </c>
      <c r="B833" s="3" t="s">
        <v>7307</v>
      </c>
      <c r="C833" s="3">
        <v>21.0</v>
      </c>
      <c r="D833" s="3" t="s">
        <v>6645</v>
      </c>
      <c r="E833" s="3" t="s">
        <v>6646</v>
      </c>
      <c r="F833" s="3" t="s">
        <v>6646</v>
      </c>
      <c r="G833" s="3" t="s">
        <v>6645</v>
      </c>
      <c r="H833" s="3" t="s">
        <v>6645</v>
      </c>
      <c r="I833" s="3" t="s">
        <v>6645</v>
      </c>
      <c r="J833" s="3">
        <v>-1.0</v>
      </c>
      <c r="K833" s="3">
        <v>1.0</v>
      </c>
      <c r="L833" s="3">
        <v>0.0</v>
      </c>
      <c r="M833" s="3">
        <v>0.0</v>
      </c>
      <c r="N833" s="3">
        <v>984.26556</v>
      </c>
      <c r="O833" s="3">
        <v>201.0</v>
      </c>
      <c r="P833" s="3" t="e">
        <v>#N/A</v>
      </c>
      <c r="Q833" s="3">
        <v>37.0</v>
      </c>
      <c r="R833" s="3">
        <v>43.0</v>
      </c>
      <c r="S833" s="3">
        <v>37.0</v>
      </c>
      <c r="T833" s="3">
        <v>38.0</v>
      </c>
      <c r="U833" s="3">
        <v>35.0</v>
      </c>
      <c r="V833" s="3">
        <v>39.0</v>
      </c>
      <c r="W833" s="3">
        <v>29.0</v>
      </c>
      <c r="X833" s="3">
        <v>44.0</v>
      </c>
      <c r="Y833" s="3">
        <v>44.0</v>
      </c>
      <c r="Z833" s="3">
        <v>51.0</v>
      </c>
      <c r="AA833" s="3">
        <v>38.0</v>
      </c>
      <c r="AB833" s="3">
        <v>47.0</v>
      </c>
      <c r="AC833" s="3">
        <v>42.0</v>
      </c>
      <c r="AD833" s="3">
        <v>29.0</v>
      </c>
      <c r="AE833" s="3">
        <v>34.0</v>
      </c>
      <c r="AF833" s="3">
        <v>0.0</v>
      </c>
      <c r="AG833" s="3">
        <v>56.0</v>
      </c>
      <c r="AH833" s="3">
        <v>39.0</v>
      </c>
      <c r="AI833" s="3">
        <v>53.0</v>
      </c>
      <c r="AJ833" s="3">
        <v>34.0</v>
      </c>
      <c r="AK833" s="3">
        <v>39.0</v>
      </c>
      <c r="AL833" s="3">
        <v>67.0</v>
      </c>
      <c r="AM833" s="3">
        <v>80.0</v>
      </c>
      <c r="AN833" s="3">
        <v>37.0</v>
      </c>
    </row>
    <row r="834" ht="14.25" customHeight="1">
      <c r="A834" s="3">
        <v>832.0</v>
      </c>
      <c r="B834" s="3" t="s">
        <v>7308</v>
      </c>
      <c r="C834" s="3">
        <v>21.0</v>
      </c>
      <c r="D834" s="3" t="s">
        <v>6645</v>
      </c>
      <c r="E834" s="3" t="s">
        <v>6646</v>
      </c>
      <c r="F834" s="3" t="s">
        <v>6646</v>
      </c>
      <c r="G834" s="3" t="s">
        <v>6645</v>
      </c>
      <c r="H834" s="3" t="s">
        <v>6645</v>
      </c>
      <c r="I834" s="3" t="s">
        <v>6645</v>
      </c>
      <c r="J834" s="3">
        <v>-1.0</v>
      </c>
      <c r="K834" s="3">
        <v>0.0</v>
      </c>
      <c r="L834" s="3">
        <v>0.0</v>
      </c>
      <c r="M834" s="3">
        <v>0.0</v>
      </c>
      <c r="N834" s="3">
        <v>357.37072</v>
      </c>
      <c r="O834" s="3">
        <v>107.0</v>
      </c>
      <c r="P834" s="3" t="e">
        <v>#N/A</v>
      </c>
      <c r="Q834" s="3">
        <v>37.0</v>
      </c>
      <c r="R834" s="3">
        <v>30.0</v>
      </c>
      <c r="S834" s="3">
        <v>31.0</v>
      </c>
      <c r="T834" s="3">
        <v>31.0</v>
      </c>
      <c r="U834" s="3">
        <v>30.0</v>
      </c>
      <c r="V834" s="3">
        <v>36.0</v>
      </c>
      <c r="W834" s="3">
        <v>26.0</v>
      </c>
      <c r="X834" s="3">
        <v>32.0</v>
      </c>
      <c r="Y834" s="3">
        <v>40.0</v>
      </c>
      <c r="Z834" s="3">
        <v>38.0</v>
      </c>
      <c r="AA834" s="3">
        <v>37.0</v>
      </c>
      <c r="AB834" s="3">
        <v>36.0</v>
      </c>
      <c r="AC834" s="3">
        <v>32.0</v>
      </c>
      <c r="AD834" s="3">
        <v>38.0</v>
      </c>
      <c r="AE834" s="3">
        <v>37.0</v>
      </c>
      <c r="AF834" s="3">
        <v>56.0</v>
      </c>
      <c r="AG834" s="3">
        <v>35.0</v>
      </c>
      <c r="AH834" s="3">
        <v>35.0</v>
      </c>
      <c r="AI834" s="3">
        <v>44.0</v>
      </c>
      <c r="AJ834" s="3">
        <v>71.0</v>
      </c>
      <c r="AK834" s="3">
        <v>36.0</v>
      </c>
      <c r="AL834" s="3">
        <v>71.0</v>
      </c>
      <c r="AM834" s="3">
        <v>58.0</v>
      </c>
      <c r="AN834" s="3">
        <v>16.0</v>
      </c>
    </row>
    <row r="835" ht="14.25" customHeight="1">
      <c r="A835" s="3">
        <v>833.0</v>
      </c>
      <c r="B835" s="3" t="s">
        <v>7309</v>
      </c>
      <c r="C835" s="3">
        <v>32.0</v>
      </c>
      <c r="D835" s="3" t="s">
        <v>6645</v>
      </c>
      <c r="E835" s="3" t="s">
        <v>6646</v>
      </c>
      <c r="F835" s="3" t="s">
        <v>6646</v>
      </c>
      <c r="G835" s="3" t="s">
        <v>6645</v>
      </c>
      <c r="H835" s="3" t="s">
        <v>6645</v>
      </c>
      <c r="I835" s="3" t="s">
        <v>6645</v>
      </c>
      <c r="J835" s="3">
        <v>-1.0</v>
      </c>
      <c r="K835" s="3">
        <v>2.0</v>
      </c>
      <c r="L835" s="3">
        <v>0.0</v>
      </c>
      <c r="M835" s="3">
        <v>0.0</v>
      </c>
      <c r="N835" s="3">
        <v>2281.916</v>
      </c>
      <c r="O835" s="3">
        <v>356.0</v>
      </c>
      <c r="P835" s="3" t="e">
        <v>#N/A</v>
      </c>
      <c r="Q835" s="3">
        <v>47.0</v>
      </c>
      <c r="R835" s="3">
        <v>41.0</v>
      </c>
      <c r="S835" s="3">
        <v>40.0</v>
      </c>
      <c r="T835" s="3">
        <v>46.0</v>
      </c>
      <c r="U835" s="3">
        <v>46.0</v>
      </c>
      <c r="V835" s="3">
        <v>44.0</v>
      </c>
      <c r="W835" s="3">
        <v>40.0</v>
      </c>
      <c r="X835" s="3">
        <v>36.0</v>
      </c>
      <c r="Y835" s="3">
        <v>51.0</v>
      </c>
      <c r="Z835" s="3">
        <v>48.0</v>
      </c>
      <c r="AA835" s="3">
        <v>41.0</v>
      </c>
      <c r="AB835" s="3">
        <v>44.0</v>
      </c>
      <c r="AC835" s="3">
        <v>52.0</v>
      </c>
      <c r="AD835" s="3">
        <v>43.0</v>
      </c>
      <c r="AE835" s="3">
        <v>38.0</v>
      </c>
      <c r="AF835" s="3">
        <v>55.0</v>
      </c>
      <c r="AG835" s="3">
        <v>76.0</v>
      </c>
      <c r="AH835" s="3">
        <v>37.0</v>
      </c>
      <c r="AI835" s="3">
        <v>70.0</v>
      </c>
      <c r="AJ835" s="3">
        <v>24.0</v>
      </c>
      <c r="AK835" s="3">
        <v>56.0</v>
      </c>
      <c r="AL835" s="3">
        <v>19.0</v>
      </c>
      <c r="AM835" s="3">
        <v>35.0</v>
      </c>
      <c r="AN835" s="3">
        <v>60.0</v>
      </c>
    </row>
    <row r="836" ht="14.25" customHeight="1">
      <c r="A836" s="3">
        <v>834.0</v>
      </c>
      <c r="B836" s="3" t="s">
        <v>7310</v>
      </c>
      <c r="C836" s="3">
        <v>23.0</v>
      </c>
      <c r="D836" s="3" t="s">
        <v>6645</v>
      </c>
      <c r="E836" s="3" t="s">
        <v>6646</v>
      </c>
      <c r="F836" s="3" t="s">
        <v>6646</v>
      </c>
      <c r="G836" s="3" t="s">
        <v>6645</v>
      </c>
      <c r="H836" s="3" t="s">
        <v>6645</v>
      </c>
      <c r="I836" s="3" t="s">
        <v>6645</v>
      </c>
      <c r="J836" s="3">
        <v>-1.0</v>
      </c>
      <c r="K836" s="3">
        <v>0.0</v>
      </c>
      <c r="L836" s="3">
        <v>0.0</v>
      </c>
      <c r="M836" s="3">
        <v>0.0</v>
      </c>
      <c r="N836" s="3">
        <v>399.288</v>
      </c>
      <c r="O836" s="3">
        <v>117.0</v>
      </c>
      <c r="P836" s="3" t="e">
        <v>#N/A</v>
      </c>
      <c r="Q836" s="3">
        <v>30.0</v>
      </c>
      <c r="R836" s="3">
        <v>32.0</v>
      </c>
      <c r="S836" s="3">
        <v>31.0</v>
      </c>
      <c r="T836" s="3">
        <v>32.0</v>
      </c>
      <c r="U836" s="3">
        <v>30.0</v>
      </c>
      <c r="V836" s="3">
        <v>31.0</v>
      </c>
      <c r="W836" s="3">
        <v>44.0</v>
      </c>
      <c r="X836" s="3">
        <v>33.0</v>
      </c>
      <c r="Y836" s="3">
        <v>28.0</v>
      </c>
      <c r="Z836" s="3">
        <v>33.0</v>
      </c>
      <c r="AA836" s="3">
        <v>40.0</v>
      </c>
      <c r="AB836" s="3">
        <v>36.0</v>
      </c>
      <c r="AC836" s="3">
        <v>24.0</v>
      </c>
      <c r="AD836" s="3">
        <v>44.0</v>
      </c>
      <c r="AE836" s="3">
        <v>23.0</v>
      </c>
      <c r="AF836" s="3">
        <v>35.0</v>
      </c>
      <c r="AG836" s="3">
        <v>38.0</v>
      </c>
      <c r="AH836" s="3">
        <v>68.0</v>
      </c>
      <c r="AI836" s="3">
        <v>58.0</v>
      </c>
      <c r="AJ836" s="3">
        <v>44.0</v>
      </c>
      <c r="AK836" s="3">
        <v>40.0</v>
      </c>
      <c r="AL836" s="3">
        <v>9.0</v>
      </c>
      <c r="AM836" s="3">
        <v>41.0</v>
      </c>
      <c r="AN836" s="3">
        <v>55.0</v>
      </c>
    </row>
    <row r="837" ht="14.25" customHeight="1">
      <c r="A837" s="3">
        <v>835.0</v>
      </c>
      <c r="B837" s="3" t="s">
        <v>7311</v>
      </c>
      <c r="C837" s="3">
        <v>39.0</v>
      </c>
      <c r="D837" s="3" t="s">
        <v>6645</v>
      </c>
      <c r="E837" s="3" t="s">
        <v>6646</v>
      </c>
      <c r="F837" s="3" t="s">
        <v>6646</v>
      </c>
      <c r="G837" s="3" t="s">
        <v>6645</v>
      </c>
      <c r="H837" s="3" t="s">
        <v>6645</v>
      </c>
      <c r="I837" s="3" t="s">
        <v>6645</v>
      </c>
      <c r="J837" s="3">
        <v>-1.0</v>
      </c>
      <c r="K837" s="3">
        <v>3.0</v>
      </c>
      <c r="L837" s="3">
        <v>0.0</v>
      </c>
      <c r="M837" s="3">
        <v>0.0</v>
      </c>
      <c r="N837" s="3">
        <v>4845.654</v>
      </c>
      <c r="O837" s="3">
        <v>728.0</v>
      </c>
      <c r="P837" s="3" t="e">
        <v>#N/A</v>
      </c>
      <c r="Q837" s="3">
        <v>57.0</v>
      </c>
      <c r="R837" s="3">
        <v>54.0</v>
      </c>
      <c r="S837" s="3">
        <v>51.0</v>
      </c>
      <c r="T837" s="3">
        <v>49.0</v>
      </c>
      <c r="U837" s="3">
        <v>47.0</v>
      </c>
      <c r="V837" s="3">
        <v>53.0</v>
      </c>
      <c r="W837" s="3">
        <v>40.0</v>
      </c>
      <c r="X837" s="3">
        <v>49.0</v>
      </c>
      <c r="Y837" s="3">
        <v>54.0</v>
      </c>
      <c r="Z837" s="3">
        <v>44.0</v>
      </c>
      <c r="AA837" s="3">
        <v>40.0</v>
      </c>
      <c r="AB837" s="3">
        <v>51.0</v>
      </c>
      <c r="AC837" s="3">
        <v>54.0</v>
      </c>
      <c r="AD837" s="3">
        <v>49.0</v>
      </c>
      <c r="AE837" s="3">
        <v>59.0</v>
      </c>
      <c r="AF837" s="3">
        <v>20.0</v>
      </c>
      <c r="AG837" s="3">
        <v>62.0</v>
      </c>
      <c r="AH837" s="3">
        <v>53.0</v>
      </c>
      <c r="AI837" s="3">
        <v>59.0</v>
      </c>
      <c r="AJ837" s="3">
        <v>73.0</v>
      </c>
      <c r="AK837" s="3">
        <v>48.0</v>
      </c>
      <c r="AL837" s="3">
        <v>54.0</v>
      </c>
      <c r="AM837" s="3">
        <v>41.0</v>
      </c>
      <c r="AN837" s="3">
        <v>55.0</v>
      </c>
    </row>
    <row r="838" ht="14.25" customHeight="1">
      <c r="A838" s="3">
        <v>836.0</v>
      </c>
      <c r="B838" s="3" t="s">
        <v>7312</v>
      </c>
      <c r="C838" s="3">
        <v>35.0</v>
      </c>
      <c r="D838" s="3" t="s">
        <v>6645</v>
      </c>
      <c r="E838" s="3" t="s">
        <v>6646</v>
      </c>
      <c r="F838" s="3" t="s">
        <v>6646</v>
      </c>
      <c r="G838" s="3" t="s">
        <v>6645</v>
      </c>
      <c r="H838" s="3" t="s">
        <v>6645</v>
      </c>
      <c r="I838" s="3" t="s">
        <v>6646</v>
      </c>
      <c r="J838" s="3">
        <v>-1.0</v>
      </c>
      <c r="K838" s="3">
        <v>4.0</v>
      </c>
      <c r="L838" s="3">
        <v>0.0</v>
      </c>
      <c r="M838" s="3">
        <v>0.0</v>
      </c>
      <c r="N838" s="3">
        <v>10400.551</v>
      </c>
      <c r="O838" s="3">
        <v>1945.0</v>
      </c>
      <c r="P838" s="3" t="e">
        <v>#N/A</v>
      </c>
      <c r="Q838" s="3">
        <v>58.0</v>
      </c>
      <c r="R838" s="3">
        <v>64.0</v>
      </c>
      <c r="S838" s="3">
        <v>64.0</v>
      </c>
      <c r="T838" s="3">
        <v>59.0</v>
      </c>
      <c r="U838" s="3">
        <v>59.0</v>
      </c>
      <c r="V838" s="3">
        <v>66.0</v>
      </c>
      <c r="W838" s="3">
        <v>73.0</v>
      </c>
      <c r="X838" s="3">
        <v>61.0</v>
      </c>
      <c r="Y838" s="3">
        <v>72.0</v>
      </c>
      <c r="Z838" s="3">
        <v>69.0</v>
      </c>
      <c r="AA838" s="3">
        <v>74.0</v>
      </c>
      <c r="AB838" s="3">
        <v>49.0</v>
      </c>
      <c r="AC838" s="3">
        <v>54.0</v>
      </c>
      <c r="AD838" s="3">
        <v>53.0</v>
      </c>
      <c r="AE838" s="3">
        <v>54.0</v>
      </c>
      <c r="AF838" s="3">
        <v>66.0</v>
      </c>
      <c r="AG838" s="3">
        <v>51.0</v>
      </c>
      <c r="AH838" s="3">
        <v>44.0</v>
      </c>
      <c r="AI838" s="3">
        <v>55.0</v>
      </c>
      <c r="AJ838" s="3">
        <v>28.0</v>
      </c>
      <c r="AK838" s="3">
        <v>78.0</v>
      </c>
      <c r="AL838" s="3">
        <v>31.0</v>
      </c>
      <c r="AM838" s="3">
        <v>84.0</v>
      </c>
      <c r="AN838" s="3">
        <v>43.0</v>
      </c>
    </row>
    <row r="839" ht="14.25" customHeight="1">
      <c r="A839" s="3">
        <v>837.0</v>
      </c>
      <c r="B839" s="3" t="s">
        <v>7313</v>
      </c>
      <c r="C839" s="3">
        <v>16.0</v>
      </c>
      <c r="D839" s="3" t="s">
        <v>6645</v>
      </c>
      <c r="E839" s="3" t="s">
        <v>6646</v>
      </c>
      <c r="F839" s="3" t="s">
        <v>6646</v>
      </c>
      <c r="G839" s="3" t="s">
        <v>6645</v>
      </c>
      <c r="H839" s="3" t="s">
        <v>6645</v>
      </c>
      <c r="I839" s="3" t="s">
        <v>6646</v>
      </c>
      <c r="J839" s="3">
        <v>-1.0</v>
      </c>
      <c r="K839" s="3">
        <v>0.0</v>
      </c>
      <c r="L839" s="3">
        <v>0.0</v>
      </c>
      <c r="M839" s="3">
        <v>0.0</v>
      </c>
      <c r="N839" s="3">
        <v>470.302</v>
      </c>
      <c r="O839" s="3">
        <v>79.0</v>
      </c>
      <c r="P839" s="3" t="e">
        <v>#N/A</v>
      </c>
      <c r="Q839" s="3">
        <v>31.0</v>
      </c>
      <c r="R839" s="3">
        <v>35.0</v>
      </c>
      <c r="S839" s="3">
        <v>36.0</v>
      </c>
      <c r="T839" s="3">
        <v>30.0</v>
      </c>
      <c r="U839" s="3">
        <v>30.0</v>
      </c>
      <c r="V839" s="3">
        <v>35.0</v>
      </c>
      <c r="W839" s="3">
        <v>38.0</v>
      </c>
      <c r="X839" s="3">
        <v>25.0</v>
      </c>
      <c r="Y839" s="3">
        <v>37.0</v>
      </c>
      <c r="Z839" s="3">
        <v>45.0</v>
      </c>
      <c r="AA839" s="3">
        <v>32.0</v>
      </c>
      <c r="AB839" s="3">
        <v>39.0</v>
      </c>
      <c r="AC839" s="3">
        <v>48.0</v>
      </c>
      <c r="AD839" s="3">
        <v>28.0</v>
      </c>
      <c r="AE839" s="3">
        <v>33.0</v>
      </c>
      <c r="AF839" s="3">
        <v>36.0</v>
      </c>
      <c r="AG839" s="3">
        <v>39.0</v>
      </c>
      <c r="AH839" s="3">
        <v>40.0</v>
      </c>
      <c r="AI839" s="3">
        <v>72.0</v>
      </c>
      <c r="AJ839" s="3">
        <v>44.0</v>
      </c>
      <c r="AK839" s="3">
        <v>32.0</v>
      </c>
      <c r="AL839" s="3">
        <v>37.0</v>
      </c>
      <c r="AM839" s="3">
        <v>30.0</v>
      </c>
      <c r="AN839" s="3">
        <v>69.0</v>
      </c>
    </row>
    <row r="840" ht="14.25" customHeight="1">
      <c r="A840" s="3">
        <v>838.0</v>
      </c>
      <c r="B840" s="3" t="s">
        <v>7314</v>
      </c>
      <c r="C840" s="3">
        <v>37.0</v>
      </c>
      <c r="D840" s="3" t="s">
        <v>6645</v>
      </c>
      <c r="E840" s="3" t="s">
        <v>6646</v>
      </c>
      <c r="F840" s="3" t="s">
        <v>6646</v>
      </c>
      <c r="G840" s="3" t="s">
        <v>6645</v>
      </c>
      <c r="H840" s="3" t="s">
        <v>6645</v>
      </c>
      <c r="I840" s="3" t="s">
        <v>6646</v>
      </c>
      <c r="J840" s="3">
        <v>-1.0</v>
      </c>
      <c r="K840" s="3">
        <v>4.0</v>
      </c>
      <c r="L840" s="3">
        <v>0.0</v>
      </c>
      <c r="M840" s="3">
        <v>0.0</v>
      </c>
      <c r="N840" s="3">
        <v>10694.453</v>
      </c>
      <c r="O840" s="3">
        <v>1979.0</v>
      </c>
      <c r="P840" s="3" t="e">
        <v>#N/A</v>
      </c>
      <c r="Q840" s="3">
        <v>59.0</v>
      </c>
      <c r="R840" s="3">
        <v>71.0</v>
      </c>
      <c r="S840" s="3">
        <v>53.0</v>
      </c>
      <c r="T840" s="3">
        <v>57.0</v>
      </c>
      <c r="U840" s="3">
        <v>53.0</v>
      </c>
      <c r="V840" s="3">
        <v>73.0</v>
      </c>
      <c r="W840" s="3">
        <v>71.0</v>
      </c>
      <c r="X840" s="3">
        <v>66.0</v>
      </c>
      <c r="Y840" s="3">
        <v>55.0</v>
      </c>
      <c r="Z840" s="3">
        <v>53.0</v>
      </c>
      <c r="AA840" s="3">
        <v>78.0</v>
      </c>
      <c r="AB840" s="3">
        <v>50.0</v>
      </c>
      <c r="AC840" s="3">
        <v>45.0</v>
      </c>
      <c r="AD840" s="3">
        <v>71.0</v>
      </c>
      <c r="AE840" s="3">
        <v>55.0</v>
      </c>
      <c r="AF840" s="3">
        <v>43.0</v>
      </c>
      <c r="AG840" s="3">
        <v>63.0</v>
      </c>
      <c r="AH840" s="3">
        <v>87.0</v>
      </c>
      <c r="AI840" s="3">
        <v>62.0</v>
      </c>
      <c r="AJ840" s="3">
        <v>36.0</v>
      </c>
      <c r="AK840" s="3">
        <v>39.0</v>
      </c>
      <c r="AL840" s="3">
        <v>67.0</v>
      </c>
      <c r="AM840" s="3">
        <v>49.0</v>
      </c>
      <c r="AN840" s="3">
        <v>60.0</v>
      </c>
    </row>
    <row r="841" ht="14.25" customHeight="1">
      <c r="A841" s="3">
        <v>839.0</v>
      </c>
      <c r="B841" s="3" t="s">
        <v>7315</v>
      </c>
      <c r="C841" s="3">
        <v>23.0</v>
      </c>
      <c r="D841" s="3" t="s">
        <v>6645</v>
      </c>
      <c r="E841" s="3" t="s">
        <v>6646</v>
      </c>
      <c r="F841" s="3" t="s">
        <v>6646</v>
      </c>
      <c r="G841" s="3" t="s">
        <v>6645</v>
      </c>
      <c r="H841" s="3" t="s">
        <v>6645</v>
      </c>
      <c r="I841" s="3" t="s">
        <v>6646</v>
      </c>
      <c r="J841" s="3">
        <v>-1.0</v>
      </c>
      <c r="K841" s="3">
        <v>0.0</v>
      </c>
      <c r="L841" s="3">
        <v>0.0</v>
      </c>
      <c r="M841" s="3">
        <v>0.0</v>
      </c>
      <c r="N841" s="3">
        <v>451.6</v>
      </c>
      <c r="O841" s="3">
        <v>111.0</v>
      </c>
      <c r="P841" s="3" t="e">
        <v>#N/A</v>
      </c>
      <c r="Q841" s="3">
        <v>38.0</v>
      </c>
      <c r="R841" s="3">
        <v>31.0</v>
      </c>
      <c r="S841" s="3">
        <v>37.0</v>
      </c>
      <c r="T841" s="3">
        <v>37.0</v>
      </c>
      <c r="U841" s="3">
        <v>32.0</v>
      </c>
      <c r="V841" s="3">
        <v>38.0</v>
      </c>
      <c r="W841" s="3">
        <v>33.0</v>
      </c>
      <c r="X841" s="3">
        <v>34.0</v>
      </c>
      <c r="Y841" s="3">
        <v>41.0</v>
      </c>
      <c r="Z841" s="3">
        <v>38.0</v>
      </c>
      <c r="AA841" s="3">
        <v>38.0</v>
      </c>
      <c r="AB841" s="3">
        <v>32.0</v>
      </c>
      <c r="AC841" s="3">
        <v>26.0</v>
      </c>
      <c r="AD841" s="3">
        <v>46.0</v>
      </c>
      <c r="AE841" s="3">
        <v>30.0</v>
      </c>
      <c r="AF841" s="3">
        <v>74.0</v>
      </c>
      <c r="AG841" s="3">
        <v>44.0</v>
      </c>
      <c r="AH841" s="3">
        <v>35.0</v>
      </c>
      <c r="AI841" s="3">
        <v>66.0</v>
      </c>
      <c r="AJ841" s="3">
        <v>59.0</v>
      </c>
      <c r="AK841" s="3">
        <v>20.0</v>
      </c>
      <c r="AL841" s="3">
        <v>10.0</v>
      </c>
      <c r="AM841" s="3">
        <v>27.0</v>
      </c>
      <c r="AN841" s="3">
        <v>79.0</v>
      </c>
    </row>
    <row r="842" ht="14.25" customHeight="1">
      <c r="A842" s="3">
        <v>840.0</v>
      </c>
      <c r="B842" s="3" t="s">
        <v>7316</v>
      </c>
      <c r="C842" s="3">
        <v>34.0</v>
      </c>
      <c r="D842" s="3" t="s">
        <v>6645</v>
      </c>
      <c r="E842" s="3" t="s">
        <v>6646</v>
      </c>
      <c r="F842" s="3" t="s">
        <v>6646</v>
      </c>
      <c r="G842" s="3" t="s">
        <v>6645</v>
      </c>
      <c r="H842" s="3" t="s">
        <v>6645</v>
      </c>
      <c r="I842" s="3" t="s">
        <v>6646</v>
      </c>
      <c r="J842" s="3">
        <v>-1.0</v>
      </c>
      <c r="K842" s="3">
        <v>2.0</v>
      </c>
      <c r="L842" s="3">
        <v>0.0</v>
      </c>
      <c r="M842" s="3">
        <v>0.0</v>
      </c>
      <c r="N842" s="3">
        <v>3045.9702</v>
      </c>
      <c r="O842" s="3">
        <v>415.0</v>
      </c>
      <c r="P842" s="3" t="e">
        <v>#N/A</v>
      </c>
      <c r="Q842" s="3">
        <v>46.0</v>
      </c>
      <c r="R842" s="3">
        <v>45.0</v>
      </c>
      <c r="S842" s="3">
        <v>47.0</v>
      </c>
      <c r="T842" s="3">
        <v>42.0</v>
      </c>
      <c r="U842" s="3">
        <v>49.0</v>
      </c>
      <c r="V842" s="3">
        <v>43.0</v>
      </c>
      <c r="W842" s="3">
        <v>48.0</v>
      </c>
      <c r="X842" s="3">
        <v>39.0</v>
      </c>
      <c r="Y842" s="3">
        <v>40.0</v>
      </c>
      <c r="Z842" s="3">
        <v>55.0</v>
      </c>
      <c r="AA842" s="3">
        <v>40.0</v>
      </c>
      <c r="AB842" s="3">
        <v>43.0</v>
      </c>
      <c r="AC842" s="3">
        <v>35.0</v>
      </c>
      <c r="AD842" s="3">
        <v>42.0</v>
      </c>
      <c r="AE842" s="3">
        <v>45.0</v>
      </c>
      <c r="AF842" s="3">
        <v>79.0</v>
      </c>
      <c r="AG842" s="3">
        <v>40.0</v>
      </c>
      <c r="AH842" s="3">
        <v>46.0</v>
      </c>
      <c r="AI842" s="3">
        <v>50.0</v>
      </c>
      <c r="AJ842" s="3">
        <v>50.0</v>
      </c>
      <c r="AK842" s="3">
        <v>54.0</v>
      </c>
      <c r="AL842" s="3">
        <v>24.0</v>
      </c>
      <c r="AM842" s="3">
        <v>78.0</v>
      </c>
      <c r="AN842" s="3">
        <v>54.0</v>
      </c>
    </row>
    <row r="843" ht="14.25" customHeight="1">
      <c r="A843" s="3">
        <v>841.0</v>
      </c>
      <c r="B843" s="3" t="s">
        <v>7317</v>
      </c>
      <c r="C843" s="3">
        <v>16.0</v>
      </c>
      <c r="D843" s="3" t="s">
        <v>6645</v>
      </c>
      <c r="E843" s="3" t="s">
        <v>6646</v>
      </c>
      <c r="F843" s="3" t="s">
        <v>6646</v>
      </c>
      <c r="G843" s="3" t="s">
        <v>6645</v>
      </c>
      <c r="H843" s="3" t="s">
        <v>6645</v>
      </c>
      <c r="I843" s="3" t="s">
        <v>6646</v>
      </c>
      <c r="J843" s="3">
        <v>-1.0</v>
      </c>
      <c r="K843" s="3">
        <v>0.0</v>
      </c>
      <c r="L843" s="3">
        <v>0.0</v>
      </c>
      <c r="M843" s="3">
        <v>0.0</v>
      </c>
      <c r="N843" s="3">
        <v>473.692</v>
      </c>
      <c r="O843" s="3">
        <v>120.0</v>
      </c>
      <c r="P843" s="3" t="e">
        <v>#N/A</v>
      </c>
      <c r="Q843" s="3">
        <v>38.0</v>
      </c>
      <c r="R843" s="3">
        <v>34.0</v>
      </c>
      <c r="S843" s="3">
        <v>32.0</v>
      </c>
      <c r="T843" s="3">
        <v>31.0</v>
      </c>
      <c r="U843" s="3">
        <v>38.0</v>
      </c>
      <c r="V843" s="3">
        <v>34.0</v>
      </c>
      <c r="W843" s="3">
        <v>28.0</v>
      </c>
      <c r="X843" s="3">
        <v>37.0</v>
      </c>
      <c r="Y843" s="3">
        <v>23.0</v>
      </c>
      <c r="Z843" s="3">
        <v>38.0</v>
      </c>
      <c r="AA843" s="3">
        <v>34.0</v>
      </c>
      <c r="AB843" s="3">
        <v>35.0</v>
      </c>
      <c r="AC843" s="3">
        <v>27.0</v>
      </c>
      <c r="AD843" s="3">
        <v>37.0</v>
      </c>
      <c r="AE843" s="3">
        <v>42.0</v>
      </c>
      <c r="AF843" s="3">
        <v>31.0</v>
      </c>
      <c r="AG843" s="3">
        <v>10.0</v>
      </c>
      <c r="AH843" s="3">
        <v>52.0</v>
      </c>
      <c r="AI843" s="3">
        <v>65.0</v>
      </c>
      <c r="AJ843" s="3">
        <v>42.0</v>
      </c>
      <c r="AK843" s="3">
        <v>38.0</v>
      </c>
      <c r="AL843" s="3">
        <v>48.0</v>
      </c>
      <c r="AM843" s="3">
        <v>71.0</v>
      </c>
      <c r="AN843" s="3">
        <v>18.0</v>
      </c>
    </row>
    <row r="844" ht="14.25" customHeight="1">
      <c r="A844" s="3">
        <v>842.0</v>
      </c>
      <c r="B844" s="3" t="s">
        <v>7318</v>
      </c>
      <c r="C844" s="3">
        <v>23.0</v>
      </c>
      <c r="D844" s="3" t="s">
        <v>6645</v>
      </c>
      <c r="E844" s="3" t="s">
        <v>6646</v>
      </c>
      <c r="F844" s="3" t="s">
        <v>6646</v>
      </c>
      <c r="G844" s="3" t="s">
        <v>6645</v>
      </c>
      <c r="H844" s="3" t="s">
        <v>6645</v>
      </c>
      <c r="I844" s="3" t="s">
        <v>6646</v>
      </c>
      <c r="J844" s="3">
        <v>-1.0</v>
      </c>
      <c r="K844" s="3">
        <v>0.0</v>
      </c>
      <c r="L844" s="3">
        <v>0.0</v>
      </c>
      <c r="M844" s="3">
        <v>0.0</v>
      </c>
      <c r="N844" s="3">
        <v>497.21588</v>
      </c>
      <c r="O844" s="3">
        <v>102.0</v>
      </c>
      <c r="P844" s="3" t="e">
        <v>#N/A</v>
      </c>
      <c r="Q844" s="3">
        <v>34.0</v>
      </c>
      <c r="R844" s="3">
        <v>37.0</v>
      </c>
      <c r="S844" s="3">
        <v>39.0</v>
      </c>
      <c r="T844" s="3">
        <v>34.0</v>
      </c>
      <c r="U844" s="3">
        <v>39.0</v>
      </c>
      <c r="V844" s="3">
        <v>30.0</v>
      </c>
      <c r="W844" s="3">
        <v>27.0</v>
      </c>
      <c r="X844" s="3">
        <v>47.0</v>
      </c>
      <c r="Y844" s="3">
        <v>31.0</v>
      </c>
      <c r="Z844" s="3">
        <v>29.0</v>
      </c>
      <c r="AA844" s="3">
        <v>37.0</v>
      </c>
      <c r="AB844" s="3">
        <v>35.0</v>
      </c>
      <c r="AC844" s="3">
        <v>34.0</v>
      </c>
      <c r="AD844" s="3">
        <v>44.0</v>
      </c>
      <c r="AE844" s="3">
        <v>37.0</v>
      </c>
      <c r="AF844" s="3">
        <v>31.0</v>
      </c>
      <c r="AG844" s="3">
        <v>65.0</v>
      </c>
      <c r="AH844" s="3">
        <v>52.0</v>
      </c>
      <c r="AI844" s="3">
        <v>33.0</v>
      </c>
      <c r="AJ844" s="3">
        <v>41.0</v>
      </c>
      <c r="AK844" s="3">
        <v>56.0</v>
      </c>
      <c r="AL844" s="3">
        <v>12.0</v>
      </c>
      <c r="AM844" s="3">
        <v>12.0</v>
      </c>
      <c r="AN844" s="3">
        <v>66.0</v>
      </c>
    </row>
    <row r="845" ht="14.25" customHeight="1">
      <c r="A845" s="3">
        <v>843.0</v>
      </c>
      <c r="B845" s="3" t="s">
        <v>7319</v>
      </c>
      <c r="C845" s="3">
        <v>23.0</v>
      </c>
      <c r="D845" s="3" t="s">
        <v>6645</v>
      </c>
      <c r="E845" s="3" t="s">
        <v>6646</v>
      </c>
      <c r="F845" s="3" t="s">
        <v>6646</v>
      </c>
      <c r="G845" s="3" t="s">
        <v>6645</v>
      </c>
      <c r="H845" s="3" t="s">
        <v>6645</v>
      </c>
      <c r="I845" s="3" t="s">
        <v>6645</v>
      </c>
      <c r="J845" s="3">
        <v>-1.0</v>
      </c>
      <c r="K845" s="3">
        <v>0.0</v>
      </c>
      <c r="L845" s="3">
        <v>0.0</v>
      </c>
      <c r="M845" s="3">
        <v>0.0</v>
      </c>
      <c r="N845" s="3">
        <v>488.37747</v>
      </c>
      <c r="O845" s="3">
        <v>83.0</v>
      </c>
      <c r="P845" s="3" t="e">
        <v>#N/A</v>
      </c>
      <c r="Q845" s="3">
        <v>30.0</v>
      </c>
      <c r="R845" s="3">
        <v>36.0</v>
      </c>
      <c r="S845" s="3">
        <v>34.0</v>
      </c>
      <c r="T845" s="3">
        <v>38.0</v>
      </c>
      <c r="U845" s="3">
        <v>33.0</v>
      </c>
      <c r="V845" s="3">
        <v>36.0</v>
      </c>
      <c r="W845" s="3">
        <v>30.0</v>
      </c>
      <c r="X845" s="3">
        <v>46.0</v>
      </c>
      <c r="Y845" s="3">
        <v>23.0</v>
      </c>
      <c r="Z845" s="3">
        <v>34.0</v>
      </c>
      <c r="AA845" s="3">
        <v>40.0</v>
      </c>
      <c r="AB845" s="3">
        <v>44.0</v>
      </c>
      <c r="AC845" s="3">
        <v>39.0</v>
      </c>
      <c r="AD845" s="3">
        <v>27.0</v>
      </c>
      <c r="AE845" s="3">
        <v>26.0</v>
      </c>
      <c r="AF845" s="3">
        <v>37.0</v>
      </c>
      <c r="AG845" s="3">
        <v>28.0</v>
      </c>
      <c r="AH845" s="3">
        <v>66.0</v>
      </c>
      <c r="AI845" s="3">
        <v>24.0</v>
      </c>
      <c r="AJ845" s="3">
        <v>33.0</v>
      </c>
      <c r="AK845" s="3">
        <v>69.0</v>
      </c>
      <c r="AL845" s="3">
        <v>54.0</v>
      </c>
      <c r="AM845" s="3">
        <v>55.0</v>
      </c>
      <c r="AN845" s="3">
        <v>41.0</v>
      </c>
    </row>
    <row r="846" ht="14.25" customHeight="1">
      <c r="A846" s="3">
        <v>844.0</v>
      </c>
      <c r="B846" s="3" t="s">
        <v>7320</v>
      </c>
      <c r="C846" s="3">
        <v>48.0</v>
      </c>
      <c r="D846" s="3" t="s">
        <v>6645</v>
      </c>
      <c r="E846" s="3" t="s">
        <v>6646</v>
      </c>
      <c r="F846" s="3" t="s">
        <v>6646</v>
      </c>
      <c r="G846" s="3" t="s">
        <v>6645</v>
      </c>
      <c r="H846" s="3" t="s">
        <v>6645</v>
      </c>
      <c r="I846" s="3" t="s">
        <v>6646</v>
      </c>
      <c r="J846" s="3">
        <v>-1.0</v>
      </c>
      <c r="K846" s="3">
        <v>5.0</v>
      </c>
      <c r="L846" s="3">
        <v>0.0</v>
      </c>
      <c r="M846" s="3">
        <v>0.0</v>
      </c>
      <c r="N846" s="3">
        <v>15056.595</v>
      </c>
      <c r="O846" s="3">
        <v>3814.0</v>
      </c>
      <c r="P846" s="3" t="e">
        <v>#N/A</v>
      </c>
      <c r="Q846" s="3">
        <v>71.0</v>
      </c>
      <c r="R846" s="3">
        <v>65.0</v>
      </c>
      <c r="S846" s="3">
        <v>64.0</v>
      </c>
      <c r="T846" s="3">
        <v>72.0</v>
      </c>
      <c r="U846" s="3">
        <v>65.0</v>
      </c>
      <c r="V846" s="3">
        <v>75.0</v>
      </c>
      <c r="W846" s="3">
        <v>69.0</v>
      </c>
      <c r="X846" s="3">
        <v>59.0</v>
      </c>
      <c r="Y846" s="3">
        <v>80.0</v>
      </c>
      <c r="Z846" s="3">
        <v>57.0</v>
      </c>
      <c r="AA846" s="3">
        <v>82.0</v>
      </c>
      <c r="AB846" s="3">
        <v>61.0</v>
      </c>
      <c r="AC846" s="3">
        <v>72.0</v>
      </c>
      <c r="AD846" s="3">
        <v>58.0</v>
      </c>
      <c r="AE846" s="3">
        <v>90.0</v>
      </c>
      <c r="AF846" s="3">
        <v>51.0</v>
      </c>
      <c r="AG846" s="3">
        <v>40.0</v>
      </c>
      <c r="AH846" s="3">
        <v>66.0</v>
      </c>
      <c r="AI846" s="3">
        <v>47.0</v>
      </c>
      <c r="AJ846" s="3">
        <v>50.0</v>
      </c>
      <c r="AK846" s="3">
        <v>52.0</v>
      </c>
      <c r="AL846" s="3">
        <v>65.0</v>
      </c>
      <c r="AM846" s="3">
        <v>66.0</v>
      </c>
      <c r="AN846" s="3">
        <v>68.0</v>
      </c>
    </row>
    <row r="847" ht="14.25" customHeight="1">
      <c r="A847" s="3">
        <v>845.0</v>
      </c>
      <c r="B847" s="3" t="s">
        <v>7321</v>
      </c>
      <c r="C847" s="3">
        <v>28.0</v>
      </c>
      <c r="D847" s="3" t="s">
        <v>6645</v>
      </c>
      <c r="E847" s="3" t="s">
        <v>6646</v>
      </c>
      <c r="F847" s="3" t="s">
        <v>6646</v>
      </c>
      <c r="G847" s="3" t="s">
        <v>6645</v>
      </c>
      <c r="H847" s="3" t="s">
        <v>6645</v>
      </c>
      <c r="I847" s="3" t="s">
        <v>6646</v>
      </c>
      <c r="J847" s="3">
        <v>-1.0</v>
      </c>
      <c r="K847" s="3">
        <v>1.0</v>
      </c>
      <c r="L847" s="3">
        <v>0.0</v>
      </c>
      <c r="M847" s="3">
        <v>0.0</v>
      </c>
      <c r="N847" s="3">
        <v>1306.6954</v>
      </c>
      <c r="O847" s="3">
        <v>186.0</v>
      </c>
      <c r="P847" s="3" t="e">
        <v>#N/A</v>
      </c>
      <c r="Q847" s="3">
        <v>37.0</v>
      </c>
      <c r="R847" s="3">
        <v>40.0</v>
      </c>
      <c r="S847" s="3">
        <v>44.0</v>
      </c>
      <c r="T847" s="3">
        <v>44.0</v>
      </c>
      <c r="U847" s="3">
        <v>44.0</v>
      </c>
      <c r="V847" s="3">
        <v>44.0</v>
      </c>
      <c r="W847" s="3">
        <v>32.0</v>
      </c>
      <c r="X847" s="3">
        <v>34.0</v>
      </c>
      <c r="Y847" s="3">
        <v>46.0</v>
      </c>
      <c r="Z847" s="3">
        <v>39.0</v>
      </c>
      <c r="AA847" s="3">
        <v>35.0</v>
      </c>
      <c r="AB847" s="3">
        <v>31.0</v>
      </c>
      <c r="AC847" s="3">
        <v>45.0</v>
      </c>
      <c r="AD847" s="3">
        <v>50.0</v>
      </c>
      <c r="AE847" s="3">
        <v>38.0</v>
      </c>
      <c r="AF847" s="3">
        <v>35.0</v>
      </c>
      <c r="AG847" s="3">
        <v>76.0</v>
      </c>
      <c r="AH847" s="3">
        <v>46.0</v>
      </c>
      <c r="AI847" s="3">
        <v>55.0</v>
      </c>
      <c r="AJ847" s="3">
        <v>41.0</v>
      </c>
      <c r="AK847" s="3">
        <v>13.0</v>
      </c>
      <c r="AL847" s="3">
        <v>33.0</v>
      </c>
      <c r="AM847" s="3">
        <v>51.0</v>
      </c>
      <c r="AN847" s="3">
        <v>54.0</v>
      </c>
    </row>
    <row r="848" ht="14.25" customHeight="1">
      <c r="A848" s="3">
        <v>846.0</v>
      </c>
      <c r="B848" s="3" t="s">
        <v>7322</v>
      </c>
      <c r="C848" s="3">
        <v>24.0</v>
      </c>
      <c r="D848" s="3" t="s">
        <v>6645</v>
      </c>
      <c r="E848" s="3" t="s">
        <v>6646</v>
      </c>
      <c r="F848" s="3" t="s">
        <v>6646</v>
      </c>
      <c r="G848" s="3" t="s">
        <v>6645</v>
      </c>
      <c r="H848" s="3" t="s">
        <v>6645</v>
      </c>
      <c r="I848" s="3" t="s">
        <v>6645</v>
      </c>
      <c r="J848" s="3">
        <v>-1.0</v>
      </c>
      <c r="K848" s="3">
        <v>1.0</v>
      </c>
      <c r="L848" s="3">
        <v>0.0</v>
      </c>
      <c r="M848" s="3">
        <v>0.0</v>
      </c>
      <c r="N848" s="3">
        <v>1007.3657</v>
      </c>
      <c r="O848" s="3">
        <v>161.0</v>
      </c>
      <c r="P848" s="3" t="e">
        <v>#N/A</v>
      </c>
      <c r="Q848" s="3">
        <v>44.0</v>
      </c>
      <c r="R848" s="3">
        <v>40.0</v>
      </c>
      <c r="S848" s="3">
        <v>44.0</v>
      </c>
      <c r="T848" s="3">
        <v>39.0</v>
      </c>
      <c r="U848" s="3">
        <v>35.0</v>
      </c>
      <c r="V848" s="3">
        <v>37.0</v>
      </c>
      <c r="W848" s="3">
        <v>36.0</v>
      </c>
      <c r="X848" s="3">
        <v>43.0</v>
      </c>
      <c r="Y848" s="3">
        <v>44.0</v>
      </c>
      <c r="Z848" s="3">
        <v>45.0</v>
      </c>
      <c r="AA848" s="3">
        <v>42.0</v>
      </c>
      <c r="AB848" s="3">
        <v>44.0</v>
      </c>
      <c r="AC848" s="3">
        <v>34.0</v>
      </c>
      <c r="AD848" s="3">
        <v>37.0</v>
      </c>
      <c r="AE848" s="3">
        <v>29.0</v>
      </c>
      <c r="AF848" s="3">
        <v>69.0</v>
      </c>
      <c r="AG848" s="3">
        <v>49.0</v>
      </c>
      <c r="AH848" s="3">
        <v>53.0</v>
      </c>
      <c r="AI848" s="3">
        <v>37.0</v>
      </c>
      <c r="AJ848" s="3">
        <v>34.0</v>
      </c>
      <c r="AK848" s="3">
        <v>59.0</v>
      </c>
      <c r="AL848" s="3">
        <v>5.0</v>
      </c>
      <c r="AM848" s="3">
        <v>45.0</v>
      </c>
      <c r="AN848" s="3">
        <v>55.0</v>
      </c>
    </row>
    <row r="849" ht="14.25" customHeight="1">
      <c r="A849" s="3">
        <v>847.0</v>
      </c>
      <c r="B849" s="3" t="s">
        <v>7323</v>
      </c>
      <c r="C849" s="3">
        <v>19.0</v>
      </c>
      <c r="D849" s="3" t="s">
        <v>6645</v>
      </c>
      <c r="E849" s="3" t="s">
        <v>6646</v>
      </c>
      <c r="F849" s="3" t="s">
        <v>6646</v>
      </c>
      <c r="G849" s="3" t="s">
        <v>6645</v>
      </c>
      <c r="H849" s="3" t="s">
        <v>6645</v>
      </c>
      <c r="I849" s="3" t="s">
        <v>6646</v>
      </c>
      <c r="J849" s="3">
        <v>-1.0</v>
      </c>
      <c r="K849" s="3">
        <v>0.0</v>
      </c>
      <c r="L849" s="3">
        <v>0.0</v>
      </c>
      <c r="M849" s="3">
        <v>0.0</v>
      </c>
      <c r="N849" s="3">
        <v>444.77471</v>
      </c>
      <c r="O849" s="3">
        <v>89.0</v>
      </c>
      <c r="P849" s="3" t="e">
        <v>#N/A</v>
      </c>
      <c r="Q849" s="3">
        <v>37.0</v>
      </c>
      <c r="R849" s="3">
        <v>33.0</v>
      </c>
      <c r="S849" s="3">
        <v>34.0</v>
      </c>
      <c r="T849" s="3">
        <v>32.0</v>
      </c>
      <c r="U849" s="3">
        <v>37.0</v>
      </c>
      <c r="V849" s="3">
        <v>38.0</v>
      </c>
      <c r="W849" s="3">
        <v>36.0</v>
      </c>
      <c r="X849" s="3">
        <v>39.0</v>
      </c>
      <c r="Y849" s="3">
        <v>25.0</v>
      </c>
      <c r="Z849" s="3">
        <v>28.0</v>
      </c>
      <c r="AA849" s="3">
        <v>49.0</v>
      </c>
      <c r="AB849" s="3">
        <v>33.0</v>
      </c>
      <c r="AC849" s="3">
        <v>37.0</v>
      </c>
      <c r="AD849" s="3">
        <v>39.0</v>
      </c>
      <c r="AE849" s="3">
        <v>26.0</v>
      </c>
      <c r="AF849" s="3">
        <v>50.0</v>
      </c>
      <c r="AG849" s="3">
        <v>44.0</v>
      </c>
      <c r="AH849" s="3">
        <v>51.0</v>
      </c>
      <c r="AI849" s="3">
        <v>38.0</v>
      </c>
      <c r="AJ849" s="3">
        <v>55.0</v>
      </c>
      <c r="AK849" s="3">
        <v>59.0</v>
      </c>
      <c r="AL849" s="3">
        <v>50.0</v>
      </c>
      <c r="AM849" s="3">
        <v>78.0</v>
      </c>
      <c r="AN849" s="3">
        <v>34.0</v>
      </c>
    </row>
    <row r="850" ht="14.25" customHeight="1">
      <c r="A850" s="3">
        <v>848.0</v>
      </c>
      <c r="B850" s="3" t="s">
        <v>7324</v>
      </c>
      <c r="C850" s="3">
        <v>18.0</v>
      </c>
      <c r="D850" s="3" t="s">
        <v>6645</v>
      </c>
      <c r="E850" s="3" t="s">
        <v>6646</v>
      </c>
      <c r="F850" s="3" t="s">
        <v>6646</v>
      </c>
      <c r="G850" s="3" t="s">
        <v>6645</v>
      </c>
      <c r="H850" s="3" t="s">
        <v>6645</v>
      </c>
      <c r="I850" s="3" t="s">
        <v>6645</v>
      </c>
      <c r="J850" s="3">
        <v>-1.0</v>
      </c>
      <c r="K850" s="3">
        <v>0.0</v>
      </c>
      <c r="L850" s="3">
        <v>0.0</v>
      </c>
      <c r="M850" s="3">
        <v>0.0</v>
      </c>
      <c r="N850" s="3">
        <v>459.01916</v>
      </c>
      <c r="O850" s="3">
        <v>89.0</v>
      </c>
      <c r="P850" s="3" t="e">
        <v>#N/A</v>
      </c>
      <c r="Q850" s="3">
        <v>31.0</v>
      </c>
      <c r="R850" s="3">
        <v>39.0</v>
      </c>
      <c r="S850" s="3">
        <v>35.0</v>
      </c>
      <c r="T850" s="3">
        <v>34.0</v>
      </c>
      <c r="U850" s="3">
        <v>33.0</v>
      </c>
      <c r="V850" s="3">
        <v>37.0</v>
      </c>
      <c r="W850" s="3">
        <v>32.0</v>
      </c>
      <c r="X850" s="3">
        <v>39.0</v>
      </c>
      <c r="Y850" s="3">
        <v>32.0</v>
      </c>
      <c r="Z850" s="3">
        <v>25.0</v>
      </c>
      <c r="AA850" s="3">
        <v>31.0</v>
      </c>
      <c r="AB850" s="3">
        <v>43.0</v>
      </c>
      <c r="AC850" s="3">
        <v>21.0</v>
      </c>
      <c r="AD850" s="3">
        <v>30.0</v>
      </c>
      <c r="AE850" s="3">
        <v>41.0</v>
      </c>
      <c r="AF850" s="3">
        <v>55.0</v>
      </c>
      <c r="AG850" s="3">
        <v>41.0</v>
      </c>
      <c r="AH850" s="3">
        <v>43.0</v>
      </c>
      <c r="AI850" s="3">
        <v>30.0</v>
      </c>
      <c r="AJ850" s="3">
        <v>11.0</v>
      </c>
      <c r="AK850" s="3">
        <v>57.0</v>
      </c>
      <c r="AL850" s="3">
        <v>35.0</v>
      </c>
      <c r="AM850" s="3">
        <v>70.0</v>
      </c>
      <c r="AN850" s="3">
        <v>57.0</v>
      </c>
    </row>
    <row r="851" ht="14.25" customHeight="1">
      <c r="A851" s="3">
        <v>849.0</v>
      </c>
      <c r="B851" s="3" t="s">
        <v>7325</v>
      </c>
      <c r="C851" s="3">
        <v>39.0</v>
      </c>
      <c r="D851" s="3" t="s">
        <v>6645</v>
      </c>
      <c r="E851" s="3" t="s">
        <v>6646</v>
      </c>
      <c r="F851" s="3" t="s">
        <v>6646</v>
      </c>
      <c r="G851" s="3" t="s">
        <v>6645</v>
      </c>
      <c r="H851" s="3" t="s">
        <v>6645</v>
      </c>
      <c r="I851" s="3" t="s">
        <v>6646</v>
      </c>
      <c r="J851" s="3">
        <v>-1.0</v>
      </c>
      <c r="K851" s="3">
        <v>4.0</v>
      </c>
      <c r="L851" s="3">
        <v>0.0</v>
      </c>
      <c r="M851" s="3">
        <v>0.0</v>
      </c>
      <c r="N851" s="3">
        <v>8714.0</v>
      </c>
      <c r="O851" s="3">
        <v>1935.0</v>
      </c>
      <c r="P851" s="3" t="e">
        <v>#N/A</v>
      </c>
      <c r="Q851" s="3">
        <v>57.0</v>
      </c>
      <c r="R851" s="3">
        <v>53.0</v>
      </c>
      <c r="S851" s="3">
        <v>65.0</v>
      </c>
      <c r="T851" s="3">
        <v>53.0</v>
      </c>
      <c r="U851" s="3">
        <v>56.0</v>
      </c>
      <c r="V851" s="3">
        <v>59.0</v>
      </c>
      <c r="W851" s="3">
        <v>64.0</v>
      </c>
      <c r="X851" s="3">
        <v>50.0</v>
      </c>
      <c r="Y851" s="3">
        <v>51.0</v>
      </c>
      <c r="Z851" s="3">
        <v>56.0</v>
      </c>
      <c r="AA851" s="3">
        <v>62.0</v>
      </c>
      <c r="AB851" s="3">
        <v>53.0</v>
      </c>
      <c r="AC851" s="3">
        <v>71.0</v>
      </c>
      <c r="AD851" s="3">
        <v>57.0</v>
      </c>
      <c r="AE851" s="3">
        <v>63.0</v>
      </c>
      <c r="AF851" s="3">
        <v>74.0</v>
      </c>
      <c r="AG851" s="3">
        <v>53.0</v>
      </c>
      <c r="AH851" s="3">
        <v>61.0</v>
      </c>
      <c r="AI851" s="3">
        <v>56.0</v>
      </c>
      <c r="AJ851" s="3">
        <v>27.0</v>
      </c>
      <c r="AK851" s="3">
        <v>28.0</v>
      </c>
      <c r="AL851" s="3">
        <v>73.0</v>
      </c>
      <c r="AM851" s="3">
        <v>67.0</v>
      </c>
      <c r="AN851" s="3">
        <v>60.0</v>
      </c>
    </row>
    <row r="852" ht="14.25" customHeight="1">
      <c r="A852" s="3">
        <v>850.0</v>
      </c>
      <c r="B852" s="3" t="s">
        <v>7326</v>
      </c>
      <c r="C852" s="3">
        <v>26.0</v>
      </c>
      <c r="D852" s="3" t="s">
        <v>6645</v>
      </c>
      <c r="E852" s="3" t="s">
        <v>6646</v>
      </c>
      <c r="F852" s="3" t="s">
        <v>6646</v>
      </c>
      <c r="G852" s="3" t="s">
        <v>6645</v>
      </c>
      <c r="H852" s="3" t="s">
        <v>6645</v>
      </c>
      <c r="I852" s="3" t="s">
        <v>6646</v>
      </c>
      <c r="J852" s="3">
        <v>-1.0</v>
      </c>
      <c r="K852" s="3">
        <v>1.0</v>
      </c>
      <c r="L852" s="3">
        <v>0.0</v>
      </c>
      <c r="M852" s="3">
        <v>0.0</v>
      </c>
      <c r="N852" s="3">
        <v>947.04675</v>
      </c>
      <c r="O852" s="3">
        <v>150.0</v>
      </c>
      <c r="P852" s="3" t="e">
        <v>#N/A</v>
      </c>
      <c r="Q852" s="3">
        <v>43.0</v>
      </c>
      <c r="R852" s="3">
        <v>44.0</v>
      </c>
      <c r="S852" s="3">
        <v>35.0</v>
      </c>
      <c r="T852" s="3">
        <v>35.0</v>
      </c>
      <c r="U852" s="3">
        <v>44.0</v>
      </c>
      <c r="V852" s="3">
        <v>38.0</v>
      </c>
      <c r="W852" s="3">
        <v>49.0</v>
      </c>
      <c r="X852" s="3">
        <v>27.0</v>
      </c>
      <c r="Y852" s="3">
        <v>37.0</v>
      </c>
      <c r="Z852" s="3">
        <v>37.0</v>
      </c>
      <c r="AA852" s="3">
        <v>38.0</v>
      </c>
      <c r="AB852" s="3">
        <v>31.0</v>
      </c>
      <c r="AC852" s="3">
        <v>32.0</v>
      </c>
      <c r="AD852" s="3">
        <v>49.0</v>
      </c>
      <c r="AE852" s="3">
        <v>51.0</v>
      </c>
      <c r="AF852" s="3">
        <v>67.0</v>
      </c>
      <c r="AG852" s="3">
        <v>43.0</v>
      </c>
      <c r="AH852" s="3">
        <v>69.0</v>
      </c>
      <c r="AI852" s="3">
        <v>57.0</v>
      </c>
      <c r="AJ852" s="3">
        <v>29.0</v>
      </c>
      <c r="AK852" s="3">
        <v>33.0</v>
      </c>
      <c r="AL852" s="3">
        <v>35.0</v>
      </c>
      <c r="AM852" s="3">
        <v>50.0</v>
      </c>
      <c r="AN852" s="3">
        <v>39.0</v>
      </c>
    </row>
    <row r="853" ht="14.25" customHeight="1">
      <c r="A853" s="3">
        <v>851.0</v>
      </c>
      <c r="B853" s="3" t="s">
        <v>7327</v>
      </c>
      <c r="C853" s="3">
        <v>18.0</v>
      </c>
      <c r="D853" s="3" t="s">
        <v>6645</v>
      </c>
      <c r="E853" s="3" t="s">
        <v>6646</v>
      </c>
      <c r="F853" s="3" t="s">
        <v>6646</v>
      </c>
      <c r="G853" s="3" t="s">
        <v>6645</v>
      </c>
      <c r="H853" s="3" t="s">
        <v>6645</v>
      </c>
      <c r="I853" s="3" t="s">
        <v>6645</v>
      </c>
      <c r="J853" s="3">
        <v>-1.0</v>
      </c>
      <c r="K853" s="3">
        <v>0.0</v>
      </c>
      <c r="L853" s="3">
        <v>0.0</v>
      </c>
      <c r="M853" s="3">
        <v>0.0</v>
      </c>
      <c r="N853" s="3">
        <v>455.67324</v>
      </c>
      <c r="O853" s="3">
        <v>119.0</v>
      </c>
      <c r="P853" s="3" t="e">
        <v>#N/A</v>
      </c>
      <c r="Q853" s="3">
        <v>30.0</v>
      </c>
      <c r="R853" s="3">
        <v>34.0</v>
      </c>
      <c r="S853" s="3">
        <v>32.0</v>
      </c>
      <c r="T853" s="3">
        <v>30.0</v>
      </c>
      <c r="U853" s="3">
        <v>39.0</v>
      </c>
      <c r="V853" s="3">
        <v>39.0</v>
      </c>
      <c r="W853" s="3">
        <v>30.0</v>
      </c>
      <c r="X853" s="3">
        <v>34.0</v>
      </c>
      <c r="Y853" s="3">
        <v>45.0</v>
      </c>
      <c r="Z853" s="3">
        <v>27.0</v>
      </c>
      <c r="AA853" s="3">
        <v>37.0</v>
      </c>
      <c r="AB853" s="3">
        <v>38.0</v>
      </c>
      <c r="AC853" s="3">
        <v>31.0</v>
      </c>
      <c r="AD853" s="3">
        <v>31.0</v>
      </c>
      <c r="AE853" s="3">
        <v>24.0</v>
      </c>
      <c r="AF853" s="3">
        <v>51.0</v>
      </c>
      <c r="AG853" s="3">
        <v>14.0</v>
      </c>
      <c r="AH853" s="3">
        <v>45.0</v>
      </c>
      <c r="AI853" s="3">
        <v>41.0</v>
      </c>
      <c r="AJ853" s="3">
        <v>67.0</v>
      </c>
      <c r="AK853" s="3">
        <v>50.0</v>
      </c>
      <c r="AL853" s="3">
        <v>77.0</v>
      </c>
      <c r="AM853" s="3">
        <v>35.0</v>
      </c>
      <c r="AN853" s="3">
        <v>48.0</v>
      </c>
    </row>
    <row r="854" ht="14.25" customHeight="1">
      <c r="A854" s="3">
        <v>852.0</v>
      </c>
      <c r="B854" s="3" t="s">
        <v>7328</v>
      </c>
      <c r="C854" s="3">
        <v>33.0</v>
      </c>
      <c r="D854" s="3" t="s">
        <v>6645</v>
      </c>
      <c r="E854" s="3" t="s">
        <v>6646</v>
      </c>
      <c r="F854" s="3" t="s">
        <v>6646</v>
      </c>
      <c r="G854" s="3" t="s">
        <v>6645</v>
      </c>
      <c r="H854" s="3" t="s">
        <v>6645</v>
      </c>
      <c r="I854" s="3" t="s">
        <v>6646</v>
      </c>
      <c r="J854" s="3">
        <v>-1.0</v>
      </c>
      <c r="K854" s="3">
        <v>3.0</v>
      </c>
      <c r="L854" s="3">
        <v>0.0</v>
      </c>
      <c r="M854" s="3">
        <v>0.0</v>
      </c>
      <c r="N854" s="3">
        <v>5021.5434</v>
      </c>
      <c r="O854" s="3">
        <v>758.0</v>
      </c>
      <c r="P854" s="3" t="e">
        <v>#N/A</v>
      </c>
      <c r="Q854" s="3">
        <v>54.0</v>
      </c>
      <c r="R854" s="3">
        <v>50.0</v>
      </c>
      <c r="S854" s="3">
        <v>50.0</v>
      </c>
      <c r="T854" s="3">
        <v>50.0</v>
      </c>
      <c r="U854" s="3">
        <v>52.0</v>
      </c>
      <c r="V854" s="3">
        <v>49.0</v>
      </c>
      <c r="W854" s="3">
        <v>47.0</v>
      </c>
      <c r="X854" s="3">
        <v>56.0</v>
      </c>
      <c r="Y854" s="3">
        <v>48.0</v>
      </c>
      <c r="Z854" s="3">
        <v>42.0</v>
      </c>
      <c r="AA854" s="3">
        <v>61.0</v>
      </c>
      <c r="AB854" s="3">
        <v>48.0</v>
      </c>
      <c r="AC854" s="3">
        <v>48.0</v>
      </c>
      <c r="AD854" s="3">
        <v>60.0</v>
      </c>
      <c r="AE854" s="3">
        <v>38.0</v>
      </c>
      <c r="AF854" s="3">
        <v>74.0</v>
      </c>
      <c r="AG854" s="3">
        <v>12.0</v>
      </c>
      <c r="AH854" s="3">
        <v>58.0</v>
      </c>
      <c r="AI854" s="3">
        <v>56.0</v>
      </c>
      <c r="AJ854" s="3">
        <v>58.0</v>
      </c>
      <c r="AK854" s="3">
        <v>57.0</v>
      </c>
      <c r="AL854" s="3">
        <v>40.0</v>
      </c>
      <c r="AM854" s="3">
        <v>58.0</v>
      </c>
      <c r="AN854" s="3">
        <v>52.0</v>
      </c>
    </row>
    <row r="855" ht="14.25" customHeight="1">
      <c r="A855" s="3">
        <v>853.0</v>
      </c>
      <c r="B855" s="3" t="s">
        <v>7329</v>
      </c>
      <c r="C855" s="3">
        <v>26.0</v>
      </c>
      <c r="D855" s="3" t="s">
        <v>6645</v>
      </c>
      <c r="E855" s="3" t="s">
        <v>6646</v>
      </c>
      <c r="F855" s="3" t="s">
        <v>6646</v>
      </c>
      <c r="G855" s="3" t="s">
        <v>6645</v>
      </c>
      <c r="H855" s="3" t="s">
        <v>6645</v>
      </c>
      <c r="I855" s="3" t="s">
        <v>6646</v>
      </c>
      <c r="J855" s="3">
        <v>-1.0</v>
      </c>
      <c r="K855" s="3">
        <v>1.0</v>
      </c>
      <c r="L855" s="3">
        <v>0.0</v>
      </c>
      <c r="M855" s="3">
        <v>0.0</v>
      </c>
      <c r="N855" s="3">
        <v>1171.9702</v>
      </c>
      <c r="O855" s="3">
        <v>168.0</v>
      </c>
      <c r="P855" s="3" t="e">
        <v>#N/A</v>
      </c>
      <c r="Q855" s="3">
        <v>35.0</v>
      </c>
      <c r="R855" s="3">
        <v>41.0</v>
      </c>
      <c r="S855" s="3">
        <v>37.0</v>
      </c>
      <c r="T855" s="3">
        <v>38.0</v>
      </c>
      <c r="U855" s="3">
        <v>42.0</v>
      </c>
      <c r="V855" s="3">
        <v>43.0</v>
      </c>
      <c r="W855" s="3">
        <v>47.0</v>
      </c>
      <c r="X855" s="3">
        <v>44.0</v>
      </c>
      <c r="Y855" s="3">
        <v>49.0</v>
      </c>
      <c r="Z855" s="3">
        <v>43.0</v>
      </c>
      <c r="AA855" s="3">
        <v>32.0</v>
      </c>
      <c r="AB855" s="3">
        <v>47.0</v>
      </c>
      <c r="AC855" s="3">
        <v>30.0</v>
      </c>
      <c r="AD855" s="3">
        <v>34.0</v>
      </c>
      <c r="AE855" s="3">
        <v>36.0</v>
      </c>
      <c r="AF855" s="3">
        <v>41.0</v>
      </c>
      <c r="AG855" s="3">
        <v>56.0</v>
      </c>
      <c r="AH855" s="3">
        <v>43.0</v>
      </c>
      <c r="AI855" s="3">
        <v>44.0</v>
      </c>
      <c r="AJ855" s="3">
        <v>65.0</v>
      </c>
      <c r="AK855" s="3">
        <v>47.0</v>
      </c>
      <c r="AL855" s="3">
        <v>43.0</v>
      </c>
      <c r="AM855" s="3">
        <v>13.0</v>
      </c>
      <c r="AN855" s="3">
        <v>34.0</v>
      </c>
    </row>
    <row r="856" ht="14.25" customHeight="1">
      <c r="A856" s="3">
        <v>854.0</v>
      </c>
      <c r="B856" s="3" t="s">
        <v>7330</v>
      </c>
      <c r="C856" s="3">
        <v>29.0</v>
      </c>
      <c r="D856" s="3" t="s">
        <v>6645</v>
      </c>
      <c r="E856" s="3" t="s">
        <v>6646</v>
      </c>
      <c r="F856" s="3" t="s">
        <v>6646</v>
      </c>
      <c r="G856" s="3" t="s">
        <v>6645</v>
      </c>
      <c r="H856" s="3" t="s">
        <v>6645</v>
      </c>
      <c r="I856" s="3" t="s">
        <v>6645</v>
      </c>
      <c r="J856" s="3">
        <v>-1.0</v>
      </c>
      <c r="K856" s="3">
        <v>2.0</v>
      </c>
      <c r="L856" s="3">
        <v>0.0</v>
      </c>
      <c r="M856" s="3">
        <v>0.0</v>
      </c>
      <c r="N856" s="3">
        <v>2619.03</v>
      </c>
      <c r="O856" s="3">
        <v>320.0</v>
      </c>
      <c r="P856" s="3" t="e">
        <v>#N/A</v>
      </c>
      <c r="Q856" s="3">
        <v>49.0</v>
      </c>
      <c r="R856" s="3">
        <v>46.0</v>
      </c>
      <c r="S856" s="3">
        <v>44.0</v>
      </c>
      <c r="T856" s="3">
        <v>49.0</v>
      </c>
      <c r="U856" s="3">
        <v>44.0</v>
      </c>
      <c r="V856" s="3">
        <v>46.0</v>
      </c>
      <c r="W856" s="3">
        <v>45.0</v>
      </c>
      <c r="X856" s="3">
        <v>50.0</v>
      </c>
      <c r="Y856" s="3">
        <v>40.0</v>
      </c>
      <c r="Z856" s="3">
        <v>44.0</v>
      </c>
      <c r="AA856" s="3">
        <v>46.0</v>
      </c>
      <c r="AB856" s="3">
        <v>48.0</v>
      </c>
      <c r="AC856" s="3">
        <v>35.0</v>
      </c>
      <c r="AD856" s="3">
        <v>54.0</v>
      </c>
      <c r="AE856" s="3">
        <v>37.0</v>
      </c>
      <c r="AF856" s="3">
        <v>21.0</v>
      </c>
      <c r="AG856" s="3">
        <v>49.0</v>
      </c>
      <c r="AH856" s="3">
        <v>52.0</v>
      </c>
      <c r="AI856" s="3">
        <v>52.0</v>
      </c>
      <c r="AJ856" s="3">
        <v>36.0</v>
      </c>
      <c r="AK856" s="3">
        <v>13.0</v>
      </c>
      <c r="AL856" s="3">
        <v>79.0</v>
      </c>
      <c r="AM856" s="3">
        <v>52.0</v>
      </c>
      <c r="AN856" s="3">
        <v>79.0</v>
      </c>
    </row>
    <row r="857" ht="14.25" customHeight="1">
      <c r="A857" s="3">
        <v>855.0</v>
      </c>
      <c r="B857" s="3" t="s">
        <v>7331</v>
      </c>
      <c r="C857" s="3">
        <v>27.0</v>
      </c>
      <c r="D857" s="3" t="s">
        <v>6645</v>
      </c>
      <c r="E857" s="3" t="s">
        <v>6646</v>
      </c>
      <c r="F857" s="3" t="s">
        <v>6646</v>
      </c>
      <c r="G857" s="3" t="s">
        <v>6645</v>
      </c>
      <c r="H857" s="3" t="s">
        <v>6645</v>
      </c>
      <c r="I857" s="3" t="s">
        <v>6645</v>
      </c>
      <c r="J857" s="3">
        <v>-1.0</v>
      </c>
      <c r="K857" s="3">
        <v>2.0</v>
      </c>
      <c r="L857" s="3">
        <v>0.0</v>
      </c>
      <c r="M857" s="3">
        <v>0.0</v>
      </c>
      <c r="N857" s="3">
        <v>2688.7</v>
      </c>
      <c r="O857" s="3">
        <v>470.0</v>
      </c>
      <c r="P857" s="3" t="e">
        <v>#N/A</v>
      </c>
      <c r="Q857" s="3">
        <v>42.0</v>
      </c>
      <c r="R857" s="3">
        <v>42.0</v>
      </c>
      <c r="S857" s="3">
        <v>41.0</v>
      </c>
      <c r="T857" s="3">
        <v>42.0</v>
      </c>
      <c r="U857" s="3">
        <v>48.0</v>
      </c>
      <c r="V857" s="3">
        <v>45.0</v>
      </c>
      <c r="W857" s="3">
        <v>33.0</v>
      </c>
      <c r="X857" s="3">
        <v>50.0</v>
      </c>
      <c r="Y857" s="3">
        <v>34.0</v>
      </c>
      <c r="Z857" s="3">
        <v>38.0</v>
      </c>
      <c r="AA857" s="3">
        <v>54.0</v>
      </c>
      <c r="AB857" s="3">
        <v>46.0</v>
      </c>
      <c r="AC857" s="3">
        <v>51.0</v>
      </c>
      <c r="AD857" s="3">
        <v>41.0</v>
      </c>
      <c r="AE857" s="3">
        <v>43.0</v>
      </c>
      <c r="AF857" s="3">
        <v>54.0</v>
      </c>
      <c r="AG857" s="3">
        <v>73.0</v>
      </c>
      <c r="AH857" s="3">
        <v>31.0</v>
      </c>
      <c r="AI857" s="3">
        <v>44.0</v>
      </c>
      <c r="AJ857" s="3">
        <v>38.0</v>
      </c>
      <c r="AK857" s="3">
        <v>82.0</v>
      </c>
      <c r="AL857" s="3">
        <v>78.0</v>
      </c>
      <c r="AM857" s="3">
        <v>42.0</v>
      </c>
      <c r="AN857" s="3">
        <v>24.0</v>
      </c>
    </row>
    <row r="858" ht="14.25" customHeight="1">
      <c r="A858" s="3">
        <v>856.0</v>
      </c>
      <c r="B858" s="3" t="s">
        <v>7332</v>
      </c>
      <c r="C858" s="3">
        <v>16.0</v>
      </c>
      <c r="D858" s="3" t="s">
        <v>6645</v>
      </c>
      <c r="E858" s="3" t="s">
        <v>6646</v>
      </c>
      <c r="F858" s="3" t="s">
        <v>6646</v>
      </c>
      <c r="G858" s="3" t="s">
        <v>6645</v>
      </c>
      <c r="H858" s="3" t="s">
        <v>6645</v>
      </c>
      <c r="I858" s="3" t="s">
        <v>6645</v>
      </c>
      <c r="J858" s="3">
        <v>-1.0</v>
      </c>
      <c r="K858" s="3">
        <v>0.0</v>
      </c>
      <c r="L858" s="3">
        <v>0.0</v>
      </c>
      <c r="M858" s="3">
        <v>0.0</v>
      </c>
      <c r="N858" s="3">
        <v>533.493</v>
      </c>
      <c r="O858" s="3">
        <v>79.0</v>
      </c>
      <c r="P858" s="3" t="e">
        <v>#N/A</v>
      </c>
      <c r="Q858" s="3">
        <v>30.0</v>
      </c>
      <c r="R858" s="3">
        <v>30.0</v>
      </c>
      <c r="S858" s="3">
        <v>32.0</v>
      </c>
      <c r="T858" s="3">
        <v>30.0</v>
      </c>
      <c r="U858" s="3">
        <v>34.0</v>
      </c>
      <c r="V858" s="3">
        <v>35.0</v>
      </c>
      <c r="W858" s="3">
        <v>33.0</v>
      </c>
      <c r="X858" s="3">
        <v>28.0</v>
      </c>
      <c r="Y858" s="3">
        <v>42.0</v>
      </c>
      <c r="Z858" s="3">
        <v>35.0</v>
      </c>
      <c r="AA858" s="3">
        <v>41.0</v>
      </c>
      <c r="AB858" s="3">
        <v>36.0</v>
      </c>
      <c r="AC858" s="3">
        <v>27.0</v>
      </c>
      <c r="AD858" s="3">
        <v>41.0</v>
      </c>
      <c r="AE858" s="3">
        <v>29.0</v>
      </c>
      <c r="AF858" s="3">
        <v>55.0</v>
      </c>
      <c r="AG858" s="3">
        <v>55.0</v>
      </c>
      <c r="AH858" s="3">
        <v>52.0</v>
      </c>
      <c r="AI858" s="3">
        <v>25.0</v>
      </c>
      <c r="AJ858" s="3">
        <v>59.0</v>
      </c>
      <c r="AK858" s="3">
        <v>56.0</v>
      </c>
      <c r="AL858" s="3">
        <v>40.0</v>
      </c>
      <c r="AM858" s="3">
        <v>71.0</v>
      </c>
      <c r="AN858" s="3">
        <v>55.0</v>
      </c>
    </row>
    <row r="859" ht="14.25" customHeight="1">
      <c r="A859" s="3">
        <v>857.0</v>
      </c>
      <c r="B859" s="3" t="s">
        <v>7333</v>
      </c>
      <c r="C859" s="3">
        <v>39.0</v>
      </c>
      <c r="D859" s="3" t="s">
        <v>6645</v>
      </c>
      <c r="E859" s="3" t="s">
        <v>6646</v>
      </c>
      <c r="F859" s="3" t="s">
        <v>6646</v>
      </c>
      <c r="G859" s="3" t="s">
        <v>6645</v>
      </c>
      <c r="H859" s="3" t="s">
        <v>6645</v>
      </c>
      <c r="I859" s="3" t="s">
        <v>6645</v>
      </c>
      <c r="J859" s="3">
        <v>-1.0</v>
      </c>
      <c r="K859" s="3">
        <v>3.0</v>
      </c>
      <c r="L859" s="3">
        <v>0.0</v>
      </c>
      <c r="M859" s="3">
        <v>0.0</v>
      </c>
      <c r="N859" s="3">
        <v>5138.9262</v>
      </c>
      <c r="O859" s="3">
        <v>666.0</v>
      </c>
      <c r="P859" s="3" t="e">
        <v>#N/A</v>
      </c>
      <c r="Q859" s="3">
        <v>46.0</v>
      </c>
      <c r="R859" s="3">
        <v>49.0</v>
      </c>
      <c r="S859" s="3">
        <v>57.0</v>
      </c>
      <c r="T859" s="3">
        <v>54.0</v>
      </c>
      <c r="U859" s="3">
        <v>51.0</v>
      </c>
      <c r="V859" s="3">
        <v>52.0</v>
      </c>
      <c r="W859" s="3">
        <v>40.0</v>
      </c>
      <c r="X859" s="3">
        <v>49.0</v>
      </c>
      <c r="Y859" s="3">
        <v>62.0</v>
      </c>
      <c r="Z859" s="3">
        <v>54.0</v>
      </c>
      <c r="AA859" s="3">
        <v>42.0</v>
      </c>
      <c r="AB859" s="3">
        <v>55.0</v>
      </c>
      <c r="AC859" s="3">
        <v>50.0</v>
      </c>
      <c r="AD859" s="3">
        <v>50.0</v>
      </c>
      <c r="AE859" s="3">
        <v>52.0</v>
      </c>
      <c r="AF859" s="3">
        <v>51.0</v>
      </c>
      <c r="AG859" s="3">
        <v>63.0</v>
      </c>
      <c r="AH859" s="3">
        <v>44.0</v>
      </c>
      <c r="AI859" s="3">
        <v>64.0</v>
      </c>
      <c r="AJ859" s="3">
        <v>65.0</v>
      </c>
      <c r="AK859" s="3">
        <v>56.0</v>
      </c>
      <c r="AL859" s="3">
        <v>57.0</v>
      </c>
      <c r="AM859" s="3">
        <v>40.0</v>
      </c>
      <c r="AN859" s="3">
        <v>44.0</v>
      </c>
    </row>
    <row r="860" ht="14.25" customHeight="1">
      <c r="A860" s="3">
        <v>858.0</v>
      </c>
      <c r="B860" s="3" t="s">
        <v>7334</v>
      </c>
      <c r="C860" s="3">
        <v>16.0</v>
      </c>
      <c r="D860" s="3" t="s">
        <v>6645</v>
      </c>
      <c r="E860" s="3" t="s">
        <v>6646</v>
      </c>
      <c r="F860" s="3" t="s">
        <v>6646</v>
      </c>
      <c r="G860" s="3" t="s">
        <v>6645</v>
      </c>
      <c r="H860" s="3" t="s">
        <v>6645</v>
      </c>
      <c r="I860" s="3" t="s">
        <v>6645</v>
      </c>
      <c r="J860" s="3">
        <v>-1.0</v>
      </c>
      <c r="K860" s="3">
        <v>0.0</v>
      </c>
      <c r="L860" s="3">
        <v>0.0</v>
      </c>
      <c r="M860" s="3">
        <v>0.0</v>
      </c>
      <c r="N860" s="3">
        <v>473.2948</v>
      </c>
      <c r="O860" s="3">
        <v>119.0</v>
      </c>
      <c r="P860" s="3" t="e">
        <v>#N/A</v>
      </c>
      <c r="Q860" s="3">
        <v>31.0</v>
      </c>
      <c r="R860" s="3">
        <v>30.0</v>
      </c>
      <c r="S860" s="3">
        <v>33.0</v>
      </c>
      <c r="T860" s="3">
        <v>38.0</v>
      </c>
      <c r="U860" s="3">
        <v>30.0</v>
      </c>
      <c r="V860" s="3">
        <v>35.0</v>
      </c>
      <c r="W860" s="3">
        <v>31.0</v>
      </c>
      <c r="X860" s="3">
        <v>34.0</v>
      </c>
      <c r="Y860" s="3">
        <v>43.0</v>
      </c>
      <c r="Z860" s="3">
        <v>34.0</v>
      </c>
      <c r="AA860" s="3">
        <v>27.0</v>
      </c>
      <c r="AB860" s="3">
        <v>34.0</v>
      </c>
      <c r="AC860" s="3">
        <v>41.0</v>
      </c>
      <c r="AD860" s="3">
        <v>26.0</v>
      </c>
      <c r="AE860" s="3">
        <v>36.0</v>
      </c>
      <c r="AF860" s="3">
        <v>33.0</v>
      </c>
      <c r="AG860" s="3">
        <v>53.0</v>
      </c>
      <c r="AH860" s="3">
        <v>59.0</v>
      </c>
      <c r="AI860" s="3">
        <v>51.0</v>
      </c>
      <c r="AJ860" s="3">
        <v>49.0</v>
      </c>
      <c r="AK860" s="3">
        <v>39.0</v>
      </c>
      <c r="AL860" s="3">
        <v>32.0</v>
      </c>
      <c r="AM860" s="3">
        <v>44.0</v>
      </c>
      <c r="AN860" s="3">
        <v>37.0</v>
      </c>
    </row>
    <row r="861" ht="14.25" customHeight="1">
      <c r="A861" s="3">
        <v>859.0</v>
      </c>
      <c r="B861" s="3" t="s">
        <v>7335</v>
      </c>
      <c r="C861" s="3">
        <v>31.0</v>
      </c>
      <c r="D861" s="3" t="s">
        <v>6645</v>
      </c>
      <c r="E861" s="3" t="s">
        <v>6646</v>
      </c>
      <c r="F861" s="3" t="s">
        <v>6646</v>
      </c>
      <c r="G861" s="3" t="s">
        <v>6645</v>
      </c>
      <c r="H861" s="3" t="s">
        <v>6645</v>
      </c>
      <c r="I861" s="3" t="s">
        <v>6645</v>
      </c>
      <c r="J861" s="3">
        <v>-1.0</v>
      </c>
      <c r="K861" s="3">
        <v>3.0</v>
      </c>
      <c r="L861" s="3">
        <v>0.0</v>
      </c>
      <c r="M861" s="3">
        <v>0.0</v>
      </c>
      <c r="N861" s="3">
        <v>5135.35</v>
      </c>
      <c r="O861" s="3">
        <v>787.0</v>
      </c>
      <c r="P861" s="3" t="e">
        <v>#N/A</v>
      </c>
      <c r="Q861" s="3">
        <v>49.0</v>
      </c>
      <c r="R861" s="3">
        <v>47.0</v>
      </c>
      <c r="S861" s="3">
        <v>48.0</v>
      </c>
      <c r="T861" s="3">
        <v>46.0</v>
      </c>
      <c r="U861" s="3">
        <v>47.0</v>
      </c>
      <c r="V861" s="3">
        <v>52.0</v>
      </c>
      <c r="W861" s="3">
        <v>48.0</v>
      </c>
      <c r="X861" s="3">
        <v>60.0</v>
      </c>
      <c r="Y861" s="3">
        <v>49.0</v>
      </c>
      <c r="Z861" s="3">
        <v>59.0</v>
      </c>
      <c r="AA861" s="3">
        <v>50.0</v>
      </c>
      <c r="AB861" s="3">
        <v>44.0</v>
      </c>
      <c r="AC861" s="3">
        <v>55.0</v>
      </c>
      <c r="AD861" s="3">
        <v>41.0</v>
      </c>
      <c r="AE861" s="3">
        <v>49.0</v>
      </c>
      <c r="AF861" s="3">
        <v>54.0</v>
      </c>
      <c r="AG861" s="3">
        <v>43.0</v>
      </c>
      <c r="AH861" s="3">
        <v>72.0</v>
      </c>
      <c r="AI861" s="3">
        <v>36.0</v>
      </c>
      <c r="AJ861" s="3">
        <v>37.0</v>
      </c>
      <c r="AK861" s="3">
        <v>42.0</v>
      </c>
      <c r="AL861" s="3">
        <v>41.0</v>
      </c>
      <c r="AM861" s="3">
        <v>56.0</v>
      </c>
      <c r="AN861" s="3">
        <v>47.0</v>
      </c>
    </row>
    <row r="862" ht="14.25" customHeight="1">
      <c r="A862" s="3">
        <v>860.0</v>
      </c>
      <c r="B862" s="3" t="s">
        <v>7336</v>
      </c>
      <c r="C862" s="3">
        <v>40.0</v>
      </c>
      <c r="D862" s="3" t="s">
        <v>6645</v>
      </c>
      <c r="E862" s="3" t="s">
        <v>6646</v>
      </c>
      <c r="F862" s="3" t="s">
        <v>6646</v>
      </c>
      <c r="G862" s="3" t="s">
        <v>6645</v>
      </c>
      <c r="H862" s="3" t="s">
        <v>6645</v>
      </c>
      <c r="I862" s="3" t="s">
        <v>6645</v>
      </c>
      <c r="J862" s="3">
        <v>-1.0</v>
      </c>
      <c r="K862" s="3">
        <v>4.0</v>
      </c>
      <c r="L862" s="3">
        <v>0.0</v>
      </c>
      <c r="M862" s="3">
        <v>0.0</v>
      </c>
      <c r="N862" s="3">
        <v>9152.23</v>
      </c>
      <c r="O862" s="3">
        <v>1671.0</v>
      </c>
      <c r="P862" s="3" t="e">
        <v>#N/A</v>
      </c>
      <c r="Q862" s="3">
        <v>50.0</v>
      </c>
      <c r="R862" s="3">
        <v>52.0</v>
      </c>
      <c r="S862" s="3">
        <v>66.0</v>
      </c>
      <c r="T862" s="3">
        <v>59.0</v>
      </c>
      <c r="U862" s="3">
        <v>54.0</v>
      </c>
      <c r="V862" s="3">
        <v>53.0</v>
      </c>
      <c r="W862" s="3">
        <v>49.0</v>
      </c>
      <c r="X862" s="3">
        <v>76.0</v>
      </c>
      <c r="Y862" s="3">
        <v>57.0</v>
      </c>
      <c r="Z862" s="3">
        <v>54.0</v>
      </c>
      <c r="AA862" s="3">
        <v>50.0</v>
      </c>
      <c r="AB862" s="3">
        <v>55.0</v>
      </c>
      <c r="AC862" s="3">
        <v>45.0</v>
      </c>
      <c r="AD862" s="3">
        <v>74.0</v>
      </c>
      <c r="AE862" s="3">
        <v>66.0</v>
      </c>
      <c r="AF862" s="3">
        <v>42.0</v>
      </c>
      <c r="AG862" s="3">
        <v>46.0</v>
      </c>
      <c r="AH862" s="3">
        <v>80.0</v>
      </c>
      <c r="AI862" s="3">
        <v>39.0</v>
      </c>
      <c r="AJ862" s="3">
        <v>60.0</v>
      </c>
      <c r="AK862" s="3">
        <v>61.0</v>
      </c>
      <c r="AL862" s="3">
        <v>44.0</v>
      </c>
      <c r="AM862" s="3">
        <v>74.0</v>
      </c>
      <c r="AN862" s="3">
        <v>9.0</v>
      </c>
    </row>
    <row r="863" ht="14.25" customHeight="1">
      <c r="A863" s="3">
        <v>861.0</v>
      </c>
      <c r="B863" s="3" t="s">
        <v>7337</v>
      </c>
      <c r="C863" s="3">
        <v>31.0</v>
      </c>
      <c r="D863" s="3" t="s">
        <v>6645</v>
      </c>
      <c r="E863" s="3" t="s">
        <v>6646</v>
      </c>
      <c r="F863" s="3" t="s">
        <v>6646</v>
      </c>
      <c r="G863" s="3" t="s">
        <v>6645</v>
      </c>
      <c r="H863" s="3" t="s">
        <v>6645</v>
      </c>
      <c r="I863" s="3" t="s">
        <v>6645</v>
      </c>
      <c r="J863" s="3">
        <v>-1.0</v>
      </c>
      <c r="K863" s="3">
        <v>3.0</v>
      </c>
      <c r="L863" s="3">
        <v>0.0</v>
      </c>
      <c r="M863" s="3">
        <v>0.0</v>
      </c>
      <c r="N863" s="3">
        <v>5226.2734</v>
      </c>
      <c r="O863" s="3">
        <v>739.0</v>
      </c>
      <c r="P863" s="3" t="e">
        <v>#N/A</v>
      </c>
      <c r="Q863" s="3">
        <v>54.0</v>
      </c>
      <c r="R863" s="3">
        <v>50.0</v>
      </c>
      <c r="S863" s="3">
        <v>55.0</v>
      </c>
      <c r="T863" s="3">
        <v>54.0</v>
      </c>
      <c r="U863" s="3">
        <v>47.0</v>
      </c>
      <c r="V863" s="3">
        <v>53.0</v>
      </c>
      <c r="W863" s="3">
        <v>59.0</v>
      </c>
      <c r="X863" s="3">
        <v>45.0</v>
      </c>
      <c r="Y863" s="3">
        <v>47.0</v>
      </c>
      <c r="Z863" s="3">
        <v>55.0</v>
      </c>
      <c r="AA863" s="3">
        <v>46.0</v>
      </c>
      <c r="AB863" s="3">
        <v>50.0</v>
      </c>
      <c r="AC863" s="3">
        <v>46.0</v>
      </c>
      <c r="AD863" s="3">
        <v>41.0</v>
      </c>
      <c r="AE863" s="3">
        <v>40.0</v>
      </c>
      <c r="AF863" s="3">
        <v>56.0</v>
      </c>
      <c r="AG863" s="3">
        <v>39.0</v>
      </c>
      <c r="AH863" s="3">
        <v>74.0</v>
      </c>
      <c r="AI863" s="3">
        <v>32.0</v>
      </c>
      <c r="AJ863" s="3">
        <v>52.0</v>
      </c>
      <c r="AK863" s="3">
        <v>41.0</v>
      </c>
      <c r="AL863" s="3">
        <v>65.0</v>
      </c>
      <c r="AM863" s="3">
        <v>43.0</v>
      </c>
      <c r="AN863" s="3">
        <v>47.0</v>
      </c>
    </row>
    <row r="864" ht="14.25" customHeight="1">
      <c r="A864" s="3">
        <v>862.0</v>
      </c>
      <c r="B864" s="3" t="s">
        <v>7338</v>
      </c>
      <c r="C864" s="3">
        <v>22.0</v>
      </c>
      <c r="D864" s="3" t="s">
        <v>6645</v>
      </c>
      <c r="E864" s="3" t="s">
        <v>6646</v>
      </c>
      <c r="F864" s="3" t="s">
        <v>6646</v>
      </c>
      <c r="G864" s="3" t="s">
        <v>6645</v>
      </c>
      <c r="H864" s="3" t="s">
        <v>6645</v>
      </c>
      <c r="I864" s="3" t="s">
        <v>6645</v>
      </c>
      <c r="J864" s="3">
        <v>-1.0</v>
      </c>
      <c r="K864" s="3">
        <v>0.0</v>
      </c>
      <c r="L864" s="3">
        <v>0.0</v>
      </c>
      <c r="M864" s="3">
        <v>0.0</v>
      </c>
      <c r="N864" s="3">
        <v>400.66</v>
      </c>
      <c r="O864" s="3">
        <v>95.0</v>
      </c>
      <c r="P864" s="3" t="e">
        <v>#N/A</v>
      </c>
      <c r="Q864" s="3">
        <v>38.0</v>
      </c>
      <c r="R864" s="3">
        <v>34.0</v>
      </c>
      <c r="S864" s="3">
        <v>31.0</v>
      </c>
      <c r="T864" s="3">
        <v>39.0</v>
      </c>
      <c r="U864" s="3">
        <v>31.0</v>
      </c>
      <c r="V864" s="3">
        <v>37.0</v>
      </c>
      <c r="W864" s="3">
        <v>23.0</v>
      </c>
      <c r="X864" s="3">
        <v>39.0</v>
      </c>
      <c r="Y864" s="3">
        <v>41.0</v>
      </c>
      <c r="Z864" s="3">
        <v>28.0</v>
      </c>
      <c r="AA864" s="3">
        <v>35.0</v>
      </c>
      <c r="AB864" s="3">
        <v>45.0</v>
      </c>
      <c r="AC864" s="3">
        <v>38.0</v>
      </c>
      <c r="AD864" s="3">
        <v>48.0</v>
      </c>
      <c r="AE864" s="3">
        <v>24.0</v>
      </c>
      <c r="AF864" s="3">
        <v>57.0</v>
      </c>
      <c r="AG864" s="3">
        <v>38.0</v>
      </c>
      <c r="AH864" s="3">
        <v>30.0</v>
      </c>
      <c r="AI864" s="3">
        <v>49.0</v>
      </c>
      <c r="AJ864" s="3">
        <v>45.0</v>
      </c>
      <c r="AK864" s="3">
        <v>66.0</v>
      </c>
      <c r="AL864" s="3">
        <v>12.0</v>
      </c>
      <c r="AM864" s="3">
        <v>56.0</v>
      </c>
      <c r="AN864" s="3">
        <v>46.0</v>
      </c>
    </row>
    <row r="865" ht="14.25" customHeight="1">
      <c r="A865" s="3">
        <v>863.0</v>
      </c>
      <c r="B865" s="3" t="s">
        <v>7339</v>
      </c>
      <c r="C865" s="3">
        <v>17.0</v>
      </c>
      <c r="D865" s="3" t="s">
        <v>6645</v>
      </c>
      <c r="E865" s="3" t="s">
        <v>6646</v>
      </c>
      <c r="F865" s="3" t="s">
        <v>6646</v>
      </c>
      <c r="G865" s="3" t="s">
        <v>6645</v>
      </c>
      <c r="H865" s="3" t="s">
        <v>6645</v>
      </c>
      <c r="I865" s="3" t="s">
        <v>6645</v>
      </c>
      <c r="J865" s="3">
        <v>-1.0</v>
      </c>
      <c r="K865" s="3">
        <v>0.0</v>
      </c>
      <c r="L865" s="3">
        <v>0.0</v>
      </c>
      <c r="M865" s="3">
        <v>0.0</v>
      </c>
      <c r="N865" s="3">
        <v>419.524</v>
      </c>
      <c r="O865" s="3">
        <v>110.0</v>
      </c>
      <c r="P865" s="3" t="e">
        <v>#N/A</v>
      </c>
      <c r="Q865" s="3">
        <v>31.0</v>
      </c>
      <c r="R865" s="3">
        <v>33.0</v>
      </c>
      <c r="S865" s="3">
        <v>32.0</v>
      </c>
      <c r="T865" s="3">
        <v>38.0</v>
      </c>
      <c r="U865" s="3">
        <v>31.0</v>
      </c>
      <c r="V865" s="3">
        <v>34.0</v>
      </c>
      <c r="W865" s="3">
        <v>29.0</v>
      </c>
      <c r="X865" s="3">
        <v>30.0</v>
      </c>
      <c r="Y865" s="3">
        <v>45.0</v>
      </c>
      <c r="Z865" s="3">
        <v>46.0</v>
      </c>
      <c r="AA865" s="3">
        <v>29.0</v>
      </c>
      <c r="AB865" s="3">
        <v>32.0</v>
      </c>
      <c r="AC865" s="3">
        <v>36.0</v>
      </c>
      <c r="AD865" s="3">
        <v>33.0</v>
      </c>
      <c r="AE865" s="3">
        <v>30.0</v>
      </c>
      <c r="AF865" s="3">
        <v>52.0</v>
      </c>
      <c r="AG865" s="3">
        <v>44.0</v>
      </c>
      <c r="AH865" s="3">
        <v>52.0</v>
      </c>
      <c r="AI865" s="3">
        <v>69.0</v>
      </c>
      <c r="AJ865" s="3">
        <v>4.0</v>
      </c>
      <c r="AK865" s="3">
        <v>11.0</v>
      </c>
      <c r="AL865" s="3">
        <v>33.0</v>
      </c>
      <c r="AM865" s="3">
        <v>37.0</v>
      </c>
      <c r="AN865" s="3">
        <v>71.0</v>
      </c>
    </row>
    <row r="866" ht="14.25" customHeight="1">
      <c r="A866" s="3">
        <v>864.0</v>
      </c>
      <c r="B866" s="3" t="s">
        <v>7340</v>
      </c>
      <c r="C866" s="3">
        <v>32.0</v>
      </c>
      <c r="D866" s="3" t="s">
        <v>6645</v>
      </c>
      <c r="E866" s="3" t="s">
        <v>6646</v>
      </c>
      <c r="F866" s="3" t="s">
        <v>6646</v>
      </c>
      <c r="G866" s="3" t="s">
        <v>6645</v>
      </c>
      <c r="H866" s="3" t="s">
        <v>6645</v>
      </c>
      <c r="I866" s="3" t="s">
        <v>6645</v>
      </c>
      <c r="J866" s="3">
        <v>-1.0</v>
      </c>
      <c r="K866" s="3">
        <v>3.0</v>
      </c>
      <c r="L866" s="3">
        <v>0.0</v>
      </c>
      <c r="M866" s="3">
        <v>0.0</v>
      </c>
      <c r="N866" s="3">
        <v>5288.09</v>
      </c>
      <c r="O866" s="3">
        <v>690.0</v>
      </c>
      <c r="P866" s="3" t="e">
        <v>#N/A</v>
      </c>
      <c r="Q866" s="3">
        <v>53.0</v>
      </c>
      <c r="R866" s="3">
        <v>50.0</v>
      </c>
      <c r="S866" s="3">
        <v>51.0</v>
      </c>
      <c r="T866" s="3">
        <v>52.0</v>
      </c>
      <c r="U866" s="3">
        <v>52.0</v>
      </c>
      <c r="V866" s="3">
        <v>53.0</v>
      </c>
      <c r="W866" s="3">
        <v>50.0</v>
      </c>
      <c r="X866" s="3">
        <v>53.0</v>
      </c>
      <c r="Y866" s="3">
        <v>50.0</v>
      </c>
      <c r="Z866" s="3">
        <v>50.0</v>
      </c>
      <c r="AA866" s="3">
        <v>46.0</v>
      </c>
      <c r="AB866" s="3">
        <v>55.0</v>
      </c>
      <c r="AC866" s="3">
        <v>43.0</v>
      </c>
      <c r="AD866" s="3">
        <v>58.0</v>
      </c>
      <c r="AE866" s="3">
        <v>53.0</v>
      </c>
      <c r="AF866" s="3">
        <v>76.0</v>
      </c>
      <c r="AG866" s="3">
        <v>39.0</v>
      </c>
      <c r="AH866" s="3">
        <v>36.0</v>
      </c>
      <c r="AI866" s="3">
        <v>46.0</v>
      </c>
      <c r="AJ866" s="3">
        <v>36.0</v>
      </c>
      <c r="AK866" s="3">
        <v>76.0</v>
      </c>
      <c r="AL866" s="3">
        <v>70.0</v>
      </c>
      <c r="AM866" s="3">
        <v>29.0</v>
      </c>
      <c r="AN866" s="3">
        <v>36.0</v>
      </c>
    </row>
    <row r="867" ht="14.25" customHeight="1">
      <c r="A867" s="3">
        <v>865.0</v>
      </c>
      <c r="B867" s="3" t="s">
        <v>7341</v>
      </c>
      <c r="C867" s="3">
        <v>30.0</v>
      </c>
      <c r="D867" s="3" t="s">
        <v>6645</v>
      </c>
      <c r="E867" s="3" t="s">
        <v>6646</v>
      </c>
      <c r="F867" s="3" t="s">
        <v>6646</v>
      </c>
      <c r="G867" s="3" t="s">
        <v>6645</v>
      </c>
      <c r="H867" s="3" t="s">
        <v>6645</v>
      </c>
      <c r="I867" s="3" t="s">
        <v>6646</v>
      </c>
      <c r="J867" s="3">
        <v>-1.0</v>
      </c>
      <c r="K867" s="3">
        <v>3.0</v>
      </c>
      <c r="L867" s="3">
        <v>0.0</v>
      </c>
      <c r="M867" s="3">
        <v>0.0</v>
      </c>
      <c r="N867" s="3">
        <v>5029.44</v>
      </c>
      <c r="O867" s="3">
        <v>933.0</v>
      </c>
      <c r="P867" s="3" t="e">
        <v>#N/A</v>
      </c>
      <c r="Q867" s="3">
        <v>53.0</v>
      </c>
      <c r="R867" s="3">
        <v>52.0</v>
      </c>
      <c r="S867" s="3">
        <v>48.0</v>
      </c>
      <c r="T867" s="3">
        <v>45.0</v>
      </c>
      <c r="U867" s="3">
        <v>50.0</v>
      </c>
      <c r="V867" s="3">
        <v>53.0</v>
      </c>
      <c r="W867" s="3">
        <v>55.0</v>
      </c>
      <c r="X867" s="3">
        <v>54.0</v>
      </c>
      <c r="Y867" s="3">
        <v>40.0</v>
      </c>
      <c r="Z867" s="3">
        <v>43.0</v>
      </c>
      <c r="AA867" s="3">
        <v>40.0</v>
      </c>
      <c r="AB867" s="3">
        <v>60.0</v>
      </c>
      <c r="AC867" s="3">
        <v>53.0</v>
      </c>
      <c r="AD867" s="3">
        <v>50.0</v>
      </c>
      <c r="AE867" s="3">
        <v>57.0</v>
      </c>
      <c r="AF867" s="3">
        <v>42.0</v>
      </c>
      <c r="AG867" s="3">
        <v>78.0</v>
      </c>
      <c r="AH867" s="3">
        <v>19.0</v>
      </c>
      <c r="AI867" s="3">
        <v>57.0</v>
      </c>
      <c r="AJ867" s="3">
        <v>22.0</v>
      </c>
      <c r="AK867" s="3">
        <v>51.0</v>
      </c>
      <c r="AL867" s="3">
        <v>76.0</v>
      </c>
      <c r="AM867" s="3">
        <v>47.0</v>
      </c>
      <c r="AN867" s="3">
        <v>40.0</v>
      </c>
    </row>
    <row r="868" ht="14.25" customHeight="1">
      <c r="A868" s="3">
        <v>866.0</v>
      </c>
      <c r="B868" s="3" t="s">
        <v>7342</v>
      </c>
      <c r="C868" s="3">
        <v>24.0</v>
      </c>
      <c r="D868" s="3" t="s">
        <v>6645</v>
      </c>
      <c r="E868" s="3" t="s">
        <v>6646</v>
      </c>
      <c r="F868" s="3" t="s">
        <v>6646</v>
      </c>
      <c r="G868" s="3" t="s">
        <v>6645</v>
      </c>
      <c r="H868" s="3" t="s">
        <v>6645</v>
      </c>
      <c r="I868" s="3" t="s">
        <v>6645</v>
      </c>
      <c r="J868" s="3">
        <v>-1.0</v>
      </c>
      <c r="K868" s="3">
        <v>1.0</v>
      </c>
      <c r="L868" s="3">
        <v>0.0</v>
      </c>
      <c r="M868" s="3">
        <v>0.0</v>
      </c>
      <c r="N868" s="3">
        <v>1077.225</v>
      </c>
      <c r="O868" s="3">
        <v>165.0</v>
      </c>
      <c r="P868" s="3" t="e">
        <v>#N/A</v>
      </c>
      <c r="Q868" s="3">
        <v>37.0</v>
      </c>
      <c r="R868" s="3">
        <v>37.0</v>
      </c>
      <c r="S868" s="3">
        <v>38.0</v>
      </c>
      <c r="T868" s="3">
        <v>38.0</v>
      </c>
      <c r="U868" s="3">
        <v>42.0</v>
      </c>
      <c r="V868" s="3">
        <v>40.0</v>
      </c>
      <c r="W868" s="3">
        <v>28.0</v>
      </c>
      <c r="X868" s="3">
        <v>43.0</v>
      </c>
      <c r="Y868" s="3">
        <v>40.0</v>
      </c>
      <c r="Z868" s="3">
        <v>40.0</v>
      </c>
      <c r="AA868" s="3">
        <v>38.0</v>
      </c>
      <c r="AB868" s="3">
        <v>43.0</v>
      </c>
      <c r="AC868" s="3">
        <v>49.0</v>
      </c>
      <c r="AD868" s="3">
        <v>47.0</v>
      </c>
      <c r="AE868" s="3">
        <v>32.0</v>
      </c>
      <c r="AF868" s="3">
        <v>36.0</v>
      </c>
      <c r="AG868" s="3">
        <v>44.0</v>
      </c>
      <c r="AH868" s="3">
        <v>39.0</v>
      </c>
      <c r="AI868" s="3">
        <v>50.0</v>
      </c>
      <c r="AJ868" s="3">
        <v>32.0</v>
      </c>
      <c r="AK868" s="3">
        <v>52.0</v>
      </c>
      <c r="AL868" s="3">
        <v>33.0</v>
      </c>
      <c r="AM868" s="3">
        <v>46.0</v>
      </c>
      <c r="AN868" s="3">
        <v>38.0</v>
      </c>
    </row>
    <row r="869" ht="14.25" customHeight="1">
      <c r="A869" s="3">
        <v>867.0</v>
      </c>
      <c r="B869" s="3" t="s">
        <v>7343</v>
      </c>
      <c r="C869" s="3">
        <v>23.0</v>
      </c>
      <c r="D869" s="3" t="s">
        <v>6645</v>
      </c>
      <c r="E869" s="3" t="s">
        <v>6646</v>
      </c>
      <c r="F869" s="3" t="s">
        <v>6646</v>
      </c>
      <c r="G869" s="3" t="s">
        <v>6645</v>
      </c>
      <c r="H869" s="3" t="s">
        <v>6645</v>
      </c>
      <c r="I869" s="3" t="s">
        <v>6646</v>
      </c>
      <c r="J869" s="3">
        <v>-1.0</v>
      </c>
      <c r="K869" s="3">
        <v>0.0</v>
      </c>
      <c r="L869" s="3">
        <v>0.0</v>
      </c>
      <c r="M869" s="3">
        <v>0.0</v>
      </c>
      <c r="N869" s="3">
        <v>399.465</v>
      </c>
      <c r="O869" s="3">
        <v>101.0</v>
      </c>
      <c r="P869" s="3" t="e">
        <v>#N/A</v>
      </c>
      <c r="Q869" s="3">
        <v>35.0</v>
      </c>
      <c r="R869" s="3">
        <v>37.0</v>
      </c>
      <c r="S869" s="3">
        <v>37.0</v>
      </c>
      <c r="T869" s="3">
        <v>32.0</v>
      </c>
      <c r="U869" s="3">
        <v>34.0</v>
      </c>
      <c r="V869" s="3">
        <v>36.0</v>
      </c>
      <c r="W869" s="3">
        <v>24.0</v>
      </c>
      <c r="X869" s="3">
        <v>30.0</v>
      </c>
      <c r="Y869" s="3">
        <v>38.0</v>
      </c>
      <c r="Z869" s="3">
        <v>38.0</v>
      </c>
      <c r="AA869" s="3">
        <v>31.0</v>
      </c>
      <c r="AB869" s="3">
        <v>41.0</v>
      </c>
      <c r="AC869" s="3">
        <v>30.0</v>
      </c>
      <c r="AD869" s="3">
        <v>24.0</v>
      </c>
      <c r="AE869" s="3">
        <v>40.0</v>
      </c>
      <c r="AF869" s="3">
        <v>32.0</v>
      </c>
      <c r="AG869" s="3">
        <v>75.0</v>
      </c>
      <c r="AH869" s="3">
        <v>33.0</v>
      </c>
      <c r="AI869" s="3">
        <v>39.0</v>
      </c>
      <c r="AJ869" s="3">
        <v>43.0</v>
      </c>
      <c r="AK869" s="3">
        <v>32.0</v>
      </c>
      <c r="AL869" s="3">
        <v>57.0</v>
      </c>
      <c r="AM869" s="3">
        <v>57.0</v>
      </c>
      <c r="AN869" s="3">
        <v>57.0</v>
      </c>
    </row>
    <row r="870" ht="14.25" customHeight="1">
      <c r="A870" s="3">
        <v>868.0</v>
      </c>
      <c r="B870" s="3" t="s">
        <v>7344</v>
      </c>
      <c r="C870" s="3">
        <v>23.0</v>
      </c>
      <c r="D870" s="3" t="s">
        <v>6645</v>
      </c>
      <c r="E870" s="3" t="s">
        <v>6646</v>
      </c>
      <c r="F870" s="3" t="s">
        <v>6646</v>
      </c>
      <c r="G870" s="3" t="s">
        <v>6645</v>
      </c>
      <c r="H870" s="3" t="s">
        <v>6645</v>
      </c>
      <c r="I870" s="3" t="s">
        <v>6646</v>
      </c>
      <c r="J870" s="3">
        <v>-1.0</v>
      </c>
      <c r="K870" s="3">
        <v>0.0</v>
      </c>
      <c r="L870" s="3">
        <v>0.0</v>
      </c>
      <c r="M870" s="3">
        <v>0.0</v>
      </c>
      <c r="N870" s="3">
        <v>477.544</v>
      </c>
      <c r="O870" s="3">
        <v>94.0</v>
      </c>
      <c r="P870" s="3" t="e">
        <v>#N/A</v>
      </c>
      <c r="Q870" s="3">
        <v>31.0</v>
      </c>
      <c r="R870" s="3">
        <v>31.0</v>
      </c>
      <c r="S870" s="3">
        <v>30.0</v>
      </c>
      <c r="T870" s="3">
        <v>31.0</v>
      </c>
      <c r="U870" s="3">
        <v>32.0</v>
      </c>
      <c r="V870" s="3">
        <v>33.0</v>
      </c>
      <c r="W870" s="3">
        <v>29.0</v>
      </c>
      <c r="X870" s="3">
        <v>36.0</v>
      </c>
      <c r="Y870" s="3">
        <v>25.0</v>
      </c>
      <c r="Z870" s="3">
        <v>48.0</v>
      </c>
      <c r="AA870" s="3">
        <v>42.0</v>
      </c>
      <c r="AB870" s="3">
        <v>22.0</v>
      </c>
      <c r="AC870" s="3">
        <v>37.0</v>
      </c>
      <c r="AD870" s="3">
        <v>33.0</v>
      </c>
      <c r="AE870" s="3">
        <v>33.0</v>
      </c>
      <c r="AF870" s="3">
        <v>65.0</v>
      </c>
      <c r="AG870" s="3">
        <v>50.0</v>
      </c>
      <c r="AH870" s="3">
        <v>69.0</v>
      </c>
      <c r="AI870" s="3">
        <v>59.0</v>
      </c>
      <c r="AJ870" s="3">
        <v>38.0</v>
      </c>
      <c r="AK870" s="3">
        <v>43.0</v>
      </c>
      <c r="AL870" s="3">
        <v>48.0</v>
      </c>
      <c r="AM870" s="3">
        <v>38.0</v>
      </c>
      <c r="AN870" s="3">
        <v>0.0</v>
      </c>
    </row>
    <row r="871" ht="14.25" customHeight="1">
      <c r="A871" s="3">
        <v>869.0</v>
      </c>
      <c r="B871" s="3" t="s">
        <v>7345</v>
      </c>
      <c r="C871" s="3">
        <v>18.0</v>
      </c>
      <c r="D871" s="3" t="s">
        <v>6645</v>
      </c>
      <c r="E871" s="3" t="s">
        <v>6646</v>
      </c>
      <c r="F871" s="3" t="s">
        <v>6646</v>
      </c>
      <c r="G871" s="3" t="s">
        <v>6645</v>
      </c>
      <c r="H871" s="3" t="s">
        <v>6645</v>
      </c>
      <c r="I871" s="3" t="s">
        <v>6646</v>
      </c>
      <c r="J871" s="3">
        <v>-1.0</v>
      </c>
      <c r="K871" s="3">
        <v>0.0</v>
      </c>
      <c r="L871" s="3">
        <v>0.0</v>
      </c>
      <c r="M871" s="3">
        <v>0.0</v>
      </c>
      <c r="N871" s="3">
        <v>363.211</v>
      </c>
      <c r="O871" s="3">
        <v>121.0</v>
      </c>
      <c r="P871" s="3" t="e">
        <v>#N/A</v>
      </c>
      <c r="Q871" s="3">
        <v>37.0</v>
      </c>
      <c r="R871" s="3">
        <v>34.0</v>
      </c>
      <c r="S871" s="3">
        <v>31.0</v>
      </c>
      <c r="T871" s="3">
        <v>34.0</v>
      </c>
      <c r="U871" s="3">
        <v>33.0</v>
      </c>
      <c r="V871" s="3">
        <v>32.0</v>
      </c>
      <c r="W871" s="3">
        <v>40.0</v>
      </c>
      <c r="X871" s="3">
        <v>22.0</v>
      </c>
      <c r="Y871" s="3">
        <v>41.0</v>
      </c>
      <c r="Z871" s="3">
        <v>45.0</v>
      </c>
      <c r="AA871" s="3">
        <v>43.0</v>
      </c>
      <c r="AB871" s="3">
        <v>33.0</v>
      </c>
      <c r="AC871" s="3">
        <v>25.0</v>
      </c>
      <c r="AD871" s="3">
        <v>30.0</v>
      </c>
      <c r="AE871" s="3">
        <v>24.0</v>
      </c>
      <c r="AF871" s="3">
        <v>7.0</v>
      </c>
      <c r="AG871" s="3">
        <v>58.0</v>
      </c>
      <c r="AH871" s="3">
        <v>57.0</v>
      </c>
      <c r="AI871" s="3">
        <v>35.0</v>
      </c>
      <c r="AJ871" s="3">
        <v>34.0</v>
      </c>
      <c r="AK871" s="3">
        <v>69.0</v>
      </c>
      <c r="AL871" s="3">
        <v>40.0</v>
      </c>
      <c r="AM871" s="3">
        <v>70.0</v>
      </c>
      <c r="AN871" s="3">
        <v>20.0</v>
      </c>
    </row>
    <row r="872" ht="14.25" customHeight="1">
      <c r="A872" s="3">
        <v>870.0</v>
      </c>
      <c r="B872" s="3" t="s">
        <v>7346</v>
      </c>
      <c r="C872" s="3">
        <v>44.0</v>
      </c>
      <c r="D872" s="3" t="s">
        <v>6645</v>
      </c>
      <c r="E872" s="3" t="s">
        <v>6646</v>
      </c>
      <c r="F872" s="3" t="s">
        <v>6646</v>
      </c>
      <c r="G872" s="3" t="s">
        <v>6645</v>
      </c>
      <c r="H872" s="3" t="s">
        <v>6645</v>
      </c>
      <c r="I872" s="3" t="s">
        <v>6645</v>
      </c>
      <c r="J872" s="3">
        <v>-1.0</v>
      </c>
      <c r="K872" s="3">
        <v>4.0</v>
      </c>
      <c r="L872" s="3">
        <v>0.0</v>
      </c>
      <c r="M872" s="3">
        <v>0.0</v>
      </c>
      <c r="N872" s="3">
        <v>8817.76</v>
      </c>
      <c r="O872" s="3">
        <v>1767.0</v>
      </c>
      <c r="P872" s="3" t="e">
        <v>#N/A</v>
      </c>
      <c r="Q872" s="3">
        <v>55.0</v>
      </c>
      <c r="R872" s="3">
        <v>61.0</v>
      </c>
      <c r="S872" s="3">
        <v>56.0</v>
      </c>
      <c r="T872" s="3">
        <v>55.0</v>
      </c>
      <c r="U872" s="3">
        <v>63.0</v>
      </c>
      <c r="V872" s="3">
        <v>56.0</v>
      </c>
      <c r="W872" s="3">
        <v>66.0</v>
      </c>
      <c r="X872" s="3">
        <v>50.0</v>
      </c>
      <c r="Y872" s="3">
        <v>53.0</v>
      </c>
      <c r="Z872" s="3">
        <v>44.0</v>
      </c>
      <c r="AA872" s="3">
        <v>59.0</v>
      </c>
      <c r="AB872" s="3">
        <v>62.0</v>
      </c>
      <c r="AC872" s="3">
        <v>47.0</v>
      </c>
      <c r="AD872" s="3">
        <v>70.0</v>
      </c>
      <c r="AE872" s="3">
        <v>46.0</v>
      </c>
      <c r="AF872" s="3">
        <v>47.0</v>
      </c>
      <c r="AG872" s="3">
        <v>40.0</v>
      </c>
      <c r="AH872" s="3">
        <v>18.0</v>
      </c>
      <c r="AI872" s="3">
        <v>17.0</v>
      </c>
      <c r="AJ872" s="3">
        <v>48.0</v>
      </c>
      <c r="AK872" s="3">
        <v>72.0</v>
      </c>
      <c r="AL872" s="3">
        <v>58.0</v>
      </c>
      <c r="AM872" s="3">
        <v>64.0</v>
      </c>
      <c r="AN872" s="3">
        <v>72.0</v>
      </c>
    </row>
    <row r="873" ht="14.25" customHeight="1">
      <c r="A873" s="3">
        <v>871.0</v>
      </c>
      <c r="B873" s="3" t="s">
        <v>7347</v>
      </c>
      <c r="C873" s="3">
        <v>24.0</v>
      </c>
      <c r="D873" s="3" t="s">
        <v>6645</v>
      </c>
      <c r="E873" s="3" t="s">
        <v>6646</v>
      </c>
      <c r="F873" s="3" t="s">
        <v>6646</v>
      </c>
      <c r="G873" s="3" t="s">
        <v>6645</v>
      </c>
      <c r="H873" s="3" t="s">
        <v>6645</v>
      </c>
      <c r="I873" s="3" t="s">
        <v>6646</v>
      </c>
      <c r="J873" s="3">
        <v>-1.0</v>
      </c>
      <c r="K873" s="3">
        <v>0.0</v>
      </c>
      <c r="L873" s="3">
        <v>0.0</v>
      </c>
      <c r="M873" s="3">
        <v>0.0</v>
      </c>
      <c r="N873" s="3">
        <v>365.14578</v>
      </c>
      <c r="O873" s="3">
        <v>108.0</v>
      </c>
      <c r="P873" s="3" t="e">
        <v>#N/A</v>
      </c>
      <c r="Q873" s="3">
        <v>31.0</v>
      </c>
      <c r="R873" s="3">
        <v>37.0</v>
      </c>
      <c r="S873" s="3">
        <v>38.0</v>
      </c>
      <c r="T873" s="3">
        <v>34.0</v>
      </c>
      <c r="U873" s="3">
        <v>30.0</v>
      </c>
      <c r="V873" s="3">
        <v>32.0</v>
      </c>
      <c r="W873" s="3">
        <v>31.0</v>
      </c>
      <c r="X873" s="3">
        <v>31.0</v>
      </c>
      <c r="Y873" s="3">
        <v>48.0</v>
      </c>
      <c r="Z873" s="3">
        <v>33.0</v>
      </c>
      <c r="AA873" s="3">
        <v>45.0</v>
      </c>
      <c r="AB873" s="3">
        <v>31.0</v>
      </c>
      <c r="AC873" s="3">
        <v>24.0</v>
      </c>
      <c r="AD873" s="3">
        <v>23.0</v>
      </c>
      <c r="AE873" s="3">
        <v>38.0</v>
      </c>
      <c r="AF873" s="3">
        <v>50.0</v>
      </c>
      <c r="AG873" s="3">
        <v>30.0</v>
      </c>
      <c r="AH873" s="3">
        <v>70.0</v>
      </c>
      <c r="AI873" s="3">
        <v>41.0</v>
      </c>
      <c r="AJ873" s="3">
        <v>51.0</v>
      </c>
      <c r="AK873" s="3">
        <v>32.0</v>
      </c>
      <c r="AL873" s="3">
        <v>53.0</v>
      </c>
      <c r="AM873" s="3">
        <v>47.0</v>
      </c>
      <c r="AN873" s="3">
        <v>21.0</v>
      </c>
    </row>
    <row r="874" ht="14.25" customHeight="1">
      <c r="A874" s="3">
        <v>872.0</v>
      </c>
      <c r="B874" s="3" t="s">
        <v>7348</v>
      </c>
      <c r="C874" s="3">
        <v>21.0</v>
      </c>
      <c r="D874" s="3" t="s">
        <v>6645</v>
      </c>
      <c r="E874" s="3" t="s">
        <v>6646</v>
      </c>
      <c r="F874" s="3" t="s">
        <v>6646</v>
      </c>
      <c r="G874" s="3" t="s">
        <v>6645</v>
      </c>
      <c r="H874" s="3" t="s">
        <v>6645</v>
      </c>
      <c r="I874" s="3" t="s">
        <v>6646</v>
      </c>
      <c r="J874" s="3">
        <v>-1.0</v>
      </c>
      <c r="K874" s="3">
        <v>1.0</v>
      </c>
      <c r="L874" s="3">
        <v>0.0</v>
      </c>
      <c r="M874" s="3">
        <v>0.0</v>
      </c>
      <c r="N874" s="3">
        <v>1285.0487</v>
      </c>
      <c r="O874" s="3">
        <v>233.0</v>
      </c>
      <c r="P874" s="3" t="e">
        <v>#N/A</v>
      </c>
      <c r="Q874" s="3">
        <v>42.0</v>
      </c>
      <c r="R874" s="3">
        <v>37.0</v>
      </c>
      <c r="S874" s="3">
        <v>36.0</v>
      </c>
      <c r="T874" s="3">
        <v>42.0</v>
      </c>
      <c r="U874" s="3">
        <v>37.0</v>
      </c>
      <c r="V874" s="3">
        <v>36.0</v>
      </c>
      <c r="W874" s="3">
        <v>49.0</v>
      </c>
      <c r="X874" s="3">
        <v>35.0</v>
      </c>
      <c r="Y874" s="3">
        <v>35.0</v>
      </c>
      <c r="Z874" s="3">
        <v>30.0</v>
      </c>
      <c r="AA874" s="3">
        <v>44.0</v>
      </c>
      <c r="AB874" s="3">
        <v>28.0</v>
      </c>
      <c r="AC874" s="3">
        <v>38.0</v>
      </c>
      <c r="AD874" s="3">
        <v>45.0</v>
      </c>
      <c r="AE874" s="3">
        <v>28.0</v>
      </c>
      <c r="AF874" s="3">
        <v>39.0</v>
      </c>
      <c r="AG874" s="3">
        <v>53.0</v>
      </c>
      <c r="AH874" s="3">
        <v>73.0</v>
      </c>
      <c r="AI874" s="3">
        <v>60.0</v>
      </c>
      <c r="AJ874" s="3">
        <v>34.0</v>
      </c>
      <c r="AK874" s="3">
        <v>42.0</v>
      </c>
      <c r="AL874" s="3">
        <v>33.0</v>
      </c>
      <c r="AM874" s="3">
        <v>44.0</v>
      </c>
      <c r="AN874" s="3">
        <v>58.0</v>
      </c>
    </row>
  </sheetData>
  <autoFilter ref="$A$1:$AN$1"/>
  <conditionalFormatting sqref="Q1:AN874">
    <cfRule type="cellIs" dxfId="2" priority="2" operator="between">
      <formula>100</formula>
      <formula>200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 ht="14.25" customHeight="1">
      <c r="A1" s="3" t="s">
        <v>6629</v>
      </c>
      <c r="B1" s="3" t="s">
        <v>6630</v>
      </c>
      <c r="C1" s="3" t="s">
        <v>6631</v>
      </c>
      <c r="D1" s="3" t="s">
        <v>6632</v>
      </c>
      <c r="E1" s="3" t="s">
        <v>6633</v>
      </c>
      <c r="F1" s="3" t="s">
        <v>6634</v>
      </c>
      <c r="G1" s="3" t="s">
        <v>6635</v>
      </c>
      <c r="H1" s="3" t="s">
        <v>6636</v>
      </c>
      <c r="I1" s="3" t="s">
        <v>6637</v>
      </c>
      <c r="J1" s="3" t="s">
        <v>6638</v>
      </c>
      <c r="K1" s="3" t="s">
        <v>6639</v>
      </c>
      <c r="L1" s="3" t="s">
        <v>6640</v>
      </c>
      <c r="M1" s="3" t="s">
        <v>6641</v>
      </c>
      <c r="N1" s="3" t="s">
        <v>6642</v>
      </c>
      <c r="O1" s="3" t="s">
        <v>6643</v>
      </c>
      <c r="P1" s="3" t="s">
        <v>5882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5996</v>
      </c>
      <c r="AG1" s="3" t="s">
        <v>5918</v>
      </c>
      <c r="AH1" s="3" t="s">
        <v>5927</v>
      </c>
      <c r="AI1" s="3" t="s">
        <v>5941</v>
      </c>
      <c r="AJ1" s="3" t="s">
        <v>6015</v>
      </c>
      <c r="AK1" s="3" t="s">
        <v>6133</v>
      </c>
      <c r="AL1" s="3" t="s">
        <v>6034</v>
      </c>
      <c r="AM1" s="3" t="s">
        <v>6001</v>
      </c>
      <c r="AN1" s="3" t="s">
        <v>5970</v>
      </c>
    </row>
    <row r="2" ht="14.25" customHeight="1">
      <c r="A2" s="3">
        <v>0.0</v>
      </c>
      <c r="B2" s="5" t="s">
        <v>6644</v>
      </c>
      <c r="C2" s="3">
        <v>18.0</v>
      </c>
      <c r="D2" s="3" t="s">
        <v>6645</v>
      </c>
      <c r="E2" s="3" t="s">
        <v>6645</v>
      </c>
      <c r="F2" s="3" t="s">
        <v>6645</v>
      </c>
      <c r="G2" s="3" t="s">
        <v>6645</v>
      </c>
      <c r="H2" s="3" t="s">
        <v>6645</v>
      </c>
      <c r="I2" s="3" t="s">
        <v>6645</v>
      </c>
      <c r="J2" s="3">
        <v>-1.0</v>
      </c>
      <c r="K2" s="3">
        <v>0.0</v>
      </c>
      <c r="L2" s="3">
        <v>2058.0</v>
      </c>
      <c r="M2" s="3">
        <v>799.0</v>
      </c>
      <c r="N2" s="3">
        <v>145.10644</v>
      </c>
      <c r="O2" s="3">
        <v>21.0</v>
      </c>
      <c r="P2" s="3" t="e">
        <v>#N/A</v>
      </c>
      <c r="Q2" s="3">
        <v>60.0</v>
      </c>
      <c r="R2" s="3">
        <v>55.0</v>
      </c>
      <c r="S2" s="3">
        <v>55.0</v>
      </c>
      <c r="T2" s="3">
        <v>55.0</v>
      </c>
      <c r="U2" s="3">
        <v>55.0</v>
      </c>
      <c r="V2" s="3">
        <v>70.0</v>
      </c>
      <c r="W2" s="3">
        <v>70.0</v>
      </c>
      <c r="X2" s="3">
        <v>60.0</v>
      </c>
      <c r="Y2" s="3">
        <v>60.0</v>
      </c>
      <c r="Z2" s="3">
        <v>70.0</v>
      </c>
      <c r="AA2" s="3">
        <v>50.0</v>
      </c>
      <c r="AB2" s="3">
        <v>60.0</v>
      </c>
      <c r="AC2" s="3">
        <v>50.0</v>
      </c>
      <c r="AD2" s="3">
        <v>50.0</v>
      </c>
      <c r="AE2" s="3">
        <v>50.0</v>
      </c>
      <c r="AF2" s="3">
        <v>60.0</v>
      </c>
      <c r="AG2" s="3">
        <v>60.0</v>
      </c>
      <c r="AH2" s="3">
        <v>60.0</v>
      </c>
      <c r="AI2" s="3">
        <v>60.0</v>
      </c>
      <c r="AJ2" s="3">
        <v>60.0</v>
      </c>
      <c r="AK2" s="3">
        <v>60.0</v>
      </c>
      <c r="AL2" s="3">
        <v>60.0</v>
      </c>
      <c r="AM2" s="3">
        <v>60.0</v>
      </c>
      <c r="AN2" s="3">
        <v>60.0</v>
      </c>
    </row>
    <row r="3" ht="14.25" customHeight="1">
      <c r="A3" s="3">
        <v>1.0</v>
      </c>
      <c r="B3" s="3" t="s">
        <v>5894</v>
      </c>
      <c r="C3" s="3">
        <v>38.0</v>
      </c>
      <c r="D3" s="3" t="s">
        <v>6646</v>
      </c>
      <c r="E3" s="3" t="s">
        <v>6645</v>
      </c>
      <c r="F3" s="3" t="s">
        <v>6646</v>
      </c>
      <c r="G3" s="3" t="s">
        <v>6645</v>
      </c>
      <c r="H3" s="3" t="s">
        <v>6645</v>
      </c>
      <c r="I3" s="3" t="s">
        <v>6645</v>
      </c>
      <c r="J3" s="3">
        <v>25.0</v>
      </c>
      <c r="K3" s="3">
        <v>5.0</v>
      </c>
      <c r="L3" s="3">
        <v>0.0</v>
      </c>
      <c r="M3" s="3">
        <v>0.0</v>
      </c>
      <c r="N3" s="3">
        <v>8887.79</v>
      </c>
      <c r="O3" s="3">
        <v>4800.0</v>
      </c>
      <c r="P3" s="3" t="s">
        <v>5899</v>
      </c>
      <c r="Q3" s="3">
        <v>64.0</v>
      </c>
      <c r="R3" s="3">
        <v>58.0</v>
      </c>
      <c r="S3" s="3">
        <v>58.0</v>
      </c>
      <c r="T3" s="3">
        <v>62.0</v>
      </c>
      <c r="U3" s="3">
        <v>66.0</v>
      </c>
      <c r="V3" s="3">
        <v>58.0</v>
      </c>
      <c r="W3" s="3">
        <v>63.0</v>
      </c>
      <c r="X3" s="3">
        <v>61.0</v>
      </c>
      <c r="Y3" s="3">
        <v>60.0</v>
      </c>
      <c r="Z3" s="3">
        <v>62.0</v>
      </c>
      <c r="AA3" s="3">
        <v>73.0</v>
      </c>
      <c r="AB3" s="3">
        <v>64.0</v>
      </c>
      <c r="AC3" s="3">
        <v>58.0</v>
      </c>
      <c r="AD3" s="3">
        <v>64.0</v>
      </c>
      <c r="AE3" s="3">
        <v>57.0</v>
      </c>
      <c r="AF3" s="3">
        <v>78.0</v>
      </c>
      <c r="AG3" s="3">
        <v>64.0</v>
      </c>
      <c r="AH3" s="3">
        <v>86.0</v>
      </c>
      <c r="AI3" s="3">
        <v>50.0</v>
      </c>
      <c r="AJ3" s="3">
        <v>65.0</v>
      </c>
      <c r="AK3" s="3">
        <v>44.0</v>
      </c>
      <c r="AL3" s="3">
        <v>56.0</v>
      </c>
      <c r="AM3" s="3">
        <v>18.0</v>
      </c>
      <c r="AN3" s="3">
        <v>28.0</v>
      </c>
    </row>
    <row r="4" ht="14.25" customHeight="1">
      <c r="A4" s="3">
        <v>2.0</v>
      </c>
      <c r="B4" s="3" t="s">
        <v>5905</v>
      </c>
      <c r="C4" s="3">
        <v>42.0</v>
      </c>
      <c r="D4" s="3" t="s">
        <v>6646</v>
      </c>
      <c r="E4" s="3" t="s">
        <v>6645</v>
      </c>
      <c r="F4" s="3" t="s">
        <v>6646</v>
      </c>
      <c r="G4" s="3" t="s">
        <v>6645</v>
      </c>
      <c r="H4" s="3" t="s">
        <v>6645</v>
      </c>
      <c r="I4" s="3" t="s">
        <v>6645</v>
      </c>
      <c r="J4" s="3">
        <v>-1.0</v>
      </c>
      <c r="K4" s="3">
        <v>4.0</v>
      </c>
      <c r="L4" s="3">
        <v>0.0</v>
      </c>
      <c r="M4" s="3">
        <v>0.0</v>
      </c>
      <c r="N4" s="3">
        <v>6120.9863</v>
      </c>
      <c r="O4" s="3">
        <v>1498.0</v>
      </c>
      <c r="P4" s="3" t="s">
        <v>5909</v>
      </c>
      <c r="Q4" s="3">
        <v>59.0</v>
      </c>
      <c r="R4" s="3">
        <v>55.0</v>
      </c>
      <c r="S4" s="3">
        <v>58.0</v>
      </c>
      <c r="T4" s="3">
        <v>51.0</v>
      </c>
      <c r="U4" s="3">
        <v>55.0</v>
      </c>
      <c r="V4" s="3">
        <v>58.0</v>
      </c>
      <c r="W4" s="3">
        <v>53.0</v>
      </c>
      <c r="X4" s="3">
        <v>46.0</v>
      </c>
      <c r="Y4" s="3">
        <v>54.0</v>
      </c>
      <c r="Z4" s="3">
        <v>61.0</v>
      </c>
      <c r="AA4" s="3">
        <v>62.0</v>
      </c>
      <c r="AB4" s="3">
        <v>52.0</v>
      </c>
      <c r="AC4" s="3">
        <v>53.0</v>
      </c>
      <c r="AD4" s="3">
        <v>45.0</v>
      </c>
      <c r="AE4" s="3">
        <v>59.0</v>
      </c>
      <c r="AF4" s="3">
        <v>65.0</v>
      </c>
      <c r="AG4" s="3">
        <v>61.0</v>
      </c>
      <c r="AH4" s="3">
        <v>43.0</v>
      </c>
      <c r="AI4" s="3">
        <v>39.0</v>
      </c>
      <c r="AJ4" s="3">
        <v>42.0</v>
      </c>
      <c r="AK4" s="3">
        <v>51.0</v>
      </c>
      <c r="AL4" s="3">
        <v>65.0</v>
      </c>
      <c r="AM4" s="3">
        <v>48.0</v>
      </c>
      <c r="AN4" s="3">
        <v>56.0</v>
      </c>
    </row>
    <row r="5" ht="14.25" customHeight="1">
      <c r="A5" s="3">
        <v>3.0</v>
      </c>
      <c r="B5" s="3" t="s">
        <v>5913</v>
      </c>
      <c r="C5" s="3">
        <v>27.0</v>
      </c>
      <c r="D5" s="3" t="s">
        <v>6646</v>
      </c>
      <c r="E5" s="3" t="s">
        <v>6645</v>
      </c>
      <c r="F5" s="3" t="s">
        <v>6646</v>
      </c>
      <c r="G5" s="3" t="s">
        <v>6645</v>
      </c>
      <c r="H5" s="3" t="s">
        <v>6645</v>
      </c>
      <c r="I5" s="3" t="s">
        <v>6645</v>
      </c>
      <c r="J5" s="3">
        <v>25.0</v>
      </c>
      <c r="K5" s="3">
        <v>3.0</v>
      </c>
      <c r="L5" s="3">
        <v>0.0</v>
      </c>
      <c r="M5" s="3">
        <v>0.0</v>
      </c>
      <c r="N5" s="3">
        <v>4278.8</v>
      </c>
      <c r="O5" s="3">
        <v>612.0</v>
      </c>
      <c r="P5" s="3" t="s">
        <v>5899</v>
      </c>
      <c r="Q5" s="3">
        <v>52.0</v>
      </c>
      <c r="R5" s="3">
        <v>46.0</v>
      </c>
      <c r="S5" s="3">
        <v>54.0</v>
      </c>
      <c r="T5" s="3">
        <v>52.0</v>
      </c>
      <c r="U5" s="3">
        <v>49.0</v>
      </c>
      <c r="V5" s="3">
        <v>51.0</v>
      </c>
      <c r="W5" s="3">
        <v>54.0</v>
      </c>
      <c r="X5" s="3">
        <v>48.0</v>
      </c>
      <c r="Y5" s="3">
        <v>44.0</v>
      </c>
      <c r="Z5" s="3">
        <v>57.0</v>
      </c>
      <c r="AA5" s="3">
        <v>55.0</v>
      </c>
      <c r="AB5" s="3">
        <v>47.0</v>
      </c>
      <c r="AC5" s="3">
        <v>50.0</v>
      </c>
      <c r="AD5" s="3">
        <v>50.0</v>
      </c>
      <c r="AE5" s="3">
        <v>51.0</v>
      </c>
      <c r="AF5" s="3">
        <v>49.0</v>
      </c>
      <c r="AG5" s="3">
        <v>70.0</v>
      </c>
      <c r="AH5" s="3">
        <v>48.0</v>
      </c>
      <c r="AI5" s="3">
        <v>53.0</v>
      </c>
      <c r="AJ5" s="3">
        <v>11.0</v>
      </c>
      <c r="AK5" s="3">
        <v>46.0</v>
      </c>
      <c r="AL5" s="3">
        <v>52.0</v>
      </c>
      <c r="AM5" s="3">
        <v>65.0</v>
      </c>
      <c r="AN5" s="3">
        <v>55.0</v>
      </c>
    </row>
    <row r="6" ht="14.25" customHeight="1">
      <c r="A6" s="3">
        <v>4.0</v>
      </c>
      <c r="B6" s="3" t="s">
        <v>5920</v>
      </c>
      <c r="C6" s="3">
        <v>21.0</v>
      </c>
      <c r="D6" s="3" t="s">
        <v>6646</v>
      </c>
      <c r="E6" s="3" t="s">
        <v>6645</v>
      </c>
      <c r="F6" s="3" t="s">
        <v>6646</v>
      </c>
      <c r="G6" s="3" t="s">
        <v>6645</v>
      </c>
      <c r="H6" s="3" t="s">
        <v>6645</v>
      </c>
      <c r="I6" s="3" t="s">
        <v>6646</v>
      </c>
      <c r="J6" s="3">
        <v>25.0</v>
      </c>
      <c r="K6" s="3">
        <v>2.0</v>
      </c>
      <c r="L6" s="3">
        <v>0.0</v>
      </c>
      <c r="M6" s="3">
        <v>0.0</v>
      </c>
      <c r="N6" s="3">
        <v>2943.712</v>
      </c>
      <c r="O6" s="3">
        <v>486.0</v>
      </c>
      <c r="P6" s="3" t="s">
        <v>5924</v>
      </c>
      <c r="Q6" s="3">
        <v>41.0</v>
      </c>
      <c r="R6" s="3">
        <v>46.0</v>
      </c>
      <c r="S6" s="3">
        <v>49.0</v>
      </c>
      <c r="T6" s="3">
        <v>41.0</v>
      </c>
      <c r="U6" s="3">
        <v>47.0</v>
      </c>
      <c r="V6" s="3">
        <v>45.0</v>
      </c>
      <c r="W6" s="3">
        <v>50.0</v>
      </c>
      <c r="X6" s="3">
        <v>47.0</v>
      </c>
      <c r="Y6" s="3">
        <v>35.0</v>
      </c>
      <c r="Z6" s="3">
        <v>45.0</v>
      </c>
      <c r="AA6" s="3">
        <v>56.0</v>
      </c>
      <c r="AB6" s="3">
        <v>45.0</v>
      </c>
      <c r="AC6" s="3">
        <v>38.0</v>
      </c>
      <c r="AD6" s="3">
        <v>43.0</v>
      </c>
      <c r="AE6" s="3">
        <v>49.0</v>
      </c>
      <c r="AF6" s="3">
        <v>42.0</v>
      </c>
      <c r="AG6" s="3">
        <v>54.0</v>
      </c>
      <c r="AH6" s="3">
        <v>74.0</v>
      </c>
      <c r="AI6" s="3">
        <v>50.0</v>
      </c>
      <c r="AJ6" s="3">
        <v>36.0</v>
      </c>
      <c r="AK6" s="3">
        <v>38.0</v>
      </c>
      <c r="AL6" s="3">
        <v>11.0</v>
      </c>
      <c r="AM6" s="3">
        <v>58.0</v>
      </c>
      <c r="AN6" s="3">
        <v>35.0</v>
      </c>
    </row>
    <row r="7" ht="14.25" customHeight="1">
      <c r="A7" s="3">
        <v>5.0</v>
      </c>
      <c r="B7" s="3" t="s">
        <v>5929</v>
      </c>
      <c r="C7" s="3">
        <v>24.0</v>
      </c>
      <c r="D7" s="3" t="s">
        <v>6646</v>
      </c>
      <c r="E7" s="3" t="s">
        <v>6645</v>
      </c>
      <c r="F7" s="3" t="s">
        <v>6646</v>
      </c>
      <c r="G7" s="3" t="s">
        <v>6645</v>
      </c>
      <c r="H7" s="3" t="s">
        <v>6645</v>
      </c>
      <c r="I7" s="3" t="s">
        <v>6645</v>
      </c>
      <c r="J7" s="3">
        <v>25.0</v>
      </c>
      <c r="K7" s="3">
        <v>2.0</v>
      </c>
      <c r="L7" s="3">
        <v>0.0</v>
      </c>
      <c r="M7" s="3">
        <v>0.0</v>
      </c>
      <c r="N7" s="3">
        <v>2969.2468</v>
      </c>
      <c r="O7" s="3">
        <v>369.0</v>
      </c>
      <c r="P7" s="3" t="s">
        <v>5931</v>
      </c>
      <c r="Q7" s="3">
        <v>46.0</v>
      </c>
      <c r="R7" s="3">
        <v>43.0</v>
      </c>
      <c r="S7" s="3">
        <v>44.0</v>
      </c>
      <c r="T7" s="3">
        <v>42.0</v>
      </c>
      <c r="U7" s="3">
        <v>48.0</v>
      </c>
      <c r="V7" s="3">
        <v>48.0</v>
      </c>
      <c r="W7" s="3">
        <v>48.0</v>
      </c>
      <c r="X7" s="3">
        <v>38.0</v>
      </c>
      <c r="Y7" s="3">
        <v>44.0</v>
      </c>
      <c r="Z7" s="3">
        <v>35.0</v>
      </c>
      <c r="AA7" s="3">
        <v>47.0</v>
      </c>
      <c r="AB7" s="3">
        <v>41.0</v>
      </c>
      <c r="AC7" s="3">
        <v>42.0</v>
      </c>
      <c r="AD7" s="3">
        <v>50.0</v>
      </c>
      <c r="AE7" s="3">
        <v>40.0</v>
      </c>
      <c r="AF7" s="3">
        <v>38.0</v>
      </c>
      <c r="AG7" s="3">
        <v>29.0</v>
      </c>
      <c r="AH7" s="3">
        <v>77.0</v>
      </c>
      <c r="AI7" s="3">
        <v>74.0</v>
      </c>
      <c r="AJ7" s="3">
        <v>53.0</v>
      </c>
      <c r="AK7" s="3">
        <v>49.0</v>
      </c>
      <c r="AL7" s="3">
        <v>57.0</v>
      </c>
      <c r="AM7" s="3">
        <v>18.0</v>
      </c>
      <c r="AN7" s="3">
        <v>37.0</v>
      </c>
    </row>
    <row r="8" ht="14.25" customHeight="1">
      <c r="A8" s="3">
        <v>6.0</v>
      </c>
      <c r="B8" s="3" t="s">
        <v>5936</v>
      </c>
      <c r="C8" s="3">
        <v>23.0</v>
      </c>
      <c r="D8" s="3" t="s">
        <v>6646</v>
      </c>
      <c r="E8" s="3" t="s">
        <v>6645</v>
      </c>
      <c r="F8" s="3" t="s">
        <v>6646</v>
      </c>
      <c r="G8" s="3" t="s">
        <v>6645</v>
      </c>
      <c r="H8" s="3" t="s">
        <v>6645</v>
      </c>
      <c r="I8" s="3" t="s">
        <v>6645</v>
      </c>
      <c r="J8" s="3">
        <v>25.0</v>
      </c>
      <c r="K8" s="3">
        <v>1.0</v>
      </c>
      <c r="L8" s="3">
        <v>0.0</v>
      </c>
      <c r="M8" s="3">
        <v>0.0</v>
      </c>
      <c r="N8" s="3">
        <v>1137.0704</v>
      </c>
      <c r="O8" s="3">
        <v>218.0</v>
      </c>
      <c r="P8" s="3" t="s">
        <v>5899</v>
      </c>
      <c r="Q8" s="3">
        <v>40.0</v>
      </c>
      <c r="R8" s="3">
        <v>38.0</v>
      </c>
      <c r="S8" s="3">
        <v>37.0</v>
      </c>
      <c r="T8" s="3">
        <v>36.0</v>
      </c>
      <c r="U8" s="3">
        <v>44.0</v>
      </c>
      <c r="V8" s="3">
        <v>39.0</v>
      </c>
      <c r="W8" s="3">
        <v>40.0</v>
      </c>
      <c r="X8" s="3">
        <v>41.0</v>
      </c>
      <c r="Y8" s="3">
        <v>46.0</v>
      </c>
      <c r="Z8" s="3">
        <v>41.0</v>
      </c>
      <c r="AA8" s="3">
        <v>49.0</v>
      </c>
      <c r="AB8" s="3">
        <v>34.0</v>
      </c>
      <c r="AC8" s="3">
        <v>28.0</v>
      </c>
      <c r="AD8" s="3">
        <v>34.0</v>
      </c>
      <c r="AE8" s="3">
        <v>43.0</v>
      </c>
      <c r="AF8" s="3">
        <v>48.0</v>
      </c>
      <c r="AG8" s="3">
        <v>53.0</v>
      </c>
      <c r="AH8" s="3">
        <v>7.0</v>
      </c>
      <c r="AI8" s="3">
        <v>71.0</v>
      </c>
      <c r="AJ8" s="3">
        <v>57.0</v>
      </c>
      <c r="AK8" s="3">
        <v>44.0</v>
      </c>
      <c r="AL8" s="3">
        <v>51.0</v>
      </c>
      <c r="AM8" s="3">
        <v>34.0</v>
      </c>
      <c r="AN8" s="3">
        <v>54.0</v>
      </c>
    </row>
    <row r="9" ht="14.25" customHeight="1">
      <c r="A9" s="3">
        <v>7.0</v>
      </c>
      <c r="B9" s="3" t="s">
        <v>5943</v>
      </c>
      <c r="C9" s="3">
        <v>25.0</v>
      </c>
      <c r="D9" s="3" t="s">
        <v>6646</v>
      </c>
      <c r="E9" s="3" t="s">
        <v>6645</v>
      </c>
      <c r="F9" s="3" t="s">
        <v>6646</v>
      </c>
      <c r="G9" s="3" t="s">
        <v>6645</v>
      </c>
      <c r="H9" s="3" t="s">
        <v>6645</v>
      </c>
      <c r="I9" s="3" t="s">
        <v>6646</v>
      </c>
      <c r="J9" s="3">
        <v>25.0</v>
      </c>
      <c r="K9" s="3">
        <v>1.0</v>
      </c>
      <c r="L9" s="3">
        <v>0.0</v>
      </c>
      <c r="M9" s="3">
        <v>0.0</v>
      </c>
      <c r="N9" s="3">
        <v>676.22625</v>
      </c>
      <c r="O9" s="3">
        <v>168.0</v>
      </c>
      <c r="P9" s="3" t="s">
        <v>5909</v>
      </c>
      <c r="Q9" s="3">
        <v>42.0</v>
      </c>
      <c r="R9" s="3">
        <v>40.0</v>
      </c>
      <c r="S9" s="3">
        <v>38.0</v>
      </c>
      <c r="T9" s="3">
        <v>35.0</v>
      </c>
      <c r="U9" s="3">
        <v>38.0</v>
      </c>
      <c r="V9" s="3">
        <v>35.0</v>
      </c>
      <c r="W9" s="3">
        <v>42.0</v>
      </c>
      <c r="X9" s="3">
        <v>47.0</v>
      </c>
      <c r="Y9" s="3">
        <v>34.0</v>
      </c>
      <c r="Z9" s="3">
        <v>29.0</v>
      </c>
      <c r="AA9" s="3">
        <v>41.0</v>
      </c>
      <c r="AB9" s="3">
        <v>42.0</v>
      </c>
      <c r="AC9" s="3">
        <v>42.0</v>
      </c>
      <c r="AD9" s="3">
        <v>41.0</v>
      </c>
      <c r="AE9" s="3">
        <v>38.0</v>
      </c>
      <c r="AF9" s="3">
        <v>73.0</v>
      </c>
      <c r="AG9" s="3">
        <v>42.0</v>
      </c>
      <c r="AH9" s="3">
        <v>60.0</v>
      </c>
      <c r="AI9" s="3">
        <v>46.0</v>
      </c>
      <c r="AJ9" s="3">
        <v>22.0</v>
      </c>
      <c r="AK9" s="3">
        <v>39.0</v>
      </c>
      <c r="AL9" s="3">
        <v>33.0</v>
      </c>
      <c r="AM9" s="3">
        <v>75.0</v>
      </c>
      <c r="AN9" s="3">
        <v>29.0</v>
      </c>
    </row>
    <row r="10" ht="14.25" customHeight="1">
      <c r="A10" s="3">
        <v>8.0</v>
      </c>
      <c r="B10" s="3" t="s">
        <v>5949</v>
      </c>
      <c r="C10" s="3">
        <v>19.0</v>
      </c>
      <c r="D10" s="3" t="s">
        <v>6646</v>
      </c>
      <c r="E10" s="3" t="s">
        <v>6645</v>
      </c>
      <c r="F10" s="3" t="s">
        <v>6646</v>
      </c>
      <c r="G10" s="3" t="s">
        <v>6645</v>
      </c>
      <c r="H10" s="3" t="s">
        <v>6645</v>
      </c>
      <c r="I10" s="3" t="s">
        <v>6645</v>
      </c>
      <c r="J10" s="3">
        <v>25.0</v>
      </c>
      <c r="K10" s="3">
        <v>0.0</v>
      </c>
      <c r="L10" s="3">
        <v>0.0</v>
      </c>
      <c r="M10" s="3">
        <v>0.0</v>
      </c>
      <c r="N10" s="3">
        <v>289.75054</v>
      </c>
      <c r="O10" s="3">
        <v>101.0</v>
      </c>
      <c r="P10" s="3" t="s">
        <v>5952</v>
      </c>
      <c r="Q10" s="3">
        <v>39.0</v>
      </c>
      <c r="R10" s="3">
        <v>38.0</v>
      </c>
      <c r="S10" s="3">
        <v>34.0</v>
      </c>
      <c r="T10" s="3">
        <v>37.0</v>
      </c>
      <c r="U10" s="3">
        <v>38.0</v>
      </c>
      <c r="V10" s="3">
        <v>37.0</v>
      </c>
      <c r="W10" s="3">
        <v>33.0</v>
      </c>
      <c r="X10" s="3">
        <v>27.0</v>
      </c>
      <c r="Y10" s="3">
        <v>45.0</v>
      </c>
      <c r="Z10" s="3">
        <v>41.0</v>
      </c>
      <c r="AA10" s="3">
        <v>39.0</v>
      </c>
      <c r="AB10" s="3">
        <v>37.0</v>
      </c>
      <c r="AC10" s="3">
        <v>45.0</v>
      </c>
      <c r="AD10" s="3">
        <v>34.0</v>
      </c>
      <c r="AE10" s="3">
        <v>30.0</v>
      </c>
      <c r="AF10" s="3">
        <v>49.0</v>
      </c>
      <c r="AG10" s="3">
        <v>34.0</v>
      </c>
      <c r="AH10" s="3">
        <v>5.0</v>
      </c>
      <c r="AI10" s="3">
        <v>54.0</v>
      </c>
      <c r="AJ10" s="3">
        <v>66.0</v>
      </c>
      <c r="AK10" s="3">
        <v>36.0</v>
      </c>
      <c r="AL10" s="3">
        <v>72.0</v>
      </c>
      <c r="AM10" s="3">
        <v>56.0</v>
      </c>
      <c r="AN10" s="3">
        <v>58.0</v>
      </c>
    </row>
    <row r="11" ht="14.25" customHeight="1">
      <c r="A11" s="3">
        <v>9.0</v>
      </c>
      <c r="B11" s="3" t="s">
        <v>5957</v>
      </c>
      <c r="C11" s="3">
        <v>16.0</v>
      </c>
      <c r="D11" s="3" t="s">
        <v>6646</v>
      </c>
      <c r="E11" s="3" t="s">
        <v>6645</v>
      </c>
      <c r="F11" s="3" t="s">
        <v>6646</v>
      </c>
      <c r="G11" s="3" t="s">
        <v>6645</v>
      </c>
      <c r="H11" s="3" t="s">
        <v>6645</v>
      </c>
      <c r="I11" s="3" t="s">
        <v>6646</v>
      </c>
      <c r="J11" s="3">
        <v>-1.0</v>
      </c>
      <c r="K11" s="3">
        <v>0.0</v>
      </c>
      <c r="L11" s="3">
        <v>0.0</v>
      </c>
      <c r="M11" s="3">
        <v>0.0</v>
      </c>
      <c r="N11" s="3">
        <v>441.613</v>
      </c>
      <c r="O11" s="3">
        <v>89.0</v>
      </c>
      <c r="P11" s="3" t="s">
        <v>5899</v>
      </c>
      <c r="Q11" s="3">
        <v>38.0</v>
      </c>
      <c r="R11" s="3">
        <v>34.0</v>
      </c>
      <c r="S11" s="3">
        <v>34.0</v>
      </c>
      <c r="T11" s="3">
        <v>33.0</v>
      </c>
      <c r="U11" s="3">
        <v>32.0</v>
      </c>
      <c r="V11" s="3">
        <v>38.0</v>
      </c>
      <c r="W11" s="3">
        <v>39.0</v>
      </c>
      <c r="X11" s="3">
        <v>47.0</v>
      </c>
      <c r="Y11" s="3">
        <v>24.0</v>
      </c>
      <c r="Z11" s="3">
        <v>22.0</v>
      </c>
      <c r="AA11" s="3">
        <v>43.0</v>
      </c>
      <c r="AB11" s="3">
        <v>43.0</v>
      </c>
      <c r="AC11" s="3">
        <v>31.0</v>
      </c>
      <c r="AD11" s="3">
        <v>38.0</v>
      </c>
      <c r="AE11" s="3">
        <v>32.0</v>
      </c>
      <c r="AF11" s="3">
        <v>54.0</v>
      </c>
      <c r="AG11" s="3">
        <v>49.0</v>
      </c>
      <c r="AH11" s="3">
        <v>50.0</v>
      </c>
      <c r="AI11" s="3">
        <v>30.0</v>
      </c>
      <c r="AJ11" s="3">
        <v>21.0</v>
      </c>
      <c r="AK11" s="3">
        <v>100.0</v>
      </c>
      <c r="AL11" s="3">
        <v>43.0</v>
      </c>
      <c r="AM11" s="3">
        <v>55.0</v>
      </c>
      <c r="AN11" s="3">
        <v>100.0</v>
      </c>
    </row>
    <row r="12" ht="14.25" customHeight="1">
      <c r="A12" s="3">
        <v>10.0</v>
      </c>
      <c r="B12" s="3" t="s">
        <v>5962</v>
      </c>
      <c r="C12" s="3">
        <v>31.0</v>
      </c>
      <c r="D12" s="3" t="s">
        <v>6646</v>
      </c>
      <c r="E12" s="3" t="s">
        <v>6645</v>
      </c>
      <c r="F12" s="3" t="s">
        <v>6646</v>
      </c>
      <c r="G12" s="3" t="s">
        <v>6645</v>
      </c>
      <c r="H12" s="3" t="s">
        <v>6645</v>
      </c>
      <c r="I12" s="3" t="s">
        <v>6646</v>
      </c>
      <c r="J12" s="3">
        <v>0.0</v>
      </c>
      <c r="K12" s="3">
        <v>5.0</v>
      </c>
      <c r="L12" s="3">
        <v>0.0</v>
      </c>
      <c r="M12" s="3">
        <v>0.0</v>
      </c>
      <c r="N12" s="3">
        <v>23245.765</v>
      </c>
      <c r="O12" s="3">
        <v>4800.0</v>
      </c>
      <c r="P12" s="3" t="s">
        <v>5899</v>
      </c>
      <c r="Q12" s="3">
        <v>98.0</v>
      </c>
      <c r="R12" s="3">
        <v>66.0</v>
      </c>
      <c r="S12" s="3">
        <v>72.0</v>
      </c>
      <c r="T12" s="3">
        <v>91.0</v>
      </c>
      <c r="U12" s="3">
        <v>80.0</v>
      </c>
      <c r="V12" s="3">
        <v>72.0</v>
      </c>
      <c r="W12" s="3">
        <v>85.0</v>
      </c>
      <c r="X12" s="3">
        <v>97.0</v>
      </c>
      <c r="Y12" s="3">
        <v>81.0</v>
      </c>
      <c r="Z12" s="3">
        <v>64.0</v>
      </c>
      <c r="AA12" s="3">
        <v>66.0</v>
      </c>
      <c r="AB12" s="3">
        <v>107.0</v>
      </c>
      <c r="AC12" s="3">
        <v>74.0</v>
      </c>
      <c r="AD12" s="3">
        <v>64.0</v>
      </c>
      <c r="AE12" s="3">
        <v>96.0</v>
      </c>
      <c r="AF12" s="3">
        <v>68.0</v>
      </c>
      <c r="AG12" s="3">
        <v>52.0</v>
      </c>
      <c r="AH12" s="3">
        <v>60.0</v>
      </c>
      <c r="AI12" s="3">
        <v>100.0</v>
      </c>
      <c r="AJ12" s="3">
        <v>74.0</v>
      </c>
      <c r="AK12" s="3">
        <v>71.0</v>
      </c>
      <c r="AL12" s="3">
        <v>68.0</v>
      </c>
      <c r="AM12" s="3">
        <v>25.0</v>
      </c>
      <c r="AN12" s="3">
        <v>65.0</v>
      </c>
    </row>
    <row r="13" ht="14.25" customHeight="1">
      <c r="A13" s="3">
        <v>11.0</v>
      </c>
      <c r="B13" s="3" t="s">
        <v>5967</v>
      </c>
      <c r="C13" s="3">
        <v>24.0</v>
      </c>
      <c r="D13" s="3" t="s">
        <v>6646</v>
      </c>
      <c r="E13" s="3" t="s">
        <v>6645</v>
      </c>
      <c r="F13" s="3" t="s">
        <v>6646</v>
      </c>
      <c r="G13" s="3" t="s">
        <v>6645</v>
      </c>
      <c r="H13" s="3" t="s">
        <v>6645</v>
      </c>
      <c r="I13" s="3" t="s">
        <v>6646</v>
      </c>
      <c r="J13" s="3">
        <v>0.0</v>
      </c>
      <c r="K13" s="3">
        <v>5.0</v>
      </c>
      <c r="L13" s="3">
        <v>0.0</v>
      </c>
      <c r="M13" s="3">
        <v>0.0</v>
      </c>
      <c r="N13" s="3">
        <v>19403.197</v>
      </c>
      <c r="O13" s="3">
        <v>3530.0</v>
      </c>
      <c r="P13" s="3" t="s">
        <v>5931</v>
      </c>
      <c r="Q13" s="3">
        <v>84.0</v>
      </c>
      <c r="R13" s="3">
        <v>66.0</v>
      </c>
      <c r="S13" s="3">
        <v>68.0</v>
      </c>
      <c r="T13" s="3">
        <v>80.0</v>
      </c>
      <c r="U13" s="3">
        <v>74.0</v>
      </c>
      <c r="V13" s="3">
        <v>66.0</v>
      </c>
      <c r="W13" s="3">
        <v>83.0</v>
      </c>
      <c r="X13" s="3">
        <v>98.0</v>
      </c>
      <c r="Y13" s="3">
        <v>74.0</v>
      </c>
      <c r="Z13" s="3">
        <v>62.0</v>
      </c>
      <c r="AA13" s="3">
        <v>66.0</v>
      </c>
      <c r="AB13" s="3">
        <v>93.0</v>
      </c>
      <c r="AC13" s="3">
        <v>66.0</v>
      </c>
      <c r="AD13" s="3">
        <v>59.0</v>
      </c>
      <c r="AE13" s="3">
        <v>84.0</v>
      </c>
      <c r="AF13" s="3">
        <v>53.0</v>
      </c>
      <c r="AG13" s="3">
        <v>43.0</v>
      </c>
      <c r="AH13" s="3">
        <v>52.0</v>
      </c>
      <c r="AI13" s="3">
        <v>75.0</v>
      </c>
      <c r="AJ13" s="3">
        <v>57.0</v>
      </c>
      <c r="AK13" s="3">
        <v>55.0</v>
      </c>
      <c r="AL13" s="3">
        <v>69.0</v>
      </c>
      <c r="AM13" s="3">
        <v>42.0</v>
      </c>
      <c r="AN13" s="3">
        <v>100.0</v>
      </c>
    </row>
    <row r="14" ht="14.25" customHeight="1">
      <c r="A14" s="3">
        <v>12.0</v>
      </c>
      <c r="B14" s="3" t="s">
        <v>5974</v>
      </c>
      <c r="C14" s="3">
        <v>34.0</v>
      </c>
      <c r="D14" s="3" t="s">
        <v>6646</v>
      </c>
      <c r="E14" s="3" t="s">
        <v>6645</v>
      </c>
      <c r="F14" s="3" t="s">
        <v>6646</v>
      </c>
      <c r="G14" s="3" t="s">
        <v>6645</v>
      </c>
      <c r="H14" s="3" t="s">
        <v>6645</v>
      </c>
      <c r="I14" s="3" t="s">
        <v>6645</v>
      </c>
      <c r="J14" s="3">
        <v>0.0</v>
      </c>
      <c r="K14" s="3">
        <v>4.0</v>
      </c>
      <c r="L14" s="3">
        <v>0.0</v>
      </c>
      <c r="M14" s="3">
        <v>0.0</v>
      </c>
      <c r="N14" s="3">
        <v>11508.348</v>
      </c>
      <c r="O14" s="3">
        <v>1300.0</v>
      </c>
      <c r="P14" s="3" t="s">
        <v>5909</v>
      </c>
      <c r="Q14" s="3">
        <v>76.0</v>
      </c>
      <c r="R14" s="3">
        <v>62.0</v>
      </c>
      <c r="S14" s="3">
        <v>56.0</v>
      </c>
      <c r="T14" s="3">
        <v>69.0</v>
      </c>
      <c r="U14" s="3">
        <v>61.0</v>
      </c>
      <c r="V14" s="3">
        <v>57.0</v>
      </c>
      <c r="W14" s="3">
        <v>71.0</v>
      </c>
      <c r="X14" s="3">
        <v>72.0</v>
      </c>
      <c r="Y14" s="3">
        <v>62.0</v>
      </c>
      <c r="Z14" s="3">
        <v>55.0</v>
      </c>
      <c r="AA14" s="3">
        <v>54.0</v>
      </c>
      <c r="AB14" s="3">
        <v>77.0</v>
      </c>
      <c r="AC14" s="3">
        <v>59.0</v>
      </c>
      <c r="AD14" s="3">
        <v>62.0</v>
      </c>
      <c r="AE14" s="3">
        <v>77.0</v>
      </c>
      <c r="AF14" s="3">
        <v>63.0</v>
      </c>
      <c r="AG14" s="3">
        <v>27.0</v>
      </c>
      <c r="AH14" s="3">
        <v>50.0</v>
      </c>
      <c r="AI14" s="3">
        <v>100.0</v>
      </c>
      <c r="AJ14" s="3">
        <v>61.0</v>
      </c>
      <c r="AK14" s="3">
        <v>69.0</v>
      </c>
      <c r="AL14" s="3">
        <v>70.0</v>
      </c>
      <c r="AM14" s="3">
        <v>64.0</v>
      </c>
      <c r="AN14" s="3">
        <v>43.0</v>
      </c>
    </row>
    <row r="15" ht="14.25" customHeight="1">
      <c r="A15" s="3">
        <v>13.0</v>
      </c>
      <c r="B15" s="3" t="s">
        <v>5979</v>
      </c>
      <c r="C15" s="3">
        <v>44.0</v>
      </c>
      <c r="D15" s="3" t="s">
        <v>6646</v>
      </c>
      <c r="E15" s="3" t="s">
        <v>6645</v>
      </c>
      <c r="F15" s="3" t="s">
        <v>6646</v>
      </c>
      <c r="G15" s="3" t="s">
        <v>6645</v>
      </c>
      <c r="H15" s="3" t="s">
        <v>6645</v>
      </c>
      <c r="I15" s="3" t="s">
        <v>6645</v>
      </c>
      <c r="J15" s="3">
        <v>1.0</v>
      </c>
      <c r="K15" s="3">
        <v>5.0</v>
      </c>
      <c r="L15" s="3">
        <v>0.0</v>
      </c>
      <c r="M15" s="3">
        <v>0.0</v>
      </c>
      <c r="N15" s="3">
        <v>23099.294</v>
      </c>
      <c r="O15" s="3">
        <v>4800.0</v>
      </c>
      <c r="P15" s="3" t="s">
        <v>5899</v>
      </c>
      <c r="Q15" s="3">
        <v>70.0</v>
      </c>
      <c r="R15" s="3">
        <v>113.0</v>
      </c>
      <c r="S15" s="3">
        <v>110.0</v>
      </c>
      <c r="T15" s="3">
        <v>72.0</v>
      </c>
      <c r="U15" s="3">
        <v>74.0</v>
      </c>
      <c r="V15" s="3">
        <v>72.0</v>
      </c>
      <c r="W15" s="3">
        <v>76.0</v>
      </c>
      <c r="X15" s="3">
        <v>76.0</v>
      </c>
      <c r="Y15" s="3">
        <v>100.0</v>
      </c>
      <c r="Z15" s="3">
        <v>69.0</v>
      </c>
      <c r="AA15" s="3">
        <v>76.0</v>
      </c>
      <c r="AB15" s="3">
        <v>71.0</v>
      </c>
      <c r="AC15" s="3">
        <v>65.0</v>
      </c>
      <c r="AD15" s="3">
        <v>72.0</v>
      </c>
      <c r="AE15" s="3">
        <v>120.0</v>
      </c>
      <c r="AF15" s="3">
        <v>48.0</v>
      </c>
      <c r="AG15" s="3">
        <v>100.0</v>
      </c>
      <c r="AH15" s="3">
        <v>54.0</v>
      </c>
      <c r="AI15" s="3">
        <v>70.0</v>
      </c>
      <c r="AJ15" s="3">
        <v>72.0</v>
      </c>
      <c r="AK15" s="3">
        <v>72.0</v>
      </c>
      <c r="AL15" s="3">
        <v>33.0</v>
      </c>
      <c r="AM15" s="3">
        <v>64.0</v>
      </c>
      <c r="AN15" s="3">
        <v>48.0</v>
      </c>
    </row>
    <row r="16" ht="14.25" customHeight="1">
      <c r="A16" s="3">
        <v>14.0</v>
      </c>
      <c r="B16" s="3" t="s">
        <v>5986</v>
      </c>
      <c r="C16" s="3">
        <v>23.0</v>
      </c>
      <c r="D16" s="3" t="s">
        <v>6646</v>
      </c>
      <c r="E16" s="3" t="s">
        <v>6645</v>
      </c>
      <c r="F16" s="3" t="s">
        <v>6646</v>
      </c>
      <c r="G16" s="3" t="s">
        <v>6645</v>
      </c>
      <c r="H16" s="3" t="s">
        <v>6645</v>
      </c>
      <c r="I16" s="3" t="s">
        <v>6645</v>
      </c>
      <c r="J16" s="3">
        <v>1.0</v>
      </c>
      <c r="K16" s="3">
        <v>3.0</v>
      </c>
      <c r="L16" s="3">
        <v>0.0</v>
      </c>
      <c r="M16" s="3">
        <v>0.0</v>
      </c>
      <c r="N16" s="3">
        <v>1691.4886</v>
      </c>
      <c r="O16" s="3">
        <v>997.0</v>
      </c>
      <c r="P16" s="3" t="s">
        <v>5909</v>
      </c>
      <c r="Q16" s="3">
        <v>38.0</v>
      </c>
      <c r="R16" s="3">
        <v>45.0</v>
      </c>
      <c r="S16" s="3">
        <v>43.0</v>
      </c>
      <c r="T16" s="3">
        <v>43.0</v>
      </c>
      <c r="U16" s="3">
        <v>41.0</v>
      </c>
      <c r="V16" s="3">
        <v>43.0</v>
      </c>
      <c r="W16" s="3">
        <v>44.0</v>
      </c>
      <c r="X16" s="3">
        <v>33.0</v>
      </c>
      <c r="Y16" s="3">
        <v>44.0</v>
      </c>
      <c r="Z16" s="3">
        <v>37.0</v>
      </c>
      <c r="AA16" s="3">
        <v>36.0</v>
      </c>
      <c r="AB16" s="3">
        <v>51.0</v>
      </c>
      <c r="AC16" s="3">
        <v>46.0</v>
      </c>
      <c r="AD16" s="3">
        <v>32.0</v>
      </c>
      <c r="AE16" s="3">
        <v>52.0</v>
      </c>
      <c r="AF16" s="3">
        <v>50.0</v>
      </c>
      <c r="AG16" s="3">
        <v>79.0</v>
      </c>
      <c r="AH16" s="3">
        <v>45.0</v>
      </c>
      <c r="AI16" s="3">
        <v>56.0</v>
      </c>
      <c r="AJ16" s="3">
        <v>50.0</v>
      </c>
      <c r="AK16" s="3">
        <v>35.0</v>
      </c>
      <c r="AL16" s="3">
        <v>48.0</v>
      </c>
      <c r="AM16" s="3">
        <v>34.0</v>
      </c>
      <c r="AN16" s="3">
        <v>37.0</v>
      </c>
    </row>
    <row r="17" ht="14.25" customHeight="1">
      <c r="A17" s="3">
        <v>15.0</v>
      </c>
      <c r="B17" s="3" t="s">
        <v>5989</v>
      </c>
      <c r="C17" s="3">
        <v>20.0</v>
      </c>
      <c r="D17" s="3" t="s">
        <v>6646</v>
      </c>
      <c r="E17" s="3" t="s">
        <v>6645</v>
      </c>
      <c r="F17" s="3" t="s">
        <v>6646</v>
      </c>
      <c r="G17" s="3" t="s">
        <v>6645</v>
      </c>
      <c r="H17" s="3" t="s">
        <v>6645</v>
      </c>
      <c r="I17" s="3" t="s">
        <v>6646</v>
      </c>
      <c r="J17" s="3">
        <v>1.0</v>
      </c>
      <c r="K17" s="3">
        <v>5.0</v>
      </c>
      <c r="L17" s="3">
        <v>0.0</v>
      </c>
      <c r="M17" s="3">
        <v>0.0</v>
      </c>
      <c r="N17" s="3">
        <v>19075.886</v>
      </c>
      <c r="O17" s="3">
        <v>3951.0</v>
      </c>
      <c r="P17" s="3" t="s">
        <v>5931</v>
      </c>
      <c r="Q17" s="3">
        <v>72.0</v>
      </c>
      <c r="R17" s="3">
        <v>100.0</v>
      </c>
      <c r="S17" s="3">
        <v>98.0</v>
      </c>
      <c r="T17" s="3">
        <v>68.0</v>
      </c>
      <c r="U17" s="3">
        <v>66.0</v>
      </c>
      <c r="V17" s="3">
        <v>71.0</v>
      </c>
      <c r="W17" s="3">
        <v>73.0</v>
      </c>
      <c r="X17" s="3">
        <v>73.0</v>
      </c>
      <c r="Y17" s="3">
        <v>90.0</v>
      </c>
      <c r="Z17" s="3">
        <v>67.0</v>
      </c>
      <c r="AA17" s="3">
        <v>63.0</v>
      </c>
      <c r="AB17" s="3">
        <v>79.0</v>
      </c>
      <c r="AC17" s="3">
        <v>62.0</v>
      </c>
      <c r="AD17" s="3">
        <v>72.0</v>
      </c>
      <c r="AE17" s="3">
        <v>114.0</v>
      </c>
      <c r="AF17" s="3">
        <v>63.0</v>
      </c>
      <c r="AG17" s="3">
        <v>98.0</v>
      </c>
      <c r="AH17" s="3">
        <v>63.0</v>
      </c>
      <c r="AI17" s="3">
        <v>56.0</v>
      </c>
      <c r="AJ17" s="3">
        <v>45.0</v>
      </c>
      <c r="AK17" s="3">
        <v>49.0</v>
      </c>
      <c r="AL17" s="3">
        <v>64.0</v>
      </c>
      <c r="AM17" s="3">
        <v>48.0</v>
      </c>
      <c r="AN17" s="3">
        <v>60.0</v>
      </c>
    </row>
    <row r="18" ht="14.25" customHeight="1">
      <c r="A18" s="3">
        <v>16.0</v>
      </c>
      <c r="B18" s="3" t="s">
        <v>5993</v>
      </c>
      <c r="C18" s="3">
        <v>22.0</v>
      </c>
      <c r="D18" s="3" t="s">
        <v>6646</v>
      </c>
      <c r="E18" s="3" t="s">
        <v>6645</v>
      </c>
      <c r="F18" s="3" t="s">
        <v>6646</v>
      </c>
      <c r="G18" s="3" t="s">
        <v>6645</v>
      </c>
      <c r="H18" s="3" t="s">
        <v>6645</v>
      </c>
      <c r="I18" s="3" t="s">
        <v>6646</v>
      </c>
      <c r="J18" s="3">
        <v>2.0</v>
      </c>
      <c r="K18" s="3">
        <v>5.0</v>
      </c>
      <c r="L18" s="3">
        <v>0.0</v>
      </c>
      <c r="M18" s="3">
        <v>0.0</v>
      </c>
      <c r="N18" s="3">
        <v>24380.107</v>
      </c>
      <c r="O18" s="3">
        <v>4800.0</v>
      </c>
      <c r="P18" s="3" t="s">
        <v>5931</v>
      </c>
      <c r="Q18" s="3">
        <v>74.0</v>
      </c>
      <c r="R18" s="3">
        <v>74.0</v>
      </c>
      <c r="S18" s="3">
        <v>119.0</v>
      </c>
      <c r="T18" s="3">
        <v>78.0</v>
      </c>
      <c r="U18" s="3">
        <v>90.0</v>
      </c>
      <c r="V18" s="3">
        <v>104.0</v>
      </c>
      <c r="W18" s="3">
        <v>87.0</v>
      </c>
      <c r="X18" s="3">
        <v>81.0</v>
      </c>
      <c r="Y18" s="3">
        <v>76.0</v>
      </c>
      <c r="Z18" s="3">
        <v>108.0</v>
      </c>
      <c r="AA18" s="3">
        <v>69.0</v>
      </c>
      <c r="AB18" s="3">
        <v>76.0</v>
      </c>
      <c r="AC18" s="3">
        <v>68.0</v>
      </c>
      <c r="AD18" s="3">
        <v>66.0</v>
      </c>
      <c r="AE18" s="3">
        <v>72.0</v>
      </c>
      <c r="AF18" s="3">
        <v>100.0</v>
      </c>
      <c r="AG18" s="3">
        <v>81.0</v>
      </c>
      <c r="AH18" s="3">
        <v>60.0</v>
      </c>
      <c r="AI18" s="3">
        <v>46.0</v>
      </c>
      <c r="AJ18" s="3">
        <v>50.0</v>
      </c>
      <c r="AK18" s="3">
        <v>50.0</v>
      </c>
      <c r="AL18" s="3">
        <v>62.0</v>
      </c>
      <c r="AM18" s="3">
        <v>86.0</v>
      </c>
      <c r="AN18" s="3">
        <v>28.0</v>
      </c>
    </row>
    <row r="19" ht="14.25" customHeight="1">
      <c r="A19" s="3">
        <v>17.0</v>
      </c>
      <c r="B19" s="3" t="s">
        <v>6000</v>
      </c>
      <c r="C19" s="3">
        <v>25.0</v>
      </c>
      <c r="D19" s="3" t="s">
        <v>6646</v>
      </c>
      <c r="E19" s="3" t="s">
        <v>6645</v>
      </c>
      <c r="F19" s="3" t="s">
        <v>6646</v>
      </c>
      <c r="G19" s="3" t="s">
        <v>6645</v>
      </c>
      <c r="H19" s="3" t="s">
        <v>6645</v>
      </c>
      <c r="I19" s="3" t="s">
        <v>6645</v>
      </c>
      <c r="J19" s="3">
        <v>2.0</v>
      </c>
      <c r="K19" s="3">
        <v>5.0</v>
      </c>
      <c r="L19" s="3">
        <v>0.0</v>
      </c>
      <c r="M19" s="3">
        <v>0.0</v>
      </c>
      <c r="N19" s="3">
        <v>20608.236</v>
      </c>
      <c r="O19" s="3">
        <v>3644.0</v>
      </c>
      <c r="P19" s="3" t="s">
        <v>5931</v>
      </c>
      <c r="Q19" s="3">
        <v>69.0</v>
      </c>
      <c r="R19" s="3">
        <v>68.0</v>
      </c>
      <c r="S19" s="3">
        <v>106.0</v>
      </c>
      <c r="T19" s="3">
        <v>74.0</v>
      </c>
      <c r="U19" s="3">
        <v>89.0</v>
      </c>
      <c r="V19" s="3">
        <v>101.0</v>
      </c>
      <c r="W19" s="3">
        <v>79.0</v>
      </c>
      <c r="X19" s="3">
        <v>68.0</v>
      </c>
      <c r="Y19" s="3">
        <v>72.0</v>
      </c>
      <c r="Z19" s="3">
        <v>102.0</v>
      </c>
      <c r="AA19" s="3">
        <v>73.0</v>
      </c>
      <c r="AB19" s="3">
        <v>65.0</v>
      </c>
      <c r="AC19" s="3">
        <v>70.0</v>
      </c>
      <c r="AD19" s="3">
        <v>67.0</v>
      </c>
      <c r="AE19" s="3">
        <v>79.0</v>
      </c>
      <c r="AF19" s="3">
        <v>100.0</v>
      </c>
      <c r="AG19" s="3">
        <v>91.0</v>
      </c>
      <c r="AH19" s="3">
        <v>69.0</v>
      </c>
      <c r="AI19" s="3">
        <v>30.0</v>
      </c>
      <c r="AJ19" s="3">
        <v>53.0</v>
      </c>
      <c r="AK19" s="3">
        <v>56.0</v>
      </c>
      <c r="AL19" s="3">
        <v>73.0</v>
      </c>
      <c r="AM19" s="3">
        <v>100.0</v>
      </c>
      <c r="AN19" s="3">
        <v>19.0</v>
      </c>
    </row>
    <row r="20" ht="14.25" customHeight="1">
      <c r="A20" s="3">
        <v>18.0</v>
      </c>
      <c r="B20" s="3" t="s">
        <v>6004</v>
      </c>
      <c r="C20" s="3">
        <v>38.0</v>
      </c>
      <c r="D20" s="3" t="s">
        <v>6646</v>
      </c>
      <c r="E20" s="3" t="s">
        <v>6645</v>
      </c>
      <c r="F20" s="3" t="s">
        <v>6646</v>
      </c>
      <c r="G20" s="3" t="s">
        <v>6645</v>
      </c>
      <c r="H20" s="3" t="s">
        <v>6645</v>
      </c>
      <c r="I20" s="3" t="s">
        <v>6645</v>
      </c>
      <c r="J20" s="3">
        <v>3.0</v>
      </c>
      <c r="K20" s="3">
        <v>5.0</v>
      </c>
      <c r="L20" s="3">
        <v>0.0</v>
      </c>
      <c r="M20" s="3">
        <v>0.0</v>
      </c>
      <c r="N20" s="3">
        <v>27107.464</v>
      </c>
      <c r="O20" s="3">
        <v>4800.0</v>
      </c>
      <c r="P20" s="3" t="s">
        <v>5909</v>
      </c>
      <c r="Q20" s="3">
        <v>111.0</v>
      </c>
      <c r="R20" s="3">
        <v>79.0</v>
      </c>
      <c r="S20" s="3">
        <v>76.0</v>
      </c>
      <c r="T20" s="3">
        <v>75.0</v>
      </c>
      <c r="U20" s="3">
        <v>72.0</v>
      </c>
      <c r="V20" s="3">
        <v>111.0</v>
      </c>
      <c r="W20" s="3">
        <v>87.0</v>
      </c>
      <c r="X20" s="3">
        <v>82.0</v>
      </c>
      <c r="Y20" s="3">
        <v>97.0</v>
      </c>
      <c r="Z20" s="3">
        <v>102.0</v>
      </c>
      <c r="AA20" s="3">
        <v>78.0</v>
      </c>
      <c r="AB20" s="3">
        <v>77.0</v>
      </c>
      <c r="AC20" s="3">
        <v>103.0</v>
      </c>
      <c r="AD20" s="3">
        <v>67.0</v>
      </c>
      <c r="AE20" s="3">
        <v>69.0</v>
      </c>
      <c r="AF20" s="3">
        <v>48.0</v>
      </c>
      <c r="AG20" s="3">
        <v>63.0</v>
      </c>
      <c r="AH20" s="3">
        <v>64.0</v>
      </c>
      <c r="AI20" s="3">
        <v>81.0</v>
      </c>
      <c r="AJ20" s="3">
        <v>74.0</v>
      </c>
      <c r="AK20" s="3">
        <v>44.0</v>
      </c>
      <c r="AL20" s="3">
        <v>59.0</v>
      </c>
      <c r="AM20" s="3">
        <v>54.0</v>
      </c>
      <c r="AN20" s="3">
        <v>100.0</v>
      </c>
    </row>
    <row r="21" ht="14.25" customHeight="1">
      <c r="A21" s="3">
        <v>19.0</v>
      </c>
      <c r="B21" s="3" t="s">
        <v>6009</v>
      </c>
      <c r="C21" s="3">
        <v>40.0</v>
      </c>
      <c r="D21" s="3" t="s">
        <v>6646</v>
      </c>
      <c r="E21" s="3" t="s">
        <v>6645</v>
      </c>
      <c r="F21" s="3" t="s">
        <v>6646</v>
      </c>
      <c r="G21" s="3" t="s">
        <v>6645</v>
      </c>
      <c r="H21" s="3" t="s">
        <v>6645</v>
      </c>
      <c r="I21" s="3" t="s">
        <v>6646</v>
      </c>
      <c r="J21" s="3">
        <v>3.0</v>
      </c>
      <c r="K21" s="3">
        <v>5.0</v>
      </c>
      <c r="L21" s="3">
        <v>0.0</v>
      </c>
      <c r="M21" s="3">
        <v>0.0</v>
      </c>
      <c r="N21" s="3">
        <v>23268.234</v>
      </c>
      <c r="O21" s="3">
        <v>2500.0</v>
      </c>
      <c r="P21" s="3" t="s">
        <v>5899</v>
      </c>
      <c r="Q21" s="3">
        <v>105.0</v>
      </c>
      <c r="R21" s="3">
        <v>68.0</v>
      </c>
      <c r="S21" s="3">
        <v>74.0</v>
      </c>
      <c r="T21" s="3">
        <v>74.0</v>
      </c>
      <c r="U21" s="3">
        <v>72.0</v>
      </c>
      <c r="V21" s="3">
        <v>110.0</v>
      </c>
      <c r="W21" s="3">
        <v>83.0</v>
      </c>
      <c r="X21" s="3">
        <v>77.0</v>
      </c>
      <c r="Y21" s="3">
        <v>89.0</v>
      </c>
      <c r="Z21" s="3">
        <v>96.0</v>
      </c>
      <c r="AA21" s="3">
        <v>69.0</v>
      </c>
      <c r="AB21" s="3">
        <v>74.0</v>
      </c>
      <c r="AC21" s="3">
        <v>101.0</v>
      </c>
      <c r="AD21" s="3">
        <v>70.0</v>
      </c>
      <c r="AE21" s="3">
        <v>68.0</v>
      </c>
      <c r="AF21" s="3">
        <v>60.0</v>
      </c>
      <c r="AG21" s="3">
        <v>57.0</v>
      </c>
      <c r="AH21" s="3">
        <v>43.0</v>
      </c>
      <c r="AI21" s="3">
        <v>78.0</v>
      </c>
      <c r="AJ21" s="3">
        <v>31.0</v>
      </c>
      <c r="AK21" s="3">
        <v>49.0</v>
      </c>
      <c r="AL21" s="3">
        <v>63.0</v>
      </c>
      <c r="AM21" s="3">
        <v>73.0</v>
      </c>
      <c r="AN21" s="3">
        <v>83.0</v>
      </c>
    </row>
    <row r="22" ht="14.25" customHeight="1">
      <c r="A22" s="3">
        <v>20.0</v>
      </c>
      <c r="B22" s="3" t="s">
        <v>6013</v>
      </c>
      <c r="C22" s="3">
        <v>32.0</v>
      </c>
      <c r="D22" s="3" t="s">
        <v>6646</v>
      </c>
      <c r="E22" s="3" t="s">
        <v>6645</v>
      </c>
      <c r="F22" s="3" t="s">
        <v>6646</v>
      </c>
      <c r="G22" s="3" t="s">
        <v>6645</v>
      </c>
      <c r="H22" s="3" t="s">
        <v>6645</v>
      </c>
      <c r="I22" s="3" t="s">
        <v>6645</v>
      </c>
      <c r="J22" s="3">
        <v>4.0</v>
      </c>
      <c r="K22" s="3">
        <v>5.0</v>
      </c>
      <c r="L22" s="3">
        <v>0.0</v>
      </c>
      <c r="M22" s="3">
        <v>0.0</v>
      </c>
      <c r="N22" s="3">
        <v>27620.138</v>
      </c>
      <c r="O22" s="3">
        <v>4800.0</v>
      </c>
      <c r="P22" s="3" t="s">
        <v>5899</v>
      </c>
      <c r="Q22" s="3">
        <v>102.0</v>
      </c>
      <c r="R22" s="3">
        <v>76.0</v>
      </c>
      <c r="S22" s="3">
        <v>74.0</v>
      </c>
      <c r="T22" s="3">
        <v>99.0</v>
      </c>
      <c r="U22" s="3">
        <v>118.0</v>
      </c>
      <c r="V22" s="3">
        <v>74.0</v>
      </c>
      <c r="W22" s="3">
        <v>80.0</v>
      </c>
      <c r="X22" s="3">
        <v>82.0</v>
      </c>
      <c r="Y22" s="3">
        <v>95.0</v>
      </c>
      <c r="Z22" s="3">
        <v>76.0</v>
      </c>
      <c r="AA22" s="3">
        <v>69.0</v>
      </c>
      <c r="AB22" s="3">
        <v>73.0</v>
      </c>
      <c r="AC22" s="3">
        <v>109.0</v>
      </c>
      <c r="AD22" s="3">
        <v>73.0</v>
      </c>
      <c r="AE22" s="3">
        <v>65.0</v>
      </c>
      <c r="AF22" s="3">
        <v>68.0</v>
      </c>
      <c r="AG22" s="3">
        <v>54.0</v>
      </c>
      <c r="AH22" s="3">
        <v>29.0</v>
      </c>
      <c r="AI22" s="3">
        <v>52.0</v>
      </c>
      <c r="AJ22" s="3">
        <v>100.0</v>
      </c>
      <c r="AK22" s="3">
        <v>64.0</v>
      </c>
      <c r="AL22" s="3">
        <v>72.0</v>
      </c>
      <c r="AM22" s="3">
        <v>46.0</v>
      </c>
      <c r="AN22" s="3">
        <v>60.0</v>
      </c>
    </row>
    <row r="23" ht="14.25" customHeight="1">
      <c r="A23" s="3">
        <v>21.0</v>
      </c>
      <c r="B23" s="3" t="s">
        <v>6018</v>
      </c>
      <c r="C23" s="3">
        <v>44.0</v>
      </c>
      <c r="D23" s="3" t="s">
        <v>6646</v>
      </c>
      <c r="E23" s="3" t="s">
        <v>6645</v>
      </c>
      <c r="F23" s="3" t="s">
        <v>6646</v>
      </c>
      <c r="G23" s="3" t="s">
        <v>6645</v>
      </c>
      <c r="H23" s="3" t="s">
        <v>6645</v>
      </c>
      <c r="I23" s="3" t="s">
        <v>6646</v>
      </c>
      <c r="J23" s="3">
        <v>4.0</v>
      </c>
      <c r="K23" s="3">
        <v>5.0</v>
      </c>
      <c r="L23" s="3">
        <v>0.0</v>
      </c>
      <c r="M23" s="3">
        <v>0.0</v>
      </c>
      <c r="N23" s="3">
        <v>21995.933</v>
      </c>
      <c r="O23" s="3">
        <v>3012.0</v>
      </c>
      <c r="P23" s="3" t="s">
        <v>5931</v>
      </c>
      <c r="Q23" s="3">
        <v>93.0</v>
      </c>
      <c r="R23" s="3">
        <v>65.0</v>
      </c>
      <c r="S23" s="3">
        <v>66.0</v>
      </c>
      <c r="T23" s="3">
        <v>96.0</v>
      </c>
      <c r="U23" s="3">
        <v>104.0</v>
      </c>
      <c r="V23" s="3">
        <v>67.0</v>
      </c>
      <c r="W23" s="3">
        <v>72.0</v>
      </c>
      <c r="X23" s="3">
        <v>70.0</v>
      </c>
      <c r="Y23" s="3">
        <v>92.0</v>
      </c>
      <c r="Z23" s="3">
        <v>68.0</v>
      </c>
      <c r="AA23" s="3">
        <v>72.0</v>
      </c>
      <c r="AB23" s="3">
        <v>75.0</v>
      </c>
      <c r="AC23" s="3">
        <v>107.0</v>
      </c>
      <c r="AD23" s="3">
        <v>67.0</v>
      </c>
      <c r="AE23" s="3">
        <v>71.0</v>
      </c>
      <c r="AF23" s="3">
        <v>69.0</v>
      </c>
      <c r="AG23" s="3">
        <v>73.0</v>
      </c>
      <c r="AH23" s="3">
        <v>51.0</v>
      </c>
      <c r="AI23" s="3">
        <v>46.0</v>
      </c>
      <c r="AJ23" s="3">
        <v>79.0</v>
      </c>
      <c r="AK23" s="3">
        <v>50.0</v>
      </c>
      <c r="AL23" s="3">
        <v>58.0</v>
      </c>
      <c r="AM23" s="3">
        <v>19.0</v>
      </c>
      <c r="AN23" s="3">
        <v>72.0</v>
      </c>
    </row>
    <row r="24" ht="14.25" customHeight="1">
      <c r="A24" s="3">
        <v>22.0</v>
      </c>
      <c r="B24" s="3" t="s">
        <v>6022</v>
      </c>
      <c r="C24" s="3">
        <v>45.0</v>
      </c>
      <c r="D24" s="3" t="s">
        <v>6646</v>
      </c>
      <c r="E24" s="3" t="s">
        <v>6645</v>
      </c>
      <c r="F24" s="3" t="s">
        <v>6646</v>
      </c>
      <c r="G24" s="3" t="s">
        <v>6645</v>
      </c>
      <c r="H24" s="3" t="s">
        <v>6645</v>
      </c>
      <c r="I24" s="3" t="s">
        <v>6646</v>
      </c>
      <c r="J24" s="3">
        <v>5.0</v>
      </c>
      <c r="K24" s="3">
        <v>5.0</v>
      </c>
      <c r="L24" s="3">
        <v>0.0</v>
      </c>
      <c r="M24" s="3">
        <v>0.0</v>
      </c>
      <c r="N24" s="3">
        <v>33617.886</v>
      </c>
      <c r="O24" s="3">
        <v>4800.0</v>
      </c>
      <c r="P24" s="3" t="s">
        <v>5899</v>
      </c>
      <c r="Q24" s="3">
        <v>80.0</v>
      </c>
      <c r="R24" s="3">
        <v>72.0</v>
      </c>
      <c r="S24" s="3">
        <v>114.0</v>
      </c>
      <c r="T24" s="3">
        <v>113.0</v>
      </c>
      <c r="U24" s="3">
        <v>105.0</v>
      </c>
      <c r="V24" s="3">
        <v>108.0</v>
      </c>
      <c r="W24" s="3">
        <v>104.0</v>
      </c>
      <c r="X24" s="3">
        <v>94.0</v>
      </c>
      <c r="Y24" s="3">
        <v>102.0</v>
      </c>
      <c r="Z24" s="3">
        <v>75.0</v>
      </c>
      <c r="AA24" s="3">
        <v>86.0</v>
      </c>
      <c r="AB24" s="3">
        <v>74.0</v>
      </c>
      <c r="AC24" s="3">
        <v>71.0</v>
      </c>
      <c r="AD24" s="3">
        <v>112.0</v>
      </c>
      <c r="AE24" s="3">
        <v>70.0</v>
      </c>
      <c r="AF24" s="3">
        <v>48.0</v>
      </c>
      <c r="AG24" s="3">
        <v>76.0</v>
      </c>
      <c r="AH24" s="3">
        <v>59.0</v>
      </c>
      <c r="AI24" s="3">
        <v>74.0</v>
      </c>
      <c r="AJ24" s="3">
        <v>65.0</v>
      </c>
      <c r="AK24" s="3">
        <v>35.0</v>
      </c>
      <c r="AL24" s="3">
        <v>76.0</v>
      </c>
      <c r="AM24" s="3">
        <v>100.0</v>
      </c>
      <c r="AN24" s="3">
        <v>70.0</v>
      </c>
    </row>
    <row r="25" ht="14.25" customHeight="1">
      <c r="A25" s="3">
        <v>23.0</v>
      </c>
      <c r="B25" s="3" t="s">
        <v>6026</v>
      </c>
      <c r="C25" s="3">
        <v>51.0</v>
      </c>
      <c r="D25" s="3" t="s">
        <v>6646</v>
      </c>
      <c r="E25" s="3" t="s">
        <v>6645</v>
      </c>
      <c r="F25" s="3" t="s">
        <v>6646</v>
      </c>
      <c r="G25" s="3" t="s">
        <v>6645</v>
      </c>
      <c r="H25" s="3" t="s">
        <v>6645</v>
      </c>
      <c r="I25" s="3" t="s">
        <v>6645</v>
      </c>
      <c r="J25" s="3">
        <v>5.0</v>
      </c>
      <c r="K25" s="3">
        <v>5.0</v>
      </c>
      <c r="L25" s="3">
        <v>0.0</v>
      </c>
      <c r="M25" s="3">
        <v>0.0</v>
      </c>
      <c r="N25" s="3">
        <v>28810.281</v>
      </c>
      <c r="O25" s="3">
        <v>3874.0</v>
      </c>
      <c r="P25" s="3" t="s">
        <v>5931</v>
      </c>
      <c r="Q25" s="3">
        <v>70.0</v>
      </c>
      <c r="R25" s="3">
        <v>70.0</v>
      </c>
      <c r="S25" s="3">
        <v>114.0</v>
      </c>
      <c r="T25" s="3">
        <v>97.0</v>
      </c>
      <c r="U25" s="3">
        <v>97.0</v>
      </c>
      <c r="V25" s="3">
        <v>94.0</v>
      </c>
      <c r="W25" s="3">
        <v>91.0</v>
      </c>
      <c r="X25" s="3">
        <v>85.0</v>
      </c>
      <c r="Y25" s="3">
        <v>103.0</v>
      </c>
      <c r="Z25" s="3">
        <v>71.0</v>
      </c>
      <c r="AA25" s="3">
        <v>82.0</v>
      </c>
      <c r="AB25" s="3">
        <v>67.0</v>
      </c>
      <c r="AC25" s="3">
        <v>72.0</v>
      </c>
      <c r="AD25" s="3">
        <v>99.0</v>
      </c>
      <c r="AE25" s="3">
        <v>76.0</v>
      </c>
      <c r="AF25" s="3">
        <v>54.0</v>
      </c>
      <c r="AG25" s="3">
        <v>60.0</v>
      </c>
      <c r="AH25" s="3">
        <v>32.0</v>
      </c>
      <c r="AI25" s="3">
        <v>69.0</v>
      </c>
      <c r="AJ25" s="3">
        <v>60.0</v>
      </c>
      <c r="AK25" s="3">
        <v>53.0</v>
      </c>
      <c r="AL25" s="3">
        <v>53.0</v>
      </c>
      <c r="AM25" s="3">
        <v>81.0</v>
      </c>
      <c r="AN25" s="3">
        <v>60.0</v>
      </c>
    </row>
    <row r="26" ht="14.25" customHeight="1">
      <c r="A26" s="3">
        <v>24.0</v>
      </c>
      <c r="B26" s="3" t="s">
        <v>6029</v>
      </c>
      <c r="C26" s="3">
        <v>46.0</v>
      </c>
      <c r="D26" s="3" t="s">
        <v>6646</v>
      </c>
      <c r="E26" s="3" t="s">
        <v>6645</v>
      </c>
      <c r="F26" s="3" t="s">
        <v>6646</v>
      </c>
      <c r="G26" s="3" t="s">
        <v>6645</v>
      </c>
      <c r="H26" s="3" t="s">
        <v>6645</v>
      </c>
      <c r="I26" s="3" t="s">
        <v>6645</v>
      </c>
      <c r="J26" s="3">
        <v>6.0</v>
      </c>
      <c r="K26" s="3">
        <v>5.0</v>
      </c>
      <c r="L26" s="3">
        <v>0.0</v>
      </c>
      <c r="M26" s="3">
        <v>0.0</v>
      </c>
      <c r="N26" s="3">
        <v>21920.095</v>
      </c>
      <c r="O26" s="3">
        <v>4800.0</v>
      </c>
      <c r="P26" s="3" t="s">
        <v>5899</v>
      </c>
      <c r="Q26" s="3">
        <v>104.0</v>
      </c>
      <c r="R26" s="3">
        <v>95.0</v>
      </c>
      <c r="S26" s="3">
        <v>73.0</v>
      </c>
      <c r="T26" s="3">
        <v>74.0</v>
      </c>
      <c r="U26" s="3">
        <v>70.0</v>
      </c>
      <c r="V26" s="3">
        <v>74.0</v>
      </c>
      <c r="W26" s="3">
        <v>79.0</v>
      </c>
      <c r="X26" s="3">
        <v>82.0</v>
      </c>
      <c r="Y26" s="3">
        <v>99.0</v>
      </c>
      <c r="Z26" s="3">
        <v>62.0</v>
      </c>
      <c r="AA26" s="3">
        <v>120.0</v>
      </c>
      <c r="AB26" s="3">
        <v>99.0</v>
      </c>
      <c r="AC26" s="3">
        <v>66.0</v>
      </c>
      <c r="AD26" s="3">
        <v>75.0</v>
      </c>
      <c r="AE26" s="3">
        <v>73.0</v>
      </c>
      <c r="AF26" s="3">
        <v>60.0</v>
      </c>
      <c r="AG26" s="3">
        <v>64.0</v>
      </c>
      <c r="AH26" s="3">
        <v>32.0</v>
      </c>
      <c r="AI26" s="3">
        <v>69.0</v>
      </c>
      <c r="AJ26" s="3">
        <v>100.0</v>
      </c>
      <c r="AK26" s="3">
        <v>24.0</v>
      </c>
      <c r="AL26" s="3">
        <v>79.0</v>
      </c>
      <c r="AM26" s="3">
        <v>48.0</v>
      </c>
      <c r="AN26" s="3">
        <v>64.0</v>
      </c>
    </row>
    <row r="27" ht="14.25" customHeight="1">
      <c r="A27" s="3">
        <v>25.0</v>
      </c>
      <c r="B27" s="3" t="s">
        <v>6033</v>
      </c>
      <c r="C27" s="3">
        <v>55.0</v>
      </c>
      <c r="D27" s="3" t="s">
        <v>6646</v>
      </c>
      <c r="E27" s="3" t="s">
        <v>6645</v>
      </c>
      <c r="F27" s="3" t="s">
        <v>6646</v>
      </c>
      <c r="G27" s="3" t="s">
        <v>6645</v>
      </c>
      <c r="H27" s="3" t="s">
        <v>6645</v>
      </c>
      <c r="I27" s="3" t="s">
        <v>6646</v>
      </c>
      <c r="J27" s="3">
        <v>6.0</v>
      </c>
      <c r="K27" s="3">
        <v>5.0</v>
      </c>
      <c r="L27" s="3">
        <v>0.0</v>
      </c>
      <c r="M27" s="3">
        <v>0.0</v>
      </c>
      <c r="N27" s="3">
        <v>17240.62</v>
      </c>
      <c r="O27" s="3">
        <v>3732.0</v>
      </c>
      <c r="P27" s="3" t="s">
        <v>5931</v>
      </c>
      <c r="Q27" s="3">
        <v>90.0</v>
      </c>
      <c r="R27" s="3">
        <v>87.0</v>
      </c>
      <c r="S27" s="3">
        <v>66.0</v>
      </c>
      <c r="T27" s="3">
        <v>68.0</v>
      </c>
      <c r="U27" s="3">
        <v>64.0</v>
      </c>
      <c r="V27" s="3">
        <v>68.0</v>
      </c>
      <c r="W27" s="3">
        <v>73.0</v>
      </c>
      <c r="X27" s="3">
        <v>71.0</v>
      </c>
      <c r="Y27" s="3">
        <v>94.0</v>
      </c>
      <c r="Z27" s="3">
        <v>63.0</v>
      </c>
      <c r="AA27" s="3">
        <v>113.0</v>
      </c>
      <c r="AB27" s="3">
        <v>92.0</v>
      </c>
      <c r="AC27" s="3">
        <v>59.0</v>
      </c>
      <c r="AD27" s="3">
        <v>66.0</v>
      </c>
      <c r="AE27" s="3">
        <v>66.0</v>
      </c>
      <c r="AF27" s="3">
        <v>73.0</v>
      </c>
      <c r="AG27" s="3">
        <v>22.0</v>
      </c>
      <c r="AH27" s="3">
        <v>44.0</v>
      </c>
      <c r="AI27" s="3">
        <v>44.0</v>
      </c>
      <c r="AJ27" s="3">
        <v>82.0</v>
      </c>
      <c r="AK27" s="3">
        <v>57.0</v>
      </c>
      <c r="AL27" s="3">
        <v>100.0</v>
      </c>
      <c r="AM27" s="3">
        <v>68.0</v>
      </c>
      <c r="AN27" s="3">
        <v>39.0</v>
      </c>
    </row>
    <row r="28" ht="14.25" customHeight="1">
      <c r="A28" s="3">
        <v>26.0</v>
      </c>
      <c r="B28" s="3" t="s">
        <v>6037</v>
      </c>
      <c r="C28" s="3">
        <v>22.0</v>
      </c>
      <c r="D28" s="3" t="s">
        <v>6646</v>
      </c>
      <c r="E28" s="3" t="s">
        <v>6645</v>
      </c>
      <c r="F28" s="3" t="s">
        <v>6646</v>
      </c>
      <c r="G28" s="3" t="s">
        <v>6645</v>
      </c>
      <c r="H28" s="3" t="s">
        <v>6645</v>
      </c>
      <c r="I28" s="3" t="s">
        <v>6646</v>
      </c>
      <c r="J28" s="3">
        <v>7.0</v>
      </c>
      <c r="K28" s="3">
        <v>5.0</v>
      </c>
      <c r="L28" s="3">
        <v>0.0</v>
      </c>
      <c r="M28" s="3">
        <v>0.0</v>
      </c>
      <c r="N28" s="3">
        <v>27266.685</v>
      </c>
      <c r="O28" s="3">
        <v>4800.0</v>
      </c>
      <c r="P28" s="3" t="s">
        <v>5931</v>
      </c>
      <c r="Q28" s="3">
        <v>75.0</v>
      </c>
      <c r="R28" s="3">
        <v>80.0</v>
      </c>
      <c r="S28" s="3">
        <v>93.0</v>
      </c>
      <c r="T28" s="3">
        <v>102.0</v>
      </c>
      <c r="U28" s="3">
        <v>76.0</v>
      </c>
      <c r="V28" s="3">
        <v>80.0</v>
      </c>
      <c r="W28" s="3">
        <v>87.0</v>
      </c>
      <c r="X28" s="3">
        <v>100.0</v>
      </c>
      <c r="Y28" s="3">
        <v>99.0</v>
      </c>
      <c r="Z28" s="3">
        <v>98.0</v>
      </c>
      <c r="AA28" s="3">
        <v>73.0</v>
      </c>
      <c r="AB28" s="3">
        <v>70.0</v>
      </c>
      <c r="AC28" s="3">
        <v>72.0</v>
      </c>
      <c r="AD28" s="3">
        <v>96.0</v>
      </c>
      <c r="AE28" s="3">
        <v>102.0</v>
      </c>
      <c r="AF28" s="3">
        <v>56.0</v>
      </c>
      <c r="AG28" s="3">
        <v>100.0</v>
      </c>
      <c r="AH28" s="3">
        <v>41.0</v>
      </c>
      <c r="AI28" s="3">
        <v>70.0</v>
      </c>
      <c r="AJ28" s="3">
        <v>71.0</v>
      </c>
      <c r="AK28" s="3">
        <v>81.0</v>
      </c>
      <c r="AL28" s="3">
        <v>72.0</v>
      </c>
      <c r="AM28" s="3">
        <v>36.0</v>
      </c>
      <c r="AN28" s="3">
        <v>68.0</v>
      </c>
    </row>
    <row r="29" ht="14.25" customHeight="1">
      <c r="A29" s="3">
        <v>27.0</v>
      </c>
      <c r="B29" s="3" t="s">
        <v>6043</v>
      </c>
      <c r="C29" s="3">
        <v>17.0</v>
      </c>
      <c r="D29" s="3" t="s">
        <v>6646</v>
      </c>
      <c r="E29" s="3" t="s">
        <v>6645</v>
      </c>
      <c r="F29" s="3" t="s">
        <v>6646</v>
      </c>
      <c r="G29" s="3" t="s">
        <v>6645</v>
      </c>
      <c r="H29" s="3" t="s">
        <v>6645</v>
      </c>
      <c r="I29" s="3" t="s">
        <v>6646</v>
      </c>
      <c r="J29" s="3">
        <v>7.0</v>
      </c>
      <c r="K29" s="3">
        <v>4.0</v>
      </c>
      <c r="L29" s="3">
        <v>0.0</v>
      </c>
      <c r="M29" s="3">
        <v>0.0</v>
      </c>
      <c r="N29" s="3">
        <v>14171.753</v>
      </c>
      <c r="O29" s="3">
        <v>1908.0</v>
      </c>
      <c r="P29" s="3" t="s">
        <v>5909</v>
      </c>
      <c r="Q29" s="3">
        <v>68.0</v>
      </c>
      <c r="R29" s="3">
        <v>69.0</v>
      </c>
      <c r="S29" s="3">
        <v>73.0</v>
      </c>
      <c r="T29" s="3">
        <v>77.0</v>
      </c>
      <c r="U29" s="3">
        <v>64.0</v>
      </c>
      <c r="V29" s="3">
        <v>67.0</v>
      </c>
      <c r="W29" s="3">
        <v>72.0</v>
      </c>
      <c r="X29" s="3">
        <v>79.0</v>
      </c>
      <c r="Y29" s="3">
        <v>75.0</v>
      </c>
      <c r="Z29" s="3">
        <v>80.0</v>
      </c>
      <c r="AA29" s="3">
        <v>66.0</v>
      </c>
      <c r="AB29" s="3">
        <v>63.0</v>
      </c>
      <c r="AC29" s="3">
        <v>56.0</v>
      </c>
      <c r="AD29" s="3">
        <v>87.0</v>
      </c>
      <c r="AE29" s="3">
        <v>76.0</v>
      </c>
      <c r="AF29" s="3">
        <v>39.0</v>
      </c>
      <c r="AG29" s="3">
        <v>100.0</v>
      </c>
      <c r="AH29" s="3">
        <v>48.0</v>
      </c>
      <c r="AI29" s="3">
        <v>47.0</v>
      </c>
      <c r="AJ29" s="3">
        <v>62.0</v>
      </c>
      <c r="AK29" s="3">
        <v>81.0</v>
      </c>
      <c r="AL29" s="3">
        <v>69.0</v>
      </c>
      <c r="AM29" s="3">
        <v>62.0</v>
      </c>
      <c r="AN29" s="3">
        <v>54.0</v>
      </c>
    </row>
    <row r="30" ht="14.25" customHeight="1">
      <c r="A30" s="3">
        <v>28.0</v>
      </c>
      <c r="B30" s="3" t="s">
        <v>6046</v>
      </c>
      <c r="C30" s="3">
        <v>36.0</v>
      </c>
      <c r="D30" s="3" t="s">
        <v>6646</v>
      </c>
      <c r="E30" s="3" t="s">
        <v>6645</v>
      </c>
      <c r="F30" s="3" t="s">
        <v>6646</v>
      </c>
      <c r="G30" s="3" t="s">
        <v>6645</v>
      </c>
      <c r="H30" s="3" t="s">
        <v>6645</v>
      </c>
      <c r="I30" s="3" t="s">
        <v>6645</v>
      </c>
      <c r="J30" s="3">
        <v>7.0</v>
      </c>
      <c r="K30" s="3">
        <v>5.0</v>
      </c>
      <c r="L30" s="3">
        <v>0.0</v>
      </c>
      <c r="M30" s="3">
        <v>0.0</v>
      </c>
      <c r="N30" s="3">
        <v>21733.845</v>
      </c>
      <c r="O30" s="3">
        <v>3061.0</v>
      </c>
      <c r="P30" s="3" t="s">
        <v>5899</v>
      </c>
      <c r="Q30" s="3">
        <v>72.0</v>
      </c>
      <c r="R30" s="3">
        <v>70.0</v>
      </c>
      <c r="S30" s="3">
        <v>85.0</v>
      </c>
      <c r="T30" s="3">
        <v>88.0</v>
      </c>
      <c r="U30" s="3">
        <v>74.0</v>
      </c>
      <c r="V30" s="3">
        <v>70.0</v>
      </c>
      <c r="W30" s="3">
        <v>85.0</v>
      </c>
      <c r="X30" s="3">
        <v>95.0</v>
      </c>
      <c r="Y30" s="3">
        <v>83.0</v>
      </c>
      <c r="Z30" s="3">
        <v>92.0</v>
      </c>
      <c r="AA30" s="3">
        <v>76.0</v>
      </c>
      <c r="AB30" s="3">
        <v>72.0</v>
      </c>
      <c r="AC30" s="3">
        <v>73.0</v>
      </c>
      <c r="AD30" s="3">
        <v>97.0</v>
      </c>
      <c r="AE30" s="3">
        <v>90.0</v>
      </c>
      <c r="AF30" s="3">
        <v>61.0</v>
      </c>
      <c r="AG30" s="3">
        <v>100.0</v>
      </c>
      <c r="AH30" s="3">
        <v>62.0</v>
      </c>
      <c r="AI30" s="3">
        <v>51.0</v>
      </c>
      <c r="AJ30" s="3">
        <v>75.0</v>
      </c>
      <c r="AK30" s="3">
        <v>76.0</v>
      </c>
      <c r="AL30" s="3">
        <v>50.0</v>
      </c>
      <c r="AM30" s="3">
        <v>58.0</v>
      </c>
      <c r="AN30" s="3">
        <v>46.0</v>
      </c>
    </row>
    <row r="31" ht="14.25" customHeight="1">
      <c r="A31" s="3">
        <v>29.0</v>
      </c>
      <c r="B31" s="3" t="s">
        <v>6049</v>
      </c>
      <c r="C31" s="3">
        <v>56.0</v>
      </c>
      <c r="D31" s="3" t="s">
        <v>6646</v>
      </c>
      <c r="E31" s="3" t="s">
        <v>6645</v>
      </c>
      <c r="F31" s="3" t="s">
        <v>6646</v>
      </c>
      <c r="G31" s="3" t="s">
        <v>6645</v>
      </c>
      <c r="H31" s="3" t="s">
        <v>6645</v>
      </c>
      <c r="I31" s="3" t="s">
        <v>6645</v>
      </c>
      <c r="J31" s="3">
        <v>8.0</v>
      </c>
      <c r="K31" s="3">
        <v>5.0</v>
      </c>
      <c r="L31" s="3">
        <v>0.0</v>
      </c>
      <c r="M31" s="3">
        <v>0.0</v>
      </c>
      <c r="N31" s="3">
        <v>37346.6</v>
      </c>
      <c r="O31" s="3">
        <v>4800.0</v>
      </c>
      <c r="P31" s="3" t="s">
        <v>5931</v>
      </c>
      <c r="Q31" s="3">
        <v>117.0</v>
      </c>
      <c r="R31" s="3">
        <v>75.0</v>
      </c>
      <c r="S31" s="3">
        <v>82.0</v>
      </c>
      <c r="T31" s="3">
        <v>77.0</v>
      </c>
      <c r="U31" s="3">
        <v>109.0</v>
      </c>
      <c r="V31" s="3">
        <v>92.0</v>
      </c>
      <c r="W31" s="3">
        <v>108.0</v>
      </c>
      <c r="X31" s="3">
        <v>97.0</v>
      </c>
      <c r="Y31" s="3">
        <v>109.0</v>
      </c>
      <c r="Z31" s="3">
        <v>104.0</v>
      </c>
      <c r="AA31" s="3">
        <v>78.0</v>
      </c>
      <c r="AB31" s="3">
        <v>111.0</v>
      </c>
      <c r="AC31" s="3">
        <v>79.0</v>
      </c>
      <c r="AD31" s="3">
        <v>78.0</v>
      </c>
      <c r="AE31" s="3">
        <v>75.0</v>
      </c>
      <c r="AF31" s="3">
        <v>60.0</v>
      </c>
      <c r="AG31" s="3">
        <v>61.0</v>
      </c>
      <c r="AH31" s="3">
        <v>59.0</v>
      </c>
      <c r="AI31" s="3">
        <v>72.0</v>
      </c>
      <c r="AJ31" s="3">
        <v>100.0</v>
      </c>
      <c r="AK31" s="3">
        <v>61.0</v>
      </c>
      <c r="AL31" s="3">
        <v>53.0</v>
      </c>
      <c r="AM31" s="3">
        <v>50.0</v>
      </c>
      <c r="AN31" s="3">
        <v>74.0</v>
      </c>
    </row>
    <row r="32" ht="14.25" customHeight="1">
      <c r="A32" s="3">
        <v>30.0</v>
      </c>
      <c r="B32" s="3" t="s">
        <v>6056</v>
      </c>
      <c r="C32" s="3">
        <v>35.0</v>
      </c>
      <c r="D32" s="3" t="s">
        <v>6646</v>
      </c>
      <c r="E32" s="3" t="s">
        <v>6645</v>
      </c>
      <c r="F32" s="3" t="s">
        <v>6646</v>
      </c>
      <c r="G32" s="3" t="s">
        <v>6645</v>
      </c>
      <c r="H32" s="3" t="s">
        <v>6645</v>
      </c>
      <c r="I32" s="3" t="s">
        <v>6645</v>
      </c>
      <c r="J32" s="3">
        <v>8.0</v>
      </c>
      <c r="K32" s="3">
        <v>5.0</v>
      </c>
      <c r="L32" s="3">
        <v>0.0</v>
      </c>
      <c r="M32" s="3">
        <v>0.0</v>
      </c>
      <c r="N32" s="3">
        <v>26502.37</v>
      </c>
      <c r="O32" s="3">
        <v>2424.0</v>
      </c>
      <c r="P32" s="3" t="s">
        <v>5899</v>
      </c>
      <c r="Q32" s="3">
        <v>100.0</v>
      </c>
      <c r="R32" s="3">
        <v>71.0</v>
      </c>
      <c r="S32" s="3">
        <v>78.0</v>
      </c>
      <c r="T32" s="3">
        <v>70.0</v>
      </c>
      <c r="U32" s="3">
        <v>104.0</v>
      </c>
      <c r="V32" s="3">
        <v>80.0</v>
      </c>
      <c r="W32" s="3">
        <v>104.0</v>
      </c>
      <c r="X32" s="3">
        <v>89.0</v>
      </c>
      <c r="Y32" s="3">
        <v>98.0</v>
      </c>
      <c r="Z32" s="3">
        <v>96.0</v>
      </c>
      <c r="AA32" s="3">
        <v>72.0</v>
      </c>
      <c r="AB32" s="3">
        <v>106.0</v>
      </c>
      <c r="AC32" s="3">
        <v>67.0</v>
      </c>
      <c r="AD32" s="3">
        <v>73.0</v>
      </c>
      <c r="AE32" s="3">
        <v>72.0</v>
      </c>
      <c r="AF32" s="3">
        <v>62.0</v>
      </c>
      <c r="AG32" s="3">
        <v>64.0</v>
      </c>
      <c r="AH32" s="3">
        <v>33.0</v>
      </c>
      <c r="AI32" s="3">
        <v>58.0</v>
      </c>
      <c r="AJ32" s="3">
        <v>83.0</v>
      </c>
      <c r="AK32" s="3">
        <v>60.0</v>
      </c>
      <c r="AL32" s="3">
        <v>60.0</v>
      </c>
      <c r="AM32" s="3">
        <v>76.0</v>
      </c>
      <c r="AN32" s="3">
        <v>54.0</v>
      </c>
    </row>
    <row r="33" ht="14.25" customHeight="1">
      <c r="A33" s="3">
        <v>31.0</v>
      </c>
      <c r="B33" s="3" t="s">
        <v>6060</v>
      </c>
      <c r="C33" s="3">
        <v>30.0</v>
      </c>
      <c r="D33" s="3" t="s">
        <v>6646</v>
      </c>
      <c r="E33" s="3" t="s">
        <v>6645</v>
      </c>
      <c r="F33" s="3" t="s">
        <v>6646</v>
      </c>
      <c r="G33" s="3" t="s">
        <v>6645</v>
      </c>
      <c r="H33" s="3" t="s">
        <v>6645</v>
      </c>
      <c r="I33" s="3" t="s">
        <v>6646</v>
      </c>
      <c r="J33" s="3">
        <v>8.0</v>
      </c>
      <c r="K33" s="3">
        <v>5.0</v>
      </c>
      <c r="L33" s="3">
        <v>0.0</v>
      </c>
      <c r="M33" s="3">
        <v>0.0</v>
      </c>
      <c r="N33" s="3">
        <v>25903.771</v>
      </c>
      <c r="O33" s="3">
        <v>3906.0</v>
      </c>
      <c r="P33" s="3" t="s">
        <v>5931</v>
      </c>
      <c r="Q33" s="3">
        <v>102.0</v>
      </c>
      <c r="R33" s="3">
        <v>79.0</v>
      </c>
      <c r="S33" s="3">
        <v>73.0</v>
      </c>
      <c r="T33" s="3">
        <v>78.0</v>
      </c>
      <c r="U33" s="3">
        <v>102.0</v>
      </c>
      <c r="V33" s="3">
        <v>86.0</v>
      </c>
      <c r="W33" s="3">
        <v>100.0</v>
      </c>
      <c r="X33" s="3">
        <v>87.0</v>
      </c>
      <c r="Y33" s="3">
        <v>96.0</v>
      </c>
      <c r="Z33" s="3">
        <v>97.0</v>
      </c>
      <c r="AA33" s="3">
        <v>69.0</v>
      </c>
      <c r="AB33" s="3">
        <v>97.0</v>
      </c>
      <c r="AC33" s="3">
        <v>65.0</v>
      </c>
      <c r="AD33" s="3">
        <v>68.0</v>
      </c>
      <c r="AE33" s="3">
        <v>77.0</v>
      </c>
      <c r="AF33" s="3">
        <v>70.0</v>
      </c>
      <c r="AG33" s="3">
        <v>56.0</v>
      </c>
      <c r="AH33" s="3">
        <v>72.0</v>
      </c>
      <c r="AI33" s="3">
        <v>100.0</v>
      </c>
      <c r="AJ33" s="3">
        <v>78.0</v>
      </c>
      <c r="AK33" s="3">
        <v>72.0</v>
      </c>
      <c r="AL33" s="3">
        <v>36.0</v>
      </c>
      <c r="AM33" s="3">
        <v>42.0</v>
      </c>
      <c r="AN33" s="3">
        <v>68.0</v>
      </c>
    </row>
    <row r="34" ht="14.25" customHeight="1">
      <c r="A34" s="3">
        <v>32.0</v>
      </c>
      <c r="B34" s="3" t="s">
        <v>6063</v>
      </c>
      <c r="C34" s="3">
        <v>34.0</v>
      </c>
      <c r="D34" s="3" t="s">
        <v>6646</v>
      </c>
      <c r="E34" s="3" t="s">
        <v>6645</v>
      </c>
      <c r="F34" s="3" t="s">
        <v>6646</v>
      </c>
      <c r="G34" s="3" t="s">
        <v>6645</v>
      </c>
      <c r="H34" s="3" t="s">
        <v>6645</v>
      </c>
      <c r="I34" s="3" t="s">
        <v>6645</v>
      </c>
      <c r="J34" s="3">
        <v>8.0</v>
      </c>
      <c r="K34" s="3">
        <v>4.0</v>
      </c>
      <c r="L34" s="3">
        <v>0.0</v>
      </c>
      <c r="M34" s="3">
        <v>0.0</v>
      </c>
      <c r="N34" s="3">
        <v>15141.899</v>
      </c>
      <c r="O34" s="3">
        <v>1994.0</v>
      </c>
      <c r="P34" s="3" t="s">
        <v>5899</v>
      </c>
      <c r="Q34" s="3">
        <v>81.0</v>
      </c>
      <c r="R34" s="3">
        <v>63.0</v>
      </c>
      <c r="S34" s="3">
        <v>66.0</v>
      </c>
      <c r="T34" s="3">
        <v>67.0</v>
      </c>
      <c r="U34" s="3">
        <v>81.0</v>
      </c>
      <c r="V34" s="3">
        <v>71.0</v>
      </c>
      <c r="W34" s="3">
        <v>79.0</v>
      </c>
      <c r="X34" s="3">
        <v>80.0</v>
      </c>
      <c r="Y34" s="3">
        <v>84.0</v>
      </c>
      <c r="Z34" s="3">
        <v>85.0</v>
      </c>
      <c r="AA34" s="3">
        <v>64.0</v>
      </c>
      <c r="AB34" s="3">
        <v>81.0</v>
      </c>
      <c r="AC34" s="3">
        <v>61.0</v>
      </c>
      <c r="AD34" s="3">
        <v>63.0</v>
      </c>
      <c r="AE34" s="3">
        <v>64.0</v>
      </c>
      <c r="AF34" s="3">
        <v>34.0</v>
      </c>
      <c r="AG34" s="3">
        <v>67.0</v>
      </c>
      <c r="AH34" s="3">
        <v>58.0</v>
      </c>
      <c r="AI34" s="3">
        <v>61.0</v>
      </c>
      <c r="AJ34" s="3">
        <v>82.0</v>
      </c>
      <c r="AK34" s="3">
        <v>51.0</v>
      </c>
      <c r="AL34" s="3">
        <v>45.0</v>
      </c>
      <c r="AM34" s="3">
        <v>66.0</v>
      </c>
      <c r="AN34" s="3">
        <v>48.0</v>
      </c>
    </row>
    <row r="35" ht="14.25" customHeight="1">
      <c r="A35" s="3">
        <v>33.0</v>
      </c>
      <c r="B35" s="3" t="s">
        <v>6067</v>
      </c>
      <c r="C35" s="3">
        <v>28.0</v>
      </c>
      <c r="D35" s="3" t="s">
        <v>6646</v>
      </c>
      <c r="E35" s="3" t="s">
        <v>6645</v>
      </c>
      <c r="F35" s="3" t="s">
        <v>6646</v>
      </c>
      <c r="G35" s="3" t="s">
        <v>6645</v>
      </c>
      <c r="H35" s="3" t="s">
        <v>6645</v>
      </c>
      <c r="I35" s="3" t="s">
        <v>6646</v>
      </c>
      <c r="J35" s="3">
        <v>8.0</v>
      </c>
      <c r="K35" s="3">
        <v>4.0</v>
      </c>
      <c r="L35" s="3">
        <v>0.0</v>
      </c>
      <c r="M35" s="3">
        <v>0.0</v>
      </c>
      <c r="N35" s="3">
        <v>13917.355</v>
      </c>
      <c r="O35" s="3">
        <v>1329.0</v>
      </c>
      <c r="P35" s="3" t="s">
        <v>5899</v>
      </c>
      <c r="Q35" s="3">
        <v>76.0</v>
      </c>
      <c r="R35" s="3">
        <v>65.0</v>
      </c>
      <c r="S35" s="3">
        <v>70.0</v>
      </c>
      <c r="T35" s="3">
        <v>68.0</v>
      </c>
      <c r="U35" s="3">
        <v>79.0</v>
      </c>
      <c r="V35" s="3">
        <v>62.0</v>
      </c>
      <c r="W35" s="3">
        <v>82.0</v>
      </c>
      <c r="X35" s="3">
        <v>74.0</v>
      </c>
      <c r="Y35" s="3">
        <v>85.0</v>
      </c>
      <c r="Z35" s="3">
        <v>87.0</v>
      </c>
      <c r="AA35" s="3">
        <v>63.0</v>
      </c>
      <c r="AB35" s="3">
        <v>78.0</v>
      </c>
      <c r="AC35" s="3">
        <v>61.0</v>
      </c>
      <c r="AD35" s="3">
        <v>60.0</v>
      </c>
      <c r="AE35" s="3">
        <v>62.0</v>
      </c>
      <c r="AF35" s="3">
        <v>73.0</v>
      </c>
      <c r="AG35" s="3">
        <v>70.0</v>
      </c>
      <c r="AH35" s="3">
        <v>52.0</v>
      </c>
      <c r="AI35" s="3">
        <v>55.0</v>
      </c>
      <c r="AJ35" s="3">
        <v>81.0</v>
      </c>
      <c r="AK35" s="3">
        <v>59.0</v>
      </c>
      <c r="AL35" s="3">
        <v>63.0</v>
      </c>
      <c r="AM35" s="3">
        <v>38.0</v>
      </c>
      <c r="AN35" s="3">
        <v>71.0</v>
      </c>
    </row>
    <row r="36" ht="14.25" customHeight="1">
      <c r="A36" s="3">
        <v>34.0</v>
      </c>
      <c r="B36" s="3" t="s">
        <v>6070</v>
      </c>
      <c r="C36" s="3">
        <v>29.0</v>
      </c>
      <c r="D36" s="3" t="s">
        <v>6646</v>
      </c>
      <c r="E36" s="3" t="s">
        <v>6645</v>
      </c>
      <c r="F36" s="3" t="s">
        <v>6646</v>
      </c>
      <c r="G36" s="3" t="s">
        <v>6645</v>
      </c>
      <c r="H36" s="3" t="s">
        <v>6645</v>
      </c>
      <c r="I36" s="3" t="s">
        <v>6645</v>
      </c>
      <c r="J36" s="3">
        <v>8.0</v>
      </c>
      <c r="K36" s="3">
        <v>4.0</v>
      </c>
      <c r="L36" s="3">
        <v>0.0</v>
      </c>
      <c r="M36" s="3">
        <v>0.0</v>
      </c>
      <c r="N36" s="3">
        <v>15249.571</v>
      </c>
      <c r="O36" s="3">
        <v>1953.0</v>
      </c>
      <c r="P36" s="3" t="s">
        <v>5952</v>
      </c>
      <c r="Q36" s="3">
        <v>82.0</v>
      </c>
      <c r="R36" s="3">
        <v>70.0</v>
      </c>
      <c r="S36" s="3">
        <v>68.0</v>
      </c>
      <c r="T36" s="3">
        <v>71.0</v>
      </c>
      <c r="U36" s="3">
        <v>87.0</v>
      </c>
      <c r="V36" s="3">
        <v>64.0</v>
      </c>
      <c r="W36" s="3">
        <v>82.0</v>
      </c>
      <c r="X36" s="3">
        <v>80.0</v>
      </c>
      <c r="Y36" s="3">
        <v>82.0</v>
      </c>
      <c r="Z36" s="3">
        <v>85.0</v>
      </c>
      <c r="AA36" s="3">
        <v>64.0</v>
      </c>
      <c r="AB36" s="3">
        <v>84.0</v>
      </c>
      <c r="AC36" s="3">
        <v>59.0</v>
      </c>
      <c r="AD36" s="3">
        <v>61.0</v>
      </c>
      <c r="AE36" s="3">
        <v>58.0</v>
      </c>
      <c r="AF36" s="3">
        <v>61.0</v>
      </c>
      <c r="AG36" s="3">
        <v>47.0</v>
      </c>
      <c r="AH36" s="3">
        <v>53.0</v>
      </c>
      <c r="AI36" s="3">
        <v>48.0</v>
      </c>
      <c r="AJ36" s="3">
        <v>84.0</v>
      </c>
      <c r="AK36" s="3">
        <v>64.0</v>
      </c>
      <c r="AL36" s="3">
        <v>60.0</v>
      </c>
      <c r="AM36" s="3">
        <v>71.0</v>
      </c>
      <c r="AN36" s="3">
        <v>55.0</v>
      </c>
    </row>
    <row r="37" ht="14.25" customHeight="1">
      <c r="A37" s="3">
        <v>35.0</v>
      </c>
      <c r="B37" s="3" t="s">
        <v>6073</v>
      </c>
      <c r="C37" s="3">
        <v>32.0</v>
      </c>
      <c r="D37" s="3" t="s">
        <v>6646</v>
      </c>
      <c r="E37" s="3" t="s">
        <v>6645</v>
      </c>
      <c r="F37" s="3" t="s">
        <v>6646</v>
      </c>
      <c r="G37" s="3" t="s">
        <v>6645</v>
      </c>
      <c r="H37" s="3" t="s">
        <v>6645</v>
      </c>
      <c r="I37" s="3" t="s">
        <v>6645</v>
      </c>
      <c r="J37" s="3">
        <v>8.0</v>
      </c>
      <c r="K37" s="3">
        <v>4.0</v>
      </c>
      <c r="L37" s="3">
        <v>0.0</v>
      </c>
      <c r="M37" s="3">
        <v>0.0</v>
      </c>
      <c r="N37" s="3">
        <v>13870.914</v>
      </c>
      <c r="O37" s="3">
        <v>1974.0</v>
      </c>
      <c r="P37" s="3" t="s">
        <v>5909</v>
      </c>
      <c r="Q37" s="3">
        <v>76.0</v>
      </c>
      <c r="R37" s="3">
        <v>64.0</v>
      </c>
      <c r="S37" s="3">
        <v>65.0</v>
      </c>
      <c r="T37" s="3">
        <v>68.0</v>
      </c>
      <c r="U37" s="3">
        <v>76.0</v>
      </c>
      <c r="V37" s="3">
        <v>62.0</v>
      </c>
      <c r="W37" s="3">
        <v>86.0</v>
      </c>
      <c r="X37" s="3">
        <v>72.0</v>
      </c>
      <c r="Y37" s="3">
        <v>87.0</v>
      </c>
      <c r="Z37" s="3">
        <v>89.0</v>
      </c>
      <c r="AA37" s="3">
        <v>68.0</v>
      </c>
      <c r="AB37" s="3">
        <v>87.0</v>
      </c>
      <c r="AC37" s="3">
        <v>64.0</v>
      </c>
      <c r="AD37" s="3">
        <v>61.0</v>
      </c>
      <c r="AE37" s="3">
        <v>66.0</v>
      </c>
      <c r="AF37" s="3">
        <v>46.0</v>
      </c>
      <c r="AG37" s="3">
        <v>71.0</v>
      </c>
      <c r="AH37" s="3">
        <v>65.0</v>
      </c>
      <c r="AI37" s="3">
        <v>70.0</v>
      </c>
      <c r="AJ37" s="3">
        <v>75.0</v>
      </c>
      <c r="AK37" s="3">
        <v>62.0</v>
      </c>
      <c r="AL37" s="3">
        <v>20.0</v>
      </c>
      <c r="AM37" s="3">
        <v>49.0</v>
      </c>
      <c r="AN37" s="3">
        <v>56.0</v>
      </c>
    </row>
    <row r="38" ht="14.25" customHeight="1">
      <c r="A38" s="3">
        <v>36.0</v>
      </c>
      <c r="B38" s="3" t="s">
        <v>6076</v>
      </c>
      <c r="C38" s="3">
        <v>47.0</v>
      </c>
      <c r="D38" s="3" t="s">
        <v>6646</v>
      </c>
      <c r="E38" s="3" t="s">
        <v>6645</v>
      </c>
      <c r="F38" s="3" t="s">
        <v>6646</v>
      </c>
      <c r="G38" s="3" t="s">
        <v>6645</v>
      </c>
      <c r="H38" s="3" t="s">
        <v>6645</v>
      </c>
      <c r="I38" s="3" t="s">
        <v>6645</v>
      </c>
      <c r="J38" s="3">
        <v>9.0</v>
      </c>
      <c r="K38" s="3">
        <v>5.0</v>
      </c>
      <c r="L38" s="3">
        <v>0.0</v>
      </c>
      <c r="M38" s="3">
        <v>0.0</v>
      </c>
      <c r="N38" s="3">
        <v>46673.902</v>
      </c>
      <c r="O38" s="3">
        <v>4800.0</v>
      </c>
      <c r="P38" s="3" t="s">
        <v>5931</v>
      </c>
      <c r="Q38" s="3">
        <v>85.0</v>
      </c>
      <c r="R38" s="3">
        <v>120.0</v>
      </c>
      <c r="S38" s="3">
        <v>120.0</v>
      </c>
      <c r="T38" s="3">
        <v>120.0</v>
      </c>
      <c r="U38" s="3">
        <v>85.0</v>
      </c>
      <c r="V38" s="3">
        <v>84.0</v>
      </c>
      <c r="W38" s="3">
        <v>120.0</v>
      </c>
      <c r="X38" s="3">
        <v>120.0</v>
      </c>
      <c r="Y38" s="3">
        <v>109.0</v>
      </c>
      <c r="Z38" s="3">
        <v>79.0</v>
      </c>
      <c r="AA38" s="3">
        <v>120.0</v>
      </c>
      <c r="AB38" s="3">
        <v>83.0</v>
      </c>
      <c r="AC38" s="3">
        <v>80.0</v>
      </c>
      <c r="AD38" s="3">
        <v>120.0</v>
      </c>
      <c r="AE38" s="3">
        <v>118.0</v>
      </c>
      <c r="AF38" s="3">
        <v>63.0</v>
      </c>
      <c r="AG38" s="3">
        <v>80.0</v>
      </c>
      <c r="AH38" s="3">
        <v>100.0</v>
      </c>
      <c r="AI38" s="3">
        <v>88.0</v>
      </c>
      <c r="AJ38" s="3">
        <v>43.0</v>
      </c>
      <c r="AK38" s="3">
        <v>64.0</v>
      </c>
      <c r="AL38" s="3">
        <v>56.0</v>
      </c>
      <c r="AM38" s="3">
        <v>55.0</v>
      </c>
      <c r="AN38" s="3">
        <v>54.0</v>
      </c>
    </row>
    <row r="39" ht="14.25" customHeight="1">
      <c r="A39" s="3">
        <v>37.0</v>
      </c>
      <c r="B39" s="3" t="s">
        <v>6081</v>
      </c>
      <c r="C39" s="3">
        <v>28.0</v>
      </c>
      <c r="D39" s="3" t="s">
        <v>6646</v>
      </c>
      <c r="E39" s="3" t="s">
        <v>6645</v>
      </c>
      <c r="F39" s="3" t="s">
        <v>6646</v>
      </c>
      <c r="G39" s="3" t="s">
        <v>6645</v>
      </c>
      <c r="H39" s="3" t="s">
        <v>6645</v>
      </c>
      <c r="I39" s="3" t="s">
        <v>6645</v>
      </c>
      <c r="J39" s="3">
        <v>9.0</v>
      </c>
      <c r="K39" s="3">
        <v>5.0</v>
      </c>
      <c r="L39" s="3">
        <v>0.0</v>
      </c>
      <c r="M39" s="3">
        <v>0.0</v>
      </c>
      <c r="N39" s="3">
        <v>27579.642</v>
      </c>
      <c r="O39" s="3">
        <v>2673.0</v>
      </c>
      <c r="P39" s="3" t="s">
        <v>5924</v>
      </c>
      <c r="Q39" s="3">
        <v>70.0</v>
      </c>
      <c r="R39" s="3">
        <v>93.0</v>
      </c>
      <c r="S39" s="3">
        <v>97.0</v>
      </c>
      <c r="T39" s="3">
        <v>104.0</v>
      </c>
      <c r="U39" s="3">
        <v>73.0</v>
      </c>
      <c r="V39" s="3">
        <v>77.0</v>
      </c>
      <c r="W39" s="3">
        <v>117.0</v>
      </c>
      <c r="X39" s="3">
        <v>100.0</v>
      </c>
      <c r="Y39" s="3">
        <v>94.0</v>
      </c>
      <c r="Z39" s="3">
        <v>71.0</v>
      </c>
      <c r="AA39" s="3">
        <v>98.0</v>
      </c>
      <c r="AB39" s="3">
        <v>76.0</v>
      </c>
      <c r="AC39" s="3">
        <v>74.0</v>
      </c>
      <c r="AD39" s="3">
        <v>99.0</v>
      </c>
      <c r="AE39" s="3">
        <v>93.0</v>
      </c>
      <c r="AF39" s="3">
        <v>72.0</v>
      </c>
      <c r="AG39" s="3">
        <v>55.0</v>
      </c>
      <c r="AH39" s="3">
        <v>83.0</v>
      </c>
      <c r="AI39" s="3">
        <v>100.0</v>
      </c>
      <c r="AJ39" s="3">
        <v>51.0</v>
      </c>
      <c r="AK39" s="3">
        <v>62.0</v>
      </c>
      <c r="AL39" s="3">
        <v>54.0</v>
      </c>
      <c r="AM39" s="3">
        <v>56.0</v>
      </c>
      <c r="AN39" s="3">
        <v>70.0</v>
      </c>
    </row>
    <row r="40" ht="14.25" customHeight="1">
      <c r="A40" s="3">
        <v>38.0</v>
      </c>
      <c r="B40" s="3" t="s">
        <v>6085</v>
      </c>
      <c r="C40" s="3">
        <v>27.0</v>
      </c>
      <c r="D40" s="3" t="s">
        <v>6646</v>
      </c>
      <c r="E40" s="3" t="s">
        <v>6645</v>
      </c>
      <c r="F40" s="3" t="s">
        <v>6646</v>
      </c>
      <c r="G40" s="3" t="s">
        <v>6645</v>
      </c>
      <c r="H40" s="3" t="s">
        <v>6645</v>
      </c>
      <c r="I40" s="3" t="s">
        <v>6646</v>
      </c>
      <c r="J40" s="3">
        <v>9.0</v>
      </c>
      <c r="K40" s="3">
        <v>5.0</v>
      </c>
      <c r="L40" s="3">
        <v>0.0</v>
      </c>
      <c r="M40" s="3">
        <v>0.0</v>
      </c>
      <c r="N40" s="3">
        <v>27111.656</v>
      </c>
      <c r="O40" s="3">
        <v>3139.0</v>
      </c>
      <c r="P40" s="3" t="s">
        <v>5931</v>
      </c>
      <c r="Q40" s="3">
        <v>72.0</v>
      </c>
      <c r="R40" s="3">
        <v>98.0</v>
      </c>
      <c r="S40" s="3">
        <v>96.0</v>
      </c>
      <c r="T40" s="3">
        <v>96.0</v>
      </c>
      <c r="U40" s="3">
        <v>73.0</v>
      </c>
      <c r="V40" s="3">
        <v>74.0</v>
      </c>
      <c r="W40" s="3">
        <v>107.0</v>
      </c>
      <c r="X40" s="3">
        <v>100.0</v>
      </c>
      <c r="Y40" s="3">
        <v>86.0</v>
      </c>
      <c r="Z40" s="3">
        <v>67.0</v>
      </c>
      <c r="AA40" s="3">
        <v>99.0</v>
      </c>
      <c r="AB40" s="3">
        <v>76.0</v>
      </c>
      <c r="AC40" s="3">
        <v>72.0</v>
      </c>
      <c r="AD40" s="3">
        <v>105.0</v>
      </c>
      <c r="AE40" s="3">
        <v>91.0</v>
      </c>
      <c r="AF40" s="3">
        <v>58.0</v>
      </c>
      <c r="AG40" s="3">
        <v>48.0</v>
      </c>
      <c r="AH40" s="3">
        <v>79.0</v>
      </c>
      <c r="AI40" s="3">
        <v>84.0</v>
      </c>
      <c r="AJ40" s="3">
        <v>23.0</v>
      </c>
      <c r="AK40" s="3">
        <v>70.0</v>
      </c>
      <c r="AL40" s="3">
        <v>38.0</v>
      </c>
      <c r="AM40" s="3">
        <v>68.0</v>
      </c>
      <c r="AN40" s="3">
        <v>72.0</v>
      </c>
    </row>
    <row r="41" ht="14.25" customHeight="1">
      <c r="A41" s="3">
        <v>39.0</v>
      </c>
      <c r="B41" s="3" t="s">
        <v>6089</v>
      </c>
      <c r="C41" s="3">
        <v>58.0</v>
      </c>
      <c r="D41" s="3" t="s">
        <v>6646</v>
      </c>
      <c r="E41" s="3" t="s">
        <v>6645</v>
      </c>
      <c r="F41" s="3" t="s">
        <v>6646</v>
      </c>
      <c r="G41" s="3" t="s">
        <v>6645</v>
      </c>
      <c r="H41" s="3" t="s">
        <v>6645</v>
      </c>
      <c r="I41" s="3" t="s">
        <v>6645</v>
      </c>
      <c r="J41" s="3">
        <v>10.0</v>
      </c>
      <c r="K41" s="3">
        <v>5.0</v>
      </c>
      <c r="L41" s="3">
        <v>0.0</v>
      </c>
      <c r="M41" s="3">
        <v>0.0</v>
      </c>
      <c r="N41" s="3">
        <v>34299.2</v>
      </c>
      <c r="O41" s="3">
        <v>4800.0</v>
      </c>
      <c r="P41" s="3" t="s">
        <v>5899</v>
      </c>
      <c r="Q41" s="3">
        <v>107.0</v>
      </c>
      <c r="R41" s="3">
        <v>74.0</v>
      </c>
      <c r="S41" s="3">
        <v>77.0</v>
      </c>
      <c r="T41" s="3">
        <v>81.0</v>
      </c>
      <c r="U41" s="3">
        <v>120.0</v>
      </c>
      <c r="V41" s="3">
        <v>88.0</v>
      </c>
      <c r="W41" s="3">
        <v>112.0</v>
      </c>
      <c r="X41" s="3">
        <v>102.0</v>
      </c>
      <c r="Y41" s="3">
        <v>110.0</v>
      </c>
      <c r="Z41" s="3">
        <v>102.0</v>
      </c>
      <c r="AA41" s="3">
        <v>74.0</v>
      </c>
      <c r="AB41" s="3">
        <v>70.0</v>
      </c>
      <c r="AC41" s="3">
        <v>115.0</v>
      </c>
      <c r="AD41" s="3">
        <v>93.0</v>
      </c>
      <c r="AE41" s="3">
        <v>71.0</v>
      </c>
      <c r="AF41" s="3">
        <v>77.0</v>
      </c>
      <c r="AG41" s="3">
        <v>59.0</v>
      </c>
      <c r="AH41" s="3">
        <v>50.0</v>
      </c>
      <c r="AI41" s="3">
        <v>61.0</v>
      </c>
      <c r="AJ41" s="3">
        <v>78.0</v>
      </c>
      <c r="AK41" s="3">
        <v>62.0</v>
      </c>
      <c r="AL41" s="3">
        <v>52.0</v>
      </c>
      <c r="AM41" s="3">
        <v>55.0</v>
      </c>
      <c r="AN41" s="3">
        <v>33.0</v>
      </c>
    </row>
    <row r="42" ht="14.25" customHeight="1">
      <c r="A42" s="3">
        <v>40.0</v>
      </c>
      <c r="B42" s="3" t="s">
        <v>6094</v>
      </c>
      <c r="C42" s="3">
        <v>66.0</v>
      </c>
      <c r="D42" s="3" t="s">
        <v>6646</v>
      </c>
      <c r="E42" s="3" t="s">
        <v>6645</v>
      </c>
      <c r="F42" s="3" t="s">
        <v>6646</v>
      </c>
      <c r="G42" s="3" t="s">
        <v>6645</v>
      </c>
      <c r="H42" s="3" t="s">
        <v>6645</v>
      </c>
      <c r="I42" s="3" t="s">
        <v>6645</v>
      </c>
      <c r="J42" s="3">
        <v>10.0</v>
      </c>
      <c r="K42" s="3">
        <v>5.0</v>
      </c>
      <c r="L42" s="3">
        <v>0.0</v>
      </c>
      <c r="M42" s="3">
        <v>0.0</v>
      </c>
      <c r="N42" s="3">
        <v>30601.304</v>
      </c>
      <c r="O42" s="3">
        <v>2869.0</v>
      </c>
      <c r="P42" s="3" t="s">
        <v>5931</v>
      </c>
      <c r="Q42" s="3">
        <v>100.0</v>
      </c>
      <c r="R42" s="3">
        <v>71.0</v>
      </c>
      <c r="S42" s="3">
        <v>79.0</v>
      </c>
      <c r="T42" s="3">
        <v>80.0</v>
      </c>
      <c r="U42" s="3">
        <v>108.0</v>
      </c>
      <c r="V42" s="3">
        <v>92.0</v>
      </c>
      <c r="W42" s="3">
        <v>104.0</v>
      </c>
      <c r="X42" s="3">
        <v>89.0</v>
      </c>
      <c r="Y42" s="3">
        <v>103.0</v>
      </c>
      <c r="Z42" s="3">
        <v>87.0</v>
      </c>
      <c r="AA42" s="3">
        <v>69.0</v>
      </c>
      <c r="AB42" s="3">
        <v>71.0</v>
      </c>
      <c r="AC42" s="3">
        <v>108.0</v>
      </c>
      <c r="AD42" s="3">
        <v>102.0</v>
      </c>
      <c r="AE42" s="3">
        <v>73.0</v>
      </c>
      <c r="AF42" s="3">
        <v>100.0</v>
      </c>
      <c r="AG42" s="3">
        <v>54.0</v>
      </c>
      <c r="AH42" s="3">
        <v>74.0</v>
      </c>
      <c r="AI42" s="3">
        <v>64.0</v>
      </c>
      <c r="AJ42" s="3">
        <v>50.0</v>
      </c>
      <c r="AK42" s="3">
        <v>60.0</v>
      </c>
      <c r="AL42" s="3">
        <v>54.0</v>
      </c>
      <c r="AM42" s="3">
        <v>70.0</v>
      </c>
      <c r="AN42" s="3">
        <v>28.0</v>
      </c>
    </row>
    <row r="43" ht="14.25" customHeight="1">
      <c r="A43" s="3">
        <v>41.0</v>
      </c>
      <c r="B43" s="3" t="s">
        <v>6098</v>
      </c>
      <c r="C43" s="3">
        <v>77.0</v>
      </c>
      <c r="D43" s="3" t="s">
        <v>6646</v>
      </c>
      <c r="E43" s="3" t="s">
        <v>6645</v>
      </c>
      <c r="F43" s="3" t="s">
        <v>6646</v>
      </c>
      <c r="G43" s="3" t="s">
        <v>6645</v>
      </c>
      <c r="H43" s="3" t="s">
        <v>6645</v>
      </c>
      <c r="I43" s="3" t="s">
        <v>6645</v>
      </c>
      <c r="J43" s="3">
        <v>10.0</v>
      </c>
      <c r="K43" s="3">
        <v>5.0</v>
      </c>
      <c r="L43" s="3">
        <v>0.0</v>
      </c>
      <c r="M43" s="3">
        <v>0.0</v>
      </c>
      <c r="N43" s="3">
        <v>44012.3</v>
      </c>
      <c r="O43" s="3">
        <v>3473.0</v>
      </c>
      <c r="P43" s="3" t="s">
        <v>5924</v>
      </c>
      <c r="Q43" s="3">
        <v>120.0</v>
      </c>
      <c r="R43" s="3">
        <v>79.0</v>
      </c>
      <c r="S43" s="3">
        <v>85.0</v>
      </c>
      <c r="T43" s="3">
        <v>87.0</v>
      </c>
      <c r="U43" s="3">
        <v>120.0</v>
      </c>
      <c r="V43" s="3">
        <v>99.0</v>
      </c>
      <c r="W43" s="3">
        <v>118.0</v>
      </c>
      <c r="X43" s="3">
        <v>106.0</v>
      </c>
      <c r="Y43" s="3">
        <v>112.0</v>
      </c>
      <c r="Z43" s="3">
        <v>108.0</v>
      </c>
      <c r="AA43" s="3">
        <v>78.0</v>
      </c>
      <c r="AB43" s="3">
        <v>76.0</v>
      </c>
      <c r="AC43" s="3">
        <v>120.0</v>
      </c>
      <c r="AD43" s="3">
        <v>101.0</v>
      </c>
      <c r="AE43" s="3">
        <v>83.0</v>
      </c>
      <c r="AF43" s="3">
        <v>92.0</v>
      </c>
      <c r="AG43" s="3">
        <v>37.0</v>
      </c>
      <c r="AH43" s="3">
        <v>100.0</v>
      </c>
      <c r="AI43" s="3">
        <v>63.0</v>
      </c>
      <c r="AJ43" s="3">
        <v>79.0</v>
      </c>
      <c r="AK43" s="3">
        <v>44.0</v>
      </c>
      <c r="AL43" s="3">
        <v>52.0</v>
      </c>
      <c r="AM43" s="3">
        <v>65.0</v>
      </c>
      <c r="AN43" s="3">
        <v>57.0</v>
      </c>
    </row>
    <row r="44" ht="14.25" customHeight="1">
      <c r="A44" s="3">
        <v>42.0</v>
      </c>
      <c r="B44" s="3" t="s">
        <v>6102</v>
      </c>
      <c r="C44" s="3">
        <v>45.0</v>
      </c>
      <c r="D44" s="3" t="s">
        <v>6646</v>
      </c>
      <c r="E44" s="3" t="s">
        <v>6645</v>
      </c>
      <c r="F44" s="3" t="s">
        <v>6646</v>
      </c>
      <c r="G44" s="3" t="s">
        <v>6645</v>
      </c>
      <c r="H44" s="3" t="s">
        <v>6645</v>
      </c>
      <c r="I44" s="3" t="s">
        <v>6645</v>
      </c>
      <c r="J44" s="3">
        <v>11.0</v>
      </c>
      <c r="K44" s="3">
        <v>5.0</v>
      </c>
      <c r="L44" s="3">
        <v>0.0</v>
      </c>
      <c r="M44" s="3">
        <v>0.0</v>
      </c>
      <c r="N44" s="3">
        <v>34240.945</v>
      </c>
      <c r="O44" s="3">
        <v>4800.0</v>
      </c>
      <c r="P44" s="3" t="s">
        <v>5931</v>
      </c>
      <c r="Q44" s="3">
        <v>78.0</v>
      </c>
      <c r="R44" s="3">
        <v>86.0</v>
      </c>
      <c r="S44" s="3">
        <v>96.0</v>
      </c>
      <c r="T44" s="3">
        <v>76.0</v>
      </c>
      <c r="U44" s="3">
        <v>80.0</v>
      </c>
      <c r="V44" s="3">
        <v>105.0</v>
      </c>
      <c r="W44" s="3">
        <v>118.0</v>
      </c>
      <c r="X44" s="3">
        <v>97.0</v>
      </c>
      <c r="Y44" s="3">
        <v>102.0</v>
      </c>
      <c r="Z44" s="3">
        <v>105.0</v>
      </c>
      <c r="AA44" s="3">
        <v>107.0</v>
      </c>
      <c r="AB44" s="3">
        <v>70.0</v>
      </c>
      <c r="AC44" s="3">
        <v>74.0</v>
      </c>
      <c r="AD44" s="3">
        <v>72.0</v>
      </c>
      <c r="AE44" s="3">
        <v>71.0</v>
      </c>
      <c r="AF44" s="3">
        <v>25.0</v>
      </c>
      <c r="AG44" s="3">
        <v>42.0</v>
      </c>
      <c r="AH44" s="3">
        <v>100.0</v>
      </c>
      <c r="AI44" s="3">
        <v>53.0</v>
      </c>
      <c r="AJ44" s="3">
        <v>64.0</v>
      </c>
      <c r="AK44" s="3">
        <v>84.0</v>
      </c>
      <c r="AL44" s="3">
        <v>67.0</v>
      </c>
      <c r="AM44" s="3">
        <v>83.0</v>
      </c>
      <c r="AN44" s="3">
        <v>40.0</v>
      </c>
    </row>
    <row r="45" ht="14.25" customHeight="1">
      <c r="A45" s="3">
        <v>43.0</v>
      </c>
      <c r="B45" s="3" t="s">
        <v>6108</v>
      </c>
      <c r="C45" s="3">
        <v>21.0</v>
      </c>
      <c r="D45" s="3" t="s">
        <v>6646</v>
      </c>
      <c r="E45" s="3" t="s">
        <v>6645</v>
      </c>
      <c r="F45" s="3" t="s">
        <v>6646</v>
      </c>
      <c r="G45" s="3" t="s">
        <v>6645</v>
      </c>
      <c r="H45" s="3" t="s">
        <v>6645</v>
      </c>
      <c r="I45" s="3" t="s">
        <v>6646</v>
      </c>
      <c r="J45" s="3">
        <v>11.0</v>
      </c>
      <c r="K45" s="3">
        <v>5.0</v>
      </c>
      <c r="L45" s="3">
        <v>0.0</v>
      </c>
      <c r="M45" s="3">
        <v>0.0</v>
      </c>
      <c r="N45" s="3">
        <v>25810.316</v>
      </c>
      <c r="O45" s="3">
        <v>2664.0</v>
      </c>
      <c r="P45" s="3" t="s">
        <v>5924</v>
      </c>
      <c r="Q45" s="3">
        <v>74.0</v>
      </c>
      <c r="R45" s="3">
        <v>86.0</v>
      </c>
      <c r="S45" s="3">
        <v>91.0</v>
      </c>
      <c r="T45" s="3">
        <v>72.0</v>
      </c>
      <c r="U45" s="3">
        <v>70.0</v>
      </c>
      <c r="V45" s="3">
        <v>96.0</v>
      </c>
      <c r="W45" s="3">
        <v>102.0</v>
      </c>
      <c r="X45" s="3">
        <v>94.0</v>
      </c>
      <c r="Y45" s="3">
        <v>101.0</v>
      </c>
      <c r="Z45" s="3">
        <v>94.0</v>
      </c>
      <c r="AA45" s="3">
        <v>108.0</v>
      </c>
      <c r="AB45" s="3">
        <v>73.0</v>
      </c>
      <c r="AC45" s="3">
        <v>64.0</v>
      </c>
      <c r="AD45" s="3">
        <v>71.0</v>
      </c>
      <c r="AE45" s="3">
        <v>71.0</v>
      </c>
      <c r="AF45" s="3">
        <v>47.0</v>
      </c>
      <c r="AG45" s="3">
        <v>37.0</v>
      </c>
      <c r="AH45" s="3">
        <v>46.0</v>
      </c>
      <c r="AI45" s="3">
        <v>40.0</v>
      </c>
      <c r="AJ45" s="3">
        <v>47.0</v>
      </c>
      <c r="AK45" s="3">
        <v>76.0</v>
      </c>
      <c r="AL45" s="3">
        <v>70.0</v>
      </c>
      <c r="AM45" s="3">
        <v>100.0</v>
      </c>
      <c r="AN45" s="3">
        <v>66.0</v>
      </c>
    </row>
    <row r="46" ht="14.25" customHeight="1">
      <c r="A46" s="3">
        <v>44.0</v>
      </c>
      <c r="B46" s="3" t="s">
        <v>6113</v>
      </c>
      <c r="C46" s="3">
        <v>41.0</v>
      </c>
      <c r="D46" s="3" t="s">
        <v>6646</v>
      </c>
      <c r="E46" s="3" t="s">
        <v>6645</v>
      </c>
      <c r="F46" s="3" t="s">
        <v>6646</v>
      </c>
      <c r="G46" s="3" t="s">
        <v>6645</v>
      </c>
      <c r="H46" s="3" t="s">
        <v>6645</v>
      </c>
      <c r="I46" s="3" t="s">
        <v>6645</v>
      </c>
      <c r="J46" s="3">
        <v>11.0</v>
      </c>
      <c r="K46" s="3">
        <v>5.0</v>
      </c>
      <c r="L46" s="3">
        <v>0.0</v>
      </c>
      <c r="M46" s="3">
        <v>0.0</v>
      </c>
      <c r="N46" s="3">
        <v>25610.441</v>
      </c>
      <c r="O46" s="3">
        <v>3201.0</v>
      </c>
      <c r="P46" s="3" t="s">
        <v>5899</v>
      </c>
      <c r="Q46" s="3">
        <v>74.0</v>
      </c>
      <c r="R46" s="3">
        <v>87.0</v>
      </c>
      <c r="S46" s="3">
        <v>94.0</v>
      </c>
      <c r="T46" s="3">
        <v>72.0</v>
      </c>
      <c r="U46" s="3">
        <v>70.0</v>
      </c>
      <c r="V46" s="3">
        <v>102.0</v>
      </c>
      <c r="W46" s="3">
        <v>104.0</v>
      </c>
      <c r="X46" s="3">
        <v>86.0</v>
      </c>
      <c r="Y46" s="3">
        <v>105.0</v>
      </c>
      <c r="Z46" s="3">
        <v>94.0</v>
      </c>
      <c r="AA46" s="3">
        <v>97.0</v>
      </c>
      <c r="AB46" s="3">
        <v>71.0</v>
      </c>
      <c r="AC46" s="3">
        <v>69.0</v>
      </c>
      <c r="AD46" s="3">
        <v>70.0</v>
      </c>
      <c r="AE46" s="3">
        <v>73.0</v>
      </c>
      <c r="AF46" s="3">
        <v>40.0</v>
      </c>
      <c r="AG46" s="3">
        <v>65.0</v>
      </c>
      <c r="AH46" s="3">
        <v>41.0</v>
      </c>
      <c r="AI46" s="3">
        <v>74.0</v>
      </c>
      <c r="AJ46" s="3">
        <v>57.0</v>
      </c>
      <c r="AK46" s="3">
        <v>77.0</v>
      </c>
      <c r="AL46" s="3">
        <v>46.0</v>
      </c>
      <c r="AM46" s="3">
        <v>78.0</v>
      </c>
      <c r="AN46" s="3">
        <v>75.0</v>
      </c>
    </row>
    <row r="47" ht="14.25" customHeight="1">
      <c r="A47" s="3">
        <v>45.0</v>
      </c>
      <c r="B47" s="3" t="s">
        <v>6116</v>
      </c>
      <c r="C47" s="3">
        <v>28.0</v>
      </c>
      <c r="D47" s="3" t="s">
        <v>6646</v>
      </c>
      <c r="E47" s="3" t="s">
        <v>6645</v>
      </c>
      <c r="F47" s="3" t="s">
        <v>6646</v>
      </c>
      <c r="G47" s="3" t="s">
        <v>6645</v>
      </c>
      <c r="H47" s="3" t="s">
        <v>6645</v>
      </c>
      <c r="I47" s="3" t="s">
        <v>6645</v>
      </c>
      <c r="J47" s="3">
        <v>12.0</v>
      </c>
      <c r="K47" s="3">
        <v>5.0</v>
      </c>
      <c r="L47" s="3">
        <v>0.0</v>
      </c>
      <c r="M47" s="3">
        <v>0.0</v>
      </c>
      <c r="N47" s="3">
        <v>23397.005</v>
      </c>
      <c r="O47" s="3">
        <v>4800.0</v>
      </c>
      <c r="P47" s="3" t="s">
        <v>5952</v>
      </c>
      <c r="Q47" s="3">
        <v>107.0</v>
      </c>
      <c r="R47" s="3">
        <v>75.0</v>
      </c>
      <c r="S47" s="3">
        <v>66.0</v>
      </c>
      <c r="T47" s="3">
        <v>75.0</v>
      </c>
      <c r="U47" s="3">
        <v>87.0</v>
      </c>
      <c r="V47" s="3">
        <v>73.0</v>
      </c>
      <c r="W47" s="3">
        <v>80.0</v>
      </c>
      <c r="X47" s="3">
        <v>78.0</v>
      </c>
      <c r="Y47" s="3">
        <v>91.0</v>
      </c>
      <c r="Z47" s="3">
        <v>67.0</v>
      </c>
      <c r="AA47" s="3">
        <v>65.0</v>
      </c>
      <c r="AB47" s="3">
        <v>109.0</v>
      </c>
      <c r="AC47" s="3">
        <v>97.0</v>
      </c>
      <c r="AD47" s="3">
        <v>66.0</v>
      </c>
      <c r="AE47" s="3">
        <v>66.0</v>
      </c>
      <c r="AF47" s="3">
        <v>64.0</v>
      </c>
      <c r="AG47" s="3">
        <v>35.0</v>
      </c>
      <c r="AH47" s="3">
        <v>73.0</v>
      </c>
      <c r="AI47" s="3">
        <v>68.0</v>
      </c>
      <c r="AJ47" s="3">
        <v>64.0</v>
      </c>
      <c r="AK47" s="3">
        <v>50.0</v>
      </c>
      <c r="AL47" s="3">
        <v>61.0</v>
      </c>
      <c r="AM47" s="3">
        <v>66.0</v>
      </c>
      <c r="AN47" s="3">
        <v>100.0</v>
      </c>
    </row>
    <row r="48" ht="14.25" customHeight="1">
      <c r="A48" s="3">
        <v>46.0</v>
      </c>
      <c r="B48" s="3" t="s">
        <v>6120</v>
      </c>
      <c r="C48" s="3">
        <v>33.0</v>
      </c>
      <c r="D48" s="3" t="s">
        <v>6646</v>
      </c>
      <c r="E48" s="3" t="s">
        <v>6645</v>
      </c>
      <c r="F48" s="3" t="s">
        <v>6646</v>
      </c>
      <c r="G48" s="3" t="s">
        <v>6645</v>
      </c>
      <c r="H48" s="3" t="s">
        <v>6645</v>
      </c>
      <c r="I48" s="3" t="s">
        <v>6646</v>
      </c>
      <c r="J48" s="3">
        <v>12.0</v>
      </c>
      <c r="K48" s="3">
        <v>5.0</v>
      </c>
      <c r="L48" s="3">
        <v>0.0</v>
      </c>
      <c r="M48" s="3">
        <v>0.0</v>
      </c>
      <c r="N48" s="3">
        <v>16377.785</v>
      </c>
      <c r="O48" s="3">
        <v>2816.0</v>
      </c>
      <c r="P48" s="3" t="s">
        <v>5931</v>
      </c>
      <c r="Q48" s="3">
        <v>95.0</v>
      </c>
      <c r="R48" s="3">
        <v>66.0</v>
      </c>
      <c r="S48" s="3">
        <v>64.0</v>
      </c>
      <c r="T48" s="3">
        <v>66.0</v>
      </c>
      <c r="U48" s="3">
        <v>87.0</v>
      </c>
      <c r="V48" s="3">
        <v>64.0</v>
      </c>
      <c r="W48" s="3">
        <v>78.0</v>
      </c>
      <c r="X48" s="3">
        <v>74.0</v>
      </c>
      <c r="Y48" s="3">
        <v>93.0</v>
      </c>
      <c r="Z48" s="3">
        <v>72.0</v>
      </c>
      <c r="AA48" s="3">
        <v>68.0</v>
      </c>
      <c r="AB48" s="3">
        <v>98.0</v>
      </c>
      <c r="AC48" s="3">
        <v>90.0</v>
      </c>
      <c r="AD48" s="3">
        <v>58.0</v>
      </c>
      <c r="AE48" s="3">
        <v>64.0</v>
      </c>
      <c r="AF48" s="3">
        <v>71.0</v>
      </c>
      <c r="AG48" s="3">
        <v>18.0</v>
      </c>
      <c r="AH48" s="3">
        <v>57.0</v>
      </c>
      <c r="AI48" s="3">
        <v>63.0</v>
      </c>
      <c r="AJ48" s="3">
        <v>59.0</v>
      </c>
      <c r="AK48" s="3">
        <v>47.0</v>
      </c>
      <c r="AL48" s="3">
        <v>73.0</v>
      </c>
      <c r="AM48" s="3">
        <v>71.0</v>
      </c>
      <c r="AN48" s="3">
        <v>77.0</v>
      </c>
    </row>
    <row r="49" ht="14.25" customHeight="1">
      <c r="A49" s="3">
        <v>47.0</v>
      </c>
      <c r="B49" s="3" t="s">
        <v>6123</v>
      </c>
      <c r="C49" s="3">
        <v>38.0</v>
      </c>
      <c r="D49" s="3" t="s">
        <v>6646</v>
      </c>
      <c r="E49" s="3" t="s">
        <v>6645</v>
      </c>
      <c r="F49" s="3" t="s">
        <v>6646</v>
      </c>
      <c r="G49" s="3" t="s">
        <v>6645</v>
      </c>
      <c r="H49" s="3" t="s">
        <v>6645</v>
      </c>
      <c r="I49" s="3" t="s">
        <v>6645</v>
      </c>
      <c r="J49" s="3">
        <v>13.0</v>
      </c>
      <c r="K49" s="3">
        <v>5.0</v>
      </c>
      <c r="L49" s="3">
        <v>0.0</v>
      </c>
      <c r="M49" s="3">
        <v>0.0</v>
      </c>
      <c r="N49" s="3">
        <v>26384.6</v>
      </c>
      <c r="O49" s="3">
        <v>4800.0</v>
      </c>
      <c r="P49" s="3" t="s">
        <v>5931</v>
      </c>
      <c r="Q49" s="3">
        <v>71.0</v>
      </c>
      <c r="R49" s="3">
        <v>92.0</v>
      </c>
      <c r="S49" s="3">
        <v>74.0</v>
      </c>
      <c r="T49" s="3">
        <v>77.0</v>
      </c>
      <c r="U49" s="3">
        <v>66.0</v>
      </c>
      <c r="V49" s="3">
        <v>107.0</v>
      </c>
      <c r="W49" s="3">
        <v>110.0</v>
      </c>
      <c r="X49" s="3">
        <v>90.0</v>
      </c>
      <c r="Y49" s="3">
        <v>69.0</v>
      </c>
      <c r="Z49" s="3">
        <v>72.0</v>
      </c>
      <c r="AA49" s="3">
        <v>109.0</v>
      </c>
      <c r="AB49" s="3">
        <v>66.0</v>
      </c>
      <c r="AC49" s="3">
        <v>72.0</v>
      </c>
      <c r="AD49" s="3">
        <v>102.0</v>
      </c>
      <c r="AE49" s="3">
        <v>70.0</v>
      </c>
      <c r="AF49" s="3">
        <v>45.0</v>
      </c>
      <c r="AG49" s="3">
        <v>46.0</v>
      </c>
      <c r="AH49" s="3">
        <v>90.0</v>
      </c>
      <c r="AI49" s="3">
        <v>59.0</v>
      </c>
      <c r="AJ49" s="3">
        <v>28.0</v>
      </c>
      <c r="AK49" s="3">
        <v>67.0</v>
      </c>
      <c r="AL49" s="3">
        <v>66.0</v>
      </c>
      <c r="AM49" s="3">
        <v>45.0</v>
      </c>
      <c r="AN49" s="3">
        <v>58.0</v>
      </c>
    </row>
    <row r="50" ht="14.25" customHeight="1">
      <c r="A50" s="3">
        <v>48.0</v>
      </c>
      <c r="B50" s="3" t="s">
        <v>6127</v>
      </c>
      <c r="C50" s="3">
        <v>30.0</v>
      </c>
      <c r="D50" s="3" t="s">
        <v>6646</v>
      </c>
      <c r="E50" s="3" t="s">
        <v>6645</v>
      </c>
      <c r="F50" s="3" t="s">
        <v>6646</v>
      </c>
      <c r="G50" s="3" t="s">
        <v>6645</v>
      </c>
      <c r="H50" s="3" t="s">
        <v>6645</v>
      </c>
      <c r="I50" s="3" t="s">
        <v>6646</v>
      </c>
      <c r="J50" s="3">
        <v>13.0</v>
      </c>
      <c r="K50" s="3">
        <v>5.0</v>
      </c>
      <c r="L50" s="3">
        <v>0.0</v>
      </c>
      <c r="M50" s="3">
        <v>0.0</v>
      </c>
      <c r="N50" s="3">
        <v>21133.7</v>
      </c>
      <c r="O50" s="3">
        <v>3205.0</v>
      </c>
      <c r="P50" s="3" t="s">
        <v>5899</v>
      </c>
      <c r="Q50" s="3">
        <v>66.0</v>
      </c>
      <c r="R50" s="3">
        <v>84.0</v>
      </c>
      <c r="S50" s="3">
        <v>68.0</v>
      </c>
      <c r="T50" s="3">
        <v>66.0</v>
      </c>
      <c r="U50" s="3">
        <v>66.0</v>
      </c>
      <c r="V50" s="3">
        <v>100.0</v>
      </c>
      <c r="W50" s="3">
        <v>96.0</v>
      </c>
      <c r="X50" s="3">
        <v>79.0</v>
      </c>
      <c r="Y50" s="3">
        <v>70.0</v>
      </c>
      <c r="Z50" s="3">
        <v>66.0</v>
      </c>
      <c r="AA50" s="3">
        <v>109.0</v>
      </c>
      <c r="AB50" s="3">
        <v>68.0</v>
      </c>
      <c r="AC50" s="3">
        <v>63.0</v>
      </c>
      <c r="AD50" s="3">
        <v>91.0</v>
      </c>
      <c r="AE50" s="3">
        <v>67.0</v>
      </c>
      <c r="AF50" s="3">
        <v>70.0</v>
      </c>
      <c r="AG50" s="3">
        <v>65.0</v>
      </c>
      <c r="AH50" s="3">
        <v>75.0</v>
      </c>
      <c r="AI50" s="3">
        <v>62.0</v>
      </c>
      <c r="AJ50" s="3">
        <v>52.0</v>
      </c>
      <c r="AK50" s="3">
        <v>45.0</v>
      </c>
      <c r="AL50" s="3">
        <v>50.0</v>
      </c>
      <c r="AM50" s="3">
        <v>22.0</v>
      </c>
      <c r="AN50" s="3">
        <v>60.0</v>
      </c>
    </row>
    <row r="51" ht="14.25" customHeight="1">
      <c r="A51" s="3">
        <v>49.0</v>
      </c>
      <c r="B51" s="3" t="s">
        <v>6132</v>
      </c>
      <c r="C51" s="3">
        <v>68.0</v>
      </c>
      <c r="D51" s="3" t="s">
        <v>6646</v>
      </c>
      <c r="E51" s="3" t="s">
        <v>6645</v>
      </c>
      <c r="F51" s="3" t="s">
        <v>6646</v>
      </c>
      <c r="G51" s="3" t="s">
        <v>6645</v>
      </c>
      <c r="H51" s="3" t="s">
        <v>6645</v>
      </c>
      <c r="I51" s="3" t="s">
        <v>6645</v>
      </c>
      <c r="J51" s="3">
        <v>14.0</v>
      </c>
      <c r="K51" s="3">
        <v>5.0</v>
      </c>
      <c r="L51" s="3">
        <v>0.0</v>
      </c>
      <c r="M51" s="3">
        <v>0.0</v>
      </c>
      <c r="N51" s="3">
        <v>33215.304</v>
      </c>
      <c r="O51" s="3">
        <v>4800.0</v>
      </c>
      <c r="P51" s="3" t="s">
        <v>5931</v>
      </c>
      <c r="Q51" s="3">
        <v>72.0</v>
      </c>
      <c r="R51" s="3">
        <v>100.0</v>
      </c>
      <c r="S51" s="3">
        <v>98.0</v>
      </c>
      <c r="T51" s="3">
        <v>78.0</v>
      </c>
      <c r="U51" s="3">
        <v>74.0</v>
      </c>
      <c r="V51" s="3">
        <v>120.0</v>
      </c>
      <c r="W51" s="3">
        <v>103.0</v>
      </c>
      <c r="X51" s="3">
        <v>100.0</v>
      </c>
      <c r="Y51" s="3">
        <v>74.0</v>
      </c>
      <c r="Z51" s="3">
        <v>97.0</v>
      </c>
      <c r="AA51" s="3">
        <v>96.0</v>
      </c>
      <c r="AB51" s="3">
        <v>67.0</v>
      </c>
      <c r="AC51" s="3">
        <v>69.0</v>
      </c>
      <c r="AD51" s="3">
        <v>76.0</v>
      </c>
      <c r="AE51" s="3">
        <v>68.0</v>
      </c>
      <c r="AF51" s="3">
        <v>70.0</v>
      </c>
      <c r="AG51" s="3">
        <v>48.0</v>
      </c>
      <c r="AH51" s="3">
        <v>48.0</v>
      </c>
      <c r="AI51" s="3">
        <v>74.0</v>
      </c>
      <c r="AJ51" s="3">
        <v>52.0</v>
      </c>
      <c r="AK51" s="3">
        <v>100.0</v>
      </c>
      <c r="AL51" s="3">
        <v>74.0</v>
      </c>
      <c r="AM51" s="3">
        <v>42.0</v>
      </c>
      <c r="AN51" s="3">
        <v>64.0</v>
      </c>
    </row>
    <row r="52" ht="14.25" customHeight="1">
      <c r="A52" s="3">
        <v>50.0</v>
      </c>
      <c r="B52" s="3" t="s">
        <v>6137</v>
      </c>
      <c r="C52" s="3">
        <v>36.0</v>
      </c>
      <c r="D52" s="3" t="s">
        <v>6646</v>
      </c>
      <c r="E52" s="3" t="s">
        <v>6645</v>
      </c>
      <c r="F52" s="3" t="s">
        <v>6646</v>
      </c>
      <c r="G52" s="3" t="s">
        <v>6645</v>
      </c>
      <c r="H52" s="3" t="s">
        <v>6645</v>
      </c>
      <c r="I52" s="3" t="s">
        <v>6646</v>
      </c>
      <c r="J52" s="3">
        <v>14.0</v>
      </c>
      <c r="K52" s="3">
        <v>5.0</v>
      </c>
      <c r="L52" s="3">
        <v>0.0</v>
      </c>
      <c r="M52" s="3">
        <v>0.0</v>
      </c>
      <c r="N52" s="3">
        <v>28018.781</v>
      </c>
      <c r="O52" s="3">
        <v>3279.0</v>
      </c>
      <c r="P52" s="3" t="s">
        <v>5899</v>
      </c>
      <c r="Q52" s="3">
        <v>71.0</v>
      </c>
      <c r="R52" s="3">
        <v>91.0</v>
      </c>
      <c r="S52" s="3">
        <v>90.0</v>
      </c>
      <c r="T52" s="3">
        <v>71.0</v>
      </c>
      <c r="U52" s="3">
        <v>70.0</v>
      </c>
      <c r="V52" s="3">
        <v>108.0</v>
      </c>
      <c r="W52" s="3">
        <v>101.0</v>
      </c>
      <c r="X52" s="3">
        <v>95.0</v>
      </c>
      <c r="Y52" s="3">
        <v>67.0</v>
      </c>
      <c r="Z52" s="3">
        <v>93.0</v>
      </c>
      <c r="AA52" s="3">
        <v>102.0</v>
      </c>
      <c r="AB52" s="3">
        <v>66.0</v>
      </c>
      <c r="AC52" s="3">
        <v>68.0</v>
      </c>
      <c r="AD52" s="3">
        <v>74.0</v>
      </c>
      <c r="AE52" s="3">
        <v>60.0</v>
      </c>
      <c r="AF52" s="3">
        <v>72.0</v>
      </c>
      <c r="AG52" s="3">
        <v>47.0</v>
      </c>
      <c r="AH52" s="3">
        <v>57.0</v>
      </c>
      <c r="AI52" s="3">
        <v>55.0</v>
      </c>
      <c r="AJ52" s="3">
        <v>74.0</v>
      </c>
      <c r="AK52" s="3">
        <v>78.0</v>
      </c>
      <c r="AL52" s="3">
        <v>64.0</v>
      </c>
      <c r="AM52" s="3">
        <v>30.0</v>
      </c>
      <c r="AN52" s="3">
        <v>70.0</v>
      </c>
    </row>
    <row r="53" ht="14.25" customHeight="1">
      <c r="A53" s="3">
        <v>51.0</v>
      </c>
      <c r="B53" s="3" t="s">
        <v>6141</v>
      </c>
      <c r="C53" s="3">
        <v>18.0</v>
      </c>
      <c r="D53" s="3" t="s">
        <v>6646</v>
      </c>
      <c r="E53" s="3" t="s">
        <v>6645</v>
      </c>
      <c r="F53" s="3" t="s">
        <v>6646</v>
      </c>
      <c r="G53" s="3" t="s">
        <v>6645</v>
      </c>
      <c r="H53" s="3" t="s">
        <v>6645</v>
      </c>
      <c r="I53" s="3" t="s">
        <v>6646</v>
      </c>
      <c r="J53" s="3">
        <v>14.0</v>
      </c>
      <c r="K53" s="3">
        <v>3.0</v>
      </c>
      <c r="L53" s="3">
        <v>0.0</v>
      </c>
      <c r="M53" s="3">
        <v>0.0</v>
      </c>
      <c r="N53" s="3">
        <v>41713.8</v>
      </c>
      <c r="O53" s="3">
        <v>872.0</v>
      </c>
      <c r="P53" s="3" t="s">
        <v>5924</v>
      </c>
      <c r="Q53" s="3">
        <v>76.0</v>
      </c>
      <c r="R53" s="3">
        <v>106.0</v>
      </c>
      <c r="S53" s="3">
        <v>106.0</v>
      </c>
      <c r="T53" s="3">
        <v>79.0</v>
      </c>
      <c r="U53" s="3">
        <v>73.0</v>
      </c>
      <c r="V53" s="3">
        <v>120.0</v>
      </c>
      <c r="W53" s="3">
        <v>108.0</v>
      </c>
      <c r="X53" s="3">
        <v>114.0</v>
      </c>
      <c r="Y53" s="3">
        <v>72.0</v>
      </c>
      <c r="Z53" s="3">
        <v>106.0</v>
      </c>
      <c r="AA53" s="3">
        <v>102.0</v>
      </c>
      <c r="AB53" s="3">
        <v>70.0</v>
      </c>
      <c r="AC53" s="3">
        <v>72.0</v>
      </c>
      <c r="AD53" s="3">
        <v>73.0</v>
      </c>
      <c r="AE53" s="3">
        <v>78.0</v>
      </c>
      <c r="AF53" s="3">
        <v>51.0</v>
      </c>
      <c r="AG53" s="3">
        <v>37.0</v>
      </c>
      <c r="AH53" s="3">
        <v>75.0</v>
      </c>
      <c r="AI53" s="3">
        <v>58.0</v>
      </c>
      <c r="AJ53" s="3">
        <v>77.0</v>
      </c>
      <c r="AK53" s="3">
        <v>100.0</v>
      </c>
      <c r="AL53" s="3">
        <v>69.0</v>
      </c>
      <c r="AM53" s="3">
        <v>66.0</v>
      </c>
      <c r="AN53" s="3">
        <v>62.0</v>
      </c>
    </row>
    <row r="54" ht="14.25" customHeight="1">
      <c r="A54" s="3">
        <v>52.0</v>
      </c>
      <c r="B54" s="3" t="s">
        <v>6145</v>
      </c>
      <c r="C54" s="3">
        <v>43.0</v>
      </c>
      <c r="D54" s="3" t="s">
        <v>6646</v>
      </c>
      <c r="E54" s="3" t="s">
        <v>6645</v>
      </c>
      <c r="F54" s="3" t="s">
        <v>6646</v>
      </c>
      <c r="G54" s="3" t="s">
        <v>6645</v>
      </c>
      <c r="H54" s="3" t="s">
        <v>6645</v>
      </c>
      <c r="I54" s="3" t="s">
        <v>6645</v>
      </c>
      <c r="J54" s="3">
        <v>15.0</v>
      </c>
      <c r="K54" s="3">
        <v>5.0</v>
      </c>
      <c r="L54" s="3">
        <v>0.0</v>
      </c>
      <c r="M54" s="3">
        <v>0.0</v>
      </c>
      <c r="N54" s="3">
        <v>25528.908</v>
      </c>
      <c r="O54" s="3">
        <v>4800.0</v>
      </c>
      <c r="P54" s="3" t="s">
        <v>5931</v>
      </c>
      <c r="Q54" s="3">
        <v>70.0</v>
      </c>
      <c r="R54" s="3">
        <v>82.0</v>
      </c>
      <c r="S54" s="3">
        <v>67.0</v>
      </c>
      <c r="T54" s="3">
        <v>99.0</v>
      </c>
      <c r="U54" s="3">
        <v>73.0</v>
      </c>
      <c r="V54" s="3">
        <v>72.0</v>
      </c>
      <c r="W54" s="3">
        <v>86.0</v>
      </c>
      <c r="X54" s="3">
        <v>87.0</v>
      </c>
      <c r="Y54" s="3">
        <v>100.0</v>
      </c>
      <c r="Z54" s="3">
        <v>63.0</v>
      </c>
      <c r="AA54" s="3">
        <v>74.0</v>
      </c>
      <c r="AB54" s="3">
        <v>71.0</v>
      </c>
      <c r="AC54" s="3">
        <v>104.0</v>
      </c>
      <c r="AD54" s="3">
        <v>96.0</v>
      </c>
      <c r="AE54" s="3">
        <v>66.0</v>
      </c>
      <c r="AF54" s="3">
        <v>48.0</v>
      </c>
      <c r="AG54" s="3">
        <v>78.0</v>
      </c>
      <c r="AH54" s="3">
        <v>37.0</v>
      </c>
      <c r="AI54" s="3">
        <v>56.0</v>
      </c>
      <c r="AJ54" s="3">
        <v>58.0</v>
      </c>
      <c r="AK54" s="3">
        <v>70.0</v>
      </c>
      <c r="AL54" s="3">
        <v>71.0</v>
      </c>
      <c r="AM54" s="3">
        <v>61.0</v>
      </c>
      <c r="AN54" s="3">
        <v>63.0</v>
      </c>
    </row>
    <row r="55" ht="14.25" customHeight="1">
      <c r="A55" s="3">
        <v>53.0</v>
      </c>
      <c r="B55" s="3" t="s">
        <v>6150</v>
      </c>
      <c r="C55" s="3">
        <v>32.0</v>
      </c>
      <c r="D55" s="3" t="s">
        <v>6646</v>
      </c>
      <c r="E55" s="3" t="s">
        <v>6645</v>
      </c>
      <c r="F55" s="3" t="s">
        <v>6646</v>
      </c>
      <c r="G55" s="3" t="s">
        <v>6645</v>
      </c>
      <c r="H55" s="3" t="s">
        <v>6645</v>
      </c>
      <c r="I55" s="3" t="s">
        <v>6646</v>
      </c>
      <c r="J55" s="3">
        <v>15.0</v>
      </c>
      <c r="K55" s="3">
        <v>5.0</v>
      </c>
      <c r="L55" s="3">
        <v>0.0</v>
      </c>
      <c r="M55" s="3">
        <v>0.0</v>
      </c>
      <c r="N55" s="3">
        <v>21506.697</v>
      </c>
      <c r="O55" s="3">
        <v>2860.0</v>
      </c>
      <c r="P55" s="3" t="s">
        <v>5899</v>
      </c>
      <c r="Q55" s="3">
        <v>68.0</v>
      </c>
      <c r="R55" s="3">
        <v>75.0</v>
      </c>
      <c r="S55" s="3">
        <v>62.0</v>
      </c>
      <c r="T55" s="3">
        <v>92.0</v>
      </c>
      <c r="U55" s="3">
        <v>71.0</v>
      </c>
      <c r="V55" s="3">
        <v>66.0</v>
      </c>
      <c r="W55" s="3">
        <v>78.0</v>
      </c>
      <c r="X55" s="3">
        <v>86.0</v>
      </c>
      <c r="Y55" s="3">
        <v>87.0</v>
      </c>
      <c r="Z55" s="3">
        <v>63.0</v>
      </c>
      <c r="AA55" s="3">
        <v>70.0</v>
      </c>
      <c r="AB55" s="3">
        <v>66.0</v>
      </c>
      <c r="AC55" s="3">
        <v>93.0</v>
      </c>
      <c r="AD55" s="3">
        <v>95.0</v>
      </c>
      <c r="AE55" s="3">
        <v>61.0</v>
      </c>
      <c r="AF55" s="3">
        <v>52.0</v>
      </c>
      <c r="AG55" s="3">
        <v>86.0</v>
      </c>
      <c r="AH55" s="3">
        <v>69.0</v>
      </c>
      <c r="AI55" s="3">
        <v>51.0</v>
      </c>
      <c r="AJ55" s="3">
        <v>69.0</v>
      </c>
      <c r="AK55" s="3">
        <v>54.0</v>
      </c>
      <c r="AL55" s="3">
        <v>73.0</v>
      </c>
      <c r="AM55" s="3">
        <v>68.0</v>
      </c>
      <c r="AN55" s="3">
        <v>34.0</v>
      </c>
    </row>
    <row r="56" ht="14.25" customHeight="1">
      <c r="A56" s="3">
        <v>54.0</v>
      </c>
      <c r="B56" s="3" t="s">
        <v>6154</v>
      </c>
      <c r="C56" s="3">
        <v>21.0</v>
      </c>
      <c r="D56" s="3" t="s">
        <v>6646</v>
      </c>
      <c r="E56" s="3" t="s">
        <v>6645</v>
      </c>
      <c r="F56" s="3" t="s">
        <v>6646</v>
      </c>
      <c r="G56" s="3" t="s">
        <v>6645</v>
      </c>
      <c r="H56" s="3" t="s">
        <v>6645</v>
      </c>
      <c r="I56" s="3" t="s">
        <v>6646</v>
      </c>
      <c r="J56" s="3">
        <v>16.0</v>
      </c>
      <c r="K56" s="3">
        <v>5.0</v>
      </c>
      <c r="L56" s="3">
        <v>0.0</v>
      </c>
      <c r="M56" s="3">
        <v>0.0</v>
      </c>
      <c r="N56" s="3">
        <v>28928.824</v>
      </c>
      <c r="O56" s="3">
        <v>4800.0</v>
      </c>
      <c r="P56" s="3" t="s">
        <v>5924</v>
      </c>
      <c r="Q56" s="3">
        <v>74.0</v>
      </c>
      <c r="R56" s="3">
        <v>86.0</v>
      </c>
      <c r="S56" s="3">
        <v>108.0</v>
      </c>
      <c r="T56" s="3">
        <v>85.0</v>
      </c>
      <c r="U56" s="3">
        <v>72.0</v>
      </c>
      <c r="V56" s="3">
        <v>70.0</v>
      </c>
      <c r="W56" s="3">
        <v>93.0</v>
      </c>
      <c r="X56" s="3">
        <v>83.0</v>
      </c>
      <c r="Y56" s="3">
        <v>84.0</v>
      </c>
      <c r="Z56" s="3">
        <v>71.0</v>
      </c>
      <c r="AA56" s="3">
        <v>70.0</v>
      </c>
      <c r="AB56" s="3">
        <v>74.0</v>
      </c>
      <c r="AC56" s="3">
        <v>65.0</v>
      </c>
      <c r="AD56" s="3">
        <v>113.0</v>
      </c>
      <c r="AE56" s="3">
        <v>103.0</v>
      </c>
      <c r="AF56" s="3">
        <v>66.0</v>
      </c>
      <c r="AG56" s="3">
        <v>50.0</v>
      </c>
      <c r="AH56" s="3">
        <v>76.0</v>
      </c>
      <c r="AI56" s="3">
        <v>72.0</v>
      </c>
      <c r="AJ56" s="3">
        <v>56.0</v>
      </c>
      <c r="AK56" s="3">
        <v>54.0</v>
      </c>
      <c r="AL56" s="3">
        <v>100.0</v>
      </c>
      <c r="AM56" s="3">
        <v>38.0</v>
      </c>
      <c r="AN56" s="3">
        <v>60.0</v>
      </c>
    </row>
    <row r="57" ht="14.25" customHeight="1">
      <c r="A57" s="3">
        <v>55.0</v>
      </c>
      <c r="B57" s="3" t="s">
        <v>6158</v>
      </c>
      <c r="C57" s="3">
        <v>23.0</v>
      </c>
      <c r="D57" s="3" t="s">
        <v>6646</v>
      </c>
      <c r="E57" s="3" t="s">
        <v>6645</v>
      </c>
      <c r="F57" s="3" t="s">
        <v>6646</v>
      </c>
      <c r="G57" s="3" t="s">
        <v>6645</v>
      </c>
      <c r="H57" s="3" t="s">
        <v>6645</v>
      </c>
      <c r="I57" s="3" t="s">
        <v>6645</v>
      </c>
      <c r="J57" s="3">
        <v>16.0</v>
      </c>
      <c r="K57" s="3">
        <v>5.0</v>
      </c>
      <c r="L57" s="3">
        <v>0.0</v>
      </c>
      <c r="M57" s="3">
        <v>0.0</v>
      </c>
      <c r="N57" s="3">
        <v>24231.87</v>
      </c>
      <c r="O57" s="3">
        <v>2704.0</v>
      </c>
      <c r="P57" s="3" t="s">
        <v>5899</v>
      </c>
      <c r="Q57" s="3">
        <v>72.0</v>
      </c>
      <c r="R57" s="3">
        <v>83.0</v>
      </c>
      <c r="S57" s="3">
        <v>105.0</v>
      </c>
      <c r="T57" s="3">
        <v>69.0</v>
      </c>
      <c r="U57" s="3">
        <v>67.0</v>
      </c>
      <c r="V57" s="3">
        <v>68.0</v>
      </c>
      <c r="W57" s="3">
        <v>91.0</v>
      </c>
      <c r="X57" s="3">
        <v>67.0</v>
      </c>
      <c r="Y57" s="3">
        <v>81.0</v>
      </c>
      <c r="Z57" s="3">
        <v>66.0</v>
      </c>
      <c r="AA57" s="3">
        <v>73.0</v>
      </c>
      <c r="AB57" s="3">
        <v>65.0</v>
      </c>
      <c r="AC57" s="3">
        <v>70.0</v>
      </c>
      <c r="AD57" s="3">
        <v>100.0</v>
      </c>
      <c r="AE57" s="3">
        <v>92.0</v>
      </c>
      <c r="AF57" s="3">
        <v>27.0</v>
      </c>
      <c r="AG57" s="3">
        <v>33.0</v>
      </c>
      <c r="AH57" s="3">
        <v>91.0</v>
      </c>
      <c r="AI57" s="3">
        <v>68.0</v>
      </c>
      <c r="AJ57" s="3">
        <v>38.0</v>
      </c>
      <c r="AK57" s="3">
        <v>100.0</v>
      </c>
      <c r="AL57" s="3">
        <v>78.0</v>
      </c>
      <c r="AM57" s="3">
        <v>59.0</v>
      </c>
      <c r="AN57" s="3">
        <v>48.0</v>
      </c>
    </row>
    <row r="58" ht="14.25" customHeight="1">
      <c r="A58" s="3">
        <v>56.0</v>
      </c>
      <c r="B58" s="3" t="s">
        <v>6163</v>
      </c>
      <c r="C58" s="3">
        <v>45.0</v>
      </c>
      <c r="D58" s="3" t="s">
        <v>6646</v>
      </c>
      <c r="E58" s="3" t="s">
        <v>6645</v>
      </c>
      <c r="F58" s="3" t="s">
        <v>6646</v>
      </c>
      <c r="G58" s="3" t="s">
        <v>6645</v>
      </c>
      <c r="H58" s="3" t="s">
        <v>6645</v>
      </c>
      <c r="I58" s="3" t="s">
        <v>6645</v>
      </c>
      <c r="J58" s="3">
        <v>17.0</v>
      </c>
      <c r="K58" s="3">
        <v>5.0</v>
      </c>
      <c r="L58" s="3">
        <v>0.0</v>
      </c>
      <c r="M58" s="3">
        <v>0.0</v>
      </c>
      <c r="N58" s="3">
        <v>18850.386</v>
      </c>
      <c r="O58" s="3">
        <v>4800.0</v>
      </c>
      <c r="P58" s="3" t="s">
        <v>5931</v>
      </c>
      <c r="Q58" s="3">
        <v>74.0</v>
      </c>
      <c r="R58" s="3">
        <v>74.0</v>
      </c>
      <c r="S58" s="3">
        <v>108.0</v>
      </c>
      <c r="T58" s="3">
        <v>107.0</v>
      </c>
      <c r="U58" s="3">
        <v>68.0</v>
      </c>
      <c r="V58" s="3">
        <v>74.0</v>
      </c>
      <c r="W58" s="3">
        <v>71.0</v>
      </c>
      <c r="X58" s="3">
        <v>74.0</v>
      </c>
      <c r="Y58" s="3">
        <v>73.0</v>
      </c>
      <c r="Z58" s="3">
        <v>72.0</v>
      </c>
      <c r="AA58" s="3">
        <v>69.0</v>
      </c>
      <c r="AB58" s="3">
        <v>67.0</v>
      </c>
      <c r="AC58" s="3">
        <v>92.0</v>
      </c>
      <c r="AD58" s="3">
        <v>69.0</v>
      </c>
      <c r="AE58" s="3">
        <v>111.0</v>
      </c>
      <c r="AF58" s="3">
        <v>48.0</v>
      </c>
      <c r="AG58" s="3">
        <v>54.0</v>
      </c>
      <c r="AH58" s="3">
        <v>60.0</v>
      </c>
      <c r="AI58" s="3">
        <v>62.0</v>
      </c>
      <c r="AJ58" s="3">
        <v>72.0</v>
      </c>
      <c r="AK58" s="3">
        <v>57.0</v>
      </c>
      <c r="AL58" s="3">
        <v>100.0</v>
      </c>
      <c r="AM58" s="3">
        <v>68.0</v>
      </c>
      <c r="AN58" s="3">
        <v>29.0</v>
      </c>
    </row>
    <row r="59" ht="14.25" customHeight="1">
      <c r="A59" s="3">
        <v>57.0</v>
      </c>
      <c r="B59" s="3" t="s">
        <v>6168</v>
      </c>
      <c r="C59" s="3">
        <v>23.0</v>
      </c>
      <c r="D59" s="3" t="s">
        <v>6646</v>
      </c>
      <c r="E59" s="3" t="s">
        <v>6645</v>
      </c>
      <c r="F59" s="3" t="s">
        <v>6646</v>
      </c>
      <c r="G59" s="3" t="s">
        <v>6645</v>
      </c>
      <c r="H59" s="3" t="s">
        <v>6645</v>
      </c>
      <c r="I59" s="3" t="s">
        <v>6645</v>
      </c>
      <c r="J59" s="3">
        <v>17.0</v>
      </c>
      <c r="K59" s="3">
        <v>5.0</v>
      </c>
      <c r="L59" s="3">
        <v>0.0</v>
      </c>
      <c r="M59" s="3">
        <v>0.0</v>
      </c>
      <c r="N59" s="3">
        <v>15725.8</v>
      </c>
      <c r="O59" s="3">
        <v>3319.0</v>
      </c>
      <c r="P59" s="3" t="s">
        <v>5899</v>
      </c>
      <c r="Q59" s="3">
        <v>70.0</v>
      </c>
      <c r="R59" s="3">
        <v>68.0</v>
      </c>
      <c r="S59" s="3">
        <v>97.0</v>
      </c>
      <c r="T59" s="3">
        <v>93.0</v>
      </c>
      <c r="U59" s="3">
        <v>70.0</v>
      </c>
      <c r="V59" s="3">
        <v>64.0</v>
      </c>
      <c r="W59" s="3">
        <v>72.0</v>
      </c>
      <c r="X59" s="3">
        <v>73.0</v>
      </c>
      <c r="Y59" s="3">
        <v>70.0</v>
      </c>
      <c r="Z59" s="3">
        <v>62.0</v>
      </c>
      <c r="AA59" s="3">
        <v>68.0</v>
      </c>
      <c r="AB59" s="3">
        <v>67.0</v>
      </c>
      <c r="AC59" s="3">
        <v>89.0</v>
      </c>
      <c r="AD59" s="3">
        <v>68.0</v>
      </c>
      <c r="AE59" s="3">
        <v>95.0</v>
      </c>
      <c r="AF59" s="3">
        <v>72.0</v>
      </c>
      <c r="AG59" s="3">
        <v>57.0</v>
      </c>
      <c r="AH59" s="3">
        <v>60.0</v>
      </c>
      <c r="AI59" s="3">
        <v>67.0</v>
      </c>
      <c r="AJ59" s="3">
        <v>55.0</v>
      </c>
      <c r="AK59" s="3">
        <v>28.0</v>
      </c>
      <c r="AL59" s="3">
        <v>100.0</v>
      </c>
      <c r="AM59" s="3">
        <v>69.0</v>
      </c>
      <c r="AN59" s="3">
        <v>55.0</v>
      </c>
    </row>
    <row r="60" ht="14.25" customHeight="1">
      <c r="A60" s="3">
        <v>58.0</v>
      </c>
      <c r="B60" s="3" t="s">
        <v>6173</v>
      </c>
      <c r="C60" s="3">
        <v>19.0</v>
      </c>
      <c r="D60" s="3" t="s">
        <v>6646</v>
      </c>
      <c r="E60" s="3" t="s">
        <v>6645</v>
      </c>
      <c r="F60" s="3" t="s">
        <v>6646</v>
      </c>
      <c r="G60" s="3" t="s">
        <v>6645</v>
      </c>
      <c r="H60" s="3" t="s">
        <v>6645</v>
      </c>
      <c r="I60" s="3" t="s">
        <v>6646</v>
      </c>
      <c r="J60" s="3">
        <v>17.0</v>
      </c>
      <c r="K60" s="3">
        <v>5.0</v>
      </c>
      <c r="L60" s="3">
        <v>0.0</v>
      </c>
      <c r="M60" s="3">
        <v>0.0</v>
      </c>
      <c r="N60" s="3">
        <v>16594.648</v>
      </c>
      <c r="O60" s="3">
        <v>2523.0</v>
      </c>
      <c r="P60" s="3" t="s">
        <v>5909</v>
      </c>
      <c r="Q60" s="3">
        <v>68.0</v>
      </c>
      <c r="R60" s="3">
        <v>64.0</v>
      </c>
      <c r="S60" s="3">
        <v>105.0</v>
      </c>
      <c r="T60" s="3">
        <v>92.0</v>
      </c>
      <c r="U60" s="3">
        <v>64.0</v>
      </c>
      <c r="V60" s="3">
        <v>66.0</v>
      </c>
      <c r="W60" s="3">
        <v>69.0</v>
      </c>
      <c r="X60" s="3">
        <v>73.0</v>
      </c>
      <c r="Y60" s="3">
        <v>71.0</v>
      </c>
      <c r="Z60" s="3">
        <v>63.0</v>
      </c>
      <c r="AA60" s="3">
        <v>64.0</v>
      </c>
      <c r="AB60" s="3">
        <v>62.0</v>
      </c>
      <c r="AC60" s="3">
        <v>82.0</v>
      </c>
      <c r="AD60" s="3">
        <v>70.0</v>
      </c>
      <c r="AE60" s="3">
        <v>111.0</v>
      </c>
      <c r="AF60" s="3">
        <v>72.0</v>
      </c>
      <c r="AG60" s="3">
        <v>60.0</v>
      </c>
      <c r="AH60" s="3">
        <v>61.0</v>
      </c>
      <c r="AI60" s="3">
        <v>61.0</v>
      </c>
      <c r="AJ60" s="3">
        <v>38.0</v>
      </c>
      <c r="AK60" s="3">
        <v>60.0</v>
      </c>
      <c r="AL60" s="3">
        <v>100.0</v>
      </c>
      <c r="AM60" s="3">
        <v>68.0</v>
      </c>
      <c r="AN60" s="3">
        <v>60.0</v>
      </c>
    </row>
    <row r="61" ht="14.25" customHeight="1">
      <c r="A61" s="3">
        <v>59.0</v>
      </c>
      <c r="B61" s="3" t="s">
        <v>6177</v>
      </c>
      <c r="C61" s="3">
        <v>55.0</v>
      </c>
      <c r="D61" s="3" t="s">
        <v>6646</v>
      </c>
      <c r="E61" s="3" t="s">
        <v>6645</v>
      </c>
      <c r="F61" s="3" t="s">
        <v>6646</v>
      </c>
      <c r="G61" s="3" t="s">
        <v>6645</v>
      </c>
      <c r="H61" s="3" t="s">
        <v>6645</v>
      </c>
      <c r="I61" s="3" t="s">
        <v>6645</v>
      </c>
      <c r="J61" s="3">
        <v>18.0</v>
      </c>
      <c r="K61" s="3">
        <v>5.0</v>
      </c>
      <c r="L61" s="3">
        <v>0.0</v>
      </c>
      <c r="M61" s="3">
        <v>0.0</v>
      </c>
      <c r="N61" s="3">
        <v>33237.097</v>
      </c>
      <c r="O61" s="3">
        <v>4800.0</v>
      </c>
      <c r="P61" s="3" t="s">
        <v>5899</v>
      </c>
      <c r="Q61" s="3">
        <v>119.0</v>
      </c>
      <c r="R61" s="3">
        <v>73.0</v>
      </c>
      <c r="S61" s="3">
        <v>110.0</v>
      </c>
      <c r="T61" s="3">
        <v>80.0</v>
      </c>
      <c r="U61" s="3">
        <v>93.0</v>
      </c>
      <c r="V61" s="3">
        <v>79.0</v>
      </c>
      <c r="W61" s="3">
        <v>109.0</v>
      </c>
      <c r="X61" s="3">
        <v>89.0</v>
      </c>
      <c r="Y61" s="3">
        <v>109.0</v>
      </c>
      <c r="Z61" s="3">
        <v>75.0</v>
      </c>
      <c r="AA61" s="3">
        <v>73.0</v>
      </c>
      <c r="AB61" s="3">
        <v>89.0</v>
      </c>
      <c r="AC61" s="3">
        <v>79.0</v>
      </c>
      <c r="AD61" s="3">
        <v>118.0</v>
      </c>
      <c r="AE61" s="3">
        <v>76.0</v>
      </c>
      <c r="AF61" s="3">
        <v>70.0</v>
      </c>
      <c r="AG61" s="3">
        <v>62.0</v>
      </c>
      <c r="AH61" s="3">
        <v>72.0</v>
      </c>
      <c r="AI61" s="3">
        <v>58.0</v>
      </c>
      <c r="AJ61" s="3">
        <v>73.0</v>
      </c>
      <c r="AK61" s="3">
        <v>51.0</v>
      </c>
      <c r="AL61" s="3">
        <v>69.0</v>
      </c>
      <c r="AM61" s="3">
        <v>50.0</v>
      </c>
      <c r="AN61" s="3">
        <v>80.0</v>
      </c>
    </row>
    <row r="62" ht="14.25" customHeight="1">
      <c r="A62" s="3">
        <v>60.0</v>
      </c>
      <c r="B62" s="3" t="s">
        <v>6181</v>
      </c>
      <c r="C62" s="3">
        <v>65.0</v>
      </c>
      <c r="D62" s="3" t="s">
        <v>6646</v>
      </c>
      <c r="E62" s="3" t="s">
        <v>6645</v>
      </c>
      <c r="F62" s="3" t="s">
        <v>6646</v>
      </c>
      <c r="G62" s="3" t="s">
        <v>6645</v>
      </c>
      <c r="H62" s="3" t="s">
        <v>6645</v>
      </c>
      <c r="I62" s="3" t="s">
        <v>6645</v>
      </c>
      <c r="J62" s="3">
        <v>18.0</v>
      </c>
      <c r="K62" s="3">
        <v>5.0</v>
      </c>
      <c r="L62" s="3">
        <v>0.0</v>
      </c>
      <c r="M62" s="3">
        <v>0.0</v>
      </c>
      <c r="N62" s="3">
        <v>28861.568</v>
      </c>
      <c r="O62" s="3">
        <v>2780.0</v>
      </c>
      <c r="P62" s="3" t="s">
        <v>5909</v>
      </c>
      <c r="Q62" s="3">
        <v>108.0</v>
      </c>
      <c r="R62" s="3">
        <v>76.0</v>
      </c>
      <c r="S62" s="3">
        <v>110.0</v>
      </c>
      <c r="T62" s="3">
        <v>74.0</v>
      </c>
      <c r="U62" s="3">
        <v>90.0</v>
      </c>
      <c r="V62" s="3">
        <v>70.0</v>
      </c>
      <c r="W62" s="3">
        <v>110.0</v>
      </c>
      <c r="X62" s="3">
        <v>78.0</v>
      </c>
      <c r="Y62" s="3">
        <v>101.0</v>
      </c>
      <c r="Z62" s="3">
        <v>76.0</v>
      </c>
      <c r="AA62" s="3">
        <v>66.0</v>
      </c>
      <c r="AB62" s="3">
        <v>94.0</v>
      </c>
      <c r="AC62" s="3">
        <v>70.0</v>
      </c>
      <c r="AD62" s="3">
        <v>105.0</v>
      </c>
      <c r="AE62" s="3">
        <v>68.0</v>
      </c>
      <c r="AF62" s="3">
        <v>56.0</v>
      </c>
      <c r="AG62" s="3">
        <v>56.0</v>
      </c>
      <c r="AH62" s="3">
        <v>30.0</v>
      </c>
      <c r="AI62" s="3">
        <v>71.0</v>
      </c>
      <c r="AJ62" s="3">
        <v>51.0</v>
      </c>
      <c r="AK62" s="3">
        <v>59.0</v>
      </c>
      <c r="AL62" s="3">
        <v>63.0</v>
      </c>
      <c r="AM62" s="3">
        <v>73.0</v>
      </c>
      <c r="AN62" s="3">
        <v>92.0</v>
      </c>
    </row>
    <row r="63" ht="14.25" customHeight="1">
      <c r="A63" s="3">
        <v>61.0</v>
      </c>
      <c r="B63" s="3" t="s">
        <v>6185</v>
      </c>
      <c r="C63" s="3">
        <v>42.0</v>
      </c>
      <c r="D63" s="3" t="s">
        <v>6646</v>
      </c>
      <c r="E63" s="3" t="s">
        <v>6645</v>
      </c>
      <c r="F63" s="3" t="s">
        <v>6646</v>
      </c>
      <c r="G63" s="3" t="s">
        <v>6645</v>
      </c>
      <c r="H63" s="3" t="s">
        <v>6645</v>
      </c>
      <c r="I63" s="3" t="s">
        <v>6646</v>
      </c>
      <c r="J63" s="3">
        <v>18.0</v>
      </c>
      <c r="K63" s="3">
        <v>5.0</v>
      </c>
      <c r="L63" s="3">
        <v>0.0</v>
      </c>
      <c r="M63" s="3">
        <v>0.0</v>
      </c>
      <c r="N63" s="3">
        <v>26286.908</v>
      </c>
      <c r="O63" s="3">
        <v>3305.0</v>
      </c>
      <c r="P63" s="3" t="s">
        <v>5931</v>
      </c>
      <c r="Q63" s="3">
        <v>106.0</v>
      </c>
      <c r="R63" s="3">
        <v>74.0</v>
      </c>
      <c r="S63" s="3">
        <v>108.0</v>
      </c>
      <c r="T63" s="3">
        <v>68.0</v>
      </c>
      <c r="U63" s="3">
        <v>99.0</v>
      </c>
      <c r="V63" s="3">
        <v>68.0</v>
      </c>
      <c r="W63" s="3">
        <v>100.0</v>
      </c>
      <c r="X63" s="3">
        <v>72.0</v>
      </c>
      <c r="Y63" s="3">
        <v>95.0</v>
      </c>
      <c r="Z63" s="3">
        <v>71.0</v>
      </c>
      <c r="AA63" s="3">
        <v>65.0</v>
      </c>
      <c r="AB63" s="3">
        <v>98.0</v>
      </c>
      <c r="AC63" s="3">
        <v>68.0</v>
      </c>
      <c r="AD63" s="3">
        <v>107.0</v>
      </c>
      <c r="AE63" s="3">
        <v>68.0</v>
      </c>
      <c r="AF63" s="3">
        <v>47.0</v>
      </c>
      <c r="AG63" s="3">
        <v>73.0</v>
      </c>
      <c r="AH63" s="3">
        <v>49.0</v>
      </c>
      <c r="AI63" s="3">
        <v>59.0</v>
      </c>
      <c r="AJ63" s="3">
        <v>67.0</v>
      </c>
      <c r="AK63" s="3">
        <v>56.0</v>
      </c>
      <c r="AL63" s="3">
        <v>52.0</v>
      </c>
      <c r="AM63" s="3">
        <v>56.0</v>
      </c>
      <c r="AN63" s="3">
        <v>100.0</v>
      </c>
    </row>
    <row r="64" ht="14.25" customHeight="1">
      <c r="A64" s="3">
        <v>62.0</v>
      </c>
      <c r="B64" s="3" t="s">
        <v>6190</v>
      </c>
      <c r="C64" s="3">
        <v>38.0</v>
      </c>
      <c r="D64" s="3" t="s">
        <v>6646</v>
      </c>
      <c r="E64" s="3" t="s">
        <v>6645</v>
      </c>
      <c r="F64" s="3" t="s">
        <v>6646</v>
      </c>
      <c r="G64" s="3" t="s">
        <v>6645</v>
      </c>
      <c r="H64" s="3" t="s">
        <v>6645</v>
      </c>
      <c r="I64" s="3" t="s">
        <v>6646</v>
      </c>
      <c r="J64" s="3">
        <v>19.0</v>
      </c>
      <c r="K64" s="3">
        <v>5.0</v>
      </c>
      <c r="L64" s="3">
        <v>0.0</v>
      </c>
      <c r="M64" s="3">
        <v>0.0</v>
      </c>
      <c r="N64" s="3">
        <v>30643.486</v>
      </c>
      <c r="O64" s="3">
        <v>4800.0</v>
      </c>
      <c r="P64" s="3" t="s">
        <v>5931</v>
      </c>
      <c r="Q64" s="3">
        <v>84.0</v>
      </c>
      <c r="R64" s="3">
        <v>97.0</v>
      </c>
      <c r="S64" s="3">
        <v>78.0</v>
      </c>
      <c r="T64" s="3">
        <v>74.0</v>
      </c>
      <c r="U64" s="3">
        <v>78.0</v>
      </c>
      <c r="V64" s="3">
        <v>109.0</v>
      </c>
      <c r="W64" s="3">
        <v>115.0</v>
      </c>
      <c r="X64" s="3">
        <v>118.0</v>
      </c>
      <c r="Y64" s="3">
        <v>74.0</v>
      </c>
      <c r="Z64" s="3">
        <v>103.0</v>
      </c>
      <c r="AA64" s="3">
        <v>100.0</v>
      </c>
      <c r="AB64" s="3">
        <v>68.0</v>
      </c>
      <c r="AC64" s="3">
        <v>69.0</v>
      </c>
      <c r="AD64" s="3">
        <v>70.0</v>
      </c>
      <c r="AE64" s="3">
        <v>67.0</v>
      </c>
      <c r="AF64" s="3">
        <v>82.0</v>
      </c>
      <c r="AG64" s="3">
        <v>70.0</v>
      </c>
      <c r="AH64" s="3">
        <v>76.0</v>
      </c>
      <c r="AI64" s="3">
        <v>64.0</v>
      </c>
      <c r="AJ64" s="3">
        <v>70.0</v>
      </c>
      <c r="AK64" s="3">
        <v>60.0</v>
      </c>
      <c r="AL64" s="3">
        <v>34.0</v>
      </c>
      <c r="AM64" s="3">
        <v>74.0</v>
      </c>
      <c r="AN64" s="3">
        <v>66.0</v>
      </c>
    </row>
    <row r="65" ht="14.25" customHeight="1">
      <c r="A65" s="3">
        <v>63.0</v>
      </c>
      <c r="B65" s="3" t="s">
        <v>6194</v>
      </c>
      <c r="C65" s="3">
        <v>29.0</v>
      </c>
      <c r="D65" s="3" t="s">
        <v>6646</v>
      </c>
      <c r="E65" s="3" t="s">
        <v>6645</v>
      </c>
      <c r="F65" s="3" t="s">
        <v>6646</v>
      </c>
      <c r="G65" s="3" t="s">
        <v>6645</v>
      </c>
      <c r="H65" s="3" t="s">
        <v>6645</v>
      </c>
      <c r="I65" s="3" t="s">
        <v>6645</v>
      </c>
      <c r="J65" s="3">
        <v>19.0</v>
      </c>
      <c r="K65" s="3">
        <v>5.0</v>
      </c>
      <c r="L65" s="3">
        <v>0.0</v>
      </c>
      <c r="M65" s="3">
        <v>0.0</v>
      </c>
      <c r="N65" s="3">
        <v>21921.4</v>
      </c>
      <c r="O65" s="3">
        <v>3745.0</v>
      </c>
      <c r="P65" s="3" t="s">
        <v>5899</v>
      </c>
      <c r="Q65" s="3">
        <v>73.0</v>
      </c>
      <c r="R65" s="3">
        <v>87.0</v>
      </c>
      <c r="S65" s="3">
        <v>67.0</v>
      </c>
      <c r="T65" s="3">
        <v>67.0</v>
      </c>
      <c r="U65" s="3">
        <v>66.0</v>
      </c>
      <c r="V65" s="3">
        <v>103.0</v>
      </c>
      <c r="W65" s="3">
        <v>96.0</v>
      </c>
      <c r="X65" s="3">
        <v>104.0</v>
      </c>
      <c r="Y65" s="3">
        <v>64.0</v>
      </c>
      <c r="Z65" s="3">
        <v>98.0</v>
      </c>
      <c r="AA65" s="3">
        <v>97.0</v>
      </c>
      <c r="AB65" s="3">
        <v>65.0</v>
      </c>
      <c r="AC65" s="3">
        <v>68.0</v>
      </c>
      <c r="AD65" s="3">
        <v>65.0</v>
      </c>
      <c r="AE65" s="3">
        <v>65.0</v>
      </c>
      <c r="AF65" s="3">
        <v>100.0</v>
      </c>
      <c r="AG65" s="3">
        <v>73.0</v>
      </c>
      <c r="AH65" s="3">
        <v>65.0</v>
      </c>
      <c r="AI65" s="3">
        <v>63.0</v>
      </c>
      <c r="AJ65" s="3">
        <v>73.0</v>
      </c>
      <c r="AK65" s="3">
        <v>65.0</v>
      </c>
      <c r="AL65" s="3">
        <v>58.0</v>
      </c>
      <c r="AM65" s="3">
        <v>46.0</v>
      </c>
      <c r="AN65" s="3">
        <v>52.0</v>
      </c>
    </row>
    <row r="66" ht="14.25" customHeight="1">
      <c r="A66" s="3">
        <v>64.0</v>
      </c>
      <c r="B66" s="3" t="s">
        <v>6198</v>
      </c>
      <c r="C66" s="3">
        <v>26.0</v>
      </c>
      <c r="D66" s="3" t="s">
        <v>6646</v>
      </c>
      <c r="E66" s="3" t="s">
        <v>6645</v>
      </c>
      <c r="F66" s="3" t="s">
        <v>6646</v>
      </c>
      <c r="G66" s="3" t="s">
        <v>6645</v>
      </c>
      <c r="H66" s="3" t="s">
        <v>6645</v>
      </c>
      <c r="I66" s="3" t="s">
        <v>6646</v>
      </c>
      <c r="J66" s="3">
        <v>19.0</v>
      </c>
      <c r="K66" s="3">
        <v>4.0</v>
      </c>
      <c r="L66" s="3">
        <v>0.0</v>
      </c>
      <c r="M66" s="3">
        <v>0.0</v>
      </c>
      <c r="N66" s="3">
        <v>14976.287</v>
      </c>
      <c r="O66" s="3">
        <v>1220.0</v>
      </c>
      <c r="P66" s="3" t="s">
        <v>5931</v>
      </c>
      <c r="Q66" s="3">
        <v>70.0</v>
      </c>
      <c r="R66" s="3">
        <v>87.0</v>
      </c>
      <c r="S66" s="3">
        <v>60.0</v>
      </c>
      <c r="T66" s="3">
        <v>67.0</v>
      </c>
      <c r="U66" s="3">
        <v>64.0</v>
      </c>
      <c r="V66" s="3">
        <v>79.0</v>
      </c>
      <c r="W66" s="3">
        <v>80.0</v>
      </c>
      <c r="X66" s="3">
        <v>84.0</v>
      </c>
      <c r="Y66" s="3">
        <v>54.0</v>
      </c>
      <c r="Z66" s="3">
        <v>85.0</v>
      </c>
      <c r="AA66" s="3">
        <v>75.0</v>
      </c>
      <c r="AB66" s="3">
        <v>60.0</v>
      </c>
      <c r="AC66" s="3">
        <v>54.0</v>
      </c>
      <c r="AD66" s="3">
        <v>60.0</v>
      </c>
      <c r="AE66" s="3">
        <v>60.0</v>
      </c>
      <c r="AF66" s="3">
        <v>80.0</v>
      </c>
      <c r="AG66" s="3">
        <v>62.0</v>
      </c>
      <c r="AH66" s="3">
        <v>45.0</v>
      </c>
      <c r="AI66" s="3">
        <v>36.0</v>
      </c>
      <c r="AJ66" s="3">
        <v>69.0</v>
      </c>
      <c r="AK66" s="3">
        <v>43.0</v>
      </c>
      <c r="AL66" s="3">
        <v>56.0</v>
      </c>
      <c r="AM66" s="3">
        <v>44.0</v>
      </c>
      <c r="AN66" s="3">
        <v>50.0</v>
      </c>
    </row>
    <row r="67" ht="14.25" customHeight="1">
      <c r="A67" s="3">
        <v>65.0</v>
      </c>
      <c r="B67" s="3" t="s">
        <v>6202</v>
      </c>
      <c r="C67" s="3">
        <v>38.0</v>
      </c>
      <c r="D67" s="3" t="s">
        <v>6646</v>
      </c>
      <c r="E67" s="3" t="s">
        <v>6645</v>
      </c>
      <c r="F67" s="3" t="s">
        <v>6646</v>
      </c>
      <c r="G67" s="3" t="s">
        <v>6645</v>
      </c>
      <c r="H67" s="3" t="s">
        <v>6645</v>
      </c>
      <c r="I67" s="3" t="s">
        <v>6645</v>
      </c>
      <c r="J67" s="3">
        <v>24.0</v>
      </c>
      <c r="K67" s="3">
        <v>5.0</v>
      </c>
      <c r="L67" s="3">
        <v>0.0</v>
      </c>
      <c r="M67" s="3">
        <v>0.0</v>
      </c>
      <c r="N67" s="3">
        <v>11624.33</v>
      </c>
      <c r="O67" s="3">
        <v>4800.0</v>
      </c>
      <c r="P67" s="3" t="s">
        <v>5931</v>
      </c>
      <c r="Q67" s="3">
        <v>71.0</v>
      </c>
      <c r="R67" s="3">
        <v>68.0</v>
      </c>
      <c r="S67" s="3">
        <v>61.0</v>
      </c>
      <c r="T67" s="3">
        <v>65.0</v>
      </c>
      <c r="U67" s="3">
        <v>66.0</v>
      </c>
      <c r="V67" s="3">
        <v>66.0</v>
      </c>
      <c r="W67" s="3">
        <v>73.0</v>
      </c>
      <c r="X67" s="3">
        <v>65.0</v>
      </c>
      <c r="Y67" s="3">
        <v>63.0</v>
      </c>
      <c r="Z67" s="3">
        <v>68.0</v>
      </c>
      <c r="AA67" s="3">
        <v>65.0</v>
      </c>
      <c r="AB67" s="3">
        <v>62.0</v>
      </c>
      <c r="AC67" s="3">
        <v>64.0</v>
      </c>
      <c r="AD67" s="3">
        <v>66.0</v>
      </c>
      <c r="AE67" s="3">
        <v>60.0</v>
      </c>
      <c r="AF67" s="3">
        <v>71.0</v>
      </c>
      <c r="AG67" s="3">
        <v>50.0</v>
      </c>
      <c r="AH67" s="3">
        <v>60.0</v>
      </c>
      <c r="AI67" s="3">
        <v>46.0</v>
      </c>
      <c r="AJ67" s="3">
        <v>61.0</v>
      </c>
      <c r="AK67" s="3">
        <v>60.0</v>
      </c>
      <c r="AL67" s="3">
        <v>48.0</v>
      </c>
      <c r="AM67" s="3">
        <v>48.0</v>
      </c>
      <c r="AN67" s="3">
        <v>55.0</v>
      </c>
    </row>
    <row r="68" ht="14.25" customHeight="1">
      <c r="A68" s="3">
        <v>66.0</v>
      </c>
      <c r="B68" s="3" t="s">
        <v>6205</v>
      </c>
      <c r="C68" s="3">
        <v>32.0</v>
      </c>
      <c r="D68" s="3" t="s">
        <v>6646</v>
      </c>
      <c r="E68" s="3" t="s">
        <v>6645</v>
      </c>
      <c r="F68" s="3" t="s">
        <v>6646</v>
      </c>
      <c r="G68" s="3" t="s">
        <v>6645</v>
      </c>
      <c r="H68" s="3" t="s">
        <v>6645</v>
      </c>
      <c r="I68" s="3" t="s">
        <v>6646</v>
      </c>
      <c r="J68" s="3">
        <v>24.0</v>
      </c>
      <c r="K68" s="3">
        <v>4.0</v>
      </c>
      <c r="L68" s="3">
        <v>0.0</v>
      </c>
      <c r="M68" s="3">
        <v>0.0</v>
      </c>
      <c r="N68" s="3">
        <v>7231.56</v>
      </c>
      <c r="O68" s="3">
        <v>1662.0</v>
      </c>
      <c r="P68" s="3" t="s">
        <v>5899</v>
      </c>
      <c r="Q68" s="3">
        <v>63.0</v>
      </c>
      <c r="R68" s="3">
        <v>59.0</v>
      </c>
      <c r="S68" s="3">
        <v>59.0</v>
      </c>
      <c r="T68" s="3">
        <v>59.0</v>
      </c>
      <c r="U68" s="3">
        <v>60.0</v>
      </c>
      <c r="V68" s="3">
        <v>55.0</v>
      </c>
      <c r="W68" s="3">
        <v>68.0</v>
      </c>
      <c r="X68" s="3">
        <v>57.0</v>
      </c>
      <c r="Y68" s="3">
        <v>56.0</v>
      </c>
      <c r="Z68" s="3">
        <v>60.0</v>
      </c>
      <c r="AA68" s="3">
        <v>57.0</v>
      </c>
      <c r="AB68" s="3">
        <v>57.0</v>
      </c>
      <c r="AC68" s="3">
        <v>57.0</v>
      </c>
      <c r="AD68" s="3">
        <v>57.0</v>
      </c>
      <c r="AE68" s="3">
        <v>59.0</v>
      </c>
      <c r="AF68" s="3">
        <v>48.0</v>
      </c>
      <c r="AG68" s="3">
        <v>48.0</v>
      </c>
      <c r="AH68" s="3">
        <v>64.0</v>
      </c>
      <c r="AI68" s="3">
        <v>46.0</v>
      </c>
      <c r="AJ68" s="3">
        <v>58.0</v>
      </c>
      <c r="AK68" s="3">
        <v>66.0</v>
      </c>
      <c r="AL68" s="3">
        <v>58.0</v>
      </c>
      <c r="AM68" s="3">
        <v>67.0</v>
      </c>
      <c r="AN68" s="3">
        <v>66.0</v>
      </c>
    </row>
    <row r="69" ht="14.25" customHeight="1">
      <c r="A69" s="3">
        <v>67.0</v>
      </c>
      <c r="B69" s="3" t="s">
        <v>6208</v>
      </c>
      <c r="C69" s="3">
        <v>44.0</v>
      </c>
      <c r="D69" s="3" t="s">
        <v>6646</v>
      </c>
      <c r="E69" s="3" t="s">
        <v>6645</v>
      </c>
      <c r="F69" s="3" t="s">
        <v>6646</v>
      </c>
      <c r="G69" s="3" t="s">
        <v>6645</v>
      </c>
      <c r="H69" s="3" t="s">
        <v>6645</v>
      </c>
      <c r="I69" s="3" t="s">
        <v>6645</v>
      </c>
      <c r="J69" s="3">
        <v>24.0</v>
      </c>
      <c r="K69" s="3">
        <v>4.0</v>
      </c>
      <c r="L69" s="3">
        <v>0.0</v>
      </c>
      <c r="M69" s="3">
        <v>0.0</v>
      </c>
      <c r="N69" s="3">
        <v>7828.9335</v>
      </c>
      <c r="O69" s="3">
        <v>1330.0</v>
      </c>
      <c r="P69" s="3" t="s">
        <v>5909</v>
      </c>
      <c r="Q69" s="3">
        <v>58.0</v>
      </c>
      <c r="R69" s="3">
        <v>52.0</v>
      </c>
      <c r="S69" s="3">
        <v>61.0</v>
      </c>
      <c r="T69" s="3">
        <v>60.0</v>
      </c>
      <c r="U69" s="3">
        <v>55.0</v>
      </c>
      <c r="V69" s="3">
        <v>52.0</v>
      </c>
      <c r="W69" s="3">
        <v>65.0</v>
      </c>
      <c r="X69" s="3">
        <v>59.0</v>
      </c>
      <c r="Y69" s="3">
        <v>47.0</v>
      </c>
      <c r="Z69" s="3">
        <v>63.0</v>
      </c>
      <c r="AA69" s="3">
        <v>61.0</v>
      </c>
      <c r="AB69" s="3">
        <v>57.0</v>
      </c>
      <c r="AC69" s="3">
        <v>55.0</v>
      </c>
      <c r="AD69" s="3">
        <v>47.0</v>
      </c>
      <c r="AE69" s="3">
        <v>52.0</v>
      </c>
      <c r="AF69" s="3">
        <v>58.0</v>
      </c>
      <c r="AG69" s="3">
        <v>39.0</v>
      </c>
      <c r="AH69" s="3">
        <v>46.0</v>
      </c>
      <c r="AI69" s="3">
        <v>58.0</v>
      </c>
      <c r="AJ69" s="3">
        <v>46.0</v>
      </c>
      <c r="AK69" s="3">
        <v>53.0</v>
      </c>
      <c r="AL69" s="3">
        <v>67.0</v>
      </c>
      <c r="AM69" s="3">
        <v>49.0</v>
      </c>
      <c r="AN69" s="3">
        <v>44.0</v>
      </c>
    </row>
    <row r="70" ht="14.25" customHeight="1">
      <c r="A70" s="3">
        <v>68.0</v>
      </c>
      <c r="B70" s="3" t="s">
        <v>6210</v>
      </c>
      <c r="C70" s="3">
        <v>26.0</v>
      </c>
      <c r="D70" s="3" t="s">
        <v>6646</v>
      </c>
      <c r="E70" s="3" t="s">
        <v>6645</v>
      </c>
      <c r="F70" s="3" t="s">
        <v>6646</v>
      </c>
      <c r="G70" s="3" t="s">
        <v>6645</v>
      </c>
      <c r="H70" s="3" t="s">
        <v>6645</v>
      </c>
      <c r="I70" s="3" t="s">
        <v>6645</v>
      </c>
      <c r="J70" s="3">
        <v>24.0</v>
      </c>
      <c r="K70" s="3">
        <v>3.0</v>
      </c>
      <c r="L70" s="3">
        <v>0.0</v>
      </c>
      <c r="M70" s="3">
        <v>0.0</v>
      </c>
      <c r="N70" s="3">
        <v>5010.86</v>
      </c>
      <c r="O70" s="3">
        <v>859.0</v>
      </c>
      <c r="P70" s="3" t="s">
        <v>5931</v>
      </c>
      <c r="Q70" s="3">
        <v>50.0</v>
      </c>
      <c r="R70" s="3">
        <v>54.0</v>
      </c>
      <c r="S70" s="3">
        <v>50.0</v>
      </c>
      <c r="T70" s="3">
        <v>52.0</v>
      </c>
      <c r="U70" s="3">
        <v>54.0</v>
      </c>
      <c r="V70" s="3">
        <v>46.0</v>
      </c>
      <c r="W70" s="3">
        <v>63.0</v>
      </c>
      <c r="X70" s="3">
        <v>46.0</v>
      </c>
      <c r="Y70" s="3">
        <v>46.0</v>
      </c>
      <c r="Z70" s="3">
        <v>56.0</v>
      </c>
      <c r="AA70" s="3">
        <v>52.0</v>
      </c>
      <c r="AB70" s="3">
        <v>48.0</v>
      </c>
      <c r="AC70" s="3">
        <v>52.0</v>
      </c>
      <c r="AD70" s="3">
        <v>48.0</v>
      </c>
      <c r="AE70" s="3">
        <v>41.0</v>
      </c>
      <c r="AF70" s="3">
        <v>62.0</v>
      </c>
      <c r="AG70" s="3">
        <v>51.0</v>
      </c>
      <c r="AH70" s="3">
        <v>55.0</v>
      </c>
      <c r="AI70" s="3">
        <v>44.0</v>
      </c>
      <c r="AJ70" s="3">
        <v>52.0</v>
      </c>
      <c r="AK70" s="3">
        <v>44.0</v>
      </c>
      <c r="AL70" s="3">
        <v>37.0</v>
      </c>
      <c r="AM70" s="3">
        <v>59.0</v>
      </c>
      <c r="AN70" s="3">
        <v>57.0</v>
      </c>
    </row>
    <row r="71" ht="14.25" customHeight="1">
      <c r="A71" s="3">
        <v>69.0</v>
      </c>
      <c r="B71" s="3" t="s">
        <v>6213</v>
      </c>
      <c r="C71" s="3">
        <v>29.0</v>
      </c>
      <c r="D71" s="3" t="s">
        <v>6646</v>
      </c>
      <c r="E71" s="3" t="s">
        <v>6645</v>
      </c>
      <c r="F71" s="3" t="s">
        <v>6646</v>
      </c>
      <c r="G71" s="3" t="s">
        <v>6645</v>
      </c>
      <c r="H71" s="3" t="s">
        <v>6645</v>
      </c>
      <c r="I71" s="3" t="s">
        <v>6646</v>
      </c>
      <c r="J71" s="3">
        <v>24.0</v>
      </c>
      <c r="K71" s="3">
        <v>3.0</v>
      </c>
      <c r="L71" s="3">
        <v>0.0</v>
      </c>
      <c r="M71" s="3">
        <v>0.0</v>
      </c>
      <c r="N71" s="3">
        <v>4387.4</v>
      </c>
      <c r="O71" s="3">
        <v>849.0</v>
      </c>
      <c r="P71" s="3" t="s">
        <v>5899</v>
      </c>
      <c r="Q71" s="3">
        <v>51.0</v>
      </c>
      <c r="R71" s="3">
        <v>52.0</v>
      </c>
      <c r="S71" s="3">
        <v>50.0</v>
      </c>
      <c r="T71" s="3">
        <v>50.0</v>
      </c>
      <c r="U71" s="3">
        <v>48.0</v>
      </c>
      <c r="V71" s="3">
        <v>48.0</v>
      </c>
      <c r="W71" s="3">
        <v>63.0</v>
      </c>
      <c r="X71" s="3">
        <v>52.0</v>
      </c>
      <c r="Y71" s="3">
        <v>45.0</v>
      </c>
      <c r="Z71" s="3">
        <v>52.0</v>
      </c>
      <c r="AA71" s="3">
        <v>46.0</v>
      </c>
      <c r="AB71" s="3">
        <v>54.0</v>
      </c>
      <c r="AC71" s="3">
        <v>48.0</v>
      </c>
      <c r="AD71" s="3">
        <v>46.0</v>
      </c>
      <c r="AE71" s="3">
        <v>48.0</v>
      </c>
      <c r="AF71" s="3">
        <v>65.0</v>
      </c>
      <c r="AG71" s="3">
        <v>44.0</v>
      </c>
      <c r="AH71" s="3">
        <v>62.0</v>
      </c>
      <c r="AI71" s="3">
        <v>61.0</v>
      </c>
      <c r="AJ71" s="3">
        <v>44.0</v>
      </c>
      <c r="AK71" s="3">
        <v>39.0</v>
      </c>
      <c r="AL71" s="3">
        <v>62.0</v>
      </c>
      <c r="AM71" s="3">
        <v>54.0</v>
      </c>
      <c r="AN71" s="3">
        <v>62.0</v>
      </c>
    </row>
    <row r="72" ht="14.25" customHeight="1">
      <c r="A72" s="3">
        <v>70.0</v>
      </c>
      <c r="B72" s="3" t="s">
        <v>6215</v>
      </c>
      <c r="C72" s="3">
        <v>28.0</v>
      </c>
      <c r="D72" s="3" t="s">
        <v>6646</v>
      </c>
      <c r="E72" s="3" t="s">
        <v>6645</v>
      </c>
      <c r="F72" s="3" t="s">
        <v>6646</v>
      </c>
      <c r="G72" s="3" t="s">
        <v>6645</v>
      </c>
      <c r="H72" s="3" t="s">
        <v>6645</v>
      </c>
      <c r="I72" s="3" t="s">
        <v>6645</v>
      </c>
      <c r="J72" s="3">
        <v>24.0</v>
      </c>
      <c r="K72" s="3">
        <v>2.0</v>
      </c>
      <c r="L72" s="3">
        <v>0.0</v>
      </c>
      <c r="M72" s="3">
        <v>0.0</v>
      </c>
      <c r="N72" s="3">
        <v>2695.1855</v>
      </c>
      <c r="O72" s="3">
        <v>444.0</v>
      </c>
      <c r="P72" s="3" t="s">
        <v>5952</v>
      </c>
      <c r="Q72" s="3">
        <v>50.0</v>
      </c>
      <c r="R72" s="3">
        <v>45.0</v>
      </c>
      <c r="S72" s="3">
        <v>49.0</v>
      </c>
      <c r="T72" s="3">
        <v>42.0</v>
      </c>
      <c r="U72" s="3">
        <v>42.0</v>
      </c>
      <c r="V72" s="3">
        <v>48.0</v>
      </c>
      <c r="W72" s="3">
        <v>52.0</v>
      </c>
      <c r="X72" s="3">
        <v>43.0</v>
      </c>
      <c r="Y72" s="3">
        <v>49.0</v>
      </c>
      <c r="Z72" s="3">
        <v>51.0</v>
      </c>
      <c r="AA72" s="3">
        <v>34.0</v>
      </c>
      <c r="AB72" s="3">
        <v>48.0</v>
      </c>
      <c r="AC72" s="3">
        <v>47.0</v>
      </c>
      <c r="AD72" s="3">
        <v>50.0</v>
      </c>
      <c r="AE72" s="3">
        <v>42.0</v>
      </c>
      <c r="AF72" s="3">
        <v>58.0</v>
      </c>
      <c r="AG72" s="3">
        <v>40.0</v>
      </c>
      <c r="AH72" s="3">
        <v>34.0</v>
      </c>
      <c r="AI72" s="3">
        <v>40.0</v>
      </c>
      <c r="AJ72" s="3">
        <v>52.0</v>
      </c>
      <c r="AK72" s="3">
        <v>46.0</v>
      </c>
      <c r="AL72" s="3">
        <v>40.0</v>
      </c>
      <c r="AM72" s="3">
        <v>36.0</v>
      </c>
      <c r="AN72" s="3">
        <v>56.0</v>
      </c>
    </row>
    <row r="73" ht="14.25" customHeight="1">
      <c r="A73" s="3">
        <v>71.0</v>
      </c>
      <c r="B73" s="3" t="s">
        <v>6218</v>
      </c>
      <c r="C73" s="3">
        <v>30.0</v>
      </c>
      <c r="D73" s="3" t="s">
        <v>6646</v>
      </c>
      <c r="E73" s="3" t="s">
        <v>6645</v>
      </c>
      <c r="F73" s="3" t="s">
        <v>6646</v>
      </c>
      <c r="G73" s="3" t="s">
        <v>6645</v>
      </c>
      <c r="H73" s="3" t="s">
        <v>6645</v>
      </c>
      <c r="I73" s="3" t="s">
        <v>6645</v>
      </c>
      <c r="J73" s="3">
        <v>24.0</v>
      </c>
      <c r="K73" s="3">
        <v>2.0</v>
      </c>
      <c r="L73" s="3">
        <v>0.0</v>
      </c>
      <c r="M73" s="3">
        <v>0.0</v>
      </c>
      <c r="N73" s="3">
        <v>2954.793</v>
      </c>
      <c r="O73" s="3">
        <v>397.0</v>
      </c>
      <c r="P73" s="3" t="s">
        <v>5909</v>
      </c>
      <c r="Q73" s="3">
        <v>45.0</v>
      </c>
      <c r="R73" s="3">
        <v>43.0</v>
      </c>
      <c r="S73" s="3">
        <v>45.0</v>
      </c>
      <c r="T73" s="3">
        <v>45.0</v>
      </c>
      <c r="U73" s="3">
        <v>48.0</v>
      </c>
      <c r="V73" s="3">
        <v>50.0</v>
      </c>
      <c r="W73" s="3">
        <v>48.0</v>
      </c>
      <c r="X73" s="3">
        <v>50.0</v>
      </c>
      <c r="Y73" s="3">
        <v>42.0</v>
      </c>
      <c r="Z73" s="3">
        <v>57.0</v>
      </c>
      <c r="AA73" s="3">
        <v>48.0</v>
      </c>
      <c r="AB73" s="3">
        <v>36.0</v>
      </c>
      <c r="AC73" s="3">
        <v>47.0</v>
      </c>
      <c r="AD73" s="3">
        <v>46.0</v>
      </c>
      <c r="AE73" s="3">
        <v>45.0</v>
      </c>
      <c r="AF73" s="3">
        <v>46.0</v>
      </c>
      <c r="AG73" s="3">
        <v>58.0</v>
      </c>
      <c r="AH73" s="3">
        <v>46.0</v>
      </c>
      <c r="AI73" s="3">
        <v>58.0</v>
      </c>
      <c r="AJ73" s="3">
        <v>54.0</v>
      </c>
      <c r="AK73" s="3">
        <v>46.0</v>
      </c>
      <c r="AL73" s="3">
        <v>46.0</v>
      </c>
      <c r="AM73" s="3">
        <v>46.0</v>
      </c>
      <c r="AN73" s="3">
        <v>40.0</v>
      </c>
    </row>
    <row r="74" ht="14.25" customHeight="1">
      <c r="A74" s="3">
        <v>72.0</v>
      </c>
      <c r="B74" s="3" t="s">
        <v>6220</v>
      </c>
      <c r="C74" s="3">
        <v>36.0</v>
      </c>
      <c r="D74" s="3" t="s">
        <v>6646</v>
      </c>
      <c r="E74" s="3" t="s">
        <v>6645</v>
      </c>
      <c r="F74" s="3" t="s">
        <v>6646</v>
      </c>
      <c r="G74" s="3" t="s">
        <v>6645</v>
      </c>
      <c r="H74" s="3" t="s">
        <v>6645</v>
      </c>
      <c r="I74" s="3" t="s">
        <v>6645</v>
      </c>
      <c r="J74" s="3">
        <v>20.0</v>
      </c>
      <c r="K74" s="3">
        <v>5.0</v>
      </c>
      <c r="L74" s="3">
        <v>0.0</v>
      </c>
      <c r="M74" s="3">
        <v>0.0</v>
      </c>
      <c r="N74" s="3">
        <v>13533.216</v>
      </c>
      <c r="O74" s="3">
        <v>4800.0</v>
      </c>
      <c r="P74" s="3" t="s">
        <v>5931</v>
      </c>
      <c r="Q74" s="3">
        <v>69.0</v>
      </c>
      <c r="R74" s="3">
        <v>70.0</v>
      </c>
      <c r="S74" s="3">
        <v>65.0</v>
      </c>
      <c r="T74" s="3">
        <v>70.0</v>
      </c>
      <c r="U74" s="3">
        <v>69.0</v>
      </c>
      <c r="V74" s="3">
        <v>83.0</v>
      </c>
      <c r="W74" s="3">
        <v>67.0</v>
      </c>
      <c r="X74" s="3">
        <v>64.0</v>
      </c>
      <c r="Y74" s="3">
        <v>71.0</v>
      </c>
      <c r="Z74" s="3">
        <v>76.0</v>
      </c>
      <c r="AA74" s="3">
        <v>71.0</v>
      </c>
      <c r="AB74" s="3">
        <v>72.0</v>
      </c>
      <c r="AC74" s="3">
        <v>76.0</v>
      </c>
      <c r="AD74" s="3">
        <v>66.0</v>
      </c>
      <c r="AE74" s="3">
        <v>64.0</v>
      </c>
      <c r="AF74" s="3">
        <v>58.0</v>
      </c>
      <c r="AG74" s="3">
        <v>48.0</v>
      </c>
      <c r="AH74" s="3">
        <v>67.0</v>
      </c>
      <c r="AI74" s="3">
        <v>61.0</v>
      </c>
      <c r="AJ74" s="3">
        <v>50.0</v>
      </c>
      <c r="AK74" s="3">
        <v>47.0</v>
      </c>
      <c r="AL74" s="3">
        <v>73.0</v>
      </c>
      <c r="AM74" s="3">
        <v>60.0</v>
      </c>
      <c r="AN74" s="3">
        <v>59.0</v>
      </c>
    </row>
    <row r="75" ht="14.25" customHeight="1">
      <c r="A75" s="3">
        <v>73.0</v>
      </c>
      <c r="B75" s="3" t="s">
        <v>6222</v>
      </c>
      <c r="C75" s="3">
        <v>32.0</v>
      </c>
      <c r="D75" s="3" t="s">
        <v>6646</v>
      </c>
      <c r="E75" s="3" t="s">
        <v>6645</v>
      </c>
      <c r="F75" s="3" t="s">
        <v>6646</v>
      </c>
      <c r="G75" s="3" t="s">
        <v>6645</v>
      </c>
      <c r="H75" s="3" t="s">
        <v>6645</v>
      </c>
      <c r="I75" s="3" t="s">
        <v>6645</v>
      </c>
      <c r="J75" s="3">
        <v>21.0</v>
      </c>
      <c r="K75" s="3">
        <v>5.0</v>
      </c>
      <c r="L75" s="3">
        <v>0.0</v>
      </c>
      <c r="M75" s="3">
        <v>0.0</v>
      </c>
      <c r="N75" s="3">
        <v>9112.57</v>
      </c>
      <c r="O75" s="3">
        <v>4800.0</v>
      </c>
      <c r="P75" s="3" t="s">
        <v>5909</v>
      </c>
      <c r="Q75" s="3">
        <v>60.0</v>
      </c>
      <c r="R75" s="3">
        <v>72.0</v>
      </c>
      <c r="S75" s="3">
        <v>60.0</v>
      </c>
      <c r="T75" s="3">
        <v>60.0</v>
      </c>
      <c r="U75" s="3">
        <v>58.0</v>
      </c>
      <c r="V75" s="3">
        <v>64.0</v>
      </c>
      <c r="W75" s="3">
        <v>66.0</v>
      </c>
      <c r="X75" s="3">
        <v>70.0</v>
      </c>
      <c r="Y75" s="3">
        <v>58.0</v>
      </c>
      <c r="Z75" s="3">
        <v>60.0</v>
      </c>
      <c r="AA75" s="3">
        <v>57.0</v>
      </c>
      <c r="AB75" s="3">
        <v>69.0</v>
      </c>
      <c r="AC75" s="3">
        <v>58.0</v>
      </c>
      <c r="AD75" s="3">
        <v>60.0</v>
      </c>
      <c r="AE75" s="3">
        <v>66.0</v>
      </c>
      <c r="AF75" s="3">
        <v>45.0</v>
      </c>
      <c r="AG75" s="3">
        <v>42.0</v>
      </c>
      <c r="AH75" s="3">
        <v>48.0</v>
      </c>
      <c r="AI75" s="3">
        <v>41.0</v>
      </c>
      <c r="AJ75" s="3">
        <v>48.0</v>
      </c>
      <c r="AK75" s="3">
        <v>55.0</v>
      </c>
      <c r="AL75" s="3">
        <v>53.0</v>
      </c>
      <c r="AM75" s="3">
        <v>42.0</v>
      </c>
      <c r="AN75" s="3">
        <v>69.0</v>
      </c>
    </row>
    <row r="76" ht="14.25" customHeight="1">
      <c r="A76" s="3">
        <v>74.0</v>
      </c>
      <c r="B76" s="3" t="s">
        <v>6224</v>
      </c>
      <c r="C76" s="3">
        <v>34.0</v>
      </c>
      <c r="D76" s="3" t="s">
        <v>6646</v>
      </c>
      <c r="E76" s="3" t="s">
        <v>6645</v>
      </c>
      <c r="F76" s="3" t="s">
        <v>6646</v>
      </c>
      <c r="G76" s="3" t="s">
        <v>6645</v>
      </c>
      <c r="H76" s="3" t="s">
        <v>6645</v>
      </c>
      <c r="I76" s="3" t="s">
        <v>6646</v>
      </c>
      <c r="J76" s="3">
        <v>22.0</v>
      </c>
      <c r="K76" s="3">
        <v>5.0</v>
      </c>
      <c r="L76" s="3">
        <v>0.0</v>
      </c>
      <c r="M76" s="3">
        <v>0.0</v>
      </c>
      <c r="N76" s="3">
        <v>11138.029</v>
      </c>
      <c r="O76" s="3">
        <v>4800.0</v>
      </c>
      <c r="P76" s="3" t="s">
        <v>5899</v>
      </c>
      <c r="Q76" s="3">
        <v>69.0</v>
      </c>
      <c r="R76" s="3">
        <v>67.0</v>
      </c>
      <c r="S76" s="3">
        <v>63.0</v>
      </c>
      <c r="T76" s="3">
        <v>62.0</v>
      </c>
      <c r="U76" s="3">
        <v>71.0</v>
      </c>
      <c r="V76" s="3">
        <v>67.0</v>
      </c>
      <c r="W76" s="3">
        <v>68.0</v>
      </c>
      <c r="X76" s="3">
        <v>60.0</v>
      </c>
      <c r="Y76" s="3">
        <v>64.0</v>
      </c>
      <c r="Z76" s="3">
        <v>63.0</v>
      </c>
      <c r="AA76" s="3">
        <v>74.0</v>
      </c>
      <c r="AB76" s="3">
        <v>57.0</v>
      </c>
      <c r="AC76" s="3">
        <v>61.0</v>
      </c>
      <c r="AD76" s="3">
        <v>80.0</v>
      </c>
      <c r="AE76" s="3">
        <v>62.0</v>
      </c>
      <c r="AF76" s="3">
        <v>57.0</v>
      </c>
      <c r="AG76" s="3">
        <v>58.0</v>
      </c>
      <c r="AH76" s="3">
        <v>64.0</v>
      </c>
      <c r="AI76" s="3">
        <v>66.0</v>
      </c>
      <c r="AJ76" s="3">
        <v>53.0</v>
      </c>
      <c r="AK76" s="3">
        <v>66.0</v>
      </c>
      <c r="AL76" s="3">
        <v>59.0</v>
      </c>
      <c r="AM76" s="3">
        <v>62.0</v>
      </c>
      <c r="AN76" s="3">
        <v>48.0</v>
      </c>
    </row>
    <row r="77" ht="14.25" customHeight="1">
      <c r="A77" s="3">
        <v>75.0</v>
      </c>
      <c r="B77" s="3" t="s">
        <v>6226</v>
      </c>
      <c r="C77" s="3">
        <v>31.0</v>
      </c>
      <c r="D77" s="3" t="s">
        <v>6646</v>
      </c>
      <c r="E77" s="3" t="s">
        <v>6645</v>
      </c>
      <c r="F77" s="3" t="s">
        <v>6646</v>
      </c>
      <c r="G77" s="3" t="s">
        <v>6645</v>
      </c>
      <c r="H77" s="3" t="s">
        <v>6645</v>
      </c>
      <c r="I77" s="3" t="s">
        <v>6646</v>
      </c>
      <c r="J77" s="3">
        <v>23.0</v>
      </c>
      <c r="K77" s="3">
        <v>5.0</v>
      </c>
      <c r="L77" s="3">
        <v>0.0</v>
      </c>
      <c r="M77" s="3">
        <v>0.0</v>
      </c>
      <c r="N77" s="3">
        <v>10696.994</v>
      </c>
      <c r="O77" s="3">
        <v>4800.0</v>
      </c>
      <c r="P77" s="3" t="s">
        <v>5909</v>
      </c>
      <c r="Q77" s="3">
        <v>64.0</v>
      </c>
      <c r="R77" s="3">
        <v>64.0</v>
      </c>
      <c r="S77" s="3">
        <v>64.0</v>
      </c>
      <c r="T77" s="3">
        <v>64.0</v>
      </c>
      <c r="U77" s="3">
        <v>60.0</v>
      </c>
      <c r="V77" s="3">
        <v>58.0</v>
      </c>
      <c r="W77" s="3">
        <v>58.0</v>
      </c>
      <c r="X77" s="3">
        <v>54.0</v>
      </c>
      <c r="Y77" s="3">
        <v>71.0</v>
      </c>
      <c r="Z77" s="3">
        <v>58.0</v>
      </c>
      <c r="AA77" s="3">
        <v>58.0</v>
      </c>
      <c r="AB77" s="3">
        <v>72.0</v>
      </c>
      <c r="AC77" s="3">
        <v>60.0</v>
      </c>
      <c r="AD77" s="3">
        <v>62.0</v>
      </c>
      <c r="AE77" s="3">
        <v>66.0</v>
      </c>
      <c r="AF77" s="3">
        <v>47.0</v>
      </c>
      <c r="AG77" s="3">
        <v>48.0</v>
      </c>
      <c r="AH77" s="3">
        <v>55.0</v>
      </c>
      <c r="AI77" s="3">
        <v>65.0</v>
      </c>
      <c r="AJ77" s="3">
        <v>65.0</v>
      </c>
      <c r="AK77" s="3">
        <v>42.0</v>
      </c>
      <c r="AL77" s="3">
        <v>51.0</v>
      </c>
      <c r="AM77" s="3">
        <v>42.0</v>
      </c>
      <c r="AN77" s="3">
        <v>61.0</v>
      </c>
    </row>
    <row r="78" ht="14.25" customHeight="1">
      <c r="A78" s="3">
        <v>76.0</v>
      </c>
      <c r="B78" s="3" t="s">
        <v>6228</v>
      </c>
      <c r="C78" s="3">
        <v>35.0</v>
      </c>
      <c r="D78" s="3" t="s">
        <v>6646</v>
      </c>
      <c r="E78" s="3" t="s">
        <v>6645</v>
      </c>
      <c r="F78" s="3" t="s">
        <v>6646</v>
      </c>
      <c r="G78" s="3" t="s">
        <v>6645</v>
      </c>
      <c r="H78" s="3" t="s">
        <v>6645</v>
      </c>
      <c r="I78" s="3" t="s">
        <v>6645</v>
      </c>
      <c r="J78" s="3">
        <v>26.0</v>
      </c>
      <c r="K78" s="3">
        <v>5.0</v>
      </c>
      <c r="L78" s="3">
        <v>0.0</v>
      </c>
      <c r="M78" s="3">
        <v>0.0</v>
      </c>
      <c r="N78" s="3">
        <v>10944.243</v>
      </c>
      <c r="O78" s="3">
        <v>4800.0</v>
      </c>
      <c r="P78" s="3" t="s">
        <v>5909</v>
      </c>
      <c r="Q78" s="3">
        <v>64.0</v>
      </c>
      <c r="R78" s="3">
        <v>68.0</v>
      </c>
      <c r="S78" s="3">
        <v>60.0</v>
      </c>
      <c r="T78" s="3">
        <v>61.0</v>
      </c>
      <c r="U78" s="3">
        <v>64.0</v>
      </c>
      <c r="V78" s="3">
        <v>64.0</v>
      </c>
      <c r="W78" s="3">
        <v>64.0</v>
      </c>
      <c r="X78" s="3">
        <v>81.0</v>
      </c>
      <c r="Y78" s="3">
        <v>65.0</v>
      </c>
      <c r="Z78" s="3">
        <v>60.0</v>
      </c>
      <c r="AA78" s="3">
        <v>66.0</v>
      </c>
      <c r="AB78" s="3">
        <v>57.0</v>
      </c>
      <c r="AC78" s="3">
        <v>68.0</v>
      </c>
      <c r="AD78" s="3">
        <v>68.0</v>
      </c>
      <c r="AE78" s="3">
        <v>71.0</v>
      </c>
      <c r="AF78" s="3">
        <v>70.0</v>
      </c>
      <c r="AG78" s="3">
        <v>55.0</v>
      </c>
      <c r="AH78" s="3">
        <v>67.0</v>
      </c>
      <c r="AI78" s="3">
        <v>60.0</v>
      </c>
      <c r="AJ78" s="3">
        <v>54.0</v>
      </c>
      <c r="AK78" s="3">
        <v>61.0</v>
      </c>
      <c r="AL78" s="3">
        <v>55.0</v>
      </c>
      <c r="AM78" s="3">
        <v>63.0</v>
      </c>
      <c r="AN78" s="3">
        <v>69.0</v>
      </c>
    </row>
    <row r="79" ht="14.25" customHeight="1">
      <c r="A79" s="3">
        <v>77.0</v>
      </c>
      <c r="B79" s="3" t="s">
        <v>6230</v>
      </c>
      <c r="C79" s="3">
        <v>33.0</v>
      </c>
      <c r="D79" s="3" t="s">
        <v>6646</v>
      </c>
      <c r="E79" s="3" t="s">
        <v>6645</v>
      </c>
      <c r="F79" s="3" t="s">
        <v>6646</v>
      </c>
      <c r="G79" s="3" t="s">
        <v>6645</v>
      </c>
      <c r="H79" s="3" t="s">
        <v>6645</v>
      </c>
      <c r="I79" s="3" t="s">
        <v>6646</v>
      </c>
      <c r="J79" s="3">
        <v>27.0</v>
      </c>
      <c r="K79" s="3">
        <v>5.0</v>
      </c>
      <c r="L79" s="3">
        <v>0.0</v>
      </c>
      <c r="M79" s="3">
        <v>0.0</v>
      </c>
      <c r="N79" s="3">
        <v>12344.945</v>
      </c>
      <c r="O79" s="3">
        <v>4800.0</v>
      </c>
      <c r="P79" s="3" t="s">
        <v>5931</v>
      </c>
      <c r="Q79" s="3">
        <v>69.0</v>
      </c>
      <c r="R79" s="3">
        <v>68.0</v>
      </c>
      <c r="S79" s="3">
        <v>72.0</v>
      </c>
      <c r="T79" s="3">
        <v>64.0</v>
      </c>
      <c r="U79" s="3">
        <v>68.0</v>
      </c>
      <c r="V79" s="3">
        <v>72.0</v>
      </c>
      <c r="W79" s="3">
        <v>74.0</v>
      </c>
      <c r="X79" s="3">
        <v>60.0</v>
      </c>
      <c r="Y79" s="3">
        <v>71.0</v>
      </c>
      <c r="Z79" s="3">
        <v>71.0</v>
      </c>
      <c r="AA79" s="3">
        <v>60.0</v>
      </c>
      <c r="AB79" s="3">
        <v>70.0</v>
      </c>
      <c r="AC79" s="3">
        <v>65.0</v>
      </c>
      <c r="AD79" s="3">
        <v>72.0</v>
      </c>
      <c r="AE79" s="3">
        <v>80.0</v>
      </c>
      <c r="AF79" s="3">
        <v>51.0</v>
      </c>
      <c r="AG79" s="3">
        <v>68.0</v>
      </c>
      <c r="AH79" s="3">
        <v>50.0</v>
      </c>
      <c r="AI79" s="3">
        <v>61.0</v>
      </c>
      <c r="AJ79" s="3">
        <v>59.0</v>
      </c>
      <c r="AK79" s="3">
        <v>67.0</v>
      </c>
      <c r="AL79" s="3">
        <v>56.0</v>
      </c>
      <c r="AM79" s="3">
        <v>68.0</v>
      </c>
      <c r="AN79" s="3">
        <v>44.0</v>
      </c>
    </row>
    <row r="80" ht="14.25" customHeight="1">
      <c r="A80" s="3">
        <v>78.0</v>
      </c>
      <c r="B80" s="3" t="s">
        <v>6232</v>
      </c>
      <c r="C80" s="3">
        <v>34.0</v>
      </c>
      <c r="D80" s="3" t="s">
        <v>6646</v>
      </c>
      <c r="E80" s="3" t="s">
        <v>6645</v>
      </c>
      <c r="F80" s="3" t="s">
        <v>6646</v>
      </c>
      <c r="G80" s="3" t="s">
        <v>6645</v>
      </c>
      <c r="H80" s="3" t="s">
        <v>6645</v>
      </c>
      <c r="I80" s="3" t="s">
        <v>6645</v>
      </c>
      <c r="J80" s="3">
        <v>28.0</v>
      </c>
      <c r="K80" s="3">
        <v>5.0</v>
      </c>
      <c r="L80" s="3">
        <v>0.0</v>
      </c>
      <c r="M80" s="3">
        <v>0.0</v>
      </c>
      <c r="N80" s="3">
        <v>10068.946</v>
      </c>
      <c r="O80" s="3">
        <v>4800.0</v>
      </c>
      <c r="P80" s="3" t="s">
        <v>5899</v>
      </c>
      <c r="Q80" s="3">
        <v>68.0</v>
      </c>
      <c r="R80" s="3">
        <v>67.0</v>
      </c>
      <c r="S80" s="3">
        <v>66.0</v>
      </c>
      <c r="T80" s="3">
        <v>60.0</v>
      </c>
      <c r="U80" s="3">
        <v>66.0</v>
      </c>
      <c r="V80" s="3">
        <v>65.0</v>
      </c>
      <c r="W80" s="3">
        <v>64.0</v>
      </c>
      <c r="X80" s="3">
        <v>74.0</v>
      </c>
      <c r="Y80" s="3">
        <v>61.0</v>
      </c>
      <c r="Z80" s="3">
        <v>60.0</v>
      </c>
      <c r="AA80" s="3">
        <v>75.0</v>
      </c>
      <c r="AB80" s="3">
        <v>63.0</v>
      </c>
      <c r="AC80" s="3">
        <v>57.0</v>
      </c>
      <c r="AD80" s="3">
        <v>72.0</v>
      </c>
      <c r="AE80" s="3">
        <v>58.0</v>
      </c>
      <c r="AF80" s="3">
        <v>54.0</v>
      </c>
      <c r="AG80" s="3">
        <v>45.0</v>
      </c>
      <c r="AH80" s="3">
        <v>65.0</v>
      </c>
      <c r="AI80" s="3">
        <v>60.0</v>
      </c>
      <c r="AJ80" s="3">
        <v>70.0</v>
      </c>
      <c r="AK80" s="3">
        <v>45.0</v>
      </c>
      <c r="AL80" s="3">
        <v>69.0</v>
      </c>
      <c r="AM80" s="3">
        <v>61.0</v>
      </c>
      <c r="AN80" s="3">
        <v>70.0</v>
      </c>
    </row>
    <row r="81" ht="14.25" customHeight="1">
      <c r="A81" s="3">
        <v>79.0</v>
      </c>
      <c r="B81" s="3" t="s">
        <v>6234</v>
      </c>
      <c r="C81" s="3">
        <v>38.0</v>
      </c>
      <c r="D81" s="3" t="s">
        <v>6646</v>
      </c>
      <c r="E81" s="3" t="s">
        <v>6645</v>
      </c>
      <c r="F81" s="3" t="s">
        <v>6646</v>
      </c>
      <c r="G81" s="3" t="s">
        <v>6645</v>
      </c>
      <c r="H81" s="3" t="s">
        <v>6645</v>
      </c>
      <c r="I81" s="3" t="s">
        <v>6646</v>
      </c>
      <c r="J81" s="3">
        <v>29.0</v>
      </c>
      <c r="K81" s="3">
        <v>5.0</v>
      </c>
      <c r="L81" s="3">
        <v>0.0</v>
      </c>
      <c r="M81" s="3">
        <v>0.0</v>
      </c>
      <c r="N81" s="3">
        <v>9370.71</v>
      </c>
      <c r="O81" s="3">
        <v>4800.0</v>
      </c>
      <c r="P81" s="3" t="s">
        <v>5909</v>
      </c>
      <c r="Q81" s="3">
        <v>60.0</v>
      </c>
      <c r="R81" s="3">
        <v>58.0</v>
      </c>
      <c r="S81" s="3">
        <v>66.0</v>
      </c>
      <c r="T81" s="3">
        <v>60.0</v>
      </c>
      <c r="U81" s="3">
        <v>74.0</v>
      </c>
      <c r="V81" s="3">
        <v>60.0</v>
      </c>
      <c r="W81" s="3">
        <v>55.0</v>
      </c>
      <c r="X81" s="3">
        <v>66.0</v>
      </c>
      <c r="Y81" s="3">
        <v>73.0</v>
      </c>
      <c r="Z81" s="3">
        <v>58.0</v>
      </c>
      <c r="AA81" s="3">
        <v>64.0</v>
      </c>
      <c r="AB81" s="3">
        <v>55.0</v>
      </c>
      <c r="AC81" s="3">
        <v>65.0</v>
      </c>
      <c r="AD81" s="3">
        <v>66.0</v>
      </c>
      <c r="AE81" s="3">
        <v>60.0</v>
      </c>
      <c r="AF81" s="3">
        <v>57.0</v>
      </c>
      <c r="AG81" s="3">
        <v>70.0</v>
      </c>
      <c r="AH81" s="3">
        <v>64.0</v>
      </c>
      <c r="AI81" s="3">
        <v>42.0</v>
      </c>
      <c r="AJ81" s="3">
        <v>60.0</v>
      </c>
      <c r="AK81" s="3">
        <v>100.0</v>
      </c>
      <c r="AL81" s="3">
        <v>50.0</v>
      </c>
      <c r="AM81" s="3">
        <v>63.0</v>
      </c>
      <c r="AN81" s="3">
        <v>24.0</v>
      </c>
    </row>
    <row r="82" ht="14.25" customHeight="1">
      <c r="A82" s="3">
        <v>80.0</v>
      </c>
      <c r="B82" s="3" t="s">
        <v>6236</v>
      </c>
      <c r="C82" s="3">
        <v>49.0</v>
      </c>
      <c r="D82" s="3" t="s">
        <v>6646</v>
      </c>
      <c r="E82" s="3" t="s">
        <v>6645</v>
      </c>
      <c r="F82" s="3" t="s">
        <v>6646</v>
      </c>
      <c r="G82" s="3" t="s">
        <v>6645</v>
      </c>
      <c r="H82" s="3" t="s">
        <v>6645</v>
      </c>
      <c r="I82" s="3" t="s">
        <v>6645</v>
      </c>
      <c r="J82" s="3">
        <v>-1.0</v>
      </c>
      <c r="K82" s="3">
        <v>5.0</v>
      </c>
      <c r="L82" s="3">
        <v>0.0</v>
      </c>
      <c r="M82" s="3">
        <v>0.0</v>
      </c>
      <c r="N82" s="3">
        <v>28605.966</v>
      </c>
      <c r="O82" s="3">
        <v>3626.0</v>
      </c>
      <c r="P82" s="3" t="s">
        <v>5931</v>
      </c>
      <c r="Q82" s="3">
        <v>100.0</v>
      </c>
      <c r="R82" s="3">
        <v>66.0</v>
      </c>
      <c r="S82" s="3">
        <v>64.0</v>
      </c>
      <c r="T82" s="3">
        <v>104.0</v>
      </c>
      <c r="U82" s="3">
        <v>120.0</v>
      </c>
      <c r="V82" s="3">
        <v>69.0</v>
      </c>
      <c r="W82" s="3">
        <v>68.0</v>
      </c>
      <c r="X82" s="3">
        <v>78.0</v>
      </c>
      <c r="Y82" s="3">
        <v>87.0</v>
      </c>
      <c r="Z82" s="3">
        <v>66.0</v>
      </c>
      <c r="AA82" s="3">
        <v>61.0</v>
      </c>
      <c r="AB82" s="3">
        <v>72.0</v>
      </c>
      <c r="AC82" s="3">
        <v>106.0</v>
      </c>
      <c r="AD82" s="3">
        <v>61.0</v>
      </c>
      <c r="AE82" s="3">
        <v>61.0</v>
      </c>
      <c r="AF82" s="3">
        <v>43.0</v>
      </c>
      <c r="AG82" s="3">
        <v>59.0</v>
      </c>
      <c r="AH82" s="3">
        <v>61.0</v>
      </c>
      <c r="AI82" s="3">
        <v>64.0</v>
      </c>
      <c r="AJ82" s="3">
        <v>83.0</v>
      </c>
      <c r="AK82" s="3">
        <v>67.0</v>
      </c>
      <c r="AL82" s="3">
        <v>60.0</v>
      </c>
      <c r="AM82" s="3">
        <v>16.0</v>
      </c>
      <c r="AN82" s="3">
        <v>61.0</v>
      </c>
    </row>
    <row r="83" ht="14.25" customHeight="1">
      <c r="A83" s="3">
        <v>81.0</v>
      </c>
      <c r="B83" s="3" t="s">
        <v>6239</v>
      </c>
      <c r="C83" s="3">
        <v>55.0</v>
      </c>
      <c r="D83" s="3" t="s">
        <v>6646</v>
      </c>
      <c r="E83" s="3" t="s">
        <v>6645</v>
      </c>
      <c r="F83" s="3" t="s">
        <v>6646</v>
      </c>
      <c r="G83" s="3" t="s">
        <v>6645</v>
      </c>
      <c r="H83" s="3" t="s">
        <v>6645</v>
      </c>
      <c r="I83" s="3" t="s">
        <v>6645</v>
      </c>
      <c r="J83" s="3">
        <v>-1.0</v>
      </c>
      <c r="K83" s="3">
        <v>5.0</v>
      </c>
      <c r="L83" s="3">
        <v>0.0</v>
      </c>
      <c r="M83" s="3">
        <v>0.0</v>
      </c>
      <c r="N83" s="3">
        <v>14440.601</v>
      </c>
      <c r="O83" s="3">
        <v>3139.0</v>
      </c>
      <c r="P83" s="3" t="s">
        <v>5899</v>
      </c>
      <c r="Q83" s="3">
        <v>58.0</v>
      </c>
      <c r="R83" s="3">
        <v>93.0</v>
      </c>
      <c r="S83" s="3">
        <v>80.0</v>
      </c>
      <c r="T83" s="3">
        <v>57.0</v>
      </c>
      <c r="U83" s="3">
        <v>60.0</v>
      </c>
      <c r="V83" s="3">
        <v>63.0</v>
      </c>
      <c r="W83" s="3">
        <v>68.0</v>
      </c>
      <c r="X83" s="3">
        <v>61.0</v>
      </c>
      <c r="Y83" s="3">
        <v>76.0</v>
      </c>
      <c r="Z83" s="3">
        <v>62.0</v>
      </c>
      <c r="AA83" s="3">
        <v>51.0</v>
      </c>
      <c r="AB83" s="3">
        <v>68.0</v>
      </c>
      <c r="AC83" s="3">
        <v>57.0</v>
      </c>
      <c r="AD83" s="3">
        <v>57.0</v>
      </c>
      <c r="AE83" s="3">
        <v>101.0</v>
      </c>
      <c r="AF83" s="3">
        <v>69.0</v>
      </c>
      <c r="AG83" s="3">
        <v>95.0</v>
      </c>
      <c r="AH83" s="3">
        <v>34.0</v>
      </c>
      <c r="AI83" s="3">
        <v>62.0</v>
      </c>
      <c r="AJ83" s="3">
        <v>47.0</v>
      </c>
      <c r="AK83" s="3">
        <v>69.0</v>
      </c>
      <c r="AL83" s="3">
        <v>43.0</v>
      </c>
      <c r="AM83" s="3">
        <v>55.0</v>
      </c>
      <c r="AN83" s="3">
        <v>42.0</v>
      </c>
    </row>
    <row r="84" ht="14.25" customHeight="1">
      <c r="A84" s="3">
        <v>82.0</v>
      </c>
      <c r="B84" s="3" t="s">
        <v>6241</v>
      </c>
      <c r="C84" s="3">
        <v>35.0</v>
      </c>
      <c r="D84" s="3" t="s">
        <v>6646</v>
      </c>
      <c r="E84" s="3" t="s">
        <v>6645</v>
      </c>
      <c r="F84" s="3" t="s">
        <v>6646</v>
      </c>
      <c r="G84" s="3" t="s">
        <v>6645</v>
      </c>
      <c r="H84" s="3" t="s">
        <v>6645</v>
      </c>
      <c r="I84" s="3" t="s">
        <v>6646</v>
      </c>
      <c r="J84" s="3">
        <v>-1.0</v>
      </c>
      <c r="K84" s="3">
        <v>5.0</v>
      </c>
      <c r="L84" s="3">
        <v>0.0</v>
      </c>
      <c r="M84" s="3">
        <v>0.0</v>
      </c>
      <c r="N84" s="3">
        <v>18576.761</v>
      </c>
      <c r="O84" s="3">
        <v>2989.0</v>
      </c>
      <c r="P84" s="3" t="s">
        <v>5931</v>
      </c>
      <c r="Q84" s="3">
        <v>98.0</v>
      </c>
      <c r="R84" s="3">
        <v>59.0</v>
      </c>
      <c r="S84" s="3">
        <v>97.0</v>
      </c>
      <c r="T84" s="3">
        <v>64.0</v>
      </c>
      <c r="U84" s="3">
        <v>76.0</v>
      </c>
      <c r="V84" s="3">
        <v>62.0</v>
      </c>
      <c r="W84" s="3">
        <v>86.0</v>
      </c>
      <c r="X84" s="3">
        <v>69.0</v>
      </c>
      <c r="Y84" s="3">
        <v>87.0</v>
      </c>
      <c r="Z84" s="3">
        <v>58.0</v>
      </c>
      <c r="AA84" s="3">
        <v>57.0</v>
      </c>
      <c r="AB84" s="3">
        <v>73.0</v>
      </c>
      <c r="AC84" s="3">
        <v>58.0</v>
      </c>
      <c r="AD84" s="3">
        <v>87.0</v>
      </c>
      <c r="AE84" s="3">
        <v>58.0</v>
      </c>
      <c r="AF84" s="3">
        <v>61.0</v>
      </c>
      <c r="AG84" s="3">
        <v>62.0</v>
      </c>
      <c r="AH84" s="3">
        <v>51.0</v>
      </c>
      <c r="AI84" s="3">
        <v>57.0</v>
      </c>
      <c r="AJ84" s="3">
        <v>57.0</v>
      </c>
      <c r="AK84" s="3">
        <v>69.0</v>
      </c>
      <c r="AL84" s="3">
        <v>18.0</v>
      </c>
      <c r="AM84" s="3">
        <v>67.0</v>
      </c>
      <c r="AN84" s="3">
        <v>85.0</v>
      </c>
    </row>
    <row r="85" ht="14.25" customHeight="1">
      <c r="A85" s="3">
        <v>83.0</v>
      </c>
      <c r="B85" s="3" t="s">
        <v>6244</v>
      </c>
      <c r="C85" s="3">
        <v>33.0</v>
      </c>
      <c r="D85" s="3" t="s">
        <v>6646</v>
      </c>
      <c r="E85" s="3" t="s">
        <v>6645</v>
      </c>
      <c r="F85" s="3" t="s">
        <v>6646</v>
      </c>
      <c r="G85" s="3" t="s">
        <v>6645</v>
      </c>
      <c r="H85" s="3" t="s">
        <v>6645</v>
      </c>
      <c r="I85" s="3" t="s">
        <v>6645</v>
      </c>
      <c r="J85" s="3">
        <v>-1.0</v>
      </c>
      <c r="K85" s="3">
        <v>5.0</v>
      </c>
      <c r="L85" s="3">
        <v>0.0</v>
      </c>
      <c r="M85" s="3">
        <v>0.0</v>
      </c>
      <c r="N85" s="3">
        <v>18665.412</v>
      </c>
      <c r="O85" s="3">
        <v>3376.0</v>
      </c>
      <c r="P85" s="3" t="s">
        <v>5909</v>
      </c>
      <c r="Q85" s="3">
        <v>87.0</v>
      </c>
      <c r="R85" s="3">
        <v>55.0</v>
      </c>
      <c r="S85" s="3">
        <v>58.0</v>
      </c>
      <c r="T85" s="3">
        <v>57.0</v>
      </c>
      <c r="U85" s="3">
        <v>80.0</v>
      </c>
      <c r="V85" s="3">
        <v>70.0</v>
      </c>
      <c r="W85" s="3">
        <v>88.0</v>
      </c>
      <c r="X85" s="3">
        <v>77.0</v>
      </c>
      <c r="Y85" s="3">
        <v>87.0</v>
      </c>
      <c r="Z85" s="3">
        <v>76.0</v>
      </c>
      <c r="AA85" s="3">
        <v>58.0</v>
      </c>
      <c r="AB85" s="3">
        <v>86.0</v>
      </c>
      <c r="AC85" s="3">
        <v>50.0</v>
      </c>
      <c r="AD85" s="3">
        <v>52.0</v>
      </c>
      <c r="AE85" s="3">
        <v>54.0</v>
      </c>
      <c r="AF85" s="3">
        <v>47.0</v>
      </c>
      <c r="AG85" s="3">
        <v>45.0</v>
      </c>
      <c r="AH85" s="3">
        <v>53.0</v>
      </c>
      <c r="AI85" s="3">
        <v>45.0</v>
      </c>
      <c r="AJ85" s="3">
        <v>86.0</v>
      </c>
      <c r="AK85" s="3">
        <v>62.0</v>
      </c>
      <c r="AL85" s="3">
        <v>45.0</v>
      </c>
      <c r="AM85" s="3">
        <v>42.0</v>
      </c>
      <c r="AN85" s="3">
        <v>54.0</v>
      </c>
    </row>
    <row r="86" ht="14.25" customHeight="1">
      <c r="A86" s="3">
        <v>84.0</v>
      </c>
      <c r="B86" s="3" t="s">
        <v>6247</v>
      </c>
      <c r="C86" s="3">
        <v>29.0</v>
      </c>
      <c r="D86" s="3" t="s">
        <v>6646</v>
      </c>
      <c r="E86" s="3" t="s">
        <v>6645</v>
      </c>
      <c r="F86" s="3" t="s">
        <v>6646</v>
      </c>
      <c r="G86" s="3" t="s">
        <v>6645</v>
      </c>
      <c r="H86" s="3" t="s">
        <v>6645</v>
      </c>
      <c r="I86" s="3" t="s">
        <v>6646</v>
      </c>
      <c r="J86" s="3">
        <v>-1.0</v>
      </c>
      <c r="K86" s="3">
        <v>4.0</v>
      </c>
      <c r="L86" s="3">
        <v>0.0</v>
      </c>
      <c r="M86" s="3">
        <v>0.0</v>
      </c>
      <c r="N86" s="3">
        <v>8958.21</v>
      </c>
      <c r="O86" s="3">
        <v>1348.0</v>
      </c>
      <c r="P86" s="3" t="s">
        <v>5931</v>
      </c>
      <c r="Q86" s="3">
        <v>59.0</v>
      </c>
      <c r="R86" s="3">
        <v>65.0</v>
      </c>
      <c r="S86" s="3">
        <v>54.0</v>
      </c>
      <c r="T86" s="3">
        <v>51.0</v>
      </c>
      <c r="U86" s="3">
        <v>50.0</v>
      </c>
      <c r="V86" s="3">
        <v>61.0</v>
      </c>
      <c r="W86" s="3">
        <v>65.0</v>
      </c>
      <c r="X86" s="3">
        <v>75.0</v>
      </c>
      <c r="Y86" s="3">
        <v>47.0</v>
      </c>
      <c r="Z86" s="3">
        <v>72.0</v>
      </c>
      <c r="AA86" s="3">
        <v>72.0</v>
      </c>
      <c r="AB86" s="3">
        <v>46.0</v>
      </c>
      <c r="AC86" s="3">
        <v>57.0</v>
      </c>
      <c r="AD86" s="3">
        <v>53.0</v>
      </c>
      <c r="AE86" s="3">
        <v>52.0</v>
      </c>
      <c r="AF86" s="3">
        <v>78.0</v>
      </c>
      <c r="AG86" s="3">
        <v>59.0</v>
      </c>
      <c r="AH86" s="3">
        <v>66.0</v>
      </c>
      <c r="AI86" s="3">
        <v>29.0</v>
      </c>
      <c r="AJ86" s="3">
        <v>64.0</v>
      </c>
      <c r="AK86" s="3">
        <v>53.0</v>
      </c>
      <c r="AL86" s="3">
        <v>40.0</v>
      </c>
      <c r="AM86" s="3">
        <v>52.0</v>
      </c>
      <c r="AN86" s="3">
        <v>50.0</v>
      </c>
    </row>
    <row r="87" ht="14.25" customHeight="1">
      <c r="A87" s="3">
        <v>85.0</v>
      </c>
      <c r="B87" s="3" t="s">
        <v>6250</v>
      </c>
      <c r="C87" s="3">
        <v>26.0</v>
      </c>
      <c r="D87" s="3" t="s">
        <v>6646</v>
      </c>
      <c r="E87" s="3" t="s">
        <v>6645</v>
      </c>
      <c r="F87" s="3" t="s">
        <v>6646</v>
      </c>
      <c r="G87" s="3" t="s">
        <v>6645</v>
      </c>
      <c r="H87" s="3" t="s">
        <v>6645</v>
      </c>
      <c r="I87" s="3" t="s">
        <v>6645</v>
      </c>
      <c r="J87" s="3">
        <v>-1.0</v>
      </c>
      <c r="K87" s="3">
        <v>4.0</v>
      </c>
      <c r="L87" s="3">
        <v>0.0</v>
      </c>
      <c r="M87" s="3">
        <v>0.0</v>
      </c>
      <c r="N87" s="3">
        <v>10234.556</v>
      </c>
      <c r="O87" s="3">
        <v>1388.0</v>
      </c>
      <c r="P87" s="3" t="s">
        <v>5924</v>
      </c>
      <c r="Q87" s="3">
        <v>55.0</v>
      </c>
      <c r="R87" s="3">
        <v>50.0</v>
      </c>
      <c r="S87" s="3">
        <v>54.0</v>
      </c>
      <c r="T87" s="3">
        <v>64.0</v>
      </c>
      <c r="U87" s="3">
        <v>54.0</v>
      </c>
      <c r="V87" s="3">
        <v>56.0</v>
      </c>
      <c r="W87" s="3">
        <v>61.0</v>
      </c>
      <c r="X87" s="3">
        <v>65.0</v>
      </c>
      <c r="Y87" s="3">
        <v>60.0</v>
      </c>
      <c r="Z87" s="3">
        <v>73.0</v>
      </c>
      <c r="AA87" s="3">
        <v>48.0</v>
      </c>
      <c r="AB87" s="3">
        <v>50.0</v>
      </c>
      <c r="AC87" s="3">
        <v>58.0</v>
      </c>
      <c r="AD87" s="3">
        <v>74.0</v>
      </c>
      <c r="AE87" s="3">
        <v>56.0</v>
      </c>
      <c r="AF87" s="3">
        <v>15.0</v>
      </c>
      <c r="AG87" s="3">
        <v>88.0</v>
      </c>
      <c r="AH87" s="3">
        <v>66.0</v>
      </c>
      <c r="AI87" s="3">
        <v>62.0</v>
      </c>
      <c r="AJ87" s="3">
        <v>16.0</v>
      </c>
      <c r="AK87" s="3">
        <v>81.0</v>
      </c>
      <c r="AL87" s="3">
        <v>66.0</v>
      </c>
      <c r="AM87" s="3">
        <v>63.0</v>
      </c>
      <c r="AN87" s="3">
        <v>40.0</v>
      </c>
    </row>
    <row r="88" ht="14.25" customHeight="1">
      <c r="A88" s="3">
        <v>86.0</v>
      </c>
      <c r="B88" s="3" t="s">
        <v>6253</v>
      </c>
      <c r="C88" s="3">
        <v>22.0</v>
      </c>
      <c r="D88" s="3" t="s">
        <v>6646</v>
      </c>
      <c r="E88" s="3" t="s">
        <v>6645</v>
      </c>
      <c r="F88" s="3" t="s">
        <v>6646</v>
      </c>
      <c r="G88" s="3" t="s">
        <v>6645</v>
      </c>
      <c r="H88" s="3" t="s">
        <v>6645</v>
      </c>
      <c r="I88" s="3" t="s">
        <v>6646</v>
      </c>
      <c r="J88" s="3">
        <v>-1.0</v>
      </c>
      <c r="K88" s="3">
        <v>4.0</v>
      </c>
      <c r="L88" s="3">
        <v>0.0</v>
      </c>
      <c r="M88" s="3">
        <v>0.0</v>
      </c>
      <c r="N88" s="3">
        <v>10531.961</v>
      </c>
      <c r="O88" s="3">
        <v>1584.0</v>
      </c>
      <c r="P88" s="3" t="s">
        <v>5931</v>
      </c>
      <c r="Q88" s="3">
        <v>63.0</v>
      </c>
      <c r="R88" s="3">
        <v>50.0</v>
      </c>
      <c r="S88" s="3">
        <v>52.0</v>
      </c>
      <c r="T88" s="3">
        <v>60.0</v>
      </c>
      <c r="U88" s="3">
        <v>56.0</v>
      </c>
      <c r="V88" s="3">
        <v>53.0</v>
      </c>
      <c r="W88" s="3">
        <v>56.0</v>
      </c>
      <c r="X88" s="3">
        <v>77.0</v>
      </c>
      <c r="Y88" s="3">
        <v>59.0</v>
      </c>
      <c r="Z88" s="3">
        <v>56.0</v>
      </c>
      <c r="AA88" s="3">
        <v>52.0</v>
      </c>
      <c r="AB88" s="3">
        <v>72.0</v>
      </c>
      <c r="AC88" s="3">
        <v>48.0</v>
      </c>
      <c r="AD88" s="3">
        <v>49.0</v>
      </c>
      <c r="AE88" s="3">
        <v>75.0</v>
      </c>
      <c r="AF88" s="3">
        <v>55.0</v>
      </c>
      <c r="AG88" s="3">
        <v>53.0</v>
      </c>
      <c r="AH88" s="3">
        <v>55.0</v>
      </c>
      <c r="AI88" s="3">
        <v>79.0</v>
      </c>
      <c r="AJ88" s="3">
        <v>45.0</v>
      </c>
      <c r="AK88" s="3">
        <v>38.0</v>
      </c>
      <c r="AL88" s="3">
        <v>42.0</v>
      </c>
      <c r="AM88" s="3">
        <v>24.0</v>
      </c>
      <c r="AN88" s="3">
        <v>38.0</v>
      </c>
    </row>
    <row r="89" ht="14.25" customHeight="1">
      <c r="A89" s="3">
        <v>87.0</v>
      </c>
      <c r="B89" s="3" t="s">
        <v>6256</v>
      </c>
      <c r="C89" s="3">
        <v>31.0</v>
      </c>
      <c r="D89" s="3" t="s">
        <v>6646</v>
      </c>
      <c r="E89" s="3" t="s">
        <v>6645</v>
      </c>
      <c r="F89" s="3" t="s">
        <v>6646</v>
      </c>
      <c r="G89" s="3" t="s">
        <v>6645</v>
      </c>
      <c r="H89" s="3" t="s">
        <v>6645</v>
      </c>
      <c r="I89" s="3" t="s">
        <v>6645</v>
      </c>
      <c r="J89" s="3">
        <v>-1.0</v>
      </c>
      <c r="K89" s="3">
        <v>4.0</v>
      </c>
      <c r="L89" s="3">
        <v>0.0</v>
      </c>
      <c r="M89" s="3">
        <v>0.0</v>
      </c>
      <c r="N89" s="3">
        <v>9571.23</v>
      </c>
      <c r="O89" s="3">
        <v>1710.0</v>
      </c>
      <c r="P89" s="3" t="s">
        <v>5899</v>
      </c>
      <c r="Q89" s="3">
        <v>55.0</v>
      </c>
      <c r="R89" s="3">
        <v>64.0</v>
      </c>
      <c r="S89" s="3">
        <v>51.0</v>
      </c>
      <c r="T89" s="3">
        <v>61.0</v>
      </c>
      <c r="U89" s="3">
        <v>51.0</v>
      </c>
      <c r="V89" s="3">
        <v>55.0</v>
      </c>
      <c r="W89" s="3">
        <v>69.0</v>
      </c>
      <c r="X89" s="3">
        <v>63.0</v>
      </c>
      <c r="Y89" s="3">
        <v>76.0</v>
      </c>
      <c r="Z89" s="3">
        <v>50.0</v>
      </c>
      <c r="AA89" s="3">
        <v>45.0</v>
      </c>
      <c r="AB89" s="3">
        <v>55.0</v>
      </c>
      <c r="AC89" s="3">
        <v>72.0</v>
      </c>
      <c r="AD89" s="3">
        <v>69.0</v>
      </c>
      <c r="AE89" s="3">
        <v>52.0</v>
      </c>
      <c r="AF89" s="3">
        <v>57.0</v>
      </c>
      <c r="AG89" s="3">
        <v>79.0</v>
      </c>
      <c r="AH89" s="3">
        <v>32.0</v>
      </c>
      <c r="AI89" s="3">
        <v>44.0</v>
      </c>
      <c r="AJ89" s="3">
        <v>48.0</v>
      </c>
      <c r="AK89" s="3">
        <v>40.0</v>
      </c>
      <c r="AL89" s="3">
        <v>44.0</v>
      </c>
      <c r="AM89" s="3">
        <v>50.0</v>
      </c>
      <c r="AN89" s="3">
        <v>67.0</v>
      </c>
    </row>
    <row r="90" ht="14.25" customHeight="1">
      <c r="A90" s="3">
        <v>88.0</v>
      </c>
      <c r="B90" s="3" t="s">
        <v>6259</v>
      </c>
      <c r="C90" s="3">
        <v>24.0</v>
      </c>
      <c r="D90" s="3" t="s">
        <v>6646</v>
      </c>
      <c r="E90" s="3" t="s">
        <v>6645</v>
      </c>
      <c r="F90" s="3" t="s">
        <v>6646</v>
      </c>
      <c r="G90" s="3" t="s">
        <v>6645</v>
      </c>
      <c r="H90" s="3" t="s">
        <v>6645</v>
      </c>
      <c r="I90" s="3" t="s">
        <v>6646</v>
      </c>
      <c r="J90" s="3">
        <v>-1.0</v>
      </c>
      <c r="K90" s="3">
        <v>4.0</v>
      </c>
      <c r="L90" s="3">
        <v>0.0</v>
      </c>
      <c r="M90" s="3">
        <v>0.0</v>
      </c>
      <c r="N90" s="3">
        <v>10035.093</v>
      </c>
      <c r="O90" s="3">
        <v>1590.0</v>
      </c>
      <c r="P90" s="3" t="s">
        <v>5931</v>
      </c>
      <c r="Q90" s="3">
        <v>54.0</v>
      </c>
      <c r="R90" s="3">
        <v>65.0</v>
      </c>
      <c r="S90" s="3">
        <v>68.0</v>
      </c>
      <c r="T90" s="3">
        <v>55.0</v>
      </c>
      <c r="U90" s="3">
        <v>58.0</v>
      </c>
      <c r="V90" s="3">
        <v>56.0</v>
      </c>
      <c r="W90" s="3">
        <v>65.0</v>
      </c>
      <c r="X90" s="3">
        <v>62.0</v>
      </c>
      <c r="Y90" s="3">
        <v>70.0</v>
      </c>
      <c r="Z90" s="3">
        <v>52.0</v>
      </c>
      <c r="AA90" s="3">
        <v>58.0</v>
      </c>
      <c r="AB90" s="3">
        <v>59.0</v>
      </c>
      <c r="AC90" s="3">
        <v>50.0</v>
      </c>
      <c r="AD90" s="3">
        <v>54.0</v>
      </c>
      <c r="AE90" s="3">
        <v>81.0</v>
      </c>
      <c r="AF90" s="3">
        <v>21.0</v>
      </c>
      <c r="AG90" s="3">
        <v>91.0</v>
      </c>
      <c r="AH90" s="3">
        <v>48.0</v>
      </c>
      <c r="AI90" s="3">
        <v>53.0</v>
      </c>
      <c r="AJ90" s="3">
        <v>40.0</v>
      </c>
      <c r="AK90" s="3">
        <v>39.0</v>
      </c>
      <c r="AL90" s="3">
        <v>41.0</v>
      </c>
      <c r="AM90" s="3">
        <v>46.0</v>
      </c>
      <c r="AN90" s="3">
        <v>54.0</v>
      </c>
    </row>
    <row r="91" ht="14.25" customHeight="1">
      <c r="A91" s="3">
        <v>89.0</v>
      </c>
      <c r="B91" s="3" t="s">
        <v>6261</v>
      </c>
      <c r="C91" s="3">
        <v>36.0</v>
      </c>
      <c r="D91" s="3" t="s">
        <v>6646</v>
      </c>
      <c r="E91" s="3" t="s">
        <v>6645</v>
      </c>
      <c r="F91" s="3" t="s">
        <v>6646</v>
      </c>
      <c r="G91" s="3" t="s">
        <v>6645</v>
      </c>
      <c r="H91" s="3" t="s">
        <v>6645</v>
      </c>
      <c r="I91" s="3" t="s">
        <v>6645</v>
      </c>
      <c r="J91" s="3">
        <v>-1.0</v>
      </c>
      <c r="K91" s="3">
        <v>4.0</v>
      </c>
      <c r="L91" s="3">
        <v>0.0</v>
      </c>
      <c r="M91" s="3">
        <v>0.0</v>
      </c>
      <c r="N91" s="3">
        <v>9334.51</v>
      </c>
      <c r="O91" s="3">
        <v>1249.0</v>
      </c>
      <c r="P91" s="3" t="s">
        <v>5909</v>
      </c>
      <c r="Q91" s="3">
        <v>73.0</v>
      </c>
      <c r="R91" s="3">
        <v>52.0</v>
      </c>
      <c r="S91" s="3">
        <v>58.0</v>
      </c>
      <c r="T91" s="3">
        <v>51.0</v>
      </c>
      <c r="U91" s="3">
        <v>69.0</v>
      </c>
      <c r="V91" s="3">
        <v>53.0</v>
      </c>
      <c r="W91" s="3">
        <v>51.0</v>
      </c>
      <c r="X91" s="3">
        <v>59.0</v>
      </c>
      <c r="Y91" s="3">
        <v>73.0</v>
      </c>
      <c r="Z91" s="3">
        <v>52.0</v>
      </c>
      <c r="AA91" s="3">
        <v>44.0</v>
      </c>
      <c r="AB91" s="3">
        <v>71.0</v>
      </c>
      <c r="AC91" s="3">
        <v>74.0</v>
      </c>
      <c r="AD91" s="3">
        <v>58.0</v>
      </c>
      <c r="AE91" s="3">
        <v>53.0</v>
      </c>
      <c r="AF91" s="3">
        <v>54.0</v>
      </c>
      <c r="AG91" s="3">
        <v>48.0</v>
      </c>
      <c r="AH91" s="3">
        <v>53.0</v>
      </c>
      <c r="AI91" s="3">
        <v>59.0</v>
      </c>
      <c r="AJ91" s="3">
        <v>50.0</v>
      </c>
      <c r="AK91" s="3">
        <v>5.0</v>
      </c>
      <c r="AL91" s="3">
        <v>38.0</v>
      </c>
      <c r="AM91" s="3">
        <v>42.0</v>
      </c>
      <c r="AN91" s="3">
        <v>72.0</v>
      </c>
    </row>
    <row r="92" ht="14.25" customHeight="1">
      <c r="A92" s="3">
        <v>90.0</v>
      </c>
      <c r="B92" s="3" t="s">
        <v>6263</v>
      </c>
      <c r="C92" s="3">
        <v>27.0</v>
      </c>
      <c r="D92" s="3" t="s">
        <v>6646</v>
      </c>
      <c r="E92" s="3" t="s">
        <v>6645</v>
      </c>
      <c r="F92" s="3" t="s">
        <v>6646</v>
      </c>
      <c r="G92" s="3" t="s">
        <v>6645</v>
      </c>
      <c r="H92" s="3" t="s">
        <v>6645</v>
      </c>
      <c r="I92" s="3" t="s">
        <v>6645</v>
      </c>
      <c r="J92" s="3">
        <v>-1.0</v>
      </c>
      <c r="K92" s="3">
        <v>4.0</v>
      </c>
      <c r="L92" s="3">
        <v>0.0</v>
      </c>
      <c r="M92" s="3">
        <v>0.0</v>
      </c>
      <c r="N92" s="3">
        <v>9482.5205</v>
      </c>
      <c r="O92" s="3">
        <v>1470.0</v>
      </c>
      <c r="P92" s="3" t="s">
        <v>5899</v>
      </c>
      <c r="Q92" s="3">
        <v>73.0</v>
      </c>
      <c r="R92" s="3">
        <v>68.0</v>
      </c>
      <c r="S92" s="3">
        <v>57.0</v>
      </c>
      <c r="T92" s="3">
        <v>59.0</v>
      </c>
      <c r="U92" s="3">
        <v>50.0</v>
      </c>
      <c r="V92" s="3">
        <v>55.0</v>
      </c>
      <c r="W92" s="3">
        <v>53.0</v>
      </c>
      <c r="X92" s="3">
        <v>61.0</v>
      </c>
      <c r="Y92" s="3">
        <v>72.0</v>
      </c>
      <c r="Z92" s="3">
        <v>55.0</v>
      </c>
      <c r="AA92" s="3">
        <v>75.0</v>
      </c>
      <c r="AB92" s="3">
        <v>67.0</v>
      </c>
      <c r="AC92" s="3">
        <v>56.0</v>
      </c>
      <c r="AD92" s="3">
        <v>47.0</v>
      </c>
      <c r="AE92" s="3">
        <v>55.0</v>
      </c>
      <c r="AF92" s="3">
        <v>62.0</v>
      </c>
      <c r="AG92" s="3">
        <v>67.0</v>
      </c>
      <c r="AH92" s="3">
        <v>59.0</v>
      </c>
      <c r="AI92" s="3">
        <v>16.0</v>
      </c>
      <c r="AJ92" s="3">
        <v>77.0</v>
      </c>
      <c r="AK92" s="3">
        <v>57.0</v>
      </c>
      <c r="AL92" s="3">
        <v>85.0</v>
      </c>
      <c r="AM92" s="3">
        <v>45.0</v>
      </c>
      <c r="AN92" s="3">
        <v>50.0</v>
      </c>
    </row>
    <row r="93" ht="14.25" customHeight="1">
      <c r="A93" s="3">
        <v>91.0</v>
      </c>
      <c r="B93" s="3" t="s">
        <v>6265</v>
      </c>
      <c r="C93" s="3">
        <v>42.0</v>
      </c>
      <c r="D93" s="3" t="s">
        <v>6646</v>
      </c>
      <c r="E93" s="3" t="s">
        <v>6645</v>
      </c>
      <c r="F93" s="3" t="s">
        <v>6646</v>
      </c>
      <c r="G93" s="3" t="s">
        <v>6645</v>
      </c>
      <c r="H93" s="3" t="s">
        <v>6645</v>
      </c>
      <c r="I93" s="3" t="s">
        <v>6645</v>
      </c>
      <c r="J93" s="3">
        <v>-1.0</v>
      </c>
      <c r="K93" s="3">
        <v>4.0</v>
      </c>
      <c r="L93" s="3">
        <v>0.0</v>
      </c>
      <c r="M93" s="3">
        <v>0.0</v>
      </c>
      <c r="N93" s="3">
        <v>8611.12</v>
      </c>
      <c r="O93" s="3">
        <v>1803.0</v>
      </c>
      <c r="P93" s="3" t="s">
        <v>5899</v>
      </c>
      <c r="Q93" s="3">
        <v>65.0</v>
      </c>
      <c r="R93" s="3">
        <v>51.0</v>
      </c>
      <c r="S93" s="3">
        <v>64.0</v>
      </c>
      <c r="T93" s="3">
        <v>55.0</v>
      </c>
      <c r="U93" s="3">
        <v>57.0</v>
      </c>
      <c r="V93" s="3">
        <v>56.0</v>
      </c>
      <c r="W93" s="3">
        <v>47.0</v>
      </c>
      <c r="X93" s="3">
        <v>63.0</v>
      </c>
      <c r="Y93" s="3">
        <v>58.0</v>
      </c>
      <c r="Z93" s="3">
        <v>52.0</v>
      </c>
      <c r="AA93" s="3">
        <v>52.0</v>
      </c>
      <c r="AB93" s="3">
        <v>81.0</v>
      </c>
      <c r="AC93" s="3">
        <v>53.0</v>
      </c>
      <c r="AD93" s="3">
        <v>59.0</v>
      </c>
      <c r="AE93" s="3">
        <v>60.0</v>
      </c>
      <c r="AF93" s="3">
        <v>57.0</v>
      </c>
      <c r="AG93" s="3">
        <v>65.0</v>
      </c>
      <c r="AH93" s="3">
        <v>53.0</v>
      </c>
      <c r="AI93" s="3">
        <v>45.0</v>
      </c>
      <c r="AJ93" s="3">
        <v>53.0</v>
      </c>
      <c r="AK93" s="3">
        <v>54.0</v>
      </c>
      <c r="AL93" s="3">
        <v>41.0</v>
      </c>
      <c r="AM93" s="3">
        <v>45.0</v>
      </c>
      <c r="AN93" s="3">
        <v>46.0</v>
      </c>
    </row>
    <row r="94" ht="14.25" customHeight="1">
      <c r="A94" s="3">
        <v>92.0</v>
      </c>
      <c r="B94" s="3" t="s">
        <v>6268</v>
      </c>
      <c r="C94" s="3">
        <v>45.0</v>
      </c>
      <c r="D94" s="3" t="s">
        <v>6646</v>
      </c>
      <c r="E94" s="3" t="s">
        <v>6645</v>
      </c>
      <c r="F94" s="3" t="s">
        <v>6646</v>
      </c>
      <c r="G94" s="3" t="s">
        <v>6645</v>
      </c>
      <c r="H94" s="3" t="s">
        <v>6645</v>
      </c>
      <c r="I94" s="3" t="s">
        <v>6645</v>
      </c>
      <c r="J94" s="3">
        <v>-1.0</v>
      </c>
      <c r="K94" s="3">
        <v>3.0</v>
      </c>
      <c r="L94" s="3">
        <v>0.0</v>
      </c>
      <c r="M94" s="3">
        <v>0.0</v>
      </c>
      <c r="N94" s="3">
        <v>4575.6157</v>
      </c>
      <c r="O94" s="3">
        <v>861.0</v>
      </c>
      <c r="P94" s="3" t="s">
        <v>5899</v>
      </c>
      <c r="Q94" s="3">
        <v>52.0</v>
      </c>
      <c r="R94" s="3">
        <v>46.0</v>
      </c>
      <c r="S94" s="3">
        <v>55.0</v>
      </c>
      <c r="T94" s="3">
        <v>48.0</v>
      </c>
      <c r="U94" s="3">
        <v>47.0</v>
      </c>
      <c r="V94" s="3">
        <v>54.0</v>
      </c>
      <c r="W94" s="3">
        <v>45.0</v>
      </c>
      <c r="X94" s="3">
        <v>62.0</v>
      </c>
      <c r="Y94" s="3">
        <v>48.0</v>
      </c>
      <c r="Z94" s="3">
        <v>47.0</v>
      </c>
      <c r="AA94" s="3">
        <v>50.0</v>
      </c>
      <c r="AB94" s="3">
        <v>42.0</v>
      </c>
      <c r="AC94" s="3">
        <v>48.0</v>
      </c>
      <c r="AD94" s="3">
        <v>50.0</v>
      </c>
      <c r="AE94" s="3">
        <v>52.0</v>
      </c>
      <c r="AF94" s="3">
        <v>37.0</v>
      </c>
      <c r="AG94" s="3">
        <v>46.0</v>
      </c>
      <c r="AH94" s="3">
        <v>37.0</v>
      </c>
      <c r="AI94" s="3">
        <v>65.0</v>
      </c>
      <c r="AJ94" s="3">
        <v>43.0</v>
      </c>
      <c r="AK94" s="3">
        <v>27.0</v>
      </c>
      <c r="AL94" s="3">
        <v>39.0</v>
      </c>
      <c r="AM94" s="3">
        <v>38.0</v>
      </c>
      <c r="AN94" s="3">
        <v>80.0</v>
      </c>
    </row>
    <row r="95" ht="14.25" customHeight="1">
      <c r="A95" s="3">
        <v>93.0</v>
      </c>
      <c r="B95" s="3" t="s">
        <v>6271</v>
      </c>
      <c r="C95" s="3">
        <v>37.0</v>
      </c>
      <c r="D95" s="3" t="s">
        <v>6646</v>
      </c>
      <c r="E95" s="3" t="s">
        <v>6645</v>
      </c>
      <c r="F95" s="3" t="s">
        <v>6646</v>
      </c>
      <c r="G95" s="3" t="s">
        <v>6645</v>
      </c>
      <c r="H95" s="3" t="s">
        <v>6645</v>
      </c>
      <c r="I95" s="3" t="s">
        <v>6645</v>
      </c>
      <c r="J95" s="3">
        <v>-1.0</v>
      </c>
      <c r="K95" s="3">
        <v>3.0</v>
      </c>
      <c r="L95" s="3">
        <v>0.0</v>
      </c>
      <c r="M95" s="3">
        <v>0.0</v>
      </c>
      <c r="N95" s="3">
        <v>4766.1933</v>
      </c>
      <c r="O95" s="3">
        <v>608.0</v>
      </c>
      <c r="P95" s="3" t="s">
        <v>5909</v>
      </c>
      <c r="Q95" s="3">
        <v>48.0</v>
      </c>
      <c r="R95" s="3">
        <v>53.0</v>
      </c>
      <c r="S95" s="3">
        <v>47.0</v>
      </c>
      <c r="T95" s="3">
        <v>50.0</v>
      </c>
      <c r="U95" s="3">
        <v>49.0</v>
      </c>
      <c r="V95" s="3">
        <v>45.0</v>
      </c>
      <c r="W95" s="3">
        <v>49.0</v>
      </c>
      <c r="X95" s="3">
        <v>63.0</v>
      </c>
      <c r="Y95" s="3">
        <v>42.0</v>
      </c>
      <c r="Z95" s="3">
        <v>60.0</v>
      </c>
      <c r="AA95" s="3">
        <v>45.0</v>
      </c>
      <c r="AB95" s="3">
        <v>54.0</v>
      </c>
      <c r="AC95" s="3">
        <v>54.0</v>
      </c>
      <c r="AD95" s="3">
        <v>47.0</v>
      </c>
      <c r="AE95" s="3">
        <v>52.0</v>
      </c>
      <c r="AF95" s="3">
        <v>64.0</v>
      </c>
      <c r="AG95" s="3">
        <v>16.0</v>
      </c>
      <c r="AH95" s="3">
        <v>36.0</v>
      </c>
      <c r="AI95" s="3">
        <v>42.0</v>
      </c>
      <c r="AJ95" s="3">
        <v>65.0</v>
      </c>
      <c r="AK95" s="3">
        <v>54.0</v>
      </c>
      <c r="AL95" s="3">
        <v>54.0</v>
      </c>
      <c r="AM95" s="3">
        <v>81.0</v>
      </c>
      <c r="AN95" s="3">
        <v>49.0</v>
      </c>
    </row>
    <row r="96" ht="14.25" customHeight="1">
      <c r="A96" s="3">
        <v>94.0</v>
      </c>
      <c r="B96" s="3" t="s">
        <v>6274</v>
      </c>
      <c r="C96" s="3">
        <v>35.0</v>
      </c>
      <c r="D96" s="3" t="s">
        <v>6646</v>
      </c>
      <c r="E96" s="3" t="s">
        <v>6645</v>
      </c>
      <c r="F96" s="3" t="s">
        <v>6646</v>
      </c>
      <c r="G96" s="3" t="s">
        <v>6645</v>
      </c>
      <c r="H96" s="3" t="s">
        <v>6645</v>
      </c>
      <c r="I96" s="3" t="s">
        <v>6645</v>
      </c>
      <c r="J96" s="3">
        <v>-1.0</v>
      </c>
      <c r="K96" s="3">
        <v>2.0</v>
      </c>
      <c r="L96" s="3">
        <v>0.0</v>
      </c>
      <c r="M96" s="3">
        <v>0.0</v>
      </c>
      <c r="N96" s="3">
        <v>2493.3676</v>
      </c>
      <c r="O96" s="3">
        <v>416.0</v>
      </c>
      <c r="P96" s="3" t="s">
        <v>5909</v>
      </c>
      <c r="Q96" s="3">
        <v>40.0</v>
      </c>
      <c r="R96" s="3">
        <v>40.0</v>
      </c>
      <c r="S96" s="3">
        <v>43.0</v>
      </c>
      <c r="T96" s="3">
        <v>43.0</v>
      </c>
      <c r="U96" s="3">
        <v>47.0</v>
      </c>
      <c r="V96" s="3">
        <v>48.0</v>
      </c>
      <c r="W96" s="3">
        <v>48.0</v>
      </c>
      <c r="X96" s="3">
        <v>46.0</v>
      </c>
      <c r="Y96" s="3">
        <v>41.0</v>
      </c>
      <c r="Z96" s="3">
        <v>47.0</v>
      </c>
      <c r="AA96" s="3">
        <v>42.0</v>
      </c>
      <c r="AB96" s="3">
        <v>49.0</v>
      </c>
      <c r="AC96" s="3">
        <v>50.0</v>
      </c>
      <c r="AD96" s="3">
        <v>44.0</v>
      </c>
      <c r="AE96" s="3">
        <v>42.0</v>
      </c>
      <c r="AF96" s="3">
        <v>22.0</v>
      </c>
      <c r="AG96" s="3">
        <v>13.0</v>
      </c>
      <c r="AH96" s="3">
        <v>60.0</v>
      </c>
      <c r="AI96" s="3">
        <v>76.0</v>
      </c>
      <c r="AJ96" s="3">
        <v>39.0</v>
      </c>
      <c r="AK96" s="3">
        <v>13.0</v>
      </c>
      <c r="AL96" s="3">
        <v>80.0</v>
      </c>
      <c r="AM96" s="3">
        <v>52.0</v>
      </c>
      <c r="AN96" s="3">
        <v>73.0</v>
      </c>
    </row>
    <row r="97" ht="14.25" customHeight="1">
      <c r="A97" s="3">
        <v>95.0</v>
      </c>
      <c r="B97" s="3" t="s">
        <v>6277</v>
      </c>
      <c r="C97" s="3">
        <v>31.0</v>
      </c>
      <c r="D97" s="3" t="s">
        <v>6646</v>
      </c>
      <c r="E97" s="3" t="s">
        <v>6645</v>
      </c>
      <c r="F97" s="3" t="s">
        <v>6646</v>
      </c>
      <c r="G97" s="3" t="s">
        <v>6645</v>
      </c>
      <c r="H97" s="3" t="s">
        <v>6645</v>
      </c>
      <c r="I97" s="3" t="s">
        <v>6645</v>
      </c>
      <c r="J97" s="3">
        <v>-1.0</v>
      </c>
      <c r="K97" s="3">
        <v>2.0</v>
      </c>
      <c r="L97" s="3">
        <v>0.0</v>
      </c>
      <c r="M97" s="3">
        <v>0.0</v>
      </c>
      <c r="N97" s="3">
        <v>958.713</v>
      </c>
      <c r="O97" s="3">
        <v>371.0</v>
      </c>
      <c r="P97" s="3" t="s">
        <v>5952</v>
      </c>
      <c r="Q97" s="3">
        <v>39.0</v>
      </c>
      <c r="R97" s="3">
        <v>44.0</v>
      </c>
      <c r="S97" s="3">
        <v>42.0</v>
      </c>
      <c r="T97" s="3">
        <v>38.0</v>
      </c>
      <c r="U97" s="3">
        <v>43.0</v>
      </c>
      <c r="V97" s="3">
        <v>44.0</v>
      </c>
      <c r="W97" s="3">
        <v>36.0</v>
      </c>
      <c r="X97" s="3">
        <v>41.0</v>
      </c>
      <c r="Y97" s="3">
        <v>43.0</v>
      </c>
      <c r="Z97" s="3">
        <v>29.0</v>
      </c>
      <c r="AA97" s="3">
        <v>40.0</v>
      </c>
      <c r="AB97" s="3">
        <v>37.0</v>
      </c>
      <c r="AC97" s="3">
        <v>41.0</v>
      </c>
      <c r="AD97" s="3">
        <v>49.0</v>
      </c>
      <c r="AE97" s="3">
        <v>29.0</v>
      </c>
      <c r="AF97" s="3">
        <v>58.0</v>
      </c>
      <c r="AG97" s="3">
        <v>52.0</v>
      </c>
      <c r="AH97" s="3">
        <v>24.0</v>
      </c>
      <c r="AI97" s="3">
        <v>80.0</v>
      </c>
      <c r="AJ97" s="3">
        <v>39.0</v>
      </c>
      <c r="AK97" s="3">
        <v>61.0</v>
      </c>
      <c r="AL97" s="3">
        <v>41.0</v>
      </c>
      <c r="AM97" s="3">
        <v>39.0</v>
      </c>
      <c r="AN97" s="3">
        <v>38.0</v>
      </c>
    </row>
    <row r="98" ht="14.25" customHeight="1">
      <c r="A98" s="3">
        <v>96.0</v>
      </c>
      <c r="B98" s="3" t="s">
        <v>6280</v>
      </c>
      <c r="C98" s="3">
        <v>33.0</v>
      </c>
      <c r="D98" s="3" t="s">
        <v>6646</v>
      </c>
      <c r="E98" s="3" t="s">
        <v>6645</v>
      </c>
      <c r="F98" s="3" t="s">
        <v>6646</v>
      </c>
      <c r="G98" s="3" t="s">
        <v>6645</v>
      </c>
      <c r="H98" s="3" t="s">
        <v>6645</v>
      </c>
      <c r="I98" s="3" t="s">
        <v>6645</v>
      </c>
      <c r="J98" s="3">
        <v>-1.0</v>
      </c>
      <c r="K98" s="3">
        <v>1.0</v>
      </c>
      <c r="L98" s="3">
        <v>0.0</v>
      </c>
      <c r="M98" s="3">
        <v>0.0</v>
      </c>
      <c r="N98" s="3">
        <v>1211.7332</v>
      </c>
      <c r="O98" s="3">
        <v>191.0</v>
      </c>
      <c r="P98" s="3" t="s">
        <v>5909</v>
      </c>
      <c r="Q98" s="3">
        <v>38.0</v>
      </c>
      <c r="R98" s="3">
        <v>38.0</v>
      </c>
      <c r="S98" s="3">
        <v>35.0</v>
      </c>
      <c r="T98" s="3">
        <v>39.0</v>
      </c>
      <c r="U98" s="3">
        <v>38.0</v>
      </c>
      <c r="V98" s="3">
        <v>42.0</v>
      </c>
      <c r="W98" s="3">
        <v>38.0</v>
      </c>
      <c r="X98" s="3">
        <v>48.0</v>
      </c>
      <c r="Y98" s="3">
        <v>35.0</v>
      </c>
      <c r="Z98" s="3">
        <v>48.0</v>
      </c>
      <c r="AA98" s="3">
        <v>32.0</v>
      </c>
      <c r="AB98" s="3">
        <v>49.0</v>
      </c>
      <c r="AC98" s="3">
        <v>39.0</v>
      </c>
      <c r="AD98" s="3">
        <v>33.0</v>
      </c>
      <c r="AE98" s="3">
        <v>37.0</v>
      </c>
      <c r="AF98" s="3">
        <v>56.0</v>
      </c>
      <c r="AG98" s="3">
        <v>41.0</v>
      </c>
      <c r="AH98" s="3">
        <v>40.0</v>
      </c>
      <c r="AI98" s="3">
        <v>51.0</v>
      </c>
      <c r="AJ98" s="3">
        <v>33.0</v>
      </c>
      <c r="AK98" s="3">
        <v>36.0</v>
      </c>
      <c r="AL98" s="3">
        <v>35.0</v>
      </c>
      <c r="AM98" s="3">
        <v>34.0</v>
      </c>
      <c r="AN98" s="3">
        <v>46.0</v>
      </c>
    </row>
    <row r="99" ht="14.25" customHeight="1">
      <c r="A99" s="3">
        <v>97.0</v>
      </c>
      <c r="B99" s="3" t="s">
        <v>6284</v>
      </c>
      <c r="C99" s="3">
        <v>30.0</v>
      </c>
      <c r="D99" s="3" t="s">
        <v>6646</v>
      </c>
      <c r="E99" s="3" t="s">
        <v>6645</v>
      </c>
      <c r="F99" s="3" t="s">
        <v>6646</v>
      </c>
      <c r="G99" s="3" t="s">
        <v>6645</v>
      </c>
      <c r="H99" s="3" t="s">
        <v>6645</v>
      </c>
      <c r="I99" s="3" t="s">
        <v>6645</v>
      </c>
      <c r="J99" s="3">
        <v>-1.0</v>
      </c>
      <c r="K99" s="3">
        <v>1.0</v>
      </c>
      <c r="L99" s="3">
        <v>0.0</v>
      </c>
      <c r="M99" s="3">
        <v>0.0</v>
      </c>
      <c r="N99" s="3">
        <v>1117.4975</v>
      </c>
      <c r="O99" s="3">
        <v>215.0</v>
      </c>
      <c r="P99" s="3" t="s">
        <v>5952</v>
      </c>
      <c r="Q99" s="3">
        <v>35.0</v>
      </c>
      <c r="R99" s="3">
        <v>44.0</v>
      </c>
      <c r="S99" s="3">
        <v>44.0</v>
      </c>
      <c r="T99" s="3">
        <v>38.0</v>
      </c>
      <c r="U99" s="3">
        <v>36.0</v>
      </c>
      <c r="V99" s="3">
        <v>36.0</v>
      </c>
      <c r="W99" s="3">
        <v>42.0</v>
      </c>
      <c r="X99" s="3">
        <v>49.0</v>
      </c>
      <c r="Y99" s="3">
        <v>38.0</v>
      </c>
      <c r="Z99" s="3">
        <v>34.0</v>
      </c>
      <c r="AA99" s="3">
        <v>31.0</v>
      </c>
      <c r="AB99" s="3">
        <v>50.0</v>
      </c>
      <c r="AC99" s="3">
        <v>41.0</v>
      </c>
      <c r="AD99" s="3">
        <v>39.0</v>
      </c>
      <c r="AE99" s="3">
        <v>38.0</v>
      </c>
      <c r="AF99" s="3">
        <v>50.0</v>
      </c>
      <c r="AG99" s="3">
        <v>59.0</v>
      </c>
      <c r="AH99" s="3">
        <v>34.0</v>
      </c>
      <c r="AI99" s="3">
        <v>37.0</v>
      </c>
      <c r="AJ99" s="3">
        <v>59.0</v>
      </c>
      <c r="AK99" s="3">
        <v>50.0</v>
      </c>
      <c r="AL99" s="3">
        <v>61.0</v>
      </c>
      <c r="AM99" s="3">
        <v>48.0</v>
      </c>
      <c r="AN99" s="3">
        <v>47.0</v>
      </c>
    </row>
    <row r="100" ht="14.25" customHeight="1">
      <c r="A100" s="3">
        <v>98.0</v>
      </c>
      <c r="B100" s="3" t="s">
        <v>6287</v>
      </c>
      <c r="C100" s="3">
        <v>48.0</v>
      </c>
      <c r="D100" s="3" t="s">
        <v>6646</v>
      </c>
      <c r="E100" s="3" t="s">
        <v>6645</v>
      </c>
      <c r="F100" s="3" t="s">
        <v>6646</v>
      </c>
      <c r="G100" s="3" t="s">
        <v>6645</v>
      </c>
      <c r="H100" s="3" t="s">
        <v>6645</v>
      </c>
      <c r="I100" s="3" t="s">
        <v>6645</v>
      </c>
      <c r="J100" s="3">
        <v>-1.0</v>
      </c>
      <c r="K100" s="3">
        <v>4.0</v>
      </c>
      <c r="L100" s="3">
        <v>0.0</v>
      </c>
      <c r="M100" s="3">
        <v>0.0</v>
      </c>
      <c r="N100" s="3">
        <v>8382.1</v>
      </c>
      <c r="O100" s="3">
        <v>1610.0</v>
      </c>
      <c r="P100" s="3" t="s">
        <v>5931</v>
      </c>
      <c r="Q100" s="3">
        <v>58.0</v>
      </c>
      <c r="R100" s="3">
        <v>51.0</v>
      </c>
      <c r="S100" s="3">
        <v>62.0</v>
      </c>
      <c r="T100" s="3">
        <v>57.0</v>
      </c>
      <c r="U100" s="3">
        <v>52.0</v>
      </c>
      <c r="V100" s="3">
        <v>64.0</v>
      </c>
      <c r="W100" s="3">
        <v>54.0</v>
      </c>
      <c r="X100" s="3">
        <v>76.0</v>
      </c>
      <c r="Y100" s="3">
        <v>51.0</v>
      </c>
      <c r="Z100" s="3">
        <v>59.0</v>
      </c>
      <c r="AA100" s="3">
        <v>56.0</v>
      </c>
      <c r="AB100" s="3">
        <v>46.0</v>
      </c>
      <c r="AC100" s="3">
        <v>45.0</v>
      </c>
      <c r="AD100" s="3">
        <v>64.0</v>
      </c>
      <c r="AE100" s="3">
        <v>53.0</v>
      </c>
      <c r="AF100" s="3">
        <v>25.0</v>
      </c>
      <c r="AG100" s="3">
        <v>78.0</v>
      </c>
      <c r="AH100" s="3">
        <v>65.0</v>
      </c>
      <c r="AI100" s="3">
        <v>56.0</v>
      </c>
      <c r="AJ100" s="3">
        <v>30.0</v>
      </c>
      <c r="AK100" s="3">
        <v>52.0</v>
      </c>
      <c r="AL100" s="3">
        <v>32.0</v>
      </c>
      <c r="AM100" s="3">
        <v>81.0</v>
      </c>
      <c r="AN100" s="3">
        <v>78.0</v>
      </c>
    </row>
    <row r="101" ht="14.25" customHeight="1">
      <c r="A101" s="3">
        <v>99.0</v>
      </c>
      <c r="B101" s="3" t="s">
        <v>6290</v>
      </c>
      <c r="C101" s="3">
        <v>43.0</v>
      </c>
      <c r="D101" s="3" t="s">
        <v>6646</v>
      </c>
      <c r="E101" s="3" t="s">
        <v>6645</v>
      </c>
      <c r="F101" s="3" t="s">
        <v>6646</v>
      </c>
      <c r="G101" s="3" t="s">
        <v>6645</v>
      </c>
      <c r="H101" s="3" t="s">
        <v>6645</v>
      </c>
      <c r="I101" s="3" t="s">
        <v>6645</v>
      </c>
      <c r="J101" s="3">
        <v>-1.0</v>
      </c>
      <c r="K101" s="3">
        <v>3.0</v>
      </c>
      <c r="L101" s="3">
        <v>0.0</v>
      </c>
      <c r="M101" s="3">
        <v>0.0</v>
      </c>
      <c r="N101" s="3">
        <v>4390.53</v>
      </c>
      <c r="O101" s="3">
        <v>921.0</v>
      </c>
      <c r="P101" s="3" t="s">
        <v>5909</v>
      </c>
      <c r="Q101" s="3">
        <v>50.0</v>
      </c>
      <c r="R101" s="3">
        <v>48.0</v>
      </c>
      <c r="S101" s="3">
        <v>54.0</v>
      </c>
      <c r="T101" s="3">
        <v>56.0</v>
      </c>
      <c r="U101" s="3">
        <v>49.0</v>
      </c>
      <c r="V101" s="3">
        <v>50.0</v>
      </c>
      <c r="W101" s="3">
        <v>46.0</v>
      </c>
      <c r="X101" s="3">
        <v>47.0</v>
      </c>
      <c r="Y101" s="3">
        <v>60.0</v>
      </c>
      <c r="Z101" s="3">
        <v>50.0</v>
      </c>
      <c r="AA101" s="3">
        <v>50.0</v>
      </c>
      <c r="AB101" s="3">
        <v>52.0</v>
      </c>
      <c r="AC101" s="3">
        <v>58.0</v>
      </c>
      <c r="AD101" s="3">
        <v>48.0</v>
      </c>
      <c r="AE101" s="3">
        <v>45.0</v>
      </c>
      <c r="AF101" s="3">
        <v>49.0</v>
      </c>
      <c r="AG101" s="3">
        <v>63.0</v>
      </c>
      <c r="AH101" s="3">
        <v>38.0</v>
      </c>
      <c r="AI101" s="3">
        <v>48.0</v>
      </c>
      <c r="AJ101" s="3">
        <v>40.0</v>
      </c>
      <c r="AK101" s="3">
        <v>36.0</v>
      </c>
      <c r="AL101" s="3">
        <v>58.0</v>
      </c>
      <c r="AM101" s="3">
        <v>51.0</v>
      </c>
      <c r="AN101" s="3">
        <v>79.0</v>
      </c>
    </row>
    <row r="102" ht="14.25" customHeight="1">
      <c r="A102" s="3">
        <v>100.0</v>
      </c>
      <c r="B102" s="3" t="s">
        <v>6293</v>
      </c>
      <c r="C102" s="3">
        <v>39.0</v>
      </c>
      <c r="D102" s="3" t="s">
        <v>6646</v>
      </c>
      <c r="E102" s="3" t="s">
        <v>6645</v>
      </c>
      <c r="F102" s="3" t="s">
        <v>6646</v>
      </c>
      <c r="G102" s="3" t="s">
        <v>6645</v>
      </c>
      <c r="H102" s="3" t="s">
        <v>6645</v>
      </c>
      <c r="I102" s="3" t="s">
        <v>6645</v>
      </c>
      <c r="J102" s="3">
        <v>-1.0</v>
      </c>
      <c r="K102" s="3">
        <v>2.0</v>
      </c>
      <c r="L102" s="3">
        <v>0.0</v>
      </c>
      <c r="M102" s="3">
        <v>0.0</v>
      </c>
      <c r="N102" s="3">
        <v>2207.88</v>
      </c>
      <c r="O102" s="3">
        <v>450.0</v>
      </c>
      <c r="P102" s="3" t="s">
        <v>5899</v>
      </c>
      <c r="Q102" s="3">
        <v>46.0</v>
      </c>
      <c r="R102" s="3">
        <v>46.0</v>
      </c>
      <c r="S102" s="3">
        <v>48.0</v>
      </c>
      <c r="T102" s="3">
        <v>41.0</v>
      </c>
      <c r="U102" s="3">
        <v>45.0</v>
      </c>
      <c r="V102" s="3">
        <v>45.0</v>
      </c>
      <c r="W102" s="3">
        <v>49.0</v>
      </c>
      <c r="X102" s="3">
        <v>40.0</v>
      </c>
      <c r="Y102" s="3">
        <v>44.0</v>
      </c>
      <c r="Z102" s="3">
        <v>43.0</v>
      </c>
      <c r="AA102" s="3">
        <v>49.0</v>
      </c>
      <c r="AB102" s="3">
        <v>43.0</v>
      </c>
      <c r="AC102" s="3">
        <v>48.0</v>
      </c>
      <c r="AD102" s="3">
        <v>39.0</v>
      </c>
      <c r="AE102" s="3">
        <v>49.0</v>
      </c>
      <c r="AF102" s="3">
        <v>42.0</v>
      </c>
      <c r="AG102" s="3">
        <v>55.0</v>
      </c>
      <c r="AH102" s="3">
        <v>57.0</v>
      </c>
      <c r="AI102" s="3">
        <v>51.0</v>
      </c>
      <c r="AJ102" s="3">
        <v>69.0</v>
      </c>
      <c r="AK102" s="3">
        <v>26.0</v>
      </c>
      <c r="AL102" s="3">
        <v>46.0</v>
      </c>
      <c r="AM102" s="3">
        <v>30.0</v>
      </c>
      <c r="AN102" s="3">
        <v>81.0</v>
      </c>
    </row>
    <row r="103" ht="14.25" customHeight="1">
      <c r="A103" s="3">
        <v>101.0</v>
      </c>
      <c r="B103" s="3" t="s">
        <v>6296</v>
      </c>
      <c r="C103" s="3">
        <v>40.0</v>
      </c>
      <c r="D103" s="3" t="s">
        <v>6646</v>
      </c>
      <c r="E103" s="3" t="s">
        <v>6645</v>
      </c>
      <c r="F103" s="3" t="s">
        <v>6646</v>
      </c>
      <c r="G103" s="3" t="s">
        <v>6645</v>
      </c>
      <c r="H103" s="3" t="s">
        <v>6645</v>
      </c>
      <c r="I103" s="3" t="s">
        <v>6645</v>
      </c>
      <c r="J103" s="3">
        <v>-1.0</v>
      </c>
      <c r="K103" s="3">
        <v>2.0</v>
      </c>
      <c r="L103" s="3">
        <v>0.0</v>
      </c>
      <c r="M103" s="3">
        <v>0.0</v>
      </c>
      <c r="N103" s="3">
        <v>2406.76</v>
      </c>
      <c r="O103" s="3">
        <v>473.0</v>
      </c>
      <c r="P103" s="3" t="s">
        <v>5952</v>
      </c>
      <c r="Q103" s="3">
        <v>42.0</v>
      </c>
      <c r="R103" s="3">
        <v>49.0</v>
      </c>
      <c r="S103" s="3">
        <v>40.0</v>
      </c>
      <c r="T103" s="3">
        <v>46.0</v>
      </c>
      <c r="U103" s="3">
        <v>43.0</v>
      </c>
      <c r="V103" s="3">
        <v>46.0</v>
      </c>
      <c r="W103" s="3">
        <v>46.0</v>
      </c>
      <c r="X103" s="3">
        <v>44.0</v>
      </c>
      <c r="Y103" s="3">
        <v>46.0</v>
      </c>
      <c r="Z103" s="3">
        <v>46.0</v>
      </c>
      <c r="AA103" s="3">
        <v>37.0</v>
      </c>
      <c r="AB103" s="3">
        <v>55.0</v>
      </c>
      <c r="AC103" s="3">
        <v>44.0</v>
      </c>
      <c r="AD103" s="3">
        <v>38.0</v>
      </c>
      <c r="AE103" s="3">
        <v>41.0</v>
      </c>
      <c r="AF103" s="3">
        <v>51.0</v>
      </c>
      <c r="AG103" s="3">
        <v>59.0</v>
      </c>
      <c r="AH103" s="3">
        <v>40.0</v>
      </c>
      <c r="AI103" s="3">
        <v>39.0</v>
      </c>
      <c r="AJ103" s="3">
        <v>36.0</v>
      </c>
      <c r="AK103" s="3">
        <v>49.0</v>
      </c>
      <c r="AL103" s="3">
        <v>63.0</v>
      </c>
      <c r="AM103" s="3">
        <v>39.0</v>
      </c>
      <c r="AN103" s="3">
        <v>35.0</v>
      </c>
    </row>
    <row r="104" ht="14.25" customHeight="1">
      <c r="A104" s="3">
        <v>102.0</v>
      </c>
      <c r="B104" s="3" t="s">
        <v>6299</v>
      </c>
      <c r="C104" s="3">
        <v>45.0</v>
      </c>
      <c r="D104" s="3" t="s">
        <v>6646</v>
      </c>
      <c r="E104" s="3" t="s">
        <v>6645</v>
      </c>
      <c r="F104" s="3" t="s">
        <v>6646</v>
      </c>
      <c r="G104" s="3" t="s">
        <v>6645</v>
      </c>
      <c r="H104" s="3" t="s">
        <v>6645</v>
      </c>
      <c r="I104" s="3" t="s">
        <v>6645</v>
      </c>
      <c r="J104" s="3">
        <v>-1.0</v>
      </c>
      <c r="K104" s="3">
        <v>2.0</v>
      </c>
      <c r="L104" s="3">
        <v>0.0</v>
      </c>
      <c r="M104" s="3">
        <v>0.0</v>
      </c>
      <c r="N104" s="3">
        <v>2168.5617</v>
      </c>
      <c r="O104" s="3">
        <v>429.0</v>
      </c>
      <c r="P104" s="3" t="s">
        <v>5899</v>
      </c>
      <c r="Q104" s="3">
        <v>46.0</v>
      </c>
      <c r="R104" s="3">
        <v>48.0</v>
      </c>
      <c r="S104" s="3">
        <v>43.0</v>
      </c>
      <c r="T104" s="3">
        <v>45.0</v>
      </c>
      <c r="U104" s="3">
        <v>40.0</v>
      </c>
      <c r="V104" s="3">
        <v>40.0</v>
      </c>
      <c r="W104" s="3">
        <v>50.0</v>
      </c>
      <c r="X104" s="3">
        <v>40.0</v>
      </c>
      <c r="Y104" s="3">
        <v>45.0</v>
      </c>
      <c r="Z104" s="3">
        <v>35.0</v>
      </c>
      <c r="AA104" s="3">
        <v>45.0</v>
      </c>
      <c r="AB104" s="3">
        <v>43.0</v>
      </c>
      <c r="AC104" s="3">
        <v>47.0</v>
      </c>
      <c r="AD104" s="3">
        <v>48.0</v>
      </c>
      <c r="AE104" s="3">
        <v>47.0</v>
      </c>
      <c r="AF104" s="3">
        <v>76.0</v>
      </c>
      <c r="AG104" s="3">
        <v>37.0</v>
      </c>
      <c r="AH104" s="3">
        <v>49.0</v>
      </c>
      <c r="AI104" s="3">
        <v>60.0</v>
      </c>
      <c r="AJ104" s="3">
        <v>60.0</v>
      </c>
      <c r="AK104" s="3">
        <v>54.0</v>
      </c>
      <c r="AL104" s="3">
        <v>34.0</v>
      </c>
      <c r="AM104" s="3">
        <v>48.0</v>
      </c>
      <c r="AN104" s="3">
        <v>34.0</v>
      </c>
    </row>
    <row r="105" ht="14.25" customHeight="1">
      <c r="A105" s="3">
        <v>103.0</v>
      </c>
      <c r="B105" s="3" t="s">
        <v>6302</v>
      </c>
      <c r="C105" s="3">
        <v>33.0</v>
      </c>
      <c r="D105" s="3" t="s">
        <v>6646</v>
      </c>
      <c r="E105" s="3" t="s">
        <v>6645</v>
      </c>
      <c r="F105" s="3" t="s">
        <v>6646</v>
      </c>
      <c r="G105" s="3" t="s">
        <v>6645</v>
      </c>
      <c r="H105" s="3" t="s">
        <v>6645</v>
      </c>
      <c r="I105" s="3" t="s">
        <v>6645</v>
      </c>
      <c r="J105" s="3">
        <v>-1.0</v>
      </c>
      <c r="K105" s="3">
        <v>1.0</v>
      </c>
      <c r="L105" s="3">
        <v>0.0</v>
      </c>
      <c r="M105" s="3">
        <v>0.0</v>
      </c>
      <c r="N105" s="3">
        <v>1006.2897</v>
      </c>
      <c r="O105" s="3">
        <v>204.0</v>
      </c>
      <c r="P105" s="3" t="s">
        <v>5909</v>
      </c>
      <c r="Q105" s="3">
        <v>37.0</v>
      </c>
      <c r="R105" s="3">
        <v>36.0</v>
      </c>
      <c r="S105" s="3">
        <v>42.0</v>
      </c>
      <c r="T105" s="3">
        <v>36.0</v>
      </c>
      <c r="U105" s="3">
        <v>37.0</v>
      </c>
      <c r="V105" s="3">
        <v>38.0</v>
      </c>
      <c r="W105" s="3">
        <v>41.0</v>
      </c>
      <c r="X105" s="3">
        <v>27.0</v>
      </c>
      <c r="Y105" s="3">
        <v>37.0</v>
      </c>
      <c r="Z105" s="3">
        <v>45.0</v>
      </c>
      <c r="AA105" s="3">
        <v>40.0</v>
      </c>
      <c r="AB105" s="3">
        <v>40.0</v>
      </c>
      <c r="AC105" s="3">
        <v>39.0</v>
      </c>
      <c r="AD105" s="3">
        <v>36.0</v>
      </c>
      <c r="AE105" s="3">
        <v>32.0</v>
      </c>
      <c r="AF105" s="3">
        <v>36.0</v>
      </c>
      <c r="AG105" s="3">
        <v>68.0</v>
      </c>
      <c r="AH105" s="3">
        <v>47.0</v>
      </c>
      <c r="AI105" s="3">
        <v>4.0</v>
      </c>
      <c r="AJ105" s="3">
        <v>17.0</v>
      </c>
      <c r="AK105" s="3">
        <v>71.0</v>
      </c>
      <c r="AL105" s="3">
        <v>54.0</v>
      </c>
      <c r="AM105" s="3">
        <v>68.0</v>
      </c>
      <c r="AN105" s="3">
        <v>25.0</v>
      </c>
    </row>
    <row r="106" ht="14.25" customHeight="1">
      <c r="A106" s="3">
        <v>104.0</v>
      </c>
      <c r="B106" s="3" t="s">
        <v>6306</v>
      </c>
      <c r="C106" s="3">
        <v>52.0</v>
      </c>
      <c r="D106" s="3" t="s">
        <v>6646</v>
      </c>
      <c r="E106" s="3" t="s">
        <v>6645</v>
      </c>
      <c r="F106" s="3" t="s">
        <v>6646</v>
      </c>
      <c r="G106" s="3" t="s">
        <v>6645</v>
      </c>
      <c r="H106" s="3" t="s">
        <v>6645</v>
      </c>
      <c r="I106" s="3" t="s">
        <v>6645</v>
      </c>
      <c r="J106" s="3">
        <v>-1.0</v>
      </c>
      <c r="K106" s="3">
        <v>3.0</v>
      </c>
      <c r="L106" s="3">
        <v>0.0</v>
      </c>
      <c r="M106" s="3">
        <v>0.0</v>
      </c>
      <c r="N106" s="3">
        <v>4921.4653</v>
      </c>
      <c r="O106" s="3">
        <v>618.0</v>
      </c>
      <c r="P106" s="3" t="s">
        <v>5909</v>
      </c>
      <c r="Q106" s="3">
        <v>52.0</v>
      </c>
      <c r="R106" s="3">
        <v>47.0</v>
      </c>
      <c r="S106" s="3">
        <v>47.0</v>
      </c>
      <c r="T106" s="3">
        <v>54.0</v>
      </c>
      <c r="U106" s="3">
        <v>54.0</v>
      </c>
      <c r="V106" s="3">
        <v>52.0</v>
      </c>
      <c r="W106" s="3">
        <v>53.0</v>
      </c>
      <c r="X106" s="3">
        <v>61.0</v>
      </c>
      <c r="Y106" s="3">
        <v>50.0</v>
      </c>
      <c r="Z106" s="3">
        <v>46.0</v>
      </c>
      <c r="AA106" s="3">
        <v>47.0</v>
      </c>
      <c r="AB106" s="3">
        <v>53.0</v>
      </c>
      <c r="AC106" s="3">
        <v>51.0</v>
      </c>
      <c r="AD106" s="3">
        <v>48.0</v>
      </c>
      <c r="AE106" s="3">
        <v>52.0</v>
      </c>
      <c r="AF106" s="3">
        <v>65.0</v>
      </c>
      <c r="AG106" s="3">
        <v>46.0</v>
      </c>
      <c r="AH106" s="3">
        <v>32.0</v>
      </c>
      <c r="AI106" s="3">
        <v>15.0</v>
      </c>
      <c r="AJ106" s="3">
        <v>42.0</v>
      </c>
      <c r="AK106" s="3">
        <v>69.0</v>
      </c>
      <c r="AL106" s="3">
        <v>79.0</v>
      </c>
      <c r="AM106" s="3">
        <v>50.0</v>
      </c>
      <c r="AN106" s="3">
        <v>47.0</v>
      </c>
    </row>
    <row r="107" ht="14.25" customHeight="1">
      <c r="A107" s="3">
        <v>105.0</v>
      </c>
      <c r="B107" s="3" t="s">
        <v>6310</v>
      </c>
      <c r="C107" s="3">
        <v>39.0</v>
      </c>
      <c r="D107" s="3" t="s">
        <v>6646</v>
      </c>
      <c r="E107" s="3" t="s">
        <v>6645</v>
      </c>
      <c r="F107" s="3" t="s">
        <v>6646</v>
      </c>
      <c r="G107" s="3" t="s">
        <v>6645</v>
      </c>
      <c r="H107" s="3" t="s">
        <v>6645</v>
      </c>
      <c r="I107" s="3" t="s">
        <v>6645</v>
      </c>
      <c r="J107" s="3">
        <v>-1.0</v>
      </c>
      <c r="K107" s="3">
        <v>2.0</v>
      </c>
      <c r="L107" s="3">
        <v>0.0</v>
      </c>
      <c r="M107" s="3">
        <v>0.0</v>
      </c>
      <c r="N107" s="3">
        <v>2574.9438</v>
      </c>
      <c r="O107" s="3">
        <v>356.0</v>
      </c>
      <c r="P107" s="3" t="s">
        <v>5931</v>
      </c>
      <c r="Q107" s="3">
        <v>48.0</v>
      </c>
      <c r="R107" s="3">
        <v>41.0</v>
      </c>
      <c r="S107" s="3">
        <v>47.0</v>
      </c>
      <c r="T107" s="3">
        <v>45.0</v>
      </c>
      <c r="U107" s="3">
        <v>45.0</v>
      </c>
      <c r="V107" s="3">
        <v>43.0</v>
      </c>
      <c r="W107" s="3">
        <v>49.0</v>
      </c>
      <c r="X107" s="3">
        <v>42.0</v>
      </c>
      <c r="Y107" s="3">
        <v>41.0</v>
      </c>
      <c r="Z107" s="3">
        <v>38.0</v>
      </c>
      <c r="AA107" s="3">
        <v>35.0</v>
      </c>
      <c r="AB107" s="3">
        <v>40.0</v>
      </c>
      <c r="AC107" s="3">
        <v>55.0</v>
      </c>
      <c r="AD107" s="3">
        <v>47.0</v>
      </c>
      <c r="AE107" s="3">
        <v>47.0</v>
      </c>
      <c r="AF107" s="3">
        <v>34.0</v>
      </c>
      <c r="AG107" s="3">
        <v>73.0</v>
      </c>
      <c r="AH107" s="3">
        <v>42.0</v>
      </c>
      <c r="AI107" s="3">
        <v>33.0</v>
      </c>
      <c r="AJ107" s="3">
        <v>42.0</v>
      </c>
      <c r="AK107" s="3">
        <v>57.0</v>
      </c>
      <c r="AL107" s="3">
        <v>75.0</v>
      </c>
      <c r="AM107" s="3">
        <v>61.0</v>
      </c>
      <c r="AN107" s="3">
        <v>47.0</v>
      </c>
    </row>
    <row r="108" ht="14.25" customHeight="1">
      <c r="A108" s="3">
        <v>106.0</v>
      </c>
      <c r="B108" s="3" t="s">
        <v>6313</v>
      </c>
      <c r="C108" s="3">
        <v>26.0</v>
      </c>
      <c r="D108" s="3" t="s">
        <v>6646</v>
      </c>
      <c r="E108" s="3" t="s">
        <v>6645</v>
      </c>
      <c r="F108" s="3" t="s">
        <v>6646</v>
      </c>
      <c r="G108" s="3" t="s">
        <v>6645</v>
      </c>
      <c r="H108" s="3" t="s">
        <v>6645</v>
      </c>
      <c r="I108" s="3" t="s">
        <v>6646</v>
      </c>
      <c r="J108" s="3">
        <v>-1.0</v>
      </c>
      <c r="K108" s="3">
        <v>1.0</v>
      </c>
      <c r="L108" s="3">
        <v>0.0</v>
      </c>
      <c r="M108" s="3">
        <v>0.0</v>
      </c>
      <c r="N108" s="3">
        <v>829.796</v>
      </c>
      <c r="O108" s="3">
        <v>169.0</v>
      </c>
      <c r="P108" s="3" t="s">
        <v>5899</v>
      </c>
      <c r="Q108" s="3">
        <v>37.0</v>
      </c>
      <c r="R108" s="3">
        <v>37.0</v>
      </c>
      <c r="S108" s="3">
        <v>42.0</v>
      </c>
      <c r="T108" s="3">
        <v>36.0</v>
      </c>
      <c r="U108" s="3">
        <v>39.0</v>
      </c>
      <c r="V108" s="3">
        <v>39.0</v>
      </c>
      <c r="W108" s="3">
        <v>38.0</v>
      </c>
      <c r="X108" s="3">
        <v>39.0</v>
      </c>
      <c r="Y108" s="3">
        <v>44.0</v>
      </c>
      <c r="Z108" s="3">
        <v>37.0</v>
      </c>
      <c r="AA108" s="3">
        <v>44.0</v>
      </c>
      <c r="AB108" s="3">
        <v>39.0</v>
      </c>
      <c r="AC108" s="3">
        <v>28.0</v>
      </c>
      <c r="AD108" s="3">
        <v>38.0</v>
      </c>
      <c r="AE108" s="3">
        <v>43.0</v>
      </c>
      <c r="AF108" s="3">
        <v>69.0</v>
      </c>
      <c r="AG108" s="3">
        <v>38.0</v>
      </c>
      <c r="AH108" s="3">
        <v>34.0</v>
      </c>
      <c r="AI108" s="3">
        <v>16.0</v>
      </c>
      <c r="AJ108" s="3">
        <v>36.0</v>
      </c>
      <c r="AK108" s="3">
        <v>77.0</v>
      </c>
      <c r="AL108" s="3">
        <v>48.0</v>
      </c>
      <c r="AM108" s="3">
        <v>43.0</v>
      </c>
      <c r="AN108" s="3">
        <v>27.0</v>
      </c>
    </row>
    <row r="109" ht="14.25" customHeight="1">
      <c r="A109" s="3">
        <v>107.0</v>
      </c>
      <c r="B109" s="3" t="s">
        <v>6316</v>
      </c>
      <c r="C109" s="3">
        <v>46.0</v>
      </c>
      <c r="D109" s="3" t="s">
        <v>6646</v>
      </c>
      <c r="E109" s="3" t="s">
        <v>6645</v>
      </c>
      <c r="F109" s="3" t="s">
        <v>6646</v>
      </c>
      <c r="G109" s="3" t="s">
        <v>6645</v>
      </c>
      <c r="H109" s="3" t="s">
        <v>6645</v>
      </c>
      <c r="I109" s="3" t="s">
        <v>6645</v>
      </c>
      <c r="J109" s="3">
        <v>-1.0</v>
      </c>
      <c r="K109" s="3">
        <v>0.0</v>
      </c>
      <c r="L109" s="3">
        <v>0.0</v>
      </c>
      <c r="M109" s="3">
        <v>0.0</v>
      </c>
      <c r="N109" s="3">
        <v>495.716</v>
      </c>
      <c r="O109" s="3">
        <v>120.0</v>
      </c>
      <c r="P109" s="3" t="s">
        <v>5952</v>
      </c>
      <c r="Q109" s="3">
        <v>36.0</v>
      </c>
      <c r="R109" s="3">
        <v>33.0</v>
      </c>
      <c r="S109" s="3">
        <v>37.0</v>
      </c>
      <c r="T109" s="3">
        <v>30.0</v>
      </c>
      <c r="U109" s="3">
        <v>33.0</v>
      </c>
      <c r="V109" s="3">
        <v>34.0</v>
      </c>
      <c r="W109" s="3">
        <v>40.0</v>
      </c>
      <c r="X109" s="3">
        <v>32.0</v>
      </c>
      <c r="Y109" s="3">
        <v>29.0</v>
      </c>
      <c r="Z109" s="3">
        <v>38.0</v>
      </c>
      <c r="AA109" s="3">
        <v>32.0</v>
      </c>
      <c r="AB109" s="3">
        <v>36.0</v>
      </c>
      <c r="AC109" s="3">
        <v>26.0</v>
      </c>
      <c r="AD109" s="3">
        <v>36.0</v>
      </c>
      <c r="AE109" s="3">
        <v>31.0</v>
      </c>
      <c r="AF109" s="3">
        <v>35.0</v>
      </c>
      <c r="AG109" s="3">
        <v>75.0</v>
      </c>
      <c r="AH109" s="3">
        <v>44.0</v>
      </c>
      <c r="AI109" s="3">
        <v>29.0</v>
      </c>
      <c r="AJ109" s="3">
        <v>69.0</v>
      </c>
      <c r="AK109" s="3">
        <v>55.0</v>
      </c>
      <c r="AL109" s="3">
        <v>14.0</v>
      </c>
      <c r="AM109" s="3">
        <v>48.0</v>
      </c>
      <c r="AN109" s="3">
        <v>55.0</v>
      </c>
    </row>
    <row r="110" ht="14.25" customHeight="1">
      <c r="A110" s="3">
        <v>108.0</v>
      </c>
      <c r="B110" s="3" t="s">
        <v>6318</v>
      </c>
      <c r="C110" s="3">
        <v>26.0</v>
      </c>
      <c r="D110" s="3" t="s">
        <v>6646</v>
      </c>
      <c r="E110" s="3" t="s">
        <v>6645</v>
      </c>
      <c r="F110" s="3" t="s">
        <v>6646</v>
      </c>
      <c r="G110" s="3" t="s">
        <v>6645</v>
      </c>
      <c r="H110" s="3" t="s">
        <v>6645</v>
      </c>
      <c r="I110" s="3" t="s">
        <v>6645</v>
      </c>
      <c r="J110" s="3">
        <v>-1.0</v>
      </c>
      <c r="K110" s="3">
        <v>0.0</v>
      </c>
      <c r="L110" s="3">
        <v>0.0</v>
      </c>
      <c r="M110" s="3">
        <v>0.0</v>
      </c>
      <c r="N110" s="3">
        <v>487.001</v>
      </c>
      <c r="O110" s="3">
        <v>95.0</v>
      </c>
      <c r="P110" s="3" t="s">
        <v>5952</v>
      </c>
      <c r="Q110" s="3">
        <v>37.0</v>
      </c>
      <c r="R110" s="3">
        <v>39.0</v>
      </c>
      <c r="S110" s="3">
        <v>30.0</v>
      </c>
      <c r="T110" s="3">
        <v>37.0</v>
      </c>
      <c r="U110" s="3">
        <v>31.0</v>
      </c>
      <c r="V110" s="3">
        <v>37.0</v>
      </c>
      <c r="W110" s="3">
        <v>32.0</v>
      </c>
      <c r="X110" s="3">
        <v>34.0</v>
      </c>
      <c r="Y110" s="3">
        <v>48.0</v>
      </c>
      <c r="Z110" s="3">
        <v>41.0</v>
      </c>
      <c r="AA110" s="3">
        <v>38.0</v>
      </c>
      <c r="AB110" s="3">
        <v>32.0</v>
      </c>
      <c r="AC110" s="3">
        <v>38.0</v>
      </c>
      <c r="AD110" s="3">
        <v>30.0</v>
      </c>
      <c r="AE110" s="3">
        <v>20.0</v>
      </c>
      <c r="AF110" s="3">
        <v>69.0</v>
      </c>
      <c r="AG110" s="3">
        <v>6.0</v>
      </c>
      <c r="AH110" s="3">
        <v>42.0</v>
      </c>
      <c r="AI110" s="3">
        <v>50.0</v>
      </c>
      <c r="AJ110" s="3">
        <v>36.0</v>
      </c>
      <c r="AK110" s="3">
        <v>19.0</v>
      </c>
      <c r="AL110" s="3">
        <v>69.0</v>
      </c>
      <c r="AM110" s="3">
        <v>62.0</v>
      </c>
      <c r="AN110" s="3">
        <v>44.0</v>
      </c>
    </row>
    <row r="111" ht="14.25" customHeight="1">
      <c r="A111" s="3">
        <v>109.0</v>
      </c>
      <c r="B111" s="3" t="s">
        <v>6322</v>
      </c>
      <c r="C111" s="3">
        <v>23.0</v>
      </c>
      <c r="D111" s="3" t="s">
        <v>6646</v>
      </c>
      <c r="E111" s="3" t="s">
        <v>6645</v>
      </c>
      <c r="F111" s="3" t="s">
        <v>6646</v>
      </c>
      <c r="G111" s="3" t="s">
        <v>6645</v>
      </c>
      <c r="H111" s="3" t="s">
        <v>6645</v>
      </c>
      <c r="I111" s="3" t="s">
        <v>6645</v>
      </c>
      <c r="J111" s="3">
        <v>-1.0</v>
      </c>
      <c r="K111" s="3">
        <v>0.0</v>
      </c>
      <c r="L111" s="3">
        <v>0.0</v>
      </c>
      <c r="M111" s="3">
        <v>0.0</v>
      </c>
      <c r="N111" s="3">
        <v>390.50524</v>
      </c>
      <c r="O111" s="3">
        <v>99.0</v>
      </c>
      <c r="P111" s="3" t="s">
        <v>5952</v>
      </c>
      <c r="Q111" s="3">
        <v>34.0</v>
      </c>
      <c r="R111" s="3">
        <v>37.0</v>
      </c>
      <c r="S111" s="3">
        <v>37.0</v>
      </c>
      <c r="T111" s="3">
        <v>38.0</v>
      </c>
      <c r="U111" s="3">
        <v>39.0</v>
      </c>
      <c r="V111" s="3">
        <v>36.0</v>
      </c>
      <c r="W111" s="3">
        <v>31.0</v>
      </c>
      <c r="X111" s="3">
        <v>33.0</v>
      </c>
      <c r="Y111" s="3">
        <v>48.0</v>
      </c>
      <c r="Z111" s="3">
        <v>34.0</v>
      </c>
      <c r="AA111" s="3">
        <v>28.0</v>
      </c>
      <c r="AB111" s="3">
        <v>32.0</v>
      </c>
      <c r="AC111" s="3">
        <v>24.0</v>
      </c>
      <c r="AD111" s="3">
        <v>41.0</v>
      </c>
      <c r="AE111" s="3">
        <v>36.0</v>
      </c>
      <c r="AF111" s="3">
        <v>61.0</v>
      </c>
      <c r="AG111" s="3">
        <v>14.0</v>
      </c>
      <c r="AH111" s="3">
        <v>10.0</v>
      </c>
      <c r="AI111" s="3">
        <v>54.0</v>
      </c>
      <c r="AJ111" s="3">
        <v>74.0</v>
      </c>
      <c r="AK111" s="3">
        <v>27.0</v>
      </c>
      <c r="AL111" s="3">
        <v>34.0</v>
      </c>
      <c r="AM111" s="3">
        <v>54.0</v>
      </c>
      <c r="AN111" s="3">
        <v>70.0</v>
      </c>
    </row>
    <row r="112" ht="14.25" customHeight="1">
      <c r="A112" s="3">
        <v>110.0</v>
      </c>
      <c r="B112" s="3" t="s">
        <v>6326</v>
      </c>
      <c r="C112" s="3">
        <v>22.0</v>
      </c>
      <c r="D112" s="3" t="s">
        <v>6646</v>
      </c>
      <c r="E112" s="3" t="s">
        <v>6645</v>
      </c>
      <c r="F112" s="3" t="s">
        <v>6646</v>
      </c>
      <c r="G112" s="3" t="s">
        <v>6645</v>
      </c>
      <c r="H112" s="3" t="s">
        <v>6645</v>
      </c>
      <c r="I112" s="3" t="s">
        <v>6645</v>
      </c>
      <c r="J112" s="3">
        <v>-1.0</v>
      </c>
      <c r="K112" s="3">
        <v>0.0</v>
      </c>
      <c r="L112" s="3">
        <v>0.0</v>
      </c>
      <c r="M112" s="3">
        <v>0.0</v>
      </c>
      <c r="N112" s="3">
        <v>519.06213</v>
      </c>
      <c r="O112" s="3">
        <v>106.0</v>
      </c>
      <c r="P112" s="3" t="s">
        <v>5952</v>
      </c>
      <c r="Q112" s="3">
        <v>33.0</v>
      </c>
      <c r="R112" s="3">
        <v>34.0</v>
      </c>
      <c r="S112" s="3">
        <v>30.0</v>
      </c>
      <c r="T112" s="3">
        <v>36.0</v>
      </c>
      <c r="U112" s="3">
        <v>32.0</v>
      </c>
      <c r="V112" s="3">
        <v>33.0</v>
      </c>
      <c r="W112" s="3">
        <v>21.0</v>
      </c>
      <c r="X112" s="3">
        <v>40.0</v>
      </c>
      <c r="Y112" s="3">
        <v>30.0</v>
      </c>
      <c r="Z112" s="3">
        <v>34.0</v>
      </c>
      <c r="AA112" s="3">
        <v>23.0</v>
      </c>
      <c r="AB112" s="3">
        <v>32.0</v>
      </c>
      <c r="AC112" s="3">
        <v>30.0</v>
      </c>
      <c r="AD112" s="3">
        <v>30.0</v>
      </c>
      <c r="AE112" s="3">
        <v>47.0</v>
      </c>
      <c r="AF112" s="3">
        <v>70.0</v>
      </c>
      <c r="AG112" s="3">
        <v>38.0</v>
      </c>
      <c r="AH112" s="3">
        <v>68.0</v>
      </c>
      <c r="AI112" s="3">
        <v>9.0</v>
      </c>
      <c r="AJ112" s="3">
        <v>73.0</v>
      </c>
      <c r="AK112" s="3">
        <v>32.0</v>
      </c>
      <c r="AL112" s="3">
        <v>20.0</v>
      </c>
      <c r="AM112" s="3">
        <v>59.0</v>
      </c>
      <c r="AN112" s="3">
        <v>14.0</v>
      </c>
    </row>
    <row r="113" ht="14.25" customHeight="1">
      <c r="A113" s="3">
        <v>111.0</v>
      </c>
      <c r="B113" s="3" t="s">
        <v>6329</v>
      </c>
      <c r="C113" s="3">
        <v>39.0</v>
      </c>
      <c r="D113" s="3" t="s">
        <v>6646</v>
      </c>
      <c r="E113" s="3" t="s">
        <v>6645</v>
      </c>
      <c r="F113" s="3" t="s">
        <v>6646</v>
      </c>
      <c r="G113" s="3" t="s">
        <v>6645</v>
      </c>
      <c r="H113" s="3" t="s">
        <v>6645</v>
      </c>
      <c r="I113" s="3" t="s">
        <v>6645</v>
      </c>
      <c r="J113" s="3">
        <v>-1.0</v>
      </c>
      <c r="K113" s="3">
        <v>3.0</v>
      </c>
      <c r="L113" s="3">
        <v>0.0</v>
      </c>
      <c r="M113" s="3">
        <v>0.0</v>
      </c>
      <c r="N113" s="3">
        <v>4848.33</v>
      </c>
      <c r="O113" s="3">
        <v>671.0</v>
      </c>
      <c r="P113" s="3" t="s">
        <v>5909</v>
      </c>
      <c r="Q113" s="3">
        <v>57.0</v>
      </c>
      <c r="R113" s="3">
        <v>53.0</v>
      </c>
      <c r="S113" s="3">
        <v>49.0</v>
      </c>
      <c r="T113" s="3">
        <v>48.0</v>
      </c>
      <c r="U113" s="3">
        <v>45.0</v>
      </c>
      <c r="V113" s="3">
        <v>47.0</v>
      </c>
      <c r="W113" s="3">
        <v>51.0</v>
      </c>
      <c r="X113" s="3">
        <v>40.0</v>
      </c>
      <c r="Y113" s="3">
        <v>57.0</v>
      </c>
      <c r="Z113" s="3">
        <v>49.0</v>
      </c>
      <c r="AA113" s="3">
        <v>48.0</v>
      </c>
      <c r="AB113" s="3">
        <v>52.0</v>
      </c>
      <c r="AC113" s="3">
        <v>42.0</v>
      </c>
      <c r="AD113" s="3">
        <v>50.0</v>
      </c>
      <c r="AE113" s="3">
        <v>47.0</v>
      </c>
      <c r="AF113" s="3">
        <v>27.0</v>
      </c>
      <c r="AG113" s="3">
        <v>77.0</v>
      </c>
      <c r="AH113" s="3">
        <v>65.0</v>
      </c>
      <c r="AI113" s="3">
        <v>75.0</v>
      </c>
      <c r="AJ113" s="3">
        <v>74.0</v>
      </c>
      <c r="AK113" s="3">
        <v>38.0</v>
      </c>
      <c r="AL113" s="3">
        <v>21.0</v>
      </c>
      <c r="AM113" s="3">
        <v>54.0</v>
      </c>
      <c r="AN113" s="3">
        <v>19.0</v>
      </c>
    </row>
    <row r="114" ht="14.25" customHeight="1">
      <c r="A114" s="3">
        <v>112.0</v>
      </c>
      <c r="B114" s="3" t="s">
        <v>6332</v>
      </c>
      <c r="C114" s="3">
        <v>42.0</v>
      </c>
      <c r="D114" s="3" t="s">
        <v>6646</v>
      </c>
      <c r="E114" s="3" t="s">
        <v>6645</v>
      </c>
      <c r="F114" s="3" t="s">
        <v>6646</v>
      </c>
      <c r="G114" s="3" t="s">
        <v>6645</v>
      </c>
      <c r="H114" s="3" t="s">
        <v>6645</v>
      </c>
      <c r="I114" s="3" t="s">
        <v>6645</v>
      </c>
      <c r="J114" s="3">
        <v>-1.0</v>
      </c>
      <c r="K114" s="3">
        <v>2.0</v>
      </c>
      <c r="L114" s="3">
        <v>0.0</v>
      </c>
      <c r="M114" s="3">
        <v>0.0</v>
      </c>
      <c r="N114" s="3">
        <v>2393.8488</v>
      </c>
      <c r="O114" s="3">
        <v>381.0</v>
      </c>
      <c r="P114" s="3" t="s">
        <v>5899</v>
      </c>
      <c r="Q114" s="3">
        <v>41.0</v>
      </c>
      <c r="R114" s="3">
        <v>47.0</v>
      </c>
      <c r="S114" s="3">
        <v>41.0</v>
      </c>
      <c r="T114" s="3">
        <v>49.0</v>
      </c>
      <c r="U114" s="3">
        <v>46.0</v>
      </c>
      <c r="V114" s="3">
        <v>47.0</v>
      </c>
      <c r="W114" s="3">
        <v>34.0</v>
      </c>
      <c r="X114" s="3">
        <v>47.0</v>
      </c>
      <c r="Y114" s="3">
        <v>50.0</v>
      </c>
      <c r="Z114" s="3">
        <v>56.0</v>
      </c>
      <c r="AA114" s="3">
        <v>44.0</v>
      </c>
      <c r="AB114" s="3">
        <v>40.0</v>
      </c>
      <c r="AC114" s="3">
        <v>41.0</v>
      </c>
      <c r="AD114" s="3">
        <v>47.0</v>
      </c>
      <c r="AE114" s="3">
        <v>47.0</v>
      </c>
      <c r="AF114" s="3">
        <v>22.0</v>
      </c>
      <c r="AG114" s="3">
        <v>48.0</v>
      </c>
      <c r="AH114" s="3">
        <v>48.0</v>
      </c>
      <c r="AI114" s="3">
        <v>58.0</v>
      </c>
      <c r="AJ114" s="3">
        <v>48.0</v>
      </c>
      <c r="AK114" s="3">
        <v>44.0</v>
      </c>
      <c r="AL114" s="3">
        <v>58.0</v>
      </c>
      <c r="AM114" s="3">
        <v>46.0</v>
      </c>
      <c r="AN114" s="3">
        <v>73.0</v>
      </c>
    </row>
    <row r="115" ht="14.25" customHeight="1">
      <c r="A115" s="3">
        <v>113.0</v>
      </c>
      <c r="B115" s="3" t="s">
        <v>6335</v>
      </c>
      <c r="C115" s="3">
        <v>34.0</v>
      </c>
      <c r="D115" s="3" t="s">
        <v>6646</v>
      </c>
      <c r="E115" s="3" t="s">
        <v>6645</v>
      </c>
      <c r="F115" s="3" t="s">
        <v>6646</v>
      </c>
      <c r="G115" s="3" t="s">
        <v>6645</v>
      </c>
      <c r="H115" s="3" t="s">
        <v>6645</v>
      </c>
      <c r="I115" s="3" t="s">
        <v>6645</v>
      </c>
      <c r="J115" s="3">
        <v>-1.0</v>
      </c>
      <c r="K115" s="3">
        <v>2.0</v>
      </c>
      <c r="L115" s="3">
        <v>0.0</v>
      </c>
      <c r="M115" s="3">
        <v>0.0</v>
      </c>
      <c r="N115" s="3">
        <v>2346.16</v>
      </c>
      <c r="O115" s="3">
        <v>442.0</v>
      </c>
      <c r="P115" s="3" t="s">
        <v>5909</v>
      </c>
      <c r="Q115" s="3">
        <v>47.0</v>
      </c>
      <c r="R115" s="3">
        <v>40.0</v>
      </c>
      <c r="S115" s="3">
        <v>46.0</v>
      </c>
      <c r="T115" s="3">
        <v>47.0</v>
      </c>
      <c r="U115" s="3">
        <v>41.0</v>
      </c>
      <c r="V115" s="3">
        <v>47.0</v>
      </c>
      <c r="W115" s="3">
        <v>41.0</v>
      </c>
      <c r="X115" s="3">
        <v>48.0</v>
      </c>
      <c r="Y115" s="3">
        <v>46.0</v>
      </c>
      <c r="Z115" s="3">
        <v>38.0</v>
      </c>
      <c r="AA115" s="3">
        <v>49.0</v>
      </c>
      <c r="AB115" s="3">
        <v>46.0</v>
      </c>
      <c r="AC115" s="3">
        <v>48.0</v>
      </c>
      <c r="AD115" s="3">
        <v>41.0</v>
      </c>
      <c r="AE115" s="3">
        <v>46.0</v>
      </c>
      <c r="AF115" s="3">
        <v>45.0</v>
      </c>
      <c r="AG115" s="3">
        <v>38.0</v>
      </c>
      <c r="AH115" s="3">
        <v>26.0</v>
      </c>
      <c r="AI115" s="3">
        <v>34.0</v>
      </c>
      <c r="AJ115" s="3">
        <v>72.0</v>
      </c>
      <c r="AK115" s="3">
        <v>53.0</v>
      </c>
      <c r="AL115" s="3">
        <v>37.0</v>
      </c>
      <c r="AM115" s="3">
        <v>56.0</v>
      </c>
      <c r="AN115" s="3">
        <v>34.0</v>
      </c>
    </row>
    <row r="116" ht="14.25" customHeight="1">
      <c r="A116" s="3">
        <v>114.0</v>
      </c>
      <c r="B116" s="3" t="s">
        <v>6338</v>
      </c>
      <c r="C116" s="3">
        <v>33.0</v>
      </c>
      <c r="D116" s="3" t="s">
        <v>6646</v>
      </c>
      <c r="E116" s="3" t="s">
        <v>6645</v>
      </c>
      <c r="F116" s="3" t="s">
        <v>6646</v>
      </c>
      <c r="G116" s="3" t="s">
        <v>6645</v>
      </c>
      <c r="H116" s="3" t="s">
        <v>6645</v>
      </c>
      <c r="I116" s="3" t="s">
        <v>6645</v>
      </c>
      <c r="J116" s="3">
        <v>-1.0</v>
      </c>
      <c r="K116" s="3">
        <v>1.0</v>
      </c>
      <c r="L116" s="3">
        <v>0.0</v>
      </c>
      <c r="M116" s="3">
        <v>0.0</v>
      </c>
      <c r="N116" s="3">
        <v>987.814</v>
      </c>
      <c r="O116" s="3">
        <v>158.0</v>
      </c>
      <c r="P116" s="3" t="s">
        <v>5899</v>
      </c>
      <c r="Q116" s="3">
        <v>36.0</v>
      </c>
      <c r="R116" s="3">
        <v>40.0</v>
      </c>
      <c r="S116" s="3">
        <v>44.0</v>
      </c>
      <c r="T116" s="3">
        <v>36.0</v>
      </c>
      <c r="U116" s="3">
        <v>36.0</v>
      </c>
      <c r="V116" s="3">
        <v>44.0</v>
      </c>
      <c r="W116" s="3">
        <v>48.0</v>
      </c>
      <c r="X116" s="3">
        <v>43.0</v>
      </c>
      <c r="Y116" s="3">
        <v>28.0</v>
      </c>
      <c r="Z116" s="3">
        <v>38.0</v>
      </c>
      <c r="AA116" s="3">
        <v>38.0</v>
      </c>
      <c r="AB116" s="3">
        <v>42.0</v>
      </c>
      <c r="AC116" s="3">
        <v>37.0</v>
      </c>
      <c r="AD116" s="3">
        <v>40.0</v>
      </c>
      <c r="AE116" s="3">
        <v>44.0</v>
      </c>
      <c r="AF116" s="3">
        <v>43.0</v>
      </c>
      <c r="AG116" s="3">
        <v>61.0</v>
      </c>
      <c r="AH116" s="3">
        <v>51.0</v>
      </c>
      <c r="AI116" s="3">
        <v>41.0</v>
      </c>
      <c r="AJ116" s="3">
        <v>50.0</v>
      </c>
      <c r="AK116" s="3">
        <v>50.0</v>
      </c>
      <c r="AL116" s="3">
        <v>56.0</v>
      </c>
      <c r="AM116" s="3">
        <v>42.0</v>
      </c>
      <c r="AN116" s="3">
        <v>36.0</v>
      </c>
    </row>
    <row r="117" ht="14.25" customHeight="1">
      <c r="A117" s="3">
        <v>115.0</v>
      </c>
      <c r="B117" s="3" t="s">
        <v>6342</v>
      </c>
      <c r="C117" s="3">
        <v>36.0</v>
      </c>
      <c r="D117" s="3" t="s">
        <v>6646</v>
      </c>
      <c r="E117" s="3" t="s">
        <v>6645</v>
      </c>
      <c r="F117" s="3" t="s">
        <v>6646</v>
      </c>
      <c r="G117" s="3" t="s">
        <v>6645</v>
      </c>
      <c r="H117" s="3" t="s">
        <v>6645</v>
      </c>
      <c r="I117" s="3" t="s">
        <v>6645</v>
      </c>
      <c r="J117" s="3">
        <v>-1.0</v>
      </c>
      <c r="K117" s="3">
        <v>1.0</v>
      </c>
      <c r="L117" s="3">
        <v>0.0</v>
      </c>
      <c r="M117" s="3">
        <v>0.0</v>
      </c>
      <c r="N117" s="3">
        <v>878.09735</v>
      </c>
      <c r="O117" s="3">
        <v>233.0</v>
      </c>
      <c r="P117" s="3" t="s">
        <v>5909</v>
      </c>
      <c r="Q117" s="3">
        <v>39.0</v>
      </c>
      <c r="R117" s="3">
        <v>39.0</v>
      </c>
      <c r="S117" s="3">
        <v>43.0</v>
      </c>
      <c r="T117" s="3">
        <v>40.0</v>
      </c>
      <c r="U117" s="3">
        <v>35.0</v>
      </c>
      <c r="V117" s="3">
        <v>43.0</v>
      </c>
      <c r="W117" s="3">
        <v>44.0</v>
      </c>
      <c r="X117" s="3">
        <v>48.0</v>
      </c>
      <c r="Y117" s="3">
        <v>42.0</v>
      </c>
      <c r="Z117" s="3">
        <v>52.0</v>
      </c>
      <c r="AA117" s="3">
        <v>41.0</v>
      </c>
      <c r="AB117" s="3">
        <v>32.0</v>
      </c>
      <c r="AC117" s="3">
        <v>36.0</v>
      </c>
      <c r="AD117" s="3">
        <v>36.0</v>
      </c>
      <c r="AE117" s="3">
        <v>35.0</v>
      </c>
      <c r="AF117" s="3">
        <v>72.0</v>
      </c>
      <c r="AG117" s="3">
        <v>27.0</v>
      </c>
      <c r="AH117" s="3">
        <v>66.0</v>
      </c>
      <c r="AI117" s="3">
        <v>32.0</v>
      </c>
      <c r="AJ117" s="3">
        <v>58.0</v>
      </c>
      <c r="AK117" s="3">
        <v>16.0</v>
      </c>
      <c r="AL117" s="3">
        <v>34.0</v>
      </c>
      <c r="AM117" s="3">
        <v>57.0</v>
      </c>
      <c r="AN117" s="3">
        <v>39.0</v>
      </c>
    </row>
    <row r="118" ht="14.25" customHeight="1">
      <c r="A118" s="3">
        <v>116.0</v>
      </c>
      <c r="B118" s="3" t="s">
        <v>6345</v>
      </c>
      <c r="C118" s="3">
        <v>28.0</v>
      </c>
      <c r="D118" s="3" t="s">
        <v>6646</v>
      </c>
      <c r="E118" s="3" t="s">
        <v>6645</v>
      </c>
      <c r="F118" s="3" t="s">
        <v>6646</v>
      </c>
      <c r="G118" s="3" t="s">
        <v>6645</v>
      </c>
      <c r="H118" s="3" t="s">
        <v>6645</v>
      </c>
      <c r="I118" s="3" t="s">
        <v>6645</v>
      </c>
      <c r="J118" s="3">
        <v>-1.0</v>
      </c>
      <c r="K118" s="3">
        <v>0.0</v>
      </c>
      <c r="L118" s="3">
        <v>0.0</v>
      </c>
      <c r="M118" s="3">
        <v>0.0</v>
      </c>
      <c r="N118" s="3">
        <v>301.24545</v>
      </c>
      <c r="O118" s="3">
        <v>108.0</v>
      </c>
      <c r="P118" s="3" t="s">
        <v>5952</v>
      </c>
      <c r="Q118" s="3">
        <v>31.0</v>
      </c>
      <c r="R118" s="3">
        <v>38.0</v>
      </c>
      <c r="S118" s="3">
        <v>36.0</v>
      </c>
      <c r="T118" s="3">
        <v>34.0</v>
      </c>
      <c r="U118" s="3">
        <v>34.0</v>
      </c>
      <c r="V118" s="3">
        <v>36.0</v>
      </c>
      <c r="W118" s="3">
        <v>44.0</v>
      </c>
      <c r="X118" s="3">
        <v>25.0</v>
      </c>
      <c r="Y118" s="3">
        <v>24.0</v>
      </c>
      <c r="Z118" s="3">
        <v>38.0</v>
      </c>
      <c r="AA118" s="3">
        <v>38.0</v>
      </c>
      <c r="AB118" s="3">
        <v>31.0</v>
      </c>
      <c r="AC118" s="3">
        <v>34.0</v>
      </c>
      <c r="AD118" s="3">
        <v>33.0</v>
      </c>
      <c r="AE118" s="3">
        <v>39.0</v>
      </c>
      <c r="AF118" s="3">
        <v>32.0</v>
      </c>
      <c r="AG118" s="3">
        <v>59.0</v>
      </c>
      <c r="AH118" s="3">
        <v>35.0</v>
      </c>
      <c r="AI118" s="3">
        <v>49.0</v>
      </c>
      <c r="AJ118" s="3">
        <v>31.0</v>
      </c>
      <c r="AK118" s="3">
        <v>45.0</v>
      </c>
      <c r="AL118" s="3">
        <v>38.0</v>
      </c>
      <c r="AM118" s="3">
        <v>55.0</v>
      </c>
      <c r="AN118" s="3">
        <v>37.0</v>
      </c>
    </row>
    <row r="119" ht="14.25" customHeight="1">
      <c r="A119" s="3">
        <v>117.0</v>
      </c>
      <c r="B119" s="3" t="s">
        <v>6348</v>
      </c>
      <c r="C119" s="3">
        <v>31.0</v>
      </c>
      <c r="D119" s="3" t="s">
        <v>6646</v>
      </c>
      <c r="E119" s="3" t="s">
        <v>6645</v>
      </c>
      <c r="F119" s="3" t="s">
        <v>6646</v>
      </c>
      <c r="G119" s="3" t="s">
        <v>6645</v>
      </c>
      <c r="H119" s="3" t="s">
        <v>6645</v>
      </c>
      <c r="I119" s="3" t="s">
        <v>6646</v>
      </c>
      <c r="J119" s="3">
        <v>-1.0</v>
      </c>
      <c r="K119" s="3">
        <v>0.0</v>
      </c>
      <c r="L119" s="3">
        <v>0.0</v>
      </c>
      <c r="M119" s="3">
        <v>0.0</v>
      </c>
      <c r="N119" s="3">
        <v>287.30065</v>
      </c>
      <c r="O119" s="3">
        <v>86.0</v>
      </c>
      <c r="P119" s="3" t="s">
        <v>5909</v>
      </c>
      <c r="Q119" s="3">
        <v>32.0</v>
      </c>
      <c r="R119" s="3">
        <v>39.0</v>
      </c>
      <c r="S119" s="3">
        <v>30.0</v>
      </c>
      <c r="T119" s="3">
        <v>38.0</v>
      </c>
      <c r="U119" s="3">
        <v>36.0</v>
      </c>
      <c r="V119" s="3">
        <v>34.0</v>
      </c>
      <c r="W119" s="3">
        <v>41.0</v>
      </c>
      <c r="X119" s="3">
        <v>26.0</v>
      </c>
      <c r="Y119" s="3">
        <v>37.0</v>
      </c>
      <c r="Z119" s="3">
        <v>24.0</v>
      </c>
      <c r="AA119" s="3">
        <v>34.0</v>
      </c>
      <c r="AB119" s="3">
        <v>36.0</v>
      </c>
      <c r="AC119" s="3">
        <v>37.0</v>
      </c>
      <c r="AD119" s="3">
        <v>47.0</v>
      </c>
      <c r="AE119" s="3">
        <v>35.0</v>
      </c>
      <c r="AF119" s="3">
        <v>59.0</v>
      </c>
      <c r="AG119" s="3">
        <v>30.0</v>
      </c>
      <c r="AH119" s="3">
        <v>54.0</v>
      </c>
      <c r="AI119" s="3">
        <v>56.0</v>
      </c>
      <c r="AJ119" s="3">
        <v>33.0</v>
      </c>
      <c r="AK119" s="3">
        <v>17.0</v>
      </c>
      <c r="AL119" s="3">
        <v>50.0</v>
      </c>
      <c r="AM119" s="3">
        <v>74.0</v>
      </c>
      <c r="AN119" s="3">
        <v>54.0</v>
      </c>
    </row>
    <row r="120" ht="14.25" customHeight="1">
      <c r="A120" s="3">
        <v>118.0</v>
      </c>
      <c r="B120" s="3" t="s">
        <v>6350</v>
      </c>
      <c r="C120" s="3">
        <v>48.0</v>
      </c>
      <c r="D120" s="3" t="s">
        <v>6646</v>
      </c>
      <c r="E120" s="3" t="s">
        <v>6645</v>
      </c>
      <c r="F120" s="3" t="s">
        <v>6646</v>
      </c>
      <c r="G120" s="3" t="s">
        <v>6645</v>
      </c>
      <c r="H120" s="3" t="s">
        <v>6645</v>
      </c>
      <c r="I120" s="3" t="s">
        <v>6646</v>
      </c>
      <c r="J120" s="3">
        <v>-1.0</v>
      </c>
      <c r="K120" s="3">
        <v>5.0</v>
      </c>
      <c r="L120" s="3">
        <v>0.0</v>
      </c>
      <c r="M120" s="3">
        <v>0.0</v>
      </c>
      <c r="N120" s="3">
        <v>18306.29</v>
      </c>
      <c r="O120" s="3">
        <v>3453.0</v>
      </c>
      <c r="P120" s="3" t="s">
        <v>5899</v>
      </c>
      <c r="Q120" s="3">
        <v>57.0</v>
      </c>
      <c r="R120" s="3">
        <v>83.0</v>
      </c>
      <c r="S120" s="3">
        <v>84.0</v>
      </c>
      <c r="T120" s="3">
        <v>86.0</v>
      </c>
      <c r="U120" s="3">
        <v>55.0</v>
      </c>
      <c r="V120" s="3">
        <v>64.0</v>
      </c>
      <c r="W120" s="3">
        <v>99.0</v>
      </c>
      <c r="X120" s="3">
        <v>86.0</v>
      </c>
      <c r="Y120" s="3">
        <v>70.0</v>
      </c>
      <c r="Z120" s="3">
        <v>59.0</v>
      </c>
      <c r="AA120" s="3">
        <v>83.0</v>
      </c>
      <c r="AB120" s="3">
        <v>63.0</v>
      </c>
      <c r="AC120" s="3">
        <v>55.0</v>
      </c>
      <c r="AD120" s="3">
        <v>78.0</v>
      </c>
      <c r="AE120" s="3">
        <v>72.0</v>
      </c>
      <c r="AF120" s="3">
        <v>27.0</v>
      </c>
      <c r="AG120" s="3">
        <v>47.0</v>
      </c>
      <c r="AH120" s="3">
        <v>82.0</v>
      </c>
      <c r="AI120" s="3">
        <v>86.0</v>
      </c>
      <c r="AJ120" s="3">
        <v>59.0</v>
      </c>
      <c r="AK120" s="3">
        <v>51.0</v>
      </c>
      <c r="AL120" s="3">
        <v>49.0</v>
      </c>
      <c r="AM120" s="3">
        <v>50.0</v>
      </c>
      <c r="AN120" s="3">
        <v>47.0</v>
      </c>
    </row>
    <row r="121" ht="14.25" customHeight="1">
      <c r="A121" s="3">
        <v>119.0</v>
      </c>
      <c r="B121" s="3" t="s">
        <v>6354</v>
      </c>
      <c r="C121" s="3">
        <v>56.0</v>
      </c>
      <c r="D121" s="3" t="s">
        <v>6646</v>
      </c>
      <c r="E121" s="3" t="s">
        <v>6645</v>
      </c>
      <c r="F121" s="3" t="s">
        <v>6646</v>
      </c>
      <c r="G121" s="3" t="s">
        <v>6645</v>
      </c>
      <c r="H121" s="3" t="s">
        <v>6645</v>
      </c>
      <c r="I121" s="3" t="s">
        <v>6645</v>
      </c>
      <c r="J121" s="3">
        <v>-1.0</v>
      </c>
      <c r="K121" s="3">
        <v>5.0</v>
      </c>
      <c r="L121" s="3">
        <v>0.0</v>
      </c>
      <c r="M121" s="3">
        <v>0.0</v>
      </c>
      <c r="N121" s="3">
        <v>12945.931</v>
      </c>
      <c r="O121" s="3">
        <v>3691.0</v>
      </c>
      <c r="P121" s="3" t="s">
        <v>5909</v>
      </c>
      <c r="Q121" s="3">
        <v>89.0</v>
      </c>
      <c r="R121" s="3">
        <v>64.0</v>
      </c>
      <c r="S121" s="3">
        <v>57.0</v>
      </c>
      <c r="T121" s="3">
        <v>64.0</v>
      </c>
      <c r="U121" s="3">
        <v>74.0</v>
      </c>
      <c r="V121" s="3">
        <v>63.0</v>
      </c>
      <c r="W121" s="3">
        <v>72.0</v>
      </c>
      <c r="X121" s="3">
        <v>66.0</v>
      </c>
      <c r="Y121" s="3">
        <v>77.0</v>
      </c>
      <c r="Z121" s="3">
        <v>58.0</v>
      </c>
      <c r="AA121" s="3">
        <v>51.0</v>
      </c>
      <c r="AB121" s="3">
        <v>92.0</v>
      </c>
      <c r="AC121" s="3">
        <v>81.0</v>
      </c>
      <c r="AD121" s="3">
        <v>59.0</v>
      </c>
      <c r="AE121" s="3">
        <v>54.0</v>
      </c>
      <c r="AF121" s="3">
        <v>66.0</v>
      </c>
      <c r="AG121" s="3">
        <v>59.0</v>
      </c>
      <c r="AH121" s="3">
        <v>64.0</v>
      </c>
      <c r="AI121" s="3">
        <v>62.0</v>
      </c>
      <c r="AJ121" s="3">
        <v>66.0</v>
      </c>
      <c r="AK121" s="3">
        <v>14.0</v>
      </c>
      <c r="AL121" s="3">
        <v>55.0</v>
      </c>
      <c r="AM121" s="3">
        <v>63.0</v>
      </c>
      <c r="AN121" s="3">
        <v>77.0</v>
      </c>
    </row>
    <row r="122" ht="14.25" customHeight="1">
      <c r="A122" s="3">
        <v>120.0</v>
      </c>
      <c r="B122" s="3" t="s">
        <v>6357</v>
      </c>
      <c r="C122" s="3">
        <v>45.0</v>
      </c>
      <c r="D122" s="3" t="s">
        <v>6646</v>
      </c>
      <c r="E122" s="3" t="s">
        <v>6645</v>
      </c>
      <c r="F122" s="3" t="s">
        <v>6646</v>
      </c>
      <c r="G122" s="3" t="s">
        <v>6645</v>
      </c>
      <c r="H122" s="3" t="s">
        <v>6645</v>
      </c>
      <c r="I122" s="3" t="s">
        <v>6645</v>
      </c>
      <c r="J122" s="3">
        <v>-1.0</v>
      </c>
      <c r="K122" s="3">
        <v>5.0</v>
      </c>
      <c r="L122" s="3">
        <v>0.0</v>
      </c>
      <c r="M122" s="3">
        <v>0.0</v>
      </c>
      <c r="N122" s="3">
        <v>24031.007</v>
      </c>
      <c r="O122" s="3">
        <v>3706.0</v>
      </c>
      <c r="P122" s="3" t="s">
        <v>5952</v>
      </c>
      <c r="Q122" s="3">
        <v>106.0</v>
      </c>
      <c r="R122" s="3">
        <v>65.0</v>
      </c>
      <c r="S122" s="3">
        <v>60.0</v>
      </c>
      <c r="T122" s="3">
        <v>67.0</v>
      </c>
      <c r="U122" s="3">
        <v>69.0</v>
      </c>
      <c r="V122" s="3">
        <v>110.0</v>
      </c>
      <c r="W122" s="3">
        <v>81.0</v>
      </c>
      <c r="X122" s="3">
        <v>75.0</v>
      </c>
      <c r="Y122" s="3">
        <v>87.0</v>
      </c>
      <c r="Z122" s="3">
        <v>98.0</v>
      </c>
      <c r="AA122" s="3">
        <v>63.0</v>
      </c>
      <c r="AB122" s="3">
        <v>59.0</v>
      </c>
      <c r="AC122" s="3">
        <v>102.0</v>
      </c>
      <c r="AD122" s="3">
        <v>63.0</v>
      </c>
      <c r="AE122" s="3">
        <v>60.0</v>
      </c>
      <c r="AF122" s="3">
        <v>34.0</v>
      </c>
      <c r="AG122" s="3">
        <v>49.0</v>
      </c>
      <c r="AH122" s="3">
        <v>17.0</v>
      </c>
      <c r="AI122" s="3">
        <v>80.0</v>
      </c>
      <c r="AJ122" s="3">
        <v>70.0</v>
      </c>
      <c r="AK122" s="3">
        <v>52.0</v>
      </c>
      <c r="AL122" s="3">
        <v>68.0</v>
      </c>
      <c r="AM122" s="3">
        <v>61.0</v>
      </c>
      <c r="AN122" s="3">
        <v>83.0</v>
      </c>
    </row>
    <row r="123" ht="14.25" customHeight="1">
      <c r="A123" s="3">
        <v>121.0</v>
      </c>
      <c r="B123" s="3" t="s">
        <v>6360</v>
      </c>
      <c r="C123" s="3">
        <v>51.0</v>
      </c>
      <c r="D123" s="3" t="s">
        <v>6646</v>
      </c>
      <c r="E123" s="3" t="s">
        <v>6645</v>
      </c>
      <c r="F123" s="3" t="s">
        <v>6646</v>
      </c>
      <c r="G123" s="3" t="s">
        <v>6645</v>
      </c>
      <c r="H123" s="3" t="s">
        <v>6645</v>
      </c>
      <c r="I123" s="3" t="s">
        <v>6645</v>
      </c>
      <c r="J123" s="3">
        <v>-1.0</v>
      </c>
      <c r="K123" s="3">
        <v>5.0</v>
      </c>
      <c r="L123" s="3">
        <v>0.0</v>
      </c>
      <c r="M123" s="3">
        <v>0.0</v>
      </c>
      <c r="N123" s="3">
        <v>17978.945</v>
      </c>
      <c r="O123" s="3">
        <v>3205.0</v>
      </c>
      <c r="P123" s="3" t="s">
        <v>5899</v>
      </c>
      <c r="Q123" s="3">
        <v>62.0</v>
      </c>
      <c r="R123" s="3">
        <v>84.0</v>
      </c>
      <c r="S123" s="3">
        <v>61.0</v>
      </c>
      <c r="T123" s="3">
        <v>60.0</v>
      </c>
      <c r="U123" s="3">
        <v>55.0</v>
      </c>
      <c r="V123" s="3">
        <v>92.0</v>
      </c>
      <c r="W123" s="3">
        <v>89.0</v>
      </c>
      <c r="X123" s="3">
        <v>76.0</v>
      </c>
      <c r="Y123" s="3">
        <v>57.0</v>
      </c>
      <c r="Z123" s="3">
        <v>56.0</v>
      </c>
      <c r="AA123" s="3">
        <v>96.0</v>
      </c>
      <c r="AB123" s="3">
        <v>55.0</v>
      </c>
      <c r="AC123" s="3">
        <v>57.0</v>
      </c>
      <c r="AD123" s="3">
        <v>83.0</v>
      </c>
      <c r="AE123" s="3">
        <v>56.0</v>
      </c>
      <c r="AF123" s="3">
        <v>54.0</v>
      </c>
      <c r="AG123" s="3">
        <v>52.0</v>
      </c>
      <c r="AH123" s="3">
        <v>82.0</v>
      </c>
      <c r="AI123" s="3">
        <v>30.0</v>
      </c>
      <c r="AJ123" s="3">
        <v>43.0</v>
      </c>
      <c r="AK123" s="3">
        <v>44.0</v>
      </c>
      <c r="AL123" s="3">
        <v>49.0</v>
      </c>
      <c r="AM123" s="3">
        <v>56.0</v>
      </c>
      <c r="AN123" s="3">
        <v>61.0</v>
      </c>
    </row>
    <row r="124" ht="14.25" customHeight="1">
      <c r="A124" s="3">
        <v>122.0</v>
      </c>
      <c r="B124" s="3" t="s">
        <v>6363</v>
      </c>
      <c r="C124" s="3">
        <v>42.0</v>
      </c>
      <c r="D124" s="3" t="s">
        <v>6646</v>
      </c>
      <c r="E124" s="3" t="s">
        <v>6645</v>
      </c>
      <c r="F124" s="3" t="s">
        <v>6646</v>
      </c>
      <c r="G124" s="3" t="s">
        <v>6645</v>
      </c>
      <c r="H124" s="3" t="s">
        <v>6645</v>
      </c>
      <c r="I124" s="3" t="s">
        <v>6645</v>
      </c>
      <c r="J124" s="3">
        <v>-1.0</v>
      </c>
      <c r="K124" s="3">
        <v>5.0</v>
      </c>
      <c r="L124" s="3">
        <v>0.0</v>
      </c>
      <c r="M124" s="3">
        <v>0.0</v>
      </c>
      <c r="N124" s="3">
        <v>19747.08</v>
      </c>
      <c r="O124" s="3">
        <v>3405.0</v>
      </c>
      <c r="P124" s="3" t="s">
        <v>5931</v>
      </c>
      <c r="Q124" s="3">
        <v>62.0</v>
      </c>
      <c r="R124" s="3">
        <v>57.0</v>
      </c>
      <c r="S124" s="3">
        <v>90.0</v>
      </c>
      <c r="T124" s="3">
        <v>89.0</v>
      </c>
      <c r="U124" s="3">
        <v>84.0</v>
      </c>
      <c r="V124" s="3">
        <v>85.0</v>
      </c>
      <c r="W124" s="3">
        <v>87.0</v>
      </c>
      <c r="X124" s="3">
        <v>73.0</v>
      </c>
      <c r="Y124" s="3">
        <v>87.0</v>
      </c>
      <c r="Z124" s="3">
        <v>58.0</v>
      </c>
      <c r="AA124" s="3">
        <v>75.0</v>
      </c>
      <c r="AB124" s="3">
        <v>53.0</v>
      </c>
      <c r="AC124" s="3">
        <v>60.0</v>
      </c>
      <c r="AD124" s="3">
        <v>93.0</v>
      </c>
      <c r="AE124" s="3">
        <v>64.0</v>
      </c>
      <c r="AF124" s="3">
        <v>51.0</v>
      </c>
      <c r="AG124" s="3">
        <v>48.0</v>
      </c>
      <c r="AH124" s="3">
        <v>64.0</v>
      </c>
      <c r="AI124" s="3">
        <v>42.0</v>
      </c>
      <c r="AJ124" s="3">
        <v>42.0</v>
      </c>
      <c r="AK124" s="3">
        <v>58.0</v>
      </c>
      <c r="AL124" s="3">
        <v>62.0</v>
      </c>
      <c r="AM124" s="3">
        <v>79.0</v>
      </c>
      <c r="AN124" s="3">
        <v>56.0</v>
      </c>
    </row>
    <row r="125" ht="14.25" customHeight="1">
      <c r="A125" s="3">
        <v>123.0</v>
      </c>
      <c r="B125" s="3" t="s">
        <v>6365</v>
      </c>
      <c r="C125" s="3">
        <v>32.0</v>
      </c>
      <c r="D125" s="3" t="s">
        <v>6646</v>
      </c>
      <c r="E125" s="3" t="s">
        <v>6645</v>
      </c>
      <c r="F125" s="3" t="s">
        <v>6646</v>
      </c>
      <c r="G125" s="3" t="s">
        <v>6645</v>
      </c>
      <c r="H125" s="3" t="s">
        <v>6645</v>
      </c>
      <c r="I125" s="3" t="s">
        <v>6645</v>
      </c>
      <c r="J125" s="3">
        <v>-1.0</v>
      </c>
      <c r="K125" s="3">
        <v>4.0</v>
      </c>
      <c r="L125" s="3">
        <v>0.0</v>
      </c>
      <c r="M125" s="3">
        <v>0.0</v>
      </c>
      <c r="N125" s="3">
        <v>10816.481</v>
      </c>
      <c r="O125" s="3">
        <v>1717.0</v>
      </c>
      <c r="P125" s="3" t="s">
        <v>5931</v>
      </c>
      <c r="Q125" s="3">
        <v>55.0</v>
      </c>
      <c r="R125" s="3">
        <v>60.0</v>
      </c>
      <c r="S125" s="3">
        <v>70.0</v>
      </c>
      <c r="T125" s="3">
        <v>67.0</v>
      </c>
      <c r="U125" s="3">
        <v>50.0</v>
      </c>
      <c r="V125" s="3">
        <v>56.0</v>
      </c>
      <c r="W125" s="3">
        <v>80.0</v>
      </c>
      <c r="X125" s="3">
        <v>75.0</v>
      </c>
      <c r="Y125" s="3">
        <v>60.0</v>
      </c>
      <c r="Z125" s="3">
        <v>53.0</v>
      </c>
      <c r="AA125" s="3">
        <v>65.0</v>
      </c>
      <c r="AB125" s="3">
        <v>50.0</v>
      </c>
      <c r="AC125" s="3">
        <v>53.0</v>
      </c>
      <c r="AD125" s="3">
        <v>66.0</v>
      </c>
      <c r="AE125" s="3">
        <v>73.0</v>
      </c>
      <c r="AF125" s="3">
        <v>63.0</v>
      </c>
      <c r="AG125" s="3">
        <v>50.0</v>
      </c>
      <c r="AH125" s="3">
        <v>79.0</v>
      </c>
      <c r="AI125" s="3">
        <v>72.0</v>
      </c>
      <c r="AJ125" s="3">
        <v>34.0</v>
      </c>
      <c r="AK125" s="3">
        <v>46.0</v>
      </c>
      <c r="AL125" s="3">
        <v>48.0</v>
      </c>
      <c r="AM125" s="3">
        <v>14.0</v>
      </c>
      <c r="AN125" s="3">
        <v>64.0</v>
      </c>
    </row>
    <row r="126" ht="14.25" customHeight="1">
      <c r="A126" s="3">
        <v>124.0</v>
      </c>
      <c r="B126" s="3" t="s">
        <v>6369</v>
      </c>
      <c r="C126" s="3">
        <v>25.0</v>
      </c>
      <c r="D126" s="3" t="s">
        <v>6646</v>
      </c>
      <c r="E126" s="3" t="s">
        <v>6645</v>
      </c>
      <c r="F126" s="3" t="s">
        <v>6646</v>
      </c>
      <c r="G126" s="3" t="s">
        <v>6645</v>
      </c>
      <c r="H126" s="3" t="s">
        <v>6645</v>
      </c>
      <c r="I126" s="3" t="s">
        <v>6646</v>
      </c>
      <c r="J126" s="3">
        <v>-1.0</v>
      </c>
      <c r="K126" s="3">
        <v>4.0</v>
      </c>
      <c r="L126" s="3">
        <v>0.0</v>
      </c>
      <c r="M126" s="3">
        <v>0.0</v>
      </c>
      <c r="N126" s="3">
        <v>11702.154</v>
      </c>
      <c r="O126" s="3">
        <v>1637.0</v>
      </c>
      <c r="P126" s="3" t="s">
        <v>5899</v>
      </c>
      <c r="Q126" s="3">
        <v>50.0</v>
      </c>
      <c r="R126" s="3">
        <v>62.0</v>
      </c>
      <c r="S126" s="3">
        <v>60.0</v>
      </c>
      <c r="T126" s="3">
        <v>58.0</v>
      </c>
      <c r="U126" s="3">
        <v>56.0</v>
      </c>
      <c r="V126" s="3">
        <v>73.0</v>
      </c>
      <c r="W126" s="3">
        <v>72.0</v>
      </c>
      <c r="X126" s="3">
        <v>67.0</v>
      </c>
      <c r="Y126" s="3">
        <v>46.0</v>
      </c>
      <c r="Z126" s="3">
        <v>78.0</v>
      </c>
      <c r="AA126" s="3">
        <v>76.0</v>
      </c>
      <c r="AB126" s="3">
        <v>53.0</v>
      </c>
      <c r="AC126" s="3">
        <v>54.0</v>
      </c>
      <c r="AD126" s="3">
        <v>45.0</v>
      </c>
      <c r="AE126" s="3">
        <v>49.0</v>
      </c>
      <c r="AF126" s="3">
        <v>52.0</v>
      </c>
      <c r="AG126" s="3">
        <v>54.0</v>
      </c>
      <c r="AH126" s="3">
        <v>60.0</v>
      </c>
      <c r="AI126" s="3">
        <v>56.0</v>
      </c>
      <c r="AJ126" s="3">
        <v>44.0</v>
      </c>
      <c r="AK126" s="3">
        <v>87.0</v>
      </c>
      <c r="AL126" s="3">
        <v>53.0</v>
      </c>
      <c r="AM126" s="3">
        <v>65.0</v>
      </c>
      <c r="AN126" s="3">
        <v>28.0</v>
      </c>
    </row>
    <row r="127" ht="14.25" customHeight="1">
      <c r="A127" s="3">
        <v>125.0</v>
      </c>
      <c r="B127" s="3" t="s">
        <v>6373</v>
      </c>
      <c r="C127" s="3">
        <v>28.0</v>
      </c>
      <c r="D127" s="3" t="s">
        <v>6646</v>
      </c>
      <c r="E127" s="3" t="s">
        <v>6645</v>
      </c>
      <c r="F127" s="3" t="s">
        <v>6646</v>
      </c>
      <c r="G127" s="3" t="s">
        <v>6645</v>
      </c>
      <c r="H127" s="3" t="s">
        <v>6645</v>
      </c>
      <c r="I127" s="3" t="s">
        <v>6645</v>
      </c>
      <c r="J127" s="3">
        <v>-1.0</v>
      </c>
      <c r="K127" s="3">
        <v>4.0</v>
      </c>
      <c r="L127" s="3">
        <v>0.0</v>
      </c>
      <c r="M127" s="3">
        <v>0.0</v>
      </c>
      <c r="N127" s="3">
        <v>9784.67</v>
      </c>
      <c r="O127" s="3">
        <v>1626.0</v>
      </c>
      <c r="P127" s="3" t="s">
        <v>5931</v>
      </c>
      <c r="Q127" s="3">
        <v>75.0</v>
      </c>
      <c r="R127" s="3">
        <v>51.0</v>
      </c>
      <c r="S127" s="3">
        <v>59.0</v>
      </c>
      <c r="T127" s="3">
        <v>66.0</v>
      </c>
      <c r="U127" s="3">
        <v>71.0</v>
      </c>
      <c r="V127" s="3">
        <v>51.0</v>
      </c>
      <c r="W127" s="3">
        <v>61.0</v>
      </c>
      <c r="X127" s="3">
        <v>54.0</v>
      </c>
      <c r="Y127" s="3">
        <v>62.0</v>
      </c>
      <c r="Z127" s="3">
        <v>45.0</v>
      </c>
      <c r="AA127" s="3">
        <v>52.0</v>
      </c>
      <c r="AB127" s="3">
        <v>63.0</v>
      </c>
      <c r="AC127" s="3">
        <v>76.0</v>
      </c>
      <c r="AD127" s="3">
        <v>53.0</v>
      </c>
      <c r="AE127" s="3">
        <v>53.0</v>
      </c>
      <c r="AF127" s="3">
        <v>45.0</v>
      </c>
      <c r="AG127" s="3">
        <v>63.0</v>
      </c>
      <c r="AH127" s="3">
        <v>38.0</v>
      </c>
      <c r="AI127" s="3">
        <v>60.0</v>
      </c>
      <c r="AJ127" s="3">
        <v>73.0</v>
      </c>
      <c r="AK127" s="3">
        <v>15.0</v>
      </c>
      <c r="AL127" s="3">
        <v>39.0</v>
      </c>
      <c r="AM127" s="3">
        <v>46.0</v>
      </c>
      <c r="AN127" s="3">
        <v>56.0</v>
      </c>
    </row>
    <row r="128" ht="14.25" customHeight="1">
      <c r="A128" s="3">
        <v>126.0</v>
      </c>
      <c r="B128" s="3" t="s">
        <v>6377</v>
      </c>
      <c r="C128" s="3">
        <v>34.0</v>
      </c>
      <c r="D128" s="3" t="s">
        <v>6646</v>
      </c>
      <c r="E128" s="3" t="s">
        <v>6645</v>
      </c>
      <c r="F128" s="3" t="s">
        <v>6646</v>
      </c>
      <c r="G128" s="3" t="s">
        <v>6645</v>
      </c>
      <c r="H128" s="3" t="s">
        <v>6645</v>
      </c>
      <c r="I128" s="3" t="s">
        <v>6645</v>
      </c>
      <c r="J128" s="3">
        <v>-1.0</v>
      </c>
      <c r="K128" s="3">
        <v>4.0</v>
      </c>
      <c r="L128" s="3">
        <v>0.0</v>
      </c>
      <c r="M128" s="3">
        <v>0.0</v>
      </c>
      <c r="N128" s="3">
        <v>11823.682</v>
      </c>
      <c r="O128" s="3">
        <v>1520.0</v>
      </c>
      <c r="P128" s="3" t="s">
        <v>5909</v>
      </c>
      <c r="Q128" s="3">
        <v>73.0</v>
      </c>
      <c r="R128" s="3">
        <v>53.0</v>
      </c>
      <c r="S128" s="3">
        <v>59.0</v>
      </c>
      <c r="T128" s="3">
        <v>59.0</v>
      </c>
      <c r="U128" s="3">
        <v>75.0</v>
      </c>
      <c r="V128" s="3">
        <v>54.0</v>
      </c>
      <c r="W128" s="3">
        <v>70.0</v>
      </c>
      <c r="X128" s="3">
        <v>63.0</v>
      </c>
      <c r="Y128" s="3">
        <v>72.0</v>
      </c>
      <c r="Z128" s="3">
        <v>64.0</v>
      </c>
      <c r="AA128" s="3">
        <v>52.0</v>
      </c>
      <c r="AB128" s="3">
        <v>51.0</v>
      </c>
      <c r="AC128" s="3">
        <v>77.0</v>
      </c>
      <c r="AD128" s="3">
        <v>63.0</v>
      </c>
      <c r="AE128" s="3">
        <v>48.0</v>
      </c>
      <c r="AF128" s="3">
        <v>74.0</v>
      </c>
      <c r="AG128" s="3">
        <v>44.0</v>
      </c>
      <c r="AH128" s="3">
        <v>47.0</v>
      </c>
      <c r="AI128" s="3">
        <v>46.0</v>
      </c>
      <c r="AJ128" s="3">
        <v>13.0</v>
      </c>
      <c r="AK128" s="3">
        <v>45.0</v>
      </c>
      <c r="AL128" s="3">
        <v>41.0</v>
      </c>
      <c r="AM128" s="3">
        <v>48.0</v>
      </c>
      <c r="AN128" s="3">
        <v>47.0</v>
      </c>
    </row>
    <row r="129" ht="14.25" customHeight="1">
      <c r="A129" s="3">
        <v>127.0</v>
      </c>
      <c r="B129" s="3" t="s">
        <v>6380</v>
      </c>
      <c r="C129" s="3">
        <v>29.0</v>
      </c>
      <c r="D129" s="3" t="s">
        <v>6646</v>
      </c>
      <c r="E129" s="3" t="s">
        <v>6645</v>
      </c>
      <c r="F129" s="3" t="s">
        <v>6646</v>
      </c>
      <c r="G129" s="3" t="s">
        <v>6645</v>
      </c>
      <c r="H129" s="3" t="s">
        <v>6645</v>
      </c>
      <c r="I129" s="3" t="s">
        <v>6645</v>
      </c>
      <c r="J129" s="3">
        <v>-1.0</v>
      </c>
      <c r="K129" s="3">
        <v>3.0</v>
      </c>
      <c r="L129" s="3">
        <v>0.0</v>
      </c>
      <c r="M129" s="3">
        <v>0.0</v>
      </c>
      <c r="N129" s="3">
        <v>5287.237</v>
      </c>
      <c r="O129" s="3">
        <v>794.0</v>
      </c>
      <c r="P129" s="3" t="s">
        <v>5931</v>
      </c>
      <c r="Q129" s="3">
        <v>49.0</v>
      </c>
      <c r="R129" s="3">
        <v>51.0</v>
      </c>
      <c r="S129" s="3">
        <v>49.0</v>
      </c>
      <c r="T129" s="3">
        <v>48.0</v>
      </c>
      <c r="U129" s="3">
        <v>58.0</v>
      </c>
      <c r="V129" s="3">
        <v>46.0</v>
      </c>
      <c r="W129" s="3">
        <v>50.0</v>
      </c>
      <c r="X129" s="3">
        <v>49.0</v>
      </c>
      <c r="Y129" s="3">
        <v>57.0</v>
      </c>
      <c r="Z129" s="3">
        <v>43.0</v>
      </c>
      <c r="AA129" s="3">
        <v>50.0</v>
      </c>
      <c r="AB129" s="3">
        <v>59.0</v>
      </c>
      <c r="AC129" s="3">
        <v>66.0</v>
      </c>
      <c r="AD129" s="3">
        <v>45.0</v>
      </c>
      <c r="AE129" s="3">
        <v>47.0</v>
      </c>
      <c r="AF129" s="3">
        <v>43.0</v>
      </c>
      <c r="AG129" s="3">
        <v>48.0</v>
      </c>
      <c r="AH129" s="3">
        <v>41.0</v>
      </c>
      <c r="AI129" s="3">
        <v>40.0</v>
      </c>
      <c r="AJ129" s="3">
        <v>75.0</v>
      </c>
      <c r="AK129" s="3">
        <v>61.0</v>
      </c>
      <c r="AL129" s="3">
        <v>50.0</v>
      </c>
      <c r="AM129" s="3">
        <v>60.0</v>
      </c>
      <c r="AN129" s="3">
        <v>29.0</v>
      </c>
    </row>
    <row r="130" ht="14.25" customHeight="1">
      <c r="A130" s="3">
        <v>128.0</v>
      </c>
      <c r="B130" s="3" t="s">
        <v>6383</v>
      </c>
      <c r="C130" s="3">
        <v>26.0</v>
      </c>
      <c r="D130" s="3" t="s">
        <v>6646</v>
      </c>
      <c r="E130" s="3" t="s">
        <v>6645</v>
      </c>
      <c r="F130" s="3" t="s">
        <v>6646</v>
      </c>
      <c r="G130" s="3" t="s">
        <v>6645</v>
      </c>
      <c r="H130" s="3" t="s">
        <v>6645</v>
      </c>
      <c r="I130" s="3" t="s">
        <v>6645</v>
      </c>
      <c r="J130" s="3">
        <v>-1.0</v>
      </c>
      <c r="K130" s="3">
        <v>3.0</v>
      </c>
      <c r="L130" s="3">
        <v>0.0</v>
      </c>
      <c r="M130" s="3">
        <v>0.0</v>
      </c>
      <c r="N130" s="3">
        <v>1705.456</v>
      </c>
      <c r="O130" s="3">
        <v>809.0</v>
      </c>
      <c r="P130" s="3" t="s">
        <v>5909</v>
      </c>
      <c r="Q130" s="3">
        <v>38.0</v>
      </c>
      <c r="R130" s="3">
        <v>37.0</v>
      </c>
      <c r="S130" s="3">
        <v>43.0</v>
      </c>
      <c r="T130" s="3">
        <v>40.0</v>
      </c>
      <c r="U130" s="3">
        <v>35.0</v>
      </c>
      <c r="V130" s="3">
        <v>38.0</v>
      </c>
      <c r="W130" s="3">
        <v>31.0</v>
      </c>
      <c r="X130" s="3">
        <v>39.0</v>
      </c>
      <c r="Y130" s="3">
        <v>48.0</v>
      </c>
      <c r="Z130" s="3">
        <v>46.0</v>
      </c>
      <c r="AA130" s="3">
        <v>41.0</v>
      </c>
      <c r="AB130" s="3">
        <v>36.0</v>
      </c>
      <c r="AC130" s="3">
        <v>50.0</v>
      </c>
      <c r="AD130" s="3">
        <v>33.0</v>
      </c>
      <c r="AE130" s="3">
        <v>28.0</v>
      </c>
      <c r="AF130" s="3">
        <v>60.0</v>
      </c>
      <c r="AG130" s="3">
        <v>60.0</v>
      </c>
      <c r="AH130" s="3">
        <v>41.0</v>
      </c>
      <c r="AI130" s="3">
        <v>74.0</v>
      </c>
      <c r="AJ130" s="3">
        <v>39.0</v>
      </c>
      <c r="AK130" s="3">
        <v>32.0</v>
      </c>
      <c r="AL130" s="3">
        <v>41.0</v>
      </c>
      <c r="AM130" s="3">
        <v>33.0</v>
      </c>
      <c r="AN130" s="3">
        <v>63.0</v>
      </c>
    </row>
    <row r="131" ht="14.25" customHeight="1">
      <c r="A131" s="3">
        <v>129.0</v>
      </c>
      <c r="B131" s="3" t="s">
        <v>6385</v>
      </c>
      <c r="C131" s="3">
        <v>18.0</v>
      </c>
      <c r="D131" s="3" t="s">
        <v>6646</v>
      </c>
      <c r="E131" s="3" t="s">
        <v>6645</v>
      </c>
      <c r="F131" s="3" t="s">
        <v>6646</v>
      </c>
      <c r="G131" s="3" t="s">
        <v>6645</v>
      </c>
      <c r="H131" s="3" t="s">
        <v>6645</v>
      </c>
      <c r="I131" s="3" t="s">
        <v>6645</v>
      </c>
      <c r="J131" s="3">
        <v>-1.0</v>
      </c>
      <c r="K131" s="3">
        <v>3.0</v>
      </c>
      <c r="L131" s="3">
        <v>0.0</v>
      </c>
      <c r="M131" s="3">
        <v>0.0</v>
      </c>
      <c r="N131" s="3">
        <v>5903.7924</v>
      </c>
      <c r="O131" s="3">
        <v>625.0</v>
      </c>
      <c r="P131" s="3" t="s">
        <v>5924</v>
      </c>
      <c r="Q131" s="3">
        <v>46.0</v>
      </c>
      <c r="R131" s="3">
        <v>52.0</v>
      </c>
      <c r="S131" s="3">
        <v>54.0</v>
      </c>
      <c r="T131" s="3">
        <v>55.0</v>
      </c>
      <c r="U131" s="3">
        <v>54.0</v>
      </c>
      <c r="V131" s="3">
        <v>46.0</v>
      </c>
      <c r="W131" s="3">
        <v>59.0</v>
      </c>
      <c r="X131" s="3">
        <v>55.0</v>
      </c>
      <c r="Y131" s="3">
        <v>42.0</v>
      </c>
      <c r="Z131" s="3">
        <v>43.0</v>
      </c>
      <c r="AA131" s="3">
        <v>56.0</v>
      </c>
      <c r="AB131" s="3">
        <v>45.0</v>
      </c>
      <c r="AC131" s="3">
        <v>46.0</v>
      </c>
      <c r="AD131" s="3">
        <v>56.0</v>
      </c>
      <c r="AE131" s="3">
        <v>44.0</v>
      </c>
      <c r="AF131" s="3">
        <v>63.0</v>
      </c>
      <c r="AG131" s="3">
        <v>53.0</v>
      </c>
      <c r="AH131" s="3">
        <v>75.0</v>
      </c>
      <c r="AI131" s="3">
        <v>76.0</v>
      </c>
      <c r="AJ131" s="3">
        <v>36.0</v>
      </c>
      <c r="AK131" s="3">
        <v>37.0</v>
      </c>
      <c r="AL131" s="3">
        <v>52.0</v>
      </c>
      <c r="AM131" s="3">
        <v>56.0</v>
      </c>
      <c r="AN131" s="3">
        <v>11.0</v>
      </c>
    </row>
    <row r="132" ht="14.25" customHeight="1">
      <c r="A132" s="3">
        <v>130.0</v>
      </c>
      <c r="B132" s="3" t="s">
        <v>6387</v>
      </c>
      <c r="C132" s="3">
        <v>27.0</v>
      </c>
      <c r="D132" s="3" t="s">
        <v>6646</v>
      </c>
      <c r="E132" s="3" t="s">
        <v>6645</v>
      </c>
      <c r="F132" s="3" t="s">
        <v>6646</v>
      </c>
      <c r="G132" s="3" t="s">
        <v>6645</v>
      </c>
      <c r="H132" s="3" t="s">
        <v>6645</v>
      </c>
      <c r="I132" s="3" t="s">
        <v>6645</v>
      </c>
      <c r="J132" s="3">
        <v>-1.0</v>
      </c>
      <c r="K132" s="3">
        <v>3.0</v>
      </c>
      <c r="L132" s="3">
        <v>0.0</v>
      </c>
      <c r="M132" s="3">
        <v>0.0</v>
      </c>
      <c r="N132" s="3">
        <v>6413.1777</v>
      </c>
      <c r="O132" s="3">
        <v>968.0</v>
      </c>
      <c r="P132" s="3" t="s">
        <v>5909</v>
      </c>
      <c r="Q132" s="3">
        <v>52.0</v>
      </c>
      <c r="R132" s="3">
        <v>53.0</v>
      </c>
      <c r="S132" s="3">
        <v>52.0</v>
      </c>
      <c r="T132" s="3">
        <v>47.0</v>
      </c>
      <c r="U132" s="3">
        <v>55.0</v>
      </c>
      <c r="V132" s="3">
        <v>53.0</v>
      </c>
      <c r="W132" s="3">
        <v>61.0</v>
      </c>
      <c r="X132" s="3">
        <v>50.0</v>
      </c>
      <c r="Y132" s="3">
        <v>61.0</v>
      </c>
      <c r="Z132" s="3">
        <v>55.0</v>
      </c>
      <c r="AA132" s="3">
        <v>44.0</v>
      </c>
      <c r="AB132" s="3">
        <v>42.0</v>
      </c>
      <c r="AC132" s="3">
        <v>60.0</v>
      </c>
      <c r="AD132" s="3">
        <v>44.0</v>
      </c>
      <c r="AE132" s="3">
        <v>40.0</v>
      </c>
      <c r="AF132" s="3">
        <v>81.0</v>
      </c>
      <c r="AG132" s="3">
        <v>42.0</v>
      </c>
      <c r="AH132" s="3">
        <v>50.0</v>
      </c>
      <c r="AI132" s="3">
        <v>36.0</v>
      </c>
      <c r="AJ132" s="3">
        <v>51.0</v>
      </c>
      <c r="AK132" s="3">
        <v>21.0</v>
      </c>
      <c r="AL132" s="3">
        <v>41.0</v>
      </c>
      <c r="AM132" s="3">
        <v>47.0</v>
      </c>
      <c r="AN132" s="3">
        <v>61.0</v>
      </c>
    </row>
    <row r="133" ht="14.25" customHeight="1">
      <c r="A133" s="3">
        <v>131.0</v>
      </c>
      <c r="B133" s="3" t="s">
        <v>6390</v>
      </c>
      <c r="C133" s="3">
        <v>20.0</v>
      </c>
      <c r="D133" s="3" t="s">
        <v>6646</v>
      </c>
      <c r="E133" s="3" t="s">
        <v>6645</v>
      </c>
      <c r="F133" s="3" t="s">
        <v>6646</v>
      </c>
      <c r="G133" s="3" t="s">
        <v>6645</v>
      </c>
      <c r="H133" s="3" t="s">
        <v>6645</v>
      </c>
      <c r="I133" s="3" t="s">
        <v>6646</v>
      </c>
      <c r="J133" s="3">
        <v>-1.0</v>
      </c>
      <c r="K133" s="3">
        <v>3.0</v>
      </c>
      <c r="L133" s="3">
        <v>0.0</v>
      </c>
      <c r="M133" s="3">
        <v>0.0</v>
      </c>
      <c r="N133" s="3">
        <v>6039.02</v>
      </c>
      <c r="O133" s="3">
        <v>875.0</v>
      </c>
      <c r="P133" s="3" t="s">
        <v>5931</v>
      </c>
      <c r="Q133" s="3">
        <v>47.0</v>
      </c>
      <c r="R133" s="3">
        <v>55.0</v>
      </c>
      <c r="S133" s="3">
        <v>48.0</v>
      </c>
      <c r="T133" s="3">
        <v>46.0</v>
      </c>
      <c r="U133" s="3">
        <v>47.0</v>
      </c>
      <c r="V133" s="3">
        <v>56.0</v>
      </c>
      <c r="W133" s="3">
        <v>63.0</v>
      </c>
      <c r="X133" s="3">
        <v>46.0</v>
      </c>
      <c r="Y133" s="3">
        <v>59.0</v>
      </c>
      <c r="Z133" s="3">
        <v>60.0</v>
      </c>
      <c r="AA133" s="3">
        <v>62.0</v>
      </c>
      <c r="AB133" s="3">
        <v>45.0</v>
      </c>
      <c r="AC133" s="3">
        <v>46.0</v>
      </c>
      <c r="AD133" s="3">
        <v>46.0</v>
      </c>
      <c r="AE133" s="3">
        <v>39.0</v>
      </c>
      <c r="AF133" s="3">
        <v>54.0</v>
      </c>
      <c r="AG133" s="3">
        <v>39.0</v>
      </c>
      <c r="AH133" s="3">
        <v>52.0</v>
      </c>
      <c r="AI133" s="3">
        <v>25.0</v>
      </c>
      <c r="AJ133" s="3">
        <v>65.0</v>
      </c>
      <c r="AK133" s="3">
        <v>70.0</v>
      </c>
      <c r="AL133" s="3">
        <v>31.0</v>
      </c>
      <c r="AM133" s="3">
        <v>73.0</v>
      </c>
      <c r="AN133" s="3">
        <v>50.0</v>
      </c>
    </row>
    <row r="134" ht="14.25" customHeight="1">
      <c r="A134" s="3">
        <v>132.0</v>
      </c>
      <c r="B134" s="3" t="s">
        <v>6392</v>
      </c>
      <c r="C134" s="3">
        <v>19.0</v>
      </c>
      <c r="D134" s="3" t="s">
        <v>6646</v>
      </c>
      <c r="E134" s="3" t="s">
        <v>6645</v>
      </c>
      <c r="F134" s="3" t="s">
        <v>6646</v>
      </c>
      <c r="G134" s="3" t="s">
        <v>6645</v>
      </c>
      <c r="H134" s="3" t="s">
        <v>6645</v>
      </c>
      <c r="I134" s="3" t="s">
        <v>6646</v>
      </c>
      <c r="J134" s="3">
        <v>-1.0</v>
      </c>
      <c r="K134" s="3">
        <v>2.0</v>
      </c>
      <c r="L134" s="3">
        <v>0.0</v>
      </c>
      <c r="M134" s="3">
        <v>0.0</v>
      </c>
      <c r="N134" s="3">
        <v>2855.637</v>
      </c>
      <c r="O134" s="3">
        <v>455.0</v>
      </c>
      <c r="P134" s="3" t="s">
        <v>5899</v>
      </c>
      <c r="Q134" s="3">
        <v>45.0</v>
      </c>
      <c r="R134" s="3">
        <v>44.0</v>
      </c>
      <c r="S134" s="3">
        <v>42.0</v>
      </c>
      <c r="T134" s="3">
        <v>48.0</v>
      </c>
      <c r="U134" s="3">
        <v>49.0</v>
      </c>
      <c r="V134" s="3">
        <v>42.0</v>
      </c>
      <c r="W134" s="3">
        <v>48.0</v>
      </c>
      <c r="X134" s="3">
        <v>45.0</v>
      </c>
      <c r="Y134" s="3">
        <v>37.0</v>
      </c>
      <c r="Z134" s="3">
        <v>47.0</v>
      </c>
      <c r="AA134" s="3">
        <v>37.0</v>
      </c>
      <c r="AB134" s="3">
        <v>46.0</v>
      </c>
      <c r="AC134" s="3">
        <v>48.0</v>
      </c>
      <c r="AD134" s="3">
        <v>41.0</v>
      </c>
      <c r="AE134" s="3">
        <v>54.0</v>
      </c>
      <c r="AF134" s="3">
        <v>68.0</v>
      </c>
      <c r="AG134" s="3">
        <v>62.0</v>
      </c>
      <c r="AH134" s="3">
        <v>25.0</v>
      </c>
      <c r="AI134" s="3">
        <v>7.0</v>
      </c>
      <c r="AJ134" s="3">
        <v>56.0</v>
      </c>
      <c r="AK134" s="3">
        <v>35.0</v>
      </c>
      <c r="AL134" s="3">
        <v>43.0</v>
      </c>
      <c r="AM134" s="3">
        <v>77.0</v>
      </c>
      <c r="AN134" s="3">
        <v>47.0</v>
      </c>
    </row>
    <row r="135" ht="14.25" customHeight="1">
      <c r="A135" s="3">
        <v>133.0</v>
      </c>
      <c r="B135" s="3" t="s">
        <v>6395</v>
      </c>
      <c r="C135" s="3">
        <v>22.0</v>
      </c>
      <c r="D135" s="3" t="s">
        <v>6646</v>
      </c>
      <c r="E135" s="3" t="s">
        <v>6645</v>
      </c>
      <c r="F135" s="3" t="s">
        <v>6646</v>
      </c>
      <c r="G135" s="3" t="s">
        <v>6645</v>
      </c>
      <c r="H135" s="3" t="s">
        <v>6645</v>
      </c>
      <c r="I135" s="3" t="s">
        <v>6645</v>
      </c>
      <c r="J135" s="3">
        <v>-1.0</v>
      </c>
      <c r="K135" s="3">
        <v>2.0</v>
      </c>
      <c r="L135" s="3">
        <v>0.0</v>
      </c>
      <c r="M135" s="3">
        <v>0.0</v>
      </c>
      <c r="N135" s="3">
        <v>2989.0441</v>
      </c>
      <c r="O135" s="3">
        <v>317.0</v>
      </c>
      <c r="P135" s="3" t="s">
        <v>5899</v>
      </c>
      <c r="Q135" s="3">
        <v>41.0</v>
      </c>
      <c r="R135" s="3">
        <v>49.0</v>
      </c>
      <c r="S135" s="3">
        <v>40.0</v>
      </c>
      <c r="T135" s="3">
        <v>44.0</v>
      </c>
      <c r="U135" s="3">
        <v>46.0</v>
      </c>
      <c r="V135" s="3">
        <v>46.0</v>
      </c>
      <c r="W135" s="3">
        <v>48.0</v>
      </c>
      <c r="X135" s="3">
        <v>40.0</v>
      </c>
      <c r="Y135" s="3">
        <v>36.0</v>
      </c>
      <c r="Z135" s="3">
        <v>43.0</v>
      </c>
      <c r="AA135" s="3">
        <v>51.0</v>
      </c>
      <c r="AB135" s="3">
        <v>42.0</v>
      </c>
      <c r="AC135" s="3">
        <v>48.0</v>
      </c>
      <c r="AD135" s="3">
        <v>55.0</v>
      </c>
      <c r="AE135" s="3">
        <v>42.0</v>
      </c>
      <c r="AF135" s="3">
        <v>57.0</v>
      </c>
      <c r="AG135" s="3">
        <v>37.0</v>
      </c>
      <c r="AH135" s="3">
        <v>69.0</v>
      </c>
      <c r="AI135" s="3">
        <v>27.0</v>
      </c>
      <c r="AJ135" s="3">
        <v>45.0</v>
      </c>
      <c r="AK135" s="3">
        <v>58.0</v>
      </c>
      <c r="AL135" s="3">
        <v>44.0</v>
      </c>
      <c r="AM135" s="3">
        <v>39.0</v>
      </c>
      <c r="AN135" s="3">
        <v>59.0</v>
      </c>
    </row>
    <row r="136" ht="14.25" customHeight="1">
      <c r="A136" s="3">
        <v>134.0</v>
      </c>
      <c r="B136" s="3" t="s">
        <v>6397</v>
      </c>
      <c r="C136" s="3">
        <v>21.0</v>
      </c>
      <c r="D136" s="3" t="s">
        <v>6646</v>
      </c>
      <c r="E136" s="3" t="s">
        <v>6645</v>
      </c>
      <c r="F136" s="3" t="s">
        <v>6646</v>
      </c>
      <c r="G136" s="3" t="s">
        <v>6645</v>
      </c>
      <c r="H136" s="3" t="s">
        <v>6645</v>
      </c>
      <c r="I136" s="3" t="s">
        <v>6646</v>
      </c>
      <c r="J136" s="3">
        <v>-1.0</v>
      </c>
      <c r="K136" s="3">
        <v>0.0</v>
      </c>
      <c r="L136" s="3">
        <v>0.0</v>
      </c>
      <c r="M136" s="3">
        <v>0.0</v>
      </c>
      <c r="N136" s="3">
        <v>409.99331</v>
      </c>
      <c r="O136" s="3">
        <v>121.0</v>
      </c>
      <c r="P136" s="3" t="s">
        <v>5899</v>
      </c>
      <c r="Q136" s="3">
        <v>31.0</v>
      </c>
      <c r="R136" s="3">
        <v>33.0</v>
      </c>
      <c r="S136" s="3">
        <v>38.0</v>
      </c>
      <c r="T136" s="3">
        <v>31.0</v>
      </c>
      <c r="U136" s="3">
        <v>33.0</v>
      </c>
      <c r="V136" s="3">
        <v>39.0</v>
      </c>
      <c r="W136" s="3">
        <v>40.0</v>
      </c>
      <c r="X136" s="3">
        <v>38.0</v>
      </c>
      <c r="Y136" s="3">
        <v>31.0</v>
      </c>
      <c r="Z136" s="3">
        <v>38.0</v>
      </c>
      <c r="AA136" s="3">
        <v>37.0</v>
      </c>
      <c r="AB136" s="3">
        <v>30.0</v>
      </c>
      <c r="AC136" s="3">
        <v>38.0</v>
      </c>
      <c r="AD136" s="3">
        <v>21.0</v>
      </c>
      <c r="AE136" s="3">
        <v>39.0</v>
      </c>
      <c r="AF136" s="3">
        <v>34.0</v>
      </c>
      <c r="AG136" s="3">
        <v>19.0</v>
      </c>
      <c r="AH136" s="3">
        <v>70.0</v>
      </c>
      <c r="AI136" s="3">
        <v>54.0</v>
      </c>
      <c r="AJ136" s="3">
        <v>18.0</v>
      </c>
      <c r="AK136" s="3">
        <v>52.0</v>
      </c>
      <c r="AL136" s="3">
        <v>63.0</v>
      </c>
      <c r="AM136" s="3">
        <v>48.0</v>
      </c>
      <c r="AN136" s="3">
        <v>52.0</v>
      </c>
    </row>
    <row r="137" ht="14.25" customHeight="1">
      <c r="A137" s="3">
        <v>135.0</v>
      </c>
      <c r="B137" s="3" t="s">
        <v>6399</v>
      </c>
      <c r="C137" s="3">
        <v>19.0</v>
      </c>
      <c r="D137" s="3" t="s">
        <v>6646</v>
      </c>
      <c r="E137" s="3" t="s">
        <v>6645</v>
      </c>
      <c r="F137" s="3" t="s">
        <v>6646</v>
      </c>
      <c r="G137" s="3" t="s">
        <v>6645</v>
      </c>
      <c r="H137" s="3" t="s">
        <v>6645</v>
      </c>
      <c r="I137" s="3" t="s">
        <v>6646</v>
      </c>
      <c r="J137" s="3">
        <v>-1.0</v>
      </c>
      <c r="K137" s="3">
        <v>1.0</v>
      </c>
      <c r="L137" s="3">
        <v>0.0</v>
      </c>
      <c r="M137" s="3">
        <v>0.0</v>
      </c>
      <c r="N137" s="3">
        <v>1022.549</v>
      </c>
      <c r="O137" s="3">
        <v>216.0</v>
      </c>
      <c r="P137" s="3" t="s">
        <v>5931</v>
      </c>
      <c r="Q137" s="3">
        <v>44.0</v>
      </c>
      <c r="R137" s="3">
        <v>37.0</v>
      </c>
      <c r="S137" s="3">
        <v>39.0</v>
      </c>
      <c r="T137" s="3">
        <v>40.0</v>
      </c>
      <c r="U137" s="3">
        <v>38.0</v>
      </c>
      <c r="V137" s="3">
        <v>42.0</v>
      </c>
      <c r="W137" s="3">
        <v>29.0</v>
      </c>
      <c r="X137" s="3">
        <v>35.0</v>
      </c>
      <c r="Y137" s="3">
        <v>46.0</v>
      </c>
      <c r="Z137" s="3">
        <v>37.0</v>
      </c>
      <c r="AA137" s="3">
        <v>44.0</v>
      </c>
      <c r="AB137" s="3">
        <v>42.0</v>
      </c>
      <c r="AC137" s="3">
        <v>33.0</v>
      </c>
      <c r="AD137" s="3">
        <v>40.0</v>
      </c>
      <c r="AE137" s="3">
        <v>48.0</v>
      </c>
      <c r="AF137" s="3">
        <v>67.0</v>
      </c>
      <c r="AG137" s="3">
        <v>15.0</v>
      </c>
      <c r="AH137" s="3">
        <v>44.0</v>
      </c>
      <c r="AI137" s="3">
        <v>74.0</v>
      </c>
      <c r="AJ137" s="3">
        <v>65.0</v>
      </c>
      <c r="AK137" s="3">
        <v>9.0</v>
      </c>
      <c r="AL137" s="3">
        <v>31.0</v>
      </c>
      <c r="AM137" s="3">
        <v>45.0</v>
      </c>
      <c r="AN137" s="3">
        <v>57.0</v>
      </c>
    </row>
    <row r="138" ht="14.25" customHeight="1">
      <c r="A138" s="3">
        <v>136.0</v>
      </c>
      <c r="B138" s="3" t="s">
        <v>6401</v>
      </c>
      <c r="C138" s="3">
        <v>25.0</v>
      </c>
      <c r="D138" s="3" t="s">
        <v>6646</v>
      </c>
      <c r="E138" s="3" t="s">
        <v>6645</v>
      </c>
      <c r="F138" s="3" t="s">
        <v>6646</v>
      </c>
      <c r="G138" s="3" t="s">
        <v>6645</v>
      </c>
      <c r="H138" s="3" t="s">
        <v>6645</v>
      </c>
      <c r="I138" s="3" t="s">
        <v>6646</v>
      </c>
      <c r="J138" s="3">
        <v>-1.0</v>
      </c>
      <c r="K138" s="3">
        <v>2.0</v>
      </c>
      <c r="L138" s="3">
        <v>0.0</v>
      </c>
      <c r="M138" s="3">
        <v>0.0</v>
      </c>
      <c r="N138" s="3">
        <v>1973.56</v>
      </c>
      <c r="O138" s="3">
        <v>337.0</v>
      </c>
      <c r="P138" s="3" t="s">
        <v>5924</v>
      </c>
      <c r="Q138" s="3">
        <v>46.0</v>
      </c>
      <c r="R138" s="3">
        <v>48.0</v>
      </c>
      <c r="S138" s="3">
        <v>47.0</v>
      </c>
      <c r="T138" s="3">
        <v>48.0</v>
      </c>
      <c r="U138" s="3">
        <v>40.0</v>
      </c>
      <c r="V138" s="3">
        <v>43.0</v>
      </c>
      <c r="W138" s="3">
        <v>44.0</v>
      </c>
      <c r="X138" s="3">
        <v>53.0</v>
      </c>
      <c r="Y138" s="3">
        <v>43.0</v>
      </c>
      <c r="Z138" s="3">
        <v>49.0</v>
      </c>
      <c r="AA138" s="3">
        <v>48.0</v>
      </c>
      <c r="AB138" s="3">
        <v>42.0</v>
      </c>
      <c r="AC138" s="3">
        <v>37.0</v>
      </c>
      <c r="AD138" s="3">
        <v>54.0</v>
      </c>
      <c r="AE138" s="3">
        <v>48.0</v>
      </c>
      <c r="AF138" s="3">
        <v>78.0</v>
      </c>
      <c r="AG138" s="3">
        <v>14.0</v>
      </c>
      <c r="AH138" s="3">
        <v>66.0</v>
      </c>
      <c r="AI138" s="3">
        <v>19.0</v>
      </c>
      <c r="AJ138" s="3">
        <v>76.0</v>
      </c>
      <c r="AK138" s="3">
        <v>26.0</v>
      </c>
      <c r="AL138" s="3">
        <v>52.0</v>
      </c>
      <c r="AM138" s="3">
        <v>49.0</v>
      </c>
      <c r="AN138" s="3">
        <v>54.0</v>
      </c>
    </row>
    <row r="139" ht="14.25" customHeight="1">
      <c r="A139" s="3">
        <v>137.0</v>
      </c>
      <c r="B139" s="3" t="s">
        <v>6403</v>
      </c>
      <c r="C139" s="3">
        <v>24.0</v>
      </c>
      <c r="D139" s="3" t="s">
        <v>6646</v>
      </c>
      <c r="E139" s="3" t="s">
        <v>6645</v>
      </c>
      <c r="F139" s="3" t="s">
        <v>6646</v>
      </c>
      <c r="G139" s="3" t="s">
        <v>6645</v>
      </c>
      <c r="H139" s="3" t="s">
        <v>6645</v>
      </c>
      <c r="I139" s="3" t="s">
        <v>6646</v>
      </c>
      <c r="J139" s="3">
        <v>-1.0</v>
      </c>
      <c r="K139" s="3">
        <v>3.0</v>
      </c>
      <c r="L139" s="3">
        <v>0.0</v>
      </c>
      <c r="M139" s="3">
        <v>0.0</v>
      </c>
      <c r="N139" s="3">
        <v>4867.654</v>
      </c>
      <c r="O139" s="3">
        <v>996.0</v>
      </c>
      <c r="P139" s="3" t="s">
        <v>5899</v>
      </c>
      <c r="Q139" s="3">
        <v>47.0</v>
      </c>
      <c r="R139" s="3">
        <v>50.0</v>
      </c>
      <c r="S139" s="3">
        <v>46.0</v>
      </c>
      <c r="T139" s="3">
        <v>53.0</v>
      </c>
      <c r="U139" s="3">
        <v>53.0</v>
      </c>
      <c r="V139" s="3">
        <v>52.0</v>
      </c>
      <c r="W139" s="3">
        <v>60.0</v>
      </c>
      <c r="X139" s="3">
        <v>47.0</v>
      </c>
      <c r="Y139" s="3">
        <v>47.0</v>
      </c>
      <c r="Z139" s="3">
        <v>50.0</v>
      </c>
      <c r="AA139" s="3">
        <v>64.0</v>
      </c>
      <c r="AB139" s="3">
        <v>44.0</v>
      </c>
      <c r="AC139" s="3">
        <v>56.0</v>
      </c>
      <c r="AD139" s="3">
        <v>45.0</v>
      </c>
      <c r="AE139" s="3">
        <v>48.0</v>
      </c>
      <c r="AF139" s="3">
        <v>52.0</v>
      </c>
      <c r="AG139" s="3">
        <v>36.0</v>
      </c>
      <c r="AH139" s="3">
        <v>66.0</v>
      </c>
      <c r="AI139" s="3">
        <v>75.0</v>
      </c>
      <c r="AJ139" s="3">
        <v>38.0</v>
      </c>
      <c r="AK139" s="3">
        <v>57.0</v>
      </c>
      <c r="AL139" s="3">
        <v>28.0</v>
      </c>
      <c r="AM139" s="3">
        <v>41.0</v>
      </c>
      <c r="AN139" s="3">
        <v>45.0</v>
      </c>
    </row>
    <row r="140" ht="14.25" customHeight="1">
      <c r="A140" s="3">
        <v>138.0</v>
      </c>
      <c r="B140" s="3" t="s">
        <v>6408</v>
      </c>
      <c r="C140" s="3">
        <v>28.0</v>
      </c>
      <c r="D140" s="3" t="s">
        <v>6646</v>
      </c>
      <c r="E140" s="3" t="s">
        <v>6645</v>
      </c>
      <c r="F140" s="3" t="s">
        <v>6646</v>
      </c>
      <c r="G140" s="3" t="s">
        <v>6645</v>
      </c>
      <c r="H140" s="3" t="s">
        <v>6645</v>
      </c>
      <c r="I140" s="3" t="s">
        <v>6646</v>
      </c>
      <c r="J140" s="3">
        <v>-1.0</v>
      </c>
      <c r="K140" s="3">
        <v>4.0</v>
      </c>
      <c r="L140" s="3">
        <v>0.0</v>
      </c>
      <c r="M140" s="3">
        <v>0.0</v>
      </c>
      <c r="N140" s="3">
        <v>9024.8</v>
      </c>
      <c r="O140" s="3">
        <v>1573.0</v>
      </c>
      <c r="P140" s="3" t="s">
        <v>5931</v>
      </c>
      <c r="Q140" s="3">
        <v>63.0</v>
      </c>
      <c r="R140" s="3">
        <v>54.0</v>
      </c>
      <c r="S140" s="3">
        <v>58.0</v>
      </c>
      <c r="T140" s="3">
        <v>51.0</v>
      </c>
      <c r="U140" s="3">
        <v>56.0</v>
      </c>
      <c r="V140" s="3">
        <v>58.0</v>
      </c>
      <c r="W140" s="3">
        <v>46.0</v>
      </c>
      <c r="X140" s="3">
        <v>73.0</v>
      </c>
      <c r="Y140" s="3">
        <v>65.0</v>
      </c>
      <c r="Z140" s="3">
        <v>53.0</v>
      </c>
      <c r="AA140" s="3">
        <v>56.0</v>
      </c>
      <c r="AB140" s="3">
        <v>62.0</v>
      </c>
      <c r="AC140" s="3">
        <v>46.0</v>
      </c>
      <c r="AD140" s="3">
        <v>60.0</v>
      </c>
      <c r="AE140" s="3">
        <v>75.0</v>
      </c>
      <c r="AF140" s="3">
        <v>56.0</v>
      </c>
      <c r="AG140" s="3">
        <v>41.0</v>
      </c>
      <c r="AH140" s="3">
        <v>62.0</v>
      </c>
      <c r="AI140" s="3">
        <v>63.0</v>
      </c>
      <c r="AJ140" s="3">
        <v>65.0</v>
      </c>
      <c r="AK140" s="3">
        <v>58.0</v>
      </c>
      <c r="AL140" s="3">
        <v>58.0</v>
      </c>
      <c r="AM140" s="3">
        <v>48.0</v>
      </c>
      <c r="AN140" s="3">
        <v>42.0</v>
      </c>
    </row>
    <row r="141" ht="14.25" customHeight="1">
      <c r="A141" s="3">
        <v>139.0</v>
      </c>
      <c r="B141" s="3" t="s">
        <v>6410</v>
      </c>
      <c r="C141" s="3">
        <v>61.0</v>
      </c>
      <c r="D141" s="3" t="s">
        <v>6646</v>
      </c>
      <c r="E141" s="3" t="s">
        <v>6645</v>
      </c>
      <c r="F141" s="3" t="s">
        <v>6646</v>
      </c>
      <c r="G141" s="3" t="s">
        <v>6645</v>
      </c>
      <c r="H141" s="3" t="s">
        <v>6645</v>
      </c>
      <c r="I141" s="3" t="s">
        <v>6645</v>
      </c>
      <c r="J141" s="3">
        <v>-1.0</v>
      </c>
      <c r="K141" s="3">
        <v>5.0</v>
      </c>
      <c r="L141" s="3">
        <v>0.0</v>
      </c>
      <c r="M141" s="3">
        <v>0.0</v>
      </c>
      <c r="N141" s="3">
        <v>26289.812</v>
      </c>
      <c r="O141" s="3">
        <v>2663.0</v>
      </c>
      <c r="P141" s="3" t="s">
        <v>5924</v>
      </c>
      <c r="Q141" s="3">
        <v>68.0</v>
      </c>
      <c r="R141" s="3">
        <v>74.0</v>
      </c>
      <c r="S141" s="3">
        <v>75.0</v>
      </c>
      <c r="T141" s="3">
        <v>81.0</v>
      </c>
      <c r="U141" s="3">
        <v>71.0</v>
      </c>
      <c r="V141" s="3">
        <v>66.0</v>
      </c>
      <c r="W141" s="3">
        <v>120.0</v>
      </c>
      <c r="X141" s="3">
        <v>120.0</v>
      </c>
      <c r="Y141" s="3">
        <v>120.0</v>
      </c>
      <c r="Z141" s="3">
        <v>73.0</v>
      </c>
      <c r="AA141" s="3">
        <v>72.0</v>
      </c>
      <c r="AB141" s="3">
        <v>67.0</v>
      </c>
      <c r="AC141" s="3">
        <v>80.0</v>
      </c>
      <c r="AD141" s="3">
        <v>78.0</v>
      </c>
      <c r="AE141" s="3">
        <v>62.0</v>
      </c>
      <c r="AF141" s="3">
        <v>36.0</v>
      </c>
      <c r="AG141" s="3">
        <v>46.0</v>
      </c>
      <c r="AH141" s="3">
        <v>100.0</v>
      </c>
      <c r="AI141" s="3">
        <v>100.0</v>
      </c>
      <c r="AJ141" s="3">
        <v>48.0</v>
      </c>
      <c r="AK141" s="3">
        <v>54.0</v>
      </c>
      <c r="AL141" s="3">
        <v>56.0</v>
      </c>
      <c r="AM141" s="3">
        <v>52.0</v>
      </c>
      <c r="AN141" s="3">
        <v>58.0</v>
      </c>
    </row>
    <row r="142" ht="14.25" customHeight="1">
      <c r="A142" s="3">
        <v>140.0</v>
      </c>
      <c r="B142" s="3" t="s">
        <v>6414</v>
      </c>
      <c r="C142" s="3">
        <v>71.0</v>
      </c>
      <c r="D142" s="3" t="s">
        <v>6646</v>
      </c>
      <c r="E142" s="3" t="s">
        <v>6645</v>
      </c>
      <c r="F142" s="3" t="s">
        <v>6646</v>
      </c>
      <c r="G142" s="3" t="s">
        <v>6646</v>
      </c>
      <c r="H142" s="3" t="s">
        <v>6645</v>
      </c>
      <c r="I142" s="3" t="s">
        <v>6645</v>
      </c>
      <c r="J142" s="3">
        <v>-1.0</v>
      </c>
      <c r="K142" s="3">
        <v>5.0</v>
      </c>
      <c r="L142" s="3">
        <v>0.0</v>
      </c>
      <c r="M142" s="3">
        <v>0.0</v>
      </c>
      <c r="N142" s="3">
        <v>28394.79</v>
      </c>
      <c r="O142" s="3">
        <v>2415.0</v>
      </c>
      <c r="P142" s="3" t="s">
        <v>5931</v>
      </c>
      <c r="Q142" s="3">
        <v>81.0</v>
      </c>
      <c r="R142" s="3">
        <v>91.0</v>
      </c>
      <c r="S142" s="3">
        <v>75.0</v>
      </c>
      <c r="T142" s="3">
        <v>60.0</v>
      </c>
      <c r="U142" s="3">
        <v>68.0</v>
      </c>
      <c r="V142" s="3">
        <v>75.0</v>
      </c>
      <c r="W142" s="3">
        <v>114.0</v>
      </c>
      <c r="X142" s="3">
        <v>87.0</v>
      </c>
      <c r="Y142" s="3">
        <v>96.0</v>
      </c>
      <c r="Z142" s="3">
        <v>95.0</v>
      </c>
      <c r="AA142" s="3">
        <v>82.0</v>
      </c>
      <c r="AB142" s="3">
        <v>105.0</v>
      </c>
      <c r="AC142" s="3">
        <v>69.0</v>
      </c>
      <c r="AD142" s="3">
        <v>78.0</v>
      </c>
      <c r="AE142" s="3">
        <v>60.0</v>
      </c>
      <c r="AF142" s="3">
        <v>47.0</v>
      </c>
      <c r="AG142" s="3">
        <v>70.0</v>
      </c>
      <c r="AH142" s="3">
        <v>90.0</v>
      </c>
      <c r="AI142" s="3">
        <v>56.0</v>
      </c>
      <c r="AJ142" s="3">
        <v>65.0</v>
      </c>
      <c r="AK142" s="3">
        <v>49.0</v>
      </c>
      <c r="AL142" s="3">
        <v>44.0</v>
      </c>
      <c r="AM142" s="3">
        <v>77.0</v>
      </c>
      <c r="AN142" s="3">
        <v>37.0</v>
      </c>
    </row>
    <row r="143" ht="14.25" customHeight="1">
      <c r="A143" s="3">
        <v>141.0</v>
      </c>
      <c r="B143" s="3" t="s">
        <v>6419</v>
      </c>
      <c r="C143" s="3">
        <v>68.0</v>
      </c>
      <c r="D143" s="3" t="s">
        <v>6646</v>
      </c>
      <c r="E143" s="3" t="s">
        <v>6645</v>
      </c>
      <c r="F143" s="3" t="s">
        <v>6646</v>
      </c>
      <c r="G143" s="3" t="s">
        <v>6646</v>
      </c>
      <c r="H143" s="3" t="s">
        <v>6645</v>
      </c>
      <c r="I143" s="3" t="s">
        <v>6645</v>
      </c>
      <c r="J143" s="3">
        <v>-1.0</v>
      </c>
      <c r="K143" s="3">
        <v>5.0</v>
      </c>
      <c r="L143" s="3">
        <v>0.0</v>
      </c>
      <c r="M143" s="3">
        <v>0.0</v>
      </c>
      <c r="N143" s="3">
        <v>29570.37</v>
      </c>
      <c r="O143" s="3">
        <v>3374.0</v>
      </c>
      <c r="P143" s="3" t="s">
        <v>5909</v>
      </c>
      <c r="Q143" s="3">
        <v>79.0</v>
      </c>
      <c r="R143" s="3">
        <v>69.0</v>
      </c>
      <c r="S143" s="3">
        <v>80.0</v>
      </c>
      <c r="T143" s="3">
        <v>108.0</v>
      </c>
      <c r="U143" s="3">
        <v>73.0</v>
      </c>
      <c r="V143" s="3">
        <v>75.0</v>
      </c>
      <c r="W143" s="3">
        <v>89.0</v>
      </c>
      <c r="X143" s="3">
        <v>109.0</v>
      </c>
      <c r="Y143" s="3">
        <v>108.0</v>
      </c>
      <c r="Z143" s="3">
        <v>62.0</v>
      </c>
      <c r="AA143" s="3">
        <v>93.0</v>
      </c>
      <c r="AB143" s="3">
        <v>93.0</v>
      </c>
      <c r="AC143" s="3">
        <v>66.0</v>
      </c>
      <c r="AD143" s="3">
        <v>81.0</v>
      </c>
      <c r="AE143" s="3">
        <v>72.0</v>
      </c>
      <c r="AF143" s="3">
        <v>64.0</v>
      </c>
      <c r="AG143" s="3">
        <v>85.0</v>
      </c>
      <c r="AH143" s="3">
        <v>62.0</v>
      </c>
      <c r="AI143" s="3">
        <v>53.0</v>
      </c>
      <c r="AJ143" s="3">
        <v>52.0</v>
      </c>
      <c r="AK143" s="3">
        <v>61.0</v>
      </c>
      <c r="AL143" s="3">
        <v>69.0</v>
      </c>
      <c r="AM143" s="3">
        <v>56.0</v>
      </c>
      <c r="AN143" s="3">
        <v>26.0</v>
      </c>
    </row>
    <row r="144" ht="14.25" customHeight="1">
      <c r="A144" s="3">
        <v>142.0</v>
      </c>
      <c r="B144" s="3" t="s">
        <v>6422</v>
      </c>
      <c r="C144" s="3">
        <v>65.0</v>
      </c>
      <c r="D144" s="3" t="s">
        <v>6646</v>
      </c>
      <c r="E144" s="3" t="s">
        <v>6645</v>
      </c>
      <c r="F144" s="3" t="s">
        <v>6646</v>
      </c>
      <c r="G144" s="3" t="s">
        <v>6646</v>
      </c>
      <c r="H144" s="3" t="s">
        <v>6645</v>
      </c>
      <c r="I144" s="3" t="s">
        <v>6645</v>
      </c>
      <c r="J144" s="3">
        <v>-1.0</v>
      </c>
      <c r="K144" s="3">
        <v>5.0</v>
      </c>
      <c r="L144" s="3">
        <v>0.0</v>
      </c>
      <c r="M144" s="3">
        <v>0.0</v>
      </c>
      <c r="N144" s="3">
        <v>27913.0</v>
      </c>
      <c r="O144" s="3">
        <v>3694.0</v>
      </c>
      <c r="P144" s="3" t="s">
        <v>5899</v>
      </c>
      <c r="Q144" s="3">
        <v>67.0</v>
      </c>
      <c r="R144" s="3">
        <v>67.0</v>
      </c>
      <c r="S144" s="3">
        <v>83.0</v>
      </c>
      <c r="T144" s="3">
        <v>78.0</v>
      </c>
      <c r="U144" s="3">
        <v>79.0</v>
      </c>
      <c r="V144" s="3">
        <v>67.0</v>
      </c>
      <c r="W144" s="3">
        <v>81.0</v>
      </c>
      <c r="X144" s="3">
        <v>116.0</v>
      </c>
      <c r="Y144" s="3">
        <v>99.0</v>
      </c>
      <c r="Z144" s="3">
        <v>62.0</v>
      </c>
      <c r="AA144" s="3">
        <v>86.0</v>
      </c>
      <c r="AB144" s="3">
        <v>70.0</v>
      </c>
      <c r="AC144" s="3">
        <v>108.0</v>
      </c>
      <c r="AD144" s="3">
        <v>93.0</v>
      </c>
      <c r="AE144" s="3">
        <v>86.0</v>
      </c>
      <c r="AF144" s="3">
        <v>60.0</v>
      </c>
      <c r="AG144" s="3">
        <v>49.0</v>
      </c>
      <c r="AH144" s="3">
        <v>49.0</v>
      </c>
      <c r="AI144" s="3">
        <v>48.0</v>
      </c>
      <c r="AJ144" s="3">
        <v>65.0</v>
      </c>
      <c r="AK144" s="3">
        <v>57.0</v>
      </c>
      <c r="AL144" s="3">
        <v>69.0</v>
      </c>
      <c r="AM144" s="3">
        <v>51.0</v>
      </c>
      <c r="AN144" s="3">
        <v>53.0</v>
      </c>
    </row>
    <row r="145" ht="14.25" customHeight="1">
      <c r="A145" s="3">
        <v>143.0</v>
      </c>
      <c r="B145" s="3" t="s">
        <v>6425</v>
      </c>
      <c r="C145" s="3">
        <v>59.0</v>
      </c>
      <c r="D145" s="3" t="s">
        <v>6646</v>
      </c>
      <c r="E145" s="3" t="s">
        <v>6645</v>
      </c>
      <c r="F145" s="3" t="s">
        <v>6646</v>
      </c>
      <c r="G145" s="3" t="s">
        <v>6646</v>
      </c>
      <c r="H145" s="3" t="s">
        <v>6645</v>
      </c>
      <c r="I145" s="3" t="s">
        <v>6645</v>
      </c>
      <c r="J145" s="3">
        <v>-1.0</v>
      </c>
      <c r="K145" s="3">
        <v>5.0</v>
      </c>
      <c r="L145" s="3">
        <v>0.0</v>
      </c>
      <c r="M145" s="3">
        <v>0.0</v>
      </c>
      <c r="N145" s="3">
        <v>29555.2</v>
      </c>
      <c r="O145" s="3">
        <v>2577.0</v>
      </c>
      <c r="P145" s="3" t="s">
        <v>5924</v>
      </c>
      <c r="Q145" s="3">
        <v>85.0</v>
      </c>
      <c r="R145" s="3">
        <v>64.0</v>
      </c>
      <c r="S145" s="3">
        <v>84.0</v>
      </c>
      <c r="T145" s="3">
        <v>72.0</v>
      </c>
      <c r="U145" s="3">
        <v>80.0</v>
      </c>
      <c r="V145" s="3">
        <v>81.0</v>
      </c>
      <c r="W145" s="3">
        <v>99.0</v>
      </c>
      <c r="X145" s="3">
        <v>92.0</v>
      </c>
      <c r="Y145" s="3">
        <v>110.0</v>
      </c>
      <c r="Z145" s="3">
        <v>100.0</v>
      </c>
      <c r="AA145" s="3">
        <v>82.0</v>
      </c>
      <c r="AB145" s="3">
        <v>60.0</v>
      </c>
      <c r="AC145" s="3">
        <v>95.0</v>
      </c>
      <c r="AD145" s="3">
        <v>69.0</v>
      </c>
      <c r="AE145" s="3">
        <v>104.0</v>
      </c>
      <c r="AF145" s="3">
        <v>69.0</v>
      </c>
      <c r="AG145" s="3">
        <v>39.0</v>
      </c>
      <c r="AH145" s="3">
        <v>48.0</v>
      </c>
      <c r="AI145" s="3">
        <v>60.0</v>
      </c>
      <c r="AJ145" s="3">
        <v>49.0</v>
      </c>
      <c r="AK145" s="3">
        <v>43.0</v>
      </c>
      <c r="AL145" s="3">
        <v>56.0</v>
      </c>
      <c r="AM145" s="3">
        <v>79.0</v>
      </c>
      <c r="AN145" s="3">
        <v>58.0</v>
      </c>
    </row>
    <row r="146" ht="14.25" customHeight="1">
      <c r="A146" s="3">
        <v>144.0</v>
      </c>
      <c r="B146" s="3" t="s">
        <v>6428</v>
      </c>
      <c r="C146" s="3">
        <v>64.0</v>
      </c>
      <c r="D146" s="3" t="s">
        <v>6646</v>
      </c>
      <c r="E146" s="3" t="s">
        <v>6645</v>
      </c>
      <c r="F146" s="3" t="s">
        <v>6646</v>
      </c>
      <c r="G146" s="3" t="s">
        <v>6646</v>
      </c>
      <c r="H146" s="3" t="s">
        <v>6645</v>
      </c>
      <c r="I146" s="3" t="s">
        <v>6645</v>
      </c>
      <c r="J146" s="3">
        <v>-1.0</v>
      </c>
      <c r="K146" s="3">
        <v>5.0</v>
      </c>
      <c r="L146" s="3">
        <v>0.0</v>
      </c>
      <c r="M146" s="3">
        <v>0.0</v>
      </c>
      <c r="N146" s="3">
        <v>61016.246</v>
      </c>
      <c r="O146" s="3">
        <v>3512.0</v>
      </c>
      <c r="P146" s="3" t="s">
        <v>5924</v>
      </c>
      <c r="Q146" s="3">
        <v>108.0</v>
      </c>
      <c r="R146" s="3">
        <v>120.0</v>
      </c>
      <c r="S146" s="3">
        <v>120.0</v>
      </c>
      <c r="T146" s="3">
        <v>120.0</v>
      </c>
      <c r="U146" s="3">
        <v>111.0</v>
      </c>
      <c r="V146" s="3">
        <v>112.0</v>
      </c>
      <c r="W146" s="3">
        <v>120.0</v>
      </c>
      <c r="X146" s="3">
        <v>120.0</v>
      </c>
      <c r="Y146" s="3">
        <v>120.0</v>
      </c>
      <c r="Z146" s="3">
        <v>117.0</v>
      </c>
      <c r="AA146" s="3">
        <v>120.0</v>
      </c>
      <c r="AB146" s="3">
        <v>110.0</v>
      </c>
      <c r="AC146" s="3">
        <v>116.0</v>
      </c>
      <c r="AD146" s="3">
        <v>120.0</v>
      </c>
      <c r="AE146" s="3">
        <v>120.0</v>
      </c>
      <c r="AF146" s="3">
        <v>39.0</v>
      </c>
      <c r="AG146" s="3">
        <v>51.0</v>
      </c>
      <c r="AH146" s="3">
        <v>100.0</v>
      </c>
      <c r="AI146" s="3">
        <v>94.0</v>
      </c>
      <c r="AJ146" s="3">
        <v>80.0</v>
      </c>
      <c r="AK146" s="3">
        <v>83.0</v>
      </c>
      <c r="AL146" s="3">
        <v>86.0</v>
      </c>
      <c r="AM146" s="3">
        <v>82.0</v>
      </c>
      <c r="AN146" s="3">
        <v>77.0</v>
      </c>
    </row>
    <row r="147" ht="14.25" customHeight="1">
      <c r="A147" s="3">
        <v>145.0</v>
      </c>
      <c r="B147" s="3" t="s">
        <v>6432</v>
      </c>
      <c r="C147" s="3">
        <v>45.0</v>
      </c>
      <c r="D147" s="3" t="s">
        <v>6646</v>
      </c>
      <c r="E147" s="3" t="s">
        <v>6645</v>
      </c>
      <c r="F147" s="3" t="s">
        <v>6646</v>
      </c>
      <c r="G147" s="3" t="s">
        <v>6646</v>
      </c>
      <c r="H147" s="3" t="s">
        <v>6645</v>
      </c>
      <c r="I147" s="3" t="s">
        <v>6646</v>
      </c>
      <c r="J147" s="3">
        <v>-1.0</v>
      </c>
      <c r="K147" s="3">
        <v>5.0</v>
      </c>
      <c r="L147" s="3">
        <v>0.0</v>
      </c>
      <c r="M147" s="3">
        <v>0.0</v>
      </c>
      <c r="N147" s="3">
        <v>61664.722</v>
      </c>
      <c r="O147" s="3">
        <v>3612.0</v>
      </c>
      <c r="P147" s="3" t="s">
        <v>5931</v>
      </c>
      <c r="Q147" s="3">
        <v>119.0</v>
      </c>
      <c r="R147" s="3">
        <v>120.0</v>
      </c>
      <c r="S147" s="3">
        <v>108.0</v>
      </c>
      <c r="T147" s="3">
        <v>117.0</v>
      </c>
      <c r="U147" s="3">
        <v>107.0</v>
      </c>
      <c r="V147" s="3">
        <v>120.0</v>
      </c>
      <c r="W147" s="3">
        <v>120.0</v>
      </c>
      <c r="X147" s="3">
        <v>120.0</v>
      </c>
      <c r="Y147" s="3">
        <v>115.0</v>
      </c>
      <c r="Z147" s="3">
        <v>116.0</v>
      </c>
      <c r="AA147" s="3">
        <v>120.0</v>
      </c>
      <c r="AB147" s="3">
        <v>113.0</v>
      </c>
      <c r="AC147" s="3">
        <v>112.0</v>
      </c>
      <c r="AD147" s="3">
        <v>120.0</v>
      </c>
      <c r="AE147" s="3">
        <v>117.0</v>
      </c>
      <c r="AF147" s="3">
        <v>60.0</v>
      </c>
      <c r="AG147" s="3">
        <v>89.0</v>
      </c>
      <c r="AH147" s="3">
        <v>100.0</v>
      </c>
      <c r="AI147" s="3">
        <v>74.0</v>
      </c>
      <c r="AJ147" s="3">
        <v>75.0</v>
      </c>
      <c r="AK147" s="3">
        <v>49.0</v>
      </c>
      <c r="AL147" s="3">
        <v>62.0</v>
      </c>
      <c r="AM147" s="3">
        <v>74.0</v>
      </c>
      <c r="AN147" s="3">
        <v>71.0</v>
      </c>
    </row>
    <row r="148" ht="14.25" customHeight="1">
      <c r="A148" s="3">
        <v>146.0</v>
      </c>
      <c r="B148" s="3" t="s">
        <v>6436</v>
      </c>
      <c r="C148" s="3">
        <v>55.0</v>
      </c>
      <c r="D148" s="3" t="s">
        <v>6646</v>
      </c>
      <c r="E148" s="3" t="s">
        <v>6645</v>
      </c>
      <c r="F148" s="3" t="s">
        <v>6646</v>
      </c>
      <c r="G148" s="3" t="s">
        <v>6646</v>
      </c>
      <c r="H148" s="3" t="s">
        <v>6645</v>
      </c>
      <c r="I148" s="3" t="s">
        <v>6646</v>
      </c>
      <c r="J148" s="3">
        <v>-1.0</v>
      </c>
      <c r="K148" s="3">
        <v>5.0</v>
      </c>
      <c r="L148" s="3">
        <v>0.0</v>
      </c>
      <c r="M148" s="3">
        <v>0.0</v>
      </c>
      <c r="N148" s="3">
        <v>66350.6</v>
      </c>
      <c r="O148" s="3">
        <v>2837.0</v>
      </c>
      <c r="P148" s="3" t="s">
        <v>5924</v>
      </c>
      <c r="Q148" s="3">
        <v>109.0</v>
      </c>
      <c r="R148" s="3">
        <v>120.0</v>
      </c>
      <c r="S148" s="3">
        <v>120.0</v>
      </c>
      <c r="T148" s="3">
        <v>114.0</v>
      </c>
      <c r="U148" s="3">
        <v>112.0</v>
      </c>
      <c r="V148" s="3">
        <v>120.0</v>
      </c>
      <c r="W148" s="3">
        <v>120.0</v>
      </c>
      <c r="X148" s="3">
        <v>120.0</v>
      </c>
      <c r="Y148" s="3">
        <v>120.0</v>
      </c>
      <c r="Z148" s="3">
        <v>120.0</v>
      </c>
      <c r="AA148" s="3">
        <v>120.0</v>
      </c>
      <c r="AB148" s="3">
        <v>114.0</v>
      </c>
      <c r="AC148" s="3">
        <v>112.0</v>
      </c>
      <c r="AD148" s="3">
        <v>112.0</v>
      </c>
      <c r="AE148" s="3">
        <v>120.0</v>
      </c>
      <c r="AF148" s="3">
        <v>61.0</v>
      </c>
      <c r="AG148" s="3">
        <v>71.0</v>
      </c>
      <c r="AH148" s="3">
        <v>63.0</v>
      </c>
      <c r="AI148" s="3">
        <v>82.0</v>
      </c>
      <c r="AJ148" s="3">
        <v>41.0</v>
      </c>
      <c r="AK148" s="3">
        <v>98.0</v>
      </c>
      <c r="AL148" s="3">
        <v>61.0</v>
      </c>
      <c r="AM148" s="3">
        <v>87.0</v>
      </c>
      <c r="AN148" s="3">
        <v>60.0</v>
      </c>
    </row>
    <row r="149" ht="14.25" customHeight="1">
      <c r="A149" s="3">
        <v>147.0</v>
      </c>
      <c r="B149" s="3" t="s">
        <v>6440</v>
      </c>
      <c r="C149" s="3">
        <v>57.0</v>
      </c>
      <c r="D149" s="3" t="s">
        <v>6646</v>
      </c>
      <c r="E149" s="3" t="s">
        <v>6645</v>
      </c>
      <c r="F149" s="3" t="s">
        <v>6646</v>
      </c>
      <c r="G149" s="3" t="s">
        <v>6646</v>
      </c>
      <c r="H149" s="3" t="s">
        <v>6645</v>
      </c>
      <c r="I149" s="3" t="s">
        <v>6645</v>
      </c>
      <c r="J149" s="3">
        <v>-1.0</v>
      </c>
      <c r="K149" s="3">
        <v>5.0</v>
      </c>
      <c r="L149" s="3">
        <v>0.0</v>
      </c>
      <c r="M149" s="3">
        <v>0.0</v>
      </c>
      <c r="N149" s="3">
        <v>68224.9</v>
      </c>
      <c r="O149" s="3">
        <v>3740.0</v>
      </c>
      <c r="P149" s="3" t="s">
        <v>5931</v>
      </c>
      <c r="Q149" s="3">
        <v>120.0</v>
      </c>
      <c r="R149" s="3">
        <v>118.0</v>
      </c>
      <c r="S149" s="3">
        <v>120.0</v>
      </c>
      <c r="T149" s="3">
        <v>120.0</v>
      </c>
      <c r="U149" s="3">
        <v>120.0</v>
      </c>
      <c r="V149" s="3">
        <v>120.0</v>
      </c>
      <c r="W149" s="3">
        <v>115.0</v>
      </c>
      <c r="X149" s="3">
        <v>120.0</v>
      </c>
      <c r="Y149" s="3">
        <v>120.0</v>
      </c>
      <c r="Z149" s="3">
        <v>109.0</v>
      </c>
      <c r="AA149" s="3">
        <v>117.0</v>
      </c>
      <c r="AB149" s="3">
        <v>102.0</v>
      </c>
      <c r="AC149" s="3">
        <v>120.0</v>
      </c>
      <c r="AD149" s="3">
        <v>114.0</v>
      </c>
      <c r="AE149" s="3">
        <v>112.0</v>
      </c>
      <c r="AF149" s="3">
        <v>62.0</v>
      </c>
      <c r="AG149" s="3">
        <v>89.0</v>
      </c>
      <c r="AH149" s="3">
        <v>66.0</v>
      </c>
      <c r="AI149" s="3">
        <v>60.0</v>
      </c>
      <c r="AJ149" s="3">
        <v>100.0</v>
      </c>
      <c r="AK149" s="3">
        <v>75.0</v>
      </c>
      <c r="AL149" s="3">
        <v>64.0</v>
      </c>
      <c r="AM149" s="3">
        <v>47.0</v>
      </c>
      <c r="AN149" s="3">
        <v>85.0</v>
      </c>
    </row>
    <row r="150" ht="14.25" customHeight="1">
      <c r="A150" s="3">
        <v>148.0</v>
      </c>
      <c r="B150" s="3" t="s">
        <v>6444</v>
      </c>
      <c r="C150" s="3">
        <v>49.0</v>
      </c>
      <c r="D150" s="3" t="s">
        <v>6646</v>
      </c>
      <c r="E150" s="3" t="s">
        <v>6645</v>
      </c>
      <c r="F150" s="3" t="s">
        <v>6646</v>
      </c>
      <c r="G150" s="3" t="s">
        <v>6646</v>
      </c>
      <c r="H150" s="3" t="s">
        <v>6645</v>
      </c>
      <c r="I150" s="3" t="s">
        <v>6645</v>
      </c>
      <c r="J150" s="3">
        <v>-1.0</v>
      </c>
      <c r="K150" s="3">
        <v>5.0</v>
      </c>
      <c r="L150" s="3">
        <v>0.0</v>
      </c>
      <c r="M150" s="3">
        <v>0.0</v>
      </c>
      <c r="N150" s="3">
        <v>59932.9</v>
      </c>
      <c r="O150" s="3">
        <v>3743.0</v>
      </c>
      <c r="P150" s="3" t="s">
        <v>5899</v>
      </c>
      <c r="Q150" s="3">
        <v>120.0</v>
      </c>
      <c r="R150" s="3">
        <v>107.0</v>
      </c>
      <c r="S150" s="3">
        <v>105.0</v>
      </c>
      <c r="T150" s="3">
        <v>120.0</v>
      </c>
      <c r="U150" s="3">
        <v>120.0</v>
      </c>
      <c r="V150" s="3">
        <v>120.0</v>
      </c>
      <c r="W150" s="3">
        <v>120.0</v>
      </c>
      <c r="X150" s="3">
        <v>120.0</v>
      </c>
      <c r="Y150" s="3">
        <v>120.0</v>
      </c>
      <c r="Z150" s="3">
        <v>120.0</v>
      </c>
      <c r="AA150" s="3">
        <v>110.0</v>
      </c>
      <c r="AB150" s="3">
        <v>120.0</v>
      </c>
      <c r="AC150" s="3">
        <v>114.0</v>
      </c>
      <c r="AD150" s="3">
        <v>109.0</v>
      </c>
      <c r="AE150" s="3">
        <v>113.0</v>
      </c>
      <c r="AF150" s="3">
        <v>65.0</v>
      </c>
      <c r="AG150" s="3">
        <v>75.0</v>
      </c>
      <c r="AH150" s="3">
        <v>83.0</v>
      </c>
      <c r="AI150" s="3">
        <v>46.0</v>
      </c>
      <c r="AJ150" s="3">
        <v>100.0</v>
      </c>
      <c r="AK150" s="3">
        <v>89.0</v>
      </c>
      <c r="AL150" s="3">
        <v>89.0</v>
      </c>
      <c r="AM150" s="3">
        <v>63.0</v>
      </c>
      <c r="AN150" s="3">
        <v>72.0</v>
      </c>
    </row>
    <row r="151" ht="14.25" customHeight="1">
      <c r="A151" s="3">
        <v>149.0</v>
      </c>
      <c r="B151" s="3" t="s">
        <v>6448</v>
      </c>
      <c r="C151" s="3">
        <v>66.0</v>
      </c>
      <c r="D151" s="3" t="s">
        <v>6646</v>
      </c>
      <c r="E151" s="3" t="s">
        <v>6645</v>
      </c>
      <c r="F151" s="3" t="s">
        <v>6646</v>
      </c>
      <c r="G151" s="3" t="s">
        <v>6646</v>
      </c>
      <c r="H151" s="3" t="s">
        <v>6645</v>
      </c>
      <c r="I151" s="3" t="s">
        <v>6645</v>
      </c>
      <c r="J151" s="3">
        <v>-1.0</v>
      </c>
      <c r="K151" s="3">
        <v>5.0</v>
      </c>
      <c r="L151" s="3">
        <v>0.0</v>
      </c>
      <c r="M151" s="3">
        <v>0.0</v>
      </c>
      <c r="N151" s="3">
        <v>65407.402</v>
      </c>
      <c r="O151" s="3">
        <v>2843.0</v>
      </c>
      <c r="P151" s="3" t="s">
        <v>5924</v>
      </c>
      <c r="Q151" s="3">
        <v>120.0</v>
      </c>
      <c r="R151" s="3">
        <v>107.0</v>
      </c>
      <c r="S151" s="3">
        <v>120.0</v>
      </c>
      <c r="T151" s="3">
        <v>120.0</v>
      </c>
      <c r="U151" s="3">
        <v>120.0</v>
      </c>
      <c r="V151" s="3">
        <v>120.0</v>
      </c>
      <c r="W151" s="3">
        <v>120.0</v>
      </c>
      <c r="X151" s="3">
        <v>120.0</v>
      </c>
      <c r="Y151" s="3">
        <v>120.0</v>
      </c>
      <c r="Z151" s="3">
        <v>120.0</v>
      </c>
      <c r="AA151" s="3">
        <v>106.0</v>
      </c>
      <c r="AB151" s="3">
        <v>117.0</v>
      </c>
      <c r="AC151" s="3">
        <v>120.0</v>
      </c>
      <c r="AD151" s="3">
        <v>120.0</v>
      </c>
      <c r="AE151" s="3">
        <v>117.0</v>
      </c>
      <c r="AF151" s="3">
        <v>98.0</v>
      </c>
      <c r="AG151" s="3">
        <v>65.0</v>
      </c>
      <c r="AH151" s="3">
        <v>40.0</v>
      </c>
      <c r="AI151" s="3">
        <v>61.0</v>
      </c>
      <c r="AJ151" s="3">
        <v>65.0</v>
      </c>
      <c r="AK151" s="3">
        <v>75.0</v>
      </c>
      <c r="AL151" s="3">
        <v>83.0</v>
      </c>
      <c r="AM151" s="3">
        <v>89.0</v>
      </c>
      <c r="AN151" s="3">
        <v>72.0</v>
      </c>
    </row>
    <row r="152" ht="14.25" customHeight="1">
      <c r="A152" s="3">
        <v>150.0</v>
      </c>
      <c r="B152" s="3" t="s">
        <v>6452</v>
      </c>
      <c r="C152" s="3">
        <v>20.0</v>
      </c>
      <c r="D152" s="3" t="s">
        <v>6646</v>
      </c>
      <c r="E152" s="3" t="s">
        <v>6645</v>
      </c>
      <c r="F152" s="3" t="s">
        <v>6646</v>
      </c>
      <c r="G152" s="3" t="s">
        <v>6645</v>
      </c>
      <c r="H152" s="3" t="s">
        <v>6645</v>
      </c>
      <c r="I152" s="3" t="s">
        <v>6645</v>
      </c>
      <c r="J152" s="3">
        <v>28.0</v>
      </c>
      <c r="K152" s="3">
        <v>0.0</v>
      </c>
      <c r="L152" s="3">
        <v>0.0</v>
      </c>
      <c r="M152" s="3">
        <v>0.0</v>
      </c>
      <c r="N152" s="3">
        <v>389.01577</v>
      </c>
      <c r="O152" s="3">
        <v>105.0</v>
      </c>
      <c r="P152" s="3" t="s">
        <v>5899</v>
      </c>
      <c r="Q152" s="3">
        <v>32.0</v>
      </c>
      <c r="R152" s="3">
        <v>35.0</v>
      </c>
      <c r="S152" s="3">
        <v>33.0</v>
      </c>
      <c r="T152" s="3">
        <v>30.0</v>
      </c>
      <c r="U152" s="3">
        <v>30.0</v>
      </c>
      <c r="V152" s="3">
        <v>32.0</v>
      </c>
      <c r="W152" s="3">
        <v>22.0</v>
      </c>
      <c r="X152" s="3">
        <v>40.0</v>
      </c>
      <c r="Y152" s="3">
        <v>21.0</v>
      </c>
      <c r="Z152" s="3">
        <v>28.0</v>
      </c>
      <c r="AA152" s="3">
        <v>43.0</v>
      </c>
      <c r="AB152" s="3">
        <v>39.0</v>
      </c>
      <c r="AC152" s="3">
        <v>31.0</v>
      </c>
      <c r="AD152" s="3">
        <v>49.0</v>
      </c>
      <c r="AE152" s="3">
        <v>33.0</v>
      </c>
      <c r="AF152" s="3">
        <v>57.0</v>
      </c>
      <c r="AG152" s="3">
        <v>32.0</v>
      </c>
      <c r="AH152" s="3">
        <v>38.0</v>
      </c>
      <c r="AI152" s="3">
        <v>35.0</v>
      </c>
      <c r="AJ152" s="3">
        <v>32.0</v>
      </c>
      <c r="AK152" s="3">
        <v>45.0</v>
      </c>
      <c r="AL152" s="3">
        <v>48.0</v>
      </c>
      <c r="AM152" s="3">
        <v>35.0</v>
      </c>
      <c r="AN152" s="3">
        <v>45.0</v>
      </c>
    </row>
    <row r="153" ht="14.25" customHeight="1">
      <c r="A153" s="3">
        <v>151.0</v>
      </c>
      <c r="B153" s="3" t="s">
        <v>6454</v>
      </c>
      <c r="C153" s="3">
        <v>18.0</v>
      </c>
      <c r="D153" s="3" t="s">
        <v>6646</v>
      </c>
      <c r="E153" s="3" t="s">
        <v>6645</v>
      </c>
      <c r="F153" s="3" t="s">
        <v>6646</v>
      </c>
      <c r="G153" s="3" t="s">
        <v>6645</v>
      </c>
      <c r="H153" s="3" t="s">
        <v>6645</v>
      </c>
      <c r="I153" s="3" t="s">
        <v>6646</v>
      </c>
      <c r="J153" s="3">
        <v>17.0</v>
      </c>
      <c r="K153" s="3">
        <v>3.0</v>
      </c>
      <c r="L153" s="3">
        <v>0.0</v>
      </c>
      <c r="M153" s="3">
        <v>0.0</v>
      </c>
      <c r="N153" s="3">
        <v>608.867</v>
      </c>
      <c r="O153" s="3">
        <v>713.0</v>
      </c>
      <c r="P153" s="3" t="s">
        <v>5931</v>
      </c>
      <c r="Q153" s="3">
        <v>34.0</v>
      </c>
      <c r="R153" s="3">
        <v>36.0</v>
      </c>
      <c r="S153" s="3">
        <v>34.0</v>
      </c>
      <c r="T153" s="3">
        <v>33.0</v>
      </c>
      <c r="U153" s="3">
        <v>37.0</v>
      </c>
      <c r="V153" s="3">
        <v>34.0</v>
      </c>
      <c r="W153" s="3">
        <v>33.0</v>
      </c>
      <c r="X153" s="3">
        <v>24.0</v>
      </c>
      <c r="Y153" s="3">
        <v>45.0</v>
      </c>
      <c r="Z153" s="3">
        <v>32.0</v>
      </c>
      <c r="AA153" s="3">
        <v>25.0</v>
      </c>
      <c r="AB153" s="3">
        <v>30.0</v>
      </c>
      <c r="AC153" s="3">
        <v>47.0</v>
      </c>
      <c r="AD153" s="3">
        <v>32.0</v>
      </c>
      <c r="AE153" s="3">
        <v>38.0</v>
      </c>
      <c r="AF153" s="3">
        <v>49.0</v>
      </c>
      <c r="AG153" s="3">
        <v>55.0</v>
      </c>
      <c r="AH153" s="3">
        <v>49.0</v>
      </c>
      <c r="AI153" s="3">
        <v>53.0</v>
      </c>
      <c r="AJ153" s="3">
        <v>51.0</v>
      </c>
      <c r="AK153" s="3">
        <v>56.0</v>
      </c>
      <c r="AL153" s="3">
        <v>72.0</v>
      </c>
      <c r="AM153" s="3">
        <v>14.0</v>
      </c>
      <c r="AN153" s="3">
        <v>55.0</v>
      </c>
    </row>
    <row r="154" ht="14.25" customHeight="1">
      <c r="A154" s="3">
        <v>152.0</v>
      </c>
      <c r="B154" s="3" t="s">
        <v>6457</v>
      </c>
      <c r="C154" s="3">
        <v>27.0</v>
      </c>
      <c r="D154" s="3" t="s">
        <v>6646</v>
      </c>
      <c r="E154" s="3" t="s">
        <v>6645</v>
      </c>
      <c r="F154" s="3" t="s">
        <v>6646</v>
      </c>
      <c r="G154" s="3" t="s">
        <v>6646</v>
      </c>
      <c r="H154" s="3" t="s">
        <v>6645</v>
      </c>
      <c r="I154" s="3" t="s">
        <v>6645</v>
      </c>
      <c r="J154" s="3">
        <v>-1.0</v>
      </c>
      <c r="K154" s="3">
        <v>3.0</v>
      </c>
      <c r="L154" s="3">
        <v>0.0</v>
      </c>
      <c r="M154" s="3">
        <v>0.0</v>
      </c>
      <c r="N154" s="3">
        <v>23076.37</v>
      </c>
      <c r="O154" s="3">
        <v>912.0</v>
      </c>
      <c r="P154" s="3" t="s">
        <v>5924</v>
      </c>
      <c r="Q154" s="3">
        <v>87.0</v>
      </c>
      <c r="R154" s="3">
        <v>63.0</v>
      </c>
      <c r="S154" s="3">
        <v>65.0</v>
      </c>
      <c r="T154" s="3">
        <v>88.0</v>
      </c>
      <c r="U154" s="3">
        <v>103.0</v>
      </c>
      <c r="V154" s="3">
        <v>62.0</v>
      </c>
      <c r="W154" s="3">
        <v>76.0</v>
      </c>
      <c r="X154" s="3">
        <v>69.0</v>
      </c>
      <c r="Y154" s="3">
        <v>81.0</v>
      </c>
      <c r="Z154" s="3">
        <v>57.0</v>
      </c>
      <c r="AA154" s="3">
        <v>52.0</v>
      </c>
      <c r="AB154" s="3">
        <v>59.0</v>
      </c>
      <c r="AC154" s="3">
        <v>101.0</v>
      </c>
      <c r="AD154" s="3">
        <v>56.0</v>
      </c>
      <c r="AE154" s="3">
        <v>53.0</v>
      </c>
      <c r="AF154" s="3">
        <v>67.0</v>
      </c>
      <c r="AG154" s="3">
        <v>40.0</v>
      </c>
      <c r="AH154" s="3">
        <v>50.0</v>
      </c>
      <c r="AI154" s="3">
        <v>51.0</v>
      </c>
      <c r="AJ154" s="3">
        <v>82.0</v>
      </c>
      <c r="AK154" s="3">
        <v>52.0</v>
      </c>
      <c r="AL154" s="3">
        <v>58.0</v>
      </c>
      <c r="AM154" s="3">
        <v>20.0</v>
      </c>
      <c r="AN154" s="3">
        <v>69.0</v>
      </c>
    </row>
    <row r="155" ht="14.25" customHeight="1">
      <c r="A155" s="3">
        <v>153.0</v>
      </c>
      <c r="B155" s="3" t="s">
        <v>6458</v>
      </c>
      <c r="C155" s="3">
        <v>41.0</v>
      </c>
      <c r="D155" s="3" t="s">
        <v>6646</v>
      </c>
      <c r="E155" s="3" t="s">
        <v>6645</v>
      </c>
      <c r="F155" s="3" t="s">
        <v>6646</v>
      </c>
      <c r="G155" s="3" t="s">
        <v>6646</v>
      </c>
      <c r="H155" s="3" t="s">
        <v>6645</v>
      </c>
      <c r="I155" s="3" t="s">
        <v>6645</v>
      </c>
      <c r="J155" s="3">
        <v>-1.0</v>
      </c>
      <c r="K155" s="3">
        <v>3.0</v>
      </c>
      <c r="L155" s="3">
        <v>0.0</v>
      </c>
      <c r="M155" s="3">
        <v>0.0</v>
      </c>
      <c r="N155" s="3">
        <v>5189.916</v>
      </c>
      <c r="O155" s="3">
        <v>743.0</v>
      </c>
      <c r="P155" s="3" t="s">
        <v>5931</v>
      </c>
      <c r="Q155" s="3">
        <v>57.0</v>
      </c>
      <c r="R155" s="3">
        <v>51.0</v>
      </c>
      <c r="S155" s="3">
        <v>51.0</v>
      </c>
      <c r="T155" s="3">
        <v>52.0</v>
      </c>
      <c r="U155" s="3">
        <v>48.0</v>
      </c>
      <c r="V155" s="3">
        <v>45.0</v>
      </c>
      <c r="W155" s="3">
        <v>47.0</v>
      </c>
      <c r="X155" s="3">
        <v>46.0</v>
      </c>
      <c r="Y155" s="3">
        <v>56.0</v>
      </c>
      <c r="Z155" s="3">
        <v>58.0</v>
      </c>
      <c r="AA155" s="3">
        <v>49.0</v>
      </c>
      <c r="AB155" s="3">
        <v>47.0</v>
      </c>
      <c r="AC155" s="3">
        <v>52.0</v>
      </c>
      <c r="AD155" s="3">
        <v>49.0</v>
      </c>
      <c r="AE155" s="3">
        <v>55.0</v>
      </c>
      <c r="AF155" s="3">
        <v>40.0</v>
      </c>
      <c r="AG155" s="3">
        <v>79.0</v>
      </c>
      <c r="AH155" s="3">
        <v>41.0</v>
      </c>
      <c r="AI155" s="3">
        <v>18.0</v>
      </c>
      <c r="AJ155" s="3">
        <v>26.0</v>
      </c>
      <c r="AK155" s="3">
        <v>70.0</v>
      </c>
      <c r="AL155" s="3">
        <v>62.0</v>
      </c>
      <c r="AM155" s="3">
        <v>62.0</v>
      </c>
      <c r="AN155" s="3">
        <v>56.0</v>
      </c>
    </row>
    <row r="156" ht="14.25" customHeight="1">
      <c r="A156" s="3">
        <v>154.0</v>
      </c>
      <c r="B156" s="3" t="s">
        <v>6461</v>
      </c>
      <c r="C156" s="3">
        <v>38.0</v>
      </c>
      <c r="D156" s="3" t="s">
        <v>6646</v>
      </c>
      <c r="E156" s="3" t="s">
        <v>6645</v>
      </c>
      <c r="F156" s="3" t="s">
        <v>6646</v>
      </c>
      <c r="G156" s="3" t="s">
        <v>6646</v>
      </c>
      <c r="H156" s="3" t="s">
        <v>6645</v>
      </c>
      <c r="I156" s="3" t="s">
        <v>6645</v>
      </c>
      <c r="J156" s="3">
        <v>-1.0</v>
      </c>
      <c r="K156" s="3">
        <v>3.0</v>
      </c>
      <c r="L156" s="3">
        <v>0.0</v>
      </c>
      <c r="M156" s="3">
        <v>0.0</v>
      </c>
      <c r="N156" s="3">
        <v>4467.3027</v>
      </c>
      <c r="O156" s="3">
        <v>624.0</v>
      </c>
      <c r="P156" s="3" t="s">
        <v>5909</v>
      </c>
      <c r="Q156" s="3">
        <v>46.0</v>
      </c>
      <c r="R156" s="3">
        <v>51.0</v>
      </c>
      <c r="S156" s="3">
        <v>51.0</v>
      </c>
      <c r="T156" s="3">
        <v>53.0</v>
      </c>
      <c r="U156" s="3">
        <v>47.0</v>
      </c>
      <c r="V156" s="3">
        <v>52.0</v>
      </c>
      <c r="W156" s="3">
        <v>49.0</v>
      </c>
      <c r="X156" s="3">
        <v>60.0</v>
      </c>
      <c r="Y156" s="3">
        <v>39.0</v>
      </c>
      <c r="Z156" s="3">
        <v>40.0</v>
      </c>
      <c r="AA156" s="3">
        <v>55.0</v>
      </c>
      <c r="AB156" s="3">
        <v>45.0</v>
      </c>
      <c r="AC156" s="3">
        <v>48.0</v>
      </c>
      <c r="AD156" s="3">
        <v>53.0</v>
      </c>
      <c r="AE156" s="3">
        <v>48.0</v>
      </c>
      <c r="AF156" s="3">
        <v>79.0</v>
      </c>
      <c r="AG156" s="3">
        <v>42.0</v>
      </c>
      <c r="AH156" s="3">
        <v>48.0</v>
      </c>
      <c r="AI156" s="3">
        <v>23.0</v>
      </c>
      <c r="AJ156" s="3">
        <v>79.0</v>
      </c>
      <c r="AK156" s="3">
        <v>62.0</v>
      </c>
      <c r="AL156" s="3">
        <v>28.0</v>
      </c>
      <c r="AM156" s="3">
        <v>48.0</v>
      </c>
      <c r="AN156" s="3">
        <v>48.0</v>
      </c>
    </row>
    <row r="157" ht="14.25" customHeight="1">
      <c r="A157" s="3">
        <v>155.0</v>
      </c>
      <c r="B157" s="3" t="s">
        <v>6463</v>
      </c>
      <c r="C157" s="3">
        <v>35.0</v>
      </c>
      <c r="D157" s="3" t="s">
        <v>6646</v>
      </c>
      <c r="E157" s="3" t="s">
        <v>6645</v>
      </c>
      <c r="F157" s="3" t="s">
        <v>6646</v>
      </c>
      <c r="G157" s="3" t="s">
        <v>6646</v>
      </c>
      <c r="H157" s="3" t="s">
        <v>6645</v>
      </c>
      <c r="I157" s="3" t="s">
        <v>6645</v>
      </c>
      <c r="J157" s="3">
        <v>-1.0</v>
      </c>
      <c r="K157" s="3">
        <v>3.0</v>
      </c>
      <c r="L157" s="3">
        <v>0.0</v>
      </c>
      <c r="M157" s="3">
        <v>0.0</v>
      </c>
      <c r="N157" s="3">
        <v>5252.2856</v>
      </c>
      <c r="O157" s="3">
        <v>607.0</v>
      </c>
      <c r="P157" s="3" t="s">
        <v>5899</v>
      </c>
      <c r="Q157" s="3">
        <v>47.0</v>
      </c>
      <c r="R157" s="3">
        <v>46.0</v>
      </c>
      <c r="S157" s="3">
        <v>51.0</v>
      </c>
      <c r="T157" s="3">
        <v>54.0</v>
      </c>
      <c r="U157" s="3">
        <v>45.0</v>
      </c>
      <c r="V157" s="3">
        <v>53.0</v>
      </c>
      <c r="W157" s="3">
        <v>63.0</v>
      </c>
      <c r="X157" s="3">
        <v>41.0</v>
      </c>
      <c r="Y157" s="3">
        <v>46.0</v>
      </c>
      <c r="Z157" s="3">
        <v>48.0</v>
      </c>
      <c r="AA157" s="3">
        <v>46.0</v>
      </c>
      <c r="AB157" s="3">
        <v>45.0</v>
      </c>
      <c r="AC157" s="3">
        <v>44.0</v>
      </c>
      <c r="AD157" s="3">
        <v>54.0</v>
      </c>
      <c r="AE157" s="3">
        <v>46.0</v>
      </c>
      <c r="AF157" s="3">
        <v>76.0</v>
      </c>
      <c r="AG157" s="3">
        <v>45.0</v>
      </c>
      <c r="AH157" s="3">
        <v>60.0</v>
      </c>
      <c r="AI157" s="3">
        <v>36.0</v>
      </c>
      <c r="AJ157" s="3">
        <v>20.0</v>
      </c>
      <c r="AK157" s="3">
        <v>57.0</v>
      </c>
      <c r="AL157" s="3">
        <v>65.0</v>
      </c>
      <c r="AM157" s="3">
        <v>80.0</v>
      </c>
      <c r="AN157" s="3">
        <v>23.0</v>
      </c>
    </row>
    <row r="158" ht="14.25" customHeight="1">
      <c r="A158" s="3">
        <v>156.0</v>
      </c>
      <c r="B158" s="3" t="s">
        <v>6465</v>
      </c>
      <c r="C158" s="3">
        <v>29.0</v>
      </c>
      <c r="D158" s="3" t="s">
        <v>6646</v>
      </c>
      <c r="E158" s="3" t="s">
        <v>6645</v>
      </c>
      <c r="F158" s="3" t="s">
        <v>6646</v>
      </c>
      <c r="G158" s="3" t="s">
        <v>6646</v>
      </c>
      <c r="H158" s="3" t="s">
        <v>6645</v>
      </c>
      <c r="I158" s="3" t="s">
        <v>6645</v>
      </c>
      <c r="J158" s="3">
        <v>-1.0</v>
      </c>
      <c r="K158" s="3">
        <v>3.0</v>
      </c>
      <c r="L158" s="3">
        <v>0.0</v>
      </c>
      <c r="M158" s="3">
        <v>0.0</v>
      </c>
      <c r="N158" s="3">
        <v>4828.87</v>
      </c>
      <c r="O158" s="3">
        <v>674.0</v>
      </c>
      <c r="P158" s="3" t="s">
        <v>5924</v>
      </c>
      <c r="Q158" s="3">
        <v>50.0</v>
      </c>
      <c r="R158" s="3">
        <v>49.0</v>
      </c>
      <c r="S158" s="3">
        <v>54.0</v>
      </c>
      <c r="T158" s="3">
        <v>50.0</v>
      </c>
      <c r="U158" s="3">
        <v>48.0</v>
      </c>
      <c r="V158" s="3">
        <v>53.0</v>
      </c>
      <c r="W158" s="3">
        <v>46.0</v>
      </c>
      <c r="X158" s="3">
        <v>58.0</v>
      </c>
      <c r="Y158" s="3">
        <v>51.0</v>
      </c>
      <c r="Z158" s="3">
        <v>39.0</v>
      </c>
      <c r="AA158" s="3">
        <v>42.0</v>
      </c>
      <c r="AB158" s="3">
        <v>46.0</v>
      </c>
      <c r="AC158" s="3">
        <v>48.0</v>
      </c>
      <c r="AD158" s="3">
        <v>45.0</v>
      </c>
      <c r="AE158" s="3">
        <v>53.0</v>
      </c>
      <c r="AF158" s="3">
        <v>53.0</v>
      </c>
      <c r="AG158" s="3">
        <v>47.0</v>
      </c>
      <c r="AH158" s="3">
        <v>56.0</v>
      </c>
      <c r="AI158" s="3">
        <v>37.0</v>
      </c>
      <c r="AJ158" s="3">
        <v>53.0</v>
      </c>
      <c r="AK158" s="3">
        <v>39.0</v>
      </c>
      <c r="AL158" s="3">
        <v>38.0</v>
      </c>
      <c r="AM158" s="3">
        <v>38.0</v>
      </c>
      <c r="AN158" s="3">
        <v>36.0</v>
      </c>
    </row>
    <row r="159" ht="14.25" customHeight="1">
      <c r="A159" s="3">
        <v>157.0</v>
      </c>
      <c r="B159" s="3" t="s">
        <v>6467</v>
      </c>
      <c r="C159" s="3">
        <v>29.0</v>
      </c>
      <c r="D159" s="3" t="s">
        <v>6646</v>
      </c>
      <c r="E159" s="3" t="s">
        <v>6645</v>
      </c>
      <c r="F159" s="3" t="s">
        <v>6646</v>
      </c>
      <c r="G159" s="3" t="s">
        <v>6646</v>
      </c>
      <c r="H159" s="3" t="s">
        <v>6645</v>
      </c>
      <c r="I159" s="3" t="s">
        <v>6645</v>
      </c>
      <c r="J159" s="3">
        <v>-1.0</v>
      </c>
      <c r="K159" s="3">
        <v>4.0</v>
      </c>
      <c r="L159" s="3">
        <v>0.0</v>
      </c>
      <c r="M159" s="3">
        <v>0.0</v>
      </c>
      <c r="N159" s="3">
        <v>20587.453</v>
      </c>
      <c r="O159" s="3">
        <v>1419.0</v>
      </c>
      <c r="P159" s="3" t="s">
        <v>5931</v>
      </c>
      <c r="Q159" s="3">
        <v>87.0</v>
      </c>
      <c r="R159" s="3">
        <v>59.0</v>
      </c>
      <c r="S159" s="3">
        <v>55.0</v>
      </c>
      <c r="T159" s="3">
        <v>85.0</v>
      </c>
      <c r="U159" s="3">
        <v>104.0</v>
      </c>
      <c r="V159" s="3">
        <v>59.0</v>
      </c>
      <c r="W159" s="3">
        <v>62.0</v>
      </c>
      <c r="X159" s="3">
        <v>69.0</v>
      </c>
      <c r="Y159" s="3">
        <v>79.0</v>
      </c>
      <c r="Z159" s="3">
        <v>51.0</v>
      </c>
      <c r="AA159" s="3">
        <v>51.0</v>
      </c>
      <c r="AB159" s="3">
        <v>64.0</v>
      </c>
      <c r="AC159" s="3">
        <v>102.0</v>
      </c>
      <c r="AD159" s="3">
        <v>56.0</v>
      </c>
      <c r="AE159" s="3">
        <v>56.0</v>
      </c>
      <c r="AF159" s="3">
        <v>59.0</v>
      </c>
      <c r="AG159" s="3">
        <v>66.0</v>
      </c>
      <c r="AH159" s="3">
        <v>61.0</v>
      </c>
      <c r="AI159" s="3">
        <v>60.0</v>
      </c>
      <c r="AJ159" s="3">
        <v>84.0</v>
      </c>
      <c r="AK159" s="3">
        <v>49.0</v>
      </c>
      <c r="AL159" s="3">
        <v>66.0</v>
      </c>
      <c r="AM159" s="3">
        <v>33.0</v>
      </c>
      <c r="AN159" s="3">
        <v>66.0</v>
      </c>
    </row>
    <row r="160" ht="14.25" customHeight="1">
      <c r="A160" s="3">
        <v>158.0</v>
      </c>
      <c r="B160" s="3" t="s">
        <v>6468</v>
      </c>
      <c r="C160" s="3">
        <v>36.0</v>
      </c>
      <c r="D160" s="3" t="s">
        <v>6646</v>
      </c>
      <c r="E160" s="3" t="s">
        <v>6645</v>
      </c>
      <c r="F160" s="3" t="s">
        <v>6646</v>
      </c>
      <c r="G160" s="3" t="s">
        <v>6646</v>
      </c>
      <c r="H160" s="3" t="s">
        <v>6645</v>
      </c>
      <c r="I160" s="3" t="s">
        <v>6645</v>
      </c>
      <c r="J160" s="3">
        <v>-1.0</v>
      </c>
      <c r="K160" s="3">
        <v>4.0</v>
      </c>
      <c r="L160" s="3">
        <v>0.0</v>
      </c>
      <c r="M160" s="3">
        <v>0.0</v>
      </c>
      <c r="N160" s="3">
        <v>19655.894</v>
      </c>
      <c r="O160" s="3">
        <v>1725.0</v>
      </c>
      <c r="P160" s="3" t="s">
        <v>5931</v>
      </c>
      <c r="Q160" s="3">
        <v>92.0</v>
      </c>
      <c r="R160" s="3">
        <v>55.0</v>
      </c>
      <c r="S160" s="3">
        <v>59.0</v>
      </c>
      <c r="T160" s="3">
        <v>61.0</v>
      </c>
      <c r="U160" s="3">
        <v>90.0</v>
      </c>
      <c r="V160" s="3">
        <v>67.0</v>
      </c>
      <c r="W160" s="3">
        <v>84.0</v>
      </c>
      <c r="X160" s="3">
        <v>70.0</v>
      </c>
      <c r="Y160" s="3">
        <v>79.0</v>
      </c>
      <c r="Z160" s="3">
        <v>82.0</v>
      </c>
      <c r="AA160" s="3">
        <v>55.0</v>
      </c>
      <c r="AB160" s="3">
        <v>92.0</v>
      </c>
      <c r="AC160" s="3">
        <v>57.0</v>
      </c>
      <c r="AD160" s="3">
        <v>52.0</v>
      </c>
      <c r="AE160" s="3">
        <v>58.0</v>
      </c>
      <c r="AF160" s="3">
        <v>58.0</v>
      </c>
      <c r="AG160" s="3">
        <v>58.0</v>
      </c>
      <c r="AH160" s="3">
        <v>67.0</v>
      </c>
      <c r="AI160" s="3">
        <v>43.0</v>
      </c>
      <c r="AJ160" s="3">
        <v>100.0</v>
      </c>
      <c r="AK160" s="3">
        <v>53.0</v>
      </c>
      <c r="AL160" s="3">
        <v>23.0</v>
      </c>
      <c r="AM160" s="3">
        <v>57.0</v>
      </c>
      <c r="AN160" s="3">
        <v>61.0</v>
      </c>
    </row>
    <row r="161" ht="14.25" customHeight="1">
      <c r="A161" s="3">
        <v>159.0</v>
      </c>
      <c r="B161" s="3" t="s">
        <v>6469</v>
      </c>
      <c r="C161" s="3">
        <v>33.0</v>
      </c>
      <c r="D161" s="3" t="s">
        <v>6646</v>
      </c>
      <c r="E161" s="3" t="s">
        <v>6645</v>
      </c>
      <c r="F161" s="3" t="s">
        <v>6646</v>
      </c>
      <c r="G161" s="3" t="s">
        <v>6646</v>
      </c>
      <c r="H161" s="3" t="s">
        <v>6645</v>
      </c>
      <c r="I161" s="3" t="s">
        <v>6645</v>
      </c>
      <c r="J161" s="3">
        <v>-1.0</v>
      </c>
      <c r="K161" s="3">
        <v>5.0</v>
      </c>
      <c r="L161" s="3">
        <v>0.0</v>
      </c>
      <c r="M161" s="3">
        <v>0.0</v>
      </c>
      <c r="N161" s="3">
        <v>58474.08</v>
      </c>
      <c r="O161" s="3">
        <v>2678.0</v>
      </c>
      <c r="P161" s="3" t="s">
        <v>5924</v>
      </c>
      <c r="Q161" s="3">
        <v>120.0</v>
      </c>
      <c r="R161" s="3">
        <v>107.0</v>
      </c>
      <c r="S161" s="3">
        <v>104.0</v>
      </c>
      <c r="T161" s="3">
        <v>120.0</v>
      </c>
      <c r="U161" s="3">
        <v>120.0</v>
      </c>
      <c r="V161" s="3">
        <v>103.0</v>
      </c>
      <c r="W161" s="3">
        <v>102.0</v>
      </c>
      <c r="X161" s="3">
        <v>114.0</v>
      </c>
      <c r="Y161" s="3">
        <v>120.0</v>
      </c>
      <c r="Z161" s="3">
        <v>94.0</v>
      </c>
      <c r="AA161" s="3">
        <v>95.0</v>
      </c>
      <c r="AB161" s="3">
        <v>94.0</v>
      </c>
      <c r="AC161" s="3">
        <v>120.0</v>
      </c>
      <c r="AD161" s="3">
        <v>91.0</v>
      </c>
      <c r="AE161" s="3">
        <v>93.0</v>
      </c>
      <c r="AF161" s="3">
        <v>62.0</v>
      </c>
      <c r="AG161" s="3">
        <v>70.0</v>
      </c>
      <c r="AH161" s="3">
        <v>82.0</v>
      </c>
      <c r="AI161" s="3">
        <v>70.0</v>
      </c>
      <c r="AJ161" s="3">
        <v>97.0</v>
      </c>
      <c r="AK161" s="3">
        <v>56.0</v>
      </c>
      <c r="AL161" s="3">
        <v>43.0</v>
      </c>
      <c r="AM161" s="3">
        <v>68.0</v>
      </c>
      <c r="AN161" s="3">
        <v>72.0</v>
      </c>
    </row>
    <row r="162" ht="14.25" customHeight="1">
      <c r="A162" s="3">
        <v>160.0</v>
      </c>
      <c r="B162" s="3" t="s">
        <v>6470</v>
      </c>
      <c r="C162" s="3">
        <v>19.0</v>
      </c>
      <c r="D162" s="3" t="s">
        <v>6646</v>
      </c>
      <c r="E162" s="3" t="s">
        <v>6645</v>
      </c>
      <c r="F162" s="3" t="s">
        <v>6646</v>
      </c>
      <c r="G162" s="3" t="s">
        <v>6645</v>
      </c>
      <c r="H162" s="3" t="s">
        <v>6645</v>
      </c>
      <c r="I162" s="3" t="s">
        <v>6645</v>
      </c>
      <c r="J162" s="3">
        <v>-1.0</v>
      </c>
      <c r="K162" s="3">
        <v>0.0</v>
      </c>
      <c r="L162" s="3">
        <v>0.0</v>
      </c>
      <c r="M162" s="3">
        <v>0.0</v>
      </c>
      <c r="N162" s="3">
        <v>547.87554</v>
      </c>
      <c r="O162" s="3">
        <v>124.0</v>
      </c>
      <c r="P162" s="3" t="s">
        <v>5899</v>
      </c>
      <c r="Q162" s="3">
        <v>39.0</v>
      </c>
      <c r="R162" s="3">
        <v>36.0</v>
      </c>
      <c r="S162" s="3">
        <v>33.0</v>
      </c>
      <c r="T162" s="3">
        <v>38.0</v>
      </c>
      <c r="U162" s="3">
        <v>30.0</v>
      </c>
      <c r="V162" s="3">
        <v>34.0</v>
      </c>
      <c r="W162" s="3">
        <v>28.0</v>
      </c>
      <c r="X162" s="3">
        <v>39.0</v>
      </c>
      <c r="Y162" s="3">
        <v>30.0</v>
      </c>
      <c r="Z162" s="3">
        <v>43.0</v>
      </c>
      <c r="AA162" s="3">
        <v>34.0</v>
      </c>
      <c r="AB162" s="3">
        <v>38.0</v>
      </c>
      <c r="AC162" s="3">
        <v>29.0</v>
      </c>
      <c r="AD162" s="3">
        <v>44.0</v>
      </c>
      <c r="AE162" s="3">
        <v>29.0</v>
      </c>
      <c r="AF162" s="3">
        <v>36.0</v>
      </c>
      <c r="AG162" s="3">
        <v>43.0</v>
      </c>
      <c r="AH162" s="3">
        <v>58.0</v>
      </c>
      <c r="AI162" s="3">
        <v>48.0</v>
      </c>
      <c r="AJ162" s="3">
        <v>29.0</v>
      </c>
      <c r="AK162" s="3">
        <v>35.0</v>
      </c>
      <c r="AL162" s="3">
        <v>73.0</v>
      </c>
      <c r="AM162" s="3">
        <v>66.0</v>
      </c>
      <c r="AN162" s="3">
        <v>38.0</v>
      </c>
    </row>
    <row r="163" ht="14.25" customHeight="1">
      <c r="A163" s="3">
        <v>161.0</v>
      </c>
      <c r="B163" s="3" t="s">
        <v>6473</v>
      </c>
      <c r="C163" s="3">
        <v>36.0</v>
      </c>
      <c r="D163" s="3" t="s">
        <v>6646</v>
      </c>
      <c r="E163" s="3" t="s">
        <v>6645</v>
      </c>
      <c r="F163" s="3" t="s">
        <v>6646</v>
      </c>
      <c r="G163" s="3" t="s">
        <v>6645</v>
      </c>
      <c r="H163" s="3" t="s">
        <v>6645</v>
      </c>
      <c r="I163" s="3" t="s">
        <v>6645</v>
      </c>
      <c r="J163" s="3">
        <v>-1.0</v>
      </c>
      <c r="K163" s="3">
        <v>1.0</v>
      </c>
      <c r="L163" s="3">
        <v>0.0</v>
      </c>
      <c r="M163" s="3">
        <v>0.0</v>
      </c>
      <c r="N163" s="3">
        <v>1077.3657</v>
      </c>
      <c r="O163" s="3">
        <v>170.0</v>
      </c>
      <c r="P163" s="3" t="s">
        <v>5909</v>
      </c>
      <c r="Q163" s="3">
        <v>36.0</v>
      </c>
      <c r="R163" s="3">
        <v>43.0</v>
      </c>
      <c r="S163" s="3">
        <v>39.0</v>
      </c>
      <c r="T163" s="3">
        <v>40.0</v>
      </c>
      <c r="U163" s="3">
        <v>36.0</v>
      </c>
      <c r="V163" s="3">
        <v>36.0</v>
      </c>
      <c r="W163" s="3">
        <v>30.0</v>
      </c>
      <c r="X163" s="3">
        <v>36.0</v>
      </c>
      <c r="Y163" s="3">
        <v>47.0</v>
      </c>
      <c r="Z163" s="3">
        <v>50.0</v>
      </c>
      <c r="AA163" s="3">
        <v>40.0</v>
      </c>
      <c r="AB163" s="3">
        <v>36.0</v>
      </c>
      <c r="AC163" s="3">
        <v>43.0</v>
      </c>
      <c r="AD163" s="3">
        <v>40.0</v>
      </c>
      <c r="AE163" s="3">
        <v>30.0</v>
      </c>
      <c r="AF163" s="3">
        <v>39.0</v>
      </c>
      <c r="AG163" s="3">
        <v>59.0</v>
      </c>
      <c r="AH163" s="3">
        <v>61.0</v>
      </c>
      <c r="AI163" s="3">
        <v>36.0</v>
      </c>
      <c r="AJ163" s="3">
        <v>39.0</v>
      </c>
      <c r="AK163" s="3">
        <v>41.0</v>
      </c>
      <c r="AL163" s="3">
        <v>59.0</v>
      </c>
      <c r="AM163" s="3">
        <v>45.0</v>
      </c>
      <c r="AN163" s="3">
        <v>32.0</v>
      </c>
    </row>
    <row r="164" ht="14.25" customHeight="1">
      <c r="A164" s="3">
        <v>162.0</v>
      </c>
      <c r="B164" s="3" t="s">
        <v>6475</v>
      </c>
      <c r="C164" s="3">
        <v>53.0</v>
      </c>
      <c r="D164" s="3" t="s">
        <v>6646</v>
      </c>
      <c r="E164" s="3" t="s">
        <v>6645</v>
      </c>
      <c r="F164" s="3" t="s">
        <v>6646</v>
      </c>
      <c r="G164" s="3" t="s">
        <v>6645</v>
      </c>
      <c r="H164" s="3" t="s">
        <v>6645</v>
      </c>
      <c r="I164" s="3" t="s">
        <v>6645</v>
      </c>
      <c r="J164" s="3">
        <v>-1.0</v>
      </c>
      <c r="K164" s="3">
        <v>1.0</v>
      </c>
      <c r="L164" s="3">
        <v>0.0</v>
      </c>
      <c r="M164" s="3">
        <v>0.0</v>
      </c>
      <c r="N164" s="3">
        <v>1016.6918</v>
      </c>
      <c r="O164" s="3">
        <v>173.0</v>
      </c>
      <c r="P164" s="3" t="s">
        <v>5909</v>
      </c>
      <c r="Q164" s="3">
        <v>39.0</v>
      </c>
      <c r="R164" s="3">
        <v>35.0</v>
      </c>
      <c r="S164" s="3">
        <v>35.0</v>
      </c>
      <c r="T164" s="3">
        <v>38.0</v>
      </c>
      <c r="U164" s="3">
        <v>36.0</v>
      </c>
      <c r="V164" s="3">
        <v>43.0</v>
      </c>
      <c r="W164" s="3">
        <v>43.0</v>
      </c>
      <c r="X164" s="3">
        <v>29.0</v>
      </c>
      <c r="Y164" s="3">
        <v>46.0</v>
      </c>
      <c r="Z164" s="3">
        <v>43.0</v>
      </c>
      <c r="AA164" s="3">
        <v>50.0</v>
      </c>
      <c r="AB164" s="3">
        <v>36.0</v>
      </c>
      <c r="AC164" s="3">
        <v>28.0</v>
      </c>
      <c r="AD164" s="3">
        <v>42.0</v>
      </c>
      <c r="AE164" s="3">
        <v>40.0</v>
      </c>
      <c r="AF164" s="3">
        <v>18.0</v>
      </c>
      <c r="AG164" s="3">
        <v>40.0</v>
      </c>
      <c r="AH164" s="3">
        <v>48.0</v>
      </c>
      <c r="AI164" s="3">
        <v>78.0</v>
      </c>
      <c r="AJ164" s="3">
        <v>69.0</v>
      </c>
      <c r="AK164" s="3">
        <v>48.0</v>
      </c>
      <c r="AL164" s="3">
        <v>32.0</v>
      </c>
      <c r="AM164" s="3">
        <v>55.0</v>
      </c>
      <c r="AN164" s="3">
        <v>47.0</v>
      </c>
    </row>
    <row r="165" ht="14.25" customHeight="1">
      <c r="A165" s="3">
        <v>163.0</v>
      </c>
      <c r="B165" s="3" t="s">
        <v>6477</v>
      </c>
      <c r="C165" s="3">
        <v>48.0</v>
      </c>
      <c r="D165" s="3" t="s">
        <v>6646</v>
      </c>
      <c r="E165" s="3" t="s">
        <v>6645</v>
      </c>
      <c r="F165" s="3" t="s">
        <v>6646</v>
      </c>
      <c r="G165" s="3" t="s">
        <v>6645</v>
      </c>
      <c r="H165" s="3" t="s">
        <v>6645</v>
      </c>
      <c r="I165" s="3" t="s">
        <v>6645</v>
      </c>
      <c r="J165" s="3">
        <v>-1.0</v>
      </c>
      <c r="K165" s="3">
        <v>1.0</v>
      </c>
      <c r="L165" s="3">
        <v>0.0</v>
      </c>
      <c r="M165" s="3">
        <v>0.0</v>
      </c>
      <c r="N165" s="3">
        <v>1015.9083</v>
      </c>
      <c r="O165" s="3">
        <v>218.0</v>
      </c>
      <c r="P165" s="3" t="s">
        <v>5909</v>
      </c>
      <c r="Q165" s="3">
        <v>37.0</v>
      </c>
      <c r="R165" s="3">
        <v>38.0</v>
      </c>
      <c r="S165" s="3">
        <v>35.0</v>
      </c>
      <c r="T165" s="3">
        <v>39.0</v>
      </c>
      <c r="U165" s="3">
        <v>42.0</v>
      </c>
      <c r="V165" s="3">
        <v>41.0</v>
      </c>
      <c r="W165" s="3">
        <v>42.0</v>
      </c>
      <c r="X165" s="3">
        <v>38.0</v>
      </c>
      <c r="Y165" s="3">
        <v>34.0</v>
      </c>
      <c r="Z165" s="3">
        <v>35.0</v>
      </c>
      <c r="AA165" s="3">
        <v>30.0</v>
      </c>
      <c r="AB165" s="3">
        <v>45.0</v>
      </c>
      <c r="AC165" s="3">
        <v>36.0</v>
      </c>
      <c r="AD165" s="3">
        <v>37.0</v>
      </c>
      <c r="AE165" s="3">
        <v>41.0</v>
      </c>
      <c r="AF165" s="3">
        <v>78.0</v>
      </c>
      <c r="AG165" s="3">
        <v>39.0</v>
      </c>
      <c r="AH165" s="3">
        <v>67.0</v>
      </c>
      <c r="AI165" s="3">
        <v>29.0</v>
      </c>
      <c r="AJ165" s="3">
        <v>38.0</v>
      </c>
      <c r="AK165" s="3">
        <v>43.0</v>
      </c>
      <c r="AL165" s="3">
        <v>57.0</v>
      </c>
      <c r="AM165" s="3">
        <v>55.0</v>
      </c>
      <c r="AN165" s="3">
        <v>16.0</v>
      </c>
    </row>
    <row r="166" ht="14.25" customHeight="1">
      <c r="A166" s="3">
        <v>164.0</v>
      </c>
      <c r="B166" s="3" t="s">
        <v>6479</v>
      </c>
      <c r="C166" s="3">
        <v>32.0</v>
      </c>
      <c r="D166" s="3" t="s">
        <v>6646</v>
      </c>
      <c r="E166" s="3" t="s">
        <v>6645</v>
      </c>
      <c r="F166" s="3" t="s">
        <v>6646</v>
      </c>
      <c r="G166" s="3" t="s">
        <v>6645</v>
      </c>
      <c r="H166" s="3" t="s">
        <v>6645</v>
      </c>
      <c r="I166" s="3" t="s">
        <v>6645</v>
      </c>
      <c r="J166" s="3">
        <v>-1.0</v>
      </c>
      <c r="K166" s="3">
        <v>1.0</v>
      </c>
      <c r="L166" s="3">
        <v>0.0</v>
      </c>
      <c r="M166" s="3">
        <v>0.0</v>
      </c>
      <c r="N166" s="3">
        <v>972.46783</v>
      </c>
      <c r="O166" s="3">
        <v>230.0</v>
      </c>
      <c r="P166" s="3" t="s">
        <v>5909</v>
      </c>
      <c r="Q166" s="3">
        <v>44.0</v>
      </c>
      <c r="R166" s="3">
        <v>40.0</v>
      </c>
      <c r="S166" s="3">
        <v>38.0</v>
      </c>
      <c r="T166" s="3">
        <v>41.0</v>
      </c>
      <c r="U166" s="3">
        <v>43.0</v>
      </c>
      <c r="V166" s="3">
        <v>43.0</v>
      </c>
      <c r="W166" s="3">
        <v>46.0</v>
      </c>
      <c r="X166" s="3">
        <v>31.0</v>
      </c>
      <c r="Y166" s="3">
        <v>43.0</v>
      </c>
      <c r="Z166" s="3">
        <v>39.0</v>
      </c>
      <c r="AA166" s="3">
        <v>35.0</v>
      </c>
      <c r="AB166" s="3">
        <v>41.0</v>
      </c>
      <c r="AC166" s="3">
        <v>51.0</v>
      </c>
      <c r="AD166" s="3">
        <v>38.0</v>
      </c>
      <c r="AE166" s="3">
        <v>42.0</v>
      </c>
      <c r="AF166" s="3">
        <v>53.0</v>
      </c>
      <c r="AG166" s="3">
        <v>40.0</v>
      </c>
      <c r="AH166" s="3">
        <v>20.0</v>
      </c>
      <c r="AI166" s="3">
        <v>38.0</v>
      </c>
      <c r="AJ166" s="3">
        <v>36.0</v>
      </c>
      <c r="AK166" s="3">
        <v>43.0</v>
      </c>
      <c r="AL166" s="3">
        <v>75.0</v>
      </c>
      <c r="AM166" s="3">
        <v>59.0</v>
      </c>
      <c r="AN166" s="3">
        <v>58.0</v>
      </c>
    </row>
    <row r="167" ht="14.25" customHeight="1">
      <c r="A167" s="3">
        <v>165.0</v>
      </c>
      <c r="B167" s="3" t="s">
        <v>6481</v>
      </c>
      <c r="C167" s="3">
        <v>28.0</v>
      </c>
      <c r="D167" s="3" t="s">
        <v>6646</v>
      </c>
      <c r="E167" s="3" t="s">
        <v>6645</v>
      </c>
      <c r="F167" s="3" t="s">
        <v>6646</v>
      </c>
      <c r="G167" s="3" t="s">
        <v>6645</v>
      </c>
      <c r="H167" s="3" t="s">
        <v>6645</v>
      </c>
      <c r="I167" s="3" t="s">
        <v>6645</v>
      </c>
      <c r="J167" s="3">
        <v>-1.0</v>
      </c>
      <c r="K167" s="3">
        <v>1.0</v>
      </c>
      <c r="L167" s="3">
        <v>0.0</v>
      </c>
      <c r="M167" s="3">
        <v>0.0</v>
      </c>
      <c r="N167" s="3">
        <v>1041.318</v>
      </c>
      <c r="O167" s="3">
        <v>224.0</v>
      </c>
      <c r="P167" s="3" t="s">
        <v>5909</v>
      </c>
      <c r="Q167" s="3">
        <v>40.0</v>
      </c>
      <c r="R167" s="3">
        <v>38.0</v>
      </c>
      <c r="S167" s="3">
        <v>44.0</v>
      </c>
      <c r="T167" s="3">
        <v>37.0</v>
      </c>
      <c r="U167" s="3">
        <v>37.0</v>
      </c>
      <c r="V167" s="3">
        <v>43.0</v>
      </c>
      <c r="W167" s="3">
        <v>35.0</v>
      </c>
      <c r="X167" s="3">
        <v>44.0</v>
      </c>
      <c r="Y167" s="3">
        <v>30.0</v>
      </c>
      <c r="Z167" s="3">
        <v>31.0</v>
      </c>
      <c r="AA167" s="3">
        <v>41.0</v>
      </c>
      <c r="AB167" s="3">
        <v>40.0</v>
      </c>
      <c r="AC167" s="3">
        <v>40.0</v>
      </c>
      <c r="AD167" s="3">
        <v>50.0</v>
      </c>
      <c r="AE167" s="3">
        <v>42.0</v>
      </c>
      <c r="AF167" s="3">
        <v>76.0</v>
      </c>
      <c r="AG167" s="3">
        <v>54.0</v>
      </c>
      <c r="AH167" s="3">
        <v>57.0</v>
      </c>
      <c r="AI167" s="3">
        <v>61.0</v>
      </c>
      <c r="AJ167" s="3">
        <v>53.0</v>
      </c>
      <c r="AK167" s="3">
        <v>57.0</v>
      </c>
      <c r="AL167" s="3">
        <v>60.0</v>
      </c>
      <c r="AM167" s="3">
        <v>30.0</v>
      </c>
      <c r="AN167" s="3">
        <v>51.0</v>
      </c>
    </row>
    <row r="168" ht="14.25" customHeight="1">
      <c r="A168" s="3">
        <v>166.0</v>
      </c>
      <c r="B168" s="3" t="s">
        <v>6483</v>
      </c>
      <c r="C168" s="3">
        <v>26.0</v>
      </c>
      <c r="D168" s="3" t="s">
        <v>6646</v>
      </c>
      <c r="E168" s="3" t="s">
        <v>6645</v>
      </c>
      <c r="F168" s="3" t="s">
        <v>6646</v>
      </c>
      <c r="G168" s="3" t="s">
        <v>6645</v>
      </c>
      <c r="H168" s="3" t="s">
        <v>6645</v>
      </c>
      <c r="I168" s="3" t="s">
        <v>6646</v>
      </c>
      <c r="J168" s="3">
        <v>-1.0</v>
      </c>
      <c r="K168" s="3">
        <v>1.0</v>
      </c>
      <c r="L168" s="3">
        <v>0.0</v>
      </c>
      <c r="M168" s="3">
        <v>0.0</v>
      </c>
      <c r="N168" s="3">
        <v>1176.64</v>
      </c>
      <c r="O168" s="3">
        <v>221.0</v>
      </c>
      <c r="P168" s="3" t="s">
        <v>5909</v>
      </c>
      <c r="Q168" s="3">
        <v>43.0</v>
      </c>
      <c r="R168" s="3">
        <v>40.0</v>
      </c>
      <c r="S168" s="3">
        <v>42.0</v>
      </c>
      <c r="T168" s="3">
        <v>40.0</v>
      </c>
      <c r="U168" s="3">
        <v>44.0</v>
      </c>
      <c r="V168" s="3">
        <v>42.0</v>
      </c>
      <c r="W168" s="3">
        <v>30.0</v>
      </c>
      <c r="X168" s="3">
        <v>47.0</v>
      </c>
      <c r="Y168" s="3">
        <v>42.0</v>
      </c>
      <c r="Z168" s="3">
        <v>39.0</v>
      </c>
      <c r="AA168" s="3">
        <v>32.0</v>
      </c>
      <c r="AB168" s="3">
        <v>43.0</v>
      </c>
      <c r="AC168" s="3">
        <v>35.0</v>
      </c>
      <c r="AD168" s="3">
        <v>40.0</v>
      </c>
      <c r="AE168" s="3">
        <v>49.0</v>
      </c>
      <c r="AF168" s="3">
        <v>48.0</v>
      </c>
      <c r="AG168" s="3">
        <v>43.0</v>
      </c>
      <c r="AH168" s="3">
        <v>36.0</v>
      </c>
      <c r="AI168" s="3">
        <v>32.0</v>
      </c>
      <c r="AJ168" s="3">
        <v>58.0</v>
      </c>
      <c r="AK168" s="3">
        <v>34.0</v>
      </c>
      <c r="AL168" s="3">
        <v>32.0</v>
      </c>
      <c r="AM168" s="3">
        <v>51.0</v>
      </c>
      <c r="AN168" s="3">
        <v>48.0</v>
      </c>
    </row>
    <row r="169" ht="14.25" customHeight="1">
      <c r="A169" s="3">
        <v>167.0</v>
      </c>
      <c r="B169" s="3" t="s">
        <v>6485</v>
      </c>
      <c r="C169" s="3">
        <v>24.0</v>
      </c>
      <c r="D169" s="3" t="s">
        <v>6646</v>
      </c>
      <c r="E169" s="3" t="s">
        <v>6645</v>
      </c>
      <c r="F169" s="3" t="s">
        <v>6646</v>
      </c>
      <c r="G169" s="3" t="s">
        <v>6645</v>
      </c>
      <c r="H169" s="3" t="s">
        <v>6645</v>
      </c>
      <c r="I169" s="3" t="s">
        <v>6645</v>
      </c>
      <c r="J169" s="3">
        <v>-1.0</v>
      </c>
      <c r="K169" s="3">
        <v>3.0</v>
      </c>
      <c r="L169" s="3">
        <v>0.0</v>
      </c>
      <c r="M169" s="3">
        <v>0.0</v>
      </c>
      <c r="N169" s="3">
        <v>5162.25</v>
      </c>
      <c r="O169" s="3">
        <v>939.0</v>
      </c>
      <c r="P169" s="3" t="s">
        <v>5931</v>
      </c>
      <c r="Q169" s="3">
        <v>54.0</v>
      </c>
      <c r="R169" s="3">
        <v>47.0</v>
      </c>
      <c r="S169" s="3">
        <v>55.0</v>
      </c>
      <c r="T169" s="3">
        <v>46.0</v>
      </c>
      <c r="U169" s="3">
        <v>45.0</v>
      </c>
      <c r="V169" s="3">
        <v>53.0</v>
      </c>
      <c r="W169" s="3">
        <v>52.0</v>
      </c>
      <c r="X169" s="3">
        <v>48.0</v>
      </c>
      <c r="Y169" s="3">
        <v>45.0</v>
      </c>
      <c r="Z169" s="3">
        <v>48.0</v>
      </c>
      <c r="AA169" s="3">
        <v>41.0</v>
      </c>
      <c r="AB169" s="3">
        <v>58.0</v>
      </c>
      <c r="AC169" s="3">
        <v>47.0</v>
      </c>
      <c r="AD169" s="3">
        <v>46.0</v>
      </c>
      <c r="AE169" s="3">
        <v>60.0</v>
      </c>
      <c r="AF169" s="3">
        <v>37.0</v>
      </c>
      <c r="AG169" s="3">
        <v>71.0</v>
      </c>
      <c r="AH169" s="3">
        <v>65.0</v>
      </c>
      <c r="AI169" s="3">
        <v>54.0</v>
      </c>
      <c r="AJ169" s="3">
        <v>9.0</v>
      </c>
      <c r="AK169" s="3">
        <v>61.0</v>
      </c>
      <c r="AL169" s="3">
        <v>39.0</v>
      </c>
      <c r="AM169" s="3">
        <v>40.0</v>
      </c>
      <c r="AN169" s="3">
        <v>36.0</v>
      </c>
    </row>
    <row r="170" ht="14.25" customHeight="1">
      <c r="A170" s="3">
        <v>168.0</v>
      </c>
      <c r="B170" s="3" t="s">
        <v>6488</v>
      </c>
      <c r="C170" s="3">
        <v>18.0</v>
      </c>
      <c r="D170" s="3" t="s">
        <v>6646</v>
      </c>
      <c r="E170" s="3" t="s">
        <v>6645</v>
      </c>
      <c r="F170" s="3" t="s">
        <v>6646</v>
      </c>
      <c r="G170" s="3" t="s">
        <v>6645</v>
      </c>
      <c r="H170" s="3" t="s">
        <v>6645</v>
      </c>
      <c r="I170" s="3" t="s">
        <v>6645</v>
      </c>
      <c r="J170" s="3">
        <v>-1.0</v>
      </c>
      <c r="K170" s="3">
        <v>1.0</v>
      </c>
      <c r="L170" s="3">
        <v>0.0</v>
      </c>
      <c r="M170" s="3">
        <v>0.0</v>
      </c>
      <c r="N170" s="3">
        <v>2243.5007</v>
      </c>
      <c r="O170" s="3">
        <v>215.0</v>
      </c>
      <c r="P170" s="3" t="s">
        <v>5924</v>
      </c>
      <c r="Q170" s="3">
        <v>42.0</v>
      </c>
      <c r="R170" s="3">
        <v>44.0</v>
      </c>
      <c r="S170" s="3">
        <v>47.0</v>
      </c>
      <c r="T170" s="3">
        <v>49.0</v>
      </c>
      <c r="U170" s="3">
        <v>44.0</v>
      </c>
      <c r="V170" s="3">
        <v>47.0</v>
      </c>
      <c r="W170" s="3">
        <v>41.0</v>
      </c>
      <c r="X170" s="3">
        <v>51.0</v>
      </c>
      <c r="Y170" s="3">
        <v>45.0</v>
      </c>
      <c r="Z170" s="3">
        <v>49.0</v>
      </c>
      <c r="AA170" s="3">
        <v>50.0</v>
      </c>
      <c r="AB170" s="3">
        <v>44.0</v>
      </c>
      <c r="AC170" s="3">
        <v>39.0</v>
      </c>
      <c r="AD170" s="3">
        <v>56.0</v>
      </c>
      <c r="AE170" s="3">
        <v>43.0</v>
      </c>
      <c r="AF170" s="3">
        <v>37.0</v>
      </c>
      <c r="AG170" s="3">
        <v>71.0</v>
      </c>
      <c r="AH170" s="3">
        <v>43.0</v>
      </c>
      <c r="AI170" s="3">
        <v>68.0</v>
      </c>
      <c r="AJ170" s="3">
        <v>56.0</v>
      </c>
      <c r="AK170" s="3">
        <v>34.0</v>
      </c>
      <c r="AL170" s="3">
        <v>8.0</v>
      </c>
      <c r="AM170" s="3">
        <v>52.0</v>
      </c>
      <c r="AN170" s="3">
        <v>20.0</v>
      </c>
    </row>
    <row r="171" ht="14.25" customHeight="1">
      <c r="A171" s="3">
        <v>169.0</v>
      </c>
      <c r="B171" s="3" t="s">
        <v>6490</v>
      </c>
      <c r="C171" s="3">
        <v>30.0</v>
      </c>
      <c r="D171" s="3" t="s">
        <v>6646</v>
      </c>
      <c r="E171" s="3" t="s">
        <v>6645</v>
      </c>
      <c r="F171" s="3" t="s">
        <v>6646</v>
      </c>
      <c r="G171" s="3" t="s">
        <v>6645</v>
      </c>
      <c r="H171" s="3" t="s">
        <v>6645</v>
      </c>
      <c r="I171" s="3" t="s">
        <v>6645</v>
      </c>
      <c r="J171" s="3">
        <v>-1.0</v>
      </c>
      <c r="K171" s="3">
        <v>1.0</v>
      </c>
      <c r="L171" s="3">
        <v>0.0</v>
      </c>
      <c r="M171" s="3">
        <v>0.0</v>
      </c>
      <c r="N171" s="3">
        <v>1037.18</v>
      </c>
      <c r="O171" s="3">
        <v>235.0</v>
      </c>
      <c r="P171" s="3" t="s">
        <v>5909</v>
      </c>
      <c r="Q171" s="3">
        <v>38.0</v>
      </c>
      <c r="R171" s="3">
        <v>41.0</v>
      </c>
      <c r="S171" s="3">
        <v>43.0</v>
      </c>
      <c r="T171" s="3">
        <v>37.0</v>
      </c>
      <c r="U171" s="3">
        <v>38.0</v>
      </c>
      <c r="V171" s="3">
        <v>40.0</v>
      </c>
      <c r="W171" s="3">
        <v>34.0</v>
      </c>
      <c r="X171" s="3">
        <v>40.0</v>
      </c>
      <c r="Y171" s="3">
        <v>49.0</v>
      </c>
      <c r="Z171" s="3">
        <v>38.0</v>
      </c>
      <c r="AA171" s="3">
        <v>41.0</v>
      </c>
      <c r="AB171" s="3">
        <v>48.0</v>
      </c>
      <c r="AC171" s="3">
        <v>41.0</v>
      </c>
      <c r="AD171" s="3">
        <v>43.0</v>
      </c>
      <c r="AE171" s="3">
        <v>36.0</v>
      </c>
      <c r="AF171" s="3">
        <v>33.0</v>
      </c>
      <c r="AG171" s="3">
        <v>29.0</v>
      </c>
      <c r="AH171" s="3">
        <v>29.0</v>
      </c>
      <c r="AI171" s="3">
        <v>56.0</v>
      </c>
      <c r="AJ171" s="3">
        <v>21.0</v>
      </c>
      <c r="AK171" s="3">
        <v>65.0</v>
      </c>
      <c r="AL171" s="3">
        <v>48.0</v>
      </c>
      <c r="AM171" s="3">
        <v>65.0</v>
      </c>
      <c r="AN171" s="3">
        <v>66.0</v>
      </c>
    </row>
    <row r="172" ht="14.25" customHeight="1">
      <c r="A172" s="3">
        <v>170.0</v>
      </c>
      <c r="B172" s="3" t="s">
        <v>6493</v>
      </c>
      <c r="C172" s="3">
        <v>32.0</v>
      </c>
      <c r="D172" s="3" t="s">
        <v>6646</v>
      </c>
      <c r="E172" s="3" t="s">
        <v>6645</v>
      </c>
      <c r="F172" s="3" t="s">
        <v>6646</v>
      </c>
      <c r="G172" s="3" t="s">
        <v>6645</v>
      </c>
      <c r="H172" s="3" t="s">
        <v>6645</v>
      </c>
      <c r="I172" s="3" t="s">
        <v>6645</v>
      </c>
      <c r="J172" s="3">
        <v>-1.0</v>
      </c>
      <c r="K172" s="3">
        <v>3.0</v>
      </c>
      <c r="L172" s="3">
        <v>0.0</v>
      </c>
      <c r="M172" s="3">
        <v>0.0</v>
      </c>
      <c r="N172" s="3">
        <v>4818.7255</v>
      </c>
      <c r="O172" s="3">
        <v>964.0</v>
      </c>
      <c r="P172" s="3" t="s">
        <v>5909</v>
      </c>
      <c r="Q172" s="3">
        <v>51.0</v>
      </c>
      <c r="R172" s="3">
        <v>52.0</v>
      </c>
      <c r="S172" s="3">
        <v>54.0</v>
      </c>
      <c r="T172" s="3">
        <v>53.0</v>
      </c>
      <c r="U172" s="3">
        <v>48.0</v>
      </c>
      <c r="V172" s="3">
        <v>52.0</v>
      </c>
      <c r="W172" s="3">
        <v>60.0</v>
      </c>
      <c r="X172" s="3">
        <v>44.0</v>
      </c>
      <c r="Y172" s="3">
        <v>46.0</v>
      </c>
      <c r="Z172" s="3">
        <v>52.0</v>
      </c>
      <c r="AA172" s="3">
        <v>50.0</v>
      </c>
      <c r="AB172" s="3">
        <v>54.0</v>
      </c>
      <c r="AC172" s="3">
        <v>50.0</v>
      </c>
      <c r="AD172" s="3">
        <v>49.0</v>
      </c>
      <c r="AE172" s="3">
        <v>54.0</v>
      </c>
      <c r="AF172" s="3">
        <v>47.0</v>
      </c>
      <c r="AG172" s="3">
        <v>60.0</v>
      </c>
      <c r="AH172" s="3">
        <v>65.0</v>
      </c>
      <c r="AI172" s="3">
        <v>70.0</v>
      </c>
      <c r="AJ172" s="3">
        <v>45.0</v>
      </c>
      <c r="AK172" s="3">
        <v>26.0</v>
      </c>
      <c r="AL172" s="3">
        <v>52.0</v>
      </c>
      <c r="AM172" s="3">
        <v>53.0</v>
      </c>
      <c r="AN172" s="3">
        <v>56.0</v>
      </c>
    </row>
    <row r="173" ht="14.25" customHeight="1">
      <c r="A173" s="3">
        <v>171.0</v>
      </c>
      <c r="B173" s="3" t="s">
        <v>7349</v>
      </c>
      <c r="C173" s="3">
        <v>38.0</v>
      </c>
      <c r="D173" s="3" t="s">
        <v>6645</v>
      </c>
      <c r="E173" s="3" t="s">
        <v>6646</v>
      </c>
      <c r="F173" s="3" t="s">
        <v>6646</v>
      </c>
      <c r="G173" s="3" t="s">
        <v>6645</v>
      </c>
      <c r="H173" s="3" t="s">
        <v>6645</v>
      </c>
      <c r="I173" s="3" t="s">
        <v>6646</v>
      </c>
      <c r="J173" s="3">
        <v>0.0</v>
      </c>
      <c r="K173" s="3">
        <v>4.0</v>
      </c>
      <c r="L173" s="3">
        <v>0.0</v>
      </c>
      <c r="M173" s="3">
        <v>0.0</v>
      </c>
      <c r="N173" s="3">
        <v>11146.548</v>
      </c>
      <c r="O173" s="3">
        <v>1211.0</v>
      </c>
      <c r="P173" s="3" t="e">
        <v>#N/A</v>
      </c>
      <c r="Q173" s="3">
        <v>73.0</v>
      </c>
      <c r="R173" s="3">
        <v>57.0</v>
      </c>
      <c r="S173" s="3">
        <v>63.0</v>
      </c>
      <c r="T173" s="3">
        <v>68.0</v>
      </c>
      <c r="U173" s="3">
        <v>67.0</v>
      </c>
      <c r="V173" s="3">
        <v>59.0</v>
      </c>
      <c r="W173" s="3">
        <v>71.0</v>
      </c>
      <c r="X173" s="3">
        <v>74.0</v>
      </c>
      <c r="Y173" s="3">
        <v>56.0</v>
      </c>
      <c r="Z173" s="3">
        <v>60.0</v>
      </c>
      <c r="AA173" s="3">
        <v>55.0</v>
      </c>
      <c r="AB173" s="3">
        <v>82.0</v>
      </c>
      <c r="AC173" s="3">
        <v>57.0</v>
      </c>
      <c r="AD173" s="3">
        <v>65.0</v>
      </c>
      <c r="AE173" s="3">
        <v>76.0</v>
      </c>
      <c r="AF173" s="3">
        <v>61.0</v>
      </c>
      <c r="AG173" s="3">
        <v>52.0</v>
      </c>
      <c r="AH173" s="3">
        <v>49.0</v>
      </c>
      <c r="AI173" s="3">
        <v>75.0</v>
      </c>
      <c r="AJ173" s="3">
        <v>48.0</v>
      </c>
      <c r="AK173" s="3">
        <v>66.0</v>
      </c>
      <c r="AL173" s="3">
        <v>34.0</v>
      </c>
      <c r="AM173" s="3">
        <v>58.0</v>
      </c>
      <c r="AN173" s="3">
        <v>64.0</v>
      </c>
    </row>
    <row r="174" ht="14.25" customHeight="1">
      <c r="A174" s="3">
        <v>172.0</v>
      </c>
      <c r="B174" s="3" t="s">
        <v>7350</v>
      </c>
      <c r="C174" s="3">
        <v>38.0</v>
      </c>
      <c r="D174" s="3" t="s">
        <v>6645</v>
      </c>
      <c r="E174" s="3" t="s">
        <v>6646</v>
      </c>
      <c r="F174" s="3" t="s">
        <v>6646</v>
      </c>
      <c r="G174" s="3" t="s">
        <v>6645</v>
      </c>
      <c r="H174" s="3" t="s">
        <v>6645</v>
      </c>
      <c r="I174" s="3" t="s">
        <v>6645</v>
      </c>
      <c r="J174" s="3">
        <v>0.0</v>
      </c>
      <c r="K174" s="3">
        <v>4.0</v>
      </c>
      <c r="L174" s="3">
        <v>0.0</v>
      </c>
      <c r="M174" s="3">
        <v>0.0</v>
      </c>
      <c r="N174" s="3">
        <v>11634.451</v>
      </c>
      <c r="O174" s="3">
        <v>1596.0</v>
      </c>
      <c r="P174" s="3" t="e">
        <v>#N/A</v>
      </c>
      <c r="Q174" s="3">
        <v>74.0</v>
      </c>
      <c r="R174" s="3">
        <v>57.0</v>
      </c>
      <c r="S174" s="3">
        <v>65.0</v>
      </c>
      <c r="T174" s="3">
        <v>68.0</v>
      </c>
      <c r="U174" s="3">
        <v>64.0</v>
      </c>
      <c r="V174" s="3">
        <v>63.0</v>
      </c>
      <c r="W174" s="3">
        <v>70.0</v>
      </c>
      <c r="X174" s="3">
        <v>79.0</v>
      </c>
      <c r="Y174" s="3">
        <v>66.0</v>
      </c>
      <c r="Z174" s="3">
        <v>57.0</v>
      </c>
      <c r="AA174" s="3">
        <v>53.0</v>
      </c>
      <c r="AB174" s="3">
        <v>74.0</v>
      </c>
      <c r="AC174" s="3">
        <v>60.0</v>
      </c>
      <c r="AD174" s="3">
        <v>62.0</v>
      </c>
      <c r="AE174" s="3">
        <v>75.0</v>
      </c>
      <c r="AF174" s="3">
        <v>58.0</v>
      </c>
      <c r="AG174" s="3">
        <v>60.0</v>
      </c>
      <c r="AH174" s="3">
        <v>46.0</v>
      </c>
      <c r="AI174" s="3">
        <v>72.0</v>
      </c>
      <c r="AJ174" s="3">
        <v>51.0</v>
      </c>
      <c r="AK174" s="3">
        <v>50.0</v>
      </c>
      <c r="AL174" s="3">
        <v>50.0</v>
      </c>
      <c r="AM174" s="3">
        <v>55.0</v>
      </c>
      <c r="AN174" s="3">
        <v>14.0</v>
      </c>
    </row>
    <row r="175" ht="14.25" customHeight="1">
      <c r="A175" s="3">
        <v>173.0</v>
      </c>
      <c r="B175" s="3" t="s">
        <v>7351</v>
      </c>
      <c r="C175" s="3">
        <v>33.0</v>
      </c>
      <c r="D175" s="3" t="s">
        <v>6645</v>
      </c>
      <c r="E175" s="3" t="s">
        <v>6646</v>
      </c>
      <c r="F175" s="3" t="s">
        <v>6646</v>
      </c>
      <c r="G175" s="3" t="s">
        <v>6645</v>
      </c>
      <c r="H175" s="3" t="s">
        <v>6645</v>
      </c>
      <c r="I175" s="3" t="s">
        <v>6646</v>
      </c>
      <c r="J175" s="3">
        <v>0.0</v>
      </c>
      <c r="K175" s="3">
        <v>3.0</v>
      </c>
      <c r="L175" s="3">
        <v>0.0</v>
      </c>
      <c r="M175" s="3">
        <v>0.0</v>
      </c>
      <c r="N175" s="3">
        <v>6329.2983</v>
      </c>
      <c r="O175" s="3">
        <v>968.0</v>
      </c>
      <c r="P175" s="3" t="e">
        <v>#N/A</v>
      </c>
      <c r="Q175" s="3">
        <v>55.0</v>
      </c>
      <c r="R175" s="3">
        <v>56.0</v>
      </c>
      <c r="S175" s="3">
        <v>52.0</v>
      </c>
      <c r="T175" s="3">
        <v>56.0</v>
      </c>
      <c r="U175" s="3">
        <v>56.0</v>
      </c>
      <c r="V175" s="3">
        <v>56.0</v>
      </c>
      <c r="W175" s="3">
        <v>56.0</v>
      </c>
      <c r="X175" s="3">
        <v>63.0</v>
      </c>
      <c r="Y175" s="3">
        <v>61.0</v>
      </c>
      <c r="Z175" s="3">
        <v>49.0</v>
      </c>
      <c r="AA175" s="3">
        <v>45.0</v>
      </c>
      <c r="AB175" s="3">
        <v>59.0</v>
      </c>
      <c r="AC175" s="3">
        <v>51.0</v>
      </c>
      <c r="AD175" s="3">
        <v>56.0</v>
      </c>
      <c r="AE175" s="3">
        <v>60.0</v>
      </c>
      <c r="AF175" s="3">
        <v>49.0</v>
      </c>
      <c r="AG175" s="3">
        <v>46.0</v>
      </c>
      <c r="AH175" s="3">
        <v>38.0</v>
      </c>
      <c r="AI175" s="3">
        <v>79.0</v>
      </c>
      <c r="AJ175" s="3">
        <v>57.0</v>
      </c>
      <c r="AK175" s="3">
        <v>43.0</v>
      </c>
      <c r="AL175" s="3">
        <v>44.0</v>
      </c>
      <c r="AM175" s="3">
        <v>65.0</v>
      </c>
      <c r="AN175" s="3">
        <v>54.0</v>
      </c>
    </row>
    <row r="176" ht="14.25" customHeight="1">
      <c r="A176" s="3">
        <v>174.0</v>
      </c>
      <c r="B176" s="3" t="s">
        <v>7352</v>
      </c>
      <c r="C176" s="3">
        <v>38.0</v>
      </c>
      <c r="D176" s="3" t="s">
        <v>6645</v>
      </c>
      <c r="E176" s="3" t="s">
        <v>6646</v>
      </c>
      <c r="F176" s="3" t="s">
        <v>6646</v>
      </c>
      <c r="G176" s="3" t="s">
        <v>6645</v>
      </c>
      <c r="H176" s="3" t="s">
        <v>6645</v>
      </c>
      <c r="I176" s="3" t="s">
        <v>6645</v>
      </c>
      <c r="J176" s="3">
        <v>0.0</v>
      </c>
      <c r="K176" s="3">
        <v>3.0</v>
      </c>
      <c r="L176" s="3">
        <v>0.0</v>
      </c>
      <c r="M176" s="3">
        <v>0.0</v>
      </c>
      <c r="N176" s="3">
        <v>7023.76</v>
      </c>
      <c r="O176" s="3">
        <v>819.0</v>
      </c>
      <c r="P176" s="3" t="e">
        <v>#N/A</v>
      </c>
      <c r="Q176" s="3">
        <v>62.0</v>
      </c>
      <c r="R176" s="3">
        <v>54.0</v>
      </c>
      <c r="S176" s="3">
        <v>58.0</v>
      </c>
      <c r="T176" s="3">
        <v>52.0</v>
      </c>
      <c r="U176" s="3">
        <v>56.0</v>
      </c>
      <c r="V176" s="3">
        <v>56.0</v>
      </c>
      <c r="W176" s="3">
        <v>53.0</v>
      </c>
      <c r="X176" s="3">
        <v>68.0</v>
      </c>
      <c r="Y176" s="3">
        <v>62.0</v>
      </c>
      <c r="Z176" s="3">
        <v>50.0</v>
      </c>
      <c r="AA176" s="3">
        <v>52.0</v>
      </c>
      <c r="AB176" s="3">
        <v>63.0</v>
      </c>
      <c r="AC176" s="3">
        <v>48.0</v>
      </c>
      <c r="AD176" s="3">
        <v>50.0</v>
      </c>
      <c r="AE176" s="3">
        <v>61.0</v>
      </c>
      <c r="AF176" s="3">
        <v>47.0</v>
      </c>
      <c r="AG176" s="3">
        <v>40.0</v>
      </c>
      <c r="AH176" s="3">
        <v>38.0</v>
      </c>
      <c r="AI176" s="3">
        <v>72.0</v>
      </c>
      <c r="AJ176" s="3">
        <v>41.0</v>
      </c>
      <c r="AK176" s="3">
        <v>44.0</v>
      </c>
      <c r="AL176" s="3">
        <v>48.0</v>
      </c>
      <c r="AM176" s="3">
        <v>20.0</v>
      </c>
      <c r="AN176" s="3">
        <v>57.0</v>
      </c>
    </row>
    <row r="177" ht="14.25" customHeight="1">
      <c r="A177" s="3">
        <v>175.0</v>
      </c>
      <c r="B177" s="3" t="s">
        <v>7353</v>
      </c>
      <c r="C177" s="3">
        <v>30.0</v>
      </c>
      <c r="D177" s="3" t="s">
        <v>6645</v>
      </c>
      <c r="E177" s="3" t="s">
        <v>6646</v>
      </c>
      <c r="F177" s="3" t="s">
        <v>6646</v>
      </c>
      <c r="G177" s="3" t="s">
        <v>6645</v>
      </c>
      <c r="H177" s="3" t="s">
        <v>6645</v>
      </c>
      <c r="I177" s="3" t="s">
        <v>6645</v>
      </c>
      <c r="J177" s="3">
        <v>0.0</v>
      </c>
      <c r="K177" s="3">
        <v>3.0</v>
      </c>
      <c r="L177" s="3">
        <v>0.0</v>
      </c>
      <c r="M177" s="3">
        <v>0.0</v>
      </c>
      <c r="N177" s="3">
        <v>6678.17</v>
      </c>
      <c r="O177" s="3">
        <v>900.0</v>
      </c>
      <c r="P177" s="3" t="e">
        <v>#N/A</v>
      </c>
      <c r="Q177" s="3">
        <v>53.0</v>
      </c>
      <c r="R177" s="3">
        <v>56.0</v>
      </c>
      <c r="S177" s="3">
        <v>50.0</v>
      </c>
      <c r="T177" s="3">
        <v>58.0</v>
      </c>
      <c r="U177" s="3">
        <v>54.0</v>
      </c>
      <c r="V177" s="3">
        <v>52.0</v>
      </c>
      <c r="W177" s="3">
        <v>54.0</v>
      </c>
      <c r="X177" s="3">
        <v>65.0</v>
      </c>
      <c r="Y177" s="3">
        <v>49.0</v>
      </c>
      <c r="Z177" s="3">
        <v>56.0</v>
      </c>
      <c r="AA177" s="3">
        <v>51.0</v>
      </c>
      <c r="AB177" s="3">
        <v>66.0</v>
      </c>
      <c r="AC177" s="3">
        <v>46.0</v>
      </c>
      <c r="AD177" s="3">
        <v>58.0</v>
      </c>
      <c r="AE177" s="3">
        <v>59.0</v>
      </c>
      <c r="AF177" s="3">
        <v>47.0</v>
      </c>
      <c r="AG177" s="3">
        <v>57.0</v>
      </c>
      <c r="AH177" s="3">
        <v>20.0</v>
      </c>
      <c r="AI177" s="3">
        <v>76.0</v>
      </c>
      <c r="AJ177" s="3">
        <v>54.0</v>
      </c>
      <c r="AK177" s="3">
        <v>66.0</v>
      </c>
      <c r="AL177" s="3">
        <v>50.0</v>
      </c>
      <c r="AM177" s="3">
        <v>61.0</v>
      </c>
      <c r="AN177" s="3">
        <v>40.0</v>
      </c>
    </row>
    <row r="178" ht="14.25" customHeight="1">
      <c r="A178" s="3">
        <v>176.0</v>
      </c>
      <c r="B178" s="3" t="s">
        <v>7354</v>
      </c>
      <c r="C178" s="3">
        <v>31.0</v>
      </c>
      <c r="D178" s="3" t="s">
        <v>6645</v>
      </c>
      <c r="E178" s="3" t="s">
        <v>6646</v>
      </c>
      <c r="F178" s="3" t="s">
        <v>6646</v>
      </c>
      <c r="G178" s="3" t="s">
        <v>6645</v>
      </c>
      <c r="H178" s="3" t="s">
        <v>6645</v>
      </c>
      <c r="I178" s="3" t="s">
        <v>6646</v>
      </c>
      <c r="J178" s="3">
        <v>0.0</v>
      </c>
      <c r="K178" s="3">
        <v>2.0</v>
      </c>
      <c r="L178" s="3">
        <v>0.0</v>
      </c>
      <c r="M178" s="3">
        <v>0.0</v>
      </c>
      <c r="N178" s="3">
        <v>3668.5942</v>
      </c>
      <c r="O178" s="3">
        <v>336.0</v>
      </c>
      <c r="P178" s="3" t="e">
        <v>#N/A</v>
      </c>
      <c r="Q178" s="3">
        <v>51.0</v>
      </c>
      <c r="R178" s="3">
        <v>43.0</v>
      </c>
      <c r="S178" s="3">
        <v>48.0</v>
      </c>
      <c r="T178" s="3">
        <v>45.0</v>
      </c>
      <c r="U178" s="3">
        <v>47.0</v>
      </c>
      <c r="V178" s="3">
        <v>52.0</v>
      </c>
      <c r="W178" s="3">
        <v>45.0</v>
      </c>
      <c r="X178" s="3">
        <v>55.0</v>
      </c>
      <c r="Y178" s="3">
        <v>48.0</v>
      </c>
      <c r="Z178" s="3">
        <v>50.0</v>
      </c>
      <c r="AA178" s="3">
        <v>45.0</v>
      </c>
      <c r="AB178" s="3">
        <v>49.0</v>
      </c>
      <c r="AC178" s="3">
        <v>43.0</v>
      </c>
      <c r="AD178" s="3">
        <v>52.0</v>
      </c>
      <c r="AE178" s="3">
        <v>56.0</v>
      </c>
      <c r="AF178" s="3">
        <v>60.0</v>
      </c>
      <c r="AG178" s="3">
        <v>58.0</v>
      </c>
      <c r="AH178" s="3">
        <v>54.0</v>
      </c>
      <c r="AI178" s="3">
        <v>66.0</v>
      </c>
      <c r="AJ178" s="3">
        <v>46.0</v>
      </c>
      <c r="AK178" s="3">
        <v>30.0</v>
      </c>
      <c r="AL178" s="3">
        <v>64.0</v>
      </c>
      <c r="AM178" s="3">
        <v>52.0</v>
      </c>
      <c r="AN178" s="3">
        <v>52.0</v>
      </c>
    </row>
    <row r="179" ht="14.25" customHeight="1">
      <c r="A179" s="3">
        <v>177.0</v>
      </c>
      <c r="B179" s="3" t="s">
        <v>7355</v>
      </c>
      <c r="C179" s="3">
        <v>30.0</v>
      </c>
      <c r="D179" s="3" t="s">
        <v>6645</v>
      </c>
      <c r="E179" s="3" t="s">
        <v>6646</v>
      </c>
      <c r="F179" s="3" t="s">
        <v>6646</v>
      </c>
      <c r="G179" s="3" t="s">
        <v>6645</v>
      </c>
      <c r="H179" s="3" t="s">
        <v>6645</v>
      </c>
      <c r="I179" s="3" t="s">
        <v>6646</v>
      </c>
      <c r="J179" s="3">
        <v>0.0</v>
      </c>
      <c r="K179" s="3">
        <v>2.0</v>
      </c>
      <c r="L179" s="3">
        <v>0.0</v>
      </c>
      <c r="M179" s="3">
        <v>0.0</v>
      </c>
      <c r="N179" s="3">
        <v>3748.5527</v>
      </c>
      <c r="O179" s="3">
        <v>326.0</v>
      </c>
      <c r="P179" s="3" t="e">
        <v>#N/A</v>
      </c>
      <c r="Q179" s="3">
        <v>46.0</v>
      </c>
      <c r="R179" s="3">
        <v>47.0</v>
      </c>
      <c r="S179" s="3">
        <v>43.0</v>
      </c>
      <c r="T179" s="3">
        <v>50.0</v>
      </c>
      <c r="U179" s="3">
        <v>50.0</v>
      </c>
      <c r="V179" s="3">
        <v>48.0</v>
      </c>
      <c r="W179" s="3">
        <v>49.0</v>
      </c>
      <c r="X179" s="3">
        <v>49.0</v>
      </c>
      <c r="Y179" s="3">
        <v>38.0</v>
      </c>
      <c r="Z179" s="3">
        <v>42.0</v>
      </c>
      <c r="AA179" s="3">
        <v>50.0</v>
      </c>
      <c r="AB179" s="3">
        <v>55.0</v>
      </c>
      <c r="AC179" s="3">
        <v>52.0</v>
      </c>
      <c r="AD179" s="3">
        <v>38.0</v>
      </c>
      <c r="AE179" s="3">
        <v>53.0</v>
      </c>
      <c r="AF179" s="3">
        <v>64.0</v>
      </c>
      <c r="AG179" s="3">
        <v>44.0</v>
      </c>
      <c r="AH179" s="3">
        <v>11.0</v>
      </c>
      <c r="AI179" s="3">
        <v>67.0</v>
      </c>
      <c r="AJ179" s="3">
        <v>48.0</v>
      </c>
      <c r="AK179" s="3">
        <v>54.0</v>
      </c>
      <c r="AL179" s="3">
        <v>46.0</v>
      </c>
      <c r="AM179" s="3">
        <v>54.0</v>
      </c>
      <c r="AN179" s="3">
        <v>54.0</v>
      </c>
    </row>
    <row r="180" ht="14.25" customHeight="1">
      <c r="A180" s="3">
        <v>178.0</v>
      </c>
      <c r="B180" s="3" t="s">
        <v>7356</v>
      </c>
      <c r="C180" s="3">
        <v>31.0</v>
      </c>
      <c r="D180" s="3" t="s">
        <v>6645</v>
      </c>
      <c r="E180" s="3" t="s">
        <v>6646</v>
      </c>
      <c r="F180" s="3" t="s">
        <v>6646</v>
      </c>
      <c r="G180" s="3" t="s">
        <v>6645</v>
      </c>
      <c r="H180" s="3" t="s">
        <v>6645</v>
      </c>
      <c r="I180" s="3" t="s">
        <v>6646</v>
      </c>
      <c r="J180" s="3">
        <v>0.0</v>
      </c>
      <c r="K180" s="3">
        <v>2.0</v>
      </c>
      <c r="L180" s="3">
        <v>0.0</v>
      </c>
      <c r="M180" s="3">
        <v>0.0</v>
      </c>
      <c r="N180" s="3">
        <v>3344.0068</v>
      </c>
      <c r="O180" s="3">
        <v>331.0</v>
      </c>
      <c r="P180" s="3" t="e">
        <v>#N/A</v>
      </c>
      <c r="Q180" s="3">
        <v>47.0</v>
      </c>
      <c r="R180" s="3">
        <v>51.0</v>
      </c>
      <c r="S180" s="3">
        <v>45.0</v>
      </c>
      <c r="T180" s="3">
        <v>43.0</v>
      </c>
      <c r="U180" s="3">
        <v>52.0</v>
      </c>
      <c r="V180" s="3">
        <v>44.0</v>
      </c>
      <c r="W180" s="3">
        <v>36.0</v>
      </c>
      <c r="X180" s="3">
        <v>58.0</v>
      </c>
      <c r="Y180" s="3">
        <v>44.0</v>
      </c>
      <c r="Z180" s="3">
        <v>45.0</v>
      </c>
      <c r="AA180" s="3">
        <v>42.0</v>
      </c>
      <c r="AB180" s="3">
        <v>51.0</v>
      </c>
      <c r="AC180" s="3">
        <v>50.0</v>
      </c>
      <c r="AD180" s="3">
        <v>47.0</v>
      </c>
      <c r="AE180" s="3">
        <v>51.0</v>
      </c>
      <c r="AF180" s="3">
        <v>44.0</v>
      </c>
      <c r="AG180" s="3">
        <v>42.0</v>
      </c>
      <c r="AH180" s="3">
        <v>46.0</v>
      </c>
      <c r="AI180" s="3">
        <v>79.0</v>
      </c>
      <c r="AJ180" s="3">
        <v>36.0</v>
      </c>
      <c r="AK180" s="3">
        <v>43.0</v>
      </c>
      <c r="AL180" s="3">
        <v>36.0</v>
      </c>
      <c r="AM180" s="3">
        <v>52.0</v>
      </c>
      <c r="AN180" s="3">
        <v>58.0</v>
      </c>
    </row>
    <row r="181" ht="14.25" customHeight="1">
      <c r="A181" s="3">
        <v>179.0</v>
      </c>
      <c r="B181" s="3" t="s">
        <v>7357</v>
      </c>
      <c r="C181" s="3">
        <v>31.0</v>
      </c>
      <c r="D181" s="3" t="s">
        <v>6645</v>
      </c>
      <c r="E181" s="3" t="s">
        <v>6646</v>
      </c>
      <c r="F181" s="3" t="s">
        <v>6646</v>
      </c>
      <c r="G181" s="3" t="s">
        <v>6645</v>
      </c>
      <c r="H181" s="3" t="s">
        <v>6645</v>
      </c>
      <c r="I181" s="3" t="s">
        <v>6645</v>
      </c>
      <c r="J181" s="3">
        <v>0.0</v>
      </c>
      <c r="K181" s="3">
        <v>2.0</v>
      </c>
      <c r="L181" s="3">
        <v>0.0</v>
      </c>
      <c r="M181" s="3">
        <v>0.0</v>
      </c>
      <c r="N181" s="3">
        <v>3526.2038</v>
      </c>
      <c r="O181" s="3">
        <v>445.0</v>
      </c>
      <c r="P181" s="3" t="e">
        <v>#N/A</v>
      </c>
      <c r="Q181" s="3">
        <v>48.0</v>
      </c>
      <c r="R181" s="3">
        <v>48.0</v>
      </c>
      <c r="S181" s="3">
        <v>43.0</v>
      </c>
      <c r="T181" s="3">
        <v>45.0</v>
      </c>
      <c r="U181" s="3">
        <v>43.0</v>
      </c>
      <c r="V181" s="3">
        <v>47.0</v>
      </c>
      <c r="W181" s="3">
        <v>47.0</v>
      </c>
      <c r="X181" s="3">
        <v>47.0</v>
      </c>
      <c r="Y181" s="3">
        <v>45.0</v>
      </c>
      <c r="Z181" s="3">
        <v>47.0</v>
      </c>
      <c r="AA181" s="3">
        <v>41.0</v>
      </c>
      <c r="AB181" s="3">
        <v>50.0</v>
      </c>
      <c r="AC181" s="3">
        <v>45.0</v>
      </c>
      <c r="AD181" s="3">
        <v>44.0</v>
      </c>
      <c r="AE181" s="3">
        <v>54.0</v>
      </c>
      <c r="AF181" s="3">
        <v>54.0</v>
      </c>
      <c r="AG181" s="3">
        <v>60.0</v>
      </c>
      <c r="AH181" s="3">
        <v>64.0</v>
      </c>
      <c r="AI181" s="3">
        <v>71.0</v>
      </c>
      <c r="AJ181" s="3">
        <v>36.0</v>
      </c>
      <c r="AK181" s="3">
        <v>46.0</v>
      </c>
      <c r="AL181" s="3">
        <v>60.0</v>
      </c>
      <c r="AM181" s="3">
        <v>54.0</v>
      </c>
      <c r="AN181" s="3">
        <v>33.0</v>
      </c>
    </row>
    <row r="182" ht="14.25" customHeight="1">
      <c r="A182" s="3">
        <v>180.0</v>
      </c>
      <c r="B182" s="3" t="s">
        <v>7358</v>
      </c>
      <c r="C182" s="3">
        <v>26.0</v>
      </c>
      <c r="D182" s="3" t="s">
        <v>6645</v>
      </c>
      <c r="E182" s="3" t="s">
        <v>6646</v>
      </c>
      <c r="F182" s="3" t="s">
        <v>6646</v>
      </c>
      <c r="G182" s="3" t="s">
        <v>6645</v>
      </c>
      <c r="H182" s="3" t="s">
        <v>6645</v>
      </c>
      <c r="I182" s="3" t="s">
        <v>6646</v>
      </c>
      <c r="J182" s="3">
        <v>0.0</v>
      </c>
      <c r="K182" s="3">
        <v>1.0</v>
      </c>
      <c r="L182" s="3">
        <v>0.0</v>
      </c>
      <c r="M182" s="3">
        <v>0.0</v>
      </c>
      <c r="N182" s="3">
        <v>1413.3078</v>
      </c>
      <c r="O182" s="3">
        <v>240.0</v>
      </c>
      <c r="P182" s="3" t="e">
        <v>#N/A</v>
      </c>
      <c r="Q182" s="3">
        <v>36.0</v>
      </c>
      <c r="R182" s="3">
        <v>36.0</v>
      </c>
      <c r="S182" s="3">
        <v>42.0</v>
      </c>
      <c r="T182" s="3">
        <v>36.0</v>
      </c>
      <c r="U182" s="3">
        <v>42.0</v>
      </c>
      <c r="V182" s="3">
        <v>46.0</v>
      </c>
      <c r="W182" s="3">
        <v>36.0</v>
      </c>
      <c r="X182" s="3">
        <v>52.0</v>
      </c>
      <c r="Y182" s="3">
        <v>36.0</v>
      </c>
      <c r="Z182" s="3">
        <v>33.0</v>
      </c>
      <c r="AA182" s="3">
        <v>30.0</v>
      </c>
      <c r="AB182" s="3">
        <v>53.0</v>
      </c>
      <c r="AC182" s="3">
        <v>38.0</v>
      </c>
      <c r="AD182" s="3">
        <v>37.0</v>
      </c>
      <c r="AE182" s="3">
        <v>45.0</v>
      </c>
      <c r="AF182" s="3">
        <v>40.0</v>
      </c>
      <c r="AG182" s="3">
        <v>42.0</v>
      </c>
      <c r="AH182" s="3">
        <v>41.0</v>
      </c>
      <c r="AI182" s="3">
        <v>65.0</v>
      </c>
      <c r="AJ182" s="3">
        <v>46.0</v>
      </c>
      <c r="AK182" s="3">
        <v>49.0</v>
      </c>
      <c r="AL182" s="3">
        <v>58.0</v>
      </c>
      <c r="AM182" s="3">
        <v>31.0</v>
      </c>
      <c r="AN182" s="3">
        <v>44.0</v>
      </c>
    </row>
    <row r="183" ht="14.25" customHeight="1">
      <c r="A183" s="3">
        <v>181.0</v>
      </c>
      <c r="B183" s="3" t="s">
        <v>7359</v>
      </c>
      <c r="C183" s="3">
        <v>24.0</v>
      </c>
      <c r="D183" s="3" t="s">
        <v>6645</v>
      </c>
      <c r="E183" s="3" t="s">
        <v>6646</v>
      </c>
      <c r="F183" s="3" t="s">
        <v>6646</v>
      </c>
      <c r="G183" s="3" t="s">
        <v>6645</v>
      </c>
      <c r="H183" s="3" t="s">
        <v>6645</v>
      </c>
      <c r="I183" s="3" t="s">
        <v>6645</v>
      </c>
      <c r="J183" s="3">
        <v>0.0</v>
      </c>
      <c r="K183" s="3">
        <v>1.0</v>
      </c>
      <c r="L183" s="3">
        <v>0.0</v>
      </c>
      <c r="M183" s="3">
        <v>0.0</v>
      </c>
      <c r="N183" s="3">
        <v>1672.628</v>
      </c>
      <c r="O183" s="3">
        <v>187.0</v>
      </c>
      <c r="P183" s="3" t="e">
        <v>#N/A</v>
      </c>
      <c r="Q183" s="3">
        <v>44.0</v>
      </c>
      <c r="R183" s="3">
        <v>40.0</v>
      </c>
      <c r="S183" s="3">
        <v>46.0</v>
      </c>
      <c r="T183" s="3">
        <v>36.0</v>
      </c>
      <c r="U183" s="3">
        <v>36.0</v>
      </c>
      <c r="V183" s="3">
        <v>42.0</v>
      </c>
      <c r="W183" s="3">
        <v>27.0</v>
      </c>
      <c r="X183" s="3">
        <v>45.0</v>
      </c>
      <c r="Y183" s="3">
        <v>38.0</v>
      </c>
      <c r="Z183" s="3">
        <v>29.0</v>
      </c>
      <c r="AA183" s="3">
        <v>33.0</v>
      </c>
      <c r="AB183" s="3">
        <v>47.0</v>
      </c>
      <c r="AC183" s="3">
        <v>36.0</v>
      </c>
      <c r="AD183" s="3">
        <v>44.0</v>
      </c>
      <c r="AE183" s="3">
        <v>41.0</v>
      </c>
      <c r="AF183" s="3">
        <v>56.0</v>
      </c>
      <c r="AG183" s="3">
        <v>41.0</v>
      </c>
      <c r="AH183" s="3">
        <v>46.0</v>
      </c>
      <c r="AI183" s="3">
        <v>69.0</v>
      </c>
      <c r="AJ183" s="3">
        <v>39.0</v>
      </c>
      <c r="AK183" s="3">
        <v>46.0</v>
      </c>
      <c r="AL183" s="3">
        <v>31.0</v>
      </c>
      <c r="AM183" s="3">
        <v>36.0</v>
      </c>
      <c r="AN183" s="3">
        <v>61.0</v>
      </c>
    </row>
    <row r="184" ht="14.25" customHeight="1">
      <c r="A184" s="3">
        <v>182.0</v>
      </c>
      <c r="B184" s="3" t="s">
        <v>7360</v>
      </c>
      <c r="C184" s="3">
        <v>28.0</v>
      </c>
      <c r="D184" s="3" t="s">
        <v>6645</v>
      </c>
      <c r="E184" s="3" t="s">
        <v>6646</v>
      </c>
      <c r="F184" s="3" t="s">
        <v>6646</v>
      </c>
      <c r="G184" s="3" t="s">
        <v>6645</v>
      </c>
      <c r="H184" s="3" t="s">
        <v>6645</v>
      </c>
      <c r="I184" s="3" t="s">
        <v>6646</v>
      </c>
      <c r="J184" s="3">
        <v>0.0</v>
      </c>
      <c r="K184" s="3">
        <v>1.0</v>
      </c>
      <c r="L184" s="3">
        <v>0.0</v>
      </c>
      <c r="M184" s="3">
        <v>0.0</v>
      </c>
      <c r="N184" s="3">
        <v>1339.6726</v>
      </c>
      <c r="O184" s="3">
        <v>171.0</v>
      </c>
      <c r="P184" s="3" t="e">
        <v>#N/A</v>
      </c>
      <c r="Q184" s="3">
        <v>40.0</v>
      </c>
      <c r="R184" s="3">
        <v>42.0</v>
      </c>
      <c r="S184" s="3">
        <v>42.0</v>
      </c>
      <c r="T184" s="3">
        <v>44.0</v>
      </c>
      <c r="U184" s="3">
        <v>40.0</v>
      </c>
      <c r="V184" s="3">
        <v>38.0</v>
      </c>
      <c r="W184" s="3">
        <v>36.0</v>
      </c>
      <c r="X184" s="3">
        <v>52.0</v>
      </c>
      <c r="Y184" s="3">
        <v>32.0</v>
      </c>
      <c r="Z184" s="3">
        <v>44.0</v>
      </c>
      <c r="AA184" s="3">
        <v>31.0</v>
      </c>
      <c r="AB184" s="3">
        <v>44.0</v>
      </c>
      <c r="AC184" s="3">
        <v>36.0</v>
      </c>
      <c r="AD184" s="3">
        <v>36.0</v>
      </c>
      <c r="AE184" s="3">
        <v>55.0</v>
      </c>
      <c r="AF184" s="3">
        <v>4.0</v>
      </c>
      <c r="AG184" s="3">
        <v>36.0</v>
      </c>
      <c r="AH184" s="3">
        <v>59.0</v>
      </c>
      <c r="AI184" s="3">
        <v>68.0</v>
      </c>
      <c r="AJ184" s="3">
        <v>36.0</v>
      </c>
      <c r="AK184" s="3">
        <v>33.0</v>
      </c>
      <c r="AL184" s="3">
        <v>33.0</v>
      </c>
      <c r="AM184" s="3">
        <v>49.0</v>
      </c>
      <c r="AN184" s="3">
        <v>48.0</v>
      </c>
    </row>
    <row r="185" ht="14.25" customHeight="1">
      <c r="A185" s="3">
        <v>183.0</v>
      </c>
      <c r="B185" s="3" t="s">
        <v>7361</v>
      </c>
      <c r="C185" s="3">
        <v>24.0</v>
      </c>
      <c r="D185" s="3" t="s">
        <v>6645</v>
      </c>
      <c r="E185" s="3" t="s">
        <v>6646</v>
      </c>
      <c r="F185" s="3" t="s">
        <v>6646</v>
      </c>
      <c r="G185" s="3" t="s">
        <v>6645</v>
      </c>
      <c r="H185" s="3" t="s">
        <v>6645</v>
      </c>
      <c r="I185" s="3" t="s">
        <v>6645</v>
      </c>
      <c r="J185" s="3">
        <v>0.0</v>
      </c>
      <c r="K185" s="3">
        <v>1.0</v>
      </c>
      <c r="L185" s="3">
        <v>0.0</v>
      </c>
      <c r="M185" s="3">
        <v>0.0</v>
      </c>
      <c r="N185" s="3">
        <v>1325.4914</v>
      </c>
      <c r="O185" s="3">
        <v>245.0</v>
      </c>
      <c r="P185" s="3" t="e">
        <v>#N/A</v>
      </c>
      <c r="Q185" s="3">
        <v>36.0</v>
      </c>
      <c r="R185" s="3">
        <v>36.0</v>
      </c>
      <c r="S185" s="3">
        <v>36.0</v>
      </c>
      <c r="T185" s="3">
        <v>42.0</v>
      </c>
      <c r="U185" s="3">
        <v>46.0</v>
      </c>
      <c r="V185" s="3">
        <v>44.0</v>
      </c>
      <c r="W185" s="3">
        <v>37.0</v>
      </c>
      <c r="X185" s="3">
        <v>43.0</v>
      </c>
      <c r="Y185" s="3">
        <v>30.0</v>
      </c>
      <c r="Z185" s="3">
        <v>38.0</v>
      </c>
      <c r="AA185" s="3">
        <v>34.0</v>
      </c>
      <c r="AB185" s="3">
        <v>44.0</v>
      </c>
      <c r="AC185" s="3">
        <v>42.0</v>
      </c>
      <c r="AD185" s="3">
        <v>40.0</v>
      </c>
      <c r="AE185" s="3">
        <v>52.0</v>
      </c>
      <c r="AF185" s="3">
        <v>42.0</v>
      </c>
      <c r="AG185" s="3">
        <v>53.0</v>
      </c>
      <c r="AH185" s="3">
        <v>58.0</v>
      </c>
      <c r="AI185" s="3">
        <v>68.0</v>
      </c>
      <c r="AJ185" s="3">
        <v>56.0</v>
      </c>
      <c r="AK185" s="3">
        <v>48.0</v>
      </c>
      <c r="AL185" s="3">
        <v>27.0</v>
      </c>
      <c r="AM185" s="3">
        <v>62.0</v>
      </c>
      <c r="AN185" s="3">
        <v>58.0</v>
      </c>
    </row>
    <row r="186" ht="14.25" customHeight="1">
      <c r="A186" s="3">
        <v>184.0</v>
      </c>
      <c r="B186" s="3" t="s">
        <v>7362</v>
      </c>
      <c r="C186" s="3">
        <v>15.0</v>
      </c>
      <c r="D186" s="3" t="s">
        <v>6645</v>
      </c>
      <c r="E186" s="3" t="s">
        <v>6646</v>
      </c>
      <c r="F186" s="3" t="s">
        <v>6646</v>
      </c>
      <c r="G186" s="3" t="s">
        <v>6645</v>
      </c>
      <c r="H186" s="3" t="s">
        <v>6645</v>
      </c>
      <c r="I186" s="3" t="s">
        <v>6646</v>
      </c>
      <c r="J186" s="3">
        <v>0.0</v>
      </c>
      <c r="K186" s="3">
        <v>0.0</v>
      </c>
      <c r="L186" s="3">
        <v>0.0</v>
      </c>
      <c r="M186" s="3">
        <v>0.0</v>
      </c>
      <c r="N186" s="3">
        <v>466.774</v>
      </c>
      <c r="O186" s="3">
        <v>94.0</v>
      </c>
      <c r="P186" s="3" t="e">
        <v>#N/A</v>
      </c>
      <c r="Q186" s="3">
        <v>30.0</v>
      </c>
      <c r="R186" s="3">
        <v>34.0</v>
      </c>
      <c r="S186" s="3">
        <v>32.0</v>
      </c>
      <c r="T186" s="3">
        <v>31.0</v>
      </c>
      <c r="U186" s="3">
        <v>33.0</v>
      </c>
      <c r="V186" s="3">
        <v>31.0</v>
      </c>
      <c r="W186" s="3">
        <v>32.0</v>
      </c>
      <c r="X186" s="3">
        <v>44.0</v>
      </c>
      <c r="Y186" s="3">
        <v>36.0</v>
      </c>
      <c r="Z186" s="3">
        <v>30.0</v>
      </c>
      <c r="AA186" s="3">
        <v>25.0</v>
      </c>
      <c r="AB186" s="3">
        <v>43.0</v>
      </c>
      <c r="AC186" s="3">
        <v>32.0</v>
      </c>
      <c r="AD186" s="3">
        <v>28.0</v>
      </c>
      <c r="AE186" s="3">
        <v>44.0</v>
      </c>
      <c r="AF186" s="3">
        <v>55.0</v>
      </c>
      <c r="AG186" s="3">
        <v>32.0</v>
      </c>
      <c r="AH186" s="3">
        <v>32.0</v>
      </c>
      <c r="AI186" s="3">
        <v>65.0</v>
      </c>
      <c r="AJ186" s="3">
        <v>36.0</v>
      </c>
      <c r="AK186" s="3">
        <v>26.0</v>
      </c>
      <c r="AL186" s="3">
        <v>43.0</v>
      </c>
      <c r="AM186" s="3">
        <v>55.0</v>
      </c>
      <c r="AN186" s="3">
        <v>51.0</v>
      </c>
    </row>
    <row r="187" ht="14.25" customHeight="1">
      <c r="A187" s="3">
        <v>185.0</v>
      </c>
      <c r="B187" s="3" t="s">
        <v>7363</v>
      </c>
      <c r="C187" s="3">
        <v>20.0</v>
      </c>
      <c r="D187" s="3" t="s">
        <v>6645</v>
      </c>
      <c r="E187" s="3" t="s">
        <v>6646</v>
      </c>
      <c r="F187" s="3" t="s">
        <v>6646</v>
      </c>
      <c r="G187" s="3" t="s">
        <v>6645</v>
      </c>
      <c r="H187" s="3" t="s">
        <v>6645</v>
      </c>
      <c r="I187" s="3" t="s">
        <v>6645</v>
      </c>
      <c r="J187" s="3">
        <v>0.0</v>
      </c>
      <c r="K187" s="3">
        <v>0.0</v>
      </c>
      <c r="L187" s="3">
        <v>0.0</v>
      </c>
      <c r="M187" s="3">
        <v>0.0</v>
      </c>
      <c r="N187" s="3">
        <v>421.364</v>
      </c>
      <c r="O187" s="3">
        <v>108.0</v>
      </c>
      <c r="P187" s="3" t="e">
        <v>#N/A</v>
      </c>
      <c r="Q187" s="3">
        <v>35.0</v>
      </c>
      <c r="R187" s="3">
        <v>30.0</v>
      </c>
      <c r="S187" s="3">
        <v>39.0</v>
      </c>
      <c r="T187" s="3">
        <v>35.0</v>
      </c>
      <c r="U187" s="3">
        <v>37.0</v>
      </c>
      <c r="V187" s="3">
        <v>38.0</v>
      </c>
      <c r="W187" s="3">
        <v>34.0</v>
      </c>
      <c r="X187" s="3">
        <v>44.0</v>
      </c>
      <c r="Y187" s="3">
        <v>28.0</v>
      </c>
      <c r="Z187" s="3">
        <v>35.0</v>
      </c>
      <c r="AA187" s="3">
        <v>29.0</v>
      </c>
      <c r="AB187" s="3">
        <v>45.0</v>
      </c>
      <c r="AC187" s="3">
        <v>33.0</v>
      </c>
      <c r="AD187" s="3">
        <v>31.0</v>
      </c>
      <c r="AE187" s="3">
        <v>43.0</v>
      </c>
      <c r="AF187" s="3">
        <v>48.0</v>
      </c>
      <c r="AG187" s="3">
        <v>31.0</v>
      </c>
      <c r="AH187" s="3">
        <v>51.0</v>
      </c>
      <c r="AI187" s="3">
        <v>73.0</v>
      </c>
      <c r="AJ187" s="3">
        <v>29.0</v>
      </c>
      <c r="AK187" s="3">
        <v>49.0</v>
      </c>
      <c r="AL187" s="3">
        <v>44.0</v>
      </c>
      <c r="AM187" s="3">
        <v>58.0</v>
      </c>
      <c r="AN187" s="3">
        <v>49.0</v>
      </c>
    </row>
    <row r="188" ht="14.25" customHeight="1">
      <c r="A188" s="3">
        <v>186.0</v>
      </c>
      <c r="B188" s="3" t="s">
        <v>7364</v>
      </c>
      <c r="C188" s="3">
        <v>18.0</v>
      </c>
      <c r="D188" s="3" t="s">
        <v>6645</v>
      </c>
      <c r="E188" s="3" t="s">
        <v>6646</v>
      </c>
      <c r="F188" s="3" t="s">
        <v>6646</v>
      </c>
      <c r="G188" s="3" t="s">
        <v>6645</v>
      </c>
      <c r="H188" s="3" t="s">
        <v>6645</v>
      </c>
      <c r="I188" s="3" t="s">
        <v>6646</v>
      </c>
      <c r="J188" s="3">
        <v>0.0</v>
      </c>
      <c r="K188" s="3">
        <v>0.0</v>
      </c>
      <c r="L188" s="3">
        <v>0.0</v>
      </c>
      <c r="M188" s="3">
        <v>0.0</v>
      </c>
      <c r="N188" s="3">
        <v>468.74075</v>
      </c>
      <c r="O188" s="3">
        <v>107.0</v>
      </c>
      <c r="P188" s="3" t="e">
        <v>#N/A</v>
      </c>
      <c r="Q188" s="3">
        <v>31.0</v>
      </c>
      <c r="R188" s="3">
        <v>33.0</v>
      </c>
      <c r="S188" s="3">
        <v>36.0</v>
      </c>
      <c r="T188" s="3">
        <v>31.0</v>
      </c>
      <c r="U188" s="3">
        <v>38.0</v>
      </c>
      <c r="V188" s="3">
        <v>38.0</v>
      </c>
      <c r="W188" s="3">
        <v>36.0</v>
      </c>
      <c r="X188" s="3">
        <v>43.0</v>
      </c>
      <c r="Y188" s="3">
        <v>37.0</v>
      </c>
      <c r="Z188" s="3">
        <v>27.0</v>
      </c>
      <c r="AA188" s="3">
        <v>32.0</v>
      </c>
      <c r="AB188" s="3">
        <v>38.0</v>
      </c>
      <c r="AC188" s="3">
        <v>27.0</v>
      </c>
      <c r="AD188" s="3">
        <v>29.0</v>
      </c>
      <c r="AE188" s="3">
        <v>41.0</v>
      </c>
      <c r="AF188" s="3">
        <v>41.0</v>
      </c>
      <c r="AG188" s="3">
        <v>31.0</v>
      </c>
      <c r="AH188" s="3">
        <v>21.0</v>
      </c>
      <c r="AI188" s="3">
        <v>66.0</v>
      </c>
      <c r="AJ188" s="3">
        <v>37.0</v>
      </c>
      <c r="AK188" s="3">
        <v>36.0</v>
      </c>
      <c r="AL188" s="3">
        <v>53.0</v>
      </c>
      <c r="AM188" s="3">
        <v>48.0</v>
      </c>
      <c r="AN188" s="3">
        <v>41.0</v>
      </c>
    </row>
    <row r="189" ht="14.25" customHeight="1">
      <c r="A189" s="3">
        <v>187.0</v>
      </c>
      <c r="B189" s="3" t="s">
        <v>7365</v>
      </c>
      <c r="C189" s="3">
        <v>20.0</v>
      </c>
      <c r="D189" s="3" t="s">
        <v>6645</v>
      </c>
      <c r="E189" s="3" t="s">
        <v>6646</v>
      </c>
      <c r="F189" s="3" t="s">
        <v>6646</v>
      </c>
      <c r="G189" s="3" t="s">
        <v>6645</v>
      </c>
      <c r="H189" s="3" t="s">
        <v>6645</v>
      </c>
      <c r="I189" s="3" t="s">
        <v>6646</v>
      </c>
      <c r="J189" s="3">
        <v>0.0</v>
      </c>
      <c r="K189" s="3">
        <v>0.0</v>
      </c>
      <c r="L189" s="3">
        <v>0.0</v>
      </c>
      <c r="M189" s="3">
        <v>0.0</v>
      </c>
      <c r="N189" s="3">
        <v>461.426</v>
      </c>
      <c r="O189" s="3">
        <v>77.0</v>
      </c>
      <c r="P189" s="3" t="e">
        <v>#N/A</v>
      </c>
      <c r="Q189" s="3">
        <v>39.0</v>
      </c>
      <c r="R189" s="3">
        <v>38.0</v>
      </c>
      <c r="S189" s="3">
        <v>39.0</v>
      </c>
      <c r="T189" s="3">
        <v>39.0</v>
      </c>
      <c r="U189" s="3">
        <v>38.0</v>
      </c>
      <c r="V189" s="3">
        <v>37.0</v>
      </c>
      <c r="W189" s="3">
        <v>39.0</v>
      </c>
      <c r="X189" s="3">
        <v>44.0</v>
      </c>
      <c r="Y189" s="3">
        <v>39.0</v>
      </c>
      <c r="Z189" s="3">
        <v>29.0</v>
      </c>
      <c r="AA189" s="3">
        <v>29.0</v>
      </c>
      <c r="AB189" s="3">
        <v>39.0</v>
      </c>
      <c r="AC189" s="3">
        <v>33.0</v>
      </c>
      <c r="AD189" s="3">
        <v>29.0</v>
      </c>
      <c r="AE189" s="3">
        <v>44.0</v>
      </c>
      <c r="AF189" s="3">
        <v>48.0</v>
      </c>
      <c r="AG189" s="3">
        <v>59.0</v>
      </c>
      <c r="AH189" s="3">
        <v>31.0</v>
      </c>
      <c r="AI189" s="3">
        <v>74.0</v>
      </c>
      <c r="AJ189" s="3">
        <v>44.0</v>
      </c>
      <c r="AK189" s="3">
        <v>47.0</v>
      </c>
      <c r="AL189" s="3">
        <v>46.0</v>
      </c>
      <c r="AM189" s="3">
        <v>46.0</v>
      </c>
      <c r="AN189" s="3">
        <v>23.0</v>
      </c>
    </row>
    <row r="190" ht="14.25" customHeight="1">
      <c r="A190" s="3">
        <v>188.0</v>
      </c>
      <c r="B190" s="3" t="s">
        <v>7366</v>
      </c>
      <c r="C190" s="3">
        <v>22.0</v>
      </c>
      <c r="D190" s="3" t="s">
        <v>6645</v>
      </c>
      <c r="E190" s="3" t="s">
        <v>6646</v>
      </c>
      <c r="F190" s="3" t="s">
        <v>6646</v>
      </c>
      <c r="G190" s="3" t="s">
        <v>6645</v>
      </c>
      <c r="H190" s="3" t="s">
        <v>6645</v>
      </c>
      <c r="I190" s="3" t="s">
        <v>6646</v>
      </c>
      <c r="J190" s="3">
        <v>0.0</v>
      </c>
      <c r="K190" s="3">
        <v>0.0</v>
      </c>
      <c r="L190" s="3">
        <v>0.0</v>
      </c>
      <c r="M190" s="3">
        <v>0.0</v>
      </c>
      <c r="N190" s="3">
        <v>374.91</v>
      </c>
      <c r="O190" s="3">
        <v>112.0</v>
      </c>
      <c r="P190" s="3" t="e">
        <v>#N/A</v>
      </c>
      <c r="Q190" s="3">
        <v>30.0</v>
      </c>
      <c r="R190" s="3">
        <v>38.0</v>
      </c>
      <c r="S190" s="3">
        <v>34.0</v>
      </c>
      <c r="T190" s="3">
        <v>35.0</v>
      </c>
      <c r="U190" s="3">
        <v>35.0</v>
      </c>
      <c r="V190" s="3">
        <v>39.0</v>
      </c>
      <c r="W190" s="3">
        <v>39.0</v>
      </c>
      <c r="X190" s="3">
        <v>42.0</v>
      </c>
      <c r="Y190" s="3">
        <v>32.0</v>
      </c>
      <c r="Z190" s="3">
        <v>39.0</v>
      </c>
      <c r="AA190" s="3">
        <v>30.0</v>
      </c>
      <c r="AB190" s="3">
        <v>39.0</v>
      </c>
      <c r="AC190" s="3">
        <v>30.0</v>
      </c>
      <c r="AD190" s="3">
        <v>27.0</v>
      </c>
      <c r="AE190" s="3">
        <v>47.0</v>
      </c>
      <c r="AF190" s="3">
        <v>31.0</v>
      </c>
      <c r="AG190" s="3">
        <v>49.0</v>
      </c>
      <c r="AH190" s="3">
        <v>32.0</v>
      </c>
      <c r="AI190" s="3">
        <v>79.0</v>
      </c>
      <c r="AJ190" s="3">
        <v>45.0</v>
      </c>
      <c r="AK190" s="3">
        <v>33.0</v>
      </c>
      <c r="AL190" s="3">
        <v>38.0</v>
      </c>
      <c r="AM190" s="3">
        <v>16.0</v>
      </c>
      <c r="AN190" s="3">
        <v>57.0</v>
      </c>
    </row>
    <row r="191" ht="14.25" customHeight="1">
      <c r="A191" s="3">
        <v>189.0</v>
      </c>
      <c r="B191" s="3" t="s">
        <v>7367</v>
      </c>
      <c r="C191" s="3">
        <v>41.0</v>
      </c>
      <c r="D191" s="3" t="s">
        <v>6645</v>
      </c>
      <c r="E191" s="3" t="s">
        <v>6646</v>
      </c>
      <c r="F191" s="3" t="s">
        <v>6646</v>
      </c>
      <c r="G191" s="3" t="s">
        <v>6645</v>
      </c>
      <c r="H191" s="3" t="s">
        <v>6645</v>
      </c>
      <c r="I191" s="3" t="s">
        <v>6645</v>
      </c>
      <c r="J191" s="3">
        <v>1.0</v>
      </c>
      <c r="K191" s="3">
        <v>4.0</v>
      </c>
      <c r="L191" s="3">
        <v>0.0</v>
      </c>
      <c r="M191" s="3">
        <v>0.0</v>
      </c>
      <c r="N191" s="3">
        <v>11803.87</v>
      </c>
      <c r="O191" s="3">
        <v>1857.0</v>
      </c>
      <c r="P191" s="3" t="e">
        <v>#N/A</v>
      </c>
      <c r="Q191" s="3">
        <v>64.0</v>
      </c>
      <c r="R191" s="3">
        <v>77.0</v>
      </c>
      <c r="S191" s="3">
        <v>78.0</v>
      </c>
      <c r="T191" s="3">
        <v>62.0</v>
      </c>
      <c r="U191" s="3">
        <v>65.0</v>
      </c>
      <c r="V191" s="3">
        <v>64.0</v>
      </c>
      <c r="W191" s="3">
        <v>71.0</v>
      </c>
      <c r="X191" s="3">
        <v>69.0</v>
      </c>
      <c r="Y191" s="3">
        <v>78.0</v>
      </c>
      <c r="Z191" s="3">
        <v>58.0</v>
      </c>
      <c r="AA191" s="3">
        <v>62.0</v>
      </c>
      <c r="AB191" s="3">
        <v>68.0</v>
      </c>
      <c r="AC191" s="3">
        <v>62.0</v>
      </c>
      <c r="AD191" s="3">
        <v>56.0</v>
      </c>
      <c r="AE191" s="3">
        <v>92.0</v>
      </c>
      <c r="AF191" s="3">
        <v>29.0</v>
      </c>
      <c r="AG191" s="3">
        <v>87.0</v>
      </c>
      <c r="AH191" s="3">
        <v>60.0</v>
      </c>
      <c r="AI191" s="3">
        <v>45.0</v>
      </c>
      <c r="AJ191" s="3">
        <v>70.0</v>
      </c>
      <c r="AK191" s="3">
        <v>53.0</v>
      </c>
      <c r="AL191" s="3">
        <v>49.0</v>
      </c>
      <c r="AM191" s="3">
        <v>69.0</v>
      </c>
      <c r="AN191" s="3">
        <v>62.0</v>
      </c>
    </row>
    <row r="192" ht="14.25" customHeight="1">
      <c r="A192" s="3">
        <v>190.0</v>
      </c>
      <c r="B192" s="3" t="s">
        <v>7368</v>
      </c>
      <c r="C192" s="3">
        <v>40.0</v>
      </c>
      <c r="D192" s="3" t="s">
        <v>6645</v>
      </c>
      <c r="E192" s="3" t="s">
        <v>6646</v>
      </c>
      <c r="F192" s="3" t="s">
        <v>6646</v>
      </c>
      <c r="G192" s="3" t="s">
        <v>6645</v>
      </c>
      <c r="H192" s="3" t="s">
        <v>6645</v>
      </c>
      <c r="I192" s="3" t="s">
        <v>6645</v>
      </c>
      <c r="J192" s="3">
        <v>1.0</v>
      </c>
      <c r="K192" s="3">
        <v>4.0</v>
      </c>
      <c r="L192" s="3">
        <v>0.0</v>
      </c>
      <c r="M192" s="3">
        <v>0.0</v>
      </c>
      <c r="N192" s="3">
        <v>12345.302</v>
      </c>
      <c r="O192" s="3">
        <v>1293.0</v>
      </c>
      <c r="P192" s="3" t="e">
        <v>#N/A</v>
      </c>
      <c r="Q192" s="3">
        <v>66.0</v>
      </c>
      <c r="R192" s="3">
        <v>83.0</v>
      </c>
      <c r="S192" s="3">
        <v>79.0</v>
      </c>
      <c r="T192" s="3">
        <v>62.0</v>
      </c>
      <c r="U192" s="3">
        <v>63.0</v>
      </c>
      <c r="V192" s="3">
        <v>66.0</v>
      </c>
      <c r="W192" s="3">
        <v>67.0</v>
      </c>
      <c r="X192" s="3">
        <v>71.0</v>
      </c>
      <c r="Y192" s="3">
        <v>77.0</v>
      </c>
      <c r="Z192" s="3">
        <v>55.0</v>
      </c>
      <c r="AA192" s="3">
        <v>63.0</v>
      </c>
      <c r="AB192" s="3">
        <v>63.0</v>
      </c>
      <c r="AC192" s="3">
        <v>67.0</v>
      </c>
      <c r="AD192" s="3">
        <v>65.0</v>
      </c>
      <c r="AE192" s="3">
        <v>90.0</v>
      </c>
      <c r="AF192" s="3">
        <v>69.0</v>
      </c>
      <c r="AG192" s="3">
        <v>83.0</v>
      </c>
      <c r="AH192" s="3">
        <v>49.0</v>
      </c>
      <c r="AI192" s="3">
        <v>68.0</v>
      </c>
      <c r="AJ192" s="3">
        <v>47.0</v>
      </c>
      <c r="AK192" s="3">
        <v>62.0</v>
      </c>
      <c r="AL192" s="3">
        <v>28.0</v>
      </c>
      <c r="AM192" s="3">
        <v>63.0</v>
      </c>
      <c r="AN192" s="3">
        <v>71.0</v>
      </c>
    </row>
    <row r="193" ht="14.25" customHeight="1">
      <c r="A193" s="3">
        <v>191.0</v>
      </c>
      <c r="B193" s="3" t="s">
        <v>7369</v>
      </c>
      <c r="C193" s="3">
        <v>37.0</v>
      </c>
      <c r="D193" s="3" t="s">
        <v>6645</v>
      </c>
      <c r="E193" s="3" t="s">
        <v>6646</v>
      </c>
      <c r="F193" s="3" t="s">
        <v>6646</v>
      </c>
      <c r="G193" s="3" t="s">
        <v>6645</v>
      </c>
      <c r="H193" s="3" t="s">
        <v>6645</v>
      </c>
      <c r="I193" s="3" t="s">
        <v>6646</v>
      </c>
      <c r="J193" s="3">
        <v>1.0</v>
      </c>
      <c r="K193" s="3">
        <v>4.0</v>
      </c>
      <c r="L193" s="3">
        <v>0.0</v>
      </c>
      <c r="M193" s="3">
        <v>0.0</v>
      </c>
      <c r="N193" s="3">
        <v>11544.287</v>
      </c>
      <c r="O193" s="3">
        <v>1747.0</v>
      </c>
      <c r="P193" s="3" t="e">
        <v>#N/A</v>
      </c>
      <c r="Q193" s="3">
        <v>58.0</v>
      </c>
      <c r="R193" s="3">
        <v>80.0</v>
      </c>
      <c r="S193" s="3">
        <v>81.0</v>
      </c>
      <c r="T193" s="3">
        <v>66.0</v>
      </c>
      <c r="U193" s="3">
        <v>60.0</v>
      </c>
      <c r="V193" s="3">
        <v>59.0</v>
      </c>
      <c r="W193" s="3">
        <v>61.0</v>
      </c>
      <c r="X193" s="3">
        <v>71.0</v>
      </c>
      <c r="Y193" s="3">
        <v>74.0</v>
      </c>
      <c r="Z193" s="3">
        <v>62.0</v>
      </c>
      <c r="AA193" s="3">
        <v>65.0</v>
      </c>
      <c r="AB193" s="3">
        <v>69.0</v>
      </c>
      <c r="AC193" s="3">
        <v>60.0</v>
      </c>
      <c r="AD193" s="3">
        <v>58.0</v>
      </c>
      <c r="AE193" s="3">
        <v>91.0</v>
      </c>
      <c r="AF193" s="3">
        <v>71.0</v>
      </c>
      <c r="AG193" s="3">
        <v>91.0</v>
      </c>
      <c r="AH193" s="3">
        <v>71.0</v>
      </c>
      <c r="AI193" s="3">
        <v>52.0</v>
      </c>
      <c r="AJ193" s="3">
        <v>49.0</v>
      </c>
      <c r="AK193" s="3">
        <v>53.0</v>
      </c>
      <c r="AL193" s="3">
        <v>38.0</v>
      </c>
      <c r="AM193" s="3">
        <v>48.0</v>
      </c>
      <c r="AN193" s="3">
        <v>56.0</v>
      </c>
    </row>
    <row r="194" ht="14.25" customHeight="1">
      <c r="A194" s="3">
        <v>192.0</v>
      </c>
      <c r="B194" s="3" t="s">
        <v>7370</v>
      </c>
      <c r="C194" s="3">
        <v>37.0</v>
      </c>
      <c r="D194" s="3" t="s">
        <v>6645</v>
      </c>
      <c r="E194" s="3" t="s">
        <v>6646</v>
      </c>
      <c r="F194" s="3" t="s">
        <v>6646</v>
      </c>
      <c r="G194" s="3" t="s">
        <v>6645</v>
      </c>
      <c r="H194" s="3" t="s">
        <v>6645</v>
      </c>
      <c r="I194" s="3" t="s">
        <v>6646</v>
      </c>
      <c r="J194" s="3">
        <v>1.0</v>
      </c>
      <c r="K194" s="3">
        <v>3.0</v>
      </c>
      <c r="L194" s="3">
        <v>0.0</v>
      </c>
      <c r="M194" s="3">
        <v>0.0</v>
      </c>
      <c r="N194" s="3">
        <v>7218.77</v>
      </c>
      <c r="O194" s="3">
        <v>657.0</v>
      </c>
      <c r="P194" s="3" t="e">
        <v>#N/A</v>
      </c>
      <c r="Q194" s="3">
        <v>52.0</v>
      </c>
      <c r="R194" s="3">
        <v>58.0</v>
      </c>
      <c r="S194" s="3">
        <v>62.0</v>
      </c>
      <c r="T194" s="3">
        <v>52.0</v>
      </c>
      <c r="U194" s="3">
        <v>55.0</v>
      </c>
      <c r="V194" s="3">
        <v>55.0</v>
      </c>
      <c r="W194" s="3">
        <v>59.0</v>
      </c>
      <c r="X194" s="3">
        <v>61.0</v>
      </c>
      <c r="Y194" s="3">
        <v>64.0</v>
      </c>
      <c r="Z194" s="3">
        <v>52.0</v>
      </c>
      <c r="AA194" s="3">
        <v>58.0</v>
      </c>
      <c r="AB194" s="3">
        <v>67.0</v>
      </c>
      <c r="AC194" s="3">
        <v>47.0</v>
      </c>
      <c r="AD194" s="3">
        <v>48.0</v>
      </c>
      <c r="AE194" s="3">
        <v>72.0</v>
      </c>
      <c r="AF194" s="3">
        <v>44.0</v>
      </c>
      <c r="AG194" s="3">
        <v>84.0</v>
      </c>
      <c r="AH194" s="3">
        <v>41.0</v>
      </c>
      <c r="AI194" s="3">
        <v>64.0</v>
      </c>
      <c r="AJ194" s="3">
        <v>67.0</v>
      </c>
      <c r="AK194" s="3">
        <v>55.0</v>
      </c>
      <c r="AL194" s="3">
        <v>46.0</v>
      </c>
      <c r="AM194" s="3">
        <v>45.0</v>
      </c>
      <c r="AN194" s="3">
        <v>36.0</v>
      </c>
    </row>
    <row r="195" ht="14.25" customHeight="1">
      <c r="A195" s="3">
        <v>193.0</v>
      </c>
      <c r="B195" s="3" t="s">
        <v>7371</v>
      </c>
      <c r="C195" s="3">
        <v>33.0</v>
      </c>
      <c r="D195" s="3" t="s">
        <v>6645</v>
      </c>
      <c r="E195" s="3" t="s">
        <v>6646</v>
      </c>
      <c r="F195" s="3" t="s">
        <v>6646</v>
      </c>
      <c r="G195" s="3" t="s">
        <v>6645</v>
      </c>
      <c r="H195" s="3" t="s">
        <v>6645</v>
      </c>
      <c r="I195" s="3" t="s">
        <v>6646</v>
      </c>
      <c r="J195" s="3">
        <v>1.0</v>
      </c>
      <c r="K195" s="3">
        <v>3.0</v>
      </c>
      <c r="L195" s="3">
        <v>0.0</v>
      </c>
      <c r="M195" s="3">
        <v>0.0</v>
      </c>
      <c r="N195" s="3">
        <v>7465.32</v>
      </c>
      <c r="O195" s="3">
        <v>673.0</v>
      </c>
      <c r="P195" s="3" t="e">
        <v>#N/A</v>
      </c>
      <c r="Q195" s="3">
        <v>59.0</v>
      </c>
      <c r="R195" s="3">
        <v>54.0</v>
      </c>
      <c r="S195" s="3">
        <v>61.0</v>
      </c>
      <c r="T195" s="3">
        <v>55.0</v>
      </c>
      <c r="U195" s="3">
        <v>51.0</v>
      </c>
      <c r="V195" s="3">
        <v>55.0</v>
      </c>
      <c r="W195" s="3">
        <v>55.0</v>
      </c>
      <c r="X195" s="3">
        <v>54.0</v>
      </c>
      <c r="Y195" s="3">
        <v>67.0</v>
      </c>
      <c r="Z195" s="3">
        <v>54.0</v>
      </c>
      <c r="AA195" s="3">
        <v>51.0</v>
      </c>
      <c r="AB195" s="3">
        <v>57.0</v>
      </c>
      <c r="AC195" s="3">
        <v>46.0</v>
      </c>
      <c r="AD195" s="3">
        <v>55.0</v>
      </c>
      <c r="AE195" s="3">
        <v>70.0</v>
      </c>
      <c r="AF195" s="3">
        <v>62.0</v>
      </c>
      <c r="AG195" s="3">
        <v>90.0</v>
      </c>
      <c r="AH195" s="3">
        <v>46.0</v>
      </c>
      <c r="AI195" s="3">
        <v>65.0</v>
      </c>
      <c r="AJ195" s="3">
        <v>68.0</v>
      </c>
      <c r="AK195" s="3">
        <v>61.0</v>
      </c>
      <c r="AL195" s="3">
        <v>20.0</v>
      </c>
      <c r="AM195" s="3">
        <v>49.0</v>
      </c>
      <c r="AN195" s="3">
        <v>45.0</v>
      </c>
    </row>
    <row r="196" ht="14.25" customHeight="1">
      <c r="A196" s="3">
        <v>194.0</v>
      </c>
      <c r="B196" s="3" t="s">
        <v>7372</v>
      </c>
      <c r="C196" s="3">
        <v>37.0</v>
      </c>
      <c r="D196" s="3" t="s">
        <v>6645</v>
      </c>
      <c r="E196" s="3" t="s">
        <v>6646</v>
      </c>
      <c r="F196" s="3" t="s">
        <v>6646</v>
      </c>
      <c r="G196" s="3" t="s">
        <v>6645</v>
      </c>
      <c r="H196" s="3" t="s">
        <v>6645</v>
      </c>
      <c r="I196" s="3" t="s">
        <v>6646</v>
      </c>
      <c r="J196" s="3">
        <v>1.0</v>
      </c>
      <c r="K196" s="3">
        <v>3.0</v>
      </c>
      <c r="L196" s="3">
        <v>0.0</v>
      </c>
      <c r="M196" s="3">
        <v>0.0</v>
      </c>
      <c r="N196" s="3">
        <v>7247.0786</v>
      </c>
      <c r="O196" s="3">
        <v>633.0</v>
      </c>
      <c r="P196" s="3" t="e">
        <v>#N/A</v>
      </c>
      <c r="Q196" s="3">
        <v>51.0</v>
      </c>
      <c r="R196" s="3">
        <v>57.0</v>
      </c>
      <c r="S196" s="3">
        <v>59.0</v>
      </c>
      <c r="T196" s="3">
        <v>57.0</v>
      </c>
      <c r="U196" s="3">
        <v>56.0</v>
      </c>
      <c r="V196" s="3">
        <v>60.0</v>
      </c>
      <c r="W196" s="3">
        <v>58.0</v>
      </c>
      <c r="X196" s="3">
        <v>53.0</v>
      </c>
      <c r="Y196" s="3">
        <v>62.0</v>
      </c>
      <c r="Z196" s="3">
        <v>59.0</v>
      </c>
      <c r="AA196" s="3">
        <v>45.0</v>
      </c>
      <c r="AB196" s="3">
        <v>61.0</v>
      </c>
      <c r="AC196" s="3">
        <v>49.0</v>
      </c>
      <c r="AD196" s="3">
        <v>57.0</v>
      </c>
      <c r="AE196" s="3">
        <v>70.0</v>
      </c>
      <c r="AF196" s="3">
        <v>30.0</v>
      </c>
      <c r="AG196" s="3">
        <v>82.0</v>
      </c>
      <c r="AH196" s="3">
        <v>60.0</v>
      </c>
      <c r="AI196" s="3">
        <v>43.0</v>
      </c>
      <c r="AJ196" s="3">
        <v>47.0</v>
      </c>
      <c r="AK196" s="3">
        <v>43.0</v>
      </c>
      <c r="AL196" s="3">
        <v>44.0</v>
      </c>
      <c r="AM196" s="3">
        <v>52.0</v>
      </c>
      <c r="AN196" s="3">
        <v>56.0</v>
      </c>
    </row>
    <row r="197" ht="14.25" customHeight="1">
      <c r="A197" s="3">
        <v>195.0</v>
      </c>
      <c r="B197" s="3" t="s">
        <v>7373</v>
      </c>
      <c r="C197" s="3">
        <v>34.0</v>
      </c>
      <c r="D197" s="3" t="s">
        <v>6645</v>
      </c>
      <c r="E197" s="3" t="s">
        <v>6646</v>
      </c>
      <c r="F197" s="3" t="s">
        <v>6646</v>
      </c>
      <c r="G197" s="3" t="s">
        <v>6645</v>
      </c>
      <c r="H197" s="3" t="s">
        <v>6645</v>
      </c>
      <c r="I197" s="3" t="s">
        <v>6646</v>
      </c>
      <c r="J197" s="3">
        <v>1.0</v>
      </c>
      <c r="K197" s="3">
        <v>2.0</v>
      </c>
      <c r="L197" s="3">
        <v>0.0</v>
      </c>
      <c r="M197" s="3">
        <v>0.0</v>
      </c>
      <c r="N197" s="3">
        <v>3695.6025</v>
      </c>
      <c r="O197" s="3">
        <v>352.0</v>
      </c>
      <c r="P197" s="3" t="e">
        <v>#N/A</v>
      </c>
      <c r="Q197" s="3">
        <v>52.0</v>
      </c>
      <c r="R197" s="3">
        <v>52.0</v>
      </c>
      <c r="S197" s="3">
        <v>49.0</v>
      </c>
      <c r="T197" s="3">
        <v>44.0</v>
      </c>
      <c r="U197" s="3">
        <v>50.0</v>
      </c>
      <c r="V197" s="3">
        <v>53.0</v>
      </c>
      <c r="W197" s="3">
        <v>41.0</v>
      </c>
      <c r="X197" s="3">
        <v>45.0</v>
      </c>
      <c r="Y197" s="3">
        <v>54.0</v>
      </c>
      <c r="Z197" s="3">
        <v>50.0</v>
      </c>
      <c r="AA197" s="3">
        <v>38.0</v>
      </c>
      <c r="AB197" s="3">
        <v>50.0</v>
      </c>
      <c r="AC197" s="3">
        <v>48.0</v>
      </c>
      <c r="AD197" s="3">
        <v>44.0</v>
      </c>
      <c r="AE197" s="3">
        <v>55.0</v>
      </c>
      <c r="AF197" s="3">
        <v>56.0</v>
      </c>
      <c r="AG197" s="3">
        <v>74.0</v>
      </c>
      <c r="AH197" s="3">
        <v>61.0</v>
      </c>
      <c r="AI197" s="3">
        <v>42.0</v>
      </c>
      <c r="AJ197" s="3">
        <v>17.0</v>
      </c>
      <c r="AK197" s="3">
        <v>48.0</v>
      </c>
      <c r="AL197" s="3">
        <v>37.0</v>
      </c>
      <c r="AM197" s="3">
        <v>52.0</v>
      </c>
      <c r="AN197" s="3">
        <v>49.0</v>
      </c>
    </row>
    <row r="198" ht="14.25" customHeight="1">
      <c r="A198" s="3">
        <v>196.0</v>
      </c>
      <c r="B198" s="3" t="s">
        <v>7374</v>
      </c>
      <c r="C198" s="3">
        <v>31.0</v>
      </c>
      <c r="D198" s="3" t="s">
        <v>6645</v>
      </c>
      <c r="E198" s="3" t="s">
        <v>6646</v>
      </c>
      <c r="F198" s="3" t="s">
        <v>6646</v>
      </c>
      <c r="G198" s="3" t="s">
        <v>6645</v>
      </c>
      <c r="H198" s="3" t="s">
        <v>6645</v>
      </c>
      <c r="I198" s="3" t="s">
        <v>6646</v>
      </c>
      <c r="J198" s="3">
        <v>1.0</v>
      </c>
      <c r="K198" s="3">
        <v>2.0</v>
      </c>
      <c r="L198" s="3">
        <v>0.0</v>
      </c>
      <c r="M198" s="3">
        <v>0.0</v>
      </c>
      <c r="N198" s="3">
        <v>3569.56</v>
      </c>
      <c r="O198" s="3">
        <v>477.0</v>
      </c>
      <c r="P198" s="3" t="e">
        <v>#N/A</v>
      </c>
      <c r="Q198" s="3">
        <v>47.0</v>
      </c>
      <c r="R198" s="3">
        <v>44.0</v>
      </c>
      <c r="S198" s="3">
        <v>47.0</v>
      </c>
      <c r="T198" s="3">
        <v>51.0</v>
      </c>
      <c r="U198" s="3">
        <v>45.0</v>
      </c>
      <c r="V198" s="3">
        <v>52.0</v>
      </c>
      <c r="W198" s="3">
        <v>41.0</v>
      </c>
      <c r="X198" s="3">
        <v>37.0</v>
      </c>
      <c r="Y198" s="3">
        <v>55.0</v>
      </c>
      <c r="Z198" s="3">
        <v>45.0</v>
      </c>
      <c r="AA198" s="3">
        <v>53.0</v>
      </c>
      <c r="AB198" s="3">
        <v>59.0</v>
      </c>
      <c r="AC198" s="3">
        <v>51.0</v>
      </c>
      <c r="AD198" s="3">
        <v>44.0</v>
      </c>
      <c r="AE198" s="3">
        <v>57.0</v>
      </c>
      <c r="AF198" s="3">
        <v>60.0</v>
      </c>
      <c r="AG198" s="3">
        <v>74.0</v>
      </c>
      <c r="AH198" s="3">
        <v>50.0</v>
      </c>
      <c r="AI198" s="3">
        <v>59.0</v>
      </c>
      <c r="AJ198" s="3">
        <v>38.0</v>
      </c>
      <c r="AK198" s="3">
        <v>61.0</v>
      </c>
      <c r="AL198" s="3">
        <v>53.0</v>
      </c>
      <c r="AM198" s="3">
        <v>39.0</v>
      </c>
      <c r="AN198" s="3">
        <v>62.0</v>
      </c>
    </row>
    <row r="199" ht="14.25" customHeight="1">
      <c r="A199" s="3">
        <v>197.0</v>
      </c>
      <c r="B199" s="3" t="s">
        <v>7375</v>
      </c>
      <c r="C199" s="3">
        <v>34.0</v>
      </c>
      <c r="D199" s="3" t="s">
        <v>6645</v>
      </c>
      <c r="E199" s="3" t="s">
        <v>6646</v>
      </c>
      <c r="F199" s="3" t="s">
        <v>6646</v>
      </c>
      <c r="G199" s="3" t="s">
        <v>6645</v>
      </c>
      <c r="H199" s="3" t="s">
        <v>6645</v>
      </c>
      <c r="I199" s="3" t="s">
        <v>6645</v>
      </c>
      <c r="J199" s="3">
        <v>1.0</v>
      </c>
      <c r="K199" s="3">
        <v>2.0</v>
      </c>
      <c r="L199" s="3">
        <v>0.0</v>
      </c>
      <c r="M199" s="3">
        <v>0.0</v>
      </c>
      <c r="N199" s="3">
        <v>4012.8518</v>
      </c>
      <c r="O199" s="3">
        <v>323.0</v>
      </c>
      <c r="P199" s="3" t="e">
        <v>#N/A</v>
      </c>
      <c r="Q199" s="3">
        <v>48.0</v>
      </c>
      <c r="R199" s="3">
        <v>48.0</v>
      </c>
      <c r="S199" s="3">
        <v>44.0</v>
      </c>
      <c r="T199" s="3">
        <v>45.0</v>
      </c>
      <c r="U199" s="3">
        <v>48.0</v>
      </c>
      <c r="V199" s="3">
        <v>47.0</v>
      </c>
      <c r="W199" s="3">
        <v>45.0</v>
      </c>
      <c r="X199" s="3">
        <v>47.0</v>
      </c>
      <c r="Y199" s="3">
        <v>52.0</v>
      </c>
      <c r="Z199" s="3">
        <v>42.0</v>
      </c>
      <c r="AA199" s="3">
        <v>51.0</v>
      </c>
      <c r="AB199" s="3">
        <v>56.0</v>
      </c>
      <c r="AC199" s="3">
        <v>39.0</v>
      </c>
      <c r="AD199" s="3">
        <v>53.0</v>
      </c>
      <c r="AE199" s="3">
        <v>58.0</v>
      </c>
      <c r="AF199" s="3">
        <v>43.0</v>
      </c>
      <c r="AG199" s="3">
        <v>77.0</v>
      </c>
      <c r="AH199" s="3">
        <v>53.0</v>
      </c>
      <c r="AI199" s="3">
        <v>56.0</v>
      </c>
      <c r="AJ199" s="3">
        <v>45.0</v>
      </c>
      <c r="AK199" s="3">
        <v>58.0</v>
      </c>
      <c r="AL199" s="3">
        <v>49.0</v>
      </c>
      <c r="AM199" s="3">
        <v>56.0</v>
      </c>
      <c r="AN199" s="3">
        <v>41.0</v>
      </c>
    </row>
    <row r="200" ht="14.25" customHeight="1">
      <c r="A200" s="3">
        <v>198.0</v>
      </c>
      <c r="B200" s="3" t="s">
        <v>7376</v>
      </c>
      <c r="C200" s="3">
        <v>26.0</v>
      </c>
      <c r="D200" s="3" t="s">
        <v>6645</v>
      </c>
      <c r="E200" s="3" t="s">
        <v>6646</v>
      </c>
      <c r="F200" s="3" t="s">
        <v>6646</v>
      </c>
      <c r="G200" s="3" t="s">
        <v>6645</v>
      </c>
      <c r="H200" s="3" t="s">
        <v>6645</v>
      </c>
      <c r="I200" s="3" t="s">
        <v>6645</v>
      </c>
      <c r="J200" s="3">
        <v>1.0</v>
      </c>
      <c r="K200" s="3">
        <v>2.0</v>
      </c>
      <c r="L200" s="3">
        <v>0.0</v>
      </c>
      <c r="M200" s="3">
        <v>0.0</v>
      </c>
      <c r="N200" s="3">
        <v>3445.4216</v>
      </c>
      <c r="O200" s="3">
        <v>464.0</v>
      </c>
      <c r="P200" s="3" t="e">
        <v>#N/A</v>
      </c>
      <c r="Q200" s="3">
        <v>51.0</v>
      </c>
      <c r="R200" s="3">
        <v>44.0</v>
      </c>
      <c r="S200" s="3">
        <v>46.0</v>
      </c>
      <c r="T200" s="3">
        <v>49.0</v>
      </c>
      <c r="U200" s="3">
        <v>50.0</v>
      </c>
      <c r="V200" s="3">
        <v>50.0</v>
      </c>
      <c r="W200" s="3">
        <v>47.0</v>
      </c>
      <c r="X200" s="3">
        <v>40.0</v>
      </c>
      <c r="Y200" s="3">
        <v>50.0</v>
      </c>
      <c r="Z200" s="3">
        <v>48.0</v>
      </c>
      <c r="AA200" s="3">
        <v>49.0</v>
      </c>
      <c r="AB200" s="3">
        <v>52.0</v>
      </c>
      <c r="AC200" s="3">
        <v>51.0</v>
      </c>
      <c r="AD200" s="3">
        <v>48.0</v>
      </c>
      <c r="AE200" s="3">
        <v>53.0</v>
      </c>
      <c r="AF200" s="3">
        <v>18.0</v>
      </c>
      <c r="AG200" s="3">
        <v>78.0</v>
      </c>
      <c r="AH200" s="3">
        <v>65.0</v>
      </c>
      <c r="AI200" s="3">
        <v>45.0</v>
      </c>
      <c r="AJ200" s="3">
        <v>37.0</v>
      </c>
      <c r="AK200" s="3">
        <v>59.0</v>
      </c>
      <c r="AL200" s="3">
        <v>45.0</v>
      </c>
      <c r="AM200" s="3">
        <v>59.0</v>
      </c>
      <c r="AN200" s="3">
        <v>45.0</v>
      </c>
    </row>
    <row r="201" ht="14.25" customHeight="1">
      <c r="A201" s="3">
        <v>199.0</v>
      </c>
      <c r="B201" s="3" t="s">
        <v>7377</v>
      </c>
      <c r="C201" s="3">
        <v>25.0</v>
      </c>
      <c r="D201" s="3" t="s">
        <v>6645</v>
      </c>
      <c r="E201" s="3" t="s">
        <v>6646</v>
      </c>
      <c r="F201" s="3" t="s">
        <v>6646</v>
      </c>
      <c r="G201" s="3" t="s">
        <v>6645</v>
      </c>
      <c r="H201" s="3" t="s">
        <v>6645</v>
      </c>
      <c r="I201" s="3" t="s">
        <v>6645</v>
      </c>
      <c r="J201" s="3">
        <v>1.0</v>
      </c>
      <c r="K201" s="3">
        <v>1.0</v>
      </c>
      <c r="L201" s="3">
        <v>0.0</v>
      </c>
      <c r="M201" s="3">
        <v>0.0</v>
      </c>
      <c r="N201" s="3">
        <v>1477.4738</v>
      </c>
      <c r="O201" s="3">
        <v>194.0</v>
      </c>
      <c r="P201" s="3" t="e">
        <v>#N/A</v>
      </c>
      <c r="Q201" s="3">
        <v>43.0</v>
      </c>
      <c r="R201" s="3">
        <v>45.0</v>
      </c>
      <c r="S201" s="3">
        <v>45.0</v>
      </c>
      <c r="T201" s="3">
        <v>45.0</v>
      </c>
      <c r="U201" s="3">
        <v>39.0</v>
      </c>
      <c r="V201" s="3">
        <v>44.0</v>
      </c>
      <c r="W201" s="3">
        <v>46.0</v>
      </c>
      <c r="X201" s="3">
        <v>39.0</v>
      </c>
      <c r="Y201" s="3">
        <v>49.0</v>
      </c>
      <c r="Z201" s="3">
        <v>33.0</v>
      </c>
      <c r="AA201" s="3">
        <v>37.0</v>
      </c>
      <c r="AB201" s="3">
        <v>44.0</v>
      </c>
      <c r="AC201" s="3">
        <v>34.0</v>
      </c>
      <c r="AD201" s="3">
        <v>40.0</v>
      </c>
      <c r="AE201" s="3">
        <v>45.0</v>
      </c>
      <c r="AF201" s="3">
        <v>47.0</v>
      </c>
      <c r="AG201" s="3">
        <v>81.0</v>
      </c>
      <c r="AH201" s="3">
        <v>50.0</v>
      </c>
      <c r="AI201" s="3">
        <v>56.0</v>
      </c>
      <c r="AJ201" s="3">
        <v>44.0</v>
      </c>
      <c r="AK201" s="3">
        <v>33.0</v>
      </c>
      <c r="AL201" s="3">
        <v>60.0</v>
      </c>
      <c r="AM201" s="3">
        <v>61.0</v>
      </c>
      <c r="AN201" s="3">
        <v>42.0</v>
      </c>
    </row>
    <row r="202" ht="14.25" customHeight="1">
      <c r="A202" s="3">
        <v>200.0</v>
      </c>
      <c r="B202" s="3" t="s">
        <v>7378</v>
      </c>
      <c r="C202" s="3">
        <v>29.0</v>
      </c>
      <c r="D202" s="3" t="s">
        <v>6645</v>
      </c>
      <c r="E202" s="3" t="s">
        <v>6646</v>
      </c>
      <c r="F202" s="3" t="s">
        <v>6646</v>
      </c>
      <c r="G202" s="3" t="s">
        <v>6645</v>
      </c>
      <c r="H202" s="3" t="s">
        <v>6645</v>
      </c>
      <c r="I202" s="3" t="s">
        <v>6646</v>
      </c>
      <c r="J202" s="3">
        <v>1.0</v>
      </c>
      <c r="K202" s="3">
        <v>1.0</v>
      </c>
      <c r="L202" s="3">
        <v>0.0</v>
      </c>
      <c r="M202" s="3">
        <v>0.0</v>
      </c>
      <c r="N202" s="3">
        <v>1554.3287</v>
      </c>
      <c r="O202" s="3">
        <v>154.0</v>
      </c>
      <c r="P202" s="3" t="e">
        <v>#N/A</v>
      </c>
      <c r="Q202" s="3">
        <v>46.0</v>
      </c>
      <c r="R202" s="3">
        <v>38.0</v>
      </c>
      <c r="S202" s="3">
        <v>40.0</v>
      </c>
      <c r="T202" s="3">
        <v>38.0</v>
      </c>
      <c r="U202" s="3">
        <v>41.0</v>
      </c>
      <c r="V202" s="3">
        <v>42.0</v>
      </c>
      <c r="W202" s="3">
        <v>42.0</v>
      </c>
      <c r="X202" s="3">
        <v>42.0</v>
      </c>
      <c r="Y202" s="3">
        <v>52.0</v>
      </c>
      <c r="Z202" s="3">
        <v>36.0</v>
      </c>
      <c r="AA202" s="3">
        <v>30.0</v>
      </c>
      <c r="AB202" s="3">
        <v>44.0</v>
      </c>
      <c r="AC202" s="3">
        <v>37.0</v>
      </c>
      <c r="AD202" s="3">
        <v>37.0</v>
      </c>
      <c r="AE202" s="3">
        <v>51.0</v>
      </c>
      <c r="AF202" s="3">
        <v>48.0</v>
      </c>
      <c r="AG202" s="3">
        <v>71.0</v>
      </c>
      <c r="AH202" s="3">
        <v>58.0</v>
      </c>
      <c r="AI202" s="3">
        <v>45.0</v>
      </c>
      <c r="AJ202" s="3">
        <v>52.0</v>
      </c>
      <c r="AK202" s="3">
        <v>21.0</v>
      </c>
      <c r="AL202" s="3">
        <v>54.0</v>
      </c>
      <c r="AM202" s="3">
        <v>40.0</v>
      </c>
      <c r="AN202" s="3">
        <v>37.0</v>
      </c>
    </row>
    <row r="203" ht="14.25" customHeight="1">
      <c r="A203" s="3">
        <v>201.0</v>
      </c>
      <c r="B203" s="3" t="s">
        <v>7379</v>
      </c>
      <c r="C203" s="3">
        <v>21.0</v>
      </c>
      <c r="D203" s="3" t="s">
        <v>6645</v>
      </c>
      <c r="E203" s="3" t="s">
        <v>6646</v>
      </c>
      <c r="F203" s="3" t="s">
        <v>6646</v>
      </c>
      <c r="G203" s="3" t="s">
        <v>6645</v>
      </c>
      <c r="H203" s="3" t="s">
        <v>6645</v>
      </c>
      <c r="I203" s="3" t="s">
        <v>6646</v>
      </c>
      <c r="J203" s="3">
        <v>1.0</v>
      </c>
      <c r="K203" s="3">
        <v>1.0</v>
      </c>
      <c r="L203" s="3">
        <v>0.0</v>
      </c>
      <c r="M203" s="3">
        <v>0.0</v>
      </c>
      <c r="N203" s="3">
        <v>1469.872</v>
      </c>
      <c r="O203" s="3">
        <v>201.0</v>
      </c>
      <c r="P203" s="3" t="e">
        <v>#N/A</v>
      </c>
      <c r="Q203" s="3">
        <v>46.0</v>
      </c>
      <c r="R203" s="3">
        <v>41.0</v>
      </c>
      <c r="S203" s="3">
        <v>43.0</v>
      </c>
      <c r="T203" s="3">
        <v>44.0</v>
      </c>
      <c r="U203" s="3">
        <v>40.0</v>
      </c>
      <c r="V203" s="3">
        <v>40.0</v>
      </c>
      <c r="W203" s="3">
        <v>37.0</v>
      </c>
      <c r="X203" s="3">
        <v>34.0</v>
      </c>
      <c r="Y203" s="3">
        <v>48.0</v>
      </c>
      <c r="Z203" s="3">
        <v>42.0</v>
      </c>
      <c r="AA203" s="3">
        <v>32.0</v>
      </c>
      <c r="AB203" s="3">
        <v>47.0</v>
      </c>
      <c r="AC203" s="3">
        <v>44.0</v>
      </c>
      <c r="AD203" s="3">
        <v>37.0</v>
      </c>
      <c r="AE203" s="3">
        <v>52.0</v>
      </c>
      <c r="AF203" s="3">
        <v>34.0</v>
      </c>
      <c r="AG203" s="3">
        <v>66.0</v>
      </c>
      <c r="AH203" s="3">
        <v>53.0</v>
      </c>
      <c r="AI203" s="3">
        <v>58.0</v>
      </c>
      <c r="AJ203" s="3">
        <v>51.0</v>
      </c>
      <c r="AK203" s="3">
        <v>56.0</v>
      </c>
      <c r="AL203" s="3">
        <v>48.0</v>
      </c>
      <c r="AM203" s="3">
        <v>28.0</v>
      </c>
      <c r="AN203" s="3">
        <v>55.0</v>
      </c>
    </row>
    <row r="204" ht="14.25" customHeight="1">
      <c r="A204" s="3">
        <v>202.0</v>
      </c>
      <c r="B204" s="3" t="s">
        <v>7380</v>
      </c>
      <c r="C204" s="3">
        <v>26.0</v>
      </c>
      <c r="D204" s="3" t="s">
        <v>6645</v>
      </c>
      <c r="E204" s="3" t="s">
        <v>6646</v>
      </c>
      <c r="F204" s="3" t="s">
        <v>6646</v>
      </c>
      <c r="G204" s="3" t="s">
        <v>6645</v>
      </c>
      <c r="H204" s="3" t="s">
        <v>6645</v>
      </c>
      <c r="I204" s="3" t="s">
        <v>6645</v>
      </c>
      <c r="J204" s="3">
        <v>1.0</v>
      </c>
      <c r="K204" s="3">
        <v>1.0</v>
      </c>
      <c r="L204" s="3">
        <v>0.0</v>
      </c>
      <c r="M204" s="3">
        <v>0.0</v>
      </c>
      <c r="N204" s="3">
        <v>1568.0397</v>
      </c>
      <c r="O204" s="3">
        <v>245.0</v>
      </c>
      <c r="P204" s="3" t="e">
        <v>#N/A</v>
      </c>
      <c r="Q204" s="3">
        <v>39.0</v>
      </c>
      <c r="R204" s="3">
        <v>43.0</v>
      </c>
      <c r="S204" s="3">
        <v>40.0</v>
      </c>
      <c r="T204" s="3">
        <v>39.0</v>
      </c>
      <c r="U204" s="3">
        <v>45.0</v>
      </c>
      <c r="V204" s="3">
        <v>37.0</v>
      </c>
      <c r="W204" s="3">
        <v>33.0</v>
      </c>
      <c r="X204" s="3">
        <v>35.0</v>
      </c>
      <c r="Y204" s="3">
        <v>44.0</v>
      </c>
      <c r="Z204" s="3">
        <v>42.0</v>
      </c>
      <c r="AA204" s="3">
        <v>44.0</v>
      </c>
      <c r="AB204" s="3">
        <v>43.0</v>
      </c>
      <c r="AC204" s="3">
        <v>39.0</v>
      </c>
      <c r="AD204" s="3">
        <v>43.0</v>
      </c>
      <c r="AE204" s="3">
        <v>51.0</v>
      </c>
      <c r="AF204" s="3">
        <v>42.0</v>
      </c>
      <c r="AG204" s="3">
        <v>73.0</v>
      </c>
      <c r="AH204" s="3">
        <v>46.0</v>
      </c>
      <c r="AI204" s="3">
        <v>45.0</v>
      </c>
      <c r="AJ204" s="3">
        <v>20.0</v>
      </c>
      <c r="AK204" s="3">
        <v>50.0</v>
      </c>
      <c r="AL204" s="3">
        <v>54.0</v>
      </c>
      <c r="AM204" s="3">
        <v>34.0</v>
      </c>
      <c r="AN204" s="3">
        <v>43.0</v>
      </c>
    </row>
    <row r="205" ht="14.25" customHeight="1">
      <c r="A205" s="3">
        <v>203.0</v>
      </c>
      <c r="B205" s="3" t="s">
        <v>7381</v>
      </c>
      <c r="C205" s="3">
        <v>20.0</v>
      </c>
      <c r="D205" s="3" t="s">
        <v>6645</v>
      </c>
      <c r="E205" s="3" t="s">
        <v>6646</v>
      </c>
      <c r="F205" s="3" t="s">
        <v>6646</v>
      </c>
      <c r="G205" s="3" t="s">
        <v>6645</v>
      </c>
      <c r="H205" s="3" t="s">
        <v>6645</v>
      </c>
      <c r="I205" s="3" t="s">
        <v>6645</v>
      </c>
      <c r="J205" s="3">
        <v>1.0</v>
      </c>
      <c r="K205" s="3">
        <v>1.0</v>
      </c>
      <c r="L205" s="3">
        <v>0.0</v>
      </c>
      <c r="M205" s="3">
        <v>0.0</v>
      </c>
      <c r="N205" s="3">
        <v>1650.6978</v>
      </c>
      <c r="O205" s="3">
        <v>194.0</v>
      </c>
      <c r="P205" s="3" t="e">
        <v>#N/A</v>
      </c>
      <c r="Q205" s="3">
        <v>40.0</v>
      </c>
      <c r="R205" s="3">
        <v>43.0</v>
      </c>
      <c r="S205" s="3">
        <v>37.0</v>
      </c>
      <c r="T205" s="3">
        <v>46.0</v>
      </c>
      <c r="U205" s="3">
        <v>39.0</v>
      </c>
      <c r="V205" s="3">
        <v>44.0</v>
      </c>
      <c r="W205" s="3">
        <v>37.0</v>
      </c>
      <c r="X205" s="3">
        <v>40.0</v>
      </c>
      <c r="Y205" s="3">
        <v>49.0</v>
      </c>
      <c r="Z205" s="3">
        <v>43.0</v>
      </c>
      <c r="AA205" s="3">
        <v>43.0</v>
      </c>
      <c r="AB205" s="3">
        <v>45.0</v>
      </c>
      <c r="AC205" s="3">
        <v>37.0</v>
      </c>
      <c r="AD205" s="3">
        <v>33.0</v>
      </c>
      <c r="AE205" s="3">
        <v>48.0</v>
      </c>
      <c r="AF205" s="3">
        <v>55.0</v>
      </c>
      <c r="AG205" s="3">
        <v>72.0</v>
      </c>
      <c r="AH205" s="3">
        <v>37.0</v>
      </c>
      <c r="AI205" s="3">
        <v>27.0</v>
      </c>
      <c r="AJ205" s="3">
        <v>46.0</v>
      </c>
      <c r="AK205" s="3">
        <v>58.0</v>
      </c>
      <c r="AL205" s="3">
        <v>44.0</v>
      </c>
      <c r="AM205" s="3">
        <v>36.0</v>
      </c>
      <c r="AN205" s="3">
        <v>37.0</v>
      </c>
    </row>
    <row r="206" ht="14.25" customHeight="1">
      <c r="A206" s="3">
        <v>204.0</v>
      </c>
      <c r="B206" s="3" t="s">
        <v>7382</v>
      </c>
      <c r="C206" s="3">
        <v>16.0</v>
      </c>
      <c r="D206" s="3" t="s">
        <v>6645</v>
      </c>
      <c r="E206" s="3" t="s">
        <v>6646</v>
      </c>
      <c r="F206" s="3" t="s">
        <v>6646</v>
      </c>
      <c r="G206" s="3" t="s">
        <v>6645</v>
      </c>
      <c r="H206" s="3" t="s">
        <v>6645</v>
      </c>
      <c r="I206" s="3" t="s">
        <v>6646</v>
      </c>
      <c r="J206" s="3">
        <v>1.0</v>
      </c>
      <c r="K206" s="3">
        <v>0.0</v>
      </c>
      <c r="L206" s="3">
        <v>0.0</v>
      </c>
      <c r="M206" s="3">
        <v>0.0</v>
      </c>
      <c r="N206" s="3">
        <v>457.264</v>
      </c>
      <c r="O206" s="3">
        <v>78.0</v>
      </c>
      <c r="P206" s="3" t="e">
        <v>#N/A</v>
      </c>
      <c r="Q206" s="3">
        <v>31.0</v>
      </c>
      <c r="R206" s="3">
        <v>39.0</v>
      </c>
      <c r="S206" s="3">
        <v>31.0</v>
      </c>
      <c r="T206" s="3">
        <v>30.0</v>
      </c>
      <c r="U206" s="3">
        <v>34.0</v>
      </c>
      <c r="V206" s="3">
        <v>30.0</v>
      </c>
      <c r="W206" s="3">
        <v>22.0</v>
      </c>
      <c r="X206" s="3">
        <v>27.0</v>
      </c>
      <c r="Y206" s="3">
        <v>37.0</v>
      </c>
      <c r="Z206" s="3">
        <v>38.0</v>
      </c>
      <c r="AA206" s="3">
        <v>31.0</v>
      </c>
      <c r="AB206" s="3">
        <v>48.0</v>
      </c>
      <c r="AC206" s="3">
        <v>34.0</v>
      </c>
      <c r="AD206" s="3">
        <v>34.0</v>
      </c>
      <c r="AE206" s="3">
        <v>42.0</v>
      </c>
      <c r="AF206" s="3">
        <v>45.0</v>
      </c>
      <c r="AG206" s="3">
        <v>70.0</v>
      </c>
      <c r="AH206" s="3">
        <v>54.0</v>
      </c>
      <c r="AI206" s="3">
        <v>58.0</v>
      </c>
      <c r="AJ206" s="3">
        <v>48.0</v>
      </c>
      <c r="AK206" s="3">
        <v>49.0</v>
      </c>
      <c r="AL206" s="3">
        <v>50.0</v>
      </c>
      <c r="AM206" s="3">
        <v>12.0</v>
      </c>
      <c r="AN206" s="3">
        <v>42.0</v>
      </c>
    </row>
    <row r="207" ht="14.25" customHeight="1">
      <c r="A207" s="3">
        <v>205.0</v>
      </c>
      <c r="B207" s="3" t="s">
        <v>7383</v>
      </c>
      <c r="C207" s="3">
        <v>15.0</v>
      </c>
      <c r="D207" s="3" t="s">
        <v>6645</v>
      </c>
      <c r="E207" s="3" t="s">
        <v>6646</v>
      </c>
      <c r="F207" s="3" t="s">
        <v>6646</v>
      </c>
      <c r="G207" s="3" t="s">
        <v>6645</v>
      </c>
      <c r="H207" s="3" t="s">
        <v>6645</v>
      </c>
      <c r="I207" s="3" t="s">
        <v>6645</v>
      </c>
      <c r="J207" s="3">
        <v>1.0</v>
      </c>
      <c r="K207" s="3">
        <v>0.0</v>
      </c>
      <c r="L207" s="3">
        <v>0.0</v>
      </c>
      <c r="M207" s="3">
        <v>0.0</v>
      </c>
      <c r="N207" s="3">
        <v>415.67944</v>
      </c>
      <c r="O207" s="3">
        <v>118.0</v>
      </c>
      <c r="P207" s="3" t="e">
        <v>#N/A</v>
      </c>
      <c r="Q207" s="3">
        <v>32.0</v>
      </c>
      <c r="R207" s="3">
        <v>36.0</v>
      </c>
      <c r="S207" s="3">
        <v>37.0</v>
      </c>
      <c r="T207" s="3">
        <v>39.0</v>
      </c>
      <c r="U207" s="3">
        <v>38.0</v>
      </c>
      <c r="V207" s="3">
        <v>32.0</v>
      </c>
      <c r="W207" s="3">
        <v>26.0</v>
      </c>
      <c r="X207" s="3">
        <v>30.0</v>
      </c>
      <c r="Y207" s="3">
        <v>37.0</v>
      </c>
      <c r="Z207" s="3">
        <v>30.0</v>
      </c>
      <c r="AA207" s="3">
        <v>33.0</v>
      </c>
      <c r="AB207" s="3">
        <v>45.0</v>
      </c>
      <c r="AC207" s="3">
        <v>33.0</v>
      </c>
      <c r="AD207" s="3">
        <v>30.0</v>
      </c>
      <c r="AE207" s="3">
        <v>38.0</v>
      </c>
      <c r="AF207" s="3">
        <v>57.0</v>
      </c>
      <c r="AG207" s="3">
        <v>69.0</v>
      </c>
      <c r="AH207" s="3">
        <v>30.0</v>
      </c>
      <c r="AI207" s="3">
        <v>33.0</v>
      </c>
      <c r="AJ207" s="3">
        <v>37.0</v>
      </c>
      <c r="AK207" s="3">
        <v>31.0</v>
      </c>
      <c r="AL207" s="3">
        <v>32.0</v>
      </c>
      <c r="AM207" s="3">
        <v>40.0</v>
      </c>
      <c r="AN207" s="3">
        <v>52.0</v>
      </c>
    </row>
    <row r="208" ht="14.25" customHeight="1">
      <c r="A208" s="3">
        <v>206.0</v>
      </c>
      <c r="B208" s="3" t="s">
        <v>7384</v>
      </c>
      <c r="C208" s="3">
        <v>16.0</v>
      </c>
      <c r="D208" s="3" t="s">
        <v>6645</v>
      </c>
      <c r="E208" s="3" t="s">
        <v>6646</v>
      </c>
      <c r="F208" s="3" t="s">
        <v>6646</v>
      </c>
      <c r="G208" s="3" t="s">
        <v>6645</v>
      </c>
      <c r="H208" s="3" t="s">
        <v>6645</v>
      </c>
      <c r="I208" s="3" t="s">
        <v>6645</v>
      </c>
      <c r="J208" s="3">
        <v>1.0</v>
      </c>
      <c r="K208" s="3">
        <v>0.0</v>
      </c>
      <c r="L208" s="3">
        <v>0.0</v>
      </c>
      <c r="M208" s="3">
        <v>0.0</v>
      </c>
      <c r="N208" s="3">
        <v>492.92523</v>
      </c>
      <c r="O208" s="3">
        <v>113.0</v>
      </c>
      <c r="P208" s="3" t="e">
        <v>#N/A</v>
      </c>
      <c r="Q208" s="3">
        <v>37.0</v>
      </c>
      <c r="R208" s="3">
        <v>32.0</v>
      </c>
      <c r="S208" s="3">
        <v>35.0</v>
      </c>
      <c r="T208" s="3">
        <v>37.0</v>
      </c>
      <c r="U208" s="3">
        <v>38.0</v>
      </c>
      <c r="V208" s="3">
        <v>35.0</v>
      </c>
      <c r="W208" s="3">
        <v>35.0</v>
      </c>
      <c r="X208" s="3">
        <v>37.0</v>
      </c>
      <c r="Y208" s="3">
        <v>36.0</v>
      </c>
      <c r="Z208" s="3">
        <v>33.0</v>
      </c>
      <c r="AA208" s="3">
        <v>22.0</v>
      </c>
      <c r="AB208" s="3">
        <v>40.0</v>
      </c>
      <c r="AC208" s="3">
        <v>38.0</v>
      </c>
      <c r="AD208" s="3">
        <v>27.0</v>
      </c>
      <c r="AE208" s="3">
        <v>46.0</v>
      </c>
      <c r="AF208" s="3">
        <v>35.0</v>
      </c>
      <c r="AG208" s="3">
        <v>78.0</v>
      </c>
      <c r="AH208" s="3">
        <v>40.0</v>
      </c>
      <c r="AI208" s="3">
        <v>31.0</v>
      </c>
      <c r="AJ208" s="3">
        <v>48.0</v>
      </c>
      <c r="AK208" s="3">
        <v>36.0</v>
      </c>
      <c r="AL208" s="3">
        <v>47.0</v>
      </c>
      <c r="AM208" s="3">
        <v>52.0</v>
      </c>
      <c r="AN208" s="3">
        <v>8.0</v>
      </c>
    </row>
    <row r="209" ht="14.25" customHeight="1">
      <c r="A209" s="3">
        <v>207.0</v>
      </c>
      <c r="B209" s="3" t="s">
        <v>7385</v>
      </c>
      <c r="C209" s="3">
        <v>17.0</v>
      </c>
      <c r="D209" s="3" t="s">
        <v>6645</v>
      </c>
      <c r="E209" s="3" t="s">
        <v>6646</v>
      </c>
      <c r="F209" s="3" t="s">
        <v>6646</v>
      </c>
      <c r="G209" s="3" t="s">
        <v>6645</v>
      </c>
      <c r="H209" s="3" t="s">
        <v>6645</v>
      </c>
      <c r="I209" s="3" t="s">
        <v>6646</v>
      </c>
      <c r="J209" s="3">
        <v>1.0</v>
      </c>
      <c r="K209" s="3">
        <v>0.0</v>
      </c>
      <c r="L209" s="3">
        <v>0.0</v>
      </c>
      <c r="M209" s="3">
        <v>0.0</v>
      </c>
      <c r="N209" s="3">
        <v>475.87393</v>
      </c>
      <c r="O209" s="3">
        <v>118.0</v>
      </c>
      <c r="P209" s="3" t="e">
        <v>#N/A</v>
      </c>
      <c r="Q209" s="3">
        <v>38.0</v>
      </c>
      <c r="R209" s="3">
        <v>31.0</v>
      </c>
      <c r="S209" s="3">
        <v>35.0</v>
      </c>
      <c r="T209" s="3">
        <v>34.0</v>
      </c>
      <c r="U209" s="3">
        <v>35.0</v>
      </c>
      <c r="V209" s="3">
        <v>36.0</v>
      </c>
      <c r="W209" s="3">
        <v>37.0</v>
      </c>
      <c r="X209" s="3">
        <v>25.0</v>
      </c>
      <c r="Y209" s="3">
        <v>42.0</v>
      </c>
      <c r="Z209" s="3">
        <v>25.0</v>
      </c>
      <c r="AA209" s="3">
        <v>34.0</v>
      </c>
      <c r="AB209" s="3">
        <v>40.0</v>
      </c>
      <c r="AC209" s="3">
        <v>31.0</v>
      </c>
      <c r="AD209" s="3">
        <v>29.0</v>
      </c>
      <c r="AE209" s="3">
        <v>41.0</v>
      </c>
      <c r="AF209" s="3">
        <v>32.0</v>
      </c>
      <c r="AG209" s="3">
        <v>68.0</v>
      </c>
      <c r="AH209" s="3">
        <v>47.0</v>
      </c>
      <c r="AI209" s="3">
        <v>46.0</v>
      </c>
      <c r="AJ209" s="3">
        <v>39.0</v>
      </c>
      <c r="AK209" s="3">
        <v>57.0</v>
      </c>
      <c r="AL209" s="3">
        <v>49.0</v>
      </c>
      <c r="AM209" s="3">
        <v>49.0</v>
      </c>
      <c r="AN209" s="3">
        <v>20.0</v>
      </c>
    </row>
    <row r="210" ht="14.25" customHeight="1">
      <c r="A210" s="3">
        <v>208.0</v>
      </c>
      <c r="B210" s="3" t="s">
        <v>7386</v>
      </c>
      <c r="C210" s="3">
        <v>21.0</v>
      </c>
      <c r="D210" s="3" t="s">
        <v>6645</v>
      </c>
      <c r="E210" s="3" t="s">
        <v>6646</v>
      </c>
      <c r="F210" s="3" t="s">
        <v>6646</v>
      </c>
      <c r="G210" s="3" t="s">
        <v>6645</v>
      </c>
      <c r="H210" s="3" t="s">
        <v>6645</v>
      </c>
      <c r="I210" s="3" t="s">
        <v>6646</v>
      </c>
      <c r="J210" s="3">
        <v>1.0</v>
      </c>
      <c r="K210" s="3">
        <v>0.0</v>
      </c>
      <c r="L210" s="3">
        <v>0.0</v>
      </c>
      <c r="M210" s="3">
        <v>0.0</v>
      </c>
      <c r="N210" s="3">
        <v>406.081</v>
      </c>
      <c r="O210" s="3">
        <v>103.0</v>
      </c>
      <c r="P210" s="3" t="e">
        <v>#N/A</v>
      </c>
      <c r="Q210" s="3">
        <v>35.0</v>
      </c>
      <c r="R210" s="3">
        <v>30.0</v>
      </c>
      <c r="S210" s="3">
        <v>30.0</v>
      </c>
      <c r="T210" s="3">
        <v>33.0</v>
      </c>
      <c r="U210" s="3">
        <v>33.0</v>
      </c>
      <c r="V210" s="3">
        <v>34.0</v>
      </c>
      <c r="W210" s="3">
        <v>23.0</v>
      </c>
      <c r="X210" s="3">
        <v>27.0</v>
      </c>
      <c r="Y210" s="3">
        <v>40.0</v>
      </c>
      <c r="Z210" s="3">
        <v>35.0</v>
      </c>
      <c r="AA210" s="3">
        <v>32.0</v>
      </c>
      <c r="AB210" s="3">
        <v>38.0</v>
      </c>
      <c r="AC210" s="3">
        <v>37.0</v>
      </c>
      <c r="AD210" s="3">
        <v>29.0</v>
      </c>
      <c r="AE210" s="3">
        <v>43.0</v>
      </c>
      <c r="AF210" s="3">
        <v>38.0</v>
      </c>
      <c r="AG210" s="3">
        <v>68.0</v>
      </c>
      <c r="AH210" s="3">
        <v>22.0</v>
      </c>
      <c r="AI210" s="3">
        <v>54.0</v>
      </c>
      <c r="AJ210" s="3">
        <v>43.0</v>
      </c>
      <c r="AK210" s="3">
        <v>48.0</v>
      </c>
      <c r="AL210" s="3">
        <v>38.0</v>
      </c>
      <c r="AM210" s="3">
        <v>58.0</v>
      </c>
      <c r="AN210" s="3">
        <v>49.0</v>
      </c>
    </row>
    <row r="211" ht="14.25" customHeight="1">
      <c r="A211" s="3">
        <v>209.0</v>
      </c>
      <c r="B211" s="3" t="s">
        <v>7387</v>
      </c>
      <c r="C211" s="3">
        <v>37.0</v>
      </c>
      <c r="D211" s="3" t="s">
        <v>6645</v>
      </c>
      <c r="E211" s="3" t="s">
        <v>6646</v>
      </c>
      <c r="F211" s="3" t="s">
        <v>6646</v>
      </c>
      <c r="G211" s="3" t="s">
        <v>6645</v>
      </c>
      <c r="H211" s="3" t="s">
        <v>6645</v>
      </c>
      <c r="I211" s="3" t="s">
        <v>6646</v>
      </c>
      <c r="J211" s="3">
        <v>2.0</v>
      </c>
      <c r="K211" s="3">
        <v>4.0</v>
      </c>
      <c r="L211" s="3">
        <v>0.0</v>
      </c>
      <c r="M211" s="3">
        <v>0.0</v>
      </c>
      <c r="N211" s="3">
        <v>11686.96</v>
      </c>
      <c r="O211" s="3">
        <v>1492.0</v>
      </c>
      <c r="P211" s="3" t="e">
        <v>#N/A</v>
      </c>
      <c r="Q211" s="3">
        <v>63.0</v>
      </c>
      <c r="R211" s="3">
        <v>67.0</v>
      </c>
      <c r="S211" s="3">
        <v>79.0</v>
      </c>
      <c r="T211" s="3">
        <v>58.0</v>
      </c>
      <c r="U211" s="3">
        <v>75.0</v>
      </c>
      <c r="V211" s="3">
        <v>78.0</v>
      </c>
      <c r="W211" s="3">
        <v>75.0</v>
      </c>
      <c r="X211" s="3">
        <v>66.0</v>
      </c>
      <c r="Y211" s="3">
        <v>58.0</v>
      </c>
      <c r="Z211" s="3">
        <v>81.0</v>
      </c>
      <c r="AA211" s="3">
        <v>65.0</v>
      </c>
      <c r="AB211" s="3">
        <v>60.0</v>
      </c>
      <c r="AC211" s="3">
        <v>59.0</v>
      </c>
      <c r="AD211" s="3">
        <v>65.0</v>
      </c>
      <c r="AE211" s="3">
        <v>66.0</v>
      </c>
      <c r="AF211" s="3">
        <v>93.0</v>
      </c>
      <c r="AG211" s="3">
        <v>45.0</v>
      </c>
      <c r="AH211" s="3">
        <v>53.0</v>
      </c>
      <c r="AI211" s="3">
        <v>48.0</v>
      </c>
      <c r="AJ211" s="3">
        <v>67.0</v>
      </c>
      <c r="AK211" s="3">
        <v>69.0</v>
      </c>
      <c r="AL211" s="3">
        <v>41.0</v>
      </c>
      <c r="AM211" s="3">
        <v>80.0</v>
      </c>
      <c r="AN211" s="3">
        <v>46.0</v>
      </c>
    </row>
    <row r="212" ht="14.25" customHeight="1">
      <c r="A212" s="3">
        <v>210.0</v>
      </c>
      <c r="B212" s="3" t="s">
        <v>7388</v>
      </c>
      <c r="C212" s="3">
        <v>40.0</v>
      </c>
      <c r="D212" s="3" t="s">
        <v>6645</v>
      </c>
      <c r="E212" s="3" t="s">
        <v>6646</v>
      </c>
      <c r="F212" s="3" t="s">
        <v>6646</v>
      </c>
      <c r="G212" s="3" t="s">
        <v>6645</v>
      </c>
      <c r="H212" s="3" t="s">
        <v>6645</v>
      </c>
      <c r="I212" s="3" t="s">
        <v>6645</v>
      </c>
      <c r="J212" s="3">
        <v>2.0</v>
      </c>
      <c r="K212" s="3">
        <v>4.0</v>
      </c>
      <c r="L212" s="3">
        <v>0.0</v>
      </c>
      <c r="M212" s="3">
        <v>0.0</v>
      </c>
      <c r="N212" s="3">
        <v>11176.068</v>
      </c>
      <c r="O212" s="3">
        <v>1834.0</v>
      </c>
      <c r="P212" s="3" t="e">
        <v>#N/A</v>
      </c>
      <c r="Q212" s="3">
        <v>65.0</v>
      </c>
      <c r="R212" s="3">
        <v>61.0</v>
      </c>
      <c r="S212" s="3">
        <v>79.0</v>
      </c>
      <c r="T212" s="3">
        <v>62.0</v>
      </c>
      <c r="U212" s="3">
        <v>70.0</v>
      </c>
      <c r="V212" s="3">
        <v>72.0</v>
      </c>
      <c r="W212" s="3">
        <v>70.0</v>
      </c>
      <c r="X212" s="3">
        <v>64.0</v>
      </c>
      <c r="Y212" s="3">
        <v>58.0</v>
      </c>
      <c r="Z212" s="3">
        <v>82.0</v>
      </c>
      <c r="AA212" s="3">
        <v>55.0</v>
      </c>
      <c r="AB212" s="3">
        <v>61.0</v>
      </c>
      <c r="AC212" s="3">
        <v>60.0</v>
      </c>
      <c r="AD212" s="3">
        <v>66.0</v>
      </c>
      <c r="AE212" s="3">
        <v>66.0</v>
      </c>
      <c r="AF212" s="3">
        <v>89.0</v>
      </c>
      <c r="AG212" s="3">
        <v>76.0</v>
      </c>
      <c r="AH212" s="3">
        <v>42.0</v>
      </c>
      <c r="AI212" s="3">
        <v>47.0</v>
      </c>
      <c r="AJ212" s="3">
        <v>23.0</v>
      </c>
      <c r="AK212" s="3">
        <v>51.0</v>
      </c>
      <c r="AL212" s="3">
        <v>55.0</v>
      </c>
      <c r="AM212" s="3">
        <v>81.0</v>
      </c>
      <c r="AN212" s="3">
        <v>56.0</v>
      </c>
    </row>
    <row r="213" ht="14.25" customHeight="1">
      <c r="A213" s="3">
        <v>211.0</v>
      </c>
      <c r="B213" s="3" t="s">
        <v>7389</v>
      </c>
      <c r="C213" s="3">
        <v>38.0</v>
      </c>
      <c r="D213" s="3" t="s">
        <v>6645</v>
      </c>
      <c r="E213" s="3" t="s">
        <v>6646</v>
      </c>
      <c r="F213" s="3" t="s">
        <v>6646</v>
      </c>
      <c r="G213" s="3" t="s">
        <v>6645</v>
      </c>
      <c r="H213" s="3" t="s">
        <v>6645</v>
      </c>
      <c r="I213" s="3" t="s">
        <v>6646</v>
      </c>
      <c r="J213" s="3">
        <v>2.0</v>
      </c>
      <c r="K213" s="3">
        <v>4.0</v>
      </c>
      <c r="L213" s="3">
        <v>0.0</v>
      </c>
      <c r="M213" s="3">
        <v>0.0</v>
      </c>
      <c r="N213" s="3">
        <v>10488.485</v>
      </c>
      <c r="O213" s="3">
        <v>1799.0</v>
      </c>
      <c r="P213" s="3" t="e">
        <v>#N/A</v>
      </c>
      <c r="Q213" s="3">
        <v>58.0</v>
      </c>
      <c r="R213" s="3">
        <v>58.0</v>
      </c>
      <c r="S213" s="3">
        <v>81.0</v>
      </c>
      <c r="T213" s="3">
        <v>60.0</v>
      </c>
      <c r="U213" s="3">
        <v>67.0</v>
      </c>
      <c r="V213" s="3">
        <v>75.0</v>
      </c>
      <c r="W213" s="3">
        <v>74.0</v>
      </c>
      <c r="X213" s="3">
        <v>66.0</v>
      </c>
      <c r="Y213" s="3">
        <v>58.0</v>
      </c>
      <c r="Z213" s="3">
        <v>72.0</v>
      </c>
      <c r="AA213" s="3">
        <v>62.0</v>
      </c>
      <c r="AB213" s="3">
        <v>55.0</v>
      </c>
      <c r="AC213" s="3">
        <v>59.0</v>
      </c>
      <c r="AD213" s="3">
        <v>60.0</v>
      </c>
      <c r="AE213" s="3">
        <v>66.0</v>
      </c>
      <c r="AF213" s="3">
        <v>88.0</v>
      </c>
      <c r="AG213" s="3">
        <v>60.0</v>
      </c>
      <c r="AH213" s="3">
        <v>48.0</v>
      </c>
      <c r="AI213" s="3">
        <v>69.0</v>
      </c>
      <c r="AJ213" s="3">
        <v>55.0</v>
      </c>
      <c r="AK213" s="3">
        <v>43.0</v>
      </c>
      <c r="AL213" s="3">
        <v>43.0</v>
      </c>
      <c r="AM213" s="3">
        <v>82.0</v>
      </c>
      <c r="AN213" s="3">
        <v>51.0</v>
      </c>
    </row>
    <row r="214" ht="14.25" customHeight="1">
      <c r="A214" s="3">
        <v>212.0</v>
      </c>
      <c r="B214" s="3" t="s">
        <v>7390</v>
      </c>
      <c r="C214" s="3">
        <v>30.0</v>
      </c>
      <c r="D214" s="3" t="s">
        <v>6645</v>
      </c>
      <c r="E214" s="3" t="s">
        <v>6646</v>
      </c>
      <c r="F214" s="3" t="s">
        <v>6646</v>
      </c>
      <c r="G214" s="3" t="s">
        <v>6645</v>
      </c>
      <c r="H214" s="3" t="s">
        <v>6645</v>
      </c>
      <c r="I214" s="3" t="s">
        <v>6646</v>
      </c>
      <c r="J214" s="3">
        <v>2.0</v>
      </c>
      <c r="K214" s="3">
        <v>3.0</v>
      </c>
      <c r="L214" s="3">
        <v>0.0</v>
      </c>
      <c r="M214" s="3">
        <v>0.0</v>
      </c>
      <c r="N214" s="3">
        <v>7108.991</v>
      </c>
      <c r="O214" s="3">
        <v>831.0</v>
      </c>
      <c r="P214" s="3" t="e">
        <v>#N/A</v>
      </c>
      <c r="Q214" s="3">
        <v>56.0</v>
      </c>
      <c r="R214" s="3">
        <v>60.0</v>
      </c>
      <c r="S214" s="3">
        <v>64.0</v>
      </c>
      <c r="T214" s="3">
        <v>54.0</v>
      </c>
      <c r="U214" s="3">
        <v>58.0</v>
      </c>
      <c r="V214" s="3">
        <v>58.0</v>
      </c>
      <c r="W214" s="3">
        <v>59.0</v>
      </c>
      <c r="X214" s="3">
        <v>56.0</v>
      </c>
      <c r="Y214" s="3">
        <v>52.0</v>
      </c>
      <c r="Z214" s="3">
        <v>69.0</v>
      </c>
      <c r="AA214" s="3">
        <v>54.0</v>
      </c>
      <c r="AB214" s="3">
        <v>54.0</v>
      </c>
      <c r="AC214" s="3">
        <v>53.0</v>
      </c>
      <c r="AD214" s="3">
        <v>52.0</v>
      </c>
      <c r="AE214" s="3">
        <v>62.0</v>
      </c>
      <c r="AF214" s="3">
        <v>89.0</v>
      </c>
      <c r="AG214" s="3">
        <v>45.0</v>
      </c>
      <c r="AH214" s="3">
        <v>53.0</v>
      </c>
      <c r="AI214" s="3">
        <v>43.0</v>
      </c>
      <c r="AJ214" s="3">
        <v>48.0</v>
      </c>
      <c r="AK214" s="3">
        <v>26.0</v>
      </c>
      <c r="AL214" s="3">
        <v>44.0</v>
      </c>
      <c r="AM214" s="3">
        <v>73.0</v>
      </c>
      <c r="AN214" s="3">
        <v>20.0</v>
      </c>
    </row>
    <row r="215" ht="14.25" customHeight="1">
      <c r="A215" s="3">
        <v>213.0</v>
      </c>
      <c r="B215" s="3" t="s">
        <v>7391</v>
      </c>
      <c r="C215" s="3">
        <v>31.0</v>
      </c>
      <c r="D215" s="3" t="s">
        <v>6645</v>
      </c>
      <c r="E215" s="3" t="s">
        <v>6646</v>
      </c>
      <c r="F215" s="3" t="s">
        <v>6646</v>
      </c>
      <c r="G215" s="3" t="s">
        <v>6645</v>
      </c>
      <c r="H215" s="3" t="s">
        <v>6645</v>
      </c>
      <c r="I215" s="3" t="s">
        <v>6646</v>
      </c>
      <c r="J215" s="3">
        <v>2.0</v>
      </c>
      <c r="K215" s="3">
        <v>3.0</v>
      </c>
      <c r="L215" s="3">
        <v>0.0</v>
      </c>
      <c r="M215" s="3">
        <v>0.0</v>
      </c>
      <c r="N215" s="3">
        <v>7405.59</v>
      </c>
      <c r="O215" s="3">
        <v>989.0</v>
      </c>
      <c r="P215" s="3" t="e">
        <v>#N/A</v>
      </c>
      <c r="Q215" s="3">
        <v>56.0</v>
      </c>
      <c r="R215" s="3">
        <v>58.0</v>
      </c>
      <c r="S215" s="3">
        <v>61.0</v>
      </c>
      <c r="T215" s="3">
        <v>52.0</v>
      </c>
      <c r="U215" s="3">
        <v>63.0</v>
      </c>
      <c r="V215" s="3">
        <v>55.0</v>
      </c>
      <c r="W215" s="3">
        <v>56.0</v>
      </c>
      <c r="X215" s="3">
        <v>50.0</v>
      </c>
      <c r="Y215" s="3">
        <v>60.0</v>
      </c>
      <c r="Z215" s="3">
        <v>65.0</v>
      </c>
      <c r="AA215" s="3">
        <v>56.0</v>
      </c>
      <c r="AB215" s="3">
        <v>57.0</v>
      </c>
      <c r="AC215" s="3">
        <v>49.0</v>
      </c>
      <c r="AD215" s="3">
        <v>55.0</v>
      </c>
      <c r="AE215" s="3">
        <v>63.0</v>
      </c>
      <c r="AF215" s="3">
        <v>78.0</v>
      </c>
      <c r="AG215" s="3">
        <v>24.0</v>
      </c>
      <c r="AH215" s="3">
        <v>53.0</v>
      </c>
      <c r="AI215" s="3">
        <v>14.0</v>
      </c>
      <c r="AJ215" s="3">
        <v>48.0</v>
      </c>
      <c r="AK215" s="3">
        <v>39.0</v>
      </c>
      <c r="AL215" s="3">
        <v>67.0</v>
      </c>
      <c r="AM215" s="3">
        <v>78.0</v>
      </c>
      <c r="AN215" s="3">
        <v>61.0</v>
      </c>
    </row>
    <row r="216" ht="14.25" customHeight="1">
      <c r="A216" s="3">
        <v>214.0</v>
      </c>
      <c r="B216" s="3" t="s">
        <v>7392</v>
      </c>
      <c r="C216" s="3">
        <v>30.0</v>
      </c>
      <c r="D216" s="3" t="s">
        <v>6645</v>
      </c>
      <c r="E216" s="3" t="s">
        <v>6646</v>
      </c>
      <c r="F216" s="3" t="s">
        <v>6646</v>
      </c>
      <c r="G216" s="3" t="s">
        <v>6645</v>
      </c>
      <c r="H216" s="3" t="s">
        <v>6645</v>
      </c>
      <c r="I216" s="3" t="s">
        <v>6645</v>
      </c>
      <c r="J216" s="3">
        <v>2.0</v>
      </c>
      <c r="K216" s="3">
        <v>3.0</v>
      </c>
      <c r="L216" s="3">
        <v>0.0</v>
      </c>
      <c r="M216" s="3">
        <v>0.0</v>
      </c>
      <c r="N216" s="3">
        <v>7546.8554</v>
      </c>
      <c r="O216" s="3">
        <v>822.0</v>
      </c>
      <c r="P216" s="3" t="e">
        <v>#N/A</v>
      </c>
      <c r="Q216" s="3">
        <v>51.0</v>
      </c>
      <c r="R216" s="3">
        <v>54.0</v>
      </c>
      <c r="S216" s="3">
        <v>63.0</v>
      </c>
      <c r="T216" s="3">
        <v>51.0</v>
      </c>
      <c r="U216" s="3">
        <v>64.0</v>
      </c>
      <c r="V216" s="3">
        <v>63.0</v>
      </c>
      <c r="W216" s="3">
        <v>58.0</v>
      </c>
      <c r="X216" s="3">
        <v>59.0</v>
      </c>
      <c r="Y216" s="3">
        <v>54.0</v>
      </c>
      <c r="Z216" s="3">
        <v>60.0</v>
      </c>
      <c r="AA216" s="3">
        <v>47.0</v>
      </c>
      <c r="AB216" s="3">
        <v>51.0</v>
      </c>
      <c r="AC216" s="3">
        <v>55.0</v>
      </c>
      <c r="AD216" s="3">
        <v>54.0</v>
      </c>
      <c r="AE216" s="3">
        <v>58.0</v>
      </c>
      <c r="AF216" s="3">
        <v>90.0</v>
      </c>
      <c r="AG216" s="3">
        <v>66.0</v>
      </c>
      <c r="AH216" s="3">
        <v>22.0</v>
      </c>
      <c r="AI216" s="3">
        <v>63.0</v>
      </c>
      <c r="AJ216" s="3">
        <v>51.0</v>
      </c>
      <c r="AK216" s="3">
        <v>45.0</v>
      </c>
      <c r="AL216" s="3">
        <v>37.0</v>
      </c>
      <c r="AM216" s="3">
        <v>80.0</v>
      </c>
      <c r="AN216" s="3">
        <v>54.0</v>
      </c>
    </row>
    <row r="217" ht="14.25" customHeight="1">
      <c r="A217" s="3">
        <v>215.0</v>
      </c>
      <c r="B217" s="3" t="s">
        <v>7393</v>
      </c>
      <c r="C217" s="3">
        <v>31.0</v>
      </c>
      <c r="D217" s="3" t="s">
        <v>6645</v>
      </c>
      <c r="E217" s="3" t="s">
        <v>6646</v>
      </c>
      <c r="F217" s="3" t="s">
        <v>6646</v>
      </c>
      <c r="G217" s="3" t="s">
        <v>6645</v>
      </c>
      <c r="H217" s="3" t="s">
        <v>6645</v>
      </c>
      <c r="I217" s="3" t="s">
        <v>6645</v>
      </c>
      <c r="J217" s="3">
        <v>2.0</v>
      </c>
      <c r="K217" s="3">
        <v>3.0</v>
      </c>
      <c r="L217" s="3">
        <v>0.0</v>
      </c>
      <c r="M217" s="3">
        <v>0.0</v>
      </c>
      <c r="N217" s="3">
        <v>6833.3505</v>
      </c>
      <c r="O217" s="3">
        <v>886.0</v>
      </c>
      <c r="P217" s="3" t="e">
        <v>#N/A</v>
      </c>
      <c r="Q217" s="3">
        <v>59.0</v>
      </c>
      <c r="R217" s="3">
        <v>57.0</v>
      </c>
      <c r="S217" s="3">
        <v>60.0</v>
      </c>
      <c r="T217" s="3">
        <v>60.0</v>
      </c>
      <c r="U217" s="3">
        <v>55.0</v>
      </c>
      <c r="V217" s="3">
        <v>55.0</v>
      </c>
      <c r="W217" s="3">
        <v>59.0</v>
      </c>
      <c r="X217" s="3">
        <v>54.0</v>
      </c>
      <c r="Y217" s="3">
        <v>46.0</v>
      </c>
      <c r="Z217" s="3">
        <v>67.0</v>
      </c>
      <c r="AA217" s="3">
        <v>48.0</v>
      </c>
      <c r="AB217" s="3">
        <v>50.0</v>
      </c>
      <c r="AC217" s="3">
        <v>51.0</v>
      </c>
      <c r="AD217" s="3">
        <v>60.0</v>
      </c>
      <c r="AE217" s="3">
        <v>65.0</v>
      </c>
      <c r="AF217" s="3">
        <v>87.0</v>
      </c>
      <c r="AG217" s="3">
        <v>71.0</v>
      </c>
      <c r="AH217" s="3">
        <v>38.0</v>
      </c>
      <c r="AI217" s="3">
        <v>64.0</v>
      </c>
      <c r="AJ217" s="3">
        <v>68.0</v>
      </c>
      <c r="AK217" s="3">
        <v>54.0</v>
      </c>
      <c r="AL217" s="3">
        <v>62.0</v>
      </c>
      <c r="AM217" s="3">
        <v>81.0</v>
      </c>
      <c r="AN217" s="3">
        <v>26.0</v>
      </c>
    </row>
    <row r="218" ht="14.25" customHeight="1">
      <c r="A218" s="3">
        <v>216.0</v>
      </c>
      <c r="B218" s="3" t="s">
        <v>7394</v>
      </c>
      <c r="C218" s="3">
        <v>30.0</v>
      </c>
      <c r="D218" s="3" t="s">
        <v>6645</v>
      </c>
      <c r="E218" s="3" t="s">
        <v>6646</v>
      </c>
      <c r="F218" s="3" t="s">
        <v>6646</v>
      </c>
      <c r="G218" s="3" t="s">
        <v>6645</v>
      </c>
      <c r="H218" s="3" t="s">
        <v>6645</v>
      </c>
      <c r="I218" s="3" t="s">
        <v>6646</v>
      </c>
      <c r="J218" s="3">
        <v>2.0</v>
      </c>
      <c r="K218" s="3">
        <v>2.0</v>
      </c>
      <c r="L218" s="3">
        <v>0.0</v>
      </c>
      <c r="M218" s="3">
        <v>0.0</v>
      </c>
      <c r="N218" s="3">
        <v>4439.6352</v>
      </c>
      <c r="O218" s="3">
        <v>387.0</v>
      </c>
      <c r="P218" s="3" t="e">
        <v>#N/A</v>
      </c>
      <c r="Q218" s="3">
        <v>51.0</v>
      </c>
      <c r="R218" s="3">
        <v>50.0</v>
      </c>
      <c r="S218" s="3">
        <v>52.0</v>
      </c>
      <c r="T218" s="3">
        <v>48.0</v>
      </c>
      <c r="U218" s="3">
        <v>48.0</v>
      </c>
      <c r="V218" s="3">
        <v>48.0</v>
      </c>
      <c r="W218" s="3">
        <v>59.0</v>
      </c>
      <c r="X218" s="3">
        <v>51.0</v>
      </c>
      <c r="Y218" s="3">
        <v>41.0</v>
      </c>
      <c r="Z218" s="3">
        <v>56.0</v>
      </c>
      <c r="AA218" s="3">
        <v>53.0</v>
      </c>
      <c r="AB218" s="3">
        <v>42.0</v>
      </c>
      <c r="AC218" s="3">
        <v>49.0</v>
      </c>
      <c r="AD218" s="3">
        <v>42.0</v>
      </c>
      <c r="AE218" s="3">
        <v>59.0</v>
      </c>
      <c r="AF218" s="3">
        <v>84.0</v>
      </c>
      <c r="AG218" s="3">
        <v>19.0</v>
      </c>
      <c r="AH218" s="3">
        <v>38.0</v>
      </c>
      <c r="AI218" s="3">
        <v>53.0</v>
      </c>
      <c r="AJ218" s="3">
        <v>58.0</v>
      </c>
      <c r="AK218" s="3">
        <v>53.0</v>
      </c>
      <c r="AL218" s="3">
        <v>33.0</v>
      </c>
      <c r="AM218" s="3">
        <v>67.0</v>
      </c>
      <c r="AN218" s="3">
        <v>65.0</v>
      </c>
    </row>
    <row r="219" ht="14.25" customHeight="1">
      <c r="A219" s="3">
        <v>217.0</v>
      </c>
      <c r="B219" s="3" t="s">
        <v>7395</v>
      </c>
      <c r="C219" s="3">
        <v>26.0</v>
      </c>
      <c r="D219" s="3" t="s">
        <v>6645</v>
      </c>
      <c r="E219" s="3" t="s">
        <v>6646</v>
      </c>
      <c r="F219" s="3" t="s">
        <v>6646</v>
      </c>
      <c r="G219" s="3" t="s">
        <v>6645</v>
      </c>
      <c r="H219" s="3" t="s">
        <v>6645</v>
      </c>
      <c r="I219" s="3" t="s">
        <v>6645</v>
      </c>
      <c r="J219" s="3">
        <v>2.0</v>
      </c>
      <c r="K219" s="3">
        <v>2.0</v>
      </c>
      <c r="L219" s="3">
        <v>0.0</v>
      </c>
      <c r="M219" s="3">
        <v>0.0</v>
      </c>
      <c r="N219" s="3">
        <v>3981.98</v>
      </c>
      <c r="O219" s="3">
        <v>497.0</v>
      </c>
      <c r="P219" s="3" t="e">
        <v>#N/A</v>
      </c>
      <c r="Q219" s="3">
        <v>46.0</v>
      </c>
      <c r="R219" s="3">
        <v>47.0</v>
      </c>
      <c r="S219" s="3">
        <v>50.0</v>
      </c>
      <c r="T219" s="3">
        <v>49.0</v>
      </c>
      <c r="U219" s="3">
        <v>50.0</v>
      </c>
      <c r="V219" s="3">
        <v>44.0</v>
      </c>
      <c r="W219" s="3">
        <v>56.0</v>
      </c>
      <c r="X219" s="3">
        <v>46.0</v>
      </c>
      <c r="Y219" s="3">
        <v>41.0</v>
      </c>
      <c r="Z219" s="3">
        <v>58.0</v>
      </c>
      <c r="AA219" s="3">
        <v>45.0</v>
      </c>
      <c r="AB219" s="3">
        <v>40.0</v>
      </c>
      <c r="AC219" s="3">
        <v>51.0</v>
      </c>
      <c r="AD219" s="3">
        <v>44.0</v>
      </c>
      <c r="AE219" s="3">
        <v>52.0</v>
      </c>
      <c r="AF219" s="3">
        <v>83.0</v>
      </c>
      <c r="AG219" s="3">
        <v>37.0</v>
      </c>
      <c r="AH219" s="3">
        <v>55.0</v>
      </c>
      <c r="AI219" s="3">
        <v>47.0</v>
      </c>
      <c r="AJ219" s="3">
        <v>53.0</v>
      </c>
      <c r="AK219" s="3">
        <v>24.0</v>
      </c>
      <c r="AL219" s="3">
        <v>15.0</v>
      </c>
      <c r="AM219" s="3">
        <v>74.0</v>
      </c>
      <c r="AN219" s="3">
        <v>43.0</v>
      </c>
    </row>
    <row r="220" ht="14.25" customHeight="1">
      <c r="A220" s="3">
        <v>218.0</v>
      </c>
      <c r="B220" s="3" t="s">
        <v>7396</v>
      </c>
      <c r="C220" s="3">
        <v>32.0</v>
      </c>
      <c r="D220" s="3" t="s">
        <v>6645</v>
      </c>
      <c r="E220" s="3" t="s">
        <v>6646</v>
      </c>
      <c r="F220" s="3" t="s">
        <v>6646</v>
      </c>
      <c r="G220" s="3" t="s">
        <v>6645</v>
      </c>
      <c r="H220" s="3" t="s">
        <v>6645</v>
      </c>
      <c r="I220" s="3" t="s">
        <v>6646</v>
      </c>
      <c r="J220" s="3">
        <v>2.0</v>
      </c>
      <c r="K220" s="3">
        <v>2.0</v>
      </c>
      <c r="L220" s="3">
        <v>0.0</v>
      </c>
      <c r="M220" s="3">
        <v>0.0</v>
      </c>
      <c r="N220" s="3">
        <v>3950.8552</v>
      </c>
      <c r="O220" s="3">
        <v>334.0</v>
      </c>
      <c r="P220" s="3" t="e">
        <v>#N/A</v>
      </c>
      <c r="Q220" s="3">
        <v>49.0</v>
      </c>
      <c r="R220" s="3">
        <v>52.0</v>
      </c>
      <c r="S220" s="3">
        <v>47.0</v>
      </c>
      <c r="T220" s="3">
        <v>44.0</v>
      </c>
      <c r="U220" s="3">
        <v>44.0</v>
      </c>
      <c r="V220" s="3">
        <v>44.0</v>
      </c>
      <c r="W220" s="3">
        <v>51.0</v>
      </c>
      <c r="X220" s="3">
        <v>47.0</v>
      </c>
      <c r="Y220" s="3">
        <v>46.0</v>
      </c>
      <c r="Z220" s="3">
        <v>52.0</v>
      </c>
      <c r="AA220" s="3">
        <v>47.0</v>
      </c>
      <c r="AB220" s="3">
        <v>45.0</v>
      </c>
      <c r="AC220" s="3">
        <v>39.0</v>
      </c>
      <c r="AD220" s="3">
        <v>46.0</v>
      </c>
      <c r="AE220" s="3">
        <v>57.0</v>
      </c>
      <c r="AF220" s="3">
        <v>73.0</v>
      </c>
      <c r="AG220" s="3">
        <v>41.0</v>
      </c>
      <c r="AH220" s="3">
        <v>57.0</v>
      </c>
      <c r="AI220" s="3">
        <v>49.0</v>
      </c>
      <c r="AJ220" s="3">
        <v>38.0</v>
      </c>
      <c r="AK220" s="3">
        <v>59.0</v>
      </c>
      <c r="AL220" s="3">
        <v>40.0</v>
      </c>
      <c r="AM220" s="3">
        <v>82.0</v>
      </c>
      <c r="AN220" s="3">
        <v>38.0</v>
      </c>
    </row>
    <row r="221" ht="14.25" customHeight="1">
      <c r="A221" s="3">
        <v>219.0</v>
      </c>
      <c r="B221" s="3" t="s">
        <v>7397</v>
      </c>
      <c r="C221" s="3">
        <v>33.0</v>
      </c>
      <c r="D221" s="3" t="s">
        <v>6645</v>
      </c>
      <c r="E221" s="3" t="s">
        <v>6646</v>
      </c>
      <c r="F221" s="3" t="s">
        <v>6646</v>
      </c>
      <c r="G221" s="3" t="s">
        <v>6645</v>
      </c>
      <c r="H221" s="3" t="s">
        <v>6645</v>
      </c>
      <c r="I221" s="3" t="s">
        <v>6645</v>
      </c>
      <c r="J221" s="3">
        <v>2.0</v>
      </c>
      <c r="K221" s="3">
        <v>2.0</v>
      </c>
      <c r="L221" s="3">
        <v>0.0</v>
      </c>
      <c r="M221" s="3">
        <v>0.0</v>
      </c>
      <c r="N221" s="3">
        <v>4351.38</v>
      </c>
      <c r="O221" s="3">
        <v>311.0</v>
      </c>
      <c r="P221" s="3" t="e">
        <v>#N/A</v>
      </c>
      <c r="Q221" s="3">
        <v>52.0</v>
      </c>
      <c r="R221" s="3">
        <v>46.0</v>
      </c>
      <c r="S221" s="3">
        <v>47.0</v>
      </c>
      <c r="T221" s="3">
        <v>52.0</v>
      </c>
      <c r="U221" s="3">
        <v>47.0</v>
      </c>
      <c r="V221" s="3">
        <v>46.0</v>
      </c>
      <c r="W221" s="3">
        <v>52.0</v>
      </c>
      <c r="X221" s="3">
        <v>43.0</v>
      </c>
      <c r="Y221" s="3">
        <v>47.0</v>
      </c>
      <c r="Z221" s="3">
        <v>57.0</v>
      </c>
      <c r="AA221" s="3">
        <v>45.0</v>
      </c>
      <c r="AB221" s="3">
        <v>48.0</v>
      </c>
      <c r="AC221" s="3">
        <v>49.0</v>
      </c>
      <c r="AD221" s="3">
        <v>39.0</v>
      </c>
      <c r="AE221" s="3">
        <v>58.0</v>
      </c>
      <c r="AF221" s="3">
        <v>68.0</v>
      </c>
      <c r="AG221" s="3">
        <v>11.0</v>
      </c>
      <c r="AH221" s="3">
        <v>31.0</v>
      </c>
      <c r="AI221" s="3">
        <v>65.0</v>
      </c>
      <c r="AJ221" s="3">
        <v>49.0</v>
      </c>
      <c r="AK221" s="3">
        <v>49.0</v>
      </c>
      <c r="AL221" s="3">
        <v>37.0</v>
      </c>
      <c r="AM221" s="3">
        <v>79.0</v>
      </c>
      <c r="AN221" s="3">
        <v>49.0</v>
      </c>
    </row>
    <row r="222" ht="14.25" customHeight="1">
      <c r="A222" s="3">
        <v>220.0</v>
      </c>
      <c r="B222" s="3" t="s">
        <v>7398</v>
      </c>
      <c r="C222" s="3">
        <v>20.0</v>
      </c>
      <c r="D222" s="3" t="s">
        <v>6645</v>
      </c>
      <c r="E222" s="3" t="s">
        <v>6646</v>
      </c>
      <c r="F222" s="3" t="s">
        <v>6646</v>
      </c>
      <c r="G222" s="3" t="s">
        <v>6645</v>
      </c>
      <c r="H222" s="3" t="s">
        <v>6645</v>
      </c>
      <c r="I222" s="3" t="s">
        <v>6645</v>
      </c>
      <c r="J222" s="3">
        <v>2.0</v>
      </c>
      <c r="K222" s="3">
        <v>1.0</v>
      </c>
      <c r="L222" s="3">
        <v>0.0</v>
      </c>
      <c r="M222" s="3">
        <v>0.0</v>
      </c>
      <c r="N222" s="3">
        <v>1568.1878</v>
      </c>
      <c r="O222" s="3">
        <v>225.0</v>
      </c>
      <c r="P222" s="3" t="e">
        <v>#N/A</v>
      </c>
      <c r="Q222" s="3">
        <v>46.0</v>
      </c>
      <c r="R222" s="3">
        <v>38.0</v>
      </c>
      <c r="S222" s="3">
        <v>42.0</v>
      </c>
      <c r="T222" s="3">
        <v>38.0</v>
      </c>
      <c r="U222" s="3">
        <v>46.0</v>
      </c>
      <c r="V222" s="3">
        <v>46.0</v>
      </c>
      <c r="W222" s="3">
        <v>47.0</v>
      </c>
      <c r="X222" s="3">
        <v>28.0</v>
      </c>
      <c r="Y222" s="3">
        <v>34.0</v>
      </c>
      <c r="Z222" s="3">
        <v>47.0</v>
      </c>
      <c r="AA222" s="3">
        <v>44.0</v>
      </c>
      <c r="AB222" s="3">
        <v>42.0</v>
      </c>
      <c r="AC222" s="3">
        <v>41.0</v>
      </c>
      <c r="AD222" s="3">
        <v>31.0</v>
      </c>
      <c r="AE222" s="3">
        <v>45.0</v>
      </c>
      <c r="AF222" s="3">
        <v>68.0</v>
      </c>
      <c r="AG222" s="3">
        <v>46.0</v>
      </c>
      <c r="AH222" s="3">
        <v>13.0</v>
      </c>
      <c r="AI222" s="3">
        <v>42.0</v>
      </c>
      <c r="AJ222" s="3">
        <v>47.0</v>
      </c>
      <c r="AK222" s="3">
        <v>57.0</v>
      </c>
      <c r="AL222" s="3">
        <v>17.0</v>
      </c>
      <c r="AM222" s="3">
        <v>64.0</v>
      </c>
      <c r="AN222" s="3">
        <v>38.0</v>
      </c>
    </row>
    <row r="223" ht="14.25" customHeight="1">
      <c r="A223" s="3">
        <v>221.0</v>
      </c>
      <c r="B223" s="3" t="s">
        <v>7399</v>
      </c>
      <c r="C223" s="3">
        <v>26.0</v>
      </c>
      <c r="D223" s="3" t="s">
        <v>6645</v>
      </c>
      <c r="E223" s="3" t="s">
        <v>6646</v>
      </c>
      <c r="F223" s="3" t="s">
        <v>6646</v>
      </c>
      <c r="G223" s="3" t="s">
        <v>6645</v>
      </c>
      <c r="H223" s="3" t="s">
        <v>6645</v>
      </c>
      <c r="I223" s="3" t="s">
        <v>6646</v>
      </c>
      <c r="J223" s="3">
        <v>2.0</v>
      </c>
      <c r="K223" s="3">
        <v>1.0</v>
      </c>
      <c r="L223" s="3">
        <v>0.0</v>
      </c>
      <c r="M223" s="3">
        <v>0.0</v>
      </c>
      <c r="N223" s="3">
        <v>1704.549</v>
      </c>
      <c r="O223" s="3">
        <v>228.0</v>
      </c>
      <c r="P223" s="3" t="e">
        <v>#N/A</v>
      </c>
      <c r="Q223" s="3">
        <v>38.0</v>
      </c>
      <c r="R223" s="3">
        <v>41.0</v>
      </c>
      <c r="S223" s="3">
        <v>40.0</v>
      </c>
      <c r="T223" s="3">
        <v>38.0</v>
      </c>
      <c r="U223" s="3">
        <v>42.0</v>
      </c>
      <c r="V223" s="3">
        <v>38.0</v>
      </c>
      <c r="W223" s="3">
        <v>50.0</v>
      </c>
      <c r="X223" s="3">
        <v>32.0</v>
      </c>
      <c r="Y223" s="3">
        <v>41.0</v>
      </c>
      <c r="Z223" s="3">
        <v>47.0</v>
      </c>
      <c r="AA223" s="3">
        <v>33.0</v>
      </c>
      <c r="AB223" s="3">
        <v>30.0</v>
      </c>
      <c r="AC223" s="3">
        <v>46.0</v>
      </c>
      <c r="AD223" s="3">
        <v>45.0</v>
      </c>
      <c r="AE223" s="3">
        <v>51.0</v>
      </c>
      <c r="AF223" s="3">
        <v>73.0</v>
      </c>
      <c r="AG223" s="3">
        <v>38.0</v>
      </c>
      <c r="AH223" s="3">
        <v>19.0</v>
      </c>
      <c r="AI223" s="3">
        <v>43.0</v>
      </c>
      <c r="AJ223" s="3">
        <v>48.0</v>
      </c>
      <c r="AK223" s="3">
        <v>48.0</v>
      </c>
      <c r="AL223" s="3">
        <v>7.0</v>
      </c>
      <c r="AM223" s="3">
        <v>72.0</v>
      </c>
      <c r="AN223" s="3">
        <v>45.0</v>
      </c>
    </row>
    <row r="224" ht="14.25" customHeight="1">
      <c r="A224" s="3">
        <v>222.0</v>
      </c>
      <c r="B224" s="3" t="s">
        <v>7400</v>
      </c>
      <c r="C224" s="3">
        <v>20.0</v>
      </c>
      <c r="D224" s="3" t="s">
        <v>6645</v>
      </c>
      <c r="E224" s="3" t="s">
        <v>6646</v>
      </c>
      <c r="F224" s="3" t="s">
        <v>6646</v>
      </c>
      <c r="G224" s="3" t="s">
        <v>6645</v>
      </c>
      <c r="H224" s="3" t="s">
        <v>6645</v>
      </c>
      <c r="I224" s="3" t="s">
        <v>6645</v>
      </c>
      <c r="J224" s="3">
        <v>2.0</v>
      </c>
      <c r="K224" s="3">
        <v>1.0</v>
      </c>
      <c r="L224" s="3">
        <v>0.0</v>
      </c>
      <c r="M224" s="3">
        <v>0.0</v>
      </c>
      <c r="N224" s="3">
        <v>1641.56</v>
      </c>
      <c r="O224" s="3">
        <v>206.0</v>
      </c>
      <c r="P224" s="3" t="e">
        <v>#N/A</v>
      </c>
      <c r="Q224" s="3">
        <v>43.0</v>
      </c>
      <c r="R224" s="3">
        <v>45.0</v>
      </c>
      <c r="S224" s="3">
        <v>43.0</v>
      </c>
      <c r="T224" s="3">
        <v>39.0</v>
      </c>
      <c r="U224" s="3">
        <v>41.0</v>
      </c>
      <c r="V224" s="3">
        <v>46.0</v>
      </c>
      <c r="W224" s="3">
        <v>54.0</v>
      </c>
      <c r="X224" s="3">
        <v>37.0</v>
      </c>
      <c r="Y224" s="3">
        <v>39.0</v>
      </c>
      <c r="Z224" s="3">
        <v>45.0</v>
      </c>
      <c r="AA224" s="3">
        <v>34.0</v>
      </c>
      <c r="AB224" s="3">
        <v>40.0</v>
      </c>
      <c r="AC224" s="3">
        <v>38.0</v>
      </c>
      <c r="AD224" s="3">
        <v>39.0</v>
      </c>
      <c r="AE224" s="3">
        <v>44.0</v>
      </c>
      <c r="AF224" s="3">
        <v>70.0</v>
      </c>
      <c r="AG224" s="3">
        <v>20.0</v>
      </c>
      <c r="AH224" s="3">
        <v>41.0</v>
      </c>
      <c r="AI224" s="3">
        <v>54.0</v>
      </c>
      <c r="AJ224" s="3">
        <v>45.0</v>
      </c>
      <c r="AK224" s="3">
        <v>52.0</v>
      </c>
      <c r="AL224" s="3">
        <v>50.0</v>
      </c>
      <c r="AM224" s="3">
        <v>74.0</v>
      </c>
      <c r="AN224" s="3">
        <v>11.0</v>
      </c>
    </row>
    <row r="225" ht="14.25" customHeight="1">
      <c r="A225" s="3">
        <v>223.0</v>
      </c>
      <c r="B225" s="3" t="s">
        <v>7401</v>
      </c>
      <c r="C225" s="3">
        <v>27.0</v>
      </c>
      <c r="D225" s="3" t="s">
        <v>6645</v>
      </c>
      <c r="E225" s="3" t="s">
        <v>6646</v>
      </c>
      <c r="F225" s="3" t="s">
        <v>6646</v>
      </c>
      <c r="G225" s="3" t="s">
        <v>6645</v>
      </c>
      <c r="H225" s="3" t="s">
        <v>6645</v>
      </c>
      <c r="I225" s="3" t="s">
        <v>6646</v>
      </c>
      <c r="J225" s="3">
        <v>2.0</v>
      </c>
      <c r="K225" s="3">
        <v>1.0</v>
      </c>
      <c r="L225" s="3">
        <v>0.0</v>
      </c>
      <c r="M225" s="3">
        <v>0.0</v>
      </c>
      <c r="N225" s="3">
        <v>1579.918</v>
      </c>
      <c r="O225" s="3">
        <v>239.0</v>
      </c>
      <c r="P225" s="3" t="e">
        <v>#N/A</v>
      </c>
      <c r="Q225" s="3">
        <v>38.0</v>
      </c>
      <c r="R225" s="3">
        <v>40.0</v>
      </c>
      <c r="S225" s="3">
        <v>39.0</v>
      </c>
      <c r="T225" s="3">
        <v>44.0</v>
      </c>
      <c r="U225" s="3">
        <v>42.0</v>
      </c>
      <c r="V225" s="3">
        <v>45.0</v>
      </c>
      <c r="W225" s="3">
        <v>46.0</v>
      </c>
      <c r="X225" s="3">
        <v>41.0</v>
      </c>
      <c r="Y225" s="3">
        <v>33.0</v>
      </c>
      <c r="Z225" s="3">
        <v>50.0</v>
      </c>
      <c r="AA225" s="3">
        <v>45.0</v>
      </c>
      <c r="AB225" s="3">
        <v>37.0</v>
      </c>
      <c r="AC225" s="3">
        <v>37.0</v>
      </c>
      <c r="AD225" s="3">
        <v>46.0</v>
      </c>
      <c r="AE225" s="3">
        <v>54.0</v>
      </c>
      <c r="AF225" s="3">
        <v>75.0</v>
      </c>
      <c r="AG225" s="3">
        <v>35.0</v>
      </c>
      <c r="AH225" s="3">
        <v>14.0</v>
      </c>
      <c r="AI225" s="3">
        <v>60.0</v>
      </c>
      <c r="AJ225" s="3">
        <v>44.0</v>
      </c>
      <c r="AK225" s="3">
        <v>51.0</v>
      </c>
      <c r="AL225" s="3">
        <v>29.0</v>
      </c>
      <c r="AM225" s="3">
        <v>67.0</v>
      </c>
      <c r="AN225" s="3">
        <v>48.0</v>
      </c>
    </row>
    <row r="226" ht="14.25" customHeight="1">
      <c r="A226" s="3">
        <v>224.0</v>
      </c>
      <c r="B226" s="3" t="s">
        <v>7402</v>
      </c>
      <c r="C226" s="3">
        <v>22.0</v>
      </c>
      <c r="D226" s="3" t="s">
        <v>6645</v>
      </c>
      <c r="E226" s="3" t="s">
        <v>6646</v>
      </c>
      <c r="F226" s="3" t="s">
        <v>6646</v>
      </c>
      <c r="G226" s="3" t="s">
        <v>6645</v>
      </c>
      <c r="H226" s="3" t="s">
        <v>6645</v>
      </c>
      <c r="I226" s="3" t="s">
        <v>6645</v>
      </c>
      <c r="J226" s="3">
        <v>2.0</v>
      </c>
      <c r="K226" s="3">
        <v>1.0</v>
      </c>
      <c r="L226" s="3">
        <v>0.0</v>
      </c>
      <c r="M226" s="3">
        <v>0.0</v>
      </c>
      <c r="N226" s="3">
        <v>1839.7988</v>
      </c>
      <c r="O226" s="3">
        <v>169.0</v>
      </c>
      <c r="P226" s="3" t="e">
        <v>#N/A</v>
      </c>
      <c r="Q226" s="3">
        <v>39.0</v>
      </c>
      <c r="R226" s="3">
        <v>43.0</v>
      </c>
      <c r="S226" s="3">
        <v>41.0</v>
      </c>
      <c r="T226" s="3">
        <v>41.0</v>
      </c>
      <c r="U226" s="3">
        <v>43.0</v>
      </c>
      <c r="V226" s="3">
        <v>41.0</v>
      </c>
      <c r="W226" s="3">
        <v>48.0</v>
      </c>
      <c r="X226" s="3">
        <v>40.0</v>
      </c>
      <c r="Y226" s="3">
        <v>46.0</v>
      </c>
      <c r="Z226" s="3">
        <v>50.0</v>
      </c>
      <c r="AA226" s="3">
        <v>30.0</v>
      </c>
      <c r="AB226" s="3">
        <v>35.0</v>
      </c>
      <c r="AC226" s="3">
        <v>38.0</v>
      </c>
      <c r="AD226" s="3">
        <v>28.0</v>
      </c>
      <c r="AE226" s="3">
        <v>55.0</v>
      </c>
      <c r="AF226" s="3">
        <v>70.0</v>
      </c>
      <c r="AG226" s="3">
        <v>28.0</v>
      </c>
      <c r="AH226" s="3">
        <v>39.0</v>
      </c>
      <c r="AI226" s="3">
        <v>42.0</v>
      </c>
      <c r="AJ226" s="3">
        <v>35.0</v>
      </c>
      <c r="AK226" s="3">
        <v>39.0</v>
      </c>
      <c r="AL226" s="3">
        <v>61.0</v>
      </c>
      <c r="AM226" s="3">
        <v>69.0</v>
      </c>
      <c r="AN226" s="3">
        <v>48.0</v>
      </c>
    </row>
    <row r="227" ht="14.25" customHeight="1">
      <c r="A227" s="3">
        <v>225.0</v>
      </c>
      <c r="B227" s="3" t="s">
        <v>7403</v>
      </c>
      <c r="C227" s="3">
        <v>20.0</v>
      </c>
      <c r="D227" s="3" t="s">
        <v>6645</v>
      </c>
      <c r="E227" s="3" t="s">
        <v>6646</v>
      </c>
      <c r="F227" s="3" t="s">
        <v>6646</v>
      </c>
      <c r="G227" s="3" t="s">
        <v>6645</v>
      </c>
      <c r="H227" s="3" t="s">
        <v>6645</v>
      </c>
      <c r="I227" s="3" t="s">
        <v>6646</v>
      </c>
      <c r="J227" s="3">
        <v>2.0</v>
      </c>
      <c r="K227" s="3">
        <v>0.0</v>
      </c>
      <c r="L227" s="3">
        <v>0.0</v>
      </c>
      <c r="M227" s="3">
        <v>0.0</v>
      </c>
      <c r="N227" s="3">
        <v>427.045</v>
      </c>
      <c r="O227" s="3">
        <v>94.0</v>
      </c>
      <c r="P227" s="3" t="e">
        <v>#N/A</v>
      </c>
      <c r="Q227" s="3">
        <v>34.0</v>
      </c>
      <c r="R227" s="3">
        <v>38.0</v>
      </c>
      <c r="S227" s="3">
        <v>32.0</v>
      </c>
      <c r="T227" s="3">
        <v>36.0</v>
      </c>
      <c r="U227" s="3">
        <v>39.0</v>
      </c>
      <c r="V227" s="3">
        <v>39.0</v>
      </c>
      <c r="W227" s="3">
        <v>45.0</v>
      </c>
      <c r="X227" s="3">
        <v>28.0</v>
      </c>
      <c r="Y227" s="3">
        <v>26.0</v>
      </c>
      <c r="Z227" s="3">
        <v>46.0</v>
      </c>
      <c r="AA227" s="3">
        <v>31.0</v>
      </c>
      <c r="AB227" s="3">
        <v>35.0</v>
      </c>
      <c r="AC227" s="3">
        <v>37.0</v>
      </c>
      <c r="AD227" s="3">
        <v>37.0</v>
      </c>
      <c r="AE227" s="3">
        <v>40.0</v>
      </c>
      <c r="AF227" s="3">
        <v>68.0</v>
      </c>
      <c r="AG227" s="3">
        <v>35.0</v>
      </c>
      <c r="AH227" s="3">
        <v>35.0</v>
      </c>
      <c r="AI227" s="3">
        <v>27.0</v>
      </c>
      <c r="AJ227" s="3">
        <v>46.0</v>
      </c>
      <c r="AK227" s="3">
        <v>1.0</v>
      </c>
      <c r="AL227" s="3">
        <v>44.0</v>
      </c>
      <c r="AM227" s="3">
        <v>63.0</v>
      </c>
      <c r="AN227" s="3">
        <v>39.0</v>
      </c>
    </row>
    <row r="228" ht="14.25" customHeight="1">
      <c r="A228" s="3">
        <v>226.0</v>
      </c>
      <c r="B228" s="3" t="s">
        <v>7404</v>
      </c>
      <c r="C228" s="3">
        <v>15.0</v>
      </c>
      <c r="D228" s="3" t="s">
        <v>6645</v>
      </c>
      <c r="E228" s="3" t="s">
        <v>6646</v>
      </c>
      <c r="F228" s="3" t="s">
        <v>6646</v>
      </c>
      <c r="G228" s="3" t="s">
        <v>6645</v>
      </c>
      <c r="H228" s="3" t="s">
        <v>6645</v>
      </c>
      <c r="I228" s="3" t="s">
        <v>6646</v>
      </c>
      <c r="J228" s="3">
        <v>2.0</v>
      </c>
      <c r="K228" s="3">
        <v>0.0</v>
      </c>
      <c r="L228" s="3">
        <v>0.0</v>
      </c>
      <c r="M228" s="3">
        <v>0.0</v>
      </c>
      <c r="N228" s="3">
        <v>503.85604</v>
      </c>
      <c r="O228" s="3">
        <v>124.0</v>
      </c>
      <c r="P228" s="3" t="e">
        <v>#N/A</v>
      </c>
      <c r="Q228" s="3">
        <v>32.0</v>
      </c>
      <c r="R228" s="3">
        <v>38.0</v>
      </c>
      <c r="S228" s="3">
        <v>31.0</v>
      </c>
      <c r="T228" s="3">
        <v>35.0</v>
      </c>
      <c r="U228" s="3">
        <v>37.0</v>
      </c>
      <c r="V228" s="3">
        <v>39.0</v>
      </c>
      <c r="W228" s="3">
        <v>40.0</v>
      </c>
      <c r="X228" s="3">
        <v>23.0</v>
      </c>
      <c r="Y228" s="3">
        <v>30.0</v>
      </c>
      <c r="Z228" s="3">
        <v>45.0</v>
      </c>
      <c r="AA228" s="3">
        <v>23.0</v>
      </c>
      <c r="AB228" s="3">
        <v>28.0</v>
      </c>
      <c r="AC228" s="3">
        <v>35.0</v>
      </c>
      <c r="AD228" s="3">
        <v>35.0</v>
      </c>
      <c r="AE228" s="3">
        <v>47.0</v>
      </c>
      <c r="AF228" s="3">
        <v>65.0</v>
      </c>
      <c r="AG228" s="3">
        <v>54.0</v>
      </c>
      <c r="AH228" s="3">
        <v>15.0</v>
      </c>
      <c r="AI228" s="3">
        <v>35.0</v>
      </c>
      <c r="AJ228" s="3">
        <v>57.0</v>
      </c>
      <c r="AK228" s="3">
        <v>55.0</v>
      </c>
      <c r="AL228" s="3">
        <v>14.0</v>
      </c>
      <c r="AM228" s="3">
        <v>71.0</v>
      </c>
      <c r="AN228" s="3">
        <v>54.0</v>
      </c>
    </row>
    <row r="229" ht="14.25" customHeight="1">
      <c r="A229" s="3">
        <v>227.0</v>
      </c>
      <c r="B229" s="3" t="s">
        <v>7405</v>
      </c>
      <c r="C229" s="3">
        <v>18.0</v>
      </c>
      <c r="D229" s="3" t="s">
        <v>6645</v>
      </c>
      <c r="E229" s="3" t="s">
        <v>6646</v>
      </c>
      <c r="F229" s="3" t="s">
        <v>6646</v>
      </c>
      <c r="G229" s="3" t="s">
        <v>6645</v>
      </c>
      <c r="H229" s="3" t="s">
        <v>6645</v>
      </c>
      <c r="I229" s="3" t="s">
        <v>6645</v>
      </c>
      <c r="J229" s="3">
        <v>2.0</v>
      </c>
      <c r="K229" s="3">
        <v>0.0</v>
      </c>
      <c r="L229" s="3">
        <v>0.0</v>
      </c>
      <c r="M229" s="3">
        <v>0.0</v>
      </c>
      <c r="N229" s="3">
        <v>555.342</v>
      </c>
      <c r="O229" s="3">
        <v>122.0</v>
      </c>
      <c r="P229" s="3" t="e">
        <v>#N/A</v>
      </c>
      <c r="Q229" s="3">
        <v>37.0</v>
      </c>
      <c r="R229" s="3">
        <v>30.0</v>
      </c>
      <c r="S229" s="3">
        <v>37.0</v>
      </c>
      <c r="T229" s="3">
        <v>34.0</v>
      </c>
      <c r="U229" s="3">
        <v>37.0</v>
      </c>
      <c r="V229" s="3">
        <v>35.0</v>
      </c>
      <c r="W229" s="3">
        <v>36.0</v>
      </c>
      <c r="X229" s="3">
        <v>29.0</v>
      </c>
      <c r="Y229" s="3">
        <v>30.0</v>
      </c>
      <c r="Z229" s="3">
        <v>37.0</v>
      </c>
      <c r="AA229" s="3">
        <v>27.0</v>
      </c>
      <c r="AB229" s="3">
        <v>32.0</v>
      </c>
      <c r="AC229" s="3">
        <v>25.0</v>
      </c>
      <c r="AD229" s="3">
        <v>30.0</v>
      </c>
      <c r="AE229" s="3">
        <v>39.0</v>
      </c>
      <c r="AF229" s="3">
        <v>66.0</v>
      </c>
      <c r="AG229" s="3">
        <v>54.0</v>
      </c>
      <c r="AH229" s="3">
        <v>49.0</v>
      </c>
      <c r="AI229" s="3">
        <v>32.0</v>
      </c>
      <c r="AJ229" s="3">
        <v>30.0</v>
      </c>
      <c r="AK229" s="3">
        <v>19.0</v>
      </c>
      <c r="AL229" s="3">
        <v>38.0</v>
      </c>
      <c r="AM229" s="3">
        <v>63.0</v>
      </c>
      <c r="AN229" s="3">
        <v>48.0</v>
      </c>
    </row>
    <row r="230" ht="14.25" customHeight="1">
      <c r="A230" s="3">
        <v>228.0</v>
      </c>
      <c r="B230" s="3" t="s">
        <v>7406</v>
      </c>
      <c r="C230" s="3">
        <v>19.0</v>
      </c>
      <c r="D230" s="3" t="s">
        <v>6645</v>
      </c>
      <c r="E230" s="3" t="s">
        <v>6646</v>
      </c>
      <c r="F230" s="3" t="s">
        <v>6646</v>
      </c>
      <c r="G230" s="3" t="s">
        <v>6645</v>
      </c>
      <c r="H230" s="3" t="s">
        <v>6645</v>
      </c>
      <c r="I230" s="3" t="s">
        <v>6645</v>
      </c>
      <c r="J230" s="3">
        <v>2.0</v>
      </c>
      <c r="K230" s="3">
        <v>0.0</v>
      </c>
      <c r="L230" s="3">
        <v>0.0</v>
      </c>
      <c r="M230" s="3">
        <v>0.0</v>
      </c>
      <c r="N230" s="3">
        <v>426.21545</v>
      </c>
      <c r="O230" s="3">
        <v>104.0</v>
      </c>
      <c r="P230" s="3" t="e">
        <v>#N/A</v>
      </c>
      <c r="Q230" s="3">
        <v>38.0</v>
      </c>
      <c r="R230" s="3">
        <v>36.0</v>
      </c>
      <c r="S230" s="3">
        <v>37.0</v>
      </c>
      <c r="T230" s="3">
        <v>34.0</v>
      </c>
      <c r="U230" s="3">
        <v>30.0</v>
      </c>
      <c r="V230" s="3">
        <v>35.0</v>
      </c>
      <c r="W230" s="3">
        <v>36.0</v>
      </c>
      <c r="X230" s="3">
        <v>39.0</v>
      </c>
      <c r="Y230" s="3">
        <v>26.0</v>
      </c>
      <c r="Z230" s="3">
        <v>42.0</v>
      </c>
      <c r="AA230" s="3">
        <v>34.0</v>
      </c>
      <c r="AB230" s="3">
        <v>28.0</v>
      </c>
      <c r="AC230" s="3">
        <v>28.0</v>
      </c>
      <c r="AD230" s="3">
        <v>39.0</v>
      </c>
      <c r="AE230" s="3">
        <v>45.0</v>
      </c>
      <c r="AF230" s="3">
        <v>66.0</v>
      </c>
      <c r="AG230" s="3">
        <v>34.0</v>
      </c>
      <c r="AH230" s="3">
        <v>35.0</v>
      </c>
      <c r="AI230" s="3">
        <v>42.0</v>
      </c>
      <c r="AJ230" s="3">
        <v>42.0</v>
      </c>
      <c r="AK230" s="3">
        <v>31.0</v>
      </c>
      <c r="AL230" s="3">
        <v>33.0</v>
      </c>
      <c r="AM230" s="3">
        <v>75.0</v>
      </c>
      <c r="AN230" s="3">
        <v>35.0</v>
      </c>
    </row>
    <row r="231" ht="14.25" customHeight="1">
      <c r="A231" s="3">
        <v>229.0</v>
      </c>
      <c r="B231" s="3" t="s">
        <v>7407</v>
      </c>
      <c r="C231" s="3">
        <v>22.0</v>
      </c>
      <c r="D231" s="3" t="s">
        <v>6645</v>
      </c>
      <c r="E231" s="3" t="s">
        <v>6646</v>
      </c>
      <c r="F231" s="3" t="s">
        <v>6646</v>
      </c>
      <c r="G231" s="3" t="s">
        <v>6645</v>
      </c>
      <c r="H231" s="3" t="s">
        <v>6645</v>
      </c>
      <c r="I231" s="3" t="s">
        <v>6645</v>
      </c>
      <c r="J231" s="3">
        <v>2.0</v>
      </c>
      <c r="K231" s="3">
        <v>0.0</v>
      </c>
      <c r="L231" s="3">
        <v>0.0</v>
      </c>
      <c r="M231" s="3">
        <v>0.0</v>
      </c>
      <c r="N231" s="3">
        <v>444.93545</v>
      </c>
      <c r="O231" s="3">
        <v>96.0</v>
      </c>
      <c r="P231" s="3" t="e">
        <v>#N/A</v>
      </c>
      <c r="Q231" s="3">
        <v>31.0</v>
      </c>
      <c r="R231" s="3">
        <v>37.0</v>
      </c>
      <c r="S231" s="3">
        <v>39.0</v>
      </c>
      <c r="T231" s="3">
        <v>38.0</v>
      </c>
      <c r="U231" s="3">
        <v>30.0</v>
      </c>
      <c r="V231" s="3">
        <v>32.0</v>
      </c>
      <c r="W231" s="3">
        <v>41.0</v>
      </c>
      <c r="X231" s="3">
        <v>23.0</v>
      </c>
      <c r="Y231" s="3">
        <v>31.0</v>
      </c>
      <c r="Z231" s="3">
        <v>38.0</v>
      </c>
      <c r="AA231" s="3">
        <v>29.0</v>
      </c>
      <c r="AB231" s="3">
        <v>27.0</v>
      </c>
      <c r="AC231" s="3">
        <v>30.0</v>
      </c>
      <c r="AD231" s="3">
        <v>39.0</v>
      </c>
      <c r="AE231" s="3">
        <v>44.0</v>
      </c>
      <c r="AF231" s="3">
        <v>69.0</v>
      </c>
      <c r="AG231" s="3">
        <v>37.0</v>
      </c>
      <c r="AH231" s="3">
        <v>14.0</v>
      </c>
      <c r="AI231" s="3">
        <v>40.0</v>
      </c>
      <c r="AJ231" s="3">
        <v>53.0</v>
      </c>
      <c r="AK231" s="3">
        <v>29.0</v>
      </c>
      <c r="AL231" s="3">
        <v>40.0</v>
      </c>
      <c r="AM231" s="3">
        <v>66.0</v>
      </c>
      <c r="AN231" s="3">
        <v>35.0</v>
      </c>
    </row>
    <row r="232" ht="14.25" customHeight="1">
      <c r="A232" s="3">
        <v>230.0</v>
      </c>
      <c r="B232" s="3" t="s">
        <v>7408</v>
      </c>
      <c r="C232" s="3">
        <v>39.0</v>
      </c>
      <c r="D232" s="3" t="s">
        <v>6645</v>
      </c>
      <c r="E232" s="3" t="s">
        <v>6646</v>
      </c>
      <c r="F232" s="3" t="s">
        <v>6646</v>
      </c>
      <c r="G232" s="3" t="s">
        <v>6645</v>
      </c>
      <c r="H232" s="3" t="s">
        <v>6645</v>
      </c>
      <c r="I232" s="3" t="s">
        <v>6645</v>
      </c>
      <c r="J232" s="3">
        <v>3.0</v>
      </c>
      <c r="K232" s="3">
        <v>4.0</v>
      </c>
      <c r="L232" s="3">
        <v>0.0</v>
      </c>
      <c r="M232" s="3">
        <v>0.0</v>
      </c>
      <c r="N232" s="3">
        <v>13558.463</v>
      </c>
      <c r="O232" s="3">
        <v>1935.0</v>
      </c>
      <c r="P232" s="3" t="e">
        <v>#N/A</v>
      </c>
      <c r="Q232" s="3">
        <v>84.0</v>
      </c>
      <c r="R232" s="3">
        <v>62.0</v>
      </c>
      <c r="S232" s="3">
        <v>67.0</v>
      </c>
      <c r="T232" s="3">
        <v>66.0</v>
      </c>
      <c r="U232" s="3">
        <v>66.0</v>
      </c>
      <c r="V232" s="3">
        <v>79.0</v>
      </c>
      <c r="W232" s="3">
        <v>78.0</v>
      </c>
      <c r="X232" s="3">
        <v>70.0</v>
      </c>
      <c r="Y232" s="3">
        <v>76.0</v>
      </c>
      <c r="Z232" s="3">
        <v>83.0</v>
      </c>
      <c r="AA232" s="3">
        <v>62.0</v>
      </c>
      <c r="AB232" s="3">
        <v>62.0</v>
      </c>
      <c r="AC232" s="3">
        <v>78.0</v>
      </c>
      <c r="AD232" s="3">
        <v>69.0</v>
      </c>
      <c r="AE232" s="3">
        <v>61.0</v>
      </c>
      <c r="AF232" s="3">
        <v>70.0</v>
      </c>
      <c r="AG232" s="3">
        <v>71.0</v>
      </c>
      <c r="AH232" s="3">
        <v>49.0</v>
      </c>
      <c r="AI232" s="3">
        <v>76.0</v>
      </c>
      <c r="AJ232" s="3">
        <v>36.0</v>
      </c>
      <c r="AK232" s="3">
        <v>63.0</v>
      </c>
      <c r="AL232" s="3">
        <v>39.0</v>
      </c>
      <c r="AM232" s="3">
        <v>56.0</v>
      </c>
      <c r="AN232" s="3">
        <v>85.0</v>
      </c>
    </row>
    <row r="233" ht="14.25" customHeight="1">
      <c r="A233" s="3">
        <v>231.0</v>
      </c>
      <c r="B233" s="3" t="s">
        <v>7409</v>
      </c>
      <c r="C233" s="3">
        <v>42.0</v>
      </c>
      <c r="D233" s="3" t="s">
        <v>6645</v>
      </c>
      <c r="E233" s="3" t="s">
        <v>6646</v>
      </c>
      <c r="F233" s="3" t="s">
        <v>6646</v>
      </c>
      <c r="G233" s="3" t="s">
        <v>6645</v>
      </c>
      <c r="H233" s="3" t="s">
        <v>6645</v>
      </c>
      <c r="I233" s="3" t="s">
        <v>6645</v>
      </c>
      <c r="J233" s="3">
        <v>3.0</v>
      </c>
      <c r="K233" s="3">
        <v>4.0</v>
      </c>
      <c r="L233" s="3">
        <v>0.0</v>
      </c>
      <c r="M233" s="3">
        <v>0.0</v>
      </c>
      <c r="N233" s="3">
        <v>12813.324</v>
      </c>
      <c r="O233" s="3">
        <v>1219.0</v>
      </c>
      <c r="P233" s="3" t="e">
        <v>#N/A</v>
      </c>
      <c r="Q233" s="3">
        <v>83.0</v>
      </c>
      <c r="R233" s="3">
        <v>65.0</v>
      </c>
      <c r="S233" s="3">
        <v>65.0</v>
      </c>
      <c r="T233" s="3">
        <v>60.0</v>
      </c>
      <c r="U233" s="3">
        <v>61.0</v>
      </c>
      <c r="V233" s="3">
        <v>78.0</v>
      </c>
      <c r="W233" s="3">
        <v>63.0</v>
      </c>
      <c r="X233" s="3">
        <v>68.0</v>
      </c>
      <c r="Y233" s="3">
        <v>76.0</v>
      </c>
      <c r="Z233" s="3">
        <v>81.0</v>
      </c>
      <c r="AA233" s="3">
        <v>63.0</v>
      </c>
      <c r="AB233" s="3">
        <v>65.0</v>
      </c>
      <c r="AC233" s="3">
        <v>85.0</v>
      </c>
      <c r="AD233" s="3">
        <v>59.0</v>
      </c>
      <c r="AE233" s="3">
        <v>54.0</v>
      </c>
      <c r="AF233" s="3">
        <v>47.0</v>
      </c>
      <c r="AG233" s="3">
        <v>44.0</v>
      </c>
      <c r="AH233" s="3">
        <v>56.0</v>
      </c>
      <c r="AI233" s="3">
        <v>90.0</v>
      </c>
      <c r="AJ233" s="3">
        <v>49.0</v>
      </c>
      <c r="AK233" s="3">
        <v>48.0</v>
      </c>
      <c r="AL233" s="3">
        <v>50.0</v>
      </c>
      <c r="AM233" s="3">
        <v>33.0</v>
      </c>
      <c r="AN233" s="3">
        <v>83.0</v>
      </c>
    </row>
    <row r="234" ht="14.25" customHeight="1">
      <c r="A234" s="3">
        <v>232.0</v>
      </c>
      <c r="B234" s="3" t="s">
        <v>7410</v>
      </c>
      <c r="C234" s="3">
        <v>41.0</v>
      </c>
      <c r="D234" s="3" t="s">
        <v>6645</v>
      </c>
      <c r="E234" s="3" t="s">
        <v>6646</v>
      </c>
      <c r="F234" s="3" t="s">
        <v>6646</v>
      </c>
      <c r="G234" s="3" t="s">
        <v>6645</v>
      </c>
      <c r="H234" s="3" t="s">
        <v>6645</v>
      </c>
      <c r="I234" s="3" t="s">
        <v>6646</v>
      </c>
      <c r="J234" s="3">
        <v>3.0</v>
      </c>
      <c r="K234" s="3">
        <v>4.0</v>
      </c>
      <c r="L234" s="3">
        <v>0.0</v>
      </c>
      <c r="M234" s="3">
        <v>0.0</v>
      </c>
      <c r="N234" s="3">
        <v>12733.135</v>
      </c>
      <c r="O234" s="3">
        <v>1517.0</v>
      </c>
      <c r="P234" s="3" t="e">
        <v>#N/A</v>
      </c>
      <c r="Q234" s="3">
        <v>75.0</v>
      </c>
      <c r="R234" s="3">
        <v>69.0</v>
      </c>
      <c r="S234" s="3">
        <v>65.0</v>
      </c>
      <c r="T234" s="3">
        <v>69.0</v>
      </c>
      <c r="U234" s="3">
        <v>68.0</v>
      </c>
      <c r="V234" s="3">
        <v>77.0</v>
      </c>
      <c r="W234" s="3">
        <v>63.0</v>
      </c>
      <c r="X234" s="3">
        <v>66.0</v>
      </c>
      <c r="Y234" s="3">
        <v>81.0</v>
      </c>
      <c r="Z234" s="3">
        <v>84.0</v>
      </c>
      <c r="AA234" s="3">
        <v>55.0</v>
      </c>
      <c r="AB234" s="3">
        <v>64.0</v>
      </c>
      <c r="AC234" s="3">
        <v>87.0</v>
      </c>
      <c r="AD234" s="3">
        <v>58.0</v>
      </c>
      <c r="AE234" s="3">
        <v>66.0</v>
      </c>
      <c r="AF234" s="3">
        <v>58.0</v>
      </c>
      <c r="AG234" s="3">
        <v>38.0</v>
      </c>
      <c r="AH234" s="3">
        <v>44.0</v>
      </c>
      <c r="AI234" s="3">
        <v>79.0</v>
      </c>
      <c r="AJ234" s="3">
        <v>48.0</v>
      </c>
      <c r="AK234" s="3">
        <v>65.0</v>
      </c>
      <c r="AL234" s="3">
        <v>46.0</v>
      </c>
      <c r="AM234" s="3">
        <v>43.0</v>
      </c>
      <c r="AN234" s="3">
        <v>79.0</v>
      </c>
    </row>
    <row r="235" ht="14.25" customHeight="1">
      <c r="A235" s="3">
        <v>233.0</v>
      </c>
      <c r="B235" s="3" t="s">
        <v>7411</v>
      </c>
      <c r="C235" s="3">
        <v>37.0</v>
      </c>
      <c r="D235" s="3" t="s">
        <v>6645</v>
      </c>
      <c r="E235" s="3" t="s">
        <v>6646</v>
      </c>
      <c r="F235" s="3" t="s">
        <v>6646</v>
      </c>
      <c r="G235" s="3" t="s">
        <v>6645</v>
      </c>
      <c r="H235" s="3" t="s">
        <v>6645</v>
      </c>
      <c r="I235" s="3" t="s">
        <v>6646</v>
      </c>
      <c r="J235" s="3">
        <v>3.0</v>
      </c>
      <c r="K235" s="3">
        <v>3.0</v>
      </c>
      <c r="L235" s="3">
        <v>0.0</v>
      </c>
      <c r="M235" s="3">
        <v>0.0</v>
      </c>
      <c r="N235" s="3">
        <v>7374.1694</v>
      </c>
      <c r="O235" s="3">
        <v>767.0</v>
      </c>
      <c r="P235" s="3" t="e">
        <v>#N/A</v>
      </c>
      <c r="Q235" s="3">
        <v>62.0</v>
      </c>
      <c r="R235" s="3">
        <v>58.0</v>
      </c>
      <c r="S235" s="3">
        <v>60.0</v>
      </c>
      <c r="T235" s="3">
        <v>58.0</v>
      </c>
      <c r="U235" s="3">
        <v>54.0</v>
      </c>
      <c r="V235" s="3">
        <v>60.0</v>
      </c>
      <c r="W235" s="3">
        <v>56.0</v>
      </c>
      <c r="X235" s="3">
        <v>50.0</v>
      </c>
      <c r="Y235" s="3">
        <v>72.0</v>
      </c>
      <c r="Z235" s="3">
        <v>62.0</v>
      </c>
      <c r="AA235" s="3">
        <v>60.0</v>
      </c>
      <c r="AB235" s="3">
        <v>58.0</v>
      </c>
      <c r="AC235" s="3">
        <v>62.0</v>
      </c>
      <c r="AD235" s="3">
        <v>60.0</v>
      </c>
      <c r="AE235" s="3">
        <v>53.0</v>
      </c>
      <c r="AF235" s="3">
        <v>54.0</v>
      </c>
      <c r="AG235" s="3">
        <v>47.0</v>
      </c>
      <c r="AH235" s="3">
        <v>39.0</v>
      </c>
      <c r="AI235" s="3">
        <v>77.0</v>
      </c>
      <c r="AJ235" s="3">
        <v>65.0</v>
      </c>
      <c r="AK235" s="3">
        <v>19.0</v>
      </c>
      <c r="AL235" s="3">
        <v>45.0</v>
      </c>
      <c r="AM235" s="3">
        <v>53.0</v>
      </c>
      <c r="AN235" s="3">
        <v>71.0</v>
      </c>
    </row>
    <row r="236" ht="14.25" customHeight="1">
      <c r="A236" s="3">
        <v>234.0</v>
      </c>
      <c r="B236" s="3" t="s">
        <v>7412</v>
      </c>
      <c r="C236" s="3">
        <v>32.0</v>
      </c>
      <c r="D236" s="3" t="s">
        <v>6645</v>
      </c>
      <c r="E236" s="3" t="s">
        <v>6646</v>
      </c>
      <c r="F236" s="3" t="s">
        <v>6646</v>
      </c>
      <c r="G236" s="3" t="s">
        <v>6645</v>
      </c>
      <c r="H236" s="3" t="s">
        <v>6645</v>
      </c>
      <c r="I236" s="3" t="s">
        <v>6645</v>
      </c>
      <c r="J236" s="3">
        <v>3.0</v>
      </c>
      <c r="K236" s="3">
        <v>3.0</v>
      </c>
      <c r="L236" s="3">
        <v>0.0</v>
      </c>
      <c r="M236" s="3">
        <v>0.0</v>
      </c>
      <c r="N236" s="3">
        <v>7383.0</v>
      </c>
      <c r="O236" s="3">
        <v>618.0</v>
      </c>
      <c r="P236" s="3" t="e">
        <v>#N/A</v>
      </c>
      <c r="Q236" s="3">
        <v>58.0</v>
      </c>
      <c r="R236" s="3">
        <v>60.0</v>
      </c>
      <c r="S236" s="3">
        <v>60.0</v>
      </c>
      <c r="T236" s="3">
        <v>52.0</v>
      </c>
      <c r="U236" s="3">
        <v>54.0</v>
      </c>
      <c r="V236" s="3">
        <v>60.0</v>
      </c>
      <c r="W236" s="3">
        <v>59.0</v>
      </c>
      <c r="X236" s="3">
        <v>51.0</v>
      </c>
      <c r="Y236" s="3">
        <v>65.0</v>
      </c>
      <c r="Z236" s="3">
        <v>68.0</v>
      </c>
      <c r="AA236" s="3">
        <v>47.0</v>
      </c>
      <c r="AB236" s="3">
        <v>56.0</v>
      </c>
      <c r="AC236" s="3">
        <v>65.0</v>
      </c>
      <c r="AD236" s="3">
        <v>56.0</v>
      </c>
      <c r="AE236" s="3">
        <v>50.0</v>
      </c>
      <c r="AF236" s="3">
        <v>50.0</v>
      </c>
      <c r="AG236" s="3">
        <v>57.0</v>
      </c>
      <c r="AH236" s="3">
        <v>33.0</v>
      </c>
      <c r="AI236" s="3">
        <v>77.0</v>
      </c>
      <c r="AJ236" s="3">
        <v>53.0</v>
      </c>
      <c r="AK236" s="3">
        <v>62.0</v>
      </c>
      <c r="AL236" s="3">
        <v>49.0</v>
      </c>
      <c r="AM236" s="3">
        <v>63.0</v>
      </c>
      <c r="AN236" s="3">
        <v>77.0</v>
      </c>
    </row>
    <row r="237" ht="14.25" customHeight="1">
      <c r="A237" s="3">
        <v>235.0</v>
      </c>
      <c r="B237" s="3" t="s">
        <v>7413</v>
      </c>
      <c r="C237" s="3">
        <v>31.0</v>
      </c>
      <c r="D237" s="3" t="s">
        <v>6645</v>
      </c>
      <c r="E237" s="3" t="s">
        <v>6646</v>
      </c>
      <c r="F237" s="3" t="s">
        <v>6646</v>
      </c>
      <c r="G237" s="3" t="s">
        <v>6645</v>
      </c>
      <c r="H237" s="3" t="s">
        <v>6645</v>
      </c>
      <c r="I237" s="3" t="s">
        <v>6646</v>
      </c>
      <c r="J237" s="3">
        <v>3.0</v>
      </c>
      <c r="K237" s="3">
        <v>3.0</v>
      </c>
      <c r="L237" s="3">
        <v>0.0</v>
      </c>
      <c r="M237" s="3">
        <v>0.0</v>
      </c>
      <c r="N237" s="3">
        <v>7734.1645</v>
      </c>
      <c r="O237" s="3">
        <v>663.0</v>
      </c>
      <c r="P237" s="3" t="e">
        <v>#N/A</v>
      </c>
      <c r="Q237" s="3">
        <v>61.0</v>
      </c>
      <c r="R237" s="3">
        <v>62.0</v>
      </c>
      <c r="S237" s="3">
        <v>58.0</v>
      </c>
      <c r="T237" s="3">
        <v>62.0</v>
      </c>
      <c r="U237" s="3">
        <v>56.0</v>
      </c>
      <c r="V237" s="3">
        <v>60.0</v>
      </c>
      <c r="W237" s="3">
        <v>65.0</v>
      </c>
      <c r="X237" s="3">
        <v>63.0</v>
      </c>
      <c r="Y237" s="3">
        <v>68.0</v>
      </c>
      <c r="Z237" s="3">
        <v>67.0</v>
      </c>
      <c r="AA237" s="3">
        <v>49.0</v>
      </c>
      <c r="AB237" s="3">
        <v>54.0</v>
      </c>
      <c r="AC237" s="3">
        <v>64.0</v>
      </c>
      <c r="AD237" s="3">
        <v>62.0</v>
      </c>
      <c r="AE237" s="3">
        <v>46.0</v>
      </c>
      <c r="AF237" s="3">
        <v>61.0</v>
      </c>
      <c r="AG237" s="3">
        <v>62.0</v>
      </c>
      <c r="AH237" s="3">
        <v>46.0</v>
      </c>
      <c r="AI237" s="3">
        <v>73.0</v>
      </c>
      <c r="AJ237" s="3">
        <v>23.0</v>
      </c>
      <c r="AK237" s="3">
        <v>34.0</v>
      </c>
      <c r="AL237" s="3">
        <v>51.0</v>
      </c>
      <c r="AM237" s="3">
        <v>65.0</v>
      </c>
      <c r="AN237" s="3">
        <v>73.0</v>
      </c>
    </row>
    <row r="238" ht="14.25" customHeight="1">
      <c r="A238" s="3">
        <v>236.0</v>
      </c>
      <c r="B238" s="3" t="s">
        <v>7414</v>
      </c>
      <c r="C238" s="3">
        <v>37.0</v>
      </c>
      <c r="D238" s="3" t="s">
        <v>6645</v>
      </c>
      <c r="E238" s="3" t="s">
        <v>6646</v>
      </c>
      <c r="F238" s="3" t="s">
        <v>6646</v>
      </c>
      <c r="G238" s="3" t="s">
        <v>6645</v>
      </c>
      <c r="H238" s="3" t="s">
        <v>6645</v>
      </c>
      <c r="I238" s="3" t="s">
        <v>6645</v>
      </c>
      <c r="J238" s="3">
        <v>3.0</v>
      </c>
      <c r="K238" s="3">
        <v>3.0</v>
      </c>
      <c r="L238" s="3">
        <v>0.0</v>
      </c>
      <c r="M238" s="3">
        <v>0.0</v>
      </c>
      <c r="N238" s="3">
        <v>7706.37</v>
      </c>
      <c r="O238" s="3">
        <v>939.0</v>
      </c>
      <c r="P238" s="3" t="e">
        <v>#N/A</v>
      </c>
      <c r="Q238" s="3">
        <v>66.0</v>
      </c>
      <c r="R238" s="3">
        <v>54.0</v>
      </c>
      <c r="S238" s="3">
        <v>56.0</v>
      </c>
      <c r="T238" s="3">
        <v>60.0</v>
      </c>
      <c r="U238" s="3">
        <v>52.0</v>
      </c>
      <c r="V238" s="3">
        <v>65.0</v>
      </c>
      <c r="W238" s="3">
        <v>59.0</v>
      </c>
      <c r="X238" s="3">
        <v>54.0</v>
      </c>
      <c r="Y238" s="3">
        <v>66.0</v>
      </c>
      <c r="Z238" s="3">
        <v>68.0</v>
      </c>
      <c r="AA238" s="3">
        <v>58.0</v>
      </c>
      <c r="AB238" s="3">
        <v>54.0</v>
      </c>
      <c r="AC238" s="3">
        <v>70.0</v>
      </c>
      <c r="AD238" s="3">
        <v>57.0</v>
      </c>
      <c r="AE238" s="3">
        <v>58.0</v>
      </c>
      <c r="AF238" s="3">
        <v>62.0</v>
      </c>
      <c r="AG238" s="3">
        <v>40.0</v>
      </c>
      <c r="AH238" s="3">
        <v>53.0</v>
      </c>
      <c r="AI238" s="3">
        <v>76.0</v>
      </c>
      <c r="AJ238" s="3">
        <v>57.0</v>
      </c>
      <c r="AK238" s="3">
        <v>68.0</v>
      </c>
      <c r="AL238" s="3">
        <v>25.0</v>
      </c>
      <c r="AM238" s="3">
        <v>27.0</v>
      </c>
      <c r="AN238" s="3">
        <v>81.0</v>
      </c>
    </row>
    <row r="239" ht="14.25" customHeight="1">
      <c r="A239" s="3">
        <v>237.0</v>
      </c>
      <c r="B239" s="3" t="s">
        <v>7415</v>
      </c>
      <c r="C239" s="3">
        <v>29.0</v>
      </c>
      <c r="D239" s="3" t="s">
        <v>6645</v>
      </c>
      <c r="E239" s="3" t="s">
        <v>6646</v>
      </c>
      <c r="F239" s="3" t="s">
        <v>6646</v>
      </c>
      <c r="G239" s="3" t="s">
        <v>6645</v>
      </c>
      <c r="H239" s="3" t="s">
        <v>6645</v>
      </c>
      <c r="I239" s="3" t="s">
        <v>6645</v>
      </c>
      <c r="J239" s="3">
        <v>3.0</v>
      </c>
      <c r="K239" s="3">
        <v>2.0</v>
      </c>
      <c r="L239" s="3">
        <v>0.0</v>
      </c>
      <c r="M239" s="3">
        <v>0.0</v>
      </c>
      <c r="N239" s="3">
        <v>4277.36</v>
      </c>
      <c r="O239" s="3">
        <v>359.0</v>
      </c>
      <c r="P239" s="3" t="e">
        <v>#N/A</v>
      </c>
      <c r="Q239" s="3">
        <v>53.0</v>
      </c>
      <c r="R239" s="3">
        <v>46.0</v>
      </c>
      <c r="S239" s="3">
        <v>49.0</v>
      </c>
      <c r="T239" s="3">
        <v>51.0</v>
      </c>
      <c r="U239" s="3">
        <v>53.0</v>
      </c>
      <c r="V239" s="3">
        <v>49.0</v>
      </c>
      <c r="W239" s="3">
        <v>45.0</v>
      </c>
      <c r="X239" s="3">
        <v>44.0</v>
      </c>
      <c r="Y239" s="3">
        <v>53.0</v>
      </c>
      <c r="Z239" s="3">
        <v>60.0</v>
      </c>
      <c r="AA239" s="3">
        <v>48.0</v>
      </c>
      <c r="AB239" s="3">
        <v>49.0</v>
      </c>
      <c r="AC239" s="3">
        <v>54.0</v>
      </c>
      <c r="AD239" s="3">
        <v>53.0</v>
      </c>
      <c r="AE239" s="3">
        <v>44.0</v>
      </c>
      <c r="AF239" s="3">
        <v>46.0</v>
      </c>
      <c r="AG239" s="3">
        <v>66.0</v>
      </c>
      <c r="AH239" s="3">
        <v>17.0</v>
      </c>
      <c r="AI239" s="3">
        <v>79.0</v>
      </c>
      <c r="AJ239" s="3">
        <v>38.0</v>
      </c>
      <c r="AK239" s="3">
        <v>40.0</v>
      </c>
      <c r="AL239" s="3">
        <v>54.0</v>
      </c>
      <c r="AM239" s="3">
        <v>49.0</v>
      </c>
      <c r="AN239" s="3">
        <v>79.0</v>
      </c>
    </row>
    <row r="240" ht="14.25" customHeight="1">
      <c r="A240" s="3">
        <v>238.0</v>
      </c>
      <c r="B240" s="3" t="s">
        <v>7416</v>
      </c>
      <c r="C240" s="3">
        <v>27.0</v>
      </c>
      <c r="D240" s="3" t="s">
        <v>6645</v>
      </c>
      <c r="E240" s="3" t="s">
        <v>6646</v>
      </c>
      <c r="F240" s="3" t="s">
        <v>6646</v>
      </c>
      <c r="G240" s="3" t="s">
        <v>6645</v>
      </c>
      <c r="H240" s="3" t="s">
        <v>6645</v>
      </c>
      <c r="I240" s="3" t="s">
        <v>6646</v>
      </c>
      <c r="J240" s="3">
        <v>3.0</v>
      </c>
      <c r="K240" s="3">
        <v>2.0</v>
      </c>
      <c r="L240" s="3">
        <v>0.0</v>
      </c>
      <c r="M240" s="3">
        <v>0.0</v>
      </c>
      <c r="N240" s="3">
        <v>4049.9804</v>
      </c>
      <c r="O240" s="3">
        <v>320.0</v>
      </c>
      <c r="P240" s="3" t="e">
        <v>#N/A</v>
      </c>
      <c r="Q240" s="3">
        <v>48.0</v>
      </c>
      <c r="R240" s="3">
        <v>47.0</v>
      </c>
      <c r="S240" s="3">
        <v>50.0</v>
      </c>
      <c r="T240" s="3">
        <v>45.0</v>
      </c>
      <c r="U240" s="3">
        <v>52.0</v>
      </c>
      <c r="V240" s="3">
        <v>52.0</v>
      </c>
      <c r="W240" s="3">
        <v>50.0</v>
      </c>
      <c r="X240" s="3">
        <v>54.0</v>
      </c>
      <c r="Y240" s="3">
        <v>55.0</v>
      </c>
      <c r="Z240" s="3">
        <v>57.0</v>
      </c>
      <c r="AA240" s="3">
        <v>41.0</v>
      </c>
      <c r="AB240" s="3">
        <v>43.0</v>
      </c>
      <c r="AC240" s="3">
        <v>58.0</v>
      </c>
      <c r="AD240" s="3">
        <v>51.0</v>
      </c>
      <c r="AE240" s="3">
        <v>42.0</v>
      </c>
      <c r="AF240" s="3">
        <v>58.0</v>
      </c>
      <c r="AG240" s="3">
        <v>10.0</v>
      </c>
      <c r="AH240" s="3">
        <v>56.0</v>
      </c>
      <c r="AI240" s="3">
        <v>70.0</v>
      </c>
      <c r="AJ240" s="3">
        <v>52.0</v>
      </c>
      <c r="AK240" s="3">
        <v>42.0</v>
      </c>
      <c r="AL240" s="3">
        <v>50.0</v>
      </c>
      <c r="AM240" s="3">
        <v>38.0</v>
      </c>
      <c r="AN240" s="3">
        <v>82.0</v>
      </c>
    </row>
    <row r="241" ht="14.25" customHeight="1">
      <c r="A241" s="3">
        <v>239.0</v>
      </c>
      <c r="B241" s="3" t="s">
        <v>7417</v>
      </c>
      <c r="C241" s="3">
        <v>32.0</v>
      </c>
      <c r="D241" s="3" t="s">
        <v>6645</v>
      </c>
      <c r="E241" s="3" t="s">
        <v>6646</v>
      </c>
      <c r="F241" s="3" t="s">
        <v>6646</v>
      </c>
      <c r="G241" s="3" t="s">
        <v>6645</v>
      </c>
      <c r="H241" s="3" t="s">
        <v>6645</v>
      </c>
      <c r="I241" s="3" t="s">
        <v>6646</v>
      </c>
      <c r="J241" s="3">
        <v>3.0</v>
      </c>
      <c r="K241" s="3">
        <v>2.0</v>
      </c>
      <c r="L241" s="3">
        <v>0.0</v>
      </c>
      <c r="M241" s="3">
        <v>0.0</v>
      </c>
      <c r="N241" s="3">
        <v>4010.5336</v>
      </c>
      <c r="O241" s="3">
        <v>430.0</v>
      </c>
      <c r="P241" s="3" t="e">
        <v>#N/A</v>
      </c>
      <c r="Q241" s="3">
        <v>45.0</v>
      </c>
      <c r="R241" s="3">
        <v>45.0</v>
      </c>
      <c r="S241" s="3">
        <v>51.0</v>
      </c>
      <c r="T241" s="3">
        <v>45.0</v>
      </c>
      <c r="U241" s="3">
        <v>52.0</v>
      </c>
      <c r="V241" s="3">
        <v>47.0</v>
      </c>
      <c r="W241" s="3">
        <v>48.0</v>
      </c>
      <c r="X241" s="3">
        <v>50.0</v>
      </c>
      <c r="Y241" s="3">
        <v>58.0</v>
      </c>
      <c r="Z241" s="3">
        <v>52.0</v>
      </c>
      <c r="AA241" s="3">
        <v>46.0</v>
      </c>
      <c r="AB241" s="3">
        <v>38.0</v>
      </c>
      <c r="AC241" s="3">
        <v>58.0</v>
      </c>
      <c r="AD241" s="3">
        <v>50.0</v>
      </c>
      <c r="AE241" s="3">
        <v>44.0</v>
      </c>
      <c r="AF241" s="3">
        <v>46.0</v>
      </c>
      <c r="AG241" s="3">
        <v>66.0</v>
      </c>
      <c r="AH241" s="3">
        <v>60.0</v>
      </c>
      <c r="AI241" s="3">
        <v>75.0</v>
      </c>
      <c r="AJ241" s="3">
        <v>50.0</v>
      </c>
      <c r="AK241" s="3">
        <v>46.0</v>
      </c>
      <c r="AL241" s="3">
        <v>25.0</v>
      </c>
      <c r="AM241" s="3">
        <v>41.0</v>
      </c>
      <c r="AN241" s="3">
        <v>67.0</v>
      </c>
    </row>
    <row r="242" ht="14.25" customHeight="1">
      <c r="A242" s="3">
        <v>240.0</v>
      </c>
      <c r="B242" s="3" t="s">
        <v>7418</v>
      </c>
      <c r="C242" s="3">
        <v>33.0</v>
      </c>
      <c r="D242" s="3" t="s">
        <v>6645</v>
      </c>
      <c r="E242" s="3" t="s">
        <v>6646</v>
      </c>
      <c r="F242" s="3" t="s">
        <v>6646</v>
      </c>
      <c r="G242" s="3" t="s">
        <v>6645</v>
      </c>
      <c r="H242" s="3" t="s">
        <v>6645</v>
      </c>
      <c r="I242" s="3" t="s">
        <v>6645</v>
      </c>
      <c r="J242" s="3">
        <v>3.0</v>
      </c>
      <c r="K242" s="3">
        <v>2.0</v>
      </c>
      <c r="L242" s="3">
        <v>0.0</v>
      </c>
      <c r="M242" s="3">
        <v>0.0</v>
      </c>
      <c r="N242" s="3">
        <v>3891.1726</v>
      </c>
      <c r="O242" s="3">
        <v>373.0</v>
      </c>
      <c r="P242" s="3" t="e">
        <v>#N/A</v>
      </c>
      <c r="Q242" s="3">
        <v>54.0</v>
      </c>
      <c r="R242" s="3">
        <v>53.0</v>
      </c>
      <c r="S242" s="3">
        <v>50.0</v>
      </c>
      <c r="T242" s="3">
        <v>45.0</v>
      </c>
      <c r="U242" s="3">
        <v>48.0</v>
      </c>
      <c r="V242" s="3">
        <v>46.0</v>
      </c>
      <c r="W242" s="3">
        <v>50.0</v>
      </c>
      <c r="X242" s="3">
        <v>41.0</v>
      </c>
      <c r="Y242" s="3">
        <v>53.0</v>
      </c>
      <c r="Z242" s="3">
        <v>53.0</v>
      </c>
      <c r="AA242" s="3">
        <v>43.0</v>
      </c>
      <c r="AB242" s="3">
        <v>41.0</v>
      </c>
      <c r="AC242" s="3">
        <v>54.0</v>
      </c>
      <c r="AD242" s="3">
        <v>47.0</v>
      </c>
      <c r="AE242" s="3">
        <v>51.0</v>
      </c>
      <c r="AF242" s="3">
        <v>28.0</v>
      </c>
      <c r="AG242" s="3">
        <v>44.0</v>
      </c>
      <c r="AH242" s="3">
        <v>40.0</v>
      </c>
      <c r="AI242" s="3">
        <v>73.0</v>
      </c>
      <c r="AJ242" s="3">
        <v>48.0</v>
      </c>
      <c r="AK242" s="3">
        <v>54.0</v>
      </c>
      <c r="AL242" s="3">
        <v>42.0</v>
      </c>
      <c r="AM242" s="3">
        <v>31.0</v>
      </c>
      <c r="AN242" s="3">
        <v>68.0</v>
      </c>
    </row>
    <row r="243" ht="14.25" customHeight="1">
      <c r="A243" s="3">
        <v>241.0</v>
      </c>
      <c r="B243" s="3" t="s">
        <v>7419</v>
      </c>
      <c r="C243" s="3">
        <v>28.0</v>
      </c>
      <c r="D243" s="3" t="s">
        <v>6645</v>
      </c>
      <c r="E243" s="3" t="s">
        <v>6646</v>
      </c>
      <c r="F243" s="3" t="s">
        <v>6646</v>
      </c>
      <c r="G243" s="3" t="s">
        <v>6645</v>
      </c>
      <c r="H243" s="3" t="s">
        <v>6645</v>
      </c>
      <c r="I243" s="3" t="s">
        <v>6645</v>
      </c>
      <c r="J243" s="3">
        <v>3.0</v>
      </c>
      <c r="K243" s="3">
        <v>1.0</v>
      </c>
      <c r="L243" s="3">
        <v>0.0</v>
      </c>
      <c r="M243" s="3">
        <v>0.0</v>
      </c>
      <c r="N243" s="3">
        <v>1477.692</v>
      </c>
      <c r="O243" s="3">
        <v>213.0</v>
      </c>
      <c r="P243" s="3" t="e">
        <v>#N/A</v>
      </c>
      <c r="Q243" s="3">
        <v>40.0</v>
      </c>
      <c r="R243" s="3">
        <v>44.0</v>
      </c>
      <c r="S243" s="3">
        <v>40.0</v>
      </c>
      <c r="T243" s="3">
        <v>38.0</v>
      </c>
      <c r="U243" s="3">
        <v>46.0</v>
      </c>
      <c r="V243" s="3">
        <v>40.0</v>
      </c>
      <c r="W243" s="3">
        <v>46.0</v>
      </c>
      <c r="X243" s="3">
        <v>40.0</v>
      </c>
      <c r="Y243" s="3">
        <v>52.0</v>
      </c>
      <c r="Z243" s="3">
        <v>47.0</v>
      </c>
      <c r="AA243" s="3">
        <v>39.0</v>
      </c>
      <c r="AB243" s="3">
        <v>37.0</v>
      </c>
      <c r="AC243" s="3">
        <v>51.0</v>
      </c>
      <c r="AD243" s="3">
        <v>42.0</v>
      </c>
      <c r="AE243" s="3">
        <v>34.0</v>
      </c>
      <c r="AF243" s="3">
        <v>50.0</v>
      </c>
      <c r="AG243" s="3">
        <v>38.0</v>
      </c>
      <c r="AH243" s="3">
        <v>60.0</v>
      </c>
      <c r="AI243" s="3">
        <v>73.0</v>
      </c>
      <c r="AJ243" s="3">
        <v>25.0</v>
      </c>
      <c r="AK243" s="3">
        <v>31.0</v>
      </c>
      <c r="AL243" s="3">
        <v>43.0</v>
      </c>
      <c r="AM243" s="3">
        <v>57.0</v>
      </c>
      <c r="AN243" s="3">
        <v>78.0</v>
      </c>
    </row>
    <row r="244" ht="14.25" customHeight="1">
      <c r="A244" s="3">
        <v>242.0</v>
      </c>
      <c r="B244" s="3" t="s">
        <v>7420</v>
      </c>
      <c r="C244" s="3">
        <v>29.0</v>
      </c>
      <c r="D244" s="3" t="s">
        <v>6645</v>
      </c>
      <c r="E244" s="3" t="s">
        <v>6646</v>
      </c>
      <c r="F244" s="3" t="s">
        <v>6646</v>
      </c>
      <c r="G244" s="3" t="s">
        <v>6645</v>
      </c>
      <c r="H244" s="3" t="s">
        <v>6645</v>
      </c>
      <c r="I244" s="3" t="s">
        <v>6645</v>
      </c>
      <c r="J244" s="3">
        <v>3.0</v>
      </c>
      <c r="K244" s="3">
        <v>1.0</v>
      </c>
      <c r="L244" s="3">
        <v>0.0</v>
      </c>
      <c r="M244" s="3">
        <v>0.0</v>
      </c>
      <c r="N244" s="3">
        <v>1712.1655</v>
      </c>
      <c r="O244" s="3">
        <v>216.0</v>
      </c>
      <c r="P244" s="3" t="e">
        <v>#N/A</v>
      </c>
      <c r="Q244" s="3">
        <v>44.0</v>
      </c>
      <c r="R244" s="3">
        <v>46.0</v>
      </c>
      <c r="S244" s="3">
        <v>40.0</v>
      </c>
      <c r="T244" s="3">
        <v>40.0</v>
      </c>
      <c r="U244" s="3">
        <v>46.0</v>
      </c>
      <c r="V244" s="3">
        <v>42.0</v>
      </c>
      <c r="W244" s="3">
        <v>37.0</v>
      </c>
      <c r="X244" s="3">
        <v>39.0</v>
      </c>
      <c r="Y244" s="3">
        <v>46.0</v>
      </c>
      <c r="Z244" s="3">
        <v>51.0</v>
      </c>
      <c r="AA244" s="3">
        <v>36.0</v>
      </c>
      <c r="AB244" s="3">
        <v>42.0</v>
      </c>
      <c r="AC244" s="3">
        <v>47.0</v>
      </c>
      <c r="AD244" s="3">
        <v>42.0</v>
      </c>
      <c r="AE244" s="3">
        <v>46.0</v>
      </c>
      <c r="AF244" s="3">
        <v>53.0</v>
      </c>
      <c r="AG244" s="3">
        <v>62.0</v>
      </c>
      <c r="AH244" s="3">
        <v>46.0</v>
      </c>
      <c r="AI244" s="3">
        <v>66.0</v>
      </c>
      <c r="AJ244" s="3">
        <v>23.0</v>
      </c>
      <c r="AK244" s="3">
        <v>59.0</v>
      </c>
      <c r="AL244" s="3">
        <v>5.0</v>
      </c>
      <c r="AM244" s="3">
        <v>39.0</v>
      </c>
      <c r="AN244" s="3">
        <v>66.0</v>
      </c>
    </row>
    <row r="245" ht="14.25" customHeight="1">
      <c r="A245" s="3">
        <v>243.0</v>
      </c>
      <c r="B245" s="3" t="s">
        <v>7421</v>
      </c>
      <c r="C245" s="3">
        <v>24.0</v>
      </c>
      <c r="D245" s="3" t="s">
        <v>6645</v>
      </c>
      <c r="E245" s="3" t="s">
        <v>6646</v>
      </c>
      <c r="F245" s="3" t="s">
        <v>6646</v>
      </c>
      <c r="G245" s="3" t="s">
        <v>6645</v>
      </c>
      <c r="H245" s="3" t="s">
        <v>6645</v>
      </c>
      <c r="I245" s="3" t="s">
        <v>6646</v>
      </c>
      <c r="J245" s="3">
        <v>3.0</v>
      </c>
      <c r="K245" s="3">
        <v>1.0</v>
      </c>
      <c r="L245" s="3">
        <v>0.0</v>
      </c>
      <c r="M245" s="3">
        <v>0.0</v>
      </c>
      <c r="N245" s="3">
        <v>1585.9788</v>
      </c>
      <c r="O245" s="3">
        <v>195.0</v>
      </c>
      <c r="P245" s="3" t="e">
        <v>#N/A</v>
      </c>
      <c r="Q245" s="3">
        <v>44.0</v>
      </c>
      <c r="R245" s="3">
        <v>38.0</v>
      </c>
      <c r="S245" s="3">
        <v>42.0</v>
      </c>
      <c r="T245" s="3">
        <v>42.0</v>
      </c>
      <c r="U245" s="3">
        <v>40.0</v>
      </c>
      <c r="V245" s="3">
        <v>40.0</v>
      </c>
      <c r="W245" s="3">
        <v>35.0</v>
      </c>
      <c r="X245" s="3">
        <v>44.0</v>
      </c>
      <c r="Y245" s="3">
        <v>44.0</v>
      </c>
      <c r="Z245" s="3">
        <v>49.0</v>
      </c>
      <c r="AA245" s="3">
        <v>46.0</v>
      </c>
      <c r="AB245" s="3">
        <v>40.0</v>
      </c>
      <c r="AC245" s="3">
        <v>51.0</v>
      </c>
      <c r="AD245" s="3">
        <v>36.0</v>
      </c>
      <c r="AE245" s="3">
        <v>35.0</v>
      </c>
      <c r="AF245" s="3">
        <v>45.0</v>
      </c>
      <c r="AG245" s="3">
        <v>16.0</v>
      </c>
      <c r="AH245" s="3">
        <v>42.0</v>
      </c>
      <c r="AI245" s="3">
        <v>69.0</v>
      </c>
      <c r="AJ245" s="3">
        <v>41.0</v>
      </c>
      <c r="AK245" s="3">
        <v>62.0</v>
      </c>
      <c r="AL245" s="3">
        <v>45.0</v>
      </c>
      <c r="AM245" s="3">
        <v>8.0</v>
      </c>
      <c r="AN245" s="3">
        <v>70.0</v>
      </c>
    </row>
    <row r="246" ht="14.25" customHeight="1">
      <c r="A246" s="3">
        <v>244.0</v>
      </c>
      <c r="B246" s="3" t="s">
        <v>7422</v>
      </c>
      <c r="C246" s="3">
        <v>24.0</v>
      </c>
      <c r="D246" s="3" t="s">
        <v>6645</v>
      </c>
      <c r="E246" s="3" t="s">
        <v>6646</v>
      </c>
      <c r="F246" s="3" t="s">
        <v>6646</v>
      </c>
      <c r="G246" s="3" t="s">
        <v>6645</v>
      </c>
      <c r="H246" s="3" t="s">
        <v>6645</v>
      </c>
      <c r="I246" s="3" t="s">
        <v>6646</v>
      </c>
      <c r="J246" s="3">
        <v>3.0</v>
      </c>
      <c r="K246" s="3">
        <v>1.0</v>
      </c>
      <c r="L246" s="3">
        <v>0.0</v>
      </c>
      <c r="M246" s="3">
        <v>0.0</v>
      </c>
      <c r="N246" s="3">
        <v>1687.8643</v>
      </c>
      <c r="O246" s="3">
        <v>179.0</v>
      </c>
      <c r="P246" s="3" t="e">
        <v>#N/A</v>
      </c>
      <c r="Q246" s="3">
        <v>38.0</v>
      </c>
      <c r="R246" s="3">
        <v>42.0</v>
      </c>
      <c r="S246" s="3">
        <v>38.0</v>
      </c>
      <c r="T246" s="3">
        <v>46.0</v>
      </c>
      <c r="U246" s="3">
        <v>38.0</v>
      </c>
      <c r="V246" s="3">
        <v>42.0</v>
      </c>
      <c r="W246" s="3">
        <v>40.0</v>
      </c>
      <c r="X246" s="3">
        <v>42.0</v>
      </c>
      <c r="Y246" s="3">
        <v>53.0</v>
      </c>
      <c r="Z246" s="3">
        <v>49.0</v>
      </c>
      <c r="AA246" s="3">
        <v>44.0</v>
      </c>
      <c r="AB246" s="3">
        <v>37.0</v>
      </c>
      <c r="AC246" s="3">
        <v>47.0</v>
      </c>
      <c r="AD246" s="3">
        <v>35.0</v>
      </c>
      <c r="AE246" s="3">
        <v>37.0</v>
      </c>
      <c r="AF246" s="3">
        <v>33.0</v>
      </c>
      <c r="AG246" s="3">
        <v>36.0</v>
      </c>
      <c r="AH246" s="3">
        <v>52.0</v>
      </c>
      <c r="AI246" s="3">
        <v>70.0</v>
      </c>
      <c r="AJ246" s="3">
        <v>37.0</v>
      </c>
      <c r="AK246" s="3">
        <v>59.0</v>
      </c>
      <c r="AL246" s="3">
        <v>19.0</v>
      </c>
      <c r="AM246" s="3">
        <v>45.0</v>
      </c>
      <c r="AN246" s="3">
        <v>71.0</v>
      </c>
    </row>
    <row r="247" ht="14.25" customHeight="1">
      <c r="A247" s="3">
        <v>245.0</v>
      </c>
      <c r="B247" s="3" t="s">
        <v>7423</v>
      </c>
      <c r="C247" s="3">
        <v>24.0</v>
      </c>
      <c r="D247" s="3" t="s">
        <v>6645</v>
      </c>
      <c r="E247" s="3" t="s">
        <v>6646</v>
      </c>
      <c r="F247" s="3" t="s">
        <v>6646</v>
      </c>
      <c r="G247" s="3" t="s">
        <v>6645</v>
      </c>
      <c r="H247" s="3" t="s">
        <v>6645</v>
      </c>
      <c r="I247" s="3" t="s">
        <v>6646</v>
      </c>
      <c r="J247" s="3">
        <v>3.0</v>
      </c>
      <c r="K247" s="3">
        <v>1.0</v>
      </c>
      <c r="L247" s="3">
        <v>0.0</v>
      </c>
      <c r="M247" s="3">
        <v>0.0</v>
      </c>
      <c r="N247" s="3">
        <v>1748.58</v>
      </c>
      <c r="O247" s="3">
        <v>223.0</v>
      </c>
      <c r="P247" s="3" t="e">
        <v>#N/A</v>
      </c>
      <c r="Q247" s="3">
        <v>46.0</v>
      </c>
      <c r="R247" s="3">
        <v>40.0</v>
      </c>
      <c r="S247" s="3">
        <v>38.0</v>
      </c>
      <c r="T247" s="3">
        <v>42.0</v>
      </c>
      <c r="U247" s="3">
        <v>44.0</v>
      </c>
      <c r="V247" s="3">
        <v>46.0</v>
      </c>
      <c r="W247" s="3">
        <v>46.0</v>
      </c>
      <c r="X247" s="3">
        <v>42.0</v>
      </c>
      <c r="Y247" s="3">
        <v>48.0</v>
      </c>
      <c r="Z247" s="3">
        <v>53.0</v>
      </c>
      <c r="AA247" s="3">
        <v>29.0</v>
      </c>
      <c r="AB247" s="3">
        <v>46.0</v>
      </c>
      <c r="AC247" s="3">
        <v>51.0</v>
      </c>
      <c r="AD247" s="3">
        <v>36.0</v>
      </c>
      <c r="AE247" s="3">
        <v>37.0</v>
      </c>
      <c r="AF247" s="3">
        <v>59.0</v>
      </c>
      <c r="AG247" s="3">
        <v>53.0</v>
      </c>
      <c r="AH247" s="3">
        <v>56.0</v>
      </c>
      <c r="AI247" s="3">
        <v>74.0</v>
      </c>
      <c r="AJ247" s="3">
        <v>15.0</v>
      </c>
      <c r="AK247" s="3">
        <v>62.0</v>
      </c>
      <c r="AL247" s="3">
        <v>24.0</v>
      </c>
      <c r="AM247" s="3">
        <v>50.0</v>
      </c>
      <c r="AN247" s="3">
        <v>67.0</v>
      </c>
    </row>
    <row r="248" ht="14.25" customHeight="1">
      <c r="A248" s="3">
        <v>246.0</v>
      </c>
      <c r="B248" s="3" t="s">
        <v>7424</v>
      </c>
      <c r="C248" s="3">
        <v>16.0</v>
      </c>
      <c r="D248" s="3" t="s">
        <v>6645</v>
      </c>
      <c r="E248" s="3" t="s">
        <v>6646</v>
      </c>
      <c r="F248" s="3" t="s">
        <v>6646</v>
      </c>
      <c r="G248" s="3" t="s">
        <v>6645</v>
      </c>
      <c r="H248" s="3" t="s">
        <v>6645</v>
      </c>
      <c r="I248" s="3" t="s">
        <v>6645</v>
      </c>
      <c r="J248" s="3">
        <v>3.0</v>
      </c>
      <c r="K248" s="3">
        <v>0.0</v>
      </c>
      <c r="L248" s="3">
        <v>0.0</v>
      </c>
      <c r="M248" s="3">
        <v>0.0</v>
      </c>
      <c r="N248" s="3">
        <v>426.678</v>
      </c>
      <c r="O248" s="3">
        <v>95.0</v>
      </c>
      <c r="P248" s="3" t="e">
        <v>#N/A</v>
      </c>
      <c r="Q248" s="3">
        <v>36.0</v>
      </c>
      <c r="R248" s="3">
        <v>35.0</v>
      </c>
      <c r="S248" s="3">
        <v>35.0</v>
      </c>
      <c r="T248" s="3">
        <v>32.0</v>
      </c>
      <c r="U248" s="3">
        <v>31.0</v>
      </c>
      <c r="V248" s="3">
        <v>30.0</v>
      </c>
      <c r="W248" s="3">
        <v>34.0</v>
      </c>
      <c r="X248" s="3">
        <v>22.0</v>
      </c>
      <c r="Y248" s="3">
        <v>47.0</v>
      </c>
      <c r="Z248" s="3">
        <v>46.0</v>
      </c>
      <c r="AA248" s="3">
        <v>39.0</v>
      </c>
      <c r="AB248" s="3">
        <v>28.0</v>
      </c>
      <c r="AC248" s="3">
        <v>41.0</v>
      </c>
      <c r="AD248" s="3">
        <v>23.0</v>
      </c>
      <c r="AE248" s="3">
        <v>30.0</v>
      </c>
      <c r="AF248" s="3">
        <v>54.0</v>
      </c>
      <c r="AG248" s="3">
        <v>41.0</v>
      </c>
      <c r="AH248" s="3">
        <v>14.0</v>
      </c>
      <c r="AI248" s="3">
        <v>62.0</v>
      </c>
      <c r="AJ248" s="3">
        <v>47.0</v>
      </c>
      <c r="AK248" s="3">
        <v>5.0</v>
      </c>
      <c r="AL248" s="3">
        <v>47.0</v>
      </c>
      <c r="AM248" s="3">
        <v>51.0</v>
      </c>
      <c r="AN248" s="3">
        <v>70.0</v>
      </c>
    </row>
    <row r="249" ht="14.25" customHeight="1">
      <c r="A249" s="3">
        <v>247.0</v>
      </c>
      <c r="B249" s="3" t="s">
        <v>7425</v>
      </c>
      <c r="C249" s="3">
        <v>21.0</v>
      </c>
      <c r="D249" s="3" t="s">
        <v>6645</v>
      </c>
      <c r="E249" s="3" t="s">
        <v>6646</v>
      </c>
      <c r="F249" s="3" t="s">
        <v>6646</v>
      </c>
      <c r="G249" s="3" t="s">
        <v>6645</v>
      </c>
      <c r="H249" s="3" t="s">
        <v>6645</v>
      </c>
      <c r="I249" s="3" t="s">
        <v>6646</v>
      </c>
      <c r="J249" s="3">
        <v>3.0</v>
      </c>
      <c r="K249" s="3">
        <v>0.0</v>
      </c>
      <c r="L249" s="3">
        <v>0.0</v>
      </c>
      <c r="M249" s="3">
        <v>0.0</v>
      </c>
      <c r="N249" s="3">
        <v>489.25524</v>
      </c>
      <c r="O249" s="3">
        <v>89.0</v>
      </c>
      <c r="P249" s="3" t="e">
        <v>#N/A</v>
      </c>
      <c r="Q249" s="3">
        <v>33.0</v>
      </c>
      <c r="R249" s="3">
        <v>30.0</v>
      </c>
      <c r="S249" s="3">
        <v>30.0</v>
      </c>
      <c r="T249" s="3">
        <v>39.0</v>
      </c>
      <c r="U249" s="3">
        <v>35.0</v>
      </c>
      <c r="V249" s="3">
        <v>30.0</v>
      </c>
      <c r="W249" s="3">
        <v>31.0</v>
      </c>
      <c r="X249" s="3">
        <v>30.0</v>
      </c>
      <c r="Y249" s="3">
        <v>42.0</v>
      </c>
      <c r="Z249" s="3">
        <v>39.0</v>
      </c>
      <c r="AA249" s="3">
        <v>30.0</v>
      </c>
      <c r="AB249" s="3">
        <v>30.0</v>
      </c>
      <c r="AC249" s="3">
        <v>42.0</v>
      </c>
      <c r="AD249" s="3">
        <v>28.0</v>
      </c>
      <c r="AE249" s="3">
        <v>33.0</v>
      </c>
      <c r="AF249" s="3">
        <v>0.0</v>
      </c>
      <c r="AG249" s="3">
        <v>49.0</v>
      </c>
      <c r="AH249" s="3">
        <v>39.0</v>
      </c>
      <c r="AI249" s="3">
        <v>68.0</v>
      </c>
      <c r="AJ249" s="3">
        <v>56.0</v>
      </c>
      <c r="AK249" s="3">
        <v>33.0</v>
      </c>
      <c r="AL249" s="3">
        <v>3.0</v>
      </c>
      <c r="AM249" s="3">
        <v>31.0</v>
      </c>
      <c r="AN249" s="3">
        <v>65.0</v>
      </c>
    </row>
    <row r="250" ht="14.25" customHeight="1">
      <c r="A250" s="3">
        <v>248.0</v>
      </c>
      <c r="B250" s="3" t="s">
        <v>7426</v>
      </c>
      <c r="C250" s="3">
        <v>18.0</v>
      </c>
      <c r="D250" s="3" t="s">
        <v>6645</v>
      </c>
      <c r="E250" s="3" t="s">
        <v>6646</v>
      </c>
      <c r="F250" s="3" t="s">
        <v>6646</v>
      </c>
      <c r="G250" s="3" t="s">
        <v>6645</v>
      </c>
      <c r="H250" s="3" t="s">
        <v>6645</v>
      </c>
      <c r="I250" s="3" t="s">
        <v>6646</v>
      </c>
      <c r="J250" s="3">
        <v>3.0</v>
      </c>
      <c r="K250" s="3">
        <v>0.0</v>
      </c>
      <c r="L250" s="3">
        <v>0.0</v>
      </c>
      <c r="M250" s="3">
        <v>0.0</v>
      </c>
      <c r="N250" s="3">
        <v>496.83181</v>
      </c>
      <c r="O250" s="3">
        <v>94.0</v>
      </c>
      <c r="P250" s="3" t="e">
        <v>#N/A</v>
      </c>
      <c r="Q250" s="3">
        <v>37.0</v>
      </c>
      <c r="R250" s="3">
        <v>31.0</v>
      </c>
      <c r="S250" s="3">
        <v>39.0</v>
      </c>
      <c r="T250" s="3">
        <v>33.0</v>
      </c>
      <c r="U250" s="3">
        <v>38.0</v>
      </c>
      <c r="V250" s="3">
        <v>39.0</v>
      </c>
      <c r="W250" s="3">
        <v>37.0</v>
      </c>
      <c r="X250" s="3">
        <v>35.0</v>
      </c>
      <c r="Y250" s="3">
        <v>45.0</v>
      </c>
      <c r="Z250" s="3">
        <v>46.0</v>
      </c>
      <c r="AA250" s="3">
        <v>28.0</v>
      </c>
      <c r="AB250" s="3">
        <v>31.0</v>
      </c>
      <c r="AC250" s="3">
        <v>39.0</v>
      </c>
      <c r="AD250" s="3">
        <v>26.0</v>
      </c>
      <c r="AE250" s="3">
        <v>30.0</v>
      </c>
      <c r="AF250" s="3">
        <v>27.0</v>
      </c>
      <c r="AG250" s="3">
        <v>34.0</v>
      </c>
      <c r="AH250" s="3">
        <v>37.0</v>
      </c>
      <c r="AI250" s="3">
        <v>72.0</v>
      </c>
      <c r="AJ250" s="3">
        <v>55.0</v>
      </c>
      <c r="AK250" s="3">
        <v>50.0</v>
      </c>
      <c r="AL250" s="3">
        <v>58.0</v>
      </c>
      <c r="AM250" s="3">
        <v>42.0</v>
      </c>
      <c r="AN250" s="3">
        <v>66.0</v>
      </c>
    </row>
    <row r="251" ht="14.25" customHeight="1">
      <c r="A251" s="3">
        <v>249.0</v>
      </c>
      <c r="B251" s="3" t="s">
        <v>7427</v>
      </c>
      <c r="C251" s="3">
        <v>17.0</v>
      </c>
      <c r="D251" s="3" t="s">
        <v>6645</v>
      </c>
      <c r="E251" s="3" t="s">
        <v>6646</v>
      </c>
      <c r="F251" s="3" t="s">
        <v>6646</v>
      </c>
      <c r="G251" s="3" t="s">
        <v>6645</v>
      </c>
      <c r="H251" s="3" t="s">
        <v>6645</v>
      </c>
      <c r="I251" s="3" t="s">
        <v>6645</v>
      </c>
      <c r="J251" s="3">
        <v>3.0</v>
      </c>
      <c r="K251" s="3">
        <v>0.0</v>
      </c>
      <c r="L251" s="3">
        <v>0.0</v>
      </c>
      <c r="M251" s="3">
        <v>0.0</v>
      </c>
      <c r="N251" s="3">
        <v>551.313</v>
      </c>
      <c r="O251" s="3">
        <v>118.0</v>
      </c>
      <c r="P251" s="3" t="e">
        <v>#N/A</v>
      </c>
      <c r="Q251" s="3">
        <v>37.0</v>
      </c>
      <c r="R251" s="3">
        <v>32.0</v>
      </c>
      <c r="S251" s="3">
        <v>31.0</v>
      </c>
      <c r="T251" s="3">
        <v>37.0</v>
      </c>
      <c r="U251" s="3">
        <v>33.0</v>
      </c>
      <c r="V251" s="3">
        <v>35.0</v>
      </c>
      <c r="W251" s="3">
        <v>26.0</v>
      </c>
      <c r="X251" s="3">
        <v>34.0</v>
      </c>
      <c r="Y251" s="3">
        <v>47.0</v>
      </c>
      <c r="Z251" s="3">
        <v>42.0</v>
      </c>
      <c r="AA251" s="3">
        <v>31.0</v>
      </c>
      <c r="AB251" s="3">
        <v>27.0</v>
      </c>
      <c r="AC251" s="3">
        <v>47.0</v>
      </c>
      <c r="AD251" s="3">
        <v>27.0</v>
      </c>
      <c r="AE251" s="3">
        <v>37.0</v>
      </c>
      <c r="AF251" s="3">
        <v>31.0</v>
      </c>
      <c r="AG251" s="3">
        <v>39.0</v>
      </c>
      <c r="AH251" s="3">
        <v>16.0</v>
      </c>
      <c r="AI251" s="3">
        <v>75.0</v>
      </c>
      <c r="AJ251" s="3">
        <v>32.0</v>
      </c>
      <c r="AK251" s="3">
        <v>40.0</v>
      </c>
      <c r="AL251" s="3">
        <v>12.0</v>
      </c>
      <c r="AM251" s="3">
        <v>40.0</v>
      </c>
      <c r="AN251" s="3">
        <v>72.0</v>
      </c>
    </row>
    <row r="252" ht="14.25" customHeight="1">
      <c r="A252" s="3">
        <v>250.0</v>
      </c>
      <c r="B252" s="3" t="s">
        <v>7428</v>
      </c>
      <c r="C252" s="3">
        <v>20.0</v>
      </c>
      <c r="D252" s="3" t="s">
        <v>6645</v>
      </c>
      <c r="E252" s="3" t="s">
        <v>6646</v>
      </c>
      <c r="F252" s="3" t="s">
        <v>6646</v>
      </c>
      <c r="G252" s="3" t="s">
        <v>6645</v>
      </c>
      <c r="H252" s="3" t="s">
        <v>6645</v>
      </c>
      <c r="I252" s="3" t="s">
        <v>6645</v>
      </c>
      <c r="J252" s="3">
        <v>3.0</v>
      </c>
      <c r="K252" s="3">
        <v>0.0</v>
      </c>
      <c r="L252" s="3">
        <v>0.0</v>
      </c>
      <c r="M252" s="3">
        <v>0.0</v>
      </c>
      <c r="N252" s="3">
        <v>525.11</v>
      </c>
      <c r="O252" s="3">
        <v>83.0</v>
      </c>
      <c r="P252" s="3" t="e">
        <v>#N/A</v>
      </c>
      <c r="Q252" s="3">
        <v>36.0</v>
      </c>
      <c r="R252" s="3">
        <v>37.0</v>
      </c>
      <c r="S252" s="3">
        <v>33.0</v>
      </c>
      <c r="T252" s="3">
        <v>39.0</v>
      </c>
      <c r="U252" s="3">
        <v>30.0</v>
      </c>
      <c r="V252" s="3">
        <v>32.0</v>
      </c>
      <c r="W252" s="3">
        <v>28.0</v>
      </c>
      <c r="X252" s="3">
        <v>31.0</v>
      </c>
      <c r="Y252" s="3">
        <v>45.0</v>
      </c>
      <c r="Z252" s="3">
        <v>45.0</v>
      </c>
      <c r="AA252" s="3">
        <v>30.0</v>
      </c>
      <c r="AB252" s="3">
        <v>37.0</v>
      </c>
      <c r="AC252" s="3">
        <v>45.0</v>
      </c>
      <c r="AD252" s="3">
        <v>39.0</v>
      </c>
      <c r="AE252" s="3">
        <v>26.0</v>
      </c>
      <c r="AF252" s="3">
        <v>32.0</v>
      </c>
      <c r="AG252" s="3">
        <v>13.0</v>
      </c>
      <c r="AH252" s="3">
        <v>56.0</v>
      </c>
      <c r="AI252" s="3">
        <v>67.0</v>
      </c>
      <c r="AJ252" s="3">
        <v>34.0</v>
      </c>
      <c r="AK252" s="3">
        <v>49.0</v>
      </c>
      <c r="AL252" s="3">
        <v>27.0</v>
      </c>
      <c r="AM252" s="3">
        <v>57.0</v>
      </c>
      <c r="AN252" s="3">
        <v>72.0</v>
      </c>
    </row>
    <row r="253" ht="14.25" customHeight="1">
      <c r="A253" s="3">
        <v>251.0</v>
      </c>
      <c r="B253" s="3" t="s">
        <v>7429</v>
      </c>
      <c r="C253" s="3">
        <v>36.0</v>
      </c>
      <c r="D253" s="3" t="s">
        <v>6645</v>
      </c>
      <c r="E253" s="3" t="s">
        <v>6646</v>
      </c>
      <c r="F253" s="3" t="s">
        <v>6646</v>
      </c>
      <c r="G253" s="3" t="s">
        <v>6645</v>
      </c>
      <c r="H253" s="3" t="s">
        <v>6645</v>
      </c>
      <c r="I253" s="3" t="s">
        <v>6645</v>
      </c>
      <c r="J253" s="3">
        <v>4.0</v>
      </c>
      <c r="K253" s="3">
        <v>4.0</v>
      </c>
      <c r="L253" s="3">
        <v>0.0</v>
      </c>
      <c r="M253" s="3">
        <v>0.0</v>
      </c>
      <c r="N253" s="3">
        <v>12862.321</v>
      </c>
      <c r="O253" s="3">
        <v>1417.0</v>
      </c>
      <c r="P253" s="3" t="e">
        <v>#N/A</v>
      </c>
      <c r="Q253" s="3">
        <v>83.0</v>
      </c>
      <c r="R253" s="3">
        <v>60.0</v>
      </c>
      <c r="S253" s="3">
        <v>62.0</v>
      </c>
      <c r="T253" s="3">
        <v>74.0</v>
      </c>
      <c r="U253" s="3">
        <v>84.0</v>
      </c>
      <c r="V253" s="3">
        <v>59.0</v>
      </c>
      <c r="W253" s="3">
        <v>63.0</v>
      </c>
      <c r="X253" s="3">
        <v>66.0</v>
      </c>
      <c r="Y253" s="3">
        <v>73.0</v>
      </c>
      <c r="Z253" s="3">
        <v>56.0</v>
      </c>
      <c r="AA253" s="3">
        <v>55.0</v>
      </c>
      <c r="AB253" s="3">
        <v>63.0</v>
      </c>
      <c r="AC253" s="3">
        <v>82.0</v>
      </c>
      <c r="AD253" s="3">
        <v>65.0</v>
      </c>
      <c r="AE253" s="3">
        <v>59.0</v>
      </c>
      <c r="AF253" s="3">
        <v>69.0</v>
      </c>
      <c r="AG253" s="3">
        <v>68.0</v>
      </c>
      <c r="AH253" s="3">
        <v>53.0</v>
      </c>
      <c r="AI253" s="3">
        <v>27.0</v>
      </c>
      <c r="AJ253" s="3">
        <v>82.0</v>
      </c>
      <c r="AK253" s="3">
        <v>44.0</v>
      </c>
      <c r="AL253" s="3">
        <v>54.0</v>
      </c>
      <c r="AM253" s="3">
        <v>55.0</v>
      </c>
      <c r="AN253" s="3">
        <v>42.0</v>
      </c>
    </row>
    <row r="254" ht="14.25" customHeight="1">
      <c r="A254" s="3">
        <v>252.0</v>
      </c>
      <c r="B254" s="3" t="s">
        <v>7430</v>
      </c>
      <c r="C254" s="3">
        <v>43.0</v>
      </c>
      <c r="D254" s="3" t="s">
        <v>6645</v>
      </c>
      <c r="E254" s="3" t="s">
        <v>6646</v>
      </c>
      <c r="F254" s="3" t="s">
        <v>6646</v>
      </c>
      <c r="G254" s="3" t="s">
        <v>6645</v>
      </c>
      <c r="H254" s="3" t="s">
        <v>6645</v>
      </c>
      <c r="I254" s="3" t="s">
        <v>6645</v>
      </c>
      <c r="J254" s="3">
        <v>4.0</v>
      </c>
      <c r="K254" s="3">
        <v>4.0</v>
      </c>
      <c r="L254" s="3">
        <v>0.0</v>
      </c>
      <c r="M254" s="3">
        <v>0.0</v>
      </c>
      <c r="N254" s="3">
        <v>11016.856</v>
      </c>
      <c r="O254" s="3">
        <v>1313.0</v>
      </c>
      <c r="P254" s="3" t="e">
        <v>#N/A</v>
      </c>
      <c r="Q254" s="3">
        <v>79.0</v>
      </c>
      <c r="R254" s="3">
        <v>63.0</v>
      </c>
      <c r="S254" s="3">
        <v>60.0</v>
      </c>
      <c r="T254" s="3">
        <v>78.0</v>
      </c>
      <c r="U254" s="3">
        <v>85.0</v>
      </c>
      <c r="V254" s="3">
        <v>64.0</v>
      </c>
      <c r="W254" s="3">
        <v>66.0</v>
      </c>
      <c r="X254" s="3">
        <v>71.0</v>
      </c>
      <c r="Y254" s="3">
        <v>75.0</v>
      </c>
      <c r="Z254" s="3">
        <v>57.0</v>
      </c>
      <c r="AA254" s="3">
        <v>67.0</v>
      </c>
      <c r="AB254" s="3">
        <v>67.0</v>
      </c>
      <c r="AC254" s="3">
        <v>78.0</v>
      </c>
      <c r="AD254" s="3">
        <v>57.0</v>
      </c>
      <c r="AE254" s="3">
        <v>54.0</v>
      </c>
      <c r="AF254" s="3">
        <v>39.0</v>
      </c>
      <c r="AG254" s="3">
        <v>49.0</v>
      </c>
      <c r="AH254" s="3">
        <v>44.0</v>
      </c>
      <c r="AI254" s="3">
        <v>50.0</v>
      </c>
      <c r="AJ254" s="3">
        <v>80.0</v>
      </c>
      <c r="AK254" s="3">
        <v>51.0</v>
      </c>
      <c r="AL254" s="3">
        <v>43.0</v>
      </c>
      <c r="AM254" s="3">
        <v>47.0</v>
      </c>
      <c r="AN254" s="3">
        <v>66.0</v>
      </c>
    </row>
    <row r="255" ht="14.25" customHeight="1">
      <c r="A255" s="3">
        <v>253.0</v>
      </c>
      <c r="B255" s="3" t="s">
        <v>7431</v>
      </c>
      <c r="C255" s="3">
        <v>42.0</v>
      </c>
      <c r="D255" s="3" t="s">
        <v>6645</v>
      </c>
      <c r="E255" s="3" t="s">
        <v>6646</v>
      </c>
      <c r="F255" s="3" t="s">
        <v>6646</v>
      </c>
      <c r="G255" s="3" t="s">
        <v>6645</v>
      </c>
      <c r="H255" s="3" t="s">
        <v>6645</v>
      </c>
      <c r="I255" s="3" t="s">
        <v>6646</v>
      </c>
      <c r="J255" s="3">
        <v>4.0</v>
      </c>
      <c r="K255" s="3">
        <v>4.0</v>
      </c>
      <c r="L255" s="3">
        <v>0.0</v>
      </c>
      <c r="M255" s="3">
        <v>0.0</v>
      </c>
      <c r="N255" s="3">
        <v>12427.221</v>
      </c>
      <c r="O255" s="3">
        <v>1805.0</v>
      </c>
      <c r="P255" s="3" t="e">
        <v>#N/A</v>
      </c>
      <c r="Q255" s="3">
        <v>75.0</v>
      </c>
      <c r="R255" s="3">
        <v>63.0</v>
      </c>
      <c r="S255" s="3">
        <v>62.0</v>
      </c>
      <c r="T255" s="3">
        <v>78.0</v>
      </c>
      <c r="U255" s="3">
        <v>77.0</v>
      </c>
      <c r="V255" s="3">
        <v>60.0</v>
      </c>
      <c r="W255" s="3">
        <v>67.0</v>
      </c>
      <c r="X255" s="3">
        <v>70.0</v>
      </c>
      <c r="Y255" s="3">
        <v>74.0</v>
      </c>
      <c r="Z255" s="3">
        <v>61.0</v>
      </c>
      <c r="AA255" s="3">
        <v>61.0</v>
      </c>
      <c r="AB255" s="3">
        <v>66.0</v>
      </c>
      <c r="AC255" s="3">
        <v>85.0</v>
      </c>
      <c r="AD255" s="3">
        <v>65.0</v>
      </c>
      <c r="AE255" s="3">
        <v>64.0</v>
      </c>
      <c r="AF255" s="3">
        <v>69.0</v>
      </c>
      <c r="AG255" s="3">
        <v>71.0</v>
      </c>
      <c r="AH255" s="3">
        <v>47.0</v>
      </c>
      <c r="AI255" s="3">
        <v>61.0</v>
      </c>
      <c r="AJ255" s="3">
        <v>83.0</v>
      </c>
      <c r="AK255" s="3">
        <v>64.0</v>
      </c>
      <c r="AL255" s="3">
        <v>45.0</v>
      </c>
      <c r="AM255" s="3">
        <v>44.0</v>
      </c>
      <c r="AN255" s="3">
        <v>50.0</v>
      </c>
    </row>
    <row r="256" ht="14.25" customHeight="1">
      <c r="A256" s="3">
        <v>254.0</v>
      </c>
      <c r="B256" s="3" t="s">
        <v>7432</v>
      </c>
      <c r="C256" s="3">
        <v>38.0</v>
      </c>
      <c r="D256" s="3" t="s">
        <v>6645</v>
      </c>
      <c r="E256" s="3" t="s">
        <v>6646</v>
      </c>
      <c r="F256" s="3" t="s">
        <v>6646</v>
      </c>
      <c r="G256" s="3" t="s">
        <v>6645</v>
      </c>
      <c r="H256" s="3" t="s">
        <v>6645</v>
      </c>
      <c r="I256" s="3" t="s">
        <v>6646</v>
      </c>
      <c r="J256" s="3">
        <v>4.0</v>
      </c>
      <c r="K256" s="3">
        <v>3.0</v>
      </c>
      <c r="L256" s="3">
        <v>0.0</v>
      </c>
      <c r="M256" s="3">
        <v>0.0</v>
      </c>
      <c r="N256" s="3">
        <v>6817.9116</v>
      </c>
      <c r="O256" s="3">
        <v>632.0</v>
      </c>
      <c r="P256" s="3" t="e">
        <v>#N/A</v>
      </c>
      <c r="Q256" s="3">
        <v>57.0</v>
      </c>
      <c r="R256" s="3">
        <v>51.0</v>
      </c>
      <c r="S256" s="3">
        <v>51.0</v>
      </c>
      <c r="T256" s="3">
        <v>57.0</v>
      </c>
      <c r="U256" s="3">
        <v>59.0</v>
      </c>
      <c r="V256" s="3">
        <v>54.0</v>
      </c>
      <c r="W256" s="3">
        <v>61.0</v>
      </c>
      <c r="X256" s="3">
        <v>56.0</v>
      </c>
      <c r="Y256" s="3">
        <v>66.0</v>
      </c>
      <c r="Z256" s="3">
        <v>51.0</v>
      </c>
      <c r="AA256" s="3">
        <v>54.0</v>
      </c>
      <c r="AB256" s="3">
        <v>66.0</v>
      </c>
      <c r="AC256" s="3">
        <v>69.0</v>
      </c>
      <c r="AD256" s="3">
        <v>46.0</v>
      </c>
      <c r="AE256" s="3">
        <v>46.0</v>
      </c>
      <c r="AF256" s="3">
        <v>45.0</v>
      </c>
      <c r="AG256" s="3">
        <v>60.0</v>
      </c>
      <c r="AH256" s="3">
        <v>50.0</v>
      </c>
      <c r="AI256" s="3">
        <v>68.0</v>
      </c>
      <c r="AJ256" s="3">
        <v>86.0</v>
      </c>
      <c r="AK256" s="3">
        <v>45.0</v>
      </c>
      <c r="AL256" s="3">
        <v>53.0</v>
      </c>
      <c r="AM256" s="3">
        <v>45.0</v>
      </c>
      <c r="AN256" s="3">
        <v>40.0</v>
      </c>
    </row>
    <row r="257" ht="14.25" customHeight="1">
      <c r="A257" s="3">
        <v>255.0</v>
      </c>
      <c r="B257" s="3" t="s">
        <v>7433</v>
      </c>
      <c r="C257" s="3">
        <v>39.0</v>
      </c>
      <c r="D257" s="3" t="s">
        <v>6645</v>
      </c>
      <c r="E257" s="3" t="s">
        <v>6646</v>
      </c>
      <c r="F257" s="3" t="s">
        <v>6646</v>
      </c>
      <c r="G257" s="3" t="s">
        <v>6645</v>
      </c>
      <c r="H257" s="3" t="s">
        <v>6645</v>
      </c>
      <c r="I257" s="3" t="s">
        <v>6645</v>
      </c>
      <c r="J257" s="3">
        <v>4.0</v>
      </c>
      <c r="K257" s="3">
        <v>3.0</v>
      </c>
      <c r="L257" s="3">
        <v>0.0</v>
      </c>
      <c r="M257" s="3">
        <v>0.0</v>
      </c>
      <c r="N257" s="3">
        <v>6720.3002</v>
      </c>
      <c r="O257" s="3">
        <v>698.0</v>
      </c>
      <c r="P257" s="3" t="e">
        <v>#N/A</v>
      </c>
      <c r="Q257" s="3">
        <v>63.0</v>
      </c>
      <c r="R257" s="3">
        <v>53.0</v>
      </c>
      <c r="S257" s="3">
        <v>56.0</v>
      </c>
      <c r="T257" s="3">
        <v>58.0</v>
      </c>
      <c r="U257" s="3">
        <v>59.0</v>
      </c>
      <c r="V257" s="3">
        <v>60.0</v>
      </c>
      <c r="W257" s="3">
        <v>50.0</v>
      </c>
      <c r="X257" s="3">
        <v>60.0</v>
      </c>
      <c r="Y257" s="3">
        <v>60.0</v>
      </c>
      <c r="Z257" s="3">
        <v>52.0</v>
      </c>
      <c r="AA257" s="3">
        <v>46.0</v>
      </c>
      <c r="AB257" s="3">
        <v>61.0</v>
      </c>
      <c r="AC257" s="3">
        <v>61.0</v>
      </c>
      <c r="AD257" s="3">
        <v>58.0</v>
      </c>
      <c r="AE257" s="3">
        <v>47.0</v>
      </c>
      <c r="AF257" s="3">
        <v>68.0</v>
      </c>
      <c r="AG257" s="3">
        <v>65.0</v>
      </c>
      <c r="AH257" s="3">
        <v>66.0</v>
      </c>
      <c r="AI257" s="3">
        <v>57.0</v>
      </c>
      <c r="AJ257" s="3">
        <v>79.0</v>
      </c>
      <c r="AK257" s="3">
        <v>54.0</v>
      </c>
      <c r="AL257" s="3">
        <v>41.0</v>
      </c>
      <c r="AM257" s="3">
        <v>54.0</v>
      </c>
      <c r="AN257" s="3">
        <v>62.0</v>
      </c>
    </row>
    <row r="258" ht="14.25" customHeight="1">
      <c r="A258" s="3">
        <v>256.0</v>
      </c>
      <c r="B258" s="3" t="s">
        <v>7434</v>
      </c>
      <c r="C258" s="3">
        <v>39.0</v>
      </c>
      <c r="D258" s="3" t="s">
        <v>6645</v>
      </c>
      <c r="E258" s="3" t="s">
        <v>6646</v>
      </c>
      <c r="F258" s="3" t="s">
        <v>6646</v>
      </c>
      <c r="G258" s="3" t="s">
        <v>6645</v>
      </c>
      <c r="H258" s="3" t="s">
        <v>6645</v>
      </c>
      <c r="I258" s="3" t="s">
        <v>6645</v>
      </c>
      <c r="J258" s="3">
        <v>4.0</v>
      </c>
      <c r="K258" s="3">
        <v>3.0</v>
      </c>
      <c r="L258" s="3">
        <v>0.0</v>
      </c>
      <c r="M258" s="3">
        <v>0.0</v>
      </c>
      <c r="N258" s="3">
        <v>5847.8554</v>
      </c>
      <c r="O258" s="3">
        <v>892.0</v>
      </c>
      <c r="P258" s="3" t="e">
        <v>#N/A</v>
      </c>
      <c r="Q258" s="3">
        <v>57.0</v>
      </c>
      <c r="R258" s="3">
        <v>54.0</v>
      </c>
      <c r="S258" s="3">
        <v>54.0</v>
      </c>
      <c r="T258" s="3">
        <v>57.0</v>
      </c>
      <c r="U258" s="3">
        <v>60.0</v>
      </c>
      <c r="V258" s="3">
        <v>55.0</v>
      </c>
      <c r="W258" s="3">
        <v>55.0</v>
      </c>
      <c r="X258" s="3">
        <v>53.0</v>
      </c>
      <c r="Y258" s="3">
        <v>63.0</v>
      </c>
      <c r="Z258" s="3">
        <v>53.0</v>
      </c>
      <c r="AA258" s="3">
        <v>53.0</v>
      </c>
      <c r="AB258" s="3">
        <v>58.0</v>
      </c>
      <c r="AC258" s="3">
        <v>68.0</v>
      </c>
      <c r="AD258" s="3">
        <v>55.0</v>
      </c>
      <c r="AE258" s="3">
        <v>56.0</v>
      </c>
      <c r="AF258" s="3">
        <v>58.0</v>
      </c>
      <c r="AG258" s="3">
        <v>55.0</v>
      </c>
      <c r="AH258" s="3">
        <v>63.0</v>
      </c>
      <c r="AI258" s="3">
        <v>39.0</v>
      </c>
      <c r="AJ258" s="3">
        <v>70.0</v>
      </c>
      <c r="AK258" s="3">
        <v>53.0</v>
      </c>
      <c r="AL258" s="3">
        <v>14.0</v>
      </c>
      <c r="AM258" s="3">
        <v>48.0</v>
      </c>
      <c r="AN258" s="3">
        <v>67.0</v>
      </c>
    </row>
    <row r="259" ht="14.25" customHeight="1">
      <c r="A259" s="3">
        <v>257.0</v>
      </c>
      <c r="B259" s="3" t="s">
        <v>7435</v>
      </c>
      <c r="C259" s="3">
        <v>30.0</v>
      </c>
      <c r="D259" s="3" t="s">
        <v>6645</v>
      </c>
      <c r="E259" s="3" t="s">
        <v>6646</v>
      </c>
      <c r="F259" s="3" t="s">
        <v>6646</v>
      </c>
      <c r="G259" s="3" t="s">
        <v>6645</v>
      </c>
      <c r="H259" s="3" t="s">
        <v>6645</v>
      </c>
      <c r="I259" s="3" t="s">
        <v>6645</v>
      </c>
      <c r="J259" s="3">
        <v>4.0</v>
      </c>
      <c r="K259" s="3">
        <v>3.0</v>
      </c>
      <c r="L259" s="3">
        <v>0.0</v>
      </c>
      <c r="M259" s="3">
        <v>0.0</v>
      </c>
      <c r="N259" s="3">
        <v>6307.61</v>
      </c>
      <c r="O259" s="3">
        <v>888.0</v>
      </c>
      <c r="P259" s="3" t="e">
        <v>#N/A</v>
      </c>
      <c r="Q259" s="3">
        <v>55.0</v>
      </c>
      <c r="R259" s="3">
        <v>55.0</v>
      </c>
      <c r="S259" s="3">
        <v>56.0</v>
      </c>
      <c r="T259" s="3">
        <v>51.0</v>
      </c>
      <c r="U259" s="3">
        <v>65.0</v>
      </c>
      <c r="V259" s="3">
        <v>60.0</v>
      </c>
      <c r="W259" s="3">
        <v>56.0</v>
      </c>
      <c r="X259" s="3">
        <v>49.0</v>
      </c>
      <c r="Y259" s="3">
        <v>59.0</v>
      </c>
      <c r="Z259" s="3">
        <v>57.0</v>
      </c>
      <c r="AA259" s="3">
        <v>53.0</v>
      </c>
      <c r="AB259" s="3">
        <v>55.0</v>
      </c>
      <c r="AC259" s="3">
        <v>67.0</v>
      </c>
      <c r="AD259" s="3">
        <v>59.0</v>
      </c>
      <c r="AE259" s="3">
        <v>53.0</v>
      </c>
      <c r="AF259" s="3">
        <v>29.0</v>
      </c>
      <c r="AG259" s="3">
        <v>41.0</v>
      </c>
      <c r="AH259" s="3">
        <v>68.0</v>
      </c>
      <c r="AI259" s="3">
        <v>63.0</v>
      </c>
      <c r="AJ259" s="3">
        <v>76.0</v>
      </c>
      <c r="AK259" s="3">
        <v>48.0</v>
      </c>
      <c r="AL259" s="3">
        <v>63.0</v>
      </c>
      <c r="AM259" s="3">
        <v>55.0</v>
      </c>
      <c r="AN259" s="3">
        <v>41.0</v>
      </c>
    </row>
    <row r="260" ht="14.25" customHeight="1">
      <c r="A260" s="3">
        <v>258.0</v>
      </c>
      <c r="B260" s="3" t="s">
        <v>7436</v>
      </c>
      <c r="C260" s="3">
        <v>33.0</v>
      </c>
      <c r="D260" s="3" t="s">
        <v>6645</v>
      </c>
      <c r="E260" s="3" t="s">
        <v>6646</v>
      </c>
      <c r="F260" s="3" t="s">
        <v>6646</v>
      </c>
      <c r="G260" s="3" t="s">
        <v>6645</v>
      </c>
      <c r="H260" s="3" t="s">
        <v>6645</v>
      </c>
      <c r="I260" s="3" t="s">
        <v>6646</v>
      </c>
      <c r="J260" s="3">
        <v>4.0</v>
      </c>
      <c r="K260" s="3">
        <v>2.0</v>
      </c>
      <c r="L260" s="3">
        <v>0.0</v>
      </c>
      <c r="M260" s="3">
        <v>0.0</v>
      </c>
      <c r="N260" s="3">
        <v>4038.6472</v>
      </c>
      <c r="O260" s="3">
        <v>460.0</v>
      </c>
      <c r="P260" s="3" t="e">
        <v>#N/A</v>
      </c>
      <c r="Q260" s="3">
        <v>52.0</v>
      </c>
      <c r="R260" s="3">
        <v>49.0</v>
      </c>
      <c r="S260" s="3">
        <v>51.0</v>
      </c>
      <c r="T260" s="3">
        <v>46.0</v>
      </c>
      <c r="U260" s="3">
        <v>49.0</v>
      </c>
      <c r="V260" s="3">
        <v>44.0</v>
      </c>
      <c r="W260" s="3">
        <v>45.0</v>
      </c>
      <c r="X260" s="3">
        <v>47.0</v>
      </c>
      <c r="Y260" s="3">
        <v>56.0</v>
      </c>
      <c r="Z260" s="3">
        <v>42.0</v>
      </c>
      <c r="AA260" s="3">
        <v>43.0</v>
      </c>
      <c r="AB260" s="3">
        <v>51.0</v>
      </c>
      <c r="AC260" s="3">
        <v>57.0</v>
      </c>
      <c r="AD260" s="3">
        <v>44.0</v>
      </c>
      <c r="AE260" s="3">
        <v>43.0</v>
      </c>
      <c r="AF260" s="3">
        <v>45.0</v>
      </c>
      <c r="AG260" s="3">
        <v>44.0</v>
      </c>
      <c r="AH260" s="3">
        <v>63.0</v>
      </c>
      <c r="AI260" s="3">
        <v>36.0</v>
      </c>
      <c r="AJ260" s="3">
        <v>74.0</v>
      </c>
      <c r="AK260" s="3">
        <v>53.0</v>
      </c>
      <c r="AL260" s="3">
        <v>54.0</v>
      </c>
      <c r="AM260" s="3">
        <v>37.0</v>
      </c>
      <c r="AN260" s="3">
        <v>41.0</v>
      </c>
    </row>
    <row r="261" ht="14.25" customHeight="1">
      <c r="A261" s="3">
        <v>259.0</v>
      </c>
      <c r="B261" s="3" t="s">
        <v>7437</v>
      </c>
      <c r="C261" s="3">
        <v>31.0</v>
      </c>
      <c r="D261" s="3" t="s">
        <v>6645</v>
      </c>
      <c r="E261" s="3" t="s">
        <v>6646</v>
      </c>
      <c r="F261" s="3" t="s">
        <v>6646</v>
      </c>
      <c r="G261" s="3" t="s">
        <v>6645</v>
      </c>
      <c r="H261" s="3" t="s">
        <v>6645</v>
      </c>
      <c r="I261" s="3" t="s">
        <v>6645</v>
      </c>
      <c r="J261" s="3">
        <v>4.0</v>
      </c>
      <c r="K261" s="3">
        <v>2.0</v>
      </c>
      <c r="L261" s="3">
        <v>0.0</v>
      </c>
      <c r="M261" s="3">
        <v>0.0</v>
      </c>
      <c r="N261" s="3">
        <v>3820.8</v>
      </c>
      <c r="O261" s="3">
        <v>482.0</v>
      </c>
      <c r="P261" s="3" t="e">
        <v>#N/A</v>
      </c>
      <c r="Q261" s="3">
        <v>45.0</v>
      </c>
      <c r="R261" s="3">
        <v>44.0</v>
      </c>
      <c r="S261" s="3">
        <v>49.0</v>
      </c>
      <c r="T261" s="3">
        <v>52.0</v>
      </c>
      <c r="U261" s="3">
        <v>47.0</v>
      </c>
      <c r="V261" s="3">
        <v>44.0</v>
      </c>
      <c r="W261" s="3">
        <v>46.0</v>
      </c>
      <c r="X261" s="3">
        <v>45.0</v>
      </c>
      <c r="Y261" s="3">
        <v>51.0</v>
      </c>
      <c r="Z261" s="3">
        <v>46.0</v>
      </c>
      <c r="AA261" s="3">
        <v>53.0</v>
      </c>
      <c r="AB261" s="3">
        <v>55.0</v>
      </c>
      <c r="AC261" s="3">
        <v>60.0</v>
      </c>
      <c r="AD261" s="3">
        <v>48.0</v>
      </c>
      <c r="AE261" s="3">
        <v>48.0</v>
      </c>
      <c r="AF261" s="3">
        <v>56.0</v>
      </c>
      <c r="AG261" s="3">
        <v>37.0</v>
      </c>
      <c r="AH261" s="3">
        <v>47.0</v>
      </c>
      <c r="AI261" s="3">
        <v>34.0</v>
      </c>
      <c r="AJ261" s="3">
        <v>70.0</v>
      </c>
      <c r="AK261" s="3">
        <v>41.0</v>
      </c>
      <c r="AL261" s="3">
        <v>47.0</v>
      </c>
      <c r="AM261" s="3">
        <v>50.0</v>
      </c>
      <c r="AN261" s="3">
        <v>57.0</v>
      </c>
    </row>
    <row r="262" ht="14.25" customHeight="1">
      <c r="A262" s="3">
        <v>260.0</v>
      </c>
      <c r="B262" s="3" t="s">
        <v>7438</v>
      </c>
      <c r="C262" s="3">
        <v>32.0</v>
      </c>
      <c r="D262" s="3" t="s">
        <v>6645</v>
      </c>
      <c r="E262" s="3" t="s">
        <v>6646</v>
      </c>
      <c r="F262" s="3" t="s">
        <v>6646</v>
      </c>
      <c r="G262" s="3" t="s">
        <v>6645</v>
      </c>
      <c r="H262" s="3" t="s">
        <v>6645</v>
      </c>
      <c r="I262" s="3" t="s">
        <v>6645</v>
      </c>
      <c r="J262" s="3">
        <v>4.0</v>
      </c>
      <c r="K262" s="3">
        <v>2.0</v>
      </c>
      <c r="L262" s="3">
        <v>0.0</v>
      </c>
      <c r="M262" s="3">
        <v>0.0</v>
      </c>
      <c r="N262" s="3">
        <v>3880.5158</v>
      </c>
      <c r="O262" s="3">
        <v>362.0</v>
      </c>
      <c r="P262" s="3" t="e">
        <v>#N/A</v>
      </c>
      <c r="Q262" s="3">
        <v>52.0</v>
      </c>
      <c r="R262" s="3">
        <v>53.0</v>
      </c>
      <c r="S262" s="3">
        <v>44.0</v>
      </c>
      <c r="T262" s="3">
        <v>44.0</v>
      </c>
      <c r="U262" s="3">
        <v>46.0</v>
      </c>
      <c r="V262" s="3">
        <v>44.0</v>
      </c>
      <c r="W262" s="3">
        <v>52.0</v>
      </c>
      <c r="X262" s="3">
        <v>42.0</v>
      </c>
      <c r="Y262" s="3">
        <v>57.0</v>
      </c>
      <c r="Z262" s="3">
        <v>52.0</v>
      </c>
      <c r="AA262" s="3">
        <v>44.0</v>
      </c>
      <c r="AB262" s="3">
        <v>60.0</v>
      </c>
      <c r="AC262" s="3">
        <v>53.0</v>
      </c>
      <c r="AD262" s="3">
        <v>51.0</v>
      </c>
      <c r="AE262" s="3">
        <v>48.0</v>
      </c>
      <c r="AF262" s="3">
        <v>58.0</v>
      </c>
      <c r="AG262" s="3">
        <v>44.0</v>
      </c>
      <c r="AH262" s="3">
        <v>45.0</v>
      </c>
      <c r="AI262" s="3">
        <v>38.0</v>
      </c>
      <c r="AJ262" s="3">
        <v>77.0</v>
      </c>
      <c r="AK262" s="3">
        <v>62.0</v>
      </c>
      <c r="AL262" s="3">
        <v>26.0</v>
      </c>
      <c r="AM262" s="3">
        <v>37.0</v>
      </c>
      <c r="AN262" s="3">
        <v>47.0</v>
      </c>
    </row>
    <row r="263" ht="14.25" customHeight="1">
      <c r="A263" s="3">
        <v>261.0</v>
      </c>
      <c r="B263" s="3" t="s">
        <v>7439</v>
      </c>
      <c r="C263" s="3">
        <v>31.0</v>
      </c>
      <c r="D263" s="3" t="s">
        <v>6645</v>
      </c>
      <c r="E263" s="3" t="s">
        <v>6646</v>
      </c>
      <c r="F263" s="3" t="s">
        <v>6646</v>
      </c>
      <c r="G263" s="3" t="s">
        <v>6645</v>
      </c>
      <c r="H263" s="3" t="s">
        <v>6645</v>
      </c>
      <c r="I263" s="3" t="s">
        <v>6645</v>
      </c>
      <c r="J263" s="3">
        <v>4.0</v>
      </c>
      <c r="K263" s="3">
        <v>2.0</v>
      </c>
      <c r="L263" s="3">
        <v>0.0</v>
      </c>
      <c r="M263" s="3">
        <v>0.0</v>
      </c>
      <c r="N263" s="3">
        <v>4125.08</v>
      </c>
      <c r="O263" s="3">
        <v>404.0</v>
      </c>
      <c r="P263" s="3" t="e">
        <v>#N/A</v>
      </c>
      <c r="Q263" s="3">
        <v>49.0</v>
      </c>
      <c r="R263" s="3">
        <v>50.0</v>
      </c>
      <c r="S263" s="3">
        <v>48.0</v>
      </c>
      <c r="T263" s="3">
        <v>49.0</v>
      </c>
      <c r="U263" s="3">
        <v>52.0</v>
      </c>
      <c r="V263" s="3">
        <v>52.0</v>
      </c>
      <c r="W263" s="3">
        <v>40.0</v>
      </c>
      <c r="X263" s="3">
        <v>49.0</v>
      </c>
      <c r="Y263" s="3">
        <v>58.0</v>
      </c>
      <c r="Z263" s="3">
        <v>48.0</v>
      </c>
      <c r="AA263" s="3">
        <v>49.0</v>
      </c>
      <c r="AB263" s="3">
        <v>49.0</v>
      </c>
      <c r="AC263" s="3">
        <v>52.0</v>
      </c>
      <c r="AD263" s="3">
        <v>44.0</v>
      </c>
      <c r="AE263" s="3">
        <v>49.0</v>
      </c>
      <c r="AF263" s="3">
        <v>22.0</v>
      </c>
      <c r="AG263" s="3">
        <v>36.0</v>
      </c>
      <c r="AH263" s="3">
        <v>41.0</v>
      </c>
      <c r="AI263" s="3">
        <v>58.0</v>
      </c>
      <c r="AJ263" s="3">
        <v>67.0</v>
      </c>
      <c r="AK263" s="3">
        <v>38.0</v>
      </c>
      <c r="AL263" s="3">
        <v>55.0</v>
      </c>
      <c r="AM263" s="3">
        <v>40.0</v>
      </c>
      <c r="AN263" s="3">
        <v>48.0</v>
      </c>
    </row>
    <row r="264" ht="14.25" customHeight="1">
      <c r="A264" s="3">
        <v>262.0</v>
      </c>
      <c r="B264" s="3" t="s">
        <v>7440</v>
      </c>
      <c r="C264" s="3">
        <v>22.0</v>
      </c>
      <c r="D264" s="3" t="s">
        <v>6645</v>
      </c>
      <c r="E264" s="3" t="s">
        <v>6646</v>
      </c>
      <c r="F264" s="3" t="s">
        <v>6646</v>
      </c>
      <c r="G264" s="3" t="s">
        <v>6645</v>
      </c>
      <c r="H264" s="3" t="s">
        <v>6645</v>
      </c>
      <c r="I264" s="3" t="s">
        <v>6646</v>
      </c>
      <c r="J264" s="3">
        <v>4.0</v>
      </c>
      <c r="K264" s="3">
        <v>1.0</v>
      </c>
      <c r="L264" s="3">
        <v>0.0</v>
      </c>
      <c r="M264" s="3">
        <v>0.0</v>
      </c>
      <c r="N264" s="3">
        <v>1623.5333</v>
      </c>
      <c r="O264" s="3">
        <v>231.0</v>
      </c>
      <c r="P264" s="3" t="e">
        <v>#N/A</v>
      </c>
      <c r="Q264" s="3">
        <v>45.0</v>
      </c>
      <c r="R264" s="3">
        <v>42.0</v>
      </c>
      <c r="S264" s="3">
        <v>45.0</v>
      </c>
      <c r="T264" s="3">
        <v>40.0</v>
      </c>
      <c r="U264" s="3">
        <v>42.0</v>
      </c>
      <c r="V264" s="3">
        <v>44.0</v>
      </c>
      <c r="W264" s="3">
        <v>33.0</v>
      </c>
      <c r="X264" s="3">
        <v>37.0</v>
      </c>
      <c r="Y264" s="3">
        <v>46.0</v>
      </c>
      <c r="Z264" s="3">
        <v>36.0</v>
      </c>
      <c r="AA264" s="3">
        <v>43.0</v>
      </c>
      <c r="AB264" s="3">
        <v>46.0</v>
      </c>
      <c r="AC264" s="3">
        <v>49.0</v>
      </c>
      <c r="AD264" s="3">
        <v>36.0</v>
      </c>
      <c r="AE264" s="3">
        <v>43.0</v>
      </c>
      <c r="AF264" s="3">
        <v>53.0</v>
      </c>
      <c r="AG264" s="3">
        <v>45.0</v>
      </c>
      <c r="AH264" s="3">
        <v>62.0</v>
      </c>
      <c r="AI264" s="3">
        <v>43.0</v>
      </c>
      <c r="AJ264" s="3">
        <v>70.0</v>
      </c>
      <c r="AK264" s="3">
        <v>39.0</v>
      </c>
      <c r="AL264" s="3">
        <v>46.0</v>
      </c>
      <c r="AM264" s="3">
        <v>24.0</v>
      </c>
      <c r="AN264" s="3">
        <v>57.0</v>
      </c>
    </row>
    <row r="265" ht="14.25" customHeight="1">
      <c r="A265" s="3">
        <v>263.0</v>
      </c>
      <c r="B265" s="3" t="s">
        <v>7441</v>
      </c>
      <c r="C265" s="3">
        <v>29.0</v>
      </c>
      <c r="D265" s="3" t="s">
        <v>6645</v>
      </c>
      <c r="E265" s="3" t="s">
        <v>6646</v>
      </c>
      <c r="F265" s="3" t="s">
        <v>6646</v>
      </c>
      <c r="G265" s="3" t="s">
        <v>6645</v>
      </c>
      <c r="H265" s="3" t="s">
        <v>6645</v>
      </c>
      <c r="I265" s="3" t="s">
        <v>6645</v>
      </c>
      <c r="J265" s="3">
        <v>4.0</v>
      </c>
      <c r="K265" s="3">
        <v>1.0</v>
      </c>
      <c r="L265" s="3">
        <v>0.0</v>
      </c>
      <c r="M265" s="3">
        <v>0.0</v>
      </c>
      <c r="N265" s="3">
        <v>1687.3006</v>
      </c>
      <c r="O265" s="3">
        <v>214.0</v>
      </c>
      <c r="P265" s="3" t="e">
        <v>#N/A</v>
      </c>
      <c r="Q265" s="3">
        <v>45.0</v>
      </c>
      <c r="R265" s="3">
        <v>41.0</v>
      </c>
      <c r="S265" s="3">
        <v>44.0</v>
      </c>
      <c r="T265" s="3">
        <v>38.0</v>
      </c>
      <c r="U265" s="3">
        <v>38.0</v>
      </c>
      <c r="V265" s="3">
        <v>38.0</v>
      </c>
      <c r="W265" s="3">
        <v>32.0</v>
      </c>
      <c r="X265" s="3">
        <v>45.0</v>
      </c>
      <c r="Y265" s="3">
        <v>49.0</v>
      </c>
      <c r="Z265" s="3">
        <v>46.0</v>
      </c>
      <c r="AA265" s="3">
        <v>42.0</v>
      </c>
      <c r="AB265" s="3">
        <v>47.0</v>
      </c>
      <c r="AC265" s="3">
        <v>49.0</v>
      </c>
      <c r="AD265" s="3">
        <v>34.0</v>
      </c>
      <c r="AE265" s="3">
        <v>37.0</v>
      </c>
      <c r="AF265" s="3">
        <v>42.0</v>
      </c>
      <c r="AG265" s="3">
        <v>40.0</v>
      </c>
      <c r="AH265" s="3">
        <v>25.0</v>
      </c>
      <c r="AI265" s="3">
        <v>49.0</v>
      </c>
      <c r="AJ265" s="3">
        <v>74.0</v>
      </c>
      <c r="AK265" s="3">
        <v>42.0</v>
      </c>
      <c r="AL265" s="3">
        <v>48.0</v>
      </c>
      <c r="AM265" s="3">
        <v>37.0</v>
      </c>
      <c r="AN265" s="3">
        <v>61.0</v>
      </c>
    </row>
    <row r="266" ht="14.25" customHeight="1">
      <c r="A266" s="3">
        <v>264.0</v>
      </c>
      <c r="B266" s="3" t="s">
        <v>7442</v>
      </c>
      <c r="C266" s="3">
        <v>28.0</v>
      </c>
      <c r="D266" s="3" t="s">
        <v>6645</v>
      </c>
      <c r="E266" s="3" t="s">
        <v>6646</v>
      </c>
      <c r="F266" s="3" t="s">
        <v>6646</v>
      </c>
      <c r="G266" s="3" t="s">
        <v>6645</v>
      </c>
      <c r="H266" s="3" t="s">
        <v>6645</v>
      </c>
      <c r="I266" s="3" t="s">
        <v>6646</v>
      </c>
      <c r="J266" s="3">
        <v>4.0</v>
      </c>
      <c r="K266" s="3">
        <v>1.0</v>
      </c>
      <c r="L266" s="3">
        <v>0.0</v>
      </c>
      <c r="M266" s="3">
        <v>0.0</v>
      </c>
      <c r="N266" s="3">
        <v>1634.9067</v>
      </c>
      <c r="O266" s="3">
        <v>232.0</v>
      </c>
      <c r="P266" s="3" t="e">
        <v>#N/A</v>
      </c>
      <c r="Q266" s="3">
        <v>44.0</v>
      </c>
      <c r="R266" s="3">
        <v>37.0</v>
      </c>
      <c r="S266" s="3">
        <v>39.0</v>
      </c>
      <c r="T266" s="3">
        <v>43.0</v>
      </c>
      <c r="U266" s="3">
        <v>43.0</v>
      </c>
      <c r="V266" s="3">
        <v>42.0</v>
      </c>
      <c r="W266" s="3">
        <v>34.0</v>
      </c>
      <c r="X266" s="3">
        <v>29.0</v>
      </c>
      <c r="Y266" s="3">
        <v>47.0</v>
      </c>
      <c r="Z266" s="3">
        <v>44.0</v>
      </c>
      <c r="AA266" s="3">
        <v>34.0</v>
      </c>
      <c r="AB266" s="3">
        <v>44.0</v>
      </c>
      <c r="AC266" s="3">
        <v>46.0</v>
      </c>
      <c r="AD266" s="3">
        <v>43.0</v>
      </c>
      <c r="AE266" s="3">
        <v>42.0</v>
      </c>
      <c r="AF266" s="3">
        <v>46.0</v>
      </c>
      <c r="AG266" s="3">
        <v>44.0</v>
      </c>
      <c r="AH266" s="3">
        <v>45.0</v>
      </c>
      <c r="AI266" s="3">
        <v>58.0</v>
      </c>
      <c r="AJ266" s="3">
        <v>75.0</v>
      </c>
      <c r="AK266" s="3">
        <v>40.0</v>
      </c>
      <c r="AL266" s="3">
        <v>37.0</v>
      </c>
      <c r="AM266" s="3">
        <v>61.0</v>
      </c>
      <c r="AN266" s="3">
        <v>33.0</v>
      </c>
    </row>
    <row r="267" ht="14.25" customHeight="1">
      <c r="A267" s="3">
        <v>265.0</v>
      </c>
      <c r="B267" s="3" t="s">
        <v>7443</v>
      </c>
      <c r="C267" s="3">
        <v>29.0</v>
      </c>
      <c r="D267" s="3" t="s">
        <v>6645</v>
      </c>
      <c r="E267" s="3" t="s">
        <v>6646</v>
      </c>
      <c r="F267" s="3" t="s">
        <v>6646</v>
      </c>
      <c r="G267" s="3" t="s">
        <v>6645</v>
      </c>
      <c r="H267" s="3" t="s">
        <v>6645</v>
      </c>
      <c r="I267" s="3" t="s">
        <v>6645</v>
      </c>
      <c r="J267" s="3">
        <v>4.0</v>
      </c>
      <c r="K267" s="3">
        <v>1.0</v>
      </c>
      <c r="L267" s="3">
        <v>0.0</v>
      </c>
      <c r="M267" s="3">
        <v>0.0</v>
      </c>
      <c r="N267" s="3">
        <v>1578.38</v>
      </c>
      <c r="O267" s="3">
        <v>223.0</v>
      </c>
      <c r="P267" s="3" t="e">
        <v>#N/A</v>
      </c>
      <c r="Q267" s="3">
        <v>43.0</v>
      </c>
      <c r="R267" s="3">
        <v>44.0</v>
      </c>
      <c r="S267" s="3">
        <v>43.0</v>
      </c>
      <c r="T267" s="3">
        <v>39.0</v>
      </c>
      <c r="U267" s="3">
        <v>40.0</v>
      </c>
      <c r="V267" s="3">
        <v>39.0</v>
      </c>
      <c r="W267" s="3">
        <v>39.0</v>
      </c>
      <c r="X267" s="3">
        <v>39.0</v>
      </c>
      <c r="Y267" s="3">
        <v>52.0</v>
      </c>
      <c r="Z267" s="3">
        <v>30.0</v>
      </c>
      <c r="AA267" s="3">
        <v>38.0</v>
      </c>
      <c r="AB267" s="3">
        <v>52.0</v>
      </c>
      <c r="AC267" s="3">
        <v>44.0</v>
      </c>
      <c r="AD267" s="3">
        <v>29.0</v>
      </c>
      <c r="AE267" s="3">
        <v>43.0</v>
      </c>
      <c r="AF267" s="3">
        <v>45.0</v>
      </c>
      <c r="AG267" s="3">
        <v>37.0</v>
      </c>
      <c r="AH267" s="3">
        <v>10.0</v>
      </c>
      <c r="AI267" s="3">
        <v>56.0</v>
      </c>
      <c r="AJ267" s="3">
        <v>63.0</v>
      </c>
      <c r="AK267" s="3">
        <v>46.0</v>
      </c>
      <c r="AL267" s="3">
        <v>52.0</v>
      </c>
      <c r="AM267" s="3">
        <v>40.0</v>
      </c>
      <c r="AN267" s="3">
        <v>55.0</v>
      </c>
    </row>
    <row r="268" ht="14.25" customHeight="1">
      <c r="A268" s="3">
        <v>266.0</v>
      </c>
      <c r="B268" s="3" t="s">
        <v>7444</v>
      </c>
      <c r="C268" s="3">
        <v>23.0</v>
      </c>
      <c r="D268" s="3" t="s">
        <v>6645</v>
      </c>
      <c r="E268" s="3" t="s">
        <v>6646</v>
      </c>
      <c r="F268" s="3" t="s">
        <v>6646</v>
      </c>
      <c r="G268" s="3" t="s">
        <v>6645</v>
      </c>
      <c r="H268" s="3" t="s">
        <v>6645</v>
      </c>
      <c r="I268" s="3" t="s">
        <v>6645</v>
      </c>
      <c r="J268" s="3">
        <v>4.0</v>
      </c>
      <c r="K268" s="3">
        <v>1.0</v>
      </c>
      <c r="L268" s="3">
        <v>0.0</v>
      </c>
      <c r="M268" s="3">
        <v>0.0</v>
      </c>
      <c r="N268" s="3">
        <v>1511.4464</v>
      </c>
      <c r="O268" s="3">
        <v>206.0</v>
      </c>
      <c r="P268" s="3" t="e">
        <v>#N/A</v>
      </c>
      <c r="Q268" s="3">
        <v>44.0</v>
      </c>
      <c r="R268" s="3">
        <v>41.0</v>
      </c>
      <c r="S268" s="3">
        <v>45.0</v>
      </c>
      <c r="T268" s="3">
        <v>41.0</v>
      </c>
      <c r="U268" s="3">
        <v>45.0</v>
      </c>
      <c r="V268" s="3">
        <v>44.0</v>
      </c>
      <c r="W268" s="3">
        <v>37.0</v>
      </c>
      <c r="X268" s="3">
        <v>41.0</v>
      </c>
      <c r="Y268" s="3">
        <v>45.0</v>
      </c>
      <c r="Z268" s="3">
        <v>45.0</v>
      </c>
      <c r="AA268" s="3">
        <v>45.0</v>
      </c>
      <c r="AB268" s="3">
        <v>45.0</v>
      </c>
      <c r="AC268" s="3">
        <v>48.0</v>
      </c>
      <c r="AD268" s="3">
        <v>36.0</v>
      </c>
      <c r="AE268" s="3">
        <v>32.0</v>
      </c>
      <c r="AF268" s="3">
        <v>62.0</v>
      </c>
      <c r="AG268" s="3">
        <v>59.0</v>
      </c>
      <c r="AH268" s="3">
        <v>62.0</v>
      </c>
      <c r="AI268" s="3">
        <v>59.0</v>
      </c>
      <c r="AJ268" s="3">
        <v>72.0</v>
      </c>
      <c r="AK268" s="3">
        <v>52.0</v>
      </c>
      <c r="AL268" s="3">
        <v>17.0</v>
      </c>
      <c r="AM268" s="3">
        <v>42.0</v>
      </c>
      <c r="AN268" s="3">
        <v>52.0</v>
      </c>
    </row>
    <row r="269" ht="14.25" customHeight="1">
      <c r="A269" s="3">
        <v>267.0</v>
      </c>
      <c r="B269" s="3" t="s">
        <v>7445</v>
      </c>
      <c r="C269" s="3">
        <v>15.0</v>
      </c>
      <c r="D269" s="3" t="s">
        <v>6645</v>
      </c>
      <c r="E269" s="3" t="s">
        <v>6646</v>
      </c>
      <c r="F269" s="3" t="s">
        <v>6646</v>
      </c>
      <c r="G269" s="3" t="s">
        <v>6645</v>
      </c>
      <c r="H269" s="3" t="s">
        <v>6645</v>
      </c>
      <c r="I269" s="3" t="s">
        <v>6646</v>
      </c>
      <c r="J269" s="3">
        <v>4.0</v>
      </c>
      <c r="K269" s="3">
        <v>0.0</v>
      </c>
      <c r="L269" s="3">
        <v>0.0</v>
      </c>
      <c r="M269" s="3">
        <v>0.0</v>
      </c>
      <c r="N269" s="3">
        <v>458.874</v>
      </c>
      <c r="O269" s="3">
        <v>99.0</v>
      </c>
      <c r="P269" s="3" t="e">
        <v>#N/A</v>
      </c>
      <c r="Q269" s="3">
        <v>36.0</v>
      </c>
      <c r="R269" s="3">
        <v>35.0</v>
      </c>
      <c r="S269" s="3">
        <v>33.0</v>
      </c>
      <c r="T269" s="3">
        <v>36.0</v>
      </c>
      <c r="U269" s="3">
        <v>37.0</v>
      </c>
      <c r="V269" s="3">
        <v>37.0</v>
      </c>
      <c r="W269" s="3">
        <v>30.0</v>
      </c>
      <c r="X269" s="3">
        <v>38.0</v>
      </c>
      <c r="Y269" s="3">
        <v>37.0</v>
      </c>
      <c r="Z269" s="3">
        <v>30.0</v>
      </c>
      <c r="AA269" s="3">
        <v>31.0</v>
      </c>
      <c r="AB269" s="3">
        <v>42.0</v>
      </c>
      <c r="AC269" s="3">
        <v>38.0</v>
      </c>
      <c r="AD269" s="3">
        <v>32.0</v>
      </c>
      <c r="AE269" s="3">
        <v>22.0</v>
      </c>
      <c r="AF269" s="3">
        <v>52.0</v>
      </c>
      <c r="AG269" s="3">
        <v>54.0</v>
      </c>
      <c r="AH269" s="3">
        <v>49.0</v>
      </c>
      <c r="AI269" s="3">
        <v>45.0</v>
      </c>
      <c r="AJ269" s="3">
        <v>76.0</v>
      </c>
      <c r="AK269" s="3">
        <v>41.0</v>
      </c>
      <c r="AL269" s="3">
        <v>56.0</v>
      </c>
      <c r="AM269" s="3">
        <v>32.0</v>
      </c>
      <c r="AN269" s="3">
        <v>23.0</v>
      </c>
    </row>
    <row r="270" ht="14.25" customHeight="1">
      <c r="A270" s="3">
        <v>268.0</v>
      </c>
      <c r="B270" s="3" t="s">
        <v>7446</v>
      </c>
      <c r="C270" s="3">
        <v>21.0</v>
      </c>
      <c r="D270" s="3" t="s">
        <v>6645</v>
      </c>
      <c r="E270" s="3" t="s">
        <v>6646</v>
      </c>
      <c r="F270" s="3" t="s">
        <v>6646</v>
      </c>
      <c r="G270" s="3" t="s">
        <v>6645</v>
      </c>
      <c r="H270" s="3" t="s">
        <v>6645</v>
      </c>
      <c r="I270" s="3" t="s">
        <v>6646</v>
      </c>
      <c r="J270" s="3">
        <v>4.0</v>
      </c>
      <c r="K270" s="3">
        <v>0.0</v>
      </c>
      <c r="L270" s="3">
        <v>0.0</v>
      </c>
      <c r="M270" s="3">
        <v>0.0</v>
      </c>
      <c r="N270" s="3">
        <v>466.51394</v>
      </c>
      <c r="O270" s="3">
        <v>102.0</v>
      </c>
      <c r="P270" s="3" t="e">
        <v>#N/A</v>
      </c>
      <c r="Q270" s="3">
        <v>31.0</v>
      </c>
      <c r="R270" s="3">
        <v>34.0</v>
      </c>
      <c r="S270" s="3">
        <v>30.0</v>
      </c>
      <c r="T270" s="3">
        <v>39.0</v>
      </c>
      <c r="U270" s="3">
        <v>35.0</v>
      </c>
      <c r="V270" s="3">
        <v>34.0</v>
      </c>
      <c r="W270" s="3">
        <v>22.0</v>
      </c>
      <c r="X270" s="3">
        <v>27.0</v>
      </c>
      <c r="Y270" s="3">
        <v>40.0</v>
      </c>
      <c r="Z270" s="3">
        <v>32.0</v>
      </c>
      <c r="AA270" s="3">
        <v>35.0</v>
      </c>
      <c r="AB270" s="3">
        <v>42.0</v>
      </c>
      <c r="AC270" s="3">
        <v>42.0</v>
      </c>
      <c r="AD270" s="3">
        <v>23.0</v>
      </c>
      <c r="AE270" s="3">
        <v>36.0</v>
      </c>
      <c r="AF270" s="3">
        <v>34.0</v>
      </c>
      <c r="AG270" s="3">
        <v>43.0</v>
      </c>
      <c r="AH270" s="3">
        <v>44.0</v>
      </c>
      <c r="AI270" s="3">
        <v>30.0</v>
      </c>
      <c r="AJ270" s="3">
        <v>69.0</v>
      </c>
      <c r="AK270" s="3">
        <v>19.0</v>
      </c>
      <c r="AL270" s="3">
        <v>53.0</v>
      </c>
      <c r="AM270" s="3">
        <v>31.0</v>
      </c>
      <c r="AN270" s="3">
        <v>54.0</v>
      </c>
    </row>
    <row r="271" ht="14.25" customHeight="1">
      <c r="A271" s="3">
        <v>269.0</v>
      </c>
      <c r="B271" s="3" t="s">
        <v>7447</v>
      </c>
      <c r="C271" s="3">
        <v>17.0</v>
      </c>
      <c r="D271" s="3" t="s">
        <v>6645</v>
      </c>
      <c r="E271" s="3" t="s">
        <v>6646</v>
      </c>
      <c r="F271" s="3" t="s">
        <v>6646</v>
      </c>
      <c r="G271" s="3" t="s">
        <v>6645</v>
      </c>
      <c r="H271" s="3" t="s">
        <v>6645</v>
      </c>
      <c r="I271" s="3" t="s">
        <v>6646</v>
      </c>
      <c r="J271" s="3">
        <v>4.0</v>
      </c>
      <c r="K271" s="3">
        <v>0.0</v>
      </c>
      <c r="L271" s="3">
        <v>0.0</v>
      </c>
      <c r="M271" s="3">
        <v>0.0</v>
      </c>
      <c r="N271" s="3">
        <v>455.65054</v>
      </c>
      <c r="O271" s="3">
        <v>89.0</v>
      </c>
      <c r="P271" s="3" t="e">
        <v>#N/A</v>
      </c>
      <c r="Q271" s="3">
        <v>31.0</v>
      </c>
      <c r="R271" s="3">
        <v>37.0</v>
      </c>
      <c r="S271" s="3">
        <v>32.0</v>
      </c>
      <c r="T271" s="3">
        <v>34.0</v>
      </c>
      <c r="U271" s="3">
        <v>32.0</v>
      </c>
      <c r="V271" s="3">
        <v>36.0</v>
      </c>
      <c r="W271" s="3">
        <v>32.0</v>
      </c>
      <c r="X271" s="3">
        <v>26.0</v>
      </c>
      <c r="Y271" s="3">
        <v>46.0</v>
      </c>
      <c r="Z271" s="3">
        <v>30.0</v>
      </c>
      <c r="AA271" s="3">
        <v>23.0</v>
      </c>
      <c r="AB271" s="3">
        <v>43.0</v>
      </c>
      <c r="AC271" s="3">
        <v>39.0</v>
      </c>
      <c r="AD271" s="3">
        <v>32.0</v>
      </c>
      <c r="AE271" s="3">
        <v>36.0</v>
      </c>
      <c r="AF271" s="3">
        <v>40.0</v>
      </c>
      <c r="AG271" s="3">
        <v>58.0</v>
      </c>
      <c r="AH271" s="3">
        <v>31.0</v>
      </c>
      <c r="AI271" s="3">
        <v>31.0</v>
      </c>
      <c r="AJ271" s="3">
        <v>66.0</v>
      </c>
      <c r="AK271" s="3">
        <v>54.0</v>
      </c>
      <c r="AL271" s="3">
        <v>47.0</v>
      </c>
      <c r="AM271" s="3">
        <v>53.0</v>
      </c>
      <c r="AN271" s="3">
        <v>9.0</v>
      </c>
    </row>
    <row r="272" ht="14.25" customHeight="1">
      <c r="A272" s="3">
        <v>270.0</v>
      </c>
      <c r="B272" s="3" t="s">
        <v>7448</v>
      </c>
      <c r="C272" s="3">
        <v>20.0</v>
      </c>
      <c r="D272" s="3" t="s">
        <v>6645</v>
      </c>
      <c r="E272" s="3" t="s">
        <v>6646</v>
      </c>
      <c r="F272" s="3" t="s">
        <v>6646</v>
      </c>
      <c r="G272" s="3" t="s">
        <v>6645</v>
      </c>
      <c r="H272" s="3" t="s">
        <v>6645</v>
      </c>
      <c r="I272" s="3" t="s">
        <v>6645</v>
      </c>
      <c r="J272" s="3">
        <v>4.0</v>
      </c>
      <c r="K272" s="3">
        <v>0.0</v>
      </c>
      <c r="L272" s="3">
        <v>0.0</v>
      </c>
      <c r="M272" s="3">
        <v>0.0</v>
      </c>
      <c r="N272" s="3">
        <v>438.68</v>
      </c>
      <c r="O272" s="3">
        <v>101.0</v>
      </c>
      <c r="P272" s="3" t="e">
        <v>#N/A</v>
      </c>
      <c r="Q272" s="3">
        <v>33.0</v>
      </c>
      <c r="R272" s="3">
        <v>37.0</v>
      </c>
      <c r="S272" s="3">
        <v>31.0</v>
      </c>
      <c r="T272" s="3">
        <v>38.0</v>
      </c>
      <c r="U272" s="3">
        <v>31.0</v>
      </c>
      <c r="V272" s="3">
        <v>38.0</v>
      </c>
      <c r="W272" s="3">
        <v>30.0</v>
      </c>
      <c r="X272" s="3">
        <v>26.0</v>
      </c>
      <c r="Y272" s="3">
        <v>43.0</v>
      </c>
      <c r="Z272" s="3">
        <v>38.0</v>
      </c>
      <c r="AA272" s="3">
        <v>28.0</v>
      </c>
      <c r="AB272" s="3">
        <v>40.0</v>
      </c>
      <c r="AC272" s="3">
        <v>36.0</v>
      </c>
      <c r="AD272" s="3">
        <v>38.0</v>
      </c>
      <c r="AE272" s="3">
        <v>34.0</v>
      </c>
      <c r="AF272" s="3">
        <v>36.0</v>
      </c>
      <c r="AG272" s="3">
        <v>36.0</v>
      </c>
      <c r="AH272" s="3">
        <v>32.0</v>
      </c>
      <c r="AI272" s="3">
        <v>34.0</v>
      </c>
      <c r="AJ272" s="3">
        <v>67.0</v>
      </c>
      <c r="AK272" s="3">
        <v>53.0</v>
      </c>
      <c r="AL272" s="3">
        <v>49.0</v>
      </c>
      <c r="AM272" s="3">
        <v>58.0</v>
      </c>
      <c r="AN272" s="3">
        <v>6.0</v>
      </c>
    </row>
    <row r="273" ht="14.25" customHeight="1">
      <c r="A273" s="3">
        <v>271.0</v>
      </c>
      <c r="B273" s="3" t="s">
        <v>7449</v>
      </c>
      <c r="C273" s="3">
        <v>22.0</v>
      </c>
      <c r="D273" s="3" t="s">
        <v>6645</v>
      </c>
      <c r="E273" s="3" t="s">
        <v>6646</v>
      </c>
      <c r="F273" s="3" t="s">
        <v>6646</v>
      </c>
      <c r="G273" s="3" t="s">
        <v>6645</v>
      </c>
      <c r="H273" s="3" t="s">
        <v>6645</v>
      </c>
      <c r="I273" s="3" t="s">
        <v>6645</v>
      </c>
      <c r="J273" s="3">
        <v>4.0</v>
      </c>
      <c r="K273" s="3">
        <v>0.0</v>
      </c>
      <c r="L273" s="3">
        <v>0.0</v>
      </c>
      <c r="M273" s="3">
        <v>0.0</v>
      </c>
      <c r="N273" s="3">
        <v>464.26</v>
      </c>
      <c r="O273" s="3">
        <v>108.0</v>
      </c>
      <c r="P273" s="3" t="e">
        <v>#N/A</v>
      </c>
      <c r="Q273" s="3">
        <v>31.0</v>
      </c>
      <c r="R273" s="3">
        <v>30.0</v>
      </c>
      <c r="S273" s="3">
        <v>39.0</v>
      </c>
      <c r="T273" s="3">
        <v>31.0</v>
      </c>
      <c r="U273" s="3">
        <v>36.0</v>
      </c>
      <c r="V273" s="3">
        <v>35.0</v>
      </c>
      <c r="W273" s="3">
        <v>26.0</v>
      </c>
      <c r="X273" s="3">
        <v>36.0</v>
      </c>
      <c r="Y273" s="3">
        <v>40.0</v>
      </c>
      <c r="Z273" s="3">
        <v>27.0</v>
      </c>
      <c r="AA273" s="3">
        <v>37.0</v>
      </c>
      <c r="AB273" s="3">
        <v>37.0</v>
      </c>
      <c r="AC273" s="3">
        <v>40.0</v>
      </c>
      <c r="AD273" s="3">
        <v>30.0</v>
      </c>
      <c r="AE273" s="3">
        <v>36.0</v>
      </c>
      <c r="AF273" s="3">
        <v>35.0</v>
      </c>
      <c r="AG273" s="3">
        <v>47.0</v>
      </c>
      <c r="AH273" s="3">
        <v>46.0</v>
      </c>
      <c r="AI273" s="3">
        <v>50.0</v>
      </c>
      <c r="AJ273" s="3">
        <v>64.0</v>
      </c>
      <c r="AK273" s="3">
        <v>5.0</v>
      </c>
      <c r="AL273" s="3">
        <v>30.0</v>
      </c>
      <c r="AM273" s="3">
        <v>40.0</v>
      </c>
      <c r="AN273" s="3">
        <v>41.0</v>
      </c>
    </row>
    <row r="274" ht="14.25" customHeight="1">
      <c r="A274" s="3">
        <v>272.0</v>
      </c>
      <c r="B274" s="3" t="s">
        <v>7450</v>
      </c>
      <c r="C274" s="3">
        <v>43.0</v>
      </c>
      <c r="D274" s="3" t="s">
        <v>6645</v>
      </c>
      <c r="E274" s="3" t="s">
        <v>6646</v>
      </c>
      <c r="F274" s="3" t="s">
        <v>6646</v>
      </c>
      <c r="G274" s="3" t="s">
        <v>6645</v>
      </c>
      <c r="H274" s="3" t="s">
        <v>6645</v>
      </c>
      <c r="I274" s="3" t="s">
        <v>6645</v>
      </c>
      <c r="J274" s="3">
        <v>5.0</v>
      </c>
      <c r="K274" s="3">
        <v>4.0</v>
      </c>
      <c r="L274" s="3">
        <v>0.0</v>
      </c>
      <c r="M274" s="3">
        <v>0.0</v>
      </c>
      <c r="N274" s="3">
        <v>15582.026</v>
      </c>
      <c r="O274" s="3">
        <v>1863.0</v>
      </c>
      <c r="P274" s="3" t="e">
        <v>#N/A</v>
      </c>
      <c r="Q274" s="3">
        <v>65.0</v>
      </c>
      <c r="R274" s="3">
        <v>62.0</v>
      </c>
      <c r="S274" s="3">
        <v>79.0</v>
      </c>
      <c r="T274" s="3">
        <v>78.0</v>
      </c>
      <c r="U274" s="3">
        <v>81.0</v>
      </c>
      <c r="V274" s="3">
        <v>82.0</v>
      </c>
      <c r="W274" s="3">
        <v>75.0</v>
      </c>
      <c r="X274" s="3">
        <v>77.0</v>
      </c>
      <c r="Y274" s="3">
        <v>77.0</v>
      </c>
      <c r="Z274" s="3">
        <v>67.0</v>
      </c>
      <c r="AA274" s="3">
        <v>71.0</v>
      </c>
      <c r="AB274" s="3">
        <v>64.0</v>
      </c>
      <c r="AC274" s="3">
        <v>67.0</v>
      </c>
      <c r="AD274" s="3">
        <v>88.0</v>
      </c>
      <c r="AE274" s="3">
        <v>63.0</v>
      </c>
      <c r="AF274" s="3">
        <v>57.0</v>
      </c>
      <c r="AG274" s="3">
        <v>63.0</v>
      </c>
      <c r="AH274" s="3">
        <v>67.0</v>
      </c>
      <c r="AI274" s="3">
        <v>69.0</v>
      </c>
      <c r="AJ274" s="3">
        <v>66.0</v>
      </c>
      <c r="AK274" s="3">
        <v>48.0</v>
      </c>
      <c r="AL274" s="3">
        <v>57.0</v>
      </c>
      <c r="AM274" s="3">
        <v>85.0</v>
      </c>
      <c r="AN274" s="3">
        <v>53.0</v>
      </c>
    </row>
    <row r="275" ht="14.25" customHeight="1">
      <c r="A275" s="3">
        <v>273.0</v>
      </c>
      <c r="B275" s="3" t="s">
        <v>7451</v>
      </c>
      <c r="C275" s="3">
        <v>39.0</v>
      </c>
      <c r="D275" s="3" t="s">
        <v>6645</v>
      </c>
      <c r="E275" s="3" t="s">
        <v>6646</v>
      </c>
      <c r="F275" s="3" t="s">
        <v>6646</v>
      </c>
      <c r="G275" s="3" t="s">
        <v>6645</v>
      </c>
      <c r="H275" s="3" t="s">
        <v>6645</v>
      </c>
      <c r="I275" s="3" t="s">
        <v>6646</v>
      </c>
      <c r="J275" s="3">
        <v>5.0</v>
      </c>
      <c r="K275" s="3">
        <v>4.0</v>
      </c>
      <c r="L275" s="3">
        <v>0.0</v>
      </c>
      <c r="M275" s="3">
        <v>0.0</v>
      </c>
      <c r="N275" s="3">
        <v>16225.825</v>
      </c>
      <c r="O275" s="3">
        <v>1293.0</v>
      </c>
      <c r="P275" s="3" t="e">
        <v>#N/A</v>
      </c>
      <c r="Q275" s="3">
        <v>61.0</v>
      </c>
      <c r="R275" s="3">
        <v>60.0</v>
      </c>
      <c r="S275" s="3">
        <v>80.0</v>
      </c>
      <c r="T275" s="3">
        <v>83.0</v>
      </c>
      <c r="U275" s="3">
        <v>75.0</v>
      </c>
      <c r="V275" s="3">
        <v>76.0</v>
      </c>
      <c r="W275" s="3">
        <v>73.0</v>
      </c>
      <c r="X275" s="3">
        <v>79.0</v>
      </c>
      <c r="Y275" s="3">
        <v>83.0</v>
      </c>
      <c r="Z275" s="3">
        <v>58.0</v>
      </c>
      <c r="AA275" s="3">
        <v>78.0</v>
      </c>
      <c r="AB275" s="3">
        <v>59.0</v>
      </c>
      <c r="AC275" s="3">
        <v>63.0</v>
      </c>
      <c r="AD275" s="3">
        <v>83.0</v>
      </c>
      <c r="AE275" s="3">
        <v>55.0</v>
      </c>
      <c r="AF275" s="3">
        <v>51.0</v>
      </c>
      <c r="AG275" s="3">
        <v>67.0</v>
      </c>
      <c r="AH275" s="3">
        <v>72.0</v>
      </c>
      <c r="AI275" s="3">
        <v>50.0</v>
      </c>
      <c r="AJ275" s="3">
        <v>64.0</v>
      </c>
      <c r="AK275" s="3">
        <v>60.0</v>
      </c>
      <c r="AL275" s="3">
        <v>34.0</v>
      </c>
      <c r="AM275" s="3">
        <v>75.0</v>
      </c>
      <c r="AN275" s="3">
        <v>68.0</v>
      </c>
    </row>
    <row r="276" ht="14.25" customHeight="1">
      <c r="A276" s="3">
        <v>274.0</v>
      </c>
      <c r="B276" s="3" t="s">
        <v>7452</v>
      </c>
      <c r="C276" s="3">
        <v>37.0</v>
      </c>
      <c r="D276" s="3" t="s">
        <v>6645</v>
      </c>
      <c r="E276" s="3" t="s">
        <v>6646</v>
      </c>
      <c r="F276" s="3" t="s">
        <v>6646</v>
      </c>
      <c r="G276" s="3" t="s">
        <v>6645</v>
      </c>
      <c r="H276" s="3" t="s">
        <v>6645</v>
      </c>
      <c r="I276" s="3" t="s">
        <v>6645</v>
      </c>
      <c r="J276" s="3">
        <v>5.0</v>
      </c>
      <c r="K276" s="3">
        <v>4.0</v>
      </c>
      <c r="L276" s="3">
        <v>0.0</v>
      </c>
      <c r="M276" s="3">
        <v>0.0</v>
      </c>
      <c r="N276" s="3">
        <v>16394.382</v>
      </c>
      <c r="O276" s="3">
        <v>1449.0</v>
      </c>
      <c r="P276" s="3" t="e">
        <v>#N/A</v>
      </c>
      <c r="Q276" s="3">
        <v>60.0</v>
      </c>
      <c r="R276" s="3">
        <v>62.0</v>
      </c>
      <c r="S276" s="3">
        <v>83.0</v>
      </c>
      <c r="T276" s="3">
        <v>80.0</v>
      </c>
      <c r="U276" s="3">
        <v>79.0</v>
      </c>
      <c r="V276" s="3">
        <v>80.0</v>
      </c>
      <c r="W276" s="3">
        <v>76.0</v>
      </c>
      <c r="X276" s="3">
        <v>77.0</v>
      </c>
      <c r="Y276" s="3">
        <v>87.0</v>
      </c>
      <c r="Z276" s="3">
        <v>65.0</v>
      </c>
      <c r="AA276" s="3">
        <v>77.0</v>
      </c>
      <c r="AB276" s="3">
        <v>59.0</v>
      </c>
      <c r="AC276" s="3">
        <v>67.0</v>
      </c>
      <c r="AD276" s="3">
        <v>87.0</v>
      </c>
      <c r="AE276" s="3">
        <v>60.0</v>
      </c>
      <c r="AF276" s="3">
        <v>49.0</v>
      </c>
      <c r="AG276" s="3">
        <v>42.0</v>
      </c>
      <c r="AH276" s="3">
        <v>52.0</v>
      </c>
      <c r="AI276" s="3">
        <v>59.0</v>
      </c>
      <c r="AJ276" s="3">
        <v>54.0</v>
      </c>
      <c r="AK276" s="3">
        <v>68.0</v>
      </c>
      <c r="AL276" s="3">
        <v>46.0</v>
      </c>
      <c r="AM276" s="3">
        <v>82.0</v>
      </c>
      <c r="AN276" s="3">
        <v>54.0</v>
      </c>
    </row>
    <row r="277" ht="14.25" customHeight="1">
      <c r="A277" s="3">
        <v>275.0</v>
      </c>
      <c r="B277" s="3" t="s">
        <v>7453</v>
      </c>
      <c r="C277" s="3">
        <v>33.0</v>
      </c>
      <c r="D277" s="3" t="s">
        <v>6645</v>
      </c>
      <c r="E277" s="3" t="s">
        <v>6646</v>
      </c>
      <c r="F277" s="3" t="s">
        <v>6646</v>
      </c>
      <c r="G277" s="3" t="s">
        <v>6645</v>
      </c>
      <c r="H277" s="3" t="s">
        <v>6645</v>
      </c>
      <c r="I277" s="3" t="s">
        <v>6645</v>
      </c>
      <c r="J277" s="3">
        <v>5.0</v>
      </c>
      <c r="K277" s="3">
        <v>3.0</v>
      </c>
      <c r="L277" s="3">
        <v>0.0</v>
      </c>
      <c r="M277" s="3">
        <v>0.0</v>
      </c>
      <c r="N277" s="3">
        <v>8249.72</v>
      </c>
      <c r="O277" s="3">
        <v>760.0</v>
      </c>
      <c r="P277" s="3" t="e">
        <v>#N/A</v>
      </c>
      <c r="Q277" s="3">
        <v>62.0</v>
      </c>
      <c r="R277" s="3">
        <v>54.0</v>
      </c>
      <c r="S277" s="3">
        <v>62.0</v>
      </c>
      <c r="T277" s="3">
        <v>59.0</v>
      </c>
      <c r="U277" s="3">
        <v>65.0</v>
      </c>
      <c r="V277" s="3">
        <v>59.0</v>
      </c>
      <c r="W277" s="3">
        <v>59.0</v>
      </c>
      <c r="X277" s="3">
        <v>50.0</v>
      </c>
      <c r="Y277" s="3">
        <v>66.0</v>
      </c>
      <c r="Z277" s="3">
        <v>58.0</v>
      </c>
      <c r="AA277" s="3">
        <v>69.0</v>
      </c>
      <c r="AB277" s="3">
        <v>56.0</v>
      </c>
      <c r="AC277" s="3">
        <v>62.0</v>
      </c>
      <c r="AD277" s="3">
        <v>72.0</v>
      </c>
      <c r="AE277" s="3">
        <v>46.0</v>
      </c>
      <c r="AF277" s="3">
        <v>48.0</v>
      </c>
      <c r="AG277" s="3">
        <v>57.0</v>
      </c>
      <c r="AH277" s="3">
        <v>60.0</v>
      </c>
      <c r="AI277" s="3">
        <v>41.0</v>
      </c>
      <c r="AJ277" s="3">
        <v>66.0</v>
      </c>
      <c r="AK277" s="3">
        <v>60.0</v>
      </c>
      <c r="AL277" s="3">
        <v>25.0</v>
      </c>
      <c r="AM277" s="3">
        <v>75.0</v>
      </c>
      <c r="AN277" s="3">
        <v>52.0</v>
      </c>
    </row>
    <row r="278" ht="14.25" customHeight="1">
      <c r="A278" s="3">
        <v>276.0</v>
      </c>
      <c r="B278" s="3" t="s">
        <v>7454</v>
      </c>
      <c r="C278" s="3">
        <v>30.0</v>
      </c>
      <c r="D278" s="3" t="s">
        <v>6645</v>
      </c>
      <c r="E278" s="3" t="s">
        <v>6646</v>
      </c>
      <c r="F278" s="3" t="s">
        <v>6646</v>
      </c>
      <c r="G278" s="3" t="s">
        <v>6645</v>
      </c>
      <c r="H278" s="3" t="s">
        <v>6645</v>
      </c>
      <c r="I278" s="3" t="s">
        <v>6646</v>
      </c>
      <c r="J278" s="3">
        <v>5.0</v>
      </c>
      <c r="K278" s="3">
        <v>3.0</v>
      </c>
      <c r="L278" s="3">
        <v>0.0</v>
      </c>
      <c r="M278" s="3">
        <v>0.0</v>
      </c>
      <c r="N278" s="3">
        <v>8075.57</v>
      </c>
      <c r="O278" s="3">
        <v>901.0</v>
      </c>
      <c r="P278" s="3" t="e">
        <v>#N/A</v>
      </c>
      <c r="Q278" s="3">
        <v>62.0</v>
      </c>
      <c r="R278" s="3">
        <v>52.0</v>
      </c>
      <c r="S278" s="3">
        <v>63.0</v>
      </c>
      <c r="T278" s="3">
        <v>60.0</v>
      </c>
      <c r="U278" s="3">
        <v>63.0</v>
      </c>
      <c r="V278" s="3">
        <v>58.0</v>
      </c>
      <c r="W278" s="3">
        <v>50.0</v>
      </c>
      <c r="X278" s="3">
        <v>63.0</v>
      </c>
      <c r="Y278" s="3">
        <v>59.0</v>
      </c>
      <c r="Z278" s="3">
        <v>54.0</v>
      </c>
      <c r="AA278" s="3">
        <v>63.0</v>
      </c>
      <c r="AB278" s="3">
        <v>62.0</v>
      </c>
      <c r="AC278" s="3">
        <v>48.0</v>
      </c>
      <c r="AD278" s="3">
        <v>63.0</v>
      </c>
      <c r="AE278" s="3">
        <v>49.0</v>
      </c>
      <c r="AF278" s="3">
        <v>52.0</v>
      </c>
      <c r="AG278" s="3">
        <v>63.0</v>
      </c>
      <c r="AH278" s="3">
        <v>45.0</v>
      </c>
      <c r="AI278" s="3">
        <v>48.0</v>
      </c>
      <c r="AJ278" s="3">
        <v>20.0</v>
      </c>
      <c r="AK278" s="3">
        <v>65.0</v>
      </c>
      <c r="AL278" s="3">
        <v>56.0</v>
      </c>
      <c r="AM278" s="3">
        <v>80.0</v>
      </c>
      <c r="AN278" s="3">
        <v>50.0</v>
      </c>
    </row>
    <row r="279" ht="14.25" customHeight="1">
      <c r="A279" s="3">
        <v>277.0</v>
      </c>
      <c r="B279" s="3" t="s">
        <v>7455</v>
      </c>
      <c r="C279" s="3">
        <v>39.0</v>
      </c>
      <c r="D279" s="3" t="s">
        <v>6645</v>
      </c>
      <c r="E279" s="3" t="s">
        <v>6646</v>
      </c>
      <c r="F279" s="3" t="s">
        <v>6646</v>
      </c>
      <c r="G279" s="3" t="s">
        <v>6645</v>
      </c>
      <c r="H279" s="3" t="s">
        <v>6645</v>
      </c>
      <c r="I279" s="3" t="s">
        <v>6646</v>
      </c>
      <c r="J279" s="3">
        <v>5.0</v>
      </c>
      <c r="K279" s="3">
        <v>3.0</v>
      </c>
      <c r="L279" s="3">
        <v>0.0</v>
      </c>
      <c r="M279" s="3">
        <v>0.0</v>
      </c>
      <c r="N279" s="3">
        <v>7909.3774</v>
      </c>
      <c r="O279" s="3">
        <v>629.0</v>
      </c>
      <c r="P279" s="3" t="e">
        <v>#N/A</v>
      </c>
      <c r="Q279" s="3">
        <v>52.0</v>
      </c>
      <c r="R279" s="3">
        <v>62.0</v>
      </c>
      <c r="S279" s="3">
        <v>62.0</v>
      </c>
      <c r="T279" s="3">
        <v>60.0</v>
      </c>
      <c r="U279" s="3">
        <v>64.0</v>
      </c>
      <c r="V279" s="3">
        <v>60.0</v>
      </c>
      <c r="W279" s="3">
        <v>60.0</v>
      </c>
      <c r="X279" s="3">
        <v>60.0</v>
      </c>
      <c r="Y279" s="3">
        <v>65.0</v>
      </c>
      <c r="Z279" s="3">
        <v>48.0</v>
      </c>
      <c r="AA279" s="3">
        <v>68.0</v>
      </c>
      <c r="AB279" s="3">
        <v>55.0</v>
      </c>
      <c r="AC279" s="3">
        <v>50.0</v>
      </c>
      <c r="AD279" s="3">
        <v>71.0</v>
      </c>
      <c r="AE279" s="3">
        <v>56.0</v>
      </c>
      <c r="AF279" s="3">
        <v>60.0</v>
      </c>
      <c r="AG279" s="3">
        <v>57.0</v>
      </c>
      <c r="AH279" s="3">
        <v>29.0</v>
      </c>
      <c r="AI279" s="3">
        <v>61.0</v>
      </c>
      <c r="AJ279" s="3">
        <v>64.0</v>
      </c>
      <c r="AK279" s="3">
        <v>68.0</v>
      </c>
      <c r="AL279" s="3">
        <v>47.0</v>
      </c>
      <c r="AM279" s="3">
        <v>73.0</v>
      </c>
      <c r="AN279" s="3">
        <v>65.0</v>
      </c>
    </row>
    <row r="280" ht="14.25" customHeight="1">
      <c r="A280" s="3">
        <v>278.0</v>
      </c>
      <c r="B280" s="3" t="s">
        <v>7456</v>
      </c>
      <c r="C280" s="3">
        <v>37.0</v>
      </c>
      <c r="D280" s="3" t="s">
        <v>6645</v>
      </c>
      <c r="E280" s="3" t="s">
        <v>6646</v>
      </c>
      <c r="F280" s="3" t="s">
        <v>6646</v>
      </c>
      <c r="G280" s="3" t="s">
        <v>6645</v>
      </c>
      <c r="H280" s="3" t="s">
        <v>6645</v>
      </c>
      <c r="I280" s="3" t="s">
        <v>6645</v>
      </c>
      <c r="J280" s="3">
        <v>5.0</v>
      </c>
      <c r="K280" s="3">
        <v>3.0</v>
      </c>
      <c r="L280" s="3">
        <v>0.0</v>
      </c>
      <c r="M280" s="3">
        <v>0.0</v>
      </c>
      <c r="N280" s="3">
        <v>7800.391</v>
      </c>
      <c r="O280" s="3">
        <v>778.0</v>
      </c>
      <c r="P280" s="3" t="e">
        <v>#N/A</v>
      </c>
      <c r="Q280" s="3">
        <v>58.0</v>
      </c>
      <c r="R280" s="3">
        <v>58.0</v>
      </c>
      <c r="S280" s="3">
        <v>56.0</v>
      </c>
      <c r="T280" s="3">
        <v>62.0</v>
      </c>
      <c r="U280" s="3">
        <v>62.0</v>
      </c>
      <c r="V280" s="3">
        <v>58.0</v>
      </c>
      <c r="W280" s="3">
        <v>62.0</v>
      </c>
      <c r="X280" s="3">
        <v>66.0</v>
      </c>
      <c r="Y280" s="3">
        <v>67.0</v>
      </c>
      <c r="Z280" s="3">
        <v>52.0</v>
      </c>
      <c r="AA280" s="3">
        <v>70.0</v>
      </c>
      <c r="AB280" s="3">
        <v>53.0</v>
      </c>
      <c r="AC280" s="3">
        <v>56.0</v>
      </c>
      <c r="AD280" s="3">
        <v>62.0</v>
      </c>
      <c r="AE280" s="3">
        <v>46.0</v>
      </c>
      <c r="AF280" s="3">
        <v>58.0</v>
      </c>
      <c r="AG280" s="3">
        <v>63.0</v>
      </c>
      <c r="AH280" s="3">
        <v>53.0</v>
      </c>
      <c r="AI280" s="3">
        <v>41.0</v>
      </c>
      <c r="AJ280" s="3">
        <v>45.0</v>
      </c>
      <c r="AK280" s="3">
        <v>43.0</v>
      </c>
      <c r="AL280" s="3">
        <v>52.0</v>
      </c>
      <c r="AM280" s="3">
        <v>80.0</v>
      </c>
      <c r="AN280" s="3">
        <v>40.0</v>
      </c>
    </row>
    <row r="281" ht="14.25" customHeight="1">
      <c r="A281" s="3">
        <v>279.0</v>
      </c>
      <c r="B281" s="3" t="s">
        <v>7457</v>
      </c>
      <c r="C281" s="3">
        <v>29.0</v>
      </c>
      <c r="D281" s="3" t="s">
        <v>6645</v>
      </c>
      <c r="E281" s="3" t="s">
        <v>6646</v>
      </c>
      <c r="F281" s="3" t="s">
        <v>6646</v>
      </c>
      <c r="G281" s="3" t="s">
        <v>6645</v>
      </c>
      <c r="H281" s="3" t="s">
        <v>6645</v>
      </c>
      <c r="I281" s="3" t="s">
        <v>6645</v>
      </c>
      <c r="J281" s="3">
        <v>5.0</v>
      </c>
      <c r="K281" s="3">
        <v>2.0</v>
      </c>
      <c r="L281" s="3">
        <v>0.0</v>
      </c>
      <c r="M281" s="3">
        <v>0.0</v>
      </c>
      <c r="N281" s="3">
        <v>4201.82</v>
      </c>
      <c r="O281" s="3">
        <v>485.0</v>
      </c>
      <c r="P281" s="3" t="e">
        <v>#N/A</v>
      </c>
      <c r="Q281" s="3">
        <v>53.0</v>
      </c>
      <c r="R281" s="3">
        <v>54.0</v>
      </c>
      <c r="S281" s="3">
        <v>48.0</v>
      </c>
      <c r="T281" s="3">
        <v>50.0</v>
      </c>
      <c r="U281" s="3">
        <v>49.0</v>
      </c>
      <c r="V281" s="3">
        <v>50.0</v>
      </c>
      <c r="W281" s="3">
        <v>54.0</v>
      </c>
      <c r="X281" s="3">
        <v>38.0</v>
      </c>
      <c r="Y281" s="3">
        <v>53.0</v>
      </c>
      <c r="Z281" s="3">
        <v>53.0</v>
      </c>
      <c r="AA281" s="3">
        <v>60.0</v>
      </c>
      <c r="AB281" s="3">
        <v>53.0</v>
      </c>
      <c r="AC281" s="3">
        <v>47.0</v>
      </c>
      <c r="AD281" s="3">
        <v>62.0</v>
      </c>
      <c r="AE281" s="3">
        <v>42.0</v>
      </c>
      <c r="AF281" s="3">
        <v>42.0</v>
      </c>
      <c r="AG281" s="3">
        <v>64.0</v>
      </c>
      <c r="AH281" s="3">
        <v>36.0</v>
      </c>
      <c r="AI281" s="3">
        <v>27.0</v>
      </c>
      <c r="AJ281" s="3">
        <v>46.0</v>
      </c>
      <c r="AK281" s="3">
        <v>60.0</v>
      </c>
      <c r="AL281" s="3">
        <v>48.0</v>
      </c>
      <c r="AM281" s="3">
        <v>85.0</v>
      </c>
      <c r="AN281" s="3">
        <v>54.0</v>
      </c>
    </row>
    <row r="282" ht="14.25" customHeight="1">
      <c r="A282" s="3">
        <v>280.0</v>
      </c>
      <c r="B282" s="3" t="s">
        <v>7458</v>
      </c>
      <c r="C282" s="3">
        <v>29.0</v>
      </c>
      <c r="D282" s="3" t="s">
        <v>6645</v>
      </c>
      <c r="E282" s="3" t="s">
        <v>6646</v>
      </c>
      <c r="F282" s="3" t="s">
        <v>6646</v>
      </c>
      <c r="G282" s="3" t="s">
        <v>6645</v>
      </c>
      <c r="H282" s="3" t="s">
        <v>6645</v>
      </c>
      <c r="I282" s="3" t="s">
        <v>6645</v>
      </c>
      <c r="J282" s="3">
        <v>5.0</v>
      </c>
      <c r="K282" s="3">
        <v>2.0</v>
      </c>
      <c r="L282" s="3">
        <v>0.0</v>
      </c>
      <c r="M282" s="3">
        <v>0.0</v>
      </c>
      <c r="N282" s="3">
        <v>4910.8554</v>
      </c>
      <c r="O282" s="3">
        <v>487.0</v>
      </c>
      <c r="P282" s="3" t="e">
        <v>#N/A</v>
      </c>
      <c r="Q282" s="3">
        <v>51.0</v>
      </c>
      <c r="R282" s="3">
        <v>53.0</v>
      </c>
      <c r="S282" s="3">
        <v>53.0</v>
      </c>
      <c r="T282" s="3">
        <v>47.0</v>
      </c>
      <c r="U282" s="3">
        <v>54.0</v>
      </c>
      <c r="V282" s="3">
        <v>54.0</v>
      </c>
      <c r="W282" s="3">
        <v>40.0</v>
      </c>
      <c r="X282" s="3">
        <v>54.0</v>
      </c>
      <c r="Y282" s="3">
        <v>60.0</v>
      </c>
      <c r="Z282" s="3">
        <v>41.0</v>
      </c>
      <c r="AA282" s="3">
        <v>58.0</v>
      </c>
      <c r="AB282" s="3">
        <v>47.0</v>
      </c>
      <c r="AC282" s="3">
        <v>44.0</v>
      </c>
      <c r="AD282" s="3">
        <v>55.0</v>
      </c>
      <c r="AE282" s="3">
        <v>51.0</v>
      </c>
      <c r="AF282" s="3">
        <v>33.0</v>
      </c>
      <c r="AG282" s="3">
        <v>58.0</v>
      </c>
      <c r="AH282" s="3">
        <v>44.0</v>
      </c>
      <c r="AI282" s="3">
        <v>48.0</v>
      </c>
      <c r="AJ282" s="3">
        <v>54.0</v>
      </c>
      <c r="AK282" s="3">
        <v>54.0</v>
      </c>
      <c r="AL282" s="3">
        <v>60.0</v>
      </c>
      <c r="AM282" s="3">
        <v>81.0</v>
      </c>
      <c r="AN282" s="3">
        <v>56.0</v>
      </c>
    </row>
    <row r="283" ht="14.25" customHeight="1">
      <c r="A283" s="3">
        <v>281.0</v>
      </c>
      <c r="B283" s="3" t="s">
        <v>7459</v>
      </c>
      <c r="C283" s="3">
        <v>28.0</v>
      </c>
      <c r="D283" s="3" t="s">
        <v>6645</v>
      </c>
      <c r="E283" s="3" t="s">
        <v>6646</v>
      </c>
      <c r="F283" s="3" t="s">
        <v>6646</v>
      </c>
      <c r="G283" s="3" t="s">
        <v>6645</v>
      </c>
      <c r="H283" s="3" t="s">
        <v>6645</v>
      </c>
      <c r="I283" s="3" t="s">
        <v>6646</v>
      </c>
      <c r="J283" s="3">
        <v>5.0</v>
      </c>
      <c r="K283" s="3">
        <v>2.0</v>
      </c>
      <c r="L283" s="3">
        <v>0.0</v>
      </c>
      <c r="M283" s="3">
        <v>0.0</v>
      </c>
      <c r="N283" s="3">
        <v>4354.5903</v>
      </c>
      <c r="O283" s="3">
        <v>410.0</v>
      </c>
      <c r="P283" s="3" t="e">
        <v>#N/A</v>
      </c>
      <c r="Q283" s="3">
        <v>48.0</v>
      </c>
      <c r="R283" s="3">
        <v>45.0</v>
      </c>
      <c r="S283" s="3">
        <v>47.0</v>
      </c>
      <c r="T283" s="3">
        <v>50.0</v>
      </c>
      <c r="U283" s="3">
        <v>54.0</v>
      </c>
      <c r="V283" s="3">
        <v>48.0</v>
      </c>
      <c r="W283" s="3">
        <v>44.0</v>
      </c>
      <c r="X283" s="3">
        <v>52.0</v>
      </c>
      <c r="Y283" s="3">
        <v>54.0</v>
      </c>
      <c r="Z283" s="3">
        <v>49.0</v>
      </c>
      <c r="AA283" s="3">
        <v>54.0</v>
      </c>
      <c r="AB283" s="3">
        <v>38.0</v>
      </c>
      <c r="AC283" s="3">
        <v>49.0</v>
      </c>
      <c r="AD283" s="3">
        <v>50.0</v>
      </c>
      <c r="AE283" s="3">
        <v>45.0</v>
      </c>
      <c r="AF283" s="3">
        <v>58.0</v>
      </c>
      <c r="AG283" s="3">
        <v>58.0</v>
      </c>
      <c r="AH283" s="3">
        <v>40.0</v>
      </c>
      <c r="AI283" s="3">
        <v>46.0</v>
      </c>
      <c r="AJ283" s="3">
        <v>38.0</v>
      </c>
      <c r="AK283" s="3">
        <v>60.0</v>
      </c>
      <c r="AL283" s="3">
        <v>15.0</v>
      </c>
      <c r="AM283" s="3">
        <v>73.0</v>
      </c>
      <c r="AN283" s="3">
        <v>62.0</v>
      </c>
    </row>
    <row r="284" ht="14.25" customHeight="1">
      <c r="A284" s="3">
        <v>282.0</v>
      </c>
      <c r="B284" s="3" t="s">
        <v>7460</v>
      </c>
      <c r="C284" s="3">
        <v>33.0</v>
      </c>
      <c r="D284" s="3" t="s">
        <v>6645</v>
      </c>
      <c r="E284" s="3" t="s">
        <v>6646</v>
      </c>
      <c r="F284" s="3" t="s">
        <v>6646</v>
      </c>
      <c r="G284" s="3" t="s">
        <v>6645</v>
      </c>
      <c r="H284" s="3" t="s">
        <v>6645</v>
      </c>
      <c r="I284" s="3" t="s">
        <v>6646</v>
      </c>
      <c r="J284" s="3">
        <v>5.0</v>
      </c>
      <c r="K284" s="3">
        <v>2.0</v>
      </c>
      <c r="L284" s="3">
        <v>0.0</v>
      </c>
      <c r="M284" s="3">
        <v>0.0</v>
      </c>
      <c r="N284" s="3">
        <v>4400.1533</v>
      </c>
      <c r="O284" s="3">
        <v>482.0</v>
      </c>
      <c r="P284" s="3" t="e">
        <v>#N/A</v>
      </c>
      <c r="Q284" s="3">
        <v>49.0</v>
      </c>
      <c r="R284" s="3">
        <v>54.0</v>
      </c>
      <c r="S284" s="3">
        <v>54.0</v>
      </c>
      <c r="T284" s="3">
        <v>53.0</v>
      </c>
      <c r="U284" s="3">
        <v>45.0</v>
      </c>
      <c r="V284" s="3">
        <v>49.0</v>
      </c>
      <c r="W284" s="3">
        <v>48.0</v>
      </c>
      <c r="X284" s="3">
        <v>43.0</v>
      </c>
      <c r="Y284" s="3">
        <v>58.0</v>
      </c>
      <c r="Z284" s="3">
        <v>47.0</v>
      </c>
      <c r="AA284" s="3">
        <v>61.0</v>
      </c>
      <c r="AB284" s="3">
        <v>51.0</v>
      </c>
      <c r="AC284" s="3">
        <v>44.0</v>
      </c>
      <c r="AD284" s="3">
        <v>59.0</v>
      </c>
      <c r="AE284" s="3">
        <v>54.0</v>
      </c>
      <c r="AF284" s="3">
        <v>17.0</v>
      </c>
      <c r="AG284" s="3">
        <v>66.0</v>
      </c>
      <c r="AH284" s="3">
        <v>42.0</v>
      </c>
      <c r="AI284" s="3">
        <v>48.0</v>
      </c>
      <c r="AJ284" s="3">
        <v>50.0</v>
      </c>
      <c r="AK284" s="3">
        <v>42.0</v>
      </c>
      <c r="AL284" s="3">
        <v>62.0</v>
      </c>
      <c r="AM284" s="3">
        <v>73.0</v>
      </c>
      <c r="AN284" s="3">
        <v>38.0</v>
      </c>
    </row>
    <row r="285" ht="14.25" customHeight="1">
      <c r="A285" s="3">
        <v>283.0</v>
      </c>
      <c r="B285" s="3" t="s">
        <v>7461</v>
      </c>
      <c r="C285" s="3">
        <v>28.0</v>
      </c>
      <c r="D285" s="3" t="s">
        <v>6645</v>
      </c>
      <c r="E285" s="3" t="s">
        <v>6646</v>
      </c>
      <c r="F285" s="3" t="s">
        <v>6646</v>
      </c>
      <c r="G285" s="3" t="s">
        <v>6645</v>
      </c>
      <c r="H285" s="3" t="s">
        <v>6645</v>
      </c>
      <c r="I285" s="3" t="s">
        <v>6645</v>
      </c>
      <c r="J285" s="3">
        <v>5.0</v>
      </c>
      <c r="K285" s="3">
        <v>1.0</v>
      </c>
      <c r="L285" s="3">
        <v>0.0</v>
      </c>
      <c r="M285" s="3">
        <v>0.0</v>
      </c>
      <c r="N285" s="3">
        <v>1523.5222</v>
      </c>
      <c r="O285" s="3">
        <v>164.0</v>
      </c>
      <c r="P285" s="3" t="e">
        <v>#N/A</v>
      </c>
      <c r="Q285" s="3">
        <v>38.0</v>
      </c>
      <c r="R285" s="3">
        <v>42.0</v>
      </c>
      <c r="S285" s="3">
        <v>44.0</v>
      </c>
      <c r="T285" s="3">
        <v>46.0</v>
      </c>
      <c r="U285" s="3">
        <v>42.0</v>
      </c>
      <c r="V285" s="3">
        <v>38.0</v>
      </c>
      <c r="W285" s="3">
        <v>46.0</v>
      </c>
      <c r="X285" s="3">
        <v>29.0</v>
      </c>
      <c r="Y285" s="3">
        <v>47.0</v>
      </c>
      <c r="Z285" s="3">
        <v>40.0</v>
      </c>
      <c r="AA285" s="3">
        <v>54.0</v>
      </c>
      <c r="AB285" s="3">
        <v>42.0</v>
      </c>
      <c r="AC285" s="3">
        <v>35.0</v>
      </c>
      <c r="AD285" s="3">
        <v>49.0</v>
      </c>
      <c r="AE285" s="3">
        <v>32.0</v>
      </c>
      <c r="AF285" s="3">
        <v>50.0</v>
      </c>
      <c r="AG285" s="3">
        <v>49.0</v>
      </c>
      <c r="AH285" s="3">
        <v>59.0</v>
      </c>
      <c r="AI285" s="3">
        <v>32.0</v>
      </c>
      <c r="AJ285" s="3">
        <v>41.0</v>
      </c>
      <c r="AK285" s="3">
        <v>34.0</v>
      </c>
      <c r="AL285" s="3">
        <v>40.0</v>
      </c>
      <c r="AM285" s="3">
        <v>75.0</v>
      </c>
      <c r="AN285" s="3">
        <v>46.0</v>
      </c>
    </row>
    <row r="286" ht="14.25" customHeight="1">
      <c r="A286" s="3">
        <v>284.0</v>
      </c>
      <c r="B286" s="3" t="s">
        <v>7462</v>
      </c>
      <c r="C286" s="3">
        <v>27.0</v>
      </c>
      <c r="D286" s="3" t="s">
        <v>6645</v>
      </c>
      <c r="E286" s="3" t="s">
        <v>6646</v>
      </c>
      <c r="F286" s="3" t="s">
        <v>6646</v>
      </c>
      <c r="G286" s="3" t="s">
        <v>6645</v>
      </c>
      <c r="H286" s="3" t="s">
        <v>6645</v>
      </c>
      <c r="I286" s="3" t="s">
        <v>6646</v>
      </c>
      <c r="J286" s="3">
        <v>5.0</v>
      </c>
      <c r="K286" s="3">
        <v>1.0</v>
      </c>
      <c r="L286" s="3">
        <v>0.0</v>
      </c>
      <c r="M286" s="3">
        <v>0.0</v>
      </c>
      <c r="N286" s="3">
        <v>1931.9217</v>
      </c>
      <c r="O286" s="3">
        <v>153.0</v>
      </c>
      <c r="P286" s="3" t="e">
        <v>#N/A</v>
      </c>
      <c r="Q286" s="3">
        <v>44.0</v>
      </c>
      <c r="R286" s="3">
        <v>40.0</v>
      </c>
      <c r="S286" s="3">
        <v>46.0</v>
      </c>
      <c r="T286" s="3">
        <v>44.0</v>
      </c>
      <c r="U286" s="3">
        <v>42.0</v>
      </c>
      <c r="V286" s="3">
        <v>44.0</v>
      </c>
      <c r="W286" s="3">
        <v>42.0</v>
      </c>
      <c r="X286" s="3">
        <v>40.0</v>
      </c>
      <c r="Y286" s="3">
        <v>50.0</v>
      </c>
      <c r="Z286" s="3">
        <v>31.0</v>
      </c>
      <c r="AA286" s="3">
        <v>51.0</v>
      </c>
      <c r="AB286" s="3">
        <v>34.0</v>
      </c>
      <c r="AC286" s="3">
        <v>46.0</v>
      </c>
      <c r="AD286" s="3">
        <v>52.0</v>
      </c>
      <c r="AE286" s="3">
        <v>36.0</v>
      </c>
      <c r="AF286" s="3">
        <v>34.0</v>
      </c>
      <c r="AG286" s="3">
        <v>46.0</v>
      </c>
      <c r="AH286" s="3">
        <v>45.0</v>
      </c>
      <c r="AI286" s="3">
        <v>60.0</v>
      </c>
      <c r="AJ286" s="3">
        <v>57.0</v>
      </c>
      <c r="AK286" s="3">
        <v>8.0</v>
      </c>
      <c r="AL286" s="3">
        <v>59.0</v>
      </c>
      <c r="AM286" s="3">
        <v>68.0</v>
      </c>
      <c r="AN286" s="3">
        <v>49.0</v>
      </c>
    </row>
    <row r="287" ht="14.25" customHeight="1">
      <c r="A287" s="3">
        <v>285.0</v>
      </c>
      <c r="B287" s="3" t="s">
        <v>7463</v>
      </c>
      <c r="C287" s="3">
        <v>28.0</v>
      </c>
      <c r="D287" s="3" t="s">
        <v>6645</v>
      </c>
      <c r="E287" s="3" t="s">
        <v>6646</v>
      </c>
      <c r="F287" s="3" t="s">
        <v>6646</v>
      </c>
      <c r="G287" s="3" t="s">
        <v>6645</v>
      </c>
      <c r="H287" s="3" t="s">
        <v>6645</v>
      </c>
      <c r="I287" s="3" t="s">
        <v>6645</v>
      </c>
      <c r="J287" s="3">
        <v>5.0</v>
      </c>
      <c r="K287" s="3">
        <v>1.0</v>
      </c>
      <c r="L287" s="3">
        <v>0.0</v>
      </c>
      <c r="M287" s="3">
        <v>0.0</v>
      </c>
      <c r="N287" s="3">
        <v>1857.7375</v>
      </c>
      <c r="O287" s="3">
        <v>173.0</v>
      </c>
      <c r="P287" s="3" t="e">
        <v>#N/A</v>
      </c>
      <c r="Q287" s="3">
        <v>38.0</v>
      </c>
      <c r="R287" s="3">
        <v>42.0</v>
      </c>
      <c r="S287" s="3">
        <v>42.0</v>
      </c>
      <c r="T287" s="3">
        <v>46.0</v>
      </c>
      <c r="U287" s="3">
        <v>42.0</v>
      </c>
      <c r="V287" s="3">
        <v>38.0</v>
      </c>
      <c r="W287" s="3">
        <v>42.0</v>
      </c>
      <c r="X287" s="3">
        <v>39.0</v>
      </c>
      <c r="Y287" s="3">
        <v>51.0</v>
      </c>
      <c r="Z287" s="3">
        <v>37.0</v>
      </c>
      <c r="AA287" s="3">
        <v>53.0</v>
      </c>
      <c r="AB287" s="3">
        <v>33.0</v>
      </c>
      <c r="AC287" s="3">
        <v>42.0</v>
      </c>
      <c r="AD287" s="3">
        <v>47.0</v>
      </c>
      <c r="AE287" s="3">
        <v>38.0</v>
      </c>
      <c r="AF287" s="3">
        <v>56.0</v>
      </c>
      <c r="AG287" s="3">
        <v>53.0</v>
      </c>
      <c r="AH287" s="3">
        <v>62.0</v>
      </c>
      <c r="AI287" s="3">
        <v>45.0</v>
      </c>
      <c r="AJ287" s="3">
        <v>51.0</v>
      </c>
      <c r="AK287" s="3">
        <v>49.0</v>
      </c>
      <c r="AL287" s="3">
        <v>37.0</v>
      </c>
      <c r="AM287" s="3">
        <v>69.0</v>
      </c>
      <c r="AN287" s="3">
        <v>29.0</v>
      </c>
    </row>
    <row r="288" ht="14.25" customHeight="1">
      <c r="A288" s="3">
        <v>286.0</v>
      </c>
      <c r="B288" s="3" t="s">
        <v>7464</v>
      </c>
      <c r="C288" s="3">
        <v>25.0</v>
      </c>
      <c r="D288" s="3" t="s">
        <v>6645</v>
      </c>
      <c r="E288" s="3" t="s">
        <v>6646</v>
      </c>
      <c r="F288" s="3" t="s">
        <v>6646</v>
      </c>
      <c r="G288" s="3" t="s">
        <v>6645</v>
      </c>
      <c r="H288" s="3" t="s">
        <v>6645</v>
      </c>
      <c r="I288" s="3" t="s">
        <v>6646</v>
      </c>
      <c r="J288" s="3">
        <v>5.0</v>
      </c>
      <c r="K288" s="3">
        <v>1.0</v>
      </c>
      <c r="L288" s="3">
        <v>0.0</v>
      </c>
      <c r="M288" s="3">
        <v>0.0</v>
      </c>
      <c r="N288" s="3">
        <v>1685.0756</v>
      </c>
      <c r="O288" s="3">
        <v>234.0</v>
      </c>
      <c r="P288" s="3" t="e">
        <v>#N/A</v>
      </c>
      <c r="Q288" s="3">
        <v>42.0</v>
      </c>
      <c r="R288" s="3">
        <v>44.0</v>
      </c>
      <c r="S288" s="3">
        <v>42.0</v>
      </c>
      <c r="T288" s="3">
        <v>44.0</v>
      </c>
      <c r="U288" s="3">
        <v>40.0</v>
      </c>
      <c r="V288" s="3">
        <v>38.0</v>
      </c>
      <c r="W288" s="3">
        <v>37.0</v>
      </c>
      <c r="X288" s="3">
        <v>40.0</v>
      </c>
      <c r="Y288" s="3">
        <v>45.0</v>
      </c>
      <c r="Z288" s="3">
        <v>42.0</v>
      </c>
      <c r="AA288" s="3">
        <v>49.0</v>
      </c>
      <c r="AB288" s="3">
        <v>39.0</v>
      </c>
      <c r="AC288" s="3">
        <v>37.0</v>
      </c>
      <c r="AD288" s="3">
        <v>47.0</v>
      </c>
      <c r="AE288" s="3">
        <v>38.0</v>
      </c>
      <c r="AF288" s="3">
        <v>33.0</v>
      </c>
      <c r="AG288" s="3">
        <v>35.0</v>
      </c>
      <c r="AH288" s="3">
        <v>11.0</v>
      </c>
      <c r="AI288" s="3">
        <v>33.0</v>
      </c>
      <c r="AJ288" s="3">
        <v>37.0</v>
      </c>
      <c r="AK288" s="3">
        <v>46.0</v>
      </c>
      <c r="AL288" s="3">
        <v>50.0</v>
      </c>
      <c r="AM288" s="3">
        <v>74.0</v>
      </c>
      <c r="AN288" s="3">
        <v>51.0</v>
      </c>
    </row>
    <row r="289" ht="14.25" customHeight="1">
      <c r="A289" s="3">
        <v>287.0</v>
      </c>
      <c r="B289" s="3" t="s">
        <v>7465</v>
      </c>
      <c r="C289" s="3">
        <v>23.0</v>
      </c>
      <c r="D289" s="3" t="s">
        <v>6645</v>
      </c>
      <c r="E289" s="3" t="s">
        <v>6646</v>
      </c>
      <c r="F289" s="3" t="s">
        <v>6646</v>
      </c>
      <c r="G289" s="3" t="s">
        <v>6645</v>
      </c>
      <c r="H289" s="3" t="s">
        <v>6645</v>
      </c>
      <c r="I289" s="3" t="s">
        <v>6646</v>
      </c>
      <c r="J289" s="3">
        <v>5.0</v>
      </c>
      <c r="K289" s="3">
        <v>1.0</v>
      </c>
      <c r="L289" s="3">
        <v>0.0</v>
      </c>
      <c r="M289" s="3">
        <v>0.0</v>
      </c>
      <c r="N289" s="3">
        <v>1787.346</v>
      </c>
      <c r="O289" s="3">
        <v>246.0</v>
      </c>
      <c r="P289" s="3" t="e">
        <v>#N/A</v>
      </c>
      <c r="Q289" s="3">
        <v>42.0</v>
      </c>
      <c r="R289" s="3">
        <v>40.0</v>
      </c>
      <c r="S289" s="3">
        <v>38.0</v>
      </c>
      <c r="T289" s="3">
        <v>38.0</v>
      </c>
      <c r="U289" s="3">
        <v>44.0</v>
      </c>
      <c r="V289" s="3">
        <v>44.0</v>
      </c>
      <c r="W289" s="3">
        <v>31.0</v>
      </c>
      <c r="X289" s="3">
        <v>44.0</v>
      </c>
      <c r="Y289" s="3">
        <v>46.0</v>
      </c>
      <c r="Z289" s="3">
        <v>44.0</v>
      </c>
      <c r="AA289" s="3">
        <v>49.0</v>
      </c>
      <c r="AB289" s="3">
        <v>38.0</v>
      </c>
      <c r="AC289" s="3">
        <v>34.0</v>
      </c>
      <c r="AD289" s="3">
        <v>46.0</v>
      </c>
      <c r="AE289" s="3">
        <v>34.0</v>
      </c>
      <c r="AF289" s="3">
        <v>19.0</v>
      </c>
      <c r="AG289" s="3">
        <v>48.0</v>
      </c>
      <c r="AH289" s="3">
        <v>55.0</v>
      </c>
      <c r="AI289" s="3">
        <v>41.0</v>
      </c>
      <c r="AJ289" s="3">
        <v>50.0</v>
      </c>
      <c r="AK289" s="3">
        <v>38.0</v>
      </c>
      <c r="AL289" s="3">
        <v>39.0</v>
      </c>
      <c r="AM289" s="3">
        <v>74.0</v>
      </c>
      <c r="AN289" s="3">
        <v>58.0</v>
      </c>
    </row>
    <row r="290" ht="14.25" customHeight="1">
      <c r="A290" s="3">
        <v>288.0</v>
      </c>
      <c r="B290" s="3" t="s">
        <v>7466</v>
      </c>
      <c r="C290" s="3">
        <v>21.0</v>
      </c>
      <c r="D290" s="3" t="s">
        <v>6645</v>
      </c>
      <c r="E290" s="3" t="s">
        <v>6646</v>
      </c>
      <c r="F290" s="3" t="s">
        <v>6646</v>
      </c>
      <c r="G290" s="3" t="s">
        <v>6645</v>
      </c>
      <c r="H290" s="3" t="s">
        <v>6645</v>
      </c>
      <c r="I290" s="3" t="s">
        <v>6645</v>
      </c>
      <c r="J290" s="3">
        <v>5.0</v>
      </c>
      <c r="K290" s="3">
        <v>0.0</v>
      </c>
      <c r="L290" s="3">
        <v>0.0</v>
      </c>
      <c r="M290" s="3">
        <v>0.0</v>
      </c>
      <c r="N290" s="3">
        <v>566.781</v>
      </c>
      <c r="O290" s="3">
        <v>87.0</v>
      </c>
      <c r="P290" s="3" t="e">
        <v>#N/A</v>
      </c>
      <c r="Q290" s="3">
        <v>32.0</v>
      </c>
      <c r="R290" s="3">
        <v>35.0</v>
      </c>
      <c r="S290" s="3">
        <v>38.0</v>
      </c>
      <c r="T290" s="3">
        <v>36.0</v>
      </c>
      <c r="U290" s="3">
        <v>30.0</v>
      </c>
      <c r="V290" s="3">
        <v>38.0</v>
      </c>
      <c r="W290" s="3">
        <v>32.0</v>
      </c>
      <c r="X290" s="3">
        <v>28.0</v>
      </c>
      <c r="Y290" s="3">
        <v>42.0</v>
      </c>
      <c r="Z290" s="3">
        <v>32.0</v>
      </c>
      <c r="AA290" s="3">
        <v>40.0</v>
      </c>
      <c r="AB290" s="3">
        <v>26.0</v>
      </c>
      <c r="AC290" s="3">
        <v>30.0</v>
      </c>
      <c r="AD290" s="3">
        <v>42.0</v>
      </c>
      <c r="AE290" s="3">
        <v>30.0</v>
      </c>
      <c r="AF290" s="3">
        <v>48.0</v>
      </c>
      <c r="AG290" s="3">
        <v>32.0</v>
      </c>
      <c r="AH290" s="3">
        <v>49.0</v>
      </c>
      <c r="AI290" s="3">
        <v>37.0</v>
      </c>
      <c r="AJ290" s="3">
        <v>54.0</v>
      </c>
      <c r="AK290" s="3">
        <v>27.0</v>
      </c>
      <c r="AL290" s="3">
        <v>54.0</v>
      </c>
      <c r="AM290" s="3">
        <v>70.0</v>
      </c>
      <c r="AN290" s="3">
        <v>36.0</v>
      </c>
    </row>
    <row r="291" ht="14.25" customHeight="1">
      <c r="A291" s="3">
        <v>289.0</v>
      </c>
      <c r="B291" s="3" t="s">
        <v>7467</v>
      </c>
      <c r="C291" s="3">
        <v>18.0</v>
      </c>
      <c r="D291" s="3" t="s">
        <v>6645</v>
      </c>
      <c r="E291" s="3" t="s">
        <v>6646</v>
      </c>
      <c r="F291" s="3" t="s">
        <v>6646</v>
      </c>
      <c r="G291" s="3" t="s">
        <v>6645</v>
      </c>
      <c r="H291" s="3" t="s">
        <v>6645</v>
      </c>
      <c r="I291" s="3" t="s">
        <v>6646</v>
      </c>
      <c r="J291" s="3">
        <v>5.0</v>
      </c>
      <c r="K291" s="3">
        <v>0.0</v>
      </c>
      <c r="L291" s="3">
        <v>0.0</v>
      </c>
      <c r="M291" s="3">
        <v>0.0</v>
      </c>
      <c r="N291" s="3">
        <v>590.04333</v>
      </c>
      <c r="O291" s="3">
        <v>115.0</v>
      </c>
      <c r="P291" s="3" t="e">
        <v>#N/A</v>
      </c>
      <c r="Q291" s="3">
        <v>36.0</v>
      </c>
      <c r="R291" s="3">
        <v>32.0</v>
      </c>
      <c r="S291" s="3">
        <v>36.0</v>
      </c>
      <c r="T291" s="3">
        <v>33.0</v>
      </c>
      <c r="U291" s="3">
        <v>35.0</v>
      </c>
      <c r="V291" s="3">
        <v>30.0</v>
      </c>
      <c r="W291" s="3">
        <v>35.0</v>
      </c>
      <c r="X291" s="3">
        <v>38.0</v>
      </c>
      <c r="Y291" s="3">
        <v>41.0</v>
      </c>
      <c r="Z291" s="3">
        <v>24.0</v>
      </c>
      <c r="AA291" s="3">
        <v>48.0</v>
      </c>
      <c r="AB291" s="3">
        <v>39.0</v>
      </c>
      <c r="AC291" s="3">
        <v>26.0</v>
      </c>
      <c r="AD291" s="3">
        <v>43.0</v>
      </c>
      <c r="AE291" s="3">
        <v>21.0</v>
      </c>
      <c r="AF291" s="3">
        <v>34.0</v>
      </c>
      <c r="AG291" s="3">
        <v>52.0</v>
      </c>
      <c r="AH291" s="3">
        <v>39.0</v>
      </c>
      <c r="AI291" s="3">
        <v>51.0</v>
      </c>
      <c r="AJ291" s="3">
        <v>33.0</v>
      </c>
      <c r="AK291" s="3">
        <v>36.0</v>
      </c>
      <c r="AL291" s="3">
        <v>29.0</v>
      </c>
      <c r="AM291" s="3">
        <v>65.0</v>
      </c>
      <c r="AN291" s="3">
        <v>35.0</v>
      </c>
    </row>
    <row r="292" ht="14.25" customHeight="1">
      <c r="A292" s="3">
        <v>290.0</v>
      </c>
      <c r="B292" s="3" t="s">
        <v>7468</v>
      </c>
      <c r="C292" s="3">
        <v>22.0</v>
      </c>
      <c r="D292" s="3" t="s">
        <v>6645</v>
      </c>
      <c r="E292" s="3" t="s">
        <v>6646</v>
      </c>
      <c r="F292" s="3" t="s">
        <v>6646</v>
      </c>
      <c r="G292" s="3" t="s">
        <v>6645</v>
      </c>
      <c r="H292" s="3" t="s">
        <v>6645</v>
      </c>
      <c r="I292" s="3" t="s">
        <v>6646</v>
      </c>
      <c r="J292" s="3">
        <v>5.0</v>
      </c>
      <c r="K292" s="3">
        <v>0.0</v>
      </c>
      <c r="L292" s="3">
        <v>0.0</v>
      </c>
      <c r="M292" s="3">
        <v>0.0</v>
      </c>
      <c r="N292" s="3">
        <v>493.64825</v>
      </c>
      <c r="O292" s="3">
        <v>121.0</v>
      </c>
      <c r="P292" s="3" t="e">
        <v>#N/A</v>
      </c>
      <c r="Q292" s="3">
        <v>33.0</v>
      </c>
      <c r="R292" s="3">
        <v>39.0</v>
      </c>
      <c r="S292" s="3">
        <v>35.0</v>
      </c>
      <c r="T292" s="3">
        <v>37.0</v>
      </c>
      <c r="U292" s="3">
        <v>31.0</v>
      </c>
      <c r="V292" s="3">
        <v>31.0</v>
      </c>
      <c r="W292" s="3">
        <v>29.0</v>
      </c>
      <c r="X292" s="3">
        <v>33.0</v>
      </c>
      <c r="Y292" s="3">
        <v>40.0</v>
      </c>
      <c r="Z292" s="3">
        <v>32.0</v>
      </c>
      <c r="AA292" s="3">
        <v>42.0</v>
      </c>
      <c r="AB292" s="3">
        <v>30.0</v>
      </c>
      <c r="AC292" s="3">
        <v>30.0</v>
      </c>
      <c r="AD292" s="3">
        <v>46.0</v>
      </c>
      <c r="AE292" s="3">
        <v>24.0</v>
      </c>
      <c r="AF292" s="3">
        <v>38.0</v>
      </c>
      <c r="AG292" s="3">
        <v>52.0</v>
      </c>
      <c r="AH292" s="3">
        <v>51.0</v>
      </c>
      <c r="AI292" s="3">
        <v>44.0</v>
      </c>
      <c r="AJ292" s="3">
        <v>26.0</v>
      </c>
      <c r="AK292" s="3">
        <v>59.0</v>
      </c>
      <c r="AL292" s="3">
        <v>51.0</v>
      </c>
      <c r="AM292" s="3">
        <v>75.0</v>
      </c>
      <c r="AN292" s="3">
        <v>40.0</v>
      </c>
    </row>
    <row r="293" ht="14.25" customHeight="1">
      <c r="A293" s="3">
        <v>291.0</v>
      </c>
      <c r="B293" s="3" t="s">
        <v>7469</v>
      </c>
      <c r="C293" s="3">
        <v>16.0</v>
      </c>
      <c r="D293" s="3" t="s">
        <v>6645</v>
      </c>
      <c r="E293" s="3" t="s">
        <v>6646</v>
      </c>
      <c r="F293" s="3" t="s">
        <v>6646</v>
      </c>
      <c r="G293" s="3" t="s">
        <v>6645</v>
      </c>
      <c r="H293" s="3" t="s">
        <v>6645</v>
      </c>
      <c r="I293" s="3" t="s">
        <v>6645</v>
      </c>
      <c r="J293" s="3">
        <v>5.0</v>
      </c>
      <c r="K293" s="3">
        <v>0.0</v>
      </c>
      <c r="L293" s="3">
        <v>0.0</v>
      </c>
      <c r="M293" s="3">
        <v>0.0</v>
      </c>
      <c r="N293" s="3">
        <v>543.75524</v>
      </c>
      <c r="O293" s="3">
        <v>116.0</v>
      </c>
      <c r="P293" s="3" t="e">
        <v>#N/A</v>
      </c>
      <c r="Q293" s="3">
        <v>36.0</v>
      </c>
      <c r="R293" s="3">
        <v>34.0</v>
      </c>
      <c r="S293" s="3">
        <v>39.0</v>
      </c>
      <c r="T293" s="3">
        <v>35.0</v>
      </c>
      <c r="U293" s="3">
        <v>32.0</v>
      </c>
      <c r="V293" s="3">
        <v>32.0</v>
      </c>
      <c r="W293" s="3">
        <v>27.0</v>
      </c>
      <c r="X293" s="3">
        <v>38.0</v>
      </c>
      <c r="Y293" s="3">
        <v>36.0</v>
      </c>
      <c r="Z293" s="3">
        <v>23.0</v>
      </c>
      <c r="AA293" s="3">
        <v>45.0</v>
      </c>
      <c r="AB293" s="3">
        <v>30.0</v>
      </c>
      <c r="AC293" s="3">
        <v>30.0</v>
      </c>
      <c r="AD293" s="3">
        <v>40.0</v>
      </c>
      <c r="AE293" s="3">
        <v>27.0</v>
      </c>
      <c r="AF293" s="3">
        <v>55.0</v>
      </c>
      <c r="AG293" s="3">
        <v>58.0</v>
      </c>
      <c r="AH293" s="3">
        <v>11.0</v>
      </c>
      <c r="AI293" s="3">
        <v>48.0</v>
      </c>
      <c r="AJ293" s="3">
        <v>39.0</v>
      </c>
      <c r="AK293" s="3">
        <v>38.0</v>
      </c>
      <c r="AL293" s="3">
        <v>49.0</v>
      </c>
      <c r="AM293" s="3">
        <v>78.0</v>
      </c>
      <c r="AN293" s="3">
        <v>53.0</v>
      </c>
    </row>
    <row r="294" ht="14.25" customHeight="1">
      <c r="A294" s="3">
        <v>292.0</v>
      </c>
      <c r="B294" s="3" t="s">
        <v>7470</v>
      </c>
      <c r="C294" s="3">
        <v>24.0</v>
      </c>
      <c r="D294" s="3" t="s">
        <v>6645</v>
      </c>
      <c r="E294" s="3" t="s">
        <v>6646</v>
      </c>
      <c r="F294" s="3" t="s">
        <v>6646</v>
      </c>
      <c r="G294" s="3" t="s">
        <v>6645</v>
      </c>
      <c r="H294" s="3" t="s">
        <v>6645</v>
      </c>
      <c r="I294" s="3" t="s">
        <v>6645</v>
      </c>
      <c r="J294" s="3">
        <v>5.0</v>
      </c>
      <c r="K294" s="3">
        <v>0.0</v>
      </c>
      <c r="L294" s="3">
        <v>0.0</v>
      </c>
      <c r="M294" s="3">
        <v>0.0</v>
      </c>
      <c r="N294" s="3">
        <v>659.264</v>
      </c>
      <c r="O294" s="3">
        <v>114.0</v>
      </c>
      <c r="P294" s="3" t="e">
        <v>#N/A</v>
      </c>
      <c r="Q294" s="3">
        <v>37.0</v>
      </c>
      <c r="R294" s="3">
        <v>31.0</v>
      </c>
      <c r="S294" s="3">
        <v>34.0</v>
      </c>
      <c r="T294" s="3">
        <v>31.0</v>
      </c>
      <c r="U294" s="3">
        <v>33.0</v>
      </c>
      <c r="V294" s="3">
        <v>35.0</v>
      </c>
      <c r="W294" s="3">
        <v>34.0</v>
      </c>
      <c r="X294" s="3">
        <v>37.0</v>
      </c>
      <c r="Y294" s="3">
        <v>44.0</v>
      </c>
      <c r="Z294" s="3">
        <v>25.0</v>
      </c>
      <c r="AA294" s="3">
        <v>41.0</v>
      </c>
      <c r="AB294" s="3">
        <v>28.0</v>
      </c>
      <c r="AC294" s="3">
        <v>36.0</v>
      </c>
      <c r="AD294" s="3">
        <v>41.0</v>
      </c>
      <c r="AE294" s="3">
        <v>23.0</v>
      </c>
      <c r="AF294" s="3">
        <v>43.0</v>
      </c>
      <c r="AG294" s="3">
        <v>37.0</v>
      </c>
      <c r="AH294" s="3">
        <v>40.0</v>
      </c>
      <c r="AI294" s="3">
        <v>50.0</v>
      </c>
      <c r="AJ294" s="3">
        <v>31.0</v>
      </c>
      <c r="AK294" s="3">
        <v>37.0</v>
      </c>
      <c r="AL294" s="3">
        <v>57.0</v>
      </c>
      <c r="AM294" s="3">
        <v>69.0</v>
      </c>
      <c r="AN294" s="3">
        <v>24.0</v>
      </c>
    </row>
    <row r="295" ht="14.25" customHeight="1">
      <c r="A295" s="3">
        <v>293.0</v>
      </c>
      <c r="B295" s="3" t="s">
        <v>7471</v>
      </c>
      <c r="C295" s="3">
        <v>39.0</v>
      </c>
      <c r="D295" s="3" t="s">
        <v>6645</v>
      </c>
      <c r="E295" s="3" t="s">
        <v>6646</v>
      </c>
      <c r="F295" s="3" t="s">
        <v>6646</v>
      </c>
      <c r="G295" s="3" t="s">
        <v>6645</v>
      </c>
      <c r="H295" s="3" t="s">
        <v>6645</v>
      </c>
      <c r="I295" s="3" t="s">
        <v>6645</v>
      </c>
      <c r="J295" s="3">
        <v>6.0</v>
      </c>
      <c r="K295" s="3">
        <v>4.0</v>
      </c>
      <c r="L295" s="3">
        <v>0.0</v>
      </c>
      <c r="M295" s="3">
        <v>0.0</v>
      </c>
      <c r="N295" s="3">
        <v>11713.394</v>
      </c>
      <c r="O295" s="3">
        <v>1759.0</v>
      </c>
      <c r="P295" s="3" t="e">
        <v>#N/A</v>
      </c>
      <c r="Q295" s="3">
        <v>77.0</v>
      </c>
      <c r="R295" s="3">
        <v>75.0</v>
      </c>
      <c r="S295" s="3">
        <v>61.0</v>
      </c>
      <c r="T295" s="3">
        <v>64.0</v>
      </c>
      <c r="U295" s="3">
        <v>63.0</v>
      </c>
      <c r="V295" s="3">
        <v>64.0</v>
      </c>
      <c r="W295" s="3">
        <v>64.0</v>
      </c>
      <c r="X295" s="3">
        <v>66.0</v>
      </c>
      <c r="Y295" s="3">
        <v>72.0</v>
      </c>
      <c r="Z295" s="3">
        <v>56.0</v>
      </c>
      <c r="AA295" s="3">
        <v>89.0</v>
      </c>
      <c r="AB295" s="3">
        <v>78.0</v>
      </c>
      <c r="AC295" s="3">
        <v>54.0</v>
      </c>
      <c r="AD295" s="3">
        <v>63.0</v>
      </c>
      <c r="AE295" s="3">
        <v>58.0</v>
      </c>
      <c r="AF295" s="3">
        <v>68.0</v>
      </c>
      <c r="AG295" s="3">
        <v>28.0</v>
      </c>
      <c r="AH295" s="3">
        <v>55.0</v>
      </c>
      <c r="AI295" s="3">
        <v>54.0</v>
      </c>
      <c r="AJ295" s="3">
        <v>75.0</v>
      </c>
      <c r="AK295" s="3">
        <v>43.0</v>
      </c>
      <c r="AL295" s="3">
        <v>71.0</v>
      </c>
      <c r="AM295" s="3">
        <v>30.0</v>
      </c>
      <c r="AN295" s="3">
        <v>52.0</v>
      </c>
    </row>
    <row r="296" ht="14.25" customHeight="1">
      <c r="A296" s="3">
        <v>294.0</v>
      </c>
      <c r="B296" s="3" t="s">
        <v>7472</v>
      </c>
      <c r="C296" s="3">
        <v>36.0</v>
      </c>
      <c r="D296" s="3" t="s">
        <v>6645</v>
      </c>
      <c r="E296" s="3" t="s">
        <v>6646</v>
      </c>
      <c r="F296" s="3" t="s">
        <v>6646</v>
      </c>
      <c r="G296" s="3" t="s">
        <v>6645</v>
      </c>
      <c r="H296" s="3" t="s">
        <v>6645</v>
      </c>
      <c r="I296" s="3" t="s">
        <v>6646</v>
      </c>
      <c r="J296" s="3">
        <v>6.0</v>
      </c>
      <c r="K296" s="3">
        <v>4.0</v>
      </c>
      <c r="L296" s="3">
        <v>0.0</v>
      </c>
      <c r="M296" s="3">
        <v>0.0</v>
      </c>
      <c r="N296" s="3">
        <v>10952.061</v>
      </c>
      <c r="O296" s="3">
        <v>1283.0</v>
      </c>
      <c r="P296" s="3" t="e">
        <v>#N/A</v>
      </c>
      <c r="Q296" s="3">
        <v>74.0</v>
      </c>
      <c r="R296" s="3">
        <v>68.0</v>
      </c>
      <c r="S296" s="3">
        <v>63.0</v>
      </c>
      <c r="T296" s="3">
        <v>61.0</v>
      </c>
      <c r="U296" s="3">
        <v>61.0</v>
      </c>
      <c r="V296" s="3">
        <v>63.0</v>
      </c>
      <c r="W296" s="3">
        <v>59.0</v>
      </c>
      <c r="X296" s="3">
        <v>62.0</v>
      </c>
      <c r="Y296" s="3">
        <v>83.0</v>
      </c>
      <c r="Z296" s="3">
        <v>62.0</v>
      </c>
      <c r="AA296" s="3">
        <v>82.0</v>
      </c>
      <c r="AB296" s="3">
        <v>80.0</v>
      </c>
      <c r="AC296" s="3">
        <v>58.0</v>
      </c>
      <c r="AD296" s="3">
        <v>56.0</v>
      </c>
      <c r="AE296" s="3">
        <v>56.0</v>
      </c>
      <c r="AF296" s="3">
        <v>64.0</v>
      </c>
      <c r="AG296" s="3">
        <v>46.0</v>
      </c>
      <c r="AH296" s="3">
        <v>36.0</v>
      </c>
      <c r="AI296" s="3">
        <v>33.0</v>
      </c>
      <c r="AJ296" s="3">
        <v>83.0</v>
      </c>
      <c r="AK296" s="3">
        <v>63.0</v>
      </c>
      <c r="AL296" s="3">
        <v>81.0</v>
      </c>
      <c r="AM296" s="3">
        <v>70.0</v>
      </c>
      <c r="AN296" s="3">
        <v>47.0</v>
      </c>
    </row>
    <row r="297" ht="14.25" customHeight="1">
      <c r="A297" s="3">
        <v>295.0</v>
      </c>
      <c r="B297" s="3" t="s">
        <v>7473</v>
      </c>
      <c r="C297" s="3">
        <v>38.0</v>
      </c>
      <c r="D297" s="3" t="s">
        <v>6645</v>
      </c>
      <c r="E297" s="3" t="s">
        <v>6646</v>
      </c>
      <c r="F297" s="3" t="s">
        <v>6646</v>
      </c>
      <c r="G297" s="3" t="s">
        <v>6645</v>
      </c>
      <c r="H297" s="3" t="s">
        <v>6645</v>
      </c>
      <c r="I297" s="3" t="s">
        <v>6645</v>
      </c>
      <c r="J297" s="3">
        <v>6.0</v>
      </c>
      <c r="K297" s="3">
        <v>4.0</v>
      </c>
      <c r="L297" s="3">
        <v>0.0</v>
      </c>
      <c r="M297" s="3">
        <v>0.0</v>
      </c>
      <c r="N297" s="3">
        <v>11387.954</v>
      </c>
      <c r="O297" s="3">
        <v>1798.0</v>
      </c>
      <c r="P297" s="3" t="e">
        <v>#N/A</v>
      </c>
      <c r="Q297" s="3">
        <v>77.0</v>
      </c>
      <c r="R297" s="3">
        <v>74.0</v>
      </c>
      <c r="S297" s="3">
        <v>59.0</v>
      </c>
      <c r="T297" s="3">
        <v>64.0</v>
      </c>
      <c r="U297" s="3">
        <v>63.0</v>
      </c>
      <c r="V297" s="3">
        <v>65.0</v>
      </c>
      <c r="W297" s="3">
        <v>65.0</v>
      </c>
      <c r="X297" s="3">
        <v>70.0</v>
      </c>
      <c r="Y297" s="3">
        <v>80.0</v>
      </c>
      <c r="Z297" s="3">
        <v>55.0</v>
      </c>
      <c r="AA297" s="3">
        <v>81.0</v>
      </c>
      <c r="AB297" s="3">
        <v>77.0</v>
      </c>
      <c r="AC297" s="3">
        <v>61.0</v>
      </c>
      <c r="AD297" s="3">
        <v>61.0</v>
      </c>
      <c r="AE297" s="3">
        <v>60.0</v>
      </c>
      <c r="AF297" s="3">
        <v>54.0</v>
      </c>
      <c r="AG297" s="3">
        <v>50.0</v>
      </c>
      <c r="AH297" s="3">
        <v>54.0</v>
      </c>
      <c r="AI297" s="3">
        <v>48.0</v>
      </c>
      <c r="AJ297" s="3">
        <v>73.0</v>
      </c>
      <c r="AK297" s="3">
        <v>69.0</v>
      </c>
      <c r="AL297" s="3">
        <v>83.0</v>
      </c>
      <c r="AM297" s="3">
        <v>46.0</v>
      </c>
      <c r="AN297" s="3">
        <v>12.0</v>
      </c>
    </row>
    <row r="298" ht="14.25" customHeight="1">
      <c r="A298" s="3">
        <v>296.0</v>
      </c>
      <c r="B298" s="3" t="s">
        <v>7474</v>
      </c>
      <c r="C298" s="3">
        <v>36.0</v>
      </c>
      <c r="D298" s="3" t="s">
        <v>6645</v>
      </c>
      <c r="E298" s="3" t="s">
        <v>6646</v>
      </c>
      <c r="F298" s="3" t="s">
        <v>6646</v>
      </c>
      <c r="G298" s="3" t="s">
        <v>6645</v>
      </c>
      <c r="H298" s="3" t="s">
        <v>6645</v>
      </c>
      <c r="I298" s="3" t="s">
        <v>6645</v>
      </c>
      <c r="J298" s="3">
        <v>6.0</v>
      </c>
      <c r="K298" s="3">
        <v>3.0</v>
      </c>
      <c r="L298" s="3">
        <v>0.0</v>
      </c>
      <c r="M298" s="3">
        <v>0.0</v>
      </c>
      <c r="N298" s="3">
        <v>6718.4384</v>
      </c>
      <c r="O298" s="3">
        <v>814.0</v>
      </c>
      <c r="P298" s="3" t="e">
        <v>#N/A</v>
      </c>
      <c r="Q298" s="3">
        <v>53.0</v>
      </c>
      <c r="R298" s="3">
        <v>59.0</v>
      </c>
      <c r="S298" s="3">
        <v>54.0</v>
      </c>
      <c r="T298" s="3">
        <v>56.0</v>
      </c>
      <c r="U298" s="3">
        <v>50.0</v>
      </c>
      <c r="V298" s="3">
        <v>54.0</v>
      </c>
      <c r="W298" s="3">
        <v>51.0</v>
      </c>
      <c r="X298" s="3">
        <v>56.0</v>
      </c>
      <c r="Y298" s="3">
        <v>62.0</v>
      </c>
      <c r="Z298" s="3">
        <v>54.0</v>
      </c>
      <c r="AA298" s="3">
        <v>63.0</v>
      </c>
      <c r="AB298" s="3">
        <v>60.0</v>
      </c>
      <c r="AC298" s="3">
        <v>50.0</v>
      </c>
      <c r="AD298" s="3">
        <v>50.0</v>
      </c>
      <c r="AE298" s="3">
        <v>46.0</v>
      </c>
      <c r="AF298" s="3">
        <v>39.0</v>
      </c>
      <c r="AG298" s="3">
        <v>21.0</v>
      </c>
      <c r="AH298" s="3">
        <v>58.0</v>
      </c>
      <c r="AI298" s="3">
        <v>46.0</v>
      </c>
      <c r="AJ298" s="3">
        <v>77.0</v>
      </c>
      <c r="AK298" s="3">
        <v>55.0</v>
      </c>
      <c r="AL298" s="3">
        <v>78.0</v>
      </c>
      <c r="AM298" s="3">
        <v>63.0</v>
      </c>
      <c r="AN298" s="3">
        <v>33.0</v>
      </c>
    </row>
    <row r="299" ht="14.25" customHeight="1">
      <c r="A299" s="3">
        <v>297.0</v>
      </c>
      <c r="B299" s="3" t="s">
        <v>7475</v>
      </c>
      <c r="C299" s="3">
        <v>34.0</v>
      </c>
      <c r="D299" s="3" t="s">
        <v>6645</v>
      </c>
      <c r="E299" s="3" t="s">
        <v>6646</v>
      </c>
      <c r="F299" s="3" t="s">
        <v>6646</v>
      </c>
      <c r="G299" s="3" t="s">
        <v>6645</v>
      </c>
      <c r="H299" s="3" t="s">
        <v>6645</v>
      </c>
      <c r="I299" s="3" t="s">
        <v>6645</v>
      </c>
      <c r="J299" s="3">
        <v>6.0</v>
      </c>
      <c r="K299" s="3">
        <v>3.0</v>
      </c>
      <c r="L299" s="3">
        <v>0.0</v>
      </c>
      <c r="M299" s="3">
        <v>0.0</v>
      </c>
      <c r="N299" s="3">
        <v>7114.6586</v>
      </c>
      <c r="O299" s="3">
        <v>665.0</v>
      </c>
      <c r="P299" s="3" t="e">
        <v>#N/A</v>
      </c>
      <c r="Q299" s="3">
        <v>62.0</v>
      </c>
      <c r="R299" s="3">
        <v>60.0</v>
      </c>
      <c r="S299" s="3">
        <v>58.0</v>
      </c>
      <c r="T299" s="3">
        <v>58.0</v>
      </c>
      <c r="U299" s="3">
        <v>58.0</v>
      </c>
      <c r="V299" s="3">
        <v>56.0</v>
      </c>
      <c r="W299" s="3">
        <v>52.0</v>
      </c>
      <c r="X299" s="3">
        <v>49.0</v>
      </c>
      <c r="Y299" s="3">
        <v>63.0</v>
      </c>
      <c r="Z299" s="3">
        <v>45.0</v>
      </c>
      <c r="AA299" s="3">
        <v>71.0</v>
      </c>
      <c r="AB299" s="3">
        <v>64.0</v>
      </c>
      <c r="AC299" s="3">
        <v>50.0</v>
      </c>
      <c r="AD299" s="3">
        <v>54.0</v>
      </c>
      <c r="AE299" s="3">
        <v>54.0</v>
      </c>
      <c r="AF299" s="3">
        <v>48.0</v>
      </c>
      <c r="AG299" s="3">
        <v>31.0</v>
      </c>
      <c r="AH299" s="3">
        <v>44.0</v>
      </c>
      <c r="AI299" s="3">
        <v>40.0</v>
      </c>
      <c r="AJ299" s="3">
        <v>85.0</v>
      </c>
      <c r="AK299" s="3">
        <v>42.0</v>
      </c>
      <c r="AL299" s="3">
        <v>71.0</v>
      </c>
      <c r="AM299" s="3">
        <v>66.0</v>
      </c>
      <c r="AN299" s="3">
        <v>44.0</v>
      </c>
    </row>
    <row r="300" ht="14.25" customHeight="1">
      <c r="A300" s="3">
        <v>298.0</v>
      </c>
      <c r="B300" s="3" t="s">
        <v>7476</v>
      </c>
      <c r="C300" s="3">
        <v>33.0</v>
      </c>
      <c r="D300" s="3" t="s">
        <v>6645</v>
      </c>
      <c r="E300" s="3" t="s">
        <v>6646</v>
      </c>
      <c r="F300" s="3" t="s">
        <v>6646</v>
      </c>
      <c r="G300" s="3" t="s">
        <v>6645</v>
      </c>
      <c r="H300" s="3" t="s">
        <v>6645</v>
      </c>
      <c r="I300" s="3" t="s">
        <v>6646</v>
      </c>
      <c r="J300" s="3">
        <v>6.0</v>
      </c>
      <c r="K300" s="3">
        <v>3.0</v>
      </c>
      <c r="L300" s="3">
        <v>0.0</v>
      </c>
      <c r="M300" s="3">
        <v>0.0</v>
      </c>
      <c r="N300" s="3">
        <v>6682.4555</v>
      </c>
      <c r="O300" s="3">
        <v>893.0</v>
      </c>
      <c r="P300" s="3" t="e">
        <v>#N/A</v>
      </c>
      <c r="Q300" s="3">
        <v>56.0</v>
      </c>
      <c r="R300" s="3">
        <v>56.0</v>
      </c>
      <c r="S300" s="3">
        <v>56.0</v>
      </c>
      <c r="T300" s="3">
        <v>56.0</v>
      </c>
      <c r="U300" s="3">
        <v>56.0</v>
      </c>
      <c r="V300" s="3">
        <v>52.0</v>
      </c>
      <c r="W300" s="3">
        <v>59.0</v>
      </c>
      <c r="X300" s="3">
        <v>56.0</v>
      </c>
      <c r="Y300" s="3">
        <v>58.0</v>
      </c>
      <c r="Z300" s="3">
        <v>49.0</v>
      </c>
      <c r="AA300" s="3">
        <v>66.0</v>
      </c>
      <c r="AB300" s="3">
        <v>66.0</v>
      </c>
      <c r="AC300" s="3">
        <v>45.0</v>
      </c>
      <c r="AD300" s="3">
        <v>58.0</v>
      </c>
      <c r="AE300" s="3">
        <v>50.0</v>
      </c>
      <c r="AF300" s="3">
        <v>60.0</v>
      </c>
      <c r="AG300" s="3">
        <v>45.0</v>
      </c>
      <c r="AH300" s="3">
        <v>61.0</v>
      </c>
      <c r="AI300" s="3">
        <v>39.0</v>
      </c>
      <c r="AJ300" s="3">
        <v>75.0</v>
      </c>
      <c r="AK300" s="3">
        <v>53.0</v>
      </c>
      <c r="AL300" s="3">
        <v>80.0</v>
      </c>
      <c r="AM300" s="3">
        <v>45.0</v>
      </c>
      <c r="AN300" s="3">
        <v>39.0</v>
      </c>
    </row>
    <row r="301" ht="14.25" customHeight="1">
      <c r="A301" s="3">
        <v>299.0</v>
      </c>
      <c r="B301" s="3" t="s">
        <v>7477</v>
      </c>
      <c r="C301" s="3">
        <v>33.0</v>
      </c>
      <c r="D301" s="3" t="s">
        <v>6645</v>
      </c>
      <c r="E301" s="3" t="s">
        <v>6646</v>
      </c>
      <c r="F301" s="3" t="s">
        <v>6646</v>
      </c>
      <c r="G301" s="3" t="s">
        <v>6645</v>
      </c>
      <c r="H301" s="3" t="s">
        <v>6645</v>
      </c>
      <c r="I301" s="3" t="s">
        <v>6645</v>
      </c>
      <c r="J301" s="3">
        <v>6.0</v>
      </c>
      <c r="K301" s="3">
        <v>2.0</v>
      </c>
      <c r="L301" s="3">
        <v>0.0</v>
      </c>
      <c r="M301" s="3">
        <v>0.0</v>
      </c>
      <c r="N301" s="3">
        <v>4126.3593</v>
      </c>
      <c r="O301" s="3">
        <v>319.0</v>
      </c>
      <c r="P301" s="3" t="e">
        <v>#N/A</v>
      </c>
      <c r="Q301" s="3">
        <v>48.0</v>
      </c>
      <c r="R301" s="3">
        <v>43.0</v>
      </c>
      <c r="S301" s="3">
        <v>47.0</v>
      </c>
      <c r="T301" s="3">
        <v>50.0</v>
      </c>
      <c r="U301" s="3">
        <v>52.0</v>
      </c>
      <c r="V301" s="3">
        <v>44.0</v>
      </c>
      <c r="W301" s="3">
        <v>44.0</v>
      </c>
      <c r="X301" s="3">
        <v>44.0</v>
      </c>
      <c r="Y301" s="3">
        <v>57.0</v>
      </c>
      <c r="Z301" s="3">
        <v>46.0</v>
      </c>
      <c r="AA301" s="3">
        <v>64.0</v>
      </c>
      <c r="AB301" s="3">
        <v>57.0</v>
      </c>
      <c r="AC301" s="3">
        <v>36.0</v>
      </c>
      <c r="AD301" s="3">
        <v>48.0</v>
      </c>
      <c r="AE301" s="3">
        <v>52.0</v>
      </c>
      <c r="AF301" s="3">
        <v>25.0</v>
      </c>
      <c r="AG301" s="3">
        <v>44.0</v>
      </c>
      <c r="AH301" s="3">
        <v>50.0</v>
      </c>
      <c r="AI301" s="3">
        <v>52.0</v>
      </c>
      <c r="AJ301" s="3">
        <v>73.0</v>
      </c>
      <c r="AK301" s="3">
        <v>56.0</v>
      </c>
      <c r="AL301" s="3">
        <v>65.0</v>
      </c>
      <c r="AM301" s="3">
        <v>21.0</v>
      </c>
      <c r="AN301" s="3">
        <v>50.0</v>
      </c>
    </row>
    <row r="302" ht="14.25" customHeight="1">
      <c r="A302" s="3">
        <v>300.0</v>
      </c>
      <c r="B302" s="3" t="s">
        <v>7478</v>
      </c>
      <c r="C302" s="3">
        <v>34.0</v>
      </c>
      <c r="D302" s="3" t="s">
        <v>6645</v>
      </c>
      <c r="E302" s="3" t="s">
        <v>6646</v>
      </c>
      <c r="F302" s="3" t="s">
        <v>6646</v>
      </c>
      <c r="G302" s="3" t="s">
        <v>6645</v>
      </c>
      <c r="H302" s="3" t="s">
        <v>6645</v>
      </c>
      <c r="I302" s="3" t="s">
        <v>6645</v>
      </c>
      <c r="J302" s="3">
        <v>6.0</v>
      </c>
      <c r="K302" s="3">
        <v>2.0</v>
      </c>
      <c r="L302" s="3">
        <v>0.0</v>
      </c>
      <c r="M302" s="3">
        <v>0.0</v>
      </c>
      <c r="N302" s="3">
        <v>4100.7397</v>
      </c>
      <c r="O302" s="3">
        <v>372.0</v>
      </c>
      <c r="P302" s="3" t="e">
        <v>#N/A</v>
      </c>
      <c r="Q302" s="3">
        <v>50.0</v>
      </c>
      <c r="R302" s="3">
        <v>48.0</v>
      </c>
      <c r="S302" s="3">
        <v>52.0</v>
      </c>
      <c r="T302" s="3">
        <v>43.0</v>
      </c>
      <c r="U302" s="3">
        <v>49.0</v>
      </c>
      <c r="V302" s="3">
        <v>52.0</v>
      </c>
      <c r="W302" s="3">
        <v>37.0</v>
      </c>
      <c r="X302" s="3">
        <v>49.0</v>
      </c>
      <c r="Y302" s="3">
        <v>52.0</v>
      </c>
      <c r="Z302" s="3">
        <v>44.0</v>
      </c>
      <c r="AA302" s="3">
        <v>59.0</v>
      </c>
      <c r="AB302" s="3">
        <v>49.0</v>
      </c>
      <c r="AC302" s="3">
        <v>45.0</v>
      </c>
      <c r="AD302" s="3">
        <v>37.0</v>
      </c>
      <c r="AE302" s="3">
        <v>47.0</v>
      </c>
      <c r="AF302" s="3">
        <v>50.0</v>
      </c>
      <c r="AG302" s="3">
        <v>40.0</v>
      </c>
      <c r="AH302" s="3">
        <v>48.0</v>
      </c>
      <c r="AI302" s="3">
        <v>8.0</v>
      </c>
      <c r="AJ302" s="3">
        <v>70.0</v>
      </c>
      <c r="AK302" s="3">
        <v>42.0</v>
      </c>
      <c r="AL302" s="3">
        <v>76.0</v>
      </c>
      <c r="AM302" s="3">
        <v>54.0</v>
      </c>
      <c r="AN302" s="3">
        <v>30.0</v>
      </c>
    </row>
    <row r="303" ht="14.25" customHeight="1">
      <c r="A303" s="3">
        <v>301.0</v>
      </c>
      <c r="B303" s="3" t="s">
        <v>7479</v>
      </c>
      <c r="C303" s="3">
        <v>33.0</v>
      </c>
      <c r="D303" s="3" t="s">
        <v>6645</v>
      </c>
      <c r="E303" s="3" t="s">
        <v>6646</v>
      </c>
      <c r="F303" s="3" t="s">
        <v>6646</v>
      </c>
      <c r="G303" s="3" t="s">
        <v>6645</v>
      </c>
      <c r="H303" s="3" t="s">
        <v>6645</v>
      </c>
      <c r="I303" s="3" t="s">
        <v>6646</v>
      </c>
      <c r="J303" s="3">
        <v>6.0</v>
      </c>
      <c r="K303" s="3">
        <v>2.0</v>
      </c>
      <c r="L303" s="3">
        <v>0.0</v>
      </c>
      <c r="M303" s="3">
        <v>0.0</v>
      </c>
      <c r="N303" s="3">
        <v>3839.3046</v>
      </c>
      <c r="O303" s="3">
        <v>467.0</v>
      </c>
      <c r="P303" s="3" t="e">
        <v>#N/A</v>
      </c>
      <c r="Q303" s="3">
        <v>44.0</v>
      </c>
      <c r="R303" s="3">
        <v>44.0</v>
      </c>
      <c r="S303" s="3">
        <v>48.0</v>
      </c>
      <c r="T303" s="3">
        <v>43.0</v>
      </c>
      <c r="U303" s="3">
        <v>49.0</v>
      </c>
      <c r="V303" s="3">
        <v>47.0</v>
      </c>
      <c r="W303" s="3">
        <v>49.0</v>
      </c>
      <c r="X303" s="3">
        <v>41.0</v>
      </c>
      <c r="Y303" s="3">
        <v>53.0</v>
      </c>
      <c r="Z303" s="3">
        <v>46.0</v>
      </c>
      <c r="AA303" s="3">
        <v>59.0</v>
      </c>
      <c r="AB303" s="3">
        <v>57.0</v>
      </c>
      <c r="AC303" s="3">
        <v>43.0</v>
      </c>
      <c r="AD303" s="3">
        <v>38.0</v>
      </c>
      <c r="AE303" s="3">
        <v>52.0</v>
      </c>
      <c r="AF303" s="3">
        <v>60.0</v>
      </c>
      <c r="AG303" s="3">
        <v>44.0</v>
      </c>
      <c r="AH303" s="3">
        <v>56.0</v>
      </c>
      <c r="AI303" s="3">
        <v>17.0</v>
      </c>
      <c r="AJ303" s="3">
        <v>76.0</v>
      </c>
      <c r="AK303" s="3">
        <v>48.0</v>
      </c>
      <c r="AL303" s="3">
        <v>71.0</v>
      </c>
      <c r="AM303" s="3">
        <v>24.0</v>
      </c>
      <c r="AN303" s="3">
        <v>58.0</v>
      </c>
    </row>
    <row r="304" ht="14.25" customHeight="1">
      <c r="A304" s="3">
        <v>302.0</v>
      </c>
      <c r="B304" s="3" t="s">
        <v>7480</v>
      </c>
      <c r="C304" s="3">
        <v>33.0</v>
      </c>
      <c r="D304" s="3" t="s">
        <v>6645</v>
      </c>
      <c r="E304" s="3" t="s">
        <v>6646</v>
      </c>
      <c r="F304" s="3" t="s">
        <v>6646</v>
      </c>
      <c r="G304" s="3" t="s">
        <v>6645</v>
      </c>
      <c r="H304" s="3" t="s">
        <v>6645</v>
      </c>
      <c r="I304" s="3" t="s">
        <v>6646</v>
      </c>
      <c r="J304" s="3">
        <v>6.0</v>
      </c>
      <c r="K304" s="3">
        <v>2.0</v>
      </c>
      <c r="L304" s="3">
        <v>0.0</v>
      </c>
      <c r="M304" s="3">
        <v>0.0</v>
      </c>
      <c r="N304" s="3">
        <v>3546.8981</v>
      </c>
      <c r="O304" s="3">
        <v>392.0</v>
      </c>
      <c r="P304" s="3" t="e">
        <v>#N/A</v>
      </c>
      <c r="Q304" s="3">
        <v>52.0</v>
      </c>
      <c r="R304" s="3">
        <v>50.0</v>
      </c>
      <c r="S304" s="3">
        <v>51.0</v>
      </c>
      <c r="T304" s="3">
        <v>45.0</v>
      </c>
      <c r="U304" s="3">
        <v>45.0</v>
      </c>
      <c r="V304" s="3">
        <v>49.0</v>
      </c>
      <c r="W304" s="3">
        <v>39.0</v>
      </c>
      <c r="X304" s="3">
        <v>42.0</v>
      </c>
      <c r="Y304" s="3">
        <v>48.0</v>
      </c>
      <c r="Z304" s="3">
        <v>40.0</v>
      </c>
      <c r="AA304" s="3">
        <v>50.0</v>
      </c>
      <c r="AB304" s="3">
        <v>57.0</v>
      </c>
      <c r="AC304" s="3">
        <v>50.0</v>
      </c>
      <c r="AD304" s="3">
        <v>47.0</v>
      </c>
      <c r="AE304" s="3">
        <v>51.0</v>
      </c>
      <c r="AF304" s="3">
        <v>22.0</v>
      </c>
      <c r="AG304" s="3">
        <v>38.0</v>
      </c>
      <c r="AH304" s="3">
        <v>50.0</v>
      </c>
      <c r="AI304" s="3">
        <v>58.0</v>
      </c>
      <c r="AJ304" s="3">
        <v>74.0</v>
      </c>
      <c r="AK304" s="3">
        <v>44.0</v>
      </c>
      <c r="AL304" s="3">
        <v>69.0</v>
      </c>
      <c r="AM304" s="3">
        <v>7.0</v>
      </c>
      <c r="AN304" s="3">
        <v>62.0</v>
      </c>
    </row>
    <row r="305" ht="14.25" customHeight="1">
      <c r="A305" s="3">
        <v>303.0</v>
      </c>
      <c r="B305" s="3" t="s">
        <v>7481</v>
      </c>
      <c r="C305" s="3">
        <v>28.0</v>
      </c>
      <c r="D305" s="3" t="s">
        <v>6645</v>
      </c>
      <c r="E305" s="3" t="s">
        <v>6646</v>
      </c>
      <c r="F305" s="3" t="s">
        <v>6646</v>
      </c>
      <c r="G305" s="3" t="s">
        <v>6645</v>
      </c>
      <c r="H305" s="3" t="s">
        <v>6645</v>
      </c>
      <c r="I305" s="3" t="s">
        <v>6645</v>
      </c>
      <c r="J305" s="3">
        <v>6.0</v>
      </c>
      <c r="K305" s="3">
        <v>1.0</v>
      </c>
      <c r="L305" s="3">
        <v>0.0</v>
      </c>
      <c r="M305" s="3">
        <v>0.0</v>
      </c>
      <c r="N305" s="3">
        <v>1347.6806</v>
      </c>
      <c r="O305" s="3">
        <v>155.0</v>
      </c>
      <c r="P305" s="3" t="e">
        <v>#N/A</v>
      </c>
      <c r="Q305" s="3">
        <v>42.0</v>
      </c>
      <c r="R305" s="3">
        <v>42.0</v>
      </c>
      <c r="S305" s="3">
        <v>38.0</v>
      </c>
      <c r="T305" s="3">
        <v>38.0</v>
      </c>
      <c r="U305" s="3">
        <v>38.0</v>
      </c>
      <c r="V305" s="3">
        <v>42.0</v>
      </c>
      <c r="W305" s="3">
        <v>38.0</v>
      </c>
      <c r="X305" s="3">
        <v>30.0</v>
      </c>
      <c r="Y305" s="3">
        <v>51.0</v>
      </c>
      <c r="Z305" s="3">
        <v>44.0</v>
      </c>
      <c r="AA305" s="3">
        <v>46.0</v>
      </c>
      <c r="AB305" s="3">
        <v>44.0</v>
      </c>
      <c r="AC305" s="3">
        <v>35.0</v>
      </c>
      <c r="AD305" s="3">
        <v>32.0</v>
      </c>
      <c r="AE305" s="3">
        <v>44.0</v>
      </c>
      <c r="AF305" s="3">
        <v>55.0</v>
      </c>
      <c r="AG305" s="3">
        <v>9.0</v>
      </c>
      <c r="AH305" s="3">
        <v>44.0</v>
      </c>
      <c r="AI305" s="3">
        <v>46.0</v>
      </c>
      <c r="AJ305" s="3">
        <v>76.0</v>
      </c>
      <c r="AK305" s="3">
        <v>42.0</v>
      </c>
      <c r="AL305" s="3">
        <v>68.0</v>
      </c>
      <c r="AM305" s="3">
        <v>28.0</v>
      </c>
      <c r="AN305" s="3">
        <v>58.0</v>
      </c>
    </row>
    <row r="306" ht="14.25" customHeight="1">
      <c r="A306" s="3">
        <v>304.0</v>
      </c>
      <c r="B306" s="3" t="s">
        <v>7482</v>
      </c>
      <c r="C306" s="3">
        <v>20.0</v>
      </c>
      <c r="D306" s="3" t="s">
        <v>6645</v>
      </c>
      <c r="E306" s="3" t="s">
        <v>6646</v>
      </c>
      <c r="F306" s="3" t="s">
        <v>6646</v>
      </c>
      <c r="G306" s="3" t="s">
        <v>6645</v>
      </c>
      <c r="H306" s="3" t="s">
        <v>6645</v>
      </c>
      <c r="I306" s="3" t="s">
        <v>6645</v>
      </c>
      <c r="J306" s="3">
        <v>6.0</v>
      </c>
      <c r="K306" s="3">
        <v>1.0</v>
      </c>
      <c r="L306" s="3">
        <v>0.0</v>
      </c>
      <c r="M306" s="3">
        <v>0.0</v>
      </c>
      <c r="N306" s="3">
        <v>1541.1179</v>
      </c>
      <c r="O306" s="3">
        <v>246.0</v>
      </c>
      <c r="P306" s="3" t="e">
        <v>#N/A</v>
      </c>
      <c r="Q306" s="3">
        <v>44.0</v>
      </c>
      <c r="R306" s="3">
        <v>40.0</v>
      </c>
      <c r="S306" s="3">
        <v>44.0</v>
      </c>
      <c r="T306" s="3">
        <v>36.0</v>
      </c>
      <c r="U306" s="3">
        <v>40.0</v>
      </c>
      <c r="V306" s="3">
        <v>42.0</v>
      </c>
      <c r="W306" s="3">
        <v>37.0</v>
      </c>
      <c r="X306" s="3">
        <v>40.0</v>
      </c>
      <c r="Y306" s="3">
        <v>53.0</v>
      </c>
      <c r="Z306" s="3">
        <v>42.0</v>
      </c>
      <c r="AA306" s="3">
        <v>45.0</v>
      </c>
      <c r="AB306" s="3">
        <v>50.0</v>
      </c>
      <c r="AC306" s="3">
        <v>31.0</v>
      </c>
      <c r="AD306" s="3">
        <v>38.0</v>
      </c>
      <c r="AE306" s="3">
        <v>40.0</v>
      </c>
      <c r="AF306" s="3">
        <v>17.0</v>
      </c>
      <c r="AG306" s="3">
        <v>41.0</v>
      </c>
      <c r="AH306" s="3">
        <v>40.0</v>
      </c>
      <c r="AI306" s="3">
        <v>51.0</v>
      </c>
      <c r="AJ306" s="3">
        <v>69.0</v>
      </c>
      <c r="AK306" s="3">
        <v>58.0</v>
      </c>
      <c r="AL306" s="3">
        <v>76.0</v>
      </c>
      <c r="AM306" s="3">
        <v>56.0</v>
      </c>
      <c r="AN306" s="3">
        <v>15.0</v>
      </c>
    </row>
    <row r="307" ht="14.25" customHeight="1">
      <c r="A307" s="3">
        <v>305.0</v>
      </c>
      <c r="B307" s="3" t="s">
        <v>7483</v>
      </c>
      <c r="C307" s="3">
        <v>21.0</v>
      </c>
      <c r="D307" s="3" t="s">
        <v>6645</v>
      </c>
      <c r="E307" s="3" t="s">
        <v>6646</v>
      </c>
      <c r="F307" s="3" t="s">
        <v>6646</v>
      </c>
      <c r="G307" s="3" t="s">
        <v>6645</v>
      </c>
      <c r="H307" s="3" t="s">
        <v>6645</v>
      </c>
      <c r="I307" s="3" t="s">
        <v>6646</v>
      </c>
      <c r="J307" s="3">
        <v>6.0</v>
      </c>
      <c r="K307" s="3">
        <v>1.0</v>
      </c>
      <c r="L307" s="3">
        <v>0.0</v>
      </c>
      <c r="M307" s="3">
        <v>0.0</v>
      </c>
      <c r="N307" s="3">
        <v>1493.2996</v>
      </c>
      <c r="O307" s="3">
        <v>181.0</v>
      </c>
      <c r="P307" s="3" t="e">
        <v>#N/A</v>
      </c>
      <c r="Q307" s="3">
        <v>38.0</v>
      </c>
      <c r="R307" s="3">
        <v>38.0</v>
      </c>
      <c r="S307" s="3">
        <v>38.0</v>
      </c>
      <c r="T307" s="3">
        <v>38.0</v>
      </c>
      <c r="U307" s="3">
        <v>46.0</v>
      </c>
      <c r="V307" s="3">
        <v>42.0</v>
      </c>
      <c r="W307" s="3">
        <v>40.0</v>
      </c>
      <c r="X307" s="3">
        <v>42.0</v>
      </c>
      <c r="Y307" s="3">
        <v>51.0</v>
      </c>
      <c r="Z307" s="3">
        <v>39.0</v>
      </c>
      <c r="AA307" s="3">
        <v>44.0</v>
      </c>
      <c r="AB307" s="3">
        <v>49.0</v>
      </c>
      <c r="AC307" s="3">
        <v>38.0</v>
      </c>
      <c r="AD307" s="3">
        <v>44.0</v>
      </c>
      <c r="AE307" s="3">
        <v>35.0</v>
      </c>
      <c r="AF307" s="3">
        <v>29.0</v>
      </c>
      <c r="AG307" s="3">
        <v>52.0</v>
      </c>
      <c r="AH307" s="3">
        <v>40.0</v>
      </c>
      <c r="AI307" s="3">
        <v>39.0</v>
      </c>
      <c r="AJ307" s="3">
        <v>79.0</v>
      </c>
      <c r="AK307" s="3">
        <v>13.0</v>
      </c>
      <c r="AL307" s="3">
        <v>80.0</v>
      </c>
      <c r="AM307" s="3">
        <v>58.0</v>
      </c>
      <c r="AN307" s="3">
        <v>46.0</v>
      </c>
    </row>
    <row r="308" ht="14.25" customHeight="1">
      <c r="A308" s="3">
        <v>306.0</v>
      </c>
      <c r="B308" s="3" t="s">
        <v>7484</v>
      </c>
      <c r="C308" s="3">
        <v>20.0</v>
      </c>
      <c r="D308" s="3" t="s">
        <v>6645</v>
      </c>
      <c r="E308" s="3" t="s">
        <v>6646</v>
      </c>
      <c r="F308" s="3" t="s">
        <v>6646</v>
      </c>
      <c r="G308" s="3" t="s">
        <v>6645</v>
      </c>
      <c r="H308" s="3" t="s">
        <v>6645</v>
      </c>
      <c r="I308" s="3" t="s">
        <v>6646</v>
      </c>
      <c r="J308" s="3">
        <v>6.0</v>
      </c>
      <c r="K308" s="3">
        <v>1.0</v>
      </c>
      <c r="L308" s="3">
        <v>0.0</v>
      </c>
      <c r="M308" s="3">
        <v>0.0</v>
      </c>
      <c r="N308" s="3">
        <v>1497.2247</v>
      </c>
      <c r="O308" s="3">
        <v>227.0</v>
      </c>
      <c r="P308" s="3" t="e">
        <v>#N/A</v>
      </c>
      <c r="Q308" s="3">
        <v>44.0</v>
      </c>
      <c r="R308" s="3">
        <v>40.0</v>
      </c>
      <c r="S308" s="3">
        <v>40.0</v>
      </c>
      <c r="T308" s="3">
        <v>40.0</v>
      </c>
      <c r="U308" s="3">
        <v>40.0</v>
      </c>
      <c r="V308" s="3">
        <v>44.0</v>
      </c>
      <c r="W308" s="3">
        <v>33.0</v>
      </c>
      <c r="X308" s="3">
        <v>42.0</v>
      </c>
      <c r="Y308" s="3">
        <v>47.0</v>
      </c>
      <c r="Z308" s="3">
        <v>33.0</v>
      </c>
      <c r="AA308" s="3">
        <v>49.0</v>
      </c>
      <c r="AB308" s="3">
        <v>51.0</v>
      </c>
      <c r="AC308" s="3">
        <v>40.0</v>
      </c>
      <c r="AD308" s="3">
        <v>37.0</v>
      </c>
      <c r="AE308" s="3">
        <v>44.0</v>
      </c>
      <c r="AF308" s="3">
        <v>54.0</v>
      </c>
      <c r="AG308" s="3">
        <v>17.0</v>
      </c>
      <c r="AH308" s="3">
        <v>48.0</v>
      </c>
      <c r="AI308" s="3">
        <v>48.0</v>
      </c>
      <c r="AJ308" s="3">
        <v>65.0</v>
      </c>
      <c r="AK308" s="3">
        <v>42.0</v>
      </c>
      <c r="AL308" s="3">
        <v>70.0</v>
      </c>
      <c r="AM308" s="3">
        <v>28.0</v>
      </c>
      <c r="AN308" s="3">
        <v>49.0</v>
      </c>
    </row>
    <row r="309" ht="14.25" customHeight="1">
      <c r="A309" s="3">
        <v>307.0</v>
      </c>
      <c r="B309" s="3" t="s">
        <v>7485</v>
      </c>
      <c r="C309" s="3">
        <v>15.0</v>
      </c>
      <c r="D309" s="3" t="s">
        <v>6645</v>
      </c>
      <c r="E309" s="3" t="s">
        <v>6646</v>
      </c>
      <c r="F309" s="3" t="s">
        <v>6646</v>
      </c>
      <c r="G309" s="3" t="s">
        <v>6645</v>
      </c>
      <c r="H309" s="3" t="s">
        <v>6645</v>
      </c>
      <c r="I309" s="3" t="s">
        <v>6645</v>
      </c>
      <c r="J309" s="3">
        <v>6.0</v>
      </c>
      <c r="K309" s="3">
        <v>0.0</v>
      </c>
      <c r="L309" s="3">
        <v>0.0</v>
      </c>
      <c r="M309" s="3">
        <v>0.0</v>
      </c>
      <c r="N309" s="3">
        <v>483.123</v>
      </c>
      <c r="O309" s="3">
        <v>80.0</v>
      </c>
      <c r="P309" s="3" t="e">
        <v>#N/A</v>
      </c>
      <c r="Q309" s="3">
        <v>39.0</v>
      </c>
      <c r="R309" s="3">
        <v>32.0</v>
      </c>
      <c r="S309" s="3">
        <v>34.0</v>
      </c>
      <c r="T309" s="3">
        <v>33.0</v>
      </c>
      <c r="U309" s="3">
        <v>32.0</v>
      </c>
      <c r="V309" s="3">
        <v>35.0</v>
      </c>
      <c r="W309" s="3">
        <v>37.0</v>
      </c>
      <c r="X309" s="3">
        <v>27.0</v>
      </c>
      <c r="Y309" s="3">
        <v>45.0</v>
      </c>
      <c r="Z309" s="3">
        <v>38.0</v>
      </c>
      <c r="AA309" s="3">
        <v>40.0</v>
      </c>
      <c r="AB309" s="3">
        <v>45.0</v>
      </c>
      <c r="AC309" s="3">
        <v>30.0</v>
      </c>
      <c r="AD309" s="3">
        <v>30.0</v>
      </c>
      <c r="AE309" s="3">
        <v>30.0</v>
      </c>
      <c r="AF309" s="3">
        <v>16.0</v>
      </c>
      <c r="AG309" s="3">
        <v>31.0</v>
      </c>
      <c r="AH309" s="3">
        <v>4.0</v>
      </c>
      <c r="AI309" s="3">
        <v>37.0</v>
      </c>
      <c r="AJ309" s="3">
        <v>69.0</v>
      </c>
      <c r="AK309" s="3">
        <v>47.0</v>
      </c>
      <c r="AL309" s="3">
        <v>68.0</v>
      </c>
      <c r="AM309" s="3">
        <v>32.0</v>
      </c>
      <c r="AN309" s="3">
        <v>32.0</v>
      </c>
    </row>
    <row r="310" ht="14.25" customHeight="1">
      <c r="A310" s="3">
        <v>308.0</v>
      </c>
      <c r="B310" s="3" t="s">
        <v>7486</v>
      </c>
      <c r="C310" s="3">
        <v>24.0</v>
      </c>
      <c r="D310" s="3" t="s">
        <v>6645</v>
      </c>
      <c r="E310" s="3" t="s">
        <v>6646</v>
      </c>
      <c r="F310" s="3" t="s">
        <v>6646</v>
      </c>
      <c r="G310" s="3" t="s">
        <v>6645</v>
      </c>
      <c r="H310" s="3" t="s">
        <v>6645</v>
      </c>
      <c r="I310" s="3" t="s">
        <v>6645</v>
      </c>
      <c r="J310" s="3">
        <v>6.0</v>
      </c>
      <c r="K310" s="3">
        <v>0.0</v>
      </c>
      <c r="L310" s="3">
        <v>0.0</v>
      </c>
      <c r="M310" s="3">
        <v>0.0</v>
      </c>
      <c r="N310" s="3">
        <v>483.18853</v>
      </c>
      <c r="O310" s="3">
        <v>88.0</v>
      </c>
      <c r="P310" s="3" t="e">
        <v>#N/A</v>
      </c>
      <c r="Q310" s="3">
        <v>39.0</v>
      </c>
      <c r="R310" s="3">
        <v>30.0</v>
      </c>
      <c r="S310" s="3">
        <v>32.0</v>
      </c>
      <c r="T310" s="3">
        <v>35.0</v>
      </c>
      <c r="U310" s="3">
        <v>30.0</v>
      </c>
      <c r="V310" s="3">
        <v>39.0</v>
      </c>
      <c r="W310" s="3">
        <v>22.0</v>
      </c>
      <c r="X310" s="3">
        <v>31.0</v>
      </c>
      <c r="Y310" s="3">
        <v>43.0</v>
      </c>
      <c r="Z310" s="3">
        <v>29.0</v>
      </c>
      <c r="AA310" s="3">
        <v>40.0</v>
      </c>
      <c r="AB310" s="3">
        <v>44.0</v>
      </c>
      <c r="AC310" s="3">
        <v>30.0</v>
      </c>
      <c r="AD310" s="3">
        <v>27.0</v>
      </c>
      <c r="AE310" s="3">
        <v>39.0</v>
      </c>
      <c r="AF310" s="3">
        <v>30.0</v>
      </c>
      <c r="AG310" s="3">
        <v>45.0</v>
      </c>
      <c r="AH310" s="3">
        <v>56.0</v>
      </c>
      <c r="AI310" s="3">
        <v>58.0</v>
      </c>
      <c r="AJ310" s="3">
        <v>62.0</v>
      </c>
      <c r="AK310" s="3">
        <v>34.0</v>
      </c>
      <c r="AL310" s="3">
        <v>77.0</v>
      </c>
      <c r="AM310" s="3">
        <v>34.0</v>
      </c>
      <c r="AN310" s="3">
        <v>51.0</v>
      </c>
    </row>
    <row r="311" ht="14.25" customHeight="1">
      <c r="A311" s="3">
        <v>309.0</v>
      </c>
      <c r="B311" s="3" t="s">
        <v>7487</v>
      </c>
      <c r="C311" s="3">
        <v>18.0</v>
      </c>
      <c r="D311" s="3" t="s">
        <v>6645</v>
      </c>
      <c r="E311" s="3" t="s">
        <v>6646</v>
      </c>
      <c r="F311" s="3" t="s">
        <v>6646</v>
      </c>
      <c r="G311" s="3" t="s">
        <v>6645</v>
      </c>
      <c r="H311" s="3" t="s">
        <v>6645</v>
      </c>
      <c r="I311" s="3" t="s">
        <v>6645</v>
      </c>
      <c r="J311" s="3">
        <v>6.0</v>
      </c>
      <c r="K311" s="3">
        <v>0.0</v>
      </c>
      <c r="L311" s="3">
        <v>0.0</v>
      </c>
      <c r="M311" s="3">
        <v>0.0</v>
      </c>
      <c r="N311" s="3">
        <v>496.01226</v>
      </c>
      <c r="O311" s="3">
        <v>102.0</v>
      </c>
      <c r="P311" s="3" t="e">
        <v>#N/A</v>
      </c>
      <c r="Q311" s="3">
        <v>35.0</v>
      </c>
      <c r="R311" s="3">
        <v>30.0</v>
      </c>
      <c r="S311" s="3">
        <v>39.0</v>
      </c>
      <c r="T311" s="3">
        <v>31.0</v>
      </c>
      <c r="U311" s="3">
        <v>37.0</v>
      </c>
      <c r="V311" s="3">
        <v>30.0</v>
      </c>
      <c r="W311" s="3">
        <v>32.0</v>
      </c>
      <c r="X311" s="3">
        <v>26.0</v>
      </c>
      <c r="Y311" s="3">
        <v>42.0</v>
      </c>
      <c r="Z311" s="3">
        <v>24.0</v>
      </c>
      <c r="AA311" s="3">
        <v>39.0</v>
      </c>
      <c r="AB311" s="3">
        <v>43.0</v>
      </c>
      <c r="AC311" s="3">
        <v>39.0</v>
      </c>
      <c r="AD311" s="3">
        <v>31.0</v>
      </c>
      <c r="AE311" s="3">
        <v>38.0</v>
      </c>
      <c r="AF311" s="3">
        <v>55.0</v>
      </c>
      <c r="AG311" s="3">
        <v>13.0</v>
      </c>
      <c r="AH311" s="3">
        <v>39.0</v>
      </c>
      <c r="AI311" s="3">
        <v>15.0</v>
      </c>
      <c r="AJ311" s="3">
        <v>66.0</v>
      </c>
      <c r="AK311" s="3">
        <v>37.0</v>
      </c>
      <c r="AL311" s="3">
        <v>70.0</v>
      </c>
      <c r="AM311" s="3">
        <v>33.0</v>
      </c>
      <c r="AN311" s="3">
        <v>45.0</v>
      </c>
    </row>
    <row r="312" ht="14.25" customHeight="1">
      <c r="A312" s="3">
        <v>310.0</v>
      </c>
      <c r="B312" s="3" t="s">
        <v>7488</v>
      </c>
      <c r="C312" s="3">
        <v>23.0</v>
      </c>
      <c r="D312" s="3" t="s">
        <v>6645</v>
      </c>
      <c r="E312" s="3" t="s">
        <v>6646</v>
      </c>
      <c r="F312" s="3" t="s">
        <v>6646</v>
      </c>
      <c r="G312" s="3" t="s">
        <v>6645</v>
      </c>
      <c r="H312" s="3" t="s">
        <v>6645</v>
      </c>
      <c r="I312" s="3" t="s">
        <v>6646</v>
      </c>
      <c r="J312" s="3">
        <v>6.0</v>
      </c>
      <c r="K312" s="3">
        <v>0.0</v>
      </c>
      <c r="L312" s="3">
        <v>0.0</v>
      </c>
      <c r="M312" s="3">
        <v>0.0</v>
      </c>
      <c r="N312" s="3">
        <v>496.79</v>
      </c>
      <c r="O312" s="3">
        <v>105.0</v>
      </c>
      <c r="P312" s="3" t="e">
        <v>#N/A</v>
      </c>
      <c r="Q312" s="3">
        <v>30.0</v>
      </c>
      <c r="R312" s="3">
        <v>33.0</v>
      </c>
      <c r="S312" s="3">
        <v>37.0</v>
      </c>
      <c r="T312" s="3">
        <v>34.0</v>
      </c>
      <c r="U312" s="3">
        <v>37.0</v>
      </c>
      <c r="V312" s="3">
        <v>34.0</v>
      </c>
      <c r="W312" s="3">
        <v>23.0</v>
      </c>
      <c r="X312" s="3">
        <v>25.0</v>
      </c>
      <c r="Y312" s="3">
        <v>44.0</v>
      </c>
      <c r="Z312" s="3">
        <v>31.0</v>
      </c>
      <c r="AA312" s="3">
        <v>45.0</v>
      </c>
      <c r="AB312" s="3">
        <v>45.0</v>
      </c>
      <c r="AC312" s="3">
        <v>38.0</v>
      </c>
      <c r="AD312" s="3">
        <v>25.0</v>
      </c>
      <c r="AE312" s="3">
        <v>36.0</v>
      </c>
      <c r="AF312" s="3">
        <v>53.0</v>
      </c>
      <c r="AG312" s="3">
        <v>16.0</v>
      </c>
      <c r="AH312" s="3">
        <v>59.0</v>
      </c>
      <c r="AI312" s="3">
        <v>20.0</v>
      </c>
      <c r="AJ312" s="3">
        <v>68.0</v>
      </c>
      <c r="AK312" s="3">
        <v>40.0</v>
      </c>
      <c r="AL312" s="3">
        <v>76.0</v>
      </c>
      <c r="AM312" s="3">
        <v>52.0</v>
      </c>
      <c r="AN312" s="3">
        <v>32.0</v>
      </c>
    </row>
    <row r="313" ht="14.25" customHeight="1">
      <c r="A313" s="3">
        <v>311.0</v>
      </c>
      <c r="B313" s="3" t="s">
        <v>7489</v>
      </c>
      <c r="C313" s="3">
        <v>19.0</v>
      </c>
      <c r="D313" s="3" t="s">
        <v>6645</v>
      </c>
      <c r="E313" s="3" t="s">
        <v>6646</v>
      </c>
      <c r="F313" s="3" t="s">
        <v>6646</v>
      </c>
      <c r="G313" s="3" t="s">
        <v>6645</v>
      </c>
      <c r="H313" s="3" t="s">
        <v>6645</v>
      </c>
      <c r="I313" s="3" t="s">
        <v>6646</v>
      </c>
      <c r="J313" s="3">
        <v>6.0</v>
      </c>
      <c r="K313" s="3">
        <v>0.0</v>
      </c>
      <c r="L313" s="3">
        <v>0.0</v>
      </c>
      <c r="M313" s="3">
        <v>0.0</v>
      </c>
      <c r="N313" s="3">
        <v>484.861</v>
      </c>
      <c r="O313" s="3">
        <v>92.0</v>
      </c>
      <c r="P313" s="3" t="e">
        <v>#N/A</v>
      </c>
      <c r="Q313" s="3">
        <v>33.0</v>
      </c>
      <c r="R313" s="3">
        <v>36.0</v>
      </c>
      <c r="S313" s="3">
        <v>31.0</v>
      </c>
      <c r="T313" s="3">
        <v>31.0</v>
      </c>
      <c r="U313" s="3">
        <v>36.0</v>
      </c>
      <c r="V313" s="3">
        <v>32.0</v>
      </c>
      <c r="W313" s="3">
        <v>33.0</v>
      </c>
      <c r="X313" s="3">
        <v>20.0</v>
      </c>
      <c r="Y313" s="3">
        <v>47.0</v>
      </c>
      <c r="Z313" s="3">
        <v>30.0</v>
      </c>
      <c r="AA313" s="3">
        <v>44.0</v>
      </c>
      <c r="AB313" s="3">
        <v>35.0</v>
      </c>
      <c r="AC313" s="3">
        <v>33.0</v>
      </c>
      <c r="AD313" s="3">
        <v>27.0</v>
      </c>
      <c r="AE313" s="3">
        <v>38.0</v>
      </c>
      <c r="AF313" s="3">
        <v>34.0</v>
      </c>
      <c r="AG313" s="3">
        <v>26.0</v>
      </c>
      <c r="AH313" s="3">
        <v>1.0</v>
      </c>
      <c r="AI313" s="3">
        <v>42.0</v>
      </c>
      <c r="AJ313" s="3">
        <v>74.0</v>
      </c>
      <c r="AK313" s="3">
        <v>57.0</v>
      </c>
      <c r="AL313" s="3">
        <v>68.0</v>
      </c>
      <c r="AM313" s="3">
        <v>52.0</v>
      </c>
      <c r="AN313" s="3">
        <v>40.0</v>
      </c>
    </row>
    <row r="314" ht="14.25" customHeight="1">
      <c r="A314" s="3">
        <v>312.0</v>
      </c>
      <c r="B314" s="3" t="s">
        <v>7490</v>
      </c>
      <c r="C314" s="3">
        <v>36.0</v>
      </c>
      <c r="D314" s="3" t="s">
        <v>6645</v>
      </c>
      <c r="E314" s="3" t="s">
        <v>6646</v>
      </c>
      <c r="F314" s="3" t="s">
        <v>6646</v>
      </c>
      <c r="G314" s="3" t="s">
        <v>6645</v>
      </c>
      <c r="H314" s="3" t="s">
        <v>6645</v>
      </c>
      <c r="I314" s="3" t="s">
        <v>6645</v>
      </c>
      <c r="J314" s="3">
        <v>7.0</v>
      </c>
      <c r="K314" s="3">
        <v>4.0</v>
      </c>
      <c r="L314" s="3">
        <v>0.0</v>
      </c>
      <c r="M314" s="3">
        <v>0.0</v>
      </c>
      <c r="N314" s="3">
        <v>12910.804</v>
      </c>
      <c r="O314" s="3">
        <v>1240.0</v>
      </c>
      <c r="P314" s="3" t="e">
        <v>#N/A</v>
      </c>
      <c r="Q314" s="3">
        <v>63.0</v>
      </c>
      <c r="R314" s="3">
        <v>60.0</v>
      </c>
      <c r="S314" s="3">
        <v>64.0</v>
      </c>
      <c r="T314" s="3">
        <v>70.0</v>
      </c>
      <c r="U314" s="3">
        <v>60.0</v>
      </c>
      <c r="V314" s="3">
        <v>68.0</v>
      </c>
      <c r="W314" s="3">
        <v>71.0</v>
      </c>
      <c r="X314" s="3">
        <v>82.0</v>
      </c>
      <c r="Y314" s="3">
        <v>79.0</v>
      </c>
      <c r="Z314" s="3">
        <v>80.0</v>
      </c>
      <c r="AA314" s="3">
        <v>61.0</v>
      </c>
      <c r="AB314" s="3">
        <v>60.0</v>
      </c>
      <c r="AC314" s="3">
        <v>61.0</v>
      </c>
      <c r="AD314" s="3">
        <v>75.0</v>
      </c>
      <c r="AE314" s="3">
        <v>74.0</v>
      </c>
      <c r="AF314" s="3">
        <v>47.0</v>
      </c>
      <c r="AG314" s="3">
        <v>100.0</v>
      </c>
      <c r="AH314" s="3">
        <v>55.0</v>
      </c>
      <c r="AI314" s="3">
        <v>47.0</v>
      </c>
      <c r="AJ314" s="3">
        <v>40.0</v>
      </c>
      <c r="AK314" s="3">
        <v>82.0</v>
      </c>
      <c r="AL314" s="3">
        <v>68.0</v>
      </c>
      <c r="AM314" s="3">
        <v>31.0</v>
      </c>
      <c r="AN314" s="3">
        <v>68.0</v>
      </c>
    </row>
    <row r="315" ht="14.25" customHeight="1">
      <c r="A315" s="3">
        <v>313.0</v>
      </c>
      <c r="B315" s="3" t="s">
        <v>7491</v>
      </c>
      <c r="C315" s="3">
        <v>36.0</v>
      </c>
      <c r="D315" s="3" t="s">
        <v>6645</v>
      </c>
      <c r="E315" s="3" t="s">
        <v>6646</v>
      </c>
      <c r="F315" s="3" t="s">
        <v>6646</v>
      </c>
      <c r="G315" s="3" t="s">
        <v>6645</v>
      </c>
      <c r="H315" s="3" t="s">
        <v>6645</v>
      </c>
      <c r="I315" s="3" t="s">
        <v>6645</v>
      </c>
      <c r="J315" s="3">
        <v>7.0</v>
      </c>
      <c r="K315" s="3">
        <v>4.0</v>
      </c>
      <c r="L315" s="3">
        <v>0.0</v>
      </c>
      <c r="M315" s="3">
        <v>0.0</v>
      </c>
      <c r="N315" s="3">
        <v>13792.013</v>
      </c>
      <c r="O315" s="3">
        <v>1649.0</v>
      </c>
      <c r="P315" s="3" t="e">
        <v>#N/A</v>
      </c>
      <c r="Q315" s="3">
        <v>67.0</v>
      </c>
      <c r="R315" s="3">
        <v>64.0</v>
      </c>
      <c r="S315" s="3">
        <v>69.0</v>
      </c>
      <c r="T315" s="3">
        <v>73.0</v>
      </c>
      <c r="U315" s="3">
        <v>68.0</v>
      </c>
      <c r="V315" s="3">
        <v>68.0</v>
      </c>
      <c r="W315" s="3">
        <v>71.0</v>
      </c>
      <c r="X315" s="3">
        <v>69.0</v>
      </c>
      <c r="Y315" s="3">
        <v>76.0</v>
      </c>
      <c r="Z315" s="3">
        <v>82.0</v>
      </c>
      <c r="AA315" s="3">
        <v>69.0</v>
      </c>
      <c r="AB315" s="3">
        <v>64.0</v>
      </c>
      <c r="AC315" s="3">
        <v>58.0</v>
      </c>
      <c r="AD315" s="3">
        <v>77.0</v>
      </c>
      <c r="AE315" s="3">
        <v>83.0</v>
      </c>
      <c r="AF315" s="3">
        <v>63.0</v>
      </c>
      <c r="AG315" s="3">
        <v>100.0</v>
      </c>
      <c r="AH315" s="3">
        <v>22.0</v>
      </c>
      <c r="AI315" s="3">
        <v>60.0</v>
      </c>
      <c r="AJ315" s="3">
        <v>61.0</v>
      </c>
      <c r="AK315" s="3">
        <v>77.0</v>
      </c>
      <c r="AL315" s="3">
        <v>46.0</v>
      </c>
      <c r="AM315" s="3">
        <v>26.0</v>
      </c>
      <c r="AN315" s="3">
        <v>54.0</v>
      </c>
    </row>
    <row r="316" ht="14.25" customHeight="1">
      <c r="A316" s="3">
        <v>314.0</v>
      </c>
      <c r="B316" s="3" t="s">
        <v>7492</v>
      </c>
      <c r="C316" s="3">
        <v>35.0</v>
      </c>
      <c r="D316" s="3" t="s">
        <v>6645</v>
      </c>
      <c r="E316" s="3" t="s">
        <v>6646</v>
      </c>
      <c r="F316" s="3" t="s">
        <v>6646</v>
      </c>
      <c r="G316" s="3" t="s">
        <v>6645</v>
      </c>
      <c r="H316" s="3" t="s">
        <v>6645</v>
      </c>
      <c r="I316" s="3" t="s">
        <v>6645</v>
      </c>
      <c r="J316" s="3">
        <v>7.0</v>
      </c>
      <c r="K316" s="3">
        <v>3.0</v>
      </c>
      <c r="L316" s="3">
        <v>0.0</v>
      </c>
      <c r="M316" s="3">
        <v>0.0</v>
      </c>
      <c r="N316" s="3">
        <v>7708.59</v>
      </c>
      <c r="O316" s="3">
        <v>690.0</v>
      </c>
      <c r="P316" s="3" t="e">
        <v>#N/A</v>
      </c>
      <c r="Q316" s="3">
        <v>56.0</v>
      </c>
      <c r="R316" s="3">
        <v>56.0</v>
      </c>
      <c r="S316" s="3">
        <v>56.0</v>
      </c>
      <c r="T316" s="3">
        <v>58.0</v>
      </c>
      <c r="U316" s="3">
        <v>60.0</v>
      </c>
      <c r="V316" s="3">
        <v>54.0</v>
      </c>
      <c r="W316" s="3">
        <v>62.0</v>
      </c>
      <c r="X316" s="3">
        <v>62.0</v>
      </c>
      <c r="Y316" s="3">
        <v>69.0</v>
      </c>
      <c r="Z316" s="3">
        <v>67.0</v>
      </c>
      <c r="AA316" s="3">
        <v>47.0</v>
      </c>
      <c r="AB316" s="3">
        <v>50.0</v>
      </c>
      <c r="AC316" s="3">
        <v>54.0</v>
      </c>
      <c r="AD316" s="3">
        <v>63.0</v>
      </c>
      <c r="AE316" s="3">
        <v>52.0</v>
      </c>
      <c r="AF316" s="3">
        <v>50.0</v>
      </c>
      <c r="AG316" s="3">
        <v>90.0</v>
      </c>
      <c r="AH316" s="3">
        <v>56.0</v>
      </c>
      <c r="AI316" s="3">
        <v>60.0</v>
      </c>
      <c r="AJ316" s="3">
        <v>33.0</v>
      </c>
      <c r="AK316" s="3">
        <v>80.0</v>
      </c>
      <c r="AL316" s="3">
        <v>52.0</v>
      </c>
      <c r="AM316" s="3">
        <v>48.0</v>
      </c>
      <c r="AN316" s="3">
        <v>58.0</v>
      </c>
    </row>
    <row r="317" ht="14.25" customHeight="1">
      <c r="A317" s="3">
        <v>315.0</v>
      </c>
      <c r="B317" s="3" t="s">
        <v>7493</v>
      </c>
      <c r="C317" s="3">
        <v>34.0</v>
      </c>
      <c r="D317" s="3" t="s">
        <v>6645</v>
      </c>
      <c r="E317" s="3" t="s">
        <v>6646</v>
      </c>
      <c r="F317" s="3" t="s">
        <v>6646</v>
      </c>
      <c r="G317" s="3" t="s">
        <v>6645</v>
      </c>
      <c r="H317" s="3" t="s">
        <v>6645</v>
      </c>
      <c r="I317" s="3" t="s">
        <v>6645</v>
      </c>
      <c r="J317" s="3">
        <v>7.0</v>
      </c>
      <c r="K317" s="3">
        <v>3.0</v>
      </c>
      <c r="L317" s="3">
        <v>0.0</v>
      </c>
      <c r="M317" s="3">
        <v>0.0</v>
      </c>
      <c r="N317" s="3">
        <v>7424.85</v>
      </c>
      <c r="O317" s="3">
        <v>721.0</v>
      </c>
      <c r="P317" s="3" t="e">
        <v>#N/A</v>
      </c>
      <c r="Q317" s="3">
        <v>56.0</v>
      </c>
      <c r="R317" s="3">
        <v>62.0</v>
      </c>
      <c r="S317" s="3">
        <v>54.0</v>
      </c>
      <c r="T317" s="3">
        <v>52.0</v>
      </c>
      <c r="U317" s="3">
        <v>62.0</v>
      </c>
      <c r="V317" s="3">
        <v>62.0</v>
      </c>
      <c r="W317" s="3">
        <v>60.0</v>
      </c>
      <c r="X317" s="3">
        <v>59.0</v>
      </c>
      <c r="Y317" s="3">
        <v>70.0</v>
      </c>
      <c r="Z317" s="3">
        <v>71.0</v>
      </c>
      <c r="AA317" s="3">
        <v>49.0</v>
      </c>
      <c r="AB317" s="3">
        <v>51.0</v>
      </c>
      <c r="AC317" s="3">
        <v>53.0</v>
      </c>
      <c r="AD317" s="3">
        <v>66.0</v>
      </c>
      <c r="AE317" s="3">
        <v>61.0</v>
      </c>
      <c r="AF317" s="3">
        <v>48.0</v>
      </c>
      <c r="AG317" s="3">
        <v>82.0</v>
      </c>
      <c r="AH317" s="3">
        <v>63.0</v>
      </c>
      <c r="AI317" s="3">
        <v>66.0</v>
      </c>
      <c r="AJ317" s="3">
        <v>49.0</v>
      </c>
      <c r="AK317" s="3">
        <v>79.0</v>
      </c>
      <c r="AL317" s="3">
        <v>29.0</v>
      </c>
      <c r="AM317" s="3">
        <v>68.0</v>
      </c>
      <c r="AN317" s="3">
        <v>30.0</v>
      </c>
    </row>
    <row r="318" ht="14.25" customHeight="1">
      <c r="A318" s="3">
        <v>316.0</v>
      </c>
      <c r="B318" s="3" t="s">
        <v>7494</v>
      </c>
      <c r="C318" s="3">
        <v>35.0</v>
      </c>
      <c r="D318" s="3" t="s">
        <v>6645</v>
      </c>
      <c r="E318" s="3" t="s">
        <v>6646</v>
      </c>
      <c r="F318" s="3" t="s">
        <v>6646</v>
      </c>
      <c r="G318" s="3" t="s">
        <v>6645</v>
      </c>
      <c r="H318" s="3" t="s">
        <v>6645</v>
      </c>
      <c r="I318" s="3" t="s">
        <v>6646</v>
      </c>
      <c r="J318" s="3">
        <v>7.0</v>
      </c>
      <c r="K318" s="3">
        <v>3.0</v>
      </c>
      <c r="L318" s="3">
        <v>0.0</v>
      </c>
      <c r="M318" s="3">
        <v>0.0</v>
      </c>
      <c r="N318" s="3">
        <v>7603.04</v>
      </c>
      <c r="O318" s="3">
        <v>612.0</v>
      </c>
      <c r="P318" s="3" t="e">
        <v>#N/A</v>
      </c>
      <c r="Q318" s="3">
        <v>58.0</v>
      </c>
      <c r="R318" s="3">
        <v>60.0</v>
      </c>
      <c r="S318" s="3">
        <v>52.0</v>
      </c>
      <c r="T318" s="3">
        <v>56.0</v>
      </c>
      <c r="U318" s="3">
        <v>58.0</v>
      </c>
      <c r="V318" s="3">
        <v>54.0</v>
      </c>
      <c r="W318" s="3">
        <v>58.0</v>
      </c>
      <c r="X318" s="3">
        <v>56.0</v>
      </c>
      <c r="Y318" s="3">
        <v>67.0</v>
      </c>
      <c r="Z318" s="3">
        <v>66.0</v>
      </c>
      <c r="AA318" s="3">
        <v>56.0</v>
      </c>
      <c r="AB318" s="3">
        <v>57.0</v>
      </c>
      <c r="AC318" s="3">
        <v>45.0</v>
      </c>
      <c r="AD318" s="3">
        <v>63.0</v>
      </c>
      <c r="AE318" s="3">
        <v>66.0</v>
      </c>
      <c r="AF318" s="3">
        <v>40.0</v>
      </c>
      <c r="AG318" s="3">
        <v>89.0</v>
      </c>
      <c r="AH318" s="3">
        <v>69.0</v>
      </c>
      <c r="AI318" s="3">
        <v>27.0</v>
      </c>
      <c r="AJ318" s="3">
        <v>55.0</v>
      </c>
      <c r="AK318" s="3">
        <v>85.0</v>
      </c>
      <c r="AL318" s="3">
        <v>64.0</v>
      </c>
      <c r="AM318" s="3">
        <v>33.0</v>
      </c>
      <c r="AN318" s="3">
        <v>56.0</v>
      </c>
    </row>
    <row r="319" ht="14.25" customHeight="1">
      <c r="A319" s="3">
        <v>317.0</v>
      </c>
      <c r="B319" s="3" t="s">
        <v>7495</v>
      </c>
      <c r="C319" s="3">
        <v>39.0</v>
      </c>
      <c r="D319" s="3" t="s">
        <v>6645</v>
      </c>
      <c r="E319" s="3" t="s">
        <v>6646</v>
      </c>
      <c r="F319" s="3" t="s">
        <v>6646</v>
      </c>
      <c r="G319" s="3" t="s">
        <v>6645</v>
      </c>
      <c r="H319" s="3" t="s">
        <v>6645</v>
      </c>
      <c r="I319" s="3" t="s">
        <v>6645</v>
      </c>
      <c r="J319" s="3">
        <v>7.0</v>
      </c>
      <c r="K319" s="3">
        <v>3.0</v>
      </c>
      <c r="L319" s="3">
        <v>0.0</v>
      </c>
      <c r="M319" s="3">
        <v>0.0</v>
      </c>
      <c r="N319" s="3">
        <v>8162.11</v>
      </c>
      <c r="O319" s="3">
        <v>701.0</v>
      </c>
      <c r="P319" s="3" t="e">
        <v>#N/A</v>
      </c>
      <c r="Q319" s="3">
        <v>52.0</v>
      </c>
      <c r="R319" s="3">
        <v>60.0</v>
      </c>
      <c r="S319" s="3">
        <v>62.0</v>
      </c>
      <c r="T319" s="3">
        <v>54.0</v>
      </c>
      <c r="U319" s="3">
        <v>62.0</v>
      </c>
      <c r="V319" s="3">
        <v>52.0</v>
      </c>
      <c r="W319" s="3">
        <v>61.0</v>
      </c>
      <c r="X319" s="3">
        <v>50.0</v>
      </c>
      <c r="Y319" s="3">
        <v>70.0</v>
      </c>
      <c r="Z319" s="3">
        <v>61.0</v>
      </c>
      <c r="AA319" s="3">
        <v>56.0</v>
      </c>
      <c r="AB319" s="3">
        <v>54.0</v>
      </c>
      <c r="AC319" s="3">
        <v>54.0</v>
      </c>
      <c r="AD319" s="3">
        <v>65.0</v>
      </c>
      <c r="AE319" s="3">
        <v>58.0</v>
      </c>
      <c r="AF319" s="3">
        <v>46.0</v>
      </c>
      <c r="AG319" s="3">
        <v>83.0</v>
      </c>
      <c r="AH319" s="3">
        <v>43.0</v>
      </c>
      <c r="AI319" s="3">
        <v>39.0</v>
      </c>
      <c r="AJ319" s="3">
        <v>39.0</v>
      </c>
      <c r="AK319" s="3">
        <v>74.0</v>
      </c>
      <c r="AL319" s="3">
        <v>61.0</v>
      </c>
      <c r="AM319" s="3">
        <v>52.0</v>
      </c>
      <c r="AN319" s="3">
        <v>44.0</v>
      </c>
    </row>
    <row r="320" ht="14.25" customHeight="1">
      <c r="A320" s="3">
        <v>318.0</v>
      </c>
      <c r="B320" s="3" t="s">
        <v>7496</v>
      </c>
      <c r="C320" s="3">
        <v>32.0</v>
      </c>
      <c r="D320" s="3" t="s">
        <v>6645</v>
      </c>
      <c r="E320" s="3" t="s">
        <v>6646</v>
      </c>
      <c r="F320" s="3" t="s">
        <v>6646</v>
      </c>
      <c r="G320" s="3" t="s">
        <v>6645</v>
      </c>
      <c r="H320" s="3" t="s">
        <v>6645</v>
      </c>
      <c r="I320" s="3" t="s">
        <v>6646</v>
      </c>
      <c r="J320" s="3">
        <v>7.0</v>
      </c>
      <c r="K320" s="3">
        <v>2.0</v>
      </c>
      <c r="L320" s="3">
        <v>0.0</v>
      </c>
      <c r="M320" s="3">
        <v>0.0</v>
      </c>
      <c r="N320" s="3">
        <v>4113.641</v>
      </c>
      <c r="O320" s="3">
        <v>347.0</v>
      </c>
      <c r="P320" s="3" t="e">
        <v>#N/A</v>
      </c>
      <c r="Q320" s="3">
        <v>53.0</v>
      </c>
      <c r="R320" s="3">
        <v>47.0</v>
      </c>
      <c r="S320" s="3">
        <v>48.0</v>
      </c>
      <c r="T320" s="3">
        <v>48.0</v>
      </c>
      <c r="U320" s="3">
        <v>46.0</v>
      </c>
      <c r="V320" s="3">
        <v>54.0</v>
      </c>
      <c r="W320" s="3">
        <v>39.0</v>
      </c>
      <c r="X320" s="3">
        <v>42.0</v>
      </c>
      <c r="Y320" s="3">
        <v>51.0</v>
      </c>
      <c r="Z320" s="3">
        <v>52.0</v>
      </c>
      <c r="AA320" s="3">
        <v>53.0</v>
      </c>
      <c r="AB320" s="3">
        <v>43.0</v>
      </c>
      <c r="AC320" s="3">
        <v>51.0</v>
      </c>
      <c r="AD320" s="3">
        <v>52.0</v>
      </c>
      <c r="AE320" s="3">
        <v>54.0</v>
      </c>
      <c r="AF320" s="3">
        <v>48.0</v>
      </c>
      <c r="AG320" s="3">
        <v>72.0</v>
      </c>
      <c r="AH320" s="3">
        <v>46.0</v>
      </c>
      <c r="AI320" s="3">
        <v>44.0</v>
      </c>
      <c r="AJ320" s="3">
        <v>50.0</v>
      </c>
      <c r="AK320" s="3">
        <v>74.0</v>
      </c>
      <c r="AL320" s="3">
        <v>28.0</v>
      </c>
      <c r="AM320" s="3">
        <v>22.0</v>
      </c>
      <c r="AN320" s="3">
        <v>40.0</v>
      </c>
    </row>
    <row r="321" ht="14.25" customHeight="1">
      <c r="A321" s="3">
        <v>319.0</v>
      </c>
      <c r="B321" s="3" t="s">
        <v>7497</v>
      </c>
      <c r="C321" s="3">
        <v>34.0</v>
      </c>
      <c r="D321" s="3" t="s">
        <v>6645</v>
      </c>
      <c r="E321" s="3" t="s">
        <v>6646</v>
      </c>
      <c r="F321" s="3" t="s">
        <v>6646</v>
      </c>
      <c r="G321" s="3" t="s">
        <v>6645</v>
      </c>
      <c r="H321" s="3" t="s">
        <v>6645</v>
      </c>
      <c r="I321" s="3" t="s">
        <v>6645</v>
      </c>
      <c r="J321" s="3">
        <v>7.0</v>
      </c>
      <c r="K321" s="3">
        <v>2.0</v>
      </c>
      <c r="L321" s="3">
        <v>0.0</v>
      </c>
      <c r="M321" s="3">
        <v>0.0</v>
      </c>
      <c r="N321" s="3">
        <v>3896.0864</v>
      </c>
      <c r="O321" s="3">
        <v>475.0</v>
      </c>
      <c r="P321" s="3" t="e">
        <v>#N/A</v>
      </c>
      <c r="Q321" s="3">
        <v>48.0</v>
      </c>
      <c r="R321" s="3">
        <v>52.0</v>
      </c>
      <c r="S321" s="3">
        <v>50.0</v>
      </c>
      <c r="T321" s="3">
        <v>46.0</v>
      </c>
      <c r="U321" s="3">
        <v>54.0</v>
      </c>
      <c r="V321" s="3">
        <v>50.0</v>
      </c>
      <c r="W321" s="3">
        <v>46.0</v>
      </c>
      <c r="X321" s="3">
        <v>41.0</v>
      </c>
      <c r="Y321" s="3">
        <v>53.0</v>
      </c>
      <c r="Z321" s="3">
        <v>55.0</v>
      </c>
      <c r="AA321" s="3">
        <v>48.0</v>
      </c>
      <c r="AB321" s="3">
        <v>48.0</v>
      </c>
      <c r="AC321" s="3">
        <v>41.0</v>
      </c>
      <c r="AD321" s="3">
        <v>59.0</v>
      </c>
      <c r="AE321" s="3">
        <v>49.0</v>
      </c>
      <c r="AF321" s="3">
        <v>44.0</v>
      </c>
      <c r="AG321" s="3">
        <v>82.0</v>
      </c>
      <c r="AH321" s="3">
        <v>44.0</v>
      </c>
      <c r="AI321" s="3">
        <v>60.0</v>
      </c>
      <c r="AJ321" s="3">
        <v>48.0</v>
      </c>
      <c r="AK321" s="3">
        <v>80.0</v>
      </c>
      <c r="AL321" s="3">
        <v>38.0</v>
      </c>
      <c r="AM321" s="3">
        <v>62.0</v>
      </c>
      <c r="AN321" s="3">
        <v>38.0</v>
      </c>
    </row>
    <row r="322" ht="14.25" customHeight="1">
      <c r="A322" s="3">
        <v>320.0</v>
      </c>
      <c r="B322" s="3" t="s">
        <v>7498</v>
      </c>
      <c r="C322" s="3">
        <v>25.0</v>
      </c>
      <c r="D322" s="3" t="s">
        <v>6645</v>
      </c>
      <c r="E322" s="3" t="s">
        <v>6646</v>
      </c>
      <c r="F322" s="3" t="s">
        <v>6646</v>
      </c>
      <c r="G322" s="3" t="s">
        <v>6645</v>
      </c>
      <c r="H322" s="3" t="s">
        <v>6645</v>
      </c>
      <c r="I322" s="3" t="s">
        <v>6646</v>
      </c>
      <c r="J322" s="3">
        <v>7.0</v>
      </c>
      <c r="K322" s="3">
        <v>2.0</v>
      </c>
      <c r="L322" s="3">
        <v>0.0</v>
      </c>
      <c r="M322" s="3">
        <v>0.0</v>
      </c>
      <c r="N322" s="3">
        <v>4393.85</v>
      </c>
      <c r="O322" s="3">
        <v>476.0</v>
      </c>
      <c r="P322" s="3" t="e">
        <v>#N/A</v>
      </c>
      <c r="Q322" s="3">
        <v>50.0</v>
      </c>
      <c r="R322" s="3">
        <v>51.0</v>
      </c>
      <c r="S322" s="3">
        <v>49.0</v>
      </c>
      <c r="T322" s="3">
        <v>51.0</v>
      </c>
      <c r="U322" s="3">
        <v>46.0</v>
      </c>
      <c r="V322" s="3">
        <v>46.0</v>
      </c>
      <c r="W322" s="3">
        <v>53.0</v>
      </c>
      <c r="X322" s="3">
        <v>43.0</v>
      </c>
      <c r="Y322" s="3">
        <v>56.0</v>
      </c>
      <c r="Z322" s="3">
        <v>59.0</v>
      </c>
      <c r="AA322" s="3">
        <v>46.0</v>
      </c>
      <c r="AB322" s="3">
        <v>42.0</v>
      </c>
      <c r="AC322" s="3">
        <v>48.0</v>
      </c>
      <c r="AD322" s="3">
        <v>50.0</v>
      </c>
      <c r="AE322" s="3">
        <v>47.0</v>
      </c>
      <c r="AF322" s="3">
        <v>62.0</v>
      </c>
      <c r="AG322" s="3">
        <v>69.0</v>
      </c>
      <c r="AH322" s="3">
        <v>19.0</v>
      </c>
      <c r="AI322" s="3">
        <v>8.0</v>
      </c>
      <c r="AJ322" s="3">
        <v>42.0</v>
      </c>
      <c r="AK322" s="3">
        <v>70.0</v>
      </c>
      <c r="AL322" s="3">
        <v>40.0</v>
      </c>
      <c r="AM322" s="3">
        <v>64.0</v>
      </c>
      <c r="AN322" s="3">
        <v>52.0</v>
      </c>
    </row>
    <row r="323" ht="14.25" customHeight="1">
      <c r="A323" s="3">
        <v>321.0</v>
      </c>
      <c r="B323" s="3" t="s">
        <v>7499</v>
      </c>
      <c r="C323" s="3">
        <v>28.0</v>
      </c>
      <c r="D323" s="3" t="s">
        <v>6645</v>
      </c>
      <c r="E323" s="3" t="s">
        <v>6646</v>
      </c>
      <c r="F323" s="3" t="s">
        <v>6646</v>
      </c>
      <c r="G323" s="3" t="s">
        <v>6645</v>
      </c>
      <c r="H323" s="3" t="s">
        <v>6645</v>
      </c>
      <c r="I323" s="3" t="s">
        <v>6645</v>
      </c>
      <c r="J323" s="3">
        <v>7.0</v>
      </c>
      <c r="K323" s="3">
        <v>2.0</v>
      </c>
      <c r="L323" s="3">
        <v>0.0</v>
      </c>
      <c r="M323" s="3">
        <v>0.0</v>
      </c>
      <c r="N323" s="3">
        <v>4192.65</v>
      </c>
      <c r="O323" s="3">
        <v>492.0</v>
      </c>
      <c r="P323" s="3" t="e">
        <v>#N/A</v>
      </c>
      <c r="Q323" s="3">
        <v>50.0</v>
      </c>
      <c r="R323" s="3">
        <v>54.0</v>
      </c>
      <c r="S323" s="3">
        <v>47.0</v>
      </c>
      <c r="T323" s="3">
        <v>47.0</v>
      </c>
      <c r="U323" s="3">
        <v>45.0</v>
      </c>
      <c r="V323" s="3">
        <v>50.0</v>
      </c>
      <c r="W323" s="3">
        <v>47.0</v>
      </c>
      <c r="X323" s="3">
        <v>53.0</v>
      </c>
      <c r="Y323" s="3">
        <v>59.0</v>
      </c>
      <c r="Z323" s="3">
        <v>54.0</v>
      </c>
      <c r="AA323" s="3">
        <v>50.0</v>
      </c>
      <c r="AB323" s="3">
        <v>49.0</v>
      </c>
      <c r="AC323" s="3">
        <v>40.0</v>
      </c>
      <c r="AD323" s="3">
        <v>55.0</v>
      </c>
      <c r="AE323" s="3">
        <v>44.0</v>
      </c>
      <c r="AF323" s="3">
        <v>58.0</v>
      </c>
      <c r="AG323" s="3">
        <v>74.0</v>
      </c>
      <c r="AH323" s="3">
        <v>22.0</v>
      </c>
      <c r="AI323" s="3">
        <v>20.0</v>
      </c>
      <c r="AJ323" s="3">
        <v>36.0</v>
      </c>
      <c r="AK323" s="3">
        <v>76.0</v>
      </c>
      <c r="AL323" s="3">
        <v>46.0</v>
      </c>
      <c r="AM323" s="3">
        <v>54.0</v>
      </c>
      <c r="AN323" s="3">
        <v>44.0</v>
      </c>
    </row>
    <row r="324" ht="14.25" customHeight="1">
      <c r="A324" s="3">
        <v>322.0</v>
      </c>
      <c r="B324" s="3" t="s">
        <v>7500</v>
      </c>
      <c r="C324" s="3">
        <v>25.0</v>
      </c>
      <c r="D324" s="3" t="s">
        <v>6645</v>
      </c>
      <c r="E324" s="3" t="s">
        <v>6646</v>
      </c>
      <c r="F324" s="3" t="s">
        <v>6646</v>
      </c>
      <c r="G324" s="3" t="s">
        <v>6645</v>
      </c>
      <c r="H324" s="3" t="s">
        <v>6645</v>
      </c>
      <c r="I324" s="3" t="s">
        <v>6646</v>
      </c>
      <c r="J324" s="3">
        <v>7.0</v>
      </c>
      <c r="K324" s="3">
        <v>1.0</v>
      </c>
      <c r="L324" s="3">
        <v>0.0</v>
      </c>
      <c r="M324" s="3">
        <v>0.0</v>
      </c>
      <c r="N324" s="3">
        <v>1617.9</v>
      </c>
      <c r="O324" s="3">
        <v>236.0</v>
      </c>
      <c r="P324" s="3" t="e">
        <v>#N/A</v>
      </c>
      <c r="Q324" s="3">
        <v>38.0</v>
      </c>
      <c r="R324" s="3">
        <v>40.0</v>
      </c>
      <c r="S324" s="3">
        <v>38.0</v>
      </c>
      <c r="T324" s="3">
        <v>38.0</v>
      </c>
      <c r="U324" s="3">
        <v>38.0</v>
      </c>
      <c r="V324" s="3">
        <v>46.0</v>
      </c>
      <c r="W324" s="3">
        <v>44.0</v>
      </c>
      <c r="X324" s="3">
        <v>36.0</v>
      </c>
      <c r="Y324" s="3">
        <v>49.0</v>
      </c>
      <c r="Z324" s="3">
        <v>52.0</v>
      </c>
      <c r="AA324" s="3">
        <v>29.0</v>
      </c>
      <c r="AB324" s="3">
        <v>32.0</v>
      </c>
      <c r="AC324" s="3">
        <v>44.0</v>
      </c>
      <c r="AD324" s="3">
        <v>46.0</v>
      </c>
      <c r="AE324" s="3">
        <v>46.0</v>
      </c>
      <c r="AF324" s="3">
        <v>53.0</v>
      </c>
      <c r="AG324" s="3">
        <v>76.0</v>
      </c>
      <c r="AH324" s="3">
        <v>50.0</v>
      </c>
      <c r="AI324" s="3">
        <v>48.0</v>
      </c>
      <c r="AJ324" s="3">
        <v>28.0</v>
      </c>
      <c r="AK324" s="3">
        <v>70.0</v>
      </c>
      <c r="AL324" s="3">
        <v>33.0</v>
      </c>
      <c r="AM324" s="3">
        <v>37.0</v>
      </c>
      <c r="AN324" s="3">
        <v>51.0</v>
      </c>
    </row>
    <row r="325" ht="14.25" customHeight="1">
      <c r="A325" s="3">
        <v>323.0</v>
      </c>
      <c r="B325" s="3" t="s">
        <v>7501</v>
      </c>
      <c r="C325" s="3">
        <v>27.0</v>
      </c>
      <c r="D325" s="3" t="s">
        <v>6645</v>
      </c>
      <c r="E325" s="3" t="s">
        <v>6646</v>
      </c>
      <c r="F325" s="3" t="s">
        <v>6646</v>
      </c>
      <c r="G325" s="3" t="s">
        <v>6645</v>
      </c>
      <c r="H325" s="3" t="s">
        <v>6645</v>
      </c>
      <c r="I325" s="3" t="s">
        <v>6645</v>
      </c>
      <c r="J325" s="3">
        <v>7.0</v>
      </c>
      <c r="K325" s="3">
        <v>1.0</v>
      </c>
      <c r="L325" s="3">
        <v>0.0</v>
      </c>
      <c r="M325" s="3">
        <v>0.0</v>
      </c>
      <c r="N325" s="3">
        <v>1505.6928</v>
      </c>
      <c r="O325" s="3">
        <v>174.0</v>
      </c>
      <c r="P325" s="3" t="e">
        <v>#N/A</v>
      </c>
      <c r="Q325" s="3">
        <v>38.0</v>
      </c>
      <c r="R325" s="3">
        <v>40.0</v>
      </c>
      <c r="S325" s="3">
        <v>38.0</v>
      </c>
      <c r="T325" s="3">
        <v>46.0</v>
      </c>
      <c r="U325" s="3">
        <v>40.0</v>
      </c>
      <c r="V325" s="3">
        <v>40.0</v>
      </c>
      <c r="W325" s="3">
        <v>30.0</v>
      </c>
      <c r="X325" s="3">
        <v>44.0</v>
      </c>
      <c r="Y325" s="3">
        <v>48.0</v>
      </c>
      <c r="Z325" s="3">
        <v>50.0</v>
      </c>
      <c r="AA325" s="3">
        <v>38.0</v>
      </c>
      <c r="AB325" s="3">
        <v>30.0</v>
      </c>
      <c r="AC325" s="3">
        <v>30.0</v>
      </c>
      <c r="AD325" s="3">
        <v>48.0</v>
      </c>
      <c r="AE325" s="3">
        <v>44.0</v>
      </c>
      <c r="AF325" s="3">
        <v>11.0</v>
      </c>
      <c r="AG325" s="3">
        <v>79.0</v>
      </c>
      <c r="AH325" s="3">
        <v>13.0</v>
      </c>
      <c r="AI325" s="3">
        <v>49.0</v>
      </c>
      <c r="AJ325" s="3">
        <v>52.0</v>
      </c>
      <c r="AK325" s="3">
        <v>71.0</v>
      </c>
      <c r="AL325" s="3">
        <v>34.0</v>
      </c>
      <c r="AM325" s="3">
        <v>60.0</v>
      </c>
      <c r="AN325" s="3">
        <v>35.0</v>
      </c>
    </row>
    <row r="326" ht="14.25" customHeight="1">
      <c r="A326" s="3">
        <v>324.0</v>
      </c>
      <c r="B326" s="3" t="s">
        <v>7502</v>
      </c>
      <c r="C326" s="3">
        <v>25.0</v>
      </c>
      <c r="D326" s="3" t="s">
        <v>6645</v>
      </c>
      <c r="E326" s="3" t="s">
        <v>6646</v>
      </c>
      <c r="F326" s="3" t="s">
        <v>6646</v>
      </c>
      <c r="G326" s="3" t="s">
        <v>6645</v>
      </c>
      <c r="H326" s="3" t="s">
        <v>6645</v>
      </c>
      <c r="I326" s="3" t="s">
        <v>6646</v>
      </c>
      <c r="J326" s="3">
        <v>7.0</v>
      </c>
      <c r="K326" s="3">
        <v>1.0</v>
      </c>
      <c r="L326" s="3">
        <v>0.0</v>
      </c>
      <c r="M326" s="3">
        <v>0.0</v>
      </c>
      <c r="N326" s="3">
        <v>1614.7375</v>
      </c>
      <c r="O326" s="3">
        <v>246.0</v>
      </c>
      <c r="P326" s="3" t="e">
        <v>#N/A</v>
      </c>
      <c r="Q326" s="3">
        <v>46.0</v>
      </c>
      <c r="R326" s="3">
        <v>46.0</v>
      </c>
      <c r="S326" s="3">
        <v>38.0</v>
      </c>
      <c r="T326" s="3">
        <v>44.0</v>
      </c>
      <c r="U326" s="3">
        <v>38.0</v>
      </c>
      <c r="V326" s="3">
        <v>42.0</v>
      </c>
      <c r="W326" s="3">
        <v>34.0</v>
      </c>
      <c r="X326" s="3">
        <v>44.0</v>
      </c>
      <c r="Y326" s="3">
        <v>48.0</v>
      </c>
      <c r="Z326" s="3">
        <v>53.0</v>
      </c>
      <c r="AA326" s="3">
        <v>42.0</v>
      </c>
      <c r="AB326" s="3">
        <v>40.0</v>
      </c>
      <c r="AC326" s="3">
        <v>34.0</v>
      </c>
      <c r="AD326" s="3">
        <v>48.0</v>
      </c>
      <c r="AE326" s="3">
        <v>31.0</v>
      </c>
      <c r="AF326" s="3">
        <v>46.0</v>
      </c>
      <c r="AG326" s="3">
        <v>77.0</v>
      </c>
      <c r="AH326" s="3">
        <v>23.0</v>
      </c>
      <c r="AI326" s="3">
        <v>50.0</v>
      </c>
      <c r="AJ326" s="3">
        <v>62.0</v>
      </c>
      <c r="AK326" s="3">
        <v>77.0</v>
      </c>
      <c r="AL326" s="3">
        <v>35.0</v>
      </c>
      <c r="AM326" s="3">
        <v>18.0</v>
      </c>
      <c r="AN326" s="3">
        <v>40.0</v>
      </c>
    </row>
    <row r="327" ht="14.25" customHeight="1">
      <c r="A327" s="3">
        <v>325.0</v>
      </c>
      <c r="B327" s="3" t="s">
        <v>7503</v>
      </c>
      <c r="C327" s="3">
        <v>27.0</v>
      </c>
      <c r="D327" s="3" t="s">
        <v>6645</v>
      </c>
      <c r="E327" s="3" t="s">
        <v>6646</v>
      </c>
      <c r="F327" s="3" t="s">
        <v>6646</v>
      </c>
      <c r="G327" s="3" t="s">
        <v>6645</v>
      </c>
      <c r="H327" s="3" t="s">
        <v>6645</v>
      </c>
      <c r="I327" s="3" t="s">
        <v>6646</v>
      </c>
      <c r="J327" s="3">
        <v>7.0</v>
      </c>
      <c r="K327" s="3">
        <v>1.0</v>
      </c>
      <c r="L327" s="3">
        <v>0.0</v>
      </c>
      <c r="M327" s="3">
        <v>0.0</v>
      </c>
      <c r="N327" s="3">
        <v>1711.3961</v>
      </c>
      <c r="O327" s="3">
        <v>189.0</v>
      </c>
      <c r="P327" s="3" t="e">
        <v>#N/A</v>
      </c>
      <c r="Q327" s="3">
        <v>46.0</v>
      </c>
      <c r="R327" s="3">
        <v>38.0</v>
      </c>
      <c r="S327" s="3">
        <v>40.0</v>
      </c>
      <c r="T327" s="3">
        <v>40.0</v>
      </c>
      <c r="U327" s="3">
        <v>38.0</v>
      </c>
      <c r="V327" s="3">
        <v>40.0</v>
      </c>
      <c r="W327" s="3">
        <v>40.0</v>
      </c>
      <c r="X327" s="3">
        <v>39.0</v>
      </c>
      <c r="Y327" s="3">
        <v>48.0</v>
      </c>
      <c r="Z327" s="3">
        <v>45.0</v>
      </c>
      <c r="AA327" s="3">
        <v>31.0</v>
      </c>
      <c r="AB327" s="3">
        <v>40.0</v>
      </c>
      <c r="AC327" s="3">
        <v>46.0</v>
      </c>
      <c r="AD327" s="3">
        <v>47.0</v>
      </c>
      <c r="AE327" s="3">
        <v>32.0</v>
      </c>
      <c r="AF327" s="3">
        <v>59.0</v>
      </c>
      <c r="AG327" s="3">
        <v>68.0</v>
      </c>
      <c r="AH327" s="3">
        <v>48.0</v>
      </c>
      <c r="AI327" s="3">
        <v>23.0</v>
      </c>
      <c r="AJ327" s="3">
        <v>45.0</v>
      </c>
      <c r="AK327" s="3">
        <v>70.0</v>
      </c>
      <c r="AL327" s="3">
        <v>50.0</v>
      </c>
      <c r="AM327" s="3">
        <v>60.0</v>
      </c>
      <c r="AN327" s="3">
        <v>31.0</v>
      </c>
    </row>
    <row r="328" ht="14.25" customHeight="1">
      <c r="A328" s="3">
        <v>326.0</v>
      </c>
      <c r="B328" s="3" t="s">
        <v>7504</v>
      </c>
      <c r="C328" s="3">
        <v>23.0</v>
      </c>
      <c r="D328" s="3" t="s">
        <v>6645</v>
      </c>
      <c r="E328" s="3" t="s">
        <v>6646</v>
      </c>
      <c r="F328" s="3" t="s">
        <v>6646</v>
      </c>
      <c r="G328" s="3" t="s">
        <v>6645</v>
      </c>
      <c r="H328" s="3" t="s">
        <v>6645</v>
      </c>
      <c r="I328" s="3" t="s">
        <v>6645</v>
      </c>
      <c r="J328" s="3">
        <v>7.0</v>
      </c>
      <c r="K328" s="3">
        <v>1.0</v>
      </c>
      <c r="L328" s="3">
        <v>0.0</v>
      </c>
      <c r="M328" s="3">
        <v>0.0</v>
      </c>
      <c r="N328" s="3">
        <v>1597.9595</v>
      </c>
      <c r="O328" s="3">
        <v>240.0</v>
      </c>
      <c r="P328" s="3" t="e">
        <v>#N/A</v>
      </c>
      <c r="Q328" s="3">
        <v>38.0</v>
      </c>
      <c r="R328" s="3">
        <v>46.0</v>
      </c>
      <c r="S328" s="3">
        <v>44.0</v>
      </c>
      <c r="T328" s="3">
        <v>44.0</v>
      </c>
      <c r="U328" s="3">
        <v>40.0</v>
      </c>
      <c r="V328" s="3">
        <v>40.0</v>
      </c>
      <c r="W328" s="3">
        <v>46.0</v>
      </c>
      <c r="X328" s="3">
        <v>46.0</v>
      </c>
      <c r="Y328" s="3">
        <v>53.0</v>
      </c>
      <c r="Z328" s="3">
        <v>46.0</v>
      </c>
      <c r="AA328" s="3">
        <v>36.0</v>
      </c>
      <c r="AB328" s="3">
        <v>33.0</v>
      </c>
      <c r="AC328" s="3">
        <v>42.0</v>
      </c>
      <c r="AD328" s="3">
        <v>54.0</v>
      </c>
      <c r="AE328" s="3">
        <v>34.0</v>
      </c>
      <c r="AF328" s="3">
        <v>44.0</v>
      </c>
      <c r="AG328" s="3">
        <v>79.0</v>
      </c>
      <c r="AH328" s="3">
        <v>29.0</v>
      </c>
      <c r="AI328" s="3">
        <v>34.0</v>
      </c>
      <c r="AJ328" s="3">
        <v>50.0</v>
      </c>
      <c r="AK328" s="3">
        <v>67.0</v>
      </c>
      <c r="AL328" s="3">
        <v>46.0</v>
      </c>
      <c r="AM328" s="3">
        <v>50.0</v>
      </c>
      <c r="AN328" s="3">
        <v>62.0</v>
      </c>
    </row>
    <row r="329" ht="14.25" customHeight="1">
      <c r="A329" s="3">
        <v>327.0</v>
      </c>
      <c r="B329" s="3" t="s">
        <v>7505</v>
      </c>
      <c r="C329" s="3">
        <v>16.0</v>
      </c>
      <c r="D329" s="3" t="s">
        <v>6645</v>
      </c>
      <c r="E329" s="3" t="s">
        <v>6646</v>
      </c>
      <c r="F329" s="3" t="s">
        <v>6646</v>
      </c>
      <c r="G329" s="3" t="s">
        <v>6645</v>
      </c>
      <c r="H329" s="3" t="s">
        <v>6645</v>
      </c>
      <c r="I329" s="3" t="s">
        <v>6646</v>
      </c>
      <c r="J329" s="3">
        <v>7.0</v>
      </c>
      <c r="K329" s="3">
        <v>0.0</v>
      </c>
      <c r="L329" s="3">
        <v>0.0</v>
      </c>
      <c r="M329" s="3">
        <v>0.0</v>
      </c>
      <c r="N329" s="3">
        <v>432.1421</v>
      </c>
      <c r="O329" s="3">
        <v>113.0</v>
      </c>
      <c r="P329" s="3" t="e">
        <v>#N/A</v>
      </c>
      <c r="Q329" s="3">
        <v>36.0</v>
      </c>
      <c r="R329" s="3">
        <v>35.0</v>
      </c>
      <c r="S329" s="3">
        <v>31.0</v>
      </c>
      <c r="T329" s="3">
        <v>35.0</v>
      </c>
      <c r="U329" s="3">
        <v>39.0</v>
      </c>
      <c r="V329" s="3">
        <v>35.0</v>
      </c>
      <c r="W329" s="3">
        <v>29.0</v>
      </c>
      <c r="X329" s="3">
        <v>30.0</v>
      </c>
      <c r="Y329" s="3">
        <v>42.0</v>
      </c>
      <c r="Z329" s="3">
        <v>38.0</v>
      </c>
      <c r="AA329" s="3">
        <v>31.0</v>
      </c>
      <c r="AB329" s="3">
        <v>26.0</v>
      </c>
      <c r="AC329" s="3">
        <v>34.0</v>
      </c>
      <c r="AD329" s="3">
        <v>40.0</v>
      </c>
      <c r="AE329" s="3">
        <v>30.0</v>
      </c>
      <c r="AF329" s="3">
        <v>56.0</v>
      </c>
      <c r="AG329" s="3">
        <v>60.0</v>
      </c>
      <c r="AH329" s="3">
        <v>39.0</v>
      </c>
      <c r="AI329" s="3">
        <v>46.0</v>
      </c>
      <c r="AJ329" s="3">
        <v>26.0</v>
      </c>
      <c r="AK329" s="3">
        <v>67.0</v>
      </c>
      <c r="AL329" s="3">
        <v>26.0</v>
      </c>
      <c r="AM329" s="3">
        <v>48.0</v>
      </c>
      <c r="AN329" s="3">
        <v>40.0</v>
      </c>
    </row>
    <row r="330" ht="14.25" customHeight="1">
      <c r="A330" s="3">
        <v>328.0</v>
      </c>
      <c r="B330" s="3" t="s">
        <v>7506</v>
      </c>
      <c r="C330" s="3">
        <v>18.0</v>
      </c>
      <c r="D330" s="3" t="s">
        <v>6645</v>
      </c>
      <c r="E330" s="3" t="s">
        <v>6646</v>
      </c>
      <c r="F330" s="3" t="s">
        <v>6646</v>
      </c>
      <c r="G330" s="3" t="s">
        <v>6645</v>
      </c>
      <c r="H330" s="3" t="s">
        <v>6645</v>
      </c>
      <c r="I330" s="3" t="s">
        <v>6645</v>
      </c>
      <c r="J330" s="3">
        <v>7.0</v>
      </c>
      <c r="K330" s="3">
        <v>0.0</v>
      </c>
      <c r="L330" s="3">
        <v>0.0</v>
      </c>
      <c r="M330" s="3">
        <v>0.0</v>
      </c>
      <c r="N330" s="3">
        <v>405.14141</v>
      </c>
      <c r="O330" s="3">
        <v>103.0</v>
      </c>
      <c r="P330" s="3" t="e">
        <v>#N/A</v>
      </c>
      <c r="Q330" s="3">
        <v>32.0</v>
      </c>
      <c r="R330" s="3">
        <v>31.0</v>
      </c>
      <c r="S330" s="3">
        <v>38.0</v>
      </c>
      <c r="T330" s="3">
        <v>35.0</v>
      </c>
      <c r="U330" s="3">
        <v>38.0</v>
      </c>
      <c r="V330" s="3">
        <v>32.0</v>
      </c>
      <c r="W330" s="3">
        <v>36.0</v>
      </c>
      <c r="X330" s="3">
        <v>35.0</v>
      </c>
      <c r="Y330" s="3">
        <v>42.0</v>
      </c>
      <c r="Z330" s="3">
        <v>43.0</v>
      </c>
      <c r="AA330" s="3">
        <v>35.0</v>
      </c>
      <c r="AB330" s="3">
        <v>24.0</v>
      </c>
      <c r="AC330" s="3">
        <v>33.0</v>
      </c>
      <c r="AD330" s="3">
        <v>42.0</v>
      </c>
      <c r="AE330" s="3">
        <v>22.0</v>
      </c>
      <c r="AF330" s="3">
        <v>17.0</v>
      </c>
      <c r="AG330" s="3">
        <v>75.0</v>
      </c>
      <c r="AH330" s="3">
        <v>44.0</v>
      </c>
      <c r="AI330" s="3">
        <v>45.0</v>
      </c>
      <c r="AJ330" s="3">
        <v>46.0</v>
      </c>
      <c r="AK330" s="3">
        <v>65.0</v>
      </c>
      <c r="AL330" s="3">
        <v>48.0</v>
      </c>
      <c r="AM330" s="3">
        <v>49.0</v>
      </c>
      <c r="AN330" s="3">
        <v>19.0</v>
      </c>
    </row>
    <row r="331" ht="14.25" customHeight="1">
      <c r="A331" s="3">
        <v>329.0</v>
      </c>
      <c r="B331" s="3" t="s">
        <v>7507</v>
      </c>
      <c r="C331" s="3">
        <v>19.0</v>
      </c>
      <c r="D331" s="3" t="s">
        <v>6645</v>
      </c>
      <c r="E331" s="3" t="s">
        <v>6646</v>
      </c>
      <c r="F331" s="3" t="s">
        <v>6646</v>
      </c>
      <c r="G331" s="3" t="s">
        <v>6645</v>
      </c>
      <c r="H331" s="3" t="s">
        <v>6645</v>
      </c>
      <c r="I331" s="3" t="s">
        <v>6645</v>
      </c>
      <c r="J331" s="3">
        <v>7.0</v>
      </c>
      <c r="K331" s="3">
        <v>0.0</v>
      </c>
      <c r="L331" s="3">
        <v>0.0</v>
      </c>
      <c r="M331" s="3">
        <v>0.0</v>
      </c>
      <c r="N331" s="3">
        <v>529.85046</v>
      </c>
      <c r="O331" s="3">
        <v>101.0</v>
      </c>
      <c r="P331" s="3" t="e">
        <v>#N/A</v>
      </c>
      <c r="Q331" s="3">
        <v>34.0</v>
      </c>
      <c r="R331" s="3">
        <v>38.0</v>
      </c>
      <c r="S331" s="3">
        <v>37.0</v>
      </c>
      <c r="T331" s="3">
        <v>39.0</v>
      </c>
      <c r="U331" s="3">
        <v>35.0</v>
      </c>
      <c r="V331" s="3">
        <v>36.0</v>
      </c>
      <c r="W331" s="3">
        <v>29.0</v>
      </c>
      <c r="X331" s="3">
        <v>34.0</v>
      </c>
      <c r="Y331" s="3">
        <v>47.0</v>
      </c>
      <c r="Z331" s="3">
        <v>48.0</v>
      </c>
      <c r="AA331" s="3">
        <v>30.0</v>
      </c>
      <c r="AB331" s="3">
        <v>29.0</v>
      </c>
      <c r="AC331" s="3">
        <v>36.0</v>
      </c>
      <c r="AD331" s="3">
        <v>48.0</v>
      </c>
      <c r="AE331" s="3">
        <v>24.0</v>
      </c>
      <c r="AF331" s="3">
        <v>48.0</v>
      </c>
      <c r="AG331" s="3">
        <v>76.0</v>
      </c>
      <c r="AH331" s="3">
        <v>30.0</v>
      </c>
      <c r="AI331" s="3">
        <v>24.0</v>
      </c>
      <c r="AJ331" s="3">
        <v>50.0</v>
      </c>
      <c r="AK331" s="3">
        <v>73.0</v>
      </c>
      <c r="AL331" s="3">
        <v>53.0</v>
      </c>
      <c r="AM331" s="3">
        <v>34.0</v>
      </c>
      <c r="AN331" s="3">
        <v>46.0</v>
      </c>
    </row>
    <row r="332" ht="14.25" customHeight="1">
      <c r="A332" s="3">
        <v>330.0</v>
      </c>
      <c r="B332" s="3" t="s">
        <v>7508</v>
      </c>
      <c r="C332" s="3">
        <v>15.0</v>
      </c>
      <c r="D332" s="3" t="s">
        <v>6645</v>
      </c>
      <c r="E332" s="3" t="s">
        <v>6646</v>
      </c>
      <c r="F332" s="3" t="s">
        <v>6646</v>
      </c>
      <c r="G332" s="3" t="s">
        <v>6645</v>
      </c>
      <c r="H332" s="3" t="s">
        <v>6645</v>
      </c>
      <c r="I332" s="3" t="s">
        <v>6646</v>
      </c>
      <c r="J332" s="3">
        <v>7.0</v>
      </c>
      <c r="K332" s="3">
        <v>0.0</v>
      </c>
      <c r="L332" s="3">
        <v>0.0</v>
      </c>
      <c r="M332" s="3">
        <v>0.0</v>
      </c>
      <c r="N332" s="3">
        <v>417.13864</v>
      </c>
      <c r="O332" s="3">
        <v>109.0</v>
      </c>
      <c r="P332" s="3" t="e">
        <v>#N/A</v>
      </c>
      <c r="Q332" s="3">
        <v>37.0</v>
      </c>
      <c r="R332" s="3">
        <v>30.0</v>
      </c>
      <c r="S332" s="3">
        <v>37.0</v>
      </c>
      <c r="T332" s="3">
        <v>36.0</v>
      </c>
      <c r="U332" s="3">
        <v>33.0</v>
      </c>
      <c r="V332" s="3">
        <v>31.0</v>
      </c>
      <c r="W332" s="3">
        <v>35.0</v>
      </c>
      <c r="X332" s="3">
        <v>30.0</v>
      </c>
      <c r="Y332" s="3">
        <v>36.0</v>
      </c>
      <c r="Z332" s="3">
        <v>41.0</v>
      </c>
      <c r="AA332" s="3">
        <v>30.0</v>
      </c>
      <c r="AB332" s="3">
        <v>29.0</v>
      </c>
      <c r="AC332" s="3">
        <v>32.0</v>
      </c>
      <c r="AD332" s="3">
        <v>39.0</v>
      </c>
      <c r="AE332" s="3">
        <v>31.0</v>
      </c>
      <c r="AF332" s="3">
        <v>14.0</v>
      </c>
      <c r="AG332" s="3">
        <v>68.0</v>
      </c>
      <c r="AH332" s="3">
        <v>41.0</v>
      </c>
      <c r="AI332" s="3">
        <v>37.0</v>
      </c>
      <c r="AJ332" s="3">
        <v>40.0</v>
      </c>
      <c r="AK332" s="3">
        <v>62.0</v>
      </c>
      <c r="AL332" s="3">
        <v>42.0</v>
      </c>
      <c r="AM332" s="3">
        <v>57.0</v>
      </c>
      <c r="AN332" s="3">
        <v>10.0</v>
      </c>
    </row>
    <row r="333" ht="14.25" customHeight="1">
      <c r="A333" s="3">
        <v>331.0</v>
      </c>
      <c r="B333" s="3" t="s">
        <v>7509</v>
      </c>
      <c r="C333" s="3">
        <v>18.0</v>
      </c>
      <c r="D333" s="3" t="s">
        <v>6645</v>
      </c>
      <c r="E333" s="3" t="s">
        <v>6646</v>
      </c>
      <c r="F333" s="3" t="s">
        <v>6646</v>
      </c>
      <c r="G333" s="3" t="s">
        <v>6645</v>
      </c>
      <c r="H333" s="3" t="s">
        <v>6645</v>
      </c>
      <c r="I333" s="3" t="s">
        <v>6646</v>
      </c>
      <c r="J333" s="3">
        <v>7.0</v>
      </c>
      <c r="K333" s="3">
        <v>0.0</v>
      </c>
      <c r="L333" s="3">
        <v>0.0</v>
      </c>
      <c r="M333" s="3">
        <v>0.0</v>
      </c>
      <c r="N333" s="3">
        <v>442.21643</v>
      </c>
      <c r="O333" s="3">
        <v>124.0</v>
      </c>
      <c r="P333" s="3" t="e">
        <v>#N/A</v>
      </c>
      <c r="Q333" s="3">
        <v>31.0</v>
      </c>
      <c r="R333" s="3">
        <v>32.0</v>
      </c>
      <c r="S333" s="3">
        <v>37.0</v>
      </c>
      <c r="T333" s="3">
        <v>30.0</v>
      </c>
      <c r="U333" s="3">
        <v>31.0</v>
      </c>
      <c r="V333" s="3">
        <v>35.0</v>
      </c>
      <c r="W333" s="3">
        <v>33.0</v>
      </c>
      <c r="X333" s="3">
        <v>37.0</v>
      </c>
      <c r="Y333" s="3">
        <v>42.0</v>
      </c>
      <c r="Z333" s="3">
        <v>41.0</v>
      </c>
      <c r="AA333" s="3">
        <v>24.0</v>
      </c>
      <c r="AB333" s="3">
        <v>23.0</v>
      </c>
      <c r="AC333" s="3">
        <v>39.0</v>
      </c>
      <c r="AD333" s="3">
        <v>42.0</v>
      </c>
      <c r="AE333" s="3">
        <v>27.0</v>
      </c>
      <c r="AF333" s="3">
        <v>55.0</v>
      </c>
      <c r="AG333" s="3">
        <v>75.0</v>
      </c>
      <c r="AH333" s="3">
        <v>35.0</v>
      </c>
      <c r="AI333" s="3">
        <v>41.0</v>
      </c>
      <c r="AJ333" s="3">
        <v>32.0</v>
      </c>
      <c r="AK333" s="3">
        <v>66.0</v>
      </c>
      <c r="AL333" s="3">
        <v>41.0</v>
      </c>
      <c r="AM333" s="3">
        <v>53.0</v>
      </c>
      <c r="AN333" s="3">
        <v>14.0</v>
      </c>
    </row>
    <row r="334" ht="14.25" customHeight="1">
      <c r="A334" s="3">
        <v>332.0</v>
      </c>
      <c r="B334" s="3" t="s">
        <v>7510</v>
      </c>
      <c r="C334" s="3">
        <v>35.0</v>
      </c>
      <c r="D334" s="3" t="s">
        <v>6645</v>
      </c>
      <c r="E334" s="3" t="s">
        <v>6646</v>
      </c>
      <c r="F334" s="3" t="s">
        <v>6646</v>
      </c>
      <c r="G334" s="3" t="s">
        <v>6645</v>
      </c>
      <c r="H334" s="3" t="s">
        <v>6645</v>
      </c>
      <c r="I334" s="3" t="s">
        <v>6646</v>
      </c>
      <c r="J334" s="3">
        <v>8.0</v>
      </c>
      <c r="K334" s="3">
        <v>3.0</v>
      </c>
      <c r="L334" s="3">
        <v>0.0</v>
      </c>
      <c r="M334" s="3">
        <v>0.0</v>
      </c>
      <c r="N334" s="3">
        <v>8439.08</v>
      </c>
      <c r="O334" s="3">
        <v>679.0</v>
      </c>
      <c r="P334" s="3" t="e">
        <v>#N/A</v>
      </c>
      <c r="Q334" s="3">
        <v>63.0</v>
      </c>
      <c r="R334" s="3">
        <v>57.0</v>
      </c>
      <c r="S334" s="3">
        <v>57.0</v>
      </c>
      <c r="T334" s="3">
        <v>55.0</v>
      </c>
      <c r="U334" s="3">
        <v>63.0</v>
      </c>
      <c r="V334" s="3">
        <v>55.0</v>
      </c>
      <c r="W334" s="3">
        <v>73.0</v>
      </c>
      <c r="X334" s="3">
        <v>58.0</v>
      </c>
      <c r="Y334" s="3">
        <v>65.0</v>
      </c>
      <c r="Z334" s="3">
        <v>64.0</v>
      </c>
      <c r="AA334" s="3">
        <v>49.0</v>
      </c>
      <c r="AB334" s="3">
        <v>71.0</v>
      </c>
      <c r="AC334" s="3">
        <v>50.0</v>
      </c>
      <c r="AD334" s="3">
        <v>52.0</v>
      </c>
      <c r="AE334" s="3">
        <v>62.0</v>
      </c>
      <c r="AF334" s="3">
        <v>60.0</v>
      </c>
      <c r="AG334" s="3">
        <v>50.0</v>
      </c>
      <c r="AH334" s="3">
        <v>50.0</v>
      </c>
      <c r="AI334" s="3">
        <v>40.0</v>
      </c>
      <c r="AJ334" s="3">
        <v>81.0</v>
      </c>
      <c r="AK334" s="3">
        <v>58.0</v>
      </c>
      <c r="AL334" s="3">
        <v>35.0</v>
      </c>
      <c r="AM334" s="3">
        <v>54.0</v>
      </c>
      <c r="AN334" s="3">
        <v>68.0</v>
      </c>
    </row>
    <row r="335" ht="14.25" customHeight="1">
      <c r="A335" s="3">
        <v>333.0</v>
      </c>
      <c r="B335" s="3" t="s">
        <v>7511</v>
      </c>
      <c r="C335" s="3">
        <v>39.0</v>
      </c>
      <c r="D335" s="3" t="s">
        <v>6645</v>
      </c>
      <c r="E335" s="3" t="s">
        <v>6646</v>
      </c>
      <c r="F335" s="3" t="s">
        <v>6646</v>
      </c>
      <c r="G335" s="3" t="s">
        <v>6645</v>
      </c>
      <c r="H335" s="3" t="s">
        <v>6645</v>
      </c>
      <c r="I335" s="3" t="s">
        <v>6646</v>
      </c>
      <c r="J335" s="3">
        <v>8.0</v>
      </c>
      <c r="K335" s="3">
        <v>3.0</v>
      </c>
      <c r="L335" s="3">
        <v>0.0</v>
      </c>
      <c r="M335" s="3">
        <v>0.0</v>
      </c>
      <c r="N335" s="3">
        <v>8203.75</v>
      </c>
      <c r="O335" s="3">
        <v>865.0</v>
      </c>
      <c r="P335" s="3" t="e">
        <v>#N/A</v>
      </c>
      <c r="Q335" s="3">
        <v>58.0</v>
      </c>
      <c r="R335" s="3">
        <v>61.0</v>
      </c>
      <c r="S335" s="3">
        <v>59.0</v>
      </c>
      <c r="T335" s="3">
        <v>55.0</v>
      </c>
      <c r="U335" s="3">
        <v>60.0</v>
      </c>
      <c r="V335" s="3">
        <v>61.0</v>
      </c>
      <c r="W335" s="3">
        <v>66.0</v>
      </c>
      <c r="X335" s="3">
        <v>59.0</v>
      </c>
      <c r="Y335" s="3">
        <v>64.0</v>
      </c>
      <c r="Z335" s="3">
        <v>65.0</v>
      </c>
      <c r="AA335" s="3">
        <v>63.0</v>
      </c>
      <c r="AB335" s="3">
        <v>71.0</v>
      </c>
      <c r="AC335" s="3">
        <v>51.0</v>
      </c>
      <c r="AD335" s="3">
        <v>59.0</v>
      </c>
      <c r="AE335" s="3">
        <v>58.0</v>
      </c>
      <c r="AF335" s="3">
        <v>50.0</v>
      </c>
      <c r="AG335" s="3">
        <v>35.0</v>
      </c>
      <c r="AH335" s="3">
        <v>48.0</v>
      </c>
      <c r="AI335" s="3">
        <v>64.0</v>
      </c>
      <c r="AJ335" s="3">
        <v>73.0</v>
      </c>
      <c r="AK335" s="3">
        <v>56.0</v>
      </c>
      <c r="AL335" s="3">
        <v>44.0</v>
      </c>
      <c r="AM335" s="3">
        <v>40.0</v>
      </c>
      <c r="AN335" s="3">
        <v>56.0</v>
      </c>
    </row>
    <row r="336" ht="14.25" customHeight="1">
      <c r="A336" s="3">
        <v>334.0</v>
      </c>
      <c r="B336" s="3" t="s">
        <v>7512</v>
      </c>
      <c r="C336" s="3">
        <v>38.0</v>
      </c>
      <c r="D336" s="3" t="s">
        <v>6645</v>
      </c>
      <c r="E336" s="3" t="s">
        <v>6646</v>
      </c>
      <c r="F336" s="3" t="s">
        <v>6646</v>
      </c>
      <c r="G336" s="3" t="s">
        <v>6645</v>
      </c>
      <c r="H336" s="3" t="s">
        <v>6645</v>
      </c>
      <c r="I336" s="3" t="s">
        <v>6646</v>
      </c>
      <c r="J336" s="3">
        <v>8.0</v>
      </c>
      <c r="K336" s="3">
        <v>3.0</v>
      </c>
      <c r="L336" s="3">
        <v>0.0</v>
      </c>
      <c r="M336" s="3">
        <v>0.0</v>
      </c>
      <c r="N336" s="3">
        <v>8574.84</v>
      </c>
      <c r="O336" s="3">
        <v>919.0</v>
      </c>
      <c r="P336" s="3" t="e">
        <v>#N/A</v>
      </c>
      <c r="Q336" s="3">
        <v>60.0</v>
      </c>
      <c r="R336" s="3">
        <v>62.0</v>
      </c>
      <c r="S336" s="3">
        <v>56.0</v>
      </c>
      <c r="T336" s="3">
        <v>62.0</v>
      </c>
      <c r="U336" s="3">
        <v>67.0</v>
      </c>
      <c r="V336" s="3">
        <v>61.0</v>
      </c>
      <c r="W336" s="3">
        <v>64.0</v>
      </c>
      <c r="X336" s="3">
        <v>58.0</v>
      </c>
      <c r="Y336" s="3">
        <v>67.0</v>
      </c>
      <c r="Z336" s="3">
        <v>64.0</v>
      </c>
      <c r="AA336" s="3">
        <v>57.0</v>
      </c>
      <c r="AB336" s="3">
        <v>68.0</v>
      </c>
      <c r="AC336" s="3">
        <v>50.0</v>
      </c>
      <c r="AD336" s="3">
        <v>52.0</v>
      </c>
      <c r="AE336" s="3">
        <v>48.0</v>
      </c>
      <c r="AF336" s="3">
        <v>66.0</v>
      </c>
      <c r="AG336" s="3">
        <v>56.0</v>
      </c>
      <c r="AH336" s="3">
        <v>54.0</v>
      </c>
      <c r="AI336" s="3">
        <v>62.0</v>
      </c>
      <c r="AJ336" s="3">
        <v>84.0</v>
      </c>
      <c r="AK336" s="3">
        <v>68.0</v>
      </c>
      <c r="AL336" s="3">
        <v>30.0</v>
      </c>
      <c r="AM336" s="3">
        <v>50.0</v>
      </c>
      <c r="AN336" s="3">
        <v>62.0</v>
      </c>
    </row>
    <row r="337" ht="14.25" customHeight="1">
      <c r="A337" s="3">
        <v>335.0</v>
      </c>
      <c r="B337" s="3" t="s">
        <v>7513</v>
      </c>
      <c r="C337" s="3">
        <v>36.0</v>
      </c>
      <c r="D337" s="3" t="s">
        <v>6645</v>
      </c>
      <c r="E337" s="3" t="s">
        <v>6646</v>
      </c>
      <c r="F337" s="3" t="s">
        <v>6646</v>
      </c>
      <c r="G337" s="3" t="s">
        <v>6645</v>
      </c>
      <c r="H337" s="3" t="s">
        <v>6645</v>
      </c>
      <c r="I337" s="3" t="s">
        <v>6645</v>
      </c>
      <c r="J337" s="3">
        <v>8.0</v>
      </c>
      <c r="K337" s="3">
        <v>3.0</v>
      </c>
      <c r="L337" s="3">
        <v>0.0</v>
      </c>
      <c r="M337" s="3">
        <v>0.0</v>
      </c>
      <c r="N337" s="3">
        <v>8232.85</v>
      </c>
      <c r="O337" s="3">
        <v>806.0</v>
      </c>
      <c r="P337" s="3" t="e">
        <v>#N/A</v>
      </c>
      <c r="Q337" s="3">
        <v>64.0</v>
      </c>
      <c r="R337" s="3">
        <v>57.0</v>
      </c>
      <c r="S337" s="3">
        <v>62.0</v>
      </c>
      <c r="T337" s="3">
        <v>59.0</v>
      </c>
      <c r="U337" s="3">
        <v>61.0</v>
      </c>
      <c r="V337" s="3">
        <v>58.0</v>
      </c>
      <c r="W337" s="3">
        <v>67.0</v>
      </c>
      <c r="X337" s="3">
        <v>53.0</v>
      </c>
      <c r="Y337" s="3">
        <v>66.0</v>
      </c>
      <c r="Z337" s="3">
        <v>72.0</v>
      </c>
      <c r="AA337" s="3">
        <v>58.0</v>
      </c>
      <c r="AB337" s="3">
        <v>71.0</v>
      </c>
      <c r="AC337" s="3">
        <v>48.0</v>
      </c>
      <c r="AD337" s="3">
        <v>56.0</v>
      </c>
      <c r="AE337" s="3">
        <v>55.0</v>
      </c>
      <c r="AF337" s="3">
        <v>62.0</v>
      </c>
      <c r="AG337" s="3">
        <v>36.0</v>
      </c>
      <c r="AH337" s="3">
        <v>52.0</v>
      </c>
      <c r="AI337" s="3">
        <v>66.0</v>
      </c>
      <c r="AJ337" s="3">
        <v>78.0</v>
      </c>
      <c r="AK337" s="3">
        <v>54.0</v>
      </c>
      <c r="AL337" s="3">
        <v>70.0</v>
      </c>
      <c r="AM337" s="3">
        <v>44.0</v>
      </c>
      <c r="AN337" s="3">
        <v>52.0</v>
      </c>
    </row>
    <row r="338" ht="14.25" customHeight="1">
      <c r="A338" s="3">
        <v>336.0</v>
      </c>
      <c r="B338" s="3" t="s">
        <v>7514</v>
      </c>
      <c r="C338" s="3">
        <v>26.0</v>
      </c>
      <c r="D338" s="3" t="s">
        <v>6645</v>
      </c>
      <c r="E338" s="3" t="s">
        <v>6646</v>
      </c>
      <c r="F338" s="3" t="s">
        <v>6646</v>
      </c>
      <c r="G338" s="3" t="s">
        <v>6645</v>
      </c>
      <c r="H338" s="3" t="s">
        <v>6645</v>
      </c>
      <c r="I338" s="3" t="s">
        <v>6646</v>
      </c>
      <c r="J338" s="3">
        <v>8.0</v>
      </c>
      <c r="K338" s="3">
        <v>2.0</v>
      </c>
      <c r="L338" s="3">
        <v>0.0</v>
      </c>
      <c r="M338" s="3">
        <v>0.0</v>
      </c>
      <c r="N338" s="3">
        <v>4485.31</v>
      </c>
      <c r="O338" s="3">
        <v>448.0</v>
      </c>
      <c r="P338" s="3" t="e">
        <v>#N/A</v>
      </c>
      <c r="Q338" s="3">
        <v>46.0</v>
      </c>
      <c r="R338" s="3">
        <v>53.0</v>
      </c>
      <c r="S338" s="3">
        <v>47.0</v>
      </c>
      <c r="T338" s="3">
        <v>47.0</v>
      </c>
      <c r="U338" s="3">
        <v>51.0</v>
      </c>
      <c r="V338" s="3">
        <v>48.0</v>
      </c>
      <c r="W338" s="3">
        <v>55.0</v>
      </c>
      <c r="X338" s="3">
        <v>40.0</v>
      </c>
      <c r="Y338" s="3">
        <v>57.0</v>
      </c>
      <c r="Z338" s="3">
        <v>60.0</v>
      </c>
      <c r="AA338" s="3">
        <v>43.0</v>
      </c>
      <c r="AB338" s="3">
        <v>58.0</v>
      </c>
      <c r="AC338" s="3">
        <v>46.0</v>
      </c>
      <c r="AD338" s="3">
        <v>40.0</v>
      </c>
      <c r="AE338" s="3">
        <v>46.0</v>
      </c>
      <c r="AF338" s="3">
        <v>56.0</v>
      </c>
      <c r="AG338" s="3">
        <v>52.0</v>
      </c>
      <c r="AH338" s="3">
        <v>65.0</v>
      </c>
      <c r="AI338" s="3">
        <v>49.0</v>
      </c>
      <c r="AJ338" s="3">
        <v>80.0</v>
      </c>
      <c r="AK338" s="3">
        <v>56.0</v>
      </c>
      <c r="AL338" s="3">
        <v>36.0</v>
      </c>
      <c r="AM338" s="3">
        <v>66.0</v>
      </c>
      <c r="AN338" s="3">
        <v>52.0</v>
      </c>
    </row>
    <row r="339" ht="14.25" customHeight="1">
      <c r="A339" s="3">
        <v>337.0</v>
      </c>
      <c r="B339" s="3" t="s">
        <v>7515</v>
      </c>
      <c r="C339" s="3">
        <v>29.0</v>
      </c>
      <c r="D339" s="3" t="s">
        <v>6645</v>
      </c>
      <c r="E339" s="3" t="s">
        <v>6646</v>
      </c>
      <c r="F339" s="3" t="s">
        <v>6646</v>
      </c>
      <c r="G339" s="3" t="s">
        <v>6645</v>
      </c>
      <c r="H339" s="3" t="s">
        <v>6645</v>
      </c>
      <c r="I339" s="3" t="s">
        <v>6646</v>
      </c>
      <c r="J339" s="3">
        <v>8.0</v>
      </c>
      <c r="K339" s="3">
        <v>2.0</v>
      </c>
      <c r="L339" s="3">
        <v>0.0</v>
      </c>
      <c r="M339" s="3">
        <v>0.0</v>
      </c>
      <c r="N339" s="3">
        <v>4586.83</v>
      </c>
      <c r="O339" s="3">
        <v>321.0</v>
      </c>
      <c r="P339" s="3" t="e">
        <v>#N/A</v>
      </c>
      <c r="Q339" s="3">
        <v>46.0</v>
      </c>
      <c r="R339" s="3">
        <v>48.0</v>
      </c>
      <c r="S339" s="3">
        <v>53.0</v>
      </c>
      <c r="T339" s="3">
        <v>51.0</v>
      </c>
      <c r="U339" s="3">
        <v>46.0</v>
      </c>
      <c r="V339" s="3">
        <v>52.0</v>
      </c>
      <c r="W339" s="3">
        <v>54.0</v>
      </c>
      <c r="X339" s="3">
        <v>48.0</v>
      </c>
      <c r="Y339" s="3">
        <v>55.0</v>
      </c>
      <c r="Z339" s="3">
        <v>60.0</v>
      </c>
      <c r="AA339" s="3">
        <v>45.0</v>
      </c>
      <c r="AB339" s="3">
        <v>62.0</v>
      </c>
      <c r="AC339" s="3">
        <v>49.0</v>
      </c>
      <c r="AD339" s="3">
        <v>49.0</v>
      </c>
      <c r="AE339" s="3">
        <v>43.0</v>
      </c>
      <c r="AF339" s="3">
        <v>46.0</v>
      </c>
      <c r="AG339" s="3">
        <v>52.0</v>
      </c>
      <c r="AH339" s="3">
        <v>43.0</v>
      </c>
      <c r="AI339" s="3">
        <v>52.0</v>
      </c>
      <c r="AJ339" s="3">
        <v>77.0</v>
      </c>
      <c r="AK339" s="3">
        <v>59.0</v>
      </c>
      <c r="AL339" s="3">
        <v>37.0</v>
      </c>
      <c r="AM339" s="3">
        <v>44.0</v>
      </c>
      <c r="AN339" s="3">
        <v>31.0</v>
      </c>
    </row>
    <row r="340" ht="14.25" customHeight="1">
      <c r="A340" s="3">
        <v>338.0</v>
      </c>
      <c r="B340" s="3" t="s">
        <v>7516</v>
      </c>
      <c r="C340" s="3">
        <v>28.0</v>
      </c>
      <c r="D340" s="3" t="s">
        <v>6645</v>
      </c>
      <c r="E340" s="3" t="s">
        <v>6646</v>
      </c>
      <c r="F340" s="3" t="s">
        <v>6646</v>
      </c>
      <c r="G340" s="3" t="s">
        <v>6645</v>
      </c>
      <c r="H340" s="3" t="s">
        <v>6645</v>
      </c>
      <c r="I340" s="3" t="s">
        <v>6645</v>
      </c>
      <c r="J340" s="3">
        <v>8.0</v>
      </c>
      <c r="K340" s="3">
        <v>2.0</v>
      </c>
      <c r="L340" s="3">
        <v>0.0</v>
      </c>
      <c r="M340" s="3">
        <v>0.0</v>
      </c>
      <c r="N340" s="3">
        <v>4160.6777</v>
      </c>
      <c r="O340" s="3">
        <v>482.0</v>
      </c>
      <c r="P340" s="3" t="e">
        <v>#N/A</v>
      </c>
      <c r="Q340" s="3">
        <v>46.0</v>
      </c>
      <c r="R340" s="3">
        <v>54.0</v>
      </c>
      <c r="S340" s="3">
        <v>55.0</v>
      </c>
      <c r="T340" s="3">
        <v>47.0</v>
      </c>
      <c r="U340" s="3">
        <v>46.0</v>
      </c>
      <c r="V340" s="3">
        <v>46.0</v>
      </c>
      <c r="W340" s="3">
        <v>53.0</v>
      </c>
      <c r="X340" s="3">
        <v>44.0</v>
      </c>
      <c r="Y340" s="3">
        <v>57.0</v>
      </c>
      <c r="Z340" s="3">
        <v>63.0</v>
      </c>
      <c r="AA340" s="3">
        <v>46.0</v>
      </c>
      <c r="AB340" s="3">
        <v>50.0</v>
      </c>
      <c r="AC340" s="3">
        <v>42.0</v>
      </c>
      <c r="AD340" s="3">
        <v>51.0</v>
      </c>
      <c r="AE340" s="3">
        <v>53.0</v>
      </c>
      <c r="AF340" s="3">
        <v>43.0</v>
      </c>
      <c r="AG340" s="3">
        <v>59.0</v>
      </c>
      <c r="AH340" s="3">
        <v>42.0</v>
      </c>
      <c r="AI340" s="3">
        <v>42.0</v>
      </c>
      <c r="AJ340" s="3">
        <v>71.0</v>
      </c>
      <c r="AK340" s="3">
        <v>38.0</v>
      </c>
      <c r="AL340" s="3">
        <v>45.0</v>
      </c>
      <c r="AM340" s="3">
        <v>58.0</v>
      </c>
      <c r="AN340" s="3">
        <v>49.0</v>
      </c>
    </row>
    <row r="341" ht="14.25" customHeight="1">
      <c r="A341" s="3">
        <v>339.0</v>
      </c>
      <c r="B341" s="3" t="s">
        <v>7517</v>
      </c>
      <c r="C341" s="3">
        <v>30.0</v>
      </c>
      <c r="D341" s="3" t="s">
        <v>6645</v>
      </c>
      <c r="E341" s="3" t="s">
        <v>6646</v>
      </c>
      <c r="F341" s="3" t="s">
        <v>6646</v>
      </c>
      <c r="G341" s="3" t="s">
        <v>6645</v>
      </c>
      <c r="H341" s="3" t="s">
        <v>6645</v>
      </c>
      <c r="I341" s="3" t="s">
        <v>6645</v>
      </c>
      <c r="J341" s="3">
        <v>8.0</v>
      </c>
      <c r="K341" s="3">
        <v>2.0</v>
      </c>
      <c r="L341" s="3">
        <v>0.0</v>
      </c>
      <c r="M341" s="3">
        <v>0.0</v>
      </c>
      <c r="N341" s="3">
        <v>4401.5</v>
      </c>
      <c r="O341" s="3">
        <v>306.0</v>
      </c>
      <c r="P341" s="3" t="e">
        <v>#N/A</v>
      </c>
      <c r="Q341" s="3">
        <v>49.0</v>
      </c>
      <c r="R341" s="3">
        <v>55.0</v>
      </c>
      <c r="S341" s="3">
        <v>55.0</v>
      </c>
      <c r="T341" s="3">
        <v>46.0</v>
      </c>
      <c r="U341" s="3">
        <v>50.0</v>
      </c>
      <c r="V341" s="3">
        <v>52.0</v>
      </c>
      <c r="W341" s="3">
        <v>54.0</v>
      </c>
      <c r="X341" s="3">
        <v>44.0</v>
      </c>
      <c r="Y341" s="3">
        <v>63.0</v>
      </c>
      <c r="Z341" s="3">
        <v>53.0</v>
      </c>
      <c r="AA341" s="3">
        <v>39.0</v>
      </c>
      <c r="AB341" s="3">
        <v>59.0</v>
      </c>
      <c r="AC341" s="3">
        <v>44.0</v>
      </c>
      <c r="AD341" s="3">
        <v>46.0</v>
      </c>
      <c r="AE341" s="3">
        <v>52.0</v>
      </c>
      <c r="AF341" s="3">
        <v>62.0</v>
      </c>
      <c r="AG341" s="3">
        <v>65.0</v>
      </c>
      <c r="AH341" s="3">
        <v>57.0</v>
      </c>
      <c r="AI341" s="3">
        <v>60.0</v>
      </c>
      <c r="AJ341" s="3">
        <v>75.0</v>
      </c>
      <c r="AK341" s="3">
        <v>66.0</v>
      </c>
      <c r="AL341" s="3">
        <v>34.0</v>
      </c>
      <c r="AM341" s="3">
        <v>65.0</v>
      </c>
      <c r="AN341" s="3">
        <v>61.0</v>
      </c>
    </row>
    <row r="342" ht="14.25" customHeight="1">
      <c r="A342" s="3">
        <v>340.0</v>
      </c>
      <c r="B342" s="3" t="s">
        <v>7518</v>
      </c>
      <c r="C342" s="3">
        <v>32.0</v>
      </c>
      <c r="D342" s="3" t="s">
        <v>6645</v>
      </c>
      <c r="E342" s="3" t="s">
        <v>6646</v>
      </c>
      <c r="F342" s="3" t="s">
        <v>6646</v>
      </c>
      <c r="G342" s="3" t="s">
        <v>6645</v>
      </c>
      <c r="H342" s="3" t="s">
        <v>6645</v>
      </c>
      <c r="I342" s="3" t="s">
        <v>6645</v>
      </c>
      <c r="J342" s="3">
        <v>8.0</v>
      </c>
      <c r="K342" s="3">
        <v>2.0</v>
      </c>
      <c r="L342" s="3">
        <v>0.0</v>
      </c>
      <c r="M342" s="3">
        <v>0.0</v>
      </c>
      <c r="N342" s="3">
        <v>4833.1884</v>
      </c>
      <c r="O342" s="3">
        <v>322.0</v>
      </c>
      <c r="P342" s="3" t="e">
        <v>#N/A</v>
      </c>
      <c r="Q342" s="3">
        <v>53.0</v>
      </c>
      <c r="R342" s="3">
        <v>52.0</v>
      </c>
      <c r="S342" s="3">
        <v>49.0</v>
      </c>
      <c r="T342" s="3">
        <v>53.0</v>
      </c>
      <c r="U342" s="3">
        <v>54.0</v>
      </c>
      <c r="V342" s="3">
        <v>49.0</v>
      </c>
      <c r="W342" s="3">
        <v>58.0</v>
      </c>
      <c r="X342" s="3">
        <v>44.0</v>
      </c>
      <c r="Y342" s="3">
        <v>57.0</v>
      </c>
      <c r="Z342" s="3">
        <v>58.0</v>
      </c>
      <c r="AA342" s="3">
        <v>40.0</v>
      </c>
      <c r="AB342" s="3">
        <v>55.0</v>
      </c>
      <c r="AC342" s="3">
        <v>43.0</v>
      </c>
      <c r="AD342" s="3">
        <v>52.0</v>
      </c>
      <c r="AE342" s="3">
        <v>38.0</v>
      </c>
      <c r="AF342" s="3">
        <v>66.0</v>
      </c>
      <c r="AG342" s="3">
        <v>66.0</v>
      </c>
      <c r="AH342" s="3">
        <v>36.0</v>
      </c>
      <c r="AI342" s="3">
        <v>53.0</v>
      </c>
      <c r="AJ342" s="3">
        <v>71.0</v>
      </c>
      <c r="AK342" s="3">
        <v>43.0</v>
      </c>
      <c r="AL342" s="3">
        <v>49.0</v>
      </c>
      <c r="AM342" s="3">
        <v>61.0</v>
      </c>
      <c r="AN342" s="3">
        <v>54.0</v>
      </c>
    </row>
    <row r="343" ht="14.25" customHeight="1">
      <c r="A343" s="3">
        <v>341.0</v>
      </c>
      <c r="B343" s="3" t="s">
        <v>7519</v>
      </c>
      <c r="C343" s="3">
        <v>27.0</v>
      </c>
      <c r="D343" s="3" t="s">
        <v>6645</v>
      </c>
      <c r="E343" s="3" t="s">
        <v>6646</v>
      </c>
      <c r="F343" s="3" t="s">
        <v>6646</v>
      </c>
      <c r="G343" s="3" t="s">
        <v>6645</v>
      </c>
      <c r="H343" s="3" t="s">
        <v>6645</v>
      </c>
      <c r="I343" s="3" t="s">
        <v>6646</v>
      </c>
      <c r="J343" s="3">
        <v>8.0</v>
      </c>
      <c r="K343" s="3">
        <v>1.0</v>
      </c>
      <c r="L343" s="3">
        <v>0.0</v>
      </c>
      <c r="M343" s="3">
        <v>0.0</v>
      </c>
      <c r="N343" s="3">
        <v>1981.3641</v>
      </c>
      <c r="O343" s="3">
        <v>217.0</v>
      </c>
      <c r="P343" s="3" t="e">
        <v>#N/A</v>
      </c>
      <c r="Q343" s="3">
        <v>41.0</v>
      </c>
      <c r="R343" s="3">
        <v>42.0</v>
      </c>
      <c r="S343" s="3">
        <v>41.0</v>
      </c>
      <c r="T343" s="3">
        <v>40.0</v>
      </c>
      <c r="U343" s="3">
        <v>40.0</v>
      </c>
      <c r="V343" s="3">
        <v>45.0</v>
      </c>
      <c r="W343" s="3">
        <v>50.0</v>
      </c>
      <c r="X343" s="3">
        <v>39.0</v>
      </c>
      <c r="Y343" s="3">
        <v>47.0</v>
      </c>
      <c r="Z343" s="3">
        <v>44.0</v>
      </c>
      <c r="AA343" s="3">
        <v>41.0</v>
      </c>
      <c r="AB343" s="3">
        <v>50.0</v>
      </c>
      <c r="AC343" s="3">
        <v>38.0</v>
      </c>
      <c r="AD343" s="3">
        <v>40.0</v>
      </c>
      <c r="AE343" s="3">
        <v>38.0</v>
      </c>
      <c r="AF343" s="3">
        <v>30.0</v>
      </c>
      <c r="AG343" s="3">
        <v>38.0</v>
      </c>
      <c r="AH343" s="3">
        <v>40.0</v>
      </c>
      <c r="AI343" s="3">
        <v>36.0</v>
      </c>
      <c r="AJ343" s="3">
        <v>66.0</v>
      </c>
      <c r="AK343" s="3">
        <v>46.0</v>
      </c>
      <c r="AL343" s="3">
        <v>56.0</v>
      </c>
      <c r="AM343" s="3">
        <v>40.0</v>
      </c>
      <c r="AN343" s="3">
        <v>54.0</v>
      </c>
    </row>
    <row r="344" ht="14.25" customHeight="1">
      <c r="A344" s="3">
        <v>342.0</v>
      </c>
      <c r="B344" s="3" t="s">
        <v>7520</v>
      </c>
      <c r="C344" s="3">
        <v>22.0</v>
      </c>
      <c r="D344" s="3" t="s">
        <v>6645</v>
      </c>
      <c r="E344" s="3" t="s">
        <v>6646</v>
      </c>
      <c r="F344" s="3" t="s">
        <v>6646</v>
      </c>
      <c r="G344" s="3" t="s">
        <v>6645</v>
      </c>
      <c r="H344" s="3" t="s">
        <v>6645</v>
      </c>
      <c r="I344" s="3" t="s">
        <v>6645</v>
      </c>
      <c r="J344" s="3">
        <v>8.0</v>
      </c>
      <c r="K344" s="3">
        <v>1.0</v>
      </c>
      <c r="L344" s="3">
        <v>0.0</v>
      </c>
      <c r="M344" s="3">
        <v>0.0</v>
      </c>
      <c r="N344" s="3">
        <v>1894.8</v>
      </c>
      <c r="O344" s="3">
        <v>186.0</v>
      </c>
      <c r="P344" s="3" t="e">
        <v>#N/A</v>
      </c>
      <c r="Q344" s="3">
        <v>45.0</v>
      </c>
      <c r="R344" s="3">
        <v>41.0</v>
      </c>
      <c r="S344" s="3">
        <v>38.0</v>
      </c>
      <c r="T344" s="3">
        <v>43.0</v>
      </c>
      <c r="U344" s="3">
        <v>45.0</v>
      </c>
      <c r="V344" s="3">
        <v>41.0</v>
      </c>
      <c r="W344" s="3">
        <v>48.0</v>
      </c>
      <c r="X344" s="3">
        <v>34.0</v>
      </c>
      <c r="Y344" s="3">
        <v>51.0</v>
      </c>
      <c r="Z344" s="3">
        <v>43.0</v>
      </c>
      <c r="AA344" s="3">
        <v>38.0</v>
      </c>
      <c r="AB344" s="3">
        <v>51.0</v>
      </c>
      <c r="AC344" s="3">
        <v>33.0</v>
      </c>
      <c r="AD344" s="3">
        <v>42.0</v>
      </c>
      <c r="AE344" s="3">
        <v>38.0</v>
      </c>
      <c r="AF344" s="3">
        <v>42.0</v>
      </c>
      <c r="AG344" s="3">
        <v>38.0</v>
      </c>
      <c r="AH344" s="3">
        <v>40.0</v>
      </c>
      <c r="AI344" s="3">
        <v>16.0</v>
      </c>
      <c r="AJ344" s="3">
        <v>66.0</v>
      </c>
      <c r="AK344" s="3">
        <v>56.0</v>
      </c>
      <c r="AL344" s="3">
        <v>50.0</v>
      </c>
      <c r="AM344" s="3">
        <v>40.0</v>
      </c>
      <c r="AN344" s="3">
        <v>42.0</v>
      </c>
    </row>
    <row r="345" ht="14.25" customHeight="1">
      <c r="A345" s="3">
        <v>343.0</v>
      </c>
      <c r="B345" s="3" t="s">
        <v>7521</v>
      </c>
      <c r="C345" s="3">
        <v>23.0</v>
      </c>
      <c r="D345" s="3" t="s">
        <v>6645</v>
      </c>
      <c r="E345" s="3" t="s">
        <v>6646</v>
      </c>
      <c r="F345" s="3" t="s">
        <v>6646</v>
      </c>
      <c r="G345" s="3" t="s">
        <v>6645</v>
      </c>
      <c r="H345" s="3" t="s">
        <v>6645</v>
      </c>
      <c r="I345" s="3" t="s">
        <v>6645</v>
      </c>
      <c r="J345" s="3">
        <v>8.0</v>
      </c>
      <c r="K345" s="3">
        <v>1.0</v>
      </c>
      <c r="L345" s="3">
        <v>0.0</v>
      </c>
      <c r="M345" s="3">
        <v>0.0</v>
      </c>
      <c r="N345" s="3">
        <v>1992.7523</v>
      </c>
      <c r="O345" s="3">
        <v>174.0</v>
      </c>
      <c r="P345" s="3" t="e">
        <v>#N/A</v>
      </c>
      <c r="Q345" s="3">
        <v>38.0</v>
      </c>
      <c r="R345" s="3">
        <v>38.0</v>
      </c>
      <c r="S345" s="3">
        <v>44.0</v>
      </c>
      <c r="T345" s="3">
        <v>40.0</v>
      </c>
      <c r="U345" s="3">
        <v>38.0</v>
      </c>
      <c r="V345" s="3">
        <v>38.0</v>
      </c>
      <c r="W345" s="3">
        <v>52.0</v>
      </c>
      <c r="X345" s="3">
        <v>32.0</v>
      </c>
      <c r="Y345" s="3">
        <v>56.0</v>
      </c>
      <c r="Z345" s="3">
        <v>51.0</v>
      </c>
      <c r="AA345" s="3">
        <v>30.0</v>
      </c>
      <c r="AB345" s="3">
        <v>49.0</v>
      </c>
      <c r="AC345" s="3">
        <v>38.0</v>
      </c>
      <c r="AD345" s="3">
        <v>36.0</v>
      </c>
      <c r="AE345" s="3">
        <v>39.0</v>
      </c>
      <c r="AF345" s="3">
        <v>34.0</v>
      </c>
      <c r="AG345" s="3">
        <v>36.0</v>
      </c>
      <c r="AH345" s="3">
        <v>38.0</v>
      </c>
      <c r="AI345" s="3">
        <v>52.0</v>
      </c>
      <c r="AJ345" s="3">
        <v>77.0</v>
      </c>
      <c r="AK345" s="3">
        <v>48.0</v>
      </c>
      <c r="AL345" s="3">
        <v>17.0</v>
      </c>
      <c r="AM345" s="3">
        <v>50.0</v>
      </c>
      <c r="AN345" s="3">
        <v>58.0</v>
      </c>
    </row>
    <row r="346" ht="14.25" customHeight="1">
      <c r="A346" s="3">
        <v>344.0</v>
      </c>
      <c r="B346" s="3" t="s">
        <v>7522</v>
      </c>
      <c r="C346" s="3">
        <v>28.0</v>
      </c>
      <c r="D346" s="3" t="s">
        <v>6645</v>
      </c>
      <c r="E346" s="3" t="s">
        <v>6646</v>
      </c>
      <c r="F346" s="3" t="s">
        <v>6646</v>
      </c>
      <c r="G346" s="3" t="s">
        <v>6645</v>
      </c>
      <c r="H346" s="3" t="s">
        <v>6645</v>
      </c>
      <c r="I346" s="3" t="s">
        <v>6646</v>
      </c>
      <c r="J346" s="3">
        <v>8.0</v>
      </c>
      <c r="K346" s="3">
        <v>1.0</v>
      </c>
      <c r="L346" s="3">
        <v>0.0</v>
      </c>
      <c r="M346" s="3">
        <v>0.0</v>
      </c>
      <c r="N346" s="3">
        <v>1875.9322</v>
      </c>
      <c r="O346" s="3">
        <v>227.0</v>
      </c>
      <c r="P346" s="3" t="e">
        <v>#N/A</v>
      </c>
      <c r="Q346" s="3">
        <v>46.0</v>
      </c>
      <c r="R346" s="3">
        <v>45.0</v>
      </c>
      <c r="S346" s="3">
        <v>46.0</v>
      </c>
      <c r="T346" s="3">
        <v>40.0</v>
      </c>
      <c r="U346" s="3">
        <v>46.0</v>
      </c>
      <c r="V346" s="3">
        <v>39.0</v>
      </c>
      <c r="W346" s="3">
        <v>45.0</v>
      </c>
      <c r="X346" s="3">
        <v>33.0</v>
      </c>
      <c r="Y346" s="3">
        <v>48.0</v>
      </c>
      <c r="Z346" s="3">
        <v>51.0</v>
      </c>
      <c r="AA346" s="3">
        <v>45.0</v>
      </c>
      <c r="AB346" s="3">
        <v>50.0</v>
      </c>
      <c r="AC346" s="3">
        <v>38.0</v>
      </c>
      <c r="AD346" s="3">
        <v>39.0</v>
      </c>
      <c r="AE346" s="3">
        <v>34.0</v>
      </c>
      <c r="AF346" s="3">
        <v>44.0</v>
      </c>
      <c r="AG346" s="3">
        <v>62.0</v>
      </c>
      <c r="AH346" s="3">
        <v>56.0</v>
      </c>
      <c r="AI346" s="3">
        <v>42.0</v>
      </c>
      <c r="AJ346" s="3">
        <v>66.0</v>
      </c>
      <c r="AK346" s="3">
        <v>48.0</v>
      </c>
      <c r="AL346" s="3">
        <v>50.0</v>
      </c>
      <c r="AM346" s="3">
        <v>10.0</v>
      </c>
      <c r="AN346" s="3">
        <v>46.0</v>
      </c>
    </row>
    <row r="347" ht="14.25" customHeight="1">
      <c r="A347" s="3">
        <v>345.0</v>
      </c>
      <c r="B347" s="3" t="s">
        <v>7523</v>
      </c>
      <c r="C347" s="3">
        <v>23.0</v>
      </c>
      <c r="D347" s="3" t="s">
        <v>6645</v>
      </c>
      <c r="E347" s="3" t="s">
        <v>6646</v>
      </c>
      <c r="F347" s="3" t="s">
        <v>6646</v>
      </c>
      <c r="G347" s="3" t="s">
        <v>6645</v>
      </c>
      <c r="H347" s="3" t="s">
        <v>6645</v>
      </c>
      <c r="I347" s="3" t="s">
        <v>6646</v>
      </c>
      <c r="J347" s="3">
        <v>8.0</v>
      </c>
      <c r="K347" s="3">
        <v>1.0</v>
      </c>
      <c r="L347" s="3">
        <v>0.0</v>
      </c>
      <c r="M347" s="3">
        <v>0.0</v>
      </c>
      <c r="N347" s="3">
        <v>1890.675</v>
      </c>
      <c r="O347" s="3">
        <v>167.0</v>
      </c>
      <c r="P347" s="3" t="e">
        <v>#N/A</v>
      </c>
      <c r="Q347" s="3">
        <v>39.0</v>
      </c>
      <c r="R347" s="3">
        <v>41.0</v>
      </c>
      <c r="S347" s="3">
        <v>47.0</v>
      </c>
      <c r="T347" s="3">
        <v>43.0</v>
      </c>
      <c r="U347" s="3">
        <v>44.0</v>
      </c>
      <c r="V347" s="3">
        <v>44.0</v>
      </c>
      <c r="W347" s="3">
        <v>50.0</v>
      </c>
      <c r="X347" s="3">
        <v>34.0</v>
      </c>
      <c r="Y347" s="3">
        <v>48.0</v>
      </c>
      <c r="Z347" s="3">
        <v>51.0</v>
      </c>
      <c r="AA347" s="3">
        <v>39.0</v>
      </c>
      <c r="AB347" s="3">
        <v>52.0</v>
      </c>
      <c r="AC347" s="3">
        <v>32.0</v>
      </c>
      <c r="AD347" s="3">
        <v>46.0</v>
      </c>
      <c r="AE347" s="3">
        <v>37.0</v>
      </c>
      <c r="AF347" s="3">
        <v>58.0</v>
      </c>
      <c r="AG347" s="3">
        <v>44.0</v>
      </c>
      <c r="AH347" s="3">
        <v>42.0</v>
      </c>
      <c r="AI347" s="3">
        <v>42.0</v>
      </c>
      <c r="AJ347" s="3">
        <v>79.0</v>
      </c>
      <c r="AK347" s="3">
        <v>56.0</v>
      </c>
      <c r="AL347" s="3">
        <v>33.0</v>
      </c>
      <c r="AM347" s="3">
        <v>36.0</v>
      </c>
      <c r="AN347" s="3">
        <v>34.0</v>
      </c>
    </row>
    <row r="348" ht="14.25" customHeight="1">
      <c r="A348" s="3">
        <v>346.0</v>
      </c>
      <c r="B348" s="3" t="s">
        <v>7524</v>
      </c>
      <c r="C348" s="3">
        <v>20.0</v>
      </c>
      <c r="D348" s="3" t="s">
        <v>6645</v>
      </c>
      <c r="E348" s="3" t="s">
        <v>6646</v>
      </c>
      <c r="F348" s="3" t="s">
        <v>6646</v>
      </c>
      <c r="G348" s="3" t="s">
        <v>6645</v>
      </c>
      <c r="H348" s="3" t="s">
        <v>6645</v>
      </c>
      <c r="I348" s="3" t="s">
        <v>6646</v>
      </c>
      <c r="J348" s="3">
        <v>8.0</v>
      </c>
      <c r="K348" s="3">
        <v>0.0</v>
      </c>
      <c r="L348" s="3">
        <v>0.0</v>
      </c>
      <c r="M348" s="3">
        <v>0.0</v>
      </c>
      <c r="N348" s="3">
        <v>516.80883</v>
      </c>
      <c r="O348" s="3">
        <v>82.0</v>
      </c>
      <c r="P348" s="3" t="e">
        <v>#N/A</v>
      </c>
      <c r="Q348" s="3">
        <v>39.0</v>
      </c>
      <c r="R348" s="3">
        <v>35.0</v>
      </c>
      <c r="S348" s="3">
        <v>39.0</v>
      </c>
      <c r="T348" s="3">
        <v>34.0</v>
      </c>
      <c r="U348" s="3">
        <v>34.0</v>
      </c>
      <c r="V348" s="3">
        <v>31.0</v>
      </c>
      <c r="W348" s="3">
        <v>39.0</v>
      </c>
      <c r="X348" s="3">
        <v>30.0</v>
      </c>
      <c r="Y348" s="3">
        <v>36.0</v>
      </c>
      <c r="Z348" s="3">
        <v>44.0</v>
      </c>
      <c r="AA348" s="3">
        <v>23.0</v>
      </c>
      <c r="AB348" s="3">
        <v>49.0</v>
      </c>
      <c r="AC348" s="3">
        <v>27.0</v>
      </c>
      <c r="AD348" s="3">
        <v>23.0</v>
      </c>
      <c r="AE348" s="3">
        <v>36.0</v>
      </c>
      <c r="AF348" s="3">
        <v>44.0</v>
      </c>
      <c r="AG348" s="3">
        <v>54.0</v>
      </c>
      <c r="AH348" s="3">
        <v>59.0</v>
      </c>
      <c r="AI348" s="3">
        <v>52.0</v>
      </c>
      <c r="AJ348" s="3">
        <v>67.0</v>
      </c>
      <c r="AK348" s="3">
        <v>15.0</v>
      </c>
      <c r="AL348" s="3">
        <v>35.0</v>
      </c>
      <c r="AM348" s="3">
        <v>48.0</v>
      </c>
      <c r="AN348" s="3">
        <v>55.0</v>
      </c>
    </row>
    <row r="349" ht="14.25" customHeight="1">
      <c r="A349" s="3">
        <v>347.0</v>
      </c>
      <c r="B349" s="3" t="s">
        <v>7525</v>
      </c>
      <c r="C349" s="3">
        <v>22.0</v>
      </c>
      <c r="D349" s="3" t="s">
        <v>6645</v>
      </c>
      <c r="E349" s="3" t="s">
        <v>6646</v>
      </c>
      <c r="F349" s="3" t="s">
        <v>6646</v>
      </c>
      <c r="G349" s="3" t="s">
        <v>6645</v>
      </c>
      <c r="H349" s="3" t="s">
        <v>6645</v>
      </c>
      <c r="I349" s="3" t="s">
        <v>6646</v>
      </c>
      <c r="J349" s="3">
        <v>8.0</v>
      </c>
      <c r="K349" s="3">
        <v>0.0</v>
      </c>
      <c r="L349" s="3">
        <v>0.0</v>
      </c>
      <c r="M349" s="3">
        <v>0.0</v>
      </c>
      <c r="N349" s="3">
        <v>520.59594</v>
      </c>
      <c r="O349" s="3">
        <v>106.0</v>
      </c>
      <c r="P349" s="3" t="e">
        <v>#N/A</v>
      </c>
      <c r="Q349" s="3">
        <v>35.0</v>
      </c>
      <c r="R349" s="3">
        <v>37.0</v>
      </c>
      <c r="S349" s="3">
        <v>38.0</v>
      </c>
      <c r="T349" s="3">
        <v>38.0</v>
      </c>
      <c r="U349" s="3">
        <v>39.0</v>
      </c>
      <c r="V349" s="3">
        <v>30.0</v>
      </c>
      <c r="W349" s="3">
        <v>42.0</v>
      </c>
      <c r="X349" s="3">
        <v>27.0</v>
      </c>
      <c r="Y349" s="3">
        <v>38.0</v>
      </c>
      <c r="Z349" s="3">
        <v>41.0</v>
      </c>
      <c r="AA349" s="3">
        <v>36.0</v>
      </c>
      <c r="AB349" s="3">
        <v>35.0</v>
      </c>
      <c r="AC349" s="3">
        <v>28.0</v>
      </c>
      <c r="AD349" s="3">
        <v>27.0</v>
      </c>
      <c r="AE349" s="3">
        <v>32.0</v>
      </c>
      <c r="AF349" s="3">
        <v>45.0</v>
      </c>
      <c r="AG349" s="3">
        <v>53.0</v>
      </c>
      <c r="AH349" s="3">
        <v>32.0</v>
      </c>
      <c r="AI349" s="3">
        <v>54.0</v>
      </c>
      <c r="AJ349" s="3">
        <v>75.0</v>
      </c>
      <c r="AK349" s="3">
        <v>35.0</v>
      </c>
      <c r="AL349" s="3">
        <v>16.0</v>
      </c>
      <c r="AM349" s="3">
        <v>35.0</v>
      </c>
      <c r="AN349" s="3">
        <v>58.0</v>
      </c>
    </row>
    <row r="350" ht="14.25" customHeight="1">
      <c r="A350" s="3">
        <v>348.0</v>
      </c>
      <c r="B350" s="3" t="s">
        <v>7526</v>
      </c>
      <c r="C350" s="3">
        <v>24.0</v>
      </c>
      <c r="D350" s="3" t="s">
        <v>6645</v>
      </c>
      <c r="E350" s="3" t="s">
        <v>6646</v>
      </c>
      <c r="F350" s="3" t="s">
        <v>6646</v>
      </c>
      <c r="G350" s="3" t="s">
        <v>6645</v>
      </c>
      <c r="H350" s="3" t="s">
        <v>6645</v>
      </c>
      <c r="I350" s="3" t="s">
        <v>6646</v>
      </c>
      <c r="J350" s="3">
        <v>8.0</v>
      </c>
      <c r="K350" s="3">
        <v>0.0</v>
      </c>
      <c r="L350" s="3">
        <v>0.0</v>
      </c>
      <c r="M350" s="3">
        <v>0.0</v>
      </c>
      <c r="N350" s="3">
        <v>503.53308</v>
      </c>
      <c r="O350" s="3">
        <v>86.0</v>
      </c>
      <c r="P350" s="3" t="e">
        <v>#N/A</v>
      </c>
      <c r="Q350" s="3">
        <v>39.0</v>
      </c>
      <c r="R350" s="3">
        <v>34.0</v>
      </c>
      <c r="S350" s="3">
        <v>39.0</v>
      </c>
      <c r="T350" s="3">
        <v>31.0</v>
      </c>
      <c r="U350" s="3">
        <v>33.0</v>
      </c>
      <c r="V350" s="3">
        <v>34.0</v>
      </c>
      <c r="W350" s="3">
        <v>47.0</v>
      </c>
      <c r="X350" s="3">
        <v>31.0</v>
      </c>
      <c r="Y350" s="3">
        <v>36.0</v>
      </c>
      <c r="Z350" s="3">
        <v>43.0</v>
      </c>
      <c r="AA350" s="3">
        <v>39.0</v>
      </c>
      <c r="AB350" s="3">
        <v>41.0</v>
      </c>
      <c r="AC350" s="3">
        <v>31.0</v>
      </c>
      <c r="AD350" s="3">
        <v>30.0</v>
      </c>
      <c r="AE350" s="3">
        <v>29.0</v>
      </c>
      <c r="AF350" s="3">
        <v>58.0</v>
      </c>
      <c r="AG350" s="3">
        <v>44.0</v>
      </c>
      <c r="AH350" s="3">
        <v>57.0</v>
      </c>
      <c r="AI350" s="3">
        <v>33.0</v>
      </c>
      <c r="AJ350" s="3">
        <v>74.0</v>
      </c>
      <c r="AK350" s="3">
        <v>45.0</v>
      </c>
      <c r="AL350" s="3">
        <v>42.0</v>
      </c>
      <c r="AM350" s="3">
        <v>46.0</v>
      </c>
      <c r="AN350" s="3">
        <v>35.0</v>
      </c>
    </row>
    <row r="351" ht="14.25" customHeight="1">
      <c r="A351" s="3">
        <v>349.0</v>
      </c>
      <c r="B351" s="3" t="s">
        <v>7527</v>
      </c>
      <c r="C351" s="3">
        <v>15.0</v>
      </c>
      <c r="D351" s="3" t="s">
        <v>6645</v>
      </c>
      <c r="E351" s="3" t="s">
        <v>6646</v>
      </c>
      <c r="F351" s="3" t="s">
        <v>6646</v>
      </c>
      <c r="G351" s="3" t="s">
        <v>6645</v>
      </c>
      <c r="H351" s="3" t="s">
        <v>6645</v>
      </c>
      <c r="I351" s="3" t="s">
        <v>6645</v>
      </c>
      <c r="J351" s="3">
        <v>8.0</v>
      </c>
      <c r="K351" s="3">
        <v>0.0</v>
      </c>
      <c r="L351" s="3">
        <v>0.0</v>
      </c>
      <c r="M351" s="3">
        <v>0.0</v>
      </c>
      <c r="N351" s="3">
        <v>514.08166</v>
      </c>
      <c r="O351" s="3">
        <v>76.0</v>
      </c>
      <c r="P351" s="3" t="e">
        <v>#N/A</v>
      </c>
      <c r="Q351" s="3">
        <v>33.0</v>
      </c>
      <c r="R351" s="3">
        <v>31.0</v>
      </c>
      <c r="S351" s="3">
        <v>37.0</v>
      </c>
      <c r="T351" s="3">
        <v>31.0</v>
      </c>
      <c r="U351" s="3">
        <v>39.0</v>
      </c>
      <c r="V351" s="3">
        <v>33.0</v>
      </c>
      <c r="W351" s="3">
        <v>39.0</v>
      </c>
      <c r="X351" s="3">
        <v>24.0</v>
      </c>
      <c r="Y351" s="3">
        <v>46.0</v>
      </c>
      <c r="Z351" s="3">
        <v>45.0</v>
      </c>
      <c r="AA351" s="3">
        <v>32.0</v>
      </c>
      <c r="AB351" s="3">
        <v>46.0</v>
      </c>
      <c r="AC351" s="3">
        <v>27.0</v>
      </c>
      <c r="AD351" s="3">
        <v>32.0</v>
      </c>
      <c r="AE351" s="3">
        <v>29.0</v>
      </c>
      <c r="AF351" s="3">
        <v>30.0</v>
      </c>
      <c r="AG351" s="3">
        <v>46.0</v>
      </c>
      <c r="AH351" s="3">
        <v>49.0</v>
      </c>
      <c r="AI351" s="3">
        <v>42.0</v>
      </c>
      <c r="AJ351" s="3">
        <v>65.0</v>
      </c>
      <c r="AK351" s="3">
        <v>30.0</v>
      </c>
      <c r="AL351" s="3">
        <v>59.0</v>
      </c>
      <c r="AM351" s="3">
        <v>45.0</v>
      </c>
      <c r="AN351" s="3">
        <v>48.0</v>
      </c>
    </row>
    <row r="352" ht="14.25" customHeight="1">
      <c r="A352" s="3">
        <v>350.0</v>
      </c>
      <c r="B352" s="3" t="s">
        <v>7528</v>
      </c>
      <c r="C352" s="3">
        <v>15.0</v>
      </c>
      <c r="D352" s="3" t="s">
        <v>6645</v>
      </c>
      <c r="E352" s="3" t="s">
        <v>6646</v>
      </c>
      <c r="F352" s="3" t="s">
        <v>6646</v>
      </c>
      <c r="G352" s="3" t="s">
        <v>6645</v>
      </c>
      <c r="H352" s="3" t="s">
        <v>6645</v>
      </c>
      <c r="I352" s="3" t="s">
        <v>6645</v>
      </c>
      <c r="J352" s="3">
        <v>8.0</v>
      </c>
      <c r="K352" s="3">
        <v>0.0</v>
      </c>
      <c r="L352" s="3">
        <v>0.0</v>
      </c>
      <c r="M352" s="3">
        <v>0.0</v>
      </c>
      <c r="N352" s="3">
        <v>585.368</v>
      </c>
      <c r="O352" s="3">
        <v>102.0</v>
      </c>
      <c r="P352" s="3" t="e">
        <v>#N/A</v>
      </c>
      <c r="Q352" s="3">
        <v>35.0</v>
      </c>
      <c r="R352" s="3">
        <v>37.0</v>
      </c>
      <c r="S352" s="3">
        <v>34.0</v>
      </c>
      <c r="T352" s="3">
        <v>34.0</v>
      </c>
      <c r="U352" s="3">
        <v>32.0</v>
      </c>
      <c r="V352" s="3">
        <v>32.0</v>
      </c>
      <c r="W352" s="3">
        <v>40.0</v>
      </c>
      <c r="X352" s="3">
        <v>33.0</v>
      </c>
      <c r="Y352" s="3">
        <v>45.0</v>
      </c>
      <c r="Z352" s="3">
        <v>47.0</v>
      </c>
      <c r="AA352" s="3">
        <v>30.0</v>
      </c>
      <c r="AB352" s="3">
        <v>38.0</v>
      </c>
      <c r="AC352" s="3">
        <v>25.0</v>
      </c>
      <c r="AD352" s="3">
        <v>27.0</v>
      </c>
      <c r="AE352" s="3">
        <v>21.0</v>
      </c>
      <c r="AF352" s="3">
        <v>48.0</v>
      </c>
      <c r="AG352" s="3">
        <v>35.0</v>
      </c>
      <c r="AH352" s="3">
        <v>30.0</v>
      </c>
      <c r="AI352" s="3">
        <v>49.0</v>
      </c>
      <c r="AJ352" s="3">
        <v>71.0</v>
      </c>
      <c r="AK352" s="3">
        <v>54.0</v>
      </c>
      <c r="AL352" s="3">
        <v>44.0</v>
      </c>
      <c r="AM352" s="3">
        <v>34.0</v>
      </c>
      <c r="AN352" s="3">
        <v>12.0</v>
      </c>
    </row>
    <row r="353" ht="14.25" customHeight="1">
      <c r="A353" s="3">
        <v>351.0</v>
      </c>
      <c r="B353" s="3" t="s">
        <v>7529</v>
      </c>
      <c r="C353" s="3">
        <v>17.0</v>
      </c>
      <c r="D353" s="3" t="s">
        <v>6645</v>
      </c>
      <c r="E353" s="3" t="s">
        <v>6646</v>
      </c>
      <c r="F353" s="3" t="s">
        <v>6646</v>
      </c>
      <c r="G353" s="3" t="s">
        <v>6645</v>
      </c>
      <c r="H353" s="3" t="s">
        <v>6645</v>
      </c>
      <c r="I353" s="3" t="s">
        <v>6645</v>
      </c>
      <c r="J353" s="3">
        <v>8.0</v>
      </c>
      <c r="K353" s="3">
        <v>0.0</v>
      </c>
      <c r="L353" s="3">
        <v>0.0</v>
      </c>
      <c r="M353" s="3">
        <v>0.0</v>
      </c>
      <c r="N353" s="3">
        <v>573.438</v>
      </c>
      <c r="O353" s="3">
        <v>83.0</v>
      </c>
      <c r="P353" s="3" t="e">
        <v>#N/A</v>
      </c>
      <c r="Q353" s="3">
        <v>37.0</v>
      </c>
      <c r="R353" s="3">
        <v>38.0</v>
      </c>
      <c r="S353" s="3">
        <v>30.0</v>
      </c>
      <c r="T353" s="3">
        <v>30.0</v>
      </c>
      <c r="U353" s="3">
        <v>36.0</v>
      </c>
      <c r="V353" s="3">
        <v>36.0</v>
      </c>
      <c r="W353" s="3">
        <v>48.0</v>
      </c>
      <c r="X353" s="3">
        <v>25.0</v>
      </c>
      <c r="Y353" s="3">
        <v>46.0</v>
      </c>
      <c r="Z353" s="3">
        <v>46.0</v>
      </c>
      <c r="AA353" s="3">
        <v>33.0</v>
      </c>
      <c r="AB353" s="3">
        <v>38.0</v>
      </c>
      <c r="AC353" s="3">
        <v>23.0</v>
      </c>
      <c r="AD353" s="3">
        <v>20.0</v>
      </c>
      <c r="AE353" s="3">
        <v>24.0</v>
      </c>
      <c r="AF353" s="3">
        <v>56.0</v>
      </c>
      <c r="AG353" s="3">
        <v>42.0</v>
      </c>
      <c r="AH353" s="3">
        <v>32.0</v>
      </c>
      <c r="AI353" s="3">
        <v>16.0</v>
      </c>
      <c r="AJ353" s="3">
        <v>64.0</v>
      </c>
      <c r="AK353" s="3">
        <v>48.0</v>
      </c>
      <c r="AL353" s="3">
        <v>57.0</v>
      </c>
      <c r="AM353" s="3">
        <v>59.0</v>
      </c>
      <c r="AN353" s="3">
        <v>40.0</v>
      </c>
    </row>
    <row r="354" ht="14.25" customHeight="1">
      <c r="A354" s="3">
        <v>352.0</v>
      </c>
      <c r="B354" s="3" t="s">
        <v>7530</v>
      </c>
      <c r="C354" s="3">
        <v>42.0</v>
      </c>
      <c r="D354" s="3" t="s">
        <v>6645</v>
      </c>
      <c r="E354" s="3" t="s">
        <v>6646</v>
      </c>
      <c r="F354" s="3" t="s">
        <v>6646</v>
      </c>
      <c r="G354" s="3" t="s">
        <v>6645</v>
      </c>
      <c r="H354" s="3" t="s">
        <v>6645</v>
      </c>
      <c r="I354" s="3" t="s">
        <v>6646</v>
      </c>
      <c r="J354" s="3">
        <v>9.0</v>
      </c>
      <c r="K354" s="3">
        <v>4.0</v>
      </c>
      <c r="L354" s="3">
        <v>0.0</v>
      </c>
      <c r="M354" s="3">
        <v>0.0</v>
      </c>
      <c r="N354" s="3">
        <v>14875.014</v>
      </c>
      <c r="O354" s="3">
        <v>1544.0</v>
      </c>
      <c r="P354" s="3" t="e">
        <v>#N/A</v>
      </c>
      <c r="Q354" s="3">
        <v>65.0</v>
      </c>
      <c r="R354" s="3">
        <v>75.0</v>
      </c>
      <c r="S354" s="3">
        <v>82.0</v>
      </c>
      <c r="T354" s="3">
        <v>74.0</v>
      </c>
      <c r="U354" s="3">
        <v>64.0</v>
      </c>
      <c r="V354" s="3">
        <v>66.0</v>
      </c>
      <c r="W354" s="3">
        <v>94.0</v>
      </c>
      <c r="X354" s="3">
        <v>86.0</v>
      </c>
      <c r="Y354" s="3">
        <v>72.0</v>
      </c>
      <c r="Z354" s="3">
        <v>65.0</v>
      </c>
      <c r="AA354" s="3">
        <v>87.0</v>
      </c>
      <c r="AB354" s="3">
        <v>59.0</v>
      </c>
      <c r="AC354" s="3">
        <v>69.0</v>
      </c>
      <c r="AD354" s="3">
        <v>81.0</v>
      </c>
      <c r="AE354" s="3">
        <v>78.0</v>
      </c>
      <c r="AF354" s="3">
        <v>24.0</v>
      </c>
      <c r="AG354" s="3">
        <v>45.0</v>
      </c>
      <c r="AH354" s="3">
        <v>78.0</v>
      </c>
      <c r="AI354" s="3">
        <v>83.0</v>
      </c>
      <c r="AJ354" s="3">
        <v>47.0</v>
      </c>
      <c r="AK354" s="3">
        <v>22.0</v>
      </c>
      <c r="AL354" s="3">
        <v>64.0</v>
      </c>
      <c r="AM354" s="3">
        <v>46.0</v>
      </c>
      <c r="AN354" s="3">
        <v>50.0</v>
      </c>
    </row>
    <row r="355" ht="14.25" customHeight="1">
      <c r="A355" s="3">
        <v>353.0</v>
      </c>
      <c r="B355" s="3" t="s">
        <v>7531</v>
      </c>
      <c r="C355" s="3">
        <v>39.0</v>
      </c>
      <c r="D355" s="3" t="s">
        <v>6645</v>
      </c>
      <c r="E355" s="3" t="s">
        <v>6646</v>
      </c>
      <c r="F355" s="3" t="s">
        <v>6646</v>
      </c>
      <c r="G355" s="3" t="s">
        <v>6645</v>
      </c>
      <c r="H355" s="3" t="s">
        <v>6645</v>
      </c>
      <c r="I355" s="3" t="s">
        <v>6645</v>
      </c>
      <c r="J355" s="3">
        <v>9.0</v>
      </c>
      <c r="K355" s="3">
        <v>4.0</v>
      </c>
      <c r="L355" s="3">
        <v>0.0</v>
      </c>
      <c r="M355" s="3">
        <v>0.0</v>
      </c>
      <c r="N355" s="3">
        <v>15055.8</v>
      </c>
      <c r="O355" s="3">
        <v>1818.0</v>
      </c>
      <c r="P355" s="3" t="e">
        <v>#N/A</v>
      </c>
      <c r="Q355" s="3">
        <v>63.0</v>
      </c>
      <c r="R355" s="3">
        <v>70.0</v>
      </c>
      <c r="S355" s="3">
        <v>82.0</v>
      </c>
      <c r="T355" s="3">
        <v>82.0</v>
      </c>
      <c r="U355" s="3">
        <v>68.0</v>
      </c>
      <c r="V355" s="3">
        <v>63.0</v>
      </c>
      <c r="W355" s="3">
        <v>89.0</v>
      </c>
      <c r="X355" s="3">
        <v>85.0</v>
      </c>
      <c r="Y355" s="3">
        <v>72.0</v>
      </c>
      <c r="Z355" s="3">
        <v>67.0</v>
      </c>
      <c r="AA355" s="3">
        <v>88.0</v>
      </c>
      <c r="AB355" s="3">
        <v>64.0</v>
      </c>
      <c r="AC355" s="3">
        <v>61.0</v>
      </c>
      <c r="AD355" s="3">
        <v>84.0</v>
      </c>
      <c r="AE355" s="3">
        <v>73.0</v>
      </c>
      <c r="AF355" s="3">
        <v>44.0</v>
      </c>
      <c r="AG355" s="3">
        <v>38.0</v>
      </c>
      <c r="AH355" s="3">
        <v>82.0</v>
      </c>
      <c r="AI355" s="3">
        <v>77.0</v>
      </c>
      <c r="AJ355" s="3">
        <v>58.0</v>
      </c>
      <c r="AK355" s="3">
        <v>68.0</v>
      </c>
      <c r="AL355" s="3">
        <v>29.0</v>
      </c>
      <c r="AM355" s="3">
        <v>71.0</v>
      </c>
      <c r="AN355" s="3">
        <v>46.0</v>
      </c>
    </row>
    <row r="356" ht="14.25" customHeight="1">
      <c r="A356" s="3">
        <v>354.0</v>
      </c>
      <c r="B356" s="3" t="s">
        <v>7532</v>
      </c>
      <c r="C356" s="3">
        <v>42.0</v>
      </c>
      <c r="D356" s="3" t="s">
        <v>6645</v>
      </c>
      <c r="E356" s="3" t="s">
        <v>6646</v>
      </c>
      <c r="F356" s="3" t="s">
        <v>6646</v>
      </c>
      <c r="G356" s="3" t="s">
        <v>6645</v>
      </c>
      <c r="H356" s="3" t="s">
        <v>6645</v>
      </c>
      <c r="I356" s="3" t="s">
        <v>6645</v>
      </c>
      <c r="J356" s="3">
        <v>9.0</v>
      </c>
      <c r="K356" s="3">
        <v>4.0</v>
      </c>
      <c r="L356" s="3">
        <v>0.0</v>
      </c>
      <c r="M356" s="3">
        <v>0.0</v>
      </c>
      <c r="N356" s="3">
        <v>15563.8</v>
      </c>
      <c r="O356" s="3">
        <v>1762.0</v>
      </c>
      <c r="P356" s="3" t="e">
        <v>#N/A</v>
      </c>
      <c r="Q356" s="3">
        <v>63.0</v>
      </c>
      <c r="R356" s="3">
        <v>76.0</v>
      </c>
      <c r="S356" s="3">
        <v>82.0</v>
      </c>
      <c r="T356" s="3">
        <v>74.0</v>
      </c>
      <c r="U356" s="3">
        <v>66.0</v>
      </c>
      <c r="V356" s="3">
        <v>69.0</v>
      </c>
      <c r="W356" s="3">
        <v>89.0</v>
      </c>
      <c r="X356" s="3">
        <v>87.0</v>
      </c>
      <c r="Y356" s="3">
        <v>72.0</v>
      </c>
      <c r="Z356" s="3">
        <v>62.0</v>
      </c>
      <c r="AA356" s="3">
        <v>85.0</v>
      </c>
      <c r="AB356" s="3">
        <v>56.0</v>
      </c>
      <c r="AC356" s="3">
        <v>63.0</v>
      </c>
      <c r="AD356" s="3">
        <v>84.0</v>
      </c>
      <c r="AE356" s="3">
        <v>78.0</v>
      </c>
      <c r="AF356" s="3">
        <v>73.0</v>
      </c>
      <c r="AG356" s="3">
        <v>43.0</v>
      </c>
      <c r="AH356" s="3">
        <v>78.0</v>
      </c>
      <c r="AI356" s="3">
        <v>76.0</v>
      </c>
      <c r="AJ356" s="3">
        <v>45.0</v>
      </c>
      <c r="AK356" s="3">
        <v>57.0</v>
      </c>
      <c r="AL356" s="3">
        <v>57.0</v>
      </c>
      <c r="AM356" s="3">
        <v>42.0</v>
      </c>
      <c r="AN356" s="3">
        <v>57.0</v>
      </c>
    </row>
    <row r="357" ht="14.25" customHeight="1">
      <c r="A357" s="3">
        <v>355.0</v>
      </c>
      <c r="B357" s="3" t="s">
        <v>7533</v>
      </c>
      <c r="C357" s="3">
        <v>41.0</v>
      </c>
      <c r="D357" s="3" t="s">
        <v>6645</v>
      </c>
      <c r="E357" s="3" t="s">
        <v>6646</v>
      </c>
      <c r="F357" s="3" t="s">
        <v>6646</v>
      </c>
      <c r="G357" s="3" t="s">
        <v>6645</v>
      </c>
      <c r="H357" s="3" t="s">
        <v>6645</v>
      </c>
      <c r="I357" s="3" t="s">
        <v>6645</v>
      </c>
      <c r="J357" s="3">
        <v>9.0</v>
      </c>
      <c r="K357" s="3">
        <v>4.0</v>
      </c>
      <c r="L357" s="3">
        <v>0.0</v>
      </c>
      <c r="M357" s="3">
        <v>0.0</v>
      </c>
      <c r="N357" s="3">
        <v>15460.513</v>
      </c>
      <c r="O357" s="3">
        <v>1252.0</v>
      </c>
      <c r="P357" s="3" t="e">
        <v>#N/A</v>
      </c>
      <c r="Q357" s="3">
        <v>71.0</v>
      </c>
      <c r="R357" s="3">
        <v>74.0</v>
      </c>
      <c r="S357" s="3">
        <v>82.0</v>
      </c>
      <c r="T357" s="3">
        <v>82.0</v>
      </c>
      <c r="U357" s="3">
        <v>67.0</v>
      </c>
      <c r="V357" s="3">
        <v>63.0</v>
      </c>
      <c r="W357" s="3">
        <v>92.0</v>
      </c>
      <c r="X357" s="3">
        <v>91.0</v>
      </c>
      <c r="Y357" s="3">
        <v>66.0</v>
      </c>
      <c r="Z357" s="3">
        <v>69.0</v>
      </c>
      <c r="AA357" s="3">
        <v>87.0</v>
      </c>
      <c r="AB357" s="3">
        <v>58.0</v>
      </c>
      <c r="AC357" s="3">
        <v>62.0</v>
      </c>
      <c r="AD357" s="3">
        <v>85.0</v>
      </c>
      <c r="AE357" s="3">
        <v>78.0</v>
      </c>
      <c r="AF357" s="3">
        <v>61.0</v>
      </c>
      <c r="AG357" s="3">
        <v>59.0</v>
      </c>
      <c r="AH357" s="3">
        <v>78.0</v>
      </c>
      <c r="AI357" s="3">
        <v>81.0</v>
      </c>
      <c r="AJ357" s="3">
        <v>72.0</v>
      </c>
      <c r="AK357" s="3">
        <v>21.0</v>
      </c>
      <c r="AL357" s="3">
        <v>35.0</v>
      </c>
      <c r="AM357" s="3">
        <v>46.0</v>
      </c>
      <c r="AN357" s="3">
        <v>58.0</v>
      </c>
    </row>
    <row r="358" ht="14.25" customHeight="1">
      <c r="A358" s="3">
        <v>356.0</v>
      </c>
      <c r="B358" s="3" t="s">
        <v>7534</v>
      </c>
      <c r="C358" s="3">
        <v>39.0</v>
      </c>
      <c r="D358" s="3" t="s">
        <v>6645</v>
      </c>
      <c r="E358" s="3" t="s">
        <v>6646</v>
      </c>
      <c r="F358" s="3" t="s">
        <v>6646</v>
      </c>
      <c r="G358" s="3" t="s">
        <v>6645</v>
      </c>
      <c r="H358" s="3" t="s">
        <v>6645</v>
      </c>
      <c r="I358" s="3" t="s">
        <v>6645</v>
      </c>
      <c r="J358" s="3">
        <v>9.0</v>
      </c>
      <c r="K358" s="3">
        <v>3.0</v>
      </c>
      <c r="L358" s="3">
        <v>0.0</v>
      </c>
      <c r="M358" s="3">
        <v>0.0</v>
      </c>
      <c r="N358" s="3">
        <v>7527.1054</v>
      </c>
      <c r="O358" s="3">
        <v>741.0</v>
      </c>
      <c r="P358" s="3" t="e">
        <v>#N/A</v>
      </c>
      <c r="Q358" s="3">
        <v>58.0</v>
      </c>
      <c r="R358" s="3">
        <v>58.0</v>
      </c>
      <c r="S358" s="3">
        <v>58.0</v>
      </c>
      <c r="T358" s="3">
        <v>60.0</v>
      </c>
      <c r="U358" s="3">
        <v>59.0</v>
      </c>
      <c r="V358" s="3">
        <v>58.0</v>
      </c>
      <c r="W358" s="3">
        <v>66.0</v>
      </c>
      <c r="X358" s="3">
        <v>68.0</v>
      </c>
      <c r="Y358" s="3">
        <v>56.0</v>
      </c>
      <c r="Z358" s="3">
        <v>56.0</v>
      </c>
      <c r="AA358" s="3">
        <v>63.0</v>
      </c>
      <c r="AB358" s="3">
        <v>57.0</v>
      </c>
      <c r="AC358" s="3">
        <v>50.0</v>
      </c>
      <c r="AD358" s="3">
        <v>66.0</v>
      </c>
      <c r="AE358" s="3">
        <v>57.0</v>
      </c>
      <c r="AF358" s="3">
        <v>66.0</v>
      </c>
      <c r="AG358" s="3">
        <v>60.0</v>
      </c>
      <c r="AH358" s="3">
        <v>82.0</v>
      </c>
      <c r="AI358" s="3">
        <v>69.0</v>
      </c>
      <c r="AJ358" s="3">
        <v>68.0</v>
      </c>
      <c r="AK358" s="3">
        <v>27.0</v>
      </c>
      <c r="AL358" s="3">
        <v>26.0</v>
      </c>
      <c r="AM358" s="3">
        <v>60.0</v>
      </c>
      <c r="AN358" s="3">
        <v>62.0</v>
      </c>
    </row>
    <row r="359" ht="14.25" customHeight="1">
      <c r="A359" s="3">
        <v>357.0</v>
      </c>
      <c r="B359" s="3" t="s">
        <v>7535</v>
      </c>
      <c r="C359" s="3">
        <v>33.0</v>
      </c>
      <c r="D359" s="3" t="s">
        <v>6645</v>
      </c>
      <c r="E359" s="3" t="s">
        <v>6646</v>
      </c>
      <c r="F359" s="3" t="s">
        <v>6646</v>
      </c>
      <c r="G359" s="3" t="s">
        <v>6645</v>
      </c>
      <c r="H359" s="3" t="s">
        <v>6645</v>
      </c>
      <c r="I359" s="3" t="s">
        <v>6645</v>
      </c>
      <c r="J359" s="3">
        <v>9.0</v>
      </c>
      <c r="K359" s="3">
        <v>3.0</v>
      </c>
      <c r="L359" s="3">
        <v>0.0</v>
      </c>
      <c r="M359" s="3">
        <v>0.0</v>
      </c>
      <c r="N359" s="3">
        <v>8651.72</v>
      </c>
      <c r="O359" s="3">
        <v>919.0</v>
      </c>
      <c r="P359" s="3" t="e">
        <v>#N/A</v>
      </c>
      <c r="Q359" s="3">
        <v>58.0</v>
      </c>
      <c r="R359" s="3">
        <v>57.0</v>
      </c>
      <c r="S359" s="3">
        <v>61.0</v>
      </c>
      <c r="T359" s="3">
        <v>59.0</v>
      </c>
      <c r="U359" s="3">
        <v>54.0</v>
      </c>
      <c r="V359" s="3">
        <v>59.0</v>
      </c>
      <c r="W359" s="3">
        <v>65.0</v>
      </c>
      <c r="X359" s="3">
        <v>72.0</v>
      </c>
      <c r="Y359" s="3">
        <v>64.0</v>
      </c>
      <c r="Z359" s="3">
        <v>53.0</v>
      </c>
      <c r="AA359" s="3">
        <v>70.0</v>
      </c>
      <c r="AB359" s="3">
        <v>51.0</v>
      </c>
      <c r="AC359" s="3">
        <v>52.0</v>
      </c>
      <c r="AD359" s="3">
        <v>68.0</v>
      </c>
      <c r="AE359" s="3">
        <v>62.0</v>
      </c>
      <c r="AF359" s="3">
        <v>64.0</v>
      </c>
      <c r="AG359" s="3">
        <v>64.0</v>
      </c>
      <c r="AH359" s="3">
        <v>79.0</v>
      </c>
      <c r="AI359" s="3">
        <v>74.0</v>
      </c>
      <c r="AJ359" s="3">
        <v>41.0</v>
      </c>
      <c r="AK359" s="3">
        <v>58.0</v>
      </c>
      <c r="AL359" s="3">
        <v>48.0</v>
      </c>
      <c r="AM359" s="3">
        <v>60.0</v>
      </c>
      <c r="AN359" s="3">
        <v>32.0</v>
      </c>
    </row>
    <row r="360" ht="14.25" customHeight="1">
      <c r="A360" s="3">
        <v>358.0</v>
      </c>
      <c r="B360" s="3" t="s">
        <v>7536</v>
      </c>
      <c r="C360" s="3">
        <v>37.0</v>
      </c>
      <c r="D360" s="3" t="s">
        <v>6645</v>
      </c>
      <c r="E360" s="3" t="s">
        <v>6646</v>
      </c>
      <c r="F360" s="3" t="s">
        <v>6646</v>
      </c>
      <c r="G360" s="3" t="s">
        <v>6645</v>
      </c>
      <c r="H360" s="3" t="s">
        <v>6645</v>
      </c>
      <c r="I360" s="3" t="s">
        <v>6646</v>
      </c>
      <c r="J360" s="3">
        <v>9.0</v>
      </c>
      <c r="K360" s="3">
        <v>3.0</v>
      </c>
      <c r="L360" s="3">
        <v>0.0</v>
      </c>
      <c r="M360" s="3">
        <v>0.0</v>
      </c>
      <c r="N360" s="3">
        <v>8840.99</v>
      </c>
      <c r="O360" s="3">
        <v>666.0</v>
      </c>
      <c r="P360" s="3" t="e">
        <v>#N/A</v>
      </c>
      <c r="Q360" s="3">
        <v>62.0</v>
      </c>
      <c r="R360" s="3">
        <v>57.0</v>
      </c>
      <c r="S360" s="3">
        <v>61.0</v>
      </c>
      <c r="T360" s="3">
        <v>59.0</v>
      </c>
      <c r="U360" s="3">
        <v>56.0</v>
      </c>
      <c r="V360" s="3">
        <v>60.0</v>
      </c>
      <c r="W360" s="3">
        <v>64.0</v>
      </c>
      <c r="X360" s="3">
        <v>69.0</v>
      </c>
      <c r="Y360" s="3">
        <v>66.0</v>
      </c>
      <c r="Z360" s="3">
        <v>50.0</v>
      </c>
      <c r="AA360" s="3">
        <v>72.0</v>
      </c>
      <c r="AB360" s="3">
        <v>54.0</v>
      </c>
      <c r="AC360" s="3">
        <v>54.0</v>
      </c>
      <c r="AD360" s="3">
        <v>67.0</v>
      </c>
      <c r="AE360" s="3">
        <v>54.0</v>
      </c>
      <c r="AF360" s="3">
        <v>39.0</v>
      </c>
      <c r="AG360" s="3">
        <v>62.0</v>
      </c>
      <c r="AH360" s="3">
        <v>77.0</v>
      </c>
      <c r="AI360" s="3">
        <v>83.0</v>
      </c>
      <c r="AJ360" s="3">
        <v>64.0</v>
      </c>
      <c r="AK360" s="3">
        <v>58.0</v>
      </c>
      <c r="AL360" s="3">
        <v>64.0</v>
      </c>
      <c r="AM360" s="3">
        <v>41.0</v>
      </c>
      <c r="AN360" s="3">
        <v>66.0</v>
      </c>
    </row>
    <row r="361" ht="14.25" customHeight="1">
      <c r="A361" s="3">
        <v>359.0</v>
      </c>
      <c r="B361" s="3" t="s">
        <v>7537</v>
      </c>
      <c r="C361" s="3">
        <v>37.0</v>
      </c>
      <c r="D361" s="3" t="s">
        <v>6645</v>
      </c>
      <c r="E361" s="3" t="s">
        <v>6646</v>
      </c>
      <c r="F361" s="3" t="s">
        <v>6646</v>
      </c>
      <c r="G361" s="3" t="s">
        <v>6645</v>
      </c>
      <c r="H361" s="3" t="s">
        <v>6645</v>
      </c>
      <c r="I361" s="3" t="s">
        <v>6645</v>
      </c>
      <c r="J361" s="3">
        <v>9.0</v>
      </c>
      <c r="K361" s="3">
        <v>3.0</v>
      </c>
      <c r="L361" s="3">
        <v>0.0</v>
      </c>
      <c r="M361" s="3">
        <v>0.0</v>
      </c>
      <c r="N361" s="3">
        <v>9094.09</v>
      </c>
      <c r="O361" s="3">
        <v>693.0</v>
      </c>
      <c r="P361" s="3" t="e">
        <v>#N/A</v>
      </c>
      <c r="Q361" s="3">
        <v>59.0</v>
      </c>
      <c r="R361" s="3">
        <v>63.0</v>
      </c>
      <c r="S361" s="3">
        <v>61.0</v>
      </c>
      <c r="T361" s="3">
        <v>64.0</v>
      </c>
      <c r="U361" s="3">
        <v>56.0</v>
      </c>
      <c r="V361" s="3">
        <v>62.0</v>
      </c>
      <c r="W361" s="3">
        <v>71.0</v>
      </c>
      <c r="X361" s="3">
        <v>69.0</v>
      </c>
      <c r="Y361" s="3">
        <v>64.0</v>
      </c>
      <c r="Z361" s="3">
        <v>56.0</v>
      </c>
      <c r="AA361" s="3">
        <v>74.0</v>
      </c>
      <c r="AB361" s="3">
        <v>49.0</v>
      </c>
      <c r="AC361" s="3">
        <v>55.0</v>
      </c>
      <c r="AD361" s="3">
        <v>61.0</v>
      </c>
      <c r="AE361" s="3">
        <v>54.0</v>
      </c>
      <c r="AF361" s="3">
        <v>54.0</v>
      </c>
      <c r="AG361" s="3">
        <v>56.0</v>
      </c>
      <c r="AH361" s="3">
        <v>78.0</v>
      </c>
      <c r="AI361" s="3">
        <v>73.0</v>
      </c>
      <c r="AJ361" s="3">
        <v>58.0</v>
      </c>
      <c r="AK361" s="3">
        <v>44.0</v>
      </c>
      <c r="AL361" s="3">
        <v>46.0</v>
      </c>
      <c r="AM361" s="3">
        <v>40.0</v>
      </c>
      <c r="AN361" s="3">
        <v>19.0</v>
      </c>
    </row>
    <row r="362" ht="14.25" customHeight="1">
      <c r="A362" s="3">
        <v>360.0</v>
      </c>
      <c r="B362" s="3" t="s">
        <v>7538</v>
      </c>
      <c r="C362" s="3">
        <v>32.0</v>
      </c>
      <c r="D362" s="3" t="s">
        <v>6645</v>
      </c>
      <c r="E362" s="3" t="s">
        <v>6646</v>
      </c>
      <c r="F362" s="3" t="s">
        <v>6646</v>
      </c>
      <c r="G362" s="3" t="s">
        <v>6645</v>
      </c>
      <c r="H362" s="3" t="s">
        <v>6645</v>
      </c>
      <c r="I362" s="3" t="s">
        <v>6646</v>
      </c>
      <c r="J362" s="3">
        <v>9.0</v>
      </c>
      <c r="K362" s="3">
        <v>2.0</v>
      </c>
      <c r="L362" s="3">
        <v>0.0</v>
      </c>
      <c r="M362" s="3">
        <v>0.0</v>
      </c>
      <c r="N362" s="3">
        <v>4648.3</v>
      </c>
      <c r="O362" s="3">
        <v>474.0</v>
      </c>
      <c r="P362" s="3" t="e">
        <v>#N/A</v>
      </c>
      <c r="Q362" s="3">
        <v>49.0</v>
      </c>
      <c r="R362" s="3">
        <v>51.0</v>
      </c>
      <c r="S362" s="3">
        <v>51.0</v>
      </c>
      <c r="T362" s="3">
        <v>47.0</v>
      </c>
      <c r="U362" s="3">
        <v>53.0</v>
      </c>
      <c r="V362" s="3">
        <v>46.0</v>
      </c>
      <c r="W362" s="3">
        <v>51.0</v>
      </c>
      <c r="X362" s="3">
        <v>53.0</v>
      </c>
      <c r="Y362" s="3">
        <v>50.0</v>
      </c>
      <c r="Z362" s="3">
        <v>49.0</v>
      </c>
      <c r="AA362" s="3">
        <v>56.0</v>
      </c>
      <c r="AB362" s="3">
        <v>53.0</v>
      </c>
      <c r="AC362" s="3">
        <v>43.0</v>
      </c>
      <c r="AD362" s="3">
        <v>58.0</v>
      </c>
      <c r="AE362" s="3">
        <v>42.0</v>
      </c>
      <c r="AF362" s="3">
        <v>40.0</v>
      </c>
      <c r="AG362" s="3">
        <v>43.0</v>
      </c>
      <c r="AH362" s="3">
        <v>72.0</v>
      </c>
      <c r="AI362" s="3">
        <v>76.0</v>
      </c>
      <c r="AJ362" s="3">
        <v>35.0</v>
      </c>
      <c r="AK362" s="3">
        <v>54.0</v>
      </c>
      <c r="AL362" s="3">
        <v>61.0</v>
      </c>
      <c r="AM362" s="3">
        <v>49.0</v>
      </c>
      <c r="AN362" s="3">
        <v>64.0</v>
      </c>
    </row>
    <row r="363" ht="14.25" customHeight="1">
      <c r="A363" s="3">
        <v>361.0</v>
      </c>
      <c r="B363" s="3" t="s">
        <v>7539</v>
      </c>
      <c r="C363" s="3">
        <v>32.0</v>
      </c>
      <c r="D363" s="3" t="s">
        <v>6645</v>
      </c>
      <c r="E363" s="3" t="s">
        <v>6646</v>
      </c>
      <c r="F363" s="3" t="s">
        <v>6646</v>
      </c>
      <c r="G363" s="3" t="s">
        <v>6645</v>
      </c>
      <c r="H363" s="3" t="s">
        <v>6645</v>
      </c>
      <c r="I363" s="3" t="s">
        <v>6645</v>
      </c>
      <c r="J363" s="3">
        <v>9.0</v>
      </c>
      <c r="K363" s="3">
        <v>2.0</v>
      </c>
      <c r="L363" s="3">
        <v>0.0</v>
      </c>
      <c r="M363" s="3">
        <v>0.0</v>
      </c>
      <c r="N363" s="3">
        <v>4542.9252</v>
      </c>
      <c r="O363" s="3">
        <v>393.0</v>
      </c>
      <c r="P363" s="3" t="e">
        <v>#N/A</v>
      </c>
      <c r="Q363" s="3">
        <v>46.0</v>
      </c>
      <c r="R363" s="3">
        <v>47.0</v>
      </c>
      <c r="S363" s="3">
        <v>47.0</v>
      </c>
      <c r="T363" s="3">
        <v>49.0</v>
      </c>
      <c r="U363" s="3">
        <v>53.0</v>
      </c>
      <c r="V363" s="3">
        <v>48.0</v>
      </c>
      <c r="W363" s="3">
        <v>57.0</v>
      </c>
      <c r="X363" s="3">
        <v>60.0</v>
      </c>
      <c r="Y363" s="3">
        <v>48.0</v>
      </c>
      <c r="Z363" s="3">
        <v>51.0</v>
      </c>
      <c r="AA363" s="3">
        <v>54.0</v>
      </c>
      <c r="AB363" s="3">
        <v>40.0</v>
      </c>
      <c r="AC363" s="3">
        <v>38.0</v>
      </c>
      <c r="AD363" s="3">
        <v>62.0</v>
      </c>
      <c r="AE363" s="3">
        <v>51.0</v>
      </c>
      <c r="AF363" s="3">
        <v>59.0</v>
      </c>
      <c r="AG363" s="3">
        <v>62.0</v>
      </c>
      <c r="AH363" s="3">
        <v>74.0</v>
      </c>
      <c r="AI363" s="3">
        <v>76.0</v>
      </c>
      <c r="AJ363" s="3">
        <v>54.0</v>
      </c>
      <c r="AK363" s="3">
        <v>49.0</v>
      </c>
      <c r="AL363" s="3">
        <v>38.0</v>
      </c>
      <c r="AM363" s="3">
        <v>37.0</v>
      </c>
      <c r="AN363" s="3">
        <v>13.0</v>
      </c>
    </row>
    <row r="364" ht="14.25" customHeight="1">
      <c r="A364" s="3">
        <v>362.0</v>
      </c>
      <c r="B364" s="3" t="s">
        <v>7540</v>
      </c>
      <c r="C364" s="3">
        <v>31.0</v>
      </c>
      <c r="D364" s="3" t="s">
        <v>6645</v>
      </c>
      <c r="E364" s="3" t="s">
        <v>6646</v>
      </c>
      <c r="F364" s="3" t="s">
        <v>6646</v>
      </c>
      <c r="G364" s="3" t="s">
        <v>6645</v>
      </c>
      <c r="H364" s="3" t="s">
        <v>6645</v>
      </c>
      <c r="I364" s="3" t="s">
        <v>6645</v>
      </c>
      <c r="J364" s="3">
        <v>9.0</v>
      </c>
      <c r="K364" s="3">
        <v>2.0</v>
      </c>
      <c r="L364" s="3">
        <v>0.0</v>
      </c>
      <c r="M364" s="3">
        <v>0.0</v>
      </c>
      <c r="N364" s="3">
        <v>4466.42</v>
      </c>
      <c r="O364" s="3">
        <v>444.0</v>
      </c>
      <c r="P364" s="3" t="e">
        <v>#N/A</v>
      </c>
      <c r="Q364" s="3">
        <v>55.0</v>
      </c>
      <c r="R364" s="3">
        <v>47.0</v>
      </c>
      <c r="S364" s="3">
        <v>48.0</v>
      </c>
      <c r="T364" s="3">
        <v>49.0</v>
      </c>
      <c r="U364" s="3">
        <v>55.0</v>
      </c>
      <c r="V364" s="3">
        <v>52.0</v>
      </c>
      <c r="W364" s="3">
        <v>60.0</v>
      </c>
      <c r="X364" s="3">
        <v>57.0</v>
      </c>
      <c r="Y364" s="3">
        <v>47.0</v>
      </c>
      <c r="Z364" s="3">
        <v>45.0</v>
      </c>
      <c r="AA364" s="3">
        <v>55.0</v>
      </c>
      <c r="AB364" s="3">
        <v>40.0</v>
      </c>
      <c r="AC364" s="3">
        <v>43.0</v>
      </c>
      <c r="AD364" s="3">
        <v>60.0</v>
      </c>
      <c r="AE364" s="3">
        <v>47.0</v>
      </c>
      <c r="AF364" s="3">
        <v>41.0</v>
      </c>
      <c r="AG364" s="3">
        <v>37.0</v>
      </c>
      <c r="AH364" s="3">
        <v>77.0</v>
      </c>
      <c r="AI364" s="3">
        <v>80.0</v>
      </c>
      <c r="AJ364" s="3">
        <v>25.0</v>
      </c>
      <c r="AK364" s="3">
        <v>63.0</v>
      </c>
      <c r="AL364" s="3">
        <v>37.0</v>
      </c>
      <c r="AM364" s="3">
        <v>63.0</v>
      </c>
      <c r="AN364" s="3">
        <v>40.0</v>
      </c>
    </row>
    <row r="365" ht="14.25" customHeight="1">
      <c r="A365" s="3">
        <v>363.0</v>
      </c>
      <c r="B365" s="3" t="s">
        <v>7541</v>
      </c>
      <c r="C365" s="3">
        <v>34.0</v>
      </c>
      <c r="D365" s="3" t="s">
        <v>6645</v>
      </c>
      <c r="E365" s="3" t="s">
        <v>6646</v>
      </c>
      <c r="F365" s="3" t="s">
        <v>6646</v>
      </c>
      <c r="G365" s="3" t="s">
        <v>6645</v>
      </c>
      <c r="H365" s="3" t="s">
        <v>6645</v>
      </c>
      <c r="I365" s="3" t="s">
        <v>6646</v>
      </c>
      <c r="J365" s="3">
        <v>9.0</v>
      </c>
      <c r="K365" s="3">
        <v>2.0</v>
      </c>
      <c r="L365" s="3">
        <v>0.0</v>
      </c>
      <c r="M365" s="3">
        <v>0.0</v>
      </c>
      <c r="N365" s="3">
        <v>4943.81</v>
      </c>
      <c r="O365" s="3">
        <v>311.0</v>
      </c>
      <c r="P365" s="3" t="e">
        <v>#N/A</v>
      </c>
      <c r="Q365" s="3">
        <v>48.0</v>
      </c>
      <c r="R365" s="3">
        <v>49.0</v>
      </c>
      <c r="S365" s="3">
        <v>54.0</v>
      </c>
      <c r="T365" s="3">
        <v>48.0</v>
      </c>
      <c r="U365" s="3">
        <v>55.0</v>
      </c>
      <c r="V365" s="3">
        <v>48.0</v>
      </c>
      <c r="W365" s="3">
        <v>60.0</v>
      </c>
      <c r="X365" s="3">
        <v>59.0</v>
      </c>
      <c r="Y365" s="3">
        <v>42.0</v>
      </c>
      <c r="Z365" s="3">
        <v>47.0</v>
      </c>
      <c r="AA365" s="3">
        <v>51.0</v>
      </c>
      <c r="AB365" s="3">
        <v>53.0</v>
      </c>
      <c r="AC365" s="3">
        <v>44.0</v>
      </c>
      <c r="AD365" s="3">
        <v>62.0</v>
      </c>
      <c r="AE365" s="3">
        <v>38.0</v>
      </c>
      <c r="AF365" s="3">
        <v>62.0</v>
      </c>
      <c r="AG365" s="3">
        <v>42.0</v>
      </c>
      <c r="AH365" s="3">
        <v>78.0</v>
      </c>
      <c r="AI365" s="3">
        <v>79.0</v>
      </c>
      <c r="AJ365" s="3">
        <v>47.0</v>
      </c>
      <c r="AK365" s="3">
        <v>55.0</v>
      </c>
      <c r="AL365" s="3">
        <v>66.0</v>
      </c>
      <c r="AM365" s="3">
        <v>47.0</v>
      </c>
      <c r="AN365" s="3">
        <v>33.0</v>
      </c>
    </row>
    <row r="366" ht="14.25" customHeight="1">
      <c r="A366" s="3">
        <v>364.0</v>
      </c>
      <c r="B366" s="3" t="s">
        <v>7542</v>
      </c>
      <c r="C366" s="3">
        <v>29.0</v>
      </c>
      <c r="D366" s="3" t="s">
        <v>6645</v>
      </c>
      <c r="E366" s="3" t="s">
        <v>6646</v>
      </c>
      <c r="F366" s="3" t="s">
        <v>6646</v>
      </c>
      <c r="G366" s="3" t="s">
        <v>6645</v>
      </c>
      <c r="H366" s="3" t="s">
        <v>6645</v>
      </c>
      <c r="I366" s="3" t="s">
        <v>6645</v>
      </c>
      <c r="J366" s="3">
        <v>9.0</v>
      </c>
      <c r="K366" s="3">
        <v>2.0</v>
      </c>
      <c r="L366" s="3">
        <v>0.0</v>
      </c>
      <c r="M366" s="3">
        <v>0.0</v>
      </c>
      <c r="N366" s="3">
        <v>4676.0107</v>
      </c>
      <c r="O366" s="3">
        <v>323.0</v>
      </c>
      <c r="P366" s="3" t="e">
        <v>#N/A</v>
      </c>
      <c r="Q366" s="3">
        <v>52.0</v>
      </c>
      <c r="R366" s="3">
        <v>48.0</v>
      </c>
      <c r="S366" s="3">
        <v>49.0</v>
      </c>
      <c r="T366" s="3">
        <v>49.0</v>
      </c>
      <c r="U366" s="3">
        <v>51.0</v>
      </c>
      <c r="V366" s="3">
        <v>47.0</v>
      </c>
      <c r="W366" s="3">
        <v>55.0</v>
      </c>
      <c r="X366" s="3">
        <v>61.0</v>
      </c>
      <c r="Y366" s="3">
        <v>50.0</v>
      </c>
      <c r="Z366" s="3">
        <v>45.0</v>
      </c>
      <c r="AA366" s="3">
        <v>54.0</v>
      </c>
      <c r="AB366" s="3">
        <v>44.0</v>
      </c>
      <c r="AC366" s="3">
        <v>41.0</v>
      </c>
      <c r="AD366" s="3">
        <v>58.0</v>
      </c>
      <c r="AE366" s="3">
        <v>48.0</v>
      </c>
      <c r="AF366" s="3">
        <v>17.0</v>
      </c>
      <c r="AG366" s="3">
        <v>50.0</v>
      </c>
      <c r="AH366" s="3">
        <v>77.0</v>
      </c>
      <c r="AI366" s="3">
        <v>77.0</v>
      </c>
      <c r="AJ366" s="3">
        <v>38.0</v>
      </c>
      <c r="AK366" s="3">
        <v>45.0</v>
      </c>
      <c r="AL366" s="3">
        <v>48.0</v>
      </c>
      <c r="AM366" s="3">
        <v>62.0</v>
      </c>
      <c r="AN366" s="3">
        <v>41.0</v>
      </c>
    </row>
    <row r="367" ht="14.25" customHeight="1">
      <c r="A367" s="3">
        <v>365.0</v>
      </c>
      <c r="B367" s="3" t="s">
        <v>7543</v>
      </c>
      <c r="C367" s="3">
        <v>24.0</v>
      </c>
      <c r="D367" s="3" t="s">
        <v>6645</v>
      </c>
      <c r="E367" s="3" t="s">
        <v>6646</v>
      </c>
      <c r="F367" s="3" t="s">
        <v>6646</v>
      </c>
      <c r="G367" s="3" t="s">
        <v>6645</v>
      </c>
      <c r="H367" s="3" t="s">
        <v>6645</v>
      </c>
      <c r="I367" s="3" t="s">
        <v>6645</v>
      </c>
      <c r="J367" s="3">
        <v>9.0</v>
      </c>
      <c r="K367" s="3">
        <v>1.0</v>
      </c>
      <c r="L367" s="3">
        <v>0.0</v>
      </c>
      <c r="M367" s="3">
        <v>0.0</v>
      </c>
      <c r="N367" s="3">
        <v>2012.5014</v>
      </c>
      <c r="O367" s="3">
        <v>158.0</v>
      </c>
      <c r="P367" s="3" t="e">
        <v>#N/A</v>
      </c>
      <c r="Q367" s="3">
        <v>46.0</v>
      </c>
      <c r="R367" s="3">
        <v>42.0</v>
      </c>
      <c r="S367" s="3">
        <v>47.0</v>
      </c>
      <c r="T367" s="3">
        <v>42.0</v>
      </c>
      <c r="U367" s="3">
        <v>43.0</v>
      </c>
      <c r="V367" s="3">
        <v>39.0</v>
      </c>
      <c r="W367" s="3">
        <v>48.0</v>
      </c>
      <c r="X367" s="3">
        <v>48.0</v>
      </c>
      <c r="Y367" s="3">
        <v>35.0</v>
      </c>
      <c r="Z367" s="3">
        <v>35.0</v>
      </c>
      <c r="AA367" s="3">
        <v>50.0</v>
      </c>
      <c r="AB367" s="3">
        <v>38.0</v>
      </c>
      <c r="AC367" s="3">
        <v>34.0</v>
      </c>
      <c r="AD367" s="3">
        <v>49.0</v>
      </c>
      <c r="AE367" s="3">
        <v>41.0</v>
      </c>
      <c r="AF367" s="3">
        <v>44.0</v>
      </c>
      <c r="AG367" s="3">
        <v>35.0</v>
      </c>
      <c r="AH367" s="3">
        <v>76.0</v>
      </c>
      <c r="AI367" s="3">
        <v>79.0</v>
      </c>
      <c r="AJ367" s="3">
        <v>60.0</v>
      </c>
      <c r="AK367" s="3">
        <v>56.0</v>
      </c>
      <c r="AL367" s="3">
        <v>56.0</v>
      </c>
      <c r="AM367" s="3">
        <v>60.0</v>
      </c>
      <c r="AN367" s="3">
        <v>14.0</v>
      </c>
    </row>
    <row r="368" ht="14.25" customHeight="1">
      <c r="A368" s="3">
        <v>366.0</v>
      </c>
      <c r="B368" s="3" t="s">
        <v>7544</v>
      </c>
      <c r="C368" s="3">
        <v>29.0</v>
      </c>
      <c r="D368" s="3" t="s">
        <v>6645</v>
      </c>
      <c r="E368" s="3" t="s">
        <v>6646</v>
      </c>
      <c r="F368" s="3" t="s">
        <v>6646</v>
      </c>
      <c r="G368" s="3" t="s">
        <v>6645</v>
      </c>
      <c r="H368" s="3" t="s">
        <v>6645</v>
      </c>
      <c r="I368" s="3" t="s">
        <v>6645</v>
      </c>
      <c r="J368" s="3">
        <v>9.0</v>
      </c>
      <c r="K368" s="3">
        <v>1.0</v>
      </c>
      <c r="L368" s="3">
        <v>0.0</v>
      </c>
      <c r="M368" s="3">
        <v>0.0</v>
      </c>
      <c r="N368" s="3">
        <v>1943.5848</v>
      </c>
      <c r="O368" s="3">
        <v>202.0</v>
      </c>
      <c r="P368" s="3" t="e">
        <v>#N/A</v>
      </c>
      <c r="Q368" s="3">
        <v>38.0</v>
      </c>
      <c r="R368" s="3">
        <v>39.0</v>
      </c>
      <c r="S368" s="3">
        <v>38.0</v>
      </c>
      <c r="T368" s="3">
        <v>41.0</v>
      </c>
      <c r="U368" s="3">
        <v>39.0</v>
      </c>
      <c r="V368" s="3">
        <v>44.0</v>
      </c>
      <c r="W368" s="3">
        <v>44.0</v>
      </c>
      <c r="X368" s="3">
        <v>44.0</v>
      </c>
      <c r="Y368" s="3">
        <v>39.0</v>
      </c>
      <c r="Z368" s="3">
        <v>33.0</v>
      </c>
      <c r="AA368" s="3">
        <v>50.0</v>
      </c>
      <c r="AB368" s="3">
        <v>33.0</v>
      </c>
      <c r="AC368" s="3">
        <v>40.0</v>
      </c>
      <c r="AD368" s="3">
        <v>48.0</v>
      </c>
      <c r="AE368" s="3">
        <v>43.0</v>
      </c>
      <c r="AF368" s="3">
        <v>40.0</v>
      </c>
      <c r="AG368" s="3">
        <v>60.0</v>
      </c>
      <c r="AH368" s="3">
        <v>67.0</v>
      </c>
      <c r="AI368" s="3">
        <v>66.0</v>
      </c>
      <c r="AJ368" s="3">
        <v>20.0</v>
      </c>
      <c r="AK368" s="3">
        <v>62.0</v>
      </c>
      <c r="AL368" s="3">
        <v>17.0</v>
      </c>
      <c r="AM368" s="3">
        <v>60.0</v>
      </c>
      <c r="AN368" s="3">
        <v>62.0</v>
      </c>
    </row>
    <row r="369" ht="14.25" customHeight="1">
      <c r="A369" s="3">
        <v>367.0</v>
      </c>
      <c r="B369" s="3" t="s">
        <v>7545</v>
      </c>
      <c r="C369" s="3">
        <v>24.0</v>
      </c>
      <c r="D369" s="3" t="s">
        <v>6645</v>
      </c>
      <c r="E369" s="3" t="s">
        <v>6646</v>
      </c>
      <c r="F369" s="3" t="s">
        <v>6646</v>
      </c>
      <c r="G369" s="3" t="s">
        <v>6645</v>
      </c>
      <c r="H369" s="3" t="s">
        <v>6645</v>
      </c>
      <c r="I369" s="3" t="s">
        <v>6645</v>
      </c>
      <c r="J369" s="3">
        <v>9.0</v>
      </c>
      <c r="K369" s="3">
        <v>1.0</v>
      </c>
      <c r="L369" s="3">
        <v>0.0</v>
      </c>
      <c r="M369" s="3">
        <v>0.0</v>
      </c>
      <c r="N369" s="3">
        <v>1925.5864</v>
      </c>
      <c r="O369" s="3">
        <v>175.0</v>
      </c>
      <c r="P369" s="3" t="e">
        <v>#N/A</v>
      </c>
      <c r="Q369" s="3">
        <v>45.0</v>
      </c>
      <c r="R369" s="3">
        <v>47.0</v>
      </c>
      <c r="S369" s="3">
        <v>42.0</v>
      </c>
      <c r="T369" s="3">
        <v>38.0</v>
      </c>
      <c r="U369" s="3">
        <v>40.0</v>
      </c>
      <c r="V369" s="3">
        <v>40.0</v>
      </c>
      <c r="W369" s="3">
        <v>50.0</v>
      </c>
      <c r="X369" s="3">
        <v>51.0</v>
      </c>
      <c r="Y369" s="3">
        <v>38.0</v>
      </c>
      <c r="Z369" s="3">
        <v>36.0</v>
      </c>
      <c r="AA369" s="3">
        <v>51.0</v>
      </c>
      <c r="AB369" s="3">
        <v>33.0</v>
      </c>
      <c r="AC369" s="3">
        <v>34.0</v>
      </c>
      <c r="AD369" s="3">
        <v>51.0</v>
      </c>
      <c r="AE369" s="3">
        <v>32.0</v>
      </c>
      <c r="AF369" s="3">
        <v>37.0</v>
      </c>
      <c r="AG369" s="3">
        <v>38.0</v>
      </c>
      <c r="AH369" s="3">
        <v>77.0</v>
      </c>
      <c r="AI369" s="3">
        <v>68.0</v>
      </c>
      <c r="AJ369" s="3">
        <v>38.0</v>
      </c>
      <c r="AK369" s="3">
        <v>54.0</v>
      </c>
      <c r="AL369" s="3">
        <v>44.0</v>
      </c>
      <c r="AM369" s="3">
        <v>42.0</v>
      </c>
      <c r="AN369" s="3">
        <v>44.0</v>
      </c>
    </row>
    <row r="370" ht="14.25" customHeight="1">
      <c r="A370" s="3">
        <v>368.0</v>
      </c>
      <c r="B370" s="3" t="s">
        <v>7546</v>
      </c>
      <c r="C370" s="3">
        <v>29.0</v>
      </c>
      <c r="D370" s="3" t="s">
        <v>6645</v>
      </c>
      <c r="E370" s="3" t="s">
        <v>6646</v>
      </c>
      <c r="F370" s="3" t="s">
        <v>6646</v>
      </c>
      <c r="G370" s="3" t="s">
        <v>6645</v>
      </c>
      <c r="H370" s="3" t="s">
        <v>6645</v>
      </c>
      <c r="I370" s="3" t="s">
        <v>6646</v>
      </c>
      <c r="J370" s="3">
        <v>9.0</v>
      </c>
      <c r="K370" s="3">
        <v>1.0</v>
      </c>
      <c r="L370" s="3">
        <v>0.0</v>
      </c>
      <c r="M370" s="3">
        <v>0.0</v>
      </c>
      <c r="N370" s="3">
        <v>1820.6446</v>
      </c>
      <c r="O370" s="3">
        <v>194.0</v>
      </c>
      <c r="P370" s="3" t="e">
        <v>#N/A</v>
      </c>
      <c r="Q370" s="3">
        <v>38.0</v>
      </c>
      <c r="R370" s="3">
        <v>44.0</v>
      </c>
      <c r="S370" s="3">
        <v>47.0</v>
      </c>
      <c r="T370" s="3">
        <v>46.0</v>
      </c>
      <c r="U370" s="3">
        <v>43.0</v>
      </c>
      <c r="V370" s="3">
        <v>39.0</v>
      </c>
      <c r="W370" s="3">
        <v>56.0</v>
      </c>
      <c r="X370" s="3">
        <v>49.0</v>
      </c>
      <c r="Y370" s="3">
        <v>33.0</v>
      </c>
      <c r="Z370" s="3">
        <v>40.0</v>
      </c>
      <c r="AA370" s="3">
        <v>47.0</v>
      </c>
      <c r="AB370" s="3">
        <v>30.0</v>
      </c>
      <c r="AC370" s="3">
        <v>37.0</v>
      </c>
      <c r="AD370" s="3">
        <v>50.0</v>
      </c>
      <c r="AE370" s="3">
        <v>47.0</v>
      </c>
      <c r="AF370" s="3">
        <v>32.0</v>
      </c>
      <c r="AG370" s="3">
        <v>62.0</v>
      </c>
      <c r="AH370" s="3">
        <v>76.0</v>
      </c>
      <c r="AI370" s="3">
        <v>78.0</v>
      </c>
      <c r="AJ370" s="3">
        <v>46.0</v>
      </c>
      <c r="AK370" s="3">
        <v>56.0</v>
      </c>
      <c r="AL370" s="3">
        <v>46.0</v>
      </c>
      <c r="AM370" s="3">
        <v>24.0</v>
      </c>
      <c r="AN370" s="3">
        <v>54.0</v>
      </c>
    </row>
    <row r="371" ht="14.25" customHeight="1">
      <c r="A371" s="3">
        <v>369.0</v>
      </c>
      <c r="B371" s="3" t="s">
        <v>7547</v>
      </c>
      <c r="C371" s="3">
        <v>27.0</v>
      </c>
      <c r="D371" s="3" t="s">
        <v>6645</v>
      </c>
      <c r="E371" s="3" t="s">
        <v>6646</v>
      </c>
      <c r="F371" s="3" t="s">
        <v>6646</v>
      </c>
      <c r="G371" s="3" t="s">
        <v>6645</v>
      </c>
      <c r="H371" s="3" t="s">
        <v>6645</v>
      </c>
      <c r="I371" s="3" t="s">
        <v>6646</v>
      </c>
      <c r="J371" s="3">
        <v>9.0</v>
      </c>
      <c r="K371" s="3">
        <v>1.0</v>
      </c>
      <c r="L371" s="3">
        <v>0.0</v>
      </c>
      <c r="M371" s="3">
        <v>0.0</v>
      </c>
      <c r="N371" s="3">
        <v>2104.4316</v>
      </c>
      <c r="O371" s="3">
        <v>235.0</v>
      </c>
      <c r="P371" s="3" t="e">
        <v>#N/A</v>
      </c>
      <c r="Q371" s="3">
        <v>46.0</v>
      </c>
      <c r="R371" s="3">
        <v>42.0</v>
      </c>
      <c r="S371" s="3">
        <v>38.0</v>
      </c>
      <c r="T371" s="3">
        <v>45.0</v>
      </c>
      <c r="U371" s="3">
        <v>42.0</v>
      </c>
      <c r="V371" s="3">
        <v>41.0</v>
      </c>
      <c r="W371" s="3">
        <v>48.0</v>
      </c>
      <c r="X371" s="3">
        <v>51.0</v>
      </c>
      <c r="Y371" s="3">
        <v>39.0</v>
      </c>
      <c r="Z371" s="3">
        <v>36.0</v>
      </c>
      <c r="AA371" s="3">
        <v>46.0</v>
      </c>
      <c r="AB371" s="3">
        <v>42.0</v>
      </c>
      <c r="AC371" s="3">
        <v>37.0</v>
      </c>
      <c r="AD371" s="3">
        <v>52.0</v>
      </c>
      <c r="AE371" s="3">
        <v>35.0</v>
      </c>
      <c r="AF371" s="3">
        <v>16.0</v>
      </c>
      <c r="AG371" s="3">
        <v>44.0</v>
      </c>
      <c r="AH371" s="3">
        <v>70.0</v>
      </c>
      <c r="AI371" s="3">
        <v>77.0</v>
      </c>
      <c r="AJ371" s="3">
        <v>60.0</v>
      </c>
      <c r="AK371" s="3">
        <v>62.0</v>
      </c>
      <c r="AL371" s="3">
        <v>42.0</v>
      </c>
      <c r="AM371" s="3">
        <v>25.0</v>
      </c>
      <c r="AN371" s="3">
        <v>40.0</v>
      </c>
    </row>
    <row r="372" ht="14.25" customHeight="1">
      <c r="A372" s="3">
        <v>370.0</v>
      </c>
      <c r="B372" s="3" t="s">
        <v>7548</v>
      </c>
      <c r="C372" s="3">
        <v>20.0</v>
      </c>
      <c r="D372" s="3" t="s">
        <v>6645</v>
      </c>
      <c r="E372" s="3" t="s">
        <v>6646</v>
      </c>
      <c r="F372" s="3" t="s">
        <v>6646</v>
      </c>
      <c r="G372" s="3" t="s">
        <v>6645</v>
      </c>
      <c r="H372" s="3" t="s">
        <v>6645</v>
      </c>
      <c r="I372" s="3" t="s">
        <v>6645</v>
      </c>
      <c r="J372" s="3">
        <v>9.0</v>
      </c>
      <c r="K372" s="3">
        <v>0.0</v>
      </c>
      <c r="L372" s="3">
        <v>0.0</v>
      </c>
      <c r="M372" s="3">
        <v>0.0</v>
      </c>
      <c r="N372" s="3">
        <v>581.49426</v>
      </c>
      <c r="O372" s="3">
        <v>85.0</v>
      </c>
      <c r="P372" s="3" t="e">
        <v>#N/A</v>
      </c>
      <c r="Q372" s="3">
        <v>31.0</v>
      </c>
      <c r="R372" s="3">
        <v>31.0</v>
      </c>
      <c r="S372" s="3">
        <v>30.0</v>
      </c>
      <c r="T372" s="3">
        <v>33.0</v>
      </c>
      <c r="U372" s="3">
        <v>35.0</v>
      </c>
      <c r="V372" s="3">
        <v>37.0</v>
      </c>
      <c r="W372" s="3">
        <v>40.0</v>
      </c>
      <c r="X372" s="3">
        <v>38.0</v>
      </c>
      <c r="Y372" s="3">
        <v>34.0</v>
      </c>
      <c r="Z372" s="3">
        <v>25.0</v>
      </c>
      <c r="AA372" s="3">
        <v>39.0</v>
      </c>
      <c r="AB372" s="3">
        <v>39.0</v>
      </c>
      <c r="AC372" s="3">
        <v>26.0</v>
      </c>
      <c r="AD372" s="3">
        <v>44.0</v>
      </c>
      <c r="AE372" s="3">
        <v>22.0</v>
      </c>
      <c r="AF372" s="3">
        <v>36.0</v>
      </c>
      <c r="AG372" s="3">
        <v>5.0</v>
      </c>
      <c r="AH372" s="3">
        <v>68.0</v>
      </c>
      <c r="AI372" s="3">
        <v>64.0</v>
      </c>
      <c r="AJ372" s="3">
        <v>47.0</v>
      </c>
      <c r="AK372" s="3">
        <v>32.0</v>
      </c>
      <c r="AL372" s="3">
        <v>42.0</v>
      </c>
      <c r="AM372" s="3">
        <v>42.0</v>
      </c>
      <c r="AN372" s="3">
        <v>31.0</v>
      </c>
    </row>
    <row r="373" ht="14.25" customHeight="1">
      <c r="A373" s="3">
        <v>371.0</v>
      </c>
      <c r="B373" s="3" t="s">
        <v>7549</v>
      </c>
      <c r="C373" s="3">
        <v>19.0</v>
      </c>
      <c r="D373" s="3" t="s">
        <v>6645</v>
      </c>
      <c r="E373" s="3" t="s">
        <v>6646</v>
      </c>
      <c r="F373" s="3" t="s">
        <v>6646</v>
      </c>
      <c r="G373" s="3" t="s">
        <v>6645</v>
      </c>
      <c r="H373" s="3" t="s">
        <v>6645</v>
      </c>
      <c r="I373" s="3" t="s">
        <v>6646</v>
      </c>
      <c r="J373" s="3">
        <v>9.0</v>
      </c>
      <c r="K373" s="3">
        <v>0.0</v>
      </c>
      <c r="L373" s="3">
        <v>0.0</v>
      </c>
      <c r="M373" s="3">
        <v>0.0</v>
      </c>
      <c r="N373" s="3">
        <v>519.98364</v>
      </c>
      <c r="O373" s="3">
        <v>124.0</v>
      </c>
      <c r="P373" s="3" t="e">
        <v>#N/A</v>
      </c>
      <c r="Q373" s="3">
        <v>39.0</v>
      </c>
      <c r="R373" s="3">
        <v>33.0</v>
      </c>
      <c r="S373" s="3">
        <v>33.0</v>
      </c>
      <c r="T373" s="3">
        <v>37.0</v>
      </c>
      <c r="U373" s="3">
        <v>32.0</v>
      </c>
      <c r="V373" s="3">
        <v>39.0</v>
      </c>
      <c r="W373" s="3">
        <v>43.0</v>
      </c>
      <c r="X373" s="3">
        <v>41.0</v>
      </c>
      <c r="Y373" s="3">
        <v>24.0</v>
      </c>
      <c r="Z373" s="3">
        <v>38.0</v>
      </c>
      <c r="AA373" s="3">
        <v>45.0</v>
      </c>
      <c r="AB373" s="3">
        <v>30.0</v>
      </c>
      <c r="AC373" s="3">
        <v>21.0</v>
      </c>
      <c r="AD373" s="3">
        <v>39.0</v>
      </c>
      <c r="AE373" s="3">
        <v>29.0</v>
      </c>
      <c r="AF373" s="3">
        <v>31.0</v>
      </c>
      <c r="AG373" s="3">
        <v>14.0</v>
      </c>
      <c r="AH373" s="3">
        <v>72.0</v>
      </c>
      <c r="AI373" s="3">
        <v>73.0</v>
      </c>
      <c r="AJ373" s="3">
        <v>32.0</v>
      </c>
      <c r="AK373" s="3">
        <v>47.0</v>
      </c>
      <c r="AL373" s="3">
        <v>58.0</v>
      </c>
      <c r="AM373" s="3">
        <v>46.0</v>
      </c>
      <c r="AN373" s="3">
        <v>37.0</v>
      </c>
    </row>
    <row r="374" ht="14.25" customHeight="1">
      <c r="A374" s="3">
        <v>372.0</v>
      </c>
      <c r="B374" s="3" t="s">
        <v>7550</v>
      </c>
      <c r="C374" s="3">
        <v>15.0</v>
      </c>
      <c r="D374" s="3" t="s">
        <v>6645</v>
      </c>
      <c r="E374" s="3" t="s">
        <v>6646</v>
      </c>
      <c r="F374" s="3" t="s">
        <v>6646</v>
      </c>
      <c r="G374" s="3" t="s">
        <v>6645</v>
      </c>
      <c r="H374" s="3" t="s">
        <v>6645</v>
      </c>
      <c r="I374" s="3" t="s">
        <v>6645</v>
      </c>
      <c r="J374" s="3">
        <v>9.0</v>
      </c>
      <c r="K374" s="3">
        <v>0.0</v>
      </c>
      <c r="L374" s="3">
        <v>0.0</v>
      </c>
      <c r="M374" s="3">
        <v>0.0</v>
      </c>
      <c r="N374" s="3">
        <v>470.82565</v>
      </c>
      <c r="O374" s="3">
        <v>111.0</v>
      </c>
      <c r="P374" s="3" t="e">
        <v>#N/A</v>
      </c>
      <c r="Q374" s="3">
        <v>31.0</v>
      </c>
      <c r="R374" s="3">
        <v>32.0</v>
      </c>
      <c r="S374" s="3">
        <v>32.0</v>
      </c>
      <c r="T374" s="3">
        <v>33.0</v>
      </c>
      <c r="U374" s="3">
        <v>38.0</v>
      </c>
      <c r="V374" s="3">
        <v>39.0</v>
      </c>
      <c r="W374" s="3">
        <v>45.0</v>
      </c>
      <c r="X374" s="3">
        <v>35.0</v>
      </c>
      <c r="Y374" s="3">
        <v>30.0</v>
      </c>
      <c r="Z374" s="3">
        <v>27.0</v>
      </c>
      <c r="AA374" s="3">
        <v>41.0</v>
      </c>
      <c r="AB374" s="3">
        <v>27.0</v>
      </c>
      <c r="AC374" s="3">
        <v>39.0</v>
      </c>
      <c r="AD374" s="3">
        <v>47.0</v>
      </c>
      <c r="AE374" s="3">
        <v>26.0</v>
      </c>
      <c r="AF374" s="3">
        <v>39.0</v>
      </c>
      <c r="AG374" s="3">
        <v>33.0</v>
      </c>
      <c r="AH374" s="3">
        <v>64.0</v>
      </c>
      <c r="AI374" s="3">
        <v>69.0</v>
      </c>
      <c r="AJ374" s="3">
        <v>51.0</v>
      </c>
      <c r="AK374" s="3">
        <v>2.0</v>
      </c>
      <c r="AL374" s="3">
        <v>57.0</v>
      </c>
      <c r="AM374" s="3">
        <v>38.0</v>
      </c>
      <c r="AN374" s="3">
        <v>52.0</v>
      </c>
    </row>
    <row r="375" ht="14.25" customHeight="1">
      <c r="A375" s="3">
        <v>373.0</v>
      </c>
      <c r="B375" s="3" t="s">
        <v>7551</v>
      </c>
      <c r="C375" s="3">
        <v>18.0</v>
      </c>
      <c r="D375" s="3" t="s">
        <v>6645</v>
      </c>
      <c r="E375" s="3" t="s">
        <v>6646</v>
      </c>
      <c r="F375" s="3" t="s">
        <v>6646</v>
      </c>
      <c r="G375" s="3" t="s">
        <v>6645</v>
      </c>
      <c r="H375" s="3" t="s">
        <v>6645</v>
      </c>
      <c r="I375" s="3" t="s">
        <v>6646</v>
      </c>
      <c r="J375" s="3">
        <v>9.0</v>
      </c>
      <c r="K375" s="3">
        <v>0.0</v>
      </c>
      <c r="L375" s="3">
        <v>0.0</v>
      </c>
      <c r="M375" s="3">
        <v>0.0</v>
      </c>
      <c r="N375" s="3">
        <v>650.975</v>
      </c>
      <c r="O375" s="3">
        <v>98.0</v>
      </c>
      <c r="P375" s="3" t="e">
        <v>#N/A</v>
      </c>
      <c r="Q375" s="3">
        <v>33.0</v>
      </c>
      <c r="R375" s="3">
        <v>36.0</v>
      </c>
      <c r="S375" s="3">
        <v>37.0</v>
      </c>
      <c r="T375" s="3">
        <v>39.0</v>
      </c>
      <c r="U375" s="3">
        <v>30.0</v>
      </c>
      <c r="V375" s="3">
        <v>31.0</v>
      </c>
      <c r="W375" s="3">
        <v>35.0</v>
      </c>
      <c r="X375" s="3">
        <v>38.0</v>
      </c>
      <c r="Y375" s="3">
        <v>29.0</v>
      </c>
      <c r="Z375" s="3">
        <v>33.0</v>
      </c>
      <c r="AA375" s="3">
        <v>44.0</v>
      </c>
      <c r="AB375" s="3">
        <v>25.0</v>
      </c>
      <c r="AC375" s="3">
        <v>25.0</v>
      </c>
      <c r="AD375" s="3">
        <v>46.0</v>
      </c>
      <c r="AE375" s="3">
        <v>26.0</v>
      </c>
      <c r="AF375" s="3">
        <v>33.0</v>
      </c>
      <c r="AG375" s="3">
        <v>55.0</v>
      </c>
      <c r="AH375" s="3">
        <v>71.0</v>
      </c>
      <c r="AI375" s="3">
        <v>65.0</v>
      </c>
      <c r="AJ375" s="3">
        <v>24.0</v>
      </c>
      <c r="AK375" s="3">
        <v>37.0</v>
      </c>
      <c r="AL375" s="3">
        <v>45.0</v>
      </c>
      <c r="AM375" s="3">
        <v>28.0</v>
      </c>
      <c r="AN375" s="3">
        <v>55.0</v>
      </c>
    </row>
    <row r="376" ht="14.25" customHeight="1">
      <c r="A376" s="3">
        <v>374.0</v>
      </c>
      <c r="B376" s="3" t="s">
        <v>7552</v>
      </c>
      <c r="C376" s="3">
        <v>19.0</v>
      </c>
      <c r="D376" s="3" t="s">
        <v>6645</v>
      </c>
      <c r="E376" s="3" t="s">
        <v>6646</v>
      </c>
      <c r="F376" s="3" t="s">
        <v>6646</v>
      </c>
      <c r="G376" s="3" t="s">
        <v>6645</v>
      </c>
      <c r="H376" s="3" t="s">
        <v>6645</v>
      </c>
      <c r="I376" s="3" t="s">
        <v>6646</v>
      </c>
      <c r="J376" s="3">
        <v>9.0</v>
      </c>
      <c r="K376" s="3">
        <v>0.0</v>
      </c>
      <c r="L376" s="3">
        <v>0.0</v>
      </c>
      <c r="M376" s="3">
        <v>0.0</v>
      </c>
      <c r="N376" s="3">
        <v>507.60812</v>
      </c>
      <c r="O376" s="3">
        <v>75.0</v>
      </c>
      <c r="P376" s="3" t="e">
        <v>#N/A</v>
      </c>
      <c r="Q376" s="3">
        <v>32.0</v>
      </c>
      <c r="R376" s="3">
        <v>31.0</v>
      </c>
      <c r="S376" s="3">
        <v>36.0</v>
      </c>
      <c r="T376" s="3">
        <v>32.0</v>
      </c>
      <c r="U376" s="3">
        <v>31.0</v>
      </c>
      <c r="V376" s="3">
        <v>39.0</v>
      </c>
      <c r="W376" s="3">
        <v>42.0</v>
      </c>
      <c r="X376" s="3">
        <v>44.0</v>
      </c>
      <c r="Y376" s="3">
        <v>26.0</v>
      </c>
      <c r="Z376" s="3">
        <v>29.0</v>
      </c>
      <c r="AA376" s="3">
        <v>45.0</v>
      </c>
      <c r="AB376" s="3">
        <v>24.0</v>
      </c>
      <c r="AC376" s="3">
        <v>25.0</v>
      </c>
      <c r="AD376" s="3">
        <v>40.0</v>
      </c>
      <c r="AE376" s="3">
        <v>37.0</v>
      </c>
      <c r="AF376" s="3">
        <v>59.0</v>
      </c>
      <c r="AG376" s="3">
        <v>43.0</v>
      </c>
      <c r="AH376" s="3">
        <v>65.0</v>
      </c>
      <c r="AI376" s="3">
        <v>65.0</v>
      </c>
      <c r="AJ376" s="3">
        <v>32.0</v>
      </c>
      <c r="AK376" s="3">
        <v>36.0</v>
      </c>
      <c r="AL376" s="3">
        <v>0.0</v>
      </c>
      <c r="AM376" s="3">
        <v>21.0</v>
      </c>
      <c r="AN376" s="3">
        <v>36.0</v>
      </c>
    </row>
    <row r="377" ht="14.25" customHeight="1">
      <c r="A377" s="3">
        <v>375.0</v>
      </c>
      <c r="B377" s="3" t="s">
        <v>7553</v>
      </c>
      <c r="C377" s="3">
        <v>24.0</v>
      </c>
      <c r="D377" s="3" t="s">
        <v>6645</v>
      </c>
      <c r="E377" s="3" t="s">
        <v>6646</v>
      </c>
      <c r="F377" s="3" t="s">
        <v>6646</v>
      </c>
      <c r="G377" s="3" t="s">
        <v>6645</v>
      </c>
      <c r="H377" s="3" t="s">
        <v>6645</v>
      </c>
      <c r="I377" s="3" t="s">
        <v>6646</v>
      </c>
      <c r="J377" s="3">
        <v>9.0</v>
      </c>
      <c r="K377" s="3">
        <v>0.0</v>
      </c>
      <c r="L377" s="3">
        <v>0.0</v>
      </c>
      <c r="M377" s="3">
        <v>0.0</v>
      </c>
      <c r="N377" s="3">
        <v>468.61523</v>
      </c>
      <c r="O377" s="3">
        <v>101.0</v>
      </c>
      <c r="P377" s="3" t="e">
        <v>#N/A</v>
      </c>
      <c r="Q377" s="3">
        <v>33.0</v>
      </c>
      <c r="R377" s="3">
        <v>37.0</v>
      </c>
      <c r="S377" s="3">
        <v>38.0</v>
      </c>
      <c r="T377" s="3">
        <v>38.0</v>
      </c>
      <c r="U377" s="3">
        <v>31.0</v>
      </c>
      <c r="V377" s="3">
        <v>32.0</v>
      </c>
      <c r="W377" s="3">
        <v>44.0</v>
      </c>
      <c r="X377" s="3">
        <v>40.0</v>
      </c>
      <c r="Y377" s="3">
        <v>22.0</v>
      </c>
      <c r="Z377" s="3">
        <v>22.0</v>
      </c>
      <c r="AA377" s="3">
        <v>44.0</v>
      </c>
      <c r="AB377" s="3">
        <v>32.0</v>
      </c>
      <c r="AC377" s="3">
        <v>30.0</v>
      </c>
      <c r="AD377" s="3">
        <v>46.0</v>
      </c>
      <c r="AE377" s="3">
        <v>35.0</v>
      </c>
      <c r="AF377" s="3">
        <v>36.0</v>
      </c>
      <c r="AG377" s="3">
        <v>10.0</v>
      </c>
      <c r="AH377" s="3">
        <v>63.0</v>
      </c>
      <c r="AI377" s="3">
        <v>79.0</v>
      </c>
      <c r="AJ377" s="3">
        <v>34.0</v>
      </c>
      <c r="AK377" s="3">
        <v>52.0</v>
      </c>
      <c r="AL377" s="3">
        <v>45.0</v>
      </c>
      <c r="AM377" s="3">
        <v>40.0</v>
      </c>
      <c r="AN377" s="3">
        <v>13.0</v>
      </c>
    </row>
    <row r="378" ht="14.25" customHeight="1">
      <c r="A378" s="3">
        <v>376.0</v>
      </c>
      <c r="B378" s="3" t="s">
        <v>7554</v>
      </c>
      <c r="C378" s="3">
        <v>36.0</v>
      </c>
      <c r="D378" s="3" t="s">
        <v>6645</v>
      </c>
      <c r="E378" s="3" t="s">
        <v>6646</v>
      </c>
      <c r="F378" s="3" t="s">
        <v>6646</v>
      </c>
      <c r="G378" s="3" t="s">
        <v>6645</v>
      </c>
      <c r="H378" s="3" t="s">
        <v>6645</v>
      </c>
      <c r="I378" s="3" t="s">
        <v>6645</v>
      </c>
      <c r="J378" s="3">
        <v>10.0</v>
      </c>
      <c r="K378" s="3">
        <v>4.0</v>
      </c>
      <c r="L378" s="3">
        <v>0.0</v>
      </c>
      <c r="M378" s="3">
        <v>0.0</v>
      </c>
      <c r="N378" s="3">
        <v>16777.121</v>
      </c>
      <c r="O378" s="3">
        <v>1892.0</v>
      </c>
      <c r="P378" s="3" t="e">
        <v>#N/A</v>
      </c>
      <c r="Q378" s="3">
        <v>80.0</v>
      </c>
      <c r="R378" s="3">
        <v>63.0</v>
      </c>
      <c r="S378" s="3">
        <v>68.0</v>
      </c>
      <c r="T378" s="3">
        <v>68.0</v>
      </c>
      <c r="U378" s="3">
        <v>87.0</v>
      </c>
      <c r="V378" s="3">
        <v>67.0</v>
      </c>
      <c r="W378" s="3">
        <v>88.0</v>
      </c>
      <c r="X378" s="3">
        <v>70.0</v>
      </c>
      <c r="Y378" s="3">
        <v>82.0</v>
      </c>
      <c r="Z378" s="3">
        <v>78.0</v>
      </c>
      <c r="AA378" s="3">
        <v>61.0</v>
      </c>
      <c r="AB378" s="3">
        <v>68.0</v>
      </c>
      <c r="AC378" s="3">
        <v>87.0</v>
      </c>
      <c r="AD378" s="3">
        <v>70.0</v>
      </c>
      <c r="AE378" s="3">
        <v>61.0</v>
      </c>
      <c r="AF378" s="3">
        <v>85.0</v>
      </c>
      <c r="AG378" s="3">
        <v>65.0</v>
      </c>
      <c r="AH378" s="3">
        <v>71.0</v>
      </c>
      <c r="AI378" s="3">
        <v>57.0</v>
      </c>
      <c r="AJ378" s="3">
        <v>62.0</v>
      </c>
      <c r="AK378" s="3">
        <v>52.0</v>
      </c>
      <c r="AL378" s="3">
        <v>51.0</v>
      </c>
      <c r="AM378" s="3">
        <v>44.0</v>
      </c>
      <c r="AN378" s="3">
        <v>53.0</v>
      </c>
    </row>
    <row r="379" ht="14.25" customHeight="1">
      <c r="A379" s="3">
        <v>377.0</v>
      </c>
      <c r="B379" s="3" t="s">
        <v>7555</v>
      </c>
      <c r="C379" s="3">
        <v>36.0</v>
      </c>
      <c r="D379" s="3" t="s">
        <v>6645</v>
      </c>
      <c r="E379" s="3" t="s">
        <v>6646</v>
      </c>
      <c r="F379" s="3" t="s">
        <v>6646</v>
      </c>
      <c r="G379" s="3" t="s">
        <v>6645</v>
      </c>
      <c r="H379" s="3" t="s">
        <v>6645</v>
      </c>
      <c r="I379" s="3" t="s">
        <v>6645</v>
      </c>
      <c r="J379" s="3">
        <v>10.0</v>
      </c>
      <c r="K379" s="3">
        <v>4.0</v>
      </c>
      <c r="L379" s="3">
        <v>0.0</v>
      </c>
      <c r="M379" s="3">
        <v>0.0</v>
      </c>
      <c r="N379" s="3">
        <v>16748.181</v>
      </c>
      <c r="O379" s="3">
        <v>1576.0</v>
      </c>
      <c r="P379" s="3" t="e">
        <v>#N/A</v>
      </c>
      <c r="Q379" s="3">
        <v>77.0</v>
      </c>
      <c r="R379" s="3">
        <v>71.0</v>
      </c>
      <c r="S379" s="3">
        <v>70.0</v>
      </c>
      <c r="T379" s="3">
        <v>67.0</v>
      </c>
      <c r="U379" s="3">
        <v>85.0</v>
      </c>
      <c r="V379" s="3">
        <v>64.0</v>
      </c>
      <c r="W379" s="3">
        <v>90.0</v>
      </c>
      <c r="X379" s="3">
        <v>76.0</v>
      </c>
      <c r="Y379" s="3">
        <v>83.0</v>
      </c>
      <c r="Z379" s="3">
        <v>82.0</v>
      </c>
      <c r="AA379" s="3">
        <v>64.0</v>
      </c>
      <c r="AB379" s="3">
        <v>63.0</v>
      </c>
      <c r="AC379" s="3">
        <v>90.0</v>
      </c>
      <c r="AD379" s="3">
        <v>82.0</v>
      </c>
      <c r="AE379" s="3">
        <v>64.0</v>
      </c>
      <c r="AF379" s="3">
        <v>75.0</v>
      </c>
      <c r="AG379" s="3">
        <v>51.0</v>
      </c>
      <c r="AH379" s="3">
        <v>44.0</v>
      </c>
      <c r="AI379" s="3">
        <v>65.0</v>
      </c>
      <c r="AJ379" s="3">
        <v>56.0</v>
      </c>
      <c r="AK379" s="3">
        <v>72.0</v>
      </c>
      <c r="AL379" s="3">
        <v>45.0</v>
      </c>
      <c r="AM379" s="3">
        <v>60.0</v>
      </c>
      <c r="AN379" s="3">
        <v>72.0</v>
      </c>
    </row>
    <row r="380" ht="14.25" customHeight="1">
      <c r="A380" s="3">
        <v>378.0</v>
      </c>
      <c r="B380" s="3" t="s">
        <v>7556</v>
      </c>
      <c r="C380" s="3">
        <v>44.0</v>
      </c>
      <c r="D380" s="3" t="s">
        <v>6645</v>
      </c>
      <c r="E380" s="3" t="s">
        <v>6646</v>
      </c>
      <c r="F380" s="3" t="s">
        <v>6646</v>
      </c>
      <c r="G380" s="3" t="s">
        <v>6645</v>
      </c>
      <c r="H380" s="3" t="s">
        <v>6645</v>
      </c>
      <c r="I380" s="3" t="s">
        <v>6645</v>
      </c>
      <c r="J380" s="3">
        <v>10.0</v>
      </c>
      <c r="K380" s="3">
        <v>4.0</v>
      </c>
      <c r="L380" s="3">
        <v>0.0</v>
      </c>
      <c r="M380" s="3">
        <v>0.0</v>
      </c>
      <c r="N380" s="3">
        <v>16143.597</v>
      </c>
      <c r="O380" s="3">
        <v>1554.0</v>
      </c>
      <c r="P380" s="3" t="e">
        <v>#N/A</v>
      </c>
      <c r="Q380" s="3">
        <v>83.0</v>
      </c>
      <c r="R380" s="3">
        <v>66.0</v>
      </c>
      <c r="S380" s="3">
        <v>63.0</v>
      </c>
      <c r="T380" s="3">
        <v>69.0</v>
      </c>
      <c r="U380" s="3">
        <v>86.0</v>
      </c>
      <c r="V380" s="3">
        <v>63.0</v>
      </c>
      <c r="W380" s="3">
        <v>84.0</v>
      </c>
      <c r="X380" s="3">
        <v>70.0</v>
      </c>
      <c r="Y380" s="3">
        <v>87.0</v>
      </c>
      <c r="Z380" s="3">
        <v>77.0</v>
      </c>
      <c r="AA380" s="3">
        <v>63.0</v>
      </c>
      <c r="AB380" s="3">
        <v>61.0</v>
      </c>
      <c r="AC380" s="3">
        <v>88.0</v>
      </c>
      <c r="AD380" s="3">
        <v>73.0</v>
      </c>
      <c r="AE380" s="3">
        <v>65.0</v>
      </c>
      <c r="AF380" s="3">
        <v>84.0</v>
      </c>
      <c r="AG380" s="3">
        <v>66.0</v>
      </c>
      <c r="AH380" s="3">
        <v>54.0</v>
      </c>
      <c r="AI380" s="3">
        <v>58.0</v>
      </c>
      <c r="AJ380" s="3">
        <v>69.0</v>
      </c>
      <c r="AK380" s="3">
        <v>59.0</v>
      </c>
      <c r="AL380" s="3">
        <v>66.0</v>
      </c>
      <c r="AM380" s="3">
        <v>54.0</v>
      </c>
      <c r="AN380" s="3">
        <v>58.0</v>
      </c>
    </row>
    <row r="381" ht="14.25" customHeight="1">
      <c r="A381" s="3">
        <v>379.0</v>
      </c>
      <c r="B381" s="3" t="s">
        <v>7557</v>
      </c>
      <c r="C381" s="3">
        <v>37.0</v>
      </c>
      <c r="D381" s="3" t="s">
        <v>6645</v>
      </c>
      <c r="E381" s="3" t="s">
        <v>6646</v>
      </c>
      <c r="F381" s="3" t="s">
        <v>6646</v>
      </c>
      <c r="G381" s="3" t="s">
        <v>6645</v>
      </c>
      <c r="H381" s="3" t="s">
        <v>6645</v>
      </c>
      <c r="I381" s="3" t="s">
        <v>6645</v>
      </c>
      <c r="J381" s="3">
        <v>10.0</v>
      </c>
      <c r="K381" s="3">
        <v>4.0</v>
      </c>
      <c r="L381" s="3">
        <v>0.0</v>
      </c>
      <c r="M381" s="3">
        <v>0.0</v>
      </c>
      <c r="N381" s="3">
        <v>15863.674</v>
      </c>
      <c r="O381" s="3">
        <v>1210.0</v>
      </c>
      <c r="P381" s="3" t="e">
        <v>#N/A</v>
      </c>
      <c r="Q381" s="3">
        <v>74.0</v>
      </c>
      <c r="R381" s="3">
        <v>65.0</v>
      </c>
      <c r="S381" s="3">
        <v>66.0</v>
      </c>
      <c r="T381" s="3">
        <v>68.0</v>
      </c>
      <c r="U381" s="3">
        <v>81.0</v>
      </c>
      <c r="V381" s="3">
        <v>67.0</v>
      </c>
      <c r="W381" s="3">
        <v>83.0</v>
      </c>
      <c r="X381" s="3">
        <v>73.0</v>
      </c>
      <c r="Y381" s="3">
        <v>83.0</v>
      </c>
      <c r="Z381" s="3">
        <v>86.0</v>
      </c>
      <c r="AA381" s="3">
        <v>60.0</v>
      </c>
      <c r="AB381" s="3">
        <v>61.0</v>
      </c>
      <c r="AC381" s="3">
        <v>92.0</v>
      </c>
      <c r="AD381" s="3">
        <v>74.0</v>
      </c>
      <c r="AE381" s="3">
        <v>62.0</v>
      </c>
      <c r="AF381" s="3">
        <v>75.0</v>
      </c>
      <c r="AG381" s="3">
        <v>37.0</v>
      </c>
      <c r="AH381" s="3">
        <v>47.0</v>
      </c>
      <c r="AI381" s="3">
        <v>65.0</v>
      </c>
      <c r="AJ381" s="3">
        <v>67.0</v>
      </c>
      <c r="AK381" s="3">
        <v>72.0</v>
      </c>
      <c r="AL381" s="3">
        <v>68.0</v>
      </c>
      <c r="AM381" s="3">
        <v>71.0</v>
      </c>
      <c r="AN381" s="3">
        <v>60.0</v>
      </c>
    </row>
    <row r="382" ht="14.25" customHeight="1">
      <c r="A382" s="3">
        <v>380.0</v>
      </c>
      <c r="B382" s="3" t="s">
        <v>7558</v>
      </c>
      <c r="C382" s="3">
        <v>30.0</v>
      </c>
      <c r="D382" s="3" t="s">
        <v>6645</v>
      </c>
      <c r="E382" s="3" t="s">
        <v>6646</v>
      </c>
      <c r="F382" s="3" t="s">
        <v>6646</v>
      </c>
      <c r="G382" s="3" t="s">
        <v>6645</v>
      </c>
      <c r="H382" s="3" t="s">
        <v>6645</v>
      </c>
      <c r="I382" s="3" t="s">
        <v>6645</v>
      </c>
      <c r="J382" s="3">
        <v>10.0</v>
      </c>
      <c r="K382" s="3">
        <v>3.0</v>
      </c>
      <c r="L382" s="3">
        <v>0.0</v>
      </c>
      <c r="M382" s="3">
        <v>0.0</v>
      </c>
      <c r="N382" s="3">
        <v>8972.6455</v>
      </c>
      <c r="O382" s="3">
        <v>854.0</v>
      </c>
      <c r="P382" s="3" t="e">
        <v>#N/A</v>
      </c>
      <c r="Q382" s="3">
        <v>66.0</v>
      </c>
      <c r="R382" s="3">
        <v>56.0</v>
      </c>
      <c r="S382" s="3">
        <v>59.0</v>
      </c>
      <c r="T382" s="3">
        <v>57.0</v>
      </c>
      <c r="U382" s="3">
        <v>60.0</v>
      </c>
      <c r="V382" s="3">
        <v>62.0</v>
      </c>
      <c r="W382" s="3">
        <v>68.0</v>
      </c>
      <c r="X382" s="3">
        <v>53.0</v>
      </c>
      <c r="Y382" s="3">
        <v>67.0</v>
      </c>
      <c r="Z382" s="3">
        <v>65.0</v>
      </c>
      <c r="AA382" s="3">
        <v>49.0</v>
      </c>
      <c r="AB382" s="3">
        <v>52.0</v>
      </c>
      <c r="AC382" s="3">
        <v>71.0</v>
      </c>
      <c r="AD382" s="3">
        <v>57.0</v>
      </c>
      <c r="AE382" s="3">
        <v>54.0</v>
      </c>
      <c r="AF382" s="3">
        <v>84.0</v>
      </c>
      <c r="AG382" s="3">
        <v>34.0</v>
      </c>
      <c r="AH382" s="3">
        <v>42.0</v>
      </c>
      <c r="AI382" s="3">
        <v>46.0</v>
      </c>
      <c r="AJ382" s="3">
        <v>54.0</v>
      </c>
      <c r="AK382" s="3">
        <v>62.0</v>
      </c>
      <c r="AL382" s="3">
        <v>68.0</v>
      </c>
      <c r="AM382" s="3">
        <v>62.0</v>
      </c>
      <c r="AN382" s="3">
        <v>56.0</v>
      </c>
    </row>
    <row r="383" ht="14.25" customHeight="1">
      <c r="A383" s="3">
        <v>381.0</v>
      </c>
      <c r="B383" s="3" t="s">
        <v>7559</v>
      </c>
      <c r="C383" s="3">
        <v>37.0</v>
      </c>
      <c r="D383" s="3" t="s">
        <v>6645</v>
      </c>
      <c r="E383" s="3" t="s">
        <v>6646</v>
      </c>
      <c r="F383" s="3" t="s">
        <v>6646</v>
      </c>
      <c r="G383" s="3" t="s">
        <v>6645</v>
      </c>
      <c r="H383" s="3" t="s">
        <v>6645</v>
      </c>
      <c r="I383" s="3" t="s">
        <v>6645</v>
      </c>
      <c r="J383" s="3">
        <v>10.0</v>
      </c>
      <c r="K383" s="3">
        <v>3.0</v>
      </c>
      <c r="L383" s="3">
        <v>0.0</v>
      </c>
      <c r="M383" s="3">
        <v>0.0</v>
      </c>
      <c r="N383" s="3">
        <v>8958.0</v>
      </c>
      <c r="O383" s="3">
        <v>738.0</v>
      </c>
      <c r="P383" s="3" t="e">
        <v>#N/A</v>
      </c>
      <c r="Q383" s="3">
        <v>59.0</v>
      </c>
      <c r="R383" s="3">
        <v>62.0</v>
      </c>
      <c r="S383" s="3">
        <v>56.0</v>
      </c>
      <c r="T383" s="3">
        <v>56.0</v>
      </c>
      <c r="U383" s="3">
        <v>63.0</v>
      </c>
      <c r="V383" s="3">
        <v>57.0</v>
      </c>
      <c r="W383" s="3">
        <v>69.0</v>
      </c>
      <c r="X383" s="3">
        <v>53.0</v>
      </c>
      <c r="Y383" s="3">
        <v>69.0</v>
      </c>
      <c r="Z383" s="3">
        <v>66.0</v>
      </c>
      <c r="AA383" s="3">
        <v>56.0</v>
      </c>
      <c r="AB383" s="3">
        <v>60.0</v>
      </c>
      <c r="AC383" s="3">
        <v>72.0</v>
      </c>
      <c r="AD383" s="3">
        <v>52.0</v>
      </c>
      <c r="AE383" s="3">
        <v>53.0</v>
      </c>
      <c r="AF383" s="3">
        <v>73.0</v>
      </c>
      <c r="AG383" s="3">
        <v>48.0</v>
      </c>
      <c r="AH383" s="3">
        <v>44.0</v>
      </c>
      <c r="AI383" s="3">
        <v>42.0</v>
      </c>
      <c r="AJ383" s="3">
        <v>64.0</v>
      </c>
      <c r="AK383" s="3">
        <v>62.0</v>
      </c>
      <c r="AL383" s="3">
        <v>68.0</v>
      </c>
      <c r="AM383" s="3">
        <v>62.0</v>
      </c>
      <c r="AN383" s="3">
        <v>43.0</v>
      </c>
    </row>
    <row r="384" ht="14.25" customHeight="1">
      <c r="A384" s="3">
        <v>382.0</v>
      </c>
      <c r="B384" s="3" t="s">
        <v>7560</v>
      </c>
      <c r="C384" s="3">
        <v>35.0</v>
      </c>
      <c r="D384" s="3" t="s">
        <v>6645</v>
      </c>
      <c r="E384" s="3" t="s">
        <v>6646</v>
      </c>
      <c r="F384" s="3" t="s">
        <v>6646</v>
      </c>
      <c r="G384" s="3" t="s">
        <v>6645</v>
      </c>
      <c r="H384" s="3" t="s">
        <v>6645</v>
      </c>
      <c r="I384" s="3" t="s">
        <v>6645</v>
      </c>
      <c r="J384" s="3">
        <v>10.0</v>
      </c>
      <c r="K384" s="3">
        <v>3.0</v>
      </c>
      <c r="L384" s="3">
        <v>0.0</v>
      </c>
      <c r="M384" s="3">
        <v>0.0</v>
      </c>
      <c r="N384" s="3">
        <v>9440.18</v>
      </c>
      <c r="O384" s="3">
        <v>638.0</v>
      </c>
      <c r="P384" s="3" t="e">
        <v>#N/A</v>
      </c>
      <c r="Q384" s="3">
        <v>66.0</v>
      </c>
      <c r="R384" s="3">
        <v>58.0</v>
      </c>
      <c r="S384" s="3">
        <v>62.0</v>
      </c>
      <c r="T384" s="3">
        <v>55.0</v>
      </c>
      <c r="U384" s="3">
        <v>67.0</v>
      </c>
      <c r="V384" s="3">
        <v>61.0</v>
      </c>
      <c r="W384" s="3">
        <v>71.0</v>
      </c>
      <c r="X384" s="3">
        <v>55.0</v>
      </c>
      <c r="Y384" s="3">
        <v>66.0</v>
      </c>
      <c r="Z384" s="3">
        <v>67.0</v>
      </c>
      <c r="AA384" s="3">
        <v>63.0</v>
      </c>
      <c r="AB384" s="3">
        <v>55.0</v>
      </c>
      <c r="AC384" s="3">
        <v>70.0</v>
      </c>
      <c r="AD384" s="3">
        <v>55.0</v>
      </c>
      <c r="AE384" s="3">
        <v>57.0</v>
      </c>
      <c r="AF384" s="3">
        <v>85.0</v>
      </c>
      <c r="AG384" s="3">
        <v>51.0</v>
      </c>
      <c r="AH384" s="3">
        <v>46.0</v>
      </c>
      <c r="AI384" s="3">
        <v>56.0</v>
      </c>
      <c r="AJ384" s="3">
        <v>60.0</v>
      </c>
      <c r="AK384" s="3">
        <v>66.0</v>
      </c>
      <c r="AL384" s="3">
        <v>46.0</v>
      </c>
      <c r="AM384" s="3">
        <v>64.0</v>
      </c>
      <c r="AN384" s="3">
        <v>40.0</v>
      </c>
    </row>
    <row r="385" ht="14.25" customHeight="1">
      <c r="A385" s="3">
        <v>383.0</v>
      </c>
      <c r="B385" s="3" t="s">
        <v>7561</v>
      </c>
      <c r="C385" s="3">
        <v>30.0</v>
      </c>
      <c r="D385" s="3" t="s">
        <v>6645</v>
      </c>
      <c r="E385" s="3" t="s">
        <v>6646</v>
      </c>
      <c r="F385" s="3" t="s">
        <v>6646</v>
      </c>
      <c r="G385" s="3" t="s">
        <v>6645</v>
      </c>
      <c r="H385" s="3" t="s">
        <v>6645</v>
      </c>
      <c r="I385" s="3" t="s">
        <v>6645</v>
      </c>
      <c r="J385" s="3">
        <v>10.0</v>
      </c>
      <c r="K385" s="3">
        <v>3.0</v>
      </c>
      <c r="L385" s="3">
        <v>0.0</v>
      </c>
      <c r="M385" s="3">
        <v>0.0</v>
      </c>
      <c r="N385" s="3">
        <v>9439.3</v>
      </c>
      <c r="O385" s="3">
        <v>772.0</v>
      </c>
      <c r="P385" s="3" t="e">
        <v>#N/A</v>
      </c>
      <c r="Q385" s="3">
        <v>58.0</v>
      </c>
      <c r="R385" s="3">
        <v>54.0</v>
      </c>
      <c r="S385" s="3">
        <v>55.0</v>
      </c>
      <c r="T385" s="3">
        <v>61.0</v>
      </c>
      <c r="U385" s="3">
        <v>61.0</v>
      </c>
      <c r="V385" s="3">
        <v>61.0</v>
      </c>
      <c r="W385" s="3">
        <v>68.0</v>
      </c>
      <c r="X385" s="3">
        <v>58.0</v>
      </c>
      <c r="Y385" s="3">
        <v>68.0</v>
      </c>
      <c r="Z385" s="3">
        <v>66.0</v>
      </c>
      <c r="AA385" s="3">
        <v>60.0</v>
      </c>
      <c r="AB385" s="3">
        <v>51.0</v>
      </c>
      <c r="AC385" s="3">
        <v>71.0</v>
      </c>
      <c r="AD385" s="3">
        <v>53.0</v>
      </c>
      <c r="AE385" s="3">
        <v>50.0</v>
      </c>
      <c r="AF385" s="3">
        <v>79.0</v>
      </c>
      <c r="AG385" s="3">
        <v>68.0</v>
      </c>
      <c r="AH385" s="3">
        <v>48.0</v>
      </c>
      <c r="AI385" s="3">
        <v>62.0</v>
      </c>
      <c r="AJ385" s="3">
        <v>66.0</v>
      </c>
      <c r="AK385" s="3">
        <v>25.0</v>
      </c>
      <c r="AL385" s="3">
        <v>52.0</v>
      </c>
      <c r="AM385" s="3">
        <v>56.0</v>
      </c>
      <c r="AN385" s="3">
        <v>68.0</v>
      </c>
    </row>
    <row r="386" ht="14.25" customHeight="1">
      <c r="A386" s="3">
        <v>384.0</v>
      </c>
      <c r="B386" s="3" t="s">
        <v>7562</v>
      </c>
      <c r="C386" s="3">
        <v>34.0</v>
      </c>
      <c r="D386" s="3" t="s">
        <v>6645</v>
      </c>
      <c r="E386" s="3" t="s">
        <v>6646</v>
      </c>
      <c r="F386" s="3" t="s">
        <v>6646</v>
      </c>
      <c r="G386" s="3" t="s">
        <v>6645</v>
      </c>
      <c r="H386" s="3" t="s">
        <v>6645</v>
      </c>
      <c r="I386" s="3" t="s">
        <v>6645</v>
      </c>
      <c r="J386" s="3">
        <v>10.0</v>
      </c>
      <c r="K386" s="3">
        <v>2.0</v>
      </c>
      <c r="L386" s="3">
        <v>0.0</v>
      </c>
      <c r="M386" s="3">
        <v>0.0</v>
      </c>
      <c r="N386" s="3">
        <v>4615.95</v>
      </c>
      <c r="O386" s="3">
        <v>372.0</v>
      </c>
      <c r="P386" s="3" t="e">
        <v>#N/A</v>
      </c>
      <c r="Q386" s="3">
        <v>51.0</v>
      </c>
      <c r="R386" s="3">
        <v>55.0</v>
      </c>
      <c r="S386" s="3">
        <v>49.0</v>
      </c>
      <c r="T386" s="3">
        <v>52.0</v>
      </c>
      <c r="U386" s="3">
        <v>55.0</v>
      </c>
      <c r="V386" s="3">
        <v>51.0</v>
      </c>
      <c r="W386" s="3">
        <v>57.0</v>
      </c>
      <c r="X386" s="3">
        <v>54.0</v>
      </c>
      <c r="Y386" s="3">
        <v>58.0</v>
      </c>
      <c r="Z386" s="3">
        <v>52.0</v>
      </c>
      <c r="AA386" s="3">
        <v>50.0</v>
      </c>
      <c r="AB386" s="3">
        <v>45.0</v>
      </c>
      <c r="AC386" s="3">
        <v>58.0</v>
      </c>
      <c r="AD386" s="3">
        <v>41.0</v>
      </c>
      <c r="AE386" s="3">
        <v>45.0</v>
      </c>
      <c r="AF386" s="3">
        <v>72.0</v>
      </c>
      <c r="AG386" s="3">
        <v>53.0</v>
      </c>
      <c r="AH386" s="3">
        <v>59.0</v>
      </c>
      <c r="AI386" s="3">
        <v>37.0</v>
      </c>
      <c r="AJ386" s="3">
        <v>53.0</v>
      </c>
      <c r="AK386" s="3">
        <v>56.0</v>
      </c>
      <c r="AL386" s="3">
        <v>63.0</v>
      </c>
      <c r="AM386" s="3">
        <v>65.0</v>
      </c>
      <c r="AN386" s="3">
        <v>60.0</v>
      </c>
    </row>
    <row r="387" ht="14.25" customHeight="1">
      <c r="A387" s="3">
        <v>385.0</v>
      </c>
      <c r="B387" s="3" t="s">
        <v>7563</v>
      </c>
      <c r="C387" s="3">
        <v>30.0</v>
      </c>
      <c r="D387" s="3" t="s">
        <v>6645</v>
      </c>
      <c r="E387" s="3" t="s">
        <v>6646</v>
      </c>
      <c r="F387" s="3" t="s">
        <v>6646</v>
      </c>
      <c r="G387" s="3" t="s">
        <v>6645</v>
      </c>
      <c r="H387" s="3" t="s">
        <v>6645</v>
      </c>
      <c r="I387" s="3" t="s">
        <v>6645</v>
      </c>
      <c r="J387" s="3">
        <v>10.0</v>
      </c>
      <c r="K387" s="3">
        <v>2.0</v>
      </c>
      <c r="L387" s="3">
        <v>0.0</v>
      </c>
      <c r="M387" s="3">
        <v>0.0</v>
      </c>
      <c r="N387" s="3">
        <v>5144.25</v>
      </c>
      <c r="O387" s="3">
        <v>436.0</v>
      </c>
      <c r="P387" s="3" t="e">
        <v>#N/A</v>
      </c>
      <c r="Q387" s="3">
        <v>52.0</v>
      </c>
      <c r="R387" s="3">
        <v>54.0</v>
      </c>
      <c r="S387" s="3">
        <v>54.0</v>
      </c>
      <c r="T387" s="3">
        <v>53.0</v>
      </c>
      <c r="U387" s="3">
        <v>50.0</v>
      </c>
      <c r="V387" s="3">
        <v>53.0</v>
      </c>
      <c r="W387" s="3">
        <v>60.0</v>
      </c>
      <c r="X387" s="3">
        <v>45.0</v>
      </c>
      <c r="Y387" s="3">
        <v>59.0</v>
      </c>
      <c r="Z387" s="3">
        <v>61.0</v>
      </c>
      <c r="AA387" s="3">
        <v>51.0</v>
      </c>
      <c r="AB387" s="3">
        <v>42.0</v>
      </c>
      <c r="AC387" s="3">
        <v>56.0</v>
      </c>
      <c r="AD387" s="3">
        <v>40.0</v>
      </c>
      <c r="AE387" s="3">
        <v>43.0</v>
      </c>
      <c r="AF387" s="3">
        <v>78.0</v>
      </c>
      <c r="AG387" s="3">
        <v>61.0</v>
      </c>
      <c r="AH387" s="3">
        <v>11.0</v>
      </c>
      <c r="AI387" s="3">
        <v>40.0</v>
      </c>
      <c r="AJ387" s="3">
        <v>60.0</v>
      </c>
      <c r="AK387" s="3">
        <v>45.0</v>
      </c>
      <c r="AL387" s="3">
        <v>37.0</v>
      </c>
      <c r="AM387" s="3">
        <v>45.0</v>
      </c>
      <c r="AN387" s="3">
        <v>56.0</v>
      </c>
    </row>
    <row r="388" ht="14.25" customHeight="1">
      <c r="A388" s="3">
        <v>386.0</v>
      </c>
      <c r="B388" s="3" t="s">
        <v>7564</v>
      </c>
      <c r="C388" s="3">
        <v>32.0</v>
      </c>
      <c r="D388" s="3" t="s">
        <v>6645</v>
      </c>
      <c r="E388" s="3" t="s">
        <v>6646</v>
      </c>
      <c r="F388" s="3" t="s">
        <v>6646</v>
      </c>
      <c r="G388" s="3" t="s">
        <v>6645</v>
      </c>
      <c r="H388" s="3" t="s">
        <v>6645</v>
      </c>
      <c r="I388" s="3" t="s">
        <v>6645</v>
      </c>
      <c r="J388" s="3">
        <v>10.0</v>
      </c>
      <c r="K388" s="3">
        <v>2.0</v>
      </c>
      <c r="L388" s="3">
        <v>0.0</v>
      </c>
      <c r="M388" s="3">
        <v>0.0</v>
      </c>
      <c r="N388" s="3">
        <v>4686.6977</v>
      </c>
      <c r="O388" s="3">
        <v>445.0</v>
      </c>
      <c r="P388" s="3" t="e">
        <v>#N/A</v>
      </c>
      <c r="Q388" s="3">
        <v>50.0</v>
      </c>
      <c r="R388" s="3">
        <v>48.0</v>
      </c>
      <c r="S388" s="3">
        <v>48.0</v>
      </c>
      <c r="T388" s="3">
        <v>47.0</v>
      </c>
      <c r="U388" s="3">
        <v>48.0</v>
      </c>
      <c r="V388" s="3">
        <v>53.0</v>
      </c>
      <c r="W388" s="3">
        <v>56.0</v>
      </c>
      <c r="X388" s="3">
        <v>40.0</v>
      </c>
      <c r="Y388" s="3">
        <v>60.0</v>
      </c>
      <c r="Z388" s="3">
        <v>57.0</v>
      </c>
      <c r="AA388" s="3">
        <v>39.0</v>
      </c>
      <c r="AB388" s="3">
        <v>40.0</v>
      </c>
      <c r="AC388" s="3">
        <v>61.0</v>
      </c>
      <c r="AD388" s="3">
        <v>45.0</v>
      </c>
      <c r="AE388" s="3">
        <v>49.0</v>
      </c>
      <c r="AF388" s="3">
        <v>77.0</v>
      </c>
      <c r="AG388" s="3">
        <v>49.0</v>
      </c>
      <c r="AH388" s="3">
        <v>57.0</v>
      </c>
      <c r="AI388" s="3">
        <v>56.0</v>
      </c>
      <c r="AJ388" s="3">
        <v>49.0</v>
      </c>
      <c r="AK388" s="3">
        <v>57.0</v>
      </c>
      <c r="AL388" s="3">
        <v>39.0</v>
      </c>
      <c r="AM388" s="3">
        <v>35.0</v>
      </c>
      <c r="AN388" s="3">
        <v>60.0</v>
      </c>
    </row>
    <row r="389" ht="14.25" customHeight="1">
      <c r="A389" s="3">
        <v>387.0</v>
      </c>
      <c r="B389" s="3" t="s">
        <v>7565</v>
      </c>
      <c r="C389" s="3">
        <v>34.0</v>
      </c>
      <c r="D389" s="3" t="s">
        <v>6645</v>
      </c>
      <c r="E389" s="3" t="s">
        <v>6646</v>
      </c>
      <c r="F389" s="3" t="s">
        <v>6646</v>
      </c>
      <c r="G389" s="3" t="s">
        <v>6645</v>
      </c>
      <c r="H389" s="3" t="s">
        <v>6645</v>
      </c>
      <c r="I389" s="3" t="s">
        <v>6645</v>
      </c>
      <c r="J389" s="3">
        <v>10.0</v>
      </c>
      <c r="K389" s="3">
        <v>2.0</v>
      </c>
      <c r="L389" s="3">
        <v>0.0</v>
      </c>
      <c r="M389" s="3">
        <v>0.0</v>
      </c>
      <c r="N389" s="3">
        <v>4796.26</v>
      </c>
      <c r="O389" s="3">
        <v>423.0</v>
      </c>
      <c r="P389" s="3" t="e">
        <v>#N/A</v>
      </c>
      <c r="Q389" s="3">
        <v>51.0</v>
      </c>
      <c r="R389" s="3">
        <v>49.0</v>
      </c>
      <c r="S389" s="3">
        <v>54.0</v>
      </c>
      <c r="T389" s="3">
        <v>52.0</v>
      </c>
      <c r="U389" s="3">
        <v>46.0</v>
      </c>
      <c r="V389" s="3">
        <v>53.0</v>
      </c>
      <c r="W389" s="3">
        <v>51.0</v>
      </c>
      <c r="X389" s="3">
        <v>50.0</v>
      </c>
      <c r="Y389" s="3">
        <v>60.0</v>
      </c>
      <c r="Z389" s="3">
        <v>57.0</v>
      </c>
      <c r="AA389" s="3">
        <v>41.0</v>
      </c>
      <c r="AB389" s="3">
        <v>48.0</v>
      </c>
      <c r="AC389" s="3">
        <v>55.0</v>
      </c>
      <c r="AD389" s="3">
        <v>44.0</v>
      </c>
      <c r="AE389" s="3">
        <v>43.0</v>
      </c>
      <c r="AF389" s="3">
        <v>71.0</v>
      </c>
      <c r="AG389" s="3">
        <v>43.0</v>
      </c>
      <c r="AH389" s="3">
        <v>40.0</v>
      </c>
      <c r="AI389" s="3">
        <v>10.0</v>
      </c>
      <c r="AJ389" s="3">
        <v>51.0</v>
      </c>
      <c r="AK389" s="3">
        <v>63.0</v>
      </c>
      <c r="AL389" s="3">
        <v>55.0</v>
      </c>
      <c r="AM389" s="3">
        <v>40.0</v>
      </c>
      <c r="AN389" s="3">
        <v>52.0</v>
      </c>
    </row>
    <row r="390" ht="14.25" customHeight="1">
      <c r="A390" s="3">
        <v>388.0</v>
      </c>
      <c r="B390" s="3" t="s">
        <v>7566</v>
      </c>
      <c r="C390" s="3">
        <v>26.0</v>
      </c>
      <c r="D390" s="3" t="s">
        <v>6645</v>
      </c>
      <c r="E390" s="3" t="s">
        <v>6646</v>
      </c>
      <c r="F390" s="3" t="s">
        <v>6646</v>
      </c>
      <c r="G390" s="3" t="s">
        <v>6645</v>
      </c>
      <c r="H390" s="3" t="s">
        <v>6645</v>
      </c>
      <c r="I390" s="3" t="s">
        <v>6645</v>
      </c>
      <c r="J390" s="3">
        <v>10.0</v>
      </c>
      <c r="K390" s="3">
        <v>2.0</v>
      </c>
      <c r="L390" s="3">
        <v>0.0</v>
      </c>
      <c r="M390" s="3">
        <v>0.0</v>
      </c>
      <c r="N390" s="3">
        <v>5210.19</v>
      </c>
      <c r="O390" s="3">
        <v>429.0</v>
      </c>
      <c r="P390" s="3" t="e">
        <v>#N/A</v>
      </c>
      <c r="Q390" s="3">
        <v>51.0</v>
      </c>
      <c r="R390" s="3">
        <v>48.0</v>
      </c>
      <c r="S390" s="3">
        <v>49.0</v>
      </c>
      <c r="T390" s="3">
        <v>55.0</v>
      </c>
      <c r="U390" s="3">
        <v>50.0</v>
      </c>
      <c r="V390" s="3">
        <v>51.0</v>
      </c>
      <c r="W390" s="3">
        <v>60.0</v>
      </c>
      <c r="X390" s="3">
        <v>42.0</v>
      </c>
      <c r="Y390" s="3">
        <v>59.0</v>
      </c>
      <c r="Z390" s="3">
        <v>63.0</v>
      </c>
      <c r="AA390" s="3">
        <v>46.0</v>
      </c>
      <c r="AB390" s="3">
        <v>48.0</v>
      </c>
      <c r="AC390" s="3">
        <v>50.0</v>
      </c>
      <c r="AD390" s="3">
        <v>40.0</v>
      </c>
      <c r="AE390" s="3">
        <v>50.0</v>
      </c>
      <c r="AF390" s="3">
        <v>83.0</v>
      </c>
      <c r="AG390" s="3">
        <v>44.0</v>
      </c>
      <c r="AH390" s="3">
        <v>47.0</v>
      </c>
      <c r="AI390" s="3">
        <v>37.0</v>
      </c>
      <c r="AJ390" s="3">
        <v>61.0</v>
      </c>
      <c r="AK390" s="3">
        <v>60.0</v>
      </c>
      <c r="AL390" s="3">
        <v>47.0</v>
      </c>
      <c r="AM390" s="3">
        <v>46.0</v>
      </c>
      <c r="AN390" s="3">
        <v>18.0</v>
      </c>
    </row>
    <row r="391" ht="14.25" customHeight="1">
      <c r="A391" s="3">
        <v>389.0</v>
      </c>
      <c r="B391" s="3" t="s">
        <v>7567</v>
      </c>
      <c r="C391" s="3">
        <v>25.0</v>
      </c>
      <c r="D391" s="3" t="s">
        <v>6645</v>
      </c>
      <c r="E391" s="3" t="s">
        <v>6646</v>
      </c>
      <c r="F391" s="3" t="s">
        <v>6646</v>
      </c>
      <c r="G391" s="3" t="s">
        <v>6645</v>
      </c>
      <c r="H391" s="3" t="s">
        <v>6645</v>
      </c>
      <c r="I391" s="3" t="s">
        <v>6645</v>
      </c>
      <c r="J391" s="3">
        <v>10.0</v>
      </c>
      <c r="K391" s="3">
        <v>1.0</v>
      </c>
      <c r="L391" s="3">
        <v>0.0</v>
      </c>
      <c r="M391" s="3">
        <v>0.0</v>
      </c>
      <c r="N391" s="3">
        <v>2002.4235</v>
      </c>
      <c r="O391" s="3">
        <v>233.0</v>
      </c>
      <c r="P391" s="3" t="e">
        <v>#N/A</v>
      </c>
      <c r="Q391" s="3">
        <v>38.0</v>
      </c>
      <c r="R391" s="3">
        <v>42.0</v>
      </c>
      <c r="S391" s="3">
        <v>46.0</v>
      </c>
      <c r="T391" s="3">
        <v>43.0</v>
      </c>
      <c r="U391" s="3">
        <v>38.0</v>
      </c>
      <c r="V391" s="3">
        <v>39.0</v>
      </c>
      <c r="W391" s="3">
        <v>46.0</v>
      </c>
      <c r="X391" s="3">
        <v>35.0</v>
      </c>
      <c r="Y391" s="3">
        <v>46.0</v>
      </c>
      <c r="Z391" s="3">
        <v>53.0</v>
      </c>
      <c r="AA391" s="3">
        <v>32.0</v>
      </c>
      <c r="AB391" s="3">
        <v>36.0</v>
      </c>
      <c r="AC391" s="3">
        <v>50.0</v>
      </c>
      <c r="AD391" s="3">
        <v>32.0</v>
      </c>
      <c r="AE391" s="3">
        <v>44.0</v>
      </c>
      <c r="AF391" s="3">
        <v>68.0</v>
      </c>
      <c r="AG391" s="3">
        <v>38.0</v>
      </c>
      <c r="AH391" s="3">
        <v>54.0</v>
      </c>
      <c r="AI391" s="3">
        <v>38.0</v>
      </c>
      <c r="AJ391" s="3">
        <v>28.0</v>
      </c>
      <c r="AK391" s="3">
        <v>54.0</v>
      </c>
      <c r="AL391" s="3">
        <v>40.0</v>
      </c>
      <c r="AM391" s="3">
        <v>42.0</v>
      </c>
      <c r="AN391" s="3">
        <v>54.0</v>
      </c>
    </row>
    <row r="392" ht="14.25" customHeight="1">
      <c r="A392" s="3">
        <v>390.0</v>
      </c>
      <c r="B392" s="3" t="s">
        <v>7568</v>
      </c>
      <c r="C392" s="3">
        <v>25.0</v>
      </c>
      <c r="D392" s="3" t="s">
        <v>6645</v>
      </c>
      <c r="E392" s="3" t="s">
        <v>6646</v>
      </c>
      <c r="F392" s="3" t="s">
        <v>6646</v>
      </c>
      <c r="G392" s="3" t="s">
        <v>6645</v>
      </c>
      <c r="H392" s="3" t="s">
        <v>6645</v>
      </c>
      <c r="I392" s="3" t="s">
        <v>6645</v>
      </c>
      <c r="J392" s="3">
        <v>10.0</v>
      </c>
      <c r="K392" s="3">
        <v>1.0</v>
      </c>
      <c r="L392" s="3">
        <v>0.0</v>
      </c>
      <c r="M392" s="3">
        <v>0.0</v>
      </c>
      <c r="N392" s="3">
        <v>1986.7506</v>
      </c>
      <c r="O392" s="3">
        <v>189.0</v>
      </c>
      <c r="P392" s="3" t="e">
        <v>#N/A</v>
      </c>
      <c r="Q392" s="3">
        <v>41.0</v>
      </c>
      <c r="R392" s="3">
        <v>42.0</v>
      </c>
      <c r="S392" s="3">
        <v>39.0</v>
      </c>
      <c r="T392" s="3">
        <v>47.0</v>
      </c>
      <c r="U392" s="3">
        <v>45.0</v>
      </c>
      <c r="V392" s="3">
        <v>45.0</v>
      </c>
      <c r="W392" s="3">
        <v>48.0</v>
      </c>
      <c r="X392" s="3">
        <v>31.0</v>
      </c>
      <c r="Y392" s="3">
        <v>52.0</v>
      </c>
      <c r="Z392" s="3">
        <v>49.0</v>
      </c>
      <c r="AA392" s="3">
        <v>36.0</v>
      </c>
      <c r="AB392" s="3">
        <v>36.0</v>
      </c>
      <c r="AC392" s="3">
        <v>48.0</v>
      </c>
      <c r="AD392" s="3">
        <v>30.0</v>
      </c>
      <c r="AE392" s="3">
        <v>44.0</v>
      </c>
      <c r="AF392" s="3">
        <v>77.0</v>
      </c>
      <c r="AG392" s="3">
        <v>50.0</v>
      </c>
      <c r="AH392" s="3">
        <v>36.0</v>
      </c>
      <c r="AI392" s="3">
        <v>52.0</v>
      </c>
      <c r="AJ392" s="3">
        <v>21.0</v>
      </c>
      <c r="AK392" s="3">
        <v>48.0</v>
      </c>
      <c r="AL392" s="3">
        <v>48.0</v>
      </c>
      <c r="AM392" s="3">
        <v>40.0</v>
      </c>
      <c r="AN392" s="3">
        <v>46.0</v>
      </c>
    </row>
    <row r="393" ht="14.25" customHeight="1">
      <c r="A393" s="3">
        <v>391.0</v>
      </c>
      <c r="B393" s="3" t="s">
        <v>7569</v>
      </c>
      <c r="C393" s="3">
        <v>23.0</v>
      </c>
      <c r="D393" s="3" t="s">
        <v>6645</v>
      </c>
      <c r="E393" s="3" t="s">
        <v>6646</v>
      </c>
      <c r="F393" s="3" t="s">
        <v>6646</v>
      </c>
      <c r="G393" s="3" t="s">
        <v>6645</v>
      </c>
      <c r="H393" s="3" t="s">
        <v>6645</v>
      </c>
      <c r="I393" s="3" t="s">
        <v>6645</v>
      </c>
      <c r="J393" s="3">
        <v>10.0</v>
      </c>
      <c r="K393" s="3">
        <v>1.0</v>
      </c>
      <c r="L393" s="3">
        <v>0.0</v>
      </c>
      <c r="M393" s="3">
        <v>0.0</v>
      </c>
      <c r="N393" s="3">
        <v>2059.0466</v>
      </c>
      <c r="O393" s="3">
        <v>245.0</v>
      </c>
      <c r="P393" s="3" t="e">
        <v>#N/A</v>
      </c>
      <c r="Q393" s="3">
        <v>39.0</v>
      </c>
      <c r="R393" s="3">
        <v>39.0</v>
      </c>
      <c r="S393" s="3">
        <v>44.0</v>
      </c>
      <c r="T393" s="3">
        <v>44.0</v>
      </c>
      <c r="U393" s="3">
        <v>44.0</v>
      </c>
      <c r="V393" s="3">
        <v>43.0</v>
      </c>
      <c r="W393" s="3">
        <v>47.0</v>
      </c>
      <c r="X393" s="3">
        <v>38.0</v>
      </c>
      <c r="Y393" s="3">
        <v>50.0</v>
      </c>
      <c r="Z393" s="3">
        <v>47.0</v>
      </c>
      <c r="AA393" s="3">
        <v>31.0</v>
      </c>
      <c r="AB393" s="3">
        <v>32.0</v>
      </c>
      <c r="AC393" s="3">
        <v>49.0</v>
      </c>
      <c r="AD393" s="3">
        <v>45.0</v>
      </c>
      <c r="AE393" s="3">
        <v>36.0</v>
      </c>
      <c r="AF393" s="3">
        <v>75.0</v>
      </c>
      <c r="AG393" s="3">
        <v>56.0</v>
      </c>
      <c r="AH393" s="3">
        <v>40.0</v>
      </c>
      <c r="AI393" s="3">
        <v>62.0</v>
      </c>
      <c r="AJ393" s="3">
        <v>54.0</v>
      </c>
      <c r="AK393" s="3">
        <v>36.0</v>
      </c>
      <c r="AL393" s="3">
        <v>43.0</v>
      </c>
      <c r="AM393" s="3">
        <v>48.0</v>
      </c>
      <c r="AN393" s="3">
        <v>56.0</v>
      </c>
    </row>
    <row r="394" ht="14.25" customHeight="1">
      <c r="A394" s="3">
        <v>392.0</v>
      </c>
      <c r="B394" s="3" t="s">
        <v>7570</v>
      </c>
      <c r="C394" s="3">
        <v>25.0</v>
      </c>
      <c r="D394" s="3" t="s">
        <v>6645</v>
      </c>
      <c r="E394" s="3" t="s">
        <v>6646</v>
      </c>
      <c r="F394" s="3" t="s">
        <v>6646</v>
      </c>
      <c r="G394" s="3" t="s">
        <v>6645</v>
      </c>
      <c r="H394" s="3" t="s">
        <v>6645</v>
      </c>
      <c r="I394" s="3" t="s">
        <v>6645</v>
      </c>
      <c r="J394" s="3">
        <v>10.0</v>
      </c>
      <c r="K394" s="3">
        <v>1.0</v>
      </c>
      <c r="L394" s="3">
        <v>0.0</v>
      </c>
      <c r="M394" s="3">
        <v>0.0</v>
      </c>
      <c r="N394" s="3">
        <v>1806.62</v>
      </c>
      <c r="O394" s="3">
        <v>244.0</v>
      </c>
      <c r="P394" s="3" t="e">
        <v>#N/A</v>
      </c>
      <c r="Q394" s="3">
        <v>41.0</v>
      </c>
      <c r="R394" s="3">
        <v>44.0</v>
      </c>
      <c r="S394" s="3">
        <v>42.0</v>
      </c>
      <c r="T394" s="3">
        <v>38.0</v>
      </c>
      <c r="U394" s="3">
        <v>38.0</v>
      </c>
      <c r="V394" s="3">
        <v>39.0</v>
      </c>
      <c r="W394" s="3">
        <v>50.0</v>
      </c>
      <c r="X394" s="3">
        <v>39.0</v>
      </c>
      <c r="Y394" s="3">
        <v>50.0</v>
      </c>
      <c r="Z394" s="3">
        <v>45.0</v>
      </c>
      <c r="AA394" s="3">
        <v>35.0</v>
      </c>
      <c r="AB394" s="3">
        <v>40.0</v>
      </c>
      <c r="AC394" s="3">
        <v>48.0</v>
      </c>
      <c r="AD394" s="3">
        <v>40.0</v>
      </c>
      <c r="AE394" s="3">
        <v>38.0</v>
      </c>
      <c r="AF394" s="3">
        <v>67.0</v>
      </c>
      <c r="AG394" s="3">
        <v>62.0</v>
      </c>
      <c r="AH394" s="3">
        <v>54.0</v>
      </c>
      <c r="AI394" s="3">
        <v>38.0</v>
      </c>
      <c r="AJ394" s="3">
        <v>36.0</v>
      </c>
      <c r="AK394" s="3">
        <v>62.0</v>
      </c>
      <c r="AL394" s="3">
        <v>58.0</v>
      </c>
      <c r="AM394" s="3">
        <v>50.0</v>
      </c>
      <c r="AN394" s="3">
        <v>25.0</v>
      </c>
    </row>
    <row r="395" ht="14.25" customHeight="1">
      <c r="A395" s="3">
        <v>393.0</v>
      </c>
      <c r="B395" s="3" t="s">
        <v>7571</v>
      </c>
      <c r="C395" s="3">
        <v>23.0</v>
      </c>
      <c r="D395" s="3" t="s">
        <v>6645</v>
      </c>
      <c r="E395" s="3" t="s">
        <v>6646</v>
      </c>
      <c r="F395" s="3" t="s">
        <v>6646</v>
      </c>
      <c r="G395" s="3" t="s">
        <v>6645</v>
      </c>
      <c r="H395" s="3" t="s">
        <v>6645</v>
      </c>
      <c r="I395" s="3" t="s">
        <v>6645</v>
      </c>
      <c r="J395" s="3">
        <v>10.0</v>
      </c>
      <c r="K395" s="3">
        <v>1.0</v>
      </c>
      <c r="L395" s="3">
        <v>0.0</v>
      </c>
      <c r="M395" s="3">
        <v>0.0</v>
      </c>
      <c r="N395" s="3">
        <v>1853.8054</v>
      </c>
      <c r="O395" s="3">
        <v>207.0</v>
      </c>
      <c r="P395" s="3" t="e">
        <v>#N/A</v>
      </c>
      <c r="Q395" s="3">
        <v>44.0</v>
      </c>
      <c r="R395" s="3">
        <v>43.0</v>
      </c>
      <c r="S395" s="3">
        <v>44.0</v>
      </c>
      <c r="T395" s="3">
        <v>38.0</v>
      </c>
      <c r="U395" s="3">
        <v>46.0</v>
      </c>
      <c r="V395" s="3">
        <v>44.0</v>
      </c>
      <c r="W395" s="3">
        <v>50.0</v>
      </c>
      <c r="X395" s="3">
        <v>31.0</v>
      </c>
      <c r="Y395" s="3">
        <v>51.0</v>
      </c>
      <c r="Z395" s="3">
        <v>53.0</v>
      </c>
      <c r="AA395" s="3">
        <v>36.0</v>
      </c>
      <c r="AB395" s="3">
        <v>43.0</v>
      </c>
      <c r="AC395" s="3">
        <v>53.0</v>
      </c>
      <c r="AD395" s="3">
        <v>35.0</v>
      </c>
      <c r="AE395" s="3">
        <v>30.0</v>
      </c>
      <c r="AF395" s="3">
        <v>76.0</v>
      </c>
      <c r="AG395" s="3">
        <v>56.0</v>
      </c>
      <c r="AH395" s="3">
        <v>34.0</v>
      </c>
      <c r="AI395" s="3">
        <v>60.0</v>
      </c>
      <c r="AJ395" s="3">
        <v>48.0</v>
      </c>
      <c r="AK395" s="3">
        <v>44.0</v>
      </c>
      <c r="AL395" s="3">
        <v>20.0</v>
      </c>
      <c r="AM395" s="3">
        <v>50.0</v>
      </c>
      <c r="AN395" s="3">
        <v>56.0</v>
      </c>
    </row>
    <row r="396" ht="14.25" customHeight="1">
      <c r="A396" s="3">
        <v>394.0</v>
      </c>
      <c r="B396" s="3" t="s">
        <v>7572</v>
      </c>
      <c r="C396" s="3">
        <v>15.0</v>
      </c>
      <c r="D396" s="3" t="s">
        <v>6645</v>
      </c>
      <c r="E396" s="3" t="s">
        <v>6646</v>
      </c>
      <c r="F396" s="3" t="s">
        <v>6646</v>
      </c>
      <c r="G396" s="3" t="s">
        <v>6645</v>
      </c>
      <c r="H396" s="3" t="s">
        <v>6645</v>
      </c>
      <c r="I396" s="3" t="s">
        <v>6645</v>
      </c>
      <c r="J396" s="3">
        <v>10.0</v>
      </c>
      <c r="K396" s="3">
        <v>0.0</v>
      </c>
      <c r="L396" s="3">
        <v>0.0</v>
      </c>
      <c r="M396" s="3">
        <v>0.0</v>
      </c>
      <c r="N396" s="3">
        <v>581.813</v>
      </c>
      <c r="O396" s="3">
        <v>115.0</v>
      </c>
      <c r="P396" s="3" t="e">
        <v>#N/A</v>
      </c>
      <c r="Q396" s="3">
        <v>39.0</v>
      </c>
      <c r="R396" s="3">
        <v>38.0</v>
      </c>
      <c r="S396" s="3">
        <v>39.0</v>
      </c>
      <c r="T396" s="3">
        <v>37.0</v>
      </c>
      <c r="U396" s="3">
        <v>33.0</v>
      </c>
      <c r="V396" s="3">
        <v>31.0</v>
      </c>
      <c r="W396" s="3">
        <v>39.0</v>
      </c>
      <c r="X396" s="3">
        <v>28.0</v>
      </c>
      <c r="Y396" s="3">
        <v>47.0</v>
      </c>
      <c r="Z396" s="3">
        <v>47.0</v>
      </c>
      <c r="AA396" s="3">
        <v>32.0</v>
      </c>
      <c r="AB396" s="3">
        <v>23.0</v>
      </c>
      <c r="AC396" s="3">
        <v>36.0</v>
      </c>
      <c r="AD396" s="3">
        <v>22.0</v>
      </c>
      <c r="AE396" s="3">
        <v>34.0</v>
      </c>
      <c r="AF396" s="3">
        <v>65.0</v>
      </c>
      <c r="AG396" s="3">
        <v>51.0</v>
      </c>
      <c r="AH396" s="3">
        <v>57.0</v>
      </c>
      <c r="AI396" s="3">
        <v>54.0</v>
      </c>
      <c r="AJ396" s="3">
        <v>3.0</v>
      </c>
      <c r="AK396" s="3">
        <v>34.0</v>
      </c>
      <c r="AL396" s="3">
        <v>38.0</v>
      </c>
      <c r="AM396" s="3">
        <v>38.0</v>
      </c>
      <c r="AN396" s="3">
        <v>54.0</v>
      </c>
    </row>
    <row r="397" ht="14.25" customHeight="1">
      <c r="A397" s="3">
        <v>395.0</v>
      </c>
      <c r="B397" s="3" t="s">
        <v>7573</v>
      </c>
      <c r="C397" s="3">
        <v>16.0</v>
      </c>
      <c r="D397" s="3" t="s">
        <v>6645</v>
      </c>
      <c r="E397" s="3" t="s">
        <v>6646</v>
      </c>
      <c r="F397" s="3" t="s">
        <v>6646</v>
      </c>
      <c r="G397" s="3" t="s">
        <v>6645</v>
      </c>
      <c r="H397" s="3" t="s">
        <v>6645</v>
      </c>
      <c r="I397" s="3" t="s">
        <v>6645</v>
      </c>
      <c r="J397" s="3">
        <v>10.0</v>
      </c>
      <c r="K397" s="3">
        <v>0.0</v>
      </c>
      <c r="L397" s="3">
        <v>0.0</v>
      </c>
      <c r="M397" s="3">
        <v>0.0</v>
      </c>
      <c r="N397" s="3">
        <v>570.488</v>
      </c>
      <c r="O397" s="3">
        <v>120.0</v>
      </c>
      <c r="P397" s="3" t="e">
        <v>#N/A</v>
      </c>
      <c r="Q397" s="3">
        <v>30.0</v>
      </c>
      <c r="R397" s="3">
        <v>32.0</v>
      </c>
      <c r="S397" s="3">
        <v>30.0</v>
      </c>
      <c r="T397" s="3">
        <v>35.0</v>
      </c>
      <c r="U397" s="3">
        <v>34.0</v>
      </c>
      <c r="V397" s="3">
        <v>38.0</v>
      </c>
      <c r="W397" s="3">
        <v>41.0</v>
      </c>
      <c r="X397" s="3">
        <v>24.0</v>
      </c>
      <c r="Y397" s="3">
        <v>36.0</v>
      </c>
      <c r="Z397" s="3">
        <v>41.0</v>
      </c>
      <c r="AA397" s="3">
        <v>33.0</v>
      </c>
      <c r="AB397" s="3">
        <v>33.0</v>
      </c>
      <c r="AC397" s="3">
        <v>44.0</v>
      </c>
      <c r="AD397" s="3">
        <v>22.0</v>
      </c>
      <c r="AE397" s="3">
        <v>27.0</v>
      </c>
      <c r="AF397" s="3">
        <v>77.0</v>
      </c>
      <c r="AG397" s="3">
        <v>49.0</v>
      </c>
      <c r="AH397" s="3">
        <v>56.0</v>
      </c>
      <c r="AI397" s="3">
        <v>26.0</v>
      </c>
      <c r="AJ397" s="3">
        <v>57.0</v>
      </c>
      <c r="AK397" s="3">
        <v>58.0</v>
      </c>
      <c r="AL397" s="3">
        <v>35.0</v>
      </c>
      <c r="AM397" s="3">
        <v>30.0</v>
      </c>
      <c r="AN397" s="3">
        <v>38.0</v>
      </c>
    </row>
    <row r="398" ht="14.25" customHeight="1">
      <c r="A398" s="3">
        <v>396.0</v>
      </c>
      <c r="B398" s="3" t="s">
        <v>7574</v>
      </c>
      <c r="C398" s="3">
        <v>20.0</v>
      </c>
      <c r="D398" s="3" t="s">
        <v>6645</v>
      </c>
      <c r="E398" s="3" t="s">
        <v>6646</v>
      </c>
      <c r="F398" s="3" t="s">
        <v>6646</v>
      </c>
      <c r="G398" s="3" t="s">
        <v>6645</v>
      </c>
      <c r="H398" s="3" t="s">
        <v>6645</v>
      </c>
      <c r="I398" s="3" t="s">
        <v>6645</v>
      </c>
      <c r="J398" s="3">
        <v>10.0</v>
      </c>
      <c r="K398" s="3">
        <v>0.0</v>
      </c>
      <c r="L398" s="3">
        <v>0.0</v>
      </c>
      <c r="M398" s="3">
        <v>0.0</v>
      </c>
      <c r="N398" s="3">
        <v>519.044</v>
      </c>
      <c r="O398" s="3">
        <v>113.0</v>
      </c>
      <c r="P398" s="3" t="e">
        <v>#N/A</v>
      </c>
      <c r="Q398" s="3">
        <v>32.0</v>
      </c>
      <c r="R398" s="3">
        <v>39.0</v>
      </c>
      <c r="S398" s="3">
        <v>30.0</v>
      </c>
      <c r="T398" s="3">
        <v>35.0</v>
      </c>
      <c r="U398" s="3">
        <v>32.0</v>
      </c>
      <c r="V398" s="3">
        <v>33.0</v>
      </c>
      <c r="W398" s="3">
        <v>41.0</v>
      </c>
      <c r="X398" s="3">
        <v>25.0</v>
      </c>
      <c r="Y398" s="3">
        <v>44.0</v>
      </c>
      <c r="Z398" s="3">
        <v>45.0</v>
      </c>
      <c r="AA398" s="3">
        <v>37.0</v>
      </c>
      <c r="AB398" s="3">
        <v>29.0</v>
      </c>
      <c r="AC398" s="3">
        <v>43.0</v>
      </c>
      <c r="AD398" s="3">
        <v>28.0</v>
      </c>
      <c r="AE398" s="3">
        <v>26.0</v>
      </c>
      <c r="AF398" s="3">
        <v>68.0</v>
      </c>
      <c r="AG398" s="3">
        <v>55.0</v>
      </c>
      <c r="AH398" s="3">
        <v>52.0</v>
      </c>
      <c r="AI398" s="3">
        <v>30.0</v>
      </c>
      <c r="AJ398" s="3">
        <v>5.0</v>
      </c>
      <c r="AK398" s="3">
        <v>39.0</v>
      </c>
      <c r="AL398" s="3">
        <v>50.0</v>
      </c>
      <c r="AM398" s="3">
        <v>30.0</v>
      </c>
      <c r="AN398" s="3">
        <v>33.0</v>
      </c>
    </row>
    <row r="399" ht="14.25" customHeight="1">
      <c r="A399" s="3">
        <v>397.0</v>
      </c>
      <c r="B399" s="3" t="s">
        <v>7575</v>
      </c>
      <c r="C399" s="3">
        <v>16.0</v>
      </c>
      <c r="D399" s="3" t="s">
        <v>6645</v>
      </c>
      <c r="E399" s="3" t="s">
        <v>6646</v>
      </c>
      <c r="F399" s="3" t="s">
        <v>6646</v>
      </c>
      <c r="G399" s="3" t="s">
        <v>6645</v>
      </c>
      <c r="H399" s="3" t="s">
        <v>6645</v>
      </c>
      <c r="I399" s="3" t="s">
        <v>6645</v>
      </c>
      <c r="J399" s="3">
        <v>10.0</v>
      </c>
      <c r="K399" s="3">
        <v>0.0</v>
      </c>
      <c r="L399" s="3">
        <v>0.0</v>
      </c>
      <c r="M399" s="3">
        <v>0.0</v>
      </c>
      <c r="N399" s="3">
        <v>667.037</v>
      </c>
      <c r="O399" s="3">
        <v>96.0</v>
      </c>
      <c r="P399" s="3" t="e">
        <v>#N/A</v>
      </c>
      <c r="Q399" s="3">
        <v>31.0</v>
      </c>
      <c r="R399" s="3">
        <v>34.0</v>
      </c>
      <c r="S399" s="3">
        <v>35.0</v>
      </c>
      <c r="T399" s="3">
        <v>38.0</v>
      </c>
      <c r="U399" s="3">
        <v>35.0</v>
      </c>
      <c r="V399" s="3">
        <v>30.0</v>
      </c>
      <c r="W399" s="3">
        <v>41.0</v>
      </c>
      <c r="X399" s="3">
        <v>26.0</v>
      </c>
      <c r="Y399" s="3">
        <v>41.0</v>
      </c>
      <c r="Z399" s="3">
        <v>42.0</v>
      </c>
      <c r="AA399" s="3">
        <v>24.0</v>
      </c>
      <c r="AB399" s="3">
        <v>33.0</v>
      </c>
      <c r="AC399" s="3">
        <v>40.0</v>
      </c>
      <c r="AD399" s="3">
        <v>32.0</v>
      </c>
      <c r="AE399" s="3">
        <v>34.0</v>
      </c>
      <c r="AF399" s="3">
        <v>77.0</v>
      </c>
      <c r="AG399" s="3">
        <v>52.0</v>
      </c>
      <c r="AH399" s="3">
        <v>30.0</v>
      </c>
      <c r="AI399" s="3">
        <v>41.0</v>
      </c>
      <c r="AJ399" s="3">
        <v>44.0</v>
      </c>
      <c r="AK399" s="3">
        <v>56.0</v>
      </c>
      <c r="AL399" s="3">
        <v>48.0</v>
      </c>
      <c r="AM399" s="3">
        <v>35.0</v>
      </c>
      <c r="AN399" s="3">
        <v>44.0</v>
      </c>
    </row>
    <row r="400" ht="14.25" customHeight="1">
      <c r="A400" s="3">
        <v>398.0</v>
      </c>
      <c r="B400" s="3" t="s">
        <v>7576</v>
      </c>
      <c r="C400" s="3">
        <v>20.0</v>
      </c>
      <c r="D400" s="3" t="s">
        <v>6645</v>
      </c>
      <c r="E400" s="3" t="s">
        <v>6646</v>
      </c>
      <c r="F400" s="3" t="s">
        <v>6646</v>
      </c>
      <c r="G400" s="3" t="s">
        <v>6645</v>
      </c>
      <c r="H400" s="3" t="s">
        <v>6645</v>
      </c>
      <c r="I400" s="3" t="s">
        <v>6645</v>
      </c>
      <c r="J400" s="3">
        <v>10.0</v>
      </c>
      <c r="K400" s="3">
        <v>0.0</v>
      </c>
      <c r="L400" s="3">
        <v>0.0</v>
      </c>
      <c r="M400" s="3">
        <v>0.0</v>
      </c>
      <c r="N400" s="3">
        <v>580.696</v>
      </c>
      <c r="O400" s="3">
        <v>118.0</v>
      </c>
      <c r="P400" s="3" t="e">
        <v>#N/A</v>
      </c>
      <c r="Q400" s="3">
        <v>33.0</v>
      </c>
      <c r="R400" s="3">
        <v>35.0</v>
      </c>
      <c r="S400" s="3">
        <v>39.0</v>
      </c>
      <c r="T400" s="3">
        <v>30.0</v>
      </c>
      <c r="U400" s="3">
        <v>32.0</v>
      </c>
      <c r="V400" s="3">
        <v>36.0</v>
      </c>
      <c r="W400" s="3">
        <v>46.0</v>
      </c>
      <c r="X400" s="3">
        <v>29.0</v>
      </c>
      <c r="Y400" s="3">
        <v>48.0</v>
      </c>
      <c r="Z400" s="3">
        <v>45.0</v>
      </c>
      <c r="AA400" s="3">
        <v>25.0</v>
      </c>
      <c r="AB400" s="3">
        <v>25.0</v>
      </c>
      <c r="AC400" s="3">
        <v>36.0</v>
      </c>
      <c r="AD400" s="3">
        <v>29.0</v>
      </c>
      <c r="AE400" s="3">
        <v>35.0</v>
      </c>
      <c r="AF400" s="3">
        <v>69.0</v>
      </c>
      <c r="AG400" s="3">
        <v>58.0</v>
      </c>
      <c r="AH400" s="3">
        <v>20.0</v>
      </c>
      <c r="AI400" s="3">
        <v>46.0</v>
      </c>
      <c r="AJ400" s="3">
        <v>30.0</v>
      </c>
      <c r="AK400" s="3">
        <v>48.0</v>
      </c>
      <c r="AL400" s="3">
        <v>59.0</v>
      </c>
      <c r="AM400" s="3">
        <v>37.0</v>
      </c>
      <c r="AN400" s="3">
        <v>33.0</v>
      </c>
    </row>
    <row r="401" ht="14.25" customHeight="1">
      <c r="A401" s="3">
        <v>399.0</v>
      </c>
      <c r="B401" s="3" t="s">
        <v>7577</v>
      </c>
      <c r="C401" s="3">
        <v>23.0</v>
      </c>
      <c r="D401" s="3" t="s">
        <v>6645</v>
      </c>
      <c r="E401" s="3" t="s">
        <v>6646</v>
      </c>
      <c r="F401" s="3" t="s">
        <v>6646</v>
      </c>
      <c r="G401" s="3" t="s">
        <v>6645</v>
      </c>
      <c r="H401" s="3" t="s">
        <v>6645</v>
      </c>
      <c r="I401" s="3" t="s">
        <v>6645</v>
      </c>
      <c r="J401" s="3">
        <v>10.0</v>
      </c>
      <c r="K401" s="3">
        <v>0.0</v>
      </c>
      <c r="L401" s="3">
        <v>0.0</v>
      </c>
      <c r="M401" s="3">
        <v>0.0</v>
      </c>
      <c r="N401" s="3">
        <v>543.59185</v>
      </c>
      <c r="O401" s="3">
        <v>76.0</v>
      </c>
      <c r="P401" s="3" t="e">
        <v>#N/A</v>
      </c>
      <c r="Q401" s="3">
        <v>31.0</v>
      </c>
      <c r="R401" s="3">
        <v>34.0</v>
      </c>
      <c r="S401" s="3">
        <v>36.0</v>
      </c>
      <c r="T401" s="3">
        <v>31.0</v>
      </c>
      <c r="U401" s="3">
        <v>36.0</v>
      </c>
      <c r="V401" s="3">
        <v>34.0</v>
      </c>
      <c r="W401" s="3">
        <v>44.0</v>
      </c>
      <c r="X401" s="3">
        <v>24.0</v>
      </c>
      <c r="Y401" s="3">
        <v>43.0</v>
      </c>
      <c r="Z401" s="3">
        <v>39.0</v>
      </c>
      <c r="AA401" s="3">
        <v>28.0</v>
      </c>
      <c r="AB401" s="3">
        <v>23.0</v>
      </c>
      <c r="AC401" s="3">
        <v>43.0</v>
      </c>
      <c r="AD401" s="3">
        <v>35.0</v>
      </c>
      <c r="AE401" s="3">
        <v>30.0</v>
      </c>
      <c r="AF401" s="3">
        <v>66.0</v>
      </c>
      <c r="AG401" s="3">
        <v>55.0</v>
      </c>
      <c r="AH401" s="3">
        <v>52.0</v>
      </c>
      <c r="AI401" s="3">
        <v>43.0</v>
      </c>
      <c r="AJ401" s="3">
        <v>37.0</v>
      </c>
      <c r="AK401" s="3">
        <v>49.0</v>
      </c>
      <c r="AL401" s="3">
        <v>52.0</v>
      </c>
      <c r="AM401" s="3">
        <v>0.0</v>
      </c>
      <c r="AN401" s="3">
        <v>39.0</v>
      </c>
    </row>
    <row r="402" ht="14.25" customHeight="1">
      <c r="A402" s="3">
        <v>400.0</v>
      </c>
      <c r="B402" s="3" t="s">
        <v>7578</v>
      </c>
      <c r="C402" s="3">
        <v>39.0</v>
      </c>
      <c r="D402" s="3" t="s">
        <v>6645</v>
      </c>
      <c r="E402" s="3" t="s">
        <v>6646</v>
      </c>
      <c r="F402" s="3" t="s">
        <v>6646</v>
      </c>
      <c r="G402" s="3" t="s">
        <v>6645</v>
      </c>
      <c r="H402" s="3" t="s">
        <v>6645</v>
      </c>
      <c r="I402" s="3" t="s">
        <v>6646</v>
      </c>
      <c r="J402" s="3">
        <v>11.0</v>
      </c>
      <c r="K402" s="3">
        <v>4.0</v>
      </c>
      <c r="L402" s="3">
        <v>0.0</v>
      </c>
      <c r="M402" s="3">
        <v>0.0</v>
      </c>
      <c r="N402" s="3">
        <v>13883.177</v>
      </c>
      <c r="O402" s="3">
        <v>1994.0</v>
      </c>
      <c r="P402" s="3" t="e">
        <v>#N/A</v>
      </c>
      <c r="Q402" s="3">
        <v>68.0</v>
      </c>
      <c r="R402" s="3">
        <v>67.0</v>
      </c>
      <c r="S402" s="3">
        <v>71.0</v>
      </c>
      <c r="T402" s="3">
        <v>63.0</v>
      </c>
      <c r="U402" s="3">
        <v>60.0</v>
      </c>
      <c r="V402" s="3">
        <v>78.0</v>
      </c>
      <c r="W402" s="3">
        <v>76.0</v>
      </c>
      <c r="X402" s="3">
        <v>77.0</v>
      </c>
      <c r="Y402" s="3">
        <v>82.0</v>
      </c>
      <c r="Z402" s="3">
        <v>81.0</v>
      </c>
      <c r="AA402" s="3">
        <v>87.0</v>
      </c>
      <c r="AB402" s="3">
        <v>63.0</v>
      </c>
      <c r="AC402" s="3">
        <v>63.0</v>
      </c>
      <c r="AD402" s="3">
        <v>57.0</v>
      </c>
      <c r="AE402" s="3">
        <v>54.0</v>
      </c>
      <c r="AF402" s="3">
        <v>43.0</v>
      </c>
      <c r="AG402" s="3">
        <v>64.0</v>
      </c>
      <c r="AH402" s="3">
        <v>45.0</v>
      </c>
      <c r="AI402" s="3">
        <v>54.0</v>
      </c>
      <c r="AJ402" s="3">
        <v>52.0</v>
      </c>
      <c r="AK402" s="3">
        <v>75.0</v>
      </c>
      <c r="AL402" s="3">
        <v>68.0</v>
      </c>
      <c r="AM402" s="3">
        <v>81.0</v>
      </c>
      <c r="AN402" s="3">
        <v>52.0</v>
      </c>
    </row>
    <row r="403" ht="14.25" customHeight="1">
      <c r="A403" s="3">
        <v>401.0</v>
      </c>
      <c r="B403" s="3" t="s">
        <v>7579</v>
      </c>
      <c r="C403" s="3">
        <v>38.0</v>
      </c>
      <c r="D403" s="3" t="s">
        <v>6645</v>
      </c>
      <c r="E403" s="3" t="s">
        <v>6646</v>
      </c>
      <c r="F403" s="3" t="s">
        <v>6646</v>
      </c>
      <c r="G403" s="3" t="s">
        <v>6645</v>
      </c>
      <c r="H403" s="3" t="s">
        <v>6645</v>
      </c>
      <c r="I403" s="3" t="s">
        <v>6645</v>
      </c>
      <c r="J403" s="3">
        <v>11.0</v>
      </c>
      <c r="K403" s="3">
        <v>4.0</v>
      </c>
      <c r="L403" s="3">
        <v>0.0</v>
      </c>
      <c r="M403" s="3">
        <v>0.0</v>
      </c>
      <c r="N403" s="3">
        <v>13577.864</v>
      </c>
      <c r="O403" s="3">
        <v>1280.0</v>
      </c>
      <c r="P403" s="3" t="e">
        <v>#N/A</v>
      </c>
      <c r="Q403" s="3">
        <v>69.0</v>
      </c>
      <c r="R403" s="3">
        <v>71.0</v>
      </c>
      <c r="S403" s="3">
        <v>70.0</v>
      </c>
      <c r="T403" s="3">
        <v>65.0</v>
      </c>
      <c r="U403" s="3">
        <v>69.0</v>
      </c>
      <c r="V403" s="3">
        <v>80.0</v>
      </c>
      <c r="W403" s="3">
        <v>85.0</v>
      </c>
      <c r="X403" s="3">
        <v>72.0</v>
      </c>
      <c r="Y403" s="3">
        <v>78.0</v>
      </c>
      <c r="Z403" s="3">
        <v>79.0</v>
      </c>
      <c r="AA403" s="3">
        <v>80.0</v>
      </c>
      <c r="AB403" s="3">
        <v>60.0</v>
      </c>
      <c r="AC403" s="3">
        <v>65.0</v>
      </c>
      <c r="AD403" s="3">
        <v>69.0</v>
      </c>
      <c r="AE403" s="3">
        <v>57.0</v>
      </c>
      <c r="AF403" s="3">
        <v>44.0</v>
      </c>
      <c r="AG403" s="3">
        <v>47.0</v>
      </c>
      <c r="AH403" s="3">
        <v>18.0</v>
      </c>
      <c r="AI403" s="3">
        <v>49.0</v>
      </c>
      <c r="AJ403" s="3">
        <v>68.0</v>
      </c>
      <c r="AK403" s="3">
        <v>79.0</v>
      </c>
      <c r="AL403" s="3">
        <v>46.0</v>
      </c>
      <c r="AM403" s="3">
        <v>76.0</v>
      </c>
      <c r="AN403" s="3">
        <v>54.0</v>
      </c>
    </row>
    <row r="404" ht="14.25" customHeight="1">
      <c r="A404" s="3">
        <v>402.0</v>
      </c>
      <c r="B404" s="3" t="s">
        <v>7580</v>
      </c>
      <c r="C404" s="3">
        <v>38.0</v>
      </c>
      <c r="D404" s="3" t="s">
        <v>6645</v>
      </c>
      <c r="E404" s="3" t="s">
        <v>6646</v>
      </c>
      <c r="F404" s="3" t="s">
        <v>6646</v>
      </c>
      <c r="G404" s="3" t="s">
        <v>6645</v>
      </c>
      <c r="H404" s="3" t="s">
        <v>6645</v>
      </c>
      <c r="I404" s="3" t="s">
        <v>6646</v>
      </c>
      <c r="J404" s="3">
        <v>11.0</v>
      </c>
      <c r="K404" s="3">
        <v>4.0</v>
      </c>
      <c r="L404" s="3">
        <v>0.0</v>
      </c>
      <c r="M404" s="3">
        <v>0.0</v>
      </c>
      <c r="N404" s="3">
        <v>13403.798</v>
      </c>
      <c r="O404" s="3">
        <v>1559.0</v>
      </c>
      <c r="P404" s="3" t="e">
        <v>#N/A</v>
      </c>
      <c r="Q404" s="3">
        <v>69.0</v>
      </c>
      <c r="R404" s="3">
        <v>66.0</v>
      </c>
      <c r="S404" s="3">
        <v>68.0</v>
      </c>
      <c r="T404" s="3">
        <v>60.0</v>
      </c>
      <c r="U404" s="3">
        <v>62.0</v>
      </c>
      <c r="V404" s="3">
        <v>75.0</v>
      </c>
      <c r="W404" s="3">
        <v>80.0</v>
      </c>
      <c r="X404" s="3">
        <v>72.0</v>
      </c>
      <c r="Y404" s="3">
        <v>81.0</v>
      </c>
      <c r="Z404" s="3">
        <v>83.0</v>
      </c>
      <c r="AA404" s="3">
        <v>86.0</v>
      </c>
      <c r="AB404" s="3">
        <v>62.0</v>
      </c>
      <c r="AC404" s="3">
        <v>57.0</v>
      </c>
      <c r="AD404" s="3">
        <v>56.0</v>
      </c>
      <c r="AE404" s="3">
        <v>67.0</v>
      </c>
      <c r="AF404" s="3">
        <v>55.0</v>
      </c>
      <c r="AG404" s="3">
        <v>21.0</v>
      </c>
      <c r="AH404" s="3">
        <v>62.0</v>
      </c>
      <c r="AI404" s="3">
        <v>68.0</v>
      </c>
      <c r="AJ404" s="3">
        <v>52.0</v>
      </c>
      <c r="AK404" s="3">
        <v>78.0</v>
      </c>
      <c r="AL404" s="3">
        <v>47.0</v>
      </c>
      <c r="AM404" s="3">
        <v>78.0</v>
      </c>
      <c r="AN404" s="3">
        <v>67.0</v>
      </c>
    </row>
    <row r="405" ht="14.25" customHeight="1">
      <c r="A405" s="3">
        <v>403.0</v>
      </c>
      <c r="B405" s="3" t="s">
        <v>7581</v>
      </c>
      <c r="C405" s="3">
        <v>31.0</v>
      </c>
      <c r="D405" s="3" t="s">
        <v>6645</v>
      </c>
      <c r="E405" s="3" t="s">
        <v>6646</v>
      </c>
      <c r="F405" s="3" t="s">
        <v>6646</v>
      </c>
      <c r="G405" s="3" t="s">
        <v>6645</v>
      </c>
      <c r="H405" s="3" t="s">
        <v>6645</v>
      </c>
      <c r="I405" s="3" t="s">
        <v>6645</v>
      </c>
      <c r="J405" s="3">
        <v>11.0</v>
      </c>
      <c r="K405" s="3">
        <v>3.0</v>
      </c>
      <c r="L405" s="3">
        <v>0.0</v>
      </c>
      <c r="M405" s="3">
        <v>0.0</v>
      </c>
      <c r="N405" s="3">
        <v>8180.0996</v>
      </c>
      <c r="O405" s="3">
        <v>954.0</v>
      </c>
      <c r="P405" s="3" t="e">
        <v>#N/A</v>
      </c>
      <c r="Q405" s="3">
        <v>56.0</v>
      </c>
      <c r="R405" s="3">
        <v>57.0</v>
      </c>
      <c r="S405" s="3">
        <v>62.0</v>
      </c>
      <c r="T405" s="3">
        <v>54.0</v>
      </c>
      <c r="U405" s="3">
        <v>52.0</v>
      </c>
      <c r="V405" s="3">
        <v>61.0</v>
      </c>
      <c r="W405" s="3">
        <v>65.0</v>
      </c>
      <c r="X405" s="3">
        <v>58.0</v>
      </c>
      <c r="Y405" s="3">
        <v>65.0</v>
      </c>
      <c r="Z405" s="3">
        <v>68.0</v>
      </c>
      <c r="AA405" s="3">
        <v>68.0</v>
      </c>
      <c r="AB405" s="3">
        <v>51.0</v>
      </c>
      <c r="AC405" s="3">
        <v>58.0</v>
      </c>
      <c r="AD405" s="3">
        <v>50.0</v>
      </c>
      <c r="AE405" s="3">
        <v>47.0</v>
      </c>
      <c r="AF405" s="3">
        <v>33.0</v>
      </c>
      <c r="AG405" s="3">
        <v>43.0</v>
      </c>
      <c r="AH405" s="3">
        <v>68.0</v>
      </c>
      <c r="AI405" s="3">
        <v>63.0</v>
      </c>
      <c r="AJ405" s="3">
        <v>46.0</v>
      </c>
      <c r="AK405" s="3">
        <v>84.0</v>
      </c>
      <c r="AL405" s="3">
        <v>45.0</v>
      </c>
      <c r="AM405" s="3">
        <v>82.0</v>
      </c>
      <c r="AN405" s="3">
        <v>51.0</v>
      </c>
    </row>
    <row r="406" ht="14.25" customHeight="1">
      <c r="A406" s="3">
        <v>404.0</v>
      </c>
      <c r="B406" s="3" t="s">
        <v>7582</v>
      </c>
      <c r="C406" s="3">
        <v>30.0</v>
      </c>
      <c r="D406" s="3" t="s">
        <v>6645</v>
      </c>
      <c r="E406" s="3" t="s">
        <v>6646</v>
      </c>
      <c r="F406" s="3" t="s">
        <v>6646</v>
      </c>
      <c r="G406" s="3" t="s">
        <v>6645</v>
      </c>
      <c r="H406" s="3" t="s">
        <v>6645</v>
      </c>
      <c r="I406" s="3" t="s">
        <v>6645</v>
      </c>
      <c r="J406" s="3">
        <v>11.0</v>
      </c>
      <c r="K406" s="3">
        <v>3.0</v>
      </c>
      <c r="L406" s="3">
        <v>0.0</v>
      </c>
      <c r="M406" s="3">
        <v>0.0</v>
      </c>
      <c r="N406" s="3">
        <v>8411.67</v>
      </c>
      <c r="O406" s="3">
        <v>748.0</v>
      </c>
      <c r="P406" s="3" t="e">
        <v>#N/A</v>
      </c>
      <c r="Q406" s="3">
        <v>54.0</v>
      </c>
      <c r="R406" s="3">
        <v>59.0</v>
      </c>
      <c r="S406" s="3">
        <v>62.0</v>
      </c>
      <c r="T406" s="3">
        <v>54.0</v>
      </c>
      <c r="U406" s="3">
        <v>54.0</v>
      </c>
      <c r="V406" s="3">
        <v>60.0</v>
      </c>
      <c r="W406" s="3">
        <v>63.0</v>
      </c>
      <c r="X406" s="3">
        <v>56.0</v>
      </c>
      <c r="Y406" s="3">
        <v>61.0</v>
      </c>
      <c r="Z406" s="3">
        <v>66.0</v>
      </c>
      <c r="AA406" s="3">
        <v>72.0</v>
      </c>
      <c r="AB406" s="3">
        <v>53.0</v>
      </c>
      <c r="AC406" s="3">
        <v>54.0</v>
      </c>
      <c r="AD406" s="3">
        <v>54.0</v>
      </c>
      <c r="AE406" s="3">
        <v>48.0</v>
      </c>
      <c r="AF406" s="3">
        <v>35.0</v>
      </c>
      <c r="AG406" s="3">
        <v>41.0</v>
      </c>
      <c r="AH406" s="3">
        <v>66.0</v>
      </c>
      <c r="AI406" s="3">
        <v>65.0</v>
      </c>
      <c r="AJ406" s="3">
        <v>42.0</v>
      </c>
      <c r="AK406" s="3">
        <v>79.0</v>
      </c>
      <c r="AL406" s="3">
        <v>28.0</v>
      </c>
      <c r="AM406" s="3">
        <v>85.0</v>
      </c>
      <c r="AN406" s="3">
        <v>65.0</v>
      </c>
    </row>
    <row r="407" ht="14.25" customHeight="1">
      <c r="A407" s="3">
        <v>405.0</v>
      </c>
      <c r="B407" s="3" t="s">
        <v>7583</v>
      </c>
      <c r="C407" s="3">
        <v>37.0</v>
      </c>
      <c r="D407" s="3" t="s">
        <v>6645</v>
      </c>
      <c r="E407" s="3" t="s">
        <v>6646</v>
      </c>
      <c r="F407" s="3" t="s">
        <v>6646</v>
      </c>
      <c r="G407" s="3" t="s">
        <v>6645</v>
      </c>
      <c r="H407" s="3" t="s">
        <v>6645</v>
      </c>
      <c r="I407" s="3" t="s">
        <v>6646</v>
      </c>
      <c r="J407" s="3">
        <v>11.0</v>
      </c>
      <c r="K407" s="3">
        <v>3.0</v>
      </c>
      <c r="L407" s="3">
        <v>0.0</v>
      </c>
      <c r="M407" s="3">
        <v>0.0</v>
      </c>
      <c r="N407" s="3">
        <v>7677.345</v>
      </c>
      <c r="O407" s="3">
        <v>767.0</v>
      </c>
      <c r="P407" s="3" t="e">
        <v>#N/A</v>
      </c>
      <c r="Q407" s="3">
        <v>60.0</v>
      </c>
      <c r="R407" s="3">
        <v>60.0</v>
      </c>
      <c r="S407" s="3">
        <v>56.0</v>
      </c>
      <c r="T407" s="3">
        <v>58.0</v>
      </c>
      <c r="U407" s="3">
        <v>56.0</v>
      </c>
      <c r="V407" s="3">
        <v>65.0</v>
      </c>
      <c r="W407" s="3">
        <v>63.0</v>
      </c>
      <c r="X407" s="3">
        <v>51.0</v>
      </c>
      <c r="Y407" s="3">
        <v>66.0</v>
      </c>
      <c r="Z407" s="3">
        <v>60.0</v>
      </c>
      <c r="AA407" s="3">
        <v>70.0</v>
      </c>
      <c r="AB407" s="3">
        <v>58.0</v>
      </c>
      <c r="AC407" s="3">
        <v>50.0</v>
      </c>
      <c r="AD407" s="3">
        <v>58.0</v>
      </c>
      <c r="AE407" s="3">
        <v>55.0</v>
      </c>
      <c r="AF407" s="3">
        <v>40.0</v>
      </c>
      <c r="AG407" s="3">
        <v>58.0</v>
      </c>
      <c r="AH407" s="3">
        <v>45.0</v>
      </c>
      <c r="AI407" s="3">
        <v>23.0</v>
      </c>
      <c r="AJ407" s="3">
        <v>55.0</v>
      </c>
      <c r="AK407" s="3">
        <v>76.0</v>
      </c>
      <c r="AL407" s="3">
        <v>59.0</v>
      </c>
      <c r="AM407" s="3">
        <v>85.0</v>
      </c>
      <c r="AN407" s="3">
        <v>43.0</v>
      </c>
    </row>
    <row r="408" ht="14.25" customHeight="1">
      <c r="A408" s="3">
        <v>406.0</v>
      </c>
      <c r="B408" s="3" t="s">
        <v>7584</v>
      </c>
      <c r="C408" s="3">
        <v>38.0</v>
      </c>
      <c r="D408" s="3" t="s">
        <v>6645</v>
      </c>
      <c r="E408" s="3" t="s">
        <v>6646</v>
      </c>
      <c r="F408" s="3" t="s">
        <v>6646</v>
      </c>
      <c r="G408" s="3" t="s">
        <v>6645</v>
      </c>
      <c r="H408" s="3" t="s">
        <v>6645</v>
      </c>
      <c r="I408" s="3" t="s">
        <v>6646</v>
      </c>
      <c r="J408" s="3">
        <v>11.0</v>
      </c>
      <c r="K408" s="3">
        <v>3.0</v>
      </c>
      <c r="L408" s="3">
        <v>0.0</v>
      </c>
      <c r="M408" s="3">
        <v>0.0</v>
      </c>
      <c r="N408" s="3">
        <v>7812.8486</v>
      </c>
      <c r="O408" s="3">
        <v>809.0</v>
      </c>
      <c r="P408" s="3" t="e">
        <v>#N/A</v>
      </c>
      <c r="Q408" s="3">
        <v>56.0</v>
      </c>
      <c r="R408" s="3">
        <v>66.0</v>
      </c>
      <c r="S408" s="3">
        <v>52.0</v>
      </c>
      <c r="T408" s="3">
        <v>52.0</v>
      </c>
      <c r="U408" s="3">
        <v>60.0</v>
      </c>
      <c r="V408" s="3">
        <v>63.0</v>
      </c>
      <c r="W408" s="3">
        <v>69.0</v>
      </c>
      <c r="X408" s="3">
        <v>61.0</v>
      </c>
      <c r="Y408" s="3">
        <v>67.0</v>
      </c>
      <c r="Z408" s="3">
        <v>65.0</v>
      </c>
      <c r="AA408" s="3">
        <v>62.0</v>
      </c>
      <c r="AB408" s="3">
        <v>48.0</v>
      </c>
      <c r="AC408" s="3">
        <v>46.0</v>
      </c>
      <c r="AD408" s="3">
        <v>45.0</v>
      </c>
      <c r="AE408" s="3">
        <v>50.0</v>
      </c>
      <c r="AF408" s="3">
        <v>56.0</v>
      </c>
      <c r="AG408" s="3">
        <v>64.0</v>
      </c>
      <c r="AH408" s="3">
        <v>27.0</v>
      </c>
      <c r="AI408" s="3">
        <v>46.0</v>
      </c>
      <c r="AJ408" s="3">
        <v>69.0</v>
      </c>
      <c r="AK408" s="3">
        <v>84.0</v>
      </c>
      <c r="AL408" s="3">
        <v>63.0</v>
      </c>
      <c r="AM408" s="3">
        <v>80.0</v>
      </c>
      <c r="AN408" s="3">
        <v>27.0</v>
      </c>
    </row>
    <row r="409" ht="14.25" customHeight="1">
      <c r="A409" s="3">
        <v>407.0</v>
      </c>
      <c r="B409" s="3" t="s">
        <v>7585</v>
      </c>
      <c r="C409" s="3">
        <v>31.0</v>
      </c>
      <c r="D409" s="3" t="s">
        <v>6645</v>
      </c>
      <c r="E409" s="3" t="s">
        <v>6646</v>
      </c>
      <c r="F409" s="3" t="s">
        <v>6646</v>
      </c>
      <c r="G409" s="3" t="s">
        <v>6645</v>
      </c>
      <c r="H409" s="3" t="s">
        <v>6645</v>
      </c>
      <c r="I409" s="3" t="s">
        <v>6645</v>
      </c>
      <c r="J409" s="3">
        <v>11.0</v>
      </c>
      <c r="K409" s="3">
        <v>2.0</v>
      </c>
      <c r="L409" s="3">
        <v>0.0</v>
      </c>
      <c r="M409" s="3">
        <v>0.0</v>
      </c>
      <c r="N409" s="3">
        <v>4449.0253</v>
      </c>
      <c r="O409" s="3">
        <v>465.0</v>
      </c>
      <c r="P409" s="3" t="e">
        <v>#N/A</v>
      </c>
      <c r="Q409" s="3">
        <v>47.0</v>
      </c>
      <c r="R409" s="3">
        <v>53.0</v>
      </c>
      <c r="S409" s="3">
        <v>51.0</v>
      </c>
      <c r="T409" s="3">
        <v>53.0</v>
      </c>
      <c r="U409" s="3">
        <v>49.0</v>
      </c>
      <c r="V409" s="3">
        <v>50.0</v>
      </c>
      <c r="W409" s="3">
        <v>49.0</v>
      </c>
      <c r="X409" s="3">
        <v>50.0</v>
      </c>
      <c r="Y409" s="3">
        <v>50.0</v>
      </c>
      <c r="Z409" s="3">
        <v>55.0</v>
      </c>
      <c r="AA409" s="3">
        <v>58.0</v>
      </c>
      <c r="AB409" s="3">
        <v>41.0</v>
      </c>
      <c r="AC409" s="3">
        <v>41.0</v>
      </c>
      <c r="AD409" s="3">
        <v>45.0</v>
      </c>
      <c r="AE409" s="3">
        <v>47.0</v>
      </c>
      <c r="AF409" s="3">
        <v>14.0</v>
      </c>
      <c r="AG409" s="3">
        <v>62.0</v>
      </c>
      <c r="AH409" s="3">
        <v>58.0</v>
      </c>
      <c r="AI409" s="3">
        <v>64.0</v>
      </c>
      <c r="AJ409" s="3">
        <v>64.0</v>
      </c>
      <c r="AK409" s="3">
        <v>72.0</v>
      </c>
      <c r="AL409" s="3">
        <v>54.0</v>
      </c>
      <c r="AM409" s="3">
        <v>79.0</v>
      </c>
      <c r="AN409" s="3">
        <v>27.0</v>
      </c>
    </row>
    <row r="410" ht="14.25" customHeight="1">
      <c r="A410" s="3">
        <v>408.0</v>
      </c>
      <c r="B410" s="3" t="s">
        <v>7586</v>
      </c>
      <c r="C410" s="3">
        <v>31.0</v>
      </c>
      <c r="D410" s="3" t="s">
        <v>6645</v>
      </c>
      <c r="E410" s="3" t="s">
        <v>6646</v>
      </c>
      <c r="F410" s="3" t="s">
        <v>6646</v>
      </c>
      <c r="G410" s="3" t="s">
        <v>6645</v>
      </c>
      <c r="H410" s="3" t="s">
        <v>6645</v>
      </c>
      <c r="I410" s="3" t="s">
        <v>6645</v>
      </c>
      <c r="J410" s="3">
        <v>11.0</v>
      </c>
      <c r="K410" s="3">
        <v>2.0</v>
      </c>
      <c r="L410" s="3">
        <v>0.0</v>
      </c>
      <c r="M410" s="3">
        <v>0.0</v>
      </c>
      <c r="N410" s="3">
        <v>4009.1855</v>
      </c>
      <c r="O410" s="3">
        <v>378.0</v>
      </c>
      <c r="P410" s="3" t="e">
        <v>#N/A</v>
      </c>
      <c r="Q410" s="3">
        <v>53.0</v>
      </c>
      <c r="R410" s="3">
        <v>46.0</v>
      </c>
      <c r="S410" s="3">
        <v>51.0</v>
      </c>
      <c r="T410" s="3">
        <v>53.0</v>
      </c>
      <c r="U410" s="3">
        <v>46.0</v>
      </c>
      <c r="V410" s="3">
        <v>50.0</v>
      </c>
      <c r="W410" s="3">
        <v>58.0</v>
      </c>
      <c r="X410" s="3">
        <v>42.0</v>
      </c>
      <c r="Y410" s="3">
        <v>57.0</v>
      </c>
      <c r="Z410" s="3">
        <v>55.0</v>
      </c>
      <c r="AA410" s="3">
        <v>54.0</v>
      </c>
      <c r="AB410" s="3">
        <v>39.0</v>
      </c>
      <c r="AC410" s="3">
        <v>39.0</v>
      </c>
      <c r="AD410" s="3">
        <v>47.0</v>
      </c>
      <c r="AE410" s="3">
        <v>40.0</v>
      </c>
      <c r="AF410" s="3">
        <v>45.0</v>
      </c>
      <c r="AG410" s="3">
        <v>58.0</v>
      </c>
      <c r="AH410" s="3">
        <v>21.0</v>
      </c>
      <c r="AI410" s="3">
        <v>46.0</v>
      </c>
      <c r="AJ410" s="3">
        <v>44.0</v>
      </c>
      <c r="AK410" s="3">
        <v>81.0</v>
      </c>
      <c r="AL410" s="3">
        <v>60.0</v>
      </c>
      <c r="AM410" s="3">
        <v>75.0</v>
      </c>
      <c r="AN410" s="3">
        <v>60.0</v>
      </c>
    </row>
    <row r="411" ht="14.25" customHeight="1">
      <c r="A411" s="3">
        <v>409.0</v>
      </c>
      <c r="B411" s="3" t="s">
        <v>7587</v>
      </c>
      <c r="C411" s="3">
        <v>25.0</v>
      </c>
      <c r="D411" s="3" t="s">
        <v>6645</v>
      </c>
      <c r="E411" s="3" t="s">
        <v>6646</v>
      </c>
      <c r="F411" s="3" t="s">
        <v>6646</v>
      </c>
      <c r="G411" s="3" t="s">
        <v>6645</v>
      </c>
      <c r="H411" s="3" t="s">
        <v>6645</v>
      </c>
      <c r="I411" s="3" t="s">
        <v>6646</v>
      </c>
      <c r="J411" s="3">
        <v>11.0</v>
      </c>
      <c r="K411" s="3">
        <v>2.0</v>
      </c>
      <c r="L411" s="3">
        <v>0.0</v>
      </c>
      <c r="M411" s="3">
        <v>0.0</v>
      </c>
      <c r="N411" s="3">
        <v>4110.18</v>
      </c>
      <c r="O411" s="3">
        <v>363.0</v>
      </c>
      <c r="P411" s="3" t="e">
        <v>#N/A</v>
      </c>
      <c r="Q411" s="3">
        <v>51.0</v>
      </c>
      <c r="R411" s="3">
        <v>52.0</v>
      </c>
      <c r="S411" s="3">
        <v>53.0</v>
      </c>
      <c r="T411" s="3">
        <v>52.0</v>
      </c>
      <c r="U411" s="3">
        <v>46.0</v>
      </c>
      <c r="V411" s="3">
        <v>53.0</v>
      </c>
      <c r="W411" s="3">
        <v>56.0</v>
      </c>
      <c r="X411" s="3">
        <v>48.0</v>
      </c>
      <c r="Y411" s="3">
        <v>59.0</v>
      </c>
      <c r="Z411" s="3">
        <v>54.0</v>
      </c>
      <c r="AA411" s="3">
        <v>51.0</v>
      </c>
      <c r="AB411" s="3">
        <v>43.0</v>
      </c>
      <c r="AC411" s="3">
        <v>52.0</v>
      </c>
      <c r="AD411" s="3">
        <v>43.0</v>
      </c>
      <c r="AE411" s="3">
        <v>48.0</v>
      </c>
      <c r="AF411" s="3">
        <v>37.0</v>
      </c>
      <c r="AG411" s="3">
        <v>62.0</v>
      </c>
      <c r="AH411" s="3">
        <v>40.0</v>
      </c>
      <c r="AI411" s="3">
        <v>64.0</v>
      </c>
      <c r="AJ411" s="3">
        <v>19.0</v>
      </c>
      <c r="AK411" s="3">
        <v>73.0</v>
      </c>
      <c r="AL411" s="3">
        <v>52.0</v>
      </c>
      <c r="AM411" s="3">
        <v>81.0</v>
      </c>
      <c r="AN411" s="3">
        <v>50.0</v>
      </c>
    </row>
    <row r="412" ht="14.25" customHeight="1">
      <c r="A412" s="3">
        <v>410.0</v>
      </c>
      <c r="B412" s="3" t="s">
        <v>7588</v>
      </c>
      <c r="C412" s="3">
        <v>30.0</v>
      </c>
      <c r="D412" s="3" t="s">
        <v>6645</v>
      </c>
      <c r="E412" s="3" t="s">
        <v>6646</v>
      </c>
      <c r="F412" s="3" t="s">
        <v>6646</v>
      </c>
      <c r="G412" s="3" t="s">
        <v>6645</v>
      </c>
      <c r="H412" s="3" t="s">
        <v>6645</v>
      </c>
      <c r="I412" s="3" t="s">
        <v>6646</v>
      </c>
      <c r="J412" s="3">
        <v>11.0</v>
      </c>
      <c r="K412" s="3">
        <v>2.0</v>
      </c>
      <c r="L412" s="3">
        <v>0.0</v>
      </c>
      <c r="M412" s="3">
        <v>0.0</v>
      </c>
      <c r="N412" s="3">
        <v>4199.7104</v>
      </c>
      <c r="O412" s="3">
        <v>341.0</v>
      </c>
      <c r="P412" s="3" t="e">
        <v>#N/A</v>
      </c>
      <c r="Q412" s="3">
        <v>47.0</v>
      </c>
      <c r="R412" s="3">
        <v>48.0</v>
      </c>
      <c r="S412" s="3">
        <v>50.0</v>
      </c>
      <c r="T412" s="3">
        <v>46.0</v>
      </c>
      <c r="U412" s="3">
        <v>46.0</v>
      </c>
      <c r="V412" s="3">
        <v>46.0</v>
      </c>
      <c r="W412" s="3">
        <v>58.0</v>
      </c>
      <c r="X412" s="3">
        <v>48.0</v>
      </c>
      <c r="Y412" s="3">
        <v>59.0</v>
      </c>
      <c r="Z412" s="3">
        <v>60.0</v>
      </c>
      <c r="AA412" s="3">
        <v>61.0</v>
      </c>
      <c r="AB412" s="3">
        <v>54.0</v>
      </c>
      <c r="AC412" s="3">
        <v>47.0</v>
      </c>
      <c r="AD412" s="3">
        <v>38.0</v>
      </c>
      <c r="AE412" s="3">
        <v>40.0</v>
      </c>
      <c r="AF412" s="3">
        <v>66.0</v>
      </c>
      <c r="AG412" s="3">
        <v>54.0</v>
      </c>
      <c r="AH412" s="3">
        <v>41.0</v>
      </c>
      <c r="AI412" s="3">
        <v>12.0</v>
      </c>
      <c r="AJ412" s="3">
        <v>58.0</v>
      </c>
      <c r="AK412" s="3">
        <v>81.0</v>
      </c>
      <c r="AL412" s="3">
        <v>38.0</v>
      </c>
      <c r="AM412" s="3">
        <v>70.0</v>
      </c>
      <c r="AN412" s="3">
        <v>60.0</v>
      </c>
    </row>
    <row r="413" ht="14.25" customHeight="1">
      <c r="A413" s="3">
        <v>411.0</v>
      </c>
      <c r="B413" s="3" t="s">
        <v>7589</v>
      </c>
      <c r="C413" s="3">
        <v>22.0</v>
      </c>
      <c r="D413" s="3" t="s">
        <v>6645</v>
      </c>
      <c r="E413" s="3" t="s">
        <v>6646</v>
      </c>
      <c r="F413" s="3" t="s">
        <v>6646</v>
      </c>
      <c r="G413" s="3" t="s">
        <v>6645</v>
      </c>
      <c r="H413" s="3" t="s">
        <v>6645</v>
      </c>
      <c r="I413" s="3" t="s">
        <v>6646</v>
      </c>
      <c r="J413" s="3">
        <v>11.0</v>
      </c>
      <c r="K413" s="3">
        <v>1.0</v>
      </c>
      <c r="L413" s="3">
        <v>0.0</v>
      </c>
      <c r="M413" s="3">
        <v>0.0</v>
      </c>
      <c r="N413" s="3">
        <v>1752.8736</v>
      </c>
      <c r="O413" s="3">
        <v>237.0</v>
      </c>
      <c r="P413" s="3" t="e">
        <v>#N/A</v>
      </c>
      <c r="Q413" s="3">
        <v>38.0</v>
      </c>
      <c r="R413" s="3">
        <v>38.0</v>
      </c>
      <c r="S413" s="3">
        <v>40.0</v>
      </c>
      <c r="T413" s="3">
        <v>38.0</v>
      </c>
      <c r="U413" s="3">
        <v>40.0</v>
      </c>
      <c r="V413" s="3">
        <v>40.0</v>
      </c>
      <c r="W413" s="3">
        <v>49.0</v>
      </c>
      <c r="X413" s="3">
        <v>30.0</v>
      </c>
      <c r="Y413" s="3">
        <v>52.0</v>
      </c>
      <c r="Z413" s="3">
        <v>50.0</v>
      </c>
      <c r="AA413" s="3">
        <v>46.0</v>
      </c>
      <c r="AB413" s="3">
        <v>30.0</v>
      </c>
      <c r="AC413" s="3">
        <v>40.0</v>
      </c>
      <c r="AD413" s="3">
        <v>30.0</v>
      </c>
      <c r="AE413" s="3">
        <v>31.0</v>
      </c>
      <c r="AF413" s="3">
        <v>50.0</v>
      </c>
      <c r="AG413" s="3">
        <v>39.0</v>
      </c>
      <c r="AH413" s="3">
        <v>28.0</v>
      </c>
      <c r="AI413" s="3">
        <v>51.0</v>
      </c>
      <c r="AJ413" s="3">
        <v>9.0</v>
      </c>
      <c r="AK413" s="3">
        <v>63.0</v>
      </c>
      <c r="AL413" s="3">
        <v>47.0</v>
      </c>
      <c r="AM413" s="3">
        <v>74.0</v>
      </c>
      <c r="AN413" s="3">
        <v>39.0</v>
      </c>
    </row>
    <row r="414" ht="14.25" customHeight="1">
      <c r="A414" s="3">
        <v>412.0</v>
      </c>
      <c r="B414" s="3" t="s">
        <v>7590</v>
      </c>
      <c r="C414" s="3">
        <v>25.0</v>
      </c>
      <c r="D414" s="3" t="s">
        <v>6645</v>
      </c>
      <c r="E414" s="3" t="s">
        <v>6646</v>
      </c>
      <c r="F414" s="3" t="s">
        <v>6646</v>
      </c>
      <c r="G414" s="3" t="s">
        <v>6645</v>
      </c>
      <c r="H414" s="3" t="s">
        <v>6645</v>
      </c>
      <c r="I414" s="3" t="s">
        <v>6645</v>
      </c>
      <c r="J414" s="3">
        <v>11.0</v>
      </c>
      <c r="K414" s="3">
        <v>1.0</v>
      </c>
      <c r="L414" s="3">
        <v>0.0</v>
      </c>
      <c r="M414" s="3">
        <v>0.0</v>
      </c>
      <c r="N414" s="3">
        <v>1850.2971</v>
      </c>
      <c r="O414" s="3">
        <v>219.0</v>
      </c>
      <c r="P414" s="3" t="e">
        <v>#N/A</v>
      </c>
      <c r="Q414" s="3">
        <v>44.0</v>
      </c>
      <c r="R414" s="3">
        <v>42.0</v>
      </c>
      <c r="S414" s="3">
        <v>44.0</v>
      </c>
      <c r="T414" s="3">
        <v>44.0</v>
      </c>
      <c r="U414" s="3">
        <v>44.0</v>
      </c>
      <c r="V414" s="3">
        <v>40.0</v>
      </c>
      <c r="W414" s="3">
        <v>43.0</v>
      </c>
      <c r="X414" s="3">
        <v>33.0</v>
      </c>
      <c r="Y414" s="3">
        <v>43.0</v>
      </c>
      <c r="Z414" s="3">
        <v>45.0</v>
      </c>
      <c r="AA414" s="3">
        <v>47.0</v>
      </c>
      <c r="AB414" s="3">
        <v>44.0</v>
      </c>
      <c r="AC414" s="3">
        <v>35.0</v>
      </c>
      <c r="AD414" s="3">
        <v>33.0</v>
      </c>
      <c r="AE414" s="3">
        <v>35.0</v>
      </c>
      <c r="AF414" s="3">
        <v>10.0</v>
      </c>
      <c r="AG414" s="3">
        <v>42.0</v>
      </c>
      <c r="AH414" s="3">
        <v>49.0</v>
      </c>
      <c r="AI414" s="3">
        <v>51.0</v>
      </c>
      <c r="AJ414" s="3">
        <v>58.0</v>
      </c>
      <c r="AK414" s="3">
        <v>74.0</v>
      </c>
      <c r="AL414" s="3">
        <v>14.0</v>
      </c>
      <c r="AM414" s="3">
        <v>72.0</v>
      </c>
      <c r="AN414" s="3">
        <v>57.0</v>
      </c>
    </row>
    <row r="415" ht="14.25" customHeight="1">
      <c r="A415" s="3">
        <v>413.0</v>
      </c>
      <c r="B415" s="3" t="s">
        <v>7591</v>
      </c>
      <c r="C415" s="3">
        <v>29.0</v>
      </c>
      <c r="D415" s="3" t="s">
        <v>6645</v>
      </c>
      <c r="E415" s="3" t="s">
        <v>6646</v>
      </c>
      <c r="F415" s="3" t="s">
        <v>6646</v>
      </c>
      <c r="G415" s="3" t="s">
        <v>6645</v>
      </c>
      <c r="H415" s="3" t="s">
        <v>6645</v>
      </c>
      <c r="I415" s="3" t="s">
        <v>6645</v>
      </c>
      <c r="J415" s="3">
        <v>11.0</v>
      </c>
      <c r="K415" s="3">
        <v>1.0</v>
      </c>
      <c r="L415" s="3">
        <v>0.0</v>
      </c>
      <c r="M415" s="3">
        <v>0.0</v>
      </c>
      <c r="N415" s="3">
        <v>1680.3756</v>
      </c>
      <c r="O415" s="3">
        <v>165.0</v>
      </c>
      <c r="P415" s="3" t="e">
        <v>#N/A</v>
      </c>
      <c r="Q415" s="3">
        <v>40.0</v>
      </c>
      <c r="R415" s="3">
        <v>46.0</v>
      </c>
      <c r="S415" s="3">
        <v>44.0</v>
      </c>
      <c r="T415" s="3">
        <v>42.0</v>
      </c>
      <c r="U415" s="3">
        <v>42.0</v>
      </c>
      <c r="V415" s="3">
        <v>42.0</v>
      </c>
      <c r="W415" s="3">
        <v>44.0</v>
      </c>
      <c r="X415" s="3">
        <v>40.0</v>
      </c>
      <c r="Y415" s="3">
        <v>52.0</v>
      </c>
      <c r="Z415" s="3">
        <v>49.0</v>
      </c>
      <c r="AA415" s="3">
        <v>52.0</v>
      </c>
      <c r="AB415" s="3">
        <v>29.0</v>
      </c>
      <c r="AC415" s="3">
        <v>32.0</v>
      </c>
      <c r="AD415" s="3">
        <v>34.0</v>
      </c>
      <c r="AE415" s="3">
        <v>38.0</v>
      </c>
      <c r="AF415" s="3">
        <v>43.0</v>
      </c>
      <c r="AG415" s="3">
        <v>52.0</v>
      </c>
      <c r="AH415" s="3">
        <v>12.0</v>
      </c>
      <c r="AI415" s="3">
        <v>52.0</v>
      </c>
      <c r="AJ415" s="3">
        <v>38.0</v>
      </c>
      <c r="AK415" s="3">
        <v>71.0</v>
      </c>
      <c r="AL415" s="3">
        <v>39.0</v>
      </c>
      <c r="AM415" s="3">
        <v>76.0</v>
      </c>
      <c r="AN415" s="3">
        <v>10.0</v>
      </c>
    </row>
    <row r="416" ht="14.25" customHeight="1">
      <c r="A416" s="3">
        <v>414.0</v>
      </c>
      <c r="B416" s="3" t="s">
        <v>7592</v>
      </c>
      <c r="C416" s="3">
        <v>23.0</v>
      </c>
      <c r="D416" s="3" t="s">
        <v>6645</v>
      </c>
      <c r="E416" s="3" t="s">
        <v>6646</v>
      </c>
      <c r="F416" s="3" t="s">
        <v>6646</v>
      </c>
      <c r="G416" s="3" t="s">
        <v>6645</v>
      </c>
      <c r="H416" s="3" t="s">
        <v>6645</v>
      </c>
      <c r="I416" s="3" t="s">
        <v>6645</v>
      </c>
      <c r="J416" s="3">
        <v>11.0</v>
      </c>
      <c r="K416" s="3">
        <v>1.0</v>
      </c>
      <c r="L416" s="3">
        <v>0.0</v>
      </c>
      <c r="M416" s="3">
        <v>0.0</v>
      </c>
      <c r="N416" s="3">
        <v>1646.44</v>
      </c>
      <c r="O416" s="3">
        <v>194.0</v>
      </c>
      <c r="P416" s="3" t="e">
        <v>#N/A</v>
      </c>
      <c r="Q416" s="3">
        <v>42.0</v>
      </c>
      <c r="R416" s="3">
        <v>46.0</v>
      </c>
      <c r="S416" s="3">
        <v>46.0</v>
      </c>
      <c r="T416" s="3">
        <v>42.0</v>
      </c>
      <c r="U416" s="3">
        <v>38.0</v>
      </c>
      <c r="V416" s="3">
        <v>38.0</v>
      </c>
      <c r="W416" s="3">
        <v>52.0</v>
      </c>
      <c r="X416" s="3">
        <v>32.0</v>
      </c>
      <c r="Y416" s="3">
        <v>49.0</v>
      </c>
      <c r="Z416" s="3">
        <v>54.0</v>
      </c>
      <c r="AA416" s="3">
        <v>49.0</v>
      </c>
      <c r="AB416" s="3">
        <v>36.0</v>
      </c>
      <c r="AC416" s="3">
        <v>38.0</v>
      </c>
      <c r="AD416" s="3">
        <v>39.0</v>
      </c>
      <c r="AE416" s="3">
        <v>37.0</v>
      </c>
      <c r="AF416" s="3">
        <v>31.0</v>
      </c>
      <c r="AG416" s="3">
        <v>48.0</v>
      </c>
      <c r="AH416" s="3">
        <v>53.0</v>
      </c>
      <c r="AI416" s="3">
        <v>33.0</v>
      </c>
      <c r="AJ416" s="3">
        <v>47.0</v>
      </c>
      <c r="AK416" s="3">
        <v>79.0</v>
      </c>
      <c r="AL416" s="3">
        <v>27.0</v>
      </c>
      <c r="AM416" s="3">
        <v>73.0</v>
      </c>
      <c r="AN416" s="3">
        <v>59.0</v>
      </c>
    </row>
    <row r="417" ht="14.25" customHeight="1">
      <c r="A417" s="3">
        <v>415.0</v>
      </c>
      <c r="B417" s="3" t="s">
        <v>7593</v>
      </c>
      <c r="C417" s="3">
        <v>28.0</v>
      </c>
      <c r="D417" s="3" t="s">
        <v>6645</v>
      </c>
      <c r="E417" s="3" t="s">
        <v>6646</v>
      </c>
      <c r="F417" s="3" t="s">
        <v>6646</v>
      </c>
      <c r="G417" s="3" t="s">
        <v>6645</v>
      </c>
      <c r="H417" s="3" t="s">
        <v>6645</v>
      </c>
      <c r="I417" s="3" t="s">
        <v>6646</v>
      </c>
      <c r="J417" s="3">
        <v>11.0</v>
      </c>
      <c r="K417" s="3">
        <v>1.0</v>
      </c>
      <c r="L417" s="3">
        <v>0.0</v>
      </c>
      <c r="M417" s="3">
        <v>0.0</v>
      </c>
      <c r="N417" s="3">
        <v>1670.8122</v>
      </c>
      <c r="O417" s="3">
        <v>169.0</v>
      </c>
      <c r="P417" s="3" t="e">
        <v>#N/A</v>
      </c>
      <c r="Q417" s="3">
        <v>44.0</v>
      </c>
      <c r="R417" s="3">
        <v>40.0</v>
      </c>
      <c r="S417" s="3">
        <v>42.0</v>
      </c>
      <c r="T417" s="3">
        <v>40.0</v>
      </c>
      <c r="U417" s="3">
        <v>38.0</v>
      </c>
      <c r="V417" s="3">
        <v>42.0</v>
      </c>
      <c r="W417" s="3">
        <v>48.0</v>
      </c>
      <c r="X417" s="3">
        <v>29.0</v>
      </c>
      <c r="Y417" s="3">
        <v>49.0</v>
      </c>
      <c r="Z417" s="3">
        <v>45.0</v>
      </c>
      <c r="AA417" s="3">
        <v>49.0</v>
      </c>
      <c r="AB417" s="3">
        <v>46.0</v>
      </c>
      <c r="AC417" s="3">
        <v>34.0</v>
      </c>
      <c r="AD417" s="3">
        <v>39.0</v>
      </c>
      <c r="AE417" s="3">
        <v>37.0</v>
      </c>
      <c r="AF417" s="3">
        <v>55.0</v>
      </c>
      <c r="AG417" s="3">
        <v>39.0</v>
      </c>
      <c r="AH417" s="3">
        <v>34.0</v>
      </c>
      <c r="AI417" s="3">
        <v>57.0</v>
      </c>
      <c r="AJ417" s="3">
        <v>62.0</v>
      </c>
      <c r="AK417" s="3">
        <v>67.0</v>
      </c>
      <c r="AL417" s="3">
        <v>23.0</v>
      </c>
      <c r="AM417" s="3">
        <v>79.0</v>
      </c>
      <c r="AN417" s="3">
        <v>5.0</v>
      </c>
    </row>
    <row r="418" ht="14.25" customHeight="1">
      <c r="A418" s="3">
        <v>416.0</v>
      </c>
      <c r="B418" s="3" t="s">
        <v>7594</v>
      </c>
      <c r="C418" s="3">
        <v>16.0</v>
      </c>
      <c r="D418" s="3" t="s">
        <v>6645</v>
      </c>
      <c r="E418" s="3" t="s">
        <v>6646</v>
      </c>
      <c r="F418" s="3" t="s">
        <v>6646</v>
      </c>
      <c r="G418" s="3" t="s">
        <v>6645</v>
      </c>
      <c r="H418" s="3" t="s">
        <v>6645</v>
      </c>
      <c r="I418" s="3" t="s">
        <v>6645</v>
      </c>
      <c r="J418" s="3">
        <v>11.0</v>
      </c>
      <c r="K418" s="3">
        <v>0.0</v>
      </c>
      <c r="L418" s="3">
        <v>0.0</v>
      </c>
      <c r="M418" s="3">
        <v>0.0</v>
      </c>
      <c r="N418" s="3">
        <v>497.305</v>
      </c>
      <c r="O418" s="3">
        <v>93.0</v>
      </c>
      <c r="P418" s="3" t="e">
        <v>#N/A</v>
      </c>
      <c r="Q418" s="3">
        <v>37.0</v>
      </c>
      <c r="R418" s="3">
        <v>38.0</v>
      </c>
      <c r="S418" s="3">
        <v>34.0</v>
      </c>
      <c r="T418" s="3">
        <v>39.0</v>
      </c>
      <c r="U418" s="3">
        <v>33.0</v>
      </c>
      <c r="V418" s="3">
        <v>35.0</v>
      </c>
      <c r="W418" s="3">
        <v>39.0</v>
      </c>
      <c r="X418" s="3">
        <v>30.0</v>
      </c>
      <c r="Y418" s="3">
        <v>37.0</v>
      </c>
      <c r="Z418" s="3">
        <v>44.0</v>
      </c>
      <c r="AA418" s="3">
        <v>44.0</v>
      </c>
      <c r="AB418" s="3">
        <v>25.0</v>
      </c>
      <c r="AC418" s="3">
        <v>32.0</v>
      </c>
      <c r="AD418" s="3">
        <v>32.0</v>
      </c>
      <c r="AE418" s="3">
        <v>23.0</v>
      </c>
      <c r="AF418" s="3">
        <v>16.0</v>
      </c>
      <c r="AG418" s="3">
        <v>12.0</v>
      </c>
      <c r="AH418" s="3">
        <v>33.0</v>
      </c>
      <c r="AI418" s="3">
        <v>39.0</v>
      </c>
      <c r="AJ418" s="3">
        <v>51.0</v>
      </c>
      <c r="AK418" s="3">
        <v>77.0</v>
      </c>
      <c r="AL418" s="3">
        <v>33.0</v>
      </c>
      <c r="AM418" s="3">
        <v>73.0</v>
      </c>
      <c r="AN418" s="3">
        <v>59.0</v>
      </c>
    </row>
    <row r="419" ht="14.25" customHeight="1">
      <c r="A419" s="3">
        <v>417.0</v>
      </c>
      <c r="B419" s="3" t="s">
        <v>7595</v>
      </c>
      <c r="C419" s="3">
        <v>17.0</v>
      </c>
      <c r="D419" s="3" t="s">
        <v>6645</v>
      </c>
      <c r="E419" s="3" t="s">
        <v>6646</v>
      </c>
      <c r="F419" s="3" t="s">
        <v>6646</v>
      </c>
      <c r="G419" s="3" t="s">
        <v>6645</v>
      </c>
      <c r="H419" s="3" t="s">
        <v>6645</v>
      </c>
      <c r="I419" s="3" t="s">
        <v>6645</v>
      </c>
      <c r="J419" s="3">
        <v>11.0</v>
      </c>
      <c r="K419" s="3">
        <v>0.0</v>
      </c>
      <c r="L419" s="3">
        <v>0.0</v>
      </c>
      <c r="M419" s="3">
        <v>0.0</v>
      </c>
      <c r="N419" s="3">
        <v>493.235</v>
      </c>
      <c r="O419" s="3">
        <v>118.0</v>
      </c>
      <c r="P419" s="3" t="e">
        <v>#N/A</v>
      </c>
      <c r="Q419" s="3">
        <v>31.0</v>
      </c>
      <c r="R419" s="3">
        <v>34.0</v>
      </c>
      <c r="S419" s="3">
        <v>33.0</v>
      </c>
      <c r="T419" s="3">
        <v>30.0</v>
      </c>
      <c r="U419" s="3">
        <v>32.0</v>
      </c>
      <c r="V419" s="3">
        <v>38.0</v>
      </c>
      <c r="W419" s="3">
        <v>37.0</v>
      </c>
      <c r="X419" s="3">
        <v>25.0</v>
      </c>
      <c r="Y419" s="3">
        <v>39.0</v>
      </c>
      <c r="Z419" s="3">
        <v>45.0</v>
      </c>
      <c r="AA419" s="3">
        <v>41.0</v>
      </c>
      <c r="AB419" s="3">
        <v>37.0</v>
      </c>
      <c r="AC419" s="3">
        <v>23.0</v>
      </c>
      <c r="AD419" s="3">
        <v>33.0</v>
      </c>
      <c r="AE419" s="3">
        <v>32.0</v>
      </c>
      <c r="AF419" s="3">
        <v>43.0</v>
      </c>
      <c r="AG419" s="3">
        <v>20.0</v>
      </c>
      <c r="AH419" s="3">
        <v>44.0</v>
      </c>
      <c r="AI419" s="3">
        <v>52.0</v>
      </c>
      <c r="AJ419" s="3">
        <v>26.0</v>
      </c>
      <c r="AK419" s="3">
        <v>65.0</v>
      </c>
      <c r="AL419" s="3">
        <v>37.0</v>
      </c>
      <c r="AM419" s="3">
        <v>74.0</v>
      </c>
      <c r="AN419" s="3">
        <v>58.0</v>
      </c>
    </row>
    <row r="420" ht="14.25" customHeight="1">
      <c r="A420" s="3">
        <v>418.0</v>
      </c>
      <c r="B420" s="3" t="s">
        <v>7596</v>
      </c>
      <c r="C420" s="3">
        <v>18.0</v>
      </c>
      <c r="D420" s="3" t="s">
        <v>6645</v>
      </c>
      <c r="E420" s="3" t="s">
        <v>6646</v>
      </c>
      <c r="F420" s="3" t="s">
        <v>6646</v>
      </c>
      <c r="G420" s="3" t="s">
        <v>6645</v>
      </c>
      <c r="H420" s="3" t="s">
        <v>6645</v>
      </c>
      <c r="I420" s="3" t="s">
        <v>6646</v>
      </c>
      <c r="J420" s="3">
        <v>11.0</v>
      </c>
      <c r="K420" s="3">
        <v>0.0</v>
      </c>
      <c r="L420" s="3">
        <v>0.0</v>
      </c>
      <c r="M420" s="3">
        <v>0.0</v>
      </c>
      <c r="N420" s="3">
        <v>626.29943</v>
      </c>
      <c r="O420" s="3">
        <v>108.0</v>
      </c>
      <c r="P420" s="3" t="e">
        <v>#N/A</v>
      </c>
      <c r="Q420" s="3">
        <v>32.0</v>
      </c>
      <c r="R420" s="3">
        <v>37.0</v>
      </c>
      <c r="S420" s="3">
        <v>31.0</v>
      </c>
      <c r="T420" s="3">
        <v>36.0</v>
      </c>
      <c r="U420" s="3">
        <v>31.0</v>
      </c>
      <c r="V420" s="3">
        <v>37.0</v>
      </c>
      <c r="W420" s="3">
        <v>38.0</v>
      </c>
      <c r="X420" s="3">
        <v>25.0</v>
      </c>
      <c r="Y420" s="3">
        <v>43.0</v>
      </c>
      <c r="Z420" s="3">
        <v>44.0</v>
      </c>
      <c r="AA420" s="3">
        <v>42.0</v>
      </c>
      <c r="AB420" s="3">
        <v>31.0</v>
      </c>
      <c r="AC420" s="3">
        <v>37.0</v>
      </c>
      <c r="AD420" s="3">
        <v>27.0</v>
      </c>
      <c r="AE420" s="3">
        <v>29.0</v>
      </c>
      <c r="AF420" s="3">
        <v>35.0</v>
      </c>
      <c r="AG420" s="3">
        <v>39.0</v>
      </c>
      <c r="AH420" s="3">
        <v>39.0</v>
      </c>
      <c r="AI420" s="3">
        <v>40.0</v>
      </c>
      <c r="AJ420" s="3">
        <v>24.0</v>
      </c>
      <c r="AK420" s="3">
        <v>78.0</v>
      </c>
      <c r="AL420" s="3">
        <v>32.0</v>
      </c>
      <c r="AM420" s="3">
        <v>69.0</v>
      </c>
      <c r="AN420" s="3">
        <v>38.0</v>
      </c>
    </row>
    <row r="421" ht="14.25" customHeight="1">
      <c r="A421" s="3">
        <v>419.0</v>
      </c>
      <c r="B421" s="3" t="s">
        <v>7597</v>
      </c>
      <c r="C421" s="3">
        <v>24.0</v>
      </c>
      <c r="D421" s="3" t="s">
        <v>6645</v>
      </c>
      <c r="E421" s="3" t="s">
        <v>6646</v>
      </c>
      <c r="F421" s="3" t="s">
        <v>6646</v>
      </c>
      <c r="G421" s="3" t="s">
        <v>6645</v>
      </c>
      <c r="H421" s="3" t="s">
        <v>6645</v>
      </c>
      <c r="I421" s="3" t="s">
        <v>6646</v>
      </c>
      <c r="J421" s="3">
        <v>11.0</v>
      </c>
      <c r="K421" s="3">
        <v>0.0</v>
      </c>
      <c r="L421" s="3">
        <v>0.0</v>
      </c>
      <c r="M421" s="3">
        <v>0.0</v>
      </c>
      <c r="N421" s="3">
        <v>563.637</v>
      </c>
      <c r="O421" s="3">
        <v>99.0</v>
      </c>
      <c r="P421" s="3" t="e">
        <v>#N/A</v>
      </c>
      <c r="Q421" s="3">
        <v>37.0</v>
      </c>
      <c r="R421" s="3">
        <v>32.0</v>
      </c>
      <c r="S421" s="3">
        <v>35.0</v>
      </c>
      <c r="T421" s="3">
        <v>35.0</v>
      </c>
      <c r="U421" s="3">
        <v>32.0</v>
      </c>
      <c r="V421" s="3">
        <v>39.0</v>
      </c>
      <c r="W421" s="3">
        <v>46.0</v>
      </c>
      <c r="X421" s="3">
        <v>23.0</v>
      </c>
      <c r="Y421" s="3">
        <v>40.0</v>
      </c>
      <c r="Z421" s="3">
        <v>41.0</v>
      </c>
      <c r="AA421" s="3">
        <v>41.0</v>
      </c>
      <c r="AB421" s="3">
        <v>37.0</v>
      </c>
      <c r="AC421" s="3">
        <v>20.0</v>
      </c>
      <c r="AD421" s="3">
        <v>21.0</v>
      </c>
      <c r="AE421" s="3">
        <v>22.0</v>
      </c>
      <c r="AF421" s="3">
        <v>23.0</v>
      </c>
      <c r="AG421" s="3">
        <v>39.0</v>
      </c>
      <c r="AH421" s="3">
        <v>52.0</v>
      </c>
      <c r="AI421" s="3">
        <v>39.0</v>
      </c>
      <c r="AJ421" s="3">
        <v>28.0</v>
      </c>
      <c r="AK421" s="3">
        <v>67.0</v>
      </c>
      <c r="AL421" s="3">
        <v>37.0</v>
      </c>
      <c r="AM421" s="3">
        <v>77.0</v>
      </c>
      <c r="AN421" s="3">
        <v>54.0</v>
      </c>
    </row>
    <row r="422" ht="14.25" customHeight="1">
      <c r="A422" s="3">
        <v>420.0</v>
      </c>
      <c r="B422" s="3" t="s">
        <v>7598</v>
      </c>
      <c r="C422" s="3">
        <v>23.0</v>
      </c>
      <c r="D422" s="3" t="s">
        <v>6645</v>
      </c>
      <c r="E422" s="3" t="s">
        <v>6646</v>
      </c>
      <c r="F422" s="3" t="s">
        <v>6646</v>
      </c>
      <c r="G422" s="3" t="s">
        <v>6645</v>
      </c>
      <c r="H422" s="3" t="s">
        <v>6645</v>
      </c>
      <c r="I422" s="3" t="s">
        <v>6645</v>
      </c>
      <c r="J422" s="3">
        <v>11.0</v>
      </c>
      <c r="K422" s="3">
        <v>0.0</v>
      </c>
      <c r="L422" s="3">
        <v>0.0</v>
      </c>
      <c r="M422" s="3">
        <v>0.0</v>
      </c>
      <c r="N422" s="3">
        <v>479.863</v>
      </c>
      <c r="O422" s="3">
        <v>111.0</v>
      </c>
      <c r="P422" s="3" t="e">
        <v>#N/A</v>
      </c>
      <c r="Q422" s="3">
        <v>30.0</v>
      </c>
      <c r="R422" s="3">
        <v>39.0</v>
      </c>
      <c r="S422" s="3">
        <v>31.0</v>
      </c>
      <c r="T422" s="3">
        <v>30.0</v>
      </c>
      <c r="U422" s="3">
        <v>38.0</v>
      </c>
      <c r="V422" s="3">
        <v>38.0</v>
      </c>
      <c r="W422" s="3">
        <v>40.0</v>
      </c>
      <c r="X422" s="3">
        <v>28.0</v>
      </c>
      <c r="Y422" s="3">
        <v>42.0</v>
      </c>
      <c r="Z422" s="3">
        <v>45.0</v>
      </c>
      <c r="AA422" s="3">
        <v>48.0</v>
      </c>
      <c r="AB422" s="3">
        <v>33.0</v>
      </c>
      <c r="AC422" s="3">
        <v>27.0</v>
      </c>
      <c r="AD422" s="3">
        <v>26.0</v>
      </c>
      <c r="AE422" s="3">
        <v>29.0</v>
      </c>
      <c r="AF422" s="3">
        <v>58.0</v>
      </c>
      <c r="AG422" s="3">
        <v>30.0</v>
      </c>
      <c r="AH422" s="3">
        <v>34.0</v>
      </c>
      <c r="AI422" s="3">
        <v>31.0</v>
      </c>
      <c r="AJ422" s="3">
        <v>52.0</v>
      </c>
      <c r="AK422" s="3">
        <v>69.0</v>
      </c>
      <c r="AL422" s="3">
        <v>8.0</v>
      </c>
      <c r="AM422" s="3">
        <v>70.0</v>
      </c>
      <c r="AN422" s="3">
        <v>35.0</v>
      </c>
    </row>
    <row r="423" ht="14.25" customHeight="1">
      <c r="A423" s="3">
        <v>421.0</v>
      </c>
      <c r="B423" s="3" t="s">
        <v>7599</v>
      </c>
      <c r="C423" s="3">
        <v>38.0</v>
      </c>
      <c r="D423" s="3" t="s">
        <v>6645</v>
      </c>
      <c r="E423" s="3" t="s">
        <v>6646</v>
      </c>
      <c r="F423" s="3" t="s">
        <v>6646</v>
      </c>
      <c r="G423" s="3" t="s">
        <v>6645</v>
      </c>
      <c r="H423" s="3" t="s">
        <v>6645</v>
      </c>
      <c r="I423" s="3" t="s">
        <v>6645</v>
      </c>
      <c r="J423" s="3">
        <v>12.0</v>
      </c>
      <c r="K423" s="3">
        <v>4.0</v>
      </c>
      <c r="L423" s="3">
        <v>0.0</v>
      </c>
      <c r="M423" s="3">
        <v>0.0</v>
      </c>
      <c r="N423" s="3">
        <v>9515.3</v>
      </c>
      <c r="O423" s="3">
        <v>1281.0</v>
      </c>
      <c r="P423" s="3" t="e">
        <v>#N/A</v>
      </c>
      <c r="Q423" s="3">
        <v>82.0</v>
      </c>
      <c r="R423" s="3">
        <v>57.0</v>
      </c>
      <c r="S423" s="3">
        <v>58.0</v>
      </c>
      <c r="T423" s="3">
        <v>62.0</v>
      </c>
      <c r="U423" s="3">
        <v>67.0</v>
      </c>
      <c r="V423" s="3">
        <v>62.0</v>
      </c>
      <c r="W423" s="3">
        <v>69.0</v>
      </c>
      <c r="X423" s="3">
        <v>62.0</v>
      </c>
      <c r="Y423" s="3">
        <v>76.0</v>
      </c>
      <c r="Z423" s="3">
        <v>50.0</v>
      </c>
      <c r="AA423" s="3">
        <v>65.0</v>
      </c>
      <c r="AB423" s="3">
        <v>76.0</v>
      </c>
      <c r="AC423" s="3">
        <v>77.0</v>
      </c>
      <c r="AD423" s="3">
        <v>65.0</v>
      </c>
      <c r="AE423" s="3">
        <v>57.0</v>
      </c>
      <c r="AF423" s="3">
        <v>65.0</v>
      </c>
      <c r="AG423" s="3">
        <v>50.0</v>
      </c>
      <c r="AH423" s="3">
        <v>50.0</v>
      </c>
      <c r="AI423" s="3">
        <v>69.0</v>
      </c>
      <c r="AJ423" s="3">
        <v>26.0</v>
      </c>
      <c r="AK423" s="3">
        <v>57.0</v>
      </c>
      <c r="AL423" s="3">
        <v>41.0</v>
      </c>
      <c r="AM423" s="3">
        <v>55.0</v>
      </c>
      <c r="AN423" s="3">
        <v>82.0</v>
      </c>
    </row>
    <row r="424" ht="14.25" customHeight="1">
      <c r="A424" s="3">
        <v>422.0</v>
      </c>
      <c r="B424" s="3" t="s">
        <v>7600</v>
      </c>
      <c r="C424" s="3">
        <v>42.0</v>
      </c>
      <c r="D424" s="3" t="s">
        <v>6645</v>
      </c>
      <c r="E424" s="3" t="s">
        <v>6646</v>
      </c>
      <c r="F424" s="3" t="s">
        <v>6646</v>
      </c>
      <c r="G424" s="3" t="s">
        <v>6645</v>
      </c>
      <c r="H424" s="3" t="s">
        <v>6645</v>
      </c>
      <c r="I424" s="3" t="s">
        <v>6646</v>
      </c>
      <c r="J424" s="3">
        <v>12.0</v>
      </c>
      <c r="K424" s="3">
        <v>4.0</v>
      </c>
      <c r="L424" s="3">
        <v>0.0</v>
      </c>
      <c r="M424" s="3">
        <v>0.0</v>
      </c>
      <c r="N424" s="3">
        <v>10231.238</v>
      </c>
      <c r="O424" s="3">
        <v>1457.0</v>
      </c>
      <c r="P424" s="3" t="e">
        <v>#N/A</v>
      </c>
      <c r="Q424" s="3">
        <v>76.0</v>
      </c>
      <c r="R424" s="3">
        <v>63.0</v>
      </c>
      <c r="S424" s="3">
        <v>60.0</v>
      </c>
      <c r="T424" s="3">
        <v>65.0</v>
      </c>
      <c r="U424" s="3">
        <v>74.0</v>
      </c>
      <c r="V424" s="3">
        <v>57.0</v>
      </c>
      <c r="W424" s="3">
        <v>62.0</v>
      </c>
      <c r="X424" s="3">
        <v>66.0</v>
      </c>
      <c r="Y424" s="3">
        <v>78.0</v>
      </c>
      <c r="Z424" s="3">
        <v>59.0</v>
      </c>
      <c r="AA424" s="3">
        <v>62.0</v>
      </c>
      <c r="AB424" s="3">
        <v>73.0</v>
      </c>
      <c r="AC424" s="3">
        <v>72.0</v>
      </c>
      <c r="AD424" s="3">
        <v>53.0</v>
      </c>
      <c r="AE424" s="3">
        <v>55.0</v>
      </c>
      <c r="AF424" s="3">
        <v>51.0</v>
      </c>
      <c r="AG424" s="3">
        <v>39.0</v>
      </c>
      <c r="AH424" s="3">
        <v>42.0</v>
      </c>
      <c r="AI424" s="3">
        <v>58.0</v>
      </c>
      <c r="AJ424" s="3">
        <v>57.0</v>
      </c>
      <c r="AK424" s="3">
        <v>67.0</v>
      </c>
      <c r="AL424" s="3">
        <v>68.0</v>
      </c>
      <c r="AM424" s="3">
        <v>58.0</v>
      </c>
      <c r="AN424" s="3">
        <v>74.0</v>
      </c>
    </row>
    <row r="425" ht="14.25" customHeight="1">
      <c r="A425" s="3">
        <v>423.0</v>
      </c>
      <c r="B425" s="3" t="s">
        <v>7601</v>
      </c>
      <c r="C425" s="3">
        <v>37.0</v>
      </c>
      <c r="D425" s="3" t="s">
        <v>6645</v>
      </c>
      <c r="E425" s="3" t="s">
        <v>6646</v>
      </c>
      <c r="F425" s="3" t="s">
        <v>6646</v>
      </c>
      <c r="G425" s="3" t="s">
        <v>6645</v>
      </c>
      <c r="H425" s="3" t="s">
        <v>6645</v>
      </c>
      <c r="I425" s="3" t="s">
        <v>6645</v>
      </c>
      <c r="J425" s="3">
        <v>12.0</v>
      </c>
      <c r="K425" s="3">
        <v>4.0</v>
      </c>
      <c r="L425" s="3">
        <v>0.0</v>
      </c>
      <c r="M425" s="3">
        <v>0.0</v>
      </c>
      <c r="N425" s="3">
        <v>9790.6044</v>
      </c>
      <c r="O425" s="3">
        <v>1642.0</v>
      </c>
      <c r="P425" s="3" t="e">
        <v>#N/A</v>
      </c>
      <c r="Q425" s="3">
        <v>76.0</v>
      </c>
      <c r="R425" s="3">
        <v>65.0</v>
      </c>
      <c r="S425" s="3">
        <v>63.0</v>
      </c>
      <c r="T425" s="3">
        <v>57.0</v>
      </c>
      <c r="U425" s="3">
        <v>66.0</v>
      </c>
      <c r="V425" s="3">
        <v>64.0</v>
      </c>
      <c r="W425" s="3">
        <v>62.0</v>
      </c>
      <c r="X425" s="3">
        <v>62.0</v>
      </c>
      <c r="Y425" s="3">
        <v>71.0</v>
      </c>
      <c r="Z425" s="3">
        <v>57.0</v>
      </c>
      <c r="AA425" s="3">
        <v>63.0</v>
      </c>
      <c r="AB425" s="3">
        <v>82.0</v>
      </c>
      <c r="AC425" s="3">
        <v>75.0</v>
      </c>
      <c r="AD425" s="3">
        <v>58.0</v>
      </c>
      <c r="AE425" s="3">
        <v>58.0</v>
      </c>
      <c r="AF425" s="3">
        <v>62.0</v>
      </c>
      <c r="AG425" s="3">
        <v>67.0</v>
      </c>
      <c r="AH425" s="3">
        <v>48.0</v>
      </c>
      <c r="AI425" s="3">
        <v>67.0</v>
      </c>
      <c r="AJ425" s="3">
        <v>56.0</v>
      </c>
      <c r="AK425" s="3">
        <v>39.0</v>
      </c>
      <c r="AL425" s="3">
        <v>61.0</v>
      </c>
      <c r="AM425" s="3">
        <v>56.0</v>
      </c>
      <c r="AN425" s="3">
        <v>72.0</v>
      </c>
    </row>
    <row r="426" ht="14.25" customHeight="1">
      <c r="A426" s="3">
        <v>424.0</v>
      </c>
      <c r="B426" s="3" t="s">
        <v>7602</v>
      </c>
      <c r="C426" s="3">
        <v>34.0</v>
      </c>
      <c r="D426" s="3" t="s">
        <v>6645</v>
      </c>
      <c r="E426" s="3" t="s">
        <v>6646</v>
      </c>
      <c r="F426" s="3" t="s">
        <v>6646</v>
      </c>
      <c r="G426" s="3" t="s">
        <v>6645</v>
      </c>
      <c r="H426" s="3" t="s">
        <v>6645</v>
      </c>
      <c r="I426" s="3" t="s">
        <v>6645</v>
      </c>
      <c r="J426" s="3">
        <v>12.0</v>
      </c>
      <c r="K426" s="3">
        <v>3.0</v>
      </c>
      <c r="L426" s="3">
        <v>0.0</v>
      </c>
      <c r="M426" s="3">
        <v>0.0</v>
      </c>
      <c r="N426" s="3">
        <v>6258.33</v>
      </c>
      <c r="O426" s="3">
        <v>626.0</v>
      </c>
      <c r="P426" s="3" t="e">
        <v>#N/A</v>
      </c>
      <c r="Q426" s="3">
        <v>57.0</v>
      </c>
      <c r="R426" s="3">
        <v>56.0</v>
      </c>
      <c r="S426" s="3">
        <v>50.0</v>
      </c>
      <c r="T426" s="3">
        <v>58.0</v>
      </c>
      <c r="U426" s="3">
        <v>61.0</v>
      </c>
      <c r="V426" s="3">
        <v>50.0</v>
      </c>
      <c r="W426" s="3">
        <v>54.0</v>
      </c>
      <c r="X426" s="3">
        <v>54.0</v>
      </c>
      <c r="Y426" s="3">
        <v>67.0</v>
      </c>
      <c r="Z426" s="3">
        <v>54.0</v>
      </c>
      <c r="AA426" s="3">
        <v>44.0</v>
      </c>
      <c r="AB426" s="3">
        <v>68.0</v>
      </c>
      <c r="AC426" s="3">
        <v>60.0</v>
      </c>
      <c r="AD426" s="3">
        <v>44.0</v>
      </c>
      <c r="AE426" s="3">
        <v>54.0</v>
      </c>
      <c r="AF426" s="3">
        <v>62.0</v>
      </c>
      <c r="AG426" s="3">
        <v>42.0</v>
      </c>
      <c r="AH426" s="3">
        <v>46.0</v>
      </c>
      <c r="AI426" s="3">
        <v>66.0</v>
      </c>
      <c r="AJ426" s="3">
        <v>59.0</v>
      </c>
      <c r="AK426" s="3">
        <v>60.0</v>
      </c>
      <c r="AL426" s="3">
        <v>57.0</v>
      </c>
      <c r="AM426" s="3">
        <v>58.0</v>
      </c>
      <c r="AN426" s="3">
        <v>78.0</v>
      </c>
    </row>
    <row r="427" ht="14.25" customHeight="1">
      <c r="A427" s="3">
        <v>425.0</v>
      </c>
      <c r="B427" s="3" t="s">
        <v>7603</v>
      </c>
      <c r="C427" s="3">
        <v>30.0</v>
      </c>
      <c r="D427" s="3" t="s">
        <v>6645</v>
      </c>
      <c r="E427" s="3" t="s">
        <v>6646</v>
      </c>
      <c r="F427" s="3" t="s">
        <v>6646</v>
      </c>
      <c r="G427" s="3" t="s">
        <v>6645</v>
      </c>
      <c r="H427" s="3" t="s">
        <v>6645</v>
      </c>
      <c r="I427" s="3" t="s">
        <v>6645</v>
      </c>
      <c r="J427" s="3">
        <v>12.0</v>
      </c>
      <c r="K427" s="3">
        <v>3.0</v>
      </c>
      <c r="L427" s="3">
        <v>0.0</v>
      </c>
      <c r="M427" s="3">
        <v>0.0</v>
      </c>
      <c r="N427" s="3">
        <v>6232.9394</v>
      </c>
      <c r="O427" s="3">
        <v>679.0</v>
      </c>
      <c r="P427" s="3" t="e">
        <v>#N/A</v>
      </c>
      <c r="Q427" s="3">
        <v>57.0</v>
      </c>
      <c r="R427" s="3">
        <v>56.0</v>
      </c>
      <c r="S427" s="3">
        <v>56.0</v>
      </c>
      <c r="T427" s="3">
        <v>54.0</v>
      </c>
      <c r="U427" s="3">
        <v>61.0</v>
      </c>
      <c r="V427" s="3">
        <v>54.0</v>
      </c>
      <c r="W427" s="3">
        <v>60.0</v>
      </c>
      <c r="X427" s="3">
        <v>58.0</v>
      </c>
      <c r="Y427" s="3">
        <v>63.0</v>
      </c>
      <c r="Z427" s="3">
        <v>48.0</v>
      </c>
      <c r="AA427" s="3">
        <v>45.0</v>
      </c>
      <c r="AB427" s="3">
        <v>63.0</v>
      </c>
      <c r="AC427" s="3">
        <v>62.0</v>
      </c>
      <c r="AD427" s="3">
        <v>58.0</v>
      </c>
      <c r="AE427" s="3">
        <v>52.0</v>
      </c>
      <c r="AF427" s="3">
        <v>58.0</v>
      </c>
      <c r="AG427" s="3">
        <v>44.0</v>
      </c>
      <c r="AH427" s="3">
        <v>58.0</v>
      </c>
      <c r="AI427" s="3">
        <v>63.0</v>
      </c>
      <c r="AJ427" s="3">
        <v>19.0</v>
      </c>
      <c r="AK427" s="3">
        <v>39.0</v>
      </c>
      <c r="AL427" s="3">
        <v>43.0</v>
      </c>
      <c r="AM427" s="3">
        <v>59.0</v>
      </c>
      <c r="AN427" s="3">
        <v>72.0</v>
      </c>
    </row>
    <row r="428" ht="14.25" customHeight="1">
      <c r="A428" s="3">
        <v>426.0</v>
      </c>
      <c r="B428" s="3" t="s">
        <v>7604</v>
      </c>
      <c r="C428" s="3">
        <v>34.0</v>
      </c>
      <c r="D428" s="3" t="s">
        <v>6645</v>
      </c>
      <c r="E428" s="3" t="s">
        <v>6646</v>
      </c>
      <c r="F428" s="3" t="s">
        <v>6646</v>
      </c>
      <c r="G428" s="3" t="s">
        <v>6645</v>
      </c>
      <c r="H428" s="3" t="s">
        <v>6645</v>
      </c>
      <c r="I428" s="3" t="s">
        <v>6646</v>
      </c>
      <c r="J428" s="3">
        <v>12.0</v>
      </c>
      <c r="K428" s="3">
        <v>3.0</v>
      </c>
      <c r="L428" s="3">
        <v>0.0</v>
      </c>
      <c r="M428" s="3">
        <v>0.0</v>
      </c>
      <c r="N428" s="3">
        <v>6049.9575</v>
      </c>
      <c r="O428" s="3">
        <v>738.0</v>
      </c>
      <c r="P428" s="3" t="e">
        <v>#N/A</v>
      </c>
      <c r="Q428" s="3">
        <v>62.0</v>
      </c>
      <c r="R428" s="3">
        <v>58.0</v>
      </c>
      <c r="S428" s="3">
        <v>56.0</v>
      </c>
      <c r="T428" s="3">
        <v>56.0</v>
      </c>
      <c r="U428" s="3">
        <v>60.0</v>
      </c>
      <c r="V428" s="3">
        <v>54.0</v>
      </c>
      <c r="W428" s="3">
        <v>46.0</v>
      </c>
      <c r="X428" s="3">
        <v>54.0</v>
      </c>
      <c r="Y428" s="3">
        <v>60.0</v>
      </c>
      <c r="Z428" s="3">
        <v>45.0</v>
      </c>
      <c r="AA428" s="3">
        <v>50.0</v>
      </c>
      <c r="AB428" s="3">
        <v>65.0</v>
      </c>
      <c r="AC428" s="3">
        <v>60.0</v>
      </c>
      <c r="AD428" s="3">
        <v>52.0</v>
      </c>
      <c r="AE428" s="3">
        <v>49.0</v>
      </c>
      <c r="AF428" s="3">
        <v>45.0</v>
      </c>
      <c r="AG428" s="3">
        <v>44.0</v>
      </c>
      <c r="AH428" s="3">
        <v>59.0</v>
      </c>
      <c r="AI428" s="3">
        <v>66.0</v>
      </c>
      <c r="AJ428" s="3">
        <v>63.0</v>
      </c>
      <c r="AK428" s="3">
        <v>51.0</v>
      </c>
      <c r="AL428" s="3">
        <v>57.0</v>
      </c>
      <c r="AM428" s="3">
        <v>66.0</v>
      </c>
      <c r="AN428" s="3">
        <v>80.0</v>
      </c>
    </row>
    <row r="429" ht="14.25" customHeight="1">
      <c r="A429" s="3">
        <v>427.0</v>
      </c>
      <c r="B429" s="3" t="s">
        <v>7605</v>
      </c>
      <c r="C429" s="3">
        <v>32.0</v>
      </c>
      <c r="D429" s="3" t="s">
        <v>6645</v>
      </c>
      <c r="E429" s="3" t="s">
        <v>6646</v>
      </c>
      <c r="F429" s="3" t="s">
        <v>6646</v>
      </c>
      <c r="G429" s="3" t="s">
        <v>6645</v>
      </c>
      <c r="H429" s="3" t="s">
        <v>6645</v>
      </c>
      <c r="I429" s="3" t="s">
        <v>6645</v>
      </c>
      <c r="J429" s="3">
        <v>12.0</v>
      </c>
      <c r="K429" s="3">
        <v>2.0</v>
      </c>
      <c r="L429" s="3">
        <v>0.0</v>
      </c>
      <c r="M429" s="3">
        <v>0.0</v>
      </c>
      <c r="N429" s="3">
        <v>3329.5937</v>
      </c>
      <c r="O429" s="3">
        <v>488.0</v>
      </c>
      <c r="P429" s="3" t="e">
        <v>#N/A</v>
      </c>
      <c r="Q429" s="3">
        <v>51.0</v>
      </c>
      <c r="R429" s="3">
        <v>46.0</v>
      </c>
      <c r="S429" s="3">
        <v>49.0</v>
      </c>
      <c r="T429" s="3">
        <v>48.0</v>
      </c>
      <c r="U429" s="3">
        <v>48.0</v>
      </c>
      <c r="V429" s="3">
        <v>43.0</v>
      </c>
      <c r="W429" s="3">
        <v>44.0</v>
      </c>
      <c r="X429" s="3">
        <v>46.0</v>
      </c>
      <c r="Y429" s="3">
        <v>51.0</v>
      </c>
      <c r="Z429" s="3">
        <v>50.0</v>
      </c>
      <c r="AA429" s="3">
        <v>43.0</v>
      </c>
      <c r="AB429" s="3">
        <v>54.0</v>
      </c>
      <c r="AC429" s="3">
        <v>49.0</v>
      </c>
      <c r="AD429" s="3">
        <v>51.0</v>
      </c>
      <c r="AE429" s="3">
        <v>46.0</v>
      </c>
      <c r="AF429" s="3">
        <v>18.0</v>
      </c>
      <c r="AG429" s="3">
        <v>44.0</v>
      </c>
      <c r="AH429" s="3">
        <v>60.0</v>
      </c>
      <c r="AI429" s="3">
        <v>38.0</v>
      </c>
      <c r="AJ429" s="3">
        <v>38.0</v>
      </c>
      <c r="AK429" s="3">
        <v>40.0</v>
      </c>
      <c r="AL429" s="3">
        <v>58.0</v>
      </c>
      <c r="AM429" s="3">
        <v>56.0</v>
      </c>
      <c r="AN429" s="3">
        <v>70.0</v>
      </c>
    </row>
    <row r="430" ht="14.25" customHeight="1">
      <c r="A430" s="3">
        <v>428.0</v>
      </c>
      <c r="B430" s="3" t="s">
        <v>7606</v>
      </c>
      <c r="C430" s="3">
        <v>25.0</v>
      </c>
      <c r="D430" s="3" t="s">
        <v>6645</v>
      </c>
      <c r="E430" s="3" t="s">
        <v>6646</v>
      </c>
      <c r="F430" s="3" t="s">
        <v>6646</v>
      </c>
      <c r="G430" s="3" t="s">
        <v>6645</v>
      </c>
      <c r="H430" s="3" t="s">
        <v>6645</v>
      </c>
      <c r="I430" s="3" t="s">
        <v>6645</v>
      </c>
      <c r="J430" s="3">
        <v>12.0</v>
      </c>
      <c r="K430" s="3">
        <v>2.0</v>
      </c>
      <c r="L430" s="3">
        <v>0.0</v>
      </c>
      <c r="M430" s="3">
        <v>0.0</v>
      </c>
      <c r="N430" s="3">
        <v>2985.1052</v>
      </c>
      <c r="O430" s="3">
        <v>398.0</v>
      </c>
      <c r="P430" s="3" t="e">
        <v>#N/A</v>
      </c>
      <c r="Q430" s="3">
        <v>44.0</v>
      </c>
      <c r="R430" s="3">
        <v>46.0</v>
      </c>
      <c r="S430" s="3">
        <v>48.0</v>
      </c>
      <c r="T430" s="3">
        <v>44.0</v>
      </c>
      <c r="U430" s="3">
        <v>44.0</v>
      </c>
      <c r="V430" s="3">
        <v>46.0</v>
      </c>
      <c r="W430" s="3">
        <v>46.0</v>
      </c>
      <c r="X430" s="3">
        <v>52.0</v>
      </c>
      <c r="Y430" s="3">
        <v>55.0</v>
      </c>
      <c r="Z430" s="3">
        <v>36.0</v>
      </c>
      <c r="AA430" s="3">
        <v>47.0</v>
      </c>
      <c r="AB430" s="3">
        <v>52.0</v>
      </c>
      <c r="AC430" s="3">
        <v>50.0</v>
      </c>
      <c r="AD430" s="3">
        <v>46.0</v>
      </c>
      <c r="AE430" s="3">
        <v>40.0</v>
      </c>
      <c r="AF430" s="3">
        <v>36.0</v>
      </c>
      <c r="AG430" s="3">
        <v>32.0</v>
      </c>
      <c r="AH430" s="3">
        <v>48.0</v>
      </c>
      <c r="AI430" s="3">
        <v>36.0</v>
      </c>
      <c r="AJ430" s="3">
        <v>46.0</v>
      </c>
      <c r="AK430" s="3">
        <v>62.0</v>
      </c>
      <c r="AL430" s="3">
        <v>54.0</v>
      </c>
      <c r="AM430" s="3">
        <v>46.0</v>
      </c>
      <c r="AN430" s="3">
        <v>74.0</v>
      </c>
    </row>
    <row r="431" ht="14.25" customHeight="1">
      <c r="A431" s="3">
        <v>429.0</v>
      </c>
      <c r="B431" s="3" t="s">
        <v>7607</v>
      </c>
      <c r="C431" s="3">
        <v>27.0</v>
      </c>
      <c r="D431" s="3" t="s">
        <v>6645</v>
      </c>
      <c r="E431" s="3" t="s">
        <v>6646</v>
      </c>
      <c r="F431" s="3" t="s">
        <v>6646</v>
      </c>
      <c r="G431" s="3" t="s">
        <v>6645</v>
      </c>
      <c r="H431" s="3" t="s">
        <v>6645</v>
      </c>
      <c r="I431" s="3" t="s">
        <v>6646</v>
      </c>
      <c r="J431" s="3">
        <v>12.0</v>
      </c>
      <c r="K431" s="3">
        <v>2.0</v>
      </c>
      <c r="L431" s="3">
        <v>0.0</v>
      </c>
      <c r="M431" s="3">
        <v>0.0</v>
      </c>
      <c r="N431" s="3">
        <v>3476.0727</v>
      </c>
      <c r="O431" s="3">
        <v>402.0</v>
      </c>
      <c r="P431" s="3" t="e">
        <v>#N/A</v>
      </c>
      <c r="Q431" s="3">
        <v>52.0</v>
      </c>
      <c r="R431" s="3">
        <v>43.0</v>
      </c>
      <c r="S431" s="3">
        <v>46.0</v>
      </c>
      <c r="T431" s="3">
        <v>45.0</v>
      </c>
      <c r="U431" s="3">
        <v>47.0</v>
      </c>
      <c r="V431" s="3">
        <v>43.0</v>
      </c>
      <c r="W431" s="3">
        <v>41.0</v>
      </c>
      <c r="X431" s="3">
        <v>52.0</v>
      </c>
      <c r="Y431" s="3">
        <v>54.0</v>
      </c>
      <c r="Z431" s="3">
        <v>45.0</v>
      </c>
      <c r="AA431" s="3">
        <v>43.0</v>
      </c>
      <c r="AB431" s="3">
        <v>52.0</v>
      </c>
      <c r="AC431" s="3">
        <v>50.0</v>
      </c>
      <c r="AD431" s="3">
        <v>49.0</v>
      </c>
      <c r="AE431" s="3">
        <v>49.0</v>
      </c>
      <c r="AF431" s="3">
        <v>36.0</v>
      </c>
      <c r="AG431" s="3">
        <v>62.0</v>
      </c>
      <c r="AH431" s="3">
        <v>44.0</v>
      </c>
      <c r="AI431" s="3">
        <v>56.0</v>
      </c>
      <c r="AJ431" s="3">
        <v>40.0</v>
      </c>
      <c r="AK431" s="3">
        <v>42.0</v>
      </c>
      <c r="AL431" s="3">
        <v>16.0</v>
      </c>
      <c r="AM431" s="3">
        <v>40.0</v>
      </c>
      <c r="AN431" s="3">
        <v>72.0</v>
      </c>
    </row>
    <row r="432" ht="14.25" customHeight="1">
      <c r="A432" s="3">
        <v>430.0</v>
      </c>
      <c r="B432" s="3" t="s">
        <v>7608</v>
      </c>
      <c r="C432" s="3">
        <v>28.0</v>
      </c>
      <c r="D432" s="3" t="s">
        <v>6645</v>
      </c>
      <c r="E432" s="3" t="s">
        <v>6646</v>
      </c>
      <c r="F432" s="3" t="s">
        <v>6646</v>
      </c>
      <c r="G432" s="3" t="s">
        <v>6645</v>
      </c>
      <c r="H432" s="3" t="s">
        <v>6645</v>
      </c>
      <c r="I432" s="3" t="s">
        <v>6646</v>
      </c>
      <c r="J432" s="3">
        <v>12.0</v>
      </c>
      <c r="K432" s="3">
        <v>2.0</v>
      </c>
      <c r="L432" s="3">
        <v>0.0</v>
      </c>
      <c r="M432" s="3">
        <v>0.0</v>
      </c>
      <c r="N432" s="3">
        <v>3454.9655</v>
      </c>
      <c r="O432" s="3">
        <v>360.0</v>
      </c>
      <c r="P432" s="3" t="e">
        <v>#N/A</v>
      </c>
      <c r="Q432" s="3">
        <v>47.0</v>
      </c>
      <c r="R432" s="3">
        <v>47.0</v>
      </c>
      <c r="S432" s="3">
        <v>52.0</v>
      </c>
      <c r="T432" s="3">
        <v>51.0</v>
      </c>
      <c r="U432" s="3">
        <v>44.0</v>
      </c>
      <c r="V432" s="3">
        <v>47.0</v>
      </c>
      <c r="W432" s="3">
        <v>37.0</v>
      </c>
      <c r="X432" s="3">
        <v>45.0</v>
      </c>
      <c r="Y432" s="3">
        <v>50.0</v>
      </c>
      <c r="Z432" s="3">
        <v>43.0</v>
      </c>
      <c r="AA432" s="3">
        <v>37.0</v>
      </c>
      <c r="AB432" s="3">
        <v>56.0</v>
      </c>
      <c r="AC432" s="3">
        <v>59.0</v>
      </c>
      <c r="AD432" s="3">
        <v>50.0</v>
      </c>
      <c r="AE432" s="3">
        <v>36.0</v>
      </c>
      <c r="AF432" s="3">
        <v>15.0</v>
      </c>
      <c r="AG432" s="3">
        <v>54.0</v>
      </c>
      <c r="AH432" s="3">
        <v>60.0</v>
      </c>
      <c r="AI432" s="3">
        <v>62.0</v>
      </c>
      <c r="AJ432" s="3">
        <v>52.0</v>
      </c>
      <c r="AK432" s="3">
        <v>36.0</v>
      </c>
      <c r="AL432" s="3">
        <v>60.0</v>
      </c>
      <c r="AM432" s="3">
        <v>62.0</v>
      </c>
      <c r="AN432" s="3">
        <v>71.0</v>
      </c>
    </row>
    <row r="433" ht="14.25" customHeight="1">
      <c r="A433" s="3">
        <v>431.0</v>
      </c>
      <c r="B433" s="3" t="s">
        <v>7609</v>
      </c>
      <c r="C433" s="3">
        <v>25.0</v>
      </c>
      <c r="D433" s="3" t="s">
        <v>6645</v>
      </c>
      <c r="E433" s="3" t="s">
        <v>6646</v>
      </c>
      <c r="F433" s="3" t="s">
        <v>6646</v>
      </c>
      <c r="G433" s="3" t="s">
        <v>6645</v>
      </c>
      <c r="H433" s="3" t="s">
        <v>6645</v>
      </c>
      <c r="I433" s="3" t="s">
        <v>6646</v>
      </c>
      <c r="J433" s="3">
        <v>12.0</v>
      </c>
      <c r="K433" s="3">
        <v>1.0</v>
      </c>
      <c r="L433" s="3">
        <v>0.0</v>
      </c>
      <c r="M433" s="3">
        <v>0.0</v>
      </c>
      <c r="N433" s="3">
        <v>1308.601</v>
      </c>
      <c r="O433" s="3">
        <v>155.0</v>
      </c>
      <c r="P433" s="3" t="e">
        <v>#N/A</v>
      </c>
      <c r="Q433" s="3">
        <v>38.0</v>
      </c>
      <c r="R433" s="3">
        <v>40.0</v>
      </c>
      <c r="S433" s="3">
        <v>38.0</v>
      </c>
      <c r="T433" s="3">
        <v>42.0</v>
      </c>
      <c r="U433" s="3">
        <v>46.0</v>
      </c>
      <c r="V433" s="3">
        <v>40.0</v>
      </c>
      <c r="W433" s="3">
        <v>31.0</v>
      </c>
      <c r="X433" s="3">
        <v>42.0</v>
      </c>
      <c r="Y433" s="3">
        <v>54.0</v>
      </c>
      <c r="Z433" s="3">
        <v>34.0</v>
      </c>
      <c r="AA433" s="3">
        <v>35.0</v>
      </c>
      <c r="AB433" s="3">
        <v>43.0</v>
      </c>
      <c r="AC433" s="3">
        <v>55.0</v>
      </c>
      <c r="AD433" s="3">
        <v>40.0</v>
      </c>
      <c r="AE433" s="3">
        <v>44.0</v>
      </c>
      <c r="AF433" s="3">
        <v>41.0</v>
      </c>
      <c r="AG433" s="3">
        <v>37.0</v>
      </c>
      <c r="AH433" s="3">
        <v>59.0</v>
      </c>
      <c r="AI433" s="3">
        <v>7.0</v>
      </c>
      <c r="AJ433" s="3">
        <v>48.0</v>
      </c>
      <c r="AK433" s="3">
        <v>40.0</v>
      </c>
      <c r="AL433" s="3">
        <v>38.0</v>
      </c>
      <c r="AM433" s="3">
        <v>41.0</v>
      </c>
      <c r="AN433" s="3">
        <v>67.0</v>
      </c>
    </row>
    <row r="434" ht="14.25" customHeight="1">
      <c r="A434" s="3">
        <v>432.0</v>
      </c>
      <c r="B434" s="3" t="s">
        <v>7610</v>
      </c>
      <c r="C434" s="3">
        <v>22.0</v>
      </c>
      <c r="D434" s="3" t="s">
        <v>6645</v>
      </c>
      <c r="E434" s="3" t="s">
        <v>6646</v>
      </c>
      <c r="F434" s="3" t="s">
        <v>6646</v>
      </c>
      <c r="G434" s="3" t="s">
        <v>6645</v>
      </c>
      <c r="H434" s="3" t="s">
        <v>6645</v>
      </c>
      <c r="I434" s="3" t="s">
        <v>6645</v>
      </c>
      <c r="J434" s="3">
        <v>12.0</v>
      </c>
      <c r="K434" s="3">
        <v>1.0</v>
      </c>
      <c r="L434" s="3">
        <v>0.0</v>
      </c>
      <c r="M434" s="3">
        <v>0.0</v>
      </c>
      <c r="N434" s="3">
        <v>1516.4144</v>
      </c>
      <c r="O434" s="3">
        <v>150.0</v>
      </c>
      <c r="P434" s="3" t="e">
        <v>#N/A</v>
      </c>
      <c r="Q434" s="3">
        <v>46.0</v>
      </c>
      <c r="R434" s="3">
        <v>40.0</v>
      </c>
      <c r="S434" s="3">
        <v>38.0</v>
      </c>
      <c r="T434" s="3">
        <v>44.0</v>
      </c>
      <c r="U434" s="3">
        <v>46.0</v>
      </c>
      <c r="V434" s="3">
        <v>38.0</v>
      </c>
      <c r="W434" s="3">
        <v>33.0</v>
      </c>
      <c r="X434" s="3">
        <v>34.0</v>
      </c>
      <c r="Y434" s="3">
        <v>50.0</v>
      </c>
      <c r="Z434" s="3">
        <v>41.0</v>
      </c>
      <c r="AA434" s="3">
        <v>36.0</v>
      </c>
      <c r="AB434" s="3">
        <v>45.0</v>
      </c>
      <c r="AC434" s="3">
        <v>51.0</v>
      </c>
      <c r="AD434" s="3">
        <v>38.0</v>
      </c>
      <c r="AE434" s="3">
        <v>42.0</v>
      </c>
      <c r="AF434" s="3">
        <v>7.0</v>
      </c>
      <c r="AG434" s="3">
        <v>48.0</v>
      </c>
      <c r="AH434" s="3">
        <v>39.0</v>
      </c>
      <c r="AI434" s="3">
        <v>57.0</v>
      </c>
      <c r="AJ434" s="3">
        <v>61.0</v>
      </c>
      <c r="AK434" s="3">
        <v>40.0</v>
      </c>
      <c r="AL434" s="3">
        <v>36.0</v>
      </c>
      <c r="AM434" s="3">
        <v>62.0</v>
      </c>
      <c r="AN434" s="3">
        <v>73.0</v>
      </c>
    </row>
    <row r="435" ht="14.25" customHeight="1">
      <c r="A435" s="3">
        <v>433.0</v>
      </c>
      <c r="B435" s="3" t="s">
        <v>7611</v>
      </c>
      <c r="C435" s="3">
        <v>20.0</v>
      </c>
      <c r="D435" s="3" t="s">
        <v>6645</v>
      </c>
      <c r="E435" s="3" t="s">
        <v>6646</v>
      </c>
      <c r="F435" s="3" t="s">
        <v>6646</v>
      </c>
      <c r="G435" s="3" t="s">
        <v>6645</v>
      </c>
      <c r="H435" s="3" t="s">
        <v>6645</v>
      </c>
      <c r="I435" s="3" t="s">
        <v>6645</v>
      </c>
      <c r="J435" s="3">
        <v>12.0</v>
      </c>
      <c r="K435" s="3">
        <v>1.0</v>
      </c>
      <c r="L435" s="3">
        <v>0.0</v>
      </c>
      <c r="M435" s="3">
        <v>0.0</v>
      </c>
      <c r="N435" s="3">
        <v>1460.2109</v>
      </c>
      <c r="O435" s="3">
        <v>241.0</v>
      </c>
      <c r="P435" s="3" t="e">
        <v>#N/A</v>
      </c>
      <c r="Q435" s="3">
        <v>42.0</v>
      </c>
      <c r="R435" s="3">
        <v>42.0</v>
      </c>
      <c r="S435" s="3">
        <v>40.0</v>
      </c>
      <c r="T435" s="3">
        <v>40.0</v>
      </c>
      <c r="U435" s="3">
        <v>38.0</v>
      </c>
      <c r="V435" s="3">
        <v>46.0</v>
      </c>
      <c r="W435" s="3">
        <v>33.0</v>
      </c>
      <c r="X435" s="3">
        <v>46.0</v>
      </c>
      <c r="Y435" s="3">
        <v>49.0</v>
      </c>
      <c r="Z435" s="3">
        <v>42.0</v>
      </c>
      <c r="AA435" s="3">
        <v>40.0</v>
      </c>
      <c r="AB435" s="3">
        <v>47.0</v>
      </c>
      <c r="AC435" s="3">
        <v>44.0</v>
      </c>
      <c r="AD435" s="3">
        <v>31.0</v>
      </c>
      <c r="AE435" s="3">
        <v>28.0</v>
      </c>
      <c r="AF435" s="3">
        <v>45.0</v>
      </c>
      <c r="AG435" s="3">
        <v>37.0</v>
      </c>
      <c r="AH435" s="3">
        <v>60.0</v>
      </c>
      <c r="AI435" s="3">
        <v>55.0</v>
      </c>
      <c r="AJ435" s="3">
        <v>52.0</v>
      </c>
      <c r="AK435" s="3">
        <v>62.0</v>
      </c>
      <c r="AL435" s="3">
        <v>47.0</v>
      </c>
      <c r="AM435" s="3">
        <v>58.0</v>
      </c>
      <c r="AN435" s="3">
        <v>81.0</v>
      </c>
    </row>
    <row r="436" ht="14.25" customHeight="1">
      <c r="A436" s="3">
        <v>434.0</v>
      </c>
      <c r="B436" s="3" t="s">
        <v>7612</v>
      </c>
      <c r="C436" s="3">
        <v>29.0</v>
      </c>
      <c r="D436" s="3" t="s">
        <v>6645</v>
      </c>
      <c r="E436" s="3" t="s">
        <v>6646</v>
      </c>
      <c r="F436" s="3" t="s">
        <v>6646</v>
      </c>
      <c r="G436" s="3" t="s">
        <v>6645</v>
      </c>
      <c r="H436" s="3" t="s">
        <v>6645</v>
      </c>
      <c r="I436" s="3" t="s">
        <v>6645</v>
      </c>
      <c r="J436" s="3">
        <v>12.0</v>
      </c>
      <c r="K436" s="3">
        <v>1.0</v>
      </c>
      <c r="L436" s="3">
        <v>0.0</v>
      </c>
      <c r="M436" s="3">
        <v>0.0</v>
      </c>
      <c r="N436" s="3">
        <v>1392.528</v>
      </c>
      <c r="O436" s="3">
        <v>162.0</v>
      </c>
      <c r="P436" s="3" t="e">
        <v>#N/A</v>
      </c>
      <c r="Q436" s="3">
        <v>44.0</v>
      </c>
      <c r="R436" s="3">
        <v>38.0</v>
      </c>
      <c r="S436" s="3">
        <v>38.0</v>
      </c>
      <c r="T436" s="3">
        <v>40.0</v>
      </c>
      <c r="U436" s="3">
        <v>38.0</v>
      </c>
      <c r="V436" s="3">
        <v>40.0</v>
      </c>
      <c r="W436" s="3">
        <v>42.0</v>
      </c>
      <c r="X436" s="3">
        <v>42.0</v>
      </c>
      <c r="Y436" s="3">
        <v>53.0</v>
      </c>
      <c r="Z436" s="3">
        <v>32.0</v>
      </c>
      <c r="AA436" s="3">
        <v>33.0</v>
      </c>
      <c r="AB436" s="3">
        <v>49.0</v>
      </c>
      <c r="AC436" s="3">
        <v>52.0</v>
      </c>
      <c r="AD436" s="3">
        <v>27.0</v>
      </c>
      <c r="AE436" s="3">
        <v>40.0</v>
      </c>
      <c r="AF436" s="3">
        <v>46.0</v>
      </c>
      <c r="AG436" s="3">
        <v>56.0</v>
      </c>
      <c r="AH436" s="3">
        <v>53.0</v>
      </c>
      <c r="AI436" s="3">
        <v>57.0</v>
      </c>
      <c r="AJ436" s="3">
        <v>30.0</v>
      </c>
      <c r="AK436" s="3">
        <v>33.0</v>
      </c>
      <c r="AL436" s="3">
        <v>51.0</v>
      </c>
      <c r="AM436" s="3">
        <v>35.0</v>
      </c>
      <c r="AN436" s="3">
        <v>78.0</v>
      </c>
    </row>
    <row r="437" ht="14.25" customHeight="1">
      <c r="A437" s="3">
        <v>435.0</v>
      </c>
      <c r="B437" s="3" t="s">
        <v>7613</v>
      </c>
      <c r="C437" s="3">
        <v>19.0</v>
      </c>
      <c r="D437" s="3" t="s">
        <v>6645</v>
      </c>
      <c r="E437" s="3" t="s">
        <v>6646</v>
      </c>
      <c r="F437" s="3" t="s">
        <v>6646</v>
      </c>
      <c r="G437" s="3" t="s">
        <v>6645</v>
      </c>
      <c r="H437" s="3" t="s">
        <v>6645</v>
      </c>
      <c r="I437" s="3" t="s">
        <v>6646</v>
      </c>
      <c r="J437" s="3">
        <v>12.0</v>
      </c>
      <c r="K437" s="3">
        <v>0.0</v>
      </c>
      <c r="L437" s="3">
        <v>0.0</v>
      </c>
      <c r="M437" s="3">
        <v>0.0</v>
      </c>
      <c r="N437" s="3">
        <v>476.9286</v>
      </c>
      <c r="O437" s="3">
        <v>99.0</v>
      </c>
      <c r="P437" s="3" t="e">
        <v>#N/A</v>
      </c>
      <c r="Q437" s="3">
        <v>31.0</v>
      </c>
      <c r="R437" s="3">
        <v>38.0</v>
      </c>
      <c r="S437" s="3">
        <v>30.0</v>
      </c>
      <c r="T437" s="3">
        <v>30.0</v>
      </c>
      <c r="U437" s="3">
        <v>38.0</v>
      </c>
      <c r="V437" s="3">
        <v>37.0</v>
      </c>
      <c r="W437" s="3">
        <v>36.0</v>
      </c>
      <c r="X437" s="3">
        <v>38.0</v>
      </c>
      <c r="Y437" s="3">
        <v>41.0</v>
      </c>
      <c r="Z437" s="3">
        <v>25.0</v>
      </c>
      <c r="AA437" s="3">
        <v>25.0</v>
      </c>
      <c r="AB437" s="3">
        <v>41.0</v>
      </c>
      <c r="AC437" s="3">
        <v>36.0</v>
      </c>
      <c r="AD437" s="3">
        <v>32.0</v>
      </c>
      <c r="AE437" s="3">
        <v>31.0</v>
      </c>
      <c r="AF437" s="3">
        <v>30.0</v>
      </c>
      <c r="AG437" s="3">
        <v>15.0</v>
      </c>
      <c r="AH437" s="3">
        <v>44.0</v>
      </c>
      <c r="AI437" s="3">
        <v>53.0</v>
      </c>
      <c r="AJ437" s="3">
        <v>51.0</v>
      </c>
      <c r="AK437" s="3">
        <v>53.0</v>
      </c>
      <c r="AL437" s="3">
        <v>58.0</v>
      </c>
      <c r="AM437" s="3">
        <v>39.0</v>
      </c>
      <c r="AN437" s="3">
        <v>68.0</v>
      </c>
    </row>
    <row r="438" ht="14.25" customHeight="1">
      <c r="A438" s="3">
        <v>436.0</v>
      </c>
      <c r="B438" s="3" t="s">
        <v>7614</v>
      </c>
      <c r="C438" s="3">
        <v>17.0</v>
      </c>
      <c r="D438" s="3" t="s">
        <v>6645</v>
      </c>
      <c r="E438" s="3" t="s">
        <v>6646</v>
      </c>
      <c r="F438" s="3" t="s">
        <v>6646</v>
      </c>
      <c r="G438" s="3" t="s">
        <v>6645</v>
      </c>
      <c r="H438" s="3" t="s">
        <v>6645</v>
      </c>
      <c r="I438" s="3" t="s">
        <v>6646</v>
      </c>
      <c r="J438" s="3">
        <v>12.0</v>
      </c>
      <c r="K438" s="3">
        <v>0.0</v>
      </c>
      <c r="L438" s="3">
        <v>0.0</v>
      </c>
      <c r="M438" s="3">
        <v>0.0</v>
      </c>
      <c r="N438" s="3">
        <v>405.195</v>
      </c>
      <c r="O438" s="3">
        <v>105.0</v>
      </c>
      <c r="P438" s="3" t="e">
        <v>#N/A</v>
      </c>
      <c r="Q438" s="3">
        <v>37.0</v>
      </c>
      <c r="R438" s="3">
        <v>30.0</v>
      </c>
      <c r="S438" s="3">
        <v>35.0</v>
      </c>
      <c r="T438" s="3">
        <v>34.0</v>
      </c>
      <c r="U438" s="3">
        <v>37.0</v>
      </c>
      <c r="V438" s="3">
        <v>30.0</v>
      </c>
      <c r="W438" s="3">
        <v>36.0</v>
      </c>
      <c r="X438" s="3">
        <v>39.0</v>
      </c>
      <c r="Y438" s="3">
        <v>38.0</v>
      </c>
      <c r="Z438" s="3">
        <v>25.0</v>
      </c>
      <c r="AA438" s="3">
        <v>28.0</v>
      </c>
      <c r="AB438" s="3">
        <v>46.0</v>
      </c>
      <c r="AC438" s="3">
        <v>38.0</v>
      </c>
      <c r="AD438" s="3">
        <v>38.0</v>
      </c>
      <c r="AE438" s="3">
        <v>25.0</v>
      </c>
      <c r="AF438" s="3">
        <v>42.0</v>
      </c>
      <c r="AG438" s="3">
        <v>30.0</v>
      </c>
      <c r="AH438" s="3">
        <v>19.0</v>
      </c>
      <c r="AI438" s="3">
        <v>34.0</v>
      </c>
      <c r="AJ438" s="3">
        <v>47.0</v>
      </c>
      <c r="AK438" s="3">
        <v>56.0</v>
      </c>
      <c r="AL438" s="3">
        <v>49.0</v>
      </c>
      <c r="AM438" s="3">
        <v>40.0</v>
      </c>
      <c r="AN438" s="3">
        <v>75.0</v>
      </c>
    </row>
    <row r="439" ht="14.25" customHeight="1">
      <c r="A439" s="3">
        <v>437.0</v>
      </c>
      <c r="B439" s="3" t="s">
        <v>7615</v>
      </c>
      <c r="C439" s="3">
        <v>24.0</v>
      </c>
      <c r="D439" s="3" t="s">
        <v>6645</v>
      </c>
      <c r="E439" s="3" t="s">
        <v>6646</v>
      </c>
      <c r="F439" s="3" t="s">
        <v>6646</v>
      </c>
      <c r="G439" s="3" t="s">
        <v>6645</v>
      </c>
      <c r="H439" s="3" t="s">
        <v>6645</v>
      </c>
      <c r="I439" s="3" t="s">
        <v>6645</v>
      </c>
      <c r="J439" s="3">
        <v>12.0</v>
      </c>
      <c r="K439" s="3">
        <v>0.0</v>
      </c>
      <c r="L439" s="3">
        <v>0.0</v>
      </c>
      <c r="M439" s="3">
        <v>0.0</v>
      </c>
      <c r="N439" s="3">
        <v>467.60516</v>
      </c>
      <c r="O439" s="3">
        <v>107.0</v>
      </c>
      <c r="P439" s="3" t="e">
        <v>#N/A</v>
      </c>
      <c r="Q439" s="3">
        <v>37.0</v>
      </c>
      <c r="R439" s="3">
        <v>36.0</v>
      </c>
      <c r="S439" s="3">
        <v>30.0</v>
      </c>
      <c r="T439" s="3">
        <v>38.0</v>
      </c>
      <c r="U439" s="3">
        <v>37.0</v>
      </c>
      <c r="V439" s="3">
        <v>38.0</v>
      </c>
      <c r="W439" s="3">
        <v>29.0</v>
      </c>
      <c r="X439" s="3">
        <v>30.0</v>
      </c>
      <c r="Y439" s="3">
        <v>41.0</v>
      </c>
      <c r="Z439" s="3">
        <v>28.0</v>
      </c>
      <c r="AA439" s="3">
        <v>31.0</v>
      </c>
      <c r="AB439" s="3">
        <v>42.0</v>
      </c>
      <c r="AC439" s="3">
        <v>40.0</v>
      </c>
      <c r="AD439" s="3">
        <v>33.0</v>
      </c>
      <c r="AE439" s="3">
        <v>28.0</v>
      </c>
      <c r="AF439" s="3">
        <v>48.0</v>
      </c>
      <c r="AG439" s="3">
        <v>33.0</v>
      </c>
      <c r="AH439" s="3">
        <v>42.0</v>
      </c>
      <c r="AI439" s="3">
        <v>15.0</v>
      </c>
      <c r="AJ439" s="3">
        <v>58.0</v>
      </c>
      <c r="AK439" s="3">
        <v>50.0</v>
      </c>
      <c r="AL439" s="3">
        <v>58.0</v>
      </c>
      <c r="AM439" s="3">
        <v>33.0</v>
      </c>
      <c r="AN439" s="3">
        <v>74.0</v>
      </c>
    </row>
    <row r="440" ht="14.25" customHeight="1">
      <c r="A440" s="3">
        <v>438.0</v>
      </c>
      <c r="B440" s="3" t="s">
        <v>7616</v>
      </c>
      <c r="C440" s="3">
        <v>22.0</v>
      </c>
      <c r="D440" s="3" t="s">
        <v>6645</v>
      </c>
      <c r="E440" s="3" t="s">
        <v>6646</v>
      </c>
      <c r="F440" s="3" t="s">
        <v>6646</v>
      </c>
      <c r="G440" s="3" t="s">
        <v>6645</v>
      </c>
      <c r="H440" s="3" t="s">
        <v>6645</v>
      </c>
      <c r="I440" s="3" t="s">
        <v>6645</v>
      </c>
      <c r="J440" s="3">
        <v>12.0</v>
      </c>
      <c r="K440" s="3">
        <v>0.0</v>
      </c>
      <c r="L440" s="3">
        <v>0.0</v>
      </c>
      <c r="M440" s="3">
        <v>0.0</v>
      </c>
      <c r="N440" s="3">
        <v>435.5713</v>
      </c>
      <c r="O440" s="3">
        <v>119.0</v>
      </c>
      <c r="P440" s="3" t="e">
        <v>#N/A</v>
      </c>
      <c r="Q440" s="3">
        <v>32.0</v>
      </c>
      <c r="R440" s="3">
        <v>32.0</v>
      </c>
      <c r="S440" s="3">
        <v>31.0</v>
      </c>
      <c r="T440" s="3">
        <v>31.0</v>
      </c>
      <c r="U440" s="3">
        <v>34.0</v>
      </c>
      <c r="V440" s="3">
        <v>37.0</v>
      </c>
      <c r="W440" s="3">
        <v>29.0</v>
      </c>
      <c r="X440" s="3">
        <v>31.0</v>
      </c>
      <c r="Y440" s="3">
        <v>43.0</v>
      </c>
      <c r="Z440" s="3">
        <v>28.0</v>
      </c>
      <c r="AA440" s="3">
        <v>32.0</v>
      </c>
      <c r="AB440" s="3">
        <v>40.0</v>
      </c>
      <c r="AC440" s="3">
        <v>45.0</v>
      </c>
      <c r="AD440" s="3">
        <v>35.0</v>
      </c>
      <c r="AE440" s="3">
        <v>39.0</v>
      </c>
      <c r="AF440" s="3">
        <v>51.0</v>
      </c>
      <c r="AG440" s="3">
        <v>55.0</v>
      </c>
      <c r="AH440" s="3">
        <v>56.0</v>
      </c>
      <c r="AI440" s="3">
        <v>21.0</v>
      </c>
      <c r="AJ440" s="3">
        <v>31.0</v>
      </c>
      <c r="AK440" s="3">
        <v>39.0</v>
      </c>
      <c r="AL440" s="3">
        <v>36.0</v>
      </c>
      <c r="AM440" s="3">
        <v>57.0</v>
      </c>
      <c r="AN440" s="3">
        <v>65.0</v>
      </c>
    </row>
    <row r="441" ht="14.25" customHeight="1">
      <c r="A441" s="3">
        <v>439.0</v>
      </c>
      <c r="B441" s="3" t="s">
        <v>7617</v>
      </c>
      <c r="C441" s="3">
        <v>19.0</v>
      </c>
      <c r="D441" s="3" t="s">
        <v>6645</v>
      </c>
      <c r="E441" s="3" t="s">
        <v>6646</v>
      </c>
      <c r="F441" s="3" t="s">
        <v>6646</v>
      </c>
      <c r="G441" s="3" t="s">
        <v>6645</v>
      </c>
      <c r="H441" s="3" t="s">
        <v>6645</v>
      </c>
      <c r="I441" s="3" t="s">
        <v>6645</v>
      </c>
      <c r="J441" s="3">
        <v>12.0</v>
      </c>
      <c r="K441" s="3">
        <v>0.0</v>
      </c>
      <c r="L441" s="3">
        <v>0.0</v>
      </c>
      <c r="M441" s="3">
        <v>0.0</v>
      </c>
      <c r="N441" s="3">
        <v>520.024</v>
      </c>
      <c r="O441" s="3">
        <v>123.0</v>
      </c>
      <c r="P441" s="3" t="e">
        <v>#N/A</v>
      </c>
      <c r="Q441" s="3">
        <v>36.0</v>
      </c>
      <c r="R441" s="3">
        <v>34.0</v>
      </c>
      <c r="S441" s="3">
        <v>34.0</v>
      </c>
      <c r="T441" s="3">
        <v>30.0</v>
      </c>
      <c r="U441" s="3">
        <v>31.0</v>
      </c>
      <c r="V441" s="3">
        <v>34.0</v>
      </c>
      <c r="W441" s="3">
        <v>24.0</v>
      </c>
      <c r="X441" s="3">
        <v>32.0</v>
      </c>
      <c r="Y441" s="3">
        <v>45.0</v>
      </c>
      <c r="Z441" s="3">
        <v>25.0</v>
      </c>
      <c r="AA441" s="3">
        <v>29.0</v>
      </c>
      <c r="AB441" s="3">
        <v>41.0</v>
      </c>
      <c r="AC441" s="3">
        <v>38.0</v>
      </c>
      <c r="AD441" s="3">
        <v>39.0</v>
      </c>
      <c r="AE441" s="3">
        <v>32.0</v>
      </c>
      <c r="AF441" s="3">
        <v>35.0</v>
      </c>
      <c r="AG441" s="3">
        <v>55.0</v>
      </c>
      <c r="AH441" s="3">
        <v>35.0</v>
      </c>
      <c r="AI441" s="3">
        <v>58.0</v>
      </c>
      <c r="AJ441" s="3">
        <v>30.0</v>
      </c>
      <c r="AK441" s="3">
        <v>33.0</v>
      </c>
      <c r="AL441" s="3">
        <v>36.0</v>
      </c>
      <c r="AM441" s="3">
        <v>56.0</v>
      </c>
      <c r="AN441" s="3">
        <v>75.0</v>
      </c>
    </row>
    <row r="442" ht="14.25" customHeight="1">
      <c r="A442" s="3">
        <v>440.0</v>
      </c>
      <c r="B442" s="3" t="s">
        <v>7618</v>
      </c>
      <c r="C442" s="3">
        <v>38.0</v>
      </c>
      <c r="D442" s="3" t="s">
        <v>6645</v>
      </c>
      <c r="E442" s="3" t="s">
        <v>6646</v>
      </c>
      <c r="F442" s="3" t="s">
        <v>6646</v>
      </c>
      <c r="G442" s="3" t="s">
        <v>6645</v>
      </c>
      <c r="H442" s="3" t="s">
        <v>6645</v>
      </c>
      <c r="I442" s="3" t="s">
        <v>6645</v>
      </c>
      <c r="J442" s="3">
        <v>13.0</v>
      </c>
      <c r="K442" s="3">
        <v>4.0</v>
      </c>
      <c r="L442" s="3">
        <v>0.0</v>
      </c>
      <c r="M442" s="3">
        <v>0.0</v>
      </c>
      <c r="N442" s="3">
        <v>11976.533</v>
      </c>
      <c r="O442" s="3">
        <v>1876.0</v>
      </c>
      <c r="P442" s="3" t="e">
        <v>#N/A</v>
      </c>
      <c r="Q442" s="3">
        <v>62.0</v>
      </c>
      <c r="R442" s="3">
        <v>70.0</v>
      </c>
      <c r="S442" s="3">
        <v>56.0</v>
      </c>
      <c r="T442" s="3">
        <v>58.0</v>
      </c>
      <c r="U442" s="3">
        <v>65.0</v>
      </c>
      <c r="V442" s="3">
        <v>79.0</v>
      </c>
      <c r="W442" s="3">
        <v>73.0</v>
      </c>
      <c r="X442" s="3">
        <v>74.0</v>
      </c>
      <c r="Y442" s="3">
        <v>55.0</v>
      </c>
      <c r="Z442" s="3">
        <v>58.0</v>
      </c>
      <c r="AA442" s="3">
        <v>78.0</v>
      </c>
      <c r="AB442" s="3">
        <v>65.0</v>
      </c>
      <c r="AC442" s="3">
        <v>62.0</v>
      </c>
      <c r="AD442" s="3">
        <v>79.0</v>
      </c>
      <c r="AE442" s="3">
        <v>55.0</v>
      </c>
      <c r="AF442" s="3">
        <v>54.0</v>
      </c>
      <c r="AG442" s="3">
        <v>43.0</v>
      </c>
      <c r="AH442" s="3">
        <v>71.0</v>
      </c>
      <c r="AI442" s="3">
        <v>68.0</v>
      </c>
      <c r="AJ442" s="3">
        <v>49.0</v>
      </c>
      <c r="AK442" s="3">
        <v>57.0</v>
      </c>
      <c r="AL442" s="3">
        <v>41.0</v>
      </c>
      <c r="AM442" s="3">
        <v>44.0</v>
      </c>
      <c r="AN442" s="3">
        <v>41.0</v>
      </c>
    </row>
    <row r="443" ht="14.25" customHeight="1">
      <c r="A443" s="3">
        <v>441.0</v>
      </c>
      <c r="B443" s="3" t="s">
        <v>7619</v>
      </c>
      <c r="C443" s="3">
        <v>38.0</v>
      </c>
      <c r="D443" s="3" t="s">
        <v>6645</v>
      </c>
      <c r="E443" s="3" t="s">
        <v>6646</v>
      </c>
      <c r="F443" s="3" t="s">
        <v>6646</v>
      </c>
      <c r="G443" s="3" t="s">
        <v>6645</v>
      </c>
      <c r="H443" s="3" t="s">
        <v>6645</v>
      </c>
      <c r="I443" s="3" t="s">
        <v>6646</v>
      </c>
      <c r="J443" s="3">
        <v>13.0</v>
      </c>
      <c r="K443" s="3">
        <v>4.0</v>
      </c>
      <c r="L443" s="3">
        <v>0.0</v>
      </c>
      <c r="M443" s="3">
        <v>0.0</v>
      </c>
      <c r="N443" s="3">
        <v>13112.052</v>
      </c>
      <c r="O443" s="3">
        <v>1916.0</v>
      </c>
      <c r="P443" s="3" t="e">
        <v>#N/A</v>
      </c>
      <c r="Q443" s="3">
        <v>65.0</v>
      </c>
      <c r="R443" s="3">
        <v>68.0</v>
      </c>
      <c r="S443" s="3">
        <v>63.0</v>
      </c>
      <c r="T443" s="3">
        <v>64.0</v>
      </c>
      <c r="U443" s="3">
        <v>59.0</v>
      </c>
      <c r="V443" s="3">
        <v>81.0</v>
      </c>
      <c r="W443" s="3">
        <v>80.0</v>
      </c>
      <c r="X443" s="3">
        <v>78.0</v>
      </c>
      <c r="Y443" s="3">
        <v>61.0</v>
      </c>
      <c r="Z443" s="3">
        <v>59.0</v>
      </c>
      <c r="AA443" s="3">
        <v>85.0</v>
      </c>
      <c r="AB443" s="3">
        <v>65.0</v>
      </c>
      <c r="AC443" s="3">
        <v>54.0</v>
      </c>
      <c r="AD443" s="3">
        <v>83.0</v>
      </c>
      <c r="AE443" s="3">
        <v>58.0</v>
      </c>
      <c r="AF443" s="3">
        <v>66.0</v>
      </c>
      <c r="AG443" s="3">
        <v>54.0</v>
      </c>
      <c r="AH443" s="3">
        <v>78.0</v>
      </c>
      <c r="AI443" s="3">
        <v>41.0</v>
      </c>
      <c r="AJ443" s="3">
        <v>70.0</v>
      </c>
      <c r="AK443" s="3">
        <v>34.0</v>
      </c>
      <c r="AL443" s="3">
        <v>67.0</v>
      </c>
      <c r="AM443" s="3">
        <v>48.0</v>
      </c>
      <c r="AN443" s="3">
        <v>59.0</v>
      </c>
    </row>
    <row r="444" ht="14.25" customHeight="1">
      <c r="A444" s="3">
        <v>442.0</v>
      </c>
      <c r="B444" s="3" t="s">
        <v>7620</v>
      </c>
      <c r="C444" s="3">
        <v>44.0</v>
      </c>
      <c r="D444" s="3" t="s">
        <v>6645</v>
      </c>
      <c r="E444" s="3" t="s">
        <v>6646</v>
      </c>
      <c r="F444" s="3" t="s">
        <v>6646</v>
      </c>
      <c r="G444" s="3" t="s">
        <v>6645</v>
      </c>
      <c r="H444" s="3" t="s">
        <v>6645</v>
      </c>
      <c r="I444" s="3" t="s">
        <v>6646</v>
      </c>
      <c r="J444" s="3">
        <v>13.0</v>
      </c>
      <c r="K444" s="3">
        <v>4.0</v>
      </c>
      <c r="L444" s="3">
        <v>0.0</v>
      </c>
      <c r="M444" s="3">
        <v>0.0</v>
      </c>
      <c r="N444" s="3">
        <v>12187.0</v>
      </c>
      <c r="O444" s="3">
        <v>1282.0</v>
      </c>
      <c r="P444" s="3" t="e">
        <v>#N/A</v>
      </c>
      <c r="Q444" s="3">
        <v>64.0</v>
      </c>
      <c r="R444" s="3">
        <v>74.0</v>
      </c>
      <c r="S444" s="3">
        <v>61.0</v>
      </c>
      <c r="T444" s="3">
        <v>65.0</v>
      </c>
      <c r="U444" s="3">
        <v>65.0</v>
      </c>
      <c r="V444" s="3">
        <v>73.0</v>
      </c>
      <c r="W444" s="3">
        <v>78.0</v>
      </c>
      <c r="X444" s="3">
        <v>70.0</v>
      </c>
      <c r="Y444" s="3">
        <v>60.0</v>
      </c>
      <c r="Z444" s="3">
        <v>55.0</v>
      </c>
      <c r="AA444" s="3">
        <v>81.0</v>
      </c>
      <c r="AB444" s="3">
        <v>59.0</v>
      </c>
      <c r="AC444" s="3">
        <v>55.0</v>
      </c>
      <c r="AD444" s="3">
        <v>84.0</v>
      </c>
      <c r="AE444" s="3">
        <v>62.0</v>
      </c>
      <c r="AF444" s="3">
        <v>43.0</v>
      </c>
      <c r="AG444" s="3">
        <v>38.0</v>
      </c>
      <c r="AH444" s="3">
        <v>76.0</v>
      </c>
      <c r="AI444" s="3">
        <v>44.0</v>
      </c>
      <c r="AJ444" s="3">
        <v>57.0</v>
      </c>
      <c r="AK444" s="3">
        <v>65.0</v>
      </c>
      <c r="AL444" s="3">
        <v>70.0</v>
      </c>
      <c r="AM444" s="3">
        <v>67.0</v>
      </c>
      <c r="AN444" s="3">
        <v>49.0</v>
      </c>
    </row>
    <row r="445" ht="14.25" customHeight="1">
      <c r="A445" s="3">
        <v>443.0</v>
      </c>
      <c r="B445" s="3" t="s">
        <v>7621</v>
      </c>
      <c r="C445" s="3">
        <v>30.0</v>
      </c>
      <c r="D445" s="3" t="s">
        <v>6645</v>
      </c>
      <c r="E445" s="3" t="s">
        <v>6646</v>
      </c>
      <c r="F445" s="3" t="s">
        <v>6646</v>
      </c>
      <c r="G445" s="3" t="s">
        <v>6645</v>
      </c>
      <c r="H445" s="3" t="s">
        <v>6645</v>
      </c>
      <c r="I445" s="3" t="s">
        <v>6646</v>
      </c>
      <c r="J445" s="3">
        <v>13.0</v>
      </c>
      <c r="K445" s="3">
        <v>3.0</v>
      </c>
      <c r="L445" s="3">
        <v>0.0</v>
      </c>
      <c r="M445" s="3">
        <v>0.0</v>
      </c>
      <c r="N445" s="3">
        <v>6845.4716</v>
      </c>
      <c r="O445" s="3">
        <v>972.0</v>
      </c>
      <c r="P445" s="3" t="e">
        <v>#N/A</v>
      </c>
      <c r="Q445" s="3">
        <v>56.0</v>
      </c>
      <c r="R445" s="3">
        <v>54.0</v>
      </c>
      <c r="S445" s="3">
        <v>58.0</v>
      </c>
      <c r="T445" s="3">
        <v>50.0</v>
      </c>
      <c r="U445" s="3">
        <v>50.0</v>
      </c>
      <c r="V445" s="3">
        <v>54.0</v>
      </c>
      <c r="W445" s="3">
        <v>68.0</v>
      </c>
      <c r="X445" s="3">
        <v>59.0</v>
      </c>
      <c r="Y445" s="3">
        <v>52.0</v>
      </c>
      <c r="Z445" s="3">
        <v>51.0</v>
      </c>
      <c r="AA445" s="3">
        <v>66.0</v>
      </c>
      <c r="AB445" s="3">
        <v>52.0</v>
      </c>
      <c r="AC445" s="3">
        <v>56.0</v>
      </c>
      <c r="AD445" s="3">
        <v>67.0</v>
      </c>
      <c r="AE445" s="3">
        <v>47.0</v>
      </c>
      <c r="AF445" s="3">
        <v>53.0</v>
      </c>
      <c r="AG445" s="3">
        <v>57.0</v>
      </c>
      <c r="AH445" s="3">
        <v>79.0</v>
      </c>
      <c r="AI445" s="3">
        <v>41.0</v>
      </c>
      <c r="AJ445" s="3">
        <v>42.0</v>
      </c>
      <c r="AK445" s="3">
        <v>67.0</v>
      </c>
      <c r="AL445" s="3">
        <v>47.0</v>
      </c>
      <c r="AM445" s="3">
        <v>35.0</v>
      </c>
      <c r="AN445" s="3">
        <v>63.0</v>
      </c>
    </row>
    <row r="446" ht="14.25" customHeight="1">
      <c r="A446" s="3">
        <v>444.0</v>
      </c>
      <c r="B446" s="3" t="s">
        <v>7622</v>
      </c>
      <c r="C446" s="3">
        <v>34.0</v>
      </c>
      <c r="D446" s="3" t="s">
        <v>6645</v>
      </c>
      <c r="E446" s="3" t="s">
        <v>6646</v>
      </c>
      <c r="F446" s="3" t="s">
        <v>6646</v>
      </c>
      <c r="G446" s="3" t="s">
        <v>6645</v>
      </c>
      <c r="H446" s="3" t="s">
        <v>6645</v>
      </c>
      <c r="I446" s="3" t="s">
        <v>6646</v>
      </c>
      <c r="J446" s="3">
        <v>13.0</v>
      </c>
      <c r="K446" s="3">
        <v>3.0</v>
      </c>
      <c r="L446" s="3">
        <v>0.0</v>
      </c>
      <c r="M446" s="3">
        <v>0.0</v>
      </c>
      <c r="N446" s="3">
        <v>6463.8774</v>
      </c>
      <c r="O446" s="3">
        <v>900.0</v>
      </c>
      <c r="P446" s="3" t="e">
        <v>#N/A</v>
      </c>
      <c r="Q446" s="3">
        <v>54.0</v>
      </c>
      <c r="R446" s="3">
        <v>56.0</v>
      </c>
      <c r="S446" s="3">
        <v>50.0</v>
      </c>
      <c r="T446" s="3">
        <v>54.0</v>
      </c>
      <c r="U446" s="3">
        <v>58.0</v>
      </c>
      <c r="V446" s="3">
        <v>55.0</v>
      </c>
      <c r="W446" s="3">
        <v>62.0</v>
      </c>
      <c r="X446" s="3">
        <v>53.0</v>
      </c>
      <c r="Y446" s="3">
        <v>54.0</v>
      </c>
      <c r="Z446" s="3">
        <v>54.0</v>
      </c>
      <c r="AA446" s="3">
        <v>62.0</v>
      </c>
      <c r="AB446" s="3">
        <v>56.0</v>
      </c>
      <c r="AC446" s="3">
        <v>58.0</v>
      </c>
      <c r="AD446" s="3">
        <v>60.0</v>
      </c>
      <c r="AE446" s="3">
        <v>46.0</v>
      </c>
      <c r="AF446" s="3">
        <v>57.0</v>
      </c>
      <c r="AG446" s="3">
        <v>46.0</v>
      </c>
      <c r="AH446" s="3">
        <v>82.0</v>
      </c>
      <c r="AI446" s="3">
        <v>45.0</v>
      </c>
      <c r="AJ446" s="3">
        <v>43.0</v>
      </c>
      <c r="AK446" s="3">
        <v>38.0</v>
      </c>
      <c r="AL446" s="3">
        <v>39.0</v>
      </c>
      <c r="AM446" s="3">
        <v>38.0</v>
      </c>
      <c r="AN446" s="3">
        <v>42.0</v>
      </c>
    </row>
    <row r="447" ht="14.25" customHeight="1">
      <c r="A447" s="3">
        <v>445.0</v>
      </c>
      <c r="B447" s="3" t="s">
        <v>7623</v>
      </c>
      <c r="C447" s="3">
        <v>33.0</v>
      </c>
      <c r="D447" s="3" t="s">
        <v>6645</v>
      </c>
      <c r="E447" s="3" t="s">
        <v>6646</v>
      </c>
      <c r="F447" s="3" t="s">
        <v>6646</v>
      </c>
      <c r="G447" s="3" t="s">
        <v>6645</v>
      </c>
      <c r="H447" s="3" t="s">
        <v>6645</v>
      </c>
      <c r="I447" s="3" t="s">
        <v>6645</v>
      </c>
      <c r="J447" s="3">
        <v>13.0</v>
      </c>
      <c r="K447" s="3">
        <v>3.0</v>
      </c>
      <c r="L447" s="3">
        <v>0.0</v>
      </c>
      <c r="M447" s="3">
        <v>0.0</v>
      </c>
      <c r="N447" s="3">
        <v>6658.7734</v>
      </c>
      <c r="O447" s="3">
        <v>853.0</v>
      </c>
      <c r="P447" s="3" t="e">
        <v>#N/A</v>
      </c>
      <c r="Q447" s="3">
        <v>56.0</v>
      </c>
      <c r="R447" s="3">
        <v>52.0</v>
      </c>
      <c r="S447" s="3">
        <v>54.0</v>
      </c>
      <c r="T447" s="3">
        <v>50.0</v>
      </c>
      <c r="U447" s="3">
        <v>54.0</v>
      </c>
      <c r="V447" s="3">
        <v>56.0</v>
      </c>
      <c r="W447" s="3">
        <v>64.0</v>
      </c>
      <c r="X447" s="3">
        <v>51.0</v>
      </c>
      <c r="Y447" s="3">
        <v>49.0</v>
      </c>
      <c r="Z447" s="3">
        <v>58.0</v>
      </c>
      <c r="AA447" s="3">
        <v>62.0</v>
      </c>
      <c r="AB447" s="3">
        <v>58.0</v>
      </c>
      <c r="AC447" s="3">
        <v>58.0</v>
      </c>
      <c r="AD447" s="3">
        <v>61.0</v>
      </c>
      <c r="AE447" s="3">
        <v>49.0</v>
      </c>
      <c r="AF447" s="3">
        <v>59.0</v>
      </c>
      <c r="AG447" s="3">
        <v>58.0</v>
      </c>
      <c r="AH447" s="3">
        <v>75.0</v>
      </c>
      <c r="AI447" s="3">
        <v>35.0</v>
      </c>
      <c r="AJ447" s="3">
        <v>51.0</v>
      </c>
      <c r="AK447" s="3">
        <v>60.0</v>
      </c>
      <c r="AL447" s="3">
        <v>52.0</v>
      </c>
      <c r="AM447" s="3">
        <v>67.0</v>
      </c>
      <c r="AN447" s="3">
        <v>56.0</v>
      </c>
    </row>
    <row r="448" ht="14.25" customHeight="1">
      <c r="A448" s="3">
        <v>446.0</v>
      </c>
      <c r="B448" s="3" t="s">
        <v>7624</v>
      </c>
      <c r="C448" s="3">
        <v>30.0</v>
      </c>
      <c r="D448" s="3" t="s">
        <v>6645</v>
      </c>
      <c r="E448" s="3" t="s">
        <v>6646</v>
      </c>
      <c r="F448" s="3" t="s">
        <v>6646</v>
      </c>
      <c r="G448" s="3" t="s">
        <v>6645</v>
      </c>
      <c r="H448" s="3" t="s">
        <v>6645</v>
      </c>
      <c r="I448" s="3" t="s">
        <v>6645</v>
      </c>
      <c r="J448" s="3">
        <v>13.0</v>
      </c>
      <c r="K448" s="3">
        <v>2.0</v>
      </c>
      <c r="L448" s="3">
        <v>0.0</v>
      </c>
      <c r="M448" s="3">
        <v>0.0</v>
      </c>
      <c r="N448" s="3">
        <v>3883.0405</v>
      </c>
      <c r="O448" s="3">
        <v>473.0</v>
      </c>
      <c r="P448" s="3" t="e">
        <v>#N/A</v>
      </c>
      <c r="Q448" s="3">
        <v>46.0</v>
      </c>
      <c r="R448" s="3">
        <v>52.0</v>
      </c>
      <c r="S448" s="3">
        <v>47.0</v>
      </c>
      <c r="T448" s="3">
        <v>49.0</v>
      </c>
      <c r="U448" s="3">
        <v>52.0</v>
      </c>
      <c r="V448" s="3">
        <v>46.0</v>
      </c>
      <c r="W448" s="3">
        <v>56.0</v>
      </c>
      <c r="X448" s="3">
        <v>46.0</v>
      </c>
      <c r="Y448" s="3">
        <v>51.0</v>
      </c>
      <c r="Z448" s="3">
        <v>43.0</v>
      </c>
      <c r="AA448" s="3">
        <v>50.0</v>
      </c>
      <c r="AB448" s="3">
        <v>44.0</v>
      </c>
      <c r="AC448" s="3">
        <v>43.0</v>
      </c>
      <c r="AD448" s="3">
        <v>58.0</v>
      </c>
      <c r="AE448" s="3">
        <v>36.0</v>
      </c>
      <c r="AF448" s="3">
        <v>62.0</v>
      </c>
      <c r="AG448" s="3">
        <v>44.0</v>
      </c>
      <c r="AH448" s="3">
        <v>67.0</v>
      </c>
      <c r="AI448" s="3">
        <v>54.0</v>
      </c>
      <c r="AJ448" s="3">
        <v>42.0</v>
      </c>
      <c r="AK448" s="3">
        <v>35.0</v>
      </c>
      <c r="AL448" s="3">
        <v>52.0</v>
      </c>
      <c r="AM448" s="3">
        <v>62.0</v>
      </c>
      <c r="AN448" s="3">
        <v>50.0</v>
      </c>
    </row>
    <row r="449" ht="14.25" customHeight="1">
      <c r="A449" s="3">
        <v>447.0</v>
      </c>
      <c r="B449" s="3" t="s">
        <v>7625</v>
      </c>
      <c r="C449" s="3">
        <v>28.0</v>
      </c>
      <c r="D449" s="3" t="s">
        <v>6645</v>
      </c>
      <c r="E449" s="3" t="s">
        <v>6646</v>
      </c>
      <c r="F449" s="3" t="s">
        <v>6646</v>
      </c>
      <c r="G449" s="3" t="s">
        <v>6645</v>
      </c>
      <c r="H449" s="3" t="s">
        <v>6645</v>
      </c>
      <c r="I449" s="3" t="s">
        <v>6645</v>
      </c>
      <c r="J449" s="3">
        <v>13.0</v>
      </c>
      <c r="K449" s="3">
        <v>2.0</v>
      </c>
      <c r="L449" s="3">
        <v>0.0</v>
      </c>
      <c r="M449" s="3">
        <v>0.0</v>
      </c>
      <c r="N449" s="3">
        <v>3700.91</v>
      </c>
      <c r="O449" s="3">
        <v>408.0</v>
      </c>
      <c r="P449" s="3" t="e">
        <v>#N/A</v>
      </c>
      <c r="Q449" s="3">
        <v>49.0</v>
      </c>
      <c r="R449" s="3">
        <v>44.0</v>
      </c>
      <c r="S449" s="3">
        <v>50.0</v>
      </c>
      <c r="T449" s="3">
        <v>49.0</v>
      </c>
      <c r="U449" s="3">
        <v>51.0</v>
      </c>
      <c r="V449" s="3">
        <v>43.0</v>
      </c>
      <c r="W449" s="3">
        <v>50.0</v>
      </c>
      <c r="X449" s="3">
        <v>50.0</v>
      </c>
      <c r="Y449" s="3">
        <v>43.0</v>
      </c>
      <c r="Z449" s="3">
        <v>42.0</v>
      </c>
      <c r="AA449" s="3">
        <v>56.0</v>
      </c>
      <c r="AB449" s="3">
        <v>52.0</v>
      </c>
      <c r="AC449" s="3">
        <v>42.0</v>
      </c>
      <c r="AD449" s="3">
        <v>57.0</v>
      </c>
      <c r="AE449" s="3">
        <v>47.0</v>
      </c>
      <c r="AF449" s="3">
        <v>52.0</v>
      </c>
      <c r="AG449" s="3">
        <v>46.0</v>
      </c>
      <c r="AH449" s="3">
        <v>79.0</v>
      </c>
      <c r="AI449" s="3">
        <v>27.0</v>
      </c>
      <c r="AJ449" s="3">
        <v>58.0</v>
      </c>
      <c r="AK449" s="3">
        <v>58.0</v>
      </c>
      <c r="AL449" s="3">
        <v>50.0</v>
      </c>
      <c r="AM449" s="3">
        <v>46.0</v>
      </c>
      <c r="AN449" s="3">
        <v>36.0</v>
      </c>
    </row>
    <row r="450" ht="14.25" customHeight="1">
      <c r="A450" s="3">
        <v>448.0</v>
      </c>
      <c r="B450" s="3" t="s">
        <v>7626</v>
      </c>
      <c r="C450" s="3">
        <v>29.0</v>
      </c>
      <c r="D450" s="3" t="s">
        <v>6645</v>
      </c>
      <c r="E450" s="3" t="s">
        <v>6646</v>
      </c>
      <c r="F450" s="3" t="s">
        <v>6646</v>
      </c>
      <c r="G450" s="3" t="s">
        <v>6645</v>
      </c>
      <c r="H450" s="3" t="s">
        <v>6645</v>
      </c>
      <c r="I450" s="3" t="s">
        <v>6646</v>
      </c>
      <c r="J450" s="3">
        <v>13.0</v>
      </c>
      <c r="K450" s="3">
        <v>2.0</v>
      </c>
      <c r="L450" s="3">
        <v>0.0</v>
      </c>
      <c r="M450" s="3">
        <v>0.0</v>
      </c>
      <c r="N450" s="3">
        <v>3754.2316</v>
      </c>
      <c r="O450" s="3">
        <v>388.0</v>
      </c>
      <c r="P450" s="3" t="e">
        <v>#N/A</v>
      </c>
      <c r="Q450" s="3">
        <v>47.0</v>
      </c>
      <c r="R450" s="3">
        <v>51.0</v>
      </c>
      <c r="S450" s="3">
        <v>47.0</v>
      </c>
      <c r="T450" s="3">
        <v>43.0</v>
      </c>
      <c r="U450" s="3">
        <v>52.0</v>
      </c>
      <c r="V450" s="3">
        <v>49.0</v>
      </c>
      <c r="W450" s="3">
        <v>57.0</v>
      </c>
      <c r="X450" s="3">
        <v>41.0</v>
      </c>
      <c r="Y450" s="3">
        <v>50.0</v>
      </c>
      <c r="Z450" s="3">
        <v>41.0</v>
      </c>
      <c r="AA450" s="3">
        <v>56.0</v>
      </c>
      <c r="AB450" s="3">
        <v>48.0</v>
      </c>
      <c r="AC450" s="3">
        <v>42.0</v>
      </c>
      <c r="AD450" s="3">
        <v>55.0</v>
      </c>
      <c r="AE450" s="3">
        <v>46.0</v>
      </c>
      <c r="AF450" s="3">
        <v>42.0</v>
      </c>
      <c r="AG450" s="3">
        <v>40.0</v>
      </c>
      <c r="AH450" s="3">
        <v>73.0</v>
      </c>
      <c r="AI450" s="3">
        <v>62.0</v>
      </c>
      <c r="AJ450" s="3">
        <v>31.0</v>
      </c>
      <c r="AK450" s="3">
        <v>54.0</v>
      </c>
      <c r="AL450" s="3">
        <v>42.0</v>
      </c>
      <c r="AM450" s="3">
        <v>54.0</v>
      </c>
      <c r="AN450" s="3">
        <v>52.0</v>
      </c>
    </row>
    <row r="451" ht="14.25" customHeight="1">
      <c r="A451" s="3">
        <v>449.0</v>
      </c>
      <c r="B451" s="3" t="s">
        <v>7627</v>
      </c>
      <c r="C451" s="3">
        <v>29.0</v>
      </c>
      <c r="D451" s="3" t="s">
        <v>6645</v>
      </c>
      <c r="E451" s="3" t="s">
        <v>6646</v>
      </c>
      <c r="F451" s="3" t="s">
        <v>6646</v>
      </c>
      <c r="G451" s="3" t="s">
        <v>6645</v>
      </c>
      <c r="H451" s="3" t="s">
        <v>6645</v>
      </c>
      <c r="I451" s="3" t="s">
        <v>6645</v>
      </c>
      <c r="J451" s="3">
        <v>13.0</v>
      </c>
      <c r="K451" s="3">
        <v>2.0</v>
      </c>
      <c r="L451" s="3">
        <v>0.0</v>
      </c>
      <c r="M451" s="3">
        <v>0.0</v>
      </c>
      <c r="N451" s="3">
        <v>4111.5014</v>
      </c>
      <c r="O451" s="3">
        <v>364.0</v>
      </c>
      <c r="P451" s="3" t="e">
        <v>#N/A</v>
      </c>
      <c r="Q451" s="3">
        <v>47.0</v>
      </c>
      <c r="R451" s="3">
        <v>43.0</v>
      </c>
      <c r="S451" s="3">
        <v>47.0</v>
      </c>
      <c r="T451" s="3">
        <v>44.0</v>
      </c>
      <c r="U451" s="3">
        <v>47.0</v>
      </c>
      <c r="V451" s="3">
        <v>52.0</v>
      </c>
      <c r="W451" s="3">
        <v>49.0</v>
      </c>
      <c r="X451" s="3">
        <v>47.0</v>
      </c>
      <c r="Y451" s="3">
        <v>43.0</v>
      </c>
      <c r="Z451" s="3">
        <v>39.0</v>
      </c>
      <c r="AA451" s="3">
        <v>60.0</v>
      </c>
      <c r="AB451" s="3">
        <v>49.0</v>
      </c>
      <c r="AC451" s="3">
        <v>42.0</v>
      </c>
      <c r="AD451" s="3">
        <v>57.0</v>
      </c>
      <c r="AE451" s="3">
        <v>45.0</v>
      </c>
      <c r="AF451" s="3">
        <v>62.0</v>
      </c>
      <c r="AG451" s="3">
        <v>50.0</v>
      </c>
      <c r="AH451" s="3">
        <v>70.0</v>
      </c>
      <c r="AI451" s="3">
        <v>54.0</v>
      </c>
      <c r="AJ451" s="3">
        <v>64.0</v>
      </c>
      <c r="AK451" s="3">
        <v>36.0</v>
      </c>
      <c r="AL451" s="3">
        <v>36.0</v>
      </c>
      <c r="AM451" s="3">
        <v>32.0</v>
      </c>
      <c r="AN451" s="3">
        <v>48.0</v>
      </c>
    </row>
    <row r="452" ht="14.25" customHeight="1">
      <c r="A452" s="3">
        <v>450.0</v>
      </c>
      <c r="B452" s="3" t="s">
        <v>7628</v>
      </c>
      <c r="C452" s="3">
        <v>26.0</v>
      </c>
      <c r="D452" s="3" t="s">
        <v>6645</v>
      </c>
      <c r="E452" s="3" t="s">
        <v>6646</v>
      </c>
      <c r="F452" s="3" t="s">
        <v>6646</v>
      </c>
      <c r="G452" s="3" t="s">
        <v>6645</v>
      </c>
      <c r="H452" s="3" t="s">
        <v>6645</v>
      </c>
      <c r="I452" s="3" t="s">
        <v>6645</v>
      </c>
      <c r="J452" s="3">
        <v>13.0</v>
      </c>
      <c r="K452" s="3">
        <v>1.0</v>
      </c>
      <c r="L452" s="3">
        <v>0.0</v>
      </c>
      <c r="M452" s="3">
        <v>0.0</v>
      </c>
      <c r="N452" s="3">
        <v>1276.7935</v>
      </c>
      <c r="O452" s="3">
        <v>221.0</v>
      </c>
      <c r="P452" s="3" t="e">
        <v>#N/A</v>
      </c>
      <c r="Q452" s="3">
        <v>38.0</v>
      </c>
      <c r="R452" s="3">
        <v>42.0</v>
      </c>
      <c r="S452" s="3">
        <v>38.0</v>
      </c>
      <c r="T452" s="3">
        <v>38.0</v>
      </c>
      <c r="U452" s="3">
        <v>46.0</v>
      </c>
      <c r="V452" s="3">
        <v>42.0</v>
      </c>
      <c r="W452" s="3">
        <v>51.0</v>
      </c>
      <c r="X452" s="3">
        <v>38.0</v>
      </c>
      <c r="Y452" s="3">
        <v>40.0</v>
      </c>
      <c r="Z452" s="3">
        <v>27.0</v>
      </c>
      <c r="AA452" s="3">
        <v>52.0</v>
      </c>
      <c r="AB452" s="3">
        <v>40.0</v>
      </c>
      <c r="AC452" s="3">
        <v>38.0</v>
      </c>
      <c r="AD452" s="3">
        <v>51.0</v>
      </c>
      <c r="AE452" s="3">
        <v>35.0</v>
      </c>
      <c r="AF452" s="3">
        <v>37.0</v>
      </c>
      <c r="AG452" s="3">
        <v>36.0</v>
      </c>
      <c r="AH452" s="3">
        <v>68.0</v>
      </c>
      <c r="AI452" s="3">
        <v>45.0</v>
      </c>
      <c r="AJ452" s="3">
        <v>18.0</v>
      </c>
      <c r="AK452" s="3">
        <v>46.0</v>
      </c>
      <c r="AL452" s="3">
        <v>47.0</v>
      </c>
      <c r="AM452" s="3">
        <v>50.0</v>
      </c>
      <c r="AN452" s="3">
        <v>62.0</v>
      </c>
    </row>
    <row r="453" ht="14.25" customHeight="1">
      <c r="A453" s="3">
        <v>451.0</v>
      </c>
      <c r="B453" s="3" t="s">
        <v>7629</v>
      </c>
      <c r="C453" s="3">
        <v>20.0</v>
      </c>
      <c r="D453" s="3" t="s">
        <v>6645</v>
      </c>
      <c r="E453" s="3" t="s">
        <v>6646</v>
      </c>
      <c r="F453" s="3" t="s">
        <v>6646</v>
      </c>
      <c r="G453" s="3" t="s">
        <v>6645</v>
      </c>
      <c r="H453" s="3" t="s">
        <v>6645</v>
      </c>
      <c r="I453" s="3" t="s">
        <v>6646</v>
      </c>
      <c r="J453" s="3">
        <v>13.0</v>
      </c>
      <c r="K453" s="3">
        <v>1.0</v>
      </c>
      <c r="L453" s="3">
        <v>0.0</v>
      </c>
      <c r="M453" s="3">
        <v>0.0</v>
      </c>
      <c r="N453" s="3">
        <v>1416.6893</v>
      </c>
      <c r="O453" s="3">
        <v>177.0</v>
      </c>
      <c r="P453" s="3" t="e">
        <v>#N/A</v>
      </c>
      <c r="Q453" s="3">
        <v>42.0</v>
      </c>
      <c r="R453" s="3">
        <v>42.0</v>
      </c>
      <c r="S453" s="3">
        <v>44.0</v>
      </c>
      <c r="T453" s="3">
        <v>40.0</v>
      </c>
      <c r="U453" s="3">
        <v>36.0</v>
      </c>
      <c r="V453" s="3">
        <v>42.0</v>
      </c>
      <c r="W453" s="3">
        <v>53.0</v>
      </c>
      <c r="X453" s="3">
        <v>44.0</v>
      </c>
      <c r="Y453" s="3">
        <v>42.0</v>
      </c>
      <c r="Z453" s="3">
        <v>31.0</v>
      </c>
      <c r="AA453" s="3">
        <v>46.0</v>
      </c>
      <c r="AB453" s="3">
        <v>42.0</v>
      </c>
      <c r="AC453" s="3">
        <v>38.0</v>
      </c>
      <c r="AD453" s="3">
        <v>49.0</v>
      </c>
      <c r="AE453" s="3">
        <v>39.0</v>
      </c>
      <c r="AF453" s="3">
        <v>51.0</v>
      </c>
      <c r="AG453" s="3">
        <v>52.0</v>
      </c>
      <c r="AH453" s="3">
        <v>79.0</v>
      </c>
      <c r="AI453" s="3">
        <v>51.0</v>
      </c>
      <c r="AJ453" s="3">
        <v>62.0</v>
      </c>
      <c r="AK453" s="3">
        <v>49.0</v>
      </c>
      <c r="AL453" s="3">
        <v>39.0</v>
      </c>
      <c r="AM453" s="3">
        <v>56.0</v>
      </c>
      <c r="AN453" s="3">
        <v>23.0</v>
      </c>
    </row>
    <row r="454" ht="14.25" customHeight="1">
      <c r="A454" s="3">
        <v>452.0</v>
      </c>
      <c r="B454" s="3" t="s">
        <v>7630</v>
      </c>
      <c r="C454" s="3">
        <v>27.0</v>
      </c>
      <c r="D454" s="3" t="s">
        <v>6645</v>
      </c>
      <c r="E454" s="3" t="s">
        <v>6646</v>
      </c>
      <c r="F454" s="3" t="s">
        <v>6646</v>
      </c>
      <c r="G454" s="3" t="s">
        <v>6645</v>
      </c>
      <c r="H454" s="3" t="s">
        <v>6645</v>
      </c>
      <c r="I454" s="3" t="s">
        <v>6646</v>
      </c>
      <c r="J454" s="3">
        <v>13.0</v>
      </c>
      <c r="K454" s="3">
        <v>1.0</v>
      </c>
      <c r="L454" s="3">
        <v>0.0</v>
      </c>
      <c r="M454" s="3">
        <v>0.0</v>
      </c>
      <c r="N454" s="3">
        <v>1586.231</v>
      </c>
      <c r="O454" s="3">
        <v>210.0</v>
      </c>
      <c r="P454" s="3" t="e">
        <v>#N/A</v>
      </c>
      <c r="Q454" s="3">
        <v>42.0</v>
      </c>
      <c r="R454" s="3">
        <v>38.0</v>
      </c>
      <c r="S454" s="3">
        <v>46.0</v>
      </c>
      <c r="T454" s="3">
        <v>42.0</v>
      </c>
      <c r="U454" s="3">
        <v>42.0</v>
      </c>
      <c r="V454" s="3">
        <v>44.0</v>
      </c>
      <c r="W454" s="3">
        <v>47.0</v>
      </c>
      <c r="X454" s="3">
        <v>32.0</v>
      </c>
      <c r="Y454" s="3">
        <v>46.0</v>
      </c>
      <c r="Z454" s="3">
        <v>42.0</v>
      </c>
      <c r="AA454" s="3">
        <v>44.0</v>
      </c>
      <c r="AB454" s="3">
        <v>31.0</v>
      </c>
      <c r="AC454" s="3">
        <v>39.0</v>
      </c>
      <c r="AD454" s="3">
        <v>47.0</v>
      </c>
      <c r="AE454" s="3">
        <v>42.0</v>
      </c>
      <c r="AF454" s="3">
        <v>39.0</v>
      </c>
      <c r="AG454" s="3">
        <v>48.0</v>
      </c>
      <c r="AH454" s="3">
        <v>77.0</v>
      </c>
      <c r="AI454" s="3">
        <v>34.0</v>
      </c>
      <c r="AJ454" s="3">
        <v>50.0</v>
      </c>
      <c r="AK454" s="3">
        <v>33.0</v>
      </c>
      <c r="AL454" s="3">
        <v>35.0</v>
      </c>
      <c r="AM454" s="3">
        <v>45.0</v>
      </c>
      <c r="AN454" s="3">
        <v>44.0</v>
      </c>
    </row>
    <row r="455" ht="14.25" customHeight="1">
      <c r="A455" s="3">
        <v>453.0</v>
      </c>
      <c r="B455" s="3" t="s">
        <v>7631</v>
      </c>
      <c r="C455" s="3">
        <v>29.0</v>
      </c>
      <c r="D455" s="3" t="s">
        <v>6645</v>
      </c>
      <c r="E455" s="3" t="s">
        <v>6646</v>
      </c>
      <c r="F455" s="3" t="s">
        <v>6646</v>
      </c>
      <c r="G455" s="3" t="s">
        <v>6645</v>
      </c>
      <c r="H455" s="3" t="s">
        <v>6645</v>
      </c>
      <c r="I455" s="3" t="s">
        <v>6646</v>
      </c>
      <c r="J455" s="3">
        <v>13.0</v>
      </c>
      <c r="K455" s="3">
        <v>1.0</v>
      </c>
      <c r="L455" s="3">
        <v>0.0</v>
      </c>
      <c r="M455" s="3">
        <v>0.0</v>
      </c>
      <c r="N455" s="3">
        <v>1569.1937</v>
      </c>
      <c r="O455" s="3">
        <v>153.0</v>
      </c>
      <c r="P455" s="3" t="e">
        <v>#N/A</v>
      </c>
      <c r="Q455" s="3">
        <v>42.0</v>
      </c>
      <c r="R455" s="3">
        <v>36.0</v>
      </c>
      <c r="S455" s="3">
        <v>44.0</v>
      </c>
      <c r="T455" s="3">
        <v>40.0</v>
      </c>
      <c r="U455" s="3">
        <v>42.0</v>
      </c>
      <c r="V455" s="3">
        <v>36.0</v>
      </c>
      <c r="W455" s="3">
        <v>48.0</v>
      </c>
      <c r="X455" s="3">
        <v>42.0</v>
      </c>
      <c r="Y455" s="3">
        <v>28.0</v>
      </c>
      <c r="Z455" s="3">
        <v>34.0</v>
      </c>
      <c r="AA455" s="3">
        <v>47.0</v>
      </c>
      <c r="AB455" s="3">
        <v>33.0</v>
      </c>
      <c r="AC455" s="3">
        <v>38.0</v>
      </c>
      <c r="AD455" s="3">
        <v>52.0</v>
      </c>
      <c r="AE455" s="3">
        <v>44.0</v>
      </c>
      <c r="AF455" s="3">
        <v>29.0</v>
      </c>
      <c r="AG455" s="3">
        <v>39.0</v>
      </c>
      <c r="AH455" s="3">
        <v>67.0</v>
      </c>
      <c r="AI455" s="3">
        <v>50.0</v>
      </c>
      <c r="AJ455" s="3">
        <v>47.0</v>
      </c>
      <c r="AK455" s="3">
        <v>61.0</v>
      </c>
      <c r="AL455" s="3">
        <v>60.0</v>
      </c>
      <c r="AM455" s="3">
        <v>41.0</v>
      </c>
      <c r="AN455" s="3">
        <v>47.0</v>
      </c>
    </row>
    <row r="456" ht="14.25" customHeight="1">
      <c r="A456" s="3">
        <v>454.0</v>
      </c>
      <c r="B456" s="3" t="s">
        <v>7632</v>
      </c>
      <c r="C456" s="3">
        <v>15.0</v>
      </c>
      <c r="D456" s="3" t="s">
        <v>6645</v>
      </c>
      <c r="E456" s="3" t="s">
        <v>6646</v>
      </c>
      <c r="F456" s="3" t="s">
        <v>6646</v>
      </c>
      <c r="G456" s="3" t="s">
        <v>6645</v>
      </c>
      <c r="H456" s="3" t="s">
        <v>6645</v>
      </c>
      <c r="I456" s="3" t="s">
        <v>6645</v>
      </c>
      <c r="J456" s="3">
        <v>13.0</v>
      </c>
      <c r="K456" s="3">
        <v>0.0</v>
      </c>
      <c r="L456" s="3">
        <v>0.0</v>
      </c>
      <c r="M456" s="3">
        <v>0.0</v>
      </c>
      <c r="N456" s="3">
        <v>479.203</v>
      </c>
      <c r="O456" s="3">
        <v>81.0</v>
      </c>
      <c r="P456" s="3" t="e">
        <v>#N/A</v>
      </c>
      <c r="Q456" s="3">
        <v>36.0</v>
      </c>
      <c r="R456" s="3">
        <v>34.0</v>
      </c>
      <c r="S456" s="3">
        <v>30.0</v>
      </c>
      <c r="T456" s="3">
        <v>32.0</v>
      </c>
      <c r="U456" s="3">
        <v>36.0</v>
      </c>
      <c r="V456" s="3">
        <v>31.0</v>
      </c>
      <c r="W456" s="3">
        <v>38.0</v>
      </c>
      <c r="X456" s="3">
        <v>38.0</v>
      </c>
      <c r="Y456" s="3">
        <v>35.0</v>
      </c>
      <c r="Z456" s="3">
        <v>24.0</v>
      </c>
      <c r="AA456" s="3">
        <v>39.0</v>
      </c>
      <c r="AB456" s="3">
        <v>27.0</v>
      </c>
      <c r="AC456" s="3">
        <v>33.0</v>
      </c>
      <c r="AD456" s="3">
        <v>45.0</v>
      </c>
      <c r="AE456" s="3">
        <v>21.0</v>
      </c>
      <c r="AF456" s="3">
        <v>32.0</v>
      </c>
      <c r="AG456" s="3">
        <v>30.0</v>
      </c>
      <c r="AH456" s="3">
        <v>74.0</v>
      </c>
      <c r="AI456" s="3">
        <v>51.0</v>
      </c>
      <c r="AJ456" s="3">
        <v>44.0</v>
      </c>
      <c r="AK456" s="3">
        <v>35.0</v>
      </c>
      <c r="AL456" s="3">
        <v>59.0</v>
      </c>
      <c r="AM456" s="3">
        <v>50.0</v>
      </c>
      <c r="AN456" s="3">
        <v>43.0</v>
      </c>
    </row>
    <row r="457" ht="14.25" customHeight="1">
      <c r="A457" s="3">
        <v>455.0</v>
      </c>
      <c r="B457" s="3" t="s">
        <v>7633</v>
      </c>
      <c r="C457" s="3">
        <v>18.0</v>
      </c>
      <c r="D457" s="3" t="s">
        <v>6645</v>
      </c>
      <c r="E457" s="3" t="s">
        <v>6646</v>
      </c>
      <c r="F457" s="3" t="s">
        <v>6646</v>
      </c>
      <c r="G457" s="3" t="s">
        <v>6645</v>
      </c>
      <c r="H457" s="3" t="s">
        <v>6645</v>
      </c>
      <c r="I457" s="3" t="s">
        <v>6646</v>
      </c>
      <c r="J457" s="3">
        <v>13.0</v>
      </c>
      <c r="K457" s="3">
        <v>0.0</v>
      </c>
      <c r="L457" s="3">
        <v>0.0</v>
      </c>
      <c r="M457" s="3">
        <v>0.0</v>
      </c>
      <c r="N457" s="3">
        <v>475.20217</v>
      </c>
      <c r="O457" s="3">
        <v>108.0</v>
      </c>
      <c r="P457" s="3" t="e">
        <v>#N/A</v>
      </c>
      <c r="Q457" s="3">
        <v>32.0</v>
      </c>
      <c r="R457" s="3">
        <v>32.0</v>
      </c>
      <c r="S457" s="3">
        <v>32.0</v>
      </c>
      <c r="T457" s="3">
        <v>38.0</v>
      </c>
      <c r="U457" s="3">
        <v>31.0</v>
      </c>
      <c r="V457" s="3">
        <v>38.0</v>
      </c>
      <c r="W457" s="3">
        <v>35.0</v>
      </c>
      <c r="X457" s="3">
        <v>38.0</v>
      </c>
      <c r="Y457" s="3">
        <v>23.0</v>
      </c>
      <c r="Z457" s="3">
        <v>28.0</v>
      </c>
      <c r="AA457" s="3">
        <v>38.0</v>
      </c>
      <c r="AB457" s="3">
        <v>31.0</v>
      </c>
      <c r="AC457" s="3">
        <v>32.0</v>
      </c>
      <c r="AD457" s="3">
        <v>41.0</v>
      </c>
      <c r="AE457" s="3">
        <v>31.0</v>
      </c>
      <c r="AF457" s="3">
        <v>37.0</v>
      </c>
      <c r="AG457" s="3">
        <v>53.0</v>
      </c>
      <c r="AH457" s="3">
        <v>69.0</v>
      </c>
      <c r="AI457" s="3">
        <v>50.0</v>
      </c>
      <c r="AJ457" s="3">
        <v>38.0</v>
      </c>
      <c r="AK457" s="3">
        <v>46.0</v>
      </c>
      <c r="AL457" s="3">
        <v>17.0</v>
      </c>
      <c r="AM457" s="3">
        <v>30.0</v>
      </c>
      <c r="AN457" s="3">
        <v>45.0</v>
      </c>
    </row>
    <row r="458" ht="14.25" customHeight="1">
      <c r="A458" s="3">
        <v>456.0</v>
      </c>
      <c r="B458" s="3" t="s">
        <v>7634</v>
      </c>
      <c r="C458" s="3">
        <v>24.0</v>
      </c>
      <c r="D458" s="3" t="s">
        <v>6645</v>
      </c>
      <c r="E458" s="3" t="s">
        <v>6646</v>
      </c>
      <c r="F458" s="3" t="s">
        <v>6646</v>
      </c>
      <c r="G458" s="3" t="s">
        <v>6645</v>
      </c>
      <c r="H458" s="3" t="s">
        <v>6645</v>
      </c>
      <c r="I458" s="3" t="s">
        <v>6646</v>
      </c>
      <c r="J458" s="3">
        <v>13.0</v>
      </c>
      <c r="K458" s="3">
        <v>0.0</v>
      </c>
      <c r="L458" s="3">
        <v>0.0</v>
      </c>
      <c r="M458" s="3">
        <v>0.0</v>
      </c>
      <c r="N458" s="3">
        <v>431.883</v>
      </c>
      <c r="O458" s="3">
        <v>76.0</v>
      </c>
      <c r="P458" s="3" t="e">
        <v>#N/A</v>
      </c>
      <c r="Q458" s="3">
        <v>35.0</v>
      </c>
      <c r="R458" s="3">
        <v>34.0</v>
      </c>
      <c r="S458" s="3">
        <v>35.0</v>
      </c>
      <c r="T458" s="3">
        <v>34.0</v>
      </c>
      <c r="U458" s="3">
        <v>36.0</v>
      </c>
      <c r="V458" s="3">
        <v>36.0</v>
      </c>
      <c r="W458" s="3">
        <v>37.0</v>
      </c>
      <c r="X458" s="3">
        <v>32.0</v>
      </c>
      <c r="Y458" s="3">
        <v>24.0</v>
      </c>
      <c r="Z458" s="3">
        <v>35.0</v>
      </c>
      <c r="AA458" s="3">
        <v>46.0</v>
      </c>
      <c r="AB458" s="3">
        <v>30.0</v>
      </c>
      <c r="AC458" s="3">
        <v>24.0</v>
      </c>
      <c r="AD458" s="3">
        <v>46.0</v>
      </c>
      <c r="AE458" s="3">
        <v>24.0</v>
      </c>
      <c r="AF458" s="3">
        <v>51.0</v>
      </c>
      <c r="AG458" s="3">
        <v>33.0</v>
      </c>
      <c r="AH458" s="3">
        <v>77.0</v>
      </c>
      <c r="AI458" s="3">
        <v>32.0</v>
      </c>
      <c r="AJ458" s="3">
        <v>38.0</v>
      </c>
      <c r="AK458" s="3">
        <v>39.0</v>
      </c>
      <c r="AL458" s="3">
        <v>48.0</v>
      </c>
      <c r="AM458" s="3">
        <v>33.0</v>
      </c>
      <c r="AN458" s="3">
        <v>55.0</v>
      </c>
    </row>
    <row r="459" ht="14.25" customHeight="1">
      <c r="A459" s="3">
        <v>457.0</v>
      </c>
      <c r="B459" s="3" t="s">
        <v>7635</v>
      </c>
      <c r="C459" s="3">
        <v>18.0</v>
      </c>
      <c r="D459" s="3" t="s">
        <v>6645</v>
      </c>
      <c r="E459" s="3" t="s">
        <v>6646</v>
      </c>
      <c r="F459" s="3" t="s">
        <v>6646</v>
      </c>
      <c r="G459" s="3" t="s">
        <v>6645</v>
      </c>
      <c r="H459" s="3" t="s">
        <v>6645</v>
      </c>
      <c r="I459" s="3" t="s">
        <v>6645</v>
      </c>
      <c r="J459" s="3">
        <v>13.0</v>
      </c>
      <c r="K459" s="3">
        <v>0.0</v>
      </c>
      <c r="L459" s="3">
        <v>0.0</v>
      </c>
      <c r="M459" s="3">
        <v>0.0</v>
      </c>
      <c r="N459" s="3">
        <v>451.82772</v>
      </c>
      <c r="O459" s="3">
        <v>94.0</v>
      </c>
      <c r="P459" s="3" t="e">
        <v>#N/A</v>
      </c>
      <c r="Q459" s="3">
        <v>34.0</v>
      </c>
      <c r="R459" s="3">
        <v>35.0</v>
      </c>
      <c r="S459" s="3">
        <v>30.0</v>
      </c>
      <c r="T459" s="3">
        <v>30.0</v>
      </c>
      <c r="U459" s="3">
        <v>31.0</v>
      </c>
      <c r="V459" s="3">
        <v>33.0</v>
      </c>
      <c r="W459" s="3">
        <v>42.0</v>
      </c>
      <c r="X459" s="3">
        <v>24.0</v>
      </c>
      <c r="Y459" s="3">
        <v>32.0</v>
      </c>
      <c r="Z459" s="3">
        <v>39.0</v>
      </c>
      <c r="AA459" s="3">
        <v>36.0</v>
      </c>
      <c r="AB459" s="3">
        <v>29.0</v>
      </c>
      <c r="AC459" s="3">
        <v>24.0</v>
      </c>
      <c r="AD459" s="3">
        <v>42.0</v>
      </c>
      <c r="AE459" s="3">
        <v>37.0</v>
      </c>
      <c r="AF459" s="3">
        <v>40.0</v>
      </c>
      <c r="AG459" s="3">
        <v>47.0</v>
      </c>
      <c r="AH459" s="3">
        <v>73.0</v>
      </c>
      <c r="AI459" s="3">
        <v>30.0</v>
      </c>
      <c r="AJ459" s="3">
        <v>13.0</v>
      </c>
      <c r="AK459" s="3">
        <v>43.0</v>
      </c>
      <c r="AL459" s="3">
        <v>56.0</v>
      </c>
      <c r="AM459" s="3">
        <v>59.0</v>
      </c>
      <c r="AN459" s="3">
        <v>47.0</v>
      </c>
    </row>
    <row r="460" ht="14.25" customHeight="1">
      <c r="A460" s="3">
        <v>458.0</v>
      </c>
      <c r="B460" s="3" t="s">
        <v>7636</v>
      </c>
      <c r="C460" s="3">
        <v>18.0</v>
      </c>
      <c r="D460" s="3" t="s">
        <v>6645</v>
      </c>
      <c r="E460" s="3" t="s">
        <v>6646</v>
      </c>
      <c r="F460" s="3" t="s">
        <v>6646</v>
      </c>
      <c r="G460" s="3" t="s">
        <v>6645</v>
      </c>
      <c r="H460" s="3" t="s">
        <v>6645</v>
      </c>
      <c r="I460" s="3" t="s">
        <v>6645</v>
      </c>
      <c r="J460" s="3">
        <v>13.0</v>
      </c>
      <c r="K460" s="3">
        <v>0.0</v>
      </c>
      <c r="L460" s="3">
        <v>0.0</v>
      </c>
      <c r="M460" s="3">
        <v>0.0</v>
      </c>
      <c r="N460" s="3">
        <v>361.46035</v>
      </c>
      <c r="O460" s="3">
        <v>116.0</v>
      </c>
      <c r="P460" s="3" t="e">
        <v>#N/A</v>
      </c>
      <c r="Q460" s="3">
        <v>35.0</v>
      </c>
      <c r="R460" s="3">
        <v>33.0</v>
      </c>
      <c r="S460" s="3">
        <v>38.0</v>
      </c>
      <c r="T460" s="3">
        <v>32.0</v>
      </c>
      <c r="U460" s="3">
        <v>37.0</v>
      </c>
      <c r="V460" s="3">
        <v>36.0</v>
      </c>
      <c r="W460" s="3">
        <v>45.0</v>
      </c>
      <c r="X460" s="3">
        <v>26.0</v>
      </c>
      <c r="Y460" s="3">
        <v>31.0</v>
      </c>
      <c r="Z460" s="3">
        <v>24.0</v>
      </c>
      <c r="AA460" s="3">
        <v>38.0</v>
      </c>
      <c r="AB460" s="3">
        <v>31.0</v>
      </c>
      <c r="AC460" s="3">
        <v>22.0</v>
      </c>
      <c r="AD460" s="3">
        <v>40.0</v>
      </c>
      <c r="AE460" s="3">
        <v>37.0</v>
      </c>
      <c r="AF460" s="3">
        <v>9.0</v>
      </c>
      <c r="AG460" s="3">
        <v>52.0</v>
      </c>
      <c r="AH460" s="3">
        <v>68.0</v>
      </c>
      <c r="AI460" s="3">
        <v>30.0</v>
      </c>
      <c r="AJ460" s="3">
        <v>59.0</v>
      </c>
      <c r="AK460" s="3">
        <v>52.0</v>
      </c>
      <c r="AL460" s="3">
        <v>33.0</v>
      </c>
      <c r="AM460" s="3">
        <v>57.0</v>
      </c>
      <c r="AN460" s="3">
        <v>31.0</v>
      </c>
    </row>
    <row r="461" ht="14.25" customHeight="1">
      <c r="A461" s="3">
        <v>459.0</v>
      </c>
      <c r="B461" s="3" t="s">
        <v>7637</v>
      </c>
      <c r="C461" s="3">
        <v>36.0</v>
      </c>
      <c r="D461" s="3" t="s">
        <v>6645</v>
      </c>
      <c r="E461" s="3" t="s">
        <v>6646</v>
      </c>
      <c r="F461" s="3" t="s">
        <v>6646</v>
      </c>
      <c r="G461" s="3" t="s">
        <v>6645</v>
      </c>
      <c r="H461" s="3" t="s">
        <v>6645</v>
      </c>
      <c r="I461" s="3" t="s">
        <v>6645</v>
      </c>
      <c r="J461" s="3">
        <v>14.0</v>
      </c>
      <c r="K461" s="3">
        <v>4.0</v>
      </c>
      <c r="L461" s="3">
        <v>0.0</v>
      </c>
      <c r="M461" s="3">
        <v>0.0</v>
      </c>
      <c r="N461" s="3">
        <v>14392.193</v>
      </c>
      <c r="O461" s="3">
        <v>1567.0</v>
      </c>
      <c r="P461" s="3" t="e">
        <v>#N/A</v>
      </c>
      <c r="Q461" s="3">
        <v>58.0</v>
      </c>
      <c r="R461" s="3">
        <v>73.0</v>
      </c>
      <c r="S461" s="3">
        <v>71.0</v>
      </c>
      <c r="T461" s="3">
        <v>66.0</v>
      </c>
      <c r="U461" s="3">
        <v>64.0</v>
      </c>
      <c r="V461" s="3">
        <v>86.0</v>
      </c>
      <c r="W461" s="3">
        <v>82.0</v>
      </c>
      <c r="X461" s="3">
        <v>86.0</v>
      </c>
      <c r="Y461" s="3">
        <v>55.0</v>
      </c>
      <c r="Z461" s="3">
        <v>83.0</v>
      </c>
      <c r="AA461" s="3">
        <v>70.0</v>
      </c>
      <c r="AB461" s="3">
        <v>59.0</v>
      </c>
      <c r="AC461" s="3">
        <v>57.0</v>
      </c>
      <c r="AD461" s="3">
        <v>63.0</v>
      </c>
      <c r="AE461" s="3">
        <v>58.0</v>
      </c>
      <c r="AF461" s="3">
        <v>55.0</v>
      </c>
      <c r="AG461" s="3">
        <v>54.0</v>
      </c>
      <c r="AH461" s="3">
        <v>48.0</v>
      </c>
      <c r="AI461" s="3">
        <v>51.0</v>
      </c>
      <c r="AJ461" s="3">
        <v>53.0</v>
      </c>
      <c r="AK461" s="3">
        <v>75.0</v>
      </c>
      <c r="AL461" s="3">
        <v>37.0</v>
      </c>
      <c r="AM461" s="3">
        <v>46.0</v>
      </c>
      <c r="AN461" s="3">
        <v>44.0</v>
      </c>
    </row>
    <row r="462" ht="14.25" customHeight="1">
      <c r="A462" s="3">
        <v>460.0</v>
      </c>
      <c r="B462" s="3" t="s">
        <v>7638</v>
      </c>
      <c r="C462" s="3">
        <v>39.0</v>
      </c>
      <c r="D462" s="3" t="s">
        <v>6645</v>
      </c>
      <c r="E462" s="3" t="s">
        <v>6646</v>
      </c>
      <c r="F462" s="3" t="s">
        <v>6646</v>
      </c>
      <c r="G462" s="3" t="s">
        <v>6645</v>
      </c>
      <c r="H462" s="3" t="s">
        <v>6645</v>
      </c>
      <c r="I462" s="3" t="s">
        <v>6646</v>
      </c>
      <c r="J462" s="3">
        <v>14.0</v>
      </c>
      <c r="K462" s="3">
        <v>4.0</v>
      </c>
      <c r="L462" s="3">
        <v>0.0</v>
      </c>
      <c r="M462" s="3">
        <v>0.0</v>
      </c>
      <c r="N462" s="3">
        <v>13728.991</v>
      </c>
      <c r="O462" s="3">
        <v>1569.0</v>
      </c>
      <c r="P462" s="3" t="e">
        <v>#N/A</v>
      </c>
      <c r="Q462" s="3">
        <v>59.0</v>
      </c>
      <c r="R462" s="3">
        <v>79.0</v>
      </c>
      <c r="S462" s="3">
        <v>64.0</v>
      </c>
      <c r="T462" s="3">
        <v>59.0</v>
      </c>
      <c r="U462" s="3">
        <v>62.0</v>
      </c>
      <c r="V462" s="3">
        <v>83.0</v>
      </c>
      <c r="W462" s="3">
        <v>84.0</v>
      </c>
      <c r="X462" s="3">
        <v>81.0</v>
      </c>
      <c r="Y462" s="3">
        <v>52.0</v>
      </c>
      <c r="Z462" s="3">
        <v>80.0</v>
      </c>
      <c r="AA462" s="3">
        <v>78.0</v>
      </c>
      <c r="AB462" s="3">
        <v>58.0</v>
      </c>
      <c r="AC462" s="3">
        <v>63.0</v>
      </c>
      <c r="AD462" s="3">
        <v>54.0</v>
      </c>
      <c r="AE462" s="3">
        <v>61.0</v>
      </c>
      <c r="AF462" s="3">
        <v>56.0</v>
      </c>
      <c r="AG462" s="3">
        <v>70.0</v>
      </c>
      <c r="AH462" s="3">
        <v>55.0</v>
      </c>
      <c r="AI462" s="3">
        <v>59.0</v>
      </c>
      <c r="AJ462" s="3">
        <v>31.0</v>
      </c>
      <c r="AK462" s="3">
        <v>78.0</v>
      </c>
      <c r="AL462" s="3">
        <v>64.0</v>
      </c>
      <c r="AM462" s="3">
        <v>61.0</v>
      </c>
      <c r="AN462" s="3">
        <v>64.0</v>
      </c>
    </row>
    <row r="463" ht="14.25" customHeight="1">
      <c r="A463" s="3">
        <v>461.0</v>
      </c>
      <c r="B463" s="3" t="s">
        <v>7639</v>
      </c>
      <c r="C463" s="3">
        <v>40.0</v>
      </c>
      <c r="D463" s="3" t="s">
        <v>6645</v>
      </c>
      <c r="E463" s="3" t="s">
        <v>6646</v>
      </c>
      <c r="F463" s="3" t="s">
        <v>6646</v>
      </c>
      <c r="G463" s="3" t="s">
        <v>6645</v>
      </c>
      <c r="H463" s="3" t="s">
        <v>6645</v>
      </c>
      <c r="I463" s="3" t="s">
        <v>6646</v>
      </c>
      <c r="J463" s="3">
        <v>14.0</v>
      </c>
      <c r="K463" s="3">
        <v>4.0</v>
      </c>
      <c r="L463" s="3">
        <v>0.0</v>
      </c>
      <c r="M463" s="3">
        <v>0.0</v>
      </c>
      <c r="N463" s="3">
        <v>13991.3</v>
      </c>
      <c r="O463" s="3">
        <v>1305.0</v>
      </c>
      <c r="P463" s="3" t="e">
        <v>#N/A</v>
      </c>
      <c r="Q463" s="3">
        <v>59.0</v>
      </c>
      <c r="R463" s="3">
        <v>74.0</v>
      </c>
      <c r="S463" s="3">
        <v>71.0</v>
      </c>
      <c r="T463" s="3">
        <v>65.0</v>
      </c>
      <c r="U463" s="3">
        <v>67.0</v>
      </c>
      <c r="V463" s="3">
        <v>82.0</v>
      </c>
      <c r="W463" s="3">
        <v>82.0</v>
      </c>
      <c r="X463" s="3">
        <v>76.0</v>
      </c>
      <c r="Y463" s="3">
        <v>58.0</v>
      </c>
      <c r="Z463" s="3">
        <v>76.0</v>
      </c>
      <c r="AA463" s="3">
        <v>74.0</v>
      </c>
      <c r="AB463" s="3">
        <v>62.0</v>
      </c>
      <c r="AC463" s="3">
        <v>61.0</v>
      </c>
      <c r="AD463" s="3">
        <v>66.0</v>
      </c>
      <c r="AE463" s="3">
        <v>57.0</v>
      </c>
      <c r="AF463" s="3">
        <v>62.0</v>
      </c>
      <c r="AG463" s="3">
        <v>56.0</v>
      </c>
      <c r="AH463" s="3">
        <v>57.0</v>
      </c>
      <c r="AI463" s="3">
        <v>37.0</v>
      </c>
      <c r="AJ463" s="3">
        <v>60.0</v>
      </c>
      <c r="AK463" s="3">
        <v>78.0</v>
      </c>
      <c r="AL463" s="3">
        <v>71.0</v>
      </c>
      <c r="AM463" s="3">
        <v>60.0</v>
      </c>
      <c r="AN463" s="3">
        <v>66.0</v>
      </c>
    </row>
    <row r="464" ht="14.25" customHeight="1">
      <c r="A464" s="3">
        <v>462.0</v>
      </c>
      <c r="B464" s="3" t="s">
        <v>7640</v>
      </c>
      <c r="C464" s="3">
        <v>35.0</v>
      </c>
      <c r="D464" s="3" t="s">
        <v>6645</v>
      </c>
      <c r="E464" s="3" t="s">
        <v>6646</v>
      </c>
      <c r="F464" s="3" t="s">
        <v>6646</v>
      </c>
      <c r="G464" s="3" t="s">
        <v>6645</v>
      </c>
      <c r="H464" s="3" t="s">
        <v>6645</v>
      </c>
      <c r="I464" s="3" t="s">
        <v>6645</v>
      </c>
      <c r="J464" s="3">
        <v>14.0</v>
      </c>
      <c r="K464" s="3">
        <v>3.0</v>
      </c>
      <c r="L464" s="3">
        <v>0.0</v>
      </c>
      <c r="M464" s="3">
        <v>0.0</v>
      </c>
      <c r="N464" s="3">
        <v>8066.3</v>
      </c>
      <c r="O464" s="3">
        <v>761.0</v>
      </c>
      <c r="P464" s="3" t="e">
        <v>#N/A</v>
      </c>
      <c r="Q464" s="3">
        <v>53.0</v>
      </c>
      <c r="R464" s="3">
        <v>58.0</v>
      </c>
      <c r="S464" s="3">
        <v>57.0</v>
      </c>
      <c r="T464" s="3">
        <v>58.0</v>
      </c>
      <c r="U464" s="3">
        <v>59.0</v>
      </c>
      <c r="V464" s="3">
        <v>58.0</v>
      </c>
      <c r="W464" s="3">
        <v>62.0</v>
      </c>
      <c r="X464" s="3">
        <v>66.0</v>
      </c>
      <c r="Y464" s="3">
        <v>55.0</v>
      </c>
      <c r="Z464" s="3">
        <v>68.0</v>
      </c>
      <c r="AA464" s="3">
        <v>56.0</v>
      </c>
      <c r="AB464" s="3">
        <v>50.0</v>
      </c>
      <c r="AC464" s="3">
        <v>53.0</v>
      </c>
      <c r="AD464" s="3">
        <v>59.0</v>
      </c>
      <c r="AE464" s="3">
        <v>59.0</v>
      </c>
      <c r="AF464" s="3">
        <v>28.0</v>
      </c>
      <c r="AG464" s="3">
        <v>58.0</v>
      </c>
      <c r="AH464" s="3">
        <v>59.0</v>
      </c>
      <c r="AI464" s="3">
        <v>46.0</v>
      </c>
      <c r="AJ464" s="3">
        <v>65.0</v>
      </c>
      <c r="AK464" s="3">
        <v>72.0</v>
      </c>
      <c r="AL464" s="3">
        <v>68.0</v>
      </c>
      <c r="AM464" s="3">
        <v>56.0</v>
      </c>
      <c r="AN464" s="3">
        <v>44.0</v>
      </c>
    </row>
    <row r="465" ht="14.25" customHeight="1">
      <c r="A465" s="3">
        <v>463.0</v>
      </c>
      <c r="B465" s="3" t="s">
        <v>7641</v>
      </c>
      <c r="C465" s="3">
        <v>31.0</v>
      </c>
      <c r="D465" s="3" t="s">
        <v>6645</v>
      </c>
      <c r="E465" s="3" t="s">
        <v>6646</v>
      </c>
      <c r="F465" s="3" t="s">
        <v>6646</v>
      </c>
      <c r="G465" s="3" t="s">
        <v>6645</v>
      </c>
      <c r="H465" s="3" t="s">
        <v>6645</v>
      </c>
      <c r="I465" s="3" t="s">
        <v>6645</v>
      </c>
      <c r="J465" s="3">
        <v>14.0</v>
      </c>
      <c r="K465" s="3">
        <v>3.0</v>
      </c>
      <c r="L465" s="3">
        <v>0.0</v>
      </c>
      <c r="M465" s="3">
        <v>0.0</v>
      </c>
      <c r="N465" s="3">
        <v>7429.3</v>
      </c>
      <c r="O465" s="3">
        <v>946.0</v>
      </c>
      <c r="P465" s="3" t="e">
        <v>#N/A</v>
      </c>
      <c r="Q465" s="3">
        <v>55.0</v>
      </c>
      <c r="R465" s="3">
        <v>63.0</v>
      </c>
      <c r="S465" s="3">
        <v>56.0</v>
      </c>
      <c r="T465" s="3">
        <v>58.0</v>
      </c>
      <c r="U465" s="3">
        <v>60.0</v>
      </c>
      <c r="V465" s="3">
        <v>58.0</v>
      </c>
      <c r="W465" s="3">
        <v>69.0</v>
      </c>
      <c r="X465" s="3">
        <v>63.0</v>
      </c>
      <c r="Y465" s="3">
        <v>49.0</v>
      </c>
      <c r="Z465" s="3">
        <v>64.0</v>
      </c>
      <c r="AA465" s="3">
        <v>57.0</v>
      </c>
      <c r="AB465" s="3">
        <v>50.0</v>
      </c>
      <c r="AC465" s="3">
        <v>57.0</v>
      </c>
      <c r="AD465" s="3">
        <v>57.0</v>
      </c>
      <c r="AE465" s="3">
        <v>56.0</v>
      </c>
      <c r="AF465" s="3">
        <v>59.0</v>
      </c>
      <c r="AG465" s="3">
        <v>61.0</v>
      </c>
      <c r="AH465" s="3">
        <v>61.0</v>
      </c>
      <c r="AI465" s="3">
        <v>47.0</v>
      </c>
      <c r="AJ465" s="3">
        <v>19.0</v>
      </c>
      <c r="AK465" s="3">
        <v>86.0</v>
      </c>
      <c r="AL465" s="3">
        <v>61.0</v>
      </c>
      <c r="AM465" s="3">
        <v>45.0</v>
      </c>
      <c r="AN465" s="3">
        <v>39.0</v>
      </c>
    </row>
    <row r="466" ht="14.25" customHeight="1">
      <c r="A466" s="3">
        <v>464.0</v>
      </c>
      <c r="B466" s="3" t="s">
        <v>7642</v>
      </c>
      <c r="C466" s="3">
        <v>30.0</v>
      </c>
      <c r="D466" s="3" t="s">
        <v>6645</v>
      </c>
      <c r="E466" s="3" t="s">
        <v>6646</v>
      </c>
      <c r="F466" s="3" t="s">
        <v>6646</v>
      </c>
      <c r="G466" s="3" t="s">
        <v>6645</v>
      </c>
      <c r="H466" s="3" t="s">
        <v>6645</v>
      </c>
      <c r="I466" s="3" t="s">
        <v>6645</v>
      </c>
      <c r="J466" s="3">
        <v>14.0</v>
      </c>
      <c r="K466" s="3">
        <v>3.0</v>
      </c>
      <c r="L466" s="3">
        <v>0.0</v>
      </c>
      <c r="M466" s="3">
        <v>0.0</v>
      </c>
      <c r="N466" s="3">
        <v>7712.37</v>
      </c>
      <c r="O466" s="3">
        <v>893.0</v>
      </c>
      <c r="P466" s="3" t="e">
        <v>#N/A</v>
      </c>
      <c r="Q466" s="3">
        <v>51.0</v>
      </c>
      <c r="R466" s="3">
        <v>58.0</v>
      </c>
      <c r="S466" s="3">
        <v>57.0</v>
      </c>
      <c r="T466" s="3">
        <v>52.0</v>
      </c>
      <c r="U466" s="3">
        <v>58.0</v>
      </c>
      <c r="V466" s="3">
        <v>66.0</v>
      </c>
      <c r="W466" s="3">
        <v>63.0</v>
      </c>
      <c r="X466" s="3">
        <v>61.0</v>
      </c>
      <c r="Y466" s="3">
        <v>55.0</v>
      </c>
      <c r="Z466" s="3">
        <v>66.0</v>
      </c>
      <c r="AA466" s="3">
        <v>59.0</v>
      </c>
      <c r="AB466" s="3">
        <v>55.0</v>
      </c>
      <c r="AC466" s="3">
        <v>47.0</v>
      </c>
      <c r="AD466" s="3">
        <v>49.0</v>
      </c>
      <c r="AE466" s="3">
        <v>57.0</v>
      </c>
      <c r="AF466" s="3">
        <v>63.0</v>
      </c>
      <c r="AG466" s="3">
        <v>53.0</v>
      </c>
      <c r="AH466" s="3">
        <v>56.0</v>
      </c>
      <c r="AI466" s="3">
        <v>59.0</v>
      </c>
      <c r="AJ466" s="3">
        <v>51.0</v>
      </c>
      <c r="AK466" s="3">
        <v>75.0</v>
      </c>
      <c r="AL466" s="3">
        <v>66.0</v>
      </c>
      <c r="AM466" s="3">
        <v>48.0</v>
      </c>
      <c r="AN466" s="3">
        <v>16.0</v>
      </c>
    </row>
    <row r="467" ht="14.25" customHeight="1">
      <c r="A467" s="3">
        <v>465.0</v>
      </c>
      <c r="B467" s="3" t="s">
        <v>7643</v>
      </c>
      <c r="C467" s="3">
        <v>33.0</v>
      </c>
      <c r="D467" s="3" t="s">
        <v>6645</v>
      </c>
      <c r="E467" s="3" t="s">
        <v>6646</v>
      </c>
      <c r="F467" s="3" t="s">
        <v>6646</v>
      </c>
      <c r="G467" s="3" t="s">
        <v>6645</v>
      </c>
      <c r="H467" s="3" t="s">
        <v>6645</v>
      </c>
      <c r="I467" s="3" t="s">
        <v>6645</v>
      </c>
      <c r="J467" s="3">
        <v>14.0</v>
      </c>
      <c r="K467" s="3">
        <v>2.0</v>
      </c>
      <c r="L467" s="3">
        <v>0.0</v>
      </c>
      <c r="M467" s="3">
        <v>0.0</v>
      </c>
      <c r="N467" s="3">
        <v>4139.82</v>
      </c>
      <c r="O467" s="3">
        <v>358.0</v>
      </c>
      <c r="P467" s="3" t="e">
        <v>#N/A</v>
      </c>
      <c r="Q467" s="3">
        <v>51.0</v>
      </c>
      <c r="R467" s="3">
        <v>46.0</v>
      </c>
      <c r="S467" s="3">
        <v>52.0</v>
      </c>
      <c r="T467" s="3">
        <v>52.0</v>
      </c>
      <c r="U467" s="3">
        <v>44.0</v>
      </c>
      <c r="V467" s="3">
        <v>48.0</v>
      </c>
      <c r="W467" s="3">
        <v>58.0</v>
      </c>
      <c r="X467" s="3">
        <v>56.0</v>
      </c>
      <c r="Y467" s="3">
        <v>44.0</v>
      </c>
      <c r="Z467" s="3">
        <v>52.0</v>
      </c>
      <c r="AA467" s="3">
        <v>52.0</v>
      </c>
      <c r="AB467" s="3">
        <v>45.0</v>
      </c>
      <c r="AC467" s="3">
        <v>39.0</v>
      </c>
      <c r="AD467" s="3">
        <v>50.0</v>
      </c>
      <c r="AE467" s="3">
        <v>47.0</v>
      </c>
      <c r="AF467" s="3">
        <v>40.0</v>
      </c>
      <c r="AG467" s="3">
        <v>48.0</v>
      </c>
      <c r="AH467" s="3">
        <v>42.0</v>
      </c>
      <c r="AI467" s="3">
        <v>53.0</v>
      </c>
      <c r="AJ467" s="3">
        <v>55.0</v>
      </c>
      <c r="AK467" s="3">
        <v>72.0</v>
      </c>
      <c r="AL467" s="3">
        <v>61.0</v>
      </c>
      <c r="AM467" s="3">
        <v>55.0</v>
      </c>
      <c r="AN467" s="3">
        <v>22.0</v>
      </c>
    </row>
    <row r="468" ht="14.25" customHeight="1">
      <c r="A468" s="3">
        <v>466.0</v>
      </c>
      <c r="B468" s="3" t="s">
        <v>7644</v>
      </c>
      <c r="C468" s="3">
        <v>29.0</v>
      </c>
      <c r="D468" s="3" t="s">
        <v>6645</v>
      </c>
      <c r="E468" s="3" t="s">
        <v>6646</v>
      </c>
      <c r="F468" s="3" t="s">
        <v>6646</v>
      </c>
      <c r="G468" s="3" t="s">
        <v>6645</v>
      </c>
      <c r="H468" s="3" t="s">
        <v>6645</v>
      </c>
      <c r="I468" s="3" t="s">
        <v>6646</v>
      </c>
      <c r="J468" s="3">
        <v>14.0</v>
      </c>
      <c r="K468" s="3">
        <v>2.0</v>
      </c>
      <c r="L468" s="3">
        <v>0.0</v>
      </c>
      <c r="M468" s="3">
        <v>0.0</v>
      </c>
      <c r="N468" s="3">
        <v>4321.666</v>
      </c>
      <c r="O468" s="3">
        <v>389.0</v>
      </c>
      <c r="P468" s="3" t="e">
        <v>#N/A</v>
      </c>
      <c r="Q468" s="3">
        <v>48.0</v>
      </c>
      <c r="R468" s="3">
        <v>52.0</v>
      </c>
      <c r="S468" s="3">
        <v>45.0</v>
      </c>
      <c r="T468" s="3">
        <v>51.0</v>
      </c>
      <c r="U468" s="3">
        <v>46.0</v>
      </c>
      <c r="V468" s="3">
        <v>46.0</v>
      </c>
      <c r="W468" s="3">
        <v>54.0</v>
      </c>
      <c r="X468" s="3">
        <v>57.0</v>
      </c>
      <c r="Y468" s="3">
        <v>53.0</v>
      </c>
      <c r="Z468" s="3">
        <v>57.0</v>
      </c>
      <c r="AA468" s="3">
        <v>41.0</v>
      </c>
      <c r="AB468" s="3">
        <v>38.0</v>
      </c>
      <c r="AC468" s="3">
        <v>46.0</v>
      </c>
      <c r="AD468" s="3">
        <v>53.0</v>
      </c>
      <c r="AE468" s="3">
        <v>48.0</v>
      </c>
      <c r="AF468" s="3">
        <v>63.0</v>
      </c>
      <c r="AG468" s="3">
        <v>65.0</v>
      </c>
      <c r="AH468" s="3">
        <v>40.0</v>
      </c>
      <c r="AI468" s="3">
        <v>55.0</v>
      </c>
      <c r="AJ468" s="3">
        <v>40.0</v>
      </c>
      <c r="AK468" s="3">
        <v>79.0</v>
      </c>
      <c r="AL468" s="3">
        <v>19.0</v>
      </c>
      <c r="AM468" s="3">
        <v>52.0</v>
      </c>
      <c r="AN468" s="3">
        <v>55.0</v>
      </c>
    </row>
    <row r="469" ht="14.25" customHeight="1">
      <c r="A469" s="3">
        <v>467.0</v>
      </c>
      <c r="B469" s="3" t="s">
        <v>7645</v>
      </c>
      <c r="C469" s="3">
        <v>25.0</v>
      </c>
      <c r="D469" s="3" t="s">
        <v>6645</v>
      </c>
      <c r="E469" s="3" t="s">
        <v>6646</v>
      </c>
      <c r="F469" s="3" t="s">
        <v>6646</v>
      </c>
      <c r="G469" s="3" t="s">
        <v>6645</v>
      </c>
      <c r="H469" s="3" t="s">
        <v>6645</v>
      </c>
      <c r="I469" s="3" t="s">
        <v>6645</v>
      </c>
      <c r="J469" s="3">
        <v>14.0</v>
      </c>
      <c r="K469" s="3">
        <v>2.0</v>
      </c>
      <c r="L469" s="3">
        <v>0.0</v>
      </c>
      <c r="M469" s="3">
        <v>0.0</v>
      </c>
      <c r="N469" s="3">
        <v>3954.7</v>
      </c>
      <c r="O469" s="3">
        <v>365.0</v>
      </c>
      <c r="P469" s="3" t="e">
        <v>#N/A</v>
      </c>
      <c r="Q469" s="3">
        <v>51.0</v>
      </c>
      <c r="R469" s="3">
        <v>53.0</v>
      </c>
      <c r="S469" s="3">
        <v>48.0</v>
      </c>
      <c r="T469" s="3">
        <v>46.0</v>
      </c>
      <c r="U469" s="3">
        <v>50.0</v>
      </c>
      <c r="V469" s="3">
        <v>50.0</v>
      </c>
      <c r="W469" s="3">
        <v>56.0</v>
      </c>
      <c r="X469" s="3">
        <v>52.0</v>
      </c>
      <c r="Y469" s="3">
        <v>50.0</v>
      </c>
      <c r="Z469" s="3">
        <v>51.0</v>
      </c>
      <c r="AA469" s="3">
        <v>44.0</v>
      </c>
      <c r="AB469" s="3">
        <v>47.0</v>
      </c>
      <c r="AC469" s="3">
        <v>44.0</v>
      </c>
      <c r="AD469" s="3">
        <v>51.0</v>
      </c>
      <c r="AE469" s="3">
        <v>41.0</v>
      </c>
      <c r="AF469" s="3">
        <v>53.0</v>
      </c>
      <c r="AG469" s="3">
        <v>46.0</v>
      </c>
      <c r="AH469" s="3">
        <v>60.0</v>
      </c>
      <c r="AI469" s="3">
        <v>59.0</v>
      </c>
      <c r="AJ469" s="3">
        <v>22.0</v>
      </c>
      <c r="AK469" s="3">
        <v>77.0</v>
      </c>
      <c r="AL469" s="3">
        <v>56.0</v>
      </c>
      <c r="AM469" s="3">
        <v>39.0</v>
      </c>
      <c r="AN469" s="3">
        <v>50.0</v>
      </c>
    </row>
    <row r="470" ht="14.25" customHeight="1">
      <c r="A470" s="3">
        <v>468.0</v>
      </c>
      <c r="B470" s="3" t="s">
        <v>7646</v>
      </c>
      <c r="C470" s="3">
        <v>31.0</v>
      </c>
      <c r="D470" s="3" t="s">
        <v>6645</v>
      </c>
      <c r="E470" s="3" t="s">
        <v>6646</v>
      </c>
      <c r="F470" s="3" t="s">
        <v>6646</v>
      </c>
      <c r="G470" s="3" t="s">
        <v>6645</v>
      </c>
      <c r="H470" s="3" t="s">
        <v>6645</v>
      </c>
      <c r="I470" s="3" t="s">
        <v>6645</v>
      </c>
      <c r="J470" s="3">
        <v>14.0</v>
      </c>
      <c r="K470" s="3">
        <v>2.0</v>
      </c>
      <c r="L470" s="3">
        <v>0.0</v>
      </c>
      <c r="M470" s="3">
        <v>0.0</v>
      </c>
      <c r="N470" s="3">
        <v>4071.9191</v>
      </c>
      <c r="O470" s="3">
        <v>474.0</v>
      </c>
      <c r="P470" s="3" t="e">
        <v>#N/A</v>
      </c>
      <c r="Q470" s="3">
        <v>48.0</v>
      </c>
      <c r="R470" s="3">
        <v>44.0</v>
      </c>
      <c r="S470" s="3">
        <v>48.0</v>
      </c>
      <c r="T470" s="3">
        <v>48.0</v>
      </c>
      <c r="U470" s="3">
        <v>47.0</v>
      </c>
      <c r="V470" s="3">
        <v>45.0</v>
      </c>
      <c r="W470" s="3">
        <v>56.0</v>
      </c>
      <c r="X470" s="3">
        <v>49.0</v>
      </c>
      <c r="Y470" s="3">
        <v>49.0</v>
      </c>
      <c r="Z470" s="3">
        <v>52.0</v>
      </c>
      <c r="AA470" s="3">
        <v>51.0</v>
      </c>
      <c r="AB470" s="3">
        <v>45.0</v>
      </c>
      <c r="AC470" s="3">
        <v>42.0</v>
      </c>
      <c r="AD470" s="3">
        <v>39.0</v>
      </c>
      <c r="AE470" s="3">
        <v>37.0</v>
      </c>
      <c r="AF470" s="3">
        <v>49.0</v>
      </c>
      <c r="AG470" s="3">
        <v>41.0</v>
      </c>
      <c r="AH470" s="3">
        <v>56.0</v>
      </c>
      <c r="AI470" s="3">
        <v>39.0</v>
      </c>
      <c r="AJ470" s="3">
        <v>42.0</v>
      </c>
      <c r="AK470" s="3">
        <v>74.0</v>
      </c>
      <c r="AL470" s="3">
        <v>32.0</v>
      </c>
      <c r="AM470" s="3">
        <v>48.0</v>
      </c>
      <c r="AN470" s="3">
        <v>37.0</v>
      </c>
    </row>
    <row r="471" ht="14.25" customHeight="1">
      <c r="A471" s="3">
        <v>469.0</v>
      </c>
      <c r="B471" s="3" t="s">
        <v>7647</v>
      </c>
      <c r="C471" s="3">
        <v>26.0</v>
      </c>
      <c r="D471" s="3" t="s">
        <v>6645</v>
      </c>
      <c r="E471" s="3" t="s">
        <v>6646</v>
      </c>
      <c r="F471" s="3" t="s">
        <v>6646</v>
      </c>
      <c r="G471" s="3" t="s">
        <v>6645</v>
      </c>
      <c r="H471" s="3" t="s">
        <v>6645</v>
      </c>
      <c r="I471" s="3" t="s">
        <v>6645</v>
      </c>
      <c r="J471" s="3">
        <v>14.0</v>
      </c>
      <c r="K471" s="3">
        <v>1.0</v>
      </c>
      <c r="L471" s="3">
        <v>0.0</v>
      </c>
      <c r="M471" s="3">
        <v>0.0</v>
      </c>
      <c r="N471" s="3">
        <v>1620.5594</v>
      </c>
      <c r="O471" s="3">
        <v>223.0</v>
      </c>
      <c r="P471" s="3" t="e">
        <v>#N/A</v>
      </c>
      <c r="Q471" s="3">
        <v>37.0</v>
      </c>
      <c r="R471" s="3">
        <v>40.0</v>
      </c>
      <c r="S471" s="3">
        <v>37.0</v>
      </c>
      <c r="T471" s="3">
        <v>45.0</v>
      </c>
      <c r="U471" s="3">
        <v>37.0</v>
      </c>
      <c r="V471" s="3">
        <v>41.0</v>
      </c>
      <c r="W471" s="3">
        <v>54.0</v>
      </c>
      <c r="X471" s="3">
        <v>52.0</v>
      </c>
      <c r="Y471" s="3">
        <v>32.0</v>
      </c>
      <c r="Z471" s="3">
        <v>50.0</v>
      </c>
      <c r="AA471" s="3">
        <v>46.0</v>
      </c>
      <c r="AB471" s="3">
        <v>40.0</v>
      </c>
      <c r="AC471" s="3">
        <v>35.0</v>
      </c>
      <c r="AD471" s="3">
        <v>42.0</v>
      </c>
      <c r="AE471" s="3">
        <v>30.0</v>
      </c>
      <c r="AF471" s="3">
        <v>38.0</v>
      </c>
      <c r="AG471" s="3">
        <v>38.0</v>
      </c>
      <c r="AH471" s="3">
        <v>45.0</v>
      </c>
      <c r="AI471" s="3">
        <v>58.0</v>
      </c>
      <c r="AJ471" s="3">
        <v>51.0</v>
      </c>
      <c r="AK471" s="3">
        <v>78.0</v>
      </c>
      <c r="AL471" s="3">
        <v>57.0</v>
      </c>
      <c r="AM471" s="3">
        <v>59.0</v>
      </c>
      <c r="AN471" s="3">
        <v>60.0</v>
      </c>
    </row>
    <row r="472" ht="14.25" customHeight="1">
      <c r="A472" s="3">
        <v>470.0</v>
      </c>
      <c r="B472" s="3" t="s">
        <v>7648</v>
      </c>
      <c r="C472" s="3">
        <v>20.0</v>
      </c>
      <c r="D472" s="3" t="s">
        <v>6645</v>
      </c>
      <c r="E472" s="3" t="s">
        <v>6646</v>
      </c>
      <c r="F472" s="3" t="s">
        <v>6646</v>
      </c>
      <c r="G472" s="3" t="s">
        <v>6645</v>
      </c>
      <c r="H472" s="3" t="s">
        <v>6645</v>
      </c>
      <c r="I472" s="3" t="s">
        <v>6645</v>
      </c>
      <c r="J472" s="3">
        <v>14.0</v>
      </c>
      <c r="K472" s="3">
        <v>1.0</v>
      </c>
      <c r="L472" s="3">
        <v>0.0</v>
      </c>
      <c r="M472" s="3">
        <v>0.0</v>
      </c>
      <c r="N472" s="3">
        <v>1418.1031</v>
      </c>
      <c r="O472" s="3">
        <v>194.0</v>
      </c>
      <c r="P472" s="3" t="e">
        <v>#N/A</v>
      </c>
      <c r="Q472" s="3">
        <v>40.0</v>
      </c>
      <c r="R472" s="3">
        <v>43.0</v>
      </c>
      <c r="S472" s="3">
        <v>41.0</v>
      </c>
      <c r="T472" s="3">
        <v>45.0</v>
      </c>
      <c r="U472" s="3">
        <v>37.0</v>
      </c>
      <c r="V472" s="3">
        <v>44.0</v>
      </c>
      <c r="W472" s="3">
        <v>52.0</v>
      </c>
      <c r="X472" s="3">
        <v>51.0</v>
      </c>
      <c r="Y472" s="3">
        <v>36.0</v>
      </c>
      <c r="Z472" s="3">
        <v>45.0</v>
      </c>
      <c r="AA472" s="3">
        <v>45.0</v>
      </c>
      <c r="AB472" s="3">
        <v>37.0</v>
      </c>
      <c r="AC472" s="3">
        <v>41.0</v>
      </c>
      <c r="AD472" s="3">
        <v>37.0</v>
      </c>
      <c r="AE472" s="3">
        <v>40.0</v>
      </c>
      <c r="AF472" s="3">
        <v>14.0</v>
      </c>
      <c r="AG472" s="3">
        <v>48.0</v>
      </c>
      <c r="AH472" s="3">
        <v>35.0</v>
      </c>
      <c r="AI472" s="3">
        <v>34.0</v>
      </c>
      <c r="AJ472" s="3">
        <v>61.0</v>
      </c>
      <c r="AK472" s="3">
        <v>72.0</v>
      </c>
      <c r="AL472" s="3">
        <v>46.0</v>
      </c>
      <c r="AM472" s="3">
        <v>40.0</v>
      </c>
      <c r="AN472" s="3">
        <v>59.0</v>
      </c>
    </row>
    <row r="473" ht="14.25" customHeight="1">
      <c r="A473" s="3">
        <v>471.0</v>
      </c>
      <c r="B473" s="3" t="s">
        <v>7649</v>
      </c>
      <c r="C473" s="3">
        <v>20.0</v>
      </c>
      <c r="D473" s="3" t="s">
        <v>6645</v>
      </c>
      <c r="E473" s="3" t="s">
        <v>6646</v>
      </c>
      <c r="F473" s="3" t="s">
        <v>6646</v>
      </c>
      <c r="G473" s="3" t="s">
        <v>6645</v>
      </c>
      <c r="H473" s="3" t="s">
        <v>6645</v>
      </c>
      <c r="I473" s="3" t="s">
        <v>6646</v>
      </c>
      <c r="J473" s="3">
        <v>14.0</v>
      </c>
      <c r="K473" s="3">
        <v>1.0</v>
      </c>
      <c r="L473" s="3">
        <v>0.0</v>
      </c>
      <c r="M473" s="3">
        <v>0.0</v>
      </c>
      <c r="N473" s="3">
        <v>1526.846</v>
      </c>
      <c r="O473" s="3">
        <v>226.0</v>
      </c>
      <c r="P473" s="3" t="e">
        <v>#N/A</v>
      </c>
      <c r="Q473" s="3">
        <v>46.0</v>
      </c>
      <c r="R473" s="3">
        <v>39.0</v>
      </c>
      <c r="S473" s="3">
        <v>37.0</v>
      </c>
      <c r="T473" s="3">
        <v>40.0</v>
      </c>
      <c r="U473" s="3">
        <v>44.0</v>
      </c>
      <c r="V473" s="3">
        <v>37.0</v>
      </c>
      <c r="W473" s="3">
        <v>47.0</v>
      </c>
      <c r="X473" s="3">
        <v>55.0</v>
      </c>
      <c r="Y473" s="3">
        <v>38.0</v>
      </c>
      <c r="Z473" s="3">
        <v>50.0</v>
      </c>
      <c r="AA473" s="3">
        <v>39.0</v>
      </c>
      <c r="AB473" s="3">
        <v>40.0</v>
      </c>
      <c r="AC473" s="3">
        <v>37.0</v>
      </c>
      <c r="AD473" s="3">
        <v>30.0</v>
      </c>
      <c r="AE473" s="3">
        <v>35.0</v>
      </c>
      <c r="AF473" s="3">
        <v>60.0</v>
      </c>
      <c r="AG473" s="3">
        <v>34.0</v>
      </c>
      <c r="AH473" s="3">
        <v>37.0</v>
      </c>
      <c r="AI473" s="3">
        <v>42.0</v>
      </c>
      <c r="AJ473" s="3">
        <v>35.0</v>
      </c>
      <c r="AK473" s="3">
        <v>73.0</v>
      </c>
      <c r="AL473" s="3">
        <v>43.0</v>
      </c>
      <c r="AM473" s="3">
        <v>59.0</v>
      </c>
      <c r="AN473" s="3">
        <v>46.0</v>
      </c>
    </row>
    <row r="474" ht="14.25" customHeight="1">
      <c r="A474" s="3">
        <v>472.0</v>
      </c>
      <c r="B474" s="3" t="s">
        <v>7650</v>
      </c>
      <c r="C474" s="3">
        <v>26.0</v>
      </c>
      <c r="D474" s="3" t="s">
        <v>6645</v>
      </c>
      <c r="E474" s="3" t="s">
        <v>6646</v>
      </c>
      <c r="F474" s="3" t="s">
        <v>6646</v>
      </c>
      <c r="G474" s="3" t="s">
        <v>6645</v>
      </c>
      <c r="H474" s="3" t="s">
        <v>6645</v>
      </c>
      <c r="I474" s="3" t="s">
        <v>6646</v>
      </c>
      <c r="J474" s="3">
        <v>14.0</v>
      </c>
      <c r="K474" s="3">
        <v>1.0</v>
      </c>
      <c r="L474" s="3">
        <v>0.0</v>
      </c>
      <c r="M474" s="3">
        <v>0.0</v>
      </c>
      <c r="N474" s="3">
        <v>1545.7</v>
      </c>
      <c r="O474" s="3">
        <v>203.0</v>
      </c>
      <c r="P474" s="3" t="e">
        <v>#N/A</v>
      </c>
      <c r="Q474" s="3">
        <v>40.0</v>
      </c>
      <c r="R474" s="3">
        <v>38.0</v>
      </c>
      <c r="S474" s="3">
        <v>44.0</v>
      </c>
      <c r="T474" s="3">
        <v>40.0</v>
      </c>
      <c r="U474" s="3">
        <v>43.0</v>
      </c>
      <c r="V474" s="3">
        <v>43.0</v>
      </c>
      <c r="W474" s="3">
        <v>55.0</v>
      </c>
      <c r="X474" s="3">
        <v>48.0</v>
      </c>
      <c r="Y474" s="3">
        <v>37.0</v>
      </c>
      <c r="Z474" s="3">
        <v>52.0</v>
      </c>
      <c r="AA474" s="3">
        <v>28.0</v>
      </c>
      <c r="AB474" s="3">
        <v>41.0</v>
      </c>
      <c r="AC474" s="3">
        <v>41.0</v>
      </c>
      <c r="AD474" s="3">
        <v>37.0</v>
      </c>
      <c r="AE474" s="3">
        <v>38.0</v>
      </c>
      <c r="AF474" s="3">
        <v>38.0</v>
      </c>
      <c r="AG474" s="3">
        <v>58.0</v>
      </c>
      <c r="AH474" s="3">
        <v>42.0</v>
      </c>
      <c r="AI474" s="3">
        <v>60.0</v>
      </c>
      <c r="AJ474" s="3">
        <v>61.0</v>
      </c>
      <c r="AK474" s="3">
        <v>71.0</v>
      </c>
      <c r="AL474" s="3">
        <v>47.0</v>
      </c>
      <c r="AM474" s="3">
        <v>32.0</v>
      </c>
      <c r="AN474" s="3">
        <v>54.0</v>
      </c>
    </row>
    <row r="475" ht="14.25" customHeight="1">
      <c r="A475" s="3">
        <v>473.0</v>
      </c>
      <c r="B475" s="3" t="s">
        <v>7651</v>
      </c>
      <c r="C475" s="3">
        <v>27.0</v>
      </c>
      <c r="D475" s="3" t="s">
        <v>6645</v>
      </c>
      <c r="E475" s="3" t="s">
        <v>6646</v>
      </c>
      <c r="F475" s="3" t="s">
        <v>6646</v>
      </c>
      <c r="G475" s="3" t="s">
        <v>6645</v>
      </c>
      <c r="H475" s="3" t="s">
        <v>6645</v>
      </c>
      <c r="I475" s="3" t="s">
        <v>6646</v>
      </c>
      <c r="J475" s="3">
        <v>14.0</v>
      </c>
      <c r="K475" s="3">
        <v>1.0</v>
      </c>
      <c r="L475" s="3">
        <v>0.0</v>
      </c>
      <c r="M475" s="3">
        <v>0.0</v>
      </c>
      <c r="N475" s="3">
        <v>1471.4532</v>
      </c>
      <c r="O475" s="3">
        <v>212.0</v>
      </c>
      <c r="P475" s="3" t="e">
        <v>#N/A</v>
      </c>
      <c r="Q475" s="3">
        <v>43.0</v>
      </c>
      <c r="R475" s="3">
        <v>38.0</v>
      </c>
      <c r="S475" s="3">
        <v>46.0</v>
      </c>
      <c r="T475" s="3">
        <v>38.0</v>
      </c>
      <c r="U475" s="3">
        <v>39.0</v>
      </c>
      <c r="V475" s="3">
        <v>45.0</v>
      </c>
      <c r="W475" s="3">
        <v>52.0</v>
      </c>
      <c r="X475" s="3">
        <v>46.0</v>
      </c>
      <c r="Y475" s="3">
        <v>39.0</v>
      </c>
      <c r="Z475" s="3">
        <v>49.0</v>
      </c>
      <c r="AA475" s="3">
        <v>35.0</v>
      </c>
      <c r="AB475" s="3">
        <v>39.0</v>
      </c>
      <c r="AC475" s="3">
        <v>43.0</v>
      </c>
      <c r="AD475" s="3">
        <v>43.0</v>
      </c>
      <c r="AE475" s="3">
        <v>39.0</v>
      </c>
      <c r="AF475" s="3">
        <v>57.0</v>
      </c>
      <c r="AG475" s="3">
        <v>43.0</v>
      </c>
      <c r="AH475" s="3">
        <v>45.0</v>
      </c>
      <c r="AI475" s="3">
        <v>50.0</v>
      </c>
      <c r="AJ475" s="3">
        <v>40.0</v>
      </c>
      <c r="AK475" s="3">
        <v>74.0</v>
      </c>
      <c r="AL475" s="3">
        <v>33.0</v>
      </c>
      <c r="AM475" s="3">
        <v>34.0</v>
      </c>
      <c r="AN475" s="3">
        <v>16.0</v>
      </c>
    </row>
    <row r="476" ht="14.25" customHeight="1">
      <c r="A476" s="3">
        <v>474.0</v>
      </c>
      <c r="B476" s="3" t="s">
        <v>7652</v>
      </c>
      <c r="C476" s="3">
        <v>24.0</v>
      </c>
      <c r="D476" s="3" t="s">
        <v>6645</v>
      </c>
      <c r="E476" s="3" t="s">
        <v>6646</v>
      </c>
      <c r="F476" s="3" t="s">
        <v>6646</v>
      </c>
      <c r="G476" s="3" t="s">
        <v>6645</v>
      </c>
      <c r="H476" s="3" t="s">
        <v>6645</v>
      </c>
      <c r="I476" s="3" t="s">
        <v>6646</v>
      </c>
      <c r="J476" s="3">
        <v>14.0</v>
      </c>
      <c r="K476" s="3">
        <v>0.0</v>
      </c>
      <c r="L476" s="3">
        <v>0.0</v>
      </c>
      <c r="M476" s="3">
        <v>0.0</v>
      </c>
      <c r="N476" s="3">
        <v>507.89947</v>
      </c>
      <c r="O476" s="3">
        <v>107.0</v>
      </c>
      <c r="P476" s="3" t="e">
        <v>#N/A</v>
      </c>
      <c r="Q476" s="3">
        <v>35.0</v>
      </c>
      <c r="R476" s="3">
        <v>32.0</v>
      </c>
      <c r="S476" s="3">
        <v>33.0</v>
      </c>
      <c r="T476" s="3">
        <v>36.0</v>
      </c>
      <c r="U476" s="3">
        <v>30.0</v>
      </c>
      <c r="V476" s="3">
        <v>36.0</v>
      </c>
      <c r="W476" s="3">
        <v>39.0</v>
      </c>
      <c r="X476" s="3">
        <v>45.0</v>
      </c>
      <c r="Y476" s="3">
        <v>30.0</v>
      </c>
      <c r="Z476" s="3">
        <v>38.0</v>
      </c>
      <c r="AA476" s="3">
        <v>28.0</v>
      </c>
      <c r="AB476" s="3">
        <v>33.0</v>
      </c>
      <c r="AC476" s="3">
        <v>31.0</v>
      </c>
      <c r="AD476" s="3">
        <v>22.0</v>
      </c>
      <c r="AE476" s="3">
        <v>38.0</v>
      </c>
      <c r="AF476" s="3">
        <v>36.0</v>
      </c>
      <c r="AG476" s="3">
        <v>49.0</v>
      </c>
      <c r="AH476" s="3">
        <v>31.0</v>
      </c>
      <c r="AI476" s="3">
        <v>45.0</v>
      </c>
      <c r="AJ476" s="3">
        <v>52.0</v>
      </c>
      <c r="AK476" s="3">
        <v>68.0</v>
      </c>
      <c r="AL476" s="3">
        <v>55.0</v>
      </c>
      <c r="AM476" s="3">
        <v>13.0</v>
      </c>
      <c r="AN476" s="3">
        <v>40.0</v>
      </c>
    </row>
    <row r="477" ht="14.25" customHeight="1">
      <c r="A477" s="3">
        <v>475.0</v>
      </c>
      <c r="B477" s="3" t="s">
        <v>7653</v>
      </c>
      <c r="C477" s="3">
        <v>19.0</v>
      </c>
      <c r="D477" s="3" t="s">
        <v>6645</v>
      </c>
      <c r="E477" s="3" t="s">
        <v>6646</v>
      </c>
      <c r="F477" s="3" t="s">
        <v>6646</v>
      </c>
      <c r="G477" s="3" t="s">
        <v>6645</v>
      </c>
      <c r="H477" s="3" t="s">
        <v>6645</v>
      </c>
      <c r="I477" s="3" t="s">
        <v>6645</v>
      </c>
      <c r="J477" s="3">
        <v>14.0</v>
      </c>
      <c r="K477" s="3">
        <v>0.0</v>
      </c>
      <c r="L477" s="3">
        <v>0.0</v>
      </c>
      <c r="M477" s="3">
        <v>0.0</v>
      </c>
      <c r="N477" s="3">
        <v>653.653</v>
      </c>
      <c r="O477" s="3">
        <v>100.0</v>
      </c>
      <c r="P477" s="3" t="e">
        <v>#N/A</v>
      </c>
      <c r="Q477" s="3">
        <v>37.0</v>
      </c>
      <c r="R477" s="3">
        <v>37.0</v>
      </c>
      <c r="S477" s="3">
        <v>32.0</v>
      </c>
      <c r="T477" s="3">
        <v>34.0</v>
      </c>
      <c r="U477" s="3">
        <v>34.0</v>
      </c>
      <c r="V477" s="3">
        <v>31.0</v>
      </c>
      <c r="W477" s="3">
        <v>47.0</v>
      </c>
      <c r="X477" s="3">
        <v>44.0</v>
      </c>
      <c r="Y477" s="3">
        <v>26.0</v>
      </c>
      <c r="Z477" s="3">
        <v>43.0</v>
      </c>
      <c r="AA477" s="3">
        <v>30.0</v>
      </c>
      <c r="AB477" s="3">
        <v>36.0</v>
      </c>
      <c r="AC477" s="3">
        <v>34.0</v>
      </c>
      <c r="AD477" s="3">
        <v>30.0</v>
      </c>
      <c r="AE477" s="3">
        <v>30.0</v>
      </c>
      <c r="AF477" s="3">
        <v>52.0</v>
      </c>
      <c r="AG477" s="3">
        <v>46.0</v>
      </c>
      <c r="AH477" s="3">
        <v>12.0</v>
      </c>
      <c r="AI477" s="3">
        <v>59.0</v>
      </c>
      <c r="AJ477" s="3">
        <v>41.0</v>
      </c>
      <c r="AK477" s="3">
        <v>66.0</v>
      </c>
      <c r="AL477" s="3">
        <v>41.0</v>
      </c>
      <c r="AM477" s="3">
        <v>49.0</v>
      </c>
      <c r="AN477" s="3">
        <v>53.0</v>
      </c>
    </row>
    <row r="478" ht="14.25" customHeight="1">
      <c r="A478" s="3">
        <v>476.0</v>
      </c>
      <c r="B478" s="3" t="s">
        <v>7654</v>
      </c>
      <c r="C478" s="3">
        <v>18.0</v>
      </c>
      <c r="D478" s="3" t="s">
        <v>6645</v>
      </c>
      <c r="E478" s="3" t="s">
        <v>6646</v>
      </c>
      <c r="F478" s="3" t="s">
        <v>6646</v>
      </c>
      <c r="G478" s="3" t="s">
        <v>6645</v>
      </c>
      <c r="H478" s="3" t="s">
        <v>6645</v>
      </c>
      <c r="I478" s="3" t="s">
        <v>6646</v>
      </c>
      <c r="J478" s="3">
        <v>14.0</v>
      </c>
      <c r="K478" s="3">
        <v>0.0</v>
      </c>
      <c r="L478" s="3">
        <v>0.0</v>
      </c>
      <c r="M478" s="3">
        <v>0.0</v>
      </c>
      <c r="N478" s="3">
        <v>425.255</v>
      </c>
      <c r="O478" s="3">
        <v>91.0</v>
      </c>
      <c r="P478" s="3" t="e">
        <v>#N/A</v>
      </c>
      <c r="Q478" s="3">
        <v>34.0</v>
      </c>
      <c r="R478" s="3">
        <v>30.0</v>
      </c>
      <c r="S478" s="3">
        <v>32.0</v>
      </c>
      <c r="T478" s="3">
        <v>32.0</v>
      </c>
      <c r="U478" s="3">
        <v>36.0</v>
      </c>
      <c r="V478" s="3">
        <v>32.0</v>
      </c>
      <c r="W478" s="3">
        <v>43.0</v>
      </c>
      <c r="X478" s="3">
        <v>41.0</v>
      </c>
      <c r="Y478" s="3">
        <v>25.0</v>
      </c>
      <c r="Z478" s="3">
        <v>40.0</v>
      </c>
      <c r="AA478" s="3">
        <v>35.0</v>
      </c>
      <c r="AB478" s="3">
        <v>36.0</v>
      </c>
      <c r="AC478" s="3">
        <v>26.0</v>
      </c>
      <c r="AD478" s="3">
        <v>24.0</v>
      </c>
      <c r="AE478" s="3">
        <v>34.0</v>
      </c>
      <c r="AF478" s="3">
        <v>53.0</v>
      </c>
      <c r="AG478" s="3">
        <v>30.0</v>
      </c>
      <c r="AH478" s="3">
        <v>0.0</v>
      </c>
      <c r="AI478" s="3">
        <v>52.0</v>
      </c>
      <c r="AJ478" s="3">
        <v>47.0</v>
      </c>
      <c r="AK478" s="3">
        <v>61.0</v>
      </c>
      <c r="AL478" s="3">
        <v>39.0</v>
      </c>
      <c r="AM478" s="3">
        <v>36.0</v>
      </c>
      <c r="AN478" s="3">
        <v>39.0</v>
      </c>
    </row>
    <row r="479" ht="14.25" customHeight="1">
      <c r="A479" s="3">
        <v>477.0</v>
      </c>
      <c r="B479" s="3" t="s">
        <v>7655</v>
      </c>
      <c r="C479" s="3">
        <v>19.0</v>
      </c>
      <c r="D479" s="3" t="s">
        <v>6645</v>
      </c>
      <c r="E479" s="3" t="s">
        <v>6646</v>
      </c>
      <c r="F479" s="3" t="s">
        <v>6646</v>
      </c>
      <c r="G479" s="3" t="s">
        <v>6645</v>
      </c>
      <c r="H479" s="3" t="s">
        <v>6645</v>
      </c>
      <c r="I479" s="3" t="s">
        <v>6646</v>
      </c>
      <c r="J479" s="3">
        <v>14.0</v>
      </c>
      <c r="K479" s="3">
        <v>0.0</v>
      </c>
      <c r="L479" s="3">
        <v>0.0</v>
      </c>
      <c r="M479" s="3">
        <v>0.0</v>
      </c>
      <c r="N479" s="3">
        <v>539.97</v>
      </c>
      <c r="O479" s="3">
        <v>77.0</v>
      </c>
      <c r="P479" s="3" t="e">
        <v>#N/A</v>
      </c>
      <c r="Q479" s="3">
        <v>39.0</v>
      </c>
      <c r="R479" s="3">
        <v>38.0</v>
      </c>
      <c r="S479" s="3">
        <v>36.0</v>
      </c>
      <c r="T479" s="3">
        <v>39.0</v>
      </c>
      <c r="U479" s="3">
        <v>36.0</v>
      </c>
      <c r="V479" s="3">
        <v>31.0</v>
      </c>
      <c r="W479" s="3">
        <v>44.0</v>
      </c>
      <c r="X479" s="3">
        <v>36.0</v>
      </c>
      <c r="Y479" s="3">
        <v>30.0</v>
      </c>
      <c r="Z479" s="3">
        <v>39.0</v>
      </c>
      <c r="AA479" s="3">
        <v>37.0</v>
      </c>
      <c r="AB479" s="3">
        <v>32.0</v>
      </c>
      <c r="AC479" s="3">
        <v>32.0</v>
      </c>
      <c r="AD479" s="3">
        <v>36.0</v>
      </c>
      <c r="AE479" s="3">
        <v>26.0</v>
      </c>
      <c r="AF479" s="3">
        <v>57.0</v>
      </c>
      <c r="AG479" s="3">
        <v>34.0</v>
      </c>
      <c r="AH479" s="3">
        <v>7.0</v>
      </c>
      <c r="AI479" s="3">
        <v>55.0</v>
      </c>
      <c r="AJ479" s="3">
        <v>41.0</v>
      </c>
      <c r="AK479" s="3">
        <v>70.0</v>
      </c>
      <c r="AL479" s="3">
        <v>31.0</v>
      </c>
      <c r="AM479" s="3">
        <v>54.0</v>
      </c>
      <c r="AN479" s="3">
        <v>42.0</v>
      </c>
    </row>
    <row r="480" ht="14.25" customHeight="1">
      <c r="A480" s="3">
        <v>478.0</v>
      </c>
      <c r="B480" s="3" t="s">
        <v>7656</v>
      </c>
      <c r="C480" s="3">
        <v>24.0</v>
      </c>
      <c r="D480" s="3" t="s">
        <v>6645</v>
      </c>
      <c r="E480" s="3" t="s">
        <v>6646</v>
      </c>
      <c r="F480" s="3" t="s">
        <v>6646</v>
      </c>
      <c r="G480" s="3" t="s">
        <v>6645</v>
      </c>
      <c r="H480" s="3" t="s">
        <v>6645</v>
      </c>
      <c r="I480" s="3" t="s">
        <v>6645</v>
      </c>
      <c r="J480" s="3">
        <v>14.0</v>
      </c>
      <c r="K480" s="3">
        <v>0.0</v>
      </c>
      <c r="L480" s="3">
        <v>0.0</v>
      </c>
      <c r="M480" s="3">
        <v>0.0</v>
      </c>
      <c r="N480" s="3">
        <v>542.682</v>
      </c>
      <c r="O480" s="3">
        <v>101.0</v>
      </c>
      <c r="P480" s="3" t="e">
        <v>#N/A</v>
      </c>
      <c r="Q480" s="3">
        <v>33.0</v>
      </c>
      <c r="R480" s="3">
        <v>30.0</v>
      </c>
      <c r="S480" s="3">
        <v>32.0</v>
      </c>
      <c r="T480" s="3">
        <v>34.0</v>
      </c>
      <c r="U480" s="3">
        <v>34.0</v>
      </c>
      <c r="V480" s="3">
        <v>34.0</v>
      </c>
      <c r="W480" s="3">
        <v>38.0</v>
      </c>
      <c r="X480" s="3">
        <v>40.0</v>
      </c>
      <c r="Y480" s="3">
        <v>37.0</v>
      </c>
      <c r="Z480" s="3">
        <v>39.0</v>
      </c>
      <c r="AA480" s="3">
        <v>30.0</v>
      </c>
      <c r="AB480" s="3">
        <v>25.0</v>
      </c>
      <c r="AC480" s="3">
        <v>26.0</v>
      </c>
      <c r="AD480" s="3">
        <v>31.0</v>
      </c>
      <c r="AE480" s="3">
        <v>36.0</v>
      </c>
      <c r="AF480" s="3">
        <v>35.0</v>
      </c>
      <c r="AG480" s="3">
        <v>31.0</v>
      </c>
      <c r="AH480" s="3">
        <v>18.0</v>
      </c>
      <c r="AI480" s="3">
        <v>47.0</v>
      </c>
      <c r="AJ480" s="3">
        <v>49.0</v>
      </c>
      <c r="AK480" s="3">
        <v>68.0</v>
      </c>
      <c r="AL480" s="3">
        <v>38.0</v>
      </c>
      <c r="AM480" s="3">
        <v>54.0</v>
      </c>
      <c r="AN480" s="3">
        <v>42.0</v>
      </c>
    </row>
    <row r="481" ht="14.25" customHeight="1">
      <c r="A481" s="3">
        <v>479.0</v>
      </c>
      <c r="B481" s="3" t="s">
        <v>7657</v>
      </c>
      <c r="C481" s="3">
        <v>35.0</v>
      </c>
      <c r="D481" s="3" t="s">
        <v>6645</v>
      </c>
      <c r="E481" s="3" t="s">
        <v>6646</v>
      </c>
      <c r="F481" s="3" t="s">
        <v>6646</v>
      </c>
      <c r="G481" s="3" t="s">
        <v>6645</v>
      </c>
      <c r="H481" s="3" t="s">
        <v>6645</v>
      </c>
      <c r="I481" s="3" t="s">
        <v>6645</v>
      </c>
      <c r="J481" s="3">
        <v>15.0</v>
      </c>
      <c r="K481" s="3">
        <v>4.0</v>
      </c>
      <c r="L481" s="3">
        <v>0.0</v>
      </c>
      <c r="M481" s="3">
        <v>0.0</v>
      </c>
      <c r="N481" s="3">
        <v>10950.605</v>
      </c>
      <c r="O481" s="3">
        <v>1338.0</v>
      </c>
      <c r="P481" s="3" t="e">
        <v>#N/A</v>
      </c>
      <c r="Q481" s="3">
        <v>61.0</v>
      </c>
      <c r="R481" s="3">
        <v>61.0</v>
      </c>
      <c r="S481" s="3">
        <v>58.0</v>
      </c>
      <c r="T481" s="3">
        <v>69.0</v>
      </c>
      <c r="U481" s="3">
        <v>57.0</v>
      </c>
      <c r="V481" s="3">
        <v>61.0</v>
      </c>
      <c r="W481" s="3">
        <v>70.0</v>
      </c>
      <c r="X481" s="3">
        <v>72.0</v>
      </c>
      <c r="Y481" s="3">
        <v>73.0</v>
      </c>
      <c r="Z481" s="3">
        <v>64.0</v>
      </c>
      <c r="AA481" s="3">
        <v>51.0</v>
      </c>
      <c r="AB481" s="3">
        <v>62.0</v>
      </c>
      <c r="AC481" s="3">
        <v>75.0</v>
      </c>
      <c r="AD481" s="3">
        <v>73.0</v>
      </c>
      <c r="AE481" s="3">
        <v>65.0</v>
      </c>
      <c r="AF481" s="3">
        <v>50.0</v>
      </c>
      <c r="AG481" s="3">
        <v>79.0</v>
      </c>
      <c r="AH481" s="3">
        <v>70.0</v>
      </c>
      <c r="AI481" s="3">
        <v>64.0</v>
      </c>
      <c r="AJ481" s="3">
        <v>56.0</v>
      </c>
      <c r="AK481" s="3">
        <v>70.0</v>
      </c>
      <c r="AL481" s="3">
        <v>41.0</v>
      </c>
      <c r="AM481" s="3">
        <v>15.0</v>
      </c>
      <c r="AN481" s="3">
        <v>51.0</v>
      </c>
    </row>
    <row r="482" ht="14.25" customHeight="1">
      <c r="A482" s="3">
        <v>480.0</v>
      </c>
      <c r="B482" s="3" t="s">
        <v>7658</v>
      </c>
      <c r="C482" s="3">
        <v>35.0</v>
      </c>
      <c r="D482" s="3" t="s">
        <v>6645</v>
      </c>
      <c r="E482" s="3" t="s">
        <v>6646</v>
      </c>
      <c r="F482" s="3" t="s">
        <v>6646</v>
      </c>
      <c r="G482" s="3" t="s">
        <v>6645</v>
      </c>
      <c r="H482" s="3" t="s">
        <v>6645</v>
      </c>
      <c r="I482" s="3" t="s">
        <v>6645</v>
      </c>
      <c r="J482" s="3">
        <v>15.0</v>
      </c>
      <c r="K482" s="3">
        <v>4.0</v>
      </c>
      <c r="L482" s="3">
        <v>0.0</v>
      </c>
      <c r="M482" s="3">
        <v>0.0</v>
      </c>
      <c r="N482" s="3">
        <v>11102.753</v>
      </c>
      <c r="O482" s="3">
        <v>1872.0</v>
      </c>
      <c r="P482" s="3" t="e">
        <v>#N/A</v>
      </c>
      <c r="Q482" s="3">
        <v>58.0</v>
      </c>
      <c r="R482" s="3">
        <v>67.0</v>
      </c>
      <c r="S482" s="3">
        <v>61.0</v>
      </c>
      <c r="T482" s="3">
        <v>70.0</v>
      </c>
      <c r="U482" s="3">
        <v>61.0</v>
      </c>
      <c r="V482" s="3">
        <v>57.0</v>
      </c>
      <c r="W482" s="3">
        <v>68.0</v>
      </c>
      <c r="X482" s="3">
        <v>63.0</v>
      </c>
      <c r="Y482" s="3">
        <v>77.0</v>
      </c>
      <c r="Z482" s="3">
        <v>62.0</v>
      </c>
      <c r="AA482" s="3">
        <v>53.0</v>
      </c>
      <c r="AB482" s="3">
        <v>63.0</v>
      </c>
      <c r="AC482" s="3">
        <v>82.0</v>
      </c>
      <c r="AD482" s="3">
        <v>83.0</v>
      </c>
      <c r="AE482" s="3">
        <v>64.0</v>
      </c>
      <c r="AF482" s="3">
        <v>55.0</v>
      </c>
      <c r="AG482" s="3">
        <v>88.0</v>
      </c>
      <c r="AH482" s="3">
        <v>24.0</v>
      </c>
      <c r="AI482" s="3">
        <v>56.0</v>
      </c>
      <c r="AJ482" s="3">
        <v>54.0</v>
      </c>
      <c r="AK482" s="3">
        <v>59.0</v>
      </c>
      <c r="AL482" s="3">
        <v>69.0</v>
      </c>
      <c r="AM482" s="3">
        <v>46.0</v>
      </c>
      <c r="AN482" s="3">
        <v>66.0</v>
      </c>
    </row>
    <row r="483" ht="14.25" customHeight="1">
      <c r="A483" s="3">
        <v>481.0</v>
      </c>
      <c r="B483" s="3" t="s">
        <v>7659</v>
      </c>
      <c r="C483" s="3">
        <v>43.0</v>
      </c>
      <c r="D483" s="3" t="s">
        <v>6645</v>
      </c>
      <c r="E483" s="3" t="s">
        <v>6646</v>
      </c>
      <c r="F483" s="3" t="s">
        <v>6646</v>
      </c>
      <c r="G483" s="3" t="s">
        <v>6645</v>
      </c>
      <c r="H483" s="3" t="s">
        <v>6645</v>
      </c>
      <c r="I483" s="3" t="s">
        <v>6646</v>
      </c>
      <c r="J483" s="3">
        <v>15.0</v>
      </c>
      <c r="K483" s="3">
        <v>4.0</v>
      </c>
      <c r="L483" s="3">
        <v>0.0</v>
      </c>
      <c r="M483" s="3">
        <v>0.0</v>
      </c>
      <c r="N483" s="3">
        <v>11502.9</v>
      </c>
      <c r="O483" s="3">
        <v>1230.0</v>
      </c>
      <c r="P483" s="3" t="e">
        <v>#N/A</v>
      </c>
      <c r="Q483" s="3">
        <v>63.0</v>
      </c>
      <c r="R483" s="3">
        <v>64.0</v>
      </c>
      <c r="S483" s="3">
        <v>60.0</v>
      </c>
      <c r="T483" s="3">
        <v>66.0</v>
      </c>
      <c r="U483" s="3">
        <v>62.0</v>
      </c>
      <c r="V483" s="3">
        <v>58.0</v>
      </c>
      <c r="W483" s="3">
        <v>69.0</v>
      </c>
      <c r="X483" s="3">
        <v>69.0</v>
      </c>
      <c r="Y483" s="3">
        <v>73.0</v>
      </c>
      <c r="Z483" s="3">
        <v>57.0</v>
      </c>
      <c r="AA483" s="3">
        <v>61.0</v>
      </c>
      <c r="AB483" s="3">
        <v>60.0</v>
      </c>
      <c r="AC483" s="3">
        <v>75.0</v>
      </c>
      <c r="AD483" s="3">
        <v>83.0</v>
      </c>
      <c r="AE483" s="3">
        <v>55.0</v>
      </c>
      <c r="AF483" s="3">
        <v>46.0</v>
      </c>
      <c r="AG483" s="3">
        <v>81.0</v>
      </c>
      <c r="AH483" s="3">
        <v>55.0</v>
      </c>
      <c r="AI483" s="3">
        <v>55.0</v>
      </c>
      <c r="AJ483" s="3">
        <v>42.0</v>
      </c>
      <c r="AK483" s="3">
        <v>61.0</v>
      </c>
      <c r="AL483" s="3">
        <v>44.0</v>
      </c>
      <c r="AM483" s="3">
        <v>61.0</v>
      </c>
      <c r="AN483" s="3">
        <v>67.0</v>
      </c>
    </row>
    <row r="484" ht="14.25" customHeight="1">
      <c r="A484" s="3">
        <v>482.0</v>
      </c>
      <c r="B484" s="3" t="s">
        <v>7660</v>
      </c>
      <c r="C484" s="3">
        <v>36.0</v>
      </c>
      <c r="D484" s="3" t="s">
        <v>6645</v>
      </c>
      <c r="E484" s="3" t="s">
        <v>6646</v>
      </c>
      <c r="F484" s="3" t="s">
        <v>6646</v>
      </c>
      <c r="G484" s="3" t="s">
        <v>6645</v>
      </c>
      <c r="H484" s="3" t="s">
        <v>6645</v>
      </c>
      <c r="I484" s="3" t="s">
        <v>6645</v>
      </c>
      <c r="J484" s="3">
        <v>15.0</v>
      </c>
      <c r="K484" s="3">
        <v>3.0</v>
      </c>
      <c r="L484" s="3">
        <v>0.0</v>
      </c>
      <c r="M484" s="3">
        <v>0.0</v>
      </c>
      <c r="N484" s="3">
        <v>7128.9604</v>
      </c>
      <c r="O484" s="3">
        <v>707.0</v>
      </c>
      <c r="P484" s="3" t="e">
        <v>#N/A</v>
      </c>
      <c r="Q484" s="3">
        <v>58.0</v>
      </c>
      <c r="R484" s="3">
        <v>56.0</v>
      </c>
      <c r="S484" s="3">
        <v>58.0</v>
      </c>
      <c r="T484" s="3">
        <v>58.0</v>
      </c>
      <c r="U484" s="3">
        <v>50.0</v>
      </c>
      <c r="V484" s="3">
        <v>58.0</v>
      </c>
      <c r="W484" s="3">
        <v>57.0</v>
      </c>
      <c r="X484" s="3">
        <v>50.0</v>
      </c>
      <c r="Y484" s="3">
        <v>63.0</v>
      </c>
      <c r="Z484" s="3">
        <v>58.0</v>
      </c>
      <c r="AA484" s="3">
        <v>58.0</v>
      </c>
      <c r="AB484" s="3">
        <v>43.0</v>
      </c>
      <c r="AC484" s="3">
        <v>67.0</v>
      </c>
      <c r="AD484" s="3">
        <v>65.0</v>
      </c>
      <c r="AE484" s="3">
        <v>50.0</v>
      </c>
      <c r="AF484" s="3">
        <v>53.0</v>
      </c>
      <c r="AG484" s="3">
        <v>68.0</v>
      </c>
      <c r="AH484" s="3">
        <v>40.0</v>
      </c>
      <c r="AI484" s="3">
        <v>49.0</v>
      </c>
      <c r="AJ484" s="3">
        <v>52.0</v>
      </c>
      <c r="AK484" s="3">
        <v>61.0</v>
      </c>
      <c r="AL484" s="3">
        <v>65.0</v>
      </c>
      <c r="AM484" s="3">
        <v>29.0</v>
      </c>
      <c r="AN484" s="3">
        <v>64.0</v>
      </c>
    </row>
    <row r="485" ht="14.25" customHeight="1">
      <c r="A485" s="3">
        <v>483.0</v>
      </c>
      <c r="B485" s="3" t="s">
        <v>7661</v>
      </c>
      <c r="C485" s="3">
        <v>35.0</v>
      </c>
      <c r="D485" s="3" t="s">
        <v>6645</v>
      </c>
      <c r="E485" s="3" t="s">
        <v>6646</v>
      </c>
      <c r="F485" s="3" t="s">
        <v>6646</v>
      </c>
      <c r="G485" s="3" t="s">
        <v>6645</v>
      </c>
      <c r="H485" s="3" t="s">
        <v>6645</v>
      </c>
      <c r="I485" s="3" t="s">
        <v>6645</v>
      </c>
      <c r="J485" s="3">
        <v>15.0</v>
      </c>
      <c r="K485" s="3">
        <v>3.0</v>
      </c>
      <c r="L485" s="3">
        <v>0.0</v>
      </c>
      <c r="M485" s="3">
        <v>0.0</v>
      </c>
      <c r="N485" s="3">
        <v>6510.6513</v>
      </c>
      <c r="O485" s="3">
        <v>942.0</v>
      </c>
      <c r="P485" s="3" t="e">
        <v>#N/A</v>
      </c>
      <c r="Q485" s="3">
        <v>58.0</v>
      </c>
      <c r="R485" s="3">
        <v>58.0</v>
      </c>
      <c r="S485" s="3">
        <v>50.0</v>
      </c>
      <c r="T485" s="3">
        <v>54.0</v>
      </c>
      <c r="U485" s="3">
        <v>54.0</v>
      </c>
      <c r="V485" s="3">
        <v>56.0</v>
      </c>
      <c r="W485" s="3">
        <v>56.0</v>
      </c>
      <c r="X485" s="3">
        <v>55.0</v>
      </c>
      <c r="Y485" s="3">
        <v>65.0</v>
      </c>
      <c r="Z485" s="3">
        <v>50.0</v>
      </c>
      <c r="AA485" s="3">
        <v>56.0</v>
      </c>
      <c r="AB485" s="3">
        <v>44.0</v>
      </c>
      <c r="AC485" s="3">
        <v>59.0</v>
      </c>
      <c r="AD485" s="3">
        <v>62.0</v>
      </c>
      <c r="AE485" s="3">
        <v>49.0</v>
      </c>
      <c r="AF485" s="3">
        <v>31.0</v>
      </c>
      <c r="AG485" s="3">
        <v>75.0</v>
      </c>
      <c r="AH485" s="3">
        <v>46.0</v>
      </c>
      <c r="AI485" s="3">
        <v>48.0</v>
      </c>
      <c r="AJ485" s="3">
        <v>44.0</v>
      </c>
      <c r="AK485" s="3">
        <v>38.0</v>
      </c>
      <c r="AL485" s="3">
        <v>60.0</v>
      </c>
      <c r="AM485" s="3">
        <v>44.0</v>
      </c>
      <c r="AN485" s="3">
        <v>59.0</v>
      </c>
    </row>
    <row r="486" ht="14.25" customHeight="1">
      <c r="A486" s="3">
        <v>484.0</v>
      </c>
      <c r="B486" s="3" t="s">
        <v>7662</v>
      </c>
      <c r="C486" s="3">
        <v>36.0</v>
      </c>
      <c r="D486" s="3" t="s">
        <v>6645</v>
      </c>
      <c r="E486" s="3" t="s">
        <v>6646</v>
      </c>
      <c r="F486" s="3" t="s">
        <v>6646</v>
      </c>
      <c r="G486" s="3" t="s">
        <v>6645</v>
      </c>
      <c r="H486" s="3" t="s">
        <v>6645</v>
      </c>
      <c r="I486" s="3" t="s">
        <v>6646</v>
      </c>
      <c r="J486" s="3">
        <v>15.0</v>
      </c>
      <c r="K486" s="3">
        <v>3.0</v>
      </c>
      <c r="L486" s="3">
        <v>0.0</v>
      </c>
      <c r="M486" s="3">
        <v>0.0</v>
      </c>
      <c r="N486" s="3">
        <v>6569.13</v>
      </c>
      <c r="O486" s="3">
        <v>746.0</v>
      </c>
      <c r="P486" s="3" t="e">
        <v>#N/A</v>
      </c>
      <c r="Q486" s="3">
        <v>50.0</v>
      </c>
      <c r="R486" s="3">
        <v>55.0</v>
      </c>
      <c r="S486" s="3">
        <v>56.0</v>
      </c>
      <c r="T486" s="3">
        <v>50.0</v>
      </c>
      <c r="U486" s="3">
        <v>58.0</v>
      </c>
      <c r="V486" s="3">
        <v>58.0</v>
      </c>
      <c r="W486" s="3">
        <v>56.0</v>
      </c>
      <c r="X486" s="3">
        <v>53.0</v>
      </c>
      <c r="Y486" s="3">
        <v>62.0</v>
      </c>
      <c r="Z486" s="3">
        <v>46.0</v>
      </c>
      <c r="AA486" s="3">
        <v>47.0</v>
      </c>
      <c r="AB486" s="3">
        <v>56.0</v>
      </c>
      <c r="AC486" s="3">
        <v>60.0</v>
      </c>
      <c r="AD486" s="3">
        <v>63.0</v>
      </c>
      <c r="AE486" s="3">
        <v>58.0</v>
      </c>
      <c r="AF486" s="3">
        <v>64.0</v>
      </c>
      <c r="AG486" s="3">
        <v>74.0</v>
      </c>
      <c r="AH486" s="3">
        <v>50.0</v>
      </c>
      <c r="AI486" s="3">
        <v>37.0</v>
      </c>
      <c r="AJ486" s="3">
        <v>65.0</v>
      </c>
      <c r="AK486" s="3">
        <v>61.0</v>
      </c>
      <c r="AL486" s="3">
        <v>46.0</v>
      </c>
      <c r="AM486" s="3">
        <v>54.0</v>
      </c>
      <c r="AN486" s="3">
        <v>56.0</v>
      </c>
    </row>
    <row r="487" ht="14.25" customHeight="1">
      <c r="A487" s="3">
        <v>485.0</v>
      </c>
      <c r="B487" s="3" t="s">
        <v>7663</v>
      </c>
      <c r="C487" s="3">
        <v>34.0</v>
      </c>
      <c r="D487" s="3" t="s">
        <v>6645</v>
      </c>
      <c r="E487" s="3" t="s">
        <v>6646</v>
      </c>
      <c r="F487" s="3" t="s">
        <v>6646</v>
      </c>
      <c r="G487" s="3" t="s">
        <v>6645</v>
      </c>
      <c r="H487" s="3" t="s">
        <v>6645</v>
      </c>
      <c r="I487" s="3" t="s">
        <v>6646</v>
      </c>
      <c r="J487" s="3">
        <v>15.0</v>
      </c>
      <c r="K487" s="3">
        <v>2.0</v>
      </c>
      <c r="L487" s="3">
        <v>0.0</v>
      </c>
      <c r="M487" s="3">
        <v>0.0</v>
      </c>
      <c r="N487" s="3">
        <v>3928.0598</v>
      </c>
      <c r="O487" s="3">
        <v>378.0</v>
      </c>
      <c r="P487" s="3" t="e">
        <v>#N/A</v>
      </c>
      <c r="Q487" s="3">
        <v>43.0</v>
      </c>
      <c r="R487" s="3">
        <v>46.0</v>
      </c>
      <c r="S487" s="3">
        <v>50.0</v>
      </c>
      <c r="T487" s="3">
        <v>43.0</v>
      </c>
      <c r="U487" s="3">
        <v>48.0</v>
      </c>
      <c r="V487" s="3">
        <v>45.0</v>
      </c>
      <c r="W487" s="3">
        <v>37.0</v>
      </c>
      <c r="X487" s="3">
        <v>43.0</v>
      </c>
      <c r="Y487" s="3">
        <v>54.0</v>
      </c>
      <c r="Z487" s="3">
        <v>44.0</v>
      </c>
      <c r="AA487" s="3">
        <v>50.0</v>
      </c>
      <c r="AB487" s="3">
        <v>44.0</v>
      </c>
      <c r="AC487" s="3">
        <v>53.0</v>
      </c>
      <c r="AD487" s="3">
        <v>60.0</v>
      </c>
      <c r="AE487" s="3">
        <v>49.0</v>
      </c>
      <c r="AF487" s="3">
        <v>60.0</v>
      </c>
      <c r="AG487" s="3">
        <v>76.0</v>
      </c>
      <c r="AH487" s="3">
        <v>58.0</v>
      </c>
      <c r="AI487" s="3">
        <v>44.0</v>
      </c>
      <c r="AJ487" s="3">
        <v>64.0</v>
      </c>
      <c r="AK487" s="3">
        <v>22.0</v>
      </c>
      <c r="AL487" s="3">
        <v>38.0</v>
      </c>
      <c r="AM487" s="3">
        <v>54.0</v>
      </c>
      <c r="AN487" s="3">
        <v>58.0</v>
      </c>
    </row>
    <row r="488" ht="14.25" customHeight="1">
      <c r="A488" s="3">
        <v>486.0</v>
      </c>
      <c r="B488" s="3" t="s">
        <v>7664</v>
      </c>
      <c r="C488" s="3">
        <v>32.0</v>
      </c>
      <c r="D488" s="3" t="s">
        <v>6645</v>
      </c>
      <c r="E488" s="3" t="s">
        <v>6646</v>
      </c>
      <c r="F488" s="3" t="s">
        <v>6646</v>
      </c>
      <c r="G488" s="3" t="s">
        <v>6645</v>
      </c>
      <c r="H488" s="3" t="s">
        <v>6645</v>
      </c>
      <c r="I488" s="3" t="s">
        <v>6645</v>
      </c>
      <c r="J488" s="3">
        <v>15.0</v>
      </c>
      <c r="K488" s="3">
        <v>2.0</v>
      </c>
      <c r="L488" s="3">
        <v>0.0</v>
      </c>
      <c r="M488" s="3">
        <v>0.0</v>
      </c>
      <c r="N488" s="3">
        <v>3788.9763</v>
      </c>
      <c r="O488" s="3">
        <v>435.0</v>
      </c>
      <c r="P488" s="3" t="e">
        <v>#N/A</v>
      </c>
      <c r="Q488" s="3">
        <v>51.0</v>
      </c>
      <c r="R488" s="3">
        <v>46.0</v>
      </c>
      <c r="S488" s="3">
        <v>46.0</v>
      </c>
      <c r="T488" s="3">
        <v>46.0</v>
      </c>
      <c r="U488" s="3">
        <v>44.0</v>
      </c>
      <c r="V488" s="3">
        <v>44.0</v>
      </c>
      <c r="W488" s="3">
        <v>52.0</v>
      </c>
      <c r="X488" s="3">
        <v>43.0</v>
      </c>
      <c r="Y488" s="3">
        <v>53.0</v>
      </c>
      <c r="Z488" s="3">
        <v>44.0</v>
      </c>
      <c r="AA488" s="3">
        <v>45.0</v>
      </c>
      <c r="AB488" s="3">
        <v>39.0</v>
      </c>
      <c r="AC488" s="3">
        <v>56.0</v>
      </c>
      <c r="AD488" s="3">
        <v>52.0</v>
      </c>
      <c r="AE488" s="3">
        <v>37.0</v>
      </c>
      <c r="AF488" s="3">
        <v>54.0</v>
      </c>
      <c r="AG488" s="3">
        <v>70.0</v>
      </c>
      <c r="AH488" s="3">
        <v>56.0</v>
      </c>
      <c r="AI488" s="3">
        <v>62.0</v>
      </c>
      <c r="AJ488" s="3">
        <v>52.0</v>
      </c>
      <c r="AK488" s="3">
        <v>38.0</v>
      </c>
      <c r="AL488" s="3">
        <v>60.0</v>
      </c>
      <c r="AM488" s="3">
        <v>36.0</v>
      </c>
      <c r="AN488" s="3">
        <v>62.0</v>
      </c>
    </row>
    <row r="489" ht="14.25" customHeight="1">
      <c r="A489" s="3">
        <v>487.0</v>
      </c>
      <c r="B489" s="3" t="s">
        <v>7665</v>
      </c>
      <c r="C489" s="3">
        <v>29.0</v>
      </c>
      <c r="D489" s="3" t="s">
        <v>6645</v>
      </c>
      <c r="E489" s="3" t="s">
        <v>6646</v>
      </c>
      <c r="F489" s="3" t="s">
        <v>6646</v>
      </c>
      <c r="G489" s="3" t="s">
        <v>6645</v>
      </c>
      <c r="H489" s="3" t="s">
        <v>6645</v>
      </c>
      <c r="I489" s="3" t="s">
        <v>6646</v>
      </c>
      <c r="J489" s="3">
        <v>15.0</v>
      </c>
      <c r="K489" s="3">
        <v>2.0</v>
      </c>
      <c r="L489" s="3">
        <v>0.0</v>
      </c>
      <c r="M489" s="3">
        <v>0.0</v>
      </c>
      <c r="N489" s="3">
        <v>3722.98</v>
      </c>
      <c r="O489" s="3">
        <v>365.0</v>
      </c>
      <c r="P489" s="3" t="e">
        <v>#N/A</v>
      </c>
      <c r="Q489" s="3">
        <v>49.0</v>
      </c>
      <c r="R489" s="3">
        <v>52.0</v>
      </c>
      <c r="S489" s="3">
        <v>46.0</v>
      </c>
      <c r="T489" s="3">
        <v>48.0</v>
      </c>
      <c r="U489" s="3">
        <v>48.0</v>
      </c>
      <c r="V489" s="3">
        <v>47.0</v>
      </c>
      <c r="W489" s="3">
        <v>39.0</v>
      </c>
      <c r="X489" s="3">
        <v>46.0</v>
      </c>
      <c r="Y489" s="3">
        <v>54.0</v>
      </c>
      <c r="Z489" s="3">
        <v>42.0</v>
      </c>
      <c r="AA489" s="3">
        <v>51.0</v>
      </c>
      <c r="AB489" s="3">
        <v>52.0</v>
      </c>
      <c r="AC489" s="3">
        <v>50.0</v>
      </c>
      <c r="AD489" s="3">
        <v>54.0</v>
      </c>
      <c r="AE489" s="3">
        <v>44.0</v>
      </c>
      <c r="AF489" s="3">
        <v>34.0</v>
      </c>
      <c r="AG489" s="3">
        <v>68.0</v>
      </c>
      <c r="AH489" s="3">
        <v>56.0</v>
      </c>
      <c r="AI489" s="3">
        <v>56.0</v>
      </c>
      <c r="AJ489" s="3">
        <v>64.0</v>
      </c>
      <c r="AK489" s="3">
        <v>62.0</v>
      </c>
      <c r="AL489" s="3">
        <v>56.0</v>
      </c>
      <c r="AM489" s="3">
        <v>58.0</v>
      </c>
      <c r="AN489" s="3">
        <v>52.0</v>
      </c>
    </row>
    <row r="490" ht="14.25" customHeight="1">
      <c r="A490" s="3">
        <v>488.0</v>
      </c>
      <c r="B490" s="3" t="s">
        <v>7666</v>
      </c>
      <c r="C490" s="3">
        <v>27.0</v>
      </c>
      <c r="D490" s="3" t="s">
        <v>6645</v>
      </c>
      <c r="E490" s="3" t="s">
        <v>6646</v>
      </c>
      <c r="F490" s="3" t="s">
        <v>6646</v>
      </c>
      <c r="G490" s="3" t="s">
        <v>6645</v>
      </c>
      <c r="H490" s="3" t="s">
        <v>6645</v>
      </c>
      <c r="I490" s="3" t="s">
        <v>6646</v>
      </c>
      <c r="J490" s="3">
        <v>15.0</v>
      </c>
      <c r="K490" s="3">
        <v>2.0</v>
      </c>
      <c r="L490" s="3">
        <v>0.0</v>
      </c>
      <c r="M490" s="3">
        <v>0.0</v>
      </c>
      <c r="N490" s="3">
        <v>3662.2204</v>
      </c>
      <c r="O490" s="3">
        <v>461.0</v>
      </c>
      <c r="P490" s="3" t="e">
        <v>#N/A</v>
      </c>
      <c r="Q490" s="3">
        <v>43.0</v>
      </c>
      <c r="R490" s="3">
        <v>46.0</v>
      </c>
      <c r="S490" s="3">
        <v>50.0</v>
      </c>
      <c r="T490" s="3">
        <v>47.0</v>
      </c>
      <c r="U490" s="3">
        <v>50.0</v>
      </c>
      <c r="V490" s="3">
        <v>52.0</v>
      </c>
      <c r="W490" s="3">
        <v>43.0</v>
      </c>
      <c r="X490" s="3">
        <v>50.0</v>
      </c>
      <c r="Y490" s="3">
        <v>56.0</v>
      </c>
      <c r="Z490" s="3">
        <v>47.0</v>
      </c>
      <c r="AA490" s="3">
        <v>40.0</v>
      </c>
      <c r="AB490" s="3">
        <v>45.0</v>
      </c>
      <c r="AC490" s="3">
        <v>53.0</v>
      </c>
      <c r="AD490" s="3">
        <v>58.0</v>
      </c>
      <c r="AE490" s="3">
        <v>45.0</v>
      </c>
      <c r="AF490" s="3">
        <v>54.0</v>
      </c>
      <c r="AG490" s="3">
        <v>82.0</v>
      </c>
      <c r="AH490" s="3">
        <v>52.0</v>
      </c>
      <c r="AI490" s="3">
        <v>38.0</v>
      </c>
      <c r="AJ490" s="3">
        <v>62.0</v>
      </c>
      <c r="AK490" s="3">
        <v>48.0</v>
      </c>
      <c r="AL490" s="3">
        <v>62.0</v>
      </c>
      <c r="AM490" s="3">
        <v>28.0</v>
      </c>
      <c r="AN490" s="3">
        <v>62.0</v>
      </c>
    </row>
    <row r="491" ht="14.25" customHeight="1">
      <c r="A491" s="3">
        <v>489.0</v>
      </c>
      <c r="B491" s="3" t="s">
        <v>7667</v>
      </c>
      <c r="C491" s="3">
        <v>25.0</v>
      </c>
      <c r="D491" s="3" t="s">
        <v>6645</v>
      </c>
      <c r="E491" s="3" t="s">
        <v>6646</v>
      </c>
      <c r="F491" s="3" t="s">
        <v>6646</v>
      </c>
      <c r="G491" s="3" t="s">
        <v>6645</v>
      </c>
      <c r="H491" s="3" t="s">
        <v>6645</v>
      </c>
      <c r="I491" s="3" t="s">
        <v>6645</v>
      </c>
      <c r="J491" s="3">
        <v>15.0</v>
      </c>
      <c r="K491" s="3">
        <v>1.0</v>
      </c>
      <c r="L491" s="3">
        <v>0.0</v>
      </c>
      <c r="M491" s="3">
        <v>0.0</v>
      </c>
      <c r="N491" s="3">
        <v>1358.3697</v>
      </c>
      <c r="O491" s="3">
        <v>155.0</v>
      </c>
      <c r="P491" s="3" t="e">
        <v>#N/A</v>
      </c>
      <c r="Q491" s="3">
        <v>36.0</v>
      </c>
      <c r="R491" s="3">
        <v>46.0</v>
      </c>
      <c r="S491" s="3">
        <v>38.0</v>
      </c>
      <c r="T491" s="3">
        <v>40.0</v>
      </c>
      <c r="U491" s="3">
        <v>42.0</v>
      </c>
      <c r="V491" s="3">
        <v>40.0</v>
      </c>
      <c r="W491" s="3">
        <v>38.0</v>
      </c>
      <c r="X491" s="3">
        <v>31.0</v>
      </c>
      <c r="Y491" s="3">
        <v>48.0</v>
      </c>
      <c r="Z491" s="3">
        <v>33.0</v>
      </c>
      <c r="AA491" s="3">
        <v>36.0</v>
      </c>
      <c r="AB491" s="3">
        <v>42.0</v>
      </c>
      <c r="AC491" s="3">
        <v>45.0</v>
      </c>
      <c r="AD491" s="3">
        <v>43.0</v>
      </c>
      <c r="AE491" s="3">
        <v>38.0</v>
      </c>
      <c r="AF491" s="3">
        <v>44.0</v>
      </c>
      <c r="AG491" s="3">
        <v>73.0</v>
      </c>
      <c r="AH491" s="3">
        <v>35.0</v>
      </c>
      <c r="AI491" s="3">
        <v>35.0</v>
      </c>
      <c r="AJ491" s="3">
        <v>22.0</v>
      </c>
      <c r="AK491" s="3">
        <v>38.0</v>
      </c>
      <c r="AL491" s="3">
        <v>51.0</v>
      </c>
      <c r="AM491" s="3">
        <v>52.0</v>
      </c>
      <c r="AN491" s="3">
        <v>44.0</v>
      </c>
    </row>
    <row r="492" ht="14.25" customHeight="1">
      <c r="A492" s="3">
        <v>490.0</v>
      </c>
      <c r="B492" s="3" t="s">
        <v>7668</v>
      </c>
      <c r="C492" s="3">
        <v>23.0</v>
      </c>
      <c r="D492" s="3" t="s">
        <v>6645</v>
      </c>
      <c r="E492" s="3" t="s">
        <v>6646</v>
      </c>
      <c r="F492" s="3" t="s">
        <v>6646</v>
      </c>
      <c r="G492" s="3" t="s">
        <v>6645</v>
      </c>
      <c r="H492" s="3" t="s">
        <v>6645</v>
      </c>
      <c r="I492" s="3" t="s">
        <v>6646</v>
      </c>
      <c r="J492" s="3">
        <v>15.0</v>
      </c>
      <c r="K492" s="3">
        <v>1.0</v>
      </c>
      <c r="L492" s="3">
        <v>0.0</v>
      </c>
      <c r="M492" s="3">
        <v>0.0</v>
      </c>
      <c r="N492" s="3">
        <v>1261.2913</v>
      </c>
      <c r="O492" s="3">
        <v>182.0</v>
      </c>
      <c r="P492" s="3" t="e">
        <v>#N/A</v>
      </c>
      <c r="Q492" s="3">
        <v>40.0</v>
      </c>
      <c r="R492" s="3">
        <v>44.0</v>
      </c>
      <c r="S492" s="3">
        <v>42.0</v>
      </c>
      <c r="T492" s="3">
        <v>38.0</v>
      </c>
      <c r="U492" s="3">
        <v>36.0</v>
      </c>
      <c r="V492" s="3">
        <v>42.0</v>
      </c>
      <c r="W492" s="3">
        <v>40.0</v>
      </c>
      <c r="X492" s="3">
        <v>33.0</v>
      </c>
      <c r="Y492" s="3">
        <v>43.0</v>
      </c>
      <c r="Z492" s="3">
        <v>39.0</v>
      </c>
      <c r="AA492" s="3">
        <v>33.0</v>
      </c>
      <c r="AB492" s="3">
        <v>38.0</v>
      </c>
      <c r="AC492" s="3">
        <v>51.0</v>
      </c>
      <c r="AD492" s="3">
        <v>53.0</v>
      </c>
      <c r="AE492" s="3">
        <v>42.0</v>
      </c>
      <c r="AF492" s="3">
        <v>47.0</v>
      </c>
      <c r="AG492" s="3">
        <v>70.0</v>
      </c>
      <c r="AH492" s="3">
        <v>49.0</v>
      </c>
      <c r="AI492" s="3">
        <v>43.0</v>
      </c>
      <c r="AJ492" s="3">
        <v>18.0</v>
      </c>
      <c r="AK492" s="3">
        <v>37.0</v>
      </c>
      <c r="AL492" s="3">
        <v>54.0</v>
      </c>
      <c r="AM492" s="3">
        <v>33.0</v>
      </c>
      <c r="AN492" s="3">
        <v>51.0</v>
      </c>
    </row>
    <row r="493" ht="14.25" customHeight="1">
      <c r="A493" s="3">
        <v>491.0</v>
      </c>
      <c r="B493" s="3" t="s">
        <v>7669</v>
      </c>
      <c r="C493" s="3">
        <v>27.0</v>
      </c>
      <c r="D493" s="3" t="s">
        <v>6645</v>
      </c>
      <c r="E493" s="3" t="s">
        <v>6646</v>
      </c>
      <c r="F493" s="3" t="s">
        <v>6646</v>
      </c>
      <c r="G493" s="3" t="s">
        <v>6645</v>
      </c>
      <c r="H493" s="3" t="s">
        <v>6645</v>
      </c>
      <c r="I493" s="3" t="s">
        <v>6646</v>
      </c>
      <c r="J493" s="3">
        <v>15.0</v>
      </c>
      <c r="K493" s="3">
        <v>1.0</v>
      </c>
      <c r="L493" s="3">
        <v>0.0</v>
      </c>
      <c r="M493" s="3">
        <v>0.0</v>
      </c>
      <c r="N493" s="3">
        <v>1326.5211</v>
      </c>
      <c r="O493" s="3">
        <v>178.0</v>
      </c>
      <c r="P493" s="3" t="e">
        <v>#N/A</v>
      </c>
      <c r="Q493" s="3">
        <v>46.0</v>
      </c>
      <c r="R493" s="3">
        <v>40.0</v>
      </c>
      <c r="S493" s="3">
        <v>42.0</v>
      </c>
      <c r="T493" s="3">
        <v>44.0</v>
      </c>
      <c r="U493" s="3">
        <v>38.0</v>
      </c>
      <c r="V493" s="3">
        <v>46.0</v>
      </c>
      <c r="W493" s="3">
        <v>40.0</v>
      </c>
      <c r="X493" s="3">
        <v>44.0</v>
      </c>
      <c r="Y493" s="3">
        <v>46.0</v>
      </c>
      <c r="Z493" s="3">
        <v>41.0</v>
      </c>
      <c r="AA493" s="3">
        <v>31.0</v>
      </c>
      <c r="AB493" s="3">
        <v>40.0</v>
      </c>
      <c r="AC493" s="3">
        <v>41.0</v>
      </c>
      <c r="AD493" s="3">
        <v>43.0</v>
      </c>
      <c r="AE493" s="3">
        <v>38.0</v>
      </c>
      <c r="AF493" s="3">
        <v>33.0</v>
      </c>
      <c r="AG493" s="3">
        <v>80.0</v>
      </c>
      <c r="AH493" s="3">
        <v>56.0</v>
      </c>
      <c r="AI493" s="3">
        <v>35.0</v>
      </c>
      <c r="AJ493" s="3">
        <v>28.0</v>
      </c>
      <c r="AK493" s="3">
        <v>33.0</v>
      </c>
      <c r="AL493" s="3">
        <v>52.0</v>
      </c>
      <c r="AM493" s="3">
        <v>61.0</v>
      </c>
      <c r="AN493" s="3">
        <v>51.0</v>
      </c>
    </row>
    <row r="494" ht="14.25" customHeight="1">
      <c r="A494" s="3">
        <v>492.0</v>
      </c>
      <c r="B494" s="3" t="s">
        <v>7670</v>
      </c>
      <c r="C494" s="3">
        <v>20.0</v>
      </c>
      <c r="D494" s="3" t="s">
        <v>6645</v>
      </c>
      <c r="E494" s="3" t="s">
        <v>6646</v>
      </c>
      <c r="F494" s="3" t="s">
        <v>6646</v>
      </c>
      <c r="G494" s="3" t="s">
        <v>6645</v>
      </c>
      <c r="H494" s="3" t="s">
        <v>6645</v>
      </c>
      <c r="I494" s="3" t="s">
        <v>6645</v>
      </c>
      <c r="J494" s="3">
        <v>15.0</v>
      </c>
      <c r="K494" s="3">
        <v>1.0</v>
      </c>
      <c r="L494" s="3">
        <v>0.0</v>
      </c>
      <c r="M494" s="3">
        <v>0.0</v>
      </c>
      <c r="N494" s="3">
        <v>1515.63</v>
      </c>
      <c r="O494" s="3">
        <v>192.0</v>
      </c>
      <c r="P494" s="3" t="e">
        <v>#N/A</v>
      </c>
      <c r="Q494" s="3">
        <v>36.0</v>
      </c>
      <c r="R494" s="3">
        <v>42.0</v>
      </c>
      <c r="S494" s="3">
        <v>40.0</v>
      </c>
      <c r="T494" s="3">
        <v>46.0</v>
      </c>
      <c r="U494" s="3">
        <v>38.0</v>
      </c>
      <c r="V494" s="3">
        <v>38.0</v>
      </c>
      <c r="W494" s="3">
        <v>36.0</v>
      </c>
      <c r="X494" s="3">
        <v>34.0</v>
      </c>
      <c r="Y494" s="3">
        <v>46.0</v>
      </c>
      <c r="Z494" s="3">
        <v>37.0</v>
      </c>
      <c r="AA494" s="3">
        <v>42.0</v>
      </c>
      <c r="AB494" s="3">
        <v>38.0</v>
      </c>
      <c r="AC494" s="3">
        <v>49.0</v>
      </c>
      <c r="AD494" s="3">
        <v>49.0</v>
      </c>
      <c r="AE494" s="3">
        <v>35.0</v>
      </c>
      <c r="AF494" s="3">
        <v>47.0</v>
      </c>
      <c r="AG494" s="3">
        <v>68.0</v>
      </c>
      <c r="AH494" s="3">
        <v>58.0</v>
      </c>
      <c r="AI494" s="3">
        <v>41.0</v>
      </c>
      <c r="AJ494" s="3">
        <v>51.0</v>
      </c>
      <c r="AK494" s="3">
        <v>45.0</v>
      </c>
      <c r="AL494" s="3">
        <v>60.0</v>
      </c>
      <c r="AM494" s="3">
        <v>3.0</v>
      </c>
      <c r="AN494" s="3">
        <v>37.0</v>
      </c>
    </row>
    <row r="495" ht="14.25" customHeight="1">
      <c r="A495" s="3">
        <v>493.0</v>
      </c>
      <c r="B495" s="3" t="s">
        <v>7671</v>
      </c>
      <c r="C495" s="3">
        <v>19.0</v>
      </c>
      <c r="D495" s="3" t="s">
        <v>6645</v>
      </c>
      <c r="E495" s="3" t="s">
        <v>6646</v>
      </c>
      <c r="F495" s="3" t="s">
        <v>6646</v>
      </c>
      <c r="G495" s="3" t="s">
        <v>6645</v>
      </c>
      <c r="H495" s="3" t="s">
        <v>6645</v>
      </c>
      <c r="I495" s="3" t="s">
        <v>6645</v>
      </c>
      <c r="J495" s="3">
        <v>15.0</v>
      </c>
      <c r="K495" s="3">
        <v>0.0</v>
      </c>
      <c r="L495" s="3">
        <v>0.0</v>
      </c>
      <c r="M495" s="3">
        <v>0.0</v>
      </c>
      <c r="N495" s="3">
        <v>505.931</v>
      </c>
      <c r="O495" s="3">
        <v>84.0</v>
      </c>
      <c r="P495" s="3" t="e">
        <v>#N/A</v>
      </c>
      <c r="Q495" s="3">
        <v>30.0</v>
      </c>
      <c r="R495" s="3">
        <v>38.0</v>
      </c>
      <c r="S495" s="3">
        <v>37.0</v>
      </c>
      <c r="T495" s="3">
        <v>34.0</v>
      </c>
      <c r="U495" s="3">
        <v>31.0</v>
      </c>
      <c r="V495" s="3">
        <v>38.0</v>
      </c>
      <c r="W495" s="3">
        <v>30.0</v>
      </c>
      <c r="X495" s="3">
        <v>24.0</v>
      </c>
      <c r="Y495" s="3">
        <v>39.0</v>
      </c>
      <c r="Z495" s="3">
        <v>36.0</v>
      </c>
      <c r="AA495" s="3">
        <v>25.0</v>
      </c>
      <c r="AB495" s="3">
        <v>32.0</v>
      </c>
      <c r="AC495" s="3">
        <v>41.0</v>
      </c>
      <c r="AD495" s="3">
        <v>47.0</v>
      </c>
      <c r="AE495" s="3">
        <v>29.0</v>
      </c>
      <c r="AF495" s="3">
        <v>42.0</v>
      </c>
      <c r="AG495" s="3">
        <v>72.0</v>
      </c>
      <c r="AH495" s="3">
        <v>35.0</v>
      </c>
      <c r="AI495" s="3">
        <v>32.0</v>
      </c>
      <c r="AJ495" s="3">
        <v>51.0</v>
      </c>
      <c r="AK495" s="3">
        <v>51.0</v>
      </c>
      <c r="AL495" s="3">
        <v>29.0</v>
      </c>
      <c r="AM495" s="3">
        <v>33.0</v>
      </c>
      <c r="AN495" s="3">
        <v>43.0</v>
      </c>
    </row>
    <row r="496" ht="14.25" customHeight="1">
      <c r="A496" s="3">
        <v>494.0</v>
      </c>
      <c r="B496" s="3" t="s">
        <v>7672</v>
      </c>
      <c r="C496" s="3">
        <v>16.0</v>
      </c>
      <c r="D496" s="3" t="s">
        <v>6645</v>
      </c>
      <c r="E496" s="3" t="s">
        <v>6646</v>
      </c>
      <c r="F496" s="3" t="s">
        <v>6646</v>
      </c>
      <c r="G496" s="3" t="s">
        <v>6645</v>
      </c>
      <c r="H496" s="3" t="s">
        <v>6645</v>
      </c>
      <c r="I496" s="3" t="s">
        <v>6646</v>
      </c>
      <c r="J496" s="3">
        <v>15.0</v>
      </c>
      <c r="K496" s="3">
        <v>0.0</v>
      </c>
      <c r="L496" s="3">
        <v>0.0</v>
      </c>
      <c r="M496" s="3">
        <v>0.0</v>
      </c>
      <c r="N496" s="3">
        <v>470.19857</v>
      </c>
      <c r="O496" s="3">
        <v>87.0</v>
      </c>
      <c r="P496" s="3" t="e">
        <v>#N/A</v>
      </c>
      <c r="Q496" s="3">
        <v>38.0</v>
      </c>
      <c r="R496" s="3">
        <v>33.0</v>
      </c>
      <c r="S496" s="3">
        <v>32.0</v>
      </c>
      <c r="T496" s="3">
        <v>36.0</v>
      </c>
      <c r="U496" s="3">
        <v>33.0</v>
      </c>
      <c r="V496" s="3">
        <v>33.0</v>
      </c>
      <c r="W496" s="3">
        <v>22.0</v>
      </c>
      <c r="X496" s="3">
        <v>27.0</v>
      </c>
      <c r="Y496" s="3">
        <v>48.0</v>
      </c>
      <c r="Z496" s="3">
        <v>30.0</v>
      </c>
      <c r="AA496" s="3">
        <v>35.0</v>
      </c>
      <c r="AB496" s="3">
        <v>38.0</v>
      </c>
      <c r="AC496" s="3">
        <v>40.0</v>
      </c>
      <c r="AD496" s="3">
        <v>48.0</v>
      </c>
      <c r="AE496" s="3">
        <v>23.0</v>
      </c>
      <c r="AF496" s="3">
        <v>57.0</v>
      </c>
      <c r="AG496" s="3">
        <v>73.0</v>
      </c>
      <c r="AH496" s="3">
        <v>33.0</v>
      </c>
      <c r="AI496" s="3">
        <v>8.0</v>
      </c>
      <c r="AJ496" s="3">
        <v>57.0</v>
      </c>
      <c r="AK496" s="3">
        <v>32.0</v>
      </c>
      <c r="AL496" s="3">
        <v>55.0</v>
      </c>
      <c r="AM496" s="3">
        <v>39.0</v>
      </c>
      <c r="AN496" s="3">
        <v>54.0</v>
      </c>
    </row>
    <row r="497" ht="14.25" customHeight="1">
      <c r="A497" s="3">
        <v>495.0</v>
      </c>
      <c r="B497" s="3" t="s">
        <v>7673</v>
      </c>
      <c r="C497" s="3">
        <v>16.0</v>
      </c>
      <c r="D497" s="3" t="s">
        <v>6645</v>
      </c>
      <c r="E497" s="3" t="s">
        <v>6646</v>
      </c>
      <c r="F497" s="3" t="s">
        <v>6646</v>
      </c>
      <c r="G497" s="3" t="s">
        <v>6645</v>
      </c>
      <c r="H497" s="3" t="s">
        <v>6645</v>
      </c>
      <c r="I497" s="3" t="s">
        <v>6646</v>
      </c>
      <c r="J497" s="3">
        <v>15.0</v>
      </c>
      <c r="K497" s="3">
        <v>0.0</v>
      </c>
      <c r="L497" s="3">
        <v>0.0</v>
      </c>
      <c r="M497" s="3">
        <v>0.0</v>
      </c>
      <c r="N497" s="3">
        <v>495.82763</v>
      </c>
      <c r="O497" s="3">
        <v>81.0</v>
      </c>
      <c r="P497" s="3" t="e">
        <v>#N/A</v>
      </c>
      <c r="Q497" s="3">
        <v>36.0</v>
      </c>
      <c r="R497" s="3">
        <v>38.0</v>
      </c>
      <c r="S497" s="3">
        <v>30.0</v>
      </c>
      <c r="T497" s="3">
        <v>30.0</v>
      </c>
      <c r="U497" s="3">
        <v>39.0</v>
      </c>
      <c r="V497" s="3">
        <v>34.0</v>
      </c>
      <c r="W497" s="3">
        <v>36.0</v>
      </c>
      <c r="X497" s="3">
        <v>32.0</v>
      </c>
      <c r="Y497" s="3">
        <v>46.0</v>
      </c>
      <c r="Z497" s="3">
        <v>22.0</v>
      </c>
      <c r="AA497" s="3">
        <v>36.0</v>
      </c>
      <c r="AB497" s="3">
        <v>33.0</v>
      </c>
      <c r="AC497" s="3">
        <v>38.0</v>
      </c>
      <c r="AD497" s="3">
        <v>40.0</v>
      </c>
      <c r="AE497" s="3">
        <v>31.0</v>
      </c>
      <c r="AF497" s="3">
        <v>57.0</v>
      </c>
      <c r="AG497" s="3">
        <v>72.0</v>
      </c>
      <c r="AH497" s="3">
        <v>19.0</v>
      </c>
      <c r="AI497" s="3">
        <v>39.0</v>
      </c>
      <c r="AJ497" s="3">
        <v>54.0</v>
      </c>
      <c r="AK497" s="3">
        <v>31.0</v>
      </c>
      <c r="AL497" s="3">
        <v>58.0</v>
      </c>
      <c r="AM497" s="3">
        <v>46.0</v>
      </c>
      <c r="AN497" s="3">
        <v>34.0</v>
      </c>
    </row>
    <row r="498" ht="14.25" customHeight="1">
      <c r="A498" s="3">
        <v>496.0</v>
      </c>
      <c r="B498" s="3" t="s">
        <v>7674</v>
      </c>
      <c r="C498" s="3">
        <v>22.0</v>
      </c>
      <c r="D498" s="3" t="s">
        <v>6645</v>
      </c>
      <c r="E498" s="3" t="s">
        <v>6646</v>
      </c>
      <c r="F498" s="3" t="s">
        <v>6646</v>
      </c>
      <c r="G498" s="3" t="s">
        <v>6645</v>
      </c>
      <c r="H498" s="3" t="s">
        <v>6645</v>
      </c>
      <c r="I498" s="3" t="s">
        <v>6645</v>
      </c>
      <c r="J498" s="3">
        <v>15.0</v>
      </c>
      <c r="K498" s="3">
        <v>0.0</v>
      </c>
      <c r="L498" s="3">
        <v>0.0</v>
      </c>
      <c r="M498" s="3">
        <v>0.0</v>
      </c>
      <c r="N498" s="3">
        <v>436.40698</v>
      </c>
      <c r="O498" s="3">
        <v>100.0</v>
      </c>
      <c r="P498" s="3" t="e">
        <v>#N/A</v>
      </c>
      <c r="Q498" s="3">
        <v>38.0</v>
      </c>
      <c r="R498" s="3">
        <v>31.0</v>
      </c>
      <c r="S498" s="3">
        <v>32.0</v>
      </c>
      <c r="T498" s="3">
        <v>32.0</v>
      </c>
      <c r="U498" s="3">
        <v>38.0</v>
      </c>
      <c r="V498" s="3">
        <v>33.0</v>
      </c>
      <c r="W498" s="3">
        <v>37.0</v>
      </c>
      <c r="X498" s="3">
        <v>30.0</v>
      </c>
      <c r="Y498" s="3">
        <v>43.0</v>
      </c>
      <c r="Z498" s="3">
        <v>22.0</v>
      </c>
      <c r="AA498" s="3">
        <v>33.0</v>
      </c>
      <c r="AB498" s="3">
        <v>35.0</v>
      </c>
      <c r="AC498" s="3">
        <v>37.0</v>
      </c>
      <c r="AD498" s="3">
        <v>39.0</v>
      </c>
      <c r="AE498" s="3">
        <v>26.0</v>
      </c>
      <c r="AF498" s="3">
        <v>51.0</v>
      </c>
      <c r="AG498" s="3">
        <v>74.0</v>
      </c>
      <c r="AH498" s="3">
        <v>55.0</v>
      </c>
      <c r="AI498" s="3">
        <v>58.0</v>
      </c>
      <c r="AJ498" s="3">
        <v>44.0</v>
      </c>
      <c r="AK498" s="3">
        <v>23.0</v>
      </c>
      <c r="AL498" s="3">
        <v>54.0</v>
      </c>
      <c r="AM498" s="3">
        <v>42.0</v>
      </c>
      <c r="AN498" s="3">
        <v>59.0</v>
      </c>
    </row>
    <row r="499" ht="14.25" customHeight="1">
      <c r="A499" s="3">
        <v>497.0</v>
      </c>
      <c r="B499" s="3" t="s">
        <v>7675</v>
      </c>
      <c r="C499" s="3">
        <v>22.0</v>
      </c>
      <c r="D499" s="3" t="s">
        <v>6645</v>
      </c>
      <c r="E499" s="3" t="s">
        <v>6646</v>
      </c>
      <c r="F499" s="3" t="s">
        <v>6646</v>
      </c>
      <c r="G499" s="3" t="s">
        <v>6645</v>
      </c>
      <c r="H499" s="3" t="s">
        <v>6645</v>
      </c>
      <c r="I499" s="3" t="s">
        <v>6645</v>
      </c>
      <c r="J499" s="3">
        <v>15.0</v>
      </c>
      <c r="K499" s="3">
        <v>0.0</v>
      </c>
      <c r="L499" s="3">
        <v>0.0</v>
      </c>
      <c r="M499" s="3">
        <v>0.0</v>
      </c>
      <c r="N499" s="3">
        <v>421.55914</v>
      </c>
      <c r="O499" s="3">
        <v>112.0</v>
      </c>
      <c r="P499" s="3" t="e">
        <v>#N/A</v>
      </c>
      <c r="Q499" s="3">
        <v>33.0</v>
      </c>
      <c r="R499" s="3">
        <v>36.0</v>
      </c>
      <c r="S499" s="3">
        <v>35.0</v>
      </c>
      <c r="T499" s="3">
        <v>39.0</v>
      </c>
      <c r="U499" s="3">
        <v>38.0</v>
      </c>
      <c r="V499" s="3">
        <v>31.0</v>
      </c>
      <c r="W499" s="3">
        <v>23.0</v>
      </c>
      <c r="X499" s="3">
        <v>34.0</v>
      </c>
      <c r="Y499" s="3">
        <v>40.0</v>
      </c>
      <c r="Z499" s="3">
        <v>36.0</v>
      </c>
      <c r="AA499" s="3">
        <v>25.0</v>
      </c>
      <c r="AB499" s="3">
        <v>35.0</v>
      </c>
      <c r="AC499" s="3">
        <v>38.0</v>
      </c>
      <c r="AD499" s="3">
        <v>44.0</v>
      </c>
      <c r="AE499" s="3">
        <v>32.0</v>
      </c>
      <c r="AF499" s="3">
        <v>32.0</v>
      </c>
      <c r="AG499" s="3">
        <v>64.0</v>
      </c>
      <c r="AH499" s="3">
        <v>31.0</v>
      </c>
      <c r="AI499" s="3">
        <v>25.0</v>
      </c>
      <c r="AJ499" s="3">
        <v>35.0</v>
      </c>
      <c r="AK499" s="3">
        <v>40.0</v>
      </c>
      <c r="AL499" s="3">
        <v>41.0</v>
      </c>
      <c r="AM499" s="3">
        <v>31.0</v>
      </c>
      <c r="AN499" s="3">
        <v>48.0</v>
      </c>
    </row>
    <row r="500" ht="14.25" customHeight="1">
      <c r="A500" s="3">
        <v>498.0</v>
      </c>
      <c r="B500" s="3" t="s">
        <v>7676</v>
      </c>
      <c r="C500" s="3">
        <v>37.0</v>
      </c>
      <c r="D500" s="3" t="s">
        <v>6645</v>
      </c>
      <c r="E500" s="3" t="s">
        <v>6646</v>
      </c>
      <c r="F500" s="3" t="s">
        <v>6646</v>
      </c>
      <c r="G500" s="3" t="s">
        <v>6645</v>
      </c>
      <c r="H500" s="3" t="s">
        <v>6645</v>
      </c>
      <c r="I500" s="3" t="s">
        <v>6646</v>
      </c>
      <c r="J500" s="3">
        <v>16.0</v>
      </c>
      <c r="K500" s="3">
        <v>4.0</v>
      </c>
      <c r="L500" s="3">
        <v>0.0</v>
      </c>
      <c r="M500" s="3">
        <v>0.0</v>
      </c>
      <c r="N500" s="3">
        <v>11095.409</v>
      </c>
      <c r="O500" s="3">
        <v>1345.0</v>
      </c>
      <c r="P500" s="3" t="e">
        <v>#N/A</v>
      </c>
      <c r="Q500" s="3">
        <v>60.0</v>
      </c>
      <c r="R500" s="3">
        <v>65.0</v>
      </c>
      <c r="S500" s="3">
        <v>73.0</v>
      </c>
      <c r="T500" s="3">
        <v>58.0</v>
      </c>
      <c r="U500" s="3">
        <v>62.0</v>
      </c>
      <c r="V500" s="3">
        <v>60.0</v>
      </c>
      <c r="W500" s="3">
        <v>71.0</v>
      </c>
      <c r="X500" s="3">
        <v>67.0</v>
      </c>
      <c r="Y500" s="3">
        <v>77.0</v>
      </c>
      <c r="Z500" s="3">
        <v>65.0</v>
      </c>
      <c r="AA500" s="3">
        <v>54.0</v>
      </c>
      <c r="AB500" s="3">
        <v>67.0</v>
      </c>
      <c r="AC500" s="3">
        <v>58.0</v>
      </c>
      <c r="AD500" s="3">
        <v>80.0</v>
      </c>
      <c r="AE500" s="3">
        <v>80.0</v>
      </c>
      <c r="AF500" s="3">
        <v>44.0</v>
      </c>
      <c r="AG500" s="3">
        <v>43.0</v>
      </c>
      <c r="AH500" s="3">
        <v>78.0</v>
      </c>
      <c r="AI500" s="3">
        <v>66.0</v>
      </c>
      <c r="AJ500" s="3">
        <v>46.0</v>
      </c>
      <c r="AK500" s="3">
        <v>33.0</v>
      </c>
      <c r="AL500" s="3">
        <v>84.0</v>
      </c>
      <c r="AM500" s="3">
        <v>42.0</v>
      </c>
      <c r="AN500" s="3">
        <v>20.0</v>
      </c>
    </row>
    <row r="501" ht="14.25" customHeight="1">
      <c r="A501" s="3">
        <v>499.0</v>
      </c>
      <c r="B501" s="3" t="s">
        <v>7677</v>
      </c>
      <c r="C501" s="3">
        <v>40.0</v>
      </c>
      <c r="D501" s="3" t="s">
        <v>6645</v>
      </c>
      <c r="E501" s="3" t="s">
        <v>6646</v>
      </c>
      <c r="F501" s="3" t="s">
        <v>6646</v>
      </c>
      <c r="G501" s="3" t="s">
        <v>6645</v>
      </c>
      <c r="H501" s="3" t="s">
        <v>6645</v>
      </c>
      <c r="I501" s="3" t="s">
        <v>6645</v>
      </c>
      <c r="J501" s="3">
        <v>16.0</v>
      </c>
      <c r="K501" s="3">
        <v>4.0</v>
      </c>
      <c r="L501" s="3">
        <v>0.0</v>
      </c>
      <c r="M501" s="3">
        <v>0.0</v>
      </c>
      <c r="N501" s="3">
        <v>12008.971</v>
      </c>
      <c r="O501" s="3">
        <v>1705.0</v>
      </c>
      <c r="P501" s="3" t="e">
        <v>#N/A</v>
      </c>
      <c r="Q501" s="3">
        <v>62.0</v>
      </c>
      <c r="R501" s="3">
        <v>61.0</v>
      </c>
      <c r="S501" s="3">
        <v>77.0</v>
      </c>
      <c r="T501" s="3">
        <v>64.0</v>
      </c>
      <c r="U501" s="3">
        <v>61.0</v>
      </c>
      <c r="V501" s="3">
        <v>61.0</v>
      </c>
      <c r="W501" s="3">
        <v>70.0</v>
      </c>
      <c r="X501" s="3">
        <v>72.0</v>
      </c>
      <c r="Y501" s="3">
        <v>72.0</v>
      </c>
      <c r="Z501" s="3">
        <v>56.0</v>
      </c>
      <c r="AA501" s="3">
        <v>61.0</v>
      </c>
      <c r="AB501" s="3">
        <v>60.0</v>
      </c>
      <c r="AC501" s="3">
        <v>54.0</v>
      </c>
      <c r="AD501" s="3">
        <v>77.0</v>
      </c>
      <c r="AE501" s="3">
        <v>76.0</v>
      </c>
      <c r="AF501" s="3">
        <v>66.0</v>
      </c>
      <c r="AG501" s="3">
        <v>64.0</v>
      </c>
      <c r="AH501" s="3">
        <v>82.0</v>
      </c>
      <c r="AI501" s="3">
        <v>67.0</v>
      </c>
      <c r="AJ501" s="3">
        <v>53.0</v>
      </c>
      <c r="AK501" s="3">
        <v>25.0</v>
      </c>
      <c r="AL501" s="3">
        <v>83.0</v>
      </c>
      <c r="AM501" s="3">
        <v>51.0</v>
      </c>
      <c r="AN501" s="3">
        <v>42.0</v>
      </c>
    </row>
    <row r="502" ht="14.25" customHeight="1">
      <c r="A502" s="3">
        <v>500.0</v>
      </c>
      <c r="B502" s="3" t="s">
        <v>7678</v>
      </c>
      <c r="C502" s="3">
        <v>43.0</v>
      </c>
      <c r="D502" s="3" t="s">
        <v>6645</v>
      </c>
      <c r="E502" s="3" t="s">
        <v>6646</v>
      </c>
      <c r="F502" s="3" t="s">
        <v>6646</v>
      </c>
      <c r="G502" s="3" t="s">
        <v>6645</v>
      </c>
      <c r="H502" s="3" t="s">
        <v>6645</v>
      </c>
      <c r="I502" s="3" t="s">
        <v>6646</v>
      </c>
      <c r="J502" s="3">
        <v>16.0</v>
      </c>
      <c r="K502" s="3">
        <v>4.0</v>
      </c>
      <c r="L502" s="3">
        <v>0.0</v>
      </c>
      <c r="M502" s="3">
        <v>0.0</v>
      </c>
      <c r="N502" s="3">
        <v>12121.641</v>
      </c>
      <c r="O502" s="3">
        <v>1878.0</v>
      </c>
      <c r="P502" s="3" t="e">
        <v>#N/A</v>
      </c>
      <c r="Q502" s="3">
        <v>59.0</v>
      </c>
      <c r="R502" s="3">
        <v>70.0</v>
      </c>
      <c r="S502" s="3">
        <v>75.0</v>
      </c>
      <c r="T502" s="3">
        <v>58.0</v>
      </c>
      <c r="U502" s="3">
        <v>64.0</v>
      </c>
      <c r="V502" s="3">
        <v>64.0</v>
      </c>
      <c r="W502" s="3">
        <v>74.0</v>
      </c>
      <c r="X502" s="3">
        <v>58.0</v>
      </c>
      <c r="Y502" s="3">
        <v>78.0</v>
      </c>
      <c r="Z502" s="3">
        <v>63.0</v>
      </c>
      <c r="AA502" s="3">
        <v>54.0</v>
      </c>
      <c r="AB502" s="3">
        <v>63.0</v>
      </c>
      <c r="AC502" s="3">
        <v>65.0</v>
      </c>
      <c r="AD502" s="3">
        <v>84.0</v>
      </c>
      <c r="AE502" s="3">
        <v>76.0</v>
      </c>
      <c r="AF502" s="3">
        <v>66.0</v>
      </c>
      <c r="AG502" s="3">
        <v>37.0</v>
      </c>
      <c r="AH502" s="3">
        <v>85.0</v>
      </c>
      <c r="AI502" s="3">
        <v>43.0</v>
      </c>
      <c r="AJ502" s="3">
        <v>31.0</v>
      </c>
      <c r="AK502" s="3">
        <v>64.0</v>
      </c>
      <c r="AL502" s="3">
        <v>77.0</v>
      </c>
      <c r="AM502" s="3">
        <v>70.0</v>
      </c>
      <c r="AN502" s="3">
        <v>69.0</v>
      </c>
    </row>
    <row r="503" ht="14.25" customHeight="1">
      <c r="A503" s="3">
        <v>501.0</v>
      </c>
      <c r="B503" s="3" t="s">
        <v>7679</v>
      </c>
      <c r="C503" s="3">
        <v>37.0</v>
      </c>
      <c r="D503" s="3" t="s">
        <v>6645</v>
      </c>
      <c r="E503" s="3" t="s">
        <v>6646</v>
      </c>
      <c r="F503" s="3" t="s">
        <v>6646</v>
      </c>
      <c r="G503" s="3" t="s">
        <v>6645</v>
      </c>
      <c r="H503" s="3" t="s">
        <v>6645</v>
      </c>
      <c r="I503" s="3" t="s">
        <v>6646</v>
      </c>
      <c r="J503" s="3">
        <v>16.0</v>
      </c>
      <c r="K503" s="3">
        <v>3.0</v>
      </c>
      <c r="L503" s="3">
        <v>0.0</v>
      </c>
      <c r="M503" s="3">
        <v>0.0</v>
      </c>
      <c r="N503" s="3">
        <v>7515.1533</v>
      </c>
      <c r="O503" s="3">
        <v>810.0</v>
      </c>
      <c r="P503" s="3" t="e">
        <v>#N/A</v>
      </c>
      <c r="Q503" s="3">
        <v>57.0</v>
      </c>
      <c r="R503" s="3">
        <v>56.0</v>
      </c>
      <c r="S503" s="3">
        <v>56.0</v>
      </c>
      <c r="T503" s="3">
        <v>52.0</v>
      </c>
      <c r="U503" s="3">
        <v>54.0</v>
      </c>
      <c r="V503" s="3">
        <v>57.0</v>
      </c>
      <c r="W503" s="3">
        <v>63.0</v>
      </c>
      <c r="X503" s="3">
        <v>57.0</v>
      </c>
      <c r="Y503" s="3">
        <v>66.0</v>
      </c>
      <c r="Z503" s="3">
        <v>60.0</v>
      </c>
      <c r="AA503" s="3">
        <v>54.0</v>
      </c>
      <c r="AB503" s="3">
        <v>47.0</v>
      </c>
      <c r="AC503" s="3">
        <v>54.0</v>
      </c>
      <c r="AD503" s="3">
        <v>59.0</v>
      </c>
      <c r="AE503" s="3">
        <v>65.0</v>
      </c>
      <c r="AF503" s="3">
        <v>40.0</v>
      </c>
      <c r="AG503" s="3">
        <v>53.0</v>
      </c>
      <c r="AH503" s="3">
        <v>81.0</v>
      </c>
      <c r="AI503" s="3">
        <v>64.0</v>
      </c>
      <c r="AJ503" s="3">
        <v>54.0</v>
      </c>
      <c r="AK503" s="3">
        <v>58.0</v>
      </c>
      <c r="AL503" s="3">
        <v>78.0</v>
      </c>
      <c r="AM503" s="3">
        <v>33.0</v>
      </c>
      <c r="AN503" s="3">
        <v>68.0</v>
      </c>
    </row>
    <row r="504" ht="14.25" customHeight="1">
      <c r="A504" s="3">
        <v>502.0</v>
      </c>
      <c r="B504" s="3" t="s">
        <v>7680</v>
      </c>
      <c r="C504" s="3">
        <v>33.0</v>
      </c>
      <c r="D504" s="3" t="s">
        <v>6645</v>
      </c>
      <c r="E504" s="3" t="s">
        <v>6646</v>
      </c>
      <c r="F504" s="3" t="s">
        <v>6646</v>
      </c>
      <c r="G504" s="3" t="s">
        <v>6645</v>
      </c>
      <c r="H504" s="3" t="s">
        <v>6645</v>
      </c>
      <c r="I504" s="3" t="s">
        <v>6645</v>
      </c>
      <c r="J504" s="3">
        <v>16.0</v>
      </c>
      <c r="K504" s="3">
        <v>3.0</v>
      </c>
      <c r="L504" s="3">
        <v>0.0</v>
      </c>
      <c r="M504" s="3">
        <v>0.0</v>
      </c>
      <c r="N504" s="3">
        <v>6659.0</v>
      </c>
      <c r="O504" s="3">
        <v>890.0</v>
      </c>
      <c r="P504" s="3" t="e">
        <v>#N/A</v>
      </c>
      <c r="Q504" s="3">
        <v>56.0</v>
      </c>
      <c r="R504" s="3">
        <v>55.0</v>
      </c>
      <c r="S504" s="3">
        <v>60.0</v>
      </c>
      <c r="T504" s="3">
        <v>59.0</v>
      </c>
      <c r="U504" s="3">
        <v>53.0</v>
      </c>
      <c r="V504" s="3">
        <v>56.0</v>
      </c>
      <c r="W504" s="3">
        <v>59.0</v>
      </c>
      <c r="X504" s="3">
        <v>63.0</v>
      </c>
      <c r="Y504" s="3">
        <v>64.0</v>
      </c>
      <c r="Z504" s="3">
        <v>55.0</v>
      </c>
      <c r="AA504" s="3">
        <v>55.0</v>
      </c>
      <c r="AB504" s="3">
        <v>53.0</v>
      </c>
      <c r="AC504" s="3">
        <v>53.0</v>
      </c>
      <c r="AD504" s="3">
        <v>60.0</v>
      </c>
      <c r="AE504" s="3">
        <v>67.0</v>
      </c>
      <c r="AF504" s="3">
        <v>48.0</v>
      </c>
      <c r="AG504" s="3">
        <v>30.0</v>
      </c>
      <c r="AH504" s="3">
        <v>68.0</v>
      </c>
      <c r="AI504" s="3">
        <v>66.0</v>
      </c>
      <c r="AJ504" s="3">
        <v>39.0</v>
      </c>
      <c r="AK504" s="3">
        <v>62.0</v>
      </c>
      <c r="AL504" s="3">
        <v>73.0</v>
      </c>
      <c r="AM504" s="3">
        <v>48.0</v>
      </c>
      <c r="AN504" s="3">
        <v>60.0</v>
      </c>
    </row>
    <row r="505" ht="14.25" customHeight="1">
      <c r="A505" s="3">
        <v>503.0</v>
      </c>
      <c r="B505" s="3" t="s">
        <v>7681</v>
      </c>
      <c r="C505" s="3">
        <v>37.0</v>
      </c>
      <c r="D505" s="3" t="s">
        <v>6645</v>
      </c>
      <c r="E505" s="3" t="s">
        <v>6646</v>
      </c>
      <c r="F505" s="3" t="s">
        <v>6646</v>
      </c>
      <c r="G505" s="3" t="s">
        <v>6645</v>
      </c>
      <c r="H505" s="3" t="s">
        <v>6645</v>
      </c>
      <c r="I505" s="3" t="s">
        <v>6645</v>
      </c>
      <c r="J505" s="3">
        <v>16.0</v>
      </c>
      <c r="K505" s="3">
        <v>3.0</v>
      </c>
      <c r="L505" s="3">
        <v>0.0</v>
      </c>
      <c r="M505" s="3">
        <v>0.0</v>
      </c>
      <c r="N505" s="3">
        <v>7350.04</v>
      </c>
      <c r="O505" s="3">
        <v>690.0</v>
      </c>
      <c r="P505" s="3" t="e">
        <v>#N/A</v>
      </c>
      <c r="Q505" s="3">
        <v>60.0</v>
      </c>
      <c r="R505" s="3">
        <v>55.0</v>
      </c>
      <c r="S505" s="3">
        <v>57.0</v>
      </c>
      <c r="T505" s="3">
        <v>59.0</v>
      </c>
      <c r="U505" s="3">
        <v>55.0</v>
      </c>
      <c r="V505" s="3">
        <v>54.0</v>
      </c>
      <c r="W505" s="3">
        <v>56.0</v>
      </c>
      <c r="X505" s="3">
        <v>58.0</v>
      </c>
      <c r="Y505" s="3">
        <v>66.0</v>
      </c>
      <c r="Z505" s="3">
        <v>51.0</v>
      </c>
      <c r="AA505" s="3">
        <v>57.0</v>
      </c>
      <c r="AB505" s="3">
        <v>59.0</v>
      </c>
      <c r="AC505" s="3">
        <v>52.0</v>
      </c>
      <c r="AD505" s="3">
        <v>67.0</v>
      </c>
      <c r="AE505" s="3">
        <v>64.0</v>
      </c>
      <c r="AF505" s="3">
        <v>28.0</v>
      </c>
      <c r="AG505" s="3">
        <v>65.0</v>
      </c>
      <c r="AH505" s="3">
        <v>76.0</v>
      </c>
      <c r="AI505" s="3">
        <v>58.0</v>
      </c>
      <c r="AJ505" s="3">
        <v>49.0</v>
      </c>
      <c r="AK505" s="3">
        <v>53.0</v>
      </c>
      <c r="AL505" s="3">
        <v>87.0</v>
      </c>
      <c r="AM505" s="3">
        <v>52.0</v>
      </c>
      <c r="AN505" s="3">
        <v>24.0</v>
      </c>
    </row>
    <row r="506" ht="14.25" customHeight="1">
      <c r="A506" s="3">
        <v>504.0</v>
      </c>
      <c r="B506" s="3" t="s">
        <v>7682</v>
      </c>
      <c r="C506" s="3">
        <v>34.0</v>
      </c>
      <c r="D506" s="3" t="s">
        <v>6645</v>
      </c>
      <c r="E506" s="3" t="s">
        <v>6646</v>
      </c>
      <c r="F506" s="3" t="s">
        <v>6646</v>
      </c>
      <c r="G506" s="3" t="s">
        <v>6645</v>
      </c>
      <c r="H506" s="3" t="s">
        <v>6645</v>
      </c>
      <c r="I506" s="3" t="s">
        <v>6645</v>
      </c>
      <c r="J506" s="3">
        <v>16.0</v>
      </c>
      <c r="K506" s="3">
        <v>3.0</v>
      </c>
      <c r="L506" s="3">
        <v>0.0</v>
      </c>
      <c r="M506" s="3">
        <v>0.0</v>
      </c>
      <c r="N506" s="3">
        <v>6930.14</v>
      </c>
      <c r="O506" s="3">
        <v>820.0</v>
      </c>
      <c r="P506" s="3" t="e">
        <v>#N/A</v>
      </c>
      <c r="Q506" s="3">
        <v>52.0</v>
      </c>
      <c r="R506" s="3">
        <v>56.0</v>
      </c>
      <c r="S506" s="3">
        <v>58.0</v>
      </c>
      <c r="T506" s="3">
        <v>51.0</v>
      </c>
      <c r="U506" s="3">
        <v>53.0</v>
      </c>
      <c r="V506" s="3">
        <v>54.0</v>
      </c>
      <c r="W506" s="3">
        <v>59.0</v>
      </c>
      <c r="X506" s="3">
        <v>57.0</v>
      </c>
      <c r="Y506" s="3">
        <v>65.0</v>
      </c>
      <c r="Z506" s="3">
        <v>52.0</v>
      </c>
      <c r="AA506" s="3">
        <v>59.0</v>
      </c>
      <c r="AB506" s="3">
        <v>46.0</v>
      </c>
      <c r="AC506" s="3">
        <v>50.0</v>
      </c>
      <c r="AD506" s="3">
        <v>66.0</v>
      </c>
      <c r="AE506" s="3">
        <v>65.0</v>
      </c>
      <c r="AF506" s="3">
        <v>43.0</v>
      </c>
      <c r="AG506" s="3">
        <v>20.0</v>
      </c>
      <c r="AH506" s="3">
        <v>75.0</v>
      </c>
      <c r="AI506" s="3">
        <v>61.0</v>
      </c>
      <c r="AJ506" s="3">
        <v>66.0</v>
      </c>
      <c r="AK506" s="3">
        <v>58.0</v>
      </c>
      <c r="AL506" s="3">
        <v>74.0</v>
      </c>
      <c r="AM506" s="3">
        <v>21.0</v>
      </c>
      <c r="AN506" s="3">
        <v>63.0</v>
      </c>
    </row>
    <row r="507" ht="14.25" customHeight="1">
      <c r="A507" s="3">
        <v>505.0</v>
      </c>
      <c r="B507" s="3" t="s">
        <v>7683</v>
      </c>
      <c r="C507" s="3">
        <v>27.0</v>
      </c>
      <c r="D507" s="3" t="s">
        <v>6645</v>
      </c>
      <c r="E507" s="3" t="s">
        <v>6646</v>
      </c>
      <c r="F507" s="3" t="s">
        <v>6646</v>
      </c>
      <c r="G507" s="3" t="s">
        <v>6645</v>
      </c>
      <c r="H507" s="3" t="s">
        <v>6645</v>
      </c>
      <c r="I507" s="3" t="s">
        <v>6645</v>
      </c>
      <c r="J507" s="3">
        <v>16.0</v>
      </c>
      <c r="K507" s="3">
        <v>2.0</v>
      </c>
      <c r="L507" s="3">
        <v>0.0</v>
      </c>
      <c r="M507" s="3">
        <v>0.0</v>
      </c>
      <c r="N507" s="3">
        <v>4140.5786</v>
      </c>
      <c r="O507" s="3">
        <v>488.0</v>
      </c>
      <c r="P507" s="3" t="e">
        <v>#N/A</v>
      </c>
      <c r="Q507" s="3">
        <v>52.0</v>
      </c>
      <c r="R507" s="3">
        <v>45.0</v>
      </c>
      <c r="S507" s="3">
        <v>50.0</v>
      </c>
      <c r="T507" s="3">
        <v>44.0</v>
      </c>
      <c r="U507" s="3">
        <v>50.0</v>
      </c>
      <c r="V507" s="3">
        <v>47.0</v>
      </c>
      <c r="W507" s="3">
        <v>46.0</v>
      </c>
      <c r="X507" s="3">
        <v>44.0</v>
      </c>
      <c r="Y507" s="3">
        <v>51.0</v>
      </c>
      <c r="Z507" s="3">
        <v>40.0</v>
      </c>
      <c r="AA507" s="3">
        <v>49.0</v>
      </c>
      <c r="AB507" s="3">
        <v>44.0</v>
      </c>
      <c r="AC507" s="3">
        <v>46.0</v>
      </c>
      <c r="AD507" s="3">
        <v>60.0</v>
      </c>
      <c r="AE507" s="3">
        <v>49.0</v>
      </c>
      <c r="AF507" s="3">
        <v>41.0</v>
      </c>
      <c r="AG507" s="3">
        <v>21.0</v>
      </c>
      <c r="AH507" s="3">
        <v>77.0</v>
      </c>
      <c r="AI507" s="3">
        <v>58.0</v>
      </c>
      <c r="AJ507" s="3">
        <v>53.0</v>
      </c>
      <c r="AK507" s="3">
        <v>51.0</v>
      </c>
      <c r="AL507" s="3">
        <v>69.0</v>
      </c>
      <c r="AM507" s="3">
        <v>31.0</v>
      </c>
      <c r="AN507" s="3">
        <v>47.0</v>
      </c>
    </row>
    <row r="508" ht="14.25" customHeight="1">
      <c r="A508" s="3">
        <v>506.0</v>
      </c>
      <c r="B508" s="3" t="s">
        <v>7684</v>
      </c>
      <c r="C508" s="3">
        <v>29.0</v>
      </c>
      <c r="D508" s="3" t="s">
        <v>6645</v>
      </c>
      <c r="E508" s="3" t="s">
        <v>6646</v>
      </c>
      <c r="F508" s="3" t="s">
        <v>6646</v>
      </c>
      <c r="G508" s="3" t="s">
        <v>6645</v>
      </c>
      <c r="H508" s="3" t="s">
        <v>6645</v>
      </c>
      <c r="I508" s="3" t="s">
        <v>6645</v>
      </c>
      <c r="J508" s="3">
        <v>16.0</v>
      </c>
      <c r="K508" s="3">
        <v>2.0</v>
      </c>
      <c r="L508" s="3">
        <v>0.0</v>
      </c>
      <c r="M508" s="3">
        <v>0.0</v>
      </c>
      <c r="N508" s="3">
        <v>4247.69</v>
      </c>
      <c r="O508" s="3">
        <v>383.0</v>
      </c>
      <c r="P508" s="3" t="e">
        <v>#N/A</v>
      </c>
      <c r="Q508" s="3">
        <v>45.0</v>
      </c>
      <c r="R508" s="3">
        <v>53.0</v>
      </c>
      <c r="S508" s="3">
        <v>50.0</v>
      </c>
      <c r="T508" s="3">
        <v>52.0</v>
      </c>
      <c r="U508" s="3">
        <v>50.0</v>
      </c>
      <c r="V508" s="3">
        <v>46.0</v>
      </c>
      <c r="W508" s="3">
        <v>51.0</v>
      </c>
      <c r="X508" s="3">
        <v>41.0</v>
      </c>
      <c r="Y508" s="3">
        <v>60.0</v>
      </c>
      <c r="Z508" s="3">
        <v>52.0</v>
      </c>
      <c r="AA508" s="3">
        <v>45.0</v>
      </c>
      <c r="AB508" s="3">
        <v>36.0</v>
      </c>
      <c r="AC508" s="3">
        <v>44.0</v>
      </c>
      <c r="AD508" s="3">
        <v>52.0</v>
      </c>
      <c r="AE508" s="3">
        <v>53.0</v>
      </c>
      <c r="AF508" s="3">
        <v>21.0</v>
      </c>
      <c r="AG508" s="3">
        <v>52.0</v>
      </c>
      <c r="AH508" s="3">
        <v>72.0</v>
      </c>
      <c r="AI508" s="3">
        <v>36.0</v>
      </c>
      <c r="AJ508" s="3">
        <v>59.0</v>
      </c>
      <c r="AK508" s="3">
        <v>62.0</v>
      </c>
      <c r="AL508" s="3">
        <v>85.0</v>
      </c>
      <c r="AM508" s="3">
        <v>50.0</v>
      </c>
      <c r="AN508" s="3">
        <v>25.0</v>
      </c>
    </row>
    <row r="509" ht="14.25" customHeight="1">
      <c r="A509" s="3">
        <v>507.0</v>
      </c>
      <c r="B509" s="3" t="s">
        <v>7685</v>
      </c>
      <c r="C509" s="3">
        <v>27.0</v>
      </c>
      <c r="D509" s="3" t="s">
        <v>6645</v>
      </c>
      <c r="E509" s="3" t="s">
        <v>6646</v>
      </c>
      <c r="F509" s="3" t="s">
        <v>6646</v>
      </c>
      <c r="G509" s="3" t="s">
        <v>6645</v>
      </c>
      <c r="H509" s="3" t="s">
        <v>6645</v>
      </c>
      <c r="I509" s="3" t="s">
        <v>6645</v>
      </c>
      <c r="J509" s="3">
        <v>16.0</v>
      </c>
      <c r="K509" s="3">
        <v>2.0</v>
      </c>
      <c r="L509" s="3">
        <v>0.0</v>
      </c>
      <c r="M509" s="3">
        <v>0.0</v>
      </c>
      <c r="N509" s="3">
        <v>4098.5034</v>
      </c>
      <c r="O509" s="3">
        <v>460.0</v>
      </c>
      <c r="P509" s="3" t="e">
        <v>#N/A</v>
      </c>
      <c r="Q509" s="3">
        <v>52.0</v>
      </c>
      <c r="R509" s="3">
        <v>49.0</v>
      </c>
      <c r="S509" s="3">
        <v>44.0</v>
      </c>
      <c r="T509" s="3">
        <v>45.0</v>
      </c>
      <c r="U509" s="3">
        <v>50.0</v>
      </c>
      <c r="V509" s="3">
        <v>48.0</v>
      </c>
      <c r="W509" s="3">
        <v>41.0</v>
      </c>
      <c r="X509" s="3">
        <v>43.0</v>
      </c>
      <c r="Y509" s="3">
        <v>55.0</v>
      </c>
      <c r="Z509" s="3">
        <v>44.0</v>
      </c>
      <c r="AA509" s="3">
        <v>47.0</v>
      </c>
      <c r="AB509" s="3">
        <v>47.0</v>
      </c>
      <c r="AC509" s="3">
        <v>45.0</v>
      </c>
      <c r="AD509" s="3">
        <v>50.0</v>
      </c>
      <c r="AE509" s="3">
        <v>51.0</v>
      </c>
      <c r="AF509" s="3">
        <v>11.0</v>
      </c>
      <c r="AG509" s="3">
        <v>57.0</v>
      </c>
      <c r="AH509" s="3">
        <v>68.0</v>
      </c>
      <c r="AI509" s="3">
        <v>57.0</v>
      </c>
      <c r="AJ509" s="3">
        <v>43.0</v>
      </c>
      <c r="AK509" s="3">
        <v>25.0</v>
      </c>
      <c r="AL509" s="3">
        <v>70.0</v>
      </c>
      <c r="AM509" s="3">
        <v>36.0</v>
      </c>
      <c r="AN509" s="3">
        <v>63.0</v>
      </c>
    </row>
    <row r="510" ht="14.25" customHeight="1">
      <c r="A510" s="3">
        <v>508.0</v>
      </c>
      <c r="B510" s="3" t="s">
        <v>7686</v>
      </c>
      <c r="C510" s="3">
        <v>32.0</v>
      </c>
      <c r="D510" s="3" t="s">
        <v>6645</v>
      </c>
      <c r="E510" s="3" t="s">
        <v>6646</v>
      </c>
      <c r="F510" s="3" t="s">
        <v>6646</v>
      </c>
      <c r="G510" s="3" t="s">
        <v>6645</v>
      </c>
      <c r="H510" s="3" t="s">
        <v>6645</v>
      </c>
      <c r="I510" s="3" t="s">
        <v>6646</v>
      </c>
      <c r="J510" s="3">
        <v>16.0</v>
      </c>
      <c r="K510" s="3">
        <v>2.0</v>
      </c>
      <c r="L510" s="3">
        <v>0.0</v>
      </c>
      <c r="M510" s="3">
        <v>0.0</v>
      </c>
      <c r="N510" s="3">
        <v>4268.5703</v>
      </c>
      <c r="O510" s="3">
        <v>419.0</v>
      </c>
      <c r="P510" s="3" t="e">
        <v>#N/A</v>
      </c>
      <c r="Q510" s="3">
        <v>45.0</v>
      </c>
      <c r="R510" s="3">
        <v>44.0</v>
      </c>
      <c r="S510" s="3">
        <v>45.0</v>
      </c>
      <c r="T510" s="3">
        <v>49.0</v>
      </c>
      <c r="U510" s="3">
        <v>46.0</v>
      </c>
      <c r="V510" s="3">
        <v>49.0</v>
      </c>
      <c r="W510" s="3">
        <v>52.0</v>
      </c>
      <c r="X510" s="3">
        <v>48.0</v>
      </c>
      <c r="Y510" s="3">
        <v>58.0</v>
      </c>
      <c r="Z510" s="3">
        <v>47.0</v>
      </c>
      <c r="AA510" s="3">
        <v>46.0</v>
      </c>
      <c r="AB510" s="3">
        <v>43.0</v>
      </c>
      <c r="AC510" s="3">
        <v>48.0</v>
      </c>
      <c r="AD510" s="3">
        <v>58.0</v>
      </c>
      <c r="AE510" s="3">
        <v>59.0</v>
      </c>
      <c r="AF510" s="3">
        <v>54.0</v>
      </c>
      <c r="AG510" s="3">
        <v>48.0</v>
      </c>
      <c r="AH510" s="3">
        <v>75.0</v>
      </c>
      <c r="AI510" s="3">
        <v>30.0</v>
      </c>
      <c r="AJ510" s="3">
        <v>40.0</v>
      </c>
      <c r="AK510" s="3">
        <v>49.0</v>
      </c>
      <c r="AL510" s="3">
        <v>82.0</v>
      </c>
      <c r="AM510" s="3">
        <v>64.0</v>
      </c>
      <c r="AN510" s="3">
        <v>51.0</v>
      </c>
    </row>
    <row r="511" ht="14.25" customHeight="1">
      <c r="A511" s="3">
        <v>509.0</v>
      </c>
      <c r="B511" s="3" t="s">
        <v>7687</v>
      </c>
      <c r="C511" s="3">
        <v>23.0</v>
      </c>
      <c r="D511" s="3" t="s">
        <v>6645</v>
      </c>
      <c r="E511" s="3" t="s">
        <v>6646</v>
      </c>
      <c r="F511" s="3" t="s">
        <v>6646</v>
      </c>
      <c r="G511" s="3" t="s">
        <v>6645</v>
      </c>
      <c r="H511" s="3" t="s">
        <v>6645</v>
      </c>
      <c r="I511" s="3" t="s">
        <v>6646</v>
      </c>
      <c r="J511" s="3">
        <v>16.0</v>
      </c>
      <c r="K511" s="3">
        <v>1.0</v>
      </c>
      <c r="L511" s="3">
        <v>0.0</v>
      </c>
      <c r="M511" s="3">
        <v>0.0</v>
      </c>
      <c r="N511" s="3">
        <v>1685.9217</v>
      </c>
      <c r="O511" s="3">
        <v>242.0</v>
      </c>
      <c r="P511" s="3" t="e">
        <v>#N/A</v>
      </c>
      <c r="Q511" s="3">
        <v>40.0</v>
      </c>
      <c r="R511" s="3">
        <v>44.0</v>
      </c>
      <c r="S511" s="3">
        <v>38.0</v>
      </c>
      <c r="T511" s="3">
        <v>41.0</v>
      </c>
      <c r="U511" s="3">
        <v>45.0</v>
      </c>
      <c r="V511" s="3">
        <v>42.0</v>
      </c>
      <c r="W511" s="3">
        <v>31.0</v>
      </c>
      <c r="X511" s="3">
        <v>39.0</v>
      </c>
      <c r="Y511" s="3">
        <v>54.0</v>
      </c>
      <c r="Z511" s="3">
        <v>33.0</v>
      </c>
      <c r="AA511" s="3">
        <v>28.0</v>
      </c>
      <c r="AB511" s="3">
        <v>41.0</v>
      </c>
      <c r="AC511" s="3">
        <v>37.0</v>
      </c>
      <c r="AD511" s="3">
        <v>45.0</v>
      </c>
      <c r="AE511" s="3">
        <v>52.0</v>
      </c>
      <c r="AF511" s="3">
        <v>48.0</v>
      </c>
      <c r="AG511" s="3">
        <v>30.0</v>
      </c>
      <c r="AH511" s="3">
        <v>67.0</v>
      </c>
      <c r="AI511" s="3">
        <v>62.0</v>
      </c>
      <c r="AJ511" s="3">
        <v>9.0</v>
      </c>
      <c r="AK511" s="3">
        <v>46.0</v>
      </c>
      <c r="AL511" s="3">
        <v>78.0</v>
      </c>
      <c r="AM511" s="3">
        <v>45.0</v>
      </c>
      <c r="AN511" s="3">
        <v>43.0</v>
      </c>
    </row>
    <row r="512" ht="14.25" customHeight="1">
      <c r="A512" s="3">
        <v>510.0</v>
      </c>
      <c r="B512" s="3" t="s">
        <v>7688</v>
      </c>
      <c r="C512" s="3">
        <v>25.0</v>
      </c>
      <c r="D512" s="3" t="s">
        <v>6645</v>
      </c>
      <c r="E512" s="3" t="s">
        <v>6646</v>
      </c>
      <c r="F512" s="3" t="s">
        <v>6646</v>
      </c>
      <c r="G512" s="3" t="s">
        <v>6645</v>
      </c>
      <c r="H512" s="3" t="s">
        <v>6645</v>
      </c>
      <c r="I512" s="3" t="s">
        <v>6645</v>
      </c>
      <c r="J512" s="3">
        <v>16.0</v>
      </c>
      <c r="K512" s="3">
        <v>1.0</v>
      </c>
      <c r="L512" s="3">
        <v>0.0</v>
      </c>
      <c r="M512" s="3">
        <v>0.0</v>
      </c>
      <c r="N512" s="3">
        <v>1610.928</v>
      </c>
      <c r="O512" s="3">
        <v>203.0</v>
      </c>
      <c r="P512" s="3" t="e">
        <v>#N/A</v>
      </c>
      <c r="Q512" s="3">
        <v>41.0</v>
      </c>
      <c r="R512" s="3">
        <v>41.0</v>
      </c>
      <c r="S512" s="3">
        <v>44.0</v>
      </c>
      <c r="T512" s="3">
        <v>44.0</v>
      </c>
      <c r="U512" s="3">
        <v>37.0</v>
      </c>
      <c r="V512" s="3">
        <v>39.0</v>
      </c>
      <c r="W512" s="3">
        <v>36.0</v>
      </c>
      <c r="X512" s="3">
        <v>41.0</v>
      </c>
      <c r="Y512" s="3">
        <v>54.0</v>
      </c>
      <c r="Z512" s="3">
        <v>42.0</v>
      </c>
      <c r="AA512" s="3">
        <v>37.0</v>
      </c>
      <c r="AB512" s="3">
        <v>32.0</v>
      </c>
      <c r="AC512" s="3">
        <v>40.0</v>
      </c>
      <c r="AD512" s="3">
        <v>46.0</v>
      </c>
      <c r="AE512" s="3">
        <v>49.0</v>
      </c>
      <c r="AF512" s="3">
        <v>33.0</v>
      </c>
      <c r="AG512" s="3">
        <v>20.0</v>
      </c>
      <c r="AH512" s="3">
        <v>66.0</v>
      </c>
      <c r="AI512" s="3">
        <v>61.0</v>
      </c>
      <c r="AJ512" s="3">
        <v>29.0</v>
      </c>
      <c r="AK512" s="3">
        <v>45.0</v>
      </c>
      <c r="AL512" s="3">
        <v>81.0</v>
      </c>
      <c r="AM512" s="3">
        <v>33.0</v>
      </c>
      <c r="AN512" s="3">
        <v>59.0</v>
      </c>
    </row>
    <row r="513" ht="14.25" customHeight="1">
      <c r="A513" s="3">
        <v>511.0</v>
      </c>
      <c r="B513" s="3" t="s">
        <v>7689</v>
      </c>
      <c r="C513" s="3">
        <v>27.0</v>
      </c>
      <c r="D513" s="3" t="s">
        <v>6645</v>
      </c>
      <c r="E513" s="3" t="s">
        <v>6646</v>
      </c>
      <c r="F513" s="3" t="s">
        <v>6646</v>
      </c>
      <c r="G513" s="3" t="s">
        <v>6645</v>
      </c>
      <c r="H513" s="3" t="s">
        <v>6645</v>
      </c>
      <c r="I513" s="3" t="s">
        <v>6646</v>
      </c>
      <c r="J513" s="3">
        <v>16.0</v>
      </c>
      <c r="K513" s="3">
        <v>1.0</v>
      </c>
      <c r="L513" s="3">
        <v>0.0</v>
      </c>
      <c r="M513" s="3">
        <v>0.0</v>
      </c>
      <c r="N513" s="3">
        <v>1892.2023</v>
      </c>
      <c r="O513" s="3">
        <v>236.0</v>
      </c>
      <c r="P513" s="3" t="e">
        <v>#N/A</v>
      </c>
      <c r="Q513" s="3">
        <v>37.0</v>
      </c>
      <c r="R513" s="3">
        <v>43.0</v>
      </c>
      <c r="S513" s="3">
        <v>44.0</v>
      </c>
      <c r="T513" s="3">
        <v>43.0</v>
      </c>
      <c r="U513" s="3">
        <v>40.0</v>
      </c>
      <c r="V513" s="3">
        <v>39.0</v>
      </c>
      <c r="W513" s="3">
        <v>40.0</v>
      </c>
      <c r="X513" s="3">
        <v>35.0</v>
      </c>
      <c r="Y513" s="3">
        <v>47.0</v>
      </c>
      <c r="Z513" s="3">
        <v>32.0</v>
      </c>
      <c r="AA513" s="3">
        <v>38.0</v>
      </c>
      <c r="AB513" s="3">
        <v>40.0</v>
      </c>
      <c r="AC513" s="3">
        <v>44.0</v>
      </c>
      <c r="AD513" s="3">
        <v>47.0</v>
      </c>
      <c r="AE513" s="3">
        <v>52.0</v>
      </c>
      <c r="AF513" s="3">
        <v>33.0</v>
      </c>
      <c r="AG513" s="3">
        <v>54.0</v>
      </c>
      <c r="AH513" s="3">
        <v>73.0</v>
      </c>
      <c r="AI513" s="3">
        <v>55.0</v>
      </c>
      <c r="AJ513" s="3">
        <v>33.0</v>
      </c>
      <c r="AK513" s="3">
        <v>10.0</v>
      </c>
      <c r="AL513" s="3">
        <v>68.0</v>
      </c>
      <c r="AM513" s="3">
        <v>30.0</v>
      </c>
      <c r="AN513" s="3">
        <v>44.0</v>
      </c>
    </row>
    <row r="514" ht="14.25" customHeight="1">
      <c r="A514" s="3">
        <v>512.0</v>
      </c>
      <c r="B514" s="3" t="s">
        <v>7690</v>
      </c>
      <c r="C514" s="3">
        <v>22.0</v>
      </c>
      <c r="D514" s="3" t="s">
        <v>6645</v>
      </c>
      <c r="E514" s="3" t="s">
        <v>6646</v>
      </c>
      <c r="F514" s="3" t="s">
        <v>6646</v>
      </c>
      <c r="G514" s="3" t="s">
        <v>6645</v>
      </c>
      <c r="H514" s="3" t="s">
        <v>6645</v>
      </c>
      <c r="I514" s="3" t="s">
        <v>6645</v>
      </c>
      <c r="J514" s="3">
        <v>16.0</v>
      </c>
      <c r="K514" s="3">
        <v>1.0</v>
      </c>
      <c r="L514" s="3">
        <v>0.0</v>
      </c>
      <c r="M514" s="3">
        <v>0.0</v>
      </c>
      <c r="N514" s="3">
        <v>1705.8333</v>
      </c>
      <c r="O514" s="3">
        <v>241.0</v>
      </c>
      <c r="P514" s="3" t="e">
        <v>#N/A</v>
      </c>
      <c r="Q514" s="3">
        <v>38.0</v>
      </c>
      <c r="R514" s="3">
        <v>39.0</v>
      </c>
      <c r="S514" s="3">
        <v>42.0</v>
      </c>
      <c r="T514" s="3">
        <v>37.0</v>
      </c>
      <c r="U514" s="3">
        <v>46.0</v>
      </c>
      <c r="V514" s="3">
        <v>39.0</v>
      </c>
      <c r="W514" s="3">
        <v>34.0</v>
      </c>
      <c r="X514" s="3">
        <v>39.0</v>
      </c>
      <c r="Y514" s="3">
        <v>52.0</v>
      </c>
      <c r="Z514" s="3">
        <v>44.0</v>
      </c>
      <c r="AA514" s="3">
        <v>44.0</v>
      </c>
      <c r="AB514" s="3">
        <v>37.0</v>
      </c>
      <c r="AC514" s="3">
        <v>39.0</v>
      </c>
      <c r="AD514" s="3">
        <v>46.0</v>
      </c>
      <c r="AE514" s="3">
        <v>52.0</v>
      </c>
      <c r="AF514" s="3">
        <v>22.0</v>
      </c>
      <c r="AG514" s="3">
        <v>49.0</v>
      </c>
      <c r="AH514" s="3">
        <v>72.0</v>
      </c>
      <c r="AI514" s="3">
        <v>10.0</v>
      </c>
      <c r="AJ514" s="3">
        <v>62.0</v>
      </c>
      <c r="AK514" s="3">
        <v>62.0</v>
      </c>
      <c r="AL514" s="3">
        <v>78.0</v>
      </c>
      <c r="AM514" s="3">
        <v>55.0</v>
      </c>
      <c r="AN514" s="3">
        <v>50.0</v>
      </c>
    </row>
    <row r="515" ht="14.25" customHeight="1">
      <c r="A515" s="3">
        <v>513.0</v>
      </c>
      <c r="B515" s="3" t="s">
        <v>7691</v>
      </c>
      <c r="C515" s="3">
        <v>27.0</v>
      </c>
      <c r="D515" s="3" t="s">
        <v>6645</v>
      </c>
      <c r="E515" s="3" t="s">
        <v>6646</v>
      </c>
      <c r="F515" s="3" t="s">
        <v>6646</v>
      </c>
      <c r="G515" s="3" t="s">
        <v>6645</v>
      </c>
      <c r="H515" s="3" t="s">
        <v>6645</v>
      </c>
      <c r="I515" s="3" t="s">
        <v>6646</v>
      </c>
      <c r="J515" s="3">
        <v>16.0</v>
      </c>
      <c r="K515" s="3">
        <v>1.0</v>
      </c>
      <c r="L515" s="3">
        <v>0.0</v>
      </c>
      <c r="M515" s="3">
        <v>0.0</v>
      </c>
      <c r="N515" s="3">
        <v>1748.0</v>
      </c>
      <c r="O515" s="3">
        <v>209.0</v>
      </c>
      <c r="P515" s="3" t="e">
        <v>#N/A</v>
      </c>
      <c r="Q515" s="3">
        <v>44.0</v>
      </c>
      <c r="R515" s="3">
        <v>43.0</v>
      </c>
      <c r="S515" s="3">
        <v>43.0</v>
      </c>
      <c r="T515" s="3">
        <v>45.0</v>
      </c>
      <c r="U515" s="3">
        <v>46.0</v>
      </c>
      <c r="V515" s="3">
        <v>43.0</v>
      </c>
      <c r="W515" s="3">
        <v>30.0</v>
      </c>
      <c r="X515" s="3">
        <v>46.0</v>
      </c>
      <c r="Y515" s="3">
        <v>48.0</v>
      </c>
      <c r="Z515" s="3">
        <v>35.0</v>
      </c>
      <c r="AA515" s="3">
        <v>45.0</v>
      </c>
      <c r="AB515" s="3">
        <v>37.0</v>
      </c>
      <c r="AC515" s="3">
        <v>44.0</v>
      </c>
      <c r="AD515" s="3">
        <v>45.0</v>
      </c>
      <c r="AE515" s="3">
        <v>52.0</v>
      </c>
      <c r="AF515" s="3">
        <v>61.0</v>
      </c>
      <c r="AG515" s="3">
        <v>3.0</v>
      </c>
      <c r="AH515" s="3">
        <v>70.0</v>
      </c>
      <c r="AI515" s="3">
        <v>43.0</v>
      </c>
      <c r="AJ515" s="3">
        <v>38.0</v>
      </c>
      <c r="AK515" s="3">
        <v>61.0</v>
      </c>
      <c r="AL515" s="3">
        <v>65.0</v>
      </c>
      <c r="AM515" s="3">
        <v>62.0</v>
      </c>
      <c r="AN515" s="3">
        <v>34.0</v>
      </c>
    </row>
    <row r="516" ht="14.25" customHeight="1">
      <c r="A516" s="3">
        <v>514.0</v>
      </c>
      <c r="B516" s="3" t="s">
        <v>7692</v>
      </c>
      <c r="C516" s="3">
        <v>20.0</v>
      </c>
      <c r="D516" s="3" t="s">
        <v>6645</v>
      </c>
      <c r="E516" s="3" t="s">
        <v>6646</v>
      </c>
      <c r="F516" s="3" t="s">
        <v>6646</v>
      </c>
      <c r="G516" s="3" t="s">
        <v>6645</v>
      </c>
      <c r="H516" s="3" t="s">
        <v>6645</v>
      </c>
      <c r="I516" s="3" t="s">
        <v>6646</v>
      </c>
      <c r="J516" s="3">
        <v>16.0</v>
      </c>
      <c r="K516" s="3">
        <v>0.0</v>
      </c>
      <c r="L516" s="3">
        <v>0.0</v>
      </c>
      <c r="M516" s="3">
        <v>0.0</v>
      </c>
      <c r="N516" s="3">
        <v>498.402</v>
      </c>
      <c r="O516" s="3">
        <v>105.0</v>
      </c>
      <c r="P516" s="3" t="e">
        <v>#N/A</v>
      </c>
      <c r="Q516" s="3">
        <v>30.0</v>
      </c>
      <c r="R516" s="3">
        <v>30.0</v>
      </c>
      <c r="S516" s="3">
        <v>31.0</v>
      </c>
      <c r="T516" s="3">
        <v>31.0</v>
      </c>
      <c r="U516" s="3">
        <v>30.0</v>
      </c>
      <c r="V516" s="3">
        <v>30.0</v>
      </c>
      <c r="W516" s="3">
        <v>37.0</v>
      </c>
      <c r="X516" s="3">
        <v>34.0</v>
      </c>
      <c r="Y516" s="3">
        <v>35.0</v>
      </c>
      <c r="Z516" s="3">
        <v>31.0</v>
      </c>
      <c r="AA516" s="3">
        <v>37.0</v>
      </c>
      <c r="AB516" s="3">
        <v>29.0</v>
      </c>
      <c r="AC516" s="3">
        <v>34.0</v>
      </c>
      <c r="AD516" s="3">
        <v>39.0</v>
      </c>
      <c r="AE516" s="3">
        <v>42.0</v>
      </c>
      <c r="AF516" s="3">
        <v>17.0</v>
      </c>
      <c r="AG516" s="3">
        <v>47.0</v>
      </c>
      <c r="AH516" s="3">
        <v>73.0</v>
      </c>
      <c r="AI516" s="3">
        <v>54.0</v>
      </c>
      <c r="AJ516" s="3">
        <v>30.0</v>
      </c>
      <c r="AK516" s="3">
        <v>46.0</v>
      </c>
      <c r="AL516" s="3">
        <v>67.0</v>
      </c>
      <c r="AM516" s="3">
        <v>30.0</v>
      </c>
      <c r="AN516" s="3">
        <v>19.0</v>
      </c>
    </row>
    <row r="517" ht="14.25" customHeight="1">
      <c r="A517" s="3">
        <v>515.0</v>
      </c>
      <c r="B517" s="3" t="s">
        <v>7693</v>
      </c>
      <c r="C517" s="3">
        <v>19.0</v>
      </c>
      <c r="D517" s="3" t="s">
        <v>6645</v>
      </c>
      <c r="E517" s="3" t="s">
        <v>6646</v>
      </c>
      <c r="F517" s="3" t="s">
        <v>6646</v>
      </c>
      <c r="G517" s="3" t="s">
        <v>6645</v>
      </c>
      <c r="H517" s="3" t="s">
        <v>6645</v>
      </c>
      <c r="I517" s="3" t="s">
        <v>6645</v>
      </c>
      <c r="J517" s="3">
        <v>16.0</v>
      </c>
      <c r="K517" s="3">
        <v>0.0</v>
      </c>
      <c r="L517" s="3">
        <v>0.0</v>
      </c>
      <c r="M517" s="3">
        <v>0.0</v>
      </c>
      <c r="N517" s="3">
        <v>604.576</v>
      </c>
      <c r="O517" s="3">
        <v>105.0</v>
      </c>
      <c r="P517" s="3" t="e">
        <v>#N/A</v>
      </c>
      <c r="Q517" s="3">
        <v>37.0</v>
      </c>
      <c r="R517" s="3">
        <v>34.0</v>
      </c>
      <c r="S517" s="3">
        <v>32.0</v>
      </c>
      <c r="T517" s="3">
        <v>31.0</v>
      </c>
      <c r="U517" s="3">
        <v>30.0</v>
      </c>
      <c r="V517" s="3">
        <v>39.0</v>
      </c>
      <c r="W517" s="3">
        <v>27.0</v>
      </c>
      <c r="X517" s="3">
        <v>36.0</v>
      </c>
      <c r="Y517" s="3">
        <v>38.0</v>
      </c>
      <c r="Z517" s="3">
        <v>37.0</v>
      </c>
      <c r="AA517" s="3">
        <v>29.0</v>
      </c>
      <c r="AB517" s="3">
        <v>37.0</v>
      </c>
      <c r="AC517" s="3">
        <v>27.0</v>
      </c>
      <c r="AD517" s="3">
        <v>44.0</v>
      </c>
      <c r="AE517" s="3">
        <v>43.0</v>
      </c>
      <c r="AF517" s="3">
        <v>43.0</v>
      </c>
      <c r="AG517" s="3">
        <v>34.0</v>
      </c>
      <c r="AH517" s="3">
        <v>69.0</v>
      </c>
      <c r="AI517" s="3">
        <v>30.0</v>
      </c>
      <c r="AJ517" s="3">
        <v>35.0</v>
      </c>
      <c r="AK517" s="3">
        <v>43.0</v>
      </c>
      <c r="AL517" s="3">
        <v>72.0</v>
      </c>
      <c r="AM517" s="3">
        <v>25.0</v>
      </c>
      <c r="AN517" s="3">
        <v>10.0</v>
      </c>
    </row>
    <row r="518" ht="14.25" customHeight="1">
      <c r="A518" s="3">
        <v>516.0</v>
      </c>
      <c r="B518" s="3" t="s">
        <v>7694</v>
      </c>
      <c r="C518" s="3">
        <v>15.0</v>
      </c>
      <c r="D518" s="3" t="s">
        <v>6645</v>
      </c>
      <c r="E518" s="3" t="s">
        <v>6646</v>
      </c>
      <c r="F518" s="3" t="s">
        <v>6646</v>
      </c>
      <c r="G518" s="3" t="s">
        <v>6645</v>
      </c>
      <c r="H518" s="3" t="s">
        <v>6645</v>
      </c>
      <c r="I518" s="3" t="s">
        <v>6645</v>
      </c>
      <c r="J518" s="3">
        <v>16.0</v>
      </c>
      <c r="K518" s="3">
        <v>0.0</v>
      </c>
      <c r="L518" s="3">
        <v>0.0</v>
      </c>
      <c r="M518" s="3">
        <v>0.0</v>
      </c>
      <c r="N518" s="3">
        <v>571.25</v>
      </c>
      <c r="O518" s="3">
        <v>124.0</v>
      </c>
      <c r="P518" s="3" t="e">
        <v>#N/A</v>
      </c>
      <c r="Q518" s="3">
        <v>30.0</v>
      </c>
      <c r="R518" s="3">
        <v>32.0</v>
      </c>
      <c r="S518" s="3">
        <v>37.0</v>
      </c>
      <c r="T518" s="3">
        <v>30.0</v>
      </c>
      <c r="U518" s="3">
        <v>31.0</v>
      </c>
      <c r="V518" s="3">
        <v>38.0</v>
      </c>
      <c r="W518" s="3">
        <v>38.0</v>
      </c>
      <c r="X518" s="3">
        <v>26.0</v>
      </c>
      <c r="Y518" s="3">
        <v>43.0</v>
      </c>
      <c r="Z518" s="3">
        <v>33.0</v>
      </c>
      <c r="AA518" s="3">
        <v>22.0</v>
      </c>
      <c r="AB518" s="3">
        <v>31.0</v>
      </c>
      <c r="AC518" s="3">
        <v>34.0</v>
      </c>
      <c r="AD518" s="3">
        <v>37.0</v>
      </c>
      <c r="AE518" s="3">
        <v>42.0</v>
      </c>
      <c r="AF518" s="3">
        <v>48.0</v>
      </c>
      <c r="AG518" s="3">
        <v>24.0</v>
      </c>
      <c r="AH518" s="3">
        <v>69.0</v>
      </c>
      <c r="AI518" s="3">
        <v>13.0</v>
      </c>
      <c r="AJ518" s="3">
        <v>43.0</v>
      </c>
      <c r="AK518" s="3">
        <v>57.0</v>
      </c>
      <c r="AL518" s="3">
        <v>71.0</v>
      </c>
      <c r="AM518" s="3">
        <v>53.0</v>
      </c>
      <c r="AN518" s="3">
        <v>53.0</v>
      </c>
    </row>
    <row r="519" ht="14.25" customHeight="1">
      <c r="A519" s="3">
        <v>517.0</v>
      </c>
      <c r="B519" s="3" t="s">
        <v>7695</v>
      </c>
      <c r="C519" s="3">
        <v>17.0</v>
      </c>
      <c r="D519" s="3" t="s">
        <v>6645</v>
      </c>
      <c r="E519" s="3" t="s">
        <v>6646</v>
      </c>
      <c r="F519" s="3" t="s">
        <v>6646</v>
      </c>
      <c r="G519" s="3" t="s">
        <v>6645</v>
      </c>
      <c r="H519" s="3" t="s">
        <v>6645</v>
      </c>
      <c r="I519" s="3" t="s">
        <v>6645</v>
      </c>
      <c r="J519" s="3">
        <v>16.0</v>
      </c>
      <c r="K519" s="3">
        <v>0.0</v>
      </c>
      <c r="L519" s="3">
        <v>0.0</v>
      </c>
      <c r="M519" s="3">
        <v>0.0</v>
      </c>
      <c r="N519" s="3">
        <v>553.688</v>
      </c>
      <c r="O519" s="3">
        <v>80.0</v>
      </c>
      <c r="P519" s="3" t="e">
        <v>#N/A</v>
      </c>
      <c r="Q519" s="3">
        <v>38.0</v>
      </c>
      <c r="R519" s="3">
        <v>37.0</v>
      </c>
      <c r="S519" s="3">
        <v>36.0</v>
      </c>
      <c r="T519" s="3">
        <v>38.0</v>
      </c>
      <c r="U519" s="3">
        <v>31.0</v>
      </c>
      <c r="V519" s="3">
        <v>32.0</v>
      </c>
      <c r="W519" s="3">
        <v>35.0</v>
      </c>
      <c r="X519" s="3">
        <v>33.0</v>
      </c>
      <c r="Y519" s="3">
        <v>36.0</v>
      </c>
      <c r="Z519" s="3">
        <v>37.0</v>
      </c>
      <c r="AA519" s="3">
        <v>25.0</v>
      </c>
      <c r="AB519" s="3">
        <v>25.0</v>
      </c>
      <c r="AC519" s="3">
        <v>38.0</v>
      </c>
      <c r="AD519" s="3">
        <v>36.0</v>
      </c>
      <c r="AE519" s="3">
        <v>39.0</v>
      </c>
      <c r="AF519" s="3">
        <v>30.0</v>
      </c>
      <c r="AG519" s="3">
        <v>43.0</v>
      </c>
      <c r="AH519" s="3">
        <v>69.0</v>
      </c>
      <c r="AI519" s="3">
        <v>36.0</v>
      </c>
      <c r="AJ519" s="3">
        <v>25.0</v>
      </c>
      <c r="AK519" s="3">
        <v>27.0</v>
      </c>
      <c r="AL519" s="3">
        <v>76.0</v>
      </c>
      <c r="AM519" s="3">
        <v>59.0</v>
      </c>
      <c r="AN519" s="3">
        <v>38.0</v>
      </c>
    </row>
    <row r="520" ht="14.25" customHeight="1">
      <c r="A520" s="3">
        <v>518.0</v>
      </c>
      <c r="B520" s="3" t="s">
        <v>7696</v>
      </c>
      <c r="C520" s="3">
        <v>16.0</v>
      </c>
      <c r="D520" s="3" t="s">
        <v>6645</v>
      </c>
      <c r="E520" s="3" t="s">
        <v>6646</v>
      </c>
      <c r="F520" s="3" t="s">
        <v>6646</v>
      </c>
      <c r="G520" s="3" t="s">
        <v>6645</v>
      </c>
      <c r="H520" s="3" t="s">
        <v>6645</v>
      </c>
      <c r="I520" s="3" t="s">
        <v>6646</v>
      </c>
      <c r="J520" s="3">
        <v>16.0</v>
      </c>
      <c r="K520" s="3">
        <v>0.0</v>
      </c>
      <c r="L520" s="3">
        <v>0.0</v>
      </c>
      <c r="M520" s="3">
        <v>0.0</v>
      </c>
      <c r="N520" s="3">
        <v>575.206</v>
      </c>
      <c r="O520" s="3">
        <v>123.0</v>
      </c>
      <c r="P520" s="3" t="e">
        <v>#N/A</v>
      </c>
      <c r="Q520" s="3">
        <v>33.0</v>
      </c>
      <c r="R520" s="3">
        <v>31.0</v>
      </c>
      <c r="S520" s="3">
        <v>34.0</v>
      </c>
      <c r="T520" s="3">
        <v>39.0</v>
      </c>
      <c r="U520" s="3">
        <v>38.0</v>
      </c>
      <c r="V520" s="3">
        <v>33.0</v>
      </c>
      <c r="W520" s="3">
        <v>34.0</v>
      </c>
      <c r="X520" s="3">
        <v>28.0</v>
      </c>
      <c r="Y520" s="3">
        <v>40.0</v>
      </c>
      <c r="Z520" s="3">
        <v>31.0</v>
      </c>
      <c r="AA520" s="3">
        <v>35.0</v>
      </c>
      <c r="AB520" s="3">
        <v>32.0</v>
      </c>
      <c r="AC520" s="3">
        <v>24.0</v>
      </c>
      <c r="AD520" s="3">
        <v>46.0</v>
      </c>
      <c r="AE520" s="3">
        <v>39.0</v>
      </c>
      <c r="AF520" s="3">
        <v>32.0</v>
      </c>
      <c r="AG520" s="3">
        <v>30.0</v>
      </c>
      <c r="AH520" s="3">
        <v>71.0</v>
      </c>
      <c r="AI520" s="3">
        <v>34.0</v>
      </c>
      <c r="AJ520" s="3">
        <v>50.0</v>
      </c>
      <c r="AK520" s="3">
        <v>30.0</v>
      </c>
      <c r="AL520" s="3">
        <v>68.0</v>
      </c>
      <c r="AM520" s="3">
        <v>43.0</v>
      </c>
      <c r="AN520" s="3">
        <v>20.0</v>
      </c>
    </row>
    <row r="521" ht="14.25" customHeight="1">
      <c r="A521" s="3">
        <v>519.0</v>
      </c>
      <c r="B521" s="3" t="s">
        <v>7697</v>
      </c>
      <c r="C521" s="3">
        <v>44.0</v>
      </c>
      <c r="D521" s="3" t="s">
        <v>6645</v>
      </c>
      <c r="E521" s="3" t="s">
        <v>6646</v>
      </c>
      <c r="F521" s="3" t="s">
        <v>6646</v>
      </c>
      <c r="G521" s="3" t="s">
        <v>6645</v>
      </c>
      <c r="H521" s="3" t="s">
        <v>6645</v>
      </c>
      <c r="I521" s="3" t="s">
        <v>6645</v>
      </c>
      <c r="J521" s="3">
        <v>17.0</v>
      </c>
      <c r="K521" s="3">
        <v>4.0</v>
      </c>
      <c r="L521" s="3">
        <v>0.0</v>
      </c>
      <c r="M521" s="3">
        <v>0.0</v>
      </c>
      <c r="N521" s="3">
        <v>11463.84</v>
      </c>
      <c r="O521" s="3">
        <v>1871.0</v>
      </c>
      <c r="P521" s="3" t="e">
        <v>#N/A</v>
      </c>
      <c r="Q521" s="3">
        <v>59.0</v>
      </c>
      <c r="R521" s="3">
        <v>61.0</v>
      </c>
      <c r="S521" s="3">
        <v>89.0</v>
      </c>
      <c r="T521" s="3">
        <v>80.0</v>
      </c>
      <c r="U521" s="3">
        <v>56.0</v>
      </c>
      <c r="V521" s="3">
        <v>61.0</v>
      </c>
      <c r="W521" s="3">
        <v>67.0</v>
      </c>
      <c r="X521" s="3">
        <v>63.0</v>
      </c>
      <c r="Y521" s="3">
        <v>66.0</v>
      </c>
      <c r="Z521" s="3">
        <v>61.0</v>
      </c>
      <c r="AA521" s="3">
        <v>58.0</v>
      </c>
      <c r="AB521" s="3">
        <v>54.0</v>
      </c>
      <c r="AC521" s="3">
        <v>74.0</v>
      </c>
      <c r="AD521" s="3">
        <v>52.0</v>
      </c>
      <c r="AE521" s="3">
        <v>88.0</v>
      </c>
      <c r="AF521" s="3">
        <v>54.0</v>
      </c>
      <c r="AG521" s="3">
        <v>42.0</v>
      </c>
      <c r="AH521" s="3">
        <v>53.0</v>
      </c>
      <c r="AI521" s="3">
        <v>65.0</v>
      </c>
      <c r="AJ521" s="3">
        <v>51.0</v>
      </c>
      <c r="AK521" s="3">
        <v>61.0</v>
      </c>
      <c r="AL521" s="3">
        <v>98.0</v>
      </c>
      <c r="AM521" s="3">
        <v>41.0</v>
      </c>
      <c r="AN521" s="3">
        <v>50.0</v>
      </c>
    </row>
    <row r="522" ht="14.25" customHeight="1">
      <c r="A522" s="3">
        <v>520.0</v>
      </c>
      <c r="B522" s="3" t="s">
        <v>7698</v>
      </c>
      <c r="C522" s="3">
        <v>39.0</v>
      </c>
      <c r="D522" s="3" t="s">
        <v>6645</v>
      </c>
      <c r="E522" s="3" t="s">
        <v>6646</v>
      </c>
      <c r="F522" s="3" t="s">
        <v>6646</v>
      </c>
      <c r="G522" s="3" t="s">
        <v>6645</v>
      </c>
      <c r="H522" s="3" t="s">
        <v>6645</v>
      </c>
      <c r="I522" s="3" t="s">
        <v>6646</v>
      </c>
      <c r="J522" s="3">
        <v>17.0</v>
      </c>
      <c r="K522" s="3">
        <v>4.0</v>
      </c>
      <c r="L522" s="3">
        <v>0.0</v>
      </c>
      <c r="M522" s="3">
        <v>0.0</v>
      </c>
      <c r="N522" s="3">
        <v>11452.664</v>
      </c>
      <c r="O522" s="3">
        <v>1902.0</v>
      </c>
      <c r="P522" s="3" t="e">
        <v>#N/A</v>
      </c>
      <c r="Q522" s="3">
        <v>60.0</v>
      </c>
      <c r="R522" s="3">
        <v>65.0</v>
      </c>
      <c r="S522" s="3">
        <v>82.0</v>
      </c>
      <c r="T522" s="3">
        <v>78.0</v>
      </c>
      <c r="U522" s="3">
        <v>58.0</v>
      </c>
      <c r="V522" s="3">
        <v>63.0</v>
      </c>
      <c r="W522" s="3">
        <v>60.0</v>
      </c>
      <c r="X522" s="3">
        <v>65.0</v>
      </c>
      <c r="Y522" s="3">
        <v>69.0</v>
      </c>
      <c r="Z522" s="3">
        <v>58.0</v>
      </c>
      <c r="AA522" s="3">
        <v>53.0</v>
      </c>
      <c r="AB522" s="3">
        <v>61.0</v>
      </c>
      <c r="AC522" s="3">
        <v>70.0</v>
      </c>
      <c r="AD522" s="3">
        <v>63.0</v>
      </c>
      <c r="AE522" s="3">
        <v>85.0</v>
      </c>
      <c r="AF522" s="3">
        <v>42.0</v>
      </c>
      <c r="AG522" s="3">
        <v>43.0</v>
      </c>
      <c r="AH522" s="3">
        <v>69.0</v>
      </c>
      <c r="AI522" s="3">
        <v>45.0</v>
      </c>
      <c r="AJ522" s="3">
        <v>35.0</v>
      </c>
      <c r="AK522" s="3">
        <v>62.0</v>
      </c>
      <c r="AL522" s="3">
        <v>95.0</v>
      </c>
      <c r="AM522" s="3">
        <v>45.0</v>
      </c>
      <c r="AN522" s="3">
        <v>52.0</v>
      </c>
    </row>
    <row r="523" ht="14.25" customHeight="1">
      <c r="A523" s="3">
        <v>521.0</v>
      </c>
      <c r="B523" s="3" t="s">
        <v>7699</v>
      </c>
      <c r="C523" s="3">
        <v>39.0</v>
      </c>
      <c r="D523" s="3" t="s">
        <v>6645</v>
      </c>
      <c r="E523" s="3" t="s">
        <v>6646</v>
      </c>
      <c r="F523" s="3" t="s">
        <v>6646</v>
      </c>
      <c r="G523" s="3" t="s">
        <v>6645</v>
      </c>
      <c r="H523" s="3" t="s">
        <v>6645</v>
      </c>
      <c r="I523" s="3" t="s">
        <v>6646</v>
      </c>
      <c r="J523" s="3">
        <v>17.0</v>
      </c>
      <c r="K523" s="3">
        <v>4.0</v>
      </c>
      <c r="L523" s="3">
        <v>0.0</v>
      </c>
      <c r="M523" s="3">
        <v>0.0</v>
      </c>
      <c r="N523" s="3">
        <v>12257.346</v>
      </c>
      <c r="O523" s="3">
        <v>1837.0</v>
      </c>
      <c r="P523" s="3" t="e">
        <v>#N/A</v>
      </c>
      <c r="Q523" s="3">
        <v>57.0</v>
      </c>
      <c r="R523" s="3">
        <v>61.0</v>
      </c>
      <c r="S523" s="3">
        <v>86.0</v>
      </c>
      <c r="T523" s="3">
        <v>80.0</v>
      </c>
      <c r="U523" s="3">
        <v>61.0</v>
      </c>
      <c r="V523" s="3">
        <v>58.0</v>
      </c>
      <c r="W523" s="3">
        <v>64.0</v>
      </c>
      <c r="X523" s="3">
        <v>66.0</v>
      </c>
      <c r="Y523" s="3">
        <v>63.0</v>
      </c>
      <c r="Z523" s="3">
        <v>60.0</v>
      </c>
      <c r="AA523" s="3">
        <v>65.0</v>
      </c>
      <c r="AB523" s="3">
        <v>56.0</v>
      </c>
      <c r="AC523" s="3">
        <v>76.0</v>
      </c>
      <c r="AD523" s="3">
        <v>53.0</v>
      </c>
      <c r="AE523" s="3">
        <v>84.0</v>
      </c>
      <c r="AF523" s="3">
        <v>59.0</v>
      </c>
      <c r="AG523" s="3">
        <v>31.0</v>
      </c>
      <c r="AH523" s="3">
        <v>55.0</v>
      </c>
      <c r="AI523" s="3">
        <v>59.0</v>
      </c>
      <c r="AJ523" s="3">
        <v>54.0</v>
      </c>
      <c r="AK523" s="3">
        <v>46.0</v>
      </c>
      <c r="AL523" s="3">
        <v>95.0</v>
      </c>
      <c r="AM523" s="3">
        <v>53.0</v>
      </c>
      <c r="AN523" s="3">
        <v>51.0</v>
      </c>
    </row>
    <row r="524" ht="14.25" customHeight="1">
      <c r="A524" s="3">
        <v>522.0</v>
      </c>
      <c r="B524" s="3" t="s">
        <v>7700</v>
      </c>
      <c r="C524" s="3">
        <v>34.0</v>
      </c>
      <c r="D524" s="3" t="s">
        <v>6645</v>
      </c>
      <c r="E524" s="3" t="s">
        <v>6646</v>
      </c>
      <c r="F524" s="3" t="s">
        <v>6646</v>
      </c>
      <c r="G524" s="3" t="s">
        <v>6645</v>
      </c>
      <c r="H524" s="3" t="s">
        <v>6645</v>
      </c>
      <c r="I524" s="3" t="s">
        <v>6646</v>
      </c>
      <c r="J524" s="3">
        <v>17.0</v>
      </c>
      <c r="K524" s="3">
        <v>3.0</v>
      </c>
      <c r="L524" s="3">
        <v>0.0</v>
      </c>
      <c r="M524" s="3">
        <v>0.0</v>
      </c>
      <c r="N524" s="3">
        <v>7210.1884</v>
      </c>
      <c r="O524" s="3">
        <v>630.0</v>
      </c>
      <c r="P524" s="3" t="e">
        <v>#N/A</v>
      </c>
      <c r="Q524" s="3">
        <v>50.0</v>
      </c>
      <c r="R524" s="3">
        <v>52.0</v>
      </c>
      <c r="S524" s="3">
        <v>66.0</v>
      </c>
      <c r="T524" s="3">
        <v>60.0</v>
      </c>
      <c r="U524" s="3">
        <v>58.0</v>
      </c>
      <c r="V524" s="3">
        <v>54.0</v>
      </c>
      <c r="W524" s="3">
        <v>53.0</v>
      </c>
      <c r="X524" s="3">
        <v>56.0</v>
      </c>
      <c r="Y524" s="3">
        <v>57.0</v>
      </c>
      <c r="Z524" s="3">
        <v>44.0</v>
      </c>
      <c r="AA524" s="3">
        <v>50.0</v>
      </c>
      <c r="AB524" s="3">
        <v>56.0</v>
      </c>
      <c r="AC524" s="3">
        <v>68.0</v>
      </c>
      <c r="AD524" s="3">
        <v>45.0</v>
      </c>
      <c r="AE524" s="3">
        <v>73.0</v>
      </c>
      <c r="AF524" s="3">
        <v>60.0</v>
      </c>
      <c r="AG524" s="3">
        <v>65.0</v>
      </c>
      <c r="AH524" s="3">
        <v>56.0</v>
      </c>
      <c r="AI524" s="3">
        <v>50.0</v>
      </c>
      <c r="AJ524" s="3">
        <v>24.0</v>
      </c>
      <c r="AK524" s="3">
        <v>58.0</v>
      </c>
      <c r="AL524" s="3">
        <v>86.0</v>
      </c>
      <c r="AM524" s="3">
        <v>66.0</v>
      </c>
      <c r="AN524" s="3">
        <v>60.0</v>
      </c>
    </row>
    <row r="525" ht="14.25" customHeight="1">
      <c r="A525" s="3">
        <v>523.0</v>
      </c>
      <c r="B525" s="3" t="s">
        <v>7701</v>
      </c>
      <c r="C525" s="3">
        <v>32.0</v>
      </c>
      <c r="D525" s="3" t="s">
        <v>6645</v>
      </c>
      <c r="E525" s="3" t="s">
        <v>6646</v>
      </c>
      <c r="F525" s="3" t="s">
        <v>6646</v>
      </c>
      <c r="G525" s="3" t="s">
        <v>6645</v>
      </c>
      <c r="H525" s="3" t="s">
        <v>6645</v>
      </c>
      <c r="I525" s="3" t="s">
        <v>6645</v>
      </c>
      <c r="J525" s="3">
        <v>17.0</v>
      </c>
      <c r="K525" s="3">
        <v>3.0</v>
      </c>
      <c r="L525" s="3">
        <v>0.0</v>
      </c>
      <c r="M525" s="3">
        <v>0.0</v>
      </c>
      <c r="N525" s="3">
        <v>7022.8867</v>
      </c>
      <c r="O525" s="3">
        <v>795.0</v>
      </c>
      <c r="P525" s="3" t="e">
        <v>#N/A</v>
      </c>
      <c r="Q525" s="3">
        <v>56.0</v>
      </c>
      <c r="R525" s="3">
        <v>56.0</v>
      </c>
      <c r="S525" s="3">
        <v>63.0</v>
      </c>
      <c r="T525" s="3">
        <v>55.0</v>
      </c>
      <c r="U525" s="3">
        <v>52.0</v>
      </c>
      <c r="V525" s="3">
        <v>56.0</v>
      </c>
      <c r="W525" s="3">
        <v>53.0</v>
      </c>
      <c r="X525" s="3">
        <v>54.0</v>
      </c>
      <c r="Y525" s="3">
        <v>58.0</v>
      </c>
      <c r="Z525" s="3">
        <v>56.0</v>
      </c>
      <c r="AA525" s="3">
        <v>50.0</v>
      </c>
      <c r="AB525" s="3">
        <v>50.0</v>
      </c>
      <c r="AC525" s="3">
        <v>60.0</v>
      </c>
      <c r="AD525" s="3">
        <v>52.0</v>
      </c>
      <c r="AE525" s="3">
        <v>65.0</v>
      </c>
      <c r="AF525" s="3">
        <v>61.0</v>
      </c>
      <c r="AG525" s="3">
        <v>40.0</v>
      </c>
      <c r="AH525" s="3">
        <v>51.0</v>
      </c>
      <c r="AI525" s="3">
        <v>51.0</v>
      </c>
      <c r="AJ525" s="3">
        <v>29.0</v>
      </c>
      <c r="AK525" s="3">
        <v>65.0</v>
      </c>
      <c r="AL525" s="3">
        <v>74.0</v>
      </c>
      <c r="AM525" s="3">
        <v>46.0</v>
      </c>
      <c r="AN525" s="3">
        <v>67.0</v>
      </c>
    </row>
    <row r="526" ht="14.25" customHeight="1">
      <c r="A526" s="3">
        <v>524.0</v>
      </c>
      <c r="B526" s="3" t="s">
        <v>7702</v>
      </c>
      <c r="C526" s="3">
        <v>33.0</v>
      </c>
      <c r="D526" s="3" t="s">
        <v>6645</v>
      </c>
      <c r="E526" s="3" t="s">
        <v>6646</v>
      </c>
      <c r="F526" s="3" t="s">
        <v>6646</v>
      </c>
      <c r="G526" s="3" t="s">
        <v>6645</v>
      </c>
      <c r="H526" s="3" t="s">
        <v>6645</v>
      </c>
      <c r="I526" s="3" t="s">
        <v>6646</v>
      </c>
      <c r="J526" s="3">
        <v>17.0</v>
      </c>
      <c r="K526" s="3">
        <v>2.0</v>
      </c>
      <c r="L526" s="3">
        <v>0.0</v>
      </c>
      <c r="M526" s="3">
        <v>0.0</v>
      </c>
      <c r="N526" s="3">
        <v>3823.9113</v>
      </c>
      <c r="O526" s="3">
        <v>313.0</v>
      </c>
      <c r="P526" s="3" t="e">
        <v>#N/A</v>
      </c>
      <c r="Q526" s="3">
        <v>51.0</v>
      </c>
      <c r="R526" s="3">
        <v>50.0</v>
      </c>
      <c r="S526" s="3">
        <v>45.0</v>
      </c>
      <c r="T526" s="3">
        <v>46.0</v>
      </c>
      <c r="U526" s="3">
        <v>49.0</v>
      </c>
      <c r="V526" s="3">
        <v>51.0</v>
      </c>
      <c r="W526" s="3">
        <v>43.0</v>
      </c>
      <c r="X526" s="3">
        <v>43.0</v>
      </c>
      <c r="Y526" s="3">
        <v>49.0</v>
      </c>
      <c r="Z526" s="3">
        <v>52.0</v>
      </c>
      <c r="AA526" s="3">
        <v>41.0</v>
      </c>
      <c r="AB526" s="3">
        <v>38.0</v>
      </c>
      <c r="AC526" s="3">
        <v>51.0</v>
      </c>
      <c r="AD526" s="3">
        <v>45.0</v>
      </c>
      <c r="AE526" s="3">
        <v>57.0</v>
      </c>
      <c r="AF526" s="3">
        <v>38.0</v>
      </c>
      <c r="AG526" s="3">
        <v>46.0</v>
      </c>
      <c r="AH526" s="3">
        <v>36.0</v>
      </c>
      <c r="AI526" s="3">
        <v>16.0</v>
      </c>
      <c r="AJ526" s="3">
        <v>50.0</v>
      </c>
      <c r="AK526" s="3">
        <v>62.0</v>
      </c>
      <c r="AL526" s="3">
        <v>82.0</v>
      </c>
      <c r="AM526" s="3">
        <v>64.0</v>
      </c>
      <c r="AN526" s="3">
        <v>40.0</v>
      </c>
    </row>
    <row r="527" ht="14.25" customHeight="1">
      <c r="A527" s="3">
        <v>525.0</v>
      </c>
      <c r="B527" s="3" t="s">
        <v>7703</v>
      </c>
      <c r="C527" s="3">
        <v>26.0</v>
      </c>
      <c r="D527" s="3" t="s">
        <v>6645</v>
      </c>
      <c r="E527" s="3" t="s">
        <v>6646</v>
      </c>
      <c r="F527" s="3" t="s">
        <v>6646</v>
      </c>
      <c r="G527" s="3" t="s">
        <v>6645</v>
      </c>
      <c r="H527" s="3" t="s">
        <v>6645</v>
      </c>
      <c r="I527" s="3" t="s">
        <v>6645</v>
      </c>
      <c r="J527" s="3">
        <v>17.0</v>
      </c>
      <c r="K527" s="3">
        <v>2.0</v>
      </c>
      <c r="L527" s="3">
        <v>0.0</v>
      </c>
      <c r="M527" s="3">
        <v>0.0</v>
      </c>
      <c r="N527" s="3">
        <v>3788.9</v>
      </c>
      <c r="O527" s="3">
        <v>415.0</v>
      </c>
      <c r="P527" s="3" t="e">
        <v>#N/A</v>
      </c>
      <c r="Q527" s="3">
        <v>52.0</v>
      </c>
      <c r="R527" s="3">
        <v>51.0</v>
      </c>
      <c r="S527" s="3">
        <v>51.0</v>
      </c>
      <c r="T527" s="3">
        <v>52.0</v>
      </c>
      <c r="U527" s="3">
        <v>50.0</v>
      </c>
      <c r="V527" s="3">
        <v>44.0</v>
      </c>
      <c r="W527" s="3">
        <v>44.0</v>
      </c>
      <c r="X527" s="3">
        <v>40.0</v>
      </c>
      <c r="Y527" s="3">
        <v>52.0</v>
      </c>
      <c r="Z527" s="3">
        <v>47.0</v>
      </c>
      <c r="AA527" s="3">
        <v>43.0</v>
      </c>
      <c r="AB527" s="3">
        <v>48.0</v>
      </c>
      <c r="AC527" s="3">
        <v>57.0</v>
      </c>
      <c r="AD527" s="3">
        <v>40.0</v>
      </c>
      <c r="AE527" s="3">
        <v>58.0</v>
      </c>
      <c r="AF527" s="3">
        <v>50.0</v>
      </c>
      <c r="AG527" s="3">
        <v>24.0</v>
      </c>
      <c r="AH527" s="3">
        <v>42.0</v>
      </c>
      <c r="AI527" s="3">
        <v>40.0</v>
      </c>
      <c r="AJ527" s="3">
        <v>42.0</v>
      </c>
      <c r="AK527" s="3">
        <v>60.0</v>
      </c>
      <c r="AL527" s="3">
        <v>80.0</v>
      </c>
      <c r="AM527" s="3">
        <v>40.0</v>
      </c>
      <c r="AN527" s="3">
        <v>58.0</v>
      </c>
    </row>
    <row r="528" ht="14.25" customHeight="1">
      <c r="A528" s="3">
        <v>526.0</v>
      </c>
      <c r="B528" s="3" t="s">
        <v>7704</v>
      </c>
      <c r="C528" s="3">
        <v>34.0</v>
      </c>
      <c r="D528" s="3" t="s">
        <v>6645</v>
      </c>
      <c r="E528" s="3" t="s">
        <v>6646</v>
      </c>
      <c r="F528" s="3" t="s">
        <v>6646</v>
      </c>
      <c r="G528" s="3" t="s">
        <v>6645</v>
      </c>
      <c r="H528" s="3" t="s">
        <v>6645</v>
      </c>
      <c r="I528" s="3" t="s">
        <v>6646</v>
      </c>
      <c r="J528" s="3">
        <v>17.0</v>
      </c>
      <c r="K528" s="3">
        <v>2.0</v>
      </c>
      <c r="L528" s="3">
        <v>0.0</v>
      </c>
      <c r="M528" s="3">
        <v>0.0</v>
      </c>
      <c r="N528" s="3">
        <v>3478.65</v>
      </c>
      <c r="O528" s="3">
        <v>304.0</v>
      </c>
      <c r="P528" s="3" t="e">
        <v>#N/A</v>
      </c>
      <c r="Q528" s="3">
        <v>51.0</v>
      </c>
      <c r="R528" s="3">
        <v>46.0</v>
      </c>
      <c r="S528" s="3">
        <v>49.0</v>
      </c>
      <c r="T528" s="3">
        <v>45.0</v>
      </c>
      <c r="U528" s="3">
        <v>49.0</v>
      </c>
      <c r="V528" s="3">
        <v>46.0</v>
      </c>
      <c r="W528" s="3">
        <v>43.0</v>
      </c>
      <c r="X528" s="3">
        <v>45.0</v>
      </c>
      <c r="Y528" s="3">
        <v>57.0</v>
      </c>
      <c r="Z528" s="3">
        <v>45.0</v>
      </c>
      <c r="AA528" s="3">
        <v>40.0</v>
      </c>
      <c r="AB528" s="3">
        <v>52.0</v>
      </c>
      <c r="AC528" s="3">
        <v>53.0</v>
      </c>
      <c r="AD528" s="3">
        <v>48.0</v>
      </c>
      <c r="AE528" s="3">
        <v>57.0</v>
      </c>
      <c r="AF528" s="3">
        <v>52.0</v>
      </c>
      <c r="AG528" s="3">
        <v>48.0</v>
      </c>
      <c r="AH528" s="3">
        <v>64.0</v>
      </c>
      <c r="AI528" s="3">
        <v>24.0</v>
      </c>
      <c r="AJ528" s="3">
        <v>60.0</v>
      </c>
      <c r="AK528" s="3">
        <v>56.0</v>
      </c>
      <c r="AL528" s="3">
        <v>78.0</v>
      </c>
      <c r="AM528" s="3">
        <v>58.0</v>
      </c>
      <c r="AN528" s="3">
        <v>56.0</v>
      </c>
    </row>
    <row r="529" ht="14.25" customHeight="1">
      <c r="A529" s="3">
        <v>527.0</v>
      </c>
      <c r="B529" s="3" t="s">
        <v>7705</v>
      </c>
      <c r="C529" s="3">
        <v>32.0</v>
      </c>
      <c r="D529" s="3" t="s">
        <v>6645</v>
      </c>
      <c r="E529" s="3" t="s">
        <v>6646</v>
      </c>
      <c r="F529" s="3" t="s">
        <v>6646</v>
      </c>
      <c r="G529" s="3" t="s">
        <v>6645</v>
      </c>
      <c r="H529" s="3" t="s">
        <v>6645</v>
      </c>
      <c r="I529" s="3" t="s">
        <v>6646</v>
      </c>
      <c r="J529" s="3">
        <v>17.0</v>
      </c>
      <c r="K529" s="3">
        <v>2.0</v>
      </c>
      <c r="L529" s="3">
        <v>0.0</v>
      </c>
      <c r="M529" s="3">
        <v>0.0</v>
      </c>
      <c r="N529" s="3">
        <v>3533.3544</v>
      </c>
      <c r="O529" s="3">
        <v>453.0</v>
      </c>
      <c r="P529" s="3" t="e">
        <v>#N/A</v>
      </c>
      <c r="Q529" s="3">
        <v>43.0</v>
      </c>
      <c r="R529" s="3">
        <v>44.0</v>
      </c>
      <c r="S529" s="3">
        <v>46.0</v>
      </c>
      <c r="T529" s="3">
        <v>52.0</v>
      </c>
      <c r="U529" s="3">
        <v>45.0</v>
      </c>
      <c r="V529" s="3">
        <v>47.0</v>
      </c>
      <c r="W529" s="3">
        <v>45.0</v>
      </c>
      <c r="X529" s="3">
        <v>36.0</v>
      </c>
      <c r="Y529" s="3">
        <v>55.0</v>
      </c>
      <c r="Z529" s="3">
        <v>52.0</v>
      </c>
      <c r="AA529" s="3">
        <v>44.0</v>
      </c>
      <c r="AB529" s="3">
        <v>44.0</v>
      </c>
      <c r="AC529" s="3">
        <v>51.0</v>
      </c>
      <c r="AD529" s="3">
        <v>38.0</v>
      </c>
      <c r="AE529" s="3">
        <v>57.0</v>
      </c>
      <c r="AF529" s="3">
        <v>60.0</v>
      </c>
      <c r="AG529" s="3">
        <v>58.0</v>
      </c>
      <c r="AH529" s="3">
        <v>46.0</v>
      </c>
      <c r="AI529" s="3">
        <v>11.0</v>
      </c>
      <c r="AJ529" s="3">
        <v>46.0</v>
      </c>
      <c r="AK529" s="3">
        <v>60.0</v>
      </c>
      <c r="AL529" s="3">
        <v>75.0</v>
      </c>
      <c r="AM529" s="3">
        <v>56.0</v>
      </c>
      <c r="AN529" s="3">
        <v>52.0</v>
      </c>
    </row>
    <row r="530" ht="14.25" customHeight="1">
      <c r="A530" s="3">
        <v>528.0</v>
      </c>
      <c r="B530" s="3" t="s">
        <v>7706</v>
      </c>
      <c r="C530" s="3">
        <v>24.0</v>
      </c>
      <c r="D530" s="3" t="s">
        <v>6645</v>
      </c>
      <c r="E530" s="3" t="s">
        <v>6646</v>
      </c>
      <c r="F530" s="3" t="s">
        <v>6646</v>
      </c>
      <c r="G530" s="3" t="s">
        <v>6645</v>
      </c>
      <c r="H530" s="3" t="s">
        <v>6645</v>
      </c>
      <c r="I530" s="3" t="s">
        <v>6645</v>
      </c>
      <c r="J530" s="3">
        <v>17.0</v>
      </c>
      <c r="K530" s="3">
        <v>1.0</v>
      </c>
      <c r="L530" s="3">
        <v>0.0</v>
      </c>
      <c r="M530" s="3">
        <v>0.0</v>
      </c>
      <c r="N530" s="3">
        <v>1478.61</v>
      </c>
      <c r="O530" s="3">
        <v>235.0</v>
      </c>
      <c r="P530" s="3" t="e">
        <v>#N/A</v>
      </c>
      <c r="Q530" s="3">
        <v>40.0</v>
      </c>
      <c r="R530" s="3">
        <v>46.0</v>
      </c>
      <c r="S530" s="3">
        <v>38.0</v>
      </c>
      <c r="T530" s="3">
        <v>44.0</v>
      </c>
      <c r="U530" s="3">
        <v>42.0</v>
      </c>
      <c r="V530" s="3">
        <v>40.0</v>
      </c>
      <c r="W530" s="3">
        <v>44.0</v>
      </c>
      <c r="X530" s="3">
        <v>44.0</v>
      </c>
      <c r="Y530" s="3">
        <v>47.0</v>
      </c>
      <c r="Z530" s="3">
        <v>41.0</v>
      </c>
      <c r="AA530" s="3">
        <v>36.0</v>
      </c>
      <c r="AB530" s="3">
        <v>35.0</v>
      </c>
      <c r="AC530" s="3">
        <v>49.0</v>
      </c>
      <c r="AD530" s="3">
        <v>46.0</v>
      </c>
      <c r="AE530" s="3">
        <v>48.0</v>
      </c>
      <c r="AF530" s="3">
        <v>34.0</v>
      </c>
      <c r="AG530" s="3">
        <v>31.0</v>
      </c>
      <c r="AH530" s="3">
        <v>48.0</v>
      </c>
      <c r="AI530" s="3">
        <v>38.0</v>
      </c>
      <c r="AJ530" s="3">
        <v>34.0</v>
      </c>
      <c r="AK530" s="3">
        <v>39.0</v>
      </c>
      <c r="AL530" s="3">
        <v>72.0</v>
      </c>
      <c r="AM530" s="3">
        <v>55.0</v>
      </c>
      <c r="AN530" s="3">
        <v>48.0</v>
      </c>
    </row>
    <row r="531" ht="14.25" customHeight="1">
      <c r="A531" s="3">
        <v>529.0</v>
      </c>
      <c r="B531" s="3" t="s">
        <v>7707</v>
      </c>
      <c r="C531" s="3">
        <v>20.0</v>
      </c>
      <c r="D531" s="3" t="s">
        <v>6645</v>
      </c>
      <c r="E531" s="3" t="s">
        <v>6646</v>
      </c>
      <c r="F531" s="3" t="s">
        <v>6646</v>
      </c>
      <c r="G531" s="3" t="s">
        <v>6645</v>
      </c>
      <c r="H531" s="3" t="s">
        <v>6645</v>
      </c>
      <c r="I531" s="3" t="s">
        <v>6646</v>
      </c>
      <c r="J531" s="3">
        <v>17.0</v>
      </c>
      <c r="K531" s="3">
        <v>1.0</v>
      </c>
      <c r="L531" s="3">
        <v>0.0</v>
      </c>
      <c r="M531" s="3">
        <v>0.0</v>
      </c>
      <c r="N531" s="3">
        <v>1317.3134</v>
      </c>
      <c r="O531" s="3">
        <v>234.0</v>
      </c>
      <c r="P531" s="3" t="e">
        <v>#N/A</v>
      </c>
      <c r="Q531" s="3">
        <v>40.0</v>
      </c>
      <c r="R531" s="3">
        <v>44.0</v>
      </c>
      <c r="S531" s="3">
        <v>40.0</v>
      </c>
      <c r="T531" s="3">
        <v>40.0</v>
      </c>
      <c r="U531" s="3">
        <v>40.0</v>
      </c>
      <c r="V531" s="3">
        <v>38.0</v>
      </c>
      <c r="W531" s="3">
        <v>38.0</v>
      </c>
      <c r="X531" s="3">
        <v>40.0</v>
      </c>
      <c r="Y531" s="3">
        <v>49.0</v>
      </c>
      <c r="Z531" s="3">
        <v>31.0</v>
      </c>
      <c r="AA531" s="3">
        <v>31.0</v>
      </c>
      <c r="AB531" s="3">
        <v>36.0</v>
      </c>
      <c r="AC531" s="3">
        <v>47.0</v>
      </c>
      <c r="AD531" s="3">
        <v>39.0</v>
      </c>
      <c r="AE531" s="3">
        <v>43.0</v>
      </c>
      <c r="AF531" s="3">
        <v>39.0</v>
      </c>
      <c r="AG531" s="3">
        <v>52.0</v>
      </c>
      <c r="AH531" s="3">
        <v>47.0</v>
      </c>
      <c r="AI531" s="3">
        <v>43.0</v>
      </c>
      <c r="AJ531" s="3">
        <v>47.0</v>
      </c>
      <c r="AK531" s="3">
        <v>35.0</v>
      </c>
      <c r="AL531" s="3">
        <v>74.0</v>
      </c>
      <c r="AM531" s="3">
        <v>37.0</v>
      </c>
      <c r="AN531" s="3">
        <v>51.0</v>
      </c>
    </row>
    <row r="532" ht="14.25" customHeight="1">
      <c r="A532" s="3">
        <v>530.0</v>
      </c>
      <c r="B532" s="3" t="s">
        <v>7708</v>
      </c>
      <c r="C532" s="3">
        <v>27.0</v>
      </c>
      <c r="D532" s="3" t="s">
        <v>6645</v>
      </c>
      <c r="E532" s="3" t="s">
        <v>6646</v>
      </c>
      <c r="F532" s="3" t="s">
        <v>6646</v>
      </c>
      <c r="G532" s="3" t="s">
        <v>6645</v>
      </c>
      <c r="H532" s="3" t="s">
        <v>6645</v>
      </c>
      <c r="I532" s="3" t="s">
        <v>6645</v>
      </c>
      <c r="J532" s="3">
        <v>17.0</v>
      </c>
      <c r="K532" s="3">
        <v>1.0</v>
      </c>
      <c r="L532" s="3">
        <v>0.0</v>
      </c>
      <c r="M532" s="3">
        <v>0.0</v>
      </c>
      <c r="N532" s="3">
        <v>1382.3547</v>
      </c>
      <c r="O532" s="3">
        <v>218.0</v>
      </c>
      <c r="P532" s="3" t="e">
        <v>#N/A</v>
      </c>
      <c r="Q532" s="3">
        <v>42.0</v>
      </c>
      <c r="R532" s="3">
        <v>36.0</v>
      </c>
      <c r="S532" s="3">
        <v>44.0</v>
      </c>
      <c r="T532" s="3">
        <v>42.0</v>
      </c>
      <c r="U532" s="3">
        <v>40.0</v>
      </c>
      <c r="V532" s="3">
        <v>38.0</v>
      </c>
      <c r="W532" s="3">
        <v>36.0</v>
      </c>
      <c r="X532" s="3">
        <v>42.0</v>
      </c>
      <c r="Y532" s="3">
        <v>48.0</v>
      </c>
      <c r="Z532" s="3">
        <v>30.0</v>
      </c>
      <c r="AA532" s="3">
        <v>31.0</v>
      </c>
      <c r="AB532" s="3">
        <v>44.0</v>
      </c>
      <c r="AC532" s="3">
        <v>44.0</v>
      </c>
      <c r="AD532" s="3">
        <v>40.0</v>
      </c>
      <c r="AE532" s="3">
        <v>51.0</v>
      </c>
      <c r="AF532" s="3">
        <v>22.0</v>
      </c>
      <c r="AG532" s="3">
        <v>62.0</v>
      </c>
      <c r="AH532" s="3">
        <v>46.0</v>
      </c>
      <c r="AI532" s="3">
        <v>59.0</v>
      </c>
      <c r="AJ532" s="3">
        <v>34.0</v>
      </c>
      <c r="AK532" s="3">
        <v>56.0</v>
      </c>
      <c r="AL532" s="3">
        <v>78.0</v>
      </c>
      <c r="AM532" s="3">
        <v>56.0</v>
      </c>
      <c r="AN532" s="3">
        <v>45.0</v>
      </c>
    </row>
    <row r="533" ht="14.25" customHeight="1">
      <c r="A533" s="3">
        <v>531.0</v>
      </c>
      <c r="B533" s="3" t="s">
        <v>7709</v>
      </c>
      <c r="C533" s="3">
        <v>21.0</v>
      </c>
      <c r="D533" s="3" t="s">
        <v>6645</v>
      </c>
      <c r="E533" s="3" t="s">
        <v>6646</v>
      </c>
      <c r="F533" s="3" t="s">
        <v>6646</v>
      </c>
      <c r="G533" s="3" t="s">
        <v>6645</v>
      </c>
      <c r="H533" s="3" t="s">
        <v>6645</v>
      </c>
      <c r="I533" s="3" t="s">
        <v>6646</v>
      </c>
      <c r="J533" s="3">
        <v>17.0</v>
      </c>
      <c r="K533" s="3">
        <v>1.0</v>
      </c>
      <c r="L533" s="3">
        <v>0.0</v>
      </c>
      <c r="M533" s="3">
        <v>0.0</v>
      </c>
      <c r="N533" s="3">
        <v>1396.8028</v>
      </c>
      <c r="O533" s="3">
        <v>187.0</v>
      </c>
      <c r="P533" s="3" t="e">
        <v>#N/A</v>
      </c>
      <c r="Q533" s="3">
        <v>42.0</v>
      </c>
      <c r="R533" s="3">
        <v>38.0</v>
      </c>
      <c r="S533" s="3">
        <v>44.0</v>
      </c>
      <c r="T533" s="3">
        <v>40.0</v>
      </c>
      <c r="U533" s="3">
        <v>36.0</v>
      </c>
      <c r="V533" s="3">
        <v>38.0</v>
      </c>
      <c r="W533" s="3">
        <v>42.0</v>
      </c>
      <c r="X533" s="3">
        <v>42.0</v>
      </c>
      <c r="Y533" s="3">
        <v>52.0</v>
      </c>
      <c r="Z533" s="3">
        <v>38.0</v>
      </c>
      <c r="AA533" s="3">
        <v>38.0</v>
      </c>
      <c r="AB533" s="3">
        <v>34.0</v>
      </c>
      <c r="AC533" s="3">
        <v>48.0</v>
      </c>
      <c r="AD533" s="3">
        <v>28.0</v>
      </c>
      <c r="AE533" s="3">
        <v>42.0</v>
      </c>
      <c r="AF533" s="3">
        <v>37.0</v>
      </c>
      <c r="AG533" s="3">
        <v>42.0</v>
      </c>
      <c r="AH533" s="3">
        <v>51.0</v>
      </c>
      <c r="AI533" s="3">
        <v>9.0</v>
      </c>
      <c r="AJ533" s="3">
        <v>35.0</v>
      </c>
      <c r="AK533" s="3">
        <v>55.0</v>
      </c>
      <c r="AL533" s="3">
        <v>70.0</v>
      </c>
      <c r="AM533" s="3">
        <v>55.0</v>
      </c>
      <c r="AN533" s="3">
        <v>48.0</v>
      </c>
    </row>
    <row r="534" ht="14.25" customHeight="1">
      <c r="A534" s="3">
        <v>532.0</v>
      </c>
      <c r="B534" s="3" t="s">
        <v>7710</v>
      </c>
      <c r="C534" s="3">
        <v>24.0</v>
      </c>
      <c r="D534" s="3" t="s">
        <v>6645</v>
      </c>
      <c r="E534" s="3" t="s">
        <v>6646</v>
      </c>
      <c r="F534" s="3" t="s">
        <v>6646</v>
      </c>
      <c r="G534" s="3" t="s">
        <v>6645</v>
      </c>
      <c r="H534" s="3" t="s">
        <v>6645</v>
      </c>
      <c r="I534" s="3" t="s">
        <v>6646</v>
      </c>
      <c r="J534" s="3">
        <v>17.0</v>
      </c>
      <c r="K534" s="3">
        <v>0.0</v>
      </c>
      <c r="L534" s="3">
        <v>0.0</v>
      </c>
      <c r="M534" s="3">
        <v>0.0</v>
      </c>
      <c r="N534" s="3">
        <v>421.491</v>
      </c>
      <c r="O534" s="3">
        <v>122.0</v>
      </c>
      <c r="P534" s="3" t="e">
        <v>#N/A</v>
      </c>
      <c r="Q534" s="3">
        <v>34.0</v>
      </c>
      <c r="R534" s="3">
        <v>37.0</v>
      </c>
      <c r="S534" s="3">
        <v>30.0</v>
      </c>
      <c r="T534" s="3">
        <v>35.0</v>
      </c>
      <c r="U534" s="3">
        <v>39.0</v>
      </c>
      <c r="V534" s="3">
        <v>37.0</v>
      </c>
      <c r="W534" s="3">
        <v>38.0</v>
      </c>
      <c r="X534" s="3">
        <v>24.0</v>
      </c>
      <c r="Y534" s="3">
        <v>40.0</v>
      </c>
      <c r="Z534" s="3">
        <v>23.0</v>
      </c>
      <c r="AA534" s="3">
        <v>39.0</v>
      </c>
      <c r="AB534" s="3">
        <v>28.0</v>
      </c>
      <c r="AC534" s="3">
        <v>38.0</v>
      </c>
      <c r="AD534" s="3">
        <v>31.0</v>
      </c>
      <c r="AE534" s="3">
        <v>49.0</v>
      </c>
      <c r="AF534" s="3">
        <v>49.0</v>
      </c>
      <c r="AG534" s="3">
        <v>46.0</v>
      </c>
      <c r="AH534" s="3">
        <v>31.0</v>
      </c>
      <c r="AI534" s="3">
        <v>56.0</v>
      </c>
      <c r="AJ534" s="3">
        <v>46.0</v>
      </c>
      <c r="AK534" s="3">
        <v>8.0</v>
      </c>
      <c r="AL534" s="3">
        <v>66.0</v>
      </c>
      <c r="AM534" s="3">
        <v>57.0</v>
      </c>
      <c r="AN534" s="3">
        <v>52.0</v>
      </c>
    </row>
    <row r="535" ht="14.25" customHeight="1">
      <c r="A535" s="3">
        <v>533.0</v>
      </c>
      <c r="B535" s="3" t="s">
        <v>7711</v>
      </c>
      <c r="C535" s="3">
        <v>21.0</v>
      </c>
      <c r="D535" s="3" t="s">
        <v>6645</v>
      </c>
      <c r="E535" s="3" t="s">
        <v>6646</v>
      </c>
      <c r="F535" s="3" t="s">
        <v>6646</v>
      </c>
      <c r="G535" s="3" t="s">
        <v>6645</v>
      </c>
      <c r="H535" s="3" t="s">
        <v>6645</v>
      </c>
      <c r="I535" s="3" t="s">
        <v>6645</v>
      </c>
      <c r="J535" s="3">
        <v>17.0</v>
      </c>
      <c r="K535" s="3">
        <v>0.0</v>
      </c>
      <c r="L535" s="3">
        <v>0.0</v>
      </c>
      <c r="M535" s="3">
        <v>0.0</v>
      </c>
      <c r="N535" s="3">
        <v>536.689</v>
      </c>
      <c r="O535" s="3">
        <v>100.0</v>
      </c>
      <c r="P535" s="3" t="e">
        <v>#N/A</v>
      </c>
      <c r="Q535" s="3">
        <v>34.0</v>
      </c>
      <c r="R535" s="3">
        <v>37.0</v>
      </c>
      <c r="S535" s="3">
        <v>32.0</v>
      </c>
      <c r="T535" s="3">
        <v>31.0</v>
      </c>
      <c r="U535" s="3">
        <v>35.0</v>
      </c>
      <c r="V535" s="3">
        <v>30.0</v>
      </c>
      <c r="W535" s="3">
        <v>26.0</v>
      </c>
      <c r="X535" s="3">
        <v>31.0</v>
      </c>
      <c r="Y535" s="3">
        <v>38.0</v>
      </c>
      <c r="Z535" s="3">
        <v>33.0</v>
      </c>
      <c r="AA535" s="3">
        <v>32.0</v>
      </c>
      <c r="AB535" s="3">
        <v>32.0</v>
      </c>
      <c r="AC535" s="3">
        <v>39.0</v>
      </c>
      <c r="AD535" s="3">
        <v>27.0</v>
      </c>
      <c r="AE535" s="3">
        <v>35.0</v>
      </c>
      <c r="AF535" s="3">
        <v>41.0</v>
      </c>
      <c r="AG535" s="3">
        <v>31.0</v>
      </c>
      <c r="AH535" s="3">
        <v>44.0</v>
      </c>
      <c r="AI535" s="3">
        <v>52.0</v>
      </c>
      <c r="AJ535" s="3">
        <v>39.0</v>
      </c>
      <c r="AK535" s="3">
        <v>41.0</v>
      </c>
      <c r="AL535" s="3">
        <v>66.0</v>
      </c>
      <c r="AM535" s="3">
        <v>28.0</v>
      </c>
      <c r="AN535" s="3">
        <v>35.0</v>
      </c>
    </row>
    <row r="536" ht="14.25" customHeight="1">
      <c r="A536" s="3">
        <v>534.0</v>
      </c>
      <c r="B536" s="3" t="s">
        <v>7712</v>
      </c>
      <c r="C536" s="3">
        <v>22.0</v>
      </c>
      <c r="D536" s="3" t="s">
        <v>6645</v>
      </c>
      <c r="E536" s="3" t="s">
        <v>6646</v>
      </c>
      <c r="F536" s="3" t="s">
        <v>6646</v>
      </c>
      <c r="G536" s="3" t="s">
        <v>6645</v>
      </c>
      <c r="H536" s="3" t="s">
        <v>6645</v>
      </c>
      <c r="I536" s="3" t="s">
        <v>6646</v>
      </c>
      <c r="J536" s="3">
        <v>17.0</v>
      </c>
      <c r="K536" s="3">
        <v>0.0</v>
      </c>
      <c r="L536" s="3">
        <v>0.0</v>
      </c>
      <c r="M536" s="3">
        <v>0.0</v>
      </c>
      <c r="N536" s="3">
        <v>472.92092</v>
      </c>
      <c r="O536" s="3">
        <v>79.0</v>
      </c>
      <c r="P536" s="3" t="e">
        <v>#N/A</v>
      </c>
      <c r="Q536" s="3">
        <v>34.0</v>
      </c>
      <c r="R536" s="3">
        <v>39.0</v>
      </c>
      <c r="S536" s="3">
        <v>39.0</v>
      </c>
      <c r="T536" s="3">
        <v>39.0</v>
      </c>
      <c r="U536" s="3">
        <v>31.0</v>
      </c>
      <c r="V536" s="3">
        <v>32.0</v>
      </c>
      <c r="W536" s="3">
        <v>33.0</v>
      </c>
      <c r="X536" s="3">
        <v>35.0</v>
      </c>
      <c r="Y536" s="3">
        <v>38.0</v>
      </c>
      <c r="Z536" s="3">
        <v>31.0</v>
      </c>
      <c r="AA536" s="3">
        <v>22.0</v>
      </c>
      <c r="AB536" s="3">
        <v>24.0</v>
      </c>
      <c r="AC536" s="3">
        <v>39.0</v>
      </c>
      <c r="AD536" s="3">
        <v>30.0</v>
      </c>
      <c r="AE536" s="3">
        <v>42.0</v>
      </c>
      <c r="AF536" s="3">
        <v>55.0</v>
      </c>
      <c r="AG536" s="3">
        <v>47.0</v>
      </c>
      <c r="AH536" s="3">
        <v>21.0</v>
      </c>
      <c r="AI536" s="3">
        <v>58.0</v>
      </c>
      <c r="AJ536" s="3">
        <v>56.0</v>
      </c>
      <c r="AK536" s="3">
        <v>52.0</v>
      </c>
      <c r="AL536" s="3">
        <v>66.0</v>
      </c>
      <c r="AM536" s="3">
        <v>38.0</v>
      </c>
      <c r="AN536" s="3">
        <v>34.0</v>
      </c>
    </row>
    <row r="537" ht="14.25" customHeight="1">
      <c r="A537" s="3">
        <v>535.0</v>
      </c>
      <c r="B537" s="3" t="s">
        <v>7713</v>
      </c>
      <c r="C537" s="3">
        <v>20.0</v>
      </c>
      <c r="D537" s="3" t="s">
        <v>6645</v>
      </c>
      <c r="E537" s="3" t="s">
        <v>6646</v>
      </c>
      <c r="F537" s="3" t="s">
        <v>6646</v>
      </c>
      <c r="G537" s="3" t="s">
        <v>6645</v>
      </c>
      <c r="H537" s="3" t="s">
        <v>6645</v>
      </c>
      <c r="I537" s="3" t="s">
        <v>6646</v>
      </c>
      <c r="J537" s="3">
        <v>17.0</v>
      </c>
      <c r="K537" s="3">
        <v>0.0</v>
      </c>
      <c r="L537" s="3">
        <v>0.0</v>
      </c>
      <c r="M537" s="3">
        <v>0.0</v>
      </c>
      <c r="N537" s="3">
        <v>531.784</v>
      </c>
      <c r="O537" s="3">
        <v>108.0</v>
      </c>
      <c r="P537" s="3" t="e">
        <v>#N/A</v>
      </c>
      <c r="Q537" s="3">
        <v>32.0</v>
      </c>
      <c r="R537" s="3">
        <v>36.0</v>
      </c>
      <c r="S537" s="3">
        <v>31.0</v>
      </c>
      <c r="T537" s="3">
        <v>31.0</v>
      </c>
      <c r="U537" s="3">
        <v>34.0</v>
      </c>
      <c r="V537" s="3">
        <v>35.0</v>
      </c>
      <c r="W537" s="3">
        <v>26.0</v>
      </c>
      <c r="X537" s="3">
        <v>26.0</v>
      </c>
      <c r="Y537" s="3">
        <v>37.0</v>
      </c>
      <c r="Z537" s="3">
        <v>38.0</v>
      </c>
      <c r="AA537" s="3">
        <v>30.0</v>
      </c>
      <c r="AB537" s="3">
        <v>33.0</v>
      </c>
      <c r="AC537" s="3">
        <v>43.0</v>
      </c>
      <c r="AD537" s="3">
        <v>31.0</v>
      </c>
      <c r="AE537" s="3">
        <v>40.0</v>
      </c>
      <c r="AF537" s="3">
        <v>26.0</v>
      </c>
      <c r="AG537" s="3">
        <v>46.0</v>
      </c>
      <c r="AH537" s="3">
        <v>48.0</v>
      </c>
      <c r="AI537" s="3">
        <v>51.0</v>
      </c>
      <c r="AJ537" s="3">
        <v>37.0</v>
      </c>
      <c r="AK537" s="3">
        <v>44.0</v>
      </c>
      <c r="AL537" s="3">
        <v>69.0</v>
      </c>
      <c r="AM537" s="3">
        <v>31.0</v>
      </c>
      <c r="AN537" s="3">
        <v>40.0</v>
      </c>
    </row>
    <row r="538" ht="14.25" customHeight="1">
      <c r="A538" s="3">
        <v>536.0</v>
      </c>
      <c r="B538" s="3" t="s">
        <v>7714</v>
      </c>
      <c r="C538" s="3">
        <v>23.0</v>
      </c>
      <c r="D538" s="3" t="s">
        <v>6645</v>
      </c>
      <c r="E538" s="3" t="s">
        <v>6646</v>
      </c>
      <c r="F538" s="3" t="s">
        <v>6646</v>
      </c>
      <c r="G538" s="3" t="s">
        <v>6645</v>
      </c>
      <c r="H538" s="3" t="s">
        <v>6645</v>
      </c>
      <c r="I538" s="3" t="s">
        <v>6645</v>
      </c>
      <c r="J538" s="3">
        <v>17.0</v>
      </c>
      <c r="K538" s="3">
        <v>0.0</v>
      </c>
      <c r="L538" s="3">
        <v>0.0</v>
      </c>
      <c r="M538" s="3">
        <v>0.0</v>
      </c>
      <c r="N538" s="3">
        <v>495.633</v>
      </c>
      <c r="O538" s="3">
        <v>89.0</v>
      </c>
      <c r="P538" s="3" t="e">
        <v>#N/A</v>
      </c>
      <c r="Q538" s="3">
        <v>34.0</v>
      </c>
      <c r="R538" s="3">
        <v>33.0</v>
      </c>
      <c r="S538" s="3">
        <v>37.0</v>
      </c>
      <c r="T538" s="3">
        <v>37.0</v>
      </c>
      <c r="U538" s="3">
        <v>38.0</v>
      </c>
      <c r="V538" s="3">
        <v>39.0</v>
      </c>
      <c r="W538" s="3">
        <v>38.0</v>
      </c>
      <c r="X538" s="3">
        <v>22.0</v>
      </c>
      <c r="Y538" s="3">
        <v>48.0</v>
      </c>
      <c r="Z538" s="3">
        <v>29.0</v>
      </c>
      <c r="AA538" s="3">
        <v>34.0</v>
      </c>
      <c r="AB538" s="3">
        <v>21.0</v>
      </c>
      <c r="AC538" s="3">
        <v>46.0</v>
      </c>
      <c r="AD538" s="3">
        <v>31.0</v>
      </c>
      <c r="AE538" s="3">
        <v>42.0</v>
      </c>
      <c r="AF538" s="3">
        <v>30.0</v>
      </c>
      <c r="AG538" s="3">
        <v>51.0</v>
      </c>
      <c r="AH538" s="3">
        <v>44.0</v>
      </c>
      <c r="AI538" s="3">
        <v>51.0</v>
      </c>
      <c r="AJ538" s="3">
        <v>33.0</v>
      </c>
      <c r="AK538" s="3">
        <v>49.0</v>
      </c>
      <c r="AL538" s="3">
        <v>74.0</v>
      </c>
      <c r="AM538" s="3">
        <v>20.0</v>
      </c>
      <c r="AN538" s="3">
        <v>32.0</v>
      </c>
    </row>
    <row r="539" ht="14.25" customHeight="1">
      <c r="A539" s="3">
        <v>537.0</v>
      </c>
      <c r="B539" s="3" t="s">
        <v>7715</v>
      </c>
      <c r="C539" s="3">
        <v>36.0</v>
      </c>
      <c r="D539" s="3" t="s">
        <v>6645</v>
      </c>
      <c r="E539" s="3" t="s">
        <v>6646</v>
      </c>
      <c r="F539" s="3" t="s">
        <v>6646</v>
      </c>
      <c r="G539" s="3" t="s">
        <v>6645</v>
      </c>
      <c r="H539" s="3" t="s">
        <v>6645</v>
      </c>
      <c r="I539" s="3" t="s">
        <v>6646</v>
      </c>
      <c r="J539" s="3">
        <v>18.0</v>
      </c>
      <c r="K539" s="3">
        <v>4.0</v>
      </c>
      <c r="L539" s="3">
        <v>0.0</v>
      </c>
      <c r="M539" s="3">
        <v>0.0</v>
      </c>
      <c r="N539" s="3">
        <v>14785.602</v>
      </c>
      <c r="O539" s="3">
        <v>1977.0</v>
      </c>
      <c r="P539" s="3" t="e">
        <v>#N/A</v>
      </c>
      <c r="Q539" s="3">
        <v>84.0</v>
      </c>
      <c r="R539" s="3">
        <v>61.0</v>
      </c>
      <c r="S539" s="3">
        <v>90.0</v>
      </c>
      <c r="T539" s="3">
        <v>60.0</v>
      </c>
      <c r="U539" s="3">
        <v>75.0</v>
      </c>
      <c r="V539" s="3">
        <v>63.0</v>
      </c>
      <c r="W539" s="3">
        <v>84.0</v>
      </c>
      <c r="X539" s="3">
        <v>72.0</v>
      </c>
      <c r="Y539" s="3">
        <v>81.0</v>
      </c>
      <c r="Z539" s="3">
        <v>62.0</v>
      </c>
      <c r="AA539" s="3">
        <v>61.0</v>
      </c>
      <c r="AB539" s="3">
        <v>69.0</v>
      </c>
      <c r="AC539" s="3">
        <v>59.0</v>
      </c>
      <c r="AD539" s="3">
        <v>78.0</v>
      </c>
      <c r="AE539" s="3">
        <v>63.0</v>
      </c>
      <c r="AF539" s="3">
        <v>65.0</v>
      </c>
      <c r="AG539" s="3">
        <v>55.0</v>
      </c>
      <c r="AH539" s="3">
        <v>70.0</v>
      </c>
      <c r="AI539" s="3">
        <v>56.0</v>
      </c>
      <c r="AJ539" s="3">
        <v>69.0</v>
      </c>
      <c r="AK539" s="3">
        <v>46.0</v>
      </c>
      <c r="AL539" s="3">
        <v>46.0</v>
      </c>
      <c r="AM539" s="3">
        <v>70.0</v>
      </c>
      <c r="AN539" s="3">
        <v>75.0</v>
      </c>
    </row>
    <row r="540" ht="14.25" customHeight="1">
      <c r="A540" s="3">
        <v>538.0</v>
      </c>
      <c r="B540" s="3" t="s">
        <v>7716</v>
      </c>
      <c r="C540" s="3">
        <v>44.0</v>
      </c>
      <c r="D540" s="3" t="s">
        <v>6645</v>
      </c>
      <c r="E540" s="3" t="s">
        <v>6646</v>
      </c>
      <c r="F540" s="3" t="s">
        <v>6646</v>
      </c>
      <c r="G540" s="3" t="s">
        <v>6645</v>
      </c>
      <c r="H540" s="3" t="s">
        <v>6645</v>
      </c>
      <c r="I540" s="3" t="s">
        <v>6646</v>
      </c>
      <c r="J540" s="3">
        <v>18.0</v>
      </c>
      <c r="K540" s="3">
        <v>4.0</v>
      </c>
      <c r="L540" s="3">
        <v>0.0</v>
      </c>
      <c r="M540" s="3">
        <v>0.0</v>
      </c>
      <c r="N540" s="3">
        <v>14152.177</v>
      </c>
      <c r="O540" s="3">
        <v>1589.0</v>
      </c>
      <c r="P540" s="3" t="e">
        <v>#N/A</v>
      </c>
      <c r="Q540" s="3">
        <v>78.0</v>
      </c>
      <c r="R540" s="3">
        <v>61.0</v>
      </c>
      <c r="S540" s="3">
        <v>89.0</v>
      </c>
      <c r="T540" s="3">
        <v>60.0</v>
      </c>
      <c r="U540" s="3">
        <v>74.0</v>
      </c>
      <c r="V540" s="3">
        <v>65.0</v>
      </c>
      <c r="W540" s="3">
        <v>78.0</v>
      </c>
      <c r="X540" s="3">
        <v>65.0</v>
      </c>
      <c r="Y540" s="3">
        <v>82.0</v>
      </c>
      <c r="Z540" s="3">
        <v>64.0</v>
      </c>
      <c r="AA540" s="3">
        <v>61.0</v>
      </c>
      <c r="AB540" s="3">
        <v>69.0</v>
      </c>
      <c r="AC540" s="3">
        <v>67.0</v>
      </c>
      <c r="AD540" s="3">
        <v>77.0</v>
      </c>
      <c r="AE540" s="3">
        <v>54.0</v>
      </c>
      <c r="AF540" s="3">
        <v>49.0</v>
      </c>
      <c r="AG540" s="3">
        <v>47.0</v>
      </c>
      <c r="AH540" s="3">
        <v>70.0</v>
      </c>
      <c r="AI540" s="3">
        <v>30.0</v>
      </c>
      <c r="AJ540" s="3">
        <v>72.0</v>
      </c>
      <c r="AK540" s="3">
        <v>70.0</v>
      </c>
      <c r="AL540" s="3">
        <v>66.0</v>
      </c>
      <c r="AM540" s="3">
        <v>44.0</v>
      </c>
      <c r="AN540" s="3">
        <v>76.0</v>
      </c>
    </row>
    <row r="541" ht="14.25" customHeight="1">
      <c r="A541" s="3">
        <v>539.0</v>
      </c>
      <c r="B541" s="3" t="s">
        <v>7717</v>
      </c>
      <c r="C541" s="3">
        <v>35.0</v>
      </c>
      <c r="D541" s="3" t="s">
        <v>6645</v>
      </c>
      <c r="E541" s="3" t="s">
        <v>6646</v>
      </c>
      <c r="F541" s="3" t="s">
        <v>6646</v>
      </c>
      <c r="G541" s="3" t="s">
        <v>6645</v>
      </c>
      <c r="H541" s="3" t="s">
        <v>6645</v>
      </c>
      <c r="I541" s="3" t="s">
        <v>6645</v>
      </c>
      <c r="J541" s="3">
        <v>18.0</v>
      </c>
      <c r="K541" s="3">
        <v>4.0</v>
      </c>
      <c r="L541" s="3">
        <v>0.0</v>
      </c>
      <c r="M541" s="3">
        <v>0.0</v>
      </c>
      <c r="N541" s="3">
        <v>14365.075</v>
      </c>
      <c r="O541" s="3">
        <v>1733.0</v>
      </c>
      <c r="P541" s="3" t="e">
        <v>#N/A</v>
      </c>
      <c r="Q541" s="3">
        <v>82.0</v>
      </c>
      <c r="R541" s="3">
        <v>65.0</v>
      </c>
      <c r="S541" s="3">
        <v>82.0</v>
      </c>
      <c r="T541" s="3">
        <v>66.0</v>
      </c>
      <c r="U541" s="3">
        <v>77.0</v>
      </c>
      <c r="V541" s="3">
        <v>65.0</v>
      </c>
      <c r="W541" s="3">
        <v>80.0</v>
      </c>
      <c r="X541" s="3">
        <v>67.0</v>
      </c>
      <c r="Y541" s="3">
        <v>85.0</v>
      </c>
      <c r="Z541" s="3">
        <v>63.0</v>
      </c>
      <c r="AA541" s="3">
        <v>61.0</v>
      </c>
      <c r="AB541" s="3">
        <v>81.0</v>
      </c>
      <c r="AC541" s="3">
        <v>60.0</v>
      </c>
      <c r="AD541" s="3">
        <v>77.0</v>
      </c>
      <c r="AE541" s="3">
        <v>56.0</v>
      </c>
      <c r="AF541" s="3">
        <v>70.0</v>
      </c>
      <c r="AG541" s="3">
        <v>70.0</v>
      </c>
      <c r="AH541" s="3">
        <v>72.0</v>
      </c>
      <c r="AI541" s="3">
        <v>52.0</v>
      </c>
      <c r="AJ541" s="3">
        <v>22.0</v>
      </c>
      <c r="AK541" s="3">
        <v>54.0</v>
      </c>
      <c r="AL541" s="3">
        <v>50.0</v>
      </c>
      <c r="AM541" s="3">
        <v>45.0</v>
      </c>
      <c r="AN541" s="3">
        <v>76.0</v>
      </c>
    </row>
    <row r="542" ht="14.25" customHeight="1">
      <c r="A542" s="3">
        <v>540.0</v>
      </c>
      <c r="B542" s="3" t="s">
        <v>7718</v>
      </c>
      <c r="C542" s="3">
        <v>33.0</v>
      </c>
      <c r="D542" s="3" t="s">
        <v>6645</v>
      </c>
      <c r="E542" s="3" t="s">
        <v>6646</v>
      </c>
      <c r="F542" s="3" t="s">
        <v>6646</v>
      </c>
      <c r="G542" s="3" t="s">
        <v>6645</v>
      </c>
      <c r="H542" s="3" t="s">
        <v>6645</v>
      </c>
      <c r="I542" s="3" t="s">
        <v>6646</v>
      </c>
      <c r="J542" s="3">
        <v>18.0</v>
      </c>
      <c r="K542" s="3">
        <v>3.0</v>
      </c>
      <c r="L542" s="3">
        <v>0.0</v>
      </c>
      <c r="M542" s="3">
        <v>0.0</v>
      </c>
      <c r="N542" s="3">
        <v>8126.82</v>
      </c>
      <c r="O542" s="3">
        <v>935.0</v>
      </c>
      <c r="P542" s="3" t="e">
        <v>#N/A</v>
      </c>
      <c r="Q542" s="3">
        <v>64.0</v>
      </c>
      <c r="R542" s="3">
        <v>56.0</v>
      </c>
      <c r="S542" s="3">
        <v>64.0</v>
      </c>
      <c r="T542" s="3">
        <v>54.0</v>
      </c>
      <c r="U542" s="3">
        <v>64.0</v>
      </c>
      <c r="V542" s="3">
        <v>56.0</v>
      </c>
      <c r="W542" s="3">
        <v>68.0</v>
      </c>
      <c r="X542" s="3">
        <v>63.0</v>
      </c>
      <c r="Y542" s="3">
        <v>63.0</v>
      </c>
      <c r="Z542" s="3">
        <v>47.0</v>
      </c>
      <c r="AA542" s="3">
        <v>54.0</v>
      </c>
      <c r="AB542" s="3">
        <v>57.0</v>
      </c>
      <c r="AC542" s="3">
        <v>53.0</v>
      </c>
      <c r="AD542" s="3">
        <v>65.0</v>
      </c>
      <c r="AE542" s="3">
        <v>56.0</v>
      </c>
      <c r="AF542" s="3">
        <v>45.0</v>
      </c>
      <c r="AG542" s="3">
        <v>61.0</v>
      </c>
      <c r="AH542" s="3">
        <v>51.0</v>
      </c>
      <c r="AI542" s="3">
        <v>65.0</v>
      </c>
      <c r="AJ542" s="3">
        <v>40.0</v>
      </c>
      <c r="AK542" s="3">
        <v>47.0</v>
      </c>
      <c r="AL542" s="3">
        <v>26.0</v>
      </c>
      <c r="AM542" s="3">
        <v>49.0</v>
      </c>
      <c r="AN542" s="3">
        <v>77.0</v>
      </c>
    </row>
    <row r="543" ht="14.25" customHeight="1">
      <c r="A543" s="3">
        <v>541.0</v>
      </c>
      <c r="B543" s="3" t="s">
        <v>7719</v>
      </c>
      <c r="C543" s="3">
        <v>36.0</v>
      </c>
      <c r="D543" s="3" t="s">
        <v>6645</v>
      </c>
      <c r="E543" s="3" t="s">
        <v>6646</v>
      </c>
      <c r="F543" s="3" t="s">
        <v>6646</v>
      </c>
      <c r="G543" s="3" t="s">
        <v>6645</v>
      </c>
      <c r="H543" s="3" t="s">
        <v>6645</v>
      </c>
      <c r="I543" s="3" t="s">
        <v>6645</v>
      </c>
      <c r="J543" s="3">
        <v>18.0</v>
      </c>
      <c r="K543" s="3">
        <v>3.0</v>
      </c>
      <c r="L543" s="3">
        <v>0.0</v>
      </c>
      <c r="M543" s="3">
        <v>0.0</v>
      </c>
      <c r="N543" s="3">
        <v>7849.18</v>
      </c>
      <c r="O543" s="3">
        <v>815.0</v>
      </c>
      <c r="P543" s="3" t="e">
        <v>#N/A</v>
      </c>
      <c r="Q543" s="3">
        <v>62.0</v>
      </c>
      <c r="R543" s="3">
        <v>62.0</v>
      </c>
      <c r="S543" s="3">
        <v>69.0</v>
      </c>
      <c r="T543" s="3">
        <v>58.0</v>
      </c>
      <c r="U543" s="3">
        <v>65.0</v>
      </c>
      <c r="V543" s="3">
        <v>56.0</v>
      </c>
      <c r="W543" s="3">
        <v>72.0</v>
      </c>
      <c r="X543" s="3">
        <v>49.0</v>
      </c>
      <c r="Y543" s="3">
        <v>59.0</v>
      </c>
      <c r="Z543" s="3">
        <v>56.0</v>
      </c>
      <c r="AA543" s="3">
        <v>54.0</v>
      </c>
      <c r="AB543" s="3">
        <v>55.0</v>
      </c>
      <c r="AC543" s="3">
        <v>54.0</v>
      </c>
      <c r="AD543" s="3">
        <v>66.0</v>
      </c>
      <c r="AE543" s="3">
        <v>60.0</v>
      </c>
      <c r="AF543" s="3">
        <v>29.0</v>
      </c>
      <c r="AG543" s="3">
        <v>55.0</v>
      </c>
      <c r="AH543" s="3">
        <v>54.0</v>
      </c>
      <c r="AI543" s="3">
        <v>47.0</v>
      </c>
      <c r="AJ543" s="3">
        <v>58.0</v>
      </c>
      <c r="AK543" s="3">
        <v>54.0</v>
      </c>
      <c r="AL543" s="3">
        <v>67.0</v>
      </c>
      <c r="AM543" s="3">
        <v>41.0</v>
      </c>
      <c r="AN543" s="3">
        <v>72.0</v>
      </c>
    </row>
    <row r="544" ht="14.25" customHeight="1">
      <c r="A544" s="3">
        <v>542.0</v>
      </c>
      <c r="B544" s="3" t="s">
        <v>7720</v>
      </c>
      <c r="C544" s="3">
        <v>38.0</v>
      </c>
      <c r="D544" s="3" t="s">
        <v>6645</v>
      </c>
      <c r="E544" s="3" t="s">
        <v>6646</v>
      </c>
      <c r="F544" s="3" t="s">
        <v>6646</v>
      </c>
      <c r="G544" s="3" t="s">
        <v>6645</v>
      </c>
      <c r="H544" s="3" t="s">
        <v>6645</v>
      </c>
      <c r="I544" s="3" t="s">
        <v>6645</v>
      </c>
      <c r="J544" s="3">
        <v>18.0</v>
      </c>
      <c r="K544" s="3">
        <v>3.0</v>
      </c>
      <c r="L544" s="3">
        <v>0.0</v>
      </c>
      <c r="M544" s="3">
        <v>0.0</v>
      </c>
      <c r="N544" s="3">
        <v>8948.8</v>
      </c>
      <c r="O544" s="3">
        <v>823.0</v>
      </c>
      <c r="P544" s="3" t="e">
        <v>#N/A</v>
      </c>
      <c r="Q544" s="3">
        <v>60.0</v>
      </c>
      <c r="R544" s="3">
        <v>62.0</v>
      </c>
      <c r="S544" s="3">
        <v>72.0</v>
      </c>
      <c r="T544" s="3">
        <v>56.0</v>
      </c>
      <c r="U544" s="3">
        <v>59.0</v>
      </c>
      <c r="V544" s="3">
        <v>58.0</v>
      </c>
      <c r="W544" s="3">
        <v>71.0</v>
      </c>
      <c r="X544" s="3">
        <v>63.0</v>
      </c>
      <c r="Y544" s="3">
        <v>69.0</v>
      </c>
      <c r="Z544" s="3">
        <v>51.0</v>
      </c>
      <c r="AA544" s="3">
        <v>62.0</v>
      </c>
      <c r="AB544" s="3">
        <v>57.0</v>
      </c>
      <c r="AC544" s="3">
        <v>48.0</v>
      </c>
      <c r="AD544" s="3">
        <v>62.0</v>
      </c>
      <c r="AE544" s="3">
        <v>58.0</v>
      </c>
      <c r="AF544" s="3">
        <v>25.0</v>
      </c>
      <c r="AG544" s="3">
        <v>54.0</v>
      </c>
      <c r="AH544" s="3">
        <v>43.0</v>
      </c>
      <c r="AI544" s="3">
        <v>45.0</v>
      </c>
      <c r="AJ544" s="3">
        <v>43.0</v>
      </c>
      <c r="AK544" s="3">
        <v>49.0</v>
      </c>
      <c r="AL544" s="3">
        <v>63.0</v>
      </c>
      <c r="AM544" s="3">
        <v>56.0</v>
      </c>
      <c r="AN544" s="3">
        <v>75.0</v>
      </c>
    </row>
    <row r="545" ht="14.25" customHeight="1">
      <c r="A545" s="3">
        <v>543.0</v>
      </c>
      <c r="B545" s="3" t="s">
        <v>7721</v>
      </c>
      <c r="C545" s="3">
        <v>37.0</v>
      </c>
      <c r="D545" s="3" t="s">
        <v>6645</v>
      </c>
      <c r="E545" s="3" t="s">
        <v>6646</v>
      </c>
      <c r="F545" s="3" t="s">
        <v>6646</v>
      </c>
      <c r="G545" s="3" t="s">
        <v>6645</v>
      </c>
      <c r="H545" s="3" t="s">
        <v>6645</v>
      </c>
      <c r="I545" s="3" t="s">
        <v>6645</v>
      </c>
      <c r="J545" s="3">
        <v>18.0</v>
      </c>
      <c r="K545" s="3">
        <v>3.0</v>
      </c>
      <c r="L545" s="3">
        <v>0.0</v>
      </c>
      <c r="M545" s="3">
        <v>0.0</v>
      </c>
      <c r="N545" s="3">
        <v>8873.8</v>
      </c>
      <c r="O545" s="3">
        <v>704.0</v>
      </c>
      <c r="P545" s="3" t="e">
        <v>#N/A</v>
      </c>
      <c r="Q545" s="3">
        <v>70.0</v>
      </c>
      <c r="R545" s="3">
        <v>54.0</v>
      </c>
      <c r="S545" s="3">
        <v>66.0</v>
      </c>
      <c r="T545" s="3">
        <v>54.0</v>
      </c>
      <c r="U545" s="3">
        <v>61.0</v>
      </c>
      <c r="V545" s="3">
        <v>62.0</v>
      </c>
      <c r="W545" s="3">
        <v>72.0</v>
      </c>
      <c r="X545" s="3">
        <v>66.0</v>
      </c>
      <c r="Y545" s="3">
        <v>61.0</v>
      </c>
      <c r="Z545" s="3">
        <v>56.0</v>
      </c>
      <c r="AA545" s="3">
        <v>54.0</v>
      </c>
      <c r="AB545" s="3">
        <v>55.0</v>
      </c>
      <c r="AC545" s="3">
        <v>54.0</v>
      </c>
      <c r="AD545" s="3">
        <v>68.0</v>
      </c>
      <c r="AE545" s="3">
        <v>52.0</v>
      </c>
      <c r="AF545" s="3">
        <v>64.0</v>
      </c>
      <c r="AG545" s="3">
        <v>49.0</v>
      </c>
      <c r="AH545" s="3">
        <v>38.0</v>
      </c>
      <c r="AI545" s="3">
        <v>50.0</v>
      </c>
      <c r="AJ545" s="3">
        <v>45.0</v>
      </c>
      <c r="AK545" s="3">
        <v>48.0</v>
      </c>
      <c r="AL545" s="3">
        <v>51.0</v>
      </c>
      <c r="AM545" s="3">
        <v>59.0</v>
      </c>
      <c r="AN545" s="3">
        <v>86.0</v>
      </c>
    </row>
    <row r="546" ht="14.25" customHeight="1">
      <c r="A546" s="3">
        <v>544.0</v>
      </c>
      <c r="B546" s="3" t="s">
        <v>7722</v>
      </c>
      <c r="C546" s="3">
        <v>31.0</v>
      </c>
      <c r="D546" s="3" t="s">
        <v>6645</v>
      </c>
      <c r="E546" s="3" t="s">
        <v>6646</v>
      </c>
      <c r="F546" s="3" t="s">
        <v>6646</v>
      </c>
      <c r="G546" s="3" t="s">
        <v>6645</v>
      </c>
      <c r="H546" s="3" t="s">
        <v>6645</v>
      </c>
      <c r="I546" s="3" t="s">
        <v>6646</v>
      </c>
      <c r="J546" s="3">
        <v>18.0</v>
      </c>
      <c r="K546" s="3">
        <v>2.0</v>
      </c>
      <c r="L546" s="3">
        <v>0.0</v>
      </c>
      <c r="M546" s="3">
        <v>0.0</v>
      </c>
      <c r="N546" s="3">
        <v>4641.258</v>
      </c>
      <c r="O546" s="3">
        <v>348.0</v>
      </c>
      <c r="P546" s="3" t="e">
        <v>#N/A</v>
      </c>
      <c r="Q546" s="3">
        <v>54.0</v>
      </c>
      <c r="R546" s="3">
        <v>45.0</v>
      </c>
      <c r="S546" s="3">
        <v>57.0</v>
      </c>
      <c r="T546" s="3">
        <v>49.0</v>
      </c>
      <c r="U546" s="3">
        <v>50.0</v>
      </c>
      <c r="V546" s="3">
        <v>50.0</v>
      </c>
      <c r="W546" s="3">
        <v>55.0</v>
      </c>
      <c r="X546" s="3">
        <v>45.0</v>
      </c>
      <c r="Y546" s="3">
        <v>55.0</v>
      </c>
      <c r="Z546" s="3">
        <v>40.0</v>
      </c>
      <c r="AA546" s="3">
        <v>52.0</v>
      </c>
      <c r="AB546" s="3">
        <v>45.0</v>
      </c>
      <c r="AC546" s="3">
        <v>45.0</v>
      </c>
      <c r="AD546" s="3">
        <v>58.0</v>
      </c>
      <c r="AE546" s="3">
        <v>45.0</v>
      </c>
      <c r="AF546" s="3">
        <v>56.0</v>
      </c>
      <c r="AG546" s="3">
        <v>46.0</v>
      </c>
      <c r="AH546" s="3">
        <v>42.0</v>
      </c>
      <c r="AI546" s="3">
        <v>60.0</v>
      </c>
      <c r="AJ546" s="3">
        <v>44.0</v>
      </c>
      <c r="AK546" s="3">
        <v>44.0</v>
      </c>
      <c r="AL546" s="3">
        <v>25.0</v>
      </c>
      <c r="AM546" s="3">
        <v>66.0</v>
      </c>
      <c r="AN546" s="3">
        <v>77.0</v>
      </c>
    </row>
    <row r="547" ht="14.25" customHeight="1">
      <c r="A547" s="3">
        <v>545.0</v>
      </c>
      <c r="B547" s="3" t="s">
        <v>7723</v>
      </c>
      <c r="C547" s="3">
        <v>30.0</v>
      </c>
      <c r="D547" s="3" t="s">
        <v>6645</v>
      </c>
      <c r="E547" s="3" t="s">
        <v>6646</v>
      </c>
      <c r="F547" s="3" t="s">
        <v>6646</v>
      </c>
      <c r="G547" s="3" t="s">
        <v>6645</v>
      </c>
      <c r="H547" s="3" t="s">
        <v>6645</v>
      </c>
      <c r="I547" s="3" t="s">
        <v>6646</v>
      </c>
      <c r="J547" s="3">
        <v>18.0</v>
      </c>
      <c r="K547" s="3">
        <v>2.0</v>
      </c>
      <c r="L547" s="3">
        <v>0.0</v>
      </c>
      <c r="M547" s="3">
        <v>0.0</v>
      </c>
      <c r="N547" s="3">
        <v>4392.3544</v>
      </c>
      <c r="O547" s="3">
        <v>363.0</v>
      </c>
      <c r="P547" s="3" t="e">
        <v>#N/A</v>
      </c>
      <c r="Q547" s="3">
        <v>46.0</v>
      </c>
      <c r="R547" s="3">
        <v>46.0</v>
      </c>
      <c r="S547" s="3">
        <v>58.0</v>
      </c>
      <c r="T547" s="3">
        <v>47.0</v>
      </c>
      <c r="U547" s="3">
        <v>57.0</v>
      </c>
      <c r="V547" s="3">
        <v>53.0</v>
      </c>
      <c r="W547" s="3">
        <v>61.0</v>
      </c>
      <c r="X547" s="3">
        <v>44.0</v>
      </c>
      <c r="Y547" s="3">
        <v>54.0</v>
      </c>
      <c r="Z547" s="3">
        <v>51.0</v>
      </c>
      <c r="AA547" s="3">
        <v>50.0</v>
      </c>
      <c r="AB547" s="3">
        <v>40.0</v>
      </c>
      <c r="AC547" s="3">
        <v>39.0</v>
      </c>
      <c r="AD547" s="3">
        <v>50.0</v>
      </c>
      <c r="AE547" s="3">
        <v>50.0</v>
      </c>
      <c r="AF547" s="3">
        <v>38.0</v>
      </c>
      <c r="AG547" s="3">
        <v>27.0</v>
      </c>
      <c r="AH547" s="3">
        <v>42.0</v>
      </c>
      <c r="AI547" s="3">
        <v>38.0</v>
      </c>
      <c r="AJ547" s="3">
        <v>58.0</v>
      </c>
      <c r="AK547" s="3">
        <v>54.0</v>
      </c>
      <c r="AL547" s="3">
        <v>58.0</v>
      </c>
      <c r="AM547" s="3">
        <v>56.0</v>
      </c>
      <c r="AN547" s="3">
        <v>81.0</v>
      </c>
    </row>
    <row r="548" ht="14.25" customHeight="1">
      <c r="A548" s="3">
        <v>546.0</v>
      </c>
      <c r="B548" s="3" t="s">
        <v>7724</v>
      </c>
      <c r="C548" s="3">
        <v>30.0</v>
      </c>
      <c r="D548" s="3" t="s">
        <v>6645</v>
      </c>
      <c r="E548" s="3" t="s">
        <v>6646</v>
      </c>
      <c r="F548" s="3" t="s">
        <v>6646</v>
      </c>
      <c r="G548" s="3" t="s">
        <v>6645</v>
      </c>
      <c r="H548" s="3" t="s">
        <v>6645</v>
      </c>
      <c r="I548" s="3" t="s">
        <v>6645</v>
      </c>
      <c r="J548" s="3">
        <v>18.0</v>
      </c>
      <c r="K548" s="3">
        <v>2.0</v>
      </c>
      <c r="L548" s="3">
        <v>0.0</v>
      </c>
      <c r="M548" s="3">
        <v>0.0</v>
      </c>
      <c r="N548" s="3">
        <v>4258.5756</v>
      </c>
      <c r="O548" s="3">
        <v>321.0</v>
      </c>
      <c r="P548" s="3" t="e">
        <v>#N/A</v>
      </c>
      <c r="Q548" s="3">
        <v>54.0</v>
      </c>
      <c r="R548" s="3">
        <v>49.0</v>
      </c>
      <c r="S548" s="3">
        <v>51.0</v>
      </c>
      <c r="T548" s="3">
        <v>52.0</v>
      </c>
      <c r="U548" s="3">
        <v>55.0</v>
      </c>
      <c r="V548" s="3">
        <v>48.0</v>
      </c>
      <c r="W548" s="3">
        <v>54.0</v>
      </c>
      <c r="X548" s="3">
        <v>49.0</v>
      </c>
      <c r="Y548" s="3">
        <v>59.0</v>
      </c>
      <c r="Z548" s="3">
        <v>47.0</v>
      </c>
      <c r="AA548" s="3">
        <v>46.0</v>
      </c>
      <c r="AB548" s="3">
        <v>38.0</v>
      </c>
      <c r="AC548" s="3">
        <v>44.0</v>
      </c>
      <c r="AD548" s="3">
        <v>59.0</v>
      </c>
      <c r="AE548" s="3">
        <v>38.0</v>
      </c>
      <c r="AF548" s="3">
        <v>44.0</v>
      </c>
      <c r="AG548" s="3">
        <v>54.0</v>
      </c>
      <c r="AH548" s="3">
        <v>46.0</v>
      </c>
      <c r="AI548" s="3">
        <v>48.0</v>
      </c>
      <c r="AJ548" s="3">
        <v>25.0</v>
      </c>
      <c r="AK548" s="3">
        <v>38.0</v>
      </c>
      <c r="AL548" s="3">
        <v>58.0</v>
      </c>
      <c r="AM548" s="3">
        <v>42.0</v>
      </c>
      <c r="AN548" s="3">
        <v>75.0</v>
      </c>
    </row>
    <row r="549" ht="14.25" customHeight="1">
      <c r="A549" s="3">
        <v>547.0</v>
      </c>
      <c r="B549" s="3" t="s">
        <v>7725</v>
      </c>
      <c r="C549" s="3">
        <v>33.0</v>
      </c>
      <c r="D549" s="3" t="s">
        <v>6645</v>
      </c>
      <c r="E549" s="3" t="s">
        <v>6646</v>
      </c>
      <c r="F549" s="3" t="s">
        <v>6646</v>
      </c>
      <c r="G549" s="3" t="s">
        <v>6645</v>
      </c>
      <c r="H549" s="3" t="s">
        <v>6645</v>
      </c>
      <c r="I549" s="3" t="s">
        <v>6645</v>
      </c>
      <c r="J549" s="3">
        <v>18.0</v>
      </c>
      <c r="K549" s="3">
        <v>2.0</v>
      </c>
      <c r="L549" s="3">
        <v>0.0</v>
      </c>
      <c r="M549" s="3">
        <v>0.0</v>
      </c>
      <c r="N549" s="3">
        <v>4578.008</v>
      </c>
      <c r="O549" s="3">
        <v>373.0</v>
      </c>
      <c r="P549" s="3" t="e">
        <v>#N/A</v>
      </c>
      <c r="Q549" s="3">
        <v>51.0</v>
      </c>
      <c r="R549" s="3">
        <v>53.0</v>
      </c>
      <c r="S549" s="3">
        <v>55.0</v>
      </c>
      <c r="T549" s="3">
        <v>50.0</v>
      </c>
      <c r="U549" s="3">
        <v>51.0</v>
      </c>
      <c r="V549" s="3">
        <v>49.0</v>
      </c>
      <c r="W549" s="3">
        <v>59.0</v>
      </c>
      <c r="X549" s="3">
        <v>54.0</v>
      </c>
      <c r="Y549" s="3">
        <v>56.0</v>
      </c>
      <c r="Z549" s="3">
        <v>49.0</v>
      </c>
      <c r="AA549" s="3">
        <v>45.0</v>
      </c>
      <c r="AB549" s="3">
        <v>48.0</v>
      </c>
      <c r="AC549" s="3">
        <v>50.0</v>
      </c>
      <c r="AD549" s="3">
        <v>58.0</v>
      </c>
      <c r="AE549" s="3">
        <v>44.0</v>
      </c>
      <c r="AF549" s="3">
        <v>66.0</v>
      </c>
      <c r="AG549" s="3">
        <v>56.0</v>
      </c>
      <c r="AH549" s="3">
        <v>64.0</v>
      </c>
      <c r="AI549" s="3">
        <v>50.0</v>
      </c>
      <c r="AJ549" s="3">
        <v>48.0</v>
      </c>
      <c r="AK549" s="3">
        <v>14.0</v>
      </c>
      <c r="AL549" s="3">
        <v>52.0</v>
      </c>
      <c r="AM549" s="3">
        <v>60.0</v>
      </c>
      <c r="AN549" s="3">
        <v>70.0</v>
      </c>
    </row>
    <row r="550" ht="14.25" customHeight="1">
      <c r="A550" s="3">
        <v>548.0</v>
      </c>
      <c r="B550" s="3" t="s">
        <v>7726</v>
      </c>
      <c r="C550" s="3">
        <v>22.0</v>
      </c>
      <c r="D550" s="3" t="s">
        <v>6645</v>
      </c>
      <c r="E550" s="3" t="s">
        <v>6646</v>
      </c>
      <c r="F550" s="3" t="s">
        <v>6646</v>
      </c>
      <c r="G550" s="3" t="s">
        <v>6645</v>
      </c>
      <c r="H550" s="3" t="s">
        <v>6645</v>
      </c>
      <c r="I550" s="3" t="s">
        <v>6645</v>
      </c>
      <c r="J550" s="3">
        <v>18.0</v>
      </c>
      <c r="K550" s="3">
        <v>1.0</v>
      </c>
      <c r="L550" s="3">
        <v>0.0</v>
      </c>
      <c r="M550" s="3">
        <v>0.0</v>
      </c>
      <c r="N550" s="3">
        <v>1771.42</v>
      </c>
      <c r="O550" s="3">
        <v>181.0</v>
      </c>
      <c r="P550" s="3" t="e">
        <v>#N/A</v>
      </c>
      <c r="Q550" s="3">
        <v>46.0</v>
      </c>
      <c r="R550" s="3">
        <v>44.0</v>
      </c>
      <c r="S550" s="3">
        <v>44.0</v>
      </c>
      <c r="T550" s="3">
        <v>38.0</v>
      </c>
      <c r="U550" s="3">
        <v>44.0</v>
      </c>
      <c r="V550" s="3">
        <v>38.0</v>
      </c>
      <c r="W550" s="3">
        <v>54.0</v>
      </c>
      <c r="X550" s="3">
        <v>37.0</v>
      </c>
      <c r="Y550" s="3">
        <v>43.0</v>
      </c>
      <c r="Z550" s="3">
        <v>38.0</v>
      </c>
      <c r="AA550" s="3">
        <v>33.0</v>
      </c>
      <c r="AB550" s="3">
        <v>42.0</v>
      </c>
      <c r="AC550" s="3">
        <v>34.0</v>
      </c>
      <c r="AD550" s="3">
        <v>51.0</v>
      </c>
      <c r="AE550" s="3">
        <v>42.0</v>
      </c>
      <c r="AF550" s="3">
        <v>37.0</v>
      </c>
      <c r="AG550" s="3">
        <v>55.0</v>
      </c>
      <c r="AH550" s="3">
        <v>26.0</v>
      </c>
      <c r="AI550" s="3">
        <v>44.0</v>
      </c>
      <c r="AJ550" s="3">
        <v>62.0</v>
      </c>
      <c r="AK550" s="3">
        <v>57.0</v>
      </c>
      <c r="AL550" s="3">
        <v>42.0</v>
      </c>
      <c r="AM550" s="3">
        <v>43.0</v>
      </c>
      <c r="AN550" s="3">
        <v>66.0</v>
      </c>
    </row>
    <row r="551" ht="14.25" customHeight="1">
      <c r="A551" s="3">
        <v>549.0</v>
      </c>
      <c r="B551" s="3" t="s">
        <v>7727</v>
      </c>
      <c r="C551" s="3">
        <v>20.0</v>
      </c>
      <c r="D551" s="3" t="s">
        <v>6645</v>
      </c>
      <c r="E551" s="3" t="s">
        <v>6646</v>
      </c>
      <c r="F551" s="3" t="s">
        <v>6646</v>
      </c>
      <c r="G551" s="3" t="s">
        <v>6645</v>
      </c>
      <c r="H551" s="3" t="s">
        <v>6645</v>
      </c>
      <c r="I551" s="3" t="s">
        <v>6645</v>
      </c>
      <c r="J551" s="3">
        <v>18.0</v>
      </c>
      <c r="K551" s="3">
        <v>1.0</v>
      </c>
      <c r="L551" s="3">
        <v>0.0</v>
      </c>
      <c r="M551" s="3">
        <v>0.0</v>
      </c>
      <c r="N551" s="3">
        <v>1748.1116</v>
      </c>
      <c r="O551" s="3">
        <v>198.0</v>
      </c>
      <c r="P551" s="3" t="e">
        <v>#N/A</v>
      </c>
      <c r="Q551" s="3">
        <v>38.0</v>
      </c>
      <c r="R551" s="3">
        <v>38.0</v>
      </c>
      <c r="S551" s="3">
        <v>48.0</v>
      </c>
      <c r="T551" s="3">
        <v>38.0</v>
      </c>
      <c r="U551" s="3">
        <v>42.0</v>
      </c>
      <c r="V551" s="3">
        <v>42.0</v>
      </c>
      <c r="W551" s="3">
        <v>50.0</v>
      </c>
      <c r="X551" s="3">
        <v>38.0</v>
      </c>
      <c r="Y551" s="3">
        <v>49.0</v>
      </c>
      <c r="Z551" s="3">
        <v>38.0</v>
      </c>
      <c r="AA551" s="3">
        <v>38.0</v>
      </c>
      <c r="AB551" s="3">
        <v>33.0</v>
      </c>
      <c r="AC551" s="3">
        <v>33.0</v>
      </c>
      <c r="AD551" s="3">
        <v>47.0</v>
      </c>
      <c r="AE551" s="3">
        <v>40.0</v>
      </c>
      <c r="AF551" s="3">
        <v>54.0</v>
      </c>
      <c r="AG551" s="3">
        <v>61.0</v>
      </c>
      <c r="AH551" s="3">
        <v>38.0</v>
      </c>
      <c r="AI551" s="3">
        <v>41.0</v>
      </c>
      <c r="AJ551" s="3">
        <v>43.0</v>
      </c>
      <c r="AK551" s="3">
        <v>53.0</v>
      </c>
      <c r="AL551" s="3">
        <v>23.0</v>
      </c>
      <c r="AM551" s="3">
        <v>44.0</v>
      </c>
      <c r="AN551" s="3">
        <v>67.0</v>
      </c>
    </row>
    <row r="552" ht="14.25" customHeight="1">
      <c r="A552" s="3">
        <v>550.0</v>
      </c>
      <c r="B552" s="3" t="s">
        <v>7728</v>
      </c>
      <c r="C552" s="3">
        <v>28.0</v>
      </c>
      <c r="D552" s="3" t="s">
        <v>6645</v>
      </c>
      <c r="E552" s="3" t="s">
        <v>6646</v>
      </c>
      <c r="F552" s="3" t="s">
        <v>6646</v>
      </c>
      <c r="G552" s="3" t="s">
        <v>6645</v>
      </c>
      <c r="H552" s="3" t="s">
        <v>6645</v>
      </c>
      <c r="I552" s="3" t="s">
        <v>6645</v>
      </c>
      <c r="J552" s="3">
        <v>18.0</v>
      </c>
      <c r="K552" s="3">
        <v>1.0</v>
      </c>
      <c r="L552" s="3">
        <v>0.0</v>
      </c>
      <c r="M552" s="3">
        <v>0.0</v>
      </c>
      <c r="N552" s="3">
        <v>1858.814</v>
      </c>
      <c r="O552" s="3">
        <v>238.0</v>
      </c>
      <c r="P552" s="3" t="e">
        <v>#N/A</v>
      </c>
      <c r="Q552" s="3">
        <v>44.0</v>
      </c>
      <c r="R552" s="3">
        <v>38.0</v>
      </c>
      <c r="S552" s="3">
        <v>42.0</v>
      </c>
      <c r="T552" s="3">
        <v>46.0</v>
      </c>
      <c r="U552" s="3">
        <v>44.0</v>
      </c>
      <c r="V552" s="3">
        <v>40.0</v>
      </c>
      <c r="W552" s="3">
        <v>51.0</v>
      </c>
      <c r="X552" s="3">
        <v>42.0</v>
      </c>
      <c r="Y552" s="3">
        <v>50.0</v>
      </c>
      <c r="Z552" s="3">
        <v>44.0</v>
      </c>
      <c r="AA552" s="3">
        <v>34.0</v>
      </c>
      <c r="AB552" s="3">
        <v>40.0</v>
      </c>
      <c r="AC552" s="3">
        <v>31.0</v>
      </c>
      <c r="AD552" s="3">
        <v>49.0</v>
      </c>
      <c r="AE552" s="3">
        <v>35.0</v>
      </c>
      <c r="AF552" s="3">
        <v>56.0</v>
      </c>
      <c r="AG552" s="3">
        <v>42.0</v>
      </c>
      <c r="AH552" s="3">
        <v>38.0</v>
      </c>
      <c r="AI552" s="3">
        <v>16.0</v>
      </c>
      <c r="AJ552" s="3">
        <v>55.0</v>
      </c>
      <c r="AK552" s="3">
        <v>33.0</v>
      </c>
      <c r="AL552" s="3">
        <v>57.0</v>
      </c>
      <c r="AM552" s="3">
        <v>46.0</v>
      </c>
      <c r="AN552" s="3">
        <v>69.0</v>
      </c>
    </row>
    <row r="553" ht="14.25" customHeight="1">
      <c r="A553" s="3">
        <v>551.0</v>
      </c>
      <c r="B553" s="3" t="s">
        <v>7729</v>
      </c>
      <c r="C553" s="3">
        <v>25.0</v>
      </c>
      <c r="D553" s="3" t="s">
        <v>6645</v>
      </c>
      <c r="E553" s="3" t="s">
        <v>6646</v>
      </c>
      <c r="F553" s="3" t="s">
        <v>6646</v>
      </c>
      <c r="G553" s="3" t="s">
        <v>6645</v>
      </c>
      <c r="H553" s="3" t="s">
        <v>6645</v>
      </c>
      <c r="I553" s="3" t="s">
        <v>6646</v>
      </c>
      <c r="J553" s="3">
        <v>18.0</v>
      </c>
      <c r="K553" s="3">
        <v>1.0</v>
      </c>
      <c r="L553" s="3">
        <v>0.0</v>
      </c>
      <c r="M553" s="3">
        <v>0.0</v>
      </c>
      <c r="N553" s="3">
        <v>1963.7717</v>
      </c>
      <c r="O553" s="3">
        <v>154.0</v>
      </c>
      <c r="P553" s="3" t="e">
        <v>#N/A</v>
      </c>
      <c r="Q553" s="3">
        <v>42.0</v>
      </c>
      <c r="R553" s="3">
        <v>44.0</v>
      </c>
      <c r="S553" s="3">
        <v>44.0</v>
      </c>
      <c r="T553" s="3">
        <v>42.0</v>
      </c>
      <c r="U553" s="3">
        <v>44.0</v>
      </c>
      <c r="V553" s="3">
        <v>44.0</v>
      </c>
      <c r="W553" s="3">
        <v>44.0</v>
      </c>
      <c r="X553" s="3">
        <v>30.0</v>
      </c>
      <c r="Y553" s="3">
        <v>50.0</v>
      </c>
      <c r="Z553" s="3">
        <v>46.0</v>
      </c>
      <c r="AA553" s="3">
        <v>46.0</v>
      </c>
      <c r="AB553" s="3">
        <v>42.0</v>
      </c>
      <c r="AC553" s="3">
        <v>32.0</v>
      </c>
      <c r="AD553" s="3">
        <v>52.0</v>
      </c>
      <c r="AE553" s="3">
        <v>32.0</v>
      </c>
      <c r="AF553" s="3">
        <v>44.0</v>
      </c>
      <c r="AG553" s="3">
        <v>48.0</v>
      </c>
      <c r="AH553" s="3">
        <v>53.0</v>
      </c>
      <c r="AI553" s="3">
        <v>36.0</v>
      </c>
      <c r="AJ553" s="3">
        <v>47.0</v>
      </c>
      <c r="AK553" s="3">
        <v>34.0</v>
      </c>
      <c r="AL553" s="3">
        <v>10.0</v>
      </c>
      <c r="AM553" s="3">
        <v>55.0</v>
      </c>
      <c r="AN553" s="3">
        <v>77.0</v>
      </c>
    </row>
    <row r="554" ht="14.25" customHeight="1">
      <c r="A554" s="3">
        <v>552.0</v>
      </c>
      <c r="B554" s="3" t="s">
        <v>7730</v>
      </c>
      <c r="C554" s="3">
        <v>20.0</v>
      </c>
      <c r="D554" s="3" t="s">
        <v>6645</v>
      </c>
      <c r="E554" s="3" t="s">
        <v>6646</v>
      </c>
      <c r="F554" s="3" t="s">
        <v>6646</v>
      </c>
      <c r="G554" s="3" t="s">
        <v>6645</v>
      </c>
      <c r="H554" s="3" t="s">
        <v>6645</v>
      </c>
      <c r="I554" s="3" t="s">
        <v>6646</v>
      </c>
      <c r="J554" s="3">
        <v>18.0</v>
      </c>
      <c r="K554" s="3">
        <v>1.0</v>
      </c>
      <c r="L554" s="3">
        <v>0.0</v>
      </c>
      <c r="M554" s="3">
        <v>0.0</v>
      </c>
      <c r="N554" s="3">
        <v>1848.48</v>
      </c>
      <c r="O554" s="3">
        <v>196.0</v>
      </c>
      <c r="P554" s="3" t="e">
        <v>#N/A</v>
      </c>
      <c r="Q554" s="3">
        <v>40.0</v>
      </c>
      <c r="R554" s="3">
        <v>38.0</v>
      </c>
      <c r="S554" s="3">
        <v>47.0</v>
      </c>
      <c r="T554" s="3">
        <v>44.0</v>
      </c>
      <c r="U554" s="3">
        <v>42.0</v>
      </c>
      <c r="V554" s="3">
        <v>42.0</v>
      </c>
      <c r="W554" s="3">
        <v>47.0</v>
      </c>
      <c r="X554" s="3">
        <v>40.0</v>
      </c>
      <c r="Y554" s="3">
        <v>53.0</v>
      </c>
      <c r="Z554" s="3">
        <v>44.0</v>
      </c>
      <c r="AA554" s="3">
        <v>35.0</v>
      </c>
      <c r="AB554" s="3">
        <v>35.0</v>
      </c>
      <c r="AC554" s="3">
        <v>33.0</v>
      </c>
      <c r="AD554" s="3">
        <v>51.0</v>
      </c>
      <c r="AE554" s="3">
        <v>38.0</v>
      </c>
      <c r="AF554" s="3">
        <v>42.0</v>
      </c>
      <c r="AG554" s="3">
        <v>57.0</v>
      </c>
      <c r="AH554" s="3">
        <v>19.0</v>
      </c>
      <c r="AI554" s="3">
        <v>46.0</v>
      </c>
      <c r="AJ554" s="3">
        <v>48.0</v>
      </c>
      <c r="AK554" s="3">
        <v>47.0</v>
      </c>
      <c r="AL554" s="3">
        <v>53.0</v>
      </c>
      <c r="AM554" s="3">
        <v>55.0</v>
      </c>
      <c r="AN554" s="3">
        <v>71.0</v>
      </c>
    </row>
    <row r="555" ht="14.25" customHeight="1">
      <c r="A555" s="3">
        <v>553.0</v>
      </c>
      <c r="B555" s="3" t="s">
        <v>7731</v>
      </c>
      <c r="C555" s="3">
        <v>24.0</v>
      </c>
      <c r="D555" s="3" t="s">
        <v>6645</v>
      </c>
      <c r="E555" s="3" t="s">
        <v>6646</v>
      </c>
      <c r="F555" s="3" t="s">
        <v>6646</v>
      </c>
      <c r="G555" s="3" t="s">
        <v>6645</v>
      </c>
      <c r="H555" s="3" t="s">
        <v>6645</v>
      </c>
      <c r="I555" s="3" t="s">
        <v>6646</v>
      </c>
      <c r="J555" s="3">
        <v>18.0</v>
      </c>
      <c r="K555" s="3">
        <v>0.0</v>
      </c>
      <c r="L555" s="3">
        <v>0.0</v>
      </c>
      <c r="M555" s="3">
        <v>0.0</v>
      </c>
      <c r="N555" s="3">
        <v>495.195</v>
      </c>
      <c r="O555" s="3">
        <v>119.0</v>
      </c>
      <c r="P555" s="3" t="e">
        <v>#N/A</v>
      </c>
      <c r="Q555" s="3">
        <v>30.0</v>
      </c>
      <c r="R555" s="3">
        <v>34.0</v>
      </c>
      <c r="S555" s="3">
        <v>34.0</v>
      </c>
      <c r="T555" s="3">
        <v>34.0</v>
      </c>
      <c r="U555" s="3">
        <v>37.0</v>
      </c>
      <c r="V555" s="3">
        <v>36.0</v>
      </c>
      <c r="W555" s="3">
        <v>47.0</v>
      </c>
      <c r="X555" s="3">
        <v>22.0</v>
      </c>
      <c r="Y555" s="3">
        <v>41.0</v>
      </c>
      <c r="Z555" s="3">
        <v>38.0</v>
      </c>
      <c r="AA555" s="3">
        <v>37.0</v>
      </c>
      <c r="AB555" s="3">
        <v>30.0</v>
      </c>
      <c r="AC555" s="3">
        <v>25.0</v>
      </c>
      <c r="AD555" s="3">
        <v>41.0</v>
      </c>
      <c r="AE555" s="3">
        <v>27.0</v>
      </c>
      <c r="AF555" s="3">
        <v>48.0</v>
      </c>
      <c r="AG555" s="3">
        <v>45.0</v>
      </c>
      <c r="AH555" s="3">
        <v>48.0</v>
      </c>
      <c r="AI555" s="3">
        <v>53.0</v>
      </c>
      <c r="AJ555" s="3">
        <v>39.0</v>
      </c>
      <c r="AK555" s="3">
        <v>38.0</v>
      </c>
      <c r="AL555" s="3">
        <v>27.0</v>
      </c>
      <c r="AM555" s="3">
        <v>47.0</v>
      </c>
      <c r="AN555" s="3">
        <v>76.0</v>
      </c>
    </row>
    <row r="556" ht="14.25" customHeight="1">
      <c r="A556" s="3">
        <v>554.0</v>
      </c>
      <c r="B556" s="3" t="s">
        <v>7732</v>
      </c>
      <c r="C556" s="3">
        <v>20.0</v>
      </c>
      <c r="D556" s="3" t="s">
        <v>6645</v>
      </c>
      <c r="E556" s="3" t="s">
        <v>6646</v>
      </c>
      <c r="F556" s="3" t="s">
        <v>6646</v>
      </c>
      <c r="G556" s="3" t="s">
        <v>6645</v>
      </c>
      <c r="H556" s="3" t="s">
        <v>6645</v>
      </c>
      <c r="I556" s="3" t="s">
        <v>6646</v>
      </c>
      <c r="J556" s="3">
        <v>18.0</v>
      </c>
      <c r="K556" s="3">
        <v>0.0</v>
      </c>
      <c r="L556" s="3">
        <v>0.0</v>
      </c>
      <c r="M556" s="3">
        <v>0.0</v>
      </c>
      <c r="N556" s="3">
        <v>542.519</v>
      </c>
      <c r="O556" s="3">
        <v>104.0</v>
      </c>
      <c r="P556" s="3" t="e">
        <v>#N/A</v>
      </c>
      <c r="Q556" s="3">
        <v>33.0</v>
      </c>
      <c r="R556" s="3">
        <v>31.0</v>
      </c>
      <c r="S556" s="3">
        <v>39.0</v>
      </c>
      <c r="T556" s="3">
        <v>32.0</v>
      </c>
      <c r="U556" s="3">
        <v>33.0</v>
      </c>
      <c r="V556" s="3">
        <v>32.0</v>
      </c>
      <c r="W556" s="3">
        <v>43.0</v>
      </c>
      <c r="X556" s="3">
        <v>23.0</v>
      </c>
      <c r="Y556" s="3">
        <v>42.0</v>
      </c>
      <c r="Z556" s="3">
        <v>26.0</v>
      </c>
      <c r="AA556" s="3">
        <v>35.0</v>
      </c>
      <c r="AB556" s="3">
        <v>27.0</v>
      </c>
      <c r="AC556" s="3">
        <v>30.0</v>
      </c>
      <c r="AD556" s="3">
        <v>38.0</v>
      </c>
      <c r="AE556" s="3">
        <v>31.0</v>
      </c>
      <c r="AF556" s="3">
        <v>58.0</v>
      </c>
      <c r="AG556" s="3">
        <v>34.0</v>
      </c>
      <c r="AH556" s="3">
        <v>28.0</v>
      </c>
      <c r="AI556" s="3">
        <v>48.0</v>
      </c>
      <c r="AJ556" s="3">
        <v>50.0</v>
      </c>
      <c r="AK556" s="3">
        <v>40.0</v>
      </c>
      <c r="AL556" s="3">
        <v>50.0</v>
      </c>
      <c r="AM556" s="3">
        <v>32.0</v>
      </c>
      <c r="AN556" s="3">
        <v>62.0</v>
      </c>
    </row>
    <row r="557" ht="14.25" customHeight="1">
      <c r="A557" s="3">
        <v>555.0</v>
      </c>
      <c r="B557" s="3" t="s">
        <v>7733</v>
      </c>
      <c r="C557" s="3">
        <v>20.0</v>
      </c>
      <c r="D557" s="3" t="s">
        <v>6645</v>
      </c>
      <c r="E557" s="3" t="s">
        <v>6646</v>
      </c>
      <c r="F557" s="3" t="s">
        <v>6646</v>
      </c>
      <c r="G557" s="3" t="s">
        <v>6645</v>
      </c>
      <c r="H557" s="3" t="s">
        <v>6645</v>
      </c>
      <c r="I557" s="3" t="s">
        <v>6645</v>
      </c>
      <c r="J557" s="3">
        <v>18.0</v>
      </c>
      <c r="K557" s="3">
        <v>0.0</v>
      </c>
      <c r="L557" s="3">
        <v>0.0</v>
      </c>
      <c r="M557" s="3">
        <v>0.0</v>
      </c>
      <c r="N557" s="3">
        <v>485.71322</v>
      </c>
      <c r="O557" s="3">
        <v>96.0</v>
      </c>
      <c r="P557" s="3" t="e">
        <v>#N/A</v>
      </c>
      <c r="Q557" s="3">
        <v>35.0</v>
      </c>
      <c r="R557" s="3">
        <v>35.0</v>
      </c>
      <c r="S557" s="3">
        <v>35.0</v>
      </c>
      <c r="T557" s="3">
        <v>32.0</v>
      </c>
      <c r="U557" s="3">
        <v>33.0</v>
      </c>
      <c r="V557" s="3">
        <v>39.0</v>
      </c>
      <c r="W557" s="3">
        <v>45.0</v>
      </c>
      <c r="X557" s="3">
        <v>26.0</v>
      </c>
      <c r="Y557" s="3">
        <v>42.0</v>
      </c>
      <c r="Z557" s="3">
        <v>36.0</v>
      </c>
      <c r="AA557" s="3">
        <v>25.0</v>
      </c>
      <c r="AB557" s="3">
        <v>30.0</v>
      </c>
      <c r="AC557" s="3">
        <v>39.0</v>
      </c>
      <c r="AD557" s="3">
        <v>45.0</v>
      </c>
      <c r="AE557" s="3">
        <v>24.0</v>
      </c>
      <c r="AF557" s="3">
        <v>46.0</v>
      </c>
      <c r="AG557" s="3">
        <v>53.0</v>
      </c>
      <c r="AH557" s="3">
        <v>42.0</v>
      </c>
      <c r="AI557" s="3">
        <v>30.0</v>
      </c>
      <c r="AJ557" s="3">
        <v>51.0</v>
      </c>
      <c r="AK557" s="3">
        <v>43.0</v>
      </c>
      <c r="AL557" s="3">
        <v>57.0</v>
      </c>
      <c r="AM557" s="3">
        <v>27.0</v>
      </c>
      <c r="AN557" s="3">
        <v>66.0</v>
      </c>
    </row>
    <row r="558" ht="14.25" customHeight="1">
      <c r="A558" s="3">
        <v>556.0</v>
      </c>
      <c r="B558" s="3" t="s">
        <v>7734</v>
      </c>
      <c r="C558" s="3">
        <v>19.0</v>
      </c>
      <c r="D558" s="3" t="s">
        <v>6645</v>
      </c>
      <c r="E558" s="3" t="s">
        <v>6646</v>
      </c>
      <c r="F558" s="3" t="s">
        <v>6646</v>
      </c>
      <c r="G558" s="3" t="s">
        <v>6645</v>
      </c>
      <c r="H558" s="3" t="s">
        <v>6645</v>
      </c>
      <c r="I558" s="3" t="s">
        <v>6645</v>
      </c>
      <c r="J558" s="3">
        <v>18.0</v>
      </c>
      <c r="K558" s="3">
        <v>0.0</v>
      </c>
      <c r="L558" s="3">
        <v>0.0</v>
      </c>
      <c r="M558" s="3">
        <v>0.0</v>
      </c>
      <c r="N558" s="3">
        <v>565.642</v>
      </c>
      <c r="O558" s="3">
        <v>117.0</v>
      </c>
      <c r="P558" s="3" t="e">
        <v>#N/A</v>
      </c>
      <c r="Q558" s="3">
        <v>36.0</v>
      </c>
      <c r="R558" s="3">
        <v>32.0</v>
      </c>
      <c r="S558" s="3">
        <v>34.0</v>
      </c>
      <c r="T558" s="3">
        <v>35.0</v>
      </c>
      <c r="U558" s="3">
        <v>35.0</v>
      </c>
      <c r="V558" s="3">
        <v>32.0</v>
      </c>
      <c r="W558" s="3">
        <v>39.0</v>
      </c>
      <c r="X558" s="3">
        <v>27.0</v>
      </c>
      <c r="Y558" s="3">
        <v>40.0</v>
      </c>
      <c r="Z558" s="3">
        <v>33.0</v>
      </c>
      <c r="AA558" s="3">
        <v>33.0</v>
      </c>
      <c r="AB558" s="3">
        <v>36.0</v>
      </c>
      <c r="AC558" s="3">
        <v>28.0</v>
      </c>
      <c r="AD558" s="3">
        <v>49.0</v>
      </c>
      <c r="AE558" s="3">
        <v>23.0</v>
      </c>
      <c r="AF558" s="3">
        <v>48.0</v>
      </c>
      <c r="AG558" s="3">
        <v>55.0</v>
      </c>
      <c r="AH558" s="3">
        <v>46.0</v>
      </c>
      <c r="AI558" s="3">
        <v>58.0</v>
      </c>
      <c r="AJ558" s="3">
        <v>32.0</v>
      </c>
      <c r="AK558" s="3">
        <v>49.0</v>
      </c>
      <c r="AL558" s="3">
        <v>9.0</v>
      </c>
      <c r="AM558" s="3">
        <v>35.0</v>
      </c>
      <c r="AN558" s="3">
        <v>70.0</v>
      </c>
    </row>
    <row r="559" ht="14.25" customHeight="1">
      <c r="A559" s="3">
        <v>557.0</v>
      </c>
      <c r="B559" s="3" t="s">
        <v>7735</v>
      </c>
      <c r="C559" s="3">
        <v>17.0</v>
      </c>
      <c r="D559" s="3" t="s">
        <v>6645</v>
      </c>
      <c r="E559" s="3" t="s">
        <v>6646</v>
      </c>
      <c r="F559" s="3" t="s">
        <v>6646</v>
      </c>
      <c r="G559" s="3" t="s">
        <v>6645</v>
      </c>
      <c r="H559" s="3" t="s">
        <v>6645</v>
      </c>
      <c r="I559" s="3" t="s">
        <v>6645</v>
      </c>
      <c r="J559" s="3">
        <v>18.0</v>
      </c>
      <c r="K559" s="3">
        <v>0.0</v>
      </c>
      <c r="L559" s="3">
        <v>0.0</v>
      </c>
      <c r="M559" s="3">
        <v>0.0</v>
      </c>
      <c r="N559" s="3">
        <v>602.42663</v>
      </c>
      <c r="O559" s="3">
        <v>97.0</v>
      </c>
      <c r="P559" s="3" t="e">
        <v>#N/A</v>
      </c>
      <c r="Q559" s="3">
        <v>37.0</v>
      </c>
      <c r="R559" s="3">
        <v>34.0</v>
      </c>
      <c r="S559" s="3">
        <v>33.0</v>
      </c>
      <c r="T559" s="3">
        <v>35.0</v>
      </c>
      <c r="U559" s="3">
        <v>37.0</v>
      </c>
      <c r="V559" s="3">
        <v>33.0</v>
      </c>
      <c r="W559" s="3">
        <v>48.0</v>
      </c>
      <c r="X559" s="3">
        <v>38.0</v>
      </c>
      <c r="Y559" s="3">
        <v>43.0</v>
      </c>
      <c r="Z559" s="3">
        <v>33.0</v>
      </c>
      <c r="AA559" s="3">
        <v>23.0</v>
      </c>
      <c r="AB559" s="3">
        <v>28.0</v>
      </c>
      <c r="AC559" s="3">
        <v>23.0</v>
      </c>
      <c r="AD559" s="3">
        <v>43.0</v>
      </c>
      <c r="AE559" s="3">
        <v>39.0</v>
      </c>
      <c r="AF559" s="3">
        <v>32.0</v>
      </c>
      <c r="AG559" s="3">
        <v>18.0</v>
      </c>
      <c r="AH559" s="3">
        <v>47.0</v>
      </c>
      <c r="AI559" s="3">
        <v>30.0</v>
      </c>
      <c r="AJ559" s="3">
        <v>57.0</v>
      </c>
      <c r="AK559" s="3">
        <v>43.0</v>
      </c>
      <c r="AL559" s="3">
        <v>57.0</v>
      </c>
      <c r="AM559" s="3">
        <v>41.0</v>
      </c>
      <c r="AN559" s="3">
        <v>64.0</v>
      </c>
    </row>
    <row r="560" ht="14.25" customHeight="1">
      <c r="A560" s="3">
        <v>558.0</v>
      </c>
      <c r="B560" s="3" t="s">
        <v>7736</v>
      </c>
      <c r="C560" s="3">
        <v>42.0</v>
      </c>
      <c r="D560" s="3" t="s">
        <v>6645</v>
      </c>
      <c r="E560" s="3" t="s">
        <v>6646</v>
      </c>
      <c r="F560" s="3" t="s">
        <v>6646</v>
      </c>
      <c r="G560" s="3" t="s">
        <v>6645</v>
      </c>
      <c r="H560" s="3" t="s">
        <v>6645</v>
      </c>
      <c r="I560" s="3" t="s">
        <v>6645</v>
      </c>
      <c r="J560" s="3">
        <v>19.0</v>
      </c>
      <c r="K560" s="3">
        <v>4.0</v>
      </c>
      <c r="L560" s="3">
        <v>0.0</v>
      </c>
      <c r="M560" s="3">
        <v>0.0</v>
      </c>
      <c r="N560" s="3">
        <v>12774.268</v>
      </c>
      <c r="O560" s="3">
        <v>1946.0</v>
      </c>
      <c r="P560" s="3" t="e">
        <v>#N/A</v>
      </c>
      <c r="Q560" s="3">
        <v>73.0</v>
      </c>
      <c r="R560" s="3">
        <v>79.0</v>
      </c>
      <c r="S560" s="3">
        <v>63.0</v>
      </c>
      <c r="T560" s="3">
        <v>66.0</v>
      </c>
      <c r="U560" s="3">
        <v>60.0</v>
      </c>
      <c r="V560" s="3">
        <v>77.0</v>
      </c>
      <c r="W560" s="3">
        <v>74.0</v>
      </c>
      <c r="X560" s="3">
        <v>80.0</v>
      </c>
      <c r="Y560" s="3">
        <v>67.0</v>
      </c>
      <c r="Z560" s="3">
        <v>79.0</v>
      </c>
      <c r="AA560" s="3">
        <v>69.0</v>
      </c>
      <c r="AB560" s="3">
        <v>60.0</v>
      </c>
      <c r="AC560" s="3">
        <v>55.0</v>
      </c>
      <c r="AD560" s="3">
        <v>55.0</v>
      </c>
      <c r="AE560" s="3">
        <v>59.0</v>
      </c>
      <c r="AF560" s="3">
        <v>86.0</v>
      </c>
      <c r="AG560" s="3">
        <v>62.0</v>
      </c>
      <c r="AH560" s="3">
        <v>65.0</v>
      </c>
      <c r="AI560" s="3">
        <v>61.0</v>
      </c>
      <c r="AJ560" s="3">
        <v>48.0</v>
      </c>
      <c r="AK560" s="3">
        <v>38.0</v>
      </c>
      <c r="AL560" s="3">
        <v>50.0</v>
      </c>
      <c r="AM560" s="3">
        <v>47.0</v>
      </c>
      <c r="AN560" s="3">
        <v>66.0</v>
      </c>
    </row>
    <row r="561" ht="14.25" customHeight="1">
      <c r="A561" s="3">
        <v>559.0</v>
      </c>
      <c r="B561" s="3" t="s">
        <v>7737</v>
      </c>
      <c r="C561" s="3">
        <v>43.0</v>
      </c>
      <c r="D561" s="3" t="s">
        <v>6645</v>
      </c>
      <c r="E561" s="3" t="s">
        <v>6646</v>
      </c>
      <c r="F561" s="3" t="s">
        <v>6646</v>
      </c>
      <c r="G561" s="3" t="s">
        <v>6645</v>
      </c>
      <c r="H561" s="3" t="s">
        <v>6645</v>
      </c>
      <c r="I561" s="3" t="s">
        <v>6646</v>
      </c>
      <c r="J561" s="3">
        <v>19.0</v>
      </c>
      <c r="K561" s="3">
        <v>4.0</v>
      </c>
      <c r="L561" s="3">
        <v>0.0</v>
      </c>
      <c r="M561" s="3">
        <v>0.0</v>
      </c>
      <c r="N561" s="3">
        <v>12931.255</v>
      </c>
      <c r="O561" s="3">
        <v>1748.0</v>
      </c>
      <c r="P561" s="3" t="e">
        <v>#N/A</v>
      </c>
      <c r="Q561" s="3">
        <v>68.0</v>
      </c>
      <c r="R561" s="3">
        <v>74.0</v>
      </c>
      <c r="S561" s="3">
        <v>63.0</v>
      </c>
      <c r="T561" s="3">
        <v>66.0</v>
      </c>
      <c r="U561" s="3">
        <v>65.0</v>
      </c>
      <c r="V561" s="3">
        <v>76.0</v>
      </c>
      <c r="W561" s="3">
        <v>82.0</v>
      </c>
      <c r="X561" s="3">
        <v>80.0</v>
      </c>
      <c r="Y561" s="3">
        <v>61.0</v>
      </c>
      <c r="Z561" s="3">
        <v>80.0</v>
      </c>
      <c r="AA561" s="3">
        <v>66.0</v>
      </c>
      <c r="AB561" s="3">
        <v>59.0</v>
      </c>
      <c r="AC561" s="3">
        <v>59.0</v>
      </c>
      <c r="AD561" s="3">
        <v>61.0</v>
      </c>
      <c r="AE561" s="3">
        <v>58.0</v>
      </c>
      <c r="AF561" s="3">
        <v>79.0</v>
      </c>
      <c r="AG561" s="3">
        <v>66.0</v>
      </c>
      <c r="AH561" s="3">
        <v>45.0</v>
      </c>
      <c r="AI561" s="3">
        <v>70.0</v>
      </c>
      <c r="AJ561" s="3">
        <v>55.0</v>
      </c>
      <c r="AK561" s="3">
        <v>48.0</v>
      </c>
      <c r="AL561" s="3">
        <v>60.0</v>
      </c>
      <c r="AM561" s="3">
        <v>63.0</v>
      </c>
      <c r="AN561" s="3">
        <v>44.0</v>
      </c>
    </row>
    <row r="562" ht="14.25" customHeight="1">
      <c r="A562" s="3">
        <v>560.0</v>
      </c>
      <c r="B562" s="3" t="s">
        <v>7738</v>
      </c>
      <c r="C562" s="3">
        <v>39.0</v>
      </c>
      <c r="D562" s="3" t="s">
        <v>6645</v>
      </c>
      <c r="E562" s="3" t="s">
        <v>6646</v>
      </c>
      <c r="F562" s="3" t="s">
        <v>6646</v>
      </c>
      <c r="G562" s="3" t="s">
        <v>6645</v>
      </c>
      <c r="H562" s="3" t="s">
        <v>6645</v>
      </c>
      <c r="I562" s="3" t="s">
        <v>6646</v>
      </c>
      <c r="J562" s="3">
        <v>19.0</v>
      </c>
      <c r="K562" s="3">
        <v>3.0</v>
      </c>
      <c r="L562" s="3">
        <v>0.0</v>
      </c>
      <c r="M562" s="3">
        <v>0.0</v>
      </c>
      <c r="N562" s="3">
        <v>7336.58</v>
      </c>
      <c r="O562" s="3">
        <v>605.0</v>
      </c>
      <c r="P562" s="3" t="e">
        <v>#N/A</v>
      </c>
      <c r="Q562" s="3">
        <v>62.0</v>
      </c>
      <c r="R562" s="3">
        <v>62.0</v>
      </c>
      <c r="S562" s="3">
        <v>51.0</v>
      </c>
      <c r="T562" s="3">
        <v>51.0</v>
      </c>
      <c r="U562" s="3">
        <v>51.0</v>
      </c>
      <c r="V562" s="3">
        <v>58.0</v>
      </c>
      <c r="W562" s="3">
        <v>61.0</v>
      </c>
      <c r="X562" s="3">
        <v>63.0</v>
      </c>
      <c r="Y562" s="3">
        <v>60.0</v>
      </c>
      <c r="Z562" s="3">
        <v>66.0</v>
      </c>
      <c r="AA562" s="3">
        <v>51.0</v>
      </c>
      <c r="AB562" s="3">
        <v>52.0</v>
      </c>
      <c r="AC562" s="3">
        <v>59.0</v>
      </c>
      <c r="AD562" s="3">
        <v>52.0</v>
      </c>
      <c r="AE562" s="3">
        <v>55.0</v>
      </c>
      <c r="AF562" s="3">
        <v>70.0</v>
      </c>
      <c r="AG562" s="3">
        <v>46.0</v>
      </c>
      <c r="AH562" s="3">
        <v>12.0</v>
      </c>
      <c r="AI562" s="3">
        <v>56.0</v>
      </c>
      <c r="AJ562" s="3">
        <v>64.0</v>
      </c>
      <c r="AK562" s="3">
        <v>48.0</v>
      </c>
      <c r="AL562" s="3">
        <v>45.0</v>
      </c>
      <c r="AM562" s="3">
        <v>63.0</v>
      </c>
      <c r="AN562" s="3">
        <v>66.0</v>
      </c>
    </row>
    <row r="563" ht="14.25" customHeight="1">
      <c r="A563" s="3">
        <v>561.0</v>
      </c>
      <c r="B563" s="3" t="s">
        <v>7739</v>
      </c>
      <c r="C563" s="3">
        <v>32.0</v>
      </c>
      <c r="D563" s="3" t="s">
        <v>6645</v>
      </c>
      <c r="E563" s="3" t="s">
        <v>6646</v>
      </c>
      <c r="F563" s="3" t="s">
        <v>6646</v>
      </c>
      <c r="G563" s="3" t="s">
        <v>6645</v>
      </c>
      <c r="H563" s="3" t="s">
        <v>6645</v>
      </c>
      <c r="I563" s="3" t="s">
        <v>6645</v>
      </c>
      <c r="J563" s="3">
        <v>19.0</v>
      </c>
      <c r="K563" s="3">
        <v>3.0</v>
      </c>
      <c r="L563" s="3">
        <v>0.0</v>
      </c>
      <c r="M563" s="3">
        <v>0.0</v>
      </c>
      <c r="N563" s="3">
        <v>7800.1787</v>
      </c>
      <c r="O563" s="3">
        <v>701.0</v>
      </c>
      <c r="P563" s="3" t="e">
        <v>#N/A</v>
      </c>
      <c r="Q563" s="3">
        <v>62.0</v>
      </c>
      <c r="R563" s="3">
        <v>63.0</v>
      </c>
      <c r="S563" s="3">
        <v>53.0</v>
      </c>
      <c r="T563" s="3">
        <v>54.0</v>
      </c>
      <c r="U563" s="3">
        <v>55.0</v>
      </c>
      <c r="V563" s="3">
        <v>59.0</v>
      </c>
      <c r="W563" s="3">
        <v>63.0</v>
      </c>
      <c r="X563" s="3">
        <v>69.0</v>
      </c>
      <c r="Y563" s="3">
        <v>52.0</v>
      </c>
      <c r="Z563" s="3">
        <v>59.0</v>
      </c>
      <c r="AA563" s="3">
        <v>53.0</v>
      </c>
      <c r="AB563" s="3">
        <v>52.0</v>
      </c>
      <c r="AC563" s="3">
        <v>56.0</v>
      </c>
      <c r="AD563" s="3">
        <v>60.0</v>
      </c>
      <c r="AE563" s="3">
        <v>54.0</v>
      </c>
      <c r="AF563" s="3">
        <v>82.0</v>
      </c>
      <c r="AG563" s="3">
        <v>39.0</v>
      </c>
      <c r="AH563" s="3">
        <v>24.0</v>
      </c>
      <c r="AI563" s="3">
        <v>45.0</v>
      </c>
      <c r="AJ563" s="3">
        <v>62.0</v>
      </c>
      <c r="AK563" s="3">
        <v>49.0</v>
      </c>
      <c r="AL563" s="3">
        <v>63.0</v>
      </c>
      <c r="AM563" s="3">
        <v>46.0</v>
      </c>
      <c r="AN563" s="3">
        <v>58.0</v>
      </c>
    </row>
    <row r="564" ht="14.25" customHeight="1">
      <c r="A564" s="3">
        <v>562.0</v>
      </c>
      <c r="B564" s="3" t="s">
        <v>7740</v>
      </c>
      <c r="C564" s="3">
        <v>30.0</v>
      </c>
      <c r="D564" s="3" t="s">
        <v>6645</v>
      </c>
      <c r="E564" s="3" t="s">
        <v>6646</v>
      </c>
      <c r="F564" s="3" t="s">
        <v>6646</v>
      </c>
      <c r="G564" s="3" t="s">
        <v>6645</v>
      </c>
      <c r="H564" s="3" t="s">
        <v>6645</v>
      </c>
      <c r="I564" s="3" t="s">
        <v>6646</v>
      </c>
      <c r="J564" s="3">
        <v>19.0</v>
      </c>
      <c r="K564" s="3">
        <v>3.0</v>
      </c>
      <c r="L564" s="3">
        <v>0.0</v>
      </c>
      <c r="M564" s="3">
        <v>0.0</v>
      </c>
      <c r="N564" s="3">
        <v>7143.79</v>
      </c>
      <c r="O564" s="3">
        <v>973.0</v>
      </c>
      <c r="P564" s="3" t="e">
        <v>#N/A</v>
      </c>
      <c r="Q564" s="3">
        <v>57.0</v>
      </c>
      <c r="R564" s="3">
        <v>55.0</v>
      </c>
      <c r="S564" s="3">
        <v>59.0</v>
      </c>
      <c r="T564" s="3">
        <v>53.0</v>
      </c>
      <c r="U564" s="3">
        <v>58.0</v>
      </c>
      <c r="V564" s="3">
        <v>56.0</v>
      </c>
      <c r="W564" s="3">
        <v>67.0</v>
      </c>
      <c r="X564" s="3">
        <v>60.0</v>
      </c>
      <c r="Y564" s="3">
        <v>52.0</v>
      </c>
      <c r="Z564" s="3">
        <v>66.0</v>
      </c>
      <c r="AA564" s="3">
        <v>58.0</v>
      </c>
      <c r="AB564" s="3">
        <v>53.0</v>
      </c>
      <c r="AC564" s="3">
        <v>53.0</v>
      </c>
      <c r="AD564" s="3">
        <v>55.0</v>
      </c>
      <c r="AE564" s="3">
        <v>53.0</v>
      </c>
      <c r="AF564" s="3">
        <v>85.0</v>
      </c>
      <c r="AG564" s="3">
        <v>66.0</v>
      </c>
      <c r="AH564" s="3">
        <v>52.0</v>
      </c>
      <c r="AI564" s="3">
        <v>54.0</v>
      </c>
      <c r="AJ564" s="3">
        <v>44.0</v>
      </c>
      <c r="AK564" s="3">
        <v>61.0</v>
      </c>
      <c r="AL564" s="3">
        <v>58.0</v>
      </c>
      <c r="AM564" s="3">
        <v>24.0</v>
      </c>
      <c r="AN564" s="3">
        <v>54.0</v>
      </c>
    </row>
    <row r="565" ht="14.25" customHeight="1">
      <c r="A565" s="3">
        <v>563.0</v>
      </c>
      <c r="B565" s="3" t="s">
        <v>7741</v>
      </c>
      <c r="C565" s="3">
        <v>30.0</v>
      </c>
      <c r="D565" s="3" t="s">
        <v>6645</v>
      </c>
      <c r="E565" s="3" t="s">
        <v>6646</v>
      </c>
      <c r="F565" s="3" t="s">
        <v>6646</v>
      </c>
      <c r="G565" s="3" t="s">
        <v>6645</v>
      </c>
      <c r="H565" s="3" t="s">
        <v>6645</v>
      </c>
      <c r="I565" s="3" t="s">
        <v>6646</v>
      </c>
      <c r="J565" s="3">
        <v>19.0</v>
      </c>
      <c r="K565" s="3">
        <v>3.0</v>
      </c>
      <c r="L565" s="3">
        <v>0.0</v>
      </c>
      <c r="M565" s="3">
        <v>0.0</v>
      </c>
      <c r="N565" s="3">
        <v>6945.2036</v>
      </c>
      <c r="O565" s="3">
        <v>661.0</v>
      </c>
      <c r="P565" s="3" t="e">
        <v>#N/A</v>
      </c>
      <c r="Q565" s="3">
        <v>57.0</v>
      </c>
      <c r="R565" s="3">
        <v>54.0</v>
      </c>
      <c r="S565" s="3">
        <v>52.0</v>
      </c>
      <c r="T565" s="3">
        <v>53.0</v>
      </c>
      <c r="U565" s="3">
        <v>56.0</v>
      </c>
      <c r="V565" s="3">
        <v>58.0</v>
      </c>
      <c r="W565" s="3">
        <v>67.0</v>
      </c>
      <c r="X565" s="3">
        <v>65.0</v>
      </c>
      <c r="Y565" s="3">
        <v>55.0</v>
      </c>
      <c r="Z565" s="3">
        <v>69.0</v>
      </c>
      <c r="AA565" s="3">
        <v>59.0</v>
      </c>
      <c r="AB565" s="3">
        <v>52.0</v>
      </c>
      <c r="AC565" s="3">
        <v>49.0</v>
      </c>
      <c r="AD565" s="3">
        <v>58.0</v>
      </c>
      <c r="AE565" s="3">
        <v>50.0</v>
      </c>
      <c r="AF565" s="3">
        <v>82.0</v>
      </c>
      <c r="AG565" s="3">
        <v>59.0</v>
      </c>
      <c r="AH565" s="3">
        <v>51.0</v>
      </c>
      <c r="AI565" s="3">
        <v>58.0</v>
      </c>
      <c r="AJ565" s="3">
        <v>55.0</v>
      </c>
      <c r="AK565" s="3">
        <v>63.0</v>
      </c>
      <c r="AL565" s="3">
        <v>18.0</v>
      </c>
      <c r="AM565" s="3">
        <v>42.0</v>
      </c>
      <c r="AN565" s="3">
        <v>52.0</v>
      </c>
    </row>
    <row r="566" ht="14.25" customHeight="1">
      <c r="A566" s="3">
        <v>564.0</v>
      </c>
      <c r="B566" s="3" t="s">
        <v>7742</v>
      </c>
      <c r="C566" s="3">
        <v>33.0</v>
      </c>
      <c r="D566" s="3" t="s">
        <v>6645</v>
      </c>
      <c r="E566" s="3" t="s">
        <v>6646</v>
      </c>
      <c r="F566" s="3" t="s">
        <v>6646</v>
      </c>
      <c r="G566" s="3" t="s">
        <v>6645</v>
      </c>
      <c r="H566" s="3" t="s">
        <v>6645</v>
      </c>
      <c r="I566" s="3" t="s">
        <v>6646</v>
      </c>
      <c r="J566" s="3">
        <v>19.0</v>
      </c>
      <c r="K566" s="3">
        <v>2.0</v>
      </c>
      <c r="L566" s="3">
        <v>0.0</v>
      </c>
      <c r="M566" s="3">
        <v>0.0</v>
      </c>
      <c r="N566" s="3">
        <v>3769.4</v>
      </c>
      <c r="O566" s="3">
        <v>370.0</v>
      </c>
      <c r="P566" s="3" t="e">
        <v>#N/A</v>
      </c>
      <c r="Q566" s="3">
        <v>51.0</v>
      </c>
      <c r="R566" s="3">
        <v>50.0</v>
      </c>
      <c r="S566" s="3">
        <v>44.0</v>
      </c>
      <c r="T566" s="3">
        <v>45.0</v>
      </c>
      <c r="U566" s="3">
        <v>45.0</v>
      </c>
      <c r="V566" s="3">
        <v>50.0</v>
      </c>
      <c r="W566" s="3">
        <v>61.0</v>
      </c>
      <c r="X566" s="3">
        <v>61.0</v>
      </c>
      <c r="Y566" s="3">
        <v>48.0</v>
      </c>
      <c r="Z566" s="3">
        <v>61.0</v>
      </c>
      <c r="AA566" s="3">
        <v>45.0</v>
      </c>
      <c r="AB566" s="3">
        <v>43.0</v>
      </c>
      <c r="AC566" s="3">
        <v>43.0</v>
      </c>
      <c r="AD566" s="3">
        <v>49.0</v>
      </c>
      <c r="AE566" s="3">
        <v>50.0</v>
      </c>
      <c r="AF566" s="3">
        <v>80.0</v>
      </c>
      <c r="AG566" s="3">
        <v>42.0</v>
      </c>
      <c r="AH566" s="3">
        <v>32.0</v>
      </c>
      <c r="AI566" s="3">
        <v>64.0</v>
      </c>
      <c r="AJ566" s="3">
        <v>58.0</v>
      </c>
      <c r="AK566" s="3">
        <v>57.0</v>
      </c>
      <c r="AL566" s="3">
        <v>40.0</v>
      </c>
      <c r="AM566" s="3">
        <v>43.0</v>
      </c>
      <c r="AN566" s="3">
        <v>47.0</v>
      </c>
    </row>
    <row r="567" ht="14.25" customHeight="1">
      <c r="A567" s="3">
        <v>565.0</v>
      </c>
      <c r="B567" s="3" t="s">
        <v>7743</v>
      </c>
      <c r="C567" s="3">
        <v>29.0</v>
      </c>
      <c r="D567" s="3" t="s">
        <v>6645</v>
      </c>
      <c r="E567" s="3" t="s">
        <v>6646</v>
      </c>
      <c r="F567" s="3" t="s">
        <v>6646</v>
      </c>
      <c r="G567" s="3" t="s">
        <v>6645</v>
      </c>
      <c r="H567" s="3" t="s">
        <v>6645</v>
      </c>
      <c r="I567" s="3" t="s">
        <v>6646</v>
      </c>
      <c r="J567" s="3">
        <v>19.0</v>
      </c>
      <c r="K567" s="3">
        <v>2.0</v>
      </c>
      <c r="L567" s="3">
        <v>0.0</v>
      </c>
      <c r="M567" s="3">
        <v>0.0</v>
      </c>
      <c r="N567" s="3">
        <v>3792.5222</v>
      </c>
      <c r="O567" s="3">
        <v>399.0</v>
      </c>
      <c r="P567" s="3" t="e">
        <v>#N/A</v>
      </c>
      <c r="Q567" s="3">
        <v>50.0</v>
      </c>
      <c r="R567" s="3">
        <v>53.0</v>
      </c>
      <c r="S567" s="3">
        <v>53.0</v>
      </c>
      <c r="T567" s="3">
        <v>53.0</v>
      </c>
      <c r="U567" s="3">
        <v>46.0</v>
      </c>
      <c r="V567" s="3">
        <v>47.0</v>
      </c>
      <c r="W567" s="3">
        <v>53.0</v>
      </c>
      <c r="X567" s="3">
        <v>51.0</v>
      </c>
      <c r="Y567" s="3">
        <v>37.0</v>
      </c>
      <c r="Z567" s="3">
        <v>51.0</v>
      </c>
      <c r="AA567" s="3">
        <v>47.0</v>
      </c>
      <c r="AB567" s="3">
        <v>52.0</v>
      </c>
      <c r="AC567" s="3">
        <v>45.0</v>
      </c>
      <c r="AD567" s="3">
        <v>46.0</v>
      </c>
      <c r="AE567" s="3">
        <v>51.0</v>
      </c>
      <c r="AF567" s="3">
        <v>70.0</v>
      </c>
      <c r="AG567" s="3">
        <v>43.0</v>
      </c>
      <c r="AH567" s="3">
        <v>40.0</v>
      </c>
      <c r="AI567" s="3">
        <v>44.0</v>
      </c>
      <c r="AJ567" s="3">
        <v>19.0</v>
      </c>
      <c r="AK567" s="3">
        <v>38.0</v>
      </c>
      <c r="AL567" s="3">
        <v>46.0</v>
      </c>
      <c r="AM567" s="3">
        <v>54.0</v>
      </c>
      <c r="AN567" s="3">
        <v>41.0</v>
      </c>
    </row>
    <row r="568" ht="14.25" customHeight="1">
      <c r="A568" s="3">
        <v>566.0</v>
      </c>
      <c r="B568" s="3" t="s">
        <v>7744</v>
      </c>
      <c r="C568" s="3">
        <v>32.0</v>
      </c>
      <c r="D568" s="3" t="s">
        <v>6645</v>
      </c>
      <c r="E568" s="3" t="s">
        <v>6646</v>
      </c>
      <c r="F568" s="3" t="s">
        <v>6646</v>
      </c>
      <c r="G568" s="3" t="s">
        <v>6645</v>
      </c>
      <c r="H568" s="3" t="s">
        <v>6645</v>
      </c>
      <c r="I568" s="3" t="s">
        <v>6646</v>
      </c>
      <c r="J568" s="3">
        <v>19.0</v>
      </c>
      <c r="K568" s="3">
        <v>2.0</v>
      </c>
      <c r="L568" s="3">
        <v>0.0</v>
      </c>
      <c r="M568" s="3">
        <v>0.0</v>
      </c>
      <c r="N568" s="3">
        <v>4211.88</v>
      </c>
      <c r="O568" s="3">
        <v>392.0</v>
      </c>
      <c r="P568" s="3" t="e">
        <v>#N/A</v>
      </c>
      <c r="Q568" s="3">
        <v>53.0</v>
      </c>
      <c r="R568" s="3">
        <v>44.0</v>
      </c>
      <c r="S568" s="3">
        <v>46.0</v>
      </c>
      <c r="T568" s="3">
        <v>53.0</v>
      </c>
      <c r="U568" s="3">
        <v>48.0</v>
      </c>
      <c r="V568" s="3">
        <v>45.0</v>
      </c>
      <c r="W568" s="3">
        <v>54.0</v>
      </c>
      <c r="X568" s="3">
        <v>50.0</v>
      </c>
      <c r="Y568" s="3">
        <v>51.0</v>
      </c>
      <c r="Z568" s="3">
        <v>54.0</v>
      </c>
      <c r="AA568" s="3">
        <v>43.0</v>
      </c>
      <c r="AB568" s="3">
        <v>50.0</v>
      </c>
      <c r="AC568" s="3">
        <v>41.0</v>
      </c>
      <c r="AD568" s="3">
        <v>41.0</v>
      </c>
      <c r="AE568" s="3">
        <v>44.0</v>
      </c>
      <c r="AF568" s="3">
        <v>79.0</v>
      </c>
      <c r="AG568" s="3">
        <v>60.0</v>
      </c>
      <c r="AH568" s="3">
        <v>39.0</v>
      </c>
      <c r="AI568" s="3">
        <v>48.0</v>
      </c>
      <c r="AJ568" s="3">
        <v>55.0</v>
      </c>
      <c r="AK568" s="3">
        <v>59.0</v>
      </c>
      <c r="AL568" s="3">
        <v>21.0</v>
      </c>
      <c r="AM568" s="3">
        <v>37.0</v>
      </c>
      <c r="AN568" s="3">
        <v>59.0</v>
      </c>
    </row>
    <row r="569" ht="14.25" customHeight="1">
      <c r="A569" s="3">
        <v>567.0</v>
      </c>
      <c r="B569" s="3" t="s">
        <v>7745</v>
      </c>
      <c r="C569" s="3">
        <v>34.0</v>
      </c>
      <c r="D569" s="3" t="s">
        <v>6645</v>
      </c>
      <c r="E569" s="3" t="s">
        <v>6646</v>
      </c>
      <c r="F569" s="3" t="s">
        <v>6646</v>
      </c>
      <c r="G569" s="3" t="s">
        <v>6645</v>
      </c>
      <c r="H569" s="3" t="s">
        <v>6645</v>
      </c>
      <c r="I569" s="3" t="s">
        <v>6645</v>
      </c>
      <c r="J569" s="3">
        <v>19.0</v>
      </c>
      <c r="K569" s="3">
        <v>2.0</v>
      </c>
      <c r="L569" s="3">
        <v>0.0</v>
      </c>
      <c r="M569" s="3">
        <v>0.0</v>
      </c>
      <c r="N569" s="3">
        <v>4018.4362</v>
      </c>
      <c r="O569" s="3">
        <v>410.0</v>
      </c>
      <c r="P569" s="3" t="e">
        <v>#N/A</v>
      </c>
      <c r="Q569" s="3">
        <v>47.0</v>
      </c>
      <c r="R569" s="3">
        <v>48.0</v>
      </c>
      <c r="S569" s="3">
        <v>51.0</v>
      </c>
      <c r="T569" s="3">
        <v>49.0</v>
      </c>
      <c r="U569" s="3">
        <v>45.0</v>
      </c>
      <c r="V569" s="3">
        <v>53.0</v>
      </c>
      <c r="W569" s="3">
        <v>49.0</v>
      </c>
      <c r="X569" s="3">
        <v>58.0</v>
      </c>
      <c r="Y569" s="3">
        <v>49.0</v>
      </c>
      <c r="Z569" s="3">
        <v>59.0</v>
      </c>
      <c r="AA569" s="3">
        <v>39.0</v>
      </c>
      <c r="AB569" s="3">
        <v>39.0</v>
      </c>
      <c r="AC569" s="3">
        <v>42.0</v>
      </c>
      <c r="AD569" s="3">
        <v>44.0</v>
      </c>
      <c r="AE569" s="3">
        <v>47.0</v>
      </c>
      <c r="AF569" s="3">
        <v>82.0</v>
      </c>
      <c r="AG569" s="3">
        <v>61.0</v>
      </c>
      <c r="AH569" s="3">
        <v>39.0</v>
      </c>
      <c r="AI569" s="3">
        <v>16.0</v>
      </c>
      <c r="AJ569" s="3">
        <v>60.0</v>
      </c>
      <c r="AK569" s="3">
        <v>49.0</v>
      </c>
      <c r="AL569" s="3">
        <v>59.0</v>
      </c>
      <c r="AM569" s="3">
        <v>48.0</v>
      </c>
      <c r="AN569" s="3">
        <v>62.0</v>
      </c>
    </row>
    <row r="570" ht="14.25" customHeight="1">
      <c r="A570" s="3">
        <v>568.0</v>
      </c>
      <c r="B570" s="3" t="s">
        <v>7746</v>
      </c>
      <c r="C570" s="3">
        <v>27.0</v>
      </c>
      <c r="D570" s="3" t="s">
        <v>6645</v>
      </c>
      <c r="E570" s="3" t="s">
        <v>6646</v>
      </c>
      <c r="F570" s="3" t="s">
        <v>6646</v>
      </c>
      <c r="G570" s="3" t="s">
        <v>6645</v>
      </c>
      <c r="H570" s="3" t="s">
        <v>6645</v>
      </c>
      <c r="I570" s="3" t="s">
        <v>6645</v>
      </c>
      <c r="J570" s="3">
        <v>19.0</v>
      </c>
      <c r="K570" s="3">
        <v>1.0</v>
      </c>
      <c r="L570" s="3">
        <v>0.0</v>
      </c>
      <c r="M570" s="3">
        <v>0.0</v>
      </c>
      <c r="N570" s="3">
        <v>1716.4604</v>
      </c>
      <c r="O570" s="3">
        <v>209.0</v>
      </c>
      <c r="P570" s="3" t="e">
        <v>#N/A</v>
      </c>
      <c r="Q570" s="3">
        <v>38.0</v>
      </c>
      <c r="R570" s="3">
        <v>39.0</v>
      </c>
      <c r="S570" s="3">
        <v>44.0</v>
      </c>
      <c r="T570" s="3">
        <v>45.0</v>
      </c>
      <c r="U570" s="3">
        <v>41.0</v>
      </c>
      <c r="V570" s="3">
        <v>41.0</v>
      </c>
      <c r="W570" s="3">
        <v>48.0</v>
      </c>
      <c r="X570" s="3">
        <v>54.0</v>
      </c>
      <c r="Y570" s="3">
        <v>34.0</v>
      </c>
      <c r="Z570" s="3">
        <v>48.0</v>
      </c>
      <c r="AA570" s="3">
        <v>38.0</v>
      </c>
      <c r="AB570" s="3">
        <v>43.0</v>
      </c>
      <c r="AC570" s="3">
        <v>46.0</v>
      </c>
      <c r="AD570" s="3">
        <v>31.0</v>
      </c>
      <c r="AE570" s="3">
        <v>38.0</v>
      </c>
      <c r="AF570" s="3">
        <v>69.0</v>
      </c>
      <c r="AG570" s="3">
        <v>37.0</v>
      </c>
      <c r="AH570" s="3">
        <v>37.0</v>
      </c>
      <c r="AI570" s="3">
        <v>42.0</v>
      </c>
      <c r="AJ570" s="3">
        <v>62.0</v>
      </c>
      <c r="AK570" s="3">
        <v>29.0</v>
      </c>
      <c r="AL570" s="3">
        <v>48.0</v>
      </c>
      <c r="AM570" s="3">
        <v>61.0</v>
      </c>
      <c r="AN570" s="3">
        <v>38.0</v>
      </c>
    </row>
    <row r="571" ht="14.25" customHeight="1">
      <c r="A571" s="3">
        <v>569.0</v>
      </c>
      <c r="B571" s="3" t="s">
        <v>7747</v>
      </c>
      <c r="C571" s="3">
        <v>23.0</v>
      </c>
      <c r="D571" s="3" t="s">
        <v>6645</v>
      </c>
      <c r="E571" s="3" t="s">
        <v>6646</v>
      </c>
      <c r="F571" s="3" t="s">
        <v>6646</v>
      </c>
      <c r="G571" s="3" t="s">
        <v>6645</v>
      </c>
      <c r="H571" s="3" t="s">
        <v>6645</v>
      </c>
      <c r="I571" s="3" t="s">
        <v>6646</v>
      </c>
      <c r="J571" s="3">
        <v>19.0</v>
      </c>
      <c r="K571" s="3">
        <v>1.0</v>
      </c>
      <c r="L571" s="3">
        <v>0.0</v>
      </c>
      <c r="M571" s="3">
        <v>0.0</v>
      </c>
      <c r="N571" s="3">
        <v>1881.7912</v>
      </c>
      <c r="O571" s="3">
        <v>175.0</v>
      </c>
      <c r="P571" s="3" t="e">
        <v>#N/A</v>
      </c>
      <c r="Q571" s="3">
        <v>41.0</v>
      </c>
      <c r="R571" s="3">
        <v>43.0</v>
      </c>
      <c r="S571" s="3">
        <v>38.0</v>
      </c>
      <c r="T571" s="3">
        <v>45.0</v>
      </c>
      <c r="U571" s="3">
        <v>39.0</v>
      </c>
      <c r="V571" s="3">
        <v>46.0</v>
      </c>
      <c r="W571" s="3">
        <v>54.0</v>
      </c>
      <c r="X571" s="3">
        <v>52.0</v>
      </c>
      <c r="Y571" s="3">
        <v>37.0</v>
      </c>
      <c r="Z571" s="3">
        <v>52.0</v>
      </c>
      <c r="AA571" s="3">
        <v>41.0</v>
      </c>
      <c r="AB571" s="3">
        <v>38.0</v>
      </c>
      <c r="AC571" s="3">
        <v>34.0</v>
      </c>
      <c r="AD571" s="3">
        <v>39.0</v>
      </c>
      <c r="AE571" s="3">
        <v>31.0</v>
      </c>
      <c r="AF571" s="3">
        <v>74.0</v>
      </c>
      <c r="AG571" s="3">
        <v>38.0</v>
      </c>
      <c r="AH571" s="3">
        <v>41.0</v>
      </c>
      <c r="AI571" s="3">
        <v>55.0</v>
      </c>
      <c r="AJ571" s="3">
        <v>44.0</v>
      </c>
      <c r="AK571" s="3">
        <v>37.0</v>
      </c>
      <c r="AL571" s="3">
        <v>44.0</v>
      </c>
      <c r="AM571" s="3">
        <v>55.0</v>
      </c>
      <c r="AN571" s="3">
        <v>47.0</v>
      </c>
    </row>
    <row r="572" ht="14.25" customHeight="1">
      <c r="A572" s="3">
        <v>570.0</v>
      </c>
      <c r="B572" s="3" t="s">
        <v>7748</v>
      </c>
      <c r="C572" s="3">
        <v>24.0</v>
      </c>
      <c r="D572" s="3" t="s">
        <v>6645</v>
      </c>
      <c r="E572" s="3" t="s">
        <v>6646</v>
      </c>
      <c r="F572" s="3" t="s">
        <v>6646</v>
      </c>
      <c r="G572" s="3" t="s">
        <v>6645</v>
      </c>
      <c r="H572" s="3" t="s">
        <v>6645</v>
      </c>
      <c r="I572" s="3" t="s">
        <v>6645</v>
      </c>
      <c r="J572" s="3">
        <v>19.0</v>
      </c>
      <c r="K572" s="3">
        <v>1.0</v>
      </c>
      <c r="L572" s="3">
        <v>0.0</v>
      </c>
      <c r="M572" s="3">
        <v>0.0</v>
      </c>
      <c r="N572" s="3">
        <v>1723.377</v>
      </c>
      <c r="O572" s="3">
        <v>249.0</v>
      </c>
      <c r="P572" s="3" t="e">
        <v>#N/A</v>
      </c>
      <c r="Q572" s="3">
        <v>38.0</v>
      </c>
      <c r="R572" s="3">
        <v>45.0</v>
      </c>
      <c r="S572" s="3">
        <v>40.0</v>
      </c>
      <c r="T572" s="3">
        <v>46.0</v>
      </c>
      <c r="U572" s="3">
        <v>43.0</v>
      </c>
      <c r="V572" s="3">
        <v>42.0</v>
      </c>
      <c r="W572" s="3">
        <v>43.0</v>
      </c>
      <c r="X572" s="3">
        <v>47.0</v>
      </c>
      <c r="Y572" s="3">
        <v>41.0</v>
      </c>
      <c r="Z572" s="3">
        <v>43.0</v>
      </c>
      <c r="AA572" s="3">
        <v>42.0</v>
      </c>
      <c r="AB572" s="3">
        <v>31.0</v>
      </c>
      <c r="AC572" s="3">
        <v>36.0</v>
      </c>
      <c r="AD572" s="3">
        <v>41.0</v>
      </c>
      <c r="AE572" s="3">
        <v>40.0</v>
      </c>
      <c r="AF572" s="3">
        <v>79.0</v>
      </c>
      <c r="AG572" s="3">
        <v>27.0</v>
      </c>
      <c r="AH572" s="3">
        <v>60.0</v>
      </c>
      <c r="AI572" s="3">
        <v>36.0</v>
      </c>
      <c r="AJ572" s="3">
        <v>37.0</v>
      </c>
      <c r="AK572" s="3">
        <v>36.0</v>
      </c>
      <c r="AL572" s="3">
        <v>48.0</v>
      </c>
      <c r="AM572" s="3">
        <v>46.0</v>
      </c>
      <c r="AN572" s="3">
        <v>52.0</v>
      </c>
    </row>
    <row r="573" ht="14.25" customHeight="1">
      <c r="A573" s="3">
        <v>571.0</v>
      </c>
      <c r="B573" s="3" t="s">
        <v>7749</v>
      </c>
      <c r="C573" s="3">
        <v>24.0</v>
      </c>
      <c r="D573" s="3" t="s">
        <v>6645</v>
      </c>
      <c r="E573" s="3" t="s">
        <v>6646</v>
      </c>
      <c r="F573" s="3" t="s">
        <v>6646</v>
      </c>
      <c r="G573" s="3" t="s">
        <v>6645</v>
      </c>
      <c r="H573" s="3" t="s">
        <v>6645</v>
      </c>
      <c r="I573" s="3" t="s">
        <v>6646</v>
      </c>
      <c r="J573" s="3">
        <v>19.0</v>
      </c>
      <c r="K573" s="3">
        <v>1.0</v>
      </c>
      <c r="L573" s="3">
        <v>0.0</v>
      </c>
      <c r="M573" s="3">
        <v>0.0</v>
      </c>
      <c r="N573" s="3">
        <v>1704.92</v>
      </c>
      <c r="O573" s="3">
        <v>178.0</v>
      </c>
      <c r="P573" s="3" t="e">
        <v>#N/A</v>
      </c>
      <c r="Q573" s="3">
        <v>41.0</v>
      </c>
      <c r="R573" s="3">
        <v>41.0</v>
      </c>
      <c r="S573" s="3">
        <v>41.0</v>
      </c>
      <c r="T573" s="3">
        <v>39.0</v>
      </c>
      <c r="U573" s="3">
        <v>39.0</v>
      </c>
      <c r="V573" s="3">
        <v>45.0</v>
      </c>
      <c r="W573" s="3">
        <v>44.0</v>
      </c>
      <c r="X573" s="3">
        <v>49.0</v>
      </c>
      <c r="Y573" s="3">
        <v>35.0</v>
      </c>
      <c r="Z573" s="3">
        <v>53.0</v>
      </c>
      <c r="AA573" s="3">
        <v>41.0</v>
      </c>
      <c r="AB573" s="3">
        <v>35.0</v>
      </c>
      <c r="AC573" s="3">
        <v>42.0</v>
      </c>
      <c r="AD573" s="3">
        <v>42.0</v>
      </c>
      <c r="AE573" s="3">
        <v>34.0</v>
      </c>
      <c r="AF573" s="3">
        <v>68.0</v>
      </c>
      <c r="AG573" s="3">
        <v>42.0</v>
      </c>
      <c r="AH573" s="3">
        <v>58.0</v>
      </c>
      <c r="AI573" s="3">
        <v>35.0</v>
      </c>
      <c r="AJ573" s="3">
        <v>58.0</v>
      </c>
      <c r="AK573" s="3">
        <v>30.0</v>
      </c>
      <c r="AL573" s="3">
        <v>53.0</v>
      </c>
      <c r="AM573" s="3">
        <v>55.0</v>
      </c>
      <c r="AN573" s="3">
        <v>43.0</v>
      </c>
    </row>
    <row r="574" ht="14.25" customHeight="1">
      <c r="A574" s="3">
        <v>572.0</v>
      </c>
      <c r="B574" s="3" t="s">
        <v>7750</v>
      </c>
      <c r="C574" s="3">
        <v>25.0</v>
      </c>
      <c r="D574" s="3" t="s">
        <v>6645</v>
      </c>
      <c r="E574" s="3" t="s">
        <v>6646</v>
      </c>
      <c r="F574" s="3" t="s">
        <v>6646</v>
      </c>
      <c r="G574" s="3" t="s">
        <v>6645</v>
      </c>
      <c r="H574" s="3" t="s">
        <v>6645</v>
      </c>
      <c r="I574" s="3" t="s">
        <v>6646</v>
      </c>
      <c r="J574" s="3">
        <v>19.0</v>
      </c>
      <c r="K574" s="3">
        <v>1.0</v>
      </c>
      <c r="L574" s="3">
        <v>0.0</v>
      </c>
      <c r="M574" s="3">
        <v>0.0</v>
      </c>
      <c r="N574" s="3">
        <v>1725.7048</v>
      </c>
      <c r="O574" s="3">
        <v>202.0</v>
      </c>
      <c r="P574" s="3" t="e">
        <v>#N/A</v>
      </c>
      <c r="Q574" s="3">
        <v>44.0</v>
      </c>
      <c r="R574" s="3">
        <v>42.0</v>
      </c>
      <c r="S574" s="3">
        <v>42.0</v>
      </c>
      <c r="T574" s="3">
        <v>44.0</v>
      </c>
      <c r="U574" s="3">
        <v>40.0</v>
      </c>
      <c r="V574" s="3">
        <v>39.0</v>
      </c>
      <c r="W574" s="3">
        <v>48.0</v>
      </c>
      <c r="X574" s="3">
        <v>48.0</v>
      </c>
      <c r="Y574" s="3">
        <v>43.0</v>
      </c>
      <c r="Z574" s="3">
        <v>49.0</v>
      </c>
      <c r="AA574" s="3">
        <v>42.0</v>
      </c>
      <c r="AB574" s="3">
        <v>31.0</v>
      </c>
      <c r="AC574" s="3">
        <v>45.0</v>
      </c>
      <c r="AD574" s="3">
        <v>35.0</v>
      </c>
      <c r="AE574" s="3">
        <v>38.0</v>
      </c>
      <c r="AF574" s="3">
        <v>82.0</v>
      </c>
      <c r="AG574" s="3">
        <v>38.0</v>
      </c>
      <c r="AH574" s="3">
        <v>42.0</v>
      </c>
      <c r="AI574" s="3">
        <v>26.0</v>
      </c>
      <c r="AJ574" s="3">
        <v>62.0</v>
      </c>
      <c r="AK574" s="3">
        <v>54.0</v>
      </c>
      <c r="AL574" s="3">
        <v>33.0</v>
      </c>
      <c r="AM574" s="3">
        <v>48.0</v>
      </c>
      <c r="AN574" s="3">
        <v>38.0</v>
      </c>
    </row>
    <row r="575" ht="14.25" customHeight="1">
      <c r="A575" s="3">
        <v>573.0</v>
      </c>
      <c r="B575" s="3" t="s">
        <v>7751</v>
      </c>
      <c r="C575" s="3">
        <v>15.0</v>
      </c>
      <c r="D575" s="3" t="s">
        <v>6645</v>
      </c>
      <c r="E575" s="3" t="s">
        <v>6646</v>
      </c>
      <c r="F575" s="3" t="s">
        <v>6646</v>
      </c>
      <c r="G575" s="3" t="s">
        <v>6645</v>
      </c>
      <c r="H575" s="3" t="s">
        <v>6645</v>
      </c>
      <c r="I575" s="3" t="s">
        <v>6646</v>
      </c>
      <c r="J575" s="3">
        <v>19.0</v>
      </c>
      <c r="K575" s="3">
        <v>0.0</v>
      </c>
      <c r="L575" s="3">
        <v>0.0</v>
      </c>
      <c r="M575" s="3">
        <v>0.0</v>
      </c>
      <c r="N575" s="3">
        <v>489.60687</v>
      </c>
      <c r="O575" s="3">
        <v>123.0</v>
      </c>
      <c r="P575" s="3" t="e">
        <v>#N/A</v>
      </c>
      <c r="Q575" s="3">
        <v>33.0</v>
      </c>
      <c r="R575" s="3">
        <v>39.0</v>
      </c>
      <c r="S575" s="3">
        <v>32.0</v>
      </c>
      <c r="T575" s="3">
        <v>36.0</v>
      </c>
      <c r="U575" s="3">
        <v>37.0</v>
      </c>
      <c r="V575" s="3">
        <v>33.0</v>
      </c>
      <c r="W575" s="3">
        <v>35.0</v>
      </c>
      <c r="X575" s="3">
        <v>43.0</v>
      </c>
      <c r="Y575" s="3">
        <v>35.0</v>
      </c>
      <c r="Z575" s="3">
        <v>42.0</v>
      </c>
      <c r="AA575" s="3">
        <v>30.0</v>
      </c>
      <c r="AB575" s="3">
        <v>30.0</v>
      </c>
      <c r="AC575" s="3">
        <v>31.0</v>
      </c>
      <c r="AD575" s="3">
        <v>37.0</v>
      </c>
      <c r="AE575" s="3">
        <v>30.0</v>
      </c>
      <c r="AF575" s="3">
        <v>67.0</v>
      </c>
      <c r="AG575" s="3">
        <v>13.0</v>
      </c>
      <c r="AH575" s="3">
        <v>40.0</v>
      </c>
      <c r="AI575" s="3">
        <v>48.0</v>
      </c>
      <c r="AJ575" s="3">
        <v>50.0</v>
      </c>
      <c r="AK575" s="3">
        <v>52.0</v>
      </c>
      <c r="AL575" s="3">
        <v>41.0</v>
      </c>
      <c r="AM575" s="3">
        <v>49.0</v>
      </c>
      <c r="AN575" s="3">
        <v>33.0</v>
      </c>
    </row>
    <row r="576" ht="14.25" customHeight="1">
      <c r="A576" s="3">
        <v>574.0</v>
      </c>
      <c r="B576" s="3" t="s">
        <v>7752</v>
      </c>
      <c r="C576" s="3">
        <v>18.0</v>
      </c>
      <c r="D576" s="3" t="s">
        <v>6645</v>
      </c>
      <c r="E576" s="3" t="s">
        <v>6646</v>
      </c>
      <c r="F576" s="3" t="s">
        <v>6646</v>
      </c>
      <c r="G576" s="3" t="s">
        <v>6645</v>
      </c>
      <c r="H576" s="3" t="s">
        <v>6645</v>
      </c>
      <c r="I576" s="3" t="s">
        <v>6645</v>
      </c>
      <c r="J576" s="3">
        <v>19.0</v>
      </c>
      <c r="K576" s="3">
        <v>0.0</v>
      </c>
      <c r="L576" s="3">
        <v>0.0</v>
      </c>
      <c r="M576" s="3">
        <v>0.0</v>
      </c>
      <c r="N576" s="3">
        <v>515.13586</v>
      </c>
      <c r="O576" s="3">
        <v>113.0</v>
      </c>
      <c r="P576" s="3" t="e">
        <v>#N/A</v>
      </c>
      <c r="Q576" s="3">
        <v>36.0</v>
      </c>
      <c r="R576" s="3">
        <v>33.0</v>
      </c>
      <c r="S576" s="3">
        <v>35.0</v>
      </c>
      <c r="T576" s="3">
        <v>32.0</v>
      </c>
      <c r="U576" s="3">
        <v>36.0</v>
      </c>
      <c r="V576" s="3">
        <v>32.0</v>
      </c>
      <c r="W576" s="3">
        <v>39.0</v>
      </c>
      <c r="X576" s="3">
        <v>41.0</v>
      </c>
      <c r="Y576" s="3">
        <v>30.0</v>
      </c>
      <c r="Z576" s="3">
        <v>39.0</v>
      </c>
      <c r="AA576" s="3">
        <v>35.0</v>
      </c>
      <c r="AB576" s="3">
        <v>30.0</v>
      </c>
      <c r="AC576" s="3">
        <v>34.0</v>
      </c>
      <c r="AD576" s="3">
        <v>30.0</v>
      </c>
      <c r="AE576" s="3">
        <v>23.0</v>
      </c>
      <c r="AF576" s="3">
        <v>71.0</v>
      </c>
      <c r="AG576" s="3">
        <v>56.0</v>
      </c>
      <c r="AH576" s="3">
        <v>59.0</v>
      </c>
      <c r="AI576" s="3">
        <v>40.0</v>
      </c>
      <c r="AJ576" s="3">
        <v>54.0</v>
      </c>
      <c r="AK576" s="3">
        <v>34.0</v>
      </c>
      <c r="AL576" s="3">
        <v>48.0</v>
      </c>
      <c r="AM576" s="3">
        <v>30.0</v>
      </c>
      <c r="AN576" s="3">
        <v>57.0</v>
      </c>
    </row>
    <row r="577" ht="14.25" customHeight="1">
      <c r="A577" s="3">
        <v>575.0</v>
      </c>
      <c r="B577" s="3" t="s">
        <v>7753</v>
      </c>
      <c r="C577" s="3">
        <v>20.0</v>
      </c>
      <c r="D577" s="3" t="s">
        <v>6645</v>
      </c>
      <c r="E577" s="3" t="s">
        <v>6646</v>
      </c>
      <c r="F577" s="3" t="s">
        <v>6646</v>
      </c>
      <c r="G577" s="3" t="s">
        <v>6645</v>
      </c>
      <c r="H577" s="3" t="s">
        <v>6645</v>
      </c>
      <c r="I577" s="3" t="s">
        <v>6646</v>
      </c>
      <c r="J577" s="3">
        <v>19.0</v>
      </c>
      <c r="K577" s="3">
        <v>0.0</v>
      </c>
      <c r="L577" s="3">
        <v>0.0</v>
      </c>
      <c r="M577" s="3">
        <v>0.0</v>
      </c>
      <c r="N577" s="3">
        <v>543.75775</v>
      </c>
      <c r="O577" s="3">
        <v>92.0</v>
      </c>
      <c r="P577" s="3" t="e">
        <v>#N/A</v>
      </c>
      <c r="Q577" s="3">
        <v>33.0</v>
      </c>
      <c r="R577" s="3">
        <v>33.0</v>
      </c>
      <c r="S577" s="3">
        <v>37.0</v>
      </c>
      <c r="T577" s="3">
        <v>37.0</v>
      </c>
      <c r="U577" s="3">
        <v>33.0</v>
      </c>
      <c r="V577" s="3">
        <v>31.0</v>
      </c>
      <c r="W577" s="3">
        <v>45.0</v>
      </c>
      <c r="X577" s="3">
        <v>46.0</v>
      </c>
      <c r="Y577" s="3">
        <v>26.0</v>
      </c>
      <c r="Z577" s="3">
        <v>42.0</v>
      </c>
      <c r="AA577" s="3">
        <v>37.0</v>
      </c>
      <c r="AB577" s="3">
        <v>34.0</v>
      </c>
      <c r="AC577" s="3">
        <v>38.0</v>
      </c>
      <c r="AD577" s="3">
        <v>29.0</v>
      </c>
      <c r="AE577" s="3">
        <v>31.0</v>
      </c>
      <c r="AF577" s="3">
        <v>64.0</v>
      </c>
      <c r="AG577" s="3">
        <v>57.0</v>
      </c>
      <c r="AH577" s="3">
        <v>38.0</v>
      </c>
      <c r="AI577" s="3">
        <v>46.0</v>
      </c>
      <c r="AJ577" s="3">
        <v>56.0</v>
      </c>
      <c r="AK577" s="3">
        <v>42.0</v>
      </c>
      <c r="AL577" s="3">
        <v>43.0</v>
      </c>
      <c r="AM577" s="3">
        <v>20.0</v>
      </c>
      <c r="AN577" s="3">
        <v>53.0</v>
      </c>
    </row>
    <row r="578" ht="14.25" customHeight="1">
      <c r="A578" s="3">
        <v>576.0</v>
      </c>
      <c r="B578" s="3" t="s">
        <v>7754</v>
      </c>
      <c r="C578" s="3">
        <v>16.0</v>
      </c>
      <c r="D578" s="3" t="s">
        <v>6645</v>
      </c>
      <c r="E578" s="3" t="s">
        <v>6646</v>
      </c>
      <c r="F578" s="3" t="s">
        <v>6646</v>
      </c>
      <c r="G578" s="3" t="s">
        <v>6645</v>
      </c>
      <c r="H578" s="3" t="s">
        <v>6645</v>
      </c>
      <c r="I578" s="3" t="s">
        <v>6645</v>
      </c>
      <c r="J578" s="3">
        <v>19.0</v>
      </c>
      <c r="K578" s="3">
        <v>0.0</v>
      </c>
      <c r="L578" s="3">
        <v>0.0</v>
      </c>
      <c r="M578" s="3">
        <v>0.0</v>
      </c>
      <c r="N578" s="3">
        <v>514.465</v>
      </c>
      <c r="O578" s="3">
        <v>101.0</v>
      </c>
      <c r="P578" s="3" t="e">
        <v>#N/A</v>
      </c>
      <c r="Q578" s="3">
        <v>38.0</v>
      </c>
      <c r="R578" s="3">
        <v>32.0</v>
      </c>
      <c r="S578" s="3">
        <v>34.0</v>
      </c>
      <c r="T578" s="3">
        <v>30.0</v>
      </c>
      <c r="U578" s="3">
        <v>39.0</v>
      </c>
      <c r="V578" s="3">
        <v>32.0</v>
      </c>
      <c r="W578" s="3">
        <v>47.0</v>
      </c>
      <c r="X578" s="3">
        <v>46.0</v>
      </c>
      <c r="Y578" s="3">
        <v>23.0</v>
      </c>
      <c r="Z578" s="3">
        <v>45.0</v>
      </c>
      <c r="AA578" s="3">
        <v>39.0</v>
      </c>
      <c r="AB578" s="3">
        <v>35.0</v>
      </c>
      <c r="AC578" s="3">
        <v>29.0</v>
      </c>
      <c r="AD578" s="3">
        <v>26.0</v>
      </c>
      <c r="AE578" s="3">
        <v>37.0</v>
      </c>
      <c r="AF578" s="3">
        <v>73.0</v>
      </c>
      <c r="AG578" s="3">
        <v>34.0</v>
      </c>
      <c r="AH578" s="3">
        <v>41.0</v>
      </c>
      <c r="AI578" s="3">
        <v>52.0</v>
      </c>
      <c r="AJ578" s="3">
        <v>52.0</v>
      </c>
      <c r="AK578" s="3">
        <v>57.0</v>
      </c>
      <c r="AL578" s="3">
        <v>42.0</v>
      </c>
      <c r="AM578" s="3">
        <v>28.0</v>
      </c>
      <c r="AN578" s="3">
        <v>48.0</v>
      </c>
    </row>
    <row r="579" ht="14.25" customHeight="1">
      <c r="A579" s="3">
        <v>577.0</v>
      </c>
      <c r="B579" s="3" t="s">
        <v>7755</v>
      </c>
      <c r="C579" s="3">
        <v>15.0</v>
      </c>
      <c r="D579" s="3" t="s">
        <v>6645</v>
      </c>
      <c r="E579" s="3" t="s">
        <v>6646</v>
      </c>
      <c r="F579" s="3" t="s">
        <v>6646</v>
      </c>
      <c r="G579" s="3" t="s">
        <v>6645</v>
      </c>
      <c r="H579" s="3" t="s">
        <v>6645</v>
      </c>
      <c r="I579" s="3" t="s">
        <v>6646</v>
      </c>
      <c r="J579" s="3">
        <v>19.0</v>
      </c>
      <c r="K579" s="3">
        <v>0.0</v>
      </c>
      <c r="L579" s="3">
        <v>0.0</v>
      </c>
      <c r="M579" s="3">
        <v>0.0</v>
      </c>
      <c r="N579" s="3">
        <v>570.58795</v>
      </c>
      <c r="O579" s="3">
        <v>81.0</v>
      </c>
      <c r="P579" s="3" t="e">
        <v>#N/A</v>
      </c>
      <c r="Q579" s="3">
        <v>39.0</v>
      </c>
      <c r="R579" s="3">
        <v>31.0</v>
      </c>
      <c r="S579" s="3">
        <v>33.0</v>
      </c>
      <c r="T579" s="3">
        <v>34.0</v>
      </c>
      <c r="U579" s="3">
        <v>39.0</v>
      </c>
      <c r="V579" s="3">
        <v>39.0</v>
      </c>
      <c r="W579" s="3">
        <v>39.0</v>
      </c>
      <c r="X579" s="3">
        <v>46.0</v>
      </c>
      <c r="Y579" s="3">
        <v>28.0</v>
      </c>
      <c r="Z579" s="3">
        <v>44.0</v>
      </c>
      <c r="AA579" s="3">
        <v>28.0</v>
      </c>
      <c r="AB579" s="3">
        <v>38.0</v>
      </c>
      <c r="AC579" s="3">
        <v>39.0</v>
      </c>
      <c r="AD579" s="3">
        <v>22.0</v>
      </c>
      <c r="AE579" s="3">
        <v>39.0</v>
      </c>
      <c r="AF579" s="3">
        <v>63.0</v>
      </c>
      <c r="AG579" s="3">
        <v>41.0</v>
      </c>
      <c r="AH579" s="3">
        <v>39.0</v>
      </c>
      <c r="AI579" s="3">
        <v>35.0</v>
      </c>
      <c r="AJ579" s="3">
        <v>55.0</v>
      </c>
      <c r="AK579" s="3">
        <v>56.0</v>
      </c>
      <c r="AL579" s="3">
        <v>11.0</v>
      </c>
      <c r="AM579" s="3">
        <v>30.0</v>
      </c>
      <c r="AN579" s="3">
        <v>31.0</v>
      </c>
    </row>
    <row r="580" ht="14.25" customHeight="1">
      <c r="A580" s="3">
        <v>578.0</v>
      </c>
      <c r="B580" s="3" t="s">
        <v>7756</v>
      </c>
      <c r="C580" s="3">
        <v>40.0</v>
      </c>
      <c r="D580" s="3" t="s">
        <v>6645</v>
      </c>
      <c r="E580" s="3" t="s">
        <v>6646</v>
      </c>
      <c r="F580" s="3" t="s">
        <v>6646</v>
      </c>
      <c r="G580" s="3" t="s">
        <v>6645</v>
      </c>
      <c r="H580" s="3" t="s">
        <v>6645</v>
      </c>
      <c r="I580" s="3" t="s">
        <v>6646</v>
      </c>
      <c r="J580" s="3">
        <v>20.0</v>
      </c>
      <c r="K580" s="3">
        <v>5.0</v>
      </c>
      <c r="L580" s="3">
        <v>0.0</v>
      </c>
      <c r="M580" s="3">
        <v>0.0</v>
      </c>
      <c r="N580" s="3">
        <v>11792.911</v>
      </c>
      <c r="O580" s="3">
        <v>3105.0</v>
      </c>
      <c r="P580" s="3" t="e">
        <v>#N/A</v>
      </c>
      <c r="Q580" s="3">
        <v>63.0</v>
      </c>
      <c r="R580" s="3">
        <v>64.0</v>
      </c>
      <c r="S580" s="3">
        <v>61.0</v>
      </c>
      <c r="T580" s="3">
        <v>64.0</v>
      </c>
      <c r="U580" s="3">
        <v>65.0</v>
      </c>
      <c r="V580" s="3">
        <v>79.0</v>
      </c>
      <c r="W580" s="3">
        <v>69.0</v>
      </c>
      <c r="X580" s="3">
        <v>63.0</v>
      </c>
      <c r="Y580" s="3">
        <v>65.0</v>
      </c>
      <c r="Z580" s="3">
        <v>66.0</v>
      </c>
      <c r="AA580" s="3">
        <v>64.0</v>
      </c>
      <c r="AB580" s="3">
        <v>67.0</v>
      </c>
      <c r="AC580" s="3">
        <v>75.0</v>
      </c>
      <c r="AD580" s="3">
        <v>64.0</v>
      </c>
      <c r="AE580" s="3">
        <v>60.0</v>
      </c>
      <c r="AF580" s="3">
        <v>46.0</v>
      </c>
      <c r="AG580" s="3">
        <v>48.0</v>
      </c>
      <c r="AH580" s="3">
        <v>56.0</v>
      </c>
      <c r="AI580" s="3">
        <v>42.0</v>
      </c>
      <c r="AJ580" s="3">
        <v>60.0</v>
      </c>
      <c r="AK580" s="3">
        <v>70.0</v>
      </c>
      <c r="AL580" s="3">
        <v>58.0</v>
      </c>
      <c r="AM580" s="3">
        <v>52.0</v>
      </c>
      <c r="AN580" s="3">
        <v>52.0</v>
      </c>
    </row>
    <row r="581" ht="14.25" customHeight="1">
      <c r="A581" s="3">
        <v>579.0</v>
      </c>
      <c r="B581" s="3" t="s">
        <v>7757</v>
      </c>
      <c r="C581" s="3">
        <v>38.0</v>
      </c>
      <c r="D581" s="3" t="s">
        <v>6645</v>
      </c>
      <c r="E581" s="3" t="s">
        <v>6646</v>
      </c>
      <c r="F581" s="3" t="s">
        <v>6646</v>
      </c>
      <c r="G581" s="3" t="s">
        <v>6645</v>
      </c>
      <c r="H581" s="3" t="s">
        <v>6645</v>
      </c>
      <c r="I581" s="3" t="s">
        <v>6646</v>
      </c>
      <c r="J581" s="3">
        <v>20.0</v>
      </c>
      <c r="K581" s="3">
        <v>4.0</v>
      </c>
      <c r="L581" s="3">
        <v>0.0</v>
      </c>
      <c r="M581" s="3">
        <v>0.0</v>
      </c>
      <c r="N581" s="3">
        <v>8499.42</v>
      </c>
      <c r="O581" s="3">
        <v>1420.0</v>
      </c>
      <c r="P581" s="3" t="e">
        <v>#N/A</v>
      </c>
      <c r="Q581" s="3">
        <v>56.0</v>
      </c>
      <c r="R581" s="3">
        <v>57.0</v>
      </c>
      <c r="S581" s="3">
        <v>58.0</v>
      </c>
      <c r="T581" s="3">
        <v>63.0</v>
      </c>
      <c r="U581" s="3">
        <v>63.0</v>
      </c>
      <c r="V581" s="3">
        <v>69.0</v>
      </c>
      <c r="W581" s="3">
        <v>61.0</v>
      </c>
      <c r="X581" s="3">
        <v>58.0</v>
      </c>
      <c r="Y581" s="3">
        <v>58.0</v>
      </c>
      <c r="Z581" s="3">
        <v>62.0</v>
      </c>
      <c r="AA581" s="3">
        <v>60.0</v>
      </c>
      <c r="AB581" s="3">
        <v>56.0</v>
      </c>
      <c r="AC581" s="3">
        <v>73.0</v>
      </c>
      <c r="AD581" s="3">
        <v>52.0</v>
      </c>
      <c r="AE581" s="3">
        <v>55.0</v>
      </c>
      <c r="AF581" s="3">
        <v>53.0</v>
      </c>
      <c r="AG581" s="3">
        <v>65.0</v>
      </c>
      <c r="AH581" s="3">
        <v>65.0</v>
      </c>
      <c r="AI581" s="3">
        <v>48.0</v>
      </c>
      <c r="AJ581" s="3">
        <v>52.0</v>
      </c>
      <c r="AK581" s="3">
        <v>52.0</v>
      </c>
      <c r="AL581" s="3">
        <v>55.0</v>
      </c>
      <c r="AM581" s="3">
        <v>59.0</v>
      </c>
      <c r="AN581" s="3">
        <v>45.0</v>
      </c>
    </row>
    <row r="582" ht="14.25" customHeight="1">
      <c r="A582" s="3">
        <v>580.0</v>
      </c>
      <c r="B582" s="3" t="s">
        <v>7758</v>
      </c>
      <c r="C582" s="3">
        <v>35.0</v>
      </c>
      <c r="D582" s="3" t="s">
        <v>6645</v>
      </c>
      <c r="E582" s="3" t="s">
        <v>6646</v>
      </c>
      <c r="F582" s="3" t="s">
        <v>6646</v>
      </c>
      <c r="G582" s="3" t="s">
        <v>6645</v>
      </c>
      <c r="H582" s="3" t="s">
        <v>6645</v>
      </c>
      <c r="I582" s="3" t="s">
        <v>6645</v>
      </c>
      <c r="J582" s="3">
        <v>20.0</v>
      </c>
      <c r="K582" s="3">
        <v>4.0</v>
      </c>
      <c r="L582" s="3">
        <v>0.0</v>
      </c>
      <c r="M582" s="3">
        <v>0.0</v>
      </c>
      <c r="N582" s="3">
        <v>8419.35</v>
      </c>
      <c r="O582" s="3">
        <v>1742.0</v>
      </c>
      <c r="P582" s="3" t="e">
        <v>#N/A</v>
      </c>
      <c r="Q582" s="3">
        <v>55.0</v>
      </c>
      <c r="R582" s="3">
        <v>61.0</v>
      </c>
      <c r="S582" s="3">
        <v>61.0</v>
      </c>
      <c r="T582" s="3">
        <v>62.0</v>
      </c>
      <c r="U582" s="3">
        <v>56.0</v>
      </c>
      <c r="V582" s="3">
        <v>70.0</v>
      </c>
      <c r="W582" s="3">
        <v>69.0</v>
      </c>
      <c r="X582" s="3">
        <v>60.0</v>
      </c>
      <c r="Y582" s="3">
        <v>62.0</v>
      </c>
      <c r="Z582" s="3">
        <v>67.0</v>
      </c>
      <c r="AA582" s="3">
        <v>52.0</v>
      </c>
      <c r="AB582" s="3">
        <v>55.0</v>
      </c>
      <c r="AC582" s="3">
        <v>71.0</v>
      </c>
      <c r="AD582" s="3">
        <v>57.0</v>
      </c>
      <c r="AE582" s="3">
        <v>53.0</v>
      </c>
      <c r="AF582" s="3">
        <v>65.0</v>
      </c>
      <c r="AG582" s="3">
        <v>52.0</v>
      </c>
      <c r="AH582" s="3">
        <v>42.0</v>
      </c>
      <c r="AI582" s="3">
        <v>54.0</v>
      </c>
      <c r="AJ582" s="3">
        <v>47.0</v>
      </c>
      <c r="AK582" s="3">
        <v>67.0</v>
      </c>
      <c r="AL582" s="3">
        <v>68.0</v>
      </c>
      <c r="AM582" s="3">
        <v>61.0</v>
      </c>
      <c r="AN582" s="3">
        <v>69.0</v>
      </c>
    </row>
    <row r="583" ht="14.25" customHeight="1">
      <c r="A583" s="3">
        <v>581.0</v>
      </c>
      <c r="B583" s="3" t="s">
        <v>7759</v>
      </c>
      <c r="C583" s="3">
        <v>35.0</v>
      </c>
      <c r="D583" s="3" t="s">
        <v>6645</v>
      </c>
      <c r="E583" s="3" t="s">
        <v>6646</v>
      </c>
      <c r="F583" s="3" t="s">
        <v>6646</v>
      </c>
      <c r="G583" s="3" t="s">
        <v>6645</v>
      </c>
      <c r="H583" s="3" t="s">
        <v>6645</v>
      </c>
      <c r="I583" s="3" t="s">
        <v>6645</v>
      </c>
      <c r="J583" s="3">
        <v>20.0</v>
      </c>
      <c r="K583" s="3">
        <v>4.0</v>
      </c>
      <c r="L583" s="3">
        <v>0.0</v>
      </c>
      <c r="M583" s="3">
        <v>0.0</v>
      </c>
      <c r="N583" s="3">
        <v>9012.82</v>
      </c>
      <c r="O583" s="3">
        <v>1325.0</v>
      </c>
      <c r="P583" s="3" t="e">
        <v>#N/A</v>
      </c>
      <c r="Q583" s="3">
        <v>62.0</v>
      </c>
      <c r="R583" s="3">
        <v>60.0</v>
      </c>
      <c r="S583" s="3">
        <v>58.0</v>
      </c>
      <c r="T583" s="3">
        <v>54.0</v>
      </c>
      <c r="U583" s="3">
        <v>63.0</v>
      </c>
      <c r="V583" s="3">
        <v>73.0</v>
      </c>
      <c r="W583" s="3">
        <v>57.0</v>
      </c>
      <c r="X583" s="3">
        <v>54.0</v>
      </c>
      <c r="Y583" s="3">
        <v>55.0</v>
      </c>
      <c r="Z583" s="3">
        <v>60.0</v>
      </c>
      <c r="AA583" s="3">
        <v>55.0</v>
      </c>
      <c r="AB583" s="3">
        <v>56.0</v>
      </c>
      <c r="AC583" s="3">
        <v>70.0</v>
      </c>
      <c r="AD583" s="3">
        <v>60.0</v>
      </c>
      <c r="AE583" s="3">
        <v>54.0</v>
      </c>
      <c r="AF583" s="3">
        <v>44.0</v>
      </c>
      <c r="AG583" s="3">
        <v>57.0</v>
      </c>
      <c r="AH583" s="3">
        <v>49.0</v>
      </c>
      <c r="AI583" s="3">
        <v>60.0</v>
      </c>
      <c r="AJ583" s="3">
        <v>59.0</v>
      </c>
      <c r="AK583" s="3">
        <v>52.0</v>
      </c>
      <c r="AL583" s="3">
        <v>54.0</v>
      </c>
      <c r="AM583" s="3">
        <v>43.0</v>
      </c>
      <c r="AN583" s="3">
        <v>49.0</v>
      </c>
    </row>
    <row r="584" ht="14.25" customHeight="1">
      <c r="A584" s="3">
        <v>582.0</v>
      </c>
      <c r="B584" s="3" t="s">
        <v>7760</v>
      </c>
      <c r="C584" s="3">
        <v>38.0</v>
      </c>
      <c r="D584" s="3" t="s">
        <v>6645</v>
      </c>
      <c r="E584" s="3" t="s">
        <v>6646</v>
      </c>
      <c r="F584" s="3" t="s">
        <v>6646</v>
      </c>
      <c r="G584" s="3" t="s">
        <v>6645</v>
      </c>
      <c r="H584" s="3" t="s">
        <v>6645</v>
      </c>
      <c r="I584" s="3" t="s">
        <v>6646</v>
      </c>
      <c r="J584" s="3">
        <v>20.0</v>
      </c>
      <c r="K584" s="3">
        <v>3.0</v>
      </c>
      <c r="L584" s="3">
        <v>0.0</v>
      </c>
      <c r="M584" s="3">
        <v>0.0</v>
      </c>
      <c r="N584" s="3">
        <v>5813.32</v>
      </c>
      <c r="O584" s="3">
        <v>725.0</v>
      </c>
      <c r="P584" s="3" t="e">
        <v>#N/A</v>
      </c>
      <c r="Q584" s="3">
        <v>49.0</v>
      </c>
      <c r="R584" s="3">
        <v>54.0</v>
      </c>
      <c r="S584" s="3">
        <v>57.0</v>
      </c>
      <c r="T584" s="3">
        <v>53.0</v>
      </c>
      <c r="U584" s="3">
        <v>57.0</v>
      </c>
      <c r="V584" s="3">
        <v>61.0</v>
      </c>
      <c r="W584" s="3">
        <v>58.0</v>
      </c>
      <c r="X584" s="3">
        <v>46.0</v>
      </c>
      <c r="Y584" s="3">
        <v>55.0</v>
      </c>
      <c r="Z584" s="3">
        <v>54.0</v>
      </c>
      <c r="AA584" s="3">
        <v>48.0</v>
      </c>
      <c r="AB584" s="3">
        <v>51.0</v>
      </c>
      <c r="AC584" s="3">
        <v>59.0</v>
      </c>
      <c r="AD584" s="3">
        <v>55.0</v>
      </c>
      <c r="AE584" s="3">
        <v>48.0</v>
      </c>
      <c r="AF584" s="3">
        <v>66.0</v>
      </c>
      <c r="AG584" s="3">
        <v>54.0</v>
      </c>
      <c r="AH584" s="3">
        <v>54.0</v>
      </c>
      <c r="AI584" s="3">
        <v>42.0</v>
      </c>
      <c r="AJ584" s="3">
        <v>54.0</v>
      </c>
      <c r="AK584" s="3">
        <v>58.0</v>
      </c>
      <c r="AL584" s="3">
        <v>62.0</v>
      </c>
      <c r="AM584" s="3">
        <v>64.0</v>
      </c>
      <c r="AN584" s="3">
        <v>66.0</v>
      </c>
    </row>
    <row r="585" ht="14.25" customHeight="1">
      <c r="A585" s="3">
        <v>583.0</v>
      </c>
      <c r="B585" s="3" t="s">
        <v>7761</v>
      </c>
      <c r="C585" s="3">
        <v>30.0</v>
      </c>
      <c r="D585" s="3" t="s">
        <v>6645</v>
      </c>
      <c r="E585" s="3" t="s">
        <v>6646</v>
      </c>
      <c r="F585" s="3" t="s">
        <v>6646</v>
      </c>
      <c r="G585" s="3" t="s">
        <v>6645</v>
      </c>
      <c r="H585" s="3" t="s">
        <v>6645</v>
      </c>
      <c r="I585" s="3" t="s">
        <v>6645</v>
      </c>
      <c r="J585" s="3">
        <v>20.0</v>
      </c>
      <c r="K585" s="3">
        <v>3.0</v>
      </c>
      <c r="L585" s="3">
        <v>0.0</v>
      </c>
      <c r="M585" s="3">
        <v>0.0</v>
      </c>
      <c r="N585" s="3">
        <v>5820.2197</v>
      </c>
      <c r="O585" s="3">
        <v>956.0</v>
      </c>
      <c r="P585" s="3" t="e">
        <v>#N/A</v>
      </c>
      <c r="Q585" s="3">
        <v>54.0</v>
      </c>
      <c r="R585" s="3">
        <v>49.0</v>
      </c>
      <c r="S585" s="3">
        <v>57.0</v>
      </c>
      <c r="T585" s="3">
        <v>53.0</v>
      </c>
      <c r="U585" s="3">
        <v>54.0</v>
      </c>
      <c r="V585" s="3">
        <v>56.0</v>
      </c>
      <c r="W585" s="3">
        <v>60.0</v>
      </c>
      <c r="X585" s="3">
        <v>52.0</v>
      </c>
      <c r="Y585" s="3">
        <v>57.0</v>
      </c>
      <c r="Z585" s="3">
        <v>58.0</v>
      </c>
      <c r="AA585" s="3">
        <v>52.0</v>
      </c>
      <c r="AB585" s="3">
        <v>44.0</v>
      </c>
      <c r="AC585" s="3">
        <v>63.0</v>
      </c>
      <c r="AD585" s="3">
        <v>53.0</v>
      </c>
      <c r="AE585" s="3">
        <v>51.0</v>
      </c>
      <c r="AF585" s="3">
        <v>38.0</v>
      </c>
      <c r="AG585" s="3">
        <v>62.0</v>
      </c>
      <c r="AH585" s="3">
        <v>42.0</v>
      </c>
      <c r="AI585" s="3">
        <v>44.0</v>
      </c>
      <c r="AJ585" s="3">
        <v>38.0</v>
      </c>
      <c r="AK585" s="3">
        <v>46.0</v>
      </c>
      <c r="AL585" s="3">
        <v>60.0</v>
      </c>
      <c r="AM585" s="3">
        <v>50.0</v>
      </c>
      <c r="AN585" s="3">
        <v>60.0</v>
      </c>
    </row>
    <row r="586" ht="14.25" customHeight="1">
      <c r="A586" s="3">
        <v>584.0</v>
      </c>
      <c r="B586" s="3" t="s">
        <v>7762</v>
      </c>
      <c r="C586" s="3">
        <v>37.0</v>
      </c>
      <c r="D586" s="3" t="s">
        <v>6645</v>
      </c>
      <c r="E586" s="3" t="s">
        <v>6646</v>
      </c>
      <c r="F586" s="3" t="s">
        <v>6646</v>
      </c>
      <c r="G586" s="3" t="s">
        <v>6645</v>
      </c>
      <c r="H586" s="3" t="s">
        <v>6645</v>
      </c>
      <c r="I586" s="3" t="s">
        <v>6646</v>
      </c>
      <c r="J586" s="3">
        <v>20.0</v>
      </c>
      <c r="K586" s="3">
        <v>3.0</v>
      </c>
      <c r="L586" s="3">
        <v>0.0</v>
      </c>
      <c r="M586" s="3">
        <v>0.0</v>
      </c>
      <c r="N586" s="3">
        <v>5940.2</v>
      </c>
      <c r="O586" s="3">
        <v>959.0</v>
      </c>
      <c r="P586" s="3" t="e">
        <v>#N/A</v>
      </c>
      <c r="Q586" s="3">
        <v>52.0</v>
      </c>
      <c r="R586" s="3">
        <v>53.0</v>
      </c>
      <c r="S586" s="3">
        <v>54.0</v>
      </c>
      <c r="T586" s="3">
        <v>53.0</v>
      </c>
      <c r="U586" s="3">
        <v>55.0</v>
      </c>
      <c r="V586" s="3">
        <v>64.0</v>
      </c>
      <c r="W586" s="3">
        <v>58.0</v>
      </c>
      <c r="X586" s="3">
        <v>50.0</v>
      </c>
      <c r="Y586" s="3">
        <v>52.0</v>
      </c>
      <c r="Z586" s="3">
        <v>59.0</v>
      </c>
      <c r="AA586" s="3">
        <v>49.0</v>
      </c>
      <c r="AB586" s="3">
        <v>55.0</v>
      </c>
      <c r="AC586" s="3">
        <v>59.0</v>
      </c>
      <c r="AD586" s="3">
        <v>57.0</v>
      </c>
      <c r="AE586" s="3">
        <v>47.0</v>
      </c>
      <c r="AF586" s="3">
        <v>66.0</v>
      </c>
      <c r="AG586" s="3">
        <v>44.0</v>
      </c>
      <c r="AH586" s="3">
        <v>42.0</v>
      </c>
      <c r="AI586" s="3">
        <v>42.0</v>
      </c>
      <c r="AJ586" s="3">
        <v>38.0</v>
      </c>
      <c r="AK586" s="3">
        <v>42.0</v>
      </c>
      <c r="AL586" s="3">
        <v>62.0</v>
      </c>
      <c r="AM586" s="3">
        <v>62.0</v>
      </c>
      <c r="AN586" s="3">
        <v>52.0</v>
      </c>
    </row>
    <row r="587" ht="14.25" customHeight="1">
      <c r="A587" s="3">
        <v>585.0</v>
      </c>
      <c r="B587" s="3" t="s">
        <v>7763</v>
      </c>
      <c r="C587" s="3">
        <v>32.0</v>
      </c>
      <c r="D587" s="3" t="s">
        <v>6645</v>
      </c>
      <c r="E587" s="3" t="s">
        <v>6646</v>
      </c>
      <c r="F587" s="3" t="s">
        <v>6646</v>
      </c>
      <c r="G587" s="3" t="s">
        <v>6645</v>
      </c>
      <c r="H587" s="3" t="s">
        <v>6645</v>
      </c>
      <c r="I587" s="3" t="s">
        <v>6646</v>
      </c>
      <c r="J587" s="3">
        <v>20.0</v>
      </c>
      <c r="K587" s="3">
        <v>2.0</v>
      </c>
      <c r="L587" s="3">
        <v>0.0</v>
      </c>
      <c r="M587" s="3">
        <v>0.0</v>
      </c>
      <c r="N587" s="3">
        <v>2901.03</v>
      </c>
      <c r="O587" s="3">
        <v>334.0</v>
      </c>
      <c r="P587" s="3" t="e">
        <v>#N/A</v>
      </c>
      <c r="Q587" s="3">
        <v>46.0</v>
      </c>
      <c r="R587" s="3">
        <v>44.0</v>
      </c>
      <c r="S587" s="3">
        <v>48.0</v>
      </c>
      <c r="T587" s="3">
        <v>50.0</v>
      </c>
      <c r="U587" s="3">
        <v>49.0</v>
      </c>
      <c r="V587" s="3">
        <v>42.0</v>
      </c>
      <c r="W587" s="3">
        <v>49.0</v>
      </c>
      <c r="X587" s="3">
        <v>49.0</v>
      </c>
      <c r="Y587" s="3">
        <v>42.0</v>
      </c>
      <c r="Z587" s="3">
        <v>53.0</v>
      </c>
      <c r="AA587" s="3">
        <v>39.0</v>
      </c>
      <c r="AB587" s="3">
        <v>47.0</v>
      </c>
      <c r="AC587" s="3">
        <v>54.0</v>
      </c>
      <c r="AD587" s="3">
        <v>47.0</v>
      </c>
      <c r="AE587" s="3">
        <v>49.0</v>
      </c>
      <c r="AF587" s="3">
        <v>55.0</v>
      </c>
      <c r="AG587" s="3">
        <v>48.0</v>
      </c>
      <c r="AH587" s="3">
        <v>43.0</v>
      </c>
      <c r="AI587" s="3">
        <v>55.0</v>
      </c>
      <c r="AJ587" s="3">
        <v>48.0</v>
      </c>
      <c r="AK587" s="3">
        <v>60.0</v>
      </c>
      <c r="AL587" s="3">
        <v>52.0</v>
      </c>
      <c r="AM587" s="3">
        <v>51.0</v>
      </c>
      <c r="AN587" s="3">
        <v>48.0</v>
      </c>
    </row>
    <row r="588" ht="14.25" customHeight="1">
      <c r="A588" s="3">
        <v>586.0</v>
      </c>
      <c r="B588" s="3" t="s">
        <v>7764</v>
      </c>
      <c r="C588" s="3">
        <v>32.0</v>
      </c>
      <c r="D588" s="3" t="s">
        <v>6645</v>
      </c>
      <c r="E588" s="3" t="s">
        <v>6646</v>
      </c>
      <c r="F588" s="3" t="s">
        <v>6646</v>
      </c>
      <c r="G588" s="3" t="s">
        <v>6645</v>
      </c>
      <c r="H588" s="3" t="s">
        <v>6645</v>
      </c>
      <c r="I588" s="3" t="s">
        <v>6646</v>
      </c>
      <c r="J588" s="3">
        <v>20.0</v>
      </c>
      <c r="K588" s="3">
        <v>2.0</v>
      </c>
      <c r="L588" s="3">
        <v>0.0</v>
      </c>
      <c r="M588" s="3">
        <v>0.0</v>
      </c>
      <c r="N588" s="3">
        <v>3121.7924</v>
      </c>
      <c r="O588" s="3">
        <v>359.0</v>
      </c>
      <c r="P588" s="3" t="e">
        <v>#N/A</v>
      </c>
      <c r="Q588" s="3">
        <v>48.0</v>
      </c>
      <c r="R588" s="3">
        <v>49.0</v>
      </c>
      <c r="S588" s="3">
        <v>43.0</v>
      </c>
      <c r="T588" s="3">
        <v>47.0</v>
      </c>
      <c r="U588" s="3">
        <v>51.0</v>
      </c>
      <c r="V588" s="3">
        <v>43.0</v>
      </c>
      <c r="W588" s="3">
        <v>57.0</v>
      </c>
      <c r="X588" s="3">
        <v>46.0</v>
      </c>
      <c r="Y588" s="3">
        <v>40.0</v>
      </c>
      <c r="Z588" s="3">
        <v>50.0</v>
      </c>
      <c r="AA588" s="3">
        <v>48.0</v>
      </c>
      <c r="AB588" s="3">
        <v>47.0</v>
      </c>
      <c r="AC588" s="3">
        <v>47.0</v>
      </c>
      <c r="AD588" s="3">
        <v>38.0</v>
      </c>
      <c r="AE588" s="3">
        <v>43.0</v>
      </c>
      <c r="AF588" s="3">
        <v>63.0</v>
      </c>
      <c r="AG588" s="3">
        <v>36.0</v>
      </c>
      <c r="AH588" s="3">
        <v>49.0</v>
      </c>
      <c r="AI588" s="3">
        <v>43.0</v>
      </c>
      <c r="AJ588" s="3">
        <v>55.0</v>
      </c>
      <c r="AK588" s="3">
        <v>47.0</v>
      </c>
      <c r="AL588" s="3">
        <v>61.0</v>
      </c>
      <c r="AM588" s="3">
        <v>58.0</v>
      </c>
      <c r="AN588" s="3">
        <v>64.0</v>
      </c>
    </row>
    <row r="589" ht="14.25" customHeight="1">
      <c r="A589" s="3">
        <v>587.0</v>
      </c>
      <c r="B589" s="3" t="s">
        <v>7765</v>
      </c>
      <c r="C589" s="3">
        <v>25.0</v>
      </c>
      <c r="D589" s="3" t="s">
        <v>6645</v>
      </c>
      <c r="E589" s="3" t="s">
        <v>6646</v>
      </c>
      <c r="F589" s="3" t="s">
        <v>6646</v>
      </c>
      <c r="G589" s="3" t="s">
        <v>6645</v>
      </c>
      <c r="H589" s="3" t="s">
        <v>6645</v>
      </c>
      <c r="I589" s="3" t="s">
        <v>6646</v>
      </c>
      <c r="J589" s="3">
        <v>20.0</v>
      </c>
      <c r="K589" s="3">
        <v>2.0</v>
      </c>
      <c r="L589" s="3">
        <v>0.0</v>
      </c>
      <c r="M589" s="3">
        <v>0.0</v>
      </c>
      <c r="N589" s="3">
        <v>3234.48</v>
      </c>
      <c r="O589" s="3">
        <v>460.0</v>
      </c>
      <c r="P589" s="3" t="e">
        <v>#N/A</v>
      </c>
      <c r="Q589" s="3">
        <v>47.0</v>
      </c>
      <c r="R589" s="3">
        <v>44.0</v>
      </c>
      <c r="S589" s="3">
        <v>43.0</v>
      </c>
      <c r="T589" s="3">
        <v>49.0</v>
      </c>
      <c r="U589" s="3">
        <v>51.0</v>
      </c>
      <c r="V589" s="3">
        <v>51.0</v>
      </c>
      <c r="W589" s="3">
        <v>50.0</v>
      </c>
      <c r="X589" s="3">
        <v>46.0</v>
      </c>
      <c r="Y589" s="3">
        <v>40.0</v>
      </c>
      <c r="Z589" s="3">
        <v>52.0</v>
      </c>
      <c r="AA589" s="3">
        <v>46.0</v>
      </c>
      <c r="AB589" s="3">
        <v>51.0</v>
      </c>
      <c r="AC589" s="3">
        <v>50.0</v>
      </c>
      <c r="AD589" s="3">
        <v>44.0</v>
      </c>
      <c r="AE589" s="3">
        <v>41.0</v>
      </c>
      <c r="AF589" s="3">
        <v>38.0</v>
      </c>
      <c r="AG589" s="3">
        <v>57.0</v>
      </c>
      <c r="AH589" s="3">
        <v>45.0</v>
      </c>
      <c r="AI589" s="3">
        <v>56.0</v>
      </c>
      <c r="AJ589" s="3">
        <v>62.0</v>
      </c>
      <c r="AK589" s="3">
        <v>43.0</v>
      </c>
      <c r="AL589" s="3">
        <v>54.0</v>
      </c>
      <c r="AM589" s="3">
        <v>61.0</v>
      </c>
      <c r="AN589" s="3">
        <v>59.0</v>
      </c>
    </row>
    <row r="590" ht="14.25" customHeight="1">
      <c r="A590" s="3">
        <v>588.0</v>
      </c>
      <c r="B590" s="3" t="s">
        <v>7766</v>
      </c>
      <c r="C590" s="3">
        <v>33.0</v>
      </c>
      <c r="D590" s="3" t="s">
        <v>6645</v>
      </c>
      <c r="E590" s="3" t="s">
        <v>6646</v>
      </c>
      <c r="F590" s="3" t="s">
        <v>6646</v>
      </c>
      <c r="G590" s="3" t="s">
        <v>6645</v>
      </c>
      <c r="H590" s="3" t="s">
        <v>6645</v>
      </c>
      <c r="I590" s="3" t="s">
        <v>6645</v>
      </c>
      <c r="J590" s="3">
        <v>20.0</v>
      </c>
      <c r="K590" s="3">
        <v>2.0</v>
      </c>
      <c r="L590" s="3">
        <v>0.0</v>
      </c>
      <c r="M590" s="3">
        <v>0.0</v>
      </c>
      <c r="N590" s="3">
        <v>3489.6516</v>
      </c>
      <c r="O590" s="3">
        <v>420.0</v>
      </c>
      <c r="P590" s="3" t="e">
        <v>#N/A</v>
      </c>
      <c r="Q590" s="3">
        <v>43.0</v>
      </c>
      <c r="R590" s="3">
        <v>51.0</v>
      </c>
      <c r="S590" s="3">
        <v>47.0</v>
      </c>
      <c r="T590" s="3">
        <v>48.0</v>
      </c>
      <c r="U590" s="3">
        <v>43.0</v>
      </c>
      <c r="V590" s="3">
        <v>46.0</v>
      </c>
      <c r="W590" s="3">
        <v>52.0</v>
      </c>
      <c r="X590" s="3">
        <v>50.0</v>
      </c>
      <c r="Y590" s="3">
        <v>43.0</v>
      </c>
      <c r="Z590" s="3">
        <v>49.0</v>
      </c>
      <c r="AA590" s="3">
        <v>41.0</v>
      </c>
      <c r="AB590" s="3">
        <v>51.0</v>
      </c>
      <c r="AC590" s="3">
        <v>51.0</v>
      </c>
      <c r="AD590" s="3">
        <v>40.0</v>
      </c>
      <c r="AE590" s="3">
        <v>46.0</v>
      </c>
      <c r="AF590" s="3">
        <v>38.0</v>
      </c>
      <c r="AG590" s="3">
        <v>38.0</v>
      </c>
      <c r="AH590" s="3">
        <v>53.0</v>
      </c>
      <c r="AI590" s="3">
        <v>38.0</v>
      </c>
      <c r="AJ590" s="3">
        <v>45.0</v>
      </c>
      <c r="AK590" s="3">
        <v>47.0</v>
      </c>
      <c r="AL590" s="3">
        <v>51.0</v>
      </c>
      <c r="AM590" s="3">
        <v>35.0</v>
      </c>
      <c r="AN590" s="3">
        <v>60.0</v>
      </c>
    </row>
    <row r="591" ht="14.25" customHeight="1">
      <c r="A591" s="3">
        <v>589.0</v>
      </c>
      <c r="B591" s="3" t="s">
        <v>7767</v>
      </c>
      <c r="C591" s="3">
        <v>23.0</v>
      </c>
      <c r="D591" s="3" t="s">
        <v>6645</v>
      </c>
      <c r="E591" s="3" t="s">
        <v>6646</v>
      </c>
      <c r="F591" s="3" t="s">
        <v>6646</v>
      </c>
      <c r="G591" s="3" t="s">
        <v>6645</v>
      </c>
      <c r="H591" s="3" t="s">
        <v>6645</v>
      </c>
      <c r="I591" s="3" t="s">
        <v>6646</v>
      </c>
      <c r="J591" s="3">
        <v>20.0</v>
      </c>
      <c r="K591" s="3">
        <v>1.0</v>
      </c>
      <c r="L591" s="3">
        <v>0.0</v>
      </c>
      <c r="M591" s="3">
        <v>0.0</v>
      </c>
      <c r="N591" s="3">
        <v>1389.5546</v>
      </c>
      <c r="O591" s="3">
        <v>237.0</v>
      </c>
      <c r="P591" s="3" t="e">
        <v>#N/A</v>
      </c>
      <c r="Q591" s="3">
        <v>41.0</v>
      </c>
      <c r="R591" s="3">
        <v>37.0</v>
      </c>
      <c r="S591" s="3">
        <v>39.0</v>
      </c>
      <c r="T591" s="3">
        <v>37.0</v>
      </c>
      <c r="U591" s="3">
        <v>44.0</v>
      </c>
      <c r="V591" s="3">
        <v>36.0</v>
      </c>
      <c r="W591" s="3">
        <v>49.0</v>
      </c>
      <c r="X591" s="3">
        <v>36.0</v>
      </c>
      <c r="Y591" s="3">
        <v>29.0</v>
      </c>
      <c r="Z591" s="3">
        <v>53.0</v>
      </c>
      <c r="AA591" s="3">
        <v>30.0</v>
      </c>
      <c r="AB591" s="3">
        <v>42.0</v>
      </c>
      <c r="AC591" s="3">
        <v>48.0</v>
      </c>
      <c r="AD591" s="3">
        <v>37.0</v>
      </c>
      <c r="AE591" s="3">
        <v>36.0</v>
      </c>
      <c r="AF591" s="3">
        <v>48.0</v>
      </c>
      <c r="AG591" s="3">
        <v>36.0</v>
      </c>
      <c r="AH591" s="3">
        <v>40.0</v>
      </c>
      <c r="AI591" s="3">
        <v>50.0</v>
      </c>
      <c r="AJ591" s="3">
        <v>54.0</v>
      </c>
      <c r="AK591" s="3">
        <v>36.0</v>
      </c>
      <c r="AL591" s="3">
        <v>54.0</v>
      </c>
      <c r="AM591" s="3">
        <v>36.0</v>
      </c>
      <c r="AN591" s="3">
        <v>62.0</v>
      </c>
    </row>
    <row r="592" ht="14.25" customHeight="1">
      <c r="A592" s="3">
        <v>590.0</v>
      </c>
      <c r="B592" s="3" t="s">
        <v>7768</v>
      </c>
      <c r="C592" s="3">
        <v>23.0</v>
      </c>
      <c r="D592" s="3" t="s">
        <v>6645</v>
      </c>
      <c r="E592" s="3" t="s">
        <v>6646</v>
      </c>
      <c r="F592" s="3" t="s">
        <v>6646</v>
      </c>
      <c r="G592" s="3" t="s">
        <v>6645</v>
      </c>
      <c r="H592" s="3" t="s">
        <v>6645</v>
      </c>
      <c r="I592" s="3" t="s">
        <v>6645</v>
      </c>
      <c r="J592" s="3">
        <v>20.0</v>
      </c>
      <c r="K592" s="3">
        <v>1.0</v>
      </c>
      <c r="L592" s="3">
        <v>0.0</v>
      </c>
      <c r="M592" s="3">
        <v>0.0</v>
      </c>
      <c r="N592" s="3">
        <v>1388.3133</v>
      </c>
      <c r="O592" s="3">
        <v>186.0</v>
      </c>
      <c r="P592" s="3" t="e">
        <v>#N/A</v>
      </c>
      <c r="Q592" s="3">
        <v>42.0</v>
      </c>
      <c r="R592" s="3">
        <v>40.0</v>
      </c>
      <c r="S592" s="3">
        <v>37.0</v>
      </c>
      <c r="T592" s="3">
        <v>44.0</v>
      </c>
      <c r="U592" s="3">
        <v>43.0</v>
      </c>
      <c r="V592" s="3">
        <v>45.0</v>
      </c>
      <c r="W592" s="3">
        <v>48.0</v>
      </c>
      <c r="X592" s="3">
        <v>35.0</v>
      </c>
      <c r="Y592" s="3">
        <v>34.0</v>
      </c>
      <c r="Z592" s="3">
        <v>48.0</v>
      </c>
      <c r="AA592" s="3">
        <v>37.0</v>
      </c>
      <c r="AB592" s="3">
        <v>41.0</v>
      </c>
      <c r="AC592" s="3">
        <v>50.0</v>
      </c>
      <c r="AD592" s="3">
        <v>34.0</v>
      </c>
      <c r="AE592" s="3">
        <v>42.0</v>
      </c>
      <c r="AF592" s="3">
        <v>52.0</v>
      </c>
      <c r="AG592" s="3">
        <v>62.0</v>
      </c>
      <c r="AH592" s="3">
        <v>38.0</v>
      </c>
      <c r="AI592" s="3">
        <v>52.0</v>
      </c>
      <c r="AJ592" s="3">
        <v>38.0</v>
      </c>
      <c r="AK592" s="3">
        <v>38.0</v>
      </c>
      <c r="AL592" s="3">
        <v>46.0</v>
      </c>
      <c r="AM592" s="3">
        <v>46.0</v>
      </c>
      <c r="AN592" s="3">
        <v>34.0</v>
      </c>
    </row>
    <row r="593" ht="14.25" customHeight="1">
      <c r="A593" s="3">
        <v>591.0</v>
      </c>
      <c r="B593" s="3" t="s">
        <v>7769</v>
      </c>
      <c r="C593" s="3">
        <v>22.0</v>
      </c>
      <c r="D593" s="3" t="s">
        <v>6645</v>
      </c>
      <c r="E593" s="3" t="s">
        <v>6646</v>
      </c>
      <c r="F593" s="3" t="s">
        <v>6646</v>
      </c>
      <c r="G593" s="3" t="s">
        <v>6645</v>
      </c>
      <c r="H593" s="3" t="s">
        <v>6645</v>
      </c>
      <c r="I593" s="3" t="s">
        <v>6645</v>
      </c>
      <c r="J593" s="3">
        <v>20.0</v>
      </c>
      <c r="K593" s="3">
        <v>1.0</v>
      </c>
      <c r="L593" s="3">
        <v>0.0</v>
      </c>
      <c r="M593" s="3">
        <v>0.0</v>
      </c>
      <c r="N593" s="3">
        <v>1446.1617</v>
      </c>
      <c r="O593" s="3">
        <v>228.0</v>
      </c>
      <c r="P593" s="3" t="e">
        <v>#N/A</v>
      </c>
      <c r="Q593" s="3">
        <v>37.0</v>
      </c>
      <c r="R593" s="3">
        <v>39.0</v>
      </c>
      <c r="S593" s="3">
        <v>38.0</v>
      </c>
      <c r="T593" s="3">
        <v>36.0</v>
      </c>
      <c r="U593" s="3">
        <v>38.0</v>
      </c>
      <c r="V593" s="3">
        <v>44.0</v>
      </c>
      <c r="W593" s="3">
        <v>44.0</v>
      </c>
      <c r="X593" s="3">
        <v>35.0</v>
      </c>
      <c r="Y593" s="3">
        <v>34.0</v>
      </c>
      <c r="Z593" s="3">
        <v>53.0</v>
      </c>
      <c r="AA593" s="3">
        <v>37.0</v>
      </c>
      <c r="AB593" s="3">
        <v>39.0</v>
      </c>
      <c r="AC593" s="3">
        <v>48.0</v>
      </c>
      <c r="AD593" s="3">
        <v>36.0</v>
      </c>
      <c r="AE593" s="3">
        <v>32.0</v>
      </c>
      <c r="AF593" s="3">
        <v>46.0</v>
      </c>
      <c r="AG593" s="3">
        <v>62.0</v>
      </c>
      <c r="AH593" s="3">
        <v>52.0</v>
      </c>
      <c r="AI593" s="3">
        <v>38.0</v>
      </c>
      <c r="AJ593" s="3">
        <v>36.0</v>
      </c>
      <c r="AK593" s="3">
        <v>58.0</v>
      </c>
      <c r="AL593" s="3">
        <v>50.0</v>
      </c>
      <c r="AM593" s="3">
        <v>50.0</v>
      </c>
      <c r="AN593" s="3">
        <v>56.0</v>
      </c>
    </row>
    <row r="594" ht="14.25" customHeight="1">
      <c r="A594" s="3">
        <v>592.0</v>
      </c>
      <c r="B594" s="3" t="s">
        <v>7770</v>
      </c>
      <c r="C594" s="3">
        <v>25.0</v>
      </c>
      <c r="D594" s="3" t="s">
        <v>6645</v>
      </c>
      <c r="E594" s="3" t="s">
        <v>6646</v>
      </c>
      <c r="F594" s="3" t="s">
        <v>6646</v>
      </c>
      <c r="G594" s="3" t="s">
        <v>6645</v>
      </c>
      <c r="H594" s="3" t="s">
        <v>6645</v>
      </c>
      <c r="I594" s="3" t="s">
        <v>6645</v>
      </c>
      <c r="J594" s="3">
        <v>20.0</v>
      </c>
      <c r="K594" s="3">
        <v>1.0</v>
      </c>
      <c r="L594" s="3">
        <v>0.0</v>
      </c>
      <c r="M594" s="3">
        <v>0.0</v>
      </c>
      <c r="N594" s="3">
        <v>1442.09</v>
      </c>
      <c r="O594" s="3">
        <v>157.0</v>
      </c>
      <c r="P594" s="3" t="e">
        <v>#N/A</v>
      </c>
      <c r="Q594" s="3">
        <v>44.0</v>
      </c>
      <c r="R594" s="3">
        <v>43.0</v>
      </c>
      <c r="S594" s="3">
        <v>36.0</v>
      </c>
      <c r="T594" s="3">
        <v>36.0</v>
      </c>
      <c r="U594" s="3">
        <v>44.0</v>
      </c>
      <c r="V594" s="3">
        <v>41.0</v>
      </c>
      <c r="W594" s="3">
        <v>50.0</v>
      </c>
      <c r="X594" s="3">
        <v>38.0</v>
      </c>
      <c r="Y594" s="3">
        <v>36.0</v>
      </c>
      <c r="Z594" s="3">
        <v>44.0</v>
      </c>
      <c r="AA594" s="3">
        <v>36.0</v>
      </c>
      <c r="AB594" s="3">
        <v>32.0</v>
      </c>
      <c r="AC594" s="3">
        <v>47.0</v>
      </c>
      <c r="AD594" s="3">
        <v>43.0</v>
      </c>
      <c r="AE594" s="3">
        <v>41.0</v>
      </c>
      <c r="AF594" s="3">
        <v>42.0</v>
      </c>
      <c r="AG594" s="3">
        <v>50.0</v>
      </c>
      <c r="AH594" s="3">
        <v>40.0</v>
      </c>
      <c r="AI594" s="3">
        <v>50.0</v>
      </c>
      <c r="AJ594" s="3">
        <v>42.0</v>
      </c>
      <c r="AK594" s="3">
        <v>48.0</v>
      </c>
      <c r="AL594" s="3">
        <v>38.0</v>
      </c>
      <c r="AM594" s="3">
        <v>42.0</v>
      </c>
      <c r="AN594" s="3">
        <v>52.0</v>
      </c>
    </row>
    <row r="595" ht="14.25" customHeight="1">
      <c r="A595" s="3">
        <v>593.0</v>
      </c>
      <c r="B595" s="3" t="s">
        <v>7771</v>
      </c>
      <c r="C595" s="3">
        <v>16.0</v>
      </c>
      <c r="D595" s="3" t="s">
        <v>6645</v>
      </c>
      <c r="E595" s="3" t="s">
        <v>6646</v>
      </c>
      <c r="F595" s="3" t="s">
        <v>6646</v>
      </c>
      <c r="G595" s="3" t="s">
        <v>6645</v>
      </c>
      <c r="H595" s="3" t="s">
        <v>6645</v>
      </c>
      <c r="I595" s="3" t="s">
        <v>6646</v>
      </c>
      <c r="J595" s="3">
        <v>20.0</v>
      </c>
      <c r="K595" s="3">
        <v>0.0</v>
      </c>
      <c r="L595" s="3">
        <v>0.0</v>
      </c>
      <c r="M595" s="3">
        <v>0.0</v>
      </c>
      <c r="N595" s="3">
        <v>494.11965</v>
      </c>
      <c r="O595" s="3">
        <v>97.0</v>
      </c>
      <c r="P595" s="3" t="e">
        <v>#N/A</v>
      </c>
      <c r="Q595" s="3">
        <v>36.0</v>
      </c>
      <c r="R595" s="3">
        <v>33.0</v>
      </c>
      <c r="S595" s="3">
        <v>30.0</v>
      </c>
      <c r="T595" s="3">
        <v>31.0</v>
      </c>
      <c r="U595" s="3">
        <v>30.0</v>
      </c>
      <c r="V595" s="3">
        <v>35.0</v>
      </c>
      <c r="W595" s="3">
        <v>46.0</v>
      </c>
      <c r="X595" s="3">
        <v>30.0</v>
      </c>
      <c r="Y595" s="3">
        <v>26.0</v>
      </c>
      <c r="Z595" s="3">
        <v>39.0</v>
      </c>
      <c r="AA595" s="3">
        <v>31.0</v>
      </c>
      <c r="AB595" s="3">
        <v>25.0</v>
      </c>
      <c r="AC595" s="3">
        <v>46.0</v>
      </c>
      <c r="AD595" s="3">
        <v>29.0</v>
      </c>
      <c r="AE595" s="3">
        <v>32.0</v>
      </c>
      <c r="AF595" s="3">
        <v>33.0</v>
      </c>
      <c r="AG595" s="3">
        <v>56.0</v>
      </c>
      <c r="AH595" s="3">
        <v>56.0</v>
      </c>
      <c r="AI595" s="3">
        <v>38.0</v>
      </c>
      <c r="AJ595" s="3">
        <v>43.0</v>
      </c>
      <c r="AK595" s="3">
        <v>59.0</v>
      </c>
      <c r="AL595" s="3">
        <v>37.0</v>
      </c>
      <c r="AM595" s="3">
        <v>36.0</v>
      </c>
      <c r="AN595" s="3">
        <v>46.0</v>
      </c>
    </row>
    <row r="596" ht="14.25" customHeight="1">
      <c r="A596" s="3">
        <v>594.0</v>
      </c>
      <c r="B596" s="3" t="s">
        <v>7772</v>
      </c>
      <c r="C596" s="3">
        <v>16.0</v>
      </c>
      <c r="D596" s="3" t="s">
        <v>6645</v>
      </c>
      <c r="E596" s="3" t="s">
        <v>6646</v>
      </c>
      <c r="F596" s="3" t="s">
        <v>6646</v>
      </c>
      <c r="G596" s="3" t="s">
        <v>6645</v>
      </c>
      <c r="H596" s="3" t="s">
        <v>6645</v>
      </c>
      <c r="I596" s="3" t="s">
        <v>6646</v>
      </c>
      <c r="J596" s="3">
        <v>20.0</v>
      </c>
      <c r="K596" s="3">
        <v>0.0</v>
      </c>
      <c r="L596" s="3">
        <v>0.0</v>
      </c>
      <c r="M596" s="3">
        <v>0.0</v>
      </c>
      <c r="N596" s="3">
        <v>447.19512</v>
      </c>
      <c r="O596" s="3">
        <v>89.0</v>
      </c>
      <c r="P596" s="3" t="e">
        <v>#N/A</v>
      </c>
      <c r="Q596" s="3">
        <v>31.0</v>
      </c>
      <c r="R596" s="3">
        <v>38.0</v>
      </c>
      <c r="S596" s="3">
        <v>30.0</v>
      </c>
      <c r="T596" s="3">
        <v>34.0</v>
      </c>
      <c r="U596" s="3">
        <v>35.0</v>
      </c>
      <c r="V596" s="3">
        <v>36.0</v>
      </c>
      <c r="W596" s="3">
        <v>44.0</v>
      </c>
      <c r="X596" s="3">
        <v>32.0</v>
      </c>
      <c r="Y596" s="3">
        <v>39.0</v>
      </c>
      <c r="Z596" s="3">
        <v>43.0</v>
      </c>
      <c r="AA596" s="3">
        <v>24.0</v>
      </c>
      <c r="AB596" s="3">
        <v>29.0</v>
      </c>
      <c r="AC596" s="3">
        <v>41.0</v>
      </c>
      <c r="AD596" s="3">
        <v>39.0</v>
      </c>
      <c r="AE596" s="3">
        <v>34.0</v>
      </c>
      <c r="AF596" s="3">
        <v>42.0</v>
      </c>
      <c r="AG596" s="3">
        <v>52.0</v>
      </c>
      <c r="AH596" s="3">
        <v>43.0</v>
      </c>
      <c r="AI596" s="3">
        <v>41.0</v>
      </c>
      <c r="AJ596" s="3">
        <v>43.0</v>
      </c>
      <c r="AK596" s="3">
        <v>35.0</v>
      </c>
      <c r="AL596" s="3">
        <v>40.0</v>
      </c>
      <c r="AM596" s="3">
        <v>34.0</v>
      </c>
      <c r="AN596" s="3">
        <v>35.0</v>
      </c>
    </row>
    <row r="597" ht="14.25" customHeight="1">
      <c r="A597" s="3">
        <v>595.0</v>
      </c>
      <c r="B597" s="3" t="s">
        <v>7773</v>
      </c>
      <c r="C597" s="3">
        <v>18.0</v>
      </c>
      <c r="D597" s="3" t="s">
        <v>6645</v>
      </c>
      <c r="E597" s="3" t="s">
        <v>6646</v>
      </c>
      <c r="F597" s="3" t="s">
        <v>6646</v>
      </c>
      <c r="G597" s="3" t="s">
        <v>6645</v>
      </c>
      <c r="H597" s="3" t="s">
        <v>6645</v>
      </c>
      <c r="I597" s="3" t="s">
        <v>6645</v>
      </c>
      <c r="J597" s="3">
        <v>20.0</v>
      </c>
      <c r="K597" s="3">
        <v>0.0</v>
      </c>
      <c r="L597" s="3">
        <v>0.0</v>
      </c>
      <c r="M597" s="3">
        <v>0.0</v>
      </c>
      <c r="N597" s="3">
        <v>499.76684</v>
      </c>
      <c r="O597" s="3">
        <v>99.0</v>
      </c>
      <c r="P597" s="3" t="e">
        <v>#N/A</v>
      </c>
      <c r="Q597" s="3">
        <v>35.0</v>
      </c>
      <c r="R597" s="3">
        <v>31.0</v>
      </c>
      <c r="S597" s="3">
        <v>36.0</v>
      </c>
      <c r="T597" s="3">
        <v>35.0</v>
      </c>
      <c r="U597" s="3">
        <v>30.0</v>
      </c>
      <c r="V597" s="3">
        <v>33.0</v>
      </c>
      <c r="W597" s="3">
        <v>43.0</v>
      </c>
      <c r="X597" s="3">
        <v>36.0</v>
      </c>
      <c r="Y597" s="3">
        <v>23.0</v>
      </c>
      <c r="Z597" s="3">
        <v>39.0</v>
      </c>
      <c r="AA597" s="3">
        <v>38.0</v>
      </c>
      <c r="AB597" s="3">
        <v>36.0</v>
      </c>
      <c r="AC597" s="3">
        <v>49.0</v>
      </c>
      <c r="AD597" s="3">
        <v>25.0</v>
      </c>
      <c r="AE597" s="3">
        <v>33.0</v>
      </c>
      <c r="AF597" s="3">
        <v>57.0</v>
      </c>
      <c r="AG597" s="3">
        <v>43.0</v>
      </c>
      <c r="AH597" s="3">
        <v>55.0</v>
      </c>
      <c r="AI597" s="3">
        <v>46.0</v>
      </c>
      <c r="AJ597" s="3">
        <v>51.0</v>
      </c>
      <c r="AK597" s="3">
        <v>59.0</v>
      </c>
      <c r="AL597" s="3">
        <v>43.0</v>
      </c>
      <c r="AM597" s="3">
        <v>47.0</v>
      </c>
      <c r="AN597" s="3">
        <v>30.0</v>
      </c>
    </row>
    <row r="598" ht="14.25" customHeight="1">
      <c r="A598" s="3">
        <v>596.0</v>
      </c>
      <c r="B598" s="3" t="s">
        <v>7774</v>
      </c>
      <c r="C598" s="3">
        <v>17.0</v>
      </c>
      <c r="D598" s="3" t="s">
        <v>6645</v>
      </c>
      <c r="E598" s="3" t="s">
        <v>6646</v>
      </c>
      <c r="F598" s="3" t="s">
        <v>6646</v>
      </c>
      <c r="G598" s="3" t="s">
        <v>6645</v>
      </c>
      <c r="H598" s="3" t="s">
        <v>6645</v>
      </c>
      <c r="I598" s="3" t="s">
        <v>6645</v>
      </c>
      <c r="J598" s="3">
        <v>20.0</v>
      </c>
      <c r="K598" s="3">
        <v>0.0</v>
      </c>
      <c r="L598" s="3">
        <v>0.0</v>
      </c>
      <c r="M598" s="3">
        <v>0.0</v>
      </c>
      <c r="N598" s="3">
        <v>544.52825</v>
      </c>
      <c r="O598" s="3">
        <v>116.0</v>
      </c>
      <c r="P598" s="3" t="e">
        <v>#N/A</v>
      </c>
      <c r="Q598" s="3">
        <v>32.0</v>
      </c>
      <c r="R598" s="3">
        <v>31.0</v>
      </c>
      <c r="S598" s="3">
        <v>34.0</v>
      </c>
      <c r="T598" s="3">
        <v>38.0</v>
      </c>
      <c r="U598" s="3">
        <v>36.0</v>
      </c>
      <c r="V598" s="3">
        <v>33.0</v>
      </c>
      <c r="W598" s="3">
        <v>40.0</v>
      </c>
      <c r="X598" s="3">
        <v>33.0</v>
      </c>
      <c r="Y598" s="3">
        <v>30.0</v>
      </c>
      <c r="Z598" s="3">
        <v>41.0</v>
      </c>
      <c r="AA598" s="3">
        <v>27.0</v>
      </c>
      <c r="AB598" s="3">
        <v>29.0</v>
      </c>
      <c r="AC598" s="3">
        <v>41.0</v>
      </c>
      <c r="AD598" s="3">
        <v>28.0</v>
      </c>
      <c r="AE598" s="3">
        <v>31.0</v>
      </c>
      <c r="AF598" s="3">
        <v>58.0</v>
      </c>
      <c r="AG598" s="3">
        <v>54.0</v>
      </c>
      <c r="AH598" s="3">
        <v>51.0</v>
      </c>
      <c r="AI598" s="3">
        <v>57.0</v>
      </c>
      <c r="AJ598" s="3">
        <v>54.0</v>
      </c>
      <c r="AK598" s="3">
        <v>51.0</v>
      </c>
      <c r="AL598" s="3">
        <v>56.0</v>
      </c>
      <c r="AM598" s="3">
        <v>51.0</v>
      </c>
      <c r="AN598" s="3">
        <v>39.0</v>
      </c>
    </row>
    <row r="599" ht="14.25" customHeight="1">
      <c r="A599" s="3">
        <v>597.0</v>
      </c>
      <c r="B599" s="3" t="s">
        <v>7775</v>
      </c>
      <c r="C599" s="3">
        <v>20.0</v>
      </c>
      <c r="D599" s="3" t="s">
        <v>6645</v>
      </c>
      <c r="E599" s="3" t="s">
        <v>6646</v>
      </c>
      <c r="F599" s="3" t="s">
        <v>6646</v>
      </c>
      <c r="G599" s="3" t="s">
        <v>6645</v>
      </c>
      <c r="H599" s="3" t="s">
        <v>6645</v>
      </c>
      <c r="I599" s="3" t="s">
        <v>6645</v>
      </c>
      <c r="J599" s="3">
        <v>20.0</v>
      </c>
      <c r="K599" s="3">
        <v>0.0</v>
      </c>
      <c r="L599" s="3">
        <v>0.0</v>
      </c>
      <c r="M599" s="3">
        <v>0.0</v>
      </c>
      <c r="N599" s="3">
        <v>499.619</v>
      </c>
      <c r="O599" s="3">
        <v>123.0</v>
      </c>
      <c r="P599" s="3" t="e">
        <v>#N/A</v>
      </c>
      <c r="Q599" s="3">
        <v>34.0</v>
      </c>
      <c r="R599" s="3">
        <v>38.0</v>
      </c>
      <c r="S599" s="3">
        <v>31.0</v>
      </c>
      <c r="T599" s="3">
        <v>36.0</v>
      </c>
      <c r="U599" s="3">
        <v>38.0</v>
      </c>
      <c r="V599" s="3">
        <v>32.0</v>
      </c>
      <c r="W599" s="3">
        <v>42.0</v>
      </c>
      <c r="X599" s="3">
        <v>33.0</v>
      </c>
      <c r="Y599" s="3">
        <v>32.0</v>
      </c>
      <c r="Z599" s="3">
        <v>39.0</v>
      </c>
      <c r="AA599" s="3">
        <v>35.0</v>
      </c>
      <c r="AB599" s="3">
        <v>21.0</v>
      </c>
      <c r="AC599" s="3">
        <v>45.0</v>
      </c>
      <c r="AD599" s="3">
        <v>31.0</v>
      </c>
      <c r="AE599" s="3">
        <v>20.0</v>
      </c>
      <c r="AF599" s="3">
        <v>46.0</v>
      </c>
      <c r="AG599" s="3">
        <v>44.0</v>
      </c>
      <c r="AH599" s="3">
        <v>31.0</v>
      </c>
      <c r="AI599" s="3">
        <v>34.0</v>
      </c>
      <c r="AJ599" s="3">
        <v>42.0</v>
      </c>
      <c r="AK599" s="3">
        <v>33.0</v>
      </c>
      <c r="AL599" s="3">
        <v>45.0</v>
      </c>
      <c r="AM599" s="3">
        <v>57.0</v>
      </c>
      <c r="AN599" s="3">
        <v>54.0</v>
      </c>
    </row>
    <row r="600" ht="14.25" customHeight="1">
      <c r="A600" s="3">
        <v>598.0</v>
      </c>
      <c r="B600" s="3" t="s">
        <v>7776</v>
      </c>
      <c r="C600" s="3">
        <v>36.0</v>
      </c>
      <c r="D600" s="3" t="s">
        <v>6645</v>
      </c>
      <c r="E600" s="3" t="s">
        <v>6646</v>
      </c>
      <c r="F600" s="3" t="s">
        <v>6646</v>
      </c>
      <c r="G600" s="3" t="s">
        <v>6645</v>
      </c>
      <c r="H600" s="3" t="s">
        <v>6645</v>
      </c>
      <c r="I600" s="3" t="s">
        <v>6645</v>
      </c>
      <c r="J600" s="3">
        <v>21.0</v>
      </c>
      <c r="K600" s="3">
        <v>4.0</v>
      </c>
      <c r="L600" s="3">
        <v>0.0</v>
      </c>
      <c r="M600" s="3">
        <v>0.0</v>
      </c>
      <c r="N600" s="3">
        <v>6833.1093</v>
      </c>
      <c r="O600" s="3">
        <v>1245.0</v>
      </c>
      <c r="P600" s="3" t="e">
        <v>#N/A</v>
      </c>
      <c r="Q600" s="3">
        <v>58.0</v>
      </c>
      <c r="R600" s="3">
        <v>60.0</v>
      </c>
      <c r="S600" s="3">
        <v>57.0</v>
      </c>
      <c r="T600" s="3">
        <v>57.0</v>
      </c>
      <c r="U600" s="3">
        <v>57.0</v>
      </c>
      <c r="V600" s="3">
        <v>51.0</v>
      </c>
      <c r="W600" s="3">
        <v>48.0</v>
      </c>
      <c r="X600" s="3">
        <v>57.0</v>
      </c>
      <c r="Y600" s="3">
        <v>59.0</v>
      </c>
      <c r="Z600" s="3">
        <v>53.0</v>
      </c>
      <c r="AA600" s="3">
        <v>50.0</v>
      </c>
      <c r="AB600" s="3">
        <v>63.0</v>
      </c>
      <c r="AC600" s="3">
        <v>50.0</v>
      </c>
      <c r="AD600" s="3">
        <v>54.0</v>
      </c>
      <c r="AE600" s="3">
        <v>52.0</v>
      </c>
      <c r="AF600" s="3">
        <v>67.0</v>
      </c>
      <c r="AG600" s="3">
        <v>50.0</v>
      </c>
      <c r="AH600" s="3">
        <v>63.0</v>
      </c>
      <c r="AI600" s="3">
        <v>50.0</v>
      </c>
      <c r="AJ600" s="3">
        <v>50.0</v>
      </c>
      <c r="AK600" s="3">
        <v>61.0</v>
      </c>
      <c r="AL600" s="3">
        <v>38.0</v>
      </c>
      <c r="AM600" s="3">
        <v>50.0</v>
      </c>
      <c r="AN600" s="3">
        <v>53.0</v>
      </c>
    </row>
    <row r="601" ht="14.25" customHeight="1">
      <c r="A601" s="3">
        <v>599.0</v>
      </c>
      <c r="B601" s="3" t="s">
        <v>7777</v>
      </c>
      <c r="C601" s="3">
        <v>37.0</v>
      </c>
      <c r="D601" s="3" t="s">
        <v>6645</v>
      </c>
      <c r="E601" s="3" t="s">
        <v>6646</v>
      </c>
      <c r="F601" s="3" t="s">
        <v>6646</v>
      </c>
      <c r="G601" s="3" t="s">
        <v>6645</v>
      </c>
      <c r="H601" s="3" t="s">
        <v>6645</v>
      </c>
      <c r="I601" s="3" t="s">
        <v>6646</v>
      </c>
      <c r="J601" s="3">
        <v>21.0</v>
      </c>
      <c r="K601" s="3">
        <v>4.0</v>
      </c>
      <c r="L601" s="3">
        <v>0.0</v>
      </c>
      <c r="M601" s="3">
        <v>0.0</v>
      </c>
      <c r="N601" s="3">
        <v>6669.1</v>
      </c>
      <c r="O601" s="3">
        <v>1859.0</v>
      </c>
      <c r="P601" s="3" t="e">
        <v>#N/A</v>
      </c>
      <c r="Q601" s="3">
        <v>52.0</v>
      </c>
      <c r="R601" s="3">
        <v>58.0</v>
      </c>
      <c r="S601" s="3">
        <v>52.0</v>
      </c>
      <c r="T601" s="3">
        <v>54.0</v>
      </c>
      <c r="U601" s="3">
        <v>57.0</v>
      </c>
      <c r="V601" s="3">
        <v>55.0</v>
      </c>
      <c r="W601" s="3">
        <v>56.0</v>
      </c>
      <c r="X601" s="3">
        <v>57.0</v>
      </c>
      <c r="Y601" s="3">
        <v>56.0</v>
      </c>
      <c r="Z601" s="3">
        <v>52.0</v>
      </c>
      <c r="AA601" s="3">
        <v>46.0</v>
      </c>
      <c r="AB601" s="3">
        <v>61.0</v>
      </c>
      <c r="AC601" s="3">
        <v>44.0</v>
      </c>
      <c r="AD601" s="3">
        <v>59.0</v>
      </c>
      <c r="AE601" s="3">
        <v>50.0</v>
      </c>
      <c r="AF601" s="3">
        <v>61.0</v>
      </c>
      <c r="AG601" s="3">
        <v>60.0</v>
      </c>
      <c r="AH601" s="3">
        <v>67.0</v>
      </c>
      <c r="AI601" s="3">
        <v>52.0</v>
      </c>
      <c r="AJ601" s="3">
        <v>59.0</v>
      </c>
      <c r="AK601" s="3">
        <v>61.0</v>
      </c>
      <c r="AL601" s="3">
        <v>44.0</v>
      </c>
      <c r="AM601" s="3">
        <v>45.0</v>
      </c>
      <c r="AN601" s="3">
        <v>45.0</v>
      </c>
    </row>
    <row r="602" ht="14.25" customHeight="1">
      <c r="A602" s="3">
        <v>600.0</v>
      </c>
      <c r="B602" s="3" t="s">
        <v>7778</v>
      </c>
      <c r="C602" s="3">
        <v>31.0</v>
      </c>
      <c r="D602" s="3" t="s">
        <v>6645</v>
      </c>
      <c r="E602" s="3" t="s">
        <v>6646</v>
      </c>
      <c r="F602" s="3" t="s">
        <v>6646</v>
      </c>
      <c r="G602" s="3" t="s">
        <v>6645</v>
      </c>
      <c r="H602" s="3" t="s">
        <v>6645</v>
      </c>
      <c r="I602" s="3" t="s">
        <v>6646</v>
      </c>
      <c r="J602" s="3">
        <v>21.0</v>
      </c>
      <c r="K602" s="3">
        <v>3.0</v>
      </c>
      <c r="L602" s="3">
        <v>0.0</v>
      </c>
      <c r="M602" s="3">
        <v>0.0</v>
      </c>
      <c r="N602" s="3">
        <v>4780.03</v>
      </c>
      <c r="O602" s="3">
        <v>720.0</v>
      </c>
      <c r="P602" s="3" t="e">
        <v>#N/A</v>
      </c>
      <c r="Q602" s="3">
        <v>50.0</v>
      </c>
      <c r="R602" s="3">
        <v>48.0</v>
      </c>
      <c r="S602" s="3">
        <v>53.0</v>
      </c>
      <c r="T602" s="3">
        <v>54.0</v>
      </c>
      <c r="U602" s="3">
        <v>53.0</v>
      </c>
      <c r="V602" s="3">
        <v>51.0</v>
      </c>
      <c r="W602" s="3">
        <v>46.0</v>
      </c>
      <c r="X602" s="3">
        <v>52.0</v>
      </c>
      <c r="Y602" s="3">
        <v>43.0</v>
      </c>
      <c r="Z602" s="3">
        <v>50.0</v>
      </c>
      <c r="AA602" s="3">
        <v>43.0</v>
      </c>
      <c r="AB602" s="3">
        <v>59.0</v>
      </c>
      <c r="AC602" s="3">
        <v>53.0</v>
      </c>
      <c r="AD602" s="3">
        <v>47.0</v>
      </c>
      <c r="AE602" s="3">
        <v>50.0</v>
      </c>
      <c r="AF602" s="3">
        <v>41.0</v>
      </c>
      <c r="AG602" s="3">
        <v>43.0</v>
      </c>
      <c r="AH602" s="3">
        <v>39.0</v>
      </c>
      <c r="AI602" s="3">
        <v>36.0</v>
      </c>
      <c r="AJ602" s="3">
        <v>39.0</v>
      </c>
      <c r="AK602" s="3">
        <v>42.0</v>
      </c>
      <c r="AL602" s="3">
        <v>48.0</v>
      </c>
      <c r="AM602" s="3">
        <v>37.0</v>
      </c>
      <c r="AN602" s="3">
        <v>57.0</v>
      </c>
    </row>
    <row r="603" ht="14.25" customHeight="1">
      <c r="A603" s="3">
        <v>601.0</v>
      </c>
      <c r="B603" s="3" t="s">
        <v>7779</v>
      </c>
      <c r="C603" s="3">
        <v>37.0</v>
      </c>
      <c r="D603" s="3" t="s">
        <v>6645</v>
      </c>
      <c r="E603" s="3" t="s">
        <v>6646</v>
      </c>
      <c r="F603" s="3" t="s">
        <v>6646</v>
      </c>
      <c r="G603" s="3" t="s">
        <v>6645</v>
      </c>
      <c r="H603" s="3" t="s">
        <v>6645</v>
      </c>
      <c r="I603" s="3" t="s">
        <v>6646</v>
      </c>
      <c r="J603" s="3">
        <v>21.0</v>
      </c>
      <c r="K603" s="3">
        <v>3.0</v>
      </c>
      <c r="L603" s="3">
        <v>0.0</v>
      </c>
      <c r="M603" s="3">
        <v>0.0</v>
      </c>
      <c r="N603" s="3">
        <v>4843.1503</v>
      </c>
      <c r="O603" s="3">
        <v>670.0</v>
      </c>
      <c r="P603" s="3" t="e">
        <v>#N/A</v>
      </c>
      <c r="Q603" s="3">
        <v>48.0</v>
      </c>
      <c r="R603" s="3">
        <v>51.0</v>
      </c>
      <c r="S603" s="3">
        <v>48.0</v>
      </c>
      <c r="T603" s="3">
        <v>52.0</v>
      </c>
      <c r="U603" s="3">
        <v>47.0</v>
      </c>
      <c r="V603" s="3">
        <v>45.0</v>
      </c>
      <c r="W603" s="3">
        <v>51.0</v>
      </c>
      <c r="X603" s="3">
        <v>54.0</v>
      </c>
      <c r="Y603" s="3">
        <v>50.0</v>
      </c>
      <c r="Z603" s="3">
        <v>50.0</v>
      </c>
      <c r="AA603" s="3">
        <v>46.0</v>
      </c>
      <c r="AB603" s="3">
        <v>56.0</v>
      </c>
      <c r="AC603" s="3">
        <v>48.0</v>
      </c>
      <c r="AD603" s="3">
        <v>49.0</v>
      </c>
      <c r="AE603" s="3">
        <v>45.0</v>
      </c>
      <c r="AF603" s="3">
        <v>65.0</v>
      </c>
      <c r="AG603" s="3">
        <v>43.0</v>
      </c>
      <c r="AH603" s="3">
        <v>56.0</v>
      </c>
      <c r="AI603" s="3">
        <v>46.0</v>
      </c>
      <c r="AJ603" s="3">
        <v>49.0</v>
      </c>
      <c r="AK603" s="3">
        <v>36.0</v>
      </c>
      <c r="AL603" s="3">
        <v>38.0</v>
      </c>
      <c r="AM603" s="3">
        <v>63.0</v>
      </c>
      <c r="AN603" s="3">
        <v>62.0</v>
      </c>
    </row>
    <row r="604" ht="14.25" customHeight="1">
      <c r="A604" s="3">
        <v>602.0</v>
      </c>
      <c r="B604" s="3" t="s">
        <v>7780</v>
      </c>
      <c r="C604" s="3">
        <v>38.0</v>
      </c>
      <c r="D604" s="3" t="s">
        <v>6645</v>
      </c>
      <c r="E604" s="3" t="s">
        <v>6646</v>
      </c>
      <c r="F604" s="3" t="s">
        <v>6646</v>
      </c>
      <c r="G604" s="3" t="s">
        <v>6645</v>
      </c>
      <c r="H604" s="3" t="s">
        <v>6645</v>
      </c>
      <c r="I604" s="3" t="s">
        <v>6645</v>
      </c>
      <c r="J604" s="3">
        <v>21.0</v>
      </c>
      <c r="K604" s="3">
        <v>3.0</v>
      </c>
      <c r="L604" s="3">
        <v>0.0</v>
      </c>
      <c r="M604" s="3">
        <v>0.0</v>
      </c>
      <c r="N604" s="3">
        <v>4702.6132</v>
      </c>
      <c r="O604" s="3">
        <v>739.0</v>
      </c>
      <c r="P604" s="3" t="e">
        <v>#N/A</v>
      </c>
      <c r="Q604" s="3">
        <v>48.0</v>
      </c>
      <c r="R604" s="3">
        <v>51.0</v>
      </c>
      <c r="S604" s="3">
        <v>49.0</v>
      </c>
      <c r="T604" s="3">
        <v>48.0</v>
      </c>
      <c r="U604" s="3">
        <v>54.0</v>
      </c>
      <c r="V604" s="3">
        <v>51.0</v>
      </c>
      <c r="W604" s="3">
        <v>49.0</v>
      </c>
      <c r="X604" s="3">
        <v>61.0</v>
      </c>
      <c r="Y604" s="3">
        <v>48.0</v>
      </c>
      <c r="Z604" s="3">
        <v>46.0</v>
      </c>
      <c r="AA604" s="3">
        <v>47.0</v>
      </c>
      <c r="AB604" s="3">
        <v>54.0</v>
      </c>
      <c r="AC604" s="3">
        <v>45.0</v>
      </c>
      <c r="AD604" s="3">
        <v>45.0</v>
      </c>
      <c r="AE604" s="3">
        <v>49.0</v>
      </c>
      <c r="AF604" s="3">
        <v>57.0</v>
      </c>
      <c r="AG604" s="3">
        <v>49.0</v>
      </c>
      <c r="AH604" s="3">
        <v>65.0</v>
      </c>
      <c r="AI604" s="3">
        <v>41.0</v>
      </c>
      <c r="AJ604" s="3">
        <v>49.0</v>
      </c>
      <c r="AK604" s="3">
        <v>63.0</v>
      </c>
      <c r="AL604" s="3">
        <v>44.0</v>
      </c>
      <c r="AM604" s="3">
        <v>40.0</v>
      </c>
      <c r="AN604" s="3">
        <v>55.0</v>
      </c>
    </row>
    <row r="605" ht="14.25" customHeight="1">
      <c r="A605" s="3">
        <v>603.0</v>
      </c>
      <c r="B605" s="3" t="s">
        <v>7781</v>
      </c>
      <c r="C605" s="3">
        <v>29.0</v>
      </c>
      <c r="D605" s="3" t="s">
        <v>6645</v>
      </c>
      <c r="E605" s="3" t="s">
        <v>6646</v>
      </c>
      <c r="F605" s="3" t="s">
        <v>6646</v>
      </c>
      <c r="G605" s="3" t="s">
        <v>6645</v>
      </c>
      <c r="H605" s="3" t="s">
        <v>6645</v>
      </c>
      <c r="I605" s="3" t="s">
        <v>6645</v>
      </c>
      <c r="J605" s="3">
        <v>21.0</v>
      </c>
      <c r="K605" s="3">
        <v>2.0</v>
      </c>
      <c r="L605" s="3">
        <v>0.0</v>
      </c>
      <c r="M605" s="3">
        <v>0.0</v>
      </c>
      <c r="N605" s="3">
        <v>2778.3237</v>
      </c>
      <c r="O605" s="3">
        <v>401.0</v>
      </c>
      <c r="P605" s="3" t="e">
        <v>#N/A</v>
      </c>
      <c r="Q605" s="3">
        <v>47.0</v>
      </c>
      <c r="R605" s="3">
        <v>46.0</v>
      </c>
      <c r="S605" s="3">
        <v>47.0</v>
      </c>
      <c r="T605" s="3">
        <v>44.0</v>
      </c>
      <c r="U605" s="3">
        <v>41.0</v>
      </c>
      <c r="V605" s="3">
        <v>49.0</v>
      </c>
      <c r="W605" s="3">
        <v>41.0</v>
      </c>
      <c r="X605" s="3">
        <v>52.0</v>
      </c>
      <c r="Y605" s="3">
        <v>43.0</v>
      </c>
      <c r="Z605" s="3">
        <v>32.0</v>
      </c>
      <c r="AA605" s="3">
        <v>43.0</v>
      </c>
      <c r="AB605" s="3">
        <v>57.0</v>
      </c>
      <c r="AC605" s="3">
        <v>40.0</v>
      </c>
      <c r="AD605" s="3">
        <v>42.0</v>
      </c>
      <c r="AE605" s="3">
        <v>41.0</v>
      </c>
      <c r="AF605" s="3">
        <v>41.0</v>
      </c>
      <c r="AG605" s="3">
        <v>54.0</v>
      </c>
      <c r="AH605" s="3">
        <v>52.0</v>
      </c>
      <c r="AI605" s="3">
        <v>61.0</v>
      </c>
      <c r="AJ605" s="3">
        <v>53.0</v>
      </c>
      <c r="AK605" s="3">
        <v>46.0</v>
      </c>
      <c r="AL605" s="3">
        <v>40.0</v>
      </c>
      <c r="AM605" s="3">
        <v>46.0</v>
      </c>
      <c r="AN605" s="3">
        <v>55.0</v>
      </c>
    </row>
    <row r="606" ht="14.25" customHeight="1">
      <c r="A606" s="3">
        <v>604.0</v>
      </c>
      <c r="B606" s="3" t="s">
        <v>7782</v>
      </c>
      <c r="C606" s="3">
        <v>31.0</v>
      </c>
      <c r="D606" s="3" t="s">
        <v>6645</v>
      </c>
      <c r="E606" s="3" t="s">
        <v>6646</v>
      </c>
      <c r="F606" s="3" t="s">
        <v>6646</v>
      </c>
      <c r="G606" s="3" t="s">
        <v>6645</v>
      </c>
      <c r="H606" s="3" t="s">
        <v>6645</v>
      </c>
      <c r="I606" s="3" t="s">
        <v>6646</v>
      </c>
      <c r="J606" s="3">
        <v>21.0</v>
      </c>
      <c r="K606" s="3">
        <v>2.0</v>
      </c>
      <c r="L606" s="3">
        <v>0.0</v>
      </c>
      <c r="M606" s="3">
        <v>0.0</v>
      </c>
      <c r="N606" s="3">
        <v>2786.7773</v>
      </c>
      <c r="O606" s="3">
        <v>393.0</v>
      </c>
      <c r="P606" s="3" t="e">
        <v>#N/A</v>
      </c>
      <c r="Q606" s="3">
        <v>44.0</v>
      </c>
      <c r="R606" s="3">
        <v>43.0</v>
      </c>
      <c r="S606" s="3">
        <v>46.0</v>
      </c>
      <c r="T606" s="3">
        <v>49.0</v>
      </c>
      <c r="U606" s="3">
        <v>47.0</v>
      </c>
      <c r="V606" s="3">
        <v>47.0</v>
      </c>
      <c r="W606" s="3">
        <v>37.0</v>
      </c>
      <c r="X606" s="3">
        <v>49.0</v>
      </c>
      <c r="Y606" s="3">
        <v>44.0</v>
      </c>
      <c r="Z606" s="3">
        <v>44.0</v>
      </c>
      <c r="AA606" s="3">
        <v>44.0</v>
      </c>
      <c r="AB606" s="3">
        <v>48.0</v>
      </c>
      <c r="AC606" s="3">
        <v>41.0</v>
      </c>
      <c r="AD606" s="3">
        <v>47.0</v>
      </c>
      <c r="AE606" s="3">
        <v>49.0</v>
      </c>
      <c r="AF606" s="3">
        <v>52.0</v>
      </c>
      <c r="AG606" s="3">
        <v>60.0</v>
      </c>
      <c r="AH606" s="3">
        <v>44.0</v>
      </c>
      <c r="AI606" s="3">
        <v>52.0</v>
      </c>
      <c r="AJ606" s="3">
        <v>36.0</v>
      </c>
      <c r="AK606" s="3">
        <v>55.0</v>
      </c>
      <c r="AL606" s="3">
        <v>54.0</v>
      </c>
      <c r="AM606" s="3">
        <v>60.0</v>
      </c>
      <c r="AN606" s="3">
        <v>41.0</v>
      </c>
    </row>
    <row r="607" ht="14.25" customHeight="1">
      <c r="A607" s="3">
        <v>605.0</v>
      </c>
      <c r="B607" s="3" t="s">
        <v>7783</v>
      </c>
      <c r="C607" s="3">
        <v>34.0</v>
      </c>
      <c r="D607" s="3" t="s">
        <v>6645</v>
      </c>
      <c r="E607" s="3" t="s">
        <v>6646</v>
      </c>
      <c r="F607" s="3" t="s">
        <v>6646</v>
      </c>
      <c r="G607" s="3" t="s">
        <v>6645</v>
      </c>
      <c r="H607" s="3" t="s">
        <v>6645</v>
      </c>
      <c r="I607" s="3" t="s">
        <v>6646</v>
      </c>
      <c r="J607" s="3">
        <v>21.0</v>
      </c>
      <c r="K607" s="3">
        <v>2.0</v>
      </c>
      <c r="L607" s="3">
        <v>0.0</v>
      </c>
      <c r="M607" s="3">
        <v>0.0</v>
      </c>
      <c r="N607" s="3">
        <v>2670.39</v>
      </c>
      <c r="O607" s="3">
        <v>348.0</v>
      </c>
      <c r="P607" s="3" t="e">
        <v>#N/A</v>
      </c>
      <c r="Q607" s="3">
        <v>42.0</v>
      </c>
      <c r="R607" s="3">
        <v>46.0</v>
      </c>
      <c r="S607" s="3">
        <v>49.0</v>
      </c>
      <c r="T607" s="3">
        <v>47.0</v>
      </c>
      <c r="U607" s="3">
        <v>49.0</v>
      </c>
      <c r="V607" s="3">
        <v>43.0</v>
      </c>
      <c r="W607" s="3">
        <v>46.0</v>
      </c>
      <c r="X607" s="3">
        <v>53.0</v>
      </c>
      <c r="Y607" s="3">
        <v>43.0</v>
      </c>
      <c r="Z607" s="3">
        <v>48.0</v>
      </c>
      <c r="AA607" s="3">
        <v>40.0</v>
      </c>
      <c r="AB607" s="3">
        <v>44.0</v>
      </c>
      <c r="AC607" s="3">
        <v>45.0</v>
      </c>
      <c r="AD607" s="3">
        <v>40.0</v>
      </c>
      <c r="AE607" s="3">
        <v>43.0</v>
      </c>
      <c r="AF607" s="3">
        <v>61.0</v>
      </c>
      <c r="AG607" s="3">
        <v>50.0</v>
      </c>
      <c r="AH607" s="3">
        <v>63.0</v>
      </c>
      <c r="AI607" s="3">
        <v>62.0</v>
      </c>
      <c r="AJ607" s="3">
        <v>37.0</v>
      </c>
      <c r="AK607" s="3">
        <v>41.0</v>
      </c>
      <c r="AL607" s="3">
        <v>42.0</v>
      </c>
      <c r="AM607" s="3">
        <v>40.0</v>
      </c>
      <c r="AN607" s="3">
        <v>57.0</v>
      </c>
    </row>
    <row r="608" ht="14.25" customHeight="1">
      <c r="A608" s="3">
        <v>606.0</v>
      </c>
      <c r="B608" s="3" t="s">
        <v>7784</v>
      </c>
      <c r="C608" s="3">
        <v>28.0</v>
      </c>
      <c r="D608" s="3" t="s">
        <v>6645</v>
      </c>
      <c r="E608" s="3" t="s">
        <v>6646</v>
      </c>
      <c r="F608" s="3" t="s">
        <v>6646</v>
      </c>
      <c r="G608" s="3" t="s">
        <v>6645</v>
      </c>
      <c r="H608" s="3" t="s">
        <v>6645</v>
      </c>
      <c r="I608" s="3" t="s">
        <v>6645</v>
      </c>
      <c r="J608" s="3">
        <v>21.0</v>
      </c>
      <c r="K608" s="3">
        <v>1.0</v>
      </c>
      <c r="L608" s="3">
        <v>0.0</v>
      </c>
      <c r="M608" s="3">
        <v>0.0</v>
      </c>
      <c r="N608" s="3">
        <v>1147.5157</v>
      </c>
      <c r="O608" s="3">
        <v>207.0</v>
      </c>
      <c r="P608" s="3" t="e">
        <v>#N/A</v>
      </c>
      <c r="Q608" s="3">
        <v>36.0</v>
      </c>
      <c r="R608" s="3">
        <v>43.0</v>
      </c>
      <c r="S608" s="3">
        <v>42.0</v>
      </c>
      <c r="T608" s="3">
        <v>36.0</v>
      </c>
      <c r="U608" s="3">
        <v>44.0</v>
      </c>
      <c r="V608" s="3">
        <v>35.0</v>
      </c>
      <c r="W608" s="3">
        <v>35.0</v>
      </c>
      <c r="X608" s="3">
        <v>45.0</v>
      </c>
      <c r="Y608" s="3">
        <v>41.0</v>
      </c>
      <c r="Z608" s="3">
        <v>44.0</v>
      </c>
      <c r="AA608" s="3">
        <v>38.0</v>
      </c>
      <c r="AB608" s="3">
        <v>48.0</v>
      </c>
      <c r="AC608" s="3">
        <v>33.0</v>
      </c>
      <c r="AD608" s="3">
        <v>31.0</v>
      </c>
      <c r="AE608" s="3">
        <v>36.0</v>
      </c>
      <c r="AF608" s="3">
        <v>58.0</v>
      </c>
      <c r="AG608" s="3">
        <v>36.0</v>
      </c>
      <c r="AH608" s="3">
        <v>56.0</v>
      </c>
      <c r="AI608" s="3">
        <v>42.0</v>
      </c>
      <c r="AJ608" s="3">
        <v>36.0</v>
      </c>
      <c r="AK608" s="3">
        <v>52.0</v>
      </c>
      <c r="AL608" s="3">
        <v>49.0</v>
      </c>
      <c r="AM608" s="3">
        <v>59.0</v>
      </c>
      <c r="AN608" s="3">
        <v>58.0</v>
      </c>
    </row>
    <row r="609" ht="14.25" customHeight="1">
      <c r="A609" s="3">
        <v>607.0</v>
      </c>
      <c r="B609" s="3" t="s">
        <v>7785</v>
      </c>
      <c r="C609" s="3">
        <v>27.0</v>
      </c>
      <c r="D609" s="3" t="s">
        <v>6645</v>
      </c>
      <c r="E609" s="3" t="s">
        <v>6646</v>
      </c>
      <c r="F609" s="3" t="s">
        <v>6646</v>
      </c>
      <c r="G609" s="3" t="s">
        <v>6645</v>
      </c>
      <c r="H609" s="3" t="s">
        <v>6645</v>
      </c>
      <c r="I609" s="3" t="s">
        <v>6646</v>
      </c>
      <c r="J609" s="3">
        <v>21.0</v>
      </c>
      <c r="K609" s="3">
        <v>1.0</v>
      </c>
      <c r="L609" s="3">
        <v>0.0</v>
      </c>
      <c r="M609" s="3">
        <v>0.0</v>
      </c>
      <c r="N609" s="3">
        <v>1199.8962</v>
      </c>
      <c r="O609" s="3">
        <v>223.0</v>
      </c>
      <c r="P609" s="3" t="e">
        <v>#N/A</v>
      </c>
      <c r="Q609" s="3">
        <v>38.0</v>
      </c>
      <c r="R609" s="3">
        <v>40.0</v>
      </c>
      <c r="S609" s="3">
        <v>35.0</v>
      </c>
      <c r="T609" s="3">
        <v>43.0</v>
      </c>
      <c r="U609" s="3">
        <v>41.0</v>
      </c>
      <c r="V609" s="3">
        <v>44.0</v>
      </c>
      <c r="W609" s="3">
        <v>41.0</v>
      </c>
      <c r="X609" s="3">
        <v>47.0</v>
      </c>
      <c r="Y609" s="3">
        <v>38.0</v>
      </c>
      <c r="Z609" s="3">
        <v>28.0</v>
      </c>
      <c r="AA609" s="3">
        <v>39.0</v>
      </c>
      <c r="AB609" s="3">
        <v>45.0</v>
      </c>
      <c r="AC609" s="3">
        <v>44.0</v>
      </c>
      <c r="AD609" s="3">
        <v>37.0</v>
      </c>
      <c r="AE609" s="3">
        <v>36.0</v>
      </c>
      <c r="AF609" s="3">
        <v>42.0</v>
      </c>
      <c r="AG609" s="3">
        <v>51.0</v>
      </c>
      <c r="AH609" s="3">
        <v>33.0</v>
      </c>
      <c r="AI609" s="3">
        <v>59.0</v>
      </c>
      <c r="AJ609" s="3">
        <v>36.0</v>
      </c>
      <c r="AK609" s="3">
        <v>59.0</v>
      </c>
      <c r="AL609" s="3">
        <v>36.0</v>
      </c>
      <c r="AM609" s="3">
        <v>44.0</v>
      </c>
      <c r="AN609" s="3">
        <v>44.0</v>
      </c>
    </row>
    <row r="610" ht="14.25" customHeight="1">
      <c r="A610" s="3">
        <v>608.0</v>
      </c>
      <c r="B610" s="3" t="s">
        <v>7786</v>
      </c>
      <c r="C610" s="3">
        <v>21.0</v>
      </c>
      <c r="D610" s="3" t="s">
        <v>6645</v>
      </c>
      <c r="E610" s="3" t="s">
        <v>6646</v>
      </c>
      <c r="F610" s="3" t="s">
        <v>6646</v>
      </c>
      <c r="G610" s="3" t="s">
        <v>6645</v>
      </c>
      <c r="H610" s="3" t="s">
        <v>6645</v>
      </c>
      <c r="I610" s="3" t="s">
        <v>6645</v>
      </c>
      <c r="J610" s="3">
        <v>21.0</v>
      </c>
      <c r="K610" s="3">
        <v>1.0</v>
      </c>
      <c r="L610" s="3">
        <v>0.0</v>
      </c>
      <c r="M610" s="3">
        <v>0.0</v>
      </c>
      <c r="N610" s="3">
        <v>1170.22</v>
      </c>
      <c r="O610" s="3">
        <v>182.0</v>
      </c>
      <c r="P610" s="3" t="e">
        <v>#N/A</v>
      </c>
      <c r="Q610" s="3">
        <v>43.0</v>
      </c>
      <c r="R610" s="3">
        <v>44.0</v>
      </c>
      <c r="S610" s="3">
        <v>35.0</v>
      </c>
      <c r="T610" s="3">
        <v>35.0</v>
      </c>
      <c r="U610" s="3">
        <v>43.0</v>
      </c>
      <c r="V610" s="3">
        <v>36.0</v>
      </c>
      <c r="W610" s="3">
        <v>37.0</v>
      </c>
      <c r="X610" s="3">
        <v>45.0</v>
      </c>
      <c r="Y610" s="3">
        <v>36.0</v>
      </c>
      <c r="Z610" s="3">
        <v>40.0</v>
      </c>
      <c r="AA610" s="3">
        <v>40.0</v>
      </c>
      <c r="AB610" s="3">
        <v>50.0</v>
      </c>
      <c r="AC610" s="3">
        <v>34.0</v>
      </c>
      <c r="AD610" s="3">
        <v>39.0</v>
      </c>
      <c r="AE610" s="3">
        <v>35.0</v>
      </c>
      <c r="AF610" s="3">
        <v>37.0</v>
      </c>
      <c r="AG610" s="3">
        <v>37.0</v>
      </c>
      <c r="AH610" s="3">
        <v>55.0</v>
      </c>
      <c r="AI610" s="3">
        <v>43.0</v>
      </c>
      <c r="AJ610" s="3">
        <v>33.0</v>
      </c>
      <c r="AK610" s="3">
        <v>37.0</v>
      </c>
      <c r="AL610" s="3">
        <v>57.0</v>
      </c>
      <c r="AM610" s="3">
        <v>54.0</v>
      </c>
      <c r="AN610" s="3">
        <v>52.0</v>
      </c>
    </row>
    <row r="611" ht="14.25" customHeight="1">
      <c r="A611" s="3">
        <v>609.0</v>
      </c>
      <c r="B611" s="3" t="s">
        <v>7787</v>
      </c>
      <c r="C611" s="3">
        <v>22.0</v>
      </c>
      <c r="D611" s="3" t="s">
        <v>6645</v>
      </c>
      <c r="E611" s="3" t="s">
        <v>6646</v>
      </c>
      <c r="F611" s="3" t="s">
        <v>6646</v>
      </c>
      <c r="G611" s="3" t="s">
        <v>6645</v>
      </c>
      <c r="H611" s="3" t="s">
        <v>6645</v>
      </c>
      <c r="I611" s="3" t="s">
        <v>6645</v>
      </c>
      <c r="J611" s="3">
        <v>21.0</v>
      </c>
      <c r="K611" s="3">
        <v>1.0</v>
      </c>
      <c r="L611" s="3">
        <v>0.0</v>
      </c>
      <c r="M611" s="3">
        <v>0.0</v>
      </c>
      <c r="N611" s="3">
        <v>1264.6207</v>
      </c>
      <c r="O611" s="3">
        <v>190.0</v>
      </c>
      <c r="P611" s="3" t="e">
        <v>#N/A</v>
      </c>
      <c r="Q611" s="3">
        <v>39.0</v>
      </c>
      <c r="R611" s="3">
        <v>44.0</v>
      </c>
      <c r="S611" s="3">
        <v>41.0</v>
      </c>
      <c r="T611" s="3">
        <v>36.0</v>
      </c>
      <c r="U611" s="3">
        <v>36.0</v>
      </c>
      <c r="V611" s="3">
        <v>42.0</v>
      </c>
      <c r="W611" s="3">
        <v>37.0</v>
      </c>
      <c r="X611" s="3">
        <v>45.0</v>
      </c>
      <c r="Y611" s="3">
        <v>40.0</v>
      </c>
      <c r="Z611" s="3">
        <v>38.0</v>
      </c>
      <c r="AA611" s="3">
        <v>36.0</v>
      </c>
      <c r="AB611" s="3">
        <v>51.0</v>
      </c>
      <c r="AC611" s="3">
        <v>37.0</v>
      </c>
      <c r="AD611" s="3">
        <v>40.0</v>
      </c>
      <c r="AE611" s="3">
        <v>34.0</v>
      </c>
      <c r="AF611" s="3">
        <v>38.0</v>
      </c>
      <c r="AG611" s="3">
        <v>46.0</v>
      </c>
      <c r="AH611" s="3">
        <v>52.0</v>
      </c>
      <c r="AI611" s="3">
        <v>48.0</v>
      </c>
      <c r="AJ611" s="3">
        <v>51.0</v>
      </c>
      <c r="AK611" s="3">
        <v>55.0</v>
      </c>
      <c r="AL611" s="3">
        <v>53.0</v>
      </c>
      <c r="AM611" s="3">
        <v>41.0</v>
      </c>
      <c r="AN611" s="3">
        <v>53.0</v>
      </c>
    </row>
    <row r="612" ht="14.25" customHeight="1">
      <c r="A612" s="3">
        <v>610.0</v>
      </c>
      <c r="B612" s="3" t="s">
        <v>7788</v>
      </c>
      <c r="C612" s="3">
        <v>16.0</v>
      </c>
      <c r="D612" s="3" t="s">
        <v>6645</v>
      </c>
      <c r="E612" s="3" t="s">
        <v>6646</v>
      </c>
      <c r="F612" s="3" t="s">
        <v>6646</v>
      </c>
      <c r="G612" s="3" t="s">
        <v>6645</v>
      </c>
      <c r="H612" s="3" t="s">
        <v>6645</v>
      </c>
      <c r="I612" s="3" t="s">
        <v>6646</v>
      </c>
      <c r="J612" s="3">
        <v>21.0</v>
      </c>
      <c r="K612" s="3">
        <v>0.0</v>
      </c>
      <c r="L612" s="3">
        <v>0.0</v>
      </c>
      <c r="M612" s="3">
        <v>0.0</v>
      </c>
      <c r="N612" s="3">
        <v>572.78155</v>
      </c>
      <c r="O612" s="3">
        <v>82.0</v>
      </c>
      <c r="P612" s="3" t="e">
        <v>#N/A</v>
      </c>
      <c r="Q612" s="3">
        <v>30.0</v>
      </c>
      <c r="R612" s="3">
        <v>30.0</v>
      </c>
      <c r="S612" s="3">
        <v>30.0</v>
      </c>
      <c r="T612" s="3">
        <v>34.0</v>
      </c>
      <c r="U612" s="3">
        <v>39.0</v>
      </c>
      <c r="V612" s="3">
        <v>38.0</v>
      </c>
      <c r="W612" s="3">
        <v>37.0</v>
      </c>
      <c r="X612" s="3">
        <v>43.0</v>
      </c>
      <c r="Y612" s="3">
        <v>35.0</v>
      </c>
      <c r="Z612" s="3">
        <v>37.0</v>
      </c>
      <c r="AA612" s="3">
        <v>27.0</v>
      </c>
      <c r="AB612" s="3">
        <v>42.0</v>
      </c>
      <c r="AC612" s="3">
        <v>23.0</v>
      </c>
      <c r="AD612" s="3">
        <v>30.0</v>
      </c>
      <c r="AE612" s="3">
        <v>39.0</v>
      </c>
      <c r="AF612" s="3">
        <v>40.0</v>
      </c>
      <c r="AG612" s="3">
        <v>44.0</v>
      </c>
      <c r="AH612" s="3">
        <v>31.0</v>
      </c>
      <c r="AI612" s="3">
        <v>45.0</v>
      </c>
      <c r="AJ612" s="3">
        <v>41.0</v>
      </c>
      <c r="AK612" s="3">
        <v>46.0</v>
      </c>
      <c r="AL612" s="3">
        <v>35.0</v>
      </c>
      <c r="AM612" s="3">
        <v>32.0</v>
      </c>
      <c r="AN612" s="3">
        <v>53.0</v>
      </c>
    </row>
    <row r="613" ht="14.25" customHeight="1">
      <c r="A613" s="3">
        <v>611.0</v>
      </c>
      <c r="B613" s="3" t="s">
        <v>7789</v>
      </c>
      <c r="C613" s="3">
        <v>17.0</v>
      </c>
      <c r="D613" s="3" t="s">
        <v>6645</v>
      </c>
      <c r="E613" s="3" t="s">
        <v>6646</v>
      </c>
      <c r="F613" s="3" t="s">
        <v>6646</v>
      </c>
      <c r="G613" s="3" t="s">
        <v>6645</v>
      </c>
      <c r="H613" s="3" t="s">
        <v>6645</v>
      </c>
      <c r="I613" s="3" t="s">
        <v>6646</v>
      </c>
      <c r="J613" s="3">
        <v>21.0</v>
      </c>
      <c r="K613" s="3">
        <v>0.0</v>
      </c>
      <c r="L613" s="3">
        <v>0.0</v>
      </c>
      <c r="M613" s="3">
        <v>0.0</v>
      </c>
      <c r="N613" s="3">
        <v>488.77215</v>
      </c>
      <c r="O613" s="3">
        <v>78.0</v>
      </c>
      <c r="P613" s="3" t="e">
        <v>#N/A</v>
      </c>
      <c r="Q613" s="3">
        <v>36.0</v>
      </c>
      <c r="R613" s="3">
        <v>39.0</v>
      </c>
      <c r="S613" s="3">
        <v>36.0</v>
      </c>
      <c r="T613" s="3">
        <v>32.0</v>
      </c>
      <c r="U613" s="3">
        <v>33.0</v>
      </c>
      <c r="V613" s="3">
        <v>39.0</v>
      </c>
      <c r="W613" s="3">
        <v>39.0</v>
      </c>
      <c r="X613" s="3">
        <v>39.0</v>
      </c>
      <c r="Y613" s="3">
        <v>30.0</v>
      </c>
      <c r="Z613" s="3">
        <v>32.0</v>
      </c>
      <c r="AA613" s="3">
        <v>22.0</v>
      </c>
      <c r="AB613" s="3">
        <v>42.0</v>
      </c>
      <c r="AC613" s="3">
        <v>33.0</v>
      </c>
      <c r="AD613" s="3">
        <v>33.0</v>
      </c>
      <c r="AE613" s="3">
        <v>24.0</v>
      </c>
      <c r="AF613" s="3">
        <v>32.0</v>
      </c>
      <c r="AG613" s="3">
        <v>38.0</v>
      </c>
      <c r="AH613" s="3">
        <v>33.0</v>
      </c>
      <c r="AI613" s="3">
        <v>59.0</v>
      </c>
      <c r="AJ613" s="3">
        <v>33.0</v>
      </c>
      <c r="AK613" s="3">
        <v>40.0</v>
      </c>
      <c r="AL613" s="3">
        <v>56.0</v>
      </c>
      <c r="AM613" s="3">
        <v>31.0</v>
      </c>
      <c r="AN613" s="3">
        <v>38.0</v>
      </c>
    </row>
    <row r="614" ht="14.25" customHeight="1">
      <c r="A614" s="3">
        <v>612.0</v>
      </c>
      <c r="B614" s="3" t="s">
        <v>7790</v>
      </c>
      <c r="C614" s="3">
        <v>22.0</v>
      </c>
      <c r="D614" s="3" t="s">
        <v>6645</v>
      </c>
      <c r="E614" s="3" t="s">
        <v>6646</v>
      </c>
      <c r="F614" s="3" t="s">
        <v>6646</v>
      </c>
      <c r="G614" s="3" t="s">
        <v>6645</v>
      </c>
      <c r="H614" s="3" t="s">
        <v>6645</v>
      </c>
      <c r="I614" s="3" t="s">
        <v>6645</v>
      </c>
      <c r="J614" s="3">
        <v>21.0</v>
      </c>
      <c r="K614" s="3">
        <v>0.0</v>
      </c>
      <c r="L614" s="3">
        <v>0.0</v>
      </c>
      <c r="M614" s="3">
        <v>0.0</v>
      </c>
      <c r="N614" s="3">
        <v>417.28884</v>
      </c>
      <c r="O614" s="3">
        <v>102.0</v>
      </c>
      <c r="P614" s="3" t="e">
        <v>#N/A</v>
      </c>
      <c r="Q614" s="3">
        <v>35.0</v>
      </c>
      <c r="R614" s="3">
        <v>39.0</v>
      </c>
      <c r="S614" s="3">
        <v>31.0</v>
      </c>
      <c r="T614" s="3">
        <v>32.0</v>
      </c>
      <c r="U614" s="3">
        <v>38.0</v>
      </c>
      <c r="V614" s="3">
        <v>32.0</v>
      </c>
      <c r="W614" s="3">
        <v>33.0</v>
      </c>
      <c r="X614" s="3">
        <v>40.0</v>
      </c>
      <c r="Y614" s="3">
        <v>35.0</v>
      </c>
      <c r="Z614" s="3">
        <v>32.0</v>
      </c>
      <c r="AA614" s="3">
        <v>30.0</v>
      </c>
      <c r="AB614" s="3">
        <v>44.0</v>
      </c>
      <c r="AC614" s="3">
        <v>36.0</v>
      </c>
      <c r="AD614" s="3">
        <v>24.0</v>
      </c>
      <c r="AE614" s="3">
        <v>24.0</v>
      </c>
      <c r="AF614" s="3">
        <v>41.0</v>
      </c>
      <c r="AG614" s="3">
        <v>37.0</v>
      </c>
      <c r="AH614" s="3">
        <v>58.0</v>
      </c>
      <c r="AI614" s="3">
        <v>54.0</v>
      </c>
      <c r="AJ614" s="3">
        <v>50.0</v>
      </c>
      <c r="AK614" s="3">
        <v>46.0</v>
      </c>
      <c r="AL614" s="3">
        <v>54.0</v>
      </c>
      <c r="AM614" s="3">
        <v>57.0</v>
      </c>
      <c r="AN614" s="3">
        <v>52.0</v>
      </c>
    </row>
    <row r="615" ht="14.25" customHeight="1">
      <c r="A615" s="3">
        <v>613.0</v>
      </c>
      <c r="B615" s="3" t="s">
        <v>7791</v>
      </c>
      <c r="C615" s="3">
        <v>22.0</v>
      </c>
      <c r="D615" s="3" t="s">
        <v>6645</v>
      </c>
      <c r="E615" s="3" t="s">
        <v>6646</v>
      </c>
      <c r="F615" s="3" t="s">
        <v>6646</v>
      </c>
      <c r="G615" s="3" t="s">
        <v>6645</v>
      </c>
      <c r="H615" s="3" t="s">
        <v>6645</v>
      </c>
      <c r="I615" s="3" t="s">
        <v>6645</v>
      </c>
      <c r="J615" s="3">
        <v>21.0</v>
      </c>
      <c r="K615" s="3">
        <v>0.0</v>
      </c>
      <c r="L615" s="3">
        <v>0.0</v>
      </c>
      <c r="M615" s="3">
        <v>0.0</v>
      </c>
      <c r="N615" s="3">
        <v>482.39166</v>
      </c>
      <c r="O615" s="3">
        <v>75.0</v>
      </c>
      <c r="P615" s="3" t="e">
        <v>#N/A</v>
      </c>
      <c r="Q615" s="3">
        <v>35.0</v>
      </c>
      <c r="R615" s="3">
        <v>36.0</v>
      </c>
      <c r="S615" s="3">
        <v>36.0</v>
      </c>
      <c r="T615" s="3">
        <v>30.0</v>
      </c>
      <c r="U615" s="3">
        <v>33.0</v>
      </c>
      <c r="V615" s="3">
        <v>30.0</v>
      </c>
      <c r="W615" s="3">
        <v>36.0</v>
      </c>
      <c r="X615" s="3">
        <v>38.0</v>
      </c>
      <c r="Y615" s="3">
        <v>38.0</v>
      </c>
      <c r="Z615" s="3">
        <v>30.0</v>
      </c>
      <c r="AA615" s="3">
        <v>36.0</v>
      </c>
      <c r="AB615" s="3">
        <v>44.0</v>
      </c>
      <c r="AC615" s="3">
        <v>33.0</v>
      </c>
      <c r="AD615" s="3">
        <v>39.0</v>
      </c>
      <c r="AE615" s="3">
        <v>26.0</v>
      </c>
      <c r="AF615" s="3">
        <v>52.0</v>
      </c>
      <c r="AG615" s="3">
        <v>56.0</v>
      </c>
      <c r="AH615" s="3">
        <v>42.0</v>
      </c>
      <c r="AI615" s="3">
        <v>32.0</v>
      </c>
      <c r="AJ615" s="3">
        <v>35.0</v>
      </c>
      <c r="AK615" s="3">
        <v>39.0</v>
      </c>
      <c r="AL615" s="3">
        <v>49.0</v>
      </c>
      <c r="AM615" s="3">
        <v>34.0</v>
      </c>
      <c r="AN615" s="3">
        <v>48.0</v>
      </c>
    </row>
    <row r="616" ht="14.25" customHeight="1">
      <c r="A616" s="3">
        <v>614.0</v>
      </c>
      <c r="B616" s="3" t="s">
        <v>7792</v>
      </c>
      <c r="C616" s="3">
        <v>40.0</v>
      </c>
      <c r="D616" s="3" t="s">
        <v>6645</v>
      </c>
      <c r="E616" s="3" t="s">
        <v>6646</v>
      </c>
      <c r="F616" s="3" t="s">
        <v>6646</v>
      </c>
      <c r="G616" s="3" t="s">
        <v>6645</v>
      </c>
      <c r="H616" s="3" t="s">
        <v>6645</v>
      </c>
      <c r="I616" s="3" t="s">
        <v>6646</v>
      </c>
      <c r="J616" s="3">
        <v>22.0</v>
      </c>
      <c r="K616" s="3">
        <v>4.0</v>
      </c>
      <c r="L616" s="3">
        <v>0.0</v>
      </c>
      <c r="M616" s="3">
        <v>0.0</v>
      </c>
      <c r="N616" s="3">
        <v>7835.3144</v>
      </c>
      <c r="O616" s="3">
        <v>1882.0</v>
      </c>
      <c r="P616" s="3" t="e">
        <v>#N/A</v>
      </c>
      <c r="Q616" s="3">
        <v>53.0</v>
      </c>
      <c r="R616" s="3">
        <v>59.0</v>
      </c>
      <c r="S616" s="3">
        <v>56.0</v>
      </c>
      <c r="T616" s="3">
        <v>61.0</v>
      </c>
      <c r="U616" s="3">
        <v>66.0</v>
      </c>
      <c r="V616" s="3">
        <v>60.0</v>
      </c>
      <c r="W616" s="3">
        <v>55.0</v>
      </c>
      <c r="X616" s="3">
        <v>53.0</v>
      </c>
      <c r="Y616" s="3">
        <v>58.0</v>
      </c>
      <c r="Z616" s="3">
        <v>54.0</v>
      </c>
      <c r="AA616" s="3">
        <v>61.0</v>
      </c>
      <c r="AB616" s="3">
        <v>48.0</v>
      </c>
      <c r="AC616" s="3">
        <v>51.0</v>
      </c>
      <c r="AD616" s="3">
        <v>67.0</v>
      </c>
      <c r="AE616" s="3">
        <v>55.0</v>
      </c>
      <c r="AF616" s="3">
        <v>54.0</v>
      </c>
      <c r="AG616" s="3">
        <v>40.0</v>
      </c>
      <c r="AH616" s="3">
        <v>65.0</v>
      </c>
      <c r="AI616" s="3">
        <v>56.0</v>
      </c>
      <c r="AJ616" s="3">
        <v>61.0</v>
      </c>
      <c r="AK616" s="3">
        <v>66.0</v>
      </c>
      <c r="AL616" s="3">
        <v>52.0</v>
      </c>
      <c r="AM616" s="3">
        <v>43.0</v>
      </c>
      <c r="AN616" s="3">
        <v>42.0</v>
      </c>
    </row>
    <row r="617" ht="14.25" customHeight="1">
      <c r="A617" s="3">
        <v>615.0</v>
      </c>
      <c r="B617" s="3" t="s">
        <v>7793</v>
      </c>
      <c r="C617" s="3">
        <v>39.0</v>
      </c>
      <c r="D617" s="3" t="s">
        <v>6645</v>
      </c>
      <c r="E617" s="3" t="s">
        <v>6646</v>
      </c>
      <c r="F617" s="3" t="s">
        <v>6646</v>
      </c>
      <c r="G617" s="3" t="s">
        <v>6645</v>
      </c>
      <c r="H617" s="3" t="s">
        <v>6645</v>
      </c>
      <c r="I617" s="3" t="s">
        <v>6645</v>
      </c>
      <c r="J617" s="3">
        <v>22.0</v>
      </c>
      <c r="K617" s="3">
        <v>4.0</v>
      </c>
      <c r="L617" s="3">
        <v>0.0</v>
      </c>
      <c r="M617" s="3">
        <v>0.0</v>
      </c>
      <c r="N617" s="3">
        <v>7921.3535</v>
      </c>
      <c r="O617" s="3">
        <v>1842.0</v>
      </c>
      <c r="P617" s="3" t="e">
        <v>#N/A</v>
      </c>
      <c r="Q617" s="3">
        <v>60.0</v>
      </c>
      <c r="R617" s="3">
        <v>61.0</v>
      </c>
      <c r="S617" s="3">
        <v>61.0</v>
      </c>
      <c r="T617" s="3">
        <v>52.0</v>
      </c>
      <c r="U617" s="3">
        <v>61.0</v>
      </c>
      <c r="V617" s="3">
        <v>58.0</v>
      </c>
      <c r="W617" s="3">
        <v>58.0</v>
      </c>
      <c r="X617" s="3">
        <v>55.0</v>
      </c>
      <c r="Y617" s="3">
        <v>63.0</v>
      </c>
      <c r="Z617" s="3">
        <v>57.0</v>
      </c>
      <c r="AA617" s="3">
        <v>68.0</v>
      </c>
      <c r="AB617" s="3">
        <v>56.0</v>
      </c>
      <c r="AC617" s="3">
        <v>61.0</v>
      </c>
      <c r="AD617" s="3">
        <v>67.0</v>
      </c>
      <c r="AE617" s="3">
        <v>51.0</v>
      </c>
      <c r="AF617" s="3">
        <v>52.0</v>
      </c>
      <c r="AG617" s="3">
        <v>49.0</v>
      </c>
      <c r="AH617" s="3">
        <v>48.0</v>
      </c>
      <c r="AI617" s="3">
        <v>48.0</v>
      </c>
      <c r="AJ617" s="3">
        <v>44.0</v>
      </c>
      <c r="AK617" s="3">
        <v>57.0</v>
      </c>
      <c r="AL617" s="3">
        <v>57.0</v>
      </c>
      <c r="AM617" s="3">
        <v>48.0</v>
      </c>
      <c r="AN617" s="3">
        <v>43.0</v>
      </c>
    </row>
    <row r="618" ht="14.25" customHeight="1">
      <c r="A618" s="3">
        <v>616.0</v>
      </c>
      <c r="B618" s="3" t="s">
        <v>7794</v>
      </c>
      <c r="C618" s="3">
        <v>39.0</v>
      </c>
      <c r="D618" s="3" t="s">
        <v>6645</v>
      </c>
      <c r="E618" s="3" t="s">
        <v>6646</v>
      </c>
      <c r="F618" s="3" t="s">
        <v>6646</v>
      </c>
      <c r="G618" s="3" t="s">
        <v>6645</v>
      </c>
      <c r="H618" s="3" t="s">
        <v>6645</v>
      </c>
      <c r="I618" s="3" t="s">
        <v>6646</v>
      </c>
      <c r="J618" s="3">
        <v>22.0</v>
      </c>
      <c r="K618" s="3">
        <v>3.0</v>
      </c>
      <c r="L618" s="3">
        <v>0.0</v>
      </c>
      <c r="M618" s="3">
        <v>0.0</v>
      </c>
      <c r="N618" s="3">
        <v>5425.7104</v>
      </c>
      <c r="O618" s="3">
        <v>775.0</v>
      </c>
      <c r="P618" s="3" t="e">
        <v>#N/A</v>
      </c>
      <c r="Q618" s="3">
        <v>56.0</v>
      </c>
      <c r="R618" s="3">
        <v>50.0</v>
      </c>
      <c r="S618" s="3">
        <v>46.0</v>
      </c>
      <c r="T618" s="3">
        <v>50.0</v>
      </c>
      <c r="U618" s="3">
        <v>57.0</v>
      </c>
      <c r="V618" s="3">
        <v>50.0</v>
      </c>
      <c r="W618" s="3">
        <v>43.0</v>
      </c>
      <c r="X618" s="3">
        <v>47.0</v>
      </c>
      <c r="Y618" s="3">
        <v>56.0</v>
      </c>
      <c r="Z618" s="3">
        <v>46.0</v>
      </c>
      <c r="AA618" s="3">
        <v>54.0</v>
      </c>
      <c r="AB618" s="3">
        <v>56.0</v>
      </c>
      <c r="AC618" s="3">
        <v>48.0</v>
      </c>
      <c r="AD618" s="3">
        <v>62.0</v>
      </c>
      <c r="AE618" s="3">
        <v>52.0</v>
      </c>
      <c r="AF618" s="3">
        <v>61.0</v>
      </c>
      <c r="AG618" s="3">
        <v>61.0</v>
      </c>
      <c r="AH618" s="3">
        <v>39.0</v>
      </c>
      <c r="AI618" s="3">
        <v>60.0</v>
      </c>
      <c r="AJ618" s="3">
        <v>66.0</v>
      </c>
      <c r="AK618" s="3">
        <v>54.0</v>
      </c>
      <c r="AL618" s="3">
        <v>66.0</v>
      </c>
      <c r="AM618" s="3">
        <v>54.0</v>
      </c>
      <c r="AN618" s="3">
        <v>63.0</v>
      </c>
    </row>
    <row r="619" ht="14.25" customHeight="1">
      <c r="A619" s="3">
        <v>617.0</v>
      </c>
      <c r="B619" s="3" t="s">
        <v>7795</v>
      </c>
      <c r="C619" s="3">
        <v>39.0</v>
      </c>
      <c r="D619" s="3" t="s">
        <v>6645</v>
      </c>
      <c r="E619" s="3" t="s">
        <v>6646</v>
      </c>
      <c r="F619" s="3" t="s">
        <v>6646</v>
      </c>
      <c r="G619" s="3" t="s">
        <v>6645</v>
      </c>
      <c r="H619" s="3" t="s">
        <v>6645</v>
      </c>
      <c r="I619" s="3" t="s">
        <v>6645</v>
      </c>
      <c r="J619" s="3">
        <v>22.0</v>
      </c>
      <c r="K619" s="3">
        <v>3.0</v>
      </c>
      <c r="L619" s="3">
        <v>0.0</v>
      </c>
      <c r="M619" s="3">
        <v>0.0</v>
      </c>
      <c r="N619" s="3">
        <v>5425.787</v>
      </c>
      <c r="O619" s="3">
        <v>909.0</v>
      </c>
      <c r="P619" s="3" t="e">
        <v>#N/A</v>
      </c>
      <c r="Q619" s="3">
        <v>48.0</v>
      </c>
      <c r="R619" s="3">
        <v>54.0</v>
      </c>
      <c r="S619" s="3">
        <v>54.0</v>
      </c>
      <c r="T619" s="3">
        <v>54.0</v>
      </c>
      <c r="U619" s="3">
        <v>50.0</v>
      </c>
      <c r="V619" s="3">
        <v>52.0</v>
      </c>
      <c r="W619" s="3">
        <v>52.0</v>
      </c>
      <c r="X619" s="3">
        <v>52.0</v>
      </c>
      <c r="Y619" s="3">
        <v>61.0</v>
      </c>
      <c r="Z619" s="3">
        <v>39.0</v>
      </c>
      <c r="AA619" s="3">
        <v>64.0</v>
      </c>
      <c r="AB619" s="3">
        <v>43.0</v>
      </c>
      <c r="AC619" s="3">
        <v>54.0</v>
      </c>
      <c r="AD619" s="3">
        <v>63.0</v>
      </c>
      <c r="AE619" s="3">
        <v>43.0</v>
      </c>
      <c r="AF619" s="3">
        <v>44.0</v>
      </c>
      <c r="AG619" s="3">
        <v>40.0</v>
      </c>
      <c r="AH619" s="3">
        <v>51.0</v>
      </c>
      <c r="AI619" s="3">
        <v>61.0</v>
      </c>
      <c r="AJ619" s="3">
        <v>48.0</v>
      </c>
      <c r="AK619" s="3">
        <v>40.0</v>
      </c>
      <c r="AL619" s="3">
        <v>45.0</v>
      </c>
      <c r="AM619" s="3">
        <v>42.0</v>
      </c>
      <c r="AN619" s="3">
        <v>61.0</v>
      </c>
    </row>
    <row r="620" ht="14.25" customHeight="1">
      <c r="A620" s="3">
        <v>618.0</v>
      </c>
      <c r="B620" s="3" t="s">
        <v>7796</v>
      </c>
      <c r="C620" s="3">
        <v>32.0</v>
      </c>
      <c r="D620" s="3" t="s">
        <v>6645</v>
      </c>
      <c r="E620" s="3" t="s">
        <v>6646</v>
      </c>
      <c r="F620" s="3" t="s">
        <v>6646</v>
      </c>
      <c r="G620" s="3" t="s">
        <v>6645</v>
      </c>
      <c r="H620" s="3" t="s">
        <v>6645</v>
      </c>
      <c r="I620" s="3" t="s">
        <v>6645</v>
      </c>
      <c r="J620" s="3">
        <v>22.0</v>
      </c>
      <c r="K620" s="3">
        <v>3.0</v>
      </c>
      <c r="L620" s="3">
        <v>0.0</v>
      </c>
      <c r="M620" s="3">
        <v>0.0</v>
      </c>
      <c r="N620" s="3">
        <v>5136.9682</v>
      </c>
      <c r="O620" s="3">
        <v>925.0</v>
      </c>
      <c r="P620" s="3" t="e">
        <v>#N/A</v>
      </c>
      <c r="Q620" s="3">
        <v>50.0</v>
      </c>
      <c r="R620" s="3">
        <v>56.0</v>
      </c>
      <c r="S620" s="3">
        <v>52.0</v>
      </c>
      <c r="T620" s="3">
        <v>52.0</v>
      </c>
      <c r="U620" s="3">
        <v>51.0</v>
      </c>
      <c r="V620" s="3">
        <v>54.0</v>
      </c>
      <c r="W620" s="3">
        <v>45.0</v>
      </c>
      <c r="X620" s="3">
        <v>52.0</v>
      </c>
      <c r="Y620" s="3">
        <v>56.0</v>
      </c>
      <c r="Z620" s="3">
        <v>46.0</v>
      </c>
      <c r="AA620" s="3">
        <v>57.0</v>
      </c>
      <c r="AB620" s="3">
        <v>50.0</v>
      </c>
      <c r="AC620" s="3">
        <v>52.0</v>
      </c>
      <c r="AD620" s="3">
        <v>54.0</v>
      </c>
      <c r="AE620" s="3">
        <v>49.0</v>
      </c>
      <c r="AF620" s="3">
        <v>41.0</v>
      </c>
      <c r="AG620" s="3">
        <v>48.0</v>
      </c>
      <c r="AH620" s="3">
        <v>64.0</v>
      </c>
      <c r="AI620" s="3">
        <v>44.0</v>
      </c>
      <c r="AJ620" s="3">
        <v>55.0</v>
      </c>
      <c r="AK620" s="3">
        <v>61.0</v>
      </c>
      <c r="AL620" s="3">
        <v>51.0</v>
      </c>
      <c r="AM620" s="3">
        <v>46.0</v>
      </c>
      <c r="AN620" s="3">
        <v>60.0</v>
      </c>
    </row>
    <row r="621" ht="14.25" customHeight="1">
      <c r="A621" s="3">
        <v>619.0</v>
      </c>
      <c r="B621" s="3" t="s">
        <v>7797</v>
      </c>
      <c r="C621" s="3">
        <v>25.0</v>
      </c>
      <c r="D621" s="3" t="s">
        <v>6645</v>
      </c>
      <c r="E621" s="3" t="s">
        <v>6646</v>
      </c>
      <c r="F621" s="3" t="s">
        <v>6646</v>
      </c>
      <c r="G621" s="3" t="s">
        <v>6645</v>
      </c>
      <c r="H621" s="3" t="s">
        <v>6645</v>
      </c>
      <c r="I621" s="3" t="s">
        <v>6646</v>
      </c>
      <c r="J621" s="3">
        <v>22.0</v>
      </c>
      <c r="K621" s="3">
        <v>2.0</v>
      </c>
      <c r="L621" s="3">
        <v>0.0</v>
      </c>
      <c r="M621" s="3">
        <v>0.0</v>
      </c>
      <c r="N621" s="3">
        <v>2903.3774</v>
      </c>
      <c r="O621" s="3">
        <v>466.0</v>
      </c>
      <c r="P621" s="3" t="e">
        <v>#N/A</v>
      </c>
      <c r="Q621" s="3">
        <v>44.0</v>
      </c>
      <c r="R621" s="3">
        <v>41.0</v>
      </c>
      <c r="S621" s="3">
        <v>49.0</v>
      </c>
      <c r="T621" s="3">
        <v>49.0</v>
      </c>
      <c r="U621" s="3">
        <v>49.0</v>
      </c>
      <c r="V621" s="3">
        <v>41.0</v>
      </c>
      <c r="W621" s="3">
        <v>48.0</v>
      </c>
      <c r="X621" s="3">
        <v>43.0</v>
      </c>
      <c r="Y621" s="3">
        <v>50.0</v>
      </c>
      <c r="Z621" s="3">
        <v>49.0</v>
      </c>
      <c r="AA621" s="3">
        <v>54.0</v>
      </c>
      <c r="AB621" s="3">
        <v>40.0</v>
      </c>
      <c r="AC621" s="3">
        <v>43.0</v>
      </c>
      <c r="AD621" s="3">
        <v>48.0</v>
      </c>
      <c r="AE621" s="3">
        <v>47.0</v>
      </c>
      <c r="AF621" s="3">
        <v>44.0</v>
      </c>
      <c r="AG621" s="3">
        <v>36.0</v>
      </c>
      <c r="AH621" s="3">
        <v>44.0</v>
      </c>
      <c r="AI621" s="3">
        <v>54.0</v>
      </c>
      <c r="AJ621" s="3">
        <v>60.0</v>
      </c>
      <c r="AK621" s="3">
        <v>58.0</v>
      </c>
      <c r="AL621" s="3">
        <v>62.0</v>
      </c>
      <c r="AM621" s="3">
        <v>52.0</v>
      </c>
      <c r="AN621" s="3">
        <v>38.0</v>
      </c>
    </row>
    <row r="622" ht="14.25" customHeight="1">
      <c r="A622" s="3">
        <v>620.0</v>
      </c>
      <c r="B622" s="3" t="s">
        <v>7798</v>
      </c>
      <c r="C622" s="3">
        <v>28.0</v>
      </c>
      <c r="D622" s="3" t="s">
        <v>6645</v>
      </c>
      <c r="E622" s="3" t="s">
        <v>6646</v>
      </c>
      <c r="F622" s="3" t="s">
        <v>6646</v>
      </c>
      <c r="G622" s="3" t="s">
        <v>6645</v>
      </c>
      <c r="H622" s="3" t="s">
        <v>6645</v>
      </c>
      <c r="I622" s="3" t="s">
        <v>6645</v>
      </c>
      <c r="J622" s="3">
        <v>22.0</v>
      </c>
      <c r="K622" s="3">
        <v>2.0</v>
      </c>
      <c r="L622" s="3">
        <v>0.0</v>
      </c>
      <c r="M622" s="3">
        <v>0.0</v>
      </c>
      <c r="N622" s="3">
        <v>3042.6826</v>
      </c>
      <c r="O622" s="3">
        <v>406.0</v>
      </c>
      <c r="P622" s="3" t="e">
        <v>#N/A</v>
      </c>
      <c r="Q622" s="3">
        <v>50.0</v>
      </c>
      <c r="R622" s="3">
        <v>45.0</v>
      </c>
      <c r="S622" s="3">
        <v>42.0</v>
      </c>
      <c r="T622" s="3">
        <v>43.0</v>
      </c>
      <c r="U622" s="3">
        <v>49.0</v>
      </c>
      <c r="V622" s="3">
        <v>48.0</v>
      </c>
      <c r="W622" s="3">
        <v>44.0</v>
      </c>
      <c r="X622" s="3">
        <v>47.0</v>
      </c>
      <c r="Y622" s="3">
        <v>50.0</v>
      </c>
      <c r="Z622" s="3">
        <v>47.0</v>
      </c>
      <c r="AA622" s="3">
        <v>52.0</v>
      </c>
      <c r="AB622" s="3">
        <v>41.0</v>
      </c>
      <c r="AC622" s="3">
        <v>40.0</v>
      </c>
      <c r="AD622" s="3">
        <v>50.0</v>
      </c>
      <c r="AE622" s="3">
        <v>41.0</v>
      </c>
      <c r="AF622" s="3">
        <v>50.0</v>
      </c>
      <c r="AG622" s="3">
        <v>58.0</v>
      </c>
      <c r="AH622" s="3">
        <v>34.0</v>
      </c>
      <c r="AI622" s="3">
        <v>34.0</v>
      </c>
      <c r="AJ622" s="3">
        <v>42.0</v>
      </c>
      <c r="AK622" s="3">
        <v>44.0</v>
      </c>
      <c r="AL622" s="3">
        <v>42.0</v>
      </c>
      <c r="AM622" s="3">
        <v>60.0</v>
      </c>
      <c r="AN622" s="3">
        <v>48.0</v>
      </c>
    </row>
    <row r="623" ht="14.25" customHeight="1">
      <c r="A623" s="3">
        <v>621.0</v>
      </c>
      <c r="B623" s="3" t="s">
        <v>7799</v>
      </c>
      <c r="C623" s="3">
        <v>28.0</v>
      </c>
      <c r="D623" s="3" t="s">
        <v>6645</v>
      </c>
      <c r="E623" s="3" t="s">
        <v>6646</v>
      </c>
      <c r="F623" s="3" t="s">
        <v>6646</v>
      </c>
      <c r="G623" s="3" t="s">
        <v>6645</v>
      </c>
      <c r="H623" s="3" t="s">
        <v>6645</v>
      </c>
      <c r="I623" s="3" t="s">
        <v>6645</v>
      </c>
      <c r="J623" s="3">
        <v>22.0</v>
      </c>
      <c r="K623" s="3">
        <v>2.0</v>
      </c>
      <c r="L623" s="3">
        <v>0.0</v>
      </c>
      <c r="M623" s="3">
        <v>0.0</v>
      </c>
      <c r="N623" s="3">
        <v>2837.4057</v>
      </c>
      <c r="O623" s="3">
        <v>329.0</v>
      </c>
      <c r="P623" s="3" t="e">
        <v>#N/A</v>
      </c>
      <c r="Q623" s="3">
        <v>44.0</v>
      </c>
      <c r="R623" s="3">
        <v>48.0</v>
      </c>
      <c r="S623" s="3">
        <v>47.0</v>
      </c>
      <c r="T623" s="3">
        <v>50.0</v>
      </c>
      <c r="U623" s="3">
        <v>48.0</v>
      </c>
      <c r="V623" s="3">
        <v>41.0</v>
      </c>
      <c r="W623" s="3">
        <v>48.0</v>
      </c>
      <c r="X623" s="3">
        <v>37.0</v>
      </c>
      <c r="Y623" s="3">
        <v>55.0</v>
      </c>
      <c r="Z623" s="3">
        <v>36.0</v>
      </c>
      <c r="AA623" s="3">
        <v>57.0</v>
      </c>
      <c r="AB623" s="3">
        <v>49.0</v>
      </c>
      <c r="AC623" s="3">
        <v>43.0</v>
      </c>
      <c r="AD623" s="3">
        <v>45.0</v>
      </c>
      <c r="AE623" s="3">
        <v>46.0</v>
      </c>
      <c r="AF623" s="3">
        <v>36.0</v>
      </c>
      <c r="AG623" s="3">
        <v>40.0</v>
      </c>
      <c r="AH623" s="3">
        <v>52.0</v>
      </c>
      <c r="AI623" s="3">
        <v>36.0</v>
      </c>
      <c r="AJ623" s="3">
        <v>56.0</v>
      </c>
      <c r="AK623" s="3">
        <v>56.0</v>
      </c>
      <c r="AL623" s="3">
        <v>46.0</v>
      </c>
      <c r="AM623" s="3">
        <v>42.0</v>
      </c>
      <c r="AN623" s="3">
        <v>44.0</v>
      </c>
    </row>
    <row r="624" ht="14.25" customHeight="1">
      <c r="A624" s="3">
        <v>622.0</v>
      </c>
      <c r="B624" s="3" t="s">
        <v>7800</v>
      </c>
      <c r="C624" s="3">
        <v>26.0</v>
      </c>
      <c r="D624" s="3" t="s">
        <v>6645</v>
      </c>
      <c r="E624" s="3" t="s">
        <v>6646</v>
      </c>
      <c r="F624" s="3" t="s">
        <v>6646</v>
      </c>
      <c r="G624" s="3" t="s">
        <v>6645</v>
      </c>
      <c r="H624" s="3" t="s">
        <v>6645</v>
      </c>
      <c r="I624" s="3" t="s">
        <v>6646</v>
      </c>
      <c r="J624" s="3">
        <v>22.0</v>
      </c>
      <c r="K624" s="3">
        <v>1.0</v>
      </c>
      <c r="L624" s="3">
        <v>0.0</v>
      </c>
      <c r="M624" s="3">
        <v>0.0</v>
      </c>
      <c r="N624" s="3">
        <v>1466.7517</v>
      </c>
      <c r="O624" s="3">
        <v>164.0</v>
      </c>
      <c r="P624" s="3" t="e">
        <v>#N/A</v>
      </c>
      <c r="Q624" s="3">
        <v>40.0</v>
      </c>
      <c r="R624" s="3">
        <v>38.0</v>
      </c>
      <c r="S624" s="3">
        <v>40.0</v>
      </c>
      <c r="T624" s="3">
        <v>40.0</v>
      </c>
      <c r="U624" s="3">
        <v>40.0</v>
      </c>
      <c r="V624" s="3">
        <v>42.0</v>
      </c>
      <c r="W624" s="3">
        <v>44.0</v>
      </c>
      <c r="X624" s="3">
        <v>35.0</v>
      </c>
      <c r="Y624" s="3">
        <v>45.0</v>
      </c>
      <c r="Z624" s="3">
        <v>35.0</v>
      </c>
      <c r="AA624" s="3">
        <v>44.0</v>
      </c>
      <c r="AB624" s="3">
        <v>34.0</v>
      </c>
      <c r="AC624" s="3">
        <v>44.0</v>
      </c>
      <c r="AD624" s="3">
        <v>53.0</v>
      </c>
      <c r="AE624" s="3">
        <v>36.0</v>
      </c>
      <c r="AF624" s="3">
        <v>49.0</v>
      </c>
      <c r="AG624" s="3">
        <v>35.0</v>
      </c>
      <c r="AH624" s="3">
        <v>56.0</v>
      </c>
      <c r="AI624" s="3">
        <v>36.0</v>
      </c>
      <c r="AJ624" s="3">
        <v>56.0</v>
      </c>
      <c r="AK624" s="3">
        <v>39.0</v>
      </c>
      <c r="AL624" s="3">
        <v>40.0</v>
      </c>
      <c r="AM624" s="3">
        <v>40.0</v>
      </c>
      <c r="AN624" s="3">
        <v>34.0</v>
      </c>
    </row>
    <row r="625" ht="14.25" customHeight="1">
      <c r="A625" s="3">
        <v>623.0</v>
      </c>
      <c r="B625" s="3" t="s">
        <v>7801</v>
      </c>
      <c r="C625" s="3">
        <v>21.0</v>
      </c>
      <c r="D625" s="3" t="s">
        <v>6645</v>
      </c>
      <c r="E625" s="3" t="s">
        <v>6646</v>
      </c>
      <c r="F625" s="3" t="s">
        <v>6646</v>
      </c>
      <c r="G625" s="3" t="s">
        <v>6645</v>
      </c>
      <c r="H625" s="3" t="s">
        <v>6645</v>
      </c>
      <c r="I625" s="3" t="s">
        <v>6645</v>
      </c>
      <c r="J625" s="3">
        <v>22.0</v>
      </c>
      <c r="K625" s="3">
        <v>1.0</v>
      </c>
      <c r="L625" s="3">
        <v>0.0</v>
      </c>
      <c r="M625" s="3">
        <v>0.0</v>
      </c>
      <c r="N625" s="3">
        <v>1380.5</v>
      </c>
      <c r="O625" s="3">
        <v>151.0</v>
      </c>
      <c r="P625" s="3" t="e">
        <v>#N/A</v>
      </c>
      <c r="Q625" s="3">
        <v>42.0</v>
      </c>
      <c r="R625" s="3">
        <v>40.0</v>
      </c>
      <c r="S625" s="3">
        <v>40.0</v>
      </c>
      <c r="T625" s="3">
        <v>44.0</v>
      </c>
      <c r="U625" s="3">
        <v>36.0</v>
      </c>
      <c r="V625" s="3">
        <v>40.0</v>
      </c>
      <c r="W625" s="3">
        <v>32.0</v>
      </c>
      <c r="X625" s="3">
        <v>36.0</v>
      </c>
      <c r="Y625" s="3">
        <v>45.0</v>
      </c>
      <c r="Z625" s="3">
        <v>35.0</v>
      </c>
      <c r="AA625" s="3">
        <v>42.0</v>
      </c>
      <c r="AB625" s="3">
        <v>44.0</v>
      </c>
      <c r="AC625" s="3">
        <v>30.0</v>
      </c>
      <c r="AD625" s="3">
        <v>42.0</v>
      </c>
      <c r="AE625" s="3">
        <v>42.0</v>
      </c>
      <c r="AF625" s="3">
        <v>54.0</v>
      </c>
      <c r="AG625" s="3">
        <v>50.0</v>
      </c>
      <c r="AH625" s="3">
        <v>53.0</v>
      </c>
      <c r="AI625" s="3">
        <v>32.0</v>
      </c>
      <c r="AJ625" s="3">
        <v>50.0</v>
      </c>
      <c r="AK625" s="3">
        <v>34.0</v>
      </c>
      <c r="AL625" s="3">
        <v>36.0</v>
      </c>
      <c r="AM625" s="3">
        <v>41.0</v>
      </c>
      <c r="AN625" s="3">
        <v>48.0</v>
      </c>
    </row>
    <row r="626" ht="14.25" customHeight="1">
      <c r="A626" s="3">
        <v>624.0</v>
      </c>
      <c r="B626" s="3" t="s">
        <v>7802</v>
      </c>
      <c r="C626" s="3">
        <v>27.0</v>
      </c>
      <c r="D626" s="3" t="s">
        <v>6645</v>
      </c>
      <c r="E626" s="3" t="s">
        <v>6646</v>
      </c>
      <c r="F626" s="3" t="s">
        <v>6646</v>
      </c>
      <c r="G626" s="3" t="s">
        <v>6645</v>
      </c>
      <c r="H626" s="3" t="s">
        <v>6645</v>
      </c>
      <c r="I626" s="3" t="s">
        <v>6645</v>
      </c>
      <c r="J626" s="3">
        <v>22.0</v>
      </c>
      <c r="K626" s="3">
        <v>1.0</v>
      </c>
      <c r="L626" s="3">
        <v>0.0</v>
      </c>
      <c r="M626" s="3">
        <v>0.0</v>
      </c>
      <c r="N626" s="3">
        <v>1379.9448</v>
      </c>
      <c r="O626" s="3">
        <v>154.0</v>
      </c>
      <c r="P626" s="3" t="e">
        <v>#N/A</v>
      </c>
      <c r="Q626" s="3">
        <v>38.0</v>
      </c>
      <c r="R626" s="3">
        <v>38.0</v>
      </c>
      <c r="S626" s="3">
        <v>40.0</v>
      </c>
      <c r="T626" s="3">
        <v>40.0</v>
      </c>
      <c r="U626" s="3">
        <v>40.0</v>
      </c>
      <c r="V626" s="3">
        <v>44.0</v>
      </c>
      <c r="W626" s="3">
        <v>36.0</v>
      </c>
      <c r="X626" s="3">
        <v>33.0</v>
      </c>
      <c r="Y626" s="3">
        <v>47.0</v>
      </c>
      <c r="Z626" s="3">
        <v>42.0</v>
      </c>
      <c r="AA626" s="3">
        <v>50.0</v>
      </c>
      <c r="AB626" s="3">
        <v>34.0</v>
      </c>
      <c r="AC626" s="3">
        <v>33.0</v>
      </c>
      <c r="AD626" s="3">
        <v>45.0</v>
      </c>
      <c r="AE626" s="3">
        <v>40.0</v>
      </c>
      <c r="AF626" s="3">
        <v>56.0</v>
      </c>
      <c r="AG626" s="3">
        <v>32.0</v>
      </c>
      <c r="AH626" s="3">
        <v>47.0</v>
      </c>
      <c r="AI626" s="3">
        <v>56.0</v>
      </c>
      <c r="AJ626" s="3">
        <v>39.0</v>
      </c>
      <c r="AK626" s="3">
        <v>37.0</v>
      </c>
      <c r="AL626" s="3">
        <v>60.0</v>
      </c>
      <c r="AM626" s="3">
        <v>53.0</v>
      </c>
      <c r="AN626" s="3">
        <v>36.0</v>
      </c>
    </row>
    <row r="627" ht="14.25" customHeight="1">
      <c r="A627" s="3">
        <v>625.0</v>
      </c>
      <c r="B627" s="3" t="s">
        <v>7803</v>
      </c>
      <c r="C627" s="3">
        <v>23.0</v>
      </c>
      <c r="D627" s="3" t="s">
        <v>6645</v>
      </c>
      <c r="E627" s="3" t="s">
        <v>6646</v>
      </c>
      <c r="F627" s="3" t="s">
        <v>6646</v>
      </c>
      <c r="G627" s="3" t="s">
        <v>6645</v>
      </c>
      <c r="H627" s="3" t="s">
        <v>6645</v>
      </c>
      <c r="I627" s="3" t="s">
        <v>6645</v>
      </c>
      <c r="J627" s="3">
        <v>22.0</v>
      </c>
      <c r="K627" s="3">
        <v>1.0</v>
      </c>
      <c r="L627" s="3">
        <v>0.0</v>
      </c>
      <c r="M627" s="3">
        <v>0.0</v>
      </c>
      <c r="N627" s="3">
        <v>1423.6854</v>
      </c>
      <c r="O627" s="3">
        <v>167.0</v>
      </c>
      <c r="P627" s="3" t="e">
        <v>#N/A</v>
      </c>
      <c r="Q627" s="3">
        <v>38.0</v>
      </c>
      <c r="R627" s="3">
        <v>44.0</v>
      </c>
      <c r="S627" s="3">
        <v>40.0</v>
      </c>
      <c r="T627" s="3">
        <v>36.0</v>
      </c>
      <c r="U627" s="3">
        <v>40.0</v>
      </c>
      <c r="V627" s="3">
        <v>44.0</v>
      </c>
      <c r="W627" s="3">
        <v>42.0</v>
      </c>
      <c r="X627" s="3">
        <v>44.0</v>
      </c>
      <c r="Y627" s="3">
        <v>47.0</v>
      </c>
      <c r="Z627" s="3">
        <v>35.0</v>
      </c>
      <c r="AA627" s="3">
        <v>49.0</v>
      </c>
      <c r="AB627" s="3">
        <v>35.0</v>
      </c>
      <c r="AC627" s="3">
        <v>33.0</v>
      </c>
      <c r="AD627" s="3">
        <v>43.0</v>
      </c>
      <c r="AE627" s="3">
        <v>44.0</v>
      </c>
      <c r="AF627" s="3">
        <v>54.0</v>
      </c>
      <c r="AG627" s="3">
        <v>51.0</v>
      </c>
      <c r="AH627" s="3">
        <v>49.0</v>
      </c>
      <c r="AI627" s="3">
        <v>59.0</v>
      </c>
      <c r="AJ627" s="3">
        <v>57.0</v>
      </c>
      <c r="AK627" s="3">
        <v>55.0</v>
      </c>
      <c r="AL627" s="3">
        <v>49.0</v>
      </c>
      <c r="AM627" s="3">
        <v>55.0</v>
      </c>
      <c r="AN627" s="3">
        <v>52.0</v>
      </c>
    </row>
    <row r="628" ht="14.25" customHeight="1">
      <c r="A628" s="3">
        <v>626.0</v>
      </c>
      <c r="B628" s="3" t="s">
        <v>7804</v>
      </c>
      <c r="C628" s="3">
        <v>20.0</v>
      </c>
      <c r="D628" s="3" t="s">
        <v>6645</v>
      </c>
      <c r="E628" s="3" t="s">
        <v>6646</v>
      </c>
      <c r="F628" s="3" t="s">
        <v>6646</v>
      </c>
      <c r="G628" s="3" t="s">
        <v>6645</v>
      </c>
      <c r="H628" s="3" t="s">
        <v>6645</v>
      </c>
      <c r="I628" s="3" t="s">
        <v>6646</v>
      </c>
      <c r="J628" s="3">
        <v>22.0</v>
      </c>
      <c r="K628" s="3">
        <v>0.0</v>
      </c>
      <c r="L628" s="3">
        <v>0.0</v>
      </c>
      <c r="M628" s="3">
        <v>0.0</v>
      </c>
      <c r="N628" s="3">
        <v>526.776</v>
      </c>
      <c r="O628" s="3">
        <v>105.0</v>
      </c>
      <c r="P628" s="3" t="e">
        <v>#N/A</v>
      </c>
      <c r="Q628" s="3">
        <v>33.0</v>
      </c>
      <c r="R628" s="3">
        <v>31.0</v>
      </c>
      <c r="S628" s="3">
        <v>32.0</v>
      </c>
      <c r="T628" s="3">
        <v>32.0</v>
      </c>
      <c r="U628" s="3">
        <v>39.0</v>
      </c>
      <c r="V628" s="3">
        <v>33.0</v>
      </c>
      <c r="W628" s="3">
        <v>39.0</v>
      </c>
      <c r="X628" s="3">
        <v>31.0</v>
      </c>
      <c r="Y628" s="3">
        <v>44.0</v>
      </c>
      <c r="Z628" s="3">
        <v>30.0</v>
      </c>
      <c r="AA628" s="3">
        <v>38.0</v>
      </c>
      <c r="AB628" s="3">
        <v>31.0</v>
      </c>
      <c r="AC628" s="3">
        <v>36.0</v>
      </c>
      <c r="AD628" s="3">
        <v>38.0</v>
      </c>
      <c r="AE628" s="3">
        <v>23.0</v>
      </c>
      <c r="AF628" s="3">
        <v>31.0</v>
      </c>
      <c r="AG628" s="3">
        <v>59.0</v>
      </c>
      <c r="AH628" s="3">
        <v>58.0</v>
      </c>
      <c r="AI628" s="3">
        <v>35.0</v>
      </c>
      <c r="AJ628" s="3">
        <v>49.0</v>
      </c>
      <c r="AK628" s="3">
        <v>35.0</v>
      </c>
      <c r="AL628" s="3">
        <v>47.0</v>
      </c>
      <c r="AM628" s="3">
        <v>59.0</v>
      </c>
      <c r="AN628" s="3">
        <v>37.0</v>
      </c>
    </row>
    <row r="629" ht="14.25" customHeight="1">
      <c r="A629" s="3">
        <v>627.0</v>
      </c>
      <c r="B629" s="3" t="s">
        <v>7805</v>
      </c>
      <c r="C629" s="3">
        <v>16.0</v>
      </c>
      <c r="D629" s="3" t="s">
        <v>6645</v>
      </c>
      <c r="E629" s="3" t="s">
        <v>6646</v>
      </c>
      <c r="F629" s="3" t="s">
        <v>6646</v>
      </c>
      <c r="G629" s="3" t="s">
        <v>6645</v>
      </c>
      <c r="H629" s="3" t="s">
        <v>6645</v>
      </c>
      <c r="I629" s="3" t="s">
        <v>6645</v>
      </c>
      <c r="J629" s="3">
        <v>22.0</v>
      </c>
      <c r="K629" s="3">
        <v>0.0</v>
      </c>
      <c r="L629" s="3">
        <v>0.0</v>
      </c>
      <c r="M629" s="3">
        <v>0.0</v>
      </c>
      <c r="N629" s="3">
        <v>491.34085</v>
      </c>
      <c r="O629" s="3">
        <v>76.0</v>
      </c>
      <c r="P629" s="3" t="e">
        <v>#N/A</v>
      </c>
      <c r="Q629" s="3">
        <v>38.0</v>
      </c>
      <c r="R629" s="3">
        <v>38.0</v>
      </c>
      <c r="S629" s="3">
        <v>38.0</v>
      </c>
      <c r="T629" s="3">
        <v>30.0</v>
      </c>
      <c r="U629" s="3">
        <v>31.0</v>
      </c>
      <c r="V629" s="3">
        <v>39.0</v>
      </c>
      <c r="W629" s="3">
        <v>30.0</v>
      </c>
      <c r="X629" s="3">
        <v>32.0</v>
      </c>
      <c r="Y629" s="3">
        <v>43.0</v>
      </c>
      <c r="Z629" s="3">
        <v>36.0</v>
      </c>
      <c r="AA629" s="3">
        <v>45.0</v>
      </c>
      <c r="AB629" s="3">
        <v>36.0</v>
      </c>
      <c r="AC629" s="3">
        <v>23.0</v>
      </c>
      <c r="AD629" s="3">
        <v>40.0</v>
      </c>
      <c r="AE629" s="3">
        <v>29.0</v>
      </c>
      <c r="AF629" s="3">
        <v>49.0</v>
      </c>
      <c r="AG629" s="3">
        <v>43.0</v>
      </c>
      <c r="AH629" s="3">
        <v>52.0</v>
      </c>
      <c r="AI629" s="3">
        <v>39.0</v>
      </c>
      <c r="AJ629" s="3">
        <v>43.0</v>
      </c>
      <c r="AK629" s="3">
        <v>53.0</v>
      </c>
      <c r="AL629" s="3">
        <v>56.0</v>
      </c>
      <c r="AM629" s="3">
        <v>54.0</v>
      </c>
      <c r="AN629" s="3">
        <v>40.0</v>
      </c>
    </row>
    <row r="630" ht="14.25" customHeight="1">
      <c r="A630" s="3">
        <v>628.0</v>
      </c>
      <c r="B630" s="3" t="s">
        <v>7806</v>
      </c>
      <c r="C630" s="3">
        <v>17.0</v>
      </c>
      <c r="D630" s="3" t="s">
        <v>6645</v>
      </c>
      <c r="E630" s="3" t="s">
        <v>6646</v>
      </c>
      <c r="F630" s="3" t="s">
        <v>6646</v>
      </c>
      <c r="G630" s="3" t="s">
        <v>6645</v>
      </c>
      <c r="H630" s="3" t="s">
        <v>6645</v>
      </c>
      <c r="I630" s="3" t="s">
        <v>6645</v>
      </c>
      <c r="J630" s="3">
        <v>22.0</v>
      </c>
      <c r="K630" s="3">
        <v>0.0</v>
      </c>
      <c r="L630" s="3">
        <v>0.0</v>
      </c>
      <c r="M630" s="3">
        <v>0.0</v>
      </c>
      <c r="N630" s="3">
        <v>454.53677</v>
      </c>
      <c r="O630" s="3">
        <v>79.0</v>
      </c>
      <c r="P630" s="3" t="e">
        <v>#N/A</v>
      </c>
      <c r="Q630" s="3">
        <v>37.0</v>
      </c>
      <c r="R630" s="3">
        <v>32.0</v>
      </c>
      <c r="S630" s="3">
        <v>38.0</v>
      </c>
      <c r="T630" s="3">
        <v>39.0</v>
      </c>
      <c r="U630" s="3">
        <v>37.0</v>
      </c>
      <c r="V630" s="3">
        <v>33.0</v>
      </c>
      <c r="W630" s="3">
        <v>36.0</v>
      </c>
      <c r="X630" s="3">
        <v>28.0</v>
      </c>
      <c r="Y630" s="3">
        <v>39.0</v>
      </c>
      <c r="Z630" s="3">
        <v>24.0</v>
      </c>
      <c r="AA630" s="3">
        <v>41.0</v>
      </c>
      <c r="AB630" s="3">
        <v>26.0</v>
      </c>
      <c r="AC630" s="3">
        <v>38.0</v>
      </c>
      <c r="AD630" s="3">
        <v>40.0</v>
      </c>
      <c r="AE630" s="3">
        <v>35.0</v>
      </c>
      <c r="AF630" s="3">
        <v>33.0</v>
      </c>
      <c r="AG630" s="3">
        <v>54.0</v>
      </c>
      <c r="AH630" s="3">
        <v>30.0</v>
      </c>
      <c r="AI630" s="3">
        <v>45.0</v>
      </c>
      <c r="AJ630" s="3">
        <v>41.0</v>
      </c>
      <c r="AK630" s="3">
        <v>54.0</v>
      </c>
      <c r="AL630" s="3">
        <v>35.0</v>
      </c>
      <c r="AM630" s="3">
        <v>53.0</v>
      </c>
      <c r="AN630" s="3">
        <v>39.0</v>
      </c>
    </row>
    <row r="631" ht="14.25" customHeight="1">
      <c r="A631" s="3">
        <v>629.0</v>
      </c>
      <c r="B631" s="3" t="s">
        <v>7807</v>
      </c>
      <c r="C631" s="3">
        <v>22.0</v>
      </c>
      <c r="D631" s="3" t="s">
        <v>6645</v>
      </c>
      <c r="E631" s="3" t="s">
        <v>6646</v>
      </c>
      <c r="F631" s="3" t="s">
        <v>6646</v>
      </c>
      <c r="G631" s="3" t="s">
        <v>6645</v>
      </c>
      <c r="H631" s="3" t="s">
        <v>6645</v>
      </c>
      <c r="I631" s="3" t="s">
        <v>6645</v>
      </c>
      <c r="J631" s="3">
        <v>22.0</v>
      </c>
      <c r="K631" s="3">
        <v>0.0</v>
      </c>
      <c r="L631" s="3">
        <v>0.0</v>
      </c>
      <c r="M631" s="3">
        <v>0.0</v>
      </c>
      <c r="N631" s="3">
        <v>463.29623</v>
      </c>
      <c r="O631" s="3">
        <v>97.0</v>
      </c>
      <c r="P631" s="3" t="e">
        <v>#N/A</v>
      </c>
      <c r="Q631" s="3">
        <v>31.0</v>
      </c>
      <c r="R631" s="3">
        <v>32.0</v>
      </c>
      <c r="S631" s="3">
        <v>32.0</v>
      </c>
      <c r="T631" s="3">
        <v>38.0</v>
      </c>
      <c r="U631" s="3">
        <v>36.0</v>
      </c>
      <c r="V631" s="3">
        <v>30.0</v>
      </c>
      <c r="W631" s="3">
        <v>31.0</v>
      </c>
      <c r="X631" s="3">
        <v>35.0</v>
      </c>
      <c r="Y631" s="3">
        <v>36.0</v>
      </c>
      <c r="Z631" s="3">
        <v>29.0</v>
      </c>
      <c r="AA631" s="3">
        <v>42.0</v>
      </c>
      <c r="AB631" s="3">
        <v>30.0</v>
      </c>
      <c r="AC631" s="3">
        <v>29.0</v>
      </c>
      <c r="AD631" s="3">
        <v>41.0</v>
      </c>
      <c r="AE631" s="3">
        <v>36.0</v>
      </c>
      <c r="AF631" s="3">
        <v>43.0</v>
      </c>
      <c r="AG631" s="3">
        <v>44.0</v>
      </c>
      <c r="AH631" s="3">
        <v>43.0</v>
      </c>
      <c r="AI631" s="3">
        <v>33.0</v>
      </c>
      <c r="AJ631" s="3">
        <v>37.0</v>
      </c>
      <c r="AK631" s="3">
        <v>42.0</v>
      </c>
      <c r="AL631" s="3">
        <v>47.0</v>
      </c>
      <c r="AM631" s="3">
        <v>50.0</v>
      </c>
      <c r="AN631" s="3">
        <v>40.0</v>
      </c>
    </row>
    <row r="632" ht="14.25" customHeight="1">
      <c r="A632" s="3">
        <v>630.0</v>
      </c>
      <c r="B632" s="3" t="s">
        <v>7808</v>
      </c>
      <c r="C632" s="3">
        <v>38.0</v>
      </c>
      <c r="D632" s="3" t="s">
        <v>6645</v>
      </c>
      <c r="E632" s="3" t="s">
        <v>6646</v>
      </c>
      <c r="F632" s="3" t="s">
        <v>6646</v>
      </c>
      <c r="G632" s="3" t="s">
        <v>6645</v>
      </c>
      <c r="H632" s="3" t="s">
        <v>6645</v>
      </c>
      <c r="I632" s="3" t="s">
        <v>6645</v>
      </c>
      <c r="J632" s="3">
        <v>23.0</v>
      </c>
      <c r="K632" s="3">
        <v>4.0</v>
      </c>
      <c r="L632" s="3">
        <v>0.0</v>
      </c>
      <c r="M632" s="3">
        <v>0.0</v>
      </c>
      <c r="N632" s="3">
        <v>7015.44</v>
      </c>
      <c r="O632" s="3">
        <v>1997.0</v>
      </c>
      <c r="P632" s="3" t="e">
        <v>#N/A</v>
      </c>
      <c r="Q632" s="3">
        <v>58.0</v>
      </c>
      <c r="R632" s="3">
        <v>52.0</v>
      </c>
      <c r="S632" s="3">
        <v>54.0</v>
      </c>
      <c r="T632" s="3">
        <v>50.0</v>
      </c>
      <c r="U632" s="3">
        <v>59.0</v>
      </c>
      <c r="V632" s="3">
        <v>59.0</v>
      </c>
      <c r="W632" s="3">
        <v>51.0</v>
      </c>
      <c r="X632" s="3">
        <v>58.0</v>
      </c>
      <c r="Y632" s="3">
        <v>68.0</v>
      </c>
      <c r="Z632" s="3">
        <v>52.0</v>
      </c>
      <c r="AA632" s="3">
        <v>57.0</v>
      </c>
      <c r="AB632" s="3">
        <v>70.0</v>
      </c>
      <c r="AC632" s="3">
        <v>53.0</v>
      </c>
      <c r="AD632" s="3">
        <v>51.0</v>
      </c>
      <c r="AE632" s="3">
        <v>52.0</v>
      </c>
      <c r="AF632" s="3">
        <v>46.0</v>
      </c>
      <c r="AG632" s="3">
        <v>52.0</v>
      </c>
      <c r="AH632" s="3">
        <v>51.0</v>
      </c>
      <c r="AI632" s="3">
        <v>43.0</v>
      </c>
      <c r="AJ632" s="3">
        <v>63.0</v>
      </c>
      <c r="AK632" s="3">
        <v>56.0</v>
      </c>
      <c r="AL632" s="3">
        <v>47.0</v>
      </c>
      <c r="AM632" s="3">
        <v>63.0</v>
      </c>
      <c r="AN632" s="3">
        <v>47.0</v>
      </c>
    </row>
    <row r="633" ht="14.25" customHeight="1">
      <c r="A633" s="3">
        <v>631.0</v>
      </c>
      <c r="B633" s="3" t="s">
        <v>7809</v>
      </c>
      <c r="C633" s="3">
        <v>44.0</v>
      </c>
      <c r="D633" s="3" t="s">
        <v>6645</v>
      </c>
      <c r="E633" s="3" t="s">
        <v>6646</v>
      </c>
      <c r="F633" s="3" t="s">
        <v>6646</v>
      </c>
      <c r="G633" s="3" t="s">
        <v>6645</v>
      </c>
      <c r="H633" s="3" t="s">
        <v>6645</v>
      </c>
      <c r="I633" s="3" t="s">
        <v>6646</v>
      </c>
      <c r="J633" s="3">
        <v>23.0</v>
      </c>
      <c r="K633" s="3">
        <v>4.0</v>
      </c>
      <c r="L633" s="3">
        <v>0.0</v>
      </c>
      <c r="M633" s="3">
        <v>0.0</v>
      </c>
      <c r="N633" s="3">
        <v>7019.279</v>
      </c>
      <c r="O633" s="3">
        <v>1846.0</v>
      </c>
      <c r="P633" s="3" t="e">
        <v>#N/A</v>
      </c>
      <c r="Q633" s="3">
        <v>53.0</v>
      </c>
      <c r="R633" s="3">
        <v>58.0</v>
      </c>
      <c r="S633" s="3">
        <v>55.0</v>
      </c>
      <c r="T633" s="3">
        <v>54.0</v>
      </c>
      <c r="U633" s="3">
        <v>57.0</v>
      </c>
      <c r="V633" s="3">
        <v>52.0</v>
      </c>
      <c r="W633" s="3">
        <v>55.0</v>
      </c>
      <c r="X633" s="3">
        <v>55.0</v>
      </c>
      <c r="Y633" s="3">
        <v>68.0</v>
      </c>
      <c r="Z633" s="3">
        <v>52.0</v>
      </c>
      <c r="AA633" s="3">
        <v>59.0</v>
      </c>
      <c r="AB633" s="3">
        <v>65.0</v>
      </c>
      <c r="AC633" s="3">
        <v>58.0</v>
      </c>
      <c r="AD633" s="3">
        <v>53.0</v>
      </c>
      <c r="AE633" s="3">
        <v>46.0</v>
      </c>
      <c r="AF633" s="3">
        <v>46.0</v>
      </c>
      <c r="AG633" s="3">
        <v>46.0</v>
      </c>
      <c r="AH633" s="3">
        <v>53.0</v>
      </c>
      <c r="AI633" s="3">
        <v>43.0</v>
      </c>
      <c r="AJ633" s="3">
        <v>46.0</v>
      </c>
      <c r="AK633" s="3">
        <v>47.0</v>
      </c>
      <c r="AL633" s="3">
        <v>42.0</v>
      </c>
      <c r="AM633" s="3">
        <v>50.0</v>
      </c>
      <c r="AN633" s="3">
        <v>47.0</v>
      </c>
    </row>
    <row r="634" ht="14.25" customHeight="1">
      <c r="A634" s="3">
        <v>632.0</v>
      </c>
      <c r="B634" s="3" t="s">
        <v>7810</v>
      </c>
      <c r="C634" s="3">
        <v>39.0</v>
      </c>
      <c r="D634" s="3" t="s">
        <v>6645</v>
      </c>
      <c r="E634" s="3" t="s">
        <v>6646</v>
      </c>
      <c r="F634" s="3" t="s">
        <v>6646</v>
      </c>
      <c r="G634" s="3" t="s">
        <v>6645</v>
      </c>
      <c r="H634" s="3" t="s">
        <v>6645</v>
      </c>
      <c r="I634" s="3" t="s">
        <v>6645</v>
      </c>
      <c r="J634" s="3">
        <v>23.0</v>
      </c>
      <c r="K634" s="3">
        <v>3.0</v>
      </c>
      <c r="L634" s="3">
        <v>0.0</v>
      </c>
      <c r="M634" s="3">
        <v>0.0</v>
      </c>
      <c r="N634" s="3">
        <v>4584.4067</v>
      </c>
      <c r="O634" s="3">
        <v>683.0</v>
      </c>
      <c r="P634" s="3" t="e">
        <v>#N/A</v>
      </c>
      <c r="Q634" s="3">
        <v>51.0</v>
      </c>
      <c r="R634" s="3">
        <v>53.0</v>
      </c>
      <c r="S634" s="3">
        <v>49.0</v>
      </c>
      <c r="T634" s="3">
        <v>48.0</v>
      </c>
      <c r="U634" s="3">
        <v>52.0</v>
      </c>
      <c r="V634" s="3">
        <v>54.0</v>
      </c>
      <c r="W634" s="3">
        <v>48.0</v>
      </c>
      <c r="X634" s="3">
        <v>49.0</v>
      </c>
      <c r="Y634" s="3">
        <v>60.0</v>
      </c>
      <c r="Z634" s="3">
        <v>45.0</v>
      </c>
      <c r="AA634" s="3">
        <v>47.0</v>
      </c>
      <c r="AB634" s="3">
        <v>53.0</v>
      </c>
      <c r="AC634" s="3">
        <v>50.0</v>
      </c>
      <c r="AD634" s="3">
        <v>47.0</v>
      </c>
      <c r="AE634" s="3">
        <v>43.0</v>
      </c>
      <c r="AF634" s="3">
        <v>56.0</v>
      </c>
      <c r="AG634" s="3">
        <v>60.0</v>
      </c>
      <c r="AH634" s="3">
        <v>61.0</v>
      </c>
      <c r="AI634" s="3">
        <v>46.0</v>
      </c>
      <c r="AJ634" s="3">
        <v>54.0</v>
      </c>
      <c r="AK634" s="3">
        <v>40.0</v>
      </c>
      <c r="AL634" s="3">
        <v>42.0</v>
      </c>
      <c r="AM634" s="3">
        <v>53.0</v>
      </c>
      <c r="AN634" s="3">
        <v>46.0</v>
      </c>
    </row>
    <row r="635" ht="14.25" customHeight="1">
      <c r="A635" s="3">
        <v>633.0</v>
      </c>
      <c r="B635" s="3" t="s">
        <v>7811</v>
      </c>
      <c r="C635" s="3">
        <v>38.0</v>
      </c>
      <c r="D635" s="3" t="s">
        <v>6645</v>
      </c>
      <c r="E635" s="3" t="s">
        <v>6646</v>
      </c>
      <c r="F635" s="3" t="s">
        <v>6646</v>
      </c>
      <c r="G635" s="3" t="s">
        <v>6645</v>
      </c>
      <c r="H635" s="3" t="s">
        <v>6645</v>
      </c>
      <c r="I635" s="3" t="s">
        <v>6646</v>
      </c>
      <c r="J635" s="3">
        <v>23.0</v>
      </c>
      <c r="K635" s="3">
        <v>3.0</v>
      </c>
      <c r="L635" s="3">
        <v>0.0</v>
      </c>
      <c r="M635" s="3">
        <v>0.0</v>
      </c>
      <c r="N635" s="3">
        <v>4593.72</v>
      </c>
      <c r="O635" s="3">
        <v>889.0</v>
      </c>
      <c r="P635" s="3" t="e">
        <v>#N/A</v>
      </c>
      <c r="Q635" s="3">
        <v>51.0</v>
      </c>
      <c r="R635" s="3">
        <v>46.0</v>
      </c>
      <c r="S635" s="3">
        <v>46.0</v>
      </c>
      <c r="T635" s="3">
        <v>46.0</v>
      </c>
      <c r="U635" s="3">
        <v>54.0</v>
      </c>
      <c r="V635" s="3">
        <v>52.0</v>
      </c>
      <c r="W635" s="3">
        <v>43.0</v>
      </c>
      <c r="X635" s="3">
        <v>43.0</v>
      </c>
      <c r="Y635" s="3">
        <v>55.0</v>
      </c>
      <c r="Z635" s="3">
        <v>53.0</v>
      </c>
      <c r="AA635" s="3">
        <v>49.0</v>
      </c>
      <c r="AB635" s="3">
        <v>60.0</v>
      </c>
      <c r="AC635" s="3">
        <v>48.0</v>
      </c>
      <c r="AD635" s="3">
        <v>45.0</v>
      </c>
      <c r="AE635" s="3">
        <v>49.0</v>
      </c>
      <c r="AF635" s="3">
        <v>63.0</v>
      </c>
      <c r="AG635" s="3">
        <v>47.0</v>
      </c>
      <c r="AH635" s="3">
        <v>37.0</v>
      </c>
      <c r="AI635" s="3">
        <v>38.0</v>
      </c>
      <c r="AJ635" s="3">
        <v>61.0</v>
      </c>
      <c r="AK635" s="3">
        <v>42.0</v>
      </c>
      <c r="AL635" s="3">
        <v>65.0</v>
      </c>
      <c r="AM635" s="3">
        <v>63.0</v>
      </c>
      <c r="AN635" s="3">
        <v>56.0</v>
      </c>
    </row>
    <row r="636" ht="14.25" customHeight="1">
      <c r="A636" s="3">
        <v>634.0</v>
      </c>
      <c r="B636" s="3" t="s">
        <v>7812</v>
      </c>
      <c r="C636" s="3">
        <v>38.0</v>
      </c>
      <c r="D636" s="3" t="s">
        <v>6645</v>
      </c>
      <c r="E636" s="3" t="s">
        <v>6646</v>
      </c>
      <c r="F636" s="3" t="s">
        <v>6646</v>
      </c>
      <c r="G636" s="3" t="s">
        <v>6645</v>
      </c>
      <c r="H636" s="3" t="s">
        <v>6645</v>
      </c>
      <c r="I636" s="3" t="s">
        <v>6646</v>
      </c>
      <c r="J636" s="3">
        <v>23.0</v>
      </c>
      <c r="K636" s="3">
        <v>3.0</v>
      </c>
      <c r="L636" s="3">
        <v>0.0</v>
      </c>
      <c r="M636" s="3">
        <v>0.0</v>
      </c>
      <c r="N636" s="3">
        <v>4735.13</v>
      </c>
      <c r="O636" s="3">
        <v>731.0</v>
      </c>
      <c r="P636" s="3" t="e">
        <v>#N/A</v>
      </c>
      <c r="Q636" s="3">
        <v>47.0</v>
      </c>
      <c r="R636" s="3">
        <v>50.0</v>
      </c>
      <c r="S636" s="3">
        <v>53.0</v>
      </c>
      <c r="T636" s="3">
        <v>54.0</v>
      </c>
      <c r="U636" s="3">
        <v>50.0</v>
      </c>
      <c r="V636" s="3">
        <v>53.0</v>
      </c>
      <c r="W636" s="3">
        <v>50.0</v>
      </c>
      <c r="X636" s="3">
        <v>46.0</v>
      </c>
      <c r="Y636" s="3">
        <v>53.0</v>
      </c>
      <c r="Z636" s="3">
        <v>52.0</v>
      </c>
      <c r="AA636" s="3">
        <v>50.0</v>
      </c>
      <c r="AB636" s="3">
        <v>62.0</v>
      </c>
      <c r="AC636" s="3">
        <v>49.0</v>
      </c>
      <c r="AD636" s="3">
        <v>47.0</v>
      </c>
      <c r="AE636" s="3">
        <v>45.0</v>
      </c>
      <c r="AF636" s="3">
        <v>44.0</v>
      </c>
      <c r="AG636" s="3">
        <v>47.0</v>
      </c>
      <c r="AH636" s="3">
        <v>63.0</v>
      </c>
      <c r="AI636" s="3">
        <v>37.0</v>
      </c>
      <c r="AJ636" s="3">
        <v>60.0</v>
      </c>
      <c r="AK636" s="3">
        <v>62.0</v>
      </c>
      <c r="AL636" s="3">
        <v>63.0</v>
      </c>
      <c r="AM636" s="3">
        <v>36.0</v>
      </c>
      <c r="AN636" s="3">
        <v>46.0</v>
      </c>
    </row>
    <row r="637" ht="14.25" customHeight="1">
      <c r="A637" s="3">
        <v>635.0</v>
      </c>
      <c r="B637" s="3" t="s">
        <v>7813</v>
      </c>
      <c r="C637" s="3">
        <v>25.0</v>
      </c>
      <c r="D637" s="3" t="s">
        <v>6645</v>
      </c>
      <c r="E637" s="3" t="s">
        <v>6646</v>
      </c>
      <c r="F637" s="3" t="s">
        <v>6646</v>
      </c>
      <c r="G637" s="3" t="s">
        <v>6645</v>
      </c>
      <c r="H637" s="3" t="s">
        <v>6645</v>
      </c>
      <c r="I637" s="3" t="s">
        <v>6645</v>
      </c>
      <c r="J637" s="3">
        <v>23.0</v>
      </c>
      <c r="K637" s="3">
        <v>2.0</v>
      </c>
      <c r="L637" s="3">
        <v>0.0</v>
      </c>
      <c r="M637" s="3">
        <v>0.0</v>
      </c>
      <c r="N637" s="3">
        <v>2723.8356</v>
      </c>
      <c r="O637" s="3">
        <v>359.0</v>
      </c>
      <c r="P637" s="3" t="e">
        <v>#N/A</v>
      </c>
      <c r="Q637" s="3">
        <v>49.0</v>
      </c>
      <c r="R637" s="3">
        <v>42.0</v>
      </c>
      <c r="S637" s="3">
        <v>46.0</v>
      </c>
      <c r="T637" s="3">
        <v>43.0</v>
      </c>
      <c r="U637" s="3">
        <v>48.0</v>
      </c>
      <c r="V637" s="3">
        <v>41.0</v>
      </c>
      <c r="W637" s="3">
        <v>43.0</v>
      </c>
      <c r="X637" s="3">
        <v>40.0</v>
      </c>
      <c r="Y637" s="3">
        <v>47.0</v>
      </c>
      <c r="Z637" s="3">
        <v>41.0</v>
      </c>
      <c r="AA637" s="3">
        <v>42.0</v>
      </c>
      <c r="AB637" s="3">
        <v>47.0</v>
      </c>
      <c r="AC637" s="3">
        <v>44.0</v>
      </c>
      <c r="AD637" s="3">
        <v>45.0</v>
      </c>
      <c r="AE637" s="3">
        <v>49.0</v>
      </c>
      <c r="AF637" s="3">
        <v>47.0</v>
      </c>
      <c r="AG637" s="3">
        <v>52.0</v>
      </c>
      <c r="AH637" s="3">
        <v>39.0</v>
      </c>
      <c r="AI637" s="3">
        <v>55.0</v>
      </c>
      <c r="AJ637" s="3">
        <v>43.0</v>
      </c>
      <c r="AK637" s="3">
        <v>39.0</v>
      </c>
      <c r="AL637" s="3">
        <v>42.0</v>
      </c>
      <c r="AM637" s="3">
        <v>52.0</v>
      </c>
      <c r="AN637" s="3">
        <v>61.0</v>
      </c>
    </row>
    <row r="638" ht="14.25" customHeight="1">
      <c r="A638" s="3">
        <v>636.0</v>
      </c>
      <c r="B638" s="3" t="s">
        <v>7814</v>
      </c>
      <c r="C638" s="3">
        <v>32.0</v>
      </c>
      <c r="D638" s="3" t="s">
        <v>6645</v>
      </c>
      <c r="E638" s="3" t="s">
        <v>6646</v>
      </c>
      <c r="F638" s="3" t="s">
        <v>6646</v>
      </c>
      <c r="G638" s="3" t="s">
        <v>6645</v>
      </c>
      <c r="H638" s="3" t="s">
        <v>6645</v>
      </c>
      <c r="I638" s="3" t="s">
        <v>6646</v>
      </c>
      <c r="J638" s="3">
        <v>23.0</v>
      </c>
      <c r="K638" s="3">
        <v>2.0</v>
      </c>
      <c r="L638" s="3">
        <v>0.0</v>
      </c>
      <c r="M638" s="3">
        <v>0.0</v>
      </c>
      <c r="N638" s="3">
        <v>2823.36</v>
      </c>
      <c r="O638" s="3">
        <v>329.0</v>
      </c>
      <c r="P638" s="3" t="e">
        <v>#N/A</v>
      </c>
      <c r="Q638" s="3">
        <v>41.0</v>
      </c>
      <c r="R638" s="3">
        <v>46.0</v>
      </c>
      <c r="S638" s="3">
        <v>40.0</v>
      </c>
      <c r="T638" s="3">
        <v>45.0</v>
      </c>
      <c r="U638" s="3">
        <v>44.0</v>
      </c>
      <c r="V638" s="3">
        <v>46.0</v>
      </c>
      <c r="W638" s="3">
        <v>37.0</v>
      </c>
      <c r="X638" s="3">
        <v>36.0</v>
      </c>
      <c r="Y638" s="3">
        <v>51.0</v>
      </c>
      <c r="Z638" s="3">
        <v>44.0</v>
      </c>
      <c r="AA638" s="3">
        <v>40.0</v>
      </c>
      <c r="AB638" s="3">
        <v>49.0</v>
      </c>
      <c r="AC638" s="3">
        <v>45.0</v>
      </c>
      <c r="AD638" s="3">
        <v>40.0</v>
      </c>
      <c r="AE638" s="3">
        <v>45.0</v>
      </c>
      <c r="AF638" s="3">
        <v>58.0</v>
      </c>
      <c r="AG638" s="3">
        <v>56.0</v>
      </c>
      <c r="AH638" s="3">
        <v>34.0</v>
      </c>
      <c r="AI638" s="3">
        <v>36.0</v>
      </c>
      <c r="AJ638" s="3">
        <v>59.0</v>
      </c>
      <c r="AK638" s="3">
        <v>54.0</v>
      </c>
      <c r="AL638" s="3">
        <v>61.0</v>
      </c>
      <c r="AM638" s="3">
        <v>46.0</v>
      </c>
      <c r="AN638" s="3">
        <v>36.0</v>
      </c>
    </row>
    <row r="639" ht="14.25" customHeight="1">
      <c r="A639" s="3">
        <v>637.0</v>
      </c>
      <c r="B639" s="3" t="s">
        <v>7815</v>
      </c>
      <c r="C639" s="3">
        <v>34.0</v>
      </c>
      <c r="D639" s="3" t="s">
        <v>6645</v>
      </c>
      <c r="E639" s="3" t="s">
        <v>6646</v>
      </c>
      <c r="F639" s="3" t="s">
        <v>6646</v>
      </c>
      <c r="G639" s="3" t="s">
        <v>6645</v>
      </c>
      <c r="H639" s="3" t="s">
        <v>6645</v>
      </c>
      <c r="I639" s="3" t="s">
        <v>6645</v>
      </c>
      <c r="J639" s="3">
        <v>23.0</v>
      </c>
      <c r="K639" s="3">
        <v>2.0</v>
      </c>
      <c r="L639" s="3">
        <v>0.0</v>
      </c>
      <c r="M639" s="3">
        <v>0.0</v>
      </c>
      <c r="N639" s="3">
        <v>2796.6713</v>
      </c>
      <c r="O639" s="3">
        <v>470.0</v>
      </c>
      <c r="P639" s="3" t="e">
        <v>#N/A</v>
      </c>
      <c r="Q639" s="3">
        <v>47.0</v>
      </c>
      <c r="R639" s="3">
        <v>41.0</v>
      </c>
      <c r="S639" s="3">
        <v>42.0</v>
      </c>
      <c r="T639" s="3">
        <v>43.0</v>
      </c>
      <c r="U639" s="3">
        <v>44.0</v>
      </c>
      <c r="V639" s="3">
        <v>44.0</v>
      </c>
      <c r="W639" s="3">
        <v>46.0</v>
      </c>
      <c r="X639" s="3">
        <v>44.0</v>
      </c>
      <c r="Y639" s="3">
        <v>45.0</v>
      </c>
      <c r="Z639" s="3">
        <v>44.0</v>
      </c>
      <c r="AA639" s="3">
        <v>41.0</v>
      </c>
      <c r="AB639" s="3">
        <v>48.0</v>
      </c>
      <c r="AC639" s="3">
        <v>44.0</v>
      </c>
      <c r="AD639" s="3">
        <v>41.0</v>
      </c>
      <c r="AE639" s="3">
        <v>47.0</v>
      </c>
      <c r="AF639" s="3">
        <v>54.0</v>
      </c>
      <c r="AG639" s="3">
        <v>38.0</v>
      </c>
      <c r="AH639" s="3">
        <v>53.0</v>
      </c>
      <c r="AI639" s="3">
        <v>49.0</v>
      </c>
      <c r="AJ639" s="3">
        <v>34.0</v>
      </c>
      <c r="AK639" s="3">
        <v>45.0</v>
      </c>
      <c r="AL639" s="3">
        <v>58.0</v>
      </c>
      <c r="AM639" s="3">
        <v>39.0</v>
      </c>
      <c r="AN639" s="3">
        <v>44.0</v>
      </c>
    </row>
    <row r="640" ht="14.25" customHeight="1">
      <c r="A640" s="3">
        <v>638.0</v>
      </c>
      <c r="B640" s="3" t="s">
        <v>7816</v>
      </c>
      <c r="C640" s="3">
        <v>26.0</v>
      </c>
      <c r="D640" s="3" t="s">
        <v>6645</v>
      </c>
      <c r="E640" s="3" t="s">
        <v>6646</v>
      </c>
      <c r="F640" s="3" t="s">
        <v>6646</v>
      </c>
      <c r="G640" s="3" t="s">
        <v>6645</v>
      </c>
      <c r="H640" s="3" t="s">
        <v>6645</v>
      </c>
      <c r="I640" s="3" t="s">
        <v>6646</v>
      </c>
      <c r="J640" s="3">
        <v>23.0</v>
      </c>
      <c r="K640" s="3">
        <v>1.0</v>
      </c>
      <c r="L640" s="3">
        <v>0.0</v>
      </c>
      <c r="M640" s="3">
        <v>0.0</v>
      </c>
      <c r="N640" s="3">
        <v>1369.4268</v>
      </c>
      <c r="O640" s="3">
        <v>229.0</v>
      </c>
      <c r="P640" s="3" t="e">
        <v>#N/A</v>
      </c>
      <c r="Q640" s="3">
        <v>38.0</v>
      </c>
      <c r="R640" s="3">
        <v>42.0</v>
      </c>
      <c r="S640" s="3">
        <v>39.0</v>
      </c>
      <c r="T640" s="3">
        <v>39.0</v>
      </c>
      <c r="U640" s="3">
        <v>36.0</v>
      </c>
      <c r="V640" s="3">
        <v>40.0</v>
      </c>
      <c r="W640" s="3">
        <v>39.0</v>
      </c>
      <c r="X640" s="3">
        <v>43.0</v>
      </c>
      <c r="Y640" s="3">
        <v>43.0</v>
      </c>
      <c r="Z640" s="3">
        <v>43.0</v>
      </c>
      <c r="AA640" s="3">
        <v>35.0</v>
      </c>
      <c r="AB640" s="3">
        <v>42.0</v>
      </c>
      <c r="AC640" s="3">
        <v>30.0</v>
      </c>
      <c r="AD640" s="3">
        <v>37.0</v>
      </c>
      <c r="AE640" s="3">
        <v>37.0</v>
      </c>
      <c r="AF640" s="3">
        <v>58.0</v>
      </c>
      <c r="AG640" s="3">
        <v>43.0</v>
      </c>
      <c r="AH640" s="3">
        <v>39.0</v>
      </c>
      <c r="AI640" s="3">
        <v>43.0</v>
      </c>
      <c r="AJ640" s="3">
        <v>58.0</v>
      </c>
      <c r="AK640" s="3">
        <v>37.0</v>
      </c>
      <c r="AL640" s="3">
        <v>52.0</v>
      </c>
      <c r="AM640" s="3">
        <v>47.0</v>
      </c>
      <c r="AN640" s="3">
        <v>46.0</v>
      </c>
    </row>
    <row r="641" ht="14.25" customHeight="1">
      <c r="A641" s="3">
        <v>639.0</v>
      </c>
      <c r="B641" s="3" t="s">
        <v>7817</v>
      </c>
      <c r="C641" s="3">
        <v>29.0</v>
      </c>
      <c r="D641" s="3" t="s">
        <v>6645</v>
      </c>
      <c r="E641" s="3" t="s">
        <v>6646</v>
      </c>
      <c r="F641" s="3" t="s">
        <v>6646</v>
      </c>
      <c r="G641" s="3" t="s">
        <v>6645</v>
      </c>
      <c r="H641" s="3" t="s">
        <v>6645</v>
      </c>
      <c r="I641" s="3" t="s">
        <v>6646</v>
      </c>
      <c r="J641" s="3">
        <v>23.0</v>
      </c>
      <c r="K641" s="3">
        <v>1.0</v>
      </c>
      <c r="L641" s="3">
        <v>0.0</v>
      </c>
      <c r="M641" s="3">
        <v>0.0</v>
      </c>
      <c r="N641" s="3">
        <v>1177.6589</v>
      </c>
      <c r="O641" s="3">
        <v>226.0</v>
      </c>
      <c r="P641" s="3" t="e">
        <v>#N/A</v>
      </c>
      <c r="Q641" s="3">
        <v>42.0</v>
      </c>
      <c r="R641" s="3">
        <v>37.0</v>
      </c>
      <c r="S641" s="3">
        <v>37.0</v>
      </c>
      <c r="T641" s="3">
        <v>36.0</v>
      </c>
      <c r="U641" s="3">
        <v>37.0</v>
      </c>
      <c r="V641" s="3">
        <v>38.0</v>
      </c>
      <c r="W641" s="3">
        <v>37.0</v>
      </c>
      <c r="X641" s="3">
        <v>37.0</v>
      </c>
      <c r="Y641" s="3">
        <v>45.0</v>
      </c>
      <c r="Z641" s="3">
        <v>36.0</v>
      </c>
      <c r="AA641" s="3">
        <v>44.0</v>
      </c>
      <c r="AB641" s="3">
        <v>45.0</v>
      </c>
      <c r="AC641" s="3">
        <v>29.0</v>
      </c>
      <c r="AD641" s="3">
        <v>37.0</v>
      </c>
      <c r="AE641" s="3">
        <v>38.0</v>
      </c>
      <c r="AF641" s="3">
        <v>42.0</v>
      </c>
      <c r="AG641" s="3">
        <v>45.0</v>
      </c>
      <c r="AH641" s="3">
        <v>35.0</v>
      </c>
      <c r="AI641" s="3">
        <v>43.0</v>
      </c>
      <c r="AJ641" s="3">
        <v>54.0</v>
      </c>
      <c r="AK641" s="3">
        <v>56.0</v>
      </c>
      <c r="AL641" s="3">
        <v>57.0</v>
      </c>
      <c r="AM641" s="3">
        <v>37.0</v>
      </c>
      <c r="AN641" s="3">
        <v>48.0</v>
      </c>
    </row>
    <row r="642" ht="14.25" customHeight="1">
      <c r="A642" s="3">
        <v>640.0</v>
      </c>
      <c r="B642" s="3" t="s">
        <v>7818</v>
      </c>
      <c r="C642" s="3">
        <v>21.0</v>
      </c>
      <c r="D642" s="3" t="s">
        <v>6645</v>
      </c>
      <c r="E642" s="3" t="s">
        <v>6646</v>
      </c>
      <c r="F642" s="3" t="s">
        <v>6646</v>
      </c>
      <c r="G642" s="3" t="s">
        <v>6645</v>
      </c>
      <c r="H642" s="3" t="s">
        <v>6645</v>
      </c>
      <c r="I642" s="3" t="s">
        <v>6645</v>
      </c>
      <c r="J642" s="3">
        <v>23.0</v>
      </c>
      <c r="K642" s="3">
        <v>1.0</v>
      </c>
      <c r="L642" s="3">
        <v>0.0</v>
      </c>
      <c r="M642" s="3">
        <v>0.0</v>
      </c>
      <c r="N642" s="3">
        <v>1171.1862</v>
      </c>
      <c r="O642" s="3">
        <v>156.0</v>
      </c>
      <c r="P642" s="3" t="e">
        <v>#N/A</v>
      </c>
      <c r="Q642" s="3">
        <v>37.0</v>
      </c>
      <c r="R642" s="3">
        <v>42.0</v>
      </c>
      <c r="S642" s="3">
        <v>40.0</v>
      </c>
      <c r="T642" s="3">
        <v>37.0</v>
      </c>
      <c r="U642" s="3">
        <v>43.0</v>
      </c>
      <c r="V642" s="3">
        <v>41.0</v>
      </c>
      <c r="W642" s="3">
        <v>43.0</v>
      </c>
      <c r="X642" s="3">
        <v>43.0</v>
      </c>
      <c r="Y642" s="3">
        <v>43.0</v>
      </c>
      <c r="Z642" s="3">
        <v>36.0</v>
      </c>
      <c r="AA642" s="3">
        <v>36.0</v>
      </c>
      <c r="AB642" s="3">
        <v>46.0</v>
      </c>
      <c r="AC642" s="3">
        <v>32.0</v>
      </c>
      <c r="AD642" s="3">
        <v>37.0</v>
      </c>
      <c r="AE642" s="3">
        <v>30.0</v>
      </c>
      <c r="AF642" s="3">
        <v>47.0</v>
      </c>
      <c r="AG642" s="3">
        <v>61.0</v>
      </c>
      <c r="AH642" s="3">
        <v>36.0</v>
      </c>
      <c r="AI642" s="3">
        <v>52.0</v>
      </c>
      <c r="AJ642" s="3">
        <v>37.0</v>
      </c>
      <c r="AK642" s="3">
        <v>37.0</v>
      </c>
      <c r="AL642" s="3">
        <v>32.0</v>
      </c>
      <c r="AM642" s="3">
        <v>37.0</v>
      </c>
      <c r="AN642" s="3">
        <v>61.0</v>
      </c>
    </row>
    <row r="643" ht="14.25" customHeight="1">
      <c r="A643" s="3">
        <v>641.0</v>
      </c>
      <c r="B643" s="3" t="s">
        <v>7819</v>
      </c>
      <c r="C643" s="3">
        <v>29.0</v>
      </c>
      <c r="D643" s="3" t="s">
        <v>6645</v>
      </c>
      <c r="E643" s="3" t="s">
        <v>6646</v>
      </c>
      <c r="F643" s="3" t="s">
        <v>6646</v>
      </c>
      <c r="G643" s="3" t="s">
        <v>6645</v>
      </c>
      <c r="H643" s="3" t="s">
        <v>6645</v>
      </c>
      <c r="I643" s="3" t="s">
        <v>6646</v>
      </c>
      <c r="J643" s="3">
        <v>23.0</v>
      </c>
      <c r="K643" s="3">
        <v>1.0</v>
      </c>
      <c r="L643" s="3">
        <v>0.0</v>
      </c>
      <c r="M643" s="3">
        <v>0.0</v>
      </c>
      <c r="N643" s="3">
        <v>1334.3476</v>
      </c>
      <c r="O643" s="3">
        <v>243.0</v>
      </c>
      <c r="P643" s="3" t="e">
        <v>#N/A</v>
      </c>
      <c r="Q643" s="3">
        <v>43.0</v>
      </c>
      <c r="R643" s="3">
        <v>35.0</v>
      </c>
      <c r="S643" s="3">
        <v>38.0</v>
      </c>
      <c r="T643" s="3">
        <v>43.0</v>
      </c>
      <c r="U643" s="3">
        <v>35.0</v>
      </c>
      <c r="V643" s="3">
        <v>43.0</v>
      </c>
      <c r="W643" s="3">
        <v>30.0</v>
      </c>
      <c r="X643" s="3">
        <v>37.0</v>
      </c>
      <c r="Y643" s="3">
        <v>46.0</v>
      </c>
      <c r="Z643" s="3">
        <v>42.0</v>
      </c>
      <c r="AA643" s="3">
        <v>42.0</v>
      </c>
      <c r="AB643" s="3">
        <v>47.0</v>
      </c>
      <c r="AC643" s="3">
        <v>44.0</v>
      </c>
      <c r="AD643" s="3">
        <v>36.0</v>
      </c>
      <c r="AE643" s="3">
        <v>39.0</v>
      </c>
      <c r="AF643" s="3">
        <v>42.0</v>
      </c>
      <c r="AG643" s="3">
        <v>46.0</v>
      </c>
      <c r="AH643" s="3">
        <v>41.0</v>
      </c>
      <c r="AI643" s="3">
        <v>36.0</v>
      </c>
      <c r="AJ643" s="3">
        <v>59.0</v>
      </c>
      <c r="AK643" s="3">
        <v>37.0</v>
      </c>
      <c r="AL643" s="3">
        <v>54.0</v>
      </c>
      <c r="AM643" s="3">
        <v>58.0</v>
      </c>
      <c r="AN643" s="3">
        <v>47.0</v>
      </c>
    </row>
    <row r="644" ht="14.25" customHeight="1">
      <c r="A644" s="3">
        <v>642.0</v>
      </c>
      <c r="B644" s="3" t="s">
        <v>7820</v>
      </c>
      <c r="C644" s="3">
        <v>23.0</v>
      </c>
      <c r="D644" s="3" t="s">
        <v>6645</v>
      </c>
      <c r="E644" s="3" t="s">
        <v>6646</v>
      </c>
      <c r="F644" s="3" t="s">
        <v>6646</v>
      </c>
      <c r="G644" s="3" t="s">
        <v>6645</v>
      </c>
      <c r="H644" s="3" t="s">
        <v>6645</v>
      </c>
      <c r="I644" s="3" t="s">
        <v>6646</v>
      </c>
      <c r="J644" s="3">
        <v>23.0</v>
      </c>
      <c r="K644" s="3">
        <v>0.0</v>
      </c>
      <c r="L644" s="3">
        <v>0.0</v>
      </c>
      <c r="M644" s="3">
        <v>0.0</v>
      </c>
      <c r="N644" s="3">
        <v>461.66714</v>
      </c>
      <c r="O644" s="3">
        <v>85.0</v>
      </c>
      <c r="P644" s="3" t="e">
        <v>#N/A</v>
      </c>
      <c r="Q644" s="3">
        <v>36.0</v>
      </c>
      <c r="R644" s="3">
        <v>38.0</v>
      </c>
      <c r="S644" s="3">
        <v>38.0</v>
      </c>
      <c r="T644" s="3">
        <v>31.0</v>
      </c>
      <c r="U644" s="3">
        <v>37.0</v>
      </c>
      <c r="V644" s="3">
        <v>31.0</v>
      </c>
      <c r="W644" s="3">
        <v>39.0</v>
      </c>
      <c r="X644" s="3">
        <v>39.0</v>
      </c>
      <c r="Y644" s="3">
        <v>47.0</v>
      </c>
      <c r="Z644" s="3">
        <v>29.0</v>
      </c>
      <c r="AA644" s="3">
        <v>35.0</v>
      </c>
      <c r="AB644" s="3">
        <v>39.0</v>
      </c>
      <c r="AC644" s="3">
        <v>39.0</v>
      </c>
      <c r="AD644" s="3">
        <v>30.0</v>
      </c>
      <c r="AE644" s="3">
        <v>27.0</v>
      </c>
      <c r="AF644" s="3">
        <v>46.0</v>
      </c>
      <c r="AG644" s="3">
        <v>36.0</v>
      </c>
      <c r="AH644" s="3">
        <v>58.0</v>
      </c>
      <c r="AI644" s="3">
        <v>56.0</v>
      </c>
      <c r="AJ644" s="3">
        <v>53.0</v>
      </c>
      <c r="AK644" s="3">
        <v>45.0</v>
      </c>
      <c r="AL644" s="3">
        <v>54.0</v>
      </c>
      <c r="AM644" s="3">
        <v>57.0</v>
      </c>
      <c r="AN644" s="3">
        <v>37.0</v>
      </c>
    </row>
    <row r="645" ht="14.25" customHeight="1">
      <c r="A645" s="3">
        <v>643.0</v>
      </c>
      <c r="B645" s="3" t="s">
        <v>7821</v>
      </c>
      <c r="C645" s="3">
        <v>20.0</v>
      </c>
      <c r="D645" s="3" t="s">
        <v>6645</v>
      </c>
      <c r="E645" s="3" t="s">
        <v>6646</v>
      </c>
      <c r="F645" s="3" t="s">
        <v>6646</v>
      </c>
      <c r="G645" s="3" t="s">
        <v>6645</v>
      </c>
      <c r="H645" s="3" t="s">
        <v>6645</v>
      </c>
      <c r="I645" s="3" t="s">
        <v>6645</v>
      </c>
      <c r="J645" s="3">
        <v>23.0</v>
      </c>
      <c r="K645" s="3">
        <v>0.0</v>
      </c>
      <c r="L645" s="3">
        <v>0.0</v>
      </c>
      <c r="M645" s="3">
        <v>0.0</v>
      </c>
      <c r="N645" s="3">
        <v>471.37316</v>
      </c>
      <c r="O645" s="3">
        <v>105.0</v>
      </c>
      <c r="P645" s="3" t="e">
        <v>#N/A</v>
      </c>
      <c r="Q645" s="3">
        <v>39.0</v>
      </c>
      <c r="R645" s="3">
        <v>32.0</v>
      </c>
      <c r="S645" s="3">
        <v>31.0</v>
      </c>
      <c r="T645" s="3">
        <v>38.0</v>
      </c>
      <c r="U645" s="3">
        <v>38.0</v>
      </c>
      <c r="V645" s="3">
        <v>36.0</v>
      </c>
      <c r="W645" s="3">
        <v>32.0</v>
      </c>
      <c r="X645" s="3">
        <v>35.0</v>
      </c>
      <c r="Y645" s="3">
        <v>38.0</v>
      </c>
      <c r="Z645" s="3">
        <v>37.0</v>
      </c>
      <c r="AA645" s="3">
        <v>32.0</v>
      </c>
      <c r="AB645" s="3">
        <v>39.0</v>
      </c>
      <c r="AC645" s="3">
        <v>33.0</v>
      </c>
      <c r="AD645" s="3">
        <v>26.0</v>
      </c>
      <c r="AE645" s="3">
        <v>35.0</v>
      </c>
      <c r="AF645" s="3">
        <v>30.0</v>
      </c>
      <c r="AG645" s="3">
        <v>40.0</v>
      </c>
      <c r="AH645" s="3">
        <v>54.0</v>
      </c>
      <c r="AI645" s="3">
        <v>38.0</v>
      </c>
      <c r="AJ645" s="3">
        <v>40.0</v>
      </c>
      <c r="AK645" s="3">
        <v>48.0</v>
      </c>
      <c r="AL645" s="3">
        <v>54.0</v>
      </c>
      <c r="AM645" s="3">
        <v>43.0</v>
      </c>
      <c r="AN645" s="3">
        <v>45.0</v>
      </c>
    </row>
    <row r="646" ht="14.25" customHeight="1">
      <c r="A646" s="3">
        <v>644.0</v>
      </c>
      <c r="B646" s="3" t="s">
        <v>7822</v>
      </c>
      <c r="C646" s="3">
        <v>24.0</v>
      </c>
      <c r="D646" s="3" t="s">
        <v>6645</v>
      </c>
      <c r="E646" s="3" t="s">
        <v>6646</v>
      </c>
      <c r="F646" s="3" t="s">
        <v>6646</v>
      </c>
      <c r="G646" s="3" t="s">
        <v>6645</v>
      </c>
      <c r="H646" s="3" t="s">
        <v>6645</v>
      </c>
      <c r="I646" s="3" t="s">
        <v>6646</v>
      </c>
      <c r="J646" s="3">
        <v>23.0</v>
      </c>
      <c r="K646" s="3">
        <v>0.0</v>
      </c>
      <c r="L646" s="3">
        <v>0.0</v>
      </c>
      <c r="M646" s="3">
        <v>0.0</v>
      </c>
      <c r="N646" s="3">
        <v>484.81246</v>
      </c>
      <c r="O646" s="3">
        <v>115.0</v>
      </c>
      <c r="P646" s="3" t="e">
        <v>#N/A</v>
      </c>
      <c r="Q646" s="3">
        <v>31.0</v>
      </c>
      <c r="R646" s="3">
        <v>31.0</v>
      </c>
      <c r="S646" s="3">
        <v>34.0</v>
      </c>
      <c r="T646" s="3">
        <v>30.0</v>
      </c>
      <c r="U646" s="3">
        <v>32.0</v>
      </c>
      <c r="V646" s="3">
        <v>38.0</v>
      </c>
      <c r="W646" s="3">
        <v>33.0</v>
      </c>
      <c r="X646" s="3">
        <v>36.0</v>
      </c>
      <c r="Y646" s="3">
        <v>43.0</v>
      </c>
      <c r="Z646" s="3">
        <v>31.0</v>
      </c>
      <c r="AA646" s="3">
        <v>27.0</v>
      </c>
      <c r="AB646" s="3">
        <v>42.0</v>
      </c>
      <c r="AC646" s="3">
        <v>30.0</v>
      </c>
      <c r="AD646" s="3">
        <v>32.0</v>
      </c>
      <c r="AE646" s="3">
        <v>39.0</v>
      </c>
      <c r="AF646" s="3">
        <v>46.0</v>
      </c>
      <c r="AG646" s="3">
        <v>39.0</v>
      </c>
      <c r="AH646" s="3">
        <v>47.0</v>
      </c>
      <c r="AI646" s="3">
        <v>41.0</v>
      </c>
      <c r="AJ646" s="3">
        <v>45.0</v>
      </c>
      <c r="AK646" s="3">
        <v>48.0</v>
      </c>
      <c r="AL646" s="3">
        <v>33.0</v>
      </c>
      <c r="AM646" s="3">
        <v>31.0</v>
      </c>
      <c r="AN646" s="3">
        <v>46.0</v>
      </c>
    </row>
    <row r="647" ht="14.25" customHeight="1">
      <c r="A647" s="3">
        <v>645.0</v>
      </c>
      <c r="B647" s="3" t="s">
        <v>7823</v>
      </c>
      <c r="C647" s="3">
        <v>15.0</v>
      </c>
      <c r="D647" s="3" t="s">
        <v>6645</v>
      </c>
      <c r="E647" s="3" t="s">
        <v>6646</v>
      </c>
      <c r="F647" s="3" t="s">
        <v>6646</v>
      </c>
      <c r="G647" s="3" t="s">
        <v>6645</v>
      </c>
      <c r="H647" s="3" t="s">
        <v>6645</v>
      </c>
      <c r="I647" s="3" t="s">
        <v>6645</v>
      </c>
      <c r="J647" s="3">
        <v>23.0</v>
      </c>
      <c r="K647" s="3">
        <v>0.0</v>
      </c>
      <c r="L647" s="3">
        <v>0.0</v>
      </c>
      <c r="M647" s="3">
        <v>0.0</v>
      </c>
      <c r="N647" s="3">
        <v>471.57592</v>
      </c>
      <c r="O647" s="3">
        <v>101.0</v>
      </c>
      <c r="P647" s="3" t="e">
        <v>#N/A</v>
      </c>
      <c r="Q647" s="3">
        <v>37.0</v>
      </c>
      <c r="R647" s="3">
        <v>31.0</v>
      </c>
      <c r="S647" s="3">
        <v>35.0</v>
      </c>
      <c r="T647" s="3">
        <v>37.0</v>
      </c>
      <c r="U647" s="3">
        <v>33.0</v>
      </c>
      <c r="V647" s="3">
        <v>35.0</v>
      </c>
      <c r="W647" s="3">
        <v>28.0</v>
      </c>
      <c r="X647" s="3">
        <v>33.0</v>
      </c>
      <c r="Y647" s="3">
        <v>42.0</v>
      </c>
      <c r="Z647" s="3">
        <v>33.0</v>
      </c>
      <c r="AA647" s="3">
        <v>29.0</v>
      </c>
      <c r="AB647" s="3">
        <v>44.0</v>
      </c>
      <c r="AC647" s="3">
        <v>30.0</v>
      </c>
      <c r="AD647" s="3">
        <v>33.0</v>
      </c>
      <c r="AE647" s="3">
        <v>33.0</v>
      </c>
      <c r="AF647" s="3">
        <v>40.0</v>
      </c>
      <c r="AG647" s="3">
        <v>40.0</v>
      </c>
      <c r="AH647" s="3">
        <v>45.0</v>
      </c>
      <c r="AI647" s="3">
        <v>34.0</v>
      </c>
      <c r="AJ647" s="3">
        <v>44.0</v>
      </c>
      <c r="AK647" s="3">
        <v>33.0</v>
      </c>
      <c r="AL647" s="3">
        <v>46.0</v>
      </c>
      <c r="AM647" s="3">
        <v>35.0</v>
      </c>
      <c r="AN647" s="3">
        <v>52.0</v>
      </c>
    </row>
    <row r="648" ht="14.25" customHeight="1">
      <c r="A648" s="3">
        <v>646.0</v>
      </c>
      <c r="B648" s="3" t="s">
        <v>7824</v>
      </c>
      <c r="C648" s="3">
        <v>35.0</v>
      </c>
      <c r="D648" s="3" t="s">
        <v>6645</v>
      </c>
      <c r="E648" s="3" t="s">
        <v>6646</v>
      </c>
      <c r="F648" s="3" t="s">
        <v>6646</v>
      </c>
      <c r="G648" s="3" t="s">
        <v>6645</v>
      </c>
      <c r="H648" s="3" t="s">
        <v>6645</v>
      </c>
      <c r="I648" s="3" t="s">
        <v>6646</v>
      </c>
      <c r="J648" s="3">
        <v>24.0</v>
      </c>
      <c r="K648" s="3">
        <v>3.0</v>
      </c>
      <c r="L648" s="3">
        <v>0.0</v>
      </c>
      <c r="M648" s="3">
        <v>0.0</v>
      </c>
      <c r="N648" s="3">
        <v>5600.55</v>
      </c>
      <c r="O648" s="3">
        <v>932.0</v>
      </c>
      <c r="P648" s="3" t="e">
        <v>#N/A</v>
      </c>
      <c r="Q648" s="3">
        <v>55.0</v>
      </c>
      <c r="R648" s="3">
        <v>48.0</v>
      </c>
      <c r="S648" s="3">
        <v>56.0</v>
      </c>
      <c r="T648" s="3">
        <v>54.0</v>
      </c>
      <c r="U648" s="3">
        <v>50.0</v>
      </c>
      <c r="V648" s="3">
        <v>48.0</v>
      </c>
      <c r="W648" s="3">
        <v>59.0</v>
      </c>
      <c r="X648" s="3">
        <v>52.0</v>
      </c>
      <c r="Y648" s="3">
        <v>52.0</v>
      </c>
      <c r="Z648" s="3">
        <v>60.0</v>
      </c>
      <c r="AA648" s="3">
        <v>48.0</v>
      </c>
      <c r="AB648" s="3">
        <v>54.0</v>
      </c>
      <c r="AC648" s="3">
        <v>56.0</v>
      </c>
      <c r="AD648" s="3">
        <v>41.0</v>
      </c>
      <c r="AE648" s="3">
        <v>50.0</v>
      </c>
      <c r="AF648" s="3">
        <v>45.0</v>
      </c>
      <c r="AG648" s="3">
        <v>55.0</v>
      </c>
      <c r="AH648" s="3">
        <v>53.0</v>
      </c>
      <c r="AI648" s="3">
        <v>59.0</v>
      </c>
      <c r="AJ648" s="3">
        <v>55.0</v>
      </c>
      <c r="AK648" s="3">
        <v>58.0</v>
      </c>
      <c r="AL648" s="3">
        <v>47.0</v>
      </c>
      <c r="AM648" s="3">
        <v>63.0</v>
      </c>
      <c r="AN648" s="3">
        <v>60.0</v>
      </c>
    </row>
    <row r="649" ht="14.25" customHeight="1">
      <c r="A649" s="3">
        <v>647.0</v>
      </c>
      <c r="B649" s="3" t="s">
        <v>7825</v>
      </c>
      <c r="C649" s="3">
        <v>29.0</v>
      </c>
      <c r="D649" s="3" t="s">
        <v>6645</v>
      </c>
      <c r="E649" s="3" t="s">
        <v>6646</v>
      </c>
      <c r="F649" s="3" t="s">
        <v>6646</v>
      </c>
      <c r="G649" s="3" t="s">
        <v>6645</v>
      </c>
      <c r="H649" s="3" t="s">
        <v>6645</v>
      </c>
      <c r="I649" s="3" t="s">
        <v>6646</v>
      </c>
      <c r="J649" s="3">
        <v>24.0</v>
      </c>
      <c r="K649" s="3">
        <v>2.0</v>
      </c>
      <c r="L649" s="3">
        <v>0.0</v>
      </c>
      <c r="M649" s="3">
        <v>0.0</v>
      </c>
      <c r="N649" s="3">
        <v>3055.81</v>
      </c>
      <c r="O649" s="3">
        <v>315.0</v>
      </c>
      <c r="P649" s="3" t="e">
        <v>#N/A</v>
      </c>
      <c r="Q649" s="3">
        <v>46.0</v>
      </c>
      <c r="R649" s="3">
        <v>43.0</v>
      </c>
      <c r="S649" s="3">
        <v>44.0</v>
      </c>
      <c r="T649" s="3">
        <v>46.0</v>
      </c>
      <c r="U649" s="3">
        <v>47.0</v>
      </c>
      <c r="V649" s="3">
        <v>49.0</v>
      </c>
      <c r="W649" s="3">
        <v>50.0</v>
      </c>
      <c r="X649" s="3">
        <v>42.0</v>
      </c>
      <c r="Y649" s="3">
        <v>42.0</v>
      </c>
      <c r="Z649" s="3">
        <v>56.0</v>
      </c>
      <c r="AA649" s="3">
        <v>48.0</v>
      </c>
      <c r="AB649" s="3">
        <v>50.0</v>
      </c>
      <c r="AC649" s="3">
        <v>41.0</v>
      </c>
      <c r="AD649" s="3">
        <v>50.0</v>
      </c>
      <c r="AE649" s="3">
        <v>47.0</v>
      </c>
      <c r="AF649" s="3">
        <v>62.0</v>
      </c>
      <c r="AG649" s="3">
        <v>36.0</v>
      </c>
      <c r="AH649" s="3">
        <v>38.0</v>
      </c>
      <c r="AI649" s="3">
        <v>50.0</v>
      </c>
      <c r="AJ649" s="3">
        <v>34.0</v>
      </c>
      <c r="AK649" s="3">
        <v>60.0</v>
      </c>
      <c r="AL649" s="3">
        <v>64.0</v>
      </c>
      <c r="AM649" s="3">
        <v>48.0</v>
      </c>
      <c r="AN649" s="3">
        <v>44.0</v>
      </c>
    </row>
    <row r="650" ht="14.25" customHeight="1">
      <c r="A650" s="3">
        <v>648.0</v>
      </c>
      <c r="B650" s="3" t="s">
        <v>7826</v>
      </c>
      <c r="C650" s="3">
        <v>27.0</v>
      </c>
      <c r="D650" s="3" t="s">
        <v>6645</v>
      </c>
      <c r="E650" s="3" t="s">
        <v>6646</v>
      </c>
      <c r="F650" s="3" t="s">
        <v>6646</v>
      </c>
      <c r="G650" s="3" t="s">
        <v>6645</v>
      </c>
      <c r="H650" s="3" t="s">
        <v>6645</v>
      </c>
      <c r="I650" s="3" t="s">
        <v>6645</v>
      </c>
      <c r="J650" s="3">
        <v>24.0</v>
      </c>
      <c r="K650" s="3">
        <v>1.0</v>
      </c>
      <c r="L650" s="3">
        <v>0.0</v>
      </c>
      <c r="M650" s="3">
        <v>0.0</v>
      </c>
      <c r="N650" s="3">
        <v>1373.5634</v>
      </c>
      <c r="O650" s="3">
        <v>230.0</v>
      </c>
      <c r="P650" s="3" t="e">
        <v>#N/A</v>
      </c>
      <c r="Q650" s="3">
        <v>40.0</v>
      </c>
      <c r="R650" s="3">
        <v>38.0</v>
      </c>
      <c r="S650" s="3">
        <v>42.0</v>
      </c>
      <c r="T650" s="3">
        <v>40.0</v>
      </c>
      <c r="U650" s="3">
        <v>36.0</v>
      </c>
      <c r="V650" s="3">
        <v>44.0</v>
      </c>
      <c r="W650" s="3">
        <v>51.0</v>
      </c>
      <c r="X650" s="3">
        <v>31.0</v>
      </c>
      <c r="Y650" s="3">
        <v>40.0</v>
      </c>
      <c r="Z650" s="3">
        <v>43.0</v>
      </c>
      <c r="AA650" s="3">
        <v>40.0</v>
      </c>
      <c r="AB650" s="3">
        <v>42.0</v>
      </c>
      <c r="AC650" s="3">
        <v>36.0</v>
      </c>
      <c r="AD650" s="3">
        <v>31.0</v>
      </c>
      <c r="AE650" s="3">
        <v>42.0</v>
      </c>
      <c r="AF650" s="3">
        <v>55.0</v>
      </c>
      <c r="AG650" s="3">
        <v>39.0</v>
      </c>
      <c r="AH650" s="3">
        <v>32.0</v>
      </c>
      <c r="AI650" s="3">
        <v>57.0</v>
      </c>
      <c r="AJ650" s="3">
        <v>34.0</v>
      </c>
      <c r="AK650" s="3">
        <v>39.0</v>
      </c>
      <c r="AL650" s="3">
        <v>43.0</v>
      </c>
      <c r="AM650" s="3">
        <v>48.0</v>
      </c>
      <c r="AN650" s="3">
        <v>57.0</v>
      </c>
    </row>
    <row r="651" ht="14.25" customHeight="1">
      <c r="A651" s="3">
        <v>649.0</v>
      </c>
      <c r="B651" s="3" t="s">
        <v>7827</v>
      </c>
      <c r="C651" s="3">
        <v>21.0</v>
      </c>
      <c r="D651" s="3" t="s">
        <v>6645</v>
      </c>
      <c r="E651" s="3" t="s">
        <v>6646</v>
      </c>
      <c r="F651" s="3" t="s">
        <v>6646</v>
      </c>
      <c r="G651" s="3" t="s">
        <v>6645</v>
      </c>
      <c r="H651" s="3" t="s">
        <v>6645</v>
      </c>
      <c r="I651" s="3" t="s">
        <v>6646</v>
      </c>
      <c r="J651" s="3">
        <v>24.0</v>
      </c>
      <c r="K651" s="3">
        <v>1.0</v>
      </c>
      <c r="L651" s="3">
        <v>0.0</v>
      </c>
      <c r="M651" s="3">
        <v>0.0</v>
      </c>
      <c r="N651" s="3">
        <v>1411.2603</v>
      </c>
      <c r="O651" s="3">
        <v>240.0</v>
      </c>
      <c r="P651" s="3" t="e">
        <v>#N/A</v>
      </c>
      <c r="Q651" s="3">
        <v>38.0</v>
      </c>
      <c r="R651" s="3">
        <v>38.0</v>
      </c>
      <c r="S651" s="3">
        <v>36.0</v>
      </c>
      <c r="T651" s="3">
        <v>38.0</v>
      </c>
      <c r="U651" s="3">
        <v>42.0</v>
      </c>
      <c r="V651" s="3">
        <v>38.0</v>
      </c>
      <c r="W651" s="3">
        <v>51.0</v>
      </c>
      <c r="X651" s="3">
        <v>44.0</v>
      </c>
      <c r="Y651" s="3">
        <v>44.0</v>
      </c>
      <c r="Z651" s="3">
        <v>42.0</v>
      </c>
      <c r="AA651" s="3">
        <v>30.0</v>
      </c>
      <c r="AB651" s="3">
        <v>33.0</v>
      </c>
      <c r="AC651" s="3">
        <v>44.0</v>
      </c>
      <c r="AD651" s="3">
        <v>36.0</v>
      </c>
      <c r="AE651" s="3">
        <v>40.0</v>
      </c>
      <c r="AF651" s="3">
        <v>32.0</v>
      </c>
      <c r="AG651" s="3">
        <v>39.0</v>
      </c>
      <c r="AH651" s="3">
        <v>45.0</v>
      </c>
      <c r="AI651" s="3">
        <v>58.0</v>
      </c>
      <c r="AJ651" s="3">
        <v>37.0</v>
      </c>
      <c r="AK651" s="3">
        <v>56.0</v>
      </c>
      <c r="AL651" s="3">
        <v>55.0</v>
      </c>
      <c r="AM651" s="3">
        <v>34.0</v>
      </c>
      <c r="AN651" s="3">
        <v>36.0</v>
      </c>
    </row>
    <row r="652" ht="14.25" customHeight="1">
      <c r="A652" s="3">
        <v>650.0</v>
      </c>
      <c r="B652" s="3" t="s">
        <v>7828</v>
      </c>
      <c r="C652" s="3">
        <v>24.0</v>
      </c>
      <c r="D652" s="3" t="s">
        <v>6645</v>
      </c>
      <c r="E652" s="3" t="s">
        <v>6646</v>
      </c>
      <c r="F652" s="3" t="s">
        <v>6646</v>
      </c>
      <c r="G652" s="3" t="s">
        <v>6645</v>
      </c>
      <c r="H652" s="3" t="s">
        <v>6645</v>
      </c>
      <c r="I652" s="3" t="s">
        <v>6645</v>
      </c>
      <c r="J652" s="3">
        <v>24.0</v>
      </c>
      <c r="K652" s="3">
        <v>1.0</v>
      </c>
      <c r="L652" s="3">
        <v>0.0</v>
      </c>
      <c r="M652" s="3">
        <v>0.0</v>
      </c>
      <c r="N652" s="3">
        <v>1359.43</v>
      </c>
      <c r="O652" s="3">
        <v>241.0</v>
      </c>
      <c r="P652" s="3" t="e">
        <v>#N/A</v>
      </c>
      <c r="Q652" s="3">
        <v>44.0</v>
      </c>
      <c r="R652" s="3">
        <v>40.0</v>
      </c>
      <c r="S652" s="3">
        <v>44.0</v>
      </c>
      <c r="T652" s="3">
        <v>38.0</v>
      </c>
      <c r="U652" s="3">
        <v>38.0</v>
      </c>
      <c r="V652" s="3">
        <v>38.0</v>
      </c>
      <c r="W652" s="3">
        <v>51.0</v>
      </c>
      <c r="X652" s="3">
        <v>38.0</v>
      </c>
      <c r="Y652" s="3">
        <v>33.0</v>
      </c>
      <c r="Z652" s="3">
        <v>47.0</v>
      </c>
      <c r="AA652" s="3">
        <v>42.0</v>
      </c>
      <c r="AB652" s="3">
        <v>31.0</v>
      </c>
      <c r="AC652" s="3">
        <v>42.0</v>
      </c>
      <c r="AD652" s="3">
        <v>40.0</v>
      </c>
      <c r="AE652" s="3">
        <v>38.0</v>
      </c>
      <c r="AF652" s="3">
        <v>52.0</v>
      </c>
      <c r="AG652" s="3">
        <v>58.0</v>
      </c>
      <c r="AH652" s="3">
        <v>44.0</v>
      </c>
      <c r="AI652" s="3">
        <v>44.0</v>
      </c>
      <c r="AJ652" s="3">
        <v>39.0</v>
      </c>
      <c r="AK652" s="3">
        <v>40.0</v>
      </c>
      <c r="AL652" s="3">
        <v>48.0</v>
      </c>
      <c r="AM652" s="3">
        <v>37.0</v>
      </c>
      <c r="AN652" s="3">
        <v>38.0</v>
      </c>
    </row>
    <row r="653" ht="14.25" customHeight="1">
      <c r="A653" s="3">
        <v>651.0</v>
      </c>
      <c r="B653" s="3" t="s">
        <v>7829</v>
      </c>
      <c r="C653" s="3">
        <v>25.0</v>
      </c>
      <c r="D653" s="3" t="s">
        <v>6645</v>
      </c>
      <c r="E653" s="3" t="s">
        <v>6646</v>
      </c>
      <c r="F653" s="3" t="s">
        <v>6646</v>
      </c>
      <c r="G653" s="3" t="s">
        <v>6645</v>
      </c>
      <c r="H653" s="3" t="s">
        <v>6645</v>
      </c>
      <c r="I653" s="3" t="s">
        <v>6646</v>
      </c>
      <c r="J653" s="3">
        <v>24.0</v>
      </c>
      <c r="K653" s="3">
        <v>1.0</v>
      </c>
      <c r="L653" s="3">
        <v>0.0</v>
      </c>
      <c r="M653" s="3">
        <v>0.0</v>
      </c>
      <c r="N653" s="3">
        <v>1124.7186</v>
      </c>
      <c r="O653" s="3">
        <v>164.0</v>
      </c>
      <c r="P653" s="3" t="e">
        <v>#N/A</v>
      </c>
      <c r="Q653" s="3">
        <v>44.0</v>
      </c>
      <c r="R653" s="3">
        <v>40.0</v>
      </c>
      <c r="S653" s="3">
        <v>40.0</v>
      </c>
      <c r="T653" s="3">
        <v>44.0</v>
      </c>
      <c r="U653" s="3">
        <v>44.0</v>
      </c>
      <c r="V653" s="3">
        <v>40.0</v>
      </c>
      <c r="W653" s="3">
        <v>53.0</v>
      </c>
      <c r="X653" s="3">
        <v>44.0</v>
      </c>
      <c r="Y653" s="3">
        <v>31.0</v>
      </c>
      <c r="Z653" s="3">
        <v>43.0</v>
      </c>
      <c r="AA653" s="3">
        <v>40.0</v>
      </c>
      <c r="AB653" s="3">
        <v>42.0</v>
      </c>
      <c r="AC653" s="3">
        <v>36.0</v>
      </c>
      <c r="AD653" s="3">
        <v>36.0</v>
      </c>
      <c r="AE653" s="3">
        <v>31.0</v>
      </c>
      <c r="AF653" s="3">
        <v>51.0</v>
      </c>
      <c r="AG653" s="3">
        <v>37.0</v>
      </c>
      <c r="AH653" s="3">
        <v>44.0</v>
      </c>
      <c r="AI653" s="3">
        <v>38.0</v>
      </c>
      <c r="AJ653" s="3">
        <v>44.0</v>
      </c>
      <c r="AK653" s="3">
        <v>44.0</v>
      </c>
      <c r="AL653" s="3">
        <v>54.0</v>
      </c>
      <c r="AM653" s="3">
        <v>55.0</v>
      </c>
      <c r="AN653" s="3">
        <v>39.0</v>
      </c>
    </row>
    <row r="654" ht="14.25" customHeight="1">
      <c r="A654" s="3">
        <v>652.0</v>
      </c>
      <c r="B654" s="3" t="s">
        <v>7830</v>
      </c>
      <c r="C654" s="3">
        <v>20.0</v>
      </c>
      <c r="D654" s="3" t="s">
        <v>6645</v>
      </c>
      <c r="E654" s="3" t="s">
        <v>6646</v>
      </c>
      <c r="F654" s="3" t="s">
        <v>6646</v>
      </c>
      <c r="G654" s="3" t="s">
        <v>6645</v>
      </c>
      <c r="H654" s="3" t="s">
        <v>6645</v>
      </c>
      <c r="I654" s="3" t="s">
        <v>6646</v>
      </c>
      <c r="J654" s="3">
        <v>24.0</v>
      </c>
      <c r="K654" s="3">
        <v>0.0</v>
      </c>
      <c r="L654" s="3">
        <v>0.0</v>
      </c>
      <c r="M654" s="3">
        <v>0.0</v>
      </c>
      <c r="N654" s="3">
        <v>511.563</v>
      </c>
      <c r="O654" s="3">
        <v>95.0</v>
      </c>
      <c r="P654" s="3" t="e">
        <v>#N/A</v>
      </c>
      <c r="Q654" s="3">
        <v>37.0</v>
      </c>
      <c r="R654" s="3">
        <v>36.0</v>
      </c>
      <c r="S654" s="3">
        <v>32.0</v>
      </c>
      <c r="T654" s="3">
        <v>38.0</v>
      </c>
      <c r="U654" s="3">
        <v>37.0</v>
      </c>
      <c r="V654" s="3">
        <v>33.0</v>
      </c>
      <c r="W654" s="3">
        <v>43.0</v>
      </c>
      <c r="X654" s="3">
        <v>33.0</v>
      </c>
      <c r="Y654" s="3">
        <v>32.0</v>
      </c>
      <c r="Z654" s="3">
        <v>40.0</v>
      </c>
      <c r="AA654" s="3">
        <v>31.0</v>
      </c>
      <c r="AB654" s="3">
        <v>37.0</v>
      </c>
      <c r="AC654" s="3">
        <v>34.0</v>
      </c>
      <c r="AD654" s="3">
        <v>29.0</v>
      </c>
      <c r="AE654" s="3">
        <v>34.0</v>
      </c>
      <c r="AF654" s="3">
        <v>36.0</v>
      </c>
      <c r="AG654" s="3">
        <v>42.0</v>
      </c>
      <c r="AH654" s="3">
        <v>47.0</v>
      </c>
      <c r="AI654" s="3">
        <v>50.0</v>
      </c>
      <c r="AJ654" s="3">
        <v>57.0</v>
      </c>
      <c r="AK654" s="3">
        <v>50.0</v>
      </c>
      <c r="AL654" s="3">
        <v>50.0</v>
      </c>
      <c r="AM654" s="3">
        <v>51.0</v>
      </c>
      <c r="AN654" s="3">
        <v>57.0</v>
      </c>
    </row>
    <row r="655" ht="14.25" customHeight="1">
      <c r="A655" s="3">
        <v>653.0</v>
      </c>
      <c r="B655" s="3" t="s">
        <v>7831</v>
      </c>
      <c r="C655" s="3">
        <v>20.0</v>
      </c>
      <c r="D655" s="3" t="s">
        <v>6645</v>
      </c>
      <c r="E655" s="3" t="s">
        <v>6646</v>
      </c>
      <c r="F655" s="3" t="s">
        <v>6646</v>
      </c>
      <c r="G655" s="3" t="s">
        <v>6645</v>
      </c>
      <c r="H655" s="3" t="s">
        <v>6645</v>
      </c>
      <c r="I655" s="3" t="s">
        <v>6646</v>
      </c>
      <c r="J655" s="3">
        <v>24.0</v>
      </c>
      <c r="K655" s="3">
        <v>0.0</v>
      </c>
      <c r="L655" s="3">
        <v>0.0</v>
      </c>
      <c r="M655" s="3">
        <v>0.0</v>
      </c>
      <c r="N655" s="3">
        <v>511.38864</v>
      </c>
      <c r="O655" s="3">
        <v>83.0</v>
      </c>
      <c r="P655" s="3" t="e">
        <v>#N/A</v>
      </c>
      <c r="Q655" s="3">
        <v>30.0</v>
      </c>
      <c r="R655" s="3">
        <v>31.0</v>
      </c>
      <c r="S655" s="3">
        <v>37.0</v>
      </c>
      <c r="T655" s="3">
        <v>39.0</v>
      </c>
      <c r="U655" s="3">
        <v>33.0</v>
      </c>
      <c r="V655" s="3">
        <v>35.0</v>
      </c>
      <c r="W655" s="3">
        <v>41.0</v>
      </c>
      <c r="X655" s="3">
        <v>39.0</v>
      </c>
      <c r="Y655" s="3">
        <v>36.0</v>
      </c>
      <c r="Z655" s="3">
        <v>45.0</v>
      </c>
      <c r="AA655" s="3">
        <v>36.0</v>
      </c>
      <c r="AB655" s="3">
        <v>25.0</v>
      </c>
      <c r="AC655" s="3">
        <v>26.0</v>
      </c>
      <c r="AD655" s="3">
        <v>34.0</v>
      </c>
      <c r="AE655" s="3">
        <v>31.0</v>
      </c>
      <c r="AF655" s="3">
        <v>57.0</v>
      </c>
      <c r="AG655" s="3">
        <v>52.0</v>
      </c>
      <c r="AH655" s="3">
        <v>45.0</v>
      </c>
      <c r="AI655" s="3">
        <v>37.0</v>
      </c>
      <c r="AJ655" s="3">
        <v>30.0</v>
      </c>
      <c r="AK655" s="3">
        <v>56.0</v>
      </c>
      <c r="AL655" s="3">
        <v>53.0</v>
      </c>
      <c r="AM655" s="3">
        <v>56.0</v>
      </c>
      <c r="AN655" s="3">
        <v>56.0</v>
      </c>
    </row>
    <row r="656" ht="14.25" customHeight="1">
      <c r="A656" s="3">
        <v>654.0</v>
      </c>
      <c r="B656" s="3" t="s">
        <v>7832</v>
      </c>
      <c r="C656" s="3">
        <v>24.0</v>
      </c>
      <c r="D656" s="3" t="s">
        <v>6645</v>
      </c>
      <c r="E656" s="3" t="s">
        <v>6646</v>
      </c>
      <c r="F656" s="3" t="s">
        <v>6646</v>
      </c>
      <c r="G656" s="3" t="s">
        <v>6645</v>
      </c>
      <c r="H656" s="3" t="s">
        <v>6645</v>
      </c>
      <c r="I656" s="3" t="s">
        <v>6645</v>
      </c>
      <c r="J656" s="3">
        <v>24.0</v>
      </c>
      <c r="K656" s="3">
        <v>0.0</v>
      </c>
      <c r="L656" s="3">
        <v>0.0</v>
      </c>
      <c r="M656" s="3">
        <v>0.0</v>
      </c>
      <c r="N656" s="3">
        <v>608.966</v>
      </c>
      <c r="O656" s="3">
        <v>88.0</v>
      </c>
      <c r="P656" s="3" t="e">
        <v>#N/A</v>
      </c>
      <c r="Q656" s="3">
        <v>36.0</v>
      </c>
      <c r="R656" s="3">
        <v>37.0</v>
      </c>
      <c r="S656" s="3">
        <v>32.0</v>
      </c>
      <c r="T656" s="3">
        <v>38.0</v>
      </c>
      <c r="U656" s="3">
        <v>32.0</v>
      </c>
      <c r="V656" s="3">
        <v>33.0</v>
      </c>
      <c r="W656" s="3">
        <v>47.0</v>
      </c>
      <c r="X656" s="3">
        <v>31.0</v>
      </c>
      <c r="Y656" s="3">
        <v>30.0</v>
      </c>
      <c r="Z656" s="3">
        <v>41.0</v>
      </c>
      <c r="AA656" s="3">
        <v>28.0</v>
      </c>
      <c r="AB656" s="3">
        <v>35.0</v>
      </c>
      <c r="AC656" s="3">
        <v>39.0</v>
      </c>
      <c r="AD656" s="3">
        <v>29.0</v>
      </c>
      <c r="AE656" s="3">
        <v>35.0</v>
      </c>
      <c r="AF656" s="3">
        <v>44.0</v>
      </c>
      <c r="AG656" s="3">
        <v>40.0</v>
      </c>
      <c r="AH656" s="3">
        <v>33.0</v>
      </c>
      <c r="AI656" s="3">
        <v>50.0</v>
      </c>
      <c r="AJ656" s="3">
        <v>51.0</v>
      </c>
      <c r="AK656" s="3">
        <v>39.0</v>
      </c>
      <c r="AL656" s="3">
        <v>45.0</v>
      </c>
      <c r="AM656" s="3">
        <v>34.0</v>
      </c>
      <c r="AN656" s="3">
        <v>54.0</v>
      </c>
    </row>
    <row r="657" ht="14.25" customHeight="1">
      <c r="A657" s="3">
        <v>655.0</v>
      </c>
      <c r="B657" s="3" t="s">
        <v>7833</v>
      </c>
      <c r="C657" s="3">
        <v>18.0</v>
      </c>
      <c r="D657" s="3" t="s">
        <v>6645</v>
      </c>
      <c r="E657" s="3" t="s">
        <v>6646</v>
      </c>
      <c r="F657" s="3" t="s">
        <v>6646</v>
      </c>
      <c r="G657" s="3" t="s">
        <v>6645</v>
      </c>
      <c r="H657" s="3" t="s">
        <v>6645</v>
      </c>
      <c r="I657" s="3" t="s">
        <v>6646</v>
      </c>
      <c r="J657" s="3">
        <v>24.0</v>
      </c>
      <c r="K657" s="3">
        <v>0.0</v>
      </c>
      <c r="L657" s="3">
        <v>0.0</v>
      </c>
      <c r="M657" s="3">
        <v>0.0</v>
      </c>
      <c r="N657" s="3">
        <v>384.13781</v>
      </c>
      <c r="O657" s="3">
        <v>120.0</v>
      </c>
      <c r="P657" s="3" t="e">
        <v>#N/A</v>
      </c>
      <c r="Q657" s="3">
        <v>38.0</v>
      </c>
      <c r="R657" s="3">
        <v>32.0</v>
      </c>
      <c r="S657" s="3">
        <v>31.0</v>
      </c>
      <c r="T657" s="3">
        <v>37.0</v>
      </c>
      <c r="U657" s="3">
        <v>34.0</v>
      </c>
      <c r="V657" s="3">
        <v>31.0</v>
      </c>
      <c r="W657" s="3">
        <v>41.0</v>
      </c>
      <c r="X657" s="3">
        <v>25.0</v>
      </c>
      <c r="Y657" s="3">
        <v>34.0</v>
      </c>
      <c r="Z657" s="3">
        <v>46.0</v>
      </c>
      <c r="AA657" s="3">
        <v>23.0</v>
      </c>
      <c r="AB657" s="3">
        <v>30.0</v>
      </c>
      <c r="AC657" s="3">
        <v>35.0</v>
      </c>
      <c r="AD657" s="3">
        <v>37.0</v>
      </c>
      <c r="AE657" s="3">
        <v>39.0</v>
      </c>
      <c r="AF657" s="3">
        <v>57.0</v>
      </c>
      <c r="AG657" s="3">
        <v>44.0</v>
      </c>
      <c r="AH657" s="3">
        <v>33.0</v>
      </c>
      <c r="AI657" s="3">
        <v>59.0</v>
      </c>
      <c r="AJ657" s="3">
        <v>39.0</v>
      </c>
      <c r="AK657" s="3">
        <v>31.0</v>
      </c>
      <c r="AL657" s="3">
        <v>59.0</v>
      </c>
      <c r="AM657" s="3">
        <v>52.0</v>
      </c>
      <c r="AN657" s="3">
        <v>58.0</v>
      </c>
    </row>
    <row r="658" ht="14.25" customHeight="1">
      <c r="A658" s="3">
        <v>656.0</v>
      </c>
      <c r="B658" s="3" t="s">
        <v>7834</v>
      </c>
      <c r="C658" s="3">
        <v>35.0</v>
      </c>
      <c r="D658" s="3" t="s">
        <v>6645</v>
      </c>
      <c r="E658" s="3" t="s">
        <v>6646</v>
      </c>
      <c r="F658" s="3" t="s">
        <v>6646</v>
      </c>
      <c r="G658" s="3" t="s">
        <v>6645</v>
      </c>
      <c r="H658" s="3" t="s">
        <v>6645</v>
      </c>
      <c r="I658" s="3" t="s">
        <v>6645</v>
      </c>
      <c r="J658" s="3">
        <v>25.0</v>
      </c>
      <c r="K658" s="3">
        <v>4.0</v>
      </c>
      <c r="L658" s="3">
        <v>0.0</v>
      </c>
      <c r="M658" s="3">
        <v>0.0</v>
      </c>
      <c r="N658" s="3">
        <v>5666.6</v>
      </c>
      <c r="O658" s="3">
        <v>1429.0</v>
      </c>
      <c r="P658" s="3" t="e">
        <v>#N/A</v>
      </c>
      <c r="Q658" s="3">
        <v>54.0</v>
      </c>
      <c r="R658" s="3">
        <v>53.0</v>
      </c>
      <c r="S658" s="3">
        <v>53.0</v>
      </c>
      <c r="T658" s="3">
        <v>55.0</v>
      </c>
      <c r="U658" s="3">
        <v>55.0</v>
      </c>
      <c r="V658" s="3">
        <v>52.0</v>
      </c>
      <c r="W658" s="3">
        <v>59.0</v>
      </c>
      <c r="X658" s="3">
        <v>53.0</v>
      </c>
      <c r="Y658" s="3">
        <v>57.0</v>
      </c>
      <c r="Z658" s="3">
        <v>48.0</v>
      </c>
      <c r="AA658" s="3">
        <v>62.0</v>
      </c>
      <c r="AB658" s="3">
        <v>54.0</v>
      </c>
      <c r="AC658" s="3">
        <v>58.0</v>
      </c>
      <c r="AD658" s="3">
        <v>53.0</v>
      </c>
      <c r="AE658" s="3">
        <v>50.0</v>
      </c>
      <c r="AF658" s="3">
        <v>50.0</v>
      </c>
      <c r="AG658" s="3">
        <v>46.0</v>
      </c>
      <c r="AH658" s="3">
        <v>51.0</v>
      </c>
      <c r="AI658" s="3">
        <v>61.0</v>
      </c>
      <c r="AJ658" s="3">
        <v>61.0</v>
      </c>
      <c r="AK658" s="3">
        <v>40.0</v>
      </c>
      <c r="AL658" s="3">
        <v>59.0</v>
      </c>
      <c r="AM658" s="3">
        <v>53.0</v>
      </c>
      <c r="AN658" s="3">
        <v>66.0</v>
      </c>
    </row>
    <row r="659" ht="14.25" customHeight="1">
      <c r="A659" s="3">
        <v>657.0</v>
      </c>
      <c r="B659" s="3" t="s">
        <v>7835</v>
      </c>
      <c r="C659" s="3">
        <v>40.0</v>
      </c>
      <c r="D659" s="3" t="s">
        <v>6645</v>
      </c>
      <c r="E659" s="3" t="s">
        <v>6646</v>
      </c>
      <c r="F659" s="3" t="s">
        <v>6646</v>
      </c>
      <c r="G659" s="3" t="s">
        <v>6645</v>
      </c>
      <c r="H659" s="3" t="s">
        <v>6645</v>
      </c>
      <c r="I659" s="3" t="s">
        <v>6646</v>
      </c>
      <c r="J659" s="3">
        <v>25.0</v>
      </c>
      <c r="K659" s="3">
        <v>4.0</v>
      </c>
      <c r="L659" s="3">
        <v>0.0</v>
      </c>
      <c r="M659" s="3">
        <v>0.0</v>
      </c>
      <c r="N659" s="3">
        <v>6050.88</v>
      </c>
      <c r="O659" s="3">
        <v>1317.0</v>
      </c>
      <c r="P659" s="3" t="e">
        <v>#N/A</v>
      </c>
      <c r="Q659" s="3">
        <v>50.0</v>
      </c>
      <c r="R659" s="3">
        <v>56.0</v>
      </c>
      <c r="S659" s="3">
        <v>55.0</v>
      </c>
      <c r="T659" s="3">
        <v>55.0</v>
      </c>
      <c r="U659" s="3">
        <v>56.0</v>
      </c>
      <c r="V659" s="3">
        <v>52.0</v>
      </c>
      <c r="W659" s="3">
        <v>55.0</v>
      </c>
      <c r="X659" s="3">
        <v>56.0</v>
      </c>
      <c r="Y659" s="3">
        <v>49.0</v>
      </c>
      <c r="Z659" s="3">
        <v>51.0</v>
      </c>
      <c r="AA659" s="3">
        <v>68.0</v>
      </c>
      <c r="AB659" s="3">
        <v>59.0</v>
      </c>
      <c r="AC659" s="3">
        <v>51.0</v>
      </c>
      <c r="AD659" s="3">
        <v>56.0</v>
      </c>
      <c r="AE659" s="3">
        <v>57.0</v>
      </c>
      <c r="AF659" s="3">
        <v>47.0</v>
      </c>
      <c r="AG659" s="3">
        <v>55.0</v>
      </c>
      <c r="AH659" s="3">
        <v>52.0</v>
      </c>
      <c r="AI659" s="3">
        <v>45.0</v>
      </c>
      <c r="AJ659" s="3">
        <v>66.0</v>
      </c>
      <c r="AK659" s="3">
        <v>50.0</v>
      </c>
      <c r="AL659" s="3">
        <v>57.0</v>
      </c>
      <c r="AM659" s="3">
        <v>61.0</v>
      </c>
      <c r="AN659" s="3">
        <v>56.0</v>
      </c>
    </row>
    <row r="660" ht="14.25" customHeight="1">
      <c r="A660" s="3">
        <v>658.0</v>
      </c>
      <c r="B660" s="3" t="s">
        <v>7836</v>
      </c>
      <c r="C660" s="3">
        <v>34.0</v>
      </c>
      <c r="D660" s="3" t="s">
        <v>6645</v>
      </c>
      <c r="E660" s="3" t="s">
        <v>6646</v>
      </c>
      <c r="F660" s="3" t="s">
        <v>6646</v>
      </c>
      <c r="G660" s="3" t="s">
        <v>6645</v>
      </c>
      <c r="H660" s="3" t="s">
        <v>6645</v>
      </c>
      <c r="I660" s="3" t="s">
        <v>6646</v>
      </c>
      <c r="J660" s="3">
        <v>25.0</v>
      </c>
      <c r="K660" s="3">
        <v>3.0</v>
      </c>
      <c r="L660" s="3">
        <v>0.0</v>
      </c>
      <c r="M660" s="3">
        <v>0.0</v>
      </c>
      <c r="N660" s="3">
        <v>4398.55</v>
      </c>
      <c r="O660" s="3">
        <v>641.0</v>
      </c>
      <c r="P660" s="3" t="e">
        <v>#N/A</v>
      </c>
      <c r="Q660" s="3">
        <v>49.0</v>
      </c>
      <c r="R660" s="3">
        <v>46.0</v>
      </c>
      <c r="S660" s="3">
        <v>50.0</v>
      </c>
      <c r="T660" s="3">
        <v>45.0</v>
      </c>
      <c r="U660" s="3">
        <v>47.0</v>
      </c>
      <c r="V660" s="3">
        <v>51.0</v>
      </c>
      <c r="W660" s="3">
        <v>52.0</v>
      </c>
      <c r="X660" s="3">
        <v>52.0</v>
      </c>
      <c r="Y660" s="3">
        <v>42.0</v>
      </c>
      <c r="Z660" s="3">
        <v>50.0</v>
      </c>
      <c r="AA660" s="3">
        <v>57.0</v>
      </c>
      <c r="AB660" s="3">
        <v>52.0</v>
      </c>
      <c r="AC660" s="3">
        <v>45.0</v>
      </c>
      <c r="AD660" s="3">
        <v>54.0</v>
      </c>
      <c r="AE660" s="3">
        <v>51.0</v>
      </c>
      <c r="AF660" s="3">
        <v>58.0</v>
      </c>
      <c r="AG660" s="3">
        <v>55.0</v>
      </c>
      <c r="AH660" s="3">
        <v>42.0</v>
      </c>
      <c r="AI660" s="3">
        <v>44.0</v>
      </c>
      <c r="AJ660" s="3">
        <v>61.0</v>
      </c>
      <c r="AK660" s="3">
        <v>56.0</v>
      </c>
      <c r="AL660" s="3">
        <v>38.0</v>
      </c>
      <c r="AM660" s="3">
        <v>64.0</v>
      </c>
      <c r="AN660" s="3">
        <v>49.0</v>
      </c>
    </row>
    <row r="661" ht="14.25" customHeight="1">
      <c r="A661" s="3">
        <v>659.0</v>
      </c>
      <c r="B661" s="3" t="s">
        <v>7837</v>
      </c>
      <c r="C661" s="3">
        <v>37.0</v>
      </c>
      <c r="D661" s="3" t="s">
        <v>6645</v>
      </c>
      <c r="E661" s="3" t="s">
        <v>6646</v>
      </c>
      <c r="F661" s="3" t="s">
        <v>6646</v>
      </c>
      <c r="G661" s="3" t="s">
        <v>6645</v>
      </c>
      <c r="H661" s="3" t="s">
        <v>6645</v>
      </c>
      <c r="I661" s="3" t="s">
        <v>6646</v>
      </c>
      <c r="J661" s="3">
        <v>25.0</v>
      </c>
      <c r="K661" s="3">
        <v>3.0</v>
      </c>
      <c r="L661" s="3">
        <v>0.0</v>
      </c>
      <c r="M661" s="3">
        <v>0.0</v>
      </c>
      <c r="N661" s="3">
        <v>4208.74</v>
      </c>
      <c r="O661" s="3">
        <v>827.0</v>
      </c>
      <c r="P661" s="3" t="e">
        <v>#N/A</v>
      </c>
      <c r="Q661" s="3">
        <v>52.0</v>
      </c>
      <c r="R661" s="3">
        <v>51.0</v>
      </c>
      <c r="S661" s="3">
        <v>54.0</v>
      </c>
      <c r="T661" s="3">
        <v>50.0</v>
      </c>
      <c r="U661" s="3">
        <v>45.0</v>
      </c>
      <c r="V661" s="3">
        <v>46.0</v>
      </c>
      <c r="W661" s="3">
        <v>50.0</v>
      </c>
      <c r="X661" s="3">
        <v>52.0</v>
      </c>
      <c r="Y661" s="3">
        <v>47.0</v>
      </c>
      <c r="Z661" s="3">
        <v>45.0</v>
      </c>
      <c r="AA661" s="3">
        <v>63.0</v>
      </c>
      <c r="AB661" s="3">
        <v>52.0</v>
      </c>
      <c r="AC661" s="3">
        <v>51.0</v>
      </c>
      <c r="AD661" s="3">
        <v>49.0</v>
      </c>
      <c r="AE661" s="3">
        <v>51.0</v>
      </c>
      <c r="AF661" s="3">
        <v>45.0</v>
      </c>
      <c r="AG661" s="3">
        <v>37.0</v>
      </c>
      <c r="AH661" s="3">
        <v>44.0</v>
      </c>
      <c r="AI661" s="3">
        <v>65.0</v>
      </c>
      <c r="AJ661" s="3">
        <v>45.0</v>
      </c>
      <c r="AK661" s="3">
        <v>63.0</v>
      </c>
      <c r="AL661" s="3">
        <v>40.0</v>
      </c>
      <c r="AM661" s="3">
        <v>45.0</v>
      </c>
      <c r="AN661" s="3">
        <v>45.0</v>
      </c>
    </row>
    <row r="662" ht="14.25" customHeight="1">
      <c r="A662" s="3">
        <v>660.0</v>
      </c>
      <c r="B662" s="3" t="s">
        <v>7838</v>
      </c>
      <c r="C662" s="3">
        <v>33.0</v>
      </c>
      <c r="D662" s="3" t="s">
        <v>6645</v>
      </c>
      <c r="E662" s="3" t="s">
        <v>6646</v>
      </c>
      <c r="F662" s="3" t="s">
        <v>6646</v>
      </c>
      <c r="G662" s="3" t="s">
        <v>6645</v>
      </c>
      <c r="H662" s="3" t="s">
        <v>6645</v>
      </c>
      <c r="I662" s="3" t="s">
        <v>6645</v>
      </c>
      <c r="J662" s="3">
        <v>25.0</v>
      </c>
      <c r="K662" s="3">
        <v>2.0</v>
      </c>
      <c r="L662" s="3">
        <v>0.0</v>
      </c>
      <c r="M662" s="3">
        <v>0.0</v>
      </c>
      <c r="N662" s="3">
        <v>2614.8376</v>
      </c>
      <c r="O662" s="3">
        <v>478.0</v>
      </c>
      <c r="P662" s="3" t="e">
        <v>#N/A</v>
      </c>
      <c r="Q662" s="3">
        <v>41.0</v>
      </c>
      <c r="R662" s="3">
        <v>43.0</v>
      </c>
      <c r="S662" s="3">
        <v>48.0</v>
      </c>
      <c r="T662" s="3">
        <v>44.0</v>
      </c>
      <c r="U662" s="3">
        <v>48.0</v>
      </c>
      <c r="V662" s="3">
        <v>45.0</v>
      </c>
      <c r="W662" s="3">
        <v>47.0</v>
      </c>
      <c r="X662" s="3">
        <v>43.0</v>
      </c>
      <c r="Y662" s="3">
        <v>44.0</v>
      </c>
      <c r="Z662" s="3">
        <v>41.0</v>
      </c>
      <c r="AA662" s="3">
        <v>54.0</v>
      </c>
      <c r="AB662" s="3">
        <v>44.0</v>
      </c>
      <c r="AC662" s="3">
        <v>44.0</v>
      </c>
      <c r="AD662" s="3">
        <v>44.0</v>
      </c>
      <c r="AE662" s="3">
        <v>49.0</v>
      </c>
      <c r="AF662" s="3">
        <v>50.0</v>
      </c>
      <c r="AG662" s="3">
        <v>61.0</v>
      </c>
      <c r="AH662" s="3">
        <v>58.0</v>
      </c>
      <c r="AI662" s="3">
        <v>58.0</v>
      </c>
      <c r="AJ662" s="3">
        <v>54.0</v>
      </c>
      <c r="AK662" s="3">
        <v>62.0</v>
      </c>
      <c r="AL662" s="3">
        <v>55.0</v>
      </c>
      <c r="AM662" s="3">
        <v>41.0</v>
      </c>
      <c r="AN662" s="3">
        <v>42.0</v>
      </c>
    </row>
    <row r="663" ht="14.25" customHeight="1">
      <c r="A663" s="3">
        <v>661.0</v>
      </c>
      <c r="B663" s="3" t="s">
        <v>7839</v>
      </c>
      <c r="C663" s="3">
        <v>25.0</v>
      </c>
      <c r="D663" s="3" t="s">
        <v>6645</v>
      </c>
      <c r="E663" s="3" t="s">
        <v>6646</v>
      </c>
      <c r="F663" s="3" t="s">
        <v>6646</v>
      </c>
      <c r="G663" s="3" t="s">
        <v>6645</v>
      </c>
      <c r="H663" s="3" t="s">
        <v>6645</v>
      </c>
      <c r="I663" s="3" t="s">
        <v>6646</v>
      </c>
      <c r="J663" s="3">
        <v>25.0</v>
      </c>
      <c r="K663" s="3">
        <v>1.0</v>
      </c>
      <c r="L663" s="3">
        <v>0.0</v>
      </c>
      <c r="M663" s="3">
        <v>0.0</v>
      </c>
      <c r="N663" s="3">
        <v>1173.1157</v>
      </c>
      <c r="O663" s="3">
        <v>242.0</v>
      </c>
      <c r="P663" s="3" t="e">
        <v>#N/A</v>
      </c>
      <c r="Q663" s="3">
        <v>41.0</v>
      </c>
      <c r="R663" s="3">
        <v>39.0</v>
      </c>
      <c r="S663" s="3">
        <v>35.0</v>
      </c>
      <c r="T663" s="3">
        <v>40.0</v>
      </c>
      <c r="U663" s="3">
        <v>40.0</v>
      </c>
      <c r="V663" s="3">
        <v>38.0</v>
      </c>
      <c r="W663" s="3">
        <v>35.0</v>
      </c>
      <c r="X663" s="3">
        <v>40.0</v>
      </c>
      <c r="Y663" s="3">
        <v>38.0</v>
      </c>
      <c r="Z663" s="3">
        <v>42.0</v>
      </c>
      <c r="AA663" s="3">
        <v>48.0</v>
      </c>
      <c r="AB663" s="3">
        <v>37.0</v>
      </c>
      <c r="AC663" s="3">
        <v>44.0</v>
      </c>
      <c r="AD663" s="3">
        <v>40.0</v>
      </c>
      <c r="AE663" s="3">
        <v>38.0</v>
      </c>
      <c r="AF663" s="3">
        <v>55.0</v>
      </c>
      <c r="AG663" s="3">
        <v>32.0</v>
      </c>
      <c r="AH663" s="3">
        <v>52.0</v>
      </c>
      <c r="AI663" s="3">
        <v>37.0</v>
      </c>
      <c r="AJ663" s="3">
        <v>47.0</v>
      </c>
      <c r="AK663" s="3">
        <v>36.0</v>
      </c>
      <c r="AL663" s="3">
        <v>40.0</v>
      </c>
      <c r="AM663" s="3">
        <v>57.0</v>
      </c>
      <c r="AN663" s="3">
        <v>48.0</v>
      </c>
    </row>
    <row r="664" ht="14.25" customHeight="1">
      <c r="A664" s="3">
        <v>662.0</v>
      </c>
      <c r="B664" s="3" t="s">
        <v>7840</v>
      </c>
      <c r="C664" s="3">
        <v>25.0</v>
      </c>
      <c r="D664" s="3" t="s">
        <v>6645</v>
      </c>
      <c r="E664" s="3" t="s">
        <v>6646</v>
      </c>
      <c r="F664" s="3" t="s">
        <v>6646</v>
      </c>
      <c r="G664" s="3" t="s">
        <v>6645</v>
      </c>
      <c r="H664" s="3" t="s">
        <v>6645</v>
      </c>
      <c r="I664" s="3" t="s">
        <v>6646</v>
      </c>
      <c r="J664" s="3">
        <v>25.0</v>
      </c>
      <c r="K664" s="3">
        <v>1.0</v>
      </c>
      <c r="L664" s="3">
        <v>0.0</v>
      </c>
      <c r="M664" s="3">
        <v>0.0</v>
      </c>
      <c r="N664" s="3">
        <v>1100.1806</v>
      </c>
      <c r="O664" s="3">
        <v>221.0</v>
      </c>
      <c r="P664" s="3" t="e">
        <v>#N/A</v>
      </c>
      <c r="Q664" s="3">
        <v>41.0</v>
      </c>
      <c r="R664" s="3">
        <v>35.0</v>
      </c>
      <c r="S664" s="3">
        <v>38.0</v>
      </c>
      <c r="T664" s="3">
        <v>36.0</v>
      </c>
      <c r="U664" s="3">
        <v>35.0</v>
      </c>
      <c r="V664" s="3">
        <v>44.0</v>
      </c>
      <c r="W664" s="3">
        <v>33.0</v>
      </c>
      <c r="X664" s="3">
        <v>44.0</v>
      </c>
      <c r="Y664" s="3">
        <v>38.0</v>
      </c>
      <c r="Z664" s="3">
        <v>37.0</v>
      </c>
      <c r="AA664" s="3">
        <v>47.0</v>
      </c>
      <c r="AB664" s="3">
        <v>36.0</v>
      </c>
      <c r="AC664" s="3">
        <v>36.0</v>
      </c>
      <c r="AD664" s="3">
        <v>44.0</v>
      </c>
      <c r="AE664" s="3">
        <v>43.0</v>
      </c>
      <c r="AF664" s="3">
        <v>47.0</v>
      </c>
      <c r="AG664" s="3">
        <v>38.0</v>
      </c>
      <c r="AH664" s="3">
        <v>37.0</v>
      </c>
      <c r="AI664" s="3">
        <v>59.0</v>
      </c>
      <c r="AJ664" s="3">
        <v>55.0</v>
      </c>
      <c r="AK664" s="3">
        <v>58.0</v>
      </c>
      <c r="AL664" s="3">
        <v>34.0</v>
      </c>
      <c r="AM664" s="3">
        <v>46.0</v>
      </c>
      <c r="AN664" s="3">
        <v>48.0</v>
      </c>
    </row>
    <row r="665" ht="14.25" customHeight="1">
      <c r="A665" s="3">
        <v>663.0</v>
      </c>
      <c r="B665" s="3" t="s">
        <v>7841</v>
      </c>
      <c r="C665" s="3">
        <v>15.0</v>
      </c>
      <c r="D665" s="3" t="s">
        <v>6645</v>
      </c>
      <c r="E665" s="3" t="s">
        <v>6646</v>
      </c>
      <c r="F665" s="3" t="s">
        <v>6646</v>
      </c>
      <c r="G665" s="3" t="s">
        <v>6645</v>
      </c>
      <c r="H665" s="3" t="s">
        <v>6645</v>
      </c>
      <c r="I665" s="3" t="s">
        <v>6646</v>
      </c>
      <c r="J665" s="3">
        <v>25.0</v>
      </c>
      <c r="K665" s="3">
        <v>0.0</v>
      </c>
      <c r="L665" s="3">
        <v>0.0</v>
      </c>
      <c r="M665" s="3">
        <v>0.0</v>
      </c>
      <c r="N665" s="3">
        <v>432.90676</v>
      </c>
      <c r="O665" s="3">
        <v>77.0</v>
      </c>
      <c r="P665" s="3" t="e">
        <v>#N/A</v>
      </c>
      <c r="Q665" s="3">
        <v>39.0</v>
      </c>
      <c r="R665" s="3">
        <v>36.0</v>
      </c>
      <c r="S665" s="3">
        <v>37.0</v>
      </c>
      <c r="T665" s="3">
        <v>36.0</v>
      </c>
      <c r="U665" s="3">
        <v>31.0</v>
      </c>
      <c r="V665" s="3">
        <v>34.0</v>
      </c>
      <c r="W665" s="3">
        <v>30.0</v>
      </c>
      <c r="X665" s="3">
        <v>33.0</v>
      </c>
      <c r="Y665" s="3">
        <v>37.0</v>
      </c>
      <c r="Z665" s="3">
        <v>34.0</v>
      </c>
      <c r="AA665" s="3">
        <v>43.0</v>
      </c>
      <c r="AB665" s="3">
        <v>30.0</v>
      </c>
      <c r="AC665" s="3">
        <v>30.0</v>
      </c>
      <c r="AD665" s="3">
        <v>34.0</v>
      </c>
      <c r="AE665" s="3">
        <v>35.0</v>
      </c>
      <c r="AF665" s="3">
        <v>42.0</v>
      </c>
      <c r="AG665" s="3">
        <v>56.0</v>
      </c>
      <c r="AH665" s="3">
        <v>31.0</v>
      </c>
      <c r="AI665" s="3">
        <v>59.0</v>
      </c>
      <c r="AJ665" s="3">
        <v>39.0</v>
      </c>
      <c r="AK665" s="3">
        <v>39.0</v>
      </c>
      <c r="AL665" s="3">
        <v>59.0</v>
      </c>
      <c r="AM665" s="3">
        <v>33.0</v>
      </c>
      <c r="AN665" s="3">
        <v>44.0</v>
      </c>
    </row>
    <row r="666" ht="14.25" customHeight="1">
      <c r="A666" s="3">
        <v>664.0</v>
      </c>
      <c r="B666" s="3" t="s">
        <v>7842</v>
      </c>
      <c r="C666" s="3">
        <v>18.0</v>
      </c>
      <c r="D666" s="3" t="s">
        <v>6645</v>
      </c>
      <c r="E666" s="3" t="s">
        <v>6646</v>
      </c>
      <c r="F666" s="3" t="s">
        <v>6646</v>
      </c>
      <c r="G666" s="3" t="s">
        <v>6645</v>
      </c>
      <c r="H666" s="3" t="s">
        <v>6645</v>
      </c>
      <c r="I666" s="3" t="s">
        <v>6646</v>
      </c>
      <c r="J666" s="3">
        <v>25.0</v>
      </c>
      <c r="K666" s="3">
        <v>0.0</v>
      </c>
      <c r="L666" s="3">
        <v>0.0</v>
      </c>
      <c r="M666" s="3">
        <v>0.0</v>
      </c>
      <c r="N666" s="3">
        <v>426.655</v>
      </c>
      <c r="O666" s="3">
        <v>100.0</v>
      </c>
      <c r="P666" s="3" t="e">
        <v>#N/A</v>
      </c>
      <c r="Q666" s="3">
        <v>30.0</v>
      </c>
      <c r="R666" s="3">
        <v>32.0</v>
      </c>
      <c r="S666" s="3">
        <v>34.0</v>
      </c>
      <c r="T666" s="3">
        <v>36.0</v>
      </c>
      <c r="U666" s="3">
        <v>30.0</v>
      </c>
      <c r="V666" s="3">
        <v>39.0</v>
      </c>
      <c r="W666" s="3">
        <v>37.0</v>
      </c>
      <c r="X666" s="3">
        <v>29.0</v>
      </c>
      <c r="Y666" s="3">
        <v>36.0</v>
      </c>
      <c r="Z666" s="3">
        <v>36.0</v>
      </c>
      <c r="AA666" s="3">
        <v>46.0</v>
      </c>
      <c r="AB666" s="3">
        <v>33.0</v>
      </c>
      <c r="AC666" s="3">
        <v>39.0</v>
      </c>
      <c r="AD666" s="3">
        <v>34.0</v>
      </c>
      <c r="AE666" s="3">
        <v>30.0</v>
      </c>
      <c r="AF666" s="3">
        <v>39.0</v>
      </c>
      <c r="AG666" s="3">
        <v>52.0</v>
      </c>
      <c r="AH666" s="3">
        <v>33.0</v>
      </c>
      <c r="AI666" s="3">
        <v>56.0</v>
      </c>
      <c r="AJ666" s="3">
        <v>59.0</v>
      </c>
      <c r="AK666" s="3">
        <v>56.0</v>
      </c>
      <c r="AL666" s="3">
        <v>46.0</v>
      </c>
      <c r="AM666" s="3">
        <v>52.0</v>
      </c>
      <c r="AN666" s="3">
        <v>39.0</v>
      </c>
    </row>
    <row r="667" ht="14.25" customHeight="1">
      <c r="A667" s="3">
        <v>665.0</v>
      </c>
      <c r="B667" s="3" t="s">
        <v>7843</v>
      </c>
      <c r="C667" s="3">
        <v>15.0</v>
      </c>
      <c r="D667" s="3" t="s">
        <v>6645</v>
      </c>
      <c r="E667" s="3" t="s">
        <v>6646</v>
      </c>
      <c r="F667" s="3" t="s">
        <v>6646</v>
      </c>
      <c r="G667" s="3" t="s">
        <v>6645</v>
      </c>
      <c r="H667" s="3" t="s">
        <v>6645</v>
      </c>
      <c r="I667" s="3" t="s">
        <v>6646</v>
      </c>
      <c r="J667" s="3">
        <v>25.0</v>
      </c>
      <c r="K667" s="3">
        <v>0.0</v>
      </c>
      <c r="L667" s="3">
        <v>0.0</v>
      </c>
      <c r="M667" s="3">
        <v>0.0</v>
      </c>
      <c r="N667" s="3">
        <v>379.9699</v>
      </c>
      <c r="O667" s="3">
        <v>102.0</v>
      </c>
      <c r="P667" s="3" t="e">
        <v>#N/A</v>
      </c>
      <c r="Q667" s="3">
        <v>37.0</v>
      </c>
      <c r="R667" s="3">
        <v>31.0</v>
      </c>
      <c r="S667" s="3">
        <v>32.0</v>
      </c>
      <c r="T667" s="3">
        <v>32.0</v>
      </c>
      <c r="U667" s="3">
        <v>31.0</v>
      </c>
      <c r="V667" s="3">
        <v>34.0</v>
      </c>
      <c r="W667" s="3">
        <v>30.0</v>
      </c>
      <c r="X667" s="3">
        <v>39.0</v>
      </c>
      <c r="Y667" s="3">
        <v>38.0</v>
      </c>
      <c r="Z667" s="3">
        <v>36.0</v>
      </c>
      <c r="AA667" s="3">
        <v>40.0</v>
      </c>
      <c r="AB667" s="3">
        <v>30.0</v>
      </c>
      <c r="AC667" s="3">
        <v>38.0</v>
      </c>
      <c r="AD667" s="3">
        <v>32.0</v>
      </c>
      <c r="AE667" s="3">
        <v>30.0</v>
      </c>
      <c r="AF667" s="3">
        <v>34.0</v>
      </c>
      <c r="AG667" s="3">
        <v>46.0</v>
      </c>
      <c r="AH667" s="3">
        <v>30.0</v>
      </c>
      <c r="AI667" s="3">
        <v>51.0</v>
      </c>
      <c r="AJ667" s="3">
        <v>54.0</v>
      </c>
      <c r="AK667" s="3">
        <v>48.0</v>
      </c>
      <c r="AL667" s="3">
        <v>55.0</v>
      </c>
      <c r="AM667" s="3">
        <v>32.0</v>
      </c>
      <c r="AN667" s="3">
        <v>34.0</v>
      </c>
    </row>
    <row r="668" ht="14.25" customHeight="1">
      <c r="A668" s="3">
        <v>666.0</v>
      </c>
      <c r="B668" s="3" t="s">
        <v>7844</v>
      </c>
      <c r="C668" s="3">
        <v>36.0</v>
      </c>
      <c r="D668" s="3" t="s">
        <v>6645</v>
      </c>
      <c r="E668" s="3" t="s">
        <v>6646</v>
      </c>
      <c r="F668" s="3" t="s">
        <v>6646</v>
      </c>
      <c r="G668" s="3" t="s">
        <v>6645</v>
      </c>
      <c r="H668" s="3" t="s">
        <v>6645</v>
      </c>
      <c r="I668" s="3" t="s">
        <v>6646</v>
      </c>
      <c r="J668" s="3">
        <v>26.0</v>
      </c>
      <c r="K668" s="3">
        <v>4.0</v>
      </c>
      <c r="L668" s="3">
        <v>0.0</v>
      </c>
      <c r="M668" s="3">
        <v>0.0</v>
      </c>
      <c r="N668" s="3">
        <v>7007.4272</v>
      </c>
      <c r="O668" s="3">
        <v>1854.0</v>
      </c>
      <c r="P668" s="3" t="e">
        <v>#N/A</v>
      </c>
      <c r="Q668" s="3">
        <v>54.0</v>
      </c>
      <c r="R668" s="3">
        <v>58.0</v>
      </c>
      <c r="S668" s="3">
        <v>54.0</v>
      </c>
      <c r="T668" s="3">
        <v>58.0</v>
      </c>
      <c r="U668" s="3">
        <v>57.0</v>
      </c>
      <c r="V668" s="3">
        <v>54.0</v>
      </c>
      <c r="W668" s="3">
        <v>55.0</v>
      </c>
      <c r="X668" s="3">
        <v>71.0</v>
      </c>
      <c r="Y668" s="3">
        <v>60.0</v>
      </c>
      <c r="Z668" s="3">
        <v>57.0</v>
      </c>
      <c r="AA668" s="3">
        <v>48.0</v>
      </c>
      <c r="AB668" s="3">
        <v>49.0</v>
      </c>
      <c r="AC668" s="3">
        <v>54.0</v>
      </c>
      <c r="AD668" s="3">
        <v>57.0</v>
      </c>
      <c r="AE668" s="3">
        <v>69.0</v>
      </c>
      <c r="AF668" s="3">
        <v>64.0</v>
      </c>
      <c r="AG668" s="3">
        <v>68.0</v>
      </c>
      <c r="AH668" s="3">
        <v>49.0</v>
      </c>
      <c r="AI668" s="3">
        <v>44.0</v>
      </c>
      <c r="AJ668" s="3">
        <v>65.0</v>
      </c>
      <c r="AK668" s="3">
        <v>40.0</v>
      </c>
      <c r="AL668" s="3">
        <v>41.0</v>
      </c>
      <c r="AM668" s="3">
        <v>67.0</v>
      </c>
      <c r="AN668" s="3">
        <v>56.0</v>
      </c>
    </row>
    <row r="669" ht="14.25" customHeight="1">
      <c r="A669" s="3">
        <v>667.0</v>
      </c>
      <c r="B669" s="3" t="s">
        <v>7845</v>
      </c>
      <c r="C669" s="3">
        <v>40.0</v>
      </c>
      <c r="D669" s="3" t="s">
        <v>6645</v>
      </c>
      <c r="E669" s="3" t="s">
        <v>6646</v>
      </c>
      <c r="F669" s="3" t="s">
        <v>6646</v>
      </c>
      <c r="G669" s="3" t="s">
        <v>6645</v>
      </c>
      <c r="H669" s="3" t="s">
        <v>6645</v>
      </c>
      <c r="I669" s="3" t="s">
        <v>6645</v>
      </c>
      <c r="J669" s="3">
        <v>26.0</v>
      </c>
      <c r="K669" s="3">
        <v>4.0</v>
      </c>
      <c r="L669" s="3">
        <v>0.0</v>
      </c>
      <c r="M669" s="3">
        <v>0.0</v>
      </c>
      <c r="N669" s="3">
        <v>6886.32</v>
      </c>
      <c r="O669" s="3">
        <v>1671.0</v>
      </c>
      <c r="P669" s="3" t="e">
        <v>#N/A</v>
      </c>
      <c r="Q669" s="3">
        <v>57.0</v>
      </c>
      <c r="R669" s="3">
        <v>53.0</v>
      </c>
      <c r="S669" s="3">
        <v>53.0</v>
      </c>
      <c r="T669" s="3">
        <v>55.0</v>
      </c>
      <c r="U669" s="3">
        <v>58.0</v>
      </c>
      <c r="V669" s="3">
        <v>58.0</v>
      </c>
      <c r="W669" s="3">
        <v>57.0</v>
      </c>
      <c r="X669" s="3">
        <v>64.0</v>
      </c>
      <c r="Y669" s="3">
        <v>58.0</v>
      </c>
      <c r="Z669" s="3">
        <v>60.0</v>
      </c>
      <c r="AA669" s="3">
        <v>58.0</v>
      </c>
      <c r="AB669" s="3">
        <v>54.0</v>
      </c>
      <c r="AC669" s="3">
        <v>53.0</v>
      </c>
      <c r="AD669" s="3">
        <v>56.0</v>
      </c>
      <c r="AE669" s="3">
        <v>61.0</v>
      </c>
      <c r="AF669" s="3">
        <v>49.0</v>
      </c>
      <c r="AG669" s="3">
        <v>60.0</v>
      </c>
      <c r="AH669" s="3">
        <v>68.0</v>
      </c>
      <c r="AI669" s="3">
        <v>59.0</v>
      </c>
      <c r="AJ669" s="3">
        <v>51.0</v>
      </c>
      <c r="AK669" s="3">
        <v>66.0</v>
      </c>
      <c r="AL669" s="3">
        <v>61.0</v>
      </c>
      <c r="AM669" s="3">
        <v>39.0</v>
      </c>
      <c r="AN669" s="3">
        <v>41.0</v>
      </c>
    </row>
    <row r="670" ht="14.25" customHeight="1">
      <c r="A670" s="3">
        <v>668.0</v>
      </c>
      <c r="B670" s="3" t="s">
        <v>7846</v>
      </c>
      <c r="C670" s="3">
        <v>31.0</v>
      </c>
      <c r="D670" s="3" t="s">
        <v>6645</v>
      </c>
      <c r="E670" s="3" t="s">
        <v>6646</v>
      </c>
      <c r="F670" s="3" t="s">
        <v>6646</v>
      </c>
      <c r="G670" s="3" t="s">
        <v>6645</v>
      </c>
      <c r="H670" s="3" t="s">
        <v>6645</v>
      </c>
      <c r="I670" s="3" t="s">
        <v>6645</v>
      </c>
      <c r="J670" s="3">
        <v>26.0</v>
      </c>
      <c r="K670" s="3">
        <v>3.0</v>
      </c>
      <c r="L670" s="3">
        <v>0.0</v>
      </c>
      <c r="M670" s="3">
        <v>0.0</v>
      </c>
      <c r="N670" s="3">
        <v>5127.3134</v>
      </c>
      <c r="O670" s="3">
        <v>893.0</v>
      </c>
      <c r="P670" s="3" t="e">
        <v>#N/A</v>
      </c>
      <c r="Q670" s="3">
        <v>50.0</v>
      </c>
      <c r="R670" s="3">
        <v>54.0</v>
      </c>
      <c r="S670" s="3">
        <v>54.0</v>
      </c>
      <c r="T670" s="3">
        <v>50.0</v>
      </c>
      <c r="U670" s="3">
        <v>52.0</v>
      </c>
      <c r="V670" s="3">
        <v>56.0</v>
      </c>
      <c r="W670" s="3">
        <v>50.0</v>
      </c>
      <c r="X670" s="3">
        <v>60.0</v>
      </c>
      <c r="Y670" s="3">
        <v>46.0</v>
      </c>
      <c r="Z670" s="3">
        <v>52.0</v>
      </c>
      <c r="AA670" s="3">
        <v>50.0</v>
      </c>
      <c r="AB670" s="3">
        <v>50.0</v>
      </c>
      <c r="AC670" s="3">
        <v>48.0</v>
      </c>
      <c r="AD670" s="3">
        <v>50.0</v>
      </c>
      <c r="AE670" s="3">
        <v>56.0</v>
      </c>
      <c r="AF670" s="3">
        <v>40.0</v>
      </c>
      <c r="AG670" s="3">
        <v>63.0</v>
      </c>
      <c r="AH670" s="3">
        <v>45.0</v>
      </c>
      <c r="AI670" s="3">
        <v>50.0</v>
      </c>
      <c r="AJ670" s="3">
        <v>51.0</v>
      </c>
      <c r="AK670" s="3">
        <v>52.0</v>
      </c>
      <c r="AL670" s="3">
        <v>62.0</v>
      </c>
      <c r="AM670" s="3">
        <v>56.0</v>
      </c>
      <c r="AN670" s="3">
        <v>55.0</v>
      </c>
    </row>
    <row r="671" ht="14.25" customHeight="1">
      <c r="A671" s="3">
        <v>669.0</v>
      </c>
      <c r="B671" s="3" t="s">
        <v>7847</v>
      </c>
      <c r="C671" s="3">
        <v>30.0</v>
      </c>
      <c r="D671" s="3" t="s">
        <v>6645</v>
      </c>
      <c r="E671" s="3" t="s">
        <v>6646</v>
      </c>
      <c r="F671" s="3" t="s">
        <v>6646</v>
      </c>
      <c r="G671" s="3" t="s">
        <v>6645</v>
      </c>
      <c r="H671" s="3" t="s">
        <v>6645</v>
      </c>
      <c r="I671" s="3" t="s">
        <v>6646</v>
      </c>
      <c r="J671" s="3">
        <v>26.0</v>
      </c>
      <c r="K671" s="3">
        <v>3.0</v>
      </c>
      <c r="L671" s="3">
        <v>0.0</v>
      </c>
      <c r="M671" s="3">
        <v>0.0</v>
      </c>
      <c r="N671" s="3">
        <v>5200.64</v>
      </c>
      <c r="O671" s="3">
        <v>983.0</v>
      </c>
      <c r="P671" s="3" t="e">
        <v>#N/A</v>
      </c>
      <c r="Q671" s="3">
        <v>54.0</v>
      </c>
      <c r="R671" s="3">
        <v>52.0</v>
      </c>
      <c r="S671" s="3">
        <v>46.0</v>
      </c>
      <c r="T671" s="3">
        <v>50.0</v>
      </c>
      <c r="U671" s="3">
        <v>54.0</v>
      </c>
      <c r="V671" s="3">
        <v>48.0</v>
      </c>
      <c r="W671" s="3">
        <v>48.0</v>
      </c>
      <c r="X671" s="3">
        <v>62.0</v>
      </c>
      <c r="Y671" s="3">
        <v>52.0</v>
      </c>
      <c r="Z671" s="3">
        <v>54.0</v>
      </c>
      <c r="AA671" s="3">
        <v>50.0</v>
      </c>
      <c r="AB671" s="3">
        <v>39.0</v>
      </c>
      <c r="AC671" s="3">
        <v>47.0</v>
      </c>
      <c r="AD671" s="3">
        <v>52.0</v>
      </c>
      <c r="AE671" s="3">
        <v>64.0</v>
      </c>
      <c r="AF671" s="3">
        <v>48.0</v>
      </c>
      <c r="AG671" s="3">
        <v>58.0</v>
      </c>
      <c r="AH671" s="3">
        <v>65.0</v>
      </c>
      <c r="AI671" s="3">
        <v>53.0</v>
      </c>
      <c r="AJ671" s="3">
        <v>45.0</v>
      </c>
      <c r="AK671" s="3">
        <v>62.0</v>
      </c>
      <c r="AL671" s="3">
        <v>48.0</v>
      </c>
      <c r="AM671" s="3">
        <v>46.0</v>
      </c>
      <c r="AN671" s="3">
        <v>47.0</v>
      </c>
    </row>
    <row r="672" ht="14.25" customHeight="1">
      <c r="A672" s="3">
        <v>670.0</v>
      </c>
      <c r="B672" s="3" t="s">
        <v>7848</v>
      </c>
      <c r="C672" s="3">
        <v>37.0</v>
      </c>
      <c r="D672" s="3" t="s">
        <v>6645</v>
      </c>
      <c r="E672" s="3" t="s">
        <v>6646</v>
      </c>
      <c r="F672" s="3" t="s">
        <v>6646</v>
      </c>
      <c r="G672" s="3" t="s">
        <v>6645</v>
      </c>
      <c r="H672" s="3" t="s">
        <v>6645</v>
      </c>
      <c r="I672" s="3" t="s">
        <v>6646</v>
      </c>
      <c r="J672" s="3">
        <v>26.0</v>
      </c>
      <c r="K672" s="3">
        <v>3.0</v>
      </c>
      <c r="L672" s="3">
        <v>0.0</v>
      </c>
      <c r="M672" s="3">
        <v>0.0</v>
      </c>
      <c r="N672" s="3">
        <v>5272.8745</v>
      </c>
      <c r="O672" s="3">
        <v>744.0</v>
      </c>
      <c r="P672" s="3" t="e">
        <v>#N/A</v>
      </c>
      <c r="Q672" s="3">
        <v>48.0</v>
      </c>
      <c r="R672" s="3">
        <v>54.0</v>
      </c>
      <c r="S672" s="3">
        <v>50.0</v>
      </c>
      <c r="T672" s="3">
        <v>54.0</v>
      </c>
      <c r="U672" s="3">
        <v>56.0</v>
      </c>
      <c r="V672" s="3">
        <v>52.0</v>
      </c>
      <c r="W672" s="3">
        <v>48.0</v>
      </c>
      <c r="X672" s="3">
        <v>63.0</v>
      </c>
      <c r="Y672" s="3">
        <v>45.0</v>
      </c>
      <c r="Z672" s="3">
        <v>52.0</v>
      </c>
      <c r="AA672" s="3">
        <v>48.0</v>
      </c>
      <c r="AB672" s="3">
        <v>52.0</v>
      </c>
      <c r="AC672" s="3">
        <v>48.0</v>
      </c>
      <c r="AD672" s="3">
        <v>50.0</v>
      </c>
      <c r="AE672" s="3">
        <v>61.0</v>
      </c>
      <c r="AF672" s="3">
        <v>46.0</v>
      </c>
      <c r="AG672" s="3">
        <v>60.0</v>
      </c>
      <c r="AH672" s="3">
        <v>61.0</v>
      </c>
      <c r="AI672" s="3">
        <v>52.0</v>
      </c>
      <c r="AJ672" s="3">
        <v>44.0</v>
      </c>
      <c r="AK672" s="3">
        <v>48.0</v>
      </c>
      <c r="AL672" s="3">
        <v>42.0</v>
      </c>
      <c r="AM672" s="3">
        <v>55.0</v>
      </c>
      <c r="AN672" s="3">
        <v>44.0</v>
      </c>
    </row>
    <row r="673" ht="14.25" customHeight="1">
      <c r="A673" s="3">
        <v>671.0</v>
      </c>
      <c r="B673" s="3" t="s">
        <v>7849</v>
      </c>
      <c r="C673" s="3">
        <v>28.0</v>
      </c>
      <c r="D673" s="3" t="s">
        <v>6645</v>
      </c>
      <c r="E673" s="3" t="s">
        <v>6646</v>
      </c>
      <c r="F673" s="3" t="s">
        <v>6646</v>
      </c>
      <c r="G673" s="3" t="s">
        <v>6645</v>
      </c>
      <c r="H673" s="3" t="s">
        <v>6645</v>
      </c>
      <c r="I673" s="3" t="s">
        <v>6645</v>
      </c>
      <c r="J673" s="3">
        <v>26.0</v>
      </c>
      <c r="K673" s="3">
        <v>2.0</v>
      </c>
      <c r="L673" s="3">
        <v>0.0</v>
      </c>
      <c r="M673" s="3">
        <v>0.0</v>
      </c>
      <c r="N673" s="3">
        <v>3276.2172</v>
      </c>
      <c r="O673" s="3">
        <v>452.0</v>
      </c>
      <c r="P673" s="3" t="e">
        <v>#N/A</v>
      </c>
      <c r="Q673" s="3">
        <v>44.0</v>
      </c>
      <c r="R673" s="3">
        <v>46.0</v>
      </c>
      <c r="S673" s="3">
        <v>49.0</v>
      </c>
      <c r="T673" s="3">
        <v>42.0</v>
      </c>
      <c r="U673" s="3">
        <v>47.0</v>
      </c>
      <c r="V673" s="3">
        <v>44.0</v>
      </c>
      <c r="W673" s="3">
        <v>48.0</v>
      </c>
      <c r="X673" s="3">
        <v>56.0</v>
      </c>
      <c r="Y673" s="3">
        <v>50.0</v>
      </c>
      <c r="Z673" s="3">
        <v>47.0</v>
      </c>
      <c r="AA673" s="3">
        <v>38.0</v>
      </c>
      <c r="AB673" s="3">
        <v>45.0</v>
      </c>
      <c r="AC673" s="3">
        <v>39.0</v>
      </c>
      <c r="AD673" s="3">
        <v>43.0</v>
      </c>
      <c r="AE673" s="3">
        <v>53.0</v>
      </c>
      <c r="AF673" s="3">
        <v>60.0</v>
      </c>
      <c r="AG673" s="3">
        <v>50.0</v>
      </c>
      <c r="AH673" s="3">
        <v>48.0</v>
      </c>
      <c r="AI673" s="3">
        <v>48.0</v>
      </c>
      <c r="AJ673" s="3">
        <v>48.0</v>
      </c>
      <c r="AK673" s="3">
        <v>42.0</v>
      </c>
      <c r="AL673" s="3">
        <v>38.0</v>
      </c>
      <c r="AM673" s="3">
        <v>44.0</v>
      </c>
      <c r="AN673" s="3">
        <v>60.0</v>
      </c>
    </row>
    <row r="674" ht="14.25" customHeight="1">
      <c r="A674" s="3">
        <v>672.0</v>
      </c>
      <c r="B674" s="3" t="s">
        <v>7850</v>
      </c>
      <c r="C674" s="3">
        <v>29.0</v>
      </c>
      <c r="D674" s="3" t="s">
        <v>6645</v>
      </c>
      <c r="E674" s="3" t="s">
        <v>6646</v>
      </c>
      <c r="F674" s="3" t="s">
        <v>6646</v>
      </c>
      <c r="G674" s="3" t="s">
        <v>6645</v>
      </c>
      <c r="H674" s="3" t="s">
        <v>6645</v>
      </c>
      <c r="I674" s="3" t="s">
        <v>6646</v>
      </c>
      <c r="J674" s="3">
        <v>26.0</v>
      </c>
      <c r="K674" s="3">
        <v>2.0</v>
      </c>
      <c r="L674" s="3">
        <v>0.0</v>
      </c>
      <c r="M674" s="3">
        <v>0.0</v>
      </c>
      <c r="N674" s="3">
        <v>3028.1242</v>
      </c>
      <c r="O674" s="3">
        <v>313.0</v>
      </c>
      <c r="P674" s="3" t="e">
        <v>#N/A</v>
      </c>
      <c r="Q674" s="3">
        <v>43.0</v>
      </c>
      <c r="R674" s="3">
        <v>41.0</v>
      </c>
      <c r="S674" s="3">
        <v>48.0</v>
      </c>
      <c r="T674" s="3">
        <v>49.0</v>
      </c>
      <c r="U674" s="3">
        <v>50.0</v>
      </c>
      <c r="V674" s="3">
        <v>47.0</v>
      </c>
      <c r="W674" s="3">
        <v>44.0</v>
      </c>
      <c r="X674" s="3">
        <v>55.0</v>
      </c>
      <c r="Y674" s="3">
        <v>45.0</v>
      </c>
      <c r="Z674" s="3">
        <v>46.0</v>
      </c>
      <c r="AA674" s="3">
        <v>44.0</v>
      </c>
      <c r="AB674" s="3">
        <v>36.0</v>
      </c>
      <c r="AC674" s="3">
        <v>41.0</v>
      </c>
      <c r="AD674" s="3">
        <v>44.0</v>
      </c>
      <c r="AE674" s="3">
        <v>47.0</v>
      </c>
      <c r="AF674" s="3">
        <v>64.0</v>
      </c>
      <c r="AG674" s="3">
        <v>42.0</v>
      </c>
      <c r="AH674" s="3">
        <v>36.0</v>
      </c>
      <c r="AI674" s="3">
        <v>60.0</v>
      </c>
      <c r="AJ674" s="3">
        <v>62.0</v>
      </c>
      <c r="AK674" s="3">
        <v>52.0</v>
      </c>
      <c r="AL674" s="3">
        <v>52.0</v>
      </c>
      <c r="AM674" s="3">
        <v>34.0</v>
      </c>
      <c r="AN674" s="3">
        <v>50.0</v>
      </c>
    </row>
    <row r="675" ht="14.25" customHeight="1">
      <c r="A675" s="3">
        <v>673.0</v>
      </c>
      <c r="B675" s="3" t="s">
        <v>7851</v>
      </c>
      <c r="C675" s="3">
        <v>32.0</v>
      </c>
      <c r="D675" s="3" t="s">
        <v>6645</v>
      </c>
      <c r="E675" s="3" t="s">
        <v>6646</v>
      </c>
      <c r="F675" s="3" t="s">
        <v>6646</v>
      </c>
      <c r="G675" s="3" t="s">
        <v>6645</v>
      </c>
      <c r="H675" s="3" t="s">
        <v>6645</v>
      </c>
      <c r="I675" s="3" t="s">
        <v>6645</v>
      </c>
      <c r="J675" s="3">
        <v>26.0</v>
      </c>
      <c r="K675" s="3">
        <v>2.0</v>
      </c>
      <c r="L675" s="3">
        <v>0.0</v>
      </c>
      <c r="M675" s="3">
        <v>0.0</v>
      </c>
      <c r="N675" s="3">
        <v>3170.2216</v>
      </c>
      <c r="O675" s="3">
        <v>475.0</v>
      </c>
      <c r="P675" s="3" t="e">
        <v>#N/A</v>
      </c>
      <c r="Q675" s="3">
        <v>44.0</v>
      </c>
      <c r="R675" s="3">
        <v>45.0</v>
      </c>
      <c r="S675" s="3">
        <v>47.0</v>
      </c>
      <c r="T675" s="3">
        <v>42.0</v>
      </c>
      <c r="U675" s="3">
        <v>42.0</v>
      </c>
      <c r="V675" s="3">
        <v>47.0</v>
      </c>
      <c r="W675" s="3">
        <v>45.0</v>
      </c>
      <c r="X675" s="3">
        <v>48.0</v>
      </c>
      <c r="Y675" s="3">
        <v>44.0</v>
      </c>
      <c r="Z675" s="3">
        <v>43.0</v>
      </c>
      <c r="AA675" s="3">
        <v>37.0</v>
      </c>
      <c r="AB675" s="3">
        <v>44.0</v>
      </c>
      <c r="AC675" s="3">
        <v>44.0</v>
      </c>
      <c r="AD675" s="3">
        <v>41.0</v>
      </c>
      <c r="AE675" s="3">
        <v>54.0</v>
      </c>
      <c r="AF675" s="3">
        <v>62.0</v>
      </c>
      <c r="AG675" s="3">
        <v>34.0</v>
      </c>
      <c r="AH675" s="3">
        <v>44.0</v>
      </c>
      <c r="AI675" s="3">
        <v>40.0</v>
      </c>
      <c r="AJ675" s="3">
        <v>36.0</v>
      </c>
      <c r="AK675" s="3">
        <v>46.0</v>
      </c>
      <c r="AL675" s="3">
        <v>52.0</v>
      </c>
      <c r="AM675" s="3">
        <v>44.0</v>
      </c>
      <c r="AN675" s="3">
        <v>46.0</v>
      </c>
    </row>
    <row r="676" ht="14.25" customHeight="1">
      <c r="A676" s="3">
        <v>674.0</v>
      </c>
      <c r="B676" s="3" t="s">
        <v>7852</v>
      </c>
      <c r="C676" s="3">
        <v>26.0</v>
      </c>
      <c r="D676" s="3" t="s">
        <v>6645</v>
      </c>
      <c r="E676" s="3" t="s">
        <v>6646</v>
      </c>
      <c r="F676" s="3" t="s">
        <v>6646</v>
      </c>
      <c r="G676" s="3" t="s">
        <v>6645</v>
      </c>
      <c r="H676" s="3" t="s">
        <v>6645</v>
      </c>
      <c r="I676" s="3" t="s">
        <v>6645</v>
      </c>
      <c r="J676" s="3">
        <v>26.0</v>
      </c>
      <c r="K676" s="3">
        <v>1.0</v>
      </c>
      <c r="L676" s="3">
        <v>0.0</v>
      </c>
      <c r="M676" s="3">
        <v>0.0</v>
      </c>
      <c r="N676" s="3">
        <v>1191.4022</v>
      </c>
      <c r="O676" s="3">
        <v>221.0</v>
      </c>
      <c r="P676" s="3" t="e">
        <v>#N/A</v>
      </c>
      <c r="Q676" s="3">
        <v>42.0</v>
      </c>
      <c r="R676" s="3">
        <v>44.0</v>
      </c>
      <c r="S676" s="3">
        <v>38.0</v>
      </c>
      <c r="T676" s="3">
        <v>36.0</v>
      </c>
      <c r="U676" s="3">
        <v>44.0</v>
      </c>
      <c r="V676" s="3">
        <v>42.0</v>
      </c>
      <c r="W676" s="3">
        <v>33.0</v>
      </c>
      <c r="X676" s="3">
        <v>47.0</v>
      </c>
      <c r="Y676" s="3">
        <v>44.0</v>
      </c>
      <c r="Z676" s="3">
        <v>42.0</v>
      </c>
      <c r="AA676" s="3">
        <v>35.0</v>
      </c>
      <c r="AB676" s="3">
        <v>36.0</v>
      </c>
      <c r="AC676" s="3">
        <v>42.0</v>
      </c>
      <c r="AD676" s="3">
        <v>40.0</v>
      </c>
      <c r="AE676" s="3">
        <v>41.0</v>
      </c>
      <c r="AF676" s="3">
        <v>38.0</v>
      </c>
      <c r="AG676" s="3">
        <v>38.0</v>
      </c>
      <c r="AH676" s="3">
        <v>50.0</v>
      </c>
      <c r="AI676" s="3">
        <v>34.0</v>
      </c>
      <c r="AJ676" s="3">
        <v>54.0</v>
      </c>
      <c r="AK676" s="3">
        <v>58.0</v>
      </c>
      <c r="AL676" s="3">
        <v>51.0</v>
      </c>
      <c r="AM676" s="3">
        <v>57.0</v>
      </c>
      <c r="AN676" s="3">
        <v>58.0</v>
      </c>
    </row>
    <row r="677" ht="14.25" customHeight="1">
      <c r="A677" s="3">
        <v>675.0</v>
      </c>
      <c r="B677" s="3" t="s">
        <v>7853</v>
      </c>
      <c r="C677" s="3">
        <v>27.0</v>
      </c>
      <c r="D677" s="3" t="s">
        <v>6645</v>
      </c>
      <c r="E677" s="3" t="s">
        <v>6646</v>
      </c>
      <c r="F677" s="3" t="s">
        <v>6646</v>
      </c>
      <c r="G677" s="3" t="s">
        <v>6645</v>
      </c>
      <c r="H677" s="3" t="s">
        <v>6645</v>
      </c>
      <c r="I677" s="3" t="s">
        <v>6646</v>
      </c>
      <c r="J677" s="3">
        <v>26.0</v>
      </c>
      <c r="K677" s="3">
        <v>1.0</v>
      </c>
      <c r="L677" s="3">
        <v>0.0</v>
      </c>
      <c r="M677" s="3">
        <v>0.0</v>
      </c>
      <c r="N677" s="3">
        <v>1142.2537</v>
      </c>
      <c r="O677" s="3">
        <v>213.0</v>
      </c>
      <c r="P677" s="3" t="e">
        <v>#N/A</v>
      </c>
      <c r="Q677" s="3">
        <v>40.0</v>
      </c>
      <c r="R677" s="3">
        <v>38.0</v>
      </c>
      <c r="S677" s="3">
        <v>36.0</v>
      </c>
      <c r="T677" s="3">
        <v>44.0</v>
      </c>
      <c r="U677" s="3">
        <v>38.0</v>
      </c>
      <c r="V677" s="3">
        <v>42.0</v>
      </c>
      <c r="W677" s="3">
        <v>38.0</v>
      </c>
      <c r="X677" s="3">
        <v>44.0</v>
      </c>
      <c r="Y677" s="3">
        <v>28.0</v>
      </c>
      <c r="Z677" s="3">
        <v>44.0</v>
      </c>
      <c r="AA677" s="3">
        <v>38.0</v>
      </c>
      <c r="AB677" s="3">
        <v>36.0</v>
      </c>
      <c r="AC677" s="3">
        <v>42.0</v>
      </c>
      <c r="AD677" s="3">
        <v>36.0</v>
      </c>
      <c r="AE677" s="3">
        <v>44.0</v>
      </c>
      <c r="AF677" s="3">
        <v>50.0</v>
      </c>
      <c r="AG677" s="3">
        <v>40.0</v>
      </c>
      <c r="AH677" s="3">
        <v>41.0</v>
      </c>
      <c r="AI677" s="3">
        <v>59.0</v>
      </c>
      <c r="AJ677" s="3">
        <v>39.0</v>
      </c>
      <c r="AK677" s="3">
        <v>38.0</v>
      </c>
      <c r="AL677" s="3">
        <v>52.0</v>
      </c>
      <c r="AM677" s="3">
        <v>35.0</v>
      </c>
      <c r="AN677" s="3">
        <v>49.0</v>
      </c>
    </row>
    <row r="678" ht="14.25" customHeight="1">
      <c r="A678" s="3">
        <v>676.0</v>
      </c>
      <c r="B678" s="3" t="s">
        <v>7854</v>
      </c>
      <c r="C678" s="3">
        <v>27.0</v>
      </c>
      <c r="D678" s="3" t="s">
        <v>6645</v>
      </c>
      <c r="E678" s="3" t="s">
        <v>6646</v>
      </c>
      <c r="F678" s="3" t="s">
        <v>6646</v>
      </c>
      <c r="G678" s="3" t="s">
        <v>6645</v>
      </c>
      <c r="H678" s="3" t="s">
        <v>6645</v>
      </c>
      <c r="I678" s="3" t="s">
        <v>6646</v>
      </c>
      <c r="J678" s="3">
        <v>26.0</v>
      </c>
      <c r="K678" s="3">
        <v>1.0</v>
      </c>
      <c r="L678" s="3">
        <v>0.0</v>
      </c>
      <c r="M678" s="3">
        <v>0.0</v>
      </c>
      <c r="N678" s="3">
        <v>1373.8414</v>
      </c>
      <c r="O678" s="3">
        <v>152.0</v>
      </c>
      <c r="P678" s="3" t="e">
        <v>#N/A</v>
      </c>
      <c r="Q678" s="3">
        <v>42.0</v>
      </c>
      <c r="R678" s="3">
        <v>44.0</v>
      </c>
      <c r="S678" s="3">
        <v>44.0</v>
      </c>
      <c r="T678" s="3">
        <v>42.0</v>
      </c>
      <c r="U678" s="3">
        <v>44.0</v>
      </c>
      <c r="V678" s="3">
        <v>36.0</v>
      </c>
      <c r="W678" s="3">
        <v>42.0</v>
      </c>
      <c r="X678" s="3">
        <v>43.0</v>
      </c>
      <c r="Y678" s="3">
        <v>40.0</v>
      </c>
      <c r="Z678" s="3">
        <v>30.0</v>
      </c>
      <c r="AA678" s="3">
        <v>42.0</v>
      </c>
      <c r="AB678" s="3">
        <v>44.0</v>
      </c>
      <c r="AC678" s="3">
        <v>40.0</v>
      </c>
      <c r="AD678" s="3">
        <v>35.0</v>
      </c>
      <c r="AE678" s="3">
        <v>44.0</v>
      </c>
      <c r="AF678" s="3">
        <v>52.0</v>
      </c>
      <c r="AG678" s="3">
        <v>52.0</v>
      </c>
      <c r="AH678" s="3">
        <v>52.0</v>
      </c>
      <c r="AI678" s="3">
        <v>38.0</v>
      </c>
      <c r="AJ678" s="3">
        <v>53.0</v>
      </c>
      <c r="AK678" s="3">
        <v>58.0</v>
      </c>
      <c r="AL678" s="3">
        <v>41.0</v>
      </c>
      <c r="AM678" s="3">
        <v>38.0</v>
      </c>
      <c r="AN678" s="3">
        <v>52.0</v>
      </c>
    </row>
    <row r="679" ht="14.25" customHeight="1">
      <c r="A679" s="3">
        <v>677.0</v>
      </c>
      <c r="B679" s="3" t="s">
        <v>7855</v>
      </c>
      <c r="C679" s="3">
        <v>20.0</v>
      </c>
      <c r="D679" s="3" t="s">
        <v>6645</v>
      </c>
      <c r="E679" s="3" t="s">
        <v>6646</v>
      </c>
      <c r="F679" s="3" t="s">
        <v>6646</v>
      </c>
      <c r="G679" s="3" t="s">
        <v>6645</v>
      </c>
      <c r="H679" s="3" t="s">
        <v>6645</v>
      </c>
      <c r="I679" s="3" t="s">
        <v>6646</v>
      </c>
      <c r="J679" s="3">
        <v>26.0</v>
      </c>
      <c r="K679" s="3">
        <v>1.0</v>
      </c>
      <c r="L679" s="3">
        <v>0.0</v>
      </c>
      <c r="M679" s="3">
        <v>0.0</v>
      </c>
      <c r="N679" s="3">
        <v>1178.982</v>
      </c>
      <c r="O679" s="3">
        <v>170.0</v>
      </c>
      <c r="P679" s="3" t="e">
        <v>#N/A</v>
      </c>
      <c r="Q679" s="3">
        <v>44.0</v>
      </c>
      <c r="R679" s="3">
        <v>36.0</v>
      </c>
      <c r="S679" s="3">
        <v>44.0</v>
      </c>
      <c r="T679" s="3">
        <v>44.0</v>
      </c>
      <c r="U679" s="3">
        <v>44.0</v>
      </c>
      <c r="V679" s="3">
        <v>40.0</v>
      </c>
      <c r="W679" s="3">
        <v>36.0</v>
      </c>
      <c r="X679" s="3">
        <v>49.0</v>
      </c>
      <c r="Y679" s="3">
        <v>40.0</v>
      </c>
      <c r="Z679" s="3">
        <v>35.0</v>
      </c>
      <c r="AA679" s="3">
        <v>42.0</v>
      </c>
      <c r="AB679" s="3">
        <v>35.0</v>
      </c>
      <c r="AC679" s="3">
        <v>38.0</v>
      </c>
      <c r="AD679" s="3">
        <v>42.0</v>
      </c>
      <c r="AE679" s="3">
        <v>47.0</v>
      </c>
      <c r="AF679" s="3">
        <v>48.0</v>
      </c>
      <c r="AG679" s="3">
        <v>32.0</v>
      </c>
      <c r="AH679" s="3">
        <v>55.0</v>
      </c>
      <c r="AI679" s="3">
        <v>44.0</v>
      </c>
      <c r="AJ679" s="3">
        <v>53.0</v>
      </c>
      <c r="AK679" s="3">
        <v>34.0</v>
      </c>
      <c r="AL679" s="3">
        <v>59.0</v>
      </c>
      <c r="AM679" s="3">
        <v>46.0</v>
      </c>
      <c r="AN679" s="3">
        <v>45.0</v>
      </c>
    </row>
    <row r="680" ht="14.25" customHeight="1">
      <c r="A680" s="3">
        <v>678.0</v>
      </c>
      <c r="B680" s="3" t="s">
        <v>7856</v>
      </c>
      <c r="C680" s="3">
        <v>16.0</v>
      </c>
      <c r="D680" s="3" t="s">
        <v>6645</v>
      </c>
      <c r="E680" s="3" t="s">
        <v>6646</v>
      </c>
      <c r="F680" s="3" t="s">
        <v>6646</v>
      </c>
      <c r="G680" s="3" t="s">
        <v>6645</v>
      </c>
      <c r="H680" s="3" t="s">
        <v>6645</v>
      </c>
      <c r="I680" s="3" t="s">
        <v>6646</v>
      </c>
      <c r="J680" s="3">
        <v>26.0</v>
      </c>
      <c r="K680" s="3">
        <v>0.0</v>
      </c>
      <c r="L680" s="3">
        <v>0.0</v>
      </c>
      <c r="M680" s="3">
        <v>0.0</v>
      </c>
      <c r="N680" s="3">
        <v>480.86535</v>
      </c>
      <c r="O680" s="3">
        <v>79.0</v>
      </c>
      <c r="P680" s="3" t="e">
        <v>#N/A</v>
      </c>
      <c r="Q680" s="3">
        <v>33.0</v>
      </c>
      <c r="R680" s="3">
        <v>30.0</v>
      </c>
      <c r="S680" s="3">
        <v>32.0</v>
      </c>
      <c r="T680" s="3">
        <v>39.0</v>
      </c>
      <c r="U680" s="3">
        <v>35.0</v>
      </c>
      <c r="V680" s="3">
        <v>34.0</v>
      </c>
      <c r="W680" s="3">
        <v>30.0</v>
      </c>
      <c r="X680" s="3">
        <v>46.0</v>
      </c>
      <c r="Y680" s="3">
        <v>38.0</v>
      </c>
      <c r="Z680" s="3">
        <v>39.0</v>
      </c>
      <c r="AA680" s="3">
        <v>32.0</v>
      </c>
      <c r="AB680" s="3">
        <v>31.0</v>
      </c>
      <c r="AC680" s="3">
        <v>30.0</v>
      </c>
      <c r="AD680" s="3">
        <v>38.0</v>
      </c>
      <c r="AE680" s="3">
        <v>44.0</v>
      </c>
      <c r="AF680" s="3">
        <v>34.0</v>
      </c>
      <c r="AG680" s="3">
        <v>42.0</v>
      </c>
      <c r="AH680" s="3">
        <v>40.0</v>
      </c>
      <c r="AI680" s="3">
        <v>58.0</v>
      </c>
      <c r="AJ680" s="3">
        <v>36.0</v>
      </c>
      <c r="AK680" s="3">
        <v>41.0</v>
      </c>
      <c r="AL680" s="3">
        <v>57.0</v>
      </c>
      <c r="AM680" s="3">
        <v>55.0</v>
      </c>
      <c r="AN680" s="3">
        <v>42.0</v>
      </c>
    </row>
    <row r="681" ht="14.25" customHeight="1">
      <c r="A681" s="3">
        <v>679.0</v>
      </c>
      <c r="B681" s="3" t="s">
        <v>7857</v>
      </c>
      <c r="C681" s="3">
        <v>22.0</v>
      </c>
      <c r="D681" s="3" t="s">
        <v>6645</v>
      </c>
      <c r="E681" s="3" t="s">
        <v>6646</v>
      </c>
      <c r="F681" s="3" t="s">
        <v>6646</v>
      </c>
      <c r="G681" s="3" t="s">
        <v>6645</v>
      </c>
      <c r="H681" s="3" t="s">
        <v>6645</v>
      </c>
      <c r="I681" s="3" t="s">
        <v>6645</v>
      </c>
      <c r="J681" s="3">
        <v>26.0</v>
      </c>
      <c r="K681" s="3">
        <v>0.0</v>
      </c>
      <c r="L681" s="3">
        <v>0.0</v>
      </c>
      <c r="M681" s="3">
        <v>0.0</v>
      </c>
      <c r="N681" s="3">
        <v>444.92224</v>
      </c>
      <c r="O681" s="3">
        <v>100.0</v>
      </c>
      <c r="P681" s="3" t="e">
        <v>#N/A</v>
      </c>
      <c r="Q681" s="3">
        <v>33.0</v>
      </c>
      <c r="R681" s="3">
        <v>35.0</v>
      </c>
      <c r="S681" s="3">
        <v>39.0</v>
      </c>
      <c r="T681" s="3">
        <v>32.0</v>
      </c>
      <c r="U681" s="3">
        <v>36.0</v>
      </c>
      <c r="V681" s="3">
        <v>36.0</v>
      </c>
      <c r="W681" s="3">
        <v>34.0</v>
      </c>
      <c r="X681" s="3">
        <v>44.0</v>
      </c>
      <c r="Y681" s="3">
        <v>30.0</v>
      </c>
      <c r="Z681" s="3">
        <v>27.0</v>
      </c>
      <c r="AA681" s="3">
        <v>33.0</v>
      </c>
      <c r="AB681" s="3">
        <v>32.0</v>
      </c>
      <c r="AC681" s="3">
        <v>28.0</v>
      </c>
      <c r="AD681" s="3">
        <v>32.0</v>
      </c>
      <c r="AE681" s="3">
        <v>39.0</v>
      </c>
      <c r="AF681" s="3">
        <v>52.0</v>
      </c>
      <c r="AG681" s="3">
        <v>50.0</v>
      </c>
      <c r="AH681" s="3">
        <v>45.0</v>
      </c>
      <c r="AI681" s="3">
        <v>47.0</v>
      </c>
      <c r="AJ681" s="3">
        <v>52.0</v>
      </c>
      <c r="AK681" s="3">
        <v>33.0</v>
      </c>
      <c r="AL681" s="3">
        <v>33.0</v>
      </c>
      <c r="AM681" s="3">
        <v>50.0</v>
      </c>
      <c r="AN681" s="3">
        <v>47.0</v>
      </c>
    </row>
    <row r="682" ht="14.25" customHeight="1">
      <c r="A682" s="3">
        <v>680.0</v>
      </c>
      <c r="B682" s="3" t="s">
        <v>7858</v>
      </c>
      <c r="C682" s="3">
        <v>23.0</v>
      </c>
      <c r="D682" s="3" t="s">
        <v>6645</v>
      </c>
      <c r="E682" s="3" t="s">
        <v>6646</v>
      </c>
      <c r="F682" s="3" t="s">
        <v>6646</v>
      </c>
      <c r="G682" s="3" t="s">
        <v>6645</v>
      </c>
      <c r="H682" s="3" t="s">
        <v>6645</v>
      </c>
      <c r="I682" s="3" t="s">
        <v>6645</v>
      </c>
      <c r="J682" s="3">
        <v>26.0</v>
      </c>
      <c r="K682" s="3">
        <v>0.0</v>
      </c>
      <c r="L682" s="3">
        <v>0.0</v>
      </c>
      <c r="M682" s="3">
        <v>0.0</v>
      </c>
      <c r="N682" s="3">
        <v>503.20385</v>
      </c>
      <c r="O682" s="3">
        <v>121.0</v>
      </c>
      <c r="P682" s="3" t="e">
        <v>#N/A</v>
      </c>
      <c r="Q682" s="3">
        <v>39.0</v>
      </c>
      <c r="R682" s="3">
        <v>39.0</v>
      </c>
      <c r="S682" s="3">
        <v>33.0</v>
      </c>
      <c r="T682" s="3">
        <v>37.0</v>
      </c>
      <c r="U682" s="3">
        <v>32.0</v>
      </c>
      <c r="V682" s="3">
        <v>36.0</v>
      </c>
      <c r="W682" s="3">
        <v>33.0</v>
      </c>
      <c r="X682" s="3">
        <v>42.0</v>
      </c>
      <c r="Y682" s="3">
        <v>37.0</v>
      </c>
      <c r="Z682" s="3">
        <v>26.0</v>
      </c>
      <c r="AA682" s="3">
        <v>32.0</v>
      </c>
      <c r="AB682" s="3">
        <v>39.0</v>
      </c>
      <c r="AC682" s="3">
        <v>27.0</v>
      </c>
      <c r="AD682" s="3">
        <v>33.0</v>
      </c>
      <c r="AE682" s="3">
        <v>47.0</v>
      </c>
      <c r="AF682" s="3">
        <v>57.0</v>
      </c>
      <c r="AG682" s="3">
        <v>35.0</v>
      </c>
      <c r="AH682" s="3">
        <v>56.0</v>
      </c>
      <c r="AI682" s="3">
        <v>42.0</v>
      </c>
      <c r="AJ682" s="3">
        <v>45.0</v>
      </c>
      <c r="AK682" s="3">
        <v>53.0</v>
      </c>
      <c r="AL682" s="3">
        <v>49.0</v>
      </c>
      <c r="AM682" s="3">
        <v>57.0</v>
      </c>
      <c r="AN682" s="3">
        <v>32.0</v>
      </c>
    </row>
    <row r="683" ht="14.25" customHeight="1">
      <c r="A683" s="3">
        <v>681.0</v>
      </c>
      <c r="B683" s="3" t="s">
        <v>7859</v>
      </c>
      <c r="C683" s="3">
        <v>16.0</v>
      </c>
      <c r="D683" s="3" t="s">
        <v>6645</v>
      </c>
      <c r="E683" s="3" t="s">
        <v>6646</v>
      </c>
      <c r="F683" s="3" t="s">
        <v>6646</v>
      </c>
      <c r="G683" s="3" t="s">
        <v>6645</v>
      </c>
      <c r="H683" s="3" t="s">
        <v>6645</v>
      </c>
      <c r="I683" s="3" t="s">
        <v>6645</v>
      </c>
      <c r="J683" s="3">
        <v>26.0</v>
      </c>
      <c r="K683" s="3">
        <v>0.0</v>
      </c>
      <c r="L683" s="3">
        <v>0.0</v>
      </c>
      <c r="M683" s="3">
        <v>0.0</v>
      </c>
      <c r="N683" s="3">
        <v>345.715</v>
      </c>
      <c r="O683" s="3">
        <v>99.0</v>
      </c>
      <c r="P683" s="3" t="e">
        <v>#N/A</v>
      </c>
      <c r="Q683" s="3">
        <v>36.0</v>
      </c>
      <c r="R683" s="3">
        <v>36.0</v>
      </c>
      <c r="S683" s="3">
        <v>32.0</v>
      </c>
      <c r="T683" s="3">
        <v>39.0</v>
      </c>
      <c r="U683" s="3">
        <v>38.0</v>
      </c>
      <c r="V683" s="3">
        <v>37.0</v>
      </c>
      <c r="W683" s="3">
        <v>35.0</v>
      </c>
      <c r="X683" s="3">
        <v>38.0</v>
      </c>
      <c r="Y683" s="3">
        <v>35.0</v>
      </c>
      <c r="Z683" s="3">
        <v>39.0</v>
      </c>
      <c r="AA683" s="3">
        <v>27.0</v>
      </c>
      <c r="AB683" s="3">
        <v>39.0</v>
      </c>
      <c r="AC683" s="3">
        <v>37.0</v>
      </c>
      <c r="AD683" s="3">
        <v>23.0</v>
      </c>
      <c r="AE683" s="3">
        <v>39.0</v>
      </c>
      <c r="AF683" s="3">
        <v>38.0</v>
      </c>
      <c r="AG683" s="3">
        <v>32.0</v>
      </c>
      <c r="AH683" s="3">
        <v>32.0</v>
      </c>
      <c r="AI683" s="3">
        <v>55.0</v>
      </c>
      <c r="AJ683" s="3">
        <v>39.0</v>
      </c>
      <c r="AK683" s="3">
        <v>58.0</v>
      </c>
      <c r="AL683" s="3">
        <v>38.0</v>
      </c>
      <c r="AM683" s="3">
        <v>35.0</v>
      </c>
      <c r="AN683" s="3">
        <v>35.0</v>
      </c>
    </row>
    <row r="684" ht="14.25" customHeight="1">
      <c r="A684" s="3">
        <v>682.0</v>
      </c>
      <c r="B684" s="3" t="s">
        <v>7860</v>
      </c>
      <c r="C684" s="3">
        <v>48.0</v>
      </c>
      <c r="D684" s="3" t="s">
        <v>6645</v>
      </c>
      <c r="E684" s="3" t="s">
        <v>6646</v>
      </c>
      <c r="F684" s="3" t="s">
        <v>6646</v>
      </c>
      <c r="G684" s="3" t="s">
        <v>6645</v>
      </c>
      <c r="H684" s="3" t="s">
        <v>6645</v>
      </c>
      <c r="I684" s="3" t="s">
        <v>6645</v>
      </c>
      <c r="J684" s="3">
        <v>27.0</v>
      </c>
      <c r="K684" s="3">
        <v>5.0</v>
      </c>
      <c r="L684" s="3">
        <v>0.0</v>
      </c>
      <c r="M684" s="3">
        <v>0.0</v>
      </c>
      <c r="N684" s="3">
        <v>11940.596</v>
      </c>
      <c r="O684" s="3">
        <v>3488.0</v>
      </c>
      <c r="P684" s="3" t="e">
        <v>#N/A</v>
      </c>
      <c r="Q684" s="3">
        <v>64.0</v>
      </c>
      <c r="R684" s="3">
        <v>64.0</v>
      </c>
      <c r="S684" s="3">
        <v>76.0</v>
      </c>
      <c r="T684" s="3">
        <v>64.0</v>
      </c>
      <c r="U684" s="3">
        <v>65.0</v>
      </c>
      <c r="V684" s="3">
        <v>68.0</v>
      </c>
      <c r="W684" s="3">
        <v>69.0</v>
      </c>
      <c r="X684" s="3">
        <v>61.0</v>
      </c>
      <c r="Y684" s="3">
        <v>61.0</v>
      </c>
      <c r="Z684" s="3">
        <v>65.0</v>
      </c>
      <c r="AA684" s="3">
        <v>64.0</v>
      </c>
      <c r="AB684" s="3">
        <v>62.0</v>
      </c>
      <c r="AC684" s="3">
        <v>65.0</v>
      </c>
      <c r="AD684" s="3">
        <v>63.0</v>
      </c>
      <c r="AE684" s="3">
        <v>72.0</v>
      </c>
      <c r="AF684" s="3">
        <v>52.0</v>
      </c>
      <c r="AG684" s="3">
        <v>50.0</v>
      </c>
      <c r="AH684" s="3">
        <v>62.0</v>
      </c>
      <c r="AI684" s="3">
        <v>56.0</v>
      </c>
      <c r="AJ684" s="3">
        <v>60.0</v>
      </c>
      <c r="AK684" s="3">
        <v>60.0</v>
      </c>
      <c r="AL684" s="3">
        <v>54.0</v>
      </c>
      <c r="AM684" s="3">
        <v>48.0</v>
      </c>
      <c r="AN684" s="3">
        <v>50.0</v>
      </c>
    </row>
    <row r="685" ht="14.25" customHeight="1">
      <c r="A685" s="3">
        <v>683.0</v>
      </c>
      <c r="B685" s="3" t="s">
        <v>7861</v>
      </c>
      <c r="C685" s="3">
        <v>36.0</v>
      </c>
      <c r="D685" s="3" t="s">
        <v>6645</v>
      </c>
      <c r="E685" s="3" t="s">
        <v>6646</v>
      </c>
      <c r="F685" s="3" t="s">
        <v>6646</v>
      </c>
      <c r="G685" s="3" t="s">
        <v>6645</v>
      </c>
      <c r="H685" s="3" t="s">
        <v>6645</v>
      </c>
      <c r="I685" s="3" t="s">
        <v>6645</v>
      </c>
      <c r="J685" s="3">
        <v>27.0</v>
      </c>
      <c r="K685" s="3">
        <v>4.0</v>
      </c>
      <c r="L685" s="3">
        <v>0.0</v>
      </c>
      <c r="M685" s="3">
        <v>0.0</v>
      </c>
      <c r="N685" s="3">
        <v>7989.2563</v>
      </c>
      <c r="O685" s="3">
        <v>1444.0</v>
      </c>
      <c r="P685" s="3" t="e">
        <v>#N/A</v>
      </c>
      <c r="Q685" s="3">
        <v>59.0</v>
      </c>
      <c r="R685" s="3">
        <v>56.0</v>
      </c>
      <c r="S685" s="3">
        <v>60.0</v>
      </c>
      <c r="T685" s="3">
        <v>58.0</v>
      </c>
      <c r="U685" s="3">
        <v>59.0</v>
      </c>
      <c r="V685" s="3">
        <v>56.0</v>
      </c>
      <c r="W685" s="3">
        <v>63.0</v>
      </c>
      <c r="X685" s="3">
        <v>55.0</v>
      </c>
      <c r="Y685" s="3">
        <v>61.0</v>
      </c>
      <c r="Z685" s="3">
        <v>59.0</v>
      </c>
      <c r="AA685" s="3">
        <v>55.0</v>
      </c>
      <c r="AB685" s="3">
        <v>63.0</v>
      </c>
      <c r="AC685" s="3">
        <v>56.0</v>
      </c>
      <c r="AD685" s="3">
        <v>61.0</v>
      </c>
      <c r="AE685" s="3">
        <v>72.0</v>
      </c>
      <c r="AF685" s="3">
        <v>41.0</v>
      </c>
      <c r="AG685" s="3">
        <v>55.0</v>
      </c>
      <c r="AH685" s="3">
        <v>50.0</v>
      </c>
      <c r="AI685" s="3">
        <v>63.0</v>
      </c>
      <c r="AJ685" s="3">
        <v>55.0</v>
      </c>
      <c r="AK685" s="3">
        <v>47.0</v>
      </c>
      <c r="AL685" s="3">
        <v>51.0</v>
      </c>
      <c r="AM685" s="3">
        <v>51.0</v>
      </c>
      <c r="AN685" s="3">
        <v>56.0</v>
      </c>
    </row>
    <row r="686" ht="14.25" customHeight="1">
      <c r="A686" s="3">
        <v>684.0</v>
      </c>
      <c r="B686" s="3" t="s">
        <v>7862</v>
      </c>
      <c r="C686" s="3">
        <v>36.0</v>
      </c>
      <c r="D686" s="3" t="s">
        <v>6645</v>
      </c>
      <c r="E686" s="3" t="s">
        <v>6646</v>
      </c>
      <c r="F686" s="3" t="s">
        <v>6646</v>
      </c>
      <c r="G686" s="3" t="s">
        <v>6645</v>
      </c>
      <c r="H686" s="3" t="s">
        <v>6645</v>
      </c>
      <c r="I686" s="3" t="s">
        <v>6646</v>
      </c>
      <c r="J686" s="3">
        <v>27.0</v>
      </c>
      <c r="K686" s="3">
        <v>4.0</v>
      </c>
      <c r="L686" s="3">
        <v>0.0</v>
      </c>
      <c r="M686" s="3">
        <v>0.0</v>
      </c>
      <c r="N686" s="3">
        <v>8604.93</v>
      </c>
      <c r="O686" s="3">
        <v>1995.0</v>
      </c>
      <c r="P686" s="3" t="e">
        <v>#N/A</v>
      </c>
      <c r="Q686" s="3">
        <v>62.0</v>
      </c>
      <c r="R686" s="3">
        <v>62.0</v>
      </c>
      <c r="S686" s="3">
        <v>66.0</v>
      </c>
      <c r="T686" s="3">
        <v>60.0</v>
      </c>
      <c r="U686" s="3">
        <v>61.0</v>
      </c>
      <c r="V686" s="3">
        <v>54.0</v>
      </c>
      <c r="W686" s="3">
        <v>63.0</v>
      </c>
      <c r="X686" s="3">
        <v>63.0</v>
      </c>
      <c r="Y686" s="3">
        <v>57.0</v>
      </c>
      <c r="Z686" s="3">
        <v>59.0</v>
      </c>
      <c r="AA686" s="3">
        <v>51.0</v>
      </c>
      <c r="AB686" s="3">
        <v>54.0</v>
      </c>
      <c r="AC686" s="3">
        <v>61.0</v>
      </c>
      <c r="AD686" s="3">
        <v>59.0</v>
      </c>
      <c r="AE686" s="3">
        <v>74.0</v>
      </c>
      <c r="AF686" s="3">
        <v>47.0</v>
      </c>
      <c r="AG686" s="3">
        <v>68.0</v>
      </c>
      <c r="AH686" s="3">
        <v>49.0</v>
      </c>
      <c r="AI686" s="3">
        <v>66.0</v>
      </c>
      <c r="AJ686" s="3">
        <v>52.0</v>
      </c>
      <c r="AK686" s="3">
        <v>69.0</v>
      </c>
      <c r="AL686" s="3">
        <v>42.0</v>
      </c>
      <c r="AM686" s="3">
        <v>67.0</v>
      </c>
      <c r="AN686" s="3">
        <v>48.0</v>
      </c>
    </row>
    <row r="687" ht="14.25" customHeight="1">
      <c r="A687" s="3">
        <v>685.0</v>
      </c>
      <c r="B687" s="3" t="s">
        <v>7863</v>
      </c>
      <c r="C687" s="3">
        <v>44.0</v>
      </c>
      <c r="D687" s="3" t="s">
        <v>6645</v>
      </c>
      <c r="E687" s="3" t="s">
        <v>6646</v>
      </c>
      <c r="F687" s="3" t="s">
        <v>6646</v>
      </c>
      <c r="G687" s="3" t="s">
        <v>6645</v>
      </c>
      <c r="H687" s="3" t="s">
        <v>6645</v>
      </c>
      <c r="I687" s="3" t="s">
        <v>6646</v>
      </c>
      <c r="J687" s="3">
        <v>27.0</v>
      </c>
      <c r="K687" s="3">
        <v>4.0</v>
      </c>
      <c r="L687" s="3">
        <v>0.0</v>
      </c>
      <c r="M687" s="3">
        <v>0.0</v>
      </c>
      <c r="N687" s="3">
        <v>7777.42</v>
      </c>
      <c r="O687" s="3">
        <v>1298.0</v>
      </c>
      <c r="P687" s="3" t="e">
        <v>#N/A</v>
      </c>
      <c r="Q687" s="3">
        <v>56.0</v>
      </c>
      <c r="R687" s="3">
        <v>56.0</v>
      </c>
      <c r="S687" s="3">
        <v>68.0</v>
      </c>
      <c r="T687" s="3">
        <v>56.0</v>
      </c>
      <c r="U687" s="3">
        <v>58.0</v>
      </c>
      <c r="V687" s="3">
        <v>57.0</v>
      </c>
      <c r="W687" s="3">
        <v>64.0</v>
      </c>
      <c r="X687" s="3">
        <v>57.0</v>
      </c>
      <c r="Y687" s="3">
        <v>56.0</v>
      </c>
      <c r="Z687" s="3">
        <v>59.0</v>
      </c>
      <c r="AA687" s="3">
        <v>61.0</v>
      </c>
      <c r="AB687" s="3">
        <v>60.0</v>
      </c>
      <c r="AC687" s="3">
        <v>60.0</v>
      </c>
      <c r="AD687" s="3">
        <v>58.0</v>
      </c>
      <c r="AE687" s="3">
        <v>66.0</v>
      </c>
      <c r="AF687" s="3">
        <v>62.0</v>
      </c>
      <c r="AG687" s="3">
        <v>42.0</v>
      </c>
      <c r="AH687" s="3">
        <v>67.0</v>
      </c>
      <c r="AI687" s="3">
        <v>48.0</v>
      </c>
      <c r="AJ687" s="3">
        <v>49.0</v>
      </c>
      <c r="AK687" s="3">
        <v>57.0</v>
      </c>
      <c r="AL687" s="3">
        <v>40.0</v>
      </c>
      <c r="AM687" s="3">
        <v>60.0</v>
      </c>
      <c r="AN687" s="3">
        <v>40.0</v>
      </c>
    </row>
    <row r="688" ht="14.25" customHeight="1">
      <c r="A688" s="3">
        <v>686.0</v>
      </c>
      <c r="B688" s="3" t="s">
        <v>7864</v>
      </c>
      <c r="C688" s="3">
        <v>38.0</v>
      </c>
      <c r="D688" s="3" t="s">
        <v>6645</v>
      </c>
      <c r="E688" s="3" t="s">
        <v>6646</v>
      </c>
      <c r="F688" s="3" t="s">
        <v>6646</v>
      </c>
      <c r="G688" s="3" t="s">
        <v>6645</v>
      </c>
      <c r="H688" s="3" t="s">
        <v>6645</v>
      </c>
      <c r="I688" s="3" t="s">
        <v>6645</v>
      </c>
      <c r="J688" s="3">
        <v>27.0</v>
      </c>
      <c r="K688" s="3">
        <v>3.0</v>
      </c>
      <c r="L688" s="3">
        <v>0.0</v>
      </c>
      <c r="M688" s="3">
        <v>0.0</v>
      </c>
      <c r="N688" s="3">
        <v>5990.2304</v>
      </c>
      <c r="O688" s="3">
        <v>903.0</v>
      </c>
      <c r="P688" s="3" t="e">
        <v>#N/A</v>
      </c>
      <c r="Q688" s="3">
        <v>56.0</v>
      </c>
      <c r="R688" s="3">
        <v>55.0</v>
      </c>
      <c r="S688" s="3">
        <v>60.0</v>
      </c>
      <c r="T688" s="3">
        <v>57.0</v>
      </c>
      <c r="U688" s="3">
        <v>54.0</v>
      </c>
      <c r="V688" s="3">
        <v>52.0</v>
      </c>
      <c r="W688" s="3">
        <v>61.0</v>
      </c>
      <c r="X688" s="3">
        <v>44.0</v>
      </c>
      <c r="Y688" s="3">
        <v>49.0</v>
      </c>
      <c r="Z688" s="3">
        <v>56.0</v>
      </c>
      <c r="AA688" s="3">
        <v>53.0</v>
      </c>
      <c r="AB688" s="3">
        <v>56.0</v>
      </c>
      <c r="AC688" s="3">
        <v>43.0</v>
      </c>
      <c r="AD688" s="3">
        <v>51.0</v>
      </c>
      <c r="AE688" s="3">
        <v>60.0</v>
      </c>
      <c r="AF688" s="3">
        <v>66.0</v>
      </c>
      <c r="AG688" s="3">
        <v>42.0</v>
      </c>
      <c r="AH688" s="3">
        <v>48.0</v>
      </c>
      <c r="AI688" s="3">
        <v>52.0</v>
      </c>
      <c r="AJ688" s="3">
        <v>64.0</v>
      </c>
      <c r="AK688" s="3">
        <v>60.0</v>
      </c>
      <c r="AL688" s="3">
        <v>44.0</v>
      </c>
      <c r="AM688" s="3">
        <v>62.0</v>
      </c>
      <c r="AN688" s="3">
        <v>42.0</v>
      </c>
    </row>
    <row r="689" ht="14.25" customHeight="1">
      <c r="A689" s="3">
        <v>687.0</v>
      </c>
      <c r="B689" s="3" t="s">
        <v>7865</v>
      </c>
      <c r="C689" s="3">
        <v>36.0</v>
      </c>
      <c r="D689" s="3" t="s">
        <v>6645</v>
      </c>
      <c r="E689" s="3" t="s">
        <v>6646</v>
      </c>
      <c r="F689" s="3" t="s">
        <v>6646</v>
      </c>
      <c r="G689" s="3" t="s">
        <v>6645</v>
      </c>
      <c r="H689" s="3" t="s">
        <v>6645</v>
      </c>
      <c r="I689" s="3" t="s">
        <v>6645</v>
      </c>
      <c r="J689" s="3">
        <v>27.0</v>
      </c>
      <c r="K689" s="3">
        <v>3.0</v>
      </c>
      <c r="L689" s="3">
        <v>0.0</v>
      </c>
      <c r="M689" s="3">
        <v>0.0</v>
      </c>
      <c r="N689" s="3">
        <v>5696.97</v>
      </c>
      <c r="O689" s="3">
        <v>720.0</v>
      </c>
      <c r="P689" s="3" t="e">
        <v>#N/A</v>
      </c>
      <c r="Q689" s="3">
        <v>49.0</v>
      </c>
      <c r="R689" s="3">
        <v>55.0</v>
      </c>
      <c r="S689" s="3">
        <v>53.0</v>
      </c>
      <c r="T689" s="3">
        <v>50.0</v>
      </c>
      <c r="U689" s="3">
        <v>55.0</v>
      </c>
      <c r="V689" s="3">
        <v>51.0</v>
      </c>
      <c r="W689" s="3">
        <v>59.0</v>
      </c>
      <c r="X689" s="3">
        <v>51.0</v>
      </c>
      <c r="Y689" s="3">
        <v>50.0</v>
      </c>
      <c r="Z689" s="3">
        <v>48.0</v>
      </c>
      <c r="AA689" s="3">
        <v>53.0</v>
      </c>
      <c r="AB689" s="3">
        <v>50.0</v>
      </c>
      <c r="AC689" s="3">
        <v>49.0</v>
      </c>
      <c r="AD689" s="3">
        <v>50.0</v>
      </c>
      <c r="AE689" s="3">
        <v>59.0</v>
      </c>
      <c r="AF689" s="3">
        <v>42.0</v>
      </c>
      <c r="AG689" s="3">
        <v>38.0</v>
      </c>
      <c r="AH689" s="3">
        <v>54.0</v>
      </c>
      <c r="AI689" s="3">
        <v>58.0</v>
      </c>
      <c r="AJ689" s="3">
        <v>52.0</v>
      </c>
      <c r="AK689" s="3">
        <v>46.0</v>
      </c>
      <c r="AL689" s="3">
        <v>58.0</v>
      </c>
      <c r="AM689" s="3">
        <v>66.0</v>
      </c>
      <c r="AN689" s="3">
        <v>40.0</v>
      </c>
    </row>
    <row r="690" ht="14.25" customHeight="1">
      <c r="A690" s="3">
        <v>688.0</v>
      </c>
      <c r="B690" s="3" t="s">
        <v>7866</v>
      </c>
      <c r="C690" s="3">
        <v>35.0</v>
      </c>
      <c r="D690" s="3" t="s">
        <v>6645</v>
      </c>
      <c r="E690" s="3" t="s">
        <v>6646</v>
      </c>
      <c r="F690" s="3" t="s">
        <v>6646</v>
      </c>
      <c r="G690" s="3" t="s">
        <v>6645</v>
      </c>
      <c r="H690" s="3" t="s">
        <v>6645</v>
      </c>
      <c r="I690" s="3" t="s">
        <v>6646</v>
      </c>
      <c r="J690" s="3">
        <v>27.0</v>
      </c>
      <c r="K690" s="3">
        <v>3.0</v>
      </c>
      <c r="L690" s="3">
        <v>0.0</v>
      </c>
      <c r="M690" s="3">
        <v>0.0</v>
      </c>
      <c r="N690" s="3">
        <v>5872.2275</v>
      </c>
      <c r="O690" s="3">
        <v>667.0</v>
      </c>
      <c r="P690" s="3" t="e">
        <v>#N/A</v>
      </c>
      <c r="Q690" s="3">
        <v>53.0</v>
      </c>
      <c r="R690" s="3">
        <v>48.0</v>
      </c>
      <c r="S690" s="3">
        <v>59.0</v>
      </c>
      <c r="T690" s="3">
        <v>57.0</v>
      </c>
      <c r="U690" s="3">
        <v>49.0</v>
      </c>
      <c r="V690" s="3">
        <v>57.0</v>
      </c>
      <c r="W690" s="3">
        <v>53.0</v>
      </c>
      <c r="X690" s="3">
        <v>52.0</v>
      </c>
      <c r="Y690" s="3">
        <v>52.0</v>
      </c>
      <c r="Z690" s="3">
        <v>56.0</v>
      </c>
      <c r="AA690" s="3">
        <v>49.0</v>
      </c>
      <c r="AB690" s="3">
        <v>48.0</v>
      </c>
      <c r="AC690" s="3">
        <v>48.0</v>
      </c>
      <c r="AD690" s="3">
        <v>52.0</v>
      </c>
      <c r="AE690" s="3">
        <v>59.0</v>
      </c>
      <c r="AF690" s="3">
        <v>48.0</v>
      </c>
      <c r="AG690" s="3">
        <v>48.0</v>
      </c>
      <c r="AH690" s="3">
        <v>64.0</v>
      </c>
      <c r="AI690" s="3">
        <v>52.0</v>
      </c>
      <c r="AJ690" s="3">
        <v>48.0</v>
      </c>
      <c r="AK690" s="3">
        <v>54.0</v>
      </c>
      <c r="AL690" s="3">
        <v>66.0</v>
      </c>
      <c r="AM690" s="3">
        <v>48.0</v>
      </c>
      <c r="AN690" s="3">
        <v>56.0</v>
      </c>
    </row>
    <row r="691" ht="14.25" customHeight="1">
      <c r="A691" s="3">
        <v>689.0</v>
      </c>
      <c r="B691" s="3" t="s">
        <v>7867</v>
      </c>
      <c r="C691" s="3">
        <v>25.0</v>
      </c>
      <c r="D691" s="3" t="s">
        <v>6645</v>
      </c>
      <c r="E691" s="3" t="s">
        <v>6646</v>
      </c>
      <c r="F691" s="3" t="s">
        <v>6646</v>
      </c>
      <c r="G691" s="3" t="s">
        <v>6645</v>
      </c>
      <c r="H691" s="3" t="s">
        <v>6645</v>
      </c>
      <c r="I691" s="3" t="s">
        <v>6646</v>
      </c>
      <c r="J691" s="3">
        <v>27.0</v>
      </c>
      <c r="K691" s="3">
        <v>2.0</v>
      </c>
      <c r="L691" s="3">
        <v>0.0</v>
      </c>
      <c r="M691" s="3">
        <v>0.0</v>
      </c>
      <c r="N691" s="3">
        <v>3017.9602</v>
      </c>
      <c r="O691" s="3">
        <v>354.0</v>
      </c>
      <c r="P691" s="3" t="e">
        <v>#N/A</v>
      </c>
      <c r="Q691" s="3">
        <v>50.0</v>
      </c>
      <c r="R691" s="3">
        <v>45.0</v>
      </c>
      <c r="S691" s="3">
        <v>48.0</v>
      </c>
      <c r="T691" s="3">
        <v>47.0</v>
      </c>
      <c r="U691" s="3">
        <v>48.0</v>
      </c>
      <c r="V691" s="3">
        <v>43.0</v>
      </c>
      <c r="W691" s="3">
        <v>49.0</v>
      </c>
      <c r="X691" s="3">
        <v>50.0</v>
      </c>
      <c r="Y691" s="3">
        <v>44.0</v>
      </c>
      <c r="Z691" s="3">
        <v>43.0</v>
      </c>
      <c r="AA691" s="3">
        <v>45.0</v>
      </c>
      <c r="AB691" s="3">
        <v>47.0</v>
      </c>
      <c r="AC691" s="3">
        <v>44.0</v>
      </c>
      <c r="AD691" s="3">
        <v>51.0</v>
      </c>
      <c r="AE691" s="3">
        <v>48.0</v>
      </c>
      <c r="AF691" s="3">
        <v>47.0</v>
      </c>
      <c r="AG691" s="3">
        <v>40.0</v>
      </c>
      <c r="AH691" s="3">
        <v>54.0</v>
      </c>
      <c r="AI691" s="3">
        <v>40.0</v>
      </c>
      <c r="AJ691" s="3">
        <v>52.0</v>
      </c>
      <c r="AK691" s="3">
        <v>50.0</v>
      </c>
      <c r="AL691" s="3">
        <v>60.0</v>
      </c>
      <c r="AM691" s="3">
        <v>39.0</v>
      </c>
      <c r="AN691" s="3">
        <v>47.0</v>
      </c>
    </row>
    <row r="692" ht="14.25" customHeight="1">
      <c r="A692" s="3">
        <v>690.0</v>
      </c>
      <c r="B692" s="3" t="s">
        <v>7868</v>
      </c>
      <c r="C692" s="3">
        <v>30.0</v>
      </c>
      <c r="D692" s="3" t="s">
        <v>6645</v>
      </c>
      <c r="E692" s="3" t="s">
        <v>6646</v>
      </c>
      <c r="F692" s="3" t="s">
        <v>6646</v>
      </c>
      <c r="G692" s="3" t="s">
        <v>6645</v>
      </c>
      <c r="H692" s="3" t="s">
        <v>6645</v>
      </c>
      <c r="I692" s="3" t="s">
        <v>6646</v>
      </c>
      <c r="J692" s="3">
        <v>27.0</v>
      </c>
      <c r="K692" s="3">
        <v>2.0</v>
      </c>
      <c r="L692" s="3">
        <v>0.0</v>
      </c>
      <c r="M692" s="3">
        <v>0.0</v>
      </c>
      <c r="N692" s="3">
        <v>3260.43</v>
      </c>
      <c r="O692" s="3">
        <v>475.0</v>
      </c>
      <c r="P692" s="3" t="e">
        <v>#N/A</v>
      </c>
      <c r="Q692" s="3">
        <v>44.0</v>
      </c>
      <c r="R692" s="3">
        <v>50.0</v>
      </c>
      <c r="S692" s="3">
        <v>47.0</v>
      </c>
      <c r="T692" s="3">
        <v>51.0</v>
      </c>
      <c r="U692" s="3">
        <v>42.0</v>
      </c>
      <c r="V692" s="3">
        <v>45.0</v>
      </c>
      <c r="W692" s="3">
        <v>49.0</v>
      </c>
      <c r="X692" s="3">
        <v>48.0</v>
      </c>
      <c r="Y692" s="3">
        <v>39.0</v>
      </c>
      <c r="Z692" s="3">
        <v>50.0</v>
      </c>
      <c r="AA692" s="3">
        <v>48.0</v>
      </c>
      <c r="AB692" s="3">
        <v>42.0</v>
      </c>
      <c r="AC692" s="3">
        <v>46.0</v>
      </c>
      <c r="AD692" s="3">
        <v>47.0</v>
      </c>
      <c r="AE692" s="3">
        <v>47.0</v>
      </c>
      <c r="AF692" s="3">
        <v>43.0</v>
      </c>
      <c r="AG692" s="3">
        <v>62.0</v>
      </c>
      <c r="AH692" s="3">
        <v>46.0</v>
      </c>
      <c r="AI692" s="3">
        <v>37.0</v>
      </c>
      <c r="AJ692" s="3">
        <v>39.0</v>
      </c>
      <c r="AK692" s="3">
        <v>52.0</v>
      </c>
      <c r="AL692" s="3">
        <v>45.0</v>
      </c>
      <c r="AM692" s="3">
        <v>52.0</v>
      </c>
      <c r="AN692" s="3">
        <v>55.0</v>
      </c>
    </row>
    <row r="693" ht="14.25" customHeight="1">
      <c r="A693" s="3">
        <v>691.0</v>
      </c>
      <c r="B693" s="3" t="s">
        <v>7869</v>
      </c>
      <c r="C693" s="3">
        <v>26.0</v>
      </c>
      <c r="D693" s="3" t="s">
        <v>6645</v>
      </c>
      <c r="E693" s="3" t="s">
        <v>6646</v>
      </c>
      <c r="F693" s="3" t="s">
        <v>6646</v>
      </c>
      <c r="G693" s="3" t="s">
        <v>6645</v>
      </c>
      <c r="H693" s="3" t="s">
        <v>6645</v>
      </c>
      <c r="I693" s="3" t="s">
        <v>6645</v>
      </c>
      <c r="J693" s="3">
        <v>27.0</v>
      </c>
      <c r="K693" s="3">
        <v>2.0</v>
      </c>
      <c r="L693" s="3">
        <v>0.0</v>
      </c>
      <c r="M693" s="3">
        <v>0.0</v>
      </c>
      <c r="N693" s="3">
        <v>3058.5263</v>
      </c>
      <c r="O693" s="3">
        <v>490.0</v>
      </c>
      <c r="P693" s="3" t="e">
        <v>#N/A</v>
      </c>
      <c r="Q693" s="3">
        <v>47.0</v>
      </c>
      <c r="R693" s="3">
        <v>50.0</v>
      </c>
      <c r="S693" s="3">
        <v>50.0</v>
      </c>
      <c r="T693" s="3">
        <v>47.0</v>
      </c>
      <c r="U693" s="3">
        <v>50.0</v>
      </c>
      <c r="V693" s="3">
        <v>51.0</v>
      </c>
      <c r="W693" s="3">
        <v>51.0</v>
      </c>
      <c r="X693" s="3">
        <v>46.0</v>
      </c>
      <c r="Y693" s="3">
        <v>50.0</v>
      </c>
      <c r="Z693" s="3">
        <v>38.0</v>
      </c>
      <c r="AA693" s="3">
        <v>44.0</v>
      </c>
      <c r="AB693" s="3">
        <v>49.0</v>
      </c>
      <c r="AC693" s="3">
        <v>34.0</v>
      </c>
      <c r="AD693" s="3">
        <v>43.0</v>
      </c>
      <c r="AE693" s="3">
        <v>54.0</v>
      </c>
      <c r="AF693" s="3">
        <v>37.0</v>
      </c>
      <c r="AG693" s="3">
        <v>41.0</v>
      </c>
      <c r="AH693" s="3">
        <v>60.0</v>
      </c>
      <c r="AI693" s="3">
        <v>58.0</v>
      </c>
      <c r="AJ693" s="3">
        <v>42.0</v>
      </c>
      <c r="AK693" s="3">
        <v>42.0</v>
      </c>
      <c r="AL693" s="3">
        <v>57.0</v>
      </c>
      <c r="AM693" s="3">
        <v>37.0</v>
      </c>
      <c r="AN693" s="3">
        <v>51.0</v>
      </c>
    </row>
    <row r="694" ht="14.25" customHeight="1">
      <c r="A694" s="3">
        <v>692.0</v>
      </c>
      <c r="B694" s="3" t="s">
        <v>7870</v>
      </c>
      <c r="C694" s="3">
        <v>31.0</v>
      </c>
      <c r="D694" s="3" t="s">
        <v>6645</v>
      </c>
      <c r="E694" s="3" t="s">
        <v>6646</v>
      </c>
      <c r="F694" s="3" t="s">
        <v>6646</v>
      </c>
      <c r="G694" s="3" t="s">
        <v>6645</v>
      </c>
      <c r="H694" s="3" t="s">
        <v>6645</v>
      </c>
      <c r="I694" s="3" t="s">
        <v>6645</v>
      </c>
      <c r="J694" s="3">
        <v>27.0</v>
      </c>
      <c r="K694" s="3">
        <v>2.0</v>
      </c>
      <c r="L694" s="3">
        <v>0.0</v>
      </c>
      <c r="M694" s="3">
        <v>0.0</v>
      </c>
      <c r="N694" s="3">
        <v>3232.7348</v>
      </c>
      <c r="O694" s="3">
        <v>413.0</v>
      </c>
      <c r="P694" s="3" t="e">
        <v>#N/A</v>
      </c>
      <c r="Q694" s="3">
        <v>46.0</v>
      </c>
      <c r="R694" s="3">
        <v>45.0</v>
      </c>
      <c r="S694" s="3">
        <v>43.0</v>
      </c>
      <c r="T694" s="3">
        <v>47.0</v>
      </c>
      <c r="U694" s="3">
        <v>44.0</v>
      </c>
      <c r="V694" s="3">
        <v>50.0</v>
      </c>
      <c r="W694" s="3">
        <v>53.0</v>
      </c>
      <c r="X694" s="3">
        <v>43.0</v>
      </c>
      <c r="Y694" s="3">
        <v>50.0</v>
      </c>
      <c r="Z694" s="3">
        <v>51.0</v>
      </c>
      <c r="AA694" s="3">
        <v>39.0</v>
      </c>
      <c r="AB694" s="3">
        <v>51.0</v>
      </c>
      <c r="AC694" s="3">
        <v>43.0</v>
      </c>
      <c r="AD694" s="3">
        <v>46.0</v>
      </c>
      <c r="AE694" s="3">
        <v>54.0</v>
      </c>
      <c r="AF694" s="3">
        <v>44.0</v>
      </c>
      <c r="AG694" s="3">
        <v>51.0</v>
      </c>
      <c r="AH694" s="3">
        <v>59.0</v>
      </c>
      <c r="AI694" s="3">
        <v>43.0</v>
      </c>
      <c r="AJ694" s="3">
        <v>46.0</v>
      </c>
      <c r="AK694" s="3">
        <v>36.0</v>
      </c>
      <c r="AL694" s="3">
        <v>35.0</v>
      </c>
      <c r="AM694" s="3">
        <v>39.0</v>
      </c>
      <c r="AN694" s="3">
        <v>48.0</v>
      </c>
    </row>
    <row r="695" ht="14.25" customHeight="1">
      <c r="A695" s="3">
        <v>693.0</v>
      </c>
      <c r="B695" s="3" t="s">
        <v>7871</v>
      </c>
      <c r="C695" s="3">
        <v>20.0</v>
      </c>
      <c r="D695" s="3" t="s">
        <v>6645</v>
      </c>
      <c r="E695" s="3" t="s">
        <v>6646</v>
      </c>
      <c r="F695" s="3" t="s">
        <v>6646</v>
      </c>
      <c r="G695" s="3" t="s">
        <v>6645</v>
      </c>
      <c r="H695" s="3" t="s">
        <v>6645</v>
      </c>
      <c r="I695" s="3" t="s">
        <v>6646</v>
      </c>
      <c r="J695" s="3">
        <v>27.0</v>
      </c>
      <c r="K695" s="3">
        <v>1.0</v>
      </c>
      <c r="L695" s="3">
        <v>0.0</v>
      </c>
      <c r="M695" s="3">
        <v>0.0</v>
      </c>
      <c r="N695" s="3">
        <v>1365.29</v>
      </c>
      <c r="O695" s="3">
        <v>240.0</v>
      </c>
      <c r="P695" s="3" t="e">
        <v>#N/A</v>
      </c>
      <c r="Q695" s="3">
        <v>45.0</v>
      </c>
      <c r="R695" s="3">
        <v>42.0</v>
      </c>
      <c r="S695" s="3">
        <v>44.0</v>
      </c>
      <c r="T695" s="3">
        <v>44.0</v>
      </c>
      <c r="U695" s="3">
        <v>41.0</v>
      </c>
      <c r="V695" s="3">
        <v>43.0</v>
      </c>
      <c r="W695" s="3">
        <v>49.0</v>
      </c>
      <c r="X695" s="3">
        <v>34.0</v>
      </c>
      <c r="Y695" s="3">
        <v>37.0</v>
      </c>
      <c r="Z695" s="3">
        <v>41.0</v>
      </c>
      <c r="AA695" s="3">
        <v>39.0</v>
      </c>
      <c r="AB695" s="3">
        <v>36.0</v>
      </c>
      <c r="AC695" s="3">
        <v>42.0</v>
      </c>
      <c r="AD695" s="3">
        <v>42.0</v>
      </c>
      <c r="AE695" s="3">
        <v>48.0</v>
      </c>
      <c r="AF695" s="3">
        <v>40.0</v>
      </c>
      <c r="AG695" s="3">
        <v>56.0</v>
      </c>
      <c r="AH695" s="3">
        <v>56.0</v>
      </c>
      <c r="AI695" s="3">
        <v>50.0</v>
      </c>
      <c r="AJ695" s="3">
        <v>60.0</v>
      </c>
      <c r="AK695" s="3">
        <v>54.0</v>
      </c>
      <c r="AL695" s="3">
        <v>42.0</v>
      </c>
      <c r="AM695" s="3">
        <v>40.0</v>
      </c>
      <c r="AN695" s="3">
        <v>52.0</v>
      </c>
    </row>
    <row r="696" ht="14.25" customHeight="1">
      <c r="A696" s="3">
        <v>694.0</v>
      </c>
      <c r="B696" s="3" t="s">
        <v>7872</v>
      </c>
      <c r="C696" s="3">
        <v>28.0</v>
      </c>
      <c r="D696" s="3" t="s">
        <v>6645</v>
      </c>
      <c r="E696" s="3" t="s">
        <v>6646</v>
      </c>
      <c r="F696" s="3" t="s">
        <v>6646</v>
      </c>
      <c r="G696" s="3" t="s">
        <v>6645</v>
      </c>
      <c r="H696" s="3" t="s">
        <v>6645</v>
      </c>
      <c r="I696" s="3" t="s">
        <v>6646</v>
      </c>
      <c r="J696" s="3">
        <v>27.0</v>
      </c>
      <c r="K696" s="3">
        <v>1.0</v>
      </c>
      <c r="L696" s="3">
        <v>0.0</v>
      </c>
      <c r="M696" s="3">
        <v>0.0</v>
      </c>
      <c r="N696" s="3">
        <v>1306.5517</v>
      </c>
      <c r="O696" s="3">
        <v>153.0</v>
      </c>
      <c r="P696" s="3" t="e">
        <v>#N/A</v>
      </c>
      <c r="Q696" s="3">
        <v>44.0</v>
      </c>
      <c r="R696" s="3">
        <v>36.0</v>
      </c>
      <c r="S696" s="3">
        <v>41.0</v>
      </c>
      <c r="T696" s="3">
        <v>44.0</v>
      </c>
      <c r="U696" s="3">
        <v>37.0</v>
      </c>
      <c r="V696" s="3">
        <v>40.0</v>
      </c>
      <c r="W696" s="3">
        <v>52.0</v>
      </c>
      <c r="X696" s="3">
        <v>43.0</v>
      </c>
      <c r="Y696" s="3">
        <v>36.0</v>
      </c>
      <c r="Z696" s="3">
        <v>42.0</v>
      </c>
      <c r="AA696" s="3">
        <v>31.0</v>
      </c>
      <c r="AB696" s="3">
        <v>41.0</v>
      </c>
      <c r="AC696" s="3">
        <v>42.0</v>
      </c>
      <c r="AD696" s="3">
        <v>37.0</v>
      </c>
      <c r="AE696" s="3">
        <v>42.0</v>
      </c>
      <c r="AF696" s="3">
        <v>60.0</v>
      </c>
      <c r="AG696" s="3">
        <v>32.0</v>
      </c>
      <c r="AH696" s="3">
        <v>60.0</v>
      </c>
      <c r="AI696" s="3">
        <v>48.0</v>
      </c>
      <c r="AJ696" s="3">
        <v>60.0</v>
      </c>
      <c r="AK696" s="3">
        <v>52.0</v>
      </c>
      <c r="AL696" s="3">
        <v>44.0</v>
      </c>
      <c r="AM696" s="3">
        <v>46.0</v>
      </c>
      <c r="AN696" s="3">
        <v>52.0</v>
      </c>
    </row>
    <row r="697" ht="14.25" customHeight="1">
      <c r="A697" s="3">
        <v>695.0</v>
      </c>
      <c r="B697" s="3" t="s">
        <v>7873</v>
      </c>
      <c r="C697" s="3">
        <v>29.0</v>
      </c>
      <c r="D697" s="3" t="s">
        <v>6645</v>
      </c>
      <c r="E697" s="3" t="s">
        <v>6646</v>
      </c>
      <c r="F697" s="3" t="s">
        <v>6646</v>
      </c>
      <c r="G697" s="3" t="s">
        <v>6645</v>
      </c>
      <c r="H697" s="3" t="s">
        <v>6645</v>
      </c>
      <c r="I697" s="3" t="s">
        <v>6645</v>
      </c>
      <c r="J697" s="3">
        <v>27.0</v>
      </c>
      <c r="K697" s="3">
        <v>1.0</v>
      </c>
      <c r="L697" s="3">
        <v>0.0</v>
      </c>
      <c r="M697" s="3">
        <v>0.0</v>
      </c>
      <c r="N697" s="3">
        <v>1437.91</v>
      </c>
      <c r="O697" s="3">
        <v>182.0</v>
      </c>
      <c r="P697" s="3" t="e">
        <v>#N/A</v>
      </c>
      <c r="Q697" s="3">
        <v>45.0</v>
      </c>
      <c r="R697" s="3">
        <v>37.0</v>
      </c>
      <c r="S697" s="3">
        <v>38.0</v>
      </c>
      <c r="T697" s="3">
        <v>38.0</v>
      </c>
      <c r="U697" s="3">
        <v>43.0</v>
      </c>
      <c r="V697" s="3">
        <v>38.0</v>
      </c>
      <c r="W697" s="3">
        <v>49.0</v>
      </c>
      <c r="X697" s="3">
        <v>36.0</v>
      </c>
      <c r="Y697" s="3">
        <v>34.0</v>
      </c>
      <c r="Z697" s="3">
        <v>42.0</v>
      </c>
      <c r="AA697" s="3">
        <v>39.0</v>
      </c>
      <c r="AB697" s="3">
        <v>45.0</v>
      </c>
      <c r="AC697" s="3">
        <v>31.0</v>
      </c>
      <c r="AD697" s="3">
        <v>36.0</v>
      </c>
      <c r="AE697" s="3">
        <v>50.0</v>
      </c>
      <c r="AF697" s="3">
        <v>56.0</v>
      </c>
      <c r="AG697" s="3">
        <v>50.0</v>
      </c>
      <c r="AH697" s="3">
        <v>40.0</v>
      </c>
      <c r="AI697" s="3">
        <v>58.0</v>
      </c>
      <c r="AJ697" s="3">
        <v>50.0</v>
      </c>
      <c r="AK697" s="3">
        <v>56.0</v>
      </c>
      <c r="AL697" s="3">
        <v>40.0</v>
      </c>
      <c r="AM697" s="3">
        <v>52.0</v>
      </c>
      <c r="AN697" s="3">
        <v>50.0</v>
      </c>
    </row>
    <row r="698" ht="14.25" customHeight="1">
      <c r="A698" s="3">
        <v>696.0</v>
      </c>
      <c r="B698" s="3" t="s">
        <v>7874</v>
      </c>
      <c r="C698" s="3">
        <v>21.0</v>
      </c>
      <c r="D698" s="3" t="s">
        <v>6645</v>
      </c>
      <c r="E698" s="3" t="s">
        <v>6646</v>
      </c>
      <c r="F698" s="3" t="s">
        <v>6646</v>
      </c>
      <c r="G698" s="3" t="s">
        <v>6645</v>
      </c>
      <c r="H698" s="3" t="s">
        <v>6645</v>
      </c>
      <c r="I698" s="3" t="s">
        <v>6645</v>
      </c>
      <c r="J698" s="3">
        <v>27.0</v>
      </c>
      <c r="K698" s="3">
        <v>1.0</v>
      </c>
      <c r="L698" s="3">
        <v>0.0</v>
      </c>
      <c r="M698" s="3">
        <v>0.0</v>
      </c>
      <c r="N698" s="3">
        <v>1278.8483</v>
      </c>
      <c r="O698" s="3">
        <v>165.0</v>
      </c>
      <c r="P698" s="3" t="e">
        <v>#N/A</v>
      </c>
      <c r="Q698" s="3">
        <v>36.0</v>
      </c>
      <c r="R698" s="3">
        <v>42.0</v>
      </c>
      <c r="S698" s="3">
        <v>41.0</v>
      </c>
      <c r="T698" s="3">
        <v>43.0</v>
      </c>
      <c r="U698" s="3">
        <v>40.0</v>
      </c>
      <c r="V698" s="3">
        <v>36.0</v>
      </c>
      <c r="W698" s="3">
        <v>51.0</v>
      </c>
      <c r="X698" s="3">
        <v>40.0</v>
      </c>
      <c r="Y698" s="3">
        <v>36.0</v>
      </c>
      <c r="Z698" s="3">
        <v>36.0</v>
      </c>
      <c r="AA698" s="3">
        <v>30.0</v>
      </c>
      <c r="AB698" s="3">
        <v>36.0</v>
      </c>
      <c r="AC698" s="3">
        <v>28.0</v>
      </c>
      <c r="AD698" s="3">
        <v>39.0</v>
      </c>
      <c r="AE698" s="3">
        <v>53.0</v>
      </c>
      <c r="AF698" s="3">
        <v>52.0</v>
      </c>
      <c r="AG698" s="3">
        <v>32.0</v>
      </c>
      <c r="AH698" s="3">
        <v>46.0</v>
      </c>
      <c r="AI698" s="3">
        <v>40.0</v>
      </c>
      <c r="AJ698" s="3">
        <v>48.0</v>
      </c>
      <c r="AK698" s="3">
        <v>60.0</v>
      </c>
      <c r="AL698" s="3">
        <v>56.0</v>
      </c>
      <c r="AM698" s="3">
        <v>46.0</v>
      </c>
      <c r="AN698" s="3">
        <v>36.0</v>
      </c>
    </row>
    <row r="699" ht="14.25" customHeight="1">
      <c r="A699" s="3">
        <v>697.0</v>
      </c>
      <c r="B699" s="3" t="s">
        <v>7875</v>
      </c>
      <c r="C699" s="3">
        <v>23.0</v>
      </c>
      <c r="D699" s="3" t="s">
        <v>6645</v>
      </c>
      <c r="E699" s="3" t="s">
        <v>6646</v>
      </c>
      <c r="F699" s="3" t="s">
        <v>6646</v>
      </c>
      <c r="G699" s="3" t="s">
        <v>6645</v>
      </c>
      <c r="H699" s="3" t="s">
        <v>6645</v>
      </c>
      <c r="I699" s="3" t="s">
        <v>6646</v>
      </c>
      <c r="J699" s="3">
        <v>27.0</v>
      </c>
      <c r="K699" s="3">
        <v>0.0</v>
      </c>
      <c r="L699" s="3">
        <v>0.0</v>
      </c>
      <c r="M699" s="3">
        <v>0.0</v>
      </c>
      <c r="N699" s="3">
        <v>497.06332</v>
      </c>
      <c r="O699" s="3">
        <v>80.0</v>
      </c>
      <c r="P699" s="3" t="e">
        <v>#N/A</v>
      </c>
      <c r="Q699" s="3">
        <v>39.0</v>
      </c>
      <c r="R699" s="3">
        <v>39.0</v>
      </c>
      <c r="S699" s="3">
        <v>39.0</v>
      </c>
      <c r="T699" s="3">
        <v>34.0</v>
      </c>
      <c r="U699" s="3">
        <v>37.0</v>
      </c>
      <c r="V699" s="3">
        <v>33.0</v>
      </c>
      <c r="W699" s="3">
        <v>46.0</v>
      </c>
      <c r="X699" s="3">
        <v>38.0</v>
      </c>
      <c r="Y699" s="3">
        <v>36.0</v>
      </c>
      <c r="Z699" s="3">
        <v>23.0</v>
      </c>
      <c r="AA699" s="3">
        <v>32.0</v>
      </c>
      <c r="AB699" s="3">
        <v>22.0</v>
      </c>
      <c r="AC699" s="3">
        <v>34.0</v>
      </c>
      <c r="AD699" s="3">
        <v>36.0</v>
      </c>
      <c r="AE699" s="3">
        <v>44.0</v>
      </c>
      <c r="AF699" s="3">
        <v>44.0</v>
      </c>
      <c r="AG699" s="3">
        <v>51.0</v>
      </c>
      <c r="AH699" s="3">
        <v>32.0</v>
      </c>
      <c r="AI699" s="3">
        <v>42.0</v>
      </c>
      <c r="AJ699" s="3">
        <v>53.0</v>
      </c>
      <c r="AK699" s="3">
        <v>43.0</v>
      </c>
      <c r="AL699" s="3">
        <v>55.0</v>
      </c>
      <c r="AM699" s="3">
        <v>36.0</v>
      </c>
      <c r="AN699" s="3">
        <v>52.0</v>
      </c>
    </row>
    <row r="700" ht="14.25" customHeight="1">
      <c r="A700" s="3">
        <v>698.0</v>
      </c>
      <c r="B700" s="3" t="s">
        <v>7876</v>
      </c>
      <c r="C700" s="3">
        <v>19.0</v>
      </c>
      <c r="D700" s="3" t="s">
        <v>6645</v>
      </c>
      <c r="E700" s="3" t="s">
        <v>6646</v>
      </c>
      <c r="F700" s="3" t="s">
        <v>6646</v>
      </c>
      <c r="G700" s="3" t="s">
        <v>6645</v>
      </c>
      <c r="H700" s="3" t="s">
        <v>6645</v>
      </c>
      <c r="I700" s="3" t="s">
        <v>6646</v>
      </c>
      <c r="J700" s="3">
        <v>27.0</v>
      </c>
      <c r="K700" s="3">
        <v>0.0</v>
      </c>
      <c r="L700" s="3">
        <v>0.0</v>
      </c>
      <c r="M700" s="3">
        <v>0.0</v>
      </c>
      <c r="N700" s="3">
        <v>519.449</v>
      </c>
      <c r="O700" s="3">
        <v>101.0</v>
      </c>
      <c r="P700" s="3" t="e">
        <v>#N/A</v>
      </c>
      <c r="Q700" s="3">
        <v>37.0</v>
      </c>
      <c r="R700" s="3">
        <v>39.0</v>
      </c>
      <c r="S700" s="3">
        <v>36.0</v>
      </c>
      <c r="T700" s="3">
        <v>30.0</v>
      </c>
      <c r="U700" s="3">
        <v>37.0</v>
      </c>
      <c r="V700" s="3">
        <v>34.0</v>
      </c>
      <c r="W700" s="3">
        <v>46.0</v>
      </c>
      <c r="X700" s="3">
        <v>25.0</v>
      </c>
      <c r="Y700" s="3">
        <v>39.0</v>
      </c>
      <c r="Z700" s="3">
        <v>26.0</v>
      </c>
      <c r="AA700" s="3">
        <v>36.0</v>
      </c>
      <c r="AB700" s="3">
        <v>34.0</v>
      </c>
      <c r="AC700" s="3">
        <v>34.0</v>
      </c>
      <c r="AD700" s="3">
        <v>38.0</v>
      </c>
      <c r="AE700" s="3">
        <v>35.0</v>
      </c>
      <c r="AF700" s="3">
        <v>42.0</v>
      </c>
      <c r="AG700" s="3">
        <v>54.0</v>
      </c>
      <c r="AH700" s="3">
        <v>39.0</v>
      </c>
      <c r="AI700" s="3">
        <v>45.0</v>
      </c>
      <c r="AJ700" s="3">
        <v>39.0</v>
      </c>
      <c r="AK700" s="3">
        <v>47.0</v>
      </c>
      <c r="AL700" s="3">
        <v>47.0</v>
      </c>
      <c r="AM700" s="3">
        <v>38.0</v>
      </c>
      <c r="AN700" s="3">
        <v>45.0</v>
      </c>
    </row>
    <row r="701" ht="14.25" customHeight="1">
      <c r="A701" s="3">
        <v>699.0</v>
      </c>
      <c r="B701" s="3" t="s">
        <v>7877</v>
      </c>
      <c r="C701" s="3">
        <v>23.0</v>
      </c>
      <c r="D701" s="3" t="s">
        <v>6645</v>
      </c>
      <c r="E701" s="3" t="s">
        <v>6646</v>
      </c>
      <c r="F701" s="3" t="s">
        <v>6646</v>
      </c>
      <c r="G701" s="3" t="s">
        <v>6645</v>
      </c>
      <c r="H701" s="3" t="s">
        <v>6645</v>
      </c>
      <c r="I701" s="3" t="s">
        <v>6645</v>
      </c>
      <c r="J701" s="3">
        <v>27.0</v>
      </c>
      <c r="K701" s="3">
        <v>0.0</v>
      </c>
      <c r="L701" s="3">
        <v>0.0</v>
      </c>
      <c r="M701" s="3">
        <v>0.0</v>
      </c>
      <c r="N701" s="3">
        <v>560.15454</v>
      </c>
      <c r="O701" s="3">
        <v>91.0</v>
      </c>
      <c r="P701" s="3" t="e">
        <v>#N/A</v>
      </c>
      <c r="Q701" s="3">
        <v>37.0</v>
      </c>
      <c r="R701" s="3">
        <v>37.0</v>
      </c>
      <c r="S701" s="3">
        <v>37.0</v>
      </c>
      <c r="T701" s="3">
        <v>36.0</v>
      </c>
      <c r="U701" s="3">
        <v>36.0</v>
      </c>
      <c r="V701" s="3">
        <v>36.0</v>
      </c>
      <c r="W701" s="3">
        <v>39.0</v>
      </c>
      <c r="X701" s="3">
        <v>37.0</v>
      </c>
      <c r="Y701" s="3">
        <v>31.0</v>
      </c>
      <c r="Z701" s="3">
        <v>37.0</v>
      </c>
      <c r="AA701" s="3">
        <v>30.0</v>
      </c>
      <c r="AB701" s="3">
        <v>36.0</v>
      </c>
      <c r="AC701" s="3">
        <v>38.0</v>
      </c>
      <c r="AD701" s="3">
        <v>33.0</v>
      </c>
      <c r="AE701" s="3">
        <v>40.0</v>
      </c>
      <c r="AF701" s="3">
        <v>49.0</v>
      </c>
      <c r="AG701" s="3">
        <v>43.0</v>
      </c>
      <c r="AH701" s="3">
        <v>59.0</v>
      </c>
      <c r="AI701" s="3">
        <v>34.0</v>
      </c>
      <c r="AJ701" s="3">
        <v>32.0</v>
      </c>
      <c r="AK701" s="3">
        <v>50.0</v>
      </c>
      <c r="AL701" s="3">
        <v>48.0</v>
      </c>
      <c r="AM701" s="3">
        <v>37.0</v>
      </c>
      <c r="AN701" s="3">
        <v>50.0</v>
      </c>
    </row>
    <row r="702" ht="14.25" customHeight="1">
      <c r="A702" s="3">
        <v>700.0</v>
      </c>
      <c r="B702" s="3" t="s">
        <v>7878</v>
      </c>
      <c r="C702" s="3">
        <v>18.0</v>
      </c>
      <c r="D702" s="3" t="s">
        <v>6645</v>
      </c>
      <c r="E702" s="3" t="s">
        <v>6646</v>
      </c>
      <c r="F702" s="3" t="s">
        <v>6646</v>
      </c>
      <c r="G702" s="3" t="s">
        <v>6645</v>
      </c>
      <c r="H702" s="3" t="s">
        <v>6645</v>
      </c>
      <c r="I702" s="3" t="s">
        <v>6646</v>
      </c>
      <c r="J702" s="3">
        <v>27.0</v>
      </c>
      <c r="K702" s="3">
        <v>0.0</v>
      </c>
      <c r="L702" s="3">
        <v>0.0</v>
      </c>
      <c r="M702" s="3">
        <v>0.0</v>
      </c>
      <c r="N702" s="3">
        <v>490.67721</v>
      </c>
      <c r="O702" s="3">
        <v>84.0</v>
      </c>
      <c r="P702" s="3" t="e">
        <v>#N/A</v>
      </c>
      <c r="Q702" s="3">
        <v>36.0</v>
      </c>
      <c r="R702" s="3">
        <v>34.0</v>
      </c>
      <c r="S702" s="3">
        <v>37.0</v>
      </c>
      <c r="T702" s="3">
        <v>39.0</v>
      </c>
      <c r="U702" s="3">
        <v>35.0</v>
      </c>
      <c r="V702" s="3">
        <v>35.0</v>
      </c>
      <c r="W702" s="3">
        <v>49.0</v>
      </c>
      <c r="X702" s="3">
        <v>35.0</v>
      </c>
      <c r="Y702" s="3">
        <v>27.0</v>
      </c>
      <c r="Z702" s="3">
        <v>30.0</v>
      </c>
      <c r="AA702" s="3">
        <v>23.0</v>
      </c>
      <c r="AB702" s="3">
        <v>32.0</v>
      </c>
      <c r="AC702" s="3">
        <v>32.0</v>
      </c>
      <c r="AD702" s="3">
        <v>33.0</v>
      </c>
      <c r="AE702" s="3">
        <v>37.0</v>
      </c>
      <c r="AF702" s="3">
        <v>57.0</v>
      </c>
      <c r="AG702" s="3">
        <v>43.0</v>
      </c>
      <c r="AH702" s="3">
        <v>48.0</v>
      </c>
      <c r="AI702" s="3">
        <v>37.0</v>
      </c>
      <c r="AJ702" s="3">
        <v>53.0</v>
      </c>
      <c r="AK702" s="3">
        <v>42.0</v>
      </c>
      <c r="AL702" s="3">
        <v>52.0</v>
      </c>
      <c r="AM702" s="3">
        <v>59.0</v>
      </c>
      <c r="AN702" s="3">
        <v>47.0</v>
      </c>
    </row>
    <row r="703" ht="14.25" customHeight="1">
      <c r="A703" s="3">
        <v>701.0</v>
      </c>
      <c r="B703" s="3" t="s">
        <v>7879</v>
      </c>
      <c r="C703" s="3">
        <v>20.0</v>
      </c>
      <c r="D703" s="3" t="s">
        <v>6645</v>
      </c>
      <c r="E703" s="3" t="s">
        <v>6646</v>
      </c>
      <c r="F703" s="3" t="s">
        <v>6646</v>
      </c>
      <c r="G703" s="3" t="s">
        <v>6645</v>
      </c>
      <c r="H703" s="3" t="s">
        <v>6645</v>
      </c>
      <c r="I703" s="3" t="s">
        <v>6645</v>
      </c>
      <c r="J703" s="3">
        <v>27.0</v>
      </c>
      <c r="K703" s="3">
        <v>0.0</v>
      </c>
      <c r="L703" s="3">
        <v>0.0</v>
      </c>
      <c r="M703" s="3">
        <v>0.0</v>
      </c>
      <c r="N703" s="3">
        <v>461.95681</v>
      </c>
      <c r="O703" s="3">
        <v>81.0</v>
      </c>
      <c r="P703" s="3" t="e">
        <v>#N/A</v>
      </c>
      <c r="Q703" s="3">
        <v>33.0</v>
      </c>
      <c r="R703" s="3">
        <v>31.0</v>
      </c>
      <c r="S703" s="3">
        <v>36.0</v>
      </c>
      <c r="T703" s="3">
        <v>32.0</v>
      </c>
      <c r="U703" s="3">
        <v>39.0</v>
      </c>
      <c r="V703" s="3">
        <v>36.0</v>
      </c>
      <c r="W703" s="3">
        <v>43.0</v>
      </c>
      <c r="X703" s="3">
        <v>30.0</v>
      </c>
      <c r="Y703" s="3">
        <v>32.0</v>
      </c>
      <c r="Z703" s="3">
        <v>35.0</v>
      </c>
      <c r="AA703" s="3">
        <v>34.0</v>
      </c>
      <c r="AB703" s="3">
        <v>37.0</v>
      </c>
      <c r="AC703" s="3">
        <v>27.0</v>
      </c>
      <c r="AD703" s="3">
        <v>25.0</v>
      </c>
      <c r="AE703" s="3">
        <v>43.0</v>
      </c>
      <c r="AF703" s="3">
        <v>33.0</v>
      </c>
      <c r="AG703" s="3">
        <v>54.0</v>
      </c>
      <c r="AH703" s="3">
        <v>42.0</v>
      </c>
      <c r="AI703" s="3">
        <v>30.0</v>
      </c>
      <c r="AJ703" s="3">
        <v>40.0</v>
      </c>
      <c r="AK703" s="3">
        <v>47.0</v>
      </c>
      <c r="AL703" s="3">
        <v>49.0</v>
      </c>
      <c r="AM703" s="3">
        <v>34.0</v>
      </c>
      <c r="AN703" s="3">
        <v>33.0</v>
      </c>
    </row>
    <row r="704" ht="14.25" customHeight="1">
      <c r="A704" s="3">
        <v>702.0</v>
      </c>
      <c r="B704" s="3" t="s">
        <v>7880</v>
      </c>
      <c r="C704" s="3">
        <v>41.0</v>
      </c>
      <c r="D704" s="3" t="s">
        <v>6645</v>
      </c>
      <c r="E704" s="3" t="s">
        <v>6646</v>
      </c>
      <c r="F704" s="3" t="s">
        <v>6646</v>
      </c>
      <c r="G704" s="3" t="s">
        <v>6645</v>
      </c>
      <c r="H704" s="3" t="s">
        <v>6645</v>
      </c>
      <c r="I704" s="3" t="s">
        <v>6645</v>
      </c>
      <c r="J704" s="3">
        <v>28.0</v>
      </c>
      <c r="K704" s="3">
        <v>4.0</v>
      </c>
      <c r="L704" s="3">
        <v>0.0</v>
      </c>
      <c r="M704" s="3">
        <v>0.0</v>
      </c>
      <c r="N704" s="3">
        <v>7314.69</v>
      </c>
      <c r="O704" s="3">
        <v>1211.0</v>
      </c>
      <c r="P704" s="3" t="e">
        <v>#N/A</v>
      </c>
      <c r="Q704" s="3">
        <v>57.0</v>
      </c>
      <c r="R704" s="3">
        <v>58.0</v>
      </c>
      <c r="S704" s="3">
        <v>55.0</v>
      </c>
      <c r="T704" s="3">
        <v>56.0</v>
      </c>
      <c r="U704" s="3">
        <v>61.0</v>
      </c>
      <c r="V704" s="3">
        <v>54.0</v>
      </c>
      <c r="W704" s="3">
        <v>48.0</v>
      </c>
      <c r="X704" s="3">
        <v>66.0</v>
      </c>
      <c r="Y704" s="3">
        <v>58.0</v>
      </c>
      <c r="Z704" s="3">
        <v>56.0</v>
      </c>
      <c r="AA704" s="3">
        <v>63.0</v>
      </c>
      <c r="AB704" s="3">
        <v>53.0</v>
      </c>
      <c r="AC704" s="3">
        <v>50.0</v>
      </c>
      <c r="AD704" s="3">
        <v>69.0</v>
      </c>
      <c r="AE704" s="3">
        <v>57.0</v>
      </c>
      <c r="AF704" s="3">
        <v>47.0</v>
      </c>
      <c r="AG704" s="3">
        <v>62.0</v>
      </c>
      <c r="AH704" s="3">
        <v>62.0</v>
      </c>
      <c r="AI704" s="3">
        <v>68.0</v>
      </c>
      <c r="AJ704" s="3">
        <v>55.0</v>
      </c>
      <c r="AK704" s="3">
        <v>51.0</v>
      </c>
      <c r="AL704" s="3">
        <v>57.0</v>
      </c>
      <c r="AM704" s="3">
        <v>42.0</v>
      </c>
      <c r="AN704" s="3">
        <v>50.0</v>
      </c>
    </row>
    <row r="705" ht="14.25" customHeight="1">
      <c r="A705" s="3">
        <v>703.0</v>
      </c>
      <c r="B705" s="3" t="s">
        <v>7881</v>
      </c>
      <c r="C705" s="3">
        <v>41.0</v>
      </c>
      <c r="D705" s="3" t="s">
        <v>6645</v>
      </c>
      <c r="E705" s="3" t="s">
        <v>6646</v>
      </c>
      <c r="F705" s="3" t="s">
        <v>6646</v>
      </c>
      <c r="G705" s="3" t="s">
        <v>6645</v>
      </c>
      <c r="H705" s="3" t="s">
        <v>6645</v>
      </c>
      <c r="I705" s="3" t="s">
        <v>6646</v>
      </c>
      <c r="J705" s="3">
        <v>28.0</v>
      </c>
      <c r="K705" s="3">
        <v>4.0</v>
      </c>
      <c r="L705" s="3">
        <v>0.0</v>
      </c>
      <c r="M705" s="3">
        <v>0.0</v>
      </c>
      <c r="N705" s="3">
        <v>7700.23</v>
      </c>
      <c r="O705" s="3">
        <v>1844.0</v>
      </c>
      <c r="P705" s="3" t="e">
        <v>#N/A</v>
      </c>
      <c r="Q705" s="3">
        <v>54.0</v>
      </c>
      <c r="R705" s="3">
        <v>61.0</v>
      </c>
      <c r="S705" s="3">
        <v>52.0</v>
      </c>
      <c r="T705" s="3">
        <v>57.0</v>
      </c>
      <c r="U705" s="3">
        <v>57.0</v>
      </c>
      <c r="V705" s="3">
        <v>61.0</v>
      </c>
      <c r="W705" s="3">
        <v>58.0</v>
      </c>
      <c r="X705" s="3">
        <v>70.0</v>
      </c>
      <c r="Y705" s="3">
        <v>52.0</v>
      </c>
      <c r="Z705" s="3">
        <v>54.0</v>
      </c>
      <c r="AA705" s="3">
        <v>68.0</v>
      </c>
      <c r="AB705" s="3">
        <v>57.0</v>
      </c>
      <c r="AC705" s="3">
        <v>58.0</v>
      </c>
      <c r="AD705" s="3">
        <v>70.0</v>
      </c>
      <c r="AE705" s="3">
        <v>47.0</v>
      </c>
      <c r="AF705" s="3">
        <v>48.0</v>
      </c>
      <c r="AG705" s="3">
        <v>59.0</v>
      </c>
      <c r="AH705" s="3">
        <v>60.0</v>
      </c>
      <c r="AI705" s="3">
        <v>53.0</v>
      </c>
      <c r="AJ705" s="3">
        <v>64.0</v>
      </c>
      <c r="AK705" s="3">
        <v>58.0</v>
      </c>
      <c r="AL705" s="3">
        <v>48.0</v>
      </c>
      <c r="AM705" s="3">
        <v>63.0</v>
      </c>
      <c r="AN705" s="3">
        <v>43.0</v>
      </c>
    </row>
    <row r="706" ht="14.25" customHeight="1">
      <c r="A706" s="3">
        <v>704.0</v>
      </c>
      <c r="B706" s="3" t="s">
        <v>7882</v>
      </c>
      <c r="C706" s="3">
        <v>35.0</v>
      </c>
      <c r="D706" s="3" t="s">
        <v>6645</v>
      </c>
      <c r="E706" s="3" t="s">
        <v>6646</v>
      </c>
      <c r="F706" s="3" t="s">
        <v>6646</v>
      </c>
      <c r="G706" s="3" t="s">
        <v>6645</v>
      </c>
      <c r="H706" s="3" t="s">
        <v>6645</v>
      </c>
      <c r="I706" s="3" t="s">
        <v>6646</v>
      </c>
      <c r="J706" s="3">
        <v>28.0</v>
      </c>
      <c r="K706" s="3">
        <v>3.0</v>
      </c>
      <c r="L706" s="3">
        <v>0.0</v>
      </c>
      <c r="M706" s="3">
        <v>0.0</v>
      </c>
      <c r="N706" s="3">
        <v>5413.8286</v>
      </c>
      <c r="O706" s="3">
        <v>656.0</v>
      </c>
      <c r="P706" s="3" t="e">
        <v>#N/A</v>
      </c>
      <c r="Q706" s="3">
        <v>54.0</v>
      </c>
      <c r="R706" s="3">
        <v>46.0</v>
      </c>
      <c r="S706" s="3">
        <v>56.0</v>
      </c>
      <c r="T706" s="3">
        <v>48.0</v>
      </c>
      <c r="U706" s="3">
        <v>52.0</v>
      </c>
      <c r="V706" s="3">
        <v>48.0</v>
      </c>
      <c r="W706" s="3">
        <v>45.0</v>
      </c>
      <c r="X706" s="3">
        <v>60.0</v>
      </c>
      <c r="Y706" s="3">
        <v>56.0</v>
      </c>
      <c r="Z706" s="3">
        <v>49.0</v>
      </c>
      <c r="AA706" s="3">
        <v>59.0</v>
      </c>
      <c r="AB706" s="3">
        <v>41.0</v>
      </c>
      <c r="AC706" s="3">
        <v>54.0</v>
      </c>
      <c r="AD706" s="3">
        <v>65.0</v>
      </c>
      <c r="AE706" s="3">
        <v>50.0</v>
      </c>
      <c r="AF706" s="3">
        <v>65.0</v>
      </c>
      <c r="AG706" s="3">
        <v>52.0</v>
      </c>
      <c r="AH706" s="3">
        <v>60.0</v>
      </c>
      <c r="AI706" s="3">
        <v>50.0</v>
      </c>
      <c r="AJ706" s="3">
        <v>52.0</v>
      </c>
      <c r="AK706" s="3">
        <v>47.0</v>
      </c>
      <c r="AL706" s="3">
        <v>39.0</v>
      </c>
      <c r="AM706" s="3">
        <v>59.0</v>
      </c>
      <c r="AN706" s="3">
        <v>61.0</v>
      </c>
    </row>
    <row r="707" ht="14.25" customHeight="1">
      <c r="A707" s="3">
        <v>705.0</v>
      </c>
      <c r="B707" s="3" t="s">
        <v>7883</v>
      </c>
      <c r="C707" s="3">
        <v>39.0</v>
      </c>
      <c r="D707" s="3" t="s">
        <v>6645</v>
      </c>
      <c r="E707" s="3" t="s">
        <v>6646</v>
      </c>
      <c r="F707" s="3" t="s">
        <v>6646</v>
      </c>
      <c r="G707" s="3" t="s">
        <v>6645</v>
      </c>
      <c r="H707" s="3" t="s">
        <v>6645</v>
      </c>
      <c r="I707" s="3" t="s">
        <v>6646</v>
      </c>
      <c r="J707" s="3">
        <v>28.0</v>
      </c>
      <c r="K707" s="3">
        <v>3.0</v>
      </c>
      <c r="L707" s="3">
        <v>0.0</v>
      </c>
      <c r="M707" s="3">
        <v>0.0</v>
      </c>
      <c r="N707" s="3">
        <v>4638.83</v>
      </c>
      <c r="O707" s="3">
        <v>986.0</v>
      </c>
      <c r="P707" s="3" t="e">
        <v>#N/A</v>
      </c>
      <c r="Q707" s="3">
        <v>46.0</v>
      </c>
      <c r="R707" s="3">
        <v>52.0</v>
      </c>
      <c r="S707" s="3">
        <v>50.0</v>
      </c>
      <c r="T707" s="3">
        <v>52.0</v>
      </c>
      <c r="U707" s="3">
        <v>54.0</v>
      </c>
      <c r="V707" s="3">
        <v>48.0</v>
      </c>
      <c r="W707" s="3">
        <v>44.0</v>
      </c>
      <c r="X707" s="3">
        <v>64.0</v>
      </c>
      <c r="Y707" s="3">
        <v>48.0</v>
      </c>
      <c r="Z707" s="3">
        <v>54.0</v>
      </c>
      <c r="AA707" s="3">
        <v>59.0</v>
      </c>
      <c r="AB707" s="3">
        <v>56.0</v>
      </c>
      <c r="AC707" s="3">
        <v>50.0</v>
      </c>
      <c r="AD707" s="3">
        <v>55.0</v>
      </c>
      <c r="AE707" s="3">
        <v>50.0</v>
      </c>
      <c r="AF707" s="3">
        <v>59.0</v>
      </c>
      <c r="AG707" s="3">
        <v>40.0</v>
      </c>
      <c r="AH707" s="3">
        <v>48.0</v>
      </c>
      <c r="AI707" s="3">
        <v>66.0</v>
      </c>
      <c r="AJ707" s="3">
        <v>37.0</v>
      </c>
      <c r="AK707" s="3">
        <v>49.0</v>
      </c>
      <c r="AL707" s="3">
        <v>38.0</v>
      </c>
      <c r="AM707" s="3">
        <v>42.0</v>
      </c>
      <c r="AN707" s="3">
        <v>57.0</v>
      </c>
    </row>
    <row r="708" ht="14.25" customHeight="1">
      <c r="A708" s="3">
        <v>706.0</v>
      </c>
      <c r="B708" s="3" t="s">
        <v>7884</v>
      </c>
      <c r="C708" s="3">
        <v>36.0</v>
      </c>
      <c r="D708" s="3" t="s">
        <v>6645</v>
      </c>
      <c r="E708" s="3" t="s">
        <v>6646</v>
      </c>
      <c r="F708" s="3" t="s">
        <v>6646</v>
      </c>
      <c r="G708" s="3" t="s">
        <v>6645</v>
      </c>
      <c r="H708" s="3" t="s">
        <v>6645</v>
      </c>
      <c r="I708" s="3" t="s">
        <v>6645</v>
      </c>
      <c r="J708" s="3">
        <v>28.0</v>
      </c>
      <c r="K708" s="3">
        <v>3.0</v>
      </c>
      <c r="L708" s="3">
        <v>0.0</v>
      </c>
      <c r="M708" s="3">
        <v>0.0</v>
      </c>
      <c r="N708" s="3">
        <v>4474.48</v>
      </c>
      <c r="O708" s="3">
        <v>934.0</v>
      </c>
      <c r="P708" s="3" t="e">
        <v>#N/A</v>
      </c>
      <c r="Q708" s="3">
        <v>48.0</v>
      </c>
      <c r="R708" s="3">
        <v>56.0</v>
      </c>
      <c r="S708" s="3">
        <v>54.0</v>
      </c>
      <c r="T708" s="3">
        <v>52.0</v>
      </c>
      <c r="U708" s="3">
        <v>48.0</v>
      </c>
      <c r="V708" s="3">
        <v>50.0</v>
      </c>
      <c r="W708" s="3">
        <v>54.0</v>
      </c>
      <c r="X708" s="3">
        <v>60.0</v>
      </c>
      <c r="Y708" s="3">
        <v>41.0</v>
      </c>
      <c r="Z708" s="3">
        <v>45.0</v>
      </c>
      <c r="AA708" s="3">
        <v>61.0</v>
      </c>
      <c r="AB708" s="3">
        <v>47.0</v>
      </c>
      <c r="AC708" s="3">
        <v>56.0</v>
      </c>
      <c r="AD708" s="3">
        <v>62.0</v>
      </c>
      <c r="AE708" s="3">
        <v>50.0</v>
      </c>
      <c r="AF708" s="3">
        <v>64.0</v>
      </c>
      <c r="AG708" s="3">
        <v>40.0</v>
      </c>
      <c r="AH708" s="3">
        <v>42.0</v>
      </c>
      <c r="AI708" s="3">
        <v>50.0</v>
      </c>
      <c r="AJ708" s="3">
        <v>54.0</v>
      </c>
      <c r="AK708" s="3">
        <v>53.0</v>
      </c>
      <c r="AL708" s="3">
        <v>50.0</v>
      </c>
      <c r="AM708" s="3">
        <v>63.0</v>
      </c>
      <c r="AN708" s="3">
        <v>44.0</v>
      </c>
    </row>
    <row r="709" ht="14.25" customHeight="1">
      <c r="A709" s="3">
        <v>707.0</v>
      </c>
      <c r="B709" s="3" t="s">
        <v>7885</v>
      </c>
      <c r="C709" s="3">
        <v>29.0</v>
      </c>
      <c r="D709" s="3" t="s">
        <v>6645</v>
      </c>
      <c r="E709" s="3" t="s">
        <v>6646</v>
      </c>
      <c r="F709" s="3" t="s">
        <v>6646</v>
      </c>
      <c r="G709" s="3" t="s">
        <v>6645</v>
      </c>
      <c r="H709" s="3" t="s">
        <v>6645</v>
      </c>
      <c r="I709" s="3" t="s">
        <v>6646</v>
      </c>
      <c r="J709" s="3">
        <v>28.0</v>
      </c>
      <c r="K709" s="3">
        <v>2.0</v>
      </c>
      <c r="L709" s="3">
        <v>0.0</v>
      </c>
      <c r="M709" s="3">
        <v>0.0</v>
      </c>
      <c r="N709" s="3">
        <v>2901.3317</v>
      </c>
      <c r="O709" s="3">
        <v>307.0</v>
      </c>
      <c r="P709" s="3" t="e">
        <v>#N/A</v>
      </c>
      <c r="Q709" s="3">
        <v>42.0</v>
      </c>
      <c r="R709" s="3">
        <v>47.0</v>
      </c>
      <c r="S709" s="3">
        <v>41.0</v>
      </c>
      <c r="T709" s="3">
        <v>46.0</v>
      </c>
      <c r="U709" s="3">
        <v>47.0</v>
      </c>
      <c r="V709" s="3">
        <v>48.0</v>
      </c>
      <c r="W709" s="3">
        <v>49.0</v>
      </c>
      <c r="X709" s="3">
        <v>47.0</v>
      </c>
      <c r="Y709" s="3">
        <v>46.0</v>
      </c>
      <c r="Z709" s="3">
        <v>50.0</v>
      </c>
      <c r="AA709" s="3">
        <v>47.0</v>
      </c>
      <c r="AB709" s="3">
        <v>35.0</v>
      </c>
      <c r="AC709" s="3">
        <v>43.0</v>
      </c>
      <c r="AD709" s="3">
        <v>53.0</v>
      </c>
      <c r="AE709" s="3">
        <v>46.0</v>
      </c>
      <c r="AF709" s="3">
        <v>64.0</v>
      </c>
      <c r="AG709" s="3">
        <v>64.0</v>
      </c>
      <c r="AH709" s="3">
        <v>50.0</v>
      </c>
      <c r="AI709" s="3">
        <v>40.0</v>
      </c>
      <c r="AJ709" s="3">
        <v>54.0</v>
      </c>
      <c r="AK709" s="3">
        <v>38.0</v>
      </c>
      <c r="AL709" s="3">
        <v>60.0</v>
      </c>
      <c r="AM709" s="3">
        <v>40.0</v>
      </c>
      <c r="AN709" s="3">
        <v>44.0</v>
      </c>
    </row>
    <row r="710" ht="14.25" customHeight="1">
      <c r="A710" s="3">
        <v>708.0</v>
      </c>
      <c r="B710" s="3" t="s">
        <v>7886</v>
      </c>
      <c r="C710" s="3">
        <v>33.0</v>
      </c>
      <c r="D710" s="3" t="s">
        <v>6645</v>
      </c>
      <c r="E710" s="3" t="s">
        <v>6646</v>
      </c>
      <c r="F710" s="3" t="s">
        <v>6646</v>
      </c>
      <c r="G710" s="3" t="s">
        <v>6645</v>
      </c>
      <c r="H710" s="3" t="s">
        <v>6645</v>
      </c>
      <c r="I710" s="3" t="s">
        <v>6646</v>
      </c>
      <c r="J710" s="3">
        <v>28.0</v>
      </c>
      <c r="K710" s="3">
        <v>2.0</v>
      </c>
      <c r="L710" s="3">
        <v>0.0</v>
      </c>
      <c r="M710" s="3">
        <v>0.0</v>
      </c>
      <c r="N710" s="3">
        <v>2926.4904</v>
      </c>
      <c r="O710" s="3">
        <v>341.0</v>
      </c>
      <c r="P710" s="3" t="e">
        <v>#N/A</v>
      </c>
      <c r="Q710" s="3">
        <v>46.0</v>
      </c>
      <c r="R710" s="3">
        <v>44.0</v>
      </c>
      <c r="S710" s="3">
        <v>48.0</v>
      </c>
      <c r="T710" s="3">
        <v>42.0</v>
      </c>
      <c r="U710" s="3">
        <v>45.0</v>
      </c>
      <c r="V710" s="3">
        <v>49.0</v>
      </c>
      <c r="W710" s="3">
        <v>37.0</v>
      </c>
      <c r="X710" s="3">
        <v>50.0</v>
      </c>
      <c r="Y710" s="3">
        <v>37.0</v>
      </c>
      <c r="Z710" s="3">
        <v>40.0</v>
      </c>
      <c r="AA710" s="3">
        <v>54.0</v>
      </c>
      <c r="AB710" s="3">
        <v>49.0</v>
      </c>
      <c r="AC710" s="3">
        <v>50.0</v>
      </c>
      <c r="AD710" s="3">
        <v>50.0</v>
      </c>
      <c r="AE710" s="3">
        <v>50.0</v>
      </c>
      <c r="AF710" s="3">
        <v>48.0</v>
      </c>
      <c r="AG710" s="3">
        <v>58.0</v>
      </c>
      <c r="AH710" s="3">
        <v>54.0</v>
      </c>
      <c r="AI710" s="3">
        <v>58.0</v>
      </c>
      <c r="AJ710" s="3">
        <v>62.0</v>
      </c>
      <c r="AK710" s="3">
        <v>62.0</v>
      </c>
      <c r="AL710" s="3">
        <v>50.0</v>
      </c>
      <c r="AM710" s="3">
        <v>38.0</v>
      </c>
      <c r="AN710" s="3">
        <v>60.0</v>
      </c>
    </row>
    <row r="711" ht="14.25" customHeight="1">
      <c r="A711" s="3">
        <v>709.0</v>
      </c>
      <c r="B711" s="3" t="s">
        <v>7887</v>
      </c>
      <c r="C711" s="3">
        <v>29.0</v>
      </c>
      <c r="D711" s="3" t="s">
        <v>6645</v>
      </c>
      <c r="E711" s="3" t="s">
        <v>6646</v>
      </c>
      <c r="F711" s="3" t="s">
        <v>6646</v>
      </c>
      <c r="G711" s="3" t="s">
        <v>6645</v>
      </c>
      <c r="H711" s="3" t="s">
        <v>6645</v>
      </c>
      <c r="I711" s="3" t="s">
        <v>6645</v>
      </c>
      <c r="J711" s="3">
        <v>28.0</v>
      </c>
      <c r="K711" s="3">
        <v>2.0</v>
      </c>
      <c r="L711" s="3">
        <v>0.0</v>
      </c>
      <c r="M711" s="3">
        <v>0.0</v>
      </c>
      <c r="N711" s="3">
        <v>3179.7734</v>
      </c>
      <c r="O711" s="3">
        <v>471.0</v>
      </c>
      <c r="P711" s="3" t="e">
        <v>#N/A</v>
      </c>
      <c r="Q711" s="3">
        <v>46.0</v>
      </c>
      <c r="R711" s="3">
        <v>50.0</v>
      </c>
      <c r="S711" s="3">
        <v>42.0</v>
      </c>
      <c r="T711" s="3">
        <v>46.0</v>
      </c>
      <c r="U711" s="3">
        <v>42.0</v>
      </c>
      <c r="V711" s="3">
        <v>50.0</v>
      </c>
      <c r="W711" s="3">
        <v>41.0</v>
      </c>
      <c r="X711" s="3">
        <v>54.0</v>
      </c>
      <c r="Y711" s="3">
        <v>45.0</v>
      </c>
      <c r="Z711" s="3">
        <v>38.0</v>
      </c>
      <c r="AA711" s="3">
        <v>48.0</v>
      </c>
      <c r="AB711" s="3">
        <v>41.0</v>
      </c>
      <c r="AC711" s="3">
        <v>43.0</v>
      </c>
      <c r="AD711" s="3">
        <v>54.0</v>
      </c>
      <c r="AE711" s="3">
        <v>38.0</v>
      </c>
      <c r="AF711" s="3">
        <v>54.0</v>
      </c>
      <c r="AG711" s="3">
        <v>56.0</v>
      </c>
      <c r="AH711" s="3">
        <v>60.0</v>
      </c>
      <c r="AI711" s="3">
        <v>48.0</v>
      </c>
      <c r="AJ711" s="3">
        <v>34.0</v>
      </c>
      <c r="AK711" s="3">
        <v>60.0</v>
      </c>
      <c r="AL711" s="3">
        <v>62.0</v>
      </c>
      <c r="AM711" s="3">
        <v>56.0</v>
      </c>
      <c r="AN711" s="3">
        <v>58.0</v>
      </c>
    </row>
    <row r="712" ht="14.25" customHeight="1">
      <c r="A712" s="3">
        <v>710.0</v>
      </c>
      <c r="B712" s="3" t="s">
        <v>7888</v>
      </c>
      <c r="C712" s="3">
        <v>24.0</v>
      </c>
      <c r="D712" s="3" t="s">
        <v>6645</v>
      </c>
      <c r="E712" s="3" t="s">
        <v>6646</v>
      </c>
      <c r="F712" s="3" t="s">
        <v>6646</v>
      </c>
      <c r="G712" s="3" t="s">
        <v>6645</v>
      </c>
      <c r="H712" s="3" t="s">
        <v>6645</v>
      </c>
      <c r="I712" s="3" t="s">
        <v>6646</v>
      </c>
      <c r="J712" s="3">
        <v>28.0</v>
      </c>
      <c r="K712" s="3">
        <v>1.0</v>
      </c>
      <c r="L712" s="3">
        <v>0.0</v>
      </c>
      <c r="M712" s="3">
        <v>0.0</v>
      </c>
      <c r="N712" s="3">
        <v>1494.4012</v>
      </c>
      <c r="O712" s="3">
        <v>161.0</v>
      </c>
      <c r="P712" s="3" t="e">
        <v>#N/A</v>
      </c>
      <c r="Q712" s="3">
        <v>42.0</v>
      </c>
      <c r="R712" s="3">
        <v>42.0</v>
      </c>
      <c r="S712" s="3">
        <v>38.0</v>
      </c>
      <c r="T712" s="3">
        <v>40.0</v>
      </c>
      <c r="U712" s="3">
        <v>40.0</v>
      </c>
      <c r="V712" s="3">
        <v>38.0</v>
      </c>
      <c r="W712" s="3">
        <v>36.0</v>
      </c>
      <c r="X712" s="3">
        <v>41.0</v>
      </c>
      <c r="Y712" s="3">
        <v>40.0</v>
      </c>
      <c r="Z712" s="3">
        <v>37.0</v>
      </c>
      <c r="AA712" s="3">
        <v>43.0</v>
      </c>
      <c r="AB712" s="3">
        <v>33.0</v>
      </c>
      <c r="AC712" s="3">
        <v>31.0</v>
      </c>
      <c r="AD712" s="3">
        <v>41.0</v>
      </c>
      <c r="AE712" s="3">
        <v>36.0</v>
      </c>
      <c r="AF712" s="3">
        <v>61.0</v>
      </c>
      <c r="AG712" s="3">
        <v>39.0</v>
      </c>
      <c r="AH712" s="3">
        <v>59.0</v>
      </c>
      <c r="AI712" s="3">
        <v>59.0</v>
      </c>
      <c r="AJ712" s="3">
        <v>48.0</v>
      </c>
      <c r="AK712" s="3">
        <v>43.0</v>
      </c>
      <c r="AL712" s="3">
        <v>41.0</v>
      </c>
      <c r="AM712" s="3">
        <v>59.0</v>
      </c>
      <c r="AN712" s="3">
        <v>46.0</v>
      </c>
    </row>
    <row r="713" ht="14.25" customHeight="1">
      <c r="A713" s="3">
        <v>711.0</v>
      </c>
      <c r="B713" s="3" t="s">
        <v>7889</v>
      </c>
      <c r="C713" s="3">
        <v>21.0</v>
      </c>
      <c r="D713" s="3" t="s">
        <v>6645</v>
      </c>
      <c r="E713" s="3" t="s">
        <v>6646</v>
      </c>
      <c r="F713" s="3" t="s">
        <v>6646</v>
      </c>
      <c r="G713" s="3" t="s">
        <v>6645</v>
      </c>
      <c r="H713" s="3" t="s">
        <v>6645</v>
      </c>
      <c r="I713" s="3" t="s">
        <v>6645</v>
      </c>
      <c r="J713" s="3">
        <v>28.0</v>
      </c>
      <c r="K713" s="3">
        <v>1.0</v>
      </c>
      <c r="L713" s="3">
        <v>0.0</v>
      </c>
      <c r="M713" s="3">
        <v>0.0</v>
      </c>
      <c r="N713" s="3">
        <v>1166.0527</v>
      </c>
      <c r="O713" s="3">
        <v>150.0</v>
      </c>
      <c r="P713" s="3" t="e">
        <v>#N/A</v>
      </c>
      <c r="Q713" s="3">
        <v>38.0</v>
      </c>
      <c r="R713" s="3">
        <v>42.0</v>
      </c>
      <c r="S713" s="3">
        <v>38.0</v>
      </c>
      <c r="T713" s="3">
        <v>40.0</v>
      </c>
      <c r="U713" s="3">
        <v>38.0</v>
      </c>
      <c r="V713" s="3">
        <v>44.0</v>
      </c>
      <c r="W713" s="3">
        <v>42.0</v>
      </c>
      <c r="X713" s="3">
        <v>47.0</v>
      </c>
      <c r="Y713" s="3">
        <v>42.0</v>
      </c>
      <c r="Z713" s="3">
        <v>30.0</v>
      </c>
      <c r="AA713" s="3">
        <v>50.0</v>
      </c>
      <c r="AB713" s="3">
        <v>33.0</v>
      </c>
      <c r="AC713" s="3">
        <v>27.0</v>
      </c>
      <c r="AD713" s="3">
        <v>47.0</v>
      </c>
      <c r="AE713" s="3">
        <v>40.0</v>
      </c>
      <c r="AF713" s="3">
        <v>37.0</v>
      </c>
      <c r="AG713" s="3">
        <v>57.0</v>
      </c>
      <c r="AH713" s="3">
        <v>53.0</v>
      </c>
      <c r="AI713" s="3">
        <v>52.0</v>
      </c>
      <c r="AJ713" s="3">
        <v>58.0</v>
      </c>
      <c r="AK713" s="3">
        <v>42.0</v>
      </c>
      <c r="AL713" s="3">
        <v>48.0</v>
      </c>
      <c r="AM713" s="3">
        <v>39.0</v>
      </c>
      <c r="AN713" s="3">
        <v>53.0</v>
      </c>
    </row>
    <row r="714" ht="14.25" customHeight="1">
      <c r="A714" s="3">
        <v>712.0</v>
      </c>
      <c r="B714" s="3" t="s">
        <v>7890</v>
      </c>
      <c r="C714" s="3">
        <v>25.0</v>
      </c>
      <c r="D714" s="3" t="s">
        <v>6645</v>
      </c>
      <c r="E714" s="3" t="s">
        <v>6646</v>
      </c>
      <c r="F714" s="3" t="s">
        <v>6646</v>
      </c>
      <c r="G714" s="3" t="s">
        <v>6645</v>
      </c>
      <c r="H714" s="3" t="s">
        <v>6645</v>
      </c>
      <c r="I714" s="3" t="s">
        <v>6645</v>
      </c>
      <c r="J714" s="3">
        <v>28.0</v>
      </c>
      <c r="K714" s="3">
        <v>1.0</v>
      </c>
      <c r="L714" s="3">
        <v>0.0</v>
      </c>
      <c r="M714" s="3">
        <v>0.0</v>
      </c>
      <c r="N714" s="3">
        <v>1291.1046</v>
      </c>
      <c r="O714" s="3">
        <v>220.0</v>
      </c>
      <c r="P714" s="3" t="e">
        <v>#N/A</v>
      </c>
      <c r="Q714" s="3">
        <v>40.0</v>
      </c>
      <c r="R714" s="3">
        <v>36.0</v>
      </c>
      <c r="S714" s="3">
        <v>44.0</v>
      </c>
      <c r="T714" s="3">
        <v>42.0</v>
      </c>
      <c r="U714" s="3">
        <v>38.0</v>
      </c>
      <c r="V714" s="3">
        <v>44.0</v>
      </c>
      <c r="W714" s="3">
        <v>40.0</v>
      </c>
      <c r="X714" s="3">
        <v>48.0</v>
      </c>
      <c r="Y714" s="3">
        <v>37.0</v>
      </c>
      <c r="Z714" s="3">
        <v>38.0</v>
      </c>
      <c r="AA714" s="3">
        <v>41.0</v>
      </c>
      <c r="AB714" s="3">
        <v>30.0</v>
      </c>
      <c r="AC714" s="3">
        <v>36.0</v>
      </c>
      <c r="AD714" s="3">
        <v>46.0</v>
      </c>
      <c r="AE714" s="3">
        <v>42.0</v>
      </c>
      <c r="AF714" s="3">
        <v>41.0</v>
      </c>
      <c r="AG714" s="3">
        <v>60.0</v>
      </c>
      <c r="AH714" s="3">
        <v>47.0</v>
      </c>
      <c r="AI714" s="3">
        <v>52.0</v>
      </c>
      <c r="AJ714" s="3">
        <v>49.0</v>
      </c>
      <c r="AK714" s="3">
        <v>40.0</v>
      </c>
      <c r="AL714" s="3">
        <v>44.0</v>
      </c>
      <c r="AM714" s="3">
        <v>43.0</v>
      </c>
      <c r="AN714" s="3">
        <v>56.0</v>
      </c>
    </row>
    <row r="715" ht="14.25" customHeight="1">
      <c r="A715" s="3">
        <v>713.0</v>
      </c>
      <c r="B715" s="3" t="s">
        <v>7891</v>
      </c>
      <c r="C715" s="3">
        <v>29.0</v>
      </c>
      <c r="D715" s="3" t="s">
        <v>6645</v>
      </c>
      <c r="E715" s="3" t="s">
        <v>6646</v>
      </c>
      <c r="F715" s="3" t="s">
        <v>6646</v>
      </c>
      <c r="G715" s="3" t="s">
        <v>6645</v>
      </c>
      <c r="H715" s="3" t="s">
        <v>6645</v>
      </c>
      <c r="I715" s="3" t="s">
        <v>6646</v>
      </c>
      <c r="J715" s="3">
        <v>28.0</v>
      </c>
      <c r="K715" s="3">
        <v>1.0</v>
      </c>
      <c r="L715" s="3">
        <v>0.0</v>
      </c>
      <c r="M715" s="3">
        <v>0.0</v>
      </c>
      <c r="N715" s="3">
        <v>1350.4576</v>
      </c>
      <c r="O715" s="3">
        <v>185.0</v>
      </c>
      <c r="P715" s="3" t="e">
        <v>#N/A</v>
      </c>
      <c r="Q715" s="3">
        <v>44.0</v>
      </c>
      <c r="R715" s="3">
        <v>38.0</v>
      </c>
      <c r="S715" s="3">
        <v>36.0</v>
      </c>
      <c r="T715" s="3">
        <v>42.0</v>
      </c>
      <c r="U715" s="3">
        <v>36.0</v>
      </c>
      <c r="V715" s="3">
        <v>38.0</v>
      </c>
      <c r="W715" s="3">
        <v>42.0</v>
      </c>
      <c r="X715" s="3">
        <v>50.0</v>
      </c>
      <c r="Y715" s="3">
        <v>38.0</v>
      </c>
      <c r="Z715" s="3">
        <v>34.0</v>
      </c>
      <c r="AA715" s="3">
        <v>53.0</v>
      </c>
      <c r="AB715" s="3">
        <v>40.0</v>
      </c>
      <c r="AC715" s="3">
        <v>35.0</v>
      </c>
      <c r="AD715" s="3">
        <v>48.0</v>
      </c>
      <c r="AE715" s="3">
        <v>42.0</v>
      </c>
      <c r="AF715" s="3">
        <v>58.0</v>
      </c>
      <c r="AG715" s="3">
        <v>37.0</v>
      </c>
      <c r="AH715" s="3">
        <v>58.0</v>
      </c>
      <c r="AI715" s="3">
        <v>38.0</v>
      </c>
      <c r="AJ715" s="3">
        <v>32.0</v>
      </c>
      <c r="AK715" s="3">
        <v>42.0</v>
      </c>
      <c r="AL715" s="3">
        <v>43.0</v>
      </c>
      <c r="AM715" s="3">
        <v>33.0</v>
      </c>
      <c r="AN715" s="3">
        <v>36.0</v>
      </c>
    </row>
    <row r="716" ht="14.25" customHeight="1">
      <c r="A716" s="3">
        <v>714.0</v>
      </c>
      <c r="B716" s="3" t="s">
        <v>7892</v>
      </c>
      <c r="C716" s="3">
        <v>18.0</v>
      </c>
      <c r="D716" s="3" t="s">
        <v>6645</v>
      </c>
      <c r="E716" s="3" t="s">
        <v>6646</v>
      </c>
      <c r="F716" s="3" t="s">
        <v>6646</v>
      </c>
      <c r="G716" s="3" t="s">
        <v>6645</v>
      </c>
      <c r="H716" s="3" t="s">
        <v>6645</v>
      </c>
      <c r="I716" s="3" t="s">
        <v>6646</v>
      </c>
      <c r="J716" s="3">
        <v>28.0</v>
      </c>
      <c r="K716" s="3">
        <v>0.0</v>
      </c>
      <c r="L716" s="3">
        <v>0.0</v>
      </c>
      <c r="M716" s="3">
        <v>0.0</v>
      </c>
      <c r="N716" s="3">
        <v>437.59951</v>
      </c>
      <c r="O716" s="3">
        <v>80.0</v>
      </c>
      <c r="P716" s="3" t="e">
        <v>#N/A</v>
      </c>
      <c r="Q716" s="3">
        <v>33.0</v>
      </c>
      <c r="R716" s="3">
        <v>37.0</v>
      </c>
      <c r="S716" s="3">
        <v>34.0</v>
      </c>
      <c r="T716" s="3">
        <v>38.0</v>
      </c>
      <c r="U716" s="3">
        <v>35.0</v>
      </c>
      <c r="V716" s="3">
        <v>33.0</v>
      </c>
      <c r="W716" s="3">
        <v>37.0</v>
      </c>
      <c r="X716" s="3">
        <v>45.0</v>
      </c>
      <c r="Y716" s="3">
        <v>26.0</v>
      </c>
      <c r="Z716" s="3">
        <v>32.0</v>
      </c>
      <c r="AA716" s="3">
        <v>46.0</v>
      </c>
      <c r="AB716" s="3">
        <v>36.0</v>
      </c>
      <c r="AC716" s="3">
        <v>27.0</v>
      </c>
      <c r="AD716" s="3">
        <v>39.0</v>
      </c>
      <c r="AE716" s="3">
        <v>25.0</v>
      </c>
      <c r="AF716" s="3">
        <v>50.0</v>
      </c>
      <c r="AG716" s="3">
        <v>48.0</v>
      </c>
      <c r="AH716" s="3">
        <v>58.0</v>
      </c>
      <c r="AI716" s="3">
        <v>34.0</v>
      </c>
      <c r="AJ716" s="3">
        <v>46.0</v>
      </c>
      <c r="AK716" s="3">
        <v>41.0</v>
      </c>
      <c r="AL716" s="3">
        <v>44.0</v>
      </c>
      <c r="AM716" s="3">
        <v>52.0</v>
      </c>
      <c r="AN716" s="3">
        <v>54.0</v>
      </c>
    </row>
    <row r="717" ht="14.25" customHeight="1">
      <c r="A717" s="3">
        <v>715.0</v>
      </c>
      <c r="B717" s="3" t="s">
        <v>7893</v>
      </c>
      <c r="C717" s="3">
        <v>16.0</v>
      </c>
      <c r="D717" s="3" t="s">
        <v>6645</v>
      </c>
      <c r="E717" s="3" t="s">
        <v>6646</v>
      </c>
      <c r="F717" s="3" t="s">
        <v>6646</v>
      </c>
      <c r="G717" s="3" t="s">
        <v>6645</v>
      </c>
      <c r="H717" s="3" t="s">
        <v>6645</v>
      </c>
      <c r="I717" s="3" t="s">
        <v>6646</v>
      </c>
      <c r="J717" s="3">
        <v>28.0</v>
      </c>
      <c r="K717" s="3">
        <v>0.0</v>
      </c>
      <c r="L717" s="3">
        <v>0.0</v>
      </c>
      <c r="M717" s="3">
        <v>0.0</v>
      </c>
      <c r="N717" s="3">
        <v>525.642</v>
      </c>
      <c r="O717" s="3">
        <v>82.0</v>
      </c>
      <c r="P717" s="3" t="e">
        <v>#N/A</v>
      </c>
      <c r="Q717" s="3">
        <v>38.0</v>
      </c>
      <c r="R717" s="3">
        <v>37.0</v>
      </c>
      <c r="S717" s="3">
        <v>32.0</v>
      </c>
      <c r="T717" s="3">
        <v>35.0</v>
      </c>
      <c r="U717" s="3">
        <v>38.0</v>
      </c>
      <c r="V717" s="3">
        <v>35.0</v>
      </c>
      <c r="W717" s="3">
        <v>23.0</v>
      </c>
      <c r="X717" s="3">
        <v>43.0</v>
      </c>
      <c r="Y717" s="3">
        <v>26.0</v>
      </c>
      <c r="Z717" s="3">
        <v>32.0</v>
      </c>
      <c r="AA717" s="3">
        <v>36.0</v>
      </c>
      <c r="AB717" s="3">
        <v>29.0</v>
      </c>
      <c r="AC717" s="3">
        <v>36.0</v>
      </c>
      <c r="AD717" s="3">
        <v>46.0</v>
      </c>
      <c r="AE717" s="3">
        <v>36.0</v>
      </c>
      <c r="AF717" s="3">
        <v>41.0</v>
      </c>
      <c r="AG717" s="3">
        <v>32.0</v>
      </c>
      <c r="AH717" s="3">
        <v>30.0</v>
      </c>
      <c r="AI717" s="3">
        <v>51.0</v>
      </c>
      <c r="AJ717" s="3">
        <v>46.0</v>
      </c>
      <c r="AK717" s="3">
        <v>33.0</v>
      </c>
      <c r="AL717" s="3">
        <v>44.0</v>
      </c>
      <c r="AM717" s="3">
        <v>32.0</v>
      </c>
      <c r="AN717" s="3">
        <v>43.0</v>
      </c>
    </row>
    <row r="718" ht="14.25" customHeight="1">
      <c r="A718" s="3">
        <v>716.0</v>
      </c>
      <c r="B718" s="3" t="s">
        <v>7894</v>
      </c>
      <c r="C718" s="3">
        <v>15.0</v>
      </c>
      <c r="D718" s="3" t="s">
        <v>6645</v>
      </c>
      <c r="E718" s="3" t="s">
        <v>6646</v>
      </c>
      <c r="F718" s="3" t="s">
        <v>6646</v>
      </c>
      <c r="G718" s="3" t="s">
        <v>6645</v>
      </c>
      <c r="H718" s="3" t="s">
        <v>6645</v>
      </c>
      <c r="I718" s="3" t="s">
        <v>6646</v>
      </c>
      <c r="J718" s="3">
        <v>28.0</v>
      </c>
      <c r="K718" s="3">
        <v>0.0</v>
      </c>
      <c r="L718" s="3">
        <v>0.0</v>
      </c>
      <c r="M718" s="3">
        <v>0.0</v>
      </c>
      <c r="N718" s="3">
        <v>412.06826</v>
      </c>
      <c r="O718" s="3">
        <v>81.0</v>
      </c>
      <c r="P718" s="3" t="e">
        <v>#N/A</v>
      </c>
      <c r="Q718" s="3">
        <v>39.0</v>
      </c>
      <c r="R718" s="3">
        <v>30.0</v>
      </c>
      <c r="S718" s="3">
        <v>38.0</v>
      </c>
      <c r="T718" s="3">
        <v>31.0</v>
      </c>
      <c r="U718" s="3">
        <v>36.0</v>
      </c>
      <c r="V718" s="3">
        <v>31.0</v>
      </c>
      <c r="W718" s="3">
        <v>33.0</v>
      </c>
      <c r="X718" s="3">
        <v>42.0</v>
      </c>
      <c r="Y718" s="3">
        <v>34.0</v>
      </c>
      <c r="Z718" s="3">
        <v>35.0</v>
      </c>
      <c r="AA718" s="3">
        <v>40.0</v>
      </c>
      <c r="AB718" s="3">
        <v>36.0</v>
      </c>
      <c r="AC718" s="3">
        <v>34.0</v>
      </c>
      <c r="AD718" s="3">
        <v>38.0</v>
      </c>
      <c r="AE718" s="3">
        <v>32.0</v>
      </c>
      <c r="AF718" s="3">
        <v>45.0</v>
      </c>
      <c r="AG718" s="3">
        <v>57.0</v>
      </c>
      <c r="AH718" s="3">
        <v>50.0</v>
      </c>
      <c r="AI718" s="3">
        <v>39.0</v>
      </c>
      <c r="AJ718" s="3">
        <v>33.0</v>
      </c>
      <c r="AK718" s="3">
        <v>54.0</v>
      </c>
      <c r="AL718" s="3">
        <v>37.0</v>
      </c>
      <c r="AM718" s="3">
        <v>50.0</v>
      </c>
      <c r="AN718" s="3">
        <v>48.0</v>
      </c>
    </row>
    <row r="719" ht="14.25" customHeight="1">
      <c r="A719" s="3">
        <v>717.0</v>
      </c>
      <c r="B719" s="3" t="s">
        <v>7895</v>
      </c>
      <c r="C719" s="3">
        <v>39.0</v>
      </c>
      <c r="D719" s="3" t="s">
        <v>6645</v>
      </c>
      <c r="E719" s="3" t="s">
        <v>6646</v>
      </c>
      <c r="F719" s="3" t="s">
        <v>6646</v>
      </c>
      <c r="G719" s="3" t="s">
        <v>6645</v>
      </c>
      <c r="H719" s="3" t="s">
        <v>6645</v>
      </c>
      <c r="I719" s="3" t="s">
        <v>6646</v>
      </c>
      <c r="J719" s="3">
        <v>29.0</v>
      </c>
      <c r="K719" s="3">
        <v>4.0</v>
      </c>
      <c r="L719" s="3">
        <v>0.0</v>
      </c>
      <c r="M719" s="3">
        <v>0.0</v>
      </c>
      <c r="N719" s="3">
        <v>6672.21</v>
      </c>
      <c r="O719" s="3">
        <v>1810.0</v>
      </c>
      <c r="P719" s="3" t="e">
        <v>#N/A</v>
      </c>
      <c r="Q719" s="3">
        <v>52.0</v>
      </c>
      <c r="R719" s="3">
        <v>50.0</v>
      </c>
      <c r="S719" s="3">
        <v>51.0</v>
      </c>
      <c r="T719" s="3">
        <v>53.0</v>
      </c>
      <c r="U719" s="3">
        <v>65.0</v>
      </c>
      <c r="V719" s="3">
        <v>50.0</v>
      </c>
      <c r="W719" s="3">
        <v>51.0</v>
      </c>
      <c r="X719" s="3">
        <v>57.0</v>
      </c>
      <c r="Y719" s="3">
        <v>68.0</v>
      </c>
      <c r="Z719" s="3">
        <v>50.0</v>
      </c>
      <c r="AA719" s="3">
        <v>51.0</v>
      </c>
      <c r="AB719" s="3">
        <v>49.0</v>
      </c>
      <c r="AC719" s="3">
        <v>63.0</v>
      </c>
      <c r="AD719" s="3">
        <v>53.0</v>
      </c>
      <c r="AE719" s="3">
        <v>53.0</v>
      </c>
      <c r="AF719" s="3">
        <v>41.0</v>
      </c>
      <c r="AG719" s="3">
        <v>57.0</v>
      </c>
      <c r="AH719" s="3">
        <v>47.0</v>
      </c>
      <c r="AI719" s="3">
        <v>46.0</v>
      </c>
      <c r="AJ719" s="3">
        <v>64.0</v>
      </c>
      <c r="AK719" s="3">
        <v>67.0</v>
      </c>
      <c r="AL719" s="3">
        <v>58.0</v>
      </c>
      <c r="AM719" s="3">
        <v>67.0</v>
      </c>
      <c r="AN719" s="3">
        <v>56.0</v>
      </c>
    </row>
    <row r="720" ht="14.25" customHeight="1">
      <c r="A720" s="3">
        <v>718.0</v>
      </c>
      <c r="B720" s="3" t="s">
        <v>7896</v>
      </c>
      <c r="C720" s="3">
        <v>42.0</v>
      </c>
      <c r="D720" s="3" t="s">
        <v>6645</v>
      </c>
      <c r="E720" s="3" t="s">
        <v>6646</v>
      </c>
      <c r="F720" s="3" t="s">
        <v>6646</v>
      </c>
      <c r="G720" s="3" t="s">
        <v>6645</v>
      </c>
      <c r="H720" s="3" t="s">
        <v>6645</v>
      </c>
      <c r="I720" s="3" t="s">
        <v>6645</v>
      </c>
      <c r="J720" s="3">
        <v>29.0</v>
      </c>
      <c r="K720" s="3">
        <v>4.0</v>
      </c>
      <c r="L720" s="3">
        <v>0.0</v>
      </c>
      <c r="M720" s="3">
        <v>0.0</v>
      </c>
      <c r="N720" s="3">
        <v>6901.5395</v>
      </c>
      <c r="O720" s="3">
        <v>1714.0</v>
      </c>
      <c r="P720" s="3" t="e">
        <v>#N/A</v>
      </c>
      <c r="Q720" s="3">
        <v>53.0</v>
      </c>
      <c r="R720" s="3">
        <v>58.0</v>
      </c>
      <c r="S720" s="3">
        <v>59.0</v>
      </c>
      <c r="T720" s="3">
        <v>58.0</v>
      </c>
      <c r="U720" s="3">
        <v>60.0</v>
      </c>
      <c r="V720" s="3">
        <v>57.0</v>
      </c>
      <c r="W720" s="3">
        <v>52.0</v>
      </c>
      <c r="X720" s="3">
        <v>53.0</v>
      </c>
      <c r="Y720" s="3">
        <v>60.0</v>
      </c>
      <c r="Z720" s="3">
        <v>54.0</v>
      </c>
      <c r="AA720" s="3">
        <v>59.0</v>
      </c>
      <c r="AB720" s="3">
        <v>59.0</v>
      </c>
      <c r="AC720" s="3">
        <v>55.0</v>
      </c>
      <c r="AD720" s="3">
        <v>53.0</v>
      </c>
      <c r="AE720" s="3">
        <v>55.0</v>
      </c>
      <c r="AF720" s="3">
        <v>51.0</v>
      </c>
      <c r="AG720" s="3">
        <v>40.0</v>
      </c>
      <c r="AH720" s="3">
        <v>47.0</v>
      </c>
      <c r="AI720" s="3">
        <v>62.0</v>
      </c>
      <c r="AJ720" s="3">
        <v>38.0</v>
      </c>
      <c r="AK720" s="3">
        <v>44.0</v>
      </c>
      <c r="AL720" s="3">
        <v>54.0</v>
      </c>
      <c r="AM720" s="3">
        <v>46.0</v>
      </c>
      <c r="AN720" s="3">
        <v>49.0</v>
      </c>
    </row>
    <row r="721" ht="14.25" customHeight="1">
      <c r="A721" s="3">
        <v>719.0</v>
      </c>
      <c r="B721" s="3" t="s">
        <v>7897</v>
      </c>
      <c r="C721" s="3">
        <v>33.0</v>
      </c>
      <c r="D721" s="3" t="s">
        <v>6645</v>
      </c>
      <c r="E721" s="3" t="s">
        <v>6646</v>
      </c>
      <c r="F721" s="3" t="s">
        <v>6646</v>
      </c>
      <c r="G721" s="3" t="s">
        <v>6645</v>
      </c>
      <c r="H721" s="3" t="s">
        <v>6645</v>
      </c>
      <c r="I721" s="3" t="s">
        <v>6645</v>
      </c>
      <c r="J721" s="3">
        <v>29.0</v>
      </c>
      <c r="K721" s="3">
        <v>3.0</v>
      </c>
      <c r="L721" s="3">
        <v>0.0</v>
      </c>
      <c r="M721" s="3">
        <v>0.0</v>
      </c>
      <c r="N721" s="3">
        <v>4500.7602</v>
      </c>
      <c r="O721" s="3">
        <v>980.0</v>
      </c>
      <c r="P721" s="3" t="e">
        <v>#N/A</v>
      </c>
      <c r="Q721" s="3">
        <v>48.0</v>
      </c>
      <c r="R721" s="3">
        <v>47.0</v>
      </c>
      <c r="S721" s="3">
        <v>52.0</v>
      </c>
      <c r="T721" s="3">
        <v>51.0</v>
      </c>
      <c r="U721" s="3">
        <v>56.0</v>
      </c>
      <c r="V721" s="3">
        <v>53.0</v>
      </c>
      <c r="W721" s="3">
        <v>52.0</v>
      </c>
      <c r="X721" s="3">
        <v>52.0</v>
      </c>
      <c r="Y721" s="3">
        <v>62.0</v>
      </c>
      <c r="Z721" s="3">
        <v>47.0</v>
      </c>
      <c r="AA721" s="3">
        <v>50.0</v>
      </c>
      <c r="AB721" s="3">
        <v>51.0</v>
      </c>
      <c r="AC721" s="3">
        <v>56.0</v>
      </c>
      <c r="AD721" s="3">
        <v>47.0</v>
      </c>
      <c r="AE721" s="3">
        <v>40.0</v>
      </c>
      <c r="AF721" s="3">
        <v>52.0</v>
      </c>
      <c r="AG721" s="3">
        <v>47.0</v>
      </c>
      <c r="AH721" s="3">
        <v>60.0</v>
      </c>
      <c r="AI721" s="3">
        <v>38.0</v>
      </c>
      <c r="AJ721" s="3">
        <v>53.0</v>
      </c>
      <c r="AK721" s="3">
        <v>44.0</v>
      </c>
      <c r="AL721" s="3">
        <v>65.0</v>
      </c>
      <c r="AM721" s="3">
        <v>62.0</v>
      </c>
      <c r="AN721" s="3">
        <v>40.0</v>
      </c>
    </row>
    <row r="722" ht="14.25" customHeight="1">
      <c r="A722" s="3">
        <v>720.0</v>
      </c>
      <c r="B722" s="3" t="s">
        <v>7898</v>
      </c>
      <c r="C722" s="3">
        <v>34.0</v>
      </c>
      <c r="D722" s="3" t="s">
        <v>6645</v>
      </c>
      <c r="E722" s="3" t="s">
        <v>6646</v>
      </c>
      <c r="F722" s="3" t="s">
        <v>6646</v>
      </c>
      <c r="G722" s="3" t="s">
        <v>6645</v>
      </c>
      <c r="H722" s="3" t="s">
        <v>6645</v>
      </c>
      <c r="I722" s="3" t="s">
        <v>6646</v>
      </c>
      <c r="J722" s="3">
        <v>29.0</v>
      </c>
      <c r="K722" s="3">
        <v>3.0</v>
      </c>
      <c r="L722" s="3">
        <v>0.0</v>
      </c>
      <c r="M722" s="3">
        <v>0.0</v>
      </c>
      <c r="N722" s="3">
        <v>4449.29</v>
      </c>
      <c r="O722" s="3">
        <v>651.0</v>
      </c>
      <c r="P722" s="3" t="e">
        <v>#N/A</v>
      </c>
      <c r="Q722" s="3">
        <v>52.0</v>
      </c>
      <c r="R722" s="3">
        <v>54.0</v>
      </c>
      <c r="S722" s="3">
        <v>45.0</v>
      </c>
      <c r="T722" s="3">
        <v>53.0</v>
      </c>
      <c r="U722" s="3">
        <v>52.0</v>
      </c>
      <c r="V722" s="3">
        <v>54.0</v>
      </c>
      <c r="W722" s="3">
        <v>43.0</v>
      </c>
      <c r="X722" s="3">
        <v>48.0</v>
      </c>
      <c r="Y722" s="3">
        <v>52.0</v>
      </c>
      <c r="Z722" s="3">
        <v>51.0</v>
      </c>
      <c r="AA722" s="3">
        <v>53.0</v>
      </c>
      <c r="AB722" s="3">
        <v>49.0</v>
      </c>
      <c r="AC722" s="3">
        <v>52.0</v>
      </c>
      <c r="AD722" s="3">
        <v>49.0</v>
      </c>
      <c r="AE722" s="3">
        <v>45.0</v>
      </c>
      <c r="AF722" s="3">
        <v>47.0</v>
      </c>
      <c r="AG722" s="3">
        <v>63.0</v>
      </c>
      <c r="AH722" s="3">
        <v>60.0</v>
      </c>
      <c r="AI722" s="3">
        <v>49.0</v>
      </c>
      <c r="AJ722" s="3">
        <v>49.0</v>
      </c>
      <c r="AK722" s="3">
        <v>54.0</v>
      </c>
      <c r="AL722" s="3">
        <v>60.0</v>
      </c>
      <c r="AM722" s="3">
        <v>48.0</v>
      </c>
      <c r="AN722" s="3">
        <v>52.0</v>
      </c>
    </row>
    <row r="723" ht="14.25" customHeight="1">
      <c r="A723" s="3">
        <v>721.0</v>
      </c>
      <c r="B723" s="3" t="s">
        <v>7899</v>
      </c>
      <c r="C723" s="3">
        <v>38.0</v>
      </c>
      <c r="D723" s="3" t="s">
        <v>6645</v>
      </c>
      <c r="E723" s="3" t="s">
        <v>6646</v>
      </c>
      <c r="F723" s="3" t="s">
        <v>6646</v>
      </c>
      <c r="G723" s="3" t="s">
        <v>6645</v>
      </c>
      <c r="H723" s="3" t="s">
        <v>6645</v>
      </c>
      <c r="I723" s="3" t="s">
        <v>6646</v>
      </c>
      <c r="J723" s="3">
        <v>29.0</v>
      </c>
      <c r="K723" s="3">
        <v>3.0</v>
      </c>
      <c r="L723" s="3">
        <v>0.0</v>
      </c>
      <c r="M723" s="3">
        <v>0.0</v>
      </c>
      <c r="N723" s="3">
        <v>4711.391</v>
      </c>
      <c r="O723" s="3">
        <v>620.0</v>
      </c>
      <c r="P723" s="3" t="e">
        <v>#N/A</v>
      </c>
      <c r="Q723" s="3">
        <v>47.0</v>
      </c>
      <c r="R723" s="3">
        <v>45.0</v>
      </c>
      <c r="S723" s="3">
        <v>52.0</v>
      </c>
      <c r="T723" s="3">
        <v>54.0</v>
      </c>
      <c r="U723" s="3">
        <v>52.0</v>
      </c>
      <c r="V723" s="3">
        <v>49.0</v>
      </c>
      <c r="W723" s="3">
        <v>54.0</v>
      </c>
      <c r="X723" s="3">
        <v>40.0</v>
      </c>
      <c r="Y723" s="3">
        <v>58.0</v>
      </c>
      <c r="Z723" s="3">
        <v>52.0</v>
      </c>
      <c r="AA723" s="3">
        <v>47.0</v>
      </c>
      <c r="AB723" s="3">
        <v>45.0</v>
      </c>
      <c r="AC723" s="3">
        <v>53.0</v>
      </c>
      <c r="AD723" s="3">
        <v>52.0</v>
      </c>
      <c r="AE723" s="3">
        <v>51.0</v>
      </c>
      <c r="AF723" s="3">
        <v>37.0</v>
      </c>
      <c r="AG723" s="3">
        <v>53.0</v>
      </c>
      <c r="AH723" s="3">
        <v>62.0</v>
      </c>
      <c r="AI723" s="3">
        <v>41.0</v>
      </c>
      <c r="AJ723" s="3">
        <v>36.0</v>
      </c>
      <c r="AK723" s="3">
        <v>64.0</v>
      </c>
      <c r="AL723" s="3">
        <v>61.0</v>
      </c>
      <c r="AM723" s="3">
        <v>54.0</v>
      </c>
      <c r="AN723" s="3">
        <v>55.0</v>
      </c>
    </row>
    <row r="724" ht="14.25" customHeight="1">
      <c r="A724" s="3">
        <v>722.0</v>
      </c>
      <c r="B724" s="3" t="s">
        <v>7900</v>
      </c>
      <c r="C724" s="3">
        <v>30.0</v>
      </c>
      <c r="D724" s="3" t="s">
        <v>6645</v>
      </c>
      <c r="E724" s="3" t="s">
        <v>6646</v>
      </c>
      <c r="F724" s="3" t="s">
        <v>6646</v>
      </c>
      <c r="G724" s="3" t="s">
        <v>6645</v>
      </c>
      <c r="H724" s="3" t="s">
        <v>6645</v>
      </c>
      <c r="I724" s="3" t="s">
        <v>6646</v>
      </c>
      <c r="J724" s="3">
        <v>29.0</v>
      </c>
      <c r="K724" s="3">
        <v>2.0</v>
      </c>
      <c r="L724" s="3">
        <v>0.0</v>
      </c>
      <c r="M724" s="3">
        <v>0.0</v>
      </c>
      <c r="N724" s="3">
        <v>2709.1704</v>
      </c>
      <c r="O724" s="3">
        <v>486.0</v>
      </c>
      <c r="P724" s="3" t="e">
        <v>#N/A</v>
      </c>
      <c r="Q724" s="3">
        <v>44.0</v>
      </c>
      <c r="R724" s="3">
        <v>42.0</v>
      </c>
      <c r="S724" s="3">
        <v>47.0</v>
      </c>
      <c r="T724" s="3">
        <v>40.0</v>
      </c>
      <c r="U724" s="3">
        <v>41.0</v>
      </c>
      <c r="V724" s="3">
        <v>47.0</v>
      </c>
      <c r="W724" s="3">
        <v>48.0</v>
      </c>
      <c r="X724" s="3">
        <v>45.0</v>
      </c>
      <c r="Y724" s="3">
        <v>51.0</v>
      </c>
      <c r="Z724" s="3">
        <v>42.0</v>
      </c>
      <c r="AA724" s="3">
        <v>49.0</v>
      </c>
      <c r="AB724" s="3">
        <v>35.0</v>
      </c>
      <c r="AC724" s="3">
        <v>50.0</v>
      </c>
      <c r="AD724" s="3">
        <v>40.0</v>
      </c>
      <c r="AE724" s="3">
        <v>40.0</v>
      </c>
      <c r="AF724" s="3">
        <v>38.0</v>
      </c>
      <c r="AG724" s="3">
        <v>44.0</v>
      </c>
      <c r="AH724" s="3">
        <v>39.0</v>
      </c>
      <c r="AI724" s="3">
        <v>36.0</v>
      </c>
      <c r="AJ724" s="3">
        <v>55.0</v>
      </c>
      <c r="AK724" s="3">
        <v>53.0</v>
      </c>
      <c r="AL724" s="3">
        <v>41.0</v>
      </c>
      <c r="AM724" s="3">
        <v>35.0</v>
      </c>
      <c r="AN724" s="3">
        <v>59.0</v>
      </c>
    </row>
    <row r="725" ht="14.25" customHeight="1">
      <c r="A725" s="3">
        <v>723.0</v>
      </c>
      <c r="B725" s="3" t="s">
        <v>7901</v>
      </c>
      <c r="C725" s="3">
        <v>33.0</v>
      </c>
      <c r="D725" s="3" t="s">
        <v>6645</v>
      </c>
      <c r="E725" s="3" t="s">
        <v>6646</v>
      </c>
      <c r="F725" s="3" t="s">
        <v>6646</v>
      </c>
      <c r="G725" s="3" t="s">
        <v>6645</v>
      </c>
      <c r="H725" s="3" t="s">
        <v>6645</v>
      </c>
      <c r="I725" s="3" t="s">
        <v>6645</v>
      </c>
      <c r="J725" s="3">
        <v>29.0</v>
      </c>
      <c r="K725" s="3">
        <v>2.0</v>
      </c>
      <c r="L725" s="3">
        <v>0.0</v>
      </c>
      <c r="M725" s="3">
        <v>0.0</v>
      </c>
      <c r="N725" s="3">
        <v>2768.2138</v>
      </c>
      <c r="O725" s="3">
        <v>448.0</v>
      </c>
      <c r="P725" s="3" t="e">
        <v>#N/A</v>
      </c>
      <c r="Q725" s="3">
        <v>42.0</v>
      </c>
      <c r="R725" s="3">
        <v>48.0</v>
      </c>
      <c r="S725" s="3">
        <v>45.0</v>
      </c>
      <c r="T725" s="3">
        <v>41.0</v>
      </c>
      <c r="U725" s="3">
        <v>49.0</v>
      </c>
      <c r="V725" s="3">
        <v>40.0</v>
      </c>
      <c r="W725" s="3">
        <v>49.0</v>
      </c>
      <c r="X725" s="3">
        <v>36.0</v>
      </c>
      <c r="Y725" s="3">
        <v>51.0</v>
      </c>
      <c r="Z725" s="3">
        <v>47.0</v>
      </c>
      <c r="AA725" s="3">
        <v>42.0</v>
      </c>
      <c r="AB725" s="3">
        <v>42.0</v>
      </c>
      <c r="AC725" s="3">
        <v>45.0</v>
      </c>
      <c r="AD725" s="3">
        <v>46.0</v>
      </c>
      <c r="AE725" s="3">
        <v>32.0</v>
      </c>
      <c r="AF725" s="3">
        <v>36.0</v>
      </c>
      <c r="AG725" s="3">
        <v>59.0</v>
      </c>
      <c r="AH725" s="3">
        <v>34.0</v>
      </c>
      <c r="AI725" s="3">
        <v>45.0</v>
      </c>
      <c r="AJ725" s="3">
        <v>43.0</v>
      </c>
      <c r="AK725" s="3">
        <v>35.0</v>
      </c>
      <c r="AL725" s="3">
        <v>39.0</v>
      </c>
      <c r="AM725" s="3">
        <v>34.0</v>
      </c>
      <c r="AN725" s="3">
        <v>43.0</v>
      </c>
    </row>
    <row r="726" ht="14.25" customHeight="1">
      <c r="A726" s="3">
        <v>724.0</v>
      </c>
      <c r="B726" s="3" t="s">
        <v>7902</v>
      </c>
      <c r="C726" s="3">
        <v>33.0</v>
      </c>
      <c r="D726" s="3" t="s">
        <v>6645</v>
      </c>
      <c r="E726" s="3" t="s">
        <v>6646</v>
      </c>
      <c r="F726" s="3" t="s">
        <v>6646</v>
      </c>
      <c r="G726" s="3" t="s">
        <v>6645</v>
      </c>
      <c r="H726" s="3" t="s">
        <v>6645</v>
      </c>
      <c r="I726" s="3" t="s">
        <v>6645</v>
      </c>
      <c r="J726" s="3">
        <v>29.0</v>
      </c>
      <c r="K726" s="3">
        <v>2.0</v>
      </c>
      <c r="L726" s="3">
        <v>0.0</v>
      </c>
      <c r="M726" s="3">
        <v>0.0</v>
      </c>
      <c r="N726" s="3">
        <v>2753.112</v>
      </c>
      <c r="O726" s="3">
        <v>442.0</v>
      </c>
      <c r="P726" s="3" t="e">
        <v>#N/A</v>
      </c>
      <c r="Q726" s="3">
        <v>46.0</v>
      </c>
      <c r="R726" s="3">
        <v>44.0</v>
      </c>
      <c r="S726" s="3">
        <v>42.0</v>
      </c>
      <c r="T726" s="3">
        <v>48.0</v>
      </c>
      <c r="U726" s="3">
        <v>48.0</v>
      </c>
      <c r="V726" s="3">
        <v>45.0</v>
      </c>
      <c r="W726" s="3">
        <v>40.0</v>
      </c>
      <c r="X726" s="3">
        <v>45.0</v>
      </c>
      <c r="Y726" s="3">
        <v>49.0</v>
      </c>
      <c r="Z726" s="3">
        <v>42.0</v>
      </c>
      <c r="AA726" s="3">
        <v>41.0</v>
      </c>
      <c r="AB726" s="3">
        <v>36.0</v>
      </c>
      <c r="AC726" s="3">
        <v>53.0</v>
      </c>
      <c r="AD726" s="3">
        <v>49.0</v>
      </c>
      <c r="AE726" s="3">
        <v>47.0</v>
      </c>
      <c r="AF726" s="3">
        <v>35.0</v>
      </c>
      <c r="AG726" s="3">
        <v>57.0</v>
      </c>
      <c r="AH726" s="3">
        <v>51.0</v>
      </c>
      <c r="AI726" s="3">
        <v>63.0</v>
      </c>
      <c r="AJ726" s="3">
        <v>59.0</v>
      </c>
      <c r="AK726" s="3">
        <v>39.0</v>
      </c>
      <c r="AL726" s="3">
        <v>52.0</v>
      </c>
      <c r="AM726" s="3">
        <v>51.0</v>
      </c>
      <c r="AN726" s="3">
        <v>40.0</v>
      </c>
    </row>
    <row r="727" ht="14.25" customHeight="1">
      <c r="A727" s="3">
        <v>725.0</v>
      </c>
      <c r="B727" s="3" t="s">
        <v>7903</v>
      </c>
      <c r="C727" s="3">
        <v>25.0</v>
      </c>
      <c r="D727" s="3" t="s">
        <v>6645</v>
      </c>
      <c r="E727" s="3" t="s">
        <v>6646</v>
      </c>
      <c r="F727" s="3" t="s">
        <v>6646</v>
      </c>
      <c r="G727" s="3" t="s">
        <v>6645</v>
      </c>
      <c r="H727" s="3" t="s">
        <v>6645</v>
      </c>
      <c r="I727" s="3" t="s">
        <v>6646</v>
      </c>
      <c r="J727" s="3">
        <v>29.0</v>
      </c>
      <c r="K727" s="3">
        <v>1.0</v>
      </c>
      <c r="L727" s="3">
        <v>0.0</v>
      </c>
      <c r="M727" s="3">
        <v>0.0</v>
      </c>
      <c r="N727" s="3">
        <v>1107.4061</v>
      </c>
      <c r="O727" s="3">
        <v>188.0</v>
      </c>
      <c r="P727" s="3" t="e">
        <v>#N/A</v>
      </c>
      <c r="Q727" s="3">
        <v>40.0</v>
      </c>
      <c r="R727" s="3">
        <v>37.0</v>
      </c>
      <c r="S727" s="3">
        <v>41.0</v>
      </c>
      <c r="T727" s="3">
        <v>37.0</v>
      </c>
      <c r="U727" s="3">
        <v>38.0</v>
      </c>
      <c r="V727" s="3">
        <v>42.0</v>
      </c>
      <c r="W727" s="3">
        <v>41.0</v>
      </c>
      <c r="X727" s="3">
        <v>35.0</v>
      </c>
      <c r="Y727" s="3">
        <v>50.0</v>
      </c>
      <c r="Z727" s="3">
        <v>35.0</v>
      </c>
      <c r="AA727" s="3">
        <v>36.0</v>
      </c>
      <c r="AB727" s="3">
        <v>41.0</v>
      </c>
      <c r="AC727" s="3">
        <v>47.0</v>
      </c>
      <c r="AD727" s="3">
        <v>43.0</v>
      </c>
      <c r="AE727" s="3">
        <v>37.0</v>
      </c>
      <c r="AF727" s="3">
        <v>48.0</v>
      </c>
      <c r="AG727" s="3">
        <v>58.0</v>
      </c>
      <c r="AH727" s="3">
        <v>47.0</v>
      </c>
      <c r="AI727" s="3">
        <v>59.0</v>
      </c>
      <c r="AJ727" s="3">
        <v>58.0</v>
      </c>
      <c r="AK727" s="3">
        <v>32.0</v>
      </c>
      <c r="AL727" s="3">
        <v>36.0</v>
      </c>
      <c r="AM727" s="3">
        <v>36.0</v>
      </c>
      <c r="AN727" s="3">
        <v>50.0</v>
      </c>
    </row>
    <row r="728" ht="14.25" customHeight="1">
      <c r="A728" s="3">
        <v>726.0</v>
      </c>
      <c r="B728" s="3" t="s">
        <v>7904</v>
      </c>
      <c r="C728" s="3">
        <v>28.0</v>
      </c>
      <c r="D728" s="3" t="s">
        <v>6645</v>
      </c>
      <c r="E728" s="3" t="s">
        <v>6646</v>
      </c>
      <c r="F728" s="3" t="s">
        <v>6646</v>
      </c>
      <c r="G728" s="3" t="s">
        <v>6645</v>
      </c>
      <c r="H728" s="3" t="s">
        <v>6645</v>
      </c>
      <c r="I728" s="3" t="s">
        <v>6646</v>
      </c>
      <c r="J728" s="3">
        <v>29.0</v>
      </c>
      <c r="K728" s="3">
        <v>1.0</v>
      </c>
      <c r="L728" s="3">
        <v>0.0</v>
      </c>
      <c r="M728" s="3">
        <v>0.0</v>
      </c>
      <c r="N728" s="3">
        <v>1165.019</v>
      </c>
      <c r="O728" s="3">
        <v>228.0</v>
      </c>
      <c r="P728" s="3" t="e">
        <v>#N/A</v>
      </c>
      <c r="Q728" s="3">
        <v>39.0</v>
      </c>
      <c r="R728" s="3">
        <v>42.0</v>
      </c>
      <c r="S728" s="3">
        <v>37.0</v>
      </c>
      <c r="T728" s="3">
        <v>37.0</v>
      </c>
      <c r="U728" s="3">
        <v>39.0</v>
      </c>
      <c r="V728" s="3">
        <v>35.0</v>
      </c>
      <c r="W728" s="3">
        <v>36.0</v>
      </c>
      <c r="X728" s="3">
        <v>37.0</v>
      </c>
      <c r="Y728" s="3">
        <v>53.0</v>
      </c>
      <c r="Z728" s="3">
        <v>35.0</v>
      </c>
      <c r="AA728" s="3">
        <v>37.0</v>
      </c>
      <c r="AB728" s="3">
        <v>39.0</v>
      </c>
      <c r="AC728" s="3">
        <v>49.0</v>
      </c>
      <c r="AD728" s="3">
        <v>29.0</v>
      </c>
      <c r="AE728" s="3">
        <v>44.0</v>
      </c>
      <c r="AF728" s="3">
        <v>49.0</v>
      </c>
      <c r="AG728" s="3">
        <v>51.0</v>
      </c>
      <c r="AH728" s="3">
        <v>49.0</v>
      </c>
      <c r="AI728" s="3">
        <v>33.0</v>
      </c>
      <c r="AJ728" s="3">
        <v>49.0</v>
      </c>
      <c r="AK728" s="3">
        <v>36.0</v>
      </c>
      <c r="AL728" s="3">
        <v>45.0</v>
      </c>
      <c r="AM728" s="3">
        <v>37.0</v>
      </c>
      <c r="AN728" s="3">
        <v>40.0</v>
      </c>
    </row>
    <row r="729" ht="14.25" customHeight="1">
      <c r="A729" s="3">
        <v>727.0</v>
      </c>
      <c r="B729" s="3" t="s">
        <v>7905</v>
      </c>
      <c r="C729" s="3">
        <v>24.0</v>
      </c>
      <c r="D729" s="3" t="s">
        <v>6645</v>
      </c>
      <c r="E729" s="3" t="s">
        <v>6646</v>
      </c>
      <c r="F729" s="3" t="s">
        <v>6646</v>
      </c>
      <c r="G729" s="3" t="s">
        <v>6645</v>
      </c>
      <c r="H729" s="3" t="s">
        <v>6645</v>
      </c>
      <c r="I729" s="3" t="s">
        <v>6645</v>
      </c>
      <c r="J729" s="3">
        <v>29.0</v>
      </c>
      <c r="K729" s="3">
        <v>1.0</v>
      </c>
      <c r="L729" s="3">
        <v>0.0</v>
      </c>
      <c r="M729" s="3">
        <v>0.0</v>
      </c>
      <c r="N729" s="3">
        <v>1341.5673</v>
      </c>
      <c r="O729" s="3">
        <v>199.0</v>
      </c>
      <c r="P729" s="3" t="e">
        <v>#N/A</v>
      </c>
      <c r="Q729" s="3">
        <v>35.0</v>
      </c>
      <c r="R729" s="3">
        <v>39.0</v>
      </c>
      <c r="S729" s="3">
        <v>43.0</v>
      </c>
      <c r="T729" s="3">
        <v>44.0</v>
      </c>
      <c r="U729" s="3">
        <v>43.0</v>
      </c>
      <c r="V729" s="3">
        <v>36.0</v>
      </c>
      <c r="W729" s="3">
        <v>39.0</v>
      </c>
      <c r="X729" s="3">
        <v>33.0</v>
      </c>
      <c r="Y729" s="3">
        <v>41.0</v>
      </c>
      <c r="Z729" s="3">
        <v>43.0</v>
      </c>
      <c r="AA729" s="3">
        <v>40.0</v>
      </c>
      <c r="AB729" s="3">
        <v>43.0</v>
      </c>
      <c r="AC729" s="3">
        <v>46.0</v>
      </c>
      <c r="AD729" s="3">
        <v>36.0</v>
      </c>
      <c r="AE729" s="3">
        <v>43.0</v>
      </c>
      <c r="AF729" s="3">
        <v>43.0</v>
      </c>
      <c r="AG729" s="3">
        <v>44.0</v>
      </c>
      <c r="AH729" s="3">
        <v>34.0</v>
      </c>
      <c r="AI729" s="3">
        <v>61.0</v>
      </c>
      <c r="AJ729" s="3">
        <v>37.0</v>
      </c>
      <c r="AK729" s="3">
        <v>33.0</v>
      </c>
      <c r="AL729" s="3">
        <v>32.0</v>
      </c>
      <c r="AM729" s="3">
        <v>49.0</v>
      </c>
      <c r="AN729" s="3">
        <v>33.0</v>
      </c>
    </row>
    <row r="730" ht="14.25" customHeight="1">
      <c r="A730" s="3">
        <v>728.0</v>
      </c>
      <c r="B730" s="3" t="s">
        <v>7906</v>
      </c>
      <c r="C730" s="3">
        <v>21.0</v>
      </c>
      <c r="D730" s="3" t="s">
        <v>6645</v>
      </c>
      <c r="E730" s="3" t="s">
        <v>6646</v>
      </c>
      <c r="F730" s="3" t="s">
        <v>6646</v>
      </c>
      <c r="G730" s="3" t="s">
        <v>6645</v>
      </c>
      <c r="H730" s="3" t="s">
        <v>6645</v>
      </c>
      <c r="I730" s="3" t="s">
        <v>6645</v>
      </c>
      <c r="J730" s="3">
        <v>29.0</v>
      </c>
      <c r="K730" s="3">
        <v>1.0</v>
      </c>
      <c r="L730" s="3">
        <v>0.0</v>
      </c>
      <c r="M730" s="3">
        <v>0.0</v>
      </c>
      <c r="N730" s="3">
        <v>966.11535</v>
      </c>
      <c r="O730" s="3">
        <v>200.0</v>
      </c>
      <c r="P730" s="3" t="e">
        <v>#N/A</v>
      </c>
      <c r="Q730" s="3">
        <v>37.0</v>
      </c>
      <c r="R730" s="3">
        <v>42.0</v>
      </c>
      <c r="S730" s="3">
        <v>36.0</v>
      </c>
      <c r="T730" s="3">
        <v>43.0</v>
      </c>
      <c r="U730" s="3">
        <v>35.0</v>
      </c>
      <c r="V730" s="3">
        <v>40.0</v>
      </c>
      <c r="W730" s="3">
        <v>42.0</v>
      </c>
      <c r="X730" s="3">
        <v>41.0</v>
      </c>
      <c r="Y730" s="3">
        <v>44.0</v>
      </c>
      <c r="Z730" s="3">
        <v>39.0</v>
      </c>
      <c r="AA730" s="3">
        <v>35.0</v>
      </c>
      <c r="AB730" s="3">
        <v>44.0</v>
      </c>
      <c r="AC730" s="3">
        <v>42.0</v>
      </c>
      <c r="AD730" s="3">
        <v>33.0</v>
      </c>
      <c r="AE730" s="3">
        <v>36.0</v>
      </c>
      <c r="AF730" s="3">
        <v>51.0</v>
      </c>
      <c r="AG730" s="3">
        <v>47.0</v>
      </c>
      <c r="AH730" s="3">
        <v>55.0</v>
      </c>
      <c r="AI730" s="3">
        <v>44.0</v>
      </c>
      <c r="AJ730" s="3">
        <v>61.0</v>
      </c>
      <c r="AK730" s="3">
        <v>32.0</v>
      </c>
      <c r="AL730" s="3">
        <v>51.0</v>
      </c>
      <c r="AM730" s="3">
        <v>49.0</v>
      </c>
      <c r="AN730" s="3">
        <v>51.0</v>
      </c>
    </row>
    <row r="731" ht="14.25" customHeight="1">
      <c r="A731" s="3">
        <v>729.0</v>
      </c>
      <c r="B731" s="3" t="s">
        <v>7907</v>
      </c>
      <c r="C731" s="3">
        <v>22.0</v>
      </c>
      <c r="D731" s="3" t="s">
        <v>6645</v>
      </c>
      <c r="E731" s="3" t="s">
        <v>6646</v>
      </c>
      <c r="F731" s="3" t="s">
        <v>6646</v>
      </c>
      <c r="G731" s="3" t="s">
        <v>6645</v>
      </c>
      <c r="H731" s="3" t="s">
        <v>6645</v>
      </c>
      <c r="I731" s="3" t="s">
        <v>6645</v>
      </c>
      <c r="J731" s="3">
        <v>29.0</v>
      </c>
      <c r="K731" s="3">
        <v>0.0</v>
      </c>
      <c r="L731" s="3">
        <v>0.0</v>
      </c>
      <c r="M731" s="3">
        <v>0.0</v>
      </c>
      <c r="N731" s="3">
        <v>505.2989</v>
      </c>
      <c r="O731" s="3">
        <v>120.0</v>
      </c>
      <c r="P731" s="3" t="e">
        <v>#N/A</v>
      </c>
      <c r="Q731" s="3">
        <v>36.0</v>
      </c>
      <c r="R731" s="3">
        <v>35.0</v>
      </c>
      <c r="S731" s="3">
        <v>39.0</v>
      </c>
      <c r="T731" s="3">
        <v>33.0</v>
      </c>
      <c r="U731" s="3">
        <v>35.0</v>
      </c>
      <c r="V731" s="3">
        <v>37.0</v>
      </c>
      <c r="W731" s="3">
        <v>34.0</v>
      </c>
      <c r="X731" s="3">
        <v>27.0</v>
      </c>
      <c r="Y731" s="3">
        <v>43.0</v>
      </c>
      <c r="Z731" s="3">
        <v>38.0</v>
      </c>
      <c r="AA731" s="3">
        <v>39.0</v>
      </c>
      <c r="AB731" s="3">
        <v>34.0</v>
      </c>
      <c r="AC731" s="3">
        <v>45.0</v>
      </c>
      <c r="AD731" s="3">
        <v>24.0</v>
      </c>
      <c r="AE731" s="3">
        <v>30.0</v>
      </c>
      <c r="AF731" s="3">
        <v>41.0</v>
      </c>
      <c r="AG731" s="3">
        <v>54.0</v>
      </c>
      <c r="AH731" s="3">
        <v>53.0</v>
      </c>
      <c r="AI731" s="3">
        <v>58.0</v>
      </c>
      <c r="AJ731" s="3">
        <v>52.0</v>
      </c>
      <c r="AK731" s="3">
        <v>54.0</v>
      </c>
      <c r="AL731" s="3">
        <v>59.0</v>
      </c>
      <c r="AM731" s="3">
        <v>45.0</v>
      </c>
      <c r="AN731" s="3">
        <v>30.0</v>
      </c>
    </row>
    <row r="732" ht="14.25" customHeight="1">
      <c r="A732" s="3">
        <v>730.0</v>
      </c>
      <c r="B732" s="3" t="s">
        <v>7908</v>
      </c>
      <c r="C732" s="3">
        <v>24.0</v>
      </c>
      <c r="D732" s="3" t="s">
        <v>6645</v>
      </c>
      <c r="E732" s="3" t="s">
        <v>6646</v>
      </c>
      <c r="F732" s="3" t="s">
        <v>6646</v>
      </c>
      <c r="G732" s="3" t="s">
        <v>6645</v>
      </c>
      <c r="H732" s="3" t="s">
        <v>6645</v>
      </c>
      <c r="I732" s="3" t="s">
        <v>6646</v>
      </c>
      <c r="J732" s="3">
        <v>29.0</v>
      </c>
      <c r="K732" s="3">
        <v>0.0</v>
      </c>
      <c r="L732" s="3">
        <v>0.0</v>
      </c>
      <c r="M732" s="3">
        <v>0.0</v>
      </c>
      <c r="N732" s="3">
        <v>466.35537</v>
      </c>
      <c r="O732" s="3">
        <v>77.0</v>
      </c>
      <c r="P732" s="3" t="e">
        <v>#N/A</v>
      </c>
      <c r="Q732" s="3">
        <v>34.0</v>
      </c>
      <c r="R732" s="3">
        <v>35.0</v>
      </c>
      <c r="S732" s="3">
        <v>34.0</v>
      </c>
      <c r="T732" s="3">
        <v>34.0</v>
      </c>
      <c r="U732" s="3">
        <v>36.0</v>
      </c>
      <c r="V732" s="3">
        <v>38.0</v>
      </c>
      <c r="W732" s="3">
        <v>33.0</v>
      </c>
      <c r="X732" s="3">
        <v>33.0</v>
      </c>
      <c r="Y732" s="3">
        <v>44.0</v>
      </c>
      <c r="Z732" s="3">
        <v>29.0</v>
      </c>
      <c r="AA732" s="3">
        <v>37.0</v>
      </c>
      <c r="AB732" s="3">
        <v>27.0</v>
      </c>
      <c r="AC732" s="3">
        <v>38.0</v>
      </c>
      <c r="AD732" s="3">
        <v>32.0</v>
      </c>
      <c r="AE732" s="3">
        <v>38.0</v>
      </c>
      <c r="AF732" s="3">
        <v>57.0</v>
      </c>
      <c r="AG732" s="3">
        <v>42.0</v>
      </c>
      <c r="AH732" s="3">
        <v>35.0</v>
      </c>
      <c r="AI732" s="3">
        <v>59.0</v>
      </c>
      <c r="AJ732" s="3">
        <v>38.0</v>
      </c>
      <c r="AK732" s="3">
        <v>30.0</v>
      </c>
      <c r="AL732" s="3">
        <v>47.0</v>
      </c>
      <c r="AM732" s="3">
        <v>43.0</v>
      </c>
      <c r="AN732" s="3">
        <v>42.0</v>
      </c>
    </row>
    <row r="733" ht="14.25" customHeight="1">
      <c r="A733" s="3">
        <v>731.0</v>
      </c>
      <c r="B733" s="3" t="s">
        <v>7909</v>
      </c>
      <c r="C733" s="3">
        <v>16.0</v>
      </c>
      <c r="D733" s="3" t="s">
        <v>6645</v>
      </c>
      <c r="E733" s="3" t="s">
        <v>6646</v>
      </c>
      <c r="F733" s="3" t="s">
        <v>6646</v>
      </c>
      <c r="G733" s="3" t="s">
        <v>6645</v>
      </c>
      <c r="H733" s="3" t="s">
        <v>6645</v>
      </c>
      <c r="I733" s="3" t="s">
        <v>6645</v>
      </c>
      <c r="J733" s="3">
        <v>29.0</v>
      </c>
      <c r="K733" s="3">
        <v>0.0</v>
      </c>
      <c r="L733" s="3">
        <v>0.0</v>
      </c>
      <c r="M733" s="3">
        <v>0.0</v>
      </c>
      <c r="N733" s="3">
        <v>378.49337</v>
      </c>
      <c r="O733" s="3">
        <v>89.0</v>
      </c>
      <c r="P733" s="3" t="e">
        <v>#N/A</v>
      </c>
      <c r="Q733" s="3">
        <v>32.0</v>
      </c>
      <c r="R733" s="3">
        <v>37.0</v>
      </c>
      <c r="S733" s="3">
        <v>36.0</v>
      </c>
      <c r="T733" s="3">
        <v>39.0</v>
      </c>
      <c r="U733" s="3">
        <v>31.0</v>
      </c>
      <c r="V733" s="3">
        <v>39.0</v>
      </c>
      <c r="W733" s="3">
        <v>30.0</v>
      </c>
      <c r="X733" s="3">
        <v>25.0</v>
      </c>
      <c r="Y733" s="3">
        <v>45.0</v>
      </c>
      <c r="Z733" s="3">
        <v>30.0</v>
      </c>
      <c r="AA733" s="3">
        <v>39.0</v>
      </c>
      <c r="AB733" s="3">
        <v>28.0</v>
      </c>
      <c r="AC733" s="3">
        <v>37.0</v>
      </c>
      <c r="AD733" s="3">
        <v>36.0</v>
      </c>
      <c r="AE733" s="3">
        <v>39.0</v>
      </c>
      <c r="AF733" s="3">
        <v>48.0</v>
      </c>
      <c r="AG733" s="3">
        <v>54.0</v>
      </c>
      <c r="AH733" s="3">
        <v>56.0</v>
      </c>
      <c r="AI733" s="3">
        <v>36.0</v>
      </c>
      <c r="AJ733" s="3">
        <v>53.0</v>
      </c>
      <c r="AK733" s="3">
        <v>56.0</v>
      </c>
      <c r="AL733" s="3">
        <v>44.0</v>
      </c>
      <c r="AM733" s="3">
        <v>31.0</v>
      </c>
      <c r="AN733" s="3">
        <v>32.0</v>
      </c>
    </row>
    <row r="734" ht="14.25" customHeight="1">
      <c r="A734" s="3">
        <v>732.0</v>
      </c>
      <c r="B734" s="3" t="s">
        <v>7910</v>
      </c>
      <c r="C734" s="3">
        <v>23.0</v>
      </c>
      <c r="D734" s="3" t="s">
        <v>6645</v>
      </c>
      <c r="E734" s="3" t="s">
        <v>6646</v>
      </c>
      <c r="F734" s="3" t="s">
        <v>6646</v>
      </c>
      <c r="G734" s="3" t="s">
        <v>6645</v>
      </c>
      <c r="H734" s="3" t="s">
        <v>6645</v>
      </c>
      <c r="I734" s="3" t="s">
        <v>6646</v>
      </c>
      <c r="J734" s="3">
        <v>29.0</v>
      </c>
      <c r="K734" s="3">
        <v>0.0</v>
      </c>
      <c r="L734" s="3">
        <v>0.0</v>
      </c>
      <c r="M734" s="3">
        <v>0.0</v>
      </c>
      <c r="N734" s="3">
        <v>375.24383</v>
      </c>
      <c r="O734" s="3">
        <v>83.0</v>
      </c>
      <c r="P734" s="3" t="e">
        <v>#N/A</v>
      </c>
      <c r="Q734" s="3">
        <v>32.0</v>
      </c>
      <c r="R734" s="3">
        <v>39.0</v>
      </c>
      <c r="S734" s="3">
        <v>35.0</v>
      </c>
      <c r="T734" s="3">
        <v>35.0</v>
      </c>
      <c r="U734" s="3">
        <v>39.0</v>
      </c>
      <c r="V734" s="3">
        <v>30.0</v>
      </c>
      <c r="W734" s="3">
        <v>30.0</v>
      </c>
      <c r="X734" s="3">
        <v>30.0</v>
      </c>
      <c r="Y734" s="3">
        <v>44.0</v>
      </c>
      <c r="Z734" s="3">
        <v>30.0</v>
      </c>
      <c r="AA734" s="3">
        <v>23.0</v>
      </c>
      <c r="AB734" s="3">
        <v>35.0</v>
      </c>
      <c r="AC734" s="3">
        <v>40.0</v>
      </c>
      <c r="AD734" s="3">
        <v>35.0</v>
      </c>
      <c r="AE734" s="3">
        <v>37.0</v>
      </c>
      <c r="AF734" s="3">
        <v>56.0</v>
      </c>
      <c r="AG734" s="3">
        <v>39.0</v>
      </c>
      <c r="AH734" s="3">
        <v>55.0</v>
      </c>
      <c r="AI734" s="3">
        <v>41.0</v>
      </c>
      <c r="AJ734" s="3">
        <v>31.0</v>
      </c>
      <c r="AK734" s="3">
        <v>38.0</v>
      </c>
      <c r="AL734" s="3">
        <v>47.0</v>
      </c>
      <c r="AM734" s="3">
        <v>52.0</v>
      </c>
      <c r="AN734" s="3">
        <v>33.0</v>
      </c>
    </row>
    <row r="735" ht="14.25" customHeight="1">
      <c r="A735" s="3">
        <v>733.0</v>
      </c>
      <c r="B735" s="3" t="s">
        <v>7911</v>
      </c>
      <c r="C735" s="3">
        <v>33.0</v>
      </c>
      <c r="D735" s="3" t="s">
        <v>6645</v>
      </c>
      <c r="E735" s="3" t="s">
        <v>6646</v>
      </c>
      <c r="F735" s="3" t="s">
        <v>6646</v>
      </c>
      <c r="G735" s="3" t="s">
        <v>6645</v>
      </c>
      <c r="H735" s="3" t="s">
        <v>6645</v>
      </c>
      <c r="I735" s="3" t="s">
        <v>6646</v>
      </c>
      <c r="J735" s="3">
        <v>-1.0</v>
      </c>
      <c r="K735" s="3">
        <v>2.0</v>
      </c>
      <c r="L735" s="3">
        <v>0.0</v>
      </c>
      <c r="M735" s="3">
        <v>0.0</v>
      </c>
      <c r="N735" s="3">
        <v>2524.93</v>
      </c>
      <c r="O735" s="3">
        <v>490.0</v>
      </c>
      <c r="P735" s="3" t="e">
        <v>#N/A</v>
      </c>
      <c r="Q735" s="3">
        <v>47.0</v>
      </c>
      <c r="R735" s="3">
        <v>40.0</v>
      </c>
      <c r="S735" s="3">
        <v>45.0</v>
      </c>
      <c r="T735" s="3">
        <v>48.0</v>
      </c>
      <c r="U735" s="3">
        <v>46.0</v>
      </c>
      <c r="V735" s="3">
        <v>45.0</v>
      </c>
      <c r="W735" s="3">
        <v>45.0</v>
      </c>
      <c r="X735" s="3">
        <v>50.0</v>
      </c>
      <c r="Y735" s="3">
        <v>42.0</v>
      </c>
      <c r="Z735" s="3">
        <v>41.0</v>
      </c>
      <c r="AA735" s="3">
        <v>54.0</v>
      </c>
      <c r="AB735" s="3">
        <v>36.0</v>
      </c>
      <c r="AC735" s="3">
        <v>39.0</v>
      </c>
      <c r="AD735" s="3">
        <v>42.0</v>
      </c>
      <c r="AE735" s="3">
        <v>48.0</v>
      </c>
      <c r="AF735" s="3">
        <v>53.0</v>
      </c>
      <c r="AG735" s="3">
        <v>22.0</v>
      </c>
      <c r="AH735" s="3">
        <v>60.0</v>
      </c>
      <c r="AI735" s="3">
        <v>19.0</v>
      </c>
      <c r="AJ735" s="3">
        <v>52.0</v>
      </c>
      <c r="AK735" s="3">
        <v>76.0</v>
      </c>
      <c r="AL735" s="3">
        <v>42.0</v>
      </c>
      <c r="AM735" s="3">
        <v>47.0</v>
      </c>
      <c r="AN735" s="3">
        <v>69.0</v>
      </c>
    </row>
    <row r="736" ht="14.25" customHeight="1">
      <c r="A736" s="3">
        <v>734.0</v>
      </c>
      <c r="B736" s="3" t="s">
        <v>7912</v>
      </c>
      <c r="C736" s="3">
        <v>18.0</v>
      </c>
      <c r="D736" s="3" t="s">
        <v>6645</v>
      </c>
      <c r="E736" s="3" t="s">
        <v>6646</v>
      </c>
      <c r="F736" s="3" t="s">
        <v>6646</v>
      </c>
      <c r="G736" s="3" t="s">
        <v>6645</v>
      </c>
      <c r="H736" s="3" t="s">
        <v>6645</v>
      </c>
      <c r="I736" s="3" t="s">
        <v>6646</v>
      </c>
      <c r="J736" s="3">
        <v>-1.0</v>
      </c>
      <c r="K736" s="3">
        <v>0.0</v>
      </c>
      <c r="L736" s="3">
        <v>0.0</v>
      </c>
      <c r="M736" s="3">
        <v>0.0</v>
      </c>
      <c r="N736" s="3">
        <v>477.721</v>
      </c>
      <c r="O736" s="3">
        <v>111.0</v>
      </c>
      <c r="P736" s="3" t="e">
        <v>#N/A</v>
      </c>
      <c r="Q736" s="3">
        <v>33.0</v>
      </c>
      <c r="R736" s="3">
        <v>34.0</v>
      </c>
      <c r="S736" s="3">
        <v>30.0</v>
      </c>
      <c r="T736" s="3">
        <v>34.0</v>
      </c>
      <c r="U736" s="3">
        <v>31.0</v>
      </c>
      <c r="V736" s="3">
        <v>34.0</v>
      </c>
      <c r="W736" s="3">
        <v>42.0</v>
      </c>
      <c r="X736" s="3">
        <v>26.0</v>
      </c>
      <c r="Y736" s="3">
        <v>28.0</v>
      </c>
      <c r="Z736" s="3">
        <v>47.0</v>
      </c>
      <c r="AA736" s="3">
        <v>41.0</v>
      </c>
      <c r="AB736" s="3">
        <v>37.0</v>
      </c>
      <c r="AC736" s="3">
        <v>33.0</v>
      </c>
      <c r="AD736" s="3">
        <v>30.0</v>
      </c>
      <c r="AE736" s="3">
        <v>32.0</v>
      </c>
      <c r="AF736" s="3">
        <v>62.0</v>
      </c>
      <c r="AG736" s="3">
        <v>38.0</v>
      </c>
      <c r="AH736" s="3">
        <v>29.0</v>
      </c>
      <c r="AI736" s="3">
        <v>41.0</v>
      </c>
      <c r="AJ736" s="3">
        <v>75.0</v>
      </c>
      <c r="AK736" s="3">
        <v>22.0</v>
      </c>
      <c r="AL736" s="3">
        <v>50.0</v>
      </c>
      <c r="AM736" s="3">
        <v>41.0</v>
      </c>
      <c r="AN736" s="3">
        <v>53.0</v>
      </c>
    </row>
    <row r="737" ht="14.25" customHeight="1">
      <c r="A737" s="3">
        <v>735.0</v>
      </c>
      <c r="B737" s="3" t="s">
        <v>7913</v>
      </c>
      <c r="C737" s="3">
        <v>21.0</v>
      </c>
      <c r="D737" s="3" t="s">
        <v>6645</v>
      </c>
      <c r="E737" s="3" t="s">
        <v>6646</v>
      </c>
      <c r="F737" s="3" t="s">
        <v>6646</v>
      </c>
      <c r="G737" s="3" t="s">
        <v>6645</v>
      </c>
      <c r="H737" s="3" t="s">
        <v>6645</v>
      </c>
      <c r="I737" s="3" t="s">
        <v>6646</v>
      </c>
      <c r="J737" s="3">
        <v>-1.0</v>
      </c>
      <c r="K737" s="3">
        <v>0.0</v>
      </c>
      <c r="L737" s="3">
        <v>0.0</v>
      </c>
      <c r="M737" s="3">
        <v>0.0</v>
      </c>
      <c r="N737" s="3">
        <v>420.572</v>
      </c>
      <c r="O737" s="3">
        <v>122.0</v>
      </c>
      <c r="P737" s="3" t="e">
        <v>#N/A</v>
      </c>
      <c r="Q737" s="3">
        <v>36.0</v>
      </c>
      <c r="R737" s="3">
        <v>33.0</v>
      </c>
      <c r="S737" s="3">
        <v>33.0</v>
      </c>
      <c r="T737" s="3">
        <v>35.0</v>
      </c>
      <c r="U737" s="3">
        <v>34.0</v>
      </c>
      <c r="V737" s="3">
        <v>39.0</v>
      </c>
      <c r="W737" s="3">
        <v>43.0</v>
      </c>
      <c r="X737" s="3">
        <v>27.0</v>
      </c>
      <c r="Y737" s="3">
        <v>23.0</v>
      </c>
      <c r="Z737" s="3">
        <v>26.0</v>
      </c>
      <c r="AA737" s="3">
        <v>36.0</v>
      </c>
      <c r="AB737" s="3">
        <v>49.0</v>
      </c>
      <c r="AC737" s="3">
        <v>34.0</v>
      </c>
      <c r="AD737" s="3">
        <v>44.0</v>
      </c>
      <c r="AE737" s="3">
        <v>31.0</v>
      </c>
      <c r="AF737" s="3">
        <v>34.0</v>
      </c>
      <c r="AG737" s="3">
        <v>54.0</v>
      </c>
      <c r="AH737" s="3">
        <v>58.0</v>
      </c>
      <c r="AI737" s="3">
        <v>67.0</v>
      </c>
      <c r="AJ737" s="3">
        <v>30.0</v>
      </c>
      <c r="AK737" s="3">
        <v>34.0</v>
      </c>
      <c r="AL737" s="3">
        <v>41.0</v>
      </c>
      <c r="AM737" s="3">
        <v>30.0</v>
      </c>
      <c r="AN737" s="3">
        <v>52.0</v>
      </c>
    </row>
    <row r="738" ht="14.25" customHeight="1">
      <c r="A738" s="3">
        <v>736.0</v>
      </c>
      <c r="B738" s="3" t="s">
        <v>7914</v>
      </c>
      <c r="C738" s="3">
        <v>21.0</v>
      </c>
      <c r="D738" s="3" t="s">
        <v>6645</v>
      </c>
      <c r="E738" s="3" t="s">
        <v>6646</v>
      </c>
      <c r="F738" s="3" t="s">
        <v>6646</v>
      </c>
      <c r="G738" s="3" t="s">
        <v>6645</v>
      </c>
      <c r="H738" s="3" t="s">
        <v>6645</v>
      </c>
      <c r="I738" s="3" t="s">
        <v>6646</v>
      </c>
      <c r="J738" s="3">
        <v>-1.0</v>
      </c>
      <c r="K738" s="3">
        <v>0.0</v>
      </c>
      <c r="L738" s="3">
        <v>0.0</v>
      </c>
      <c r="M738" s="3">
        <v>0.0</v>
      </c>
      <c r="N738" s="3">
        <v>386.539</v>
      </c>
      <c r="O738" s="3">
        <v>76.0</v>
      </c>
      <c r="P738" s="3" t="e">
        <v>#N/A</v>
      </c>
      <c r="Q738" s="3">
        <v>31.0</v>
      </c>
      <c r="R738" s="3">
        <v>30.0</v>
      </c>
      <c r="S738" s="3">
        <v>34.0</v>
      </c>
      <c r="T738" s="3">
        <v>35.0</v>
      </c>
      <c r="U738" s="3">
        <v>36.0</v>
      </c>
      <c r="V738" s="3">
        <v>39.0</v>
      </c>
      <c r="W738" s="3">
        <v>27.0</v>
      </c>
      <c r="X738" s="3">
        <v>38.0</v>
      </c>
      <c r="Y738" s="3">
        <v>32.0</v>
      </c>
      <c r="Z738" s="3">
        <v>27.0</v>
      </c>
      <c r="AA738" s="3">
        <v>36.0</v>
      </c>
      <c r="AB738" s="3">
        <v>38.0</v>
      </c>
      <c r="AC738" s="3">
        <v>36.0</v>
      </c>
      <c r="AD738" s="3">
        <v>33.0</v>
      </c>
      <c r="AE738" s="3">
        <v>42.0</v>
      </c>
      <c r="AF738" s="3">
        <v>30.0</v>
      </c>
      <c r="AG738" s="3">
        <v>36.0</v>
      </c>
      <c r="AH738" s="3">
        <v>49.0</v>
      </c>
      <c r="AI738" s="3">
        <v>72.0</v>
      </c>
      <c r="AJ738" s="3">
        <v>14.0</v>
      </c>
      <c r="AK738" s="3">
        <v>31.0</v>
      </c>
      <c r="AL738" s="3">
        <v>35.0</v>
      </c>
      <c r="AM738" s="3">
        <v>43.0</v>
      </c>
      <c r="AN738" s="3">
        <v>34.0</v>
      </c>
    </row>
    <row r="739" ht="14.25" customHeight="1">
      <c r="A739" s="3">
        <v>737.0</v>
      </c>
      <c r="B739" s="3" t="s">
        <v>7915</v>
      </c>
      <c r="C739" s="3">
        <v>23.0</v>
      </c>
      <c r="D739" s="3" t="s">
        <v>6645</v>
      </c>
      <c r="E739" s="3" t="s">
        <v>6646</v>
      </c>
      <c r="F739" s="3" t="s">
        <v>6646</v>
      </c>
      <c r="G739" s="3" t="s">
        <v>6645</v>
      </c>
      <c r="H739" s="3" t="s">
        <v>6645</v>
      </c>
      <c r="I739" s="3" t="s">
        <v>6645</v>
      </c>
      <c r="J739" s="3">
        <v>-1.0</v>
      </c>
      <c r="K739" s="3">
        <v>0.0</v>
      </c>
      <c r="L739" s="3">
        <v>0.0</v>
      </c>
      <c r="M739" s="3">
        <v>0.0</v>
      </c>
      <c r="N739" s="3">
        <v>532.70483</v>
      </c>
      <c r="O739" s="3">
        <v>85.0</v>
      </c>
      <c r="P739" s="3" t="e">
        <v>#N/A</v>
      </c>
      <c r="Q739" s="3">
        <v>32.0</v>
      </c>
      <c r="R739" s="3">
        <v>37.0</v>
      </c>
      <c r="S739" s="3">
        <v>37.0</v>
      </c>
      <c r="T739" s="3">
        <v>35.0</v>
      </c>
      <c r="U739" s="3">
        <v>32.0</v>
      </c>
      <c r="V739" s="3">
        <v>37.0</v>
      </c>
      <c r="W739" s="3">
        <v>29.0</v>
      </c>
      <c r="X739" s="3">
        <v>44.0</v>
      </c>
      <c r="Y739" s="3">
        <v>35.0</v>
      </c>
      <c r="Z739" s="3">
        <v>32.0</v>
      </c>
      <c r="AA739" s="3">
        <v>42.0</v>
      </c>
      <c r="AB739" s="3">
        <v>28.0</v>
      </c>
      <c r="AC739" s="3">
        <v>33.0</v>
      </c>
      <c r="AD739" s="3">
        <v>34.0</v>
      </c>
      <c r="AE739" s="3">
        <v>44.0</v>
      </c>
      <c r="AF739" s="3">
        <v>55.0</v>
      </c>
      <c r="AG739" s="3">
        <v>53.0</v>
      </c>
      <c r="AH739" s="3">
        <v>62.0</v>
      </c>
      <c r="AI739" s="3">
        <v>15.0</v>
      </c>
      <c r="AJ739" s="3">
        <v>33.0</v>
      </c>
      <c r="AK739" s="3">
        <v>49.0</v>
      </c>
      <c r="AL739" s="3">
        <v>50.0</v>
      </c>
      <c r="AM739" s="3">
        <v>58.0</v>
      </c>
      <c r="AN739" s="3">
        <v>55.0</v>
      </c>
    </row>
    <row r="740" ht="14.25" customHeight="1">
      <c r="A740" s="3">
        <v>738.0</v>
      </c>
      <c r="B740" s="3" t="s">
        <v>7916</v>
      </c>
      <c r="C740" s="3">
        <v>39.0</v>
      </c>
      <c r="D740" s="3" t="s">
        <v>6645</v>
      </c>
      <c r="E740" s="3" t="s">
        <v>6646</v>
      </c>
      <c r="F740" s="3" t="s">
        <v>6646</v>
      </c>
      <c r="G740" s="3" t="s">
        <v>6645</v>
      </c>
      <c r="H740" s="3" t="s">
        <v>6645</v>
      </c>
      <c r="I740" s="3" t="s">
        <v>6645</v>
      </c>
      <c r="J740" s="3">
        <v>-1.0</v>
      </c>
      <c r="K740" s="3">
        <v>4.0</v>
      </c>
      <c r="L740" s="3">
        <v>0.0</v>
      </c>
      <c r="M740" s="3">
        <v>0.0</v>
      </c>
      <c r="N740" s="3">
        <v>10077.987</v>
      </c>
      <c r="O740" s="3">
        <v>1892.0</v>
      </c>
      <c r="P740" s="3" t="e">
        <v>#N/A</v>
      </c>
      <c r="Q740" s="3">
        <v>63.0</v>
      </c>
      <c r="R740" s="3">
        <v>59.0</v>
      </c>
      <c r="S740" s="3">
        <v>57.0</v>
      </c>
      <c r="T740" s="3">
        <v>64.0</v>
      </c>
      <c r="U740" s="3">
        <v>59.0</v>
      </c>
      <c r="V740" s="3">
        <v>59.0</v>
      </c>
      <c r="W740" s="3">
        <v>68.0</v>
      </c>
      <c r="X740" s="3">
        <v>57.0</v>
      </c>
      <c r="Y740" s="3">
        <v>50.0</v>
      </c>
      <c r="Z740" s="3">
        <v>52.0</v>
      </c>
      <c r="AA740" s="3">
        <v>58.0</v>
      </c>
      <c r="AB740" s="3">
        <v>59.0</v>
      </c>
      <c r="AC740" s="3">
        <v>60.0</v>
      </c>
      <c r="AD740" s="3">
        <v>73.0</v>
      </c>
      <c r="AE740" s="3">
        <v>49.0</v>
      </c>
      <c r="AF740" s="3">
        <v>63.0</v>
      </c>
      <c r="AG740" s="3">
        <v>43.0</v>
      </c>
      <c r="AH740" s="3">
        <v>10.0</v>
      </c>
      <c r="AI740" s="3">
        <v>72.0</v>
      </c>
      <c r="AJ740" s="3">
        <v>52.0</v>
      </c>
      <c r="AK740" s="3">
        <v>70.0</v>
      </c>
      <c r="AL740" s="3">
        <v>52.0</v>
      </c>
      <c r="AM740" s="3">
        <v>61.0</v>
      </c>
      <c r="AN740" s="3">
        <v>33.0</v>
      </c>
    </row>
    <row r="741" ht="14.25" customHeight="1">
      <c r="A741" s="3">
        <v>739.0</v>
      </c>
      <c r="B741" s="3" t="s">
        <v>7917</v>
      </c>
      <c r="C741" s="3">
        <v>27.0</v>
      </c>
      <c r="D741" s="3" t="s">
        <v>6645</v>
      </c>
      <c r="E741" s="3" t="s">
        <v>6646</v>
      </c>
      <c r="F741" s="3" t="s">
        <v>6646</v>
      </c>
      <c r="G741" s="3" t="s">
        <v>6645</v>
      </c>
      <c r="H741" s="3" t="s">
        <v>6645</v>
      </c>
      <c r="I741" s="3" t="s">
        <v>6645</v>
      </c>
      <c r="J741" s="3">
        <v>-1.0</v>
      </c>
      <c r="K741" s="3">
        <v>2.0</v>
      </c>
      <c r="L741" s="3">
        <v>0.0</v>
      </c>
      <c r="M741" s="3">
        <v>0.0</v>
      </c>
      <c r="N741" s="3">
        <v>3232.9072</v>
      </c>
      <c r="O741" s="3">
        <v>364.0</v>
      </c>
      <c r="P741" s="3" t="e">
        <v>#N/A</v>
      </c>
      <c r="Q741" s="3">
        <v>48.0</v>
      </c>
      <c r="R741" s="3">
        <v>49.0</v>
      </c>
      <c r="S741" s="3">
        <v>48.0</v>
      </c>
      <c r="T741" s="3">
        <v>49.0</v>
      </c>
      <c r="U741" s="3">
        <v>45.0</v>
      </c>
      <c r="V741" s="3">
        <v>43.0</v>
      </c>
      <c r="W741" s="3">
        <v>34.0</v>
      </c>
      <c r="X741" s="3">
        <v>40.0</v>
      </c>
      <c r="Y741" s="3">
        <v>53.0</v>
      </c>
      <c r="Z741" s="3">
        <v>49.0</v>
      </c>
      <c r="AA741" s="3">
        <v>40.0</v>
      </c>
      <c r="AB741" s="3">
        <v>40.0</v>
      </c>
      <c r="AC741" s="3">
        <v>45.0</v>
      </c>
      <c r="AD741" s="3">
        <v>57.0</v>
      </c>
      <c r="AE741" s="3">
        <v>42.0</v>
      </c>
      <c r="AF741" s="3">
        <v>31.0</v>
      </c>
      <c r="AG741" s="3">
        <v>77.0</v>
      </c>
      <c r="AH741" s="3">
        <v>42.0</v>
      </c>
      <c r="AI741" s="3">
        <v>18.0</v>
      </c>
      <c r="AJ741" s="3">
        <v>49.0</v>
      </c>
      <c r="AK741" s="3">
        <v>76.0</v>
      </c>
      <c r="AL741" s="3">
        <v>34.0</v>
      </c>
      <c r="AM741" s="3">
        <v>47.0</v>
      </c>
      <c r="AN741" s="3">
        <v>63.0</v>
      </c>
    </row>
    <row r="742" ht="14.25" customHeight="1">
      <c r="A742" s="3">
        <v>740.0</v>
      </c>
      <c r="B742" s="3" t="s">
        <v>7918</v>
      </c>
      <c r="C742" s="3">
        <v>27.0</v>
      </c>
      <c r="D742" s="3" t="s">
        <v>6645</v>
      </c>
      <c r="E742" s="3" t="s">
        <v>6646</v>
      </c>
      <c r="F742" s="3" t="s">
        <v>6646</v>
      </c>
      <c r="G742" s="3" t="s">
        <v>6645</v>
      </c>
      <c r="H742" s="3" t="s">
        <v>6645</v>
      </c>
      <c r="I742" s="3" t="s">
        <v>6645</v>
      </c>
      <c r="J742" s="3">
        <v>-1.0</v>
      </c>
      <c r="K742" s="3">
        <v>1.0</v>
      </c>
      <c r="L742" s="3">
        <v>0.0</v>
      </c>
      <c r="M742" s="3">
        <v>0.0</v>
      </c>
      <c r="N742" s="3">
        <v>1206.2351</v>
      </c>
      <c r="O742" s="3">
        <v>214.0</v>
      </c>
      <c r="P742" s="3" t="e">
        <v>#N/A</v>
      </c>
      <c r="Q742" s="3">
        <v>43.0</v>
      </c>
      <c r="R742" s="3">
        <v>42.0</v>
      </c>
      <c r="S742" s="3">
        <v>37.0</v>
      </c>
      <c r="T742" s="3">
        <v>40.0</v>
      </c>
      <c r="U742" s="3">
        <v>44.0</v>
      </c>
      <c r="V742" s="3">
        <v>41.0</v>
      </c>
      <c r="W742" s="3">
        <v>47.0</v>
      </c>
      <c r="X742" s="3">
        <v>28.0</v>
      </c>
      <c r="Y742" s="3">
        <v>51.0</v>
      </c>
      <c r="Z742" s="3">
        <v>42.0</v>
      </c>
      <c r="AA742" s="3">
        <v>47.0</v>
      </c>
      <c r="AB742" s="3">
        <v>31.0</v>
      </c>
      <c r="AC742" s="3">
        <v>30.0</v>
      </c>
      <c r="AD742" s="3">
        <v>37.0</v>
      </c>
      <c r="AE742" s="3">
        <v>32.0</v>
      </c>
      <c r="AF742" s="3">
        <v>52.0</v>
      </c>
      <c r="AG742" s="3">
        <v>41.0</v>
      </c>
      <c r="AH742" s="3">
        <v>29.0</v>
      </c>
      <c r="AI742" s="3">
        <v>32.0</v>
      </c>
      <c r="AJ742" s="3">
        <v>19.0</v>
      </c>
      <c r="AK742" s="3">
        <v>67.0</v>
      </c>
      <c r="AL742" s="3">
        <v>38.0</v>
      </c>
      <c r="AM742" s="3">
        <v>79.0</v>
      </c>
      <c r="AN742" s="3">
        <v>52.0</v>
      </c>
    </row>
    <row r="743" ht="14.25" customHeight="1">
      <c r="A743" s="3">
        <v>741.0</v>
      </c>
      <c r="B743" s="3" t="s">
        <v>7919</v>
      </c>
      <c r="C743" s="3">
        <v>22.0</v>
      </c>
      <c r="D743" s="3" t="s">
        <v>6645</v>
      </c>
      <c r="E743" s="3" t="s">
        <v>6646</v>
      </c>
      <c r="F743" s="3" t="s">
        <v>6646</v>
      </c>
      <c r="G743" s="3" t="s">
        <v>6645</v>
      </c>
      <c r="H743" s="3" t="s">
        <v>6645</v>
      </c>
      <c r="I743" s="3" t="s">
        <v>6646</v>
      </c>
      <c r="J743" s="3">
        <v>-1.0</v>
      </c>
      <c r="K743" s="3">
        <v>0.0</v>
      </c>
      <c r="L743" s="3">
        <v>0.0</v>
      </c>
      <c r="M743" s="3">
        <v>0.0</v>
      </c>
      <c r="N743" s="3">
        <v>460.6126</v>
      </c>
      <c r="O743" s="3">
        <v>80.0</v>
      </c>
      <c r="P743" s="3" t="e">
        <v>#N/A</v>
      </c>
      <c r="Q743" s="3">
        <v>38.0</v>
      </c>
      <c r="R743" s="3">
        <v>37.0</v>
      </c>
      <c r="S743" s="3">
        <v>39.0</v>
      </c>
      <c r="T743" s="3">
        <v>36.0</v>
      </c>
      <c r="U743" s="3">
        <v>34.0</v>
      </c>
      <c r="V743" s="3">
        <v>32.0</v>
      </c>
      <c r="W743" s="3">
        <v>30.0</v>
      </c>
      <c r="X743" s="3">
        <v>23.0</v>
      </c>
      <c r="Y743" s="3">
        <v>44.0</v>
      </c>
      <c r="Z743" s="3">
        <v>22.0</v>
      </c>
      <c r="AA743" s="3">
        <v>31.0</v>
      </c>
      <c r="AB743" s="3">
        <v>48.0</v>
      </c>
      <c r="AC743" s="3">
        <v>36.0</v>
      </c>
      <c r="AD743" s="3">
        <v>25.0</v>
      </c>
      <c r="AE743" s="3">
        <v>37.0</v>
      </c>
      <c r="AF743" s="3">
        <v>31.0</v>
      </c>
      <c r="AG743" s="3">
        <v>56.0</v>
      </c>
      <c r="AH743" s="3">
        <v>37.0</v>
      </c>
      <c r="AI743" s="3">
        <v>48.0</v>
      </c>
      <c r="AJ743" s="3">
        <v>76.0</v>
      </c>
      <c r="AK743" s="3">
        <v>34.0</v>
      </c>
      <c r="AL743" s="3">
        <v>54.0</v>
      </c>
      <c r="AM743" s="3">
        <v>50.0</v>
      </c>
      <c r="AN743" s="3">
        <v>50.0</v>
      </c>
    </row>
    <row r="744" ht="14.25" customHeight="1">
      <c r="A744" s="3">
        <v>742.0</v>
      </c>
      <c r="B744" s="3" t="s">
        <v>7920</v>
      </c>
      <c r="C744" s="3">
        <v>34.0</v>
      </c>
      <c r="D744" s="3" t="s">
        <v>6645</v>
      </c>
      <c r="E744" s="3" t="s">
        <v>6646</v>
      </c>
      <c r="F744" s="3" t="s">
        <v>6646</v>
      </c>
      <c r="G744" s="3" t="s">
        <v>6645</v>
      </c>
      <c r="H744" s="3" t="s">
        <v>6645</v>
      </c>
      <c r="I744" s="3" t="s">
        <v>6646</v>
      </c>
      <c r="J744" s="3">
        <v>-1.0</v>
      </c>
      <c r="K744" s="3">
        <v>2.0</v>
      </c>
      <c r="L744" s="3">
        <v>0.0</v>
      </c>
      <c r="M744" s="3">
        <v>0.0</v>
      </c>
      <c r="N744" s="3">
        <v>2505.1491</v>
      </c>
      <c r="O744" s="3">
        <v>363.0</v>
      </c>
      <c r="P744" s="3" t="e">
        <v>#N/A</v>
      </c>
      <c r="Q744" s="3">
        <v>46.0</v>
      </c>
      <c r="R744" s="3">
        <v>44.0</v>
      </c>
      <c r="S744" s="3">
        <v>40.0</v>
      </c>
      <c r="T744" s="3">
        <v>42.0</v>
      </c>
      <c r="U744" s="3">
        <v>46.0</v>
      </c>
      <c r="V744" s="3">
        <v>40.0</v>
      </c>
      <c r="W744" s="3">
        <v>54.0</v>
      </c>
      <c r="X744" s="3">
        <v>45.0</v>
      </c>
      <c r="Y744" s="3">
        <v>37.0</v>
      </c>
      <c r="Z744" s="3">
        <v>46.0</v>
      </c>
      <c r="AA744" s="3">
        <v>35.0</v>
      </c>
      <c r="AB744" s="3">
        <v>47.0</v>
      </c>
      <c r="AC744" s="3">
        <v>44.0</v>
      </c>
      <c r="AD744" s="3">
        <v>57.0</v>
      </c>
      <c r="AE744" s="3">
        <v>48.0</v>
      </c>
      <c r="AF744" s="3">
        <v>39.0</v>
      </c>
      <c r="AG744" s="3">
        <v>25.0</v>
      </c>
      <c r="AH744" s="3">
        <v>63.0</v>
      </c>
      <c r="AI744" s="3">
        <v>81.0</v>
      </c>
      <c r="AJ744" s="3">
        <v>37.0</v>
      </c>
      <c r="AK744" s="3">
        <v>59.0</v>
      </c>
      <c r="AL744" s="3">
        <v>62.0</v>
      </c>
      <c r="AM744" s="3">
        <v>73.0</v>
      </c>
      <c r="AN744" s="3">
        <v>56.0</v>
      </c>
    </row>
    <row r="745" ht="14.25" customHeight="1">
      <c r="A745" s="3">
        <v>743.0</v>
      </c>
      <c r="B745" s="3" t="s">
        <v>7921</v>
      </c>
      <c r="C745" s="3">
        <v>20.0</v>
      </c>
      <c r="D745" s="3" t="s">
        <v>6645</v>
      </c>
      <c r="E745" s="3" t="s">
        <v>6646</v>
      </c>
      <c r="F745" s="3" t="s">
        <v>6646</v>
      </c>
      <c r="G745" s="3" t="s">
        <v>6645</v>
      </c>
      <c r="H745" s="3" t="s">
        <v>6645</v>
      </c>
      <c r="I745" s="3" t="s">
        <v>6645</v>
      </c>
      <c r="J745" s="3">
        <v>-1.0</v>
      </c>
      <c r="K745" s="3">
        <v>0.0</v>
      </c>
      <c r="L745" s="3">
        <v>0.0</v>
      </c>
      <c r="M745" s="3">
        <v>0.0</v>
      </c>
      <c r="N745" s="3">
        <v>441.53668</v>
      </c>
      <c r="O745" s="3">
        <v>76.0</v>
      </c>
      <c r="P745" s="3" t="e">
        <v>#N/A</v>
      </c>
      <c r="Q745" s="3">
        <v>32.0</v>
      </c>
      <c r="R745" s="3">
        <v>30.0</v>
      </c>
      <c r="S745" s="3">
        <v>37.0</v>
      </c>
      <c r="T745" s="3">
        <v>30.0</v>
      </c>
      <c r="U745" s="3">
        <v>31.0</v>
      </c>
      <c r="V745" s="3">
        <v>35.0</v>
      </c>
      <c r="W745" s="3">
        <v>43.0</v>
      </c>
      <c r="X745" s="3">
        <v>34.0</v>
      </c>
      <c r="Y745" s="3">
        <v>31.0</v>
      </c>
      <c r="Z745" s="3">
        <v>30.0</v>
      </c>
      <c r="AA745" s="3">
        <v>25.0</v>
      </c>
      <c r="AB745" s="3">
        <v>41.0</v>
      </c>
      <c r="AC745" s="3">
        <v>28.0</v>
      </c>
      <c r="AD745" s="3">
        <v>26.0</v>
      </c>
      <c r="AE745" s="3">
        <v>37.0</v>
      </c>
      <c r="AF745" s="3">
        <v>39.0</v>
      </c>
      <c r="AG745" s="3">
        <v>36.0</v>
      </c>
      <c r="AH745" s="3">
        <v>36.0</v>
      </c>
      <c r="AI745" s="3">
        <v>35.0</v>
      </c>
      <c r="AJ745" s="3">
        <v>32.0</v>
      </c>
      <c r="AK745" s="3">
        <v>45.0</v>
      </c>
      <c r="AL745" s="3">
        <v>59.0</v>
      </c>
      <c r="AM745" s="3">
        <v>30.0</v>
      </c>
      <c r="AN745" s="3">
        <v>52.0</v>
      </c>
    </row>
    <row r="746" ht="14.25" customHeight="1">
      <c r="A746" s="3">
        <v>744.0</v>
      </c>
      <c r="B746" s="3" t="s">
        <v>7922</v>
      </c>
      <c r="C746" s="3">
        <v>31.0</v>
      </c>
      <c r="D746" s="3" t="s">
        <v>6645</v>
      </c>
      <c r="E746" s="3" t="s">
        <v>6646</v>
      </c>
      <c r="F746" s="3" t="s">
        <v>6646</v>
      </c>
      <c r="G746" s="3" t="s">
        <v>6645</v>
      </c>
      <c r="H746" s="3" t="s">
        <v>6645</v>
      </c>
      <c r="I746" s="3" t="s">
        <v>6645</v>
      </c>
      <c r="J746" s="3">
        <v>-1.0</v>
      </c>
      <c r="K746" s="3">
        <v>3.0</v>
      </c>
      <c r="L746" s="3">
        <v>0.0</v>
      </c>
      <c r="M746" s="3">
        <v>0.0</v>
      </c>
      <c r="N746" s="3">
        <v>4762.72</v>
      </c>
      <c r="O746" s="3">
        <v>639.0</v>
      </c>
      <c r="P746" s="3" t="e">
        <v>#N/A</v>
      </c>
      <c r="Q746" s="3">
        <v>52.0</v>
      </c>
      <c r="R746" s="3">
        <v>51.0</v>
      </c>
      <c r="S746" s="3">
        <v>47.0</v>
      </c>
      <c r="T746" s="3">
        <v>56.0</v>
      </c>
      <c r="U746" s="3">
        <v>47.0</v>
      </c>
      <c r="V746" s="3">
        <v>54.0</v>
      </c>
      <c r="W746" s="3">
        <v>45.0</v>
      </c>
      <c r="X746" s="3">
        <v>45.0</v>
      </c>
      <c r="Y746" s="3">
        <v>54.0</v>
      </c>
      <c r="Z746" s="3">
        <v>53.0</v>
      </c>
      <c r="AA746" s="3">
        <v>44.0</v>
      </c>
      <c r="AB746" s="3">
        <v>46.0</v>
      </c>
      <c r="AC746" s="3">
        <v>47.0</v>
      </c>
      <c r="AD746" s="3">
        <v>53.0</v>
      </c>
      <c r="AE746" s="3">
        <v>54.0</v>
      </c>
      <c r="AF746" s="3">
        <v>22.0</v>
      </c>
      <c r="AG746" s="3">
        <v>52.0</v>
      </c>
      <c r="AH746" s="3">
        <v>51.0</v>
      </c>
      <c r="AI746" s="3">
        <v>65.0</v>
      </c>
      <c r="AJ746" s="3">
        <v>75.0</v>
      </c>
      <c r="AK746" s="3">
        <v>80.0</v>
      </c>
      <c r="AL746" s="3">
        <v>45.0</v>
      </c>
      <c r="AM746" s="3">
        <v>35.0</v>
      </c>
      <c r="AN746" s="3">
        <v>49.0</v>
      </c>
    </row>
    <row r="747" ht="14.25" customHeight="1">
      <c r="A747" s="3">
        <v>745.0</v>
      </c>
      <c r="B747" s="3" t="s">
        <v>7923</v>
      </c>
      <c r="C747" s="3">
        <v>20.0</v>
      </c>
      <c r="D747" s="3" t="s">
        <v>6645</v>
      </c>
      <c r="E747" s="3" t="s">
        <v>6646</v>
      </c>
      <c r="F747" s="3" t="s">
        <v>6646</v>
      </c>
      <c r="G747" s="3" t="s">
        <v>6645</v>
      </c>
      <c r="H747" s="3" t="s">
        <v>6645</v>
      </c>
      <c r="I747" s="3" t="s">
        <v>6645</v>
      </c>
      <c r="J747" s="3">
        <v>-1.0</v>
      </c>
      <c r="K747" s="3">
        <v>0.0</v>
      </c>
      <c r="L747" s="3">
        <v>0.0</v>
      </c>
      <c r="M747" s="3">
        <v>0.0</v>
      </c>
      <c r="N747" s="3">
        <v>418.83447</v>
      </c>
      <c r="O747" s="3">
        <v>83.0</v>
      </c>
      <c r="P747" s="3" t="e">
        <v>#N/A</v>
      </c>
      <c r="Q747" s="3">
        <v>32.0</v>
      </c>
      <c r="R747" s="3">
        <v>39.0</v>
      </c>
      <c r="S747" s="3">
        <v>34.0</v>
      </c>
      <c r="T747" s="3">
        <v>30.0</v>
      </c>
      <c r="U747" s="3">
        <v>39.0</v>
      </c>
      <c r="V747" s="3">
        <v>36.0</v>
      </c>
      <c r="W747" s="3">
        <v>45.0</v>
      </c>
      <c r="X747" s="3">
        <v>23.0</v>
      </c>
      <c r="Y747" s="3">
        <v>38.0</v>
      </c>
      <c r="Z747" s="3">
        <v>21.0</v>
      </c>
      <c r="AA747" s="3">
        <v>32.0</v>
      </c>
      <c r="AB747" s="3">
        <v>43.0</v>
      </c>
      <c r="AC747" s="3">
        <v>36.0</v>
      </c>
      <c r="AD747" s="3">
        <v>29.0</v>
      </c>
      <c r="AE747" s="3">
        <v>42.0</v>
      </c>
      <c r="AF747" s="3">
        <v>32.0</v>
      </c>
      <c r="AG747" s="3">
        <v>45.0</v>
      </c>
      <c r="AH747" s="3">
        <v>28.0</v>
      </c>
      <c r="AI747" s="3">
        <v>32.0</v>
      </c>
      <c r="AJ747" s="3">
        <v>73.0</v>
      </c>
      <c r="AK747" s="3">
        <v>43.0</v>
      </c>
      <c r="AL747" s="3">
        <v>38.0</v>
      </c>
      <c r="AM747" s="3">
        <v>45.0</v>
      </c>
      <c r="AN747" s="3">
        <v>30.0</v>
      </c>
    </row>
    <row r="748" ht="14.25" customHeight="1">
      <c r="A748" s="3">
        <v>746.0</v>
      </c>
      <c r="B748" s="3" t="s">
        <v>7924</v>
      </c>
      <c r="C748" s="3">
        <v>20.0</v>
      </c>
      <c r="D748" s="3" t="s">
        <v>6645</v>
      </c>
      <c r="E748" s="3" t="s">
        <v>6646</v>
      </c>
      <c r="F748" s="3" t="s">
        <v>6646</v>
      </c>
      <c r="G748" s="3" t="s">
        <v>6645</v>
      </c>
      <c r="H748" s="3" t="s">
        <v>6645</v>
      </c>
      <c r="I748" s="3" t="s">
        <v>6646</v>
      </c>
      <c r="J748" s="3">
        <v>-1.0</v>
      </c>
      <c r="K748" s="3">
        <v>0.0</v>
      </c>
      <c r="L748" s="3">
        <v>0.0</v>
      </c>
      <c r="M748" s="3">
        <v>0.0</v>
      </c>
      <c r="N748" s="3">
        <v>394.5854</v>
      </c>
      <c r="O748" s="3">
        <v>116.0</v>
      </c>
      <c r="P748" s="3" t="e">
        <v>#N/A</v>
      </c>
      <c r="Q748" s="3">
        <v>38.0</v>
      </c>
      <c r="R748" s="3">
        <v>37.0</v>
      </c>
      <c r="S748" s="3">
        <v>36.0</v>
      </c>
      <c r="T748" s="3">
        <v>30.0</v>
      </c>
      <c r="U748" s="3">
        <v>39.0</v>
      </c>
      <c r="V748" s="3">
        <v>36.0</v>
      </c>
      <c r="W748" s="3">
        <v>38.0</v>
      </c>
      <c r="X748" s="3">
        <v>33.0</v>
      </c>
      <c r="Y748" s="3">
        <v>30.0</v>
      </c>
      <c r="Z748" s="3">
        <v>28.0</v>
      </c>
      <c r="AA748" s="3">
        <v>46.0</v>
      </c>
      <c r="AB748" s="3">
        <v>30.0</v>
      </c>
      <c r="AC748" s="3">
        <v>24.0</v>
      </c>
      <c r="AD748" s="3">
        <v>39.0</v>
      </c>
      <c r="AE748" s="3">
        <v>30.0</v>
      </c>
      <c r="AF748" s="3">
        <v>59.0</v>
      </c>
      <c r="AG748" s="3">
        <v>54.0</v>
      </c>
      <c r="AH748" s="3">
        <v>69.0</v>
      </c>
      <c r="AI748" s="3">
        <v>36.0</v>
      </c>
      <c r="AJ748" s="3">
        <v>45.0</v>
      </c>
      <c r="AK748" s="3">
        <v>16.0</v>
      </c>
      <c r="AL748" s="3">
        <v>50.0</v>
      </c>
      <c r="AM748" s="3">
        <v>33.0</v>
      </c>
      <c r="AN748" s="3">
        <v>33.0</v>
      </c>
    </row>
    <row r="749" ht="14.25" customHeight="1">
      <c r="A749" s="3">
        <v>747.0</v>
      </c>
      <c r="B749" s="3" t="s">
        <v>7925</v>
      </c>
      <c r="C749" s="3">
        <v>33.0</v>
      </c>
      <c r="D749" s="3" t="s">
        <v>6645</v>
      </c>
      <c r="E749" s="3" t="s">
        <v>6646</v>
      </c>
      <c r="F749" s="3" t="s">
        <v>6646</v>
      </c>
      <c r="G749" s="3" t="s">
        <v>6645</v>
      </c>
      <c r="H749" s="3" t="s">
        <v>6645</v>
      </c>
      <c r="I749" s="3" t="s">
        <v>6645</v>
      </c>
      <c r="J749" s="3">
        <v>-1.0</v>
      </c>
      <c r="K749" s="3">
        <v>2.0</v>
      </c>
      <c r="L749" s="3">
        <v>0.0</v>
      </c>
      <c r="M749" s="3">
        <v>0.0</v>
      </c>
      <c r="N749" s="3">
        <v>2471.4433</v>
      </c>
      <c r="O749" s="3">
        <v>486.0</v>
      </c>
      <c r="P749" s="3" t="e">
        <v>#N/A</v>
      </c>
      <c r="Q749" s="3">
        <v>40.0</v>
      </c>
      <c r="R749" s="3">
        <v>48.0</v>
      </c>
      <c r="S749" s="3">
        <v>40.0</v>
      </c>
      <c r="T749" s="3">
        <v>45.0</v>
      </c>
      <c r="U749" s="3">
        <v>44.0</v>
      </c>
      <c r="V749" s="3">
        <v>46.0</v>
      </c>
      <c r="W749" s="3">
        <v>51.0</v>
      </c>
      <c r="X749" s="3">
        <v>46.0</v>
      </c>
      <c r="Y749" s="3">
        <v>37.0</v>
      </c>
      <c r="Z749" s="3">
        <v>51.0</v>
      </c>
      <c r="AA749" s="3">
        <v>49.0</v>
      </c>
      <c r="AB749" s="3">
        <v>47.0</v>
      </c>
      <c r="AC749" s="3">
        <v>40.0</v>
      </c>
      <c r="AD749" s="3">
        <v>35.0</v>
      </c>
      <c r="AE749" s="3">
        <v>46.0</v>
      </c>
      <c r="AF749" s="3">
        <v>24.0</v>
      </c>
      <c r="AG749" s="3">
        <v>78.0</v>
      </c>
      <c r="AH749" s="3">
        <v>54.0</v>
      </c>
      <c r="AI749" s="3">
        <v>64.0</v>
      </c>
      <c r="AJ749" s="3">
        <v>25.0</v>
      </c>
      <c r="AK749" s="3">
        <v>54.0</v>
      </c>
      <c r="AL749" s="3">
        <v>53.0</v>
      </c>
      <c r="AM749" s="3">
        <v>57.0</v>
      </c>
      <c r="AN749" s="3">
        <v>43.0</v>
      </c>
    </row>
    <row r="750" ht="14.25" customHeight="1">
      <c r="A750" s="3">
        <v>748.0</v>
      </c>
      <c r="B750" s="3" t="s">
        <v>7926</v>
      </c>
      <c r="C750" s="3">
        <v>21.0</v>
      </c>
      <c r="D750" s="3" t="s">
        <v>6645</v>
      </c>
      <c r="E750" s="3" t="s">
        <v>6646</v>
      </c>
      <c r="F750" s="3" t="s">
        <v>6646</v>
      </c>
      <c r="G750" s="3" t="s">
        <v>6645</v>
      </c>
      <c r="H750" s="3" t="s">
        <v>6645</v>
      </c>
      <c r="I750" s="3" t="s">
        <v>6645</v>
      </c>
      <c r="J750" s="3">
        <v>-1.0</v>
      </c>
      <c r="K750" s="3">
        <v>0.0</v>
      </c>
      <c r="L750" s="3">
        <v>0.0</v>
      </c>
      <c r="M750" s="3">
        <v>0.0</v>
      </c>
      <c r="N750" s="3">
        <v>556.186</v>
      </c>
      <c r="O750" s="3">
        <v>104.0</v>
      </c>
      <c r="P750" s="3" t="e">
        <v>#N/A</v>
      </c>
      <c r="Q750" s="3">
        <v>38.0</v>
      </c>
      <c r="R750" s="3">
        <v>38.0</v>
      </c>
      <c r="S750" s="3">
        <v>36.0</v>
      </c>
      <c r="T750" s="3">
        <v>37.0</v>
      </c>
      <c r="U750" s="3">
        <v>32.0</v>
      </c>
      <c r="V750" s="3">
        <v>36.0</v>
      </c>
      <c r="W750" s="3">
        <v>36.0</v>
      </c>
      <c r="X750" s="3">
        <v>20.0</v>
      </c>
      <c r="Y750" s="3">
        <v>44.0</v>
      </c>
      <c r="Z750" s="3">
        <v>21.0</v>
      </c>
      <c r="AA750" s="3">
        <v>42.0</v>
      </c>
      <c r="AB750" s="3">
        <v>33.0</v>
      </c>
      <c r="AC750" s="3">
        <v>28.0</v>
      </c>
      <c r="AD750" s="3">
        <v>42.0</v>
      </c>
      <c r="AE750" s="3">
        <v>30.0</v>
      </c>
      <c r="AF750" s="3">
        <v>71.0</v>
      </c>
      <c r="AG750" s="3">
        <v>30.0</v>
      </c>
      <c r="AH750" s="3">
        <v>41.0</v>
      </c>
      <c r="AI750" s="3">
        <v>50.0</v>
      </c>
      <c r="AJ750" s="3">
        <v>56.0</v>
      </c>
      <c r="AK750" s="3">
        <v>0.0</v>
      </c>
      <c r="AL750" s="3">
        <v>67.0</v>
      </c>
      <c r="AM750" s="3">
        <v>59.0</v>
      </c>
      <c r="AN750" s="3">
        <v>44.0</v>
      </c>
    </row>
    <row r="751" ht="14.25" customHeight="1">
      <c r="A751" s="3">
        <v>749.0</v>
      </c>
      <c r="B751" s="3" t="s">
        <v>7927</v>
      </c>
      <c r="C751" s="3">
        <v>36.0</v>
      </c>
      <c r="D751" s="3" t="s">
        <v>6645</v>
      </c>
      <c r="E751" s="3" t="s">
        <v>6646</v>
      </c>
      <c r="F751" s="3" t="s">
        <v>6646</v>
      </c>
      <c r="G751" s="3" t="s">
        <v>6645</v>
      </c>
      <c r="H751" s="3" t="s">
        <v>6645</v>
      </c>
      <c r="I751" s="3" t="s">
        <v>6645</v>
      </c>
      <c r="J751" s="3">
        <v>-1.0</v>
      </c>
      <c r="K751" s="3">
        <v>4.0</v>
      </c>
      <c r="L751" s="3">
        <v>0.0</v>
      </c>
      <c r="M751" s="3">
        <v>0.0</v>
      </c>
      <c r="N751" s="3">
        <v>8786.25</v>
      </c>
      <c r="O751" s="3">
        <v>1464.0</v>
      </c>
      <c r="P751" s="3" t="e">
        <v>#N/A</v>
      </c>
      <c r="Q751" s="3">
        <v>67.0</v>
      </c>
      <c r="R751" s="3">
        <v>64.0</v>
      </c>
      <c r="S751" s="3">
        <v>54.0</v>
      </c>
      <c r="T751" s="3">
        <v>57.0</v>
      </c>
      <c r="U751" s="3">
        <v>56.0</v>
      </c>
      <c r="V751" s="3">
        <v>54.0</v>
      </c>
      <c r="W751" s="3">
        <v>56.0</v>
      </c>
      <c r="X751" s="3">
        <v>53.0</v>
      </c>
      <c r="Y751" s="3">
        <v>72.0</v>
      </c>
      <c r="Z751" s="3">
        <v>52.0</v>
      </c>
      <c r="AA751" s="3">
        <v>79.0</v>
      </c>
      <c r="AB751" s="3">
        <v>76.0</v>
      </c>
      <c r="AC751" s="3">
        <v>48.0</v>
      </c>
      <c r="AD751" s="3">
        <v>53.0</v>
      </c>
      <c r="AE751" s="3">
        <v>55.0</v>
      </c>
      <c r="AF751" s="3">
        <v>61.0</v>
      </c>
      <c r="AG751" s="3">
        <v>60.0</v>
      </c>
      <c r="AH751" s="3">
        <v>38.0</v>
      </c>
      <c r="AI751" s="3">
        <v>56.0</v>
      </c>
      <c r="AJ751" s="3">
        <v>85.0</v>
      </c>
      <c r="AK751" s="3">
        <v>30.0</v>
      </c>
      <c r="AL751" s="3">
        <v>80.0</v>
      </c>
      <c r="AM751" s="3">
        <v>20.0</v>
      </c>
      <c r="AN751" s="3">
        <v>51.0</v>
      </c>
    </row>
    <row r="752" ht="14.25" customHeight="1">
      <c r="A752" s="3">
        <v>750.0</v>
      </c>
      <c r="B752" s="3" t="s">
        <v>7928</v>
      </c>
      <c r="C752" s="3">
        <v>28.0</v>
      </c>
      <c r="D752" s="3" t="s">
        <v>6645</v>
      </c>
      <c r="E752" s="3" t="s">
        <v>6646</v>
      </c>
      <c r="F752" s="3" t="s">
        <v>6646</v>
      </c>
      <c r="G752" s="3" t="s">
        <v>6645</v>
      </c>
      <c r="H752" s="3" t="s">
        <v>6645</v>
      </c>
      <c r="I752" s="3" t="s">
        <v>6645</v>
      </c>
      <c r="J752" s="3">
        <v>-1.0</v>
      </c>
      <c r="K752" s="3">
        <v>1.0</v>
      </c>
      <c r="L752" s="3">
        <v>0.0</v>
      </c>
      <c r="M752" s="3">
        <v>0.0</v>
      </c>
      <c r="N752" s="3">
        <v>1393.7851</v>
      </c>
      <c r="O752" s="3">
        <v>177.0</v>
      </c>
      <c r="P752" s="3" t="e">
        <v>#N/A</v>
      </c>
      <c r="Q752" s="3">
        <v>40.0</v>
      </c>
      <c r="R752" s="3">
        <v>36.0</v>
      </c>
      <c r="S752" s="3">
        <v>38.0</v>
      </c>
      <c r="T752" s="3">
        <v>40.0</v>
      </c>
      <c r="U752" s="3">
        <v>37.0</v>
      </c>
      <c r="V752" s="3">
        <v>42.0</v>
      </c>
      <c r="W752" s="3">
        <v>47.0</v>
      </c>
      <c r="X752" s="3">
        <v>36.0</v>
      </c>
      <c r="Y752" s="3">
        <v>39.0</v>
      </c>
      <c r="Z752" s="3">
        <v>48.0</v>
      </c>
      <c r="AA752" s="3">
        <v>30.0</v>
      </c>
      <c r="AB752" s="3">
        <v>43.0</v>
      </c>
      <c r="AC752" s="3">
        <v>36.0</v>
      </c>
      <c r="AD752" s="3">
        <v>32.0</v>
      </c>
      <c r="AE752" s="3">
        <v>47.0</v>
      </c>
      <c r="AF752" s="3">
        <v>69.0</v>
      </c>
      <c r="AG752" s="3">
        <v>54.0</v>
      </c>
      <c r="AH752" s="3">
        <v>43.0</v>
      </c>
      <c r="AI752" s="3">
        <v>50.0</v>
      </c>
      <c r="AJ752" s="3">
        <v>40.0</v>
      </c>
      <c r="AK752" s="3">
        <v>28.0</v>
      </c>
      <c r="AL752" s="3">
        <v>15.0</v>
      </c>
      <c r="AM752" s="3">
        <v>75.0</v>
      </c>
      <c r="AN752" s="3">
        <v>42.0</v>
      </c>
    </row>
    <row r="753" ht="14.25" customHeight="1">
      <c r="A753" s="3">
        <v>751.0</v>
      </c>
      <c r="B753" s="3" t="s">
        <v>7929</v>
      </c>
      <c r="C753" s="3">
        <v>43.0</v>
      </c>
      <c r="D753" s="3" t="s">
        <v>6645</v>
      </c>
      <c r="E753" s="3" t="s">
        <v>6646</v>
      </c>
      <c r="F753" s="3" t="s">
        <v>6646</v>
      </c>
      <c r="G753" s="3" t="s">
        <v>6645</v>
      </c>
      <c r="H753" s="3" t="s">
        <v>6645</v>
      </c>
      <c r="I753" s="3" t="s">
        <v>6646</v>
      </c>
      <c r="J753" s="3">
        <v>-1.0</v>
      </c>
      <c r="K753" s="3">
        <v>4.0</v>
      </c>
      <c r="L753" s="3">
        <v>0.0</v>
      </c>
      <c r="M753" s="3">
        <v>0.0</v>
      </c>
      <c r="N753" s="3">
        <v>9448.93</v>
      </c>
      <c r="O753" s="3">
        <v>1498.0</v>
      </c>
      <c r="P753" s="3" t="e">
        <v>#N/A</v>
      </c>
      <c r="Q753" s="3">
        <v>56.0</v>
      </c>
      <c r="R753" s="3">
        <v>53.0</v>
      </c>
      <c r="S753" s="3">
        <v>61.0</v>
      </c>
      <c r="T753" s="3">
        <v>60.0</v>
      </c>
      <c r="U753" s="3">
        <v>57.0</v>
      </c>
      <c r="V753" s="3">
        <v>56.0</v>
      </c>
      <c r="W753" s="3">
        <v>50.0</v>
      </c>
      <c r="X753" s="3">
        <v>69.0</v>
      </c>
      <c r="Y753" s="3">
        <v>53.0</v>
      </c>
      <c r="Z753" s="3">
        <v>59.0</v>
      </c>
      <c r="AA753" s="3">
        <v>57.0</v>
      </c>
      <c r="AB753" s="3">
        <v>65.0</v>
      </c>
      <c r="AC753" s="3">
        <v>52.0</v>
      </c>
      <c r="AD753" s="3">
        <v>65.0</v>
      </c>
      <c r="AE753" s="3">
        <v>53.0</v>
      </c>
      <c r="AF753" s="3">
        <v>46.0</v>
      </c>
      <c r="AG753" s="3">
        <v>55.0</v>
      </c>
      <c r="AH753" s="3">
        <v>60.0</v>
      </c>
      <c r="AI753" s="3">
        <v>42.0</v>
      </c>
      <c r="AJ753" s="3">
        <v>44.0</v>
      </c>
      <c r="AK753" s="3">
        <v>43.0</v>
      </c>
      <c r="AL753" s="3">
        <v>75.0</v>
      </c>
      <c r="AM753" s="3">
        <v>58.0</v>
      </c>
      <c r="AN753" s="3">
        <v>41.0</v>
      </c>
    </row>
    <row r="754" ht="14.25" customHeight="1">
      <c r="A754" s="3">
        <v>752.0</v>
      </c>
      <c r="B754" s="3" t="s">
        <v>7930</v>
      </c>
      <c r="C754" s="3">
        <v>22.0</v>
      </c>
      <c r="D754" s="3" t="s">
        <v>6645</v>
      </c>
      <c r="E754" s="3" t="s">
        <v>6646</v>
      </c>
      <c r="F754" s="3" t="s">
        <v>6646</v>
      </c>
      <c r="G754" s="3" t="s">
        <v>6645</v>
      </c>
      <c r="H754" s="3" t="s">
        <v>6645</v>
      </c>
      <c r="I754" s="3" t="s">
        <v>6645</v>
      </c>
      <c r="J754" s="3">
        <v>-1.0</v>
      </c>
      <c r="K754" s="3">
        <v>0.0</v>
      </c>
      <c r="L754" s="3">
        <v>0.0</v>
      </c>
      <c r="M754" s="3">
        <v>0.0</v>
      </c>
      <c r="N754" s="3">
        <v>416.59927</v>
      </c>
      <c r="O754" s="3">
        <v>91.0</v>
      </c>
      <c r="P754" s="3" t="e">
        <v>#N/A</v>
      </c>
      <c r="Q754" s="3">
        <v>32.0</v>
      </c>
      <c r="R754" s="3">
        <v>37.0</v>
      </c>
      <c r="S754" s="3">
        <v>36.0</v>
      </c>
      <c r="T754" s="3">
        <v>30.0</v>
      </c>
      <c r="U754" s="3">
        <v>33.0</v>
      </c>
      <c r="V754" s="3">
        <v>34.0</v>
      </c>
      <c r="W754" s="3">
        <v>40.0</v>
      </c>
      <c r="X754" s="3">
        <v>33.0</v>
      </c>
      <c r="Y754" s="3">
        <v>30.0</v>
      </c>
      <c r="Z754" s="3">
        <v>26.0</v>
      </c>
      <c r="AA754" s="3">
        <v>44.0</v>
      </c>
      <c r="AB754" s="3">
        <v>39.0</v>
      </c>
      <c r="AC754" s="3">
        <v>28.0</v>
      </c>
      <c r="AD754" s="3">
        <v>44.0</v>
      </c>
      <c r="AE754" s="3">
        <v>37.0</v>
      </c>
      <c r="AF754" s="3">
        <v>40.0</v>
      </c>
      <c r="AG754" s="3">
        <v>19.0</v>
      </c>
      <c r="AH754" s="3">
        <v>62.0</v>
      </c>
      <c r="AI754" s="3">
        <v>39.0</v>
      </c>
      <c r="AJ754" s="3">
        <v>42.0</v>
      </c>
      <c r="AK754" s="3">
        <v>31.0</v>
      </c>
      <c r="AL754" s="3">
        <v>48.0</v>
      </c>
      <c r="AM754" s="3">
        <v>49.0</v>
      </c>
      <c r="AN754" s="3">
        <v>44.0</v>
      </c>
    </row>
    <row r="755" ht="14.25" customHeight="1">
      <c r="A755" s="3">
        <v>753.0</v>
      </c>
      <c r="B755" s="3" t="s">
        <v>7931</v>
      </c>
      <c r="C755" s="3">
        <v>23.0</v>
      </c>
      <c r="D755" s="3" t="s">
        <v>6645</v>
      </c>
      <c r="E755" s="3" t="s">
        <v>6646</v>
      </c>
      <c r="F755" s="3" t="s">
        <v>6646</v>
      </c>
      <c r="G755" s="3" t="s">
        <v>6645</v>
      </c>
      <c r="H755" s="3" t="s">
        <v>6645</v>
      </c>
      <c r="I755" s="3" t="s">
        <v>6646</v>
      </c>
      <c r="J755" s="3">
        <v>-1.0</v>
      </c>
      <c r="K755" s="3">
        <v>0.0</v>
      </c>
      <c r="L755" s="3">
        <v>0.0</v>
      </c>
      <c r="M755" s="3">
        <v>0.0</v>
      </c>
      <c r="N755" s="3">
        <v>499.061</v>
      </c>
      <c r="O755" s="3">
        <v>101.0</v>
      </c>
      <c r="P755" s="3" t="e">
        <v>#N/A</v>
      </c>
      <c r="Q755" s="3">
        <v>31.0</v>
      </c>
      <c r="R755" s="3">
        <v>39.0</v>
      </c>
      <c r="S755" s="3">
        <v>37.0</v>
      </c>
      <c r="T755" s="3">
        <v>34.0</v>
      </c>
      <c r="U755" s="3">
        <v>35.0</v>
      </c>
      <c r="V755" s="3">
        <v>30.0</v>
      </c>
      <c r="W755" s="3">
        <v>43.0</v>
      </c>
      <c r="X755" s="3">
        <v>41.0</v>
      </c>
      <c r="Y755" s="3">
        <v>36.0</v>
      </c>
      <c r="Z755" s="3">
        <v>39.0</v>
      </c>
      <c r="AA755" s="3">
        <v>31.0</v>
      </c>
      <c r="AB755" s="3">
        <v>33.0</v>
      </c>
      <c r="AC755" s="3">
        <v>34.0</v>
      </c>
      <c r="AD755" s="3">
        <v>33.0</v>
      </c>
      <c r="AE755" s="3">
        <v>29.0</v>
      </c>
      <c r="AF755" s="3">
        <v>72.0</v>
      </c>
      <c r="AG755" s="3">
        <v>57.0</v>
      </c>
      <c r="AH755" s="3">
        <v>35.0</v>
      </c>
      <c r="AI755" s="3">
        <v>40.0</v>
      </c>
      <c r="AJ755" s="3">
        <v>6.0</v>
      </c>
      <c r="AK755" s="3">
        <v>37.0</v>
      </c>
      <c r="AL755" s="3">
        <v>36.0</v>
      </c>
      <c r="AM755" s="3">
        <v>43.0</v>
      </c>
      <c r="AN755" s="3">
        <v>34.0</v>
      </c>
    </row>
    <row r="756" ht="14.25" customHeight="1">
      <c r="A756" s="3">
        <v>754.0</v>
      </c>
      <c r="B756" s="3" t="s">
        <v>7932</v>
      </c>
      <c r="C756" s="3">
        <v>19.0</v>
      </c>
      <c r="D756" s="3" t="s">
        <v>6645</v>
      </c>
      <c r="E756" s="3" t="s">
        <v>6646</v>
      </c>
      <c r="F756" s="3" t="s">
        <v>6646</v>
      </c>
      <c r="G756" s="3" t="s">
        <v>6645</v>
      </c>
      <c r="H756" s="3" t="s">
        <v>6645</v>
      </c>
      <c r="I756" s="3" t="s">
        <v>6645</v>
      </c>
      <c r="J756" s="3">
        <v>-1.0</v>
      </c>
      <c r="K756" s="3">
        <v>0.0</v>
      </c>
      <c r="L756" s="3">
        <v>0.0</v>
      </c>
      <c r="M756" s="3">
        <v>0.0</v>
      </c>
      <c r="N756" s="3">
        <v>481.8791</v>
      </c>
      <c r="O756" s="3">
        <v>88.0</v>
      </c>
      <c r="P756" s="3" t="e">
        <v>#N/A</v>
      </c>
      <c r="Q756" s="3">
        <v>39.0</v>
      </c>
      <c r="R756" s="3">
        <v>36.0</v>
      </c>
      <c r="S756" s="3">
        <v>32.0</v>
      </c>
      <c r="T756" s="3">
        <v>30.0</v>
      </c>
      <c r="U756" s="3">
        <v>35.0</v>
      </c>
      <c r="V756" s="3">
        <v>35.0</v>
      </c>
      <c r="W756" s="3">
        <v>30.0</v>
      </c>
      <c r="X756" s="3">
        <v>32.0</v>
      </c>
      <c r="Y756" s="3">
        <v>43.0</v>
      </c>
      <c r="Z756" s="3">
        <v>32.0</v>
      </c>
      <c r="AA756" s="3">
        <v>39.0</v>
      </c>
      <c r="AB756" s="3">
        <v>35.0</v>
      </c>
      <c r="AC756" s="3">
        <v>31.0</v>
      </c>
      <c r="AD756" s="3">
        <v>33.0</v>
      </c>
      <c r="AE756" s="3">
        <v>36.0</v>
      </c>
      <c r="AF756" s="3">
        <v>63.0</v>
      </c>
      <c r="AG756" s="3">
        <v>34.0</v>
      </c>
      <c r="AH756" s="3">
        <v>7.0</v>
      </c>
      <c r="AI756" s="3">
        <v>19.0</v>
      </c>
      <c r="AJ756" s="3">
        <v>45.0</v>
      </c>
      <c r="AK756" s="3">
        <v>65.0</v>
      </c>
      <c r="AL756" s="3">
        <v>41.0</v>
      </c>
      <c r="AM756" s="3">
        <v>73.0</v>
      </c>
      <c r="AN756" s="3">
        <v>34.0</v>
      </c>
    </row>
    <row r="757" ht="14.25" customHeight="1">
      <c r="A757" s="3">
        <v>755.0</v>
      </c>
      <c r="B757" s="3" t="s">
        <v>7933</v>
      </c>
      <c r="C757" s="3">
        <v>22.0</v>
      </c>
      <c r="D757" s="3" t="s">
        <v>6645</v>
      </c>
      <c r="E757" s="3" t="s">
        <v>6646</v>
      </c>
      <c r="F757" s="3" t="s">
        <v>6646</v>
      </c>
      <c r="G757" s="3" t="s">
        <v>6645</v>
      </c>
      <c r="H757" s="3" t="s">
        <v>6645</v>
      </c>
      <c r="I757" s="3" t="s">
        <v>6646</v>
      </c>
      <c r="J757" s="3">
        <v>-1.0</v>
      </c>
      <c r="K757" s="3">
        <v>0.0</v>
      </c>
      <c r="L757" s="3">
        <v>0.0</v>
      </c>
      <c r="M757" s="3">
        <v>0.0</v>
      </c>
      <c r="N757" s="3">
        <v>461.51925</v>
      </c>
      <c r="O757" s="3">
        <v>103.0</v>
      </c>
      <c r="P757" s="3" t="e">
        <v>#N/A</v>
      </c>
      <c r="Q757" s="3">
        <v>32.0</v>
      </c>
      <c r="R757" s="3">
        <v>36.0</v>
      </c>
      <c r="S757" s="3">
        <v>31.0</v>
      </c>
      <c r="T757" s="3">
        <v>32.0</v>
      </c>
      <c r="U757" s="3">
        <v>36.0</v>
      </c>
      <c r="V757" s="3">
        <v>32.0</v>
      </c>
      <c r="W757" s="3">
        <v>32.0</v>
      </c>
      <c r="X757" s="3">
        <v>32.0</v>
      </c>
      <c r="Y757" s="3">
        <v>36.0</v>
      </c>
      <c r="Z757" s="3">
        <v>28.0</v>
      </c>
      <c r="AA757" s="3">
        <v>35.0</v>
      </c>
      <c r="AB757" s="3">
        <v>44.0</v>
      </c>
      <c r="AC757" s="3">
        <v>33.0</v>
      </c>
      <c r="AD757" s="3">
        <v>45.0</v>
      </c>
      <c r="AE757" s="3">
        <v>38.0</v>
      </c>
      <c r="AF757" s="3">
        <v>58.0</v>
      </c>
      <c r="AG757" s="3">
        <v>59.0</v>
      </c>
      <c r="AH757" s="3">
        <v>53.0</v>
      </c>
      <c r="AI757" s="3">
        <v>36.0</v>
      </c>
      <c r="AJ757" s="3">
        <v>54.0</v>
      </c>
      <c r="AK757" s="3">
        <v>57.0</v>
      </c>
      <c r="AL757" s="3">
        <v>53.0</v>
      </c>
      <c r="AM757" s="3">
        <v>14.0</v>
      </c>
      <c r="AN757" s="3">
        <v>61.0</v>
      </c>
    </row>
    <row r="758" ht="14.25" customHeight="1">
      <c r="A758" s="3">
        <v>756.0</v>
      </c>
      <c r="B758" s="3" t="s">
        <v>7934</v>
      </c>
      <c r="C758" s="3">
        <v>21.0</v>
      </c>
      <c r="D758" s="3" t="s">
        <v>6645</v>
      </c>
      <c r="E758" s="3" t="s">
        <v>6646</v>
      </c>
      <c r="F758" s="3" t="s">
        <v>6646</v>
      </c>
      <c r="G758" s="3" t="s">
        <v>6645</v>
      </c>
      <c r="H758" s="3" t="s">
        <v>6645</v>
      </c>
      <c r="I758" s="3" t="s">
        <v>6646</v>
      </c>
      <c r="J758" s="3">
        <v>-1.0</v>
      </c>
      <c r="K758" s="3">
        <v>0.0</v>
      </c>
      <c r="L758" s="3">
        <v>0.0</v>
      </c>
      <c r="M758" s="3">
        <v>0.0</v>
      </c>
      <c r="N758" s="3">
        <v>431.78347</v>
      </c>
      <c r="O758" s="3">
        <v>106.0</v>
      </c>
      <c r="P758" s="3" t="e">
        <v>#N/A</v>
      </c>
      <c r="Q758" s="3">
        <v>30.0</v>
      </c>
      <c r="R758" s="3">
        <v>34.0</v>
      </c>
      <c r="S758" s="3">
        <v>35.0</v>
      </c>
      <c r="T758" s="3">
        <v>39.0</v>
      </c>
      <c r="U758" s="3">
        <v>36.0</v>
      </c>
      <c r="V758" s="3">
        <v>33.0</v>
      </c>
      <c r="W758" s="3">
        <v>44.0</v>
      </c>
      <c r="X758" s="3">
        <v>26.0</v>
      </c>
      <c r="Y758" s="3">
        <v>37.0</v>
      </c>
      <c r="Z758" s="3">
        <v>39.0</v>
      </c>
      <c r="AA758" s="3">
        <v>22.0</v>
      </c>
      <c r="AB758" s="3">
        <v>35.0</v>
      </c>
      <c r="AC758" s="3">
        <v>27.0</v>
      </c>
      <c r="AD758" s="3">
        <v>39.0</v>
      </c>
      <c r="AE758" s="3">
        <v>42.0</v>
      </c>
      <c r="AF758" s="3">
        <v>70.0</v>
      </c>
      <c r="AG758" s="3">
        <v>41.0</v>
      </c>
      <c r="AH758" s="3">
        <v>51.0</v>
      </c>
      <c r="AI758" s="3">
        <v>44.0</v>
      </c>
      <c r="AJ758" s="3">
        <v>36.0</v>
      </c>
      <c r="AK758" s="3">
        <v>51.0</v>
      </c>
      <c r="AL758" s="3">
        <v>55.0</v>
      </c>
      <c r="AM758" s="3">
        <v>72.0</v>
      </c>
      <c r="AN758" s="3">
        <v>3.0</v>
      </c>
    </row>
    <row r="759" ht="14.25" customHeight="1">
      <c r="A759" s="3">
        <v>757.0</v>
      </c>
      <c r="B759" s="3" t="s">
        <v>7935</v>
      </c>
      <c r="C759" s="3">
        <v>24.0</v>
      </c>
      <c r="D759" s="3" t="s">
        <v>6645</v>
      </c>
      <c r="E759" s="3" t="s">
        <v>6646</v>
      </c>
      <c r="F759" s="3" t="s">
        <v>6646</v>
      </c>
      <c r="G759" s="3" t="s">
        <v>6645</v>
      </c>
      <c r="H759" s="3" t="s">
        <v>6645</v>
      </c>
      <c r="I759" s="3" t="s">
        <v>6646</v>
      </c>
      <c r="J759" s="3">
        <v>-1.0</v>
      </c>
      <c r="K759" s="3">
        <v>0.0</v>
      </c>
      <c r="L759" s="3">
        <v>0.0</v>
      </c>
      <c r="M759" s="3">
        <v>0.0</v>
      </c>
      <c r="N759" s="3">
        <v>377.602</v>
      </c>
      <c r="O759" s="3">
        <v>80.0</v>
      </c>
      <c r="P759" s="3" t="e">
        <v>#N/A</v>
      </c>
      <c r="Q759" s="3">
        <v>36.0</v>
      </c>
      <c r="R759" s="3">
        <v>36.0</v>
      </c>
      <c r="S759" s="3">
        <v>32.0</v>
      </c>
      <c r="T759" s="3">
        <v>35.0</v>
      </c>
      <c r="U759" s="3">
        <v>39.0</v>
      </c>
      <c r="V759" s="3">
        <v>32.0</v>
      </c>
      <c r="W759" s="3">
        <v>22.0</v>
      </c>
      <c r="X759" s="3">
        <v>40.0</v>
      </c>
      <c r="Y759" s="3">
        <v>29.0</v>
      </c>
      <c r="Z759" s="3">
        <v>30.0</v>
      </c>
      <c r="AA759" s="3">
        <v>33.0</v>
      </c>
      <c r="AB759" s="3">
        <v>42.0</v>
      </c>
      <c r="AC759" s="3">
        <v>33.0</v>
      </c>
      <c r="AD759" s="3">
        <v>24.0</v>
      </c>
      <c r="AE759" s="3">
        <v>37.0</v>
      </c>
      <c r="AF759" s="3">
        <v>59.0</v>
      </c>
      <c r="AG759" s="3">
        <v>39.0</v>
      </c>
      <c r="AH759" s="3">
        <v>34.0</v>
      </c>
      <c r="AI759" s="3">
        <v>78.0</v>
      </c>
      <c r="AJ759" s="3">
        <v>30.0</v>
      </c>
      <c r="AK759" s="3">
        <v>23.0</v>
      </c>
      <c r="AL759" s="3">
        <v>49.0</v>
      </c>
      <c r="AM759" s="3">
        <v>42.0</v>
      </c>
      <c r="AN759" s="3">
        <v>30.0</v>
      </c>
    </row>
    <row r="760" ht="14.25" customHeight="1">
      <c r="A760" s="3">
        <v>758.0</v>
      </c>
      <c r="B760" s="3" t="s">
        <v>7936</v>
      </c>
      <c r="C760" s="3">
        <v>32.0</v>
      </c>
      <c r="D760" s="3" t="s">
        <v>6645</v>
      </c>
      <c r="E760" s="3" t="s">
        <v>6646</v>
      </c>
      <c r="F760" s="3" t="s">
        <v>6646</v>
      </c>
      <c r="G760" s="3" t="s">
        <v>6645</v>
      </c>
      <c r="H760" s="3" t="s">
        <v>6645</v>
      </c>
      <c r="I760" s="3" t="s">
        <v>6646</v>
      </c>
      <c r="J760" s="3">
        <v>-1.0</v>
      </c>
      <c r="K760" s="3">
        <v>3.0</v>
      </c>
      <c r="L760" s="3">
        <v>0.0</v>
      </c>
      <c r="M760" s="3">
        <v>0.0</v>
      </c>
      <c r="N760" s="3">
        <v>4964.0</v>
      </c>
      <c r="O760" s="3">
        <v>705.0</v>
      </c>
      <c r="P760" s="3" t="e">
        <v>#N/A</v>
      </c>
      <c r="Q760" s="3">
        <v>47.0</v>
      </c>
      <c r="R760" s="3">
        <v>52.0</v>
      </c>
      <c r="S760" s="3">
        <v>53.0</v>
      </c>
      <c r="T760" s="3">
        <v>45.0</v>
      </c>
      <c r="U760" s="3">
        <v>51.0</v>
      </c>
      <c r="V760" s="3">
        <v>51.0</v>
      </c>
      <c r="W760" s="3">
        <v>54.0</v>
      </c>
      <c r="X760" s="3">
        <v>42.0</v>
      </c>
      <c r="Y760" s="3">
        <v>56.0</v>
      </c>
      <c r="Z760" s="3">
        <v>47.0</v>
      </c>
      <c r="AA760" s="3">
        <v>44.0</v>
      </c>
      <c r="AB760" s="3">
        <v>38.0</v>
      </c>
      <c r="AC760" s="3">
        <v>61.0</v>
      </c>
      <c r="AD760" s="3">
        <v>51.0</v>
      </c>
      <c r="AE760" s="3">
        <v>47.0</v>
      </c>
      <c r="AF760" s="3">
        <v>66.0</v>
      </c>
      <c r="AG760" s="3">
        <v>42.0</v>
      </c>
      <c r="AH760" s="3">
        <v>45.0</v>
      </c>
      <c r="AI760" s="3">
        <v>40.0</v>
      </c>
      <c r="AJ760" s="3">
        <v>30.0</v>
      </c>
      <c r="AK760" s="3">
        <v>82.0</v>
      </c>
      <c r="AL760" s="3">
        <v>58.0</v>
      </c>
      <c r="AM760" s="3">
        <v>62.0</v>
      </c>
      <c r="AN760" s="3">
        <v>81.0</v>
      </c>
    </row>
    <row r="761" ht="14.25" customHeight="1">
      <c r="A761" s="3">
        <v>759.0</v>
      </c>
      <c r="B761" s="3" t="s">
        <v>7937</v>
      </c>
      <c r="C761" s="3">
        <v>28.0</v>
      </c>
      <c r="D761" s="3" t="s">
        <v>6645</v>
      </c>
      <c r="E761" s="3" t="s">
        <v>6646</v>
      </c>
      <c r="F761" s="3" t="s">
        <v>6646</v>
      </c>
      <c r="G761" s="3" t="s">
        <v>6645</v>
      </c>
      <c r="H761" s="3" t="s">
        <v>6645</v>
      </c>
      <c r="I761" s="3" t="s">
        <v>6645</v>
      </c>
      <c r="J761" s="3">
        <v>-1.0</v>
      </c>
      <c r="K761" s="3">
        <v>1.0</v>
      </c>
      <c r="L761" s="3">
        <v>0.0</v>
      </c>
      <c r="M761" s="3">
        <v>0.0</v>
      </c>
      <c r="N761" s="3">
        <v>1227.429</v>
      </c>
      <c r="O761" s="3">
        <v>194.0</v>
      </c>
      <c r="P761" s="3" t="e">
        <v>#N/A</v>
      </c>
      <c r="Q761" s="3">
        <v>38.0</v>
      </c>
      <c r="R761" s="3">
        <v>44.0</v>
      </c>
      <c r="S761" s="3">
        <v>40.0</v>
      </c>
      <c r="T761" s="3">
        <v>40.0</v>
      </c>
      <c r="U761" s="3">
        <v>41.0</v>
      </c>
      <c r="V761" s="3">
        <v>39.0</v>
      </c>
      <c r="W761" s="3">
        <v>36.0</v>
      </c>
      <c r="X761" s="3">
        <v>40.0</v>
      </c>
      <c r="Y761" s="3">
        <v>42.0</v>
      </c>
      <c r="Z761" s="3">
        <v>27.0</v>
      </c>
      <c r="AA761" s="3">
        <v>34.0</v>
      </c>
      <c r="AB761" s="3">
        <v>52.0</v>
      </c>
      <c r="AC761" s="3">
        <v>53.0</v>
      </c>
      <c r="AD761" s="3">
        <v>34.0</v>
      </c>
      <c r="AE761" s="3">
        <v>40.0</v>
      </c>
      <c r="AF761" s="3">
        <v>60.0</v>
      </c>
      <c r="AG761" s="3">
        <v>55.0</v>
      </c>
      <c r="AH761" s="3">
        <v>47.0</v>
      </c>
      <c r="AI761" s="3">
        <v>30.0</v>
      </c>
      <c r="AJ761" s="3">
        <v>37.0</v>
      </c>
      <c r="AK761" s="3">
        <v>61.0</v>
      </c>
      <c r="AL761" s="3">
        <v>47.0</v>
      </c>
      <c r="AM761" s="3">
        <v>58.0</v>
      </c>
      <c r="AN761" s="3">
        <v>73.0</v>
      </c>
    </row>
    <row r="762" ht="14.25" customHeight="1">
      <c r="A762" s="3">
        <v>760.0</v>
      </c>
      <c r="B762" s="3" t="s">
        <v>7938</v>
      </c>
      <c r="C762" s="3">
        <v>35.0</v>
      </c>
      <c r="D762" s="3" t="s">
        <v>6645</v>
      </c>
      <c r="E762" s="3" t="s">
        <v>6646</v>
      </c>
      <c r="F762" s="3" t="s">
        <v>6646</v>
      </c>
      <c r="G762" s="3" t="s">
        <v>6645</v>
      </c>
      <c r="H762" s="3" t="s">
        <v>6645</v>
      </c>
      <c r="I762" s="3" t="s">
        <v>6645</v>
      </c>
      <c r="J762" s="3">
        <v>-1.0</v>
      </c>
      <c r="K762" s="3">
        <v>4.0</v>
      </c>
      <c r="L762" s="3">
        <v>0.0</v>
      </c>
      <c r="M762" s="3">
        <v>0.0</v>
      </c>
      <c r="N762" s="3">
        <v>9785.62</v>
      </c>
      <c r="O762" s="3">
        <v>1253.0</v>
      </c>
      <c r="P762" s="3" t="e">
        <v>#N/A</v>
      </c>
      <c r="Q762" s="3">
        <v>52.0</v>
      </c>
      <c r="R762" s="3">
        <v>65.0</v>
      </c>
      <c r="S762" s="3">
        <v>62.0</v>
      </c>
      <c r="T762" s="3">
        <v>70.0</v>
      </c>
      <c r="U762" s="3">
        <v>54.0</v>
      </c>
      <c r="V762" s="3">
        <v>51.0</v>
      </c>
      <c r="W762" s="3">
        <v>80.0</v>
      </c>
      <c r="X762" s="3">
        <v>72.0</v>
      </c>
      <c r="Y762" s="3">
        <v>59.0</v>
      </c>
      <c r="Z762" s="3">
        <v>53.0</v>
      </c>
      <c r="AA762" s="3">
        <v>73.0</v>
      </c>
      <c r="AB762" s="3">
        <v>58.0</v>
      </c>
      <c r="AC762" s="3">
        <v>55.0</v>
      </c>
      <c r="AD762" s="3">
        <v>73.0</v>
      </c>
      <c r="AE762" s="3">
        <v>66.0</v>
      </c>
      <c r="AF762" s="3">
        <v>46.0</v>
      </c>
      <c r="AG762" s="3">
        <v>49.0</v>
      </c>
      <c r="AH762" s="3">
        <v>81.0</v>
      </c>
      <c r="AI762" s="3">
        <v>82.0</v>
      </c>
      <c r="AJ762" s="3">
        <v>66.0</v>
      </c>
      <c r="AK762" s="3">
        <v>47.0</v>
      </c>
      <c r="AL762" s="3">
        <v>47.0</v>
      </c>
      <c r="AM762" s="3">
        <v>64.0</v>
      </c>
      <c r="AN762" s="3">
        <v>43.0</v>
      </c>
    </row>
    <row r="763" ht="14.25" customHeight="1">
      <c r="A763" s="3">
        <v>761.0</v>
      </c>
      <c r="B763" s="3" t="s">
        <v>7939</v>
      </c>
      <c r="C763" s="3">
        <v>24.0</v>
      </c>
      <c r="D763" s="3" t="s">
        <v>6645</v>
      </c>
      <c r="E763" s="3" t="s">
        <v>6646</v>
      </c>
      <c r="F763" s="3" t="s">
        <v>6646</v>
      </c>
      <c r="G763" s="3" t="s">
        <v>6645</v>
      </c>
      <c r="H763" s="3" t="s">
        <v>6645</v>
      </c>
      <c r="I763" s="3" t="s">
        <v>6646</v>
      </c>
      <c r="J763" s="3">
        <v>-1.0</v>
      </c>
      <c r="K763" s="3">
        <v>0.0</v>
      </c>
      <c r="L763" s="3">
        <v>0.0</v>
      </c>
      <c r="M763" s="3">
        <v>0.0</v>
      </c>
      <c r="N763" s="3">
        <v>390.4569</v>
      </c>
      <c r="O763" s="3">
        <v>76.0</v>
      </c>
      <c r="P763" s="3" t="e">
        <v>#N/A</v>
      </c>
      <c r="Q763" s="3">
        <v>37.0</v>
      </c>
      <c r="R763" s="3">
        <v>33.0</v>
      </c>
      <c r="S763" s="3">
        <v>34.0</v>
      </c>
      <c r="T763" s="3">
        <v>30.0</v>
      </c>
      <c r="U763" s="3">
        <v>37.0</v>
      </c>
      <c r="V763" s="3">
        <v>30.0</v>
      </c>
      <c r="W763" s="3">
        <v>42.0</v>
      </c>
      <c r="X763" s="3">
        <v>23.0</v>
      </c>
      <c r="Y763" s="3">
        <v>27.0</v>
      </c>
      <c r="Z763" s="3">
        <v>36.0</v>
      </c>
      <c r="AA763" s="3">
        <v>32.0</v>
      </c>
      <c r="AB763" s="3">
        <v>40.0</v>
      </c>
      <c r="AC763" s="3">
        <v>45.0</v>
      </c>
      <c r="AD763" s="3">
        <v>25.0</v>
      </c>
      <c r="AE763" s="3">
        <v>33.0</v>
      </c>
      <c r="AF763" s="3">
        <v>51.0</v>
      </c>
      <c r="AG763" s="3">
        <v>76.0</v>
      </c>
      <c r="AH763" s="3">
        <v>62.0</v>
      </c>
      <c r="AI763" s="3">
        <v>43.0</v>
      </c>
      <c r="AJ763" s="3">
        <v>47.0</v>
      </c>
      <c r="AK763" s="3">
        <v>31.0</v>
      </c>
      <c r="AL763" s="3">
        <v>48.0</v>
      </c>
      <c r="AM763" s="3">
        <v>7.0</v>
      </c>
      <c r="AN763" s="3">
        <v>23.0</v>
      </c>
    </row>
    <row r="764" ht="14.25" customHeight="1">
      <c r="A764" s="3">
        <v>762.0</v>
      </c>
      <c r="B764" s="3" t="s">
        <v>7940</v>
      </c>
      <c r="C764" s="3">
        <v>42.0</v>
      </c>
      <c r="D764" s="3" t="s">
        <v>6645</v>
      </c>
      <c r="E764" s="3" t="s">
        <v>6646</v>
      </c>
      <c r="F764" s="3" t="s">
        <v>6646</v>
      </c>
      <c r="G764" s="3" t="s">
        <v>6645</v>
      </c>
      <c r="H764" s="3" t="s">
        <v>6645</v>
      </c>
      <c r="I764" s="3" t="s">
        <v>6646</v>
      </c>
      <c r="J764" s="3">
        <v>-1.0</v>
      </c>
      <c r="K764" s="3">
        <v>5.0</v>
      </c>
      <c r="L764" s="3">
        <v>0.0</v>
      </c>
      <c r="M764" s="3">
        <v>0.0</v>
      </c>
      <c r="N764" s="3">
        <v>16547.8</v>
      </c>
      <c r="O764" s="3">
        <v>3903.0</v>
      </c>
      <c r="P764" s="3" t="e">
        <v>#N/A</v>
      </c>
      <c r="Q764" s="3">
        <v>69.0</v>
      </c>
      <c r="R764" s="3">
        <v>59.0</v>
      </c>
      <c r="S764" s="3">
        <v>81.0</v>
      </c>
      <c r="T764" s="3">
        <v>72.0</v>
      </c>
      <c r="U764" s="3">
        <v>75.0</v>
      </c>
      <c r="V764" s="3">
        <v>65.0</v>
      </c>
      <c r="W764" s="3">
        <v>64.0</v>
      </c>
      <c r="X764" s="3">
        <v>75.0</v>
      </c>
      <c r="Y764" s="3">
        <v>79.0</v>
      </c>
      <c r="Z764" s="3">
        <v>50.0</v>
      </c>
      <c r="AA764" s="3">
        <v>64.0</v>
      </c>
      <c r="AB764" s="3">
        <v>81.0</v>
      </c>
      <c r="AC764" s="3">
        <v>57.0</v>
      </c>
      <c r="AD764" s="3">
        <v>67.0</v>
      </c>
      <c r="AE764" s="3">
        <v>80.0</v>
      </c>
      <c r="AF764" s="3">
        <v>44.0</v>
      </c>
      <c r="AG764" s="3">
        <v>66.0</v>
      </c>
      <c r="AH764" s="3">
        <v>58.0</v>
      </c>
      <c r="AI764" s="3">
        <v>64.0</v>
      </c>
      <c r="AJ764" s="3">
        <v>48.0</v>
      </c>
      <c r="AK764" s="3">
        <v>65.0</v>
      </c>
      <c r="AL764" s="3">
        <v>52.0</v>
      </c>
      <c r="AM764" s="3">
        <v>53.0</v>
      </c>
      <c r="AN764" s="3">
        <v>51.0</v>
      </c>
    </row>
    <row r="765" ht="14.25" customHeight="1">
      <c r="A765" s="3">
        <v>763.0</v>
      </c>
      <c r="B765" s="3" t="s">
        <v>7941</v>
      </c>
      <c r="C765" s="3">
        <v>22.0</v>
      </c>
      <c r="D765" s="3" t="s">
        <v>6645</v>
      </c>
      <c r="E765" s="3" t="s">
        <v>6646</v>
      </c>
      <c r="F765" s="3" t="s">
        <v>6646</v>
      </c>
      <c r="G765" s="3" t="s">
        <v>6645</v>
      </c>
      <c r="H765" s="3" t="s">
        <v>6645</v>
      </c>
      <c r="I765" s="3" t="s">
        <v>6646</v>
      </c>
      <c r="J765" s="3">
        <v>-1.0</v>
      </c>
      <c r="K765" s="3">
        <v>0.0</v>
      </c>
      <c r="L765" s="3">
        <v>0.0</v>
      </c>
      <c r="M765" s="3">
        <v>0.0</v>
      </c>
      <c r="N765" s="3">
        <v>430.30493</v>
      </c>
      <c r="O765" s="3">
        <v>95.0</v>
      </c>
      <c r="P765" s="3" t="e">
        <v>#N/A</v>
      </c>
      <c r="Q765" s="3">
        <v>33.0</v>
      </c>
      <c r="R765" s="3">
        <v>34.0</v>
      </c>
      <c r="S765" s="3">
        <v>35.0</v>
      </c>
      <c r="T765" s="3">
        <v>34.0</v>
      </c>
      <c r="U765" s="3">
        <v>31.0</v>
      </c>
      <c r="V765" s="3">
        <v>31.0</v>
      </c>
      <c r="W765" s="3">
        <v>40.0</v>
      </c>
      <c r="X765" s="3">
        <v>37.0</v>
      </c>
      <c r="Y765" s="3">
        <v>39.0</v>
      </c>
      <c r="Z765" s="3">
        <v>31.0</v>
      </c>
      <c r="AA765" s="3">
        <v>29.0</v>
      </c>
      <c r="AB765" s="3">
        <v>37.0</v>
      </c>
      <c r="AC765" s="3">
        <v>37.0</v>
      </c>
      <c r="AD765" s="3">
        <v>39.0</v>
      </c>
      <c r="AE765" s="3">
        <v>31.0</v>
      </c>
      <c r="AF765" s="3">
        <v>59.0</v>
      </c>
      <c r="AG765" s="3">
        <v>34.0</v>
      </c>
      <c r="AH765" s="3">
        <v>42.0</v>
      </c>
      <c r="AI765" s="3">
        <v>63.0</v>
      </c>
      <c r="AJ765" s="3">
        <v>49.0</v>
      </c>
      <c r="AK765" s="3">
        <v>3.0</v>
      </c>
      <c r="AL765" s="3">
        <v>31.0</v>
      </c>
      <c r="AM765" s="3">
        <v>51.0</v>
      </c>
      <c r="AN765" s="3">
        <v>33.0</v>
      </c>
    </row>
    <row r="766" ht="14.25" customHeight="1">
      <c r="A766" s="3">
        <v>764.0</v>
      </c>
      <c r="B766" s="3" t="s">
        <v>7942</v>
      </c>
      <c r="C766" s="3">
        <v>40.0</v>
      </c>
      <c r="D766" s="3" t="s">
        <v>6645</v>
      </c>
      <c r="E766" s="3" t="s">
        <v>6646</v>
      </c>
      <c r="F766" s="3" t="s">
        <v>6646</v>
      </c>
      <c r="G766" s="3" t="s">
        <v>6645</v>
      </c>
      <c r="H766" s="3" t="s">
        <v>6645</v>
      </c>
      <c r="I766" s="3" t="s">
        <v>6645</v>
      </c>
      <c r="J766" s="3">
        <v>-1.0</v>
      </c>
      <c r="K766" s="3">
        <v>5.0</v>
      </c>
      <c r="L766" s="3">
        <v>0.0</v>
      </c>
      <c r="M766" s="3">
        <v>0.0</v>
      </c>
      <c r="N766" s="3">
        <v>14879.926</v>
      </c>
      <c r="O766" s="3">
        <v>2800.0</v>
      </c>
      <c r="P766" s="3" t="e">
        <v>#N/A</v>
      </c>
      <c r="Q766" s="3">
        <v>68.0</v>
      </c>
      <c r="R766" s="3">
        <v>60.0</v>
      </c>
      <c r="S766" s="3">
        <v>63.0</v>
      </c>
      <c r="T766" s="3">
        <v>78.0</v>
      </c>
      <c r="U766" s="3">
        <v>72.0</v>
      </c>
      <c r="V766" s="3">
        <v>62.0</v>
      </c>
      <c r="W766" s="3">
        <v>65.0</v>
      </c>
      <c r="X766" s="3">
        <v>76.0</v>
      </c>
      <c r="Y766" s="3">
        <v>87.0</v>
      </c>
      <c r="Z766" s="3">
        <v>85.0</v>
      </c>
      <c r="AA766" s="3">
        <v>55.0</v>
      </c>
      <c r="AB766" s="3">
        <v>51.0</v>
      </c>
      <c r="AC766" s="3">
        <v>78.0</v>
      </c>
      <c r="AD766" s="3">
        <v>67.0</v>
      </c>
      <c r="AE766" s="3">
        <v>71.0</v>
      </c>
      <c r="AF766" s="3">
        <v>59.0</v>
      </c>
      <c r="AG766" s="3">
        <v>59.0</v>
      </c>
      <c r="AH766" s="3">
        <v>56.0</v>
      </c>
      <c r="AI766" s="3">
        <v>62.0</v>
      </c>
      <c r="AJ766" s="3">
        <v>69.0</v>
      </c>
      <c r="AK766" s="3">
        <v>61.0</v>
      </c>
      <c r="AL766" s="3">
        <v>68.0</v>
      </c>
      <c r="AM766" s="3">
        <v>58.0</v>
      </c>
      <c r="AN766" s="3">
        <v>46.0</v>
      </c>
    </row>
    <row r="767" ht="14.25" customHeight="1">
      <c r="A767" s="3">
        <v>765.0</v>
      </c>
      <c r="B767" s="3" t="s">
        <v>7943</v>
      </c>
      <c r="C767" s="3">
        <v>22.0</v>
      </c>
      <c r="D767" s="3" t="s">
        <v>6645</v>
      </c>
      <c r="E767" s="3" t="s">
        <v>6646</v>
      </c>
      <c r="F767" s="3" t="s">
        <v>6646</v>
      </c>
      <c r="G767" s="3" t="s">
        <v>6645</v>
      </c>
      <c r="H767" s="3" t="s">
        <v>6645</v>
      </c>
      <c r="I767" s="3" t="s">
        <v>6645</v>
      </c>
      <c r="J767" s="3">
        <v>-1.0</v>
      </c>
      <c r="K767" s="3">
        <v>0.0</v>
      </c>
      <c r="L767" s="3">
        <v>0.0</v>
      </c>
      <c r="M767" s="3">
        <v>0.0</v>
      </c>
      <c r="N767" s="3">
        <v>363.68975</v>
      </c>
      <c r="O767" s="3">
        <v>105.0</v>
      </c>
      <c r="P767" s="3" t="e">
        <v>#N/A</v>
      </c>
      <c r="Q767" s="3">
        <v>36.0</v>
      </c>
      <c r="R767" s="3">
        <v>38.0</v>
      </c>
      <c r="S767" s="3">
        <v>38.0</v>
      </c>
      <c r="T767" s="3">
        <v>36.0</v>
      </c>
      <c r="U767" s="3">
        <v>31.0</v>
      </c>
      <c r="V767" s="3">
        <v>36.0</v>
      </c>
      <c r="W767" s="3">
        <v>48.0</v>
      </c>
      <c r="X767" s="3">
        <v>35.0</v>
      </c>
      <c r="Y767" s="3">
        <v>31.0</v>
      </c>
      <c r="Z767" s="3">
        <v>26.0</v>
      </c>
      <c r="AA767" s="3">
        <v>23.0</v>
      </c>
      <c r="AB767" s="3">
        <v>26.0</v>
      </c>
      <c r="AC767" s="3">
        <v>37.0</v>
      </c>
      <c r="AD767" s="3">
        <v>43.0</v>
      </c>
      <c r="AE767" s="3">
        <v>39.0</v>
      </c>
      <c r="AF767" s="3">
        <v>71.0</v>
      </c>
      <c r="AG767" s="3">
        <v>14.0</v>
      </c>
      <c r="AH767" s="3">
        <v>46.0</v>
      </c>
      <c r="AI767" s="3">
        <v>35.0</v>
      </c>
      <c r="AJ767" s="3">
        <v>33.0</v>
      </c>
      <c r="AK767" s="3">
        <v>47.0</v>
      </c>
      <c r="AL767" s="3">
        <v>56.0</v>
      </c>
      <c r="AM767" s="3">
        <v>32.0</v>
      </c>
      <c r="AN767" s="3">
        <v>51.0</v>
      </c>
    </row>
    <row r="768" ht="14.25" customHeight="1">
      <c r="A768" s="3">
        <v>766.0</v>
      </c>
      <c r="B768" s="3" t="s">
        <v>7944</v>
      </c>
      <c r="C768" s="3">
        <v>37.0</v>
      </c>
      <c r="D768" s="3" t="s">
        <v>6645</v>
      </c>
      <c r="E768" s="3" t="s">
        <v>6646</v>
      </c>
      <c r="F768" s="3" t="s">
        <v>6646</v>
      </c>
      <c r="G768" s="3" t="s">
        <v>6645</v>
      </c>
      <c r="H768" s="3" t="s">
        <v>6645</v>
      </c>
      <c r="I768" s="3" t="s">
        <v>6646</v>
      </c>
      <c r="J768" s="3">
        <v>-1.0</v>
      </c>
      <c r="K768" s="3">
        <v>3.0</v>
      </c>
      <c r="L768" s="3">
        <v>0.0</v>
      </c>
      <c r="M768" s="3">
        <v>0.0</v>
      </c>
      <c r="N768" s="3">
        <v>5503.5073</v>
      </c>
      <c r="O768" s="3">
        <v>771.0</v>
      </c>
      <c r="P768" s="3" t="e">
        <v>#N/A</v>
      </c>
      <c r="Q768" s="3">
        <v>50.0</v>
      </c>
      <c r="R768" s="3">
        <v>46.0</v>
      </c>
      <c r="S768" s="3">
        <v>49.0</v>
      </c>
      <c r="T768" s="3">
        <v>47.0</v>
      </c>
      <c r="U768" s="3">
        <v>51.0</v>
      </c>
      <c r="V768" s="3">
        <v>45.0</v>
      </c>
      <c r="W768" s="3">
        <v>56.0</v>
      </c>
      <c r="X768" s="3">
        <v>43.0</v>
      </c>
      <c r="Y768" s="3">
        <v>58.0</v>
      </c>
      <c r="Z768" s="3">
        <v>58.0</v>
      </c>
      <c r="AA768" s="3">
        <v>45.0</v>
      </c>
      <c r="AB768" s="3">
        <v>61.0</v>
      </c>
      <c r="AC768" s="3">
        <v>47.0</v>
      </c>
      <c r="AD768" s="3">
        <v>48.0</v>
      </c>
      <c r="AE768" s="3">
        <v>41.0</v>
      </c>
      <c r="AF768" s="3">
        <v>61.0</v>
      </c>
      <c r="AG768" s="3">
        <v>10.0</v>
      </c>
      <c r="AH768" s="3">
        <v>36.0</v>
      </c>
      <c r="AI768" s="3">
        <v>49.0</v>
      </c>
      <c r="AJ768" s="3">
        <v>71.0</v>
      </c>
      <c r="AK768" s="3">
        <v>43.0</v>
      </c>
      <c r="AL768" s="3">
        <v>63.0</v>
      </c>
      <c r="AM768" s="3">
        <v>60.0</v>
      </c>
      <c r="AN768" s="3">
        <v>61.0</v>
      </c>
    </row>
    <row r="769" ht="14.25" customHeight="1">
      <c r="A769" s="3">
        <v>767.0</v>
      </c>
      <c r="B769" s="3" t="s">
        <v>7945</v>
      </c>
      <c r="C769" s="3">
        <v>45.0</v>
      </c>
      <c r="D769" s="3" t="s">
        <v>6645</v>
      </c>
      <c r="E769" s="3" t="s">
        <v>6646</v>
      </c>
      <c r="F769" s="3" t="s">
        <v>6646</v>
      </c>
      <c r="G769" s="3" t="s">
        <v>6645</v>
      </c>
      <c r="H769" s="3" t="s">
        <v>6645</v>
      </c>
      <c r="I769" s="3" t="s">
        <v>6646</v>
      </c>
      <c r="J769" s="3">
        <v>-1.0</v>
      </c>
      <c r="K769" s="3">
        <v>5.0</v>
      </c>
      <c r="L769" s="3">
        <v>0.0</v>
      </c>
      <c r="M769" s="3">
        <v>0.0</v>
      </c>
      <c r="N769" s="3">
        <v>17560.722</v>
      </c>
      <c r="O769" s="3">
        <v>3275.0</v>
      </c>
      <c r="P769" s="3" t="e">
        <v>#N/A</v>
      </c>
      <c r="Q769" s="3">
        <v>93.0</v>
      </c>
      <c r="R769" s="3">
        <v>62.0</v>
      </c>
      <c r="S769" s="3">
        <v>95.0</v>
      </c>
      <c r="T769" s="3">
        <v>57.0</v>
      </c>
      <c r="U769" s="3">
        <v>84.0</v>
      </c>
      <c r="V769" s="3">
        <v>55.0</v>
      </c>
      <c r="W769" s="3">
        <v>86.0</v>
      </c>
      <c r="X769" s="3">
        <v>70.0</v>
      </c>
      <c r="Y769" s="3">
        <v>84.0</v>
      </c>
      <c r="Z769" s="3">
        <v>62.0</v>
      </c>
      <c r="AA769" s="3">
        <v>55.0</v>
      </c>
      <c r="AB769" s="3">
        <v>80.0</v>
      </c>
      <c r="AC769" s="3">
        <v>54.0</v>
      </c>
      <c r="AD769" s="3">
        <v>87.0</v>
      </c>
      <c r="AE769" s="3">
        <v>58.0</v>
      </c>
      <c r="AF769" s="3">
        <v>53.0</v>
      </c>
      <c r="AG769" s="3">
        <v>61.0</v>
      </c>
      <c r="AH769" s="3">
        <v>54.0</v>
      </c>
      <c r="AI769" s="3">
        <v>60.0</v>
      </c>
      <c r="AJ769" s="3">
        <v>37.0</v>
      </c>
      <c r="AK769" s="3">
        <v>48.0</v>
      </c>
      <c r="AL769" s="3">
        <v>57.0</v>
      </c>
      <c r="AM769" s="3">
        <v>65.0</v>
      </c>
      <c r="AN769" s="3">
        <v>75.0</v>
      </c>
    </row>
    <row r="770" ht="14.25" customHeight="1">
      <c r="A770" s="3">
        <v>768.0</v>
      </c>
      <c r="B770" s="3" t="s">
        <v>7946</v>
      </c>
      <c r="C770" s="3">
        <v>20.0</v>
      </c>
      <c r="D770" s="3" t="s">
        <v>6645</v>
      </c>
      <c r="E770" s="3" t="s">
        <v>6646</v>
      </c>
      <c r="F770" s="3" t="s">
        <v>6646</v>
      </c>
      <c r="G770" s="3" t="s">
        <v>6645</v>
      </c>
      <c r="H770" s="3" t="s">
        <v>6645</v>
      </c>
      <c r="I770" s="3" t="s">
        <v>6646</v>
      </c>
      <c r="J770" s="3">
        <v>-1.0</v>
      </c>
      <c r="K770" s="3">
        <v>0.0</v>
      </c>
      <c r="L770" s="3">
        <v>0.0</v>
      </c>
      <c r="M770" s="3">
        <v>0.0</v>
      </c>
      <c r="N770" s="3">
        <v>501.99368</v>
      </c>
      <c r="O770" s="3">
        <v>123.0</v>
      </c>
      <c r="P770" s="3" t="e">
        <v>#N/A</v>
      </c>
      <c r="Q770" s="3">
        <v>39.0</v>
      </c>
      <c r="R770" s="3">
        <v>30.0</v>
      </c>
      <c r="S770" s="3">
        <v>32.0</v>
      </c>
      <c r="T770" s="3">
        <v>39.0</v>
      </c>
      <c r="U770" s="3">
        <v>31.0</v>
      </c>
      <c r="V770" s="3">
        <v>31.0</v>
      </c>
      <c r="W770" s="3">
        <v>35.0</v>
      </c>
      <c r="X770" s="3">
        <v>43.0</v>
      </c>
      <c r="Y770" s="3">
        <v>39.0</v>
      </c>
      <c r="Z770" s="3">
        <v>43.0</v>
      </c>
      <c r="AA770" s="3">
        <v>39.0</v>
      </c>
      <c r="AB770" s="3">
        <v>31.0</v>
      </c>
      <c r="AC770" s="3">
        <v>29.0</v>
      </c>
      <c r="AD770" s="3">
        <v>27.0</v>
      </c>
      <c r="AE770" s="3">
        <v>25.0</v>
      </c>
      <c r="AF770" s="3">
        <v>62.0</v>
      </c>
      <c r="AG770" s="3">
        <v>53.0</v>
      </c>
      <c r="AH770" s="3">
        <v>46.0</v>
      </c>
      <c r="AI770" s="3">
        <v>57.0</v>
      </c>
      <c r="AJ770" s="3">
        <v>53.0</v>
      </c>
      <c r="AK770" s="3">
        <v>20.0</v>
      </c>
      <c r="AL770" s="3">
        <v>48.0</v>
      </c>
      <c r="AM770" s="3">
        <v>52.0</v>
      </c>
      <c r="AN770" s="3">
        <v>51.0</v>
      </c>
    </row>
    <row r="771" ht="14.25" customHeight="1">
      <c r="A771" s="3">
        <v>769.0</v>
      </c>
      <c r="B771" s="3" t="s">
        <v>7947</v>
      </c>
      <c r="C771" s="3">
        <v>34.0</v>
      </c>
      <c r="D771" s="3" t="s">
        <v>6645</v>
      </c>
      <c r="E771" s="3" t="s">
        <v>6646</v>
      </c>
      <c r="F771" s="3" t="s">
        <v>6646</v>
      </c>
      <c r="G771" s="3" t="s">
        <v>6645</v>
      </c>
      <c r="H771" s="3" t="s">
        <v>6645</v>
      </c>
      <c r="I771" s="3" t="s">
        <v>6645</v>
      </c>
      <c r="J771" s="3">
        <v>-1.0</v>
      </c>
      <c r="K771" s="3">
        <v>2.0</v>
      </c>
      <c r="L771" s="3">
        <v>0.0</v>
      </c>
      <c r="M771" s="3">
        <v>0.0</v>
      </c>
      <c r="N771" s="3">
        <v>2665.64</v>
      </c>
      <c r="O771" s="3">
        <v>471.0</v>
      </c>
      <c r="P771" s="3" t="e">
        <v>#N/A</v>
      </c>
      <c r="Q771" s="3">
        <v>40.0</v>
      </c>
      <c r="R771" s="3">
        <v>47.0</v>
      </c>
      <c r="S771" s="3">
        <v>47.0</v>
      </c>
      <c r="T771" s="3">
        <v>46.0</v>
      </c>
      <c r="U771" s="3">
        <v>46.0</v>
      </c>
      <c r="V771" s="3">
        <v>45.0</v>
      </c>
      <c r="W771" s="3">
        <v>48.0</v>
      </c>
      <c r="X771" s="3">
        <v>44.0</v>
      </c>
      <c r="Y771" s="3">
        <v>40.0</v>
      </c>
      <c r="Z771" s="3">
        <v>48.0</v>
      </c>
      <c r="AA771" s="3">
        <v>52.0</v>
      </c>
      <c r="AB771" s="3">
        <v>48.0</v>
      </c>
      <c r="AC771" s="3">
        <v>36.0</v>
      </c>
      <c r="AD771" s="3">
        <v>39.0</v>
      </c>
      <c r="AE771" s="3">
        <v>47.0</v>
      </c>
      <c r="AF771" s="3">
        <v>43.0</v>
      </c>
      <c r="AG771" s="3">
        <v>48.0</v>
      </c>
      <c r="AH771" s="3">
        <v>39.0</v>
      </c>
      <c r="AI771" s="3">
        <v>37.0</v>
      </c>
      <c r="AJ771" s="3">
        <v>75.0</v>
      </c>
      <c r="AK771" s="3">
        <v>73.0</v>
      </c>
      <c r="AL771" s="3">
        <v>35.0</v>
      </c>
      <c r="AM771" s="3">
        <v>14.0</v>
      </c>
      <c r="AN771" s="3">
        <v>20.0</v>
      </c>
    </row>
    <row r="772" ht="14.25" customHeight="1">
      <c r="A772" s="3">
        <v>770.0</v>
      </c>
      <c r="B772" s="3" t="s">
        <v>7948</v>
      </c>
      <c r="C772" s="3">
        <v>37.0</v>
      </c>
      <c r="D772" s="3" t="s">
        <v>6645</v>
      </c>
      <c r="E772" s="3" t="s">
        <v>6646</v>
      </c>
      <c r="F772" s="3" t="s">
        <v>6646</v>
      </c>
      <c r="G772" s="3" t="s">
        <v>6645</v>
      </c>
      <c r="H772" s="3" t="s">
        <v>6645</v>
      </c>
      <c r="I772" s="3" t="s">
        <v>6645</v>
      </c>
      <c r="J772" s="3">
        <v>-1.0</v>
      </c>
      <c r="K772" s="3">
        <v>4.0</v>
      </c>
      <c r="L772" s="3">
        <v>0.0</v>
      </c>
      <c r="M772" s="3">
        <v>0.0</v>
      </c>
      <c r="N772" s="3">
        <v>9066.75</v>
      </c>
      <c r="O772" s="3">
        <v>1407.0</v>
      </c>
      <c r="P772" s="3" t="e">
        <v>#N/A</v>
      </c>
      <c r="Q772" s="3">
        <v>63.0</v>
      </c>
      <c r="R772" s="3">
        <v>63.0</v>
      </c>
      <c r="S772" s="3">
        <v>64.0</v>
      </c>
      <c r="T772" s="3">
        <v>58.0</v>
      </c>
      <c r="U772" s="3">
        <v>54.0</v>
      </c>
      <c r="V772" s="3">
        <v>61.0</v>
      </c>
      <c r="W772" s="3">
        <v>61.0</v>
      </c>
      <c r="X772" s="3">
        <v>47.0</v>
      </c>
      <c r="Y772" s="3">
        <v>52.0</v>
      </c>
      <c r="Z772" s="3">
        <v>60.0</v>
      </c>
      <c r="AA772" s="3">
        <v>59.0</v>
      </c>
      <c r="AB772" s="3">
        <v>53.0</v>
      </c>
      <c r="AC772" s="3">
        <v>53.0</v>
      </c>
      <c r="AD772" s="3">
        <v>58.0</v>
      </c>
      <c r="AE772" s="3">
        <v>64.0</v>
      </c>
      <c r="AF772" s="3">
        <v>49.0</v>
      </c>
      <c r="AG772" s="3">
        <v>50.0</v>
      </c>
      <c r="AH772" s="3">
        <v>25.0</v>
      </c>
      <c r="AI772" s="3">
        <v>60.0</v>
      </c>
      <c r="AJ772" s="3">
        <v>58.0</v>
      </c>
      <c r="AK772" s="3">
        <v>58.0</v>
      </c>
      <c r="AL772" s="3">
        <v>71.0</v>
      </c>
      <c r="AM772" s="3">
        <v>69.0</v>
      </c>
      <c r="AN772" s="3">
        <v>27.0</v>
      </c>
    </row>
    <row r="773" ht="14.25" customHeight="1">
      <c r="A773" s="3">
        <v>771.0</v>
      </c>
      <c r="B773" s="3" t="s">
        <v>7949</v>
      </c>
      <c r="C773" s="3">
        <v>43.0</v>
      </c>
      <c r="D773" s="3" t="s">
        <v>6645</v>
      </c>
      <c r="E773" s="3" t="s">
        <v>6646</v>
      </c>
      <c r="F773" s="3" t="s">
        <v>6646</v>
      </c>
      <c r="G773" s="3" t="s">
        <v>6645</v>
      </c>
      <c r="H773" s="3" t="s">
        <v>6645</v>
      </c>
      <c r="I773" s="3" t="s">
        <v>6645</v>
      </c>
      <c r="J773" s="3">
        <v>-1.0</v>
      </c>
      <c r="K773" s="3">
        <v>5.0</v>
      </c>
      <c r="L773" s="3">
        <v>0.0</v>
      </c>
      <c r="M773" s="3">
        <v>0.0</v>
      </c>
      <c r="N773" s="3">
        <v>15554.27</v>
      </c>
      <c r="O773" s="3">
        <v>3647.0</v>
      </c>
      <c r="P773" s="3" t="e">
        <v>#N/A</v>
      </c>
      <c r="Q773" s="3">
        <v>64.0</v>
      </c>
      <c r="R773" s="3">
        <v>61.0</v>
      </c>
      <c r="S773" s="3">
        <v>55.0</v>
      </c>
      <c r="T773" s="3">
        <v>80.0</v>
      </c>
      <c r="U773" s="3">
        <v>85.0</v>
      </c>
      <c r="V773" s="3">
        <v>68.0</v>
      </c>
      <c r="W773" s="3">
        <v>87.0</v>
      </c>
      <c r="X773" s="3">
        <v>65.0</v>
      </c>
      <c r="Y773" s="3">
        <v>58.0</v>
      </c>
      <c r="Z773" s="3">
        <v>85.0</v>
      </c>
      <c r="AA773" s="3">
        <v>55.0</v>
      </c>
      <c r="AB773" s="3">
        <v>62.0</v>
      </c>
      <c r="AC773" s="3">
        <v>61.0</v>
      </c>
      <c r="AD773" s="3">
        <v>85.0</v>
      </c>
      <c r="AE773" s="3">
        <v>53.0</v>
      </c>
      <c r="AF773" s="3">
        <v>54.0</v>
      </c>
      <c r="AG773" s="3">
        <v>56.0</v>
      </c>
      <c r="AH773" s="3">
        <v>43.0</v>
      </c>
      <c r="AI773" s="3">
        <v>59.0</v>
      </c>
      <c r="AJ773" s="3">
        <v>40.0</v>
      </c>
      <c r="AK773" s="3">
        <v>44.0</v>
      </c>
      <c r="AL773" s="3">
        <v>45.0</v>
      </c>
      <c r="AM773" s="3">
        <v>43.0</v>
      </c>
      <c r="AN773" s="3">
        <v>57.0</v>
      </c>
    </row>
    <row r="774" ht="14.25" customHeight="1">
      <c r="A774" s="3">
        <v>772.0</v>
      </c>
      <c r="B774" s="3" t="s">
        <v>7950</v>
      </c>
      <c r="C774" s="3">
        <v>35.0</v>
      </c>
      <c r="D774" s="3" t="s">
        <v>6645</v>
      </c>
      <c r="E774" s="3" t="s">
        <v>6646</v>
      </c>
      <c r="F774" s="3" t="s">
        <v>6646</v>
      </c>
      <c r="G774" s="3" t="s">
        <v>6645</v>
      </c>
      <c r="H774" s="3" t="s">
        <v>6645</v>
      </c>
      <c r="I774" s="3" t="s">
        <v>6646</v>
      </c>
      <c r="J774" s="3">
        <v>-1.0</v>
      </c>
      <c r="K774" s="3">
        <v>4.0</v>
      </c>
      <c r="L774" s="3">
        <v>0.0</v>
      </c>
      <c r="M774" s="3">
        <v>0.0</v>
      </c>
      <c r="N774" s="3">
        <v>8448.62</v>
      </c>
      <c r="O774" s="3">
        <v>1942.0</v>
      </c>
      <c r="P774" s="3" t="e">
        <v>#N/A</v>
      </c>
      <c r="Q774" s="3">
        <v>71.0</v>
      </c>
      <c r="R774" s="3">
        <v>57.0</v>
      </c>
      <c r="S774" s="3">
        <v>58.0</v>
      </c>
      <c r="T774" s="3">
        <v>55.0</v>
      </c>
      <c r="U774" s="3">
        <v>65.0</v>
      </c>
      <c r="V774" s="3">
        <v>51.0</v>
      </c>
      <c r="W774" s="3">
        <v>53.0</v>
      </c>
      <c r="X774" s="3">
        <v>62.0</v>
      </c>
      <c r="Y774" s="3">
        <v>70.0</v>
      </c>
      <c r="Z774" s="3">
        <v>49.0</v>
      </c>
      <c r="AA774" s="3">
        <v>58.0</v>
      </c>
      <c r="AB774" s="3">
        <v>69.0</v>
      </c>
      <c r="AC774" s="3">
        <v>69.0</v>
      </c>
      <c r="AD774" s="3">
        <v>58.0</v>
      </c>
      <c r="AE774" s="3">
        <v>48.0</v>
      </c>
      <c r="AF774" s="3">
        <v>52.0</v>
      </c>
      <c r="AG774" s="3">
        <v>55.0</v>
      </c>
      <c r="AH774" s="3">
        <v>51.0</v>
      </c>
      <c r="AI774" s="3">
        <v>59.0</v>
      </c>
      <c r="AJ774" s="3">
        <v>55.0</v>
      </c>
      <c r="AK774" s="3">
        <v>62.0</v>
      </c>
      <c r="AL774" s="3">
        <v>54.0</v>
      </c>
      <c r="AM774" s="3">
        <v>34.0</v>
      </c>
      <c r="AN774" s="3">
        <v>77.0</v>
      </c>
    </row>
    <row r="775" ht="14.25" customHeight="1">
      <c r="A775" s="3">
        <v>773.0</v>
      </c>
      <c r="B775" s="3" t="s">
        <v>7951</v>
      </c>
      <c r="C775" s="3">
        <v>23.0</v>
      </c>
      <c r="D775" s="3" t="s">
        <v>6645</v>
      </c>
      <c r="E775" s="3" t="s">
        <v>6646</v>
      </c>
      <c r="F775" s="3" t="s">
        <v>6646</v>
      </c>
      <c r="G775" s="3" t="s">
        <v>6645</v>
      </c>
      <c r="H775" s="3" t="s">
        <v>6645</v>
      </c>
      <c r="I775" s="3" t="s">
        <v>6645</v>
      </c>
      <c r="J775" s="3">
        <v>-1.0</v>
      </c>
      <c r="K775" s="3">
        <v>1.0</v>
      </c>
      <c r="L775" s="3">
        <v>0.0</v>
      </c>
      <c r="M775" s="3">
        <v>0.0</v>
      </c>
      <c r="N775" s="3">
        <v>1189.39</v>
      </c>
      <c r="O775" s="3">
        <v>223.0</v>
      </c>
      <c r="P775" s="3" t="e">
        <v>#N/A</v>
      </c>
      <c r="Q775" s="3">
        <v>39.0</v>
      </c>
      <c r="R775" s="3">
        <v>42.0</v>
      </c>
      <c r="S775" s="3">
        <v>42.0</v>
      </c>
      <c r="T775" s="3">
        <v>36.0</v>
      </c>
      <c r="U775" s="3">
        <v>44.0</v>
      </c>
      <c r="V775" s="3">
        <v>36.0</v>
      </c>
      <c r="W775" s="3">
        <v>34.0</v>
      </c>
      <c r="X775" s="3">
        <v>35.0</v>
      </c>
      <c r="Y775" s="3">
        <v>41.0</v>
      </c>
      <c r="Z775" s="3">
        <v>37.0</v>
      </c>
      <c r="AA775" s="3">
        <v>49.0</v>
      </c>
      <c r="AB775" s="3">
        <v>30.0</v>
      </c>
      <c r="AC775" s="3">
        <v>40.0</v>
      </c>
      <c r="AD775" s="3">
        <v>37.0</v>
      </c>
      <c r="AE775" s="3">
        <v>49.0</v>
      </c>
      <c r="AF775" s="3">
        <v>59.0</v>
      </c>
      <c r="AG775" s="3">
        <v>54.0</v>
      </c>
      <c r="AH775" s="3">
        <v>52.0</v>
      </c>
      <c r="AI775" s="3">
        <v>24.0</v>
      </c>
      <c r="AJ775" s="3">
        <v>74.0</v>
      </c>
      <c r="AK775" s="3">
        <v>38.0</v>
      </c>
      <c r="AL775" s="3">
        <v>58.0</v>
      </c>
      <c r="AM775" s="3">
        <v>39.0</v>
      </c>
      <c r="AN775" s="3">
        <v>56.0</v>
      </c>
    </row>
    <row r="776" ht="14.25" customHeight="1">
      <c r="A776" s="3">
        <v>774.0</v>
      </c>
      <c r="B776" s="3" t="s">
        <v>7952</v>
      </c>
      <c r="C776" s="3">
        <v>17.0</v>
      </c>
      <c r="D776" s="3" t="s">
        <v>6645</v>
      </c>
      <c r="E776" s="3" t="s">
        <v>6646</v>
      </c>
      <c r="F776" s="3" t="s">
        <v>6646</v>
      </c>
      <c r="G776" s="3" t="s">
        <v>6645</v>
      </c>
      <c r="H776" s="3" t="s">
        <v>6645</v>
      </c>
      <c r="I776" s="3" t="s">
        <v>6646</v>
      </c>
      <c r="J776" s="3">
        <v>-1.0</v>
      </c>
      <c r="K776" s="3">
        <v>0.0</v>
      </c>
      <c r="L776" s="3">
        <v>0.0</v>
      </c>
      <c r="M776" s="3">
        <v>0.0</v>
      </c>
      <c r="N776" s="3">
        <v>460.97778</v>
      </c>
      <c r="O776" s="3">
        <v>101.0</v>
      </c>
      <c r="P776" s="3" t="e">
        <v>#N/A</v>
      </c>
      <c r="Q776" s="3">
        <v>30.0</v>
      </c>
      <c r="R776" s="3">
        <v>36.0</v>
      </c>
      <c r="S776" s="3">
        <v>33.0</v>
      </c>
      <c r="T776" s="3">
        <v>33.0</v>
      </c>
      <c r="U776" s="3">
        <v>38.0</v>
      </c>
      <c r="V776" s="3">
        <v>38.0</v>
      </c>
      <c r="W776" s="3">
        <v>24.0</v>
      </c>
      <c r="X776" s="3">
        <v>31.0</v>
      </c>
      <c r="Y776" s="3">
        <v>44.0</v>
      </c>
      <c r="Z776" s="3">
        <v>26.0</v>
      </c>
      <c r="AA776" s="3">
        <v>39.0</v>
      </c>
      <c r="AB776" s="3">
        <v>28.0</v>
      </c>
      <c r="AC776" s="3">
        <v>32.0</v>
      </c>
      <c r="AD776" s="3">
        <v>45.0</v>
      </c>
      <c r="AE776" s="3">
        <v>42.0</v>
      </c>
      <c r="AF776" s="3">
        <v>54.0</v>
      </c>
      <c r="AG776" s="3">
        <v>30.0</v>
      </c>
      <c r="AH776" s="3">
        <v>13.0</v>
      </c>
      <c r="AI776" s="3">
        <v>51.0</v>
      </c>
      <c r="AJ776" s="3">
        <v>4.0</v>
      </c>
      <c r="AK776" s="3">
        <v>41.0</v>
      </c>
      <c r="AL776" s="3">
        <v>70.0</v>
      </c>
      <c r="AM776" s="3">
        <v>61.0</v>
      </c>
      <c r="AN776" s="3">
        <v>55.0</v>
      </c>
    </row>
    <row r="777" ht="14.25" customHeight="1">
      <c r="A777" s="3">
        <v>775.0</v>
      </c>
      <c r="B777" s="3" t="s">
        <v>7953</v>
      </c>
      <c r="C777" s="3">
        <v>34.0</v>
      </c>
      <c r="D777" s="3" t="s">
        <v>6645</v>
      </c>
      <c r="E777" s="3" t="s">
        <v>6646</v>
      </c>
      <c r="F777" s="3" t="s">
        <v>6646</v>
      </c>
      <c r="G777" s="3" t="s">
        <v>6645</v>
      </c>
      <c r="H777" s="3" t="s">
        <v>6645</v>
      </c>
      <c r="I777" s="3" t="s">
        <v>6645</v>
      </c>
      <c r="J777" s="3">
        <v>-1.0</v>
      </c>
      <c r="K777" s="3">
        <v>3.0</v>
      </c>
      <c r="L777" s="3">
        <v>0.0</v>
      </c>
      <c r="M777" s="3">
        <v>0.0</v>
      </c>
      <c r="N777" s="3">
        <v>5213.5234</v>
      </c>
      <c r="O777" s="3">
        <v>903.0</v>
      </c>
      <c r="P777" s="3" t="e">
        <v>#N/A</v>
      </c>
      <c r="Q777" s="3">
        <v>54.0</v>
      </c>
      <c r="R777" s="3">
        <v>47.0</v>
      </c>
      <c r="S777" s="3">
        <v>50.0</v>
      </c>
      <c r="T777" s="3">
        <v>45.0</v>
      </c>
      <c r="U777" s="3">
        <v>58.0</v>
      </c>
      <c r="V777" s="3">
        <v>50.0</v>
      </c>
      <c r="W777" s="3">
        <v>51.0</v>
      </c>
      <c r="X777" s="3">
        <v>50.0</v>
      </c>
      <c r="Y777" s="3">
        <v>60.0</v>
      </c>
      <c r="Z777" s="3">
        <v>45.0</v>
      </c>
      <c r="AA777" s="3">
        <v>60.0</v>
      </c>
      <c r="AB777" s="3">
        <v>43.0</v>
      </c>
      <c r="AC777" s="3">
        <v>53.0</v>
      </c>
      <c r="AD777" s="3">
        <v>45.0</v>
      </c>
      <c r="AE777" s="3">
        <v>40.0</v>
      </c>
      <c r="AF777" s="3">
        <v>61.0</v>
      </c>
      <c r="AG777" s="3">
        <v>51.0</v>
      </c>
      <c r="AH777" s="3">
        <v>39.0</v>
      </c>
      <c r="AI777" s="3">
        <v>63.0</v>
      </c>
      <c r="AJ777" s="3">
        <v>47.0</v>
      </c>
      <c r="AK777" s="3">
        <v>76.0</v>
      </c>
      <c r="AL777" s="3">
        <v>11.0</v>
      </c>
      <c r="AM777" s="3">
        <v>59.0</v>
      </c>
      <c r="AN777" s="3">
        <v>57.0</v>
      </c>
    </row>
    <row r="778" ht="14.25" customHeight="1">
      <c r="A778" s="3">
        <v>776.0</v>
      </c>
      <c r="B778" s="3" t="s">
        <v>7954</v>
      </c>
      <c r="C778" s="3">
        <v>16.0</v>
      </c>
      <c r="D778" s="3" t="s">
        <v>6645</v>
      </c>
      <c r="E778" s="3" t="s">
        <v>6646</v>
      </c>
      <c r="F778" s="3" t="s">
        <v>6646</v>
      </c>
      <c r="G778" s="3" t="s">
        <v>6645</v>
      </c>
      <c r="H778" s="3" t="s">
        <v>6645</v>
      </c>
      <c r="I778" s="3" t="s">
        <v>6645</v>
      </c>
      <c r="J778" s="3">
        <v>-1.0</v>
      </c>
      <c r="K778" s="3">
        <v>0.0</v>
      </c>
      <c r="L778" s="3">
        <v>0.0</v>
      </c>
      <c r="M778" s="3">
        <v>0.0</v>
      </c>
      <c r="N778" s="3">
        <v>471.65792</v>
      </c>
      <c r="O778" s="3">
        <v>97.0</v>
      </c>
      <c r="P778" s="3" t="e">
        <v>#N/A</v>
      </c>
      <c r="Q778" s="3">
        <v>34.0</v>
      </c>
      <c r="R778" s="3">
        <v>32.0</v>
      </c>
      <c r="S778" s="3">
        <v>30.0</v>
      </c>
      <c r="T778" s="3">
        <v>30.0</v>
      </c>
      <c r="U778" s="3">
        <v>39.0</v>
      </c>
      <c r="V778" s="3">
        <v>30.0</v>
      </c>
      <c r="W778" s="3">
        <v>22.0</v>
      </c>
      <c r="X778" s="3">
        <v>29.0</v>
      </c>
      <c r="Y778" s="3">
        <v>41.0</v>
      </c>
      <c r="Z778" s="3">
        <v>37.0</v>
      </c>
      <c r="AA778" s="3">
        <v>34.0</v>
      </c>
      <c r="AB778" s="3">
        <v>41.0</v>
      </c>
      <c r="AC778" s="3">
        <v>43.0</v>
      </c>
      <c r="AD778" s="3">
        <v>22.0</v>
      </c>
      <c r="AE778" s="3">
        <v>36.0</v>
      </c>
      <c r="AF778" s="3">
        <v>43.0</v>
      </c>
      <c r="AG778" s="3">
        <v>8.0</v>
      </c>
      <c r="AH778" s="3">
        <v>34.0</v>
      </c>
      <c r="AI778" s="3">
        <v>30.0</v>
      </c>
      <c r="AJ778" s="3">
        <v>62.0</v>
      </c>
      <c r="AK778" s="3">
        <v>59.0</v>
      </c>
      <c r="AL778" s="3">
        <v>38.0</v>
      </c>
      <c r="AM778" s="3">
        <v>52.0</v>
      </c>
      <c r="AN778" s="3">
        <v>51.0</v>
      </c>
    </row>
    <row r="779" ht="14.25" customHeight="1">
      <c r="A779" s="3">
        <v>777.0</v>
      </c>
      <c r="B779" s="3" t="s">
        <v>7955</v>
      </c>
      <c r="C779" s="3">
        <v>36.0</v>
      </c>
      <c r="D779" s="3" t="s">
        <v>6645</v>
      </c>
      <c r="E779" s="3" t="s">
        <v>6646</v>
      </c>
      <c r="F779" s="3" t="s">
        <v>6646</v>
      </c>
      <c r="G779" s="3" t="s">
        <v>6645</v>
      </c>
      <c r="H779" s="3" t="s">
        <v>6645</v>
      </c>
      <c r="I779" s="3" t="s">
        <v>6646</v>
      </c>
      <c r="J779" s="3">
        <v>-1.0</v>
      </c>
      <c r="K779" s="3">
        <v>3.0</v>
      </c>
      <c r="L779" s="3">
        <v>0.0</v>
      </c>
      <c r="M779" s="3">
        <v>0.0</v>
      </c>
      <c r="N779" s="3">
        <v>4923.9077</v>
      </c>
      <c r="O779" s="3">
        <v>616.0</v>
      </c>
      <c r="P779" s="3" t="e">
        <v>#N/A</v>
      </c>
      <c r="Q779" s="3">
        <v>48.0</v>
      </c>
      <c r="R779" s="3">
        <v>48.0</v>
      </c>
      <c r="S779" s="3">
        <v>52.0</v>
      </c>
      <c r="T779" s="3">
        <v>54.0</v>
      </c>
      <c r="U779" s="3">
        <v>53.0</v>
      </c>
      <c r="V779" s="3">
        <v>47.0</v>
      </c>
      <c r="W779" s="3">
        <v>46.0</v>
      </c>
      <c r="X779" s="3">
        <v>50.0</v>
      </c>
      <c r="Y779" s="3">
        <v>63.0</v>
      </c>
      <c r="Z779" s="3">
        <v>57.0</v>
      </c>
      <c r="AA779" s="3">
        <v>45.0</v>
      </c>
      <c r="AB779" s="3">
        <v>48.0</v>
      </c>
      <c r="AC779" s="3">
        <v>42.0</v>
      </c>
      <c r="AD779" s="3">
        <v>56.0</v>
      </c>
      <c r="AE779" s="3">
        <v>52.0</v>
      </c>
      <c r="AF779" s="3">
        <v>18.0</v>
      </c>
      <c r="AG779" s="3">
        <v>12.0</v>
      </c>
      <c r="AH779" s="3">
        <v>62.0</v>
      </c>
      <c r="AI779" s="3">
        <v>69.0</v>
      </c>
      <c r="AJ779" s="3">
        <v>78.0</v>
      </c>
      <c r="AK779" s="3">
        <v>74.0</v>
      </c>
      <c r="AL779" s="3">
        <v>46.0</v>
      </c>
      <c r="AM779" s="3">
        <v>25.0</v>
      </c>
      <c r="AN779" s="3">
        <v>55.0</v>
      </c>
    </row>
    <row r="780" ht="14.25" customHeight="1">
      <c r="A780" s="3">
        <v>778.0</v>
      </c>
      <c r="B780" s="3" t="s">
        <v>7956</v>
      </c>
      <c r="C780" s="3">
        <v>15.0</v>
      </c>
      <c r="D780" s="3" t="s">
        <v>6645</v>
      </c>
      <c r="E780" s="3" t="s">
        <v>6646</v>
      </c>
      <c r="F780" s="3" t="s">
        <v>6646</v>
      </c>
      <c r="G780" s="3" t="s">
        <v>6645</v>
      </c>
      <c r="H780" s="3" t="s">
        <v>6645</v>
      </c>
      <c r="I780" s="3" t="s">
        <v>6646</v>
      </c>
      <c r="J780" s="3">
        <v>-1.0</v>
      </c>
      <c r="K780" s="3">
        <v>0.0</v>
      </c>
      <c r="L780" s="3">
        <v>0.0</v>
      </c>
      <c r="M780" s="3">
        <v>0.0</v>
      </c>
      <c r="N780" s="3">
        <v>459.17</v>
      </c>
      <c r="O780" s="3">
        <v>113.0</v>
      </c>
      <c r="P780" s="3" t="e">
        <v>#N/A</v>
      </c>
      <c r="Q780" s="3">
        <v>37.0</v>
      </c>
      <c r="R780" s="3">
        <v>36.0</v>
      </c>
      <c r="S780" s="3">
        <v>35.0</v>
      </c>
      <c r="T780" s="3">
        <v>31.0</v>
      </c>
      <c r="U780" s="3">
        <v>32.0</v>
      </c>
      <c r="V780" s="3">
        <v>32.0</v>
      </c>
      <c r="W780" s="3">
        <v>23.0</v>
      </c>
      <c r="X780" s="3">
        <v>25.0</v>
      </c>
      <c r="Y780" s="3">
        <v>40.0</v>
      </c>
      <c r="Z780" s="3">
        <v>24.0</v>
      </c>
      <c r="AA780" s="3">
        <v>34.0</v>
      </c>
      <c r="AB780" s="3">
        <v>45.0</v>
      </c>
      <c r="AC780" s="3">
        <v>31.0</v>
      </c>
      <c r="AD780" s="3">
        <v>39.0</v>
      </c>
      <c r="AE780" s="3">
        <v>40.0</v>
      </c>
      <c r="AF780" s="3">
        <v>47.0</v>
      </c>
      <c r="AG780" s="3">
        <v>27.0</v>
      </c>
      <c r="AH780" s="3">
        <v>67.0</v>
      </c>
      <c r="AI780" s="3">
        <v>17.0</v>
      </c>
      <c r="AJ780" s="3">
        <v>30.0</v>
      </c>
      <c r="AK780" s="3">
        <v>65.0</v>
      </c>
      <c r="AL780" s="3">
        <v>46.0</v>
      </c>
      <c r="AM780" s="3">
        <v>38.0</v>
      </c>
      <c r="AN780" s="3">
        <v>70.0</v>
      </c>
    </row>
    <row r="781" ht="14.25" customHeight="1">
      <c r="A781" s="3">
        <v>779.0</v>
      </c>
      <c r="B781" s="3" t="s">
        <v>7957</v>
      </c>
      <c r="C781" s="3">
        <v>21.0</v>
      </c>
      <c r="D781" s="3" t="s">
        <v>6645</v>
      </c>
      <c r="E781" s="3" t="s">
        <v>6646</v>
      </c>
      <c r="F781" s="3" t="s">
        <v>6646</v>
      </c>
      <c r="G781" s="3" t="s">
        <v>6645</v>
      </c>
      <c r="H781" s="3" t="s">
        <v>6645</v>
      </c>
      <c r="I781" s="3" t="s">
        <v>6646</v>
      </c>
      <c r="J781" s="3">
        <v>-1.0</v>
      </c>
      <c r="K781" s="3">
        <v>0.0</v>
      </c>
      <c r="L781" s="3">
        <v>0.0</v>
      </c>
      <c r="M781" s="3">
        <v>0.0</v>
      </c>
      <c r="N781" s="3">
        <v>455.774</v>
      </c>
      <c r="O781" s="3">
        <v>116.0</v>
      </c>
      <c r="P781" s="3" t="e">
        <v>#N/A</v>
      </c>
      <c r="Q781" s="3">
        <v>31.0</v>
      </c>
      <c r="R781" s="3">
        <v>38.0</v>
      </c>
      <c r="S781" s="3">
        <v>39.0</v>
      </c>
      <c r="T781" s="3">
        <v>31.0</v>
      </c>
      <c r="U781" s="3">
        <v>36.0</v>
      </c>
      <c r="V781" s="3">
        <v>34.0</v>
      </c>
      <c r="W781" s="3">
        <v>39.0</v>
      </c>
      <c r="X781" s="3">
        <v>49.0</v>
      </c>
      <c r="Y781" s="3">
        <v>26.0</v>
      </c>
      <c r="Z781" s="3">
        <v>29.0</v>
      </c>
      <c r="AA781" s="3">
        <v>30.0</v>
      </c>
      <c r="AB781" s="3">
        <v>24.0</v>
      </c>
      <c r="AC781" s="3">
        <v>38.0</v>
      </c>
      <c r="AD781" s="3">
        <v>33.0</v>
      </c>
      <c r="AE781" s="3">
        <v>39.0</v>
      </c>
      <c r="AF781" s="3">
        <v>21.0</v>
      </c>
      <c r="AG781" s="3">
        <v>31.0</v>
      </c>
      <c r="AH781" s="3">
        <v>74.0</v>
      </c>
      <c r="AI781" s="3">
        <v>53.0</v>
      </c>
      <c r="AJ781" s="3">
        <v>55.0</v>
      </c>
      <c r="AK781" s="3">
        <v>48.0</v>
      </c>
      <c r="AL781" s="3">
        <v>69.0</v>
      </c>
      <c r="AM781" s="3">
        <v>41.0</v>
      </c>
      <c r="AN781" s="3">
        <v>51.0</v>
      </c>
    </row>
    <row r="782" ht="14.25" customHeight="1">
      <c r="A782" s="3">
        <v>780.0</v>
      </c>
      <c r="B782" s="3" t="s">
        <v>7958</v>
      </c>
      <c r="C782" s="3">
        <v>38.0</v>
      </c>
      <c r="D782" s="3" t="s">
        <v>6645</v>
      </c>
      <c r="E782" s="3" t="s">
        <v>6646</v>
      </c>
      <c r="F782" s="3" t="s">
        <v>6646</v>
      </c>
      <c r="G782" s="3" t="s">
        <v>6645</v>
      </c>
      <c r="H782" s="3" t="s">
        <v>6645</v>
      </c>
      <c r="I782" s="3" t="s">
        <v>6646</v>
      </c>
      <c r="J782" s="3">
        <v>-1.0</v>
      </c>
      <c r="K782" s="3">
        <v>3.0</v>
      </c>
      <c r="L782" s="3">
        <v>0.0</v>
      </c>
      <c r="M782" s="3">
        <v>0.0</v>
      </c>
      <c r="N782" s="3">
        <v>5405.94</v>
      </c>
      <c r="O782" s="3">
        <v>916.0</v>
      </c>
      <c r="P782" s="3" t="e">
        <v>#N/A</v>
      </c>
      <c r="Q782" s="3">
        <v>54.0</v>
      </c>
      <c r="R782" s="3">
        <v>46.0</v>
      </c>
      <c r="S782" s="3">
        <v>54.0</v>
      </c>
      <c r="T782" s="3">
        <v>48.0</v>
      </c>
      <c r="U782" s="3">
        <v>50.0</v>
      </c>
      <c r="V782" s="3">
        <v>53.0</v>
      </c>
      <c r="W782" s="3">
        <v>53.0</v>
      </c>
      <c r="X782" s="3">
        <v>62.0</v>
      </c>
      <c r="Y782" s="3">
        <v>49.0</v>
      </c>
      <c r="Z782" s="3">
        <v>52.0</v>
      </c>
      <c r="AA782" s="3">
        <v>56.0</v>
      </c>
      <c r="AB782" s="3">
        <v>45.0</v>
      </c>
      <c r="AC782" s="3">
        <v>42.0</v>
      </c>
      <c r="AD782" s="3">
        <v>63.0</v>
      </c>
      <c r="AE782" s="3">
        <v>49.0</v>
      </c>
      <c r="AF782" s="3">
        <v>51.0</v>
      </c>
      <c r="AG782" s="3">
        <v>53.0</v>
      </c>
      <c r="AH782" s="3">
        <v>78.0</v>
      </c>
      <c r="AI782" s="3">
        <v>75.0</v>
      </c>
      <c r="AJ782" s="3">
        <v>46.0</v>
      </c>
      <c r="AK782" s="3">
        <v>32.0</v>
      </c>
      <c r="AL782" s="3">
        <v>51.0</v>
      </c>
      <c r="AM782" s="3">
        <v>57.0</v>
      </c>
      <c r="AN782" s="3">
        <v>14.0</v>
      </c>
    </row>
    <row r="783" ht="14.25" customHeight="1">
      <c r="A783" s="3">
        <v>781.0</v>
      </c>
      <c r="B783" s="3" t="s">
        <v>7959</v>
      </c>
      <c r="C783" s="3">
        <v>48.0</v>
      </c>
      <c r="D783" s="3" t="s">
        <v>6645</v>
      </c>
      <c r="E783" s="3" t="s">
        <v>6646</v>
      </c>
      <c r="F783" s="3" t="s">
        <v>6646</v>
      </c>
      <c r="G783" s="3" t="s">
        <v>6645</v>
      </c>
      <c r="H783" s="3" t="s">
        <v>6645</v>
      </c>
      <c r="I783" s="3" t="s">
        <v>6646</v>
      </c>
      <c r="J783" s="3">
        <v>-1.0</v>
      </c>
      <c r="K783" s="3">
        <v>5.0</v>
      </c>
      <c r="L783" s="3">
        <v>0.0</v>
      </c>
      <c r="M783" s="3">
        <v>0.0</v>
      </c>
      <c r="N783" s="3">
        <v>13980.593</v>
      </c>
      <c r="O783" s="3">
        <v>3801.0</v>
      </c>
      <c r="P783" s="3" t="e">
        <v>#N/A</v>
      </c>
      <c r="Q783" s="3">
        <v>64.0</v>
      </c>
      <c r="R783" s="3">
        <v>55.0</v>
      </c>
      <c r="S783" s="3">
        <v>64.0</v>
      </c>
      <c r="T783" s="3">
        <v>76.0</v>
      </c>
      <c r="U783" s="3">
        <v>66.0</v>
      </c>
      <c r="V783" s="3">
        <v>71.0</v>
      </c>
      <c r="W783" s="3">
        <v>67.0</v>
      </c>
      <c r="X783" s="3">
        <v>69.0</v>
      </c>
      <c r="Y783" s="3">
        <v>87.0</v>
      </c>
      <c r="Z783" s="3">
        <v>51.0</v>
      </c>
      <c r="AA783" s="3">
        <v>70.0</v>
      </c>
      <c r="AB783" s="3">
        <v>63.0</v>
      </c>
      <c r="AC783" s="3">
        <v>87.0</v>
      </c>
      <c r="AD783" s="3">
        <v>74.0</v>
      </c>
      <c r="AE783" s="3">
        <v>55.0</v>
      </c>
      <c r="AF783" s="3">
        <v>79.0</v>
      </c>
      <c r="AG783" s="3">
        <v>82.0</v>
      </c>
      <c r="AH783" s="3">
        <v>77.0</v>
      </c>
      <c r="AI783" s="3">
        <v>50.0</v>
      </c>
      <c r="AJ783" s="3">
        <v>41.0</v>
      </c>
      <c r="AK783" s="3">
        <v>28.0</v>
      </c>
      <c r="AL783" s="3">
        <v>46.0</v>
      </c>
      <c r="AM783" s="3">
        <v>22.0</v>
      </c>
      <c r="AN783" s="3">
        <v>68.0</v>
      </c>
    </row>
    <row r="784" ht="14.25" customHeight="1">
      <c r="A784" s="3">
        <v>782.0</v>
      </c>
      <c r="B784" s="3" t="s">
        <v>7960</v>
      </c>
      <c r="C784" s="3">
        <v>21.0</v>
      </c>
      <c r="D784" s="3" t="s">
        <v>6645</v>
      </c>
      <c r="E784" s="3" t="s">
        <v>6646</v>
      </c>
      <c r="F784" s="3" t="s">
        <v>6646</v>
      </c>
      <c r="G784" s="3" t="s">
        <v>6645</v>
      </c>
      <c r="H784" s="3" t="s">
        <v>6645</v>
      </c>
      <c r="I784" s="3" t="s">
        <v>6645</v>
      </c>
      <c r="J784" s="3">
        <v>-1.0</v>
      </c>
      <c r="K784" s="3">
        <v>0.0</v>
      </c>
      <c r="L784" s="3">
        <v>0.0</v>
      </c>
      <c r="M784" s="3">
        <v>0.0</v>
      </c>
      <c r="N784" s="3">
        <v>459.37377</v>
      </c>
      <c r="O784" s="3">
        <v>78.0</v>
      </c>
      <c r="P784" s="3" t="e">
        <v>#N/A</v>
      </c>
      <c r="Q784" s="3">
        <v>37.0</v>
      </c>
      <c r="R784" s="3">
        <v>32.0</v>
      </c>
      <c r="S784" s="3">
        <v>38.0</v>
      </c>
      <c r="T784" s="3">
        <v>34.0</v>
      </c>
      <c r="U784" s="3">
        <v>34.0</v>
      </c>
      <c r="V784" s="3">
        <v>39.0</v>
      </c>
      <c r="W784" s="3">
        <v>42.0</v>
      </c>
      <c r="X784" s="3">
        <v>30.0</v>
      </c>
      <c r="Y784" s="3">
        <v>32.0</v>
      </c>
      <c r="Z784" s="3">
        <v>43.0</v>
      </c>
      <c r="AA784" s="3">
        <v>40.0</v>
      </c>
      <c r="AB784" s="3">
        <v>24.0</v>
      </c>
      <c r="AC784" s="3">
        <v>38.0</v>
      </c>
      <c r="AD784" s="3">
        <v>37.0</v>
      </c>
      <c r="AE784" s="3">
        <v>26.0</v>
      </c>
      <c r="AF784" s="3">
        <v>50.0</v>
      </c>
      <c r="AG784" s="3">
        <v>35.0</v>
      </c>
      <c r="AH784" s="3">
        <v>31.0</v>
      </c>
      <c r="AI784" s="3">
        <v>54.0</v>
      </c>
      <c r="AJ784" s="3">
        <v>48.0</v>
      </c>
      <c r="AK784" s="3">
        <v>46.0</v>
      </c>
      <c r="AL784" s="3">
        <v>58.0</v>
      </c>
      <c r="AM784" s="3">
        <v>35.0</v>
      </c>
      <c r="AN784" s="3">
        <v>58.0</v>
      </c>
    </row>
    <row r="785" ht="14.25" customHeight="1">
      <c r="A785" s="3">
        <v>783.0</v>
      </c>
      <c r="B785" s="3" t="s">
        <v>7961</v>
      </c>
      <c r="C785" s="3">
        <v>18.0</v>
      </c>
      <c r="D785" s="3" t="s">
        <v>6645</v>
      </c>
      <c r="E785" s="3" t="s">
        <v>6646</v>
      </c>
      <c r="F785" s="3" t="s">
        <v>6646</v>
      </c>
      <c r="G785" s="3" t="s">
        <v>6645</v>
      </c>
      <c r="H785" s="3" t="s">
        <v>6645</v>
      </c>
      <c r="I785" s="3" t="s">
        <v>6645</v>
      </c>
      <c r="J785" s="3">
        <v>-1.0</v>
      </c>
      <c r="K785" s="3">
        <v>0.0</v>
      </c>
      <c r="L785" s="3">
        <v>0.0</v>
      </c>
      <c r="M785" s="3">
        <v>0.0</v>
      </c>
      <c r="N785" s="3">
        <v>443.75283</v>
      </c>
      <c r="O785" s="3">
        <v>88.0</v>
      </c>
      <c r="P785" s="3" t="e">
        <v>#N/A</v>
      </c>
      <c r="Q785" s="3">
        <v>39.0</v>
      </c>
      <c r="R785" s="3">
        <v>36.0</v>
      </c>
      <c r="S785" s="3">
        <v>31.0</v>
      </c>
      <c r="T785" s="3">
        <v>39.0</v>
      </c>
      <c r="U785" s="3">
        <v>38.0</v>
      </c>
      <c r="V785" s="3">
        <v>30.0</v>
      </c>
      <c r="W785" s="3">
        <v>34.0</v>
      </c>
      <c r="X785" s="3">
        <v>30.0</v>
      </c>
      <c r="Y785" s="3">
        <v>36.0</v>
      </c>
      <c r="Z785" s="3">
        <v>30.0</v>
      </c>
      <c r="AA785" s="3">
        <v>35.0</v>
      </c>
      <c r="AB785" s="3">
        <v>41.0</v>
      </c>
      <c r="AC785" s="3">
        <v>43.0</v>
      </c>
      <c r="AD785" s="3">
        <v>32.0</v>
      </c>
      <c r="AE785" s="3">
        <v>34.0</v>
      </c>
      <c r="AF785" s="3">
        <v>11.0</v>
      </c>
      <c r="AG785" s="3">
        <v>34.0</v>
      </c>
      <c r="AH785" s="3">
        <v>31.0</v>
      </c>
      <c r="AI785" s="3">
        <v>47.0</v>
      </c>
      <c r="AJ785" s="3">
        <v>40.0</v>
      </c>
      <c r="AK785" s="3">
        <v>46.0</v>
      </c>
      <c r="AL785" s="3">
        <v>51.0</v>
      </c>
      <c r="AM785" s="3">
        <v>42.0</v>
      </c>
      <c r="AN785" s="3">
        <v>67.0</v>
      </c>
    </row>
    <row r="786" ht="14.25" customHeight="1">
      <c r="A786" s="3">
        <v>784.0</v>
      </c>
      <c r="B786" s="3" t="s">
        <v>7962</v>
      </c>
      <c r="C786" s="3">
        <v>15.0</v>
      </c>
      <c r="D786" s="3" t="s">
        <v>6645</v>
      </c>
      <c r="E786" s="3" t="s">
        <v>6646</v>
      </c>
      <c r="F786" s="3" t="s">
        <v>6646</v>
      </c>
      <c r="G786" s="3" t="s">
        <v>6645</v>
      </c>
      <c r="H786" s="3" t="s">
        <v>6645</v>
      </c>
      <c r="I786" s="3" t="s">
        <v>6645</v>
      </c>
      <c r="J786" s="3">
        <v>-1.0</v>
      </c>
      <c r="K786" s="3">
        <v>0.0</v>
      </c>
      <c r="L786" s="3">
        <v>0.0</v>
      </c>
      <c r="M786" s="3">
        <v>0.0</v>
      </c>
      <c r="N786" s="3">
        <v>538.62</v>
      </c>
      <c r="O786" s="3">
        <v>99.0</v>
      </c>
      <c r="P786" s="3" t="e">
        <v>#N/A</v>
      </c>
      <c r="Q786" s="3">
        <v>33.0</v>
      </c>
      <c r="R786" s="3">
        <v>39.0</v>
      </c>
      <c r="S786" s="3">
        <v>31.0</v>
      </c>
      <c r="T786" s="3">
        <v>37.0</v>
      </c>
      <c r="U786" s="3">
        <v>33.0</v>
      </c>
      <c r="V786" s="3">
        <v>32.0</v>
      </c>
      <c r="W786" s="3">
        <v>42.0</v>
      </c>
      <c r="X786" s="3">
        <v>35.0</v>
      </c>
      <c r="Y786" s="3">
        <v>37.0</v>
      </c>
      <c r="Z786" s="3">
        <v>46.0</v>
      </c>
      <c r="AA786" s="3">
        <v>34.0</v>
      </c>
      <c r="AB786" s="3">
        <v>27.0</v>
      </c>
      <c r="AC786" s="3">
        <v>32.0</v>
      </c>
      <c r="AD786" s="3">
        <v>29.0</v>
      </c>
      <c r="AE786" s="3">
        <v>32.0</v>
      </c>
      <c r="AF786" s="3">
        <v>70.0</v>
      </c>
      <c r="AG786" s="3">
        <v>41.0</v>
      </c>
      <c r="AH786" s="3">
        <v>30.0</v>
      </c>
      <c r="AI786" s="3">
        <v>33.0</v>
      </c>
      <c r="AJ786" s="3">
        <v>55.0</v>
      </c>
      <c r="AK786" s="3">
        <v>39.0</v>
      </c>
      <c r="AL786" s="3">
        <v>34.0</v>
      </c>
      <c r="AM786" s="3">
        <v>3.0</v>
      </c>
      <c r="AN786" s="3">
        <v>43.0</v>
      </c>
    </row>
    <row r="787" ht="14.25" customHeight="1">
      <c r="A787" s="3">
        <v>785.0</v>
      </c>
      <c r="B787" s="3" t="s">
        <v>7963</v>
      </c>
      <c r="C787" s="3">
        <v>25.0</v>
      </c>
      <c r="D787" s="3" t="s">
        <v>6645</v>
      </c>
      <c r="E787" s="3" t="s">
        <v>6646</v>
      </c>
      <c r="F787" s="3" t="s">
        <v>6646</v>
      </c>
      <c r="G787" s="3" t="s">
        <v>6645</v>
      </c>
      <c r="H787" s="3" t="s">
        <v>6645</v>
      </c>
      <c r="I787" s="3" t="s">
        <v>6645</v>
      </c>
      <c r="J787" s="3">
        <v>-1.0</v>
      </c>
      <c r="K787" s="3">
        <v>1.0</v>
      </c>
      <c r="L787" s="3">
        <v>0.0</v>
      </c>
      <c r="M787" s="3">
        <v>0.0</v>
      </c>
      <c r="N787" s="3">
        <v>1047.5449</v>
      </c>
      <c r="O787" s="3">
        <v>160.0</v>
      </c>
      <c r="P787" s="3" t="e">
        <v>#N/A</v>
      </c>
      <c r="Q787" s="3">
        <v>37.0</v>
      </c>
      <c r="R787" s="3">
        <v>43.0</v>
      </c>
      <c r="S787" s="3">
        <v>38.0</v>
      </c>
      <c r="T787" s="3">
        <v>40.0</v>
      </c>
      <c r="U787" s="3">
        <v>37.0</v>
      </c>
      <c r="V787" s="3">
        <v>36.0</v>
      </c>
      <c r="W787" s="3">
        <v>32.0</v>
      </c>
      <c r="X787" s="3">
        <v>48.0</v>
      </c>
      <c r="Y787" s="3">
        <v>40.0</v>
      </c>
      <c r="Z787" s="3">
        <v>44.0</v>
      </c>
      <c r="AA787" s="3">
        <v>33.0</v>
      </c>
      <c r="AB787" s="3">
        <v>50.0</v>
      </c>
      <c r="AC787" s="3">
        <v>43.0</v>
      </c>
      <c r="AD787" s="3">
        <v>50.0</v>
      </c>
      <c r="AE787" s="3">
        <v>29.0</v>
      </c>
      <c r="AF787" s="3">
        <v>24.0</v>
      </c>
      <c r="AG787" s="3">
        <v>56.0</v>
      </c>
      <c r="AH787" s="3">
        <v>42.0</v>
      </c>
      <c r="AI787" s="3">
        <v>42.0</v>
      </c>
      <c r="AJ787" s="3">
        <v>50.0</v>
      </c>
      <c r="AK787" s="3">
        <v>56.0</v>
      </c>
      <c r="AL787" s="3">
        <v>59.0</v>
      </c>
      <c r="AM787" s="3">
        <v>43.0</v>
      </c>
      <c r="AN787" s="3">
        <v>75.0</v>
      </c>
    </row>
    <row r="788" ht="14.25" customHeight="1">
      <c r="A788" s="3">
        <v>786.0</v>
      </c>
      <c r="B788" s="3" t="s">
        <v>7964</v>
      </c>
      <c r="C788" s="3">
        <v>27.0</v>
      </c>
      <c r="D788" s="3" t="s">
        <v>6645</v>
      </c>
      <c r="E788" s="3" t="s">
        <v>6646</v>
      </c>
      <c r="F788" s="3" t="s">
        <v>6646</v>
      </c>
      <c r="G788" s="3" t="s">
        <v>6645</v>
      </c>
      <c r="H788" s="3" t="s">
        <v>6645</v>
      </c>
      <c r="I788" s="3" t="s">
        <v>6645</v>
      </c>
      <c r="J788" s="3">
        <v>-1.0</v>
      </c>
      <c r="K788" s="3">
        <v>1.0</v>
      </c>
      <c r="L788" s="3">
        <v>0.0</v>
      </c>
      <c r="M788" s="3">
        <v>0.0</v>
      </c>
      <c r="N788" s="3">
        <v>1158.0676</v>
      </c>
      <c r="O788" s="3">
        <v>200.0</v>
      </c>
      <c r="P788" s="3" t="e">
        <v>#N/A</v>
      </c>
      <c r="Q788" s="3">
        <v>41.0</v>
      </c>
      <c r="R788" s="3">
        <v>42.0</v>
      </c>
      <c r="S788" s="3">
        <v>44.0</v>
      </c>
      <c r="T788" s="3">
        <v>39.0</v>
      </c>
      <c r="U788" s="3">
        <v>39.0</v>
      </c>
      <c r="V788" s="3">
        <v>38.0</v>
      </c>
      <c r="W788" s="3">
        <v>38.0</v>
      </c>
      <c r="X788" s="3">
        <v>47.0</v>
      </c>
      <c r="Y788" s="3">
        <v>36.0</v>
      </c>
      <c r="Z788" s="3">
        <v>44.0</v>
      </c>
      <c r="AA788" s="3">
        <v>27.0</v>
      </c>
      <c r="AB788" s="3">
        <v>48.0</v>
      </c>
      <c r="AC788" s="3">
        <v>39.0</v>
      </c>
      <c r="AD788" s="3">
        <v>36.0</v>
      </c>
      <c r="AE788" s="3">
        <v>36.0</v>
      </c>
      <c r="AF788" s="3">
        <v>54.0</v>
      </c>
      <c r="AG788" s="3">
        <v>45.0</v>
      </c>
      <c r="AH788" s="3">
        <v>36.0</v>
      </c>
      <c r="AI788" s="3">
        <v>59.0</v>
      </c>
      <c r="AJ788" s="3">
        <v>54.0</v>
      </c>
      <c r="AK788" s="3">
        <v>43.0</v>
      </c>
      <c r="AL788" s="3">
        <v>36.0</v>
      </c>
      <c r="AM788" s="3">
        <v>49.0</v>
      </c>
      <c r="AN788" s="3">
        <v>39.0</v>
      </c>
    </row>
    <row r="789" ht="14.25" customHeight="1">
      <c r="A789" s="3">
        <v>787.0</v>
      </c>
      <c r="B789" s="3" t="s">
        <v>7965</v>
      </c>
      <c r="C789" s="3">
        <v>49.0</v>
      </c>
      <c r="D789" s="3" t="s">
        <v>6645</v>
      </c>
      <c r="E789" s="3" t="s">
        <v>6646</v>
      </c>
      <c r="F789" s="3" t="s">
        <v>6646</v>
      </c>
      <c r="G789" s="3" t="s">
        <v>6645</v>
      </c>
      <c r="H789" s="3" t="s">
        <v>6645</v>
      </c>
      <c r="I789" s="3" t="s">
        <v>6645</v>
      </c>
      <c r="J789" s="3">
        <v>-1.0</v>
      </c>
      <c r="K789" s="3">
        <v>5.0</v>
      </c>
      <c r="L789" s="3">
        <v>0.0</v>
      </c>
      <c r="M789" s="3">
        <v>0.0</v>
      </c>
      <c r="N789" s="3">
        <v>17772.535</v>
      </c>
      <c r="O789" s="3">
        <v>3158.0</v>
      </c>
      <c r="P789" s="3" t="e">
        <v>#N/A</v>
      </c>
      <c r="Q789" s="3">
        <v>61.0</v>
      </c>
      <c r="R789" s="3">
        <v>83.0</v>
      </c>
      <c r="S789" s="3">
        <v>79.0</v>
      </c>
      <c r="T789" s="3">
        <v>64.0</v>
      </c>
      <c r="U789" s="3">
        <v>61.0</v>
      </c>
      <c r="V789" s="3">
        <v>95.0</v>
      </c>
      <c r="W789" s="3">
        <v>82.0</v>
      </c>
      <c r="X789" s="3">
        <v>84.0</v>
      </c>
      <c r="Y789" s="3">
        <v>63.0</v>
      </c>
      <c r="Z789" s="3">
        <v>84.0</v>
      </c>
      <c r="AA789" s="3">
        <v>76.0</v>
      </c>
      <c r="AB789" s="3">
        <v>56.0</v>
      </c>
      <c r="AC789" s="3">
        <v>57.0</v>
      </c>
      <c r="AD789" s="3">
        <v>60.0</v>
      </c>
      <c r="AE789" s="3">
        <v>55.0</v>
      </c>
      <c r="AF789" s="3">
        <v>47.0</v>
      </c>
      <c r="AG789" s="3">
        <v>40.0</v>
      </c>
      <c r="AH789" s="3">
        <v>68.0</v>
      </c>
      <c r="AI789" s="3">
        <v>21.0</v>
      </c>
      <c r="AJ789" s="3">
        <v>43.0</v>
      </c>
      <c r="AK789" s="3">
        <v>81.0</v>
      </c>
      <c r="AL789" s="3">
        <v>62.0</v>
      </c>
      <c r="AM789" s="3">
        <v>41.0</v>
      </c>
      <c r="AN789" s="3">
        <v>65.0</v>
      </c>
    </row>
    <row r="790" ht="14.25" customHeight="1">
      <c r="A790" s="3">
        <v>788.0</v>
      </c>
      <c r="B790" s="3" t="s">
        <v>7966</v>
      </c>
      <c r="C790" s="3">
        <v>46.0</v>
      </c>
      <c r="D790" s="3" t="s">
        <v>6645</v>
      </c>
      <c r="E790" s="3" t="s">
        <v>6646</v>
      </c>
      <c r="F790" s="3" t="s">
        <v>6646</v>
      </c>
      <c r="G790" s="3" t="s">
        <v>6645</v>
      </c>
      <c r="H790" s="3" t="s">
        <v>6645</v>
      </c>
      <c r="I790" s="3" t="s">
        <v>6646</v>
      </c>
      <c r="J790" s="3">
        <v>-1.0</v>
      </c>
      <c r="K790" s="3">
        <v>5.0</v>
      </c>
      <c r="L790" s="3">
        <v>0.0</v>
      </c>
      <c r="M790" s="3">
        <v>0.0</v>
      </c>
      <c r="N790" s="3">
        <v>14819.2</v>
      </c>
      <c r="O790" s="3">
        <v>3674.0</v>
      </c>
      <c r="P790" s="3" t="e">
        <v>#N/A</v>
      </c>
      <c r="Q790" s="3">
        <v>59.0</v>
      </c>
      <c r="R790" s="3">
        <v>59.0</v>
      </c>
      <c r="S790" s="3">
        <v>59.0</v>
      </c>
      <c r="T790" s="3">
        <v>72.0</v>
      </c>
      <c r="U790" s="3">
        <v>58.0</v>
      </c>
      <c r="V790" s="3">
        <v>75.0</v>
      </c>
      <c r="W790" s="3">
        <v>87.0</v>
      </c>
      <c r="X790" s="3">
        <v>66.0</v>
      </c>
      <c r="Y790" s="3">
        <v>80.0</v>
      </c>
      <c r="Z790" s="3">
        <v>52.0</v>
      </c>
      <c r="AA790" s="3">
        <v>86.0</v>
      </c>
      <c r="AB790" s="3">
        <v>54.0</v>
      </c>
      <c r="AC790" s="3">
        <v>73.0</v>
      </c>
      <c r="AD790" s="3">
        <v>81.0</v>
      </c>
      <c r="AE790" s="3">
        <v>59.0</v>
      </c>
      <c r="AF790" s="3">
        <v>61.0</v>
      </c>
      <c r="AG790" s="3">
        <v>26.0</v>
      </c>
      <c r="AH790" s="3">
        <v>55.0</v>
      </c>
      <c r="AI790" s="3">
        <v>86.0</v>
      </c>
      <c r="AJ790" s="3">
        <v>37.0</v>
      </c>
      <c r="AK790" s="3">
        <v>57.0</v>
      </c>
      <c r="AL790" s="3">
        <v>83.0</v>
      </c>
      <c r="AM790" s="3">
        <v>60.0</v>
      </c>
      <c r="AN790" s="3">
        <v>54.0</v>
      </c>
    </row>
    <row r="791" ht="14.25" customHeight="1">
      <c r="A791" s="3">
        <v>789.0</v>
      </c>
      <c r="B791" s="3" t="s">
        <v>7967</v>
      </c>
      <c r="C791" s="3">
        <v>22.0</v>
      </c>
      <c r="D791" s="3" t="s">
        <v>6645</v>
      </c>
      <c r="E791" s="3" t="s">
        <v>6646</v>
      </c>
      <c r="F791" s="3" t="s">
        <v>6646</v>
      </c>
      <c r="G791" s="3" t="s">
        <v>6645</v>
      </c>
      <c r="H791" s="3" t="s">
        <v>6645</v>
      </c>
      <c r="I791" s="3" t="s">
        <v>6645</v>
      </c>
      <c r="J791" s="3">
        <v>-1.0</v>
      </c>
      <c r="K791" s="3">
        <v>1.0</v>
      </c>
      <c r="L791" s="3">
        <v>0.0</v>
      </c>
      <c r="M791" s="3">
        <v>0.0</v>
      </c>
      <c r="N791" s="3">
        <v>1267.3704</v>
      </c>
      <c r="O791" s="3">
        <v>246.0</v>
      </c>
      <c r="P791" s="3" t="e">
        <v>#N/A</v>
      </c>
      <c r="Q791" s="3">
        <v>44.0</v>
      </c>
      <c r="R791" s="3">
        <v>38.0</v>
      </c>
      <c r="S791" s="3">
        <v>35.0</v>
      </c>
      <c r="T791" s="3">
        <v>42.0</v>
      </c>
      <c r="U791" s="3">
        <v>38.0</v>
      </c>
      <c r="V791" s="3">
        <v>35.0</v>
      </c>
      <c r="W791" s="3">
        <v>39.0</v>
      </c>
      <c r="X791" s="3">
        <v>42.0</v>
      </c>
      <c r="Y791" s="3">
        <v>45.0</v>
      </c>
      <c r="Z791" s="3">
        <v>29.0</v>
      </c>
      <c r="AA791" s="3">
        <v>36.0</v>
      </c>
      <c r="AB791" s="3">
        <v>29.0</v>
      </c>
      <c r="AC791" s="3">
        <v>33.0</v>
      </c>
      <c r="AD791" s="3">
        <v>52.0</v>
      </c>
      <c r="AE791" s="3">
        <v>43.0</v>
      </c>
      <c r="AF791" s="3">
        <v>35.0</v>
      </c>
      <c r="AG791" s="3">
        <v>34.0</v>
      </c>
      <c r="AH791" s="3">
        <v>67.0</v>
      </c>
      <c r="AI791" s="3">
        <v>46.0</v>
      </c>
      <c r="AJ791" s="3">
        <v>41.0</v>
      </c>
      <c r="AK791" s="3">
        <v>53.0</v>
      </c>
      <c r="AL791" s="3">
        <v>75.0</v>
      </c>
      <c r="AM791" s="3">
        <v>55.0</v>
      </c>
      <c r="AN791" s="3">
        <v>13.0</v>
      </c>
    </row>
    <row r="792" ht="14.25" customHeight="1">
      <c r="A792" s="3">
        <v>790.0</v>
      </c>
      <c r="B792" s="3" t="s">
        <v>7968</v>
      </c>
      <c r="C792" s="3">
        <v>33.0</v>
      </c>
      <c r="D792" s="3" t="s">
        <v>6645</v>
      </c>
      <c r="E792" s="3" t="s">
        <v>6646</v>
      </c>
      <c r="F792" s="3" t="s">
        <v>6646</v>
      </c>
      <c r="G792" s="3" t="s">
        <v>6645</v>
      </c>
      <c r="H792" s="3" t="s">
        <v>6645</v>
      </c>
      <c r="I792" s="3" t="s">
        <v>6646</v>
      </c>
      <c r="J792" s="3">
        <v>-1.0</v>
      </c>
      <c r="K792" s="3">
        <v>3.0</v>
      </c>
      <c r="L792" s="3">
        <v>0.0</v>
      </c>
      <c r="M792" s="3">
        <v>0.0</v>
      </c>
      <c r="N792" s="3">
        <v>4224.154</v>
      </c>
      <c r="O792" s="3">
        <v>944.0</v>
      </c>
      <c r="P792" s="3" t="e">
        <v>#N/A</v>
      </c>
      <c r="Q792" s="3">
        <v>54.0</v>
      </c>
      <c r="R792" s="3">
        <v>50.0</v>
      </c>
      <c r="S792" s="3">
        <v>46.0</v>
      </c>
      <c r="T792" s="3">
        <v>45.0</v>
      </c>
      <c r="U792" s="3">
        <v>50.0</v>
      </c>
      <c r="V792" s="3">
        <v>45.0</v>
      </c>
      <c r="W792" s="3">
        <v>45.0</v>
      </c>
      <c r="X792" s="3">
        <v>43.0</v>
      </c>
      <c r="Y792" s="3">
        <v>56.0</v>
      </c>
      <c r="Z792" s="3">
        <v>47.0</v>
      </c>
      <c r="AA792" s="3">
        <v>46.0</v>
      </c>
      <c r="AB792" s="3">
        <v>47.0</v>
      </c>
      <c r="AC792" s="3">
        <v>45.0</v>
      </c>
      <c r="AD792" s="3">
        <v>54.0</v>
      </c>
      <c r="AE792" s="3">
        <v>55.0</v>
      </c>
      <c r="AF792" s="3">
        <v>16.0</v>
      </c>
      <c r="AG792" s="3">
        <v>58.0</v>
      </c>
      <c r="AH792" s="3">
        <v>41.0</v>
      </c>
      <c r="AI792" s="3">
        <v>79.0</v>
      </c>
      <c r="AJ792" s="3">
        <v>34.0</v>
      </c>
      <c r="AK792" s="3">
        <v>15.0</v>
      </c>
      <c r="AL792" s="3">
        <v>70.0</v>
      </c>
      <c r="AM792" s="3">
        <v>59.0</v>
      </c>
      <c r="AN792" s="3">
        <v>76.0</v>
      </c>
    </row>
    <row r="793" ht="14.25" customHeight="1">
      <c r="A793" s="3">
        <v>791.0</v>
      </c>
      <c r="B793" s="3" t="s">
        <v>7969</v>
      </c>
      <c r="C793" s="3">
        <v>30.0</v>
      </c>
      <c r="D793" s="3" t="s">
        <v>6645</v>
      </c>
      <c r="E793" s="3" t="s">
        <v>6646</v>
      </c>
      <c r="F793" s="3" t="s">
        <v>6646</v>
      </c>
      <c r="G793" s="3" t="s">
        <v>6645</v>
      </c>
      <c r="H793" s="3" t="s">
        <v>6645</v>
      </c>
      <c r="I793" s="3" t="s">
        <v>6645</v>
      </c>
      <c r="J793" s="3">
        <v>-1.0</v>
      </c>
      <c r="K793" s="3">
        <v>3.0</v>
      </c>
      <c r="L793" s="3">
        <v>0.0</v>
      </c>
      <c r="M793" s="3">
        <v>0.0</v>
      </c>
      <c r="N793" s="3">
        <v>5089.47</v>
      </c>
      <c r="O793" s="3">
        <v>908.0</v>
      </c>
      <c r="P793" s="3" t="e">
        <v>#N/A</v>
      </c>
      <c r="Q793" s="3">
        <v>53.0</v>
      </c>
      <c r="R793" s="3">
        <v>53.0</v>
      </c>
      <c r="S793" s="3">
        <v>54.0</v>
      </c>
      <c r="T793" s="3">
        <v>54.0</v>
      </c>
      <c r="U793" s="3">
        <v>62.0</v>
      </c>
      <c r="V793" s="3">
        <v>54.0</v>
      </c>
      <c r="W793" s="3">
        <v>42.0</v>
      </c>
      <c r="X793" s="3">
        <v>38.0</v>
      </c>
      <c r="Y793" s="3">
        <v>54.0</v>
      </c>
      <c r="Z793" s="3">
        <v>50.0</v>
      </c>
      <c r="AA793" s="3">
        <v>40.0</v>
      </c>
      <c r="AB793" s="3">
        <v>54.0</v>
      </c>
      <c r="AC793" s="3">
        <v>67.0</v>
      </c>
      <c r="AD793" s="3">
        <v>54.0</v>
      </c>
      <c r="AE793" s="3">
        <v>45.0</v>
      </c>
      <c r="AF793" s="3">
        <v>61.0</v>
      </c>
      <c r="AG793" s="3">
        <v>53.0</v>
      </c>
      <c r="AH793" s="3">
        <v>64.0</v>
      </c>
      <c r="AI793" s="3">
        <v>56.0</v>
      </c>
      <c r="AJ793" s="3">
        <v>69.0</v>
      </c>
      <c r="AK793" s="3">
        <v>43.0</v>
      </c>
      <c r="AL793" s="3">
        <v>60.0</v>
      </c>
      <c r="AM793" s="3">
        <v>65.0</v>
      </c>
      <c r="AN793" s="3">
        <v>32.0</v>
      </c>
    </row>
    <row r="794" ht="14.25" customHeight="1">
      <c r="A794" s="3">
        <v>792.0</v>
      </c>
      <c r="B794" s="3" t="s">
        <v>7970</v>
      </c>
      <c r="C794" s="3">
        <v>21.0</v>
      </c>
      <c r="D794" s="3" t="s">
        <v>6645</v>
      </c>
      <c r="E794" s="3" t="s">
        <v>6646</v>
      </c>
      <c r="F794" s="3" t="s">
        <v>6646</v>
      </c>
      <c r="G794" s="3" t="s">
        <v>6645</v>
      </c>
      <c r="H794" s="3" t="s">
        <v>6645</v>
      </c>
      <c r="I794" s="3" t="s">
        <v>6646</v>
      </c>
      <c r="J794" s="3">
        <v>-1.0</v>
      </c>
      <c r="K794" s="3">
        <v>0.0</v>
      </c>
      <c r="L794" s="3">
        <v>0.0</v>
      </c>
      <c r="M794" s="3">
        <v>0.0</v>
      </c>
      <c r="N794" s="3">
        <v>419.18316</v>
      </c>
      <c r="O794" s="3">
        <v>119.0</v>
      </c>
      <c r="P794" s="3" t="e">
        <v>#N/A</v>
      </c>
      <c r="Q794" s="3">
        <v>30.0</v>
      </c>
      <c r="R794" s="3">
        <v>32.0</v>
      </c>
      <c r="S794" s="3">
        <v>33.0</v>
      </c>
      <c r="T794" s="3">
        <v>34.0</v>
      </c>
      <c r="U794" s="3">
        <v>33.0</v>
      </c>
      <c r="V794" s="3">
        <v>30.0</v>
      </c>
      <c r="W794" s="3">
        <v>30.0</v>
      </c>
      <c r="X794" s="3">
        <v>29.0</v>
      </c>
      <c r="Y794" s="3">
        <v>45.0</v>
      </c>
      <c r="Z794" s="3">
        <v>38.0</v>
      </c>
      <c r="AA794" s="3">
        <v>44.0</v>
      </c>
      <c r="AB794" s="3">
        <v>23.0</v>
      </c>
      <c r="AC794" s="3">
        <v>25.0</v>
      </c>
      <c r="AD794" s="3">
        <v>43.0</v>
      </c>
      <c r="AE794" s="3">
        <v>38.0</v>
      </c>
      <c r="AF794" s="3">
        <v>59.0</v>
      </c>
      <c r="AG794" s="3">
        <v>27.0</v>
      </c>
      <c r="AH794" s="3">
        <v>73.0</v>
      </c>
      <c r="AI794" s="3">
        <v>76.0</v>
      </c>
      <c r="AJ794" s="3">
        <v>53.0</v>
      </c>
      <c r="AK794" s="3">
        <v>36.0</v>
      </c>
      <c r="AL794" s="3">
        <v>40.0</v>
      </c>
      <c r="AM794" s="3">
        <v>39.0</v>
      </c>
      <c r="AN794" s="3">
        <v>21.0</v>
      </c>
    </row>
    <row r="795" ht="14.25" customHeight="1">
      <c r="A795" s="3">
        <v>793.0</v>
      </c>
      <c r="B795" s="3" t="s">
        <v>7971</v>
      </c>
      <c r="C795" s="3">
        <v>24.0</v>
      </c>
      <c r="D795" s="3" t="s">
        <v>6645</v>
      </c>
      <c r="E795" s="3" t="s">
        <v>6646</v>
      </c>
      <c r="F795" s="3" t="s">
        <v>6646</v>
      </c>
      <c r="G795" s="3" t="s">
        <v>6645</v>
      </c>
      <c r="H795" s="3" t="s">
        <v>6645</v>
      </c>
      <c r="I795" s="3" t="s">
        <v>6645</v>
      </c>
      <c r="J795" s="3">
        <v>-1.0</v>
      </c>
      <c r="K795" s="3">
        <v>1.0</v>
      </c>
      <c r="L795" s="3">
        <v>0.0</v>
      </c>
      <c r="M795" s="3">
        <v>0.0</v>
      </c>
      <c r="N795" s="3">
        <v>1404.98</v>
      </c>
      <c r="O795" s="3">
        <v>203.0</v>
      </c>
      <c r="P795" s="3" t="e">
        <v>#N/A</v>
      </c>
      <c r="Q795" s="3">
        <v>37.0</v>
      </c>
      <c r="R795" s="3">
        <v>36.0</v>
      </c>
      <c r="S795" s="3">
        <v>35.0</v>
      </c>
      <c r="T795" s="3">
        <v>37.0</v>
      </c>
      <c r="U795" s="3">
        <v>43.0</v>
      </c>
      <c r="V795" s="3">
        <v>38.0</v>
      </c>
      <c r="W795" s="3">
        <v>45.0</v>
      </c>
      <c r="X795" s="3">
        <v>39.0</v>
      </c>
      <c r="Y795" s="3">
        <v>27.0</v>
      </c>
      <c r="Z795" s="3">
        <v>52.0</v>
      </c>
      <c r="AA795" s="3">
        <v>37.0</v>
      </c>
      <c r="AB795" s="3">
        <v>38.0</v>
      </c>
      <c r="AC795" s="3">
        <v>33.0</v>
      </c>
      <c r="AD795" s="3">
        <v>30.0</v>
      </c>
      <c r="AE795" s="3">
        <v>48.0</v>
      </c>
      <c r="AF795" s="3">
        <v>81.0</v>
      </c>
      <c r="AG795" s="3">
        <v>58.0</v>
      </c>
      <c r="AH795" s="3">
        <v>31.0</v>
      </c>
      <c r="AI795" s="3">
        <v>54.0</v>
      </c>
      <c r="AJ795" s="3">
        <v>50.0</v>
      </c>
      <c r="AK795" s="3">
        <v>35.0</v>
      </c>
      <c r="AL795" s="3">
        <v>56.0</v>
      </c>
      <c r="AM795" s="3">
        <v>78.0</v>
      </c>
      <c r="AN795" s="3">
        <v>42.0</v>
      </c>
    </row>
    <row r="796" ht="14.25" customHeight="1">
      <c r="A796" s="3">
        <v>794.0</v>
      </c>
      <c r="B796" s="3" t="s">
        <v>7972</v>
      </c>
      <c r="C796" s="3">
        <v>35.0</v>
      </c>
      <c r="D796" s="3" t="s">
        <v>6645</v>
      </c>
      <c r="E796" s="3" t="s">
        <v>6646</v>
      </c>
      <c r="F796" s="3" t="s">
        <v>6646</v>
      </c>
      <c r="G796" s="3" t="s">
        <v>6645</v>
      </c>
      <c r="H796" s="3" t="s">
        <v>6645</v>
      </c>
      <c r="I796" s="3" t="s">
        <v>6646</v>
      </c>
      <c r="J796" s="3">
        <v>-1.0</v>
      </c>
      <c r="K796" s="3">
        <v>3.0</v>
      </c>
      <c r="L796" s="3">
        <v>0.0</v>
      </c>
      <c r="M796" s="3">
        <v>0.0</v>
      </c>
      <c r="N796" s="3">
        <v>5889.2866</v>
      </c>
      <c r="O796" s="3">
        <v>996.0</v>
      </c>
      <c r="P796" s="3" t="e">
        <v>#N/A</v>
      </c>
      <c r="Q796" s="3">
        <v>52.0</v>
      </c>
      <c r="R796" s="3">
        <v>58.0</v>
      </c>
      <c r="S796" s="3">
        <v>53.0</v>
      </c>
      <c r="T796" s="3">
        <v>45.0</v>
      </c>
      <c r="U796" s="3">
        <v>46.0</v>
      </c>
      <c r="V796" s="3">
        <v>56.0</v>
      </c>
      <c r="W796" s="3">
        <v>55.0</v>
      </c>
      <c r="X796" s="3">
        <v>49.0</v>
      </c>
      <c r="Y796" s="3">
        <v>62.0</v>
      </c>
      <c r="Z796" s="3">
        <v>60.0</v>
      </c>
      <c r="AA796" s="3">
        <v>55.0</v>
      </c>
      <c r="AB796" s="3">
        <v>38.0</v>
      </c>
      <c r="AC796" s="3">
        <v>51.0</v>
      </c>
      <c r="AD796" s="3">
        <v>44.0</v>
      </c>
      <c r="AE796" s="3">
        <v>45.0</v>
      </c>
      <c r="AF796" s="3">
        <v>46.0</v>
      </c>
      <c r="AG796" s="3">
        <v>34.0</v>
      </c>
      <c r="AH796" s="3">
        <v>53.0</v>
      </c>
      <c r="AI796" s="3">
        <v>40.0</v>
      </c>
      <c r="AJ796" s="3">
        <v>35.0</v>
      </c>
      <c r="AK796" s="3">
        <v>75.0</v>
      </c>
      <c r="AL796" s="3">
        <v>64.0</v>
      </c>
      <c r="AM796" s="3">
        <v>80.0</v>
      </c>
      <c r="AN796" s="3">
        <v>56.0</v>
      </c>
    </row>
    <row r="797" ht="14.25" customHeight="1">
      <c r="A797" s="3">
        <v>795.0</v>
      </c>
      <c r="B797" s="3" t="s">
        <v>7973</v>
      </c>
      <c r="C797" s="3">
        <v>26.0</v>
      </c>
      <c r="D797" s="3" t="s">
        <v>6645</v>
      </c>
      <c r="E797" s="3" t="s">
        <v>6646</v>
      </c>
      <c r="F797" s="3" t="s">
        <v>6646</v>
      </c>
      <c r="G797" s="3" t="s">
        <v>6645</v>
      </c>
      <c r="H797" s="3" t="s">
        <v>6645</v>
      </c>
      <c r="I797" s="3" t="s">
        <v>6646</v>
      </c>
      <c r="J797" s="3">
        <v>-1.0</v>
      </c>
      <c r="K797" s="3">
        <v>1.0</v>
      </c>
      <c r="L797" s="3">
        <v>0.0</v>
      </c>
      <c r="M797" s="3">
        <v>0.0</v>
      </c>
      <c r="N797" s="3">
        <v>1121.158</v>
      </c>
      <c r="O797" s="3">
        <v>209.0</v>
      </c>
      <c r="P797" s="3" t="e">
        <v>#N/A</v>
      </c>
      <c r="Q797" s="3">
        <v>41.0</v>
      </c>
      <c r="R797" s="3">
        <v>39.0</v>
      </c>
      <c r="S797" s="3">
        <v>35.0</v>
      </c>
      <c r="T797" s="3">
        <v>44.0</v>
      </c>
      <c r="U797" s="3">
        <v>42.0</v>
      </c>
      <c r="V797" s="3">
        <v>36.0</v>
      </c>
      <c r="W797" s="3">
        <v>38.0</v>
      </c>
      <c r="X797" s="3">
        <v>36.0</v>
      </c>
      <c r="Y797" s="3">
        <v>48.0</v>
      </c>
      <c r="Z797" s="3">
        <v>34.0</v>
      </c>
      <c r="AA797" s="3">
        <v>43.0</v>
      </c>
      <c r="AB797" s="3">
        <v>26.0</v>
      </c>
      <c r="AC797" s="3">
        <v>40.0</v>
      </c>
      <c r="AD797" s="3">
        <v>44.0</v>
      </c>
      <c r="AE797" s="3">
        <v>45.0</v>
      </c>
      <c r="AF797" s="3">
        <v>61.0</v>
      </c>
      <c r="AG797" s="3">
        <v>36.0</v>
      </c>
      <c r="AH797" s="3">
        <v>34.0</v>
      </c>
      <c r="AI797" s="3">
        <v>52.0</v>
      </c>
      <c r="AJ797" s="3">
        <v>55.0</v>
      </c>
      <c r="AK797" s="3">
        <v>48.0</v>
      </c>
      <c r="AL797" s="3">
        <v>50.0</v>
      </c>
      <c r="AM797" s="3">
        <v>36.0</v>
      </c>
      <c r="AN797" s="3">
        <v>55.0</v>
      </c>
    </row>
    <row r="798" ht="14.25" customHeight="1">
      <c r="A798" s="3">
        <v>796.0</v>
      </c>
      <c r="B798" s="3" t="s">
        <v>7974</v>
      </c>
      <c r="C798" s="3">
        <v>41.0</v>
      </c>
      <c r="D798" s="3" t="s">
        <v>6645</v>
      </c>
      <c r="E798" s="3" t="s">
        <v>6646</v>
      </c>
      <c r="F798" s="3" t="s">
        <v>6646</v>
      </c>
      <c r="G798" s="3" t="s">
        <v>6645</v>
      </c>
      <c r="H798" s="3" t="s">
        <v>6645</v>
      </c>
      <c r="I798" s="3" t="s">
        <v>6645</v>
      </c>
      <c r="J798" s="3">
        <v>-1.0</v>
      </c>
      <c r="K798" s="3">
        <v>4.0</v>
      </c>
      <c r="L798" s="3">
        <v>0.0</v>
      </c>
      <c r="M798" s="3">
        <v>0.0</v>
      </c>
      <c r="N798" s="3">
        <v>9243.3</v>
      </c>
      <c r="O798" s="3">
        <v>1777.0</v>
      </c>
      <c r="P798" s="3" t="e">
        <v>#N/A</v>
      </c>
      <c r="Q798" s="3">
        <v>60.0</v>
      </c>
      <c r="R798" s="3">
        <v>61.0</v>
      </c>
      <c r="S798" s="3">
        <v>53.0</v>
      </c>
      <c r="T798" s="3">
        <v>52.0</v>
      </c>
      <c r="U798" s="3">
        <v>64.0</v>
      </c>
      <c r="V798" s="3">
        <v>55.0</v>
      </c>
      <c r="W798" s="3">
        <v>59.0</v>
      </c>
      <c r="X798" s="3">
        <v>75.0</v>
      </c>
      <c r="Y798" s="3">
        <v>57.0</v>
      </c>
      <c r="Z798" s="3">
        <v>56.0</v>
      </c>
      <c r="AA798" s="3">
        <v>68.0</v>
      </c>
      <c r="AB798" s="3">
        <v>59.0</v>
      </c>
      <c r="AC798" s="3">
        <v>52.0</v>
      </c>
      <c r="AD798" s="3">
        <v>51.0</v>
      </c>
      <c r="AE798" s="3">
        <v>60.0</v>
      </c>
      <c r="AF798" s="3">
        <v>35.0</v>
      </c>
      <c r="AG798" s="3">
        <v>65.0</v>
      </c>
      <c r="AH798" s="3">
        <v>65.0</v>
      </c>
      <c r="AI798" s="3">
        <v>60.0</v>
      </c>
      <c r="AJ798" s="3">
        <v>19.0</v>
      </c>
      <c r="AK798" s="3">
        <v>80.0</v>
      </c>
      <c r="AL798" s="3">
        <v>74.0</v>
      </c>
      <c r="AM798" s="3">
        <v>50.0</v>
      </c>
      <c r="AN798" s="3">
        <v>44.0</v>
      </c>
    </row>
    <row r="799" ht="14.25" customHeight="1">
      <c r="A799" s="3">
        <v>797.0</v>
      </c>
      <c r="B799" s="3" t="s">
        <v>7975</v>
      </c>
      <c r="C799" s="3">
        <v>22.0</v>
      </c>
      <c r="D799" s="3" t="s">
        <v>6645</v>
      </c>
      <c r="E799" s="3" t="s">
        <v>6646</v>
      </c>
      <c r="F799" s="3" t="s">
        <v>6646</v>
      </c>
      <c r="G799" s="3" t="s">
        <v>6645</v>
      </c>
      <c r="H799" s="3" t="s">
        <v>6645</v>
      </c>
      <c r="I799" s="3" t="s">
        <v>6645</v>
      </c>
      <c r="J799" s="3">
        <v>-1.0</v>
      </c>
      <c r="K799" s="3">
        <v>0.0</v>
      </c>
      <c r="L799" s="3">
        <v>0.0</v>
      </c>
      <c r="M799" s="3">
        <v>0.0</v>
      </c>
      <c r="N799" s="3">
        <v>580.80133</v>
      </c>
      <c r="O799" s="3">
        <v>99.0</v>
      </c>
      <c r="P799" s="3" t="e">
        <v>#N/A</v>
      </c>
      <c r="Q799" s="3">
        <v>37.0</v>
      </c>
      <c r="R799" s="3">
        <v>38.0</v>
      </c>
      <c r="S799" s="3">
        <v>37.0</v>
      </c>
      <c r="T799" s="3">
        <v>33.0</v>
      </c>
      <c r="U799" s="3">
        <v>35.0</v>
      </c>
      <c r="V799" s="3">
        <v>39.0</v>
      </c>
      <c r="W799" s="3">
        <v>39.0</v>
      </c>
      <c r="X799" s="3">
        <v>28.0</v>
      </c>
      <c r="Y799" s="3">
        <v>45.0</v>
      </c>
      <c r="Z799" s="3">
        <v>37.0</v>
      </c>
      <c r="AA799" s="3">
        <v>42.0</v>
      </c>
      <c r="AB799" s="3">
        <v>32.0</v>
      </c>
      <c r="AC799" s="3">
        <v>25.0</v>
      </c>
      <c r="AD799" s="3">
        <v>47.0</v>
      </c>
      <c r="AE799" s="3">
        <v>25.0</v>
      </c>
      <c r="AF799" s="3">
        <v>41.0</v>
      </c>
      <c r="AG799" s="3">
        <v>39.0</v>
      </c>
      <c r="AH799" s="3">
        <v>38.0</v>
      </c>
      <c r="AI799" s="3">
        <v>45.0</v>
      </c>
      <c r="AJ799" s="3">
        <v>48.0</v>
      </c>
      <c r="AK799" s="3">
        <v>48.0</v>
      </c>
      <c r="AL799" s="3">
        <v>71.0</v>
      </c>
      <c r="AM799" s="3">
        <v>40.0</v>
      </c>
      <c r="AN799" s="3">
        <v>56.0</v>
      </c>
    </row>
    <row r="800" ht="14.25" customHeight="1">
      <c r="A800" s="3">
        <v>798.0</v>
      </c>
      <c r="B800" s="3" t="s">
        <v>7976</v>
      </c>
      <c r="C800" s="3">
        <v>20.0</v>
      </c>
      <c r="D800" s="3" t="s">
        <v>6645</v>
      </c>
      <c r="E800" s="3" t="s">
        <v>6646</v>
      </c>
      <c r="F800" s="3" t="s">
        <v>6646</v>
      </c>
      <c r="G800" s="3" t="s">
        <v>6645</v>
      </c>
      <c r="H800" s="3" t="s">
        <v>6645</v>
      </c>
      <c r="I800" s="3" t="s">
        <v>6645</v>
      </c>
      <c r="J800" s="3">
        <v>-1.0</v>
      </c>
      <c r="K800" s="3">
        <v>0.0</v>
      </c>
      <c r="L800" s="3">
        <v>0.0</v>
      </c>
      <c r="M800" s="3">
        <v>0.0</v>
      </c>
      <c r="N800" s="3">
        <v>379.36755</v>
      </c>
      <c r="O800" s="3">
        <v>110.0</v>
      </c>
      <c r="P800" s="3" t="e">
        <v>#N/A</v>
      </c>
      <c r="Q800" s="3">
        <v>32.0</v>
      </c>
      <c r="R800" s="3">
        <v>34.0</v>
      </c>
      <c r="S800" s="3">
        <v>39.0</v>
      </c>
      <c r="T800" s="3">
        <v>37.0</v>
      </c>
      <c r="U800" s="3">
        <v>37.0</v>
      </c>
      <c r="V800" s="3">
        <v>38.0</v>
      </c>
      <c r="W800" s="3">
        <v>46.0</v>
      </c>
      <c r="X800" s="3">
        <v>49.0</v>
      </c>
      <c r="Y800" s="3">
        <v>23.0</v>
      </c>
      <c r="Z800" s="3">
        <v>42.0</v>
      </c>
      <c r="AA800" s="3">
        <v>32.0</v>
      </c>
      <c r="AB800" s="3">
        <v>32.0</v>
      </c>
      <c r="AC800" s="3">
        <v>30.0</v>
      </c>
      <c r="AD800" s="3">
        <v>30.0</v>
      </c>
      <c r="AE800" s="3">
        <v>32.0</v>
      </c>
      <c r="AF800" s="3">
        <v>75.0</v>
      </c>
      <c r="AG800" s="3">
        <v>35.0</v>
      </c>
      <c r="AH800" s="3">
        <v>36.0</v>
      </c>
      <c r="AI800" s="3">
        <v>36.0</v>
      </c>
      <c r="AJ800" s="3">
        <v>30.0</v>
      </c>
      <c r="AK800" s="3">
        <v>27.0</v>
      </c>
      <c r="AL800" s="3">
        <v>52.0</v>
      </c>
      <c r="AM800" s="3">
        <v>30.0</v>
      </c>
      <c r="AN800" s="3">
        <v>58.0</v>
      </c>
    </row>
    <row r="801" ht="14.25" customHeight="1">
      <c r="A801" s="3">
        <v>799.0</v>
      </c>
      <c r="B801" s="3" t="s">
        <v>7977</v>
      </c>
      <c r="C801" s="3">
        <v>27.0</v>
      </c>
      <c r="D801" s="3" t="s">
        <v>6645</v>
      </c>
      <c r="E801" s="3" t="s">
        <v>6646</v>
      </c>
      <c r="F801" s="3" t="s">
        <v>6646</v>
      </c>
      <c r="G801" s="3" t="s">
        <v>6645</v>
      </c>
      <c r="H801" s="3" t="s">
        <v>6645</v>
      </c>
      <c r="I801" s="3" t="s">
        <v>6646</v>
      </c>
      <c r="J801" s="3">
        <v>-1.0</v>
      </c>
      <c r="K801" s="3">
        <v>2.0</v>
      </c>
      <c r="L801" s="3">
        <v>0.0</v>
      </c>
      <c r="M801" s="3">
        <v>0.0</v>
      </c>
      <c r="N801" s="3">
        <v>2574.8012</v>
      </c>
      <c r="O801" s="3">
        <v>371.0</v>
      </c>
      <c r="P801" s="3" t="e">
        <v>#N/A</v>
      </c>
      <c r="Q801" s="3">
        <v>40.0</v>
      </c>
      <c r="R801" s="3">
        <v>42.0</v>
      </c>
      <c r="S801" s="3">
        <v>45.0</v>
      </c>
      <c r="T801" s="3">
        <v>40.0</v>
      </c>
      <c r="U801" s="3">
        <v>44.0</v>
      </c>
      <c r="V801" s="3">
        <v>45.0</v>
      </c>
      <c r="W801" s="3">
        <v>54.0</v>
      </c>
      <c r="X801" s="3">
        <v>48.0</v>
      </c>
      <c r="Y801" s="3">
        <v>45.0</v>
      </c>
      <c r="Z801" s="3">
        <v>45.0</v>
      </c>
      <c r="AA801" s="3">
        <v>33.0</v>
      </c>
      <c r="AB801" s="3">
        <v>47.0</v>
      </c>
      <c r="AC801" s="3">
        <v>47.0</v>
      </c>
      <c r="AD801" s="3">
        <v>36.0</v>
      </c>
      <c r="AE801" s="3">
        <v>44.0</v>
      </c>
      <c r="AF801" s="3">
        <v>38.0</v>
      </c>
      <c r="AG801" s="3">
        <v>27.0</v>
      </c>
      <c r="AH801" s="3">
        <v>75.0</v>
      </c>
      <c r="AI801" s="3">
        <v>78.0</v>
      </c>
      <c r="AJ801" s="3">
        <v>19.0</v>
      </c>
      <c r="AK801" s="3">
        <v>69.0</v>
      </c>
      <c r="AL801" s="3">
        <v>28.0</v>
      </c>
      <c r="AM801" s="3">
        <v>40.0</v>
      </c>
      <c r="AN801" s="3">
        <v>45.0</v>
      </c>
    </row>
    <row r="802" ht="14.25" customHeight="1">
      <c r="A802" s="3">
        <v>800.0</v>
      </c>
      <c r="B802" s="3" t="s">
        <v>7978</v>
      </c>
      <c r="C802" s="3">
        <v>31.0</v>
      </c>
      <c r="D802" s="3" t="s">
        <v>6645</v>
      </c>
      <c r="E802" s="3" t="s">
        <v>6646</v>
      </c>
      <c r="F802" s="3" t="s">
        <v>6646</v>
      </c>
      <c r="G802" s="3" t="s">
        <v>6645</v>
      </c>
      <c r="H802" s="3" t="s">
        <v>6645</v>
      </c>
      <c r="I802" s="3" t="s">
        <v>6646</v>
      </c>
      <c r="J802" s="3">
        <v>-1.0</v>
      </c>
      <c r="K802" s="3">
        <v>2.0</v>
      </c>
      <c r="L802" s="3">
        <v>0.0</v>
      </c>
      <c r="M802" s="3">
        <v>0.0</v>
      </c>
      <c r="N802" s="3">
        <v>3015.91</v>
      </c>
      <c r="O802" s="3">
        <v>396.0</v>
      </c>
      <c r="P802" s="3" t="e">
        <v>#N/A</v>
      </c>
      <c r="Q802" s="3">
        <v>40.0</v>
      </c>
      <c r="R802" s="3">
        <v>40.0</v>
      </c>
      <c r="S802" s="3">
        <v>42.0</v>
      </c>
      <c r="T802" s="3">
        <v>44.0</v>
      </c>
      <c r="U802" s="3">
        <v>41.0</v>
      </c>
      <c r="V802" s="3">
        <v>49.0</v>
      </c>
      <c r="W802" s="3">
        <v>47.0</v>
      </c>
      <c r="X802" s="3">
        <v>42.0</v>
      </c>
      <c r="Y802" s="3">
        <v>35.0</v>
      </c>
      <c r="Z802" s="3">
        <v>42.0</v>
      </c>
      <c r="AA802" s="3">
        <v>52.0</v>
      </c>
      <c r="AB802" s="3">
        <v>39.0</v>
      </c>
      <c r="AC802" s="3">
        <v>42.0</v>
      </c>
      <c r="AD802" s="3">
        <v>51.0</v>
      </c>
      <c r="AE802" s="3">
        <v>44.0</v>
      </c>
      <c r="AF802" s="3">
        <v>63.0</v>
      </c>
      <c r="AG802" s="3">
        <v>37.0</v>
      </c>
      <c r="AH802" s="3">
        <v>65.0</v>
      </c>
      <c r="AI802" s="3">
        <v>62.0</v>
      </c>
      <c r="AJ802" s="3">
        <v>45.0</v>
      </c>
      <c r="AK802" s="3">
        <v>56.0</v>
      </c>
      <c r="AL802" s="3">
        <v>19.0</v>
      </c>
      <c r="AM802" s="3">
        <v>57.0</v>
      </c>
      <c r="AN802" s="3">
        <v>55.0</v>
      </c>
    </row>
    <row r="803" ht="14.25" customHeight="1">
      <c r="A803" s="3">
        <v>801.0</v>
      </c>
      <c r="B803" s="3" t="s">
        <v>7979</v>
      </c>
      <c r="C803" s="3">
        <v>20.0</v>
      </c>
      <c r="D803" s="3" t="s">
        <v>6645</v>
      </c>
      <c r="E803" s="3" t="s">
        <v>6646</v>
      </c>
      <c r="F803" s="3" t="s">
        <v>6646</v>
      </c>
      <c r="G803" s="3" t="s">
        <v>6645</v>
      </c>
      <c r="H803" s="3" t="s">
        <v>6645</v>
      </c>
      <c r="I803" s="3" t="s">
        <v>6645</v>
      </c>
      <c r="J803" s="3">
        <v>-1.0</v>
      </c>
      <c r="K803" s="3">
        <v>0.0</v>
      </c>
      <c r="L803" s="3">
        <v>0.0</v>
      </c>
      <c r="M803" s="3">
        <v>0.0</v>
      </c>
      <c r="N803" s="3">
        <v>481.03097</v>
      </c>
      <c r="O803" s="3">
        <v>81.0</v>
      </c>
      <c r="P803" s="3" t="e">
        <v>#N/A</v>
      </c>
      <c r="Q803" s="3">
        <v>34.0</v>
      </c>
      <c r="R803" s="3">
        <v>36.0</v>
      </c>
      <c r="S803" s="3">
        <v>31.0</v>
      </c>
      <c r="T803" s="3">
        <v>34.0</v>
      </c>
      <c r="U803" s="3">
        <v>36.0</v>
      </c>
      <c r="V803" s="3">
        <v>31.0</v>
      </c>
      <c r="W803" s="3">
        <v>25.0</v>
      </c>
      <c r="X803" s="3">
        <v>37.0</v>
      </c>
      <c r="Y803" s="3">
        <v>41.0</v>
      </c>
      <c r="Z803" s="3">
        <v>23.0</v>
      </c>
      <c r="AA803" s="3">
        <v>47.0</v>
      </c>
      <c r="AB803" s="3">
        <v>39.0</v>
      </c>
      <c r="AC803" s="3">
        <v>34.0</v>
      </c>
      <c r="AD803" s="3">
        <v>47.0</v>
      </c>
      <c r="AE803" s="3">
        <v>22.0</v>
      </c>
      <c r="AF803" s="3">
        <v>73.0</v>
      </c>
      <c r="AG803" s="3">
        <v>35.0</v>
      </c>
      <c r="AH803" s="3">
        <v>50.0</v>
      </c>
      <c r="AI803" s="3">
        <v>36.0</v>
      </c>
      <c r="AJ803" s="3">
        <v>21.0</v>
      </c>
      <c r="AK803" s="3">
        <v>33.0</v>
      </c>
      <c r="AL803" s="3">
        <v>38.0</v>
      </c>
      <c r="AM803" s="3">
        <v>36.0</v>
      </c>
      <c r="AN803" s="3">
        <v>44.0</v>
      </c>
    </row>
    <row r="804" ht="14.25" customHeight="1">
      <c r="A804" s="3">
        <v>802.0</v>
      </c>
      <c r="B804" s="3" t="s">
        <v>7980</v>
      </c>
      <c r="C804" s="3">
        <v>23.0</v>
      </c>
      <c r="D804" s="3" t="s">
        <v>6645</v>
      </c>
      <c r="E804" s="3" t="s">
        <v>6646</v>
      </c>
      <c r="F804" s="3" t="s">
        <v>6646</v>
      </c>
      <c r="G804" s="3" t="s">
        <v>6645</v>
      </c>
      <c r="H804" s="3" t="s">
        <v>6645</v>
      </c>
      <c r="I804" s="3" t="s">
        <v>6645</v>
      </c>
      <c r="J804" s="3">
        <v>-1.0</v>
      </c>
      <c r="K804" s="3">
        <v>0.0</v>
      </c>
      <c r="L804" s="3">
        <v>0.0</v>
      </c>
      <c r="M804" s="3">
        <v>0.0</v>
      </c>
      <c r="N804" s="3">
        <v>428.03225</v>
      </c>
      <c r="O804" s="3">
        <v>124.0</v>
      </c>
      <c r="P804" s="3" t="e">
        <v>#N/A</v>
      </c>
      <c r="Q804" s="3">
        <v>34.0</v>
      </c>
      <c r="R804" s="3">
        <v>39.0</v>
      </c>
      <c r="S804" s="3">
        <v>34.0</v>
      </c>
      <c r="T804" s="3">
        <v>34.0</v>
      </c>
      <c r="U804" s="3">
        <v>30.0</v>
      </c>
      <c r="V804" s="3">
        <v>32.0</v>
      </c>
      <c r="W804" s="3">
        <v>44.0</v>
      </c>
      <c r="X804" s="3">
        <v>36.0</v>
      </c>
      <c r="Y804" s="3">
        <v>27.0</v>
      </c>
      <c r="Z804" s="3">
        <v>30.0</v>
      </c>
      <c r="AA804" s="3">
        <v>27.0</v>
      </c>
      <c r="AB804" s="3">
        <v>32.0</v>
      </c>
      <c r="AC804" s="3">
        <v>41.0</v>
      </c>
      <c r="AD804" s="3">
        <v>27.0</v>
      </c>
      <c r="AE804" s="3">
        <v>45.0</v>
      </c>
      <c r="AF804" s="3">
        <v>25.0</v>
      </c>
      <c r="AG804" s="3">
        <v>27.0</v>
      </c>
      <c r="AH804" s="3">
        <v>68.0</v>
      </c>
      <c r="AI804" s="3">
        <v>52.0</v>
      </c>
      <c r="AJ804" s="3">
        <v>74.0</v>
      </c>
      <c r="AK804" s="3">
        <v>39.0</v>
      </c>
      <c r="AL804" s="3">
        <v>58.0</v>
      </c>
      <c r="AM804" s="3">
        <v>41.0</v>
      </c>
      <c r="AN804" s="3">
        <v>39.0</v>
      </c>
    </row>
    <row r="805" ht="14.25" customHeight="1">
      <c r="A805" s="3">
        <v>803.0</v>
      </c>
      <c r="B805" s="3" t="s">
        <v>7981</v>
      </c>
      <c r="C805" s="3">
        <v>17.0</v>
      </c>
      <c r="D805" s="3" t="s">
        <v>6645</v>
      </c>
      <c r="E805" s="3" t="s">
        <v>6646</v>
      </c>
      <c r="F805" s="3" t="s">
        <v>6646</v>
      </c>
      <c r="G805" s="3" t="s">
        <v>6645</v>
      </c>
      <c r="H805" s="3" t="s">
        <v>6645</v>
      </c>
      <c r="I805" s="3" t="s">
        <v>6646</v>
      </c>
      <c r="J805" s="3">
        <v>-1.0</v>
      </c>
      <c r="K805" s="3">
        <v>0.0</v>
      </c>
      <c r="L805" s="3">
        <v>0.0</v>
      </c>
      <c r="M805" s="3">
        <v>0.0</v>
      </c>
      <c r="N805" s="3">
        <v>496.62625</v>
      </c>
      <c r="O805" s="3">
        <v>102.0</v>
      </c>
      <c r="P805" s="3" t="e">
        <v>#N/A</v>
      </c>
      <c r="Q805" s="3">
        <v>39.0</v>
      </c>
      <c r="R805" s="3">
        <v>38.0</v>
      </c>
      <c r="S805" s="3">
        <v>32.0</v>
      </c>
      <c r="T805" s="3">
        <v>35.0</v>
      </c>
      <c r="U805" s="3">
        <v>33.0</v>
      </c>
      <c r="V805" s="3">
        <v>35.0</v>
      </c>
      <c r="W805" s="3">
        <v>26.0</v>
      </c>
      <c r="X805" s="3">
        <v>31.0</v>
      </c>
      <c r="Y805" s="3">
        <v>43.0</v>
      </c>
      <c r="Z805" s="3">
        <v>45.0</v>
      </c>
      <c r="AA805" s="3">
        <v>34.0</v>
      </c>
      <c r="AB805" s="3">
        <v>24.0</v>
      </c>
      <c r="AC805" s="3">
        <v>32.0</v>
      </c>
      <c r="AD805" s="3">
        <v>27.0</v>
      </c>
      <c r="AE805" s="3">
        <v>45.0</v>
      </c>
      <c r="AF805" s="3">
        <v>56.0</v>
      </c>
      <c r="AG805" s="3">
        <v>46.0</v>
      </c>
      <c r="AH805" s="3">
        <v>71.0</v>
      </c>
      <c r="AI805" s="3">
        <v>52.0</v>
      </c>
      <c r="AJ805" s="3">
        <v>45.0</v>
      </c>
      <c r="AK805" s="3">
        <v>72.0</v>
      </c>
      <c r="AL805" s="3">
        <v>55.0</v>
      </c>
      <c r="AM805" s="3">
        <v>12.0</v>
      </c>
      <c r="AN805" s="3">
        <v>41.0</v>
      </c>
    </row>
    <row r="806" ht="14.25" customHeight="1">
      <c r="A806" s="3">
        <v>804.0</v>
      </c>
      <c r="B806" s="3" t="s">
        <v>7982</v>
      </c>
      <c r="C806" s="3">
        <v>19.0</v>
      </c>
      <c r="D806" s="3" t="s">
        <v>6645</v>
      </c>
      <c r="E806" s="3" t="s">
        <v>6646</v>
      </c>
      <c r="F806" s="3" t="s">
        <v>6646</v>
      </c>
      <c r="G806" s="3" t="s">
        <v>6645</v>
      </c>
      <c r="H806" s="3" t="s">
        <v>6645</v>
      </c>
      <c r="I806" s="3" t="s">
        <v>6646</v>
      </c>
      <c r="J806" s="3">
        <v>-1.0</v>
      </c>
      <c r="K806" s="3">
        <v>0.0</v>
      </c>
      <c r="L806" s="3">
        <v>0.0</v>
      </c>
      <c r="M806" s="3">
        <v>0.0</v>
      </c>
      <c r="N806" s="3">
        <v>459.18673</v>
      </c>
      <c r="O806" s="3">
        <v>83.0</v>
      </c>
      <c r="P806" s="3" t="e">
        <v>#N/A</v>
      </c>
      <c r="Q806" s="3">
        <v>35.0</v>
      </c>
      <c r="R806" s="3">
        <v>35.0</v>
      </c>
      <c r="S806" s="3">
        <v>39.0</v>
      </c>
      <c r="T806" s="3">
        <v>39.0</v>
      </c>
      <c r="U806" s="3">
        <v>31.0</v>
      </c>
      <c r="V806" s="3">
        <v>37.0</v>
      </c>
      <c r="W806" s="3">
        <v>42.0</v>
      </c>
      <c r="X806" s="3">
        <v>32.0</v>
      </c>
      <c r="Y806" s="3">
        <v>25.0</v>
      </c>
      <c r="Z806" s="3">
        <v>38.0</v>
      </c>
      <c r="AA806" s="3">
        <v>42.0</v>
      </c>
      <c r="AB806" s="3">
        <v>49.0</v>
      </c>
      <c r="AC806" s="3">
        <v>36.0</v>
      </c>
      <c r="AD806" s="3">
        <v>22.0</v>
      </c>
      <c r="AE806" s="3">
        <v>23.0</v>
      </c>
      <c r="AF806" s="3">
        <v>30.0</v>
      </c>
      <c r="AG806" s="3">
        <v>32.0</v>
      </c>
      <c r="AH806" s="3">
        <v>58.0</v>
      </c>
      <c r="AI806" s="3">
        <v>46.0</v>
      </c>
      <c r="AJ806" s="3">
        <v>53.0</v>
      </c>
      <c r="AK806" s="3">
        <v>55.0</v>
      </c>
      <c r="AL806" s="3">
        <v>38.0</v>
      </c>
      <c r="AM806" s="3">
        <v>50.0</v>
      </c>
      <c r="AN806" s="3">
        <v>53.0</v>
      </c>
    </row>
    <row r="807" ht="14.25" customHeight="1">
      <c r="A807" s="3">
        <v>805.0</v>
      </c>
      <c r="B807" s="3" t="s">
        <v>7983</v>
      </c>
      <c r="C807" s="3">
        <v>24.0</v>
      </c>
      <c r="D807" s="3" t="s">
        <v>6645</v>
      </c>
      <c r="E807" s="3" t="s">
        <v>6646</v>
      </c>
      <c r="F807" s="3" t="s">
        <v>6646</v>
      </c>
      <c r="G807" s="3" t="s">
        <v>6645</v>
      </c>
      <c r="H807" s="3" t="s">
        <v>6645</v>
      </c>
      <c r="I807" s="3" t="s">
        <v>6646</v>
      </c>
      <c r="J807" s="3">
        <v>-1.0</v>
      </c>
      <c r="K807" s="3">
        <v>0.0</v>
      </c>
      <c r="L807" s="3">
        <v>0.0</v>
      </c>
      <c r="M807" s="3">
        <v>0.0</v>
      </c>
      <c r="N807" s="3">
        <v>461.88293</v>
      </c>
      <c r="O807" s="3">
        <v>118.0</v>
      </c>
      <c r="P807" s="3" t="e">
        <v>#N/A</v>
      </c>
      <c r="Q807" s="3">
        <v>35.0</v>
      </c>
      <c r="R807" s="3">
        <v>34.0</v>
      </c>
      <c r="S807" s="3">
        <v>36.0</v>
      </c>
      <c r="T807" s="3">
        <v>38.0</v>
      </c>
      <c r="U807" s="3">
        <v>36.0</v>
      </c>
      <c r="V807" s="3">
        <v>35.0</v>
      </c>
      <c r="W807" s="3">
        <v>41.0</v>
      </c>
      <c r="X807" s="3">
        <v>27.0</v>
      </c>
      <c r="Y807" s="3">
        <v>36.0</v>
      </c>
      <c r="Z807" s="3">
        <v>39.0</v>
      </c>
      <c r="AA807" s="3">
        <v>32.0</v>
      </c>
      <c r="AB807" s="3">
        <v>24.0</v>
      </c>
      <c r="AC807" s="3">
        <v>34.0</v>
      </c>
      <c r="AD807" s="3">
        <v>42.0</v>
      </c>
      <c r="AE807" s="3">
        <v>39.0</v>
      </c>
      <c r="AF807" s="3">
        <v>59.0</v>
      </c>
      <c r="AG807" s="3">
        <v>57.0</v>
      </c>
      <c r="AH807" s="3">
        <v>25.0</v>
      </c>
      <c r="AI807" s="3">
        <v>32.0</v>
      </c>
      <c r="AJ807" s="3">
        <v>47.0</v>
      </c>
      <c r="AK807" s="3">
        <v>32.0</v>
      </c>
      <c r="AL807" s="3">
        <v>52.0</v>
      </c>
      <c r="AM807" s="3">
        <v>49.0</v>
      </c>
      <c r="AN807" s="3">
        <v>69.0</v>
      </c>
    </row>
    <row r="808" ht="14.25" customHeight="1">
      <c r="A808" s="3">
        <v>806.0</v>
      </c>
      <c r="B808" s="3" t="s">
        <v>7984</v>
      </c>
      <c r="C808" s="3">
        <v>33.0</v>
      </c>
      <c r="D808" s="3" t="s">
        <v>6645</v>
      </c>
      <c r="E808" s="3" t="s">
        <v>6646</v>
      </c>
      <c r="F808" s="3" t="s">
        <v>6646</v>
      </c>
      <c r="G808" s="3" t="s">
        <v>6645</v>
      </c>
      <c r="H808" s="3" t="s">
        <v>6645</v>
      </c>
      <c r="I808" s="3" t="s">
        <v>6646</v>
      </c>
      <c r="J808" s="3">
        <v>-1.0</v>
      </c>
      <c r="K808" s="3">
        <v>3.0</v>
      </c>
      <c r="L808" s="3">
        <v>0.0</v>
      </c>
      <c r="M808" s="3">
        <v>0.0</v>
      </c>
      <c r="N808" s="3">
        <v>5070.68</v>
      </c>
      <c r="O808" s="3">
        <v>881.0</v>
      </c>
      <c r="P808" s="3" t="e">
        <v>#N/A</v>
      </c>
      <c r="Q808" s="3">
        <v>48.0</v>
      </c>
      <c r="R808" s="3">
        <v>54.0</v>
      </c>
      <c r="S808" s="3">
        <v>51.0</v>
      </c>
      <c r="T808" s="3">
        <v>46.0</v>
      </c>
      <c r="U808" s="3">
        <v>48.0</v>
      </c>
      <c r="V808" s="3">
        <v>53.0</v>
      </c>
      <c r="W808" s="3">
        <v>48.0</v>
      </c>
      <c r="X808" s="3">
        <v>48.0</v>
      </c>
      <c r="Y808" s="3">
        <v>62.0</v>
      </c>
      <c r="Z808" s="3">
        <v>63.0</v>
      </c>
      <c r="AA808" s="3">
        <v>58.0</v>
      </c>
      <c r="AB808" s="3">
        <v>45.0</v>
      </c>
      <c r="AC808" s="3">
        <v>46.0</v>
      </c>
      <c r="AD808" s="3">
        <v>54.0</v>
      </c>
      <c r="AE808" s="3">
        <v>48.0</v>
      </c>
      <c r="AF808" s="3">
        <v>50.0</v>
      </c>
      <c r="AG808" s="3">
        <v>64.0</v>
      </c>
      <c r="AH808" s="3">
        <v>40.0</v>
      </c>
      <c r="AI808" s="3">
        <v>48.0</v>
      </c>
      <c r="AJ808" s="3">
        <v>42.0</v>
      </c>
      <c r="AK808" s="3">
        <v>47.0</v>
      </c>
      <c r="AL808" s="3">
        <v>42.0</v>
      </c>
      <c r="AM808" s="3">
        <v>53.0</v>
      </c>
      <c r="AN808" s="3">
        <v>73.0</v>
      </c>
    </row>
    <row r="809" ht="14.25" customHeight="1">
      <c r="A809" s="3">
        <v>807.0</v>
      </c>
      <c r="B809" s="3" t="s">
        <v>7985</v>
      </c>
      <c r="C809" s="3">
        <v>24.0</v>
      </c>
      <c r="D809" s="3" t="s">
        <v>6645</v>
      </c>
      <c r="E809" s="3" t="s">
        <v>6646</v>
      </c>
      <c r="F809" s="3" t="s">
        <v>6646</v>
      </c>
      <c r="G809" s="3" t="s">
        <v>6645</v>
      </c>
      <c r="H809" s="3" t="s">
        <v>6645</v>
      </c>
      <c r="I809" s="3" t="s">
        <v>6645</v>
      </c>
      <c r="J809" s="3">
        <v>-1.0</v>
      </c>
      <c r="K809" s="3">
        <v>0.0</v>
      </c>
      <c r="L809" s="3">
        <v>0.0</v>
      </c>
      <c r="M809" s="3">
        <v>0.0</v>
      </c>
      <c r="N809" s="3">
        <v>499.3838</v>
      </c>
      <c r="O809" s="3">
        <v>123.0</v>
      </c>
      <c r="P809" s="3" t="e">
        <v>#N/A</v>
      </c>
      <c r="Q809" s="3">
        <v>38.0</v>
      </c>
      <c r="R809" s="3">
        <v>34.0</v>
      </c>
      <c r="S809" s="3">
        <v>37.0</v>
      </c>
      <c r="T809" s="3">
        <v>34.0</v>
      </c>
      <c r="U809" s="3">
        <v>38.0</v>
      </c>
      <c r="V809" s="3">
        <v>34.0</v>
      </c>
      <c r="W809" s="3">
        <v>31.0</v>
      </c>
      <c r="X809" s="3">
        <v>40.0</v>
      </c>
      <c r="Y809" s="3">
        <v>29.0</v>
      </c>
      <c r="Z809" s="3">
        <v>30.0</v>
      </c>
      <c r="AA809" s="3">
        <v>43.0</v>
      </c>
      <c r="AB809" s="3">
        <v>29.0</v>
      </c>
      <c r="AC809" s="3">
        <v>42.0</v>
      </c>
      <c r="AD809" s="3">
        <v>26.0</v>
      </c>
      <c r="AE809" s="3">
        <v>37.0</v>
      </c>
      <c r="AF809" s="3">
        <v>41.0</v>
      </c>
      <c r="AG809" s="3">
        <v>35.0</v>
      </c>
      <c r="AH809" s="3">
        <v>47.0</v>
      </c>
      <c r="AI809" s="3">
        <v>34.0</v>
      </c>
      <c r="AJ809" s="3">
        <v>50.0</v>
      </c>
      <c r="AK809" s="3">
        <v>31.0</v>
      </c>
      <c r="AL809" s="3">
        <v>73.0</v>
      </c>
      <c r="AM809" s="3">
        <v>32.0</v>
      </c>
      <c r="AN809" s="3">
        <v>31.0</v>
      </c>
    </row>
    <row r="810" ht="14.25" customHeight="1">
      <c r="A810" s="3">
        <v>808.0</v>
      </c>
      <c r="B810" s="3" t="s">
        <v>7986</v>
      </c>
      <c r="C810" s="3">
        <v>23.0</v>
      </c>
      <c r="D810" s="3" t="s">
        <v>6645</v>
      </c>
      <c r="E810" s="3" t="s">
        <v>6646</v>
      </c>
      <c r="F810" s="3" t="s">
        <v>6646</v>
      </c>
      <c r="G810" s="3" t="s">
        <v>6645</v>
      </c>
      <c r="H810" s="3" t="s">
        <v>6645</v>
      </c>
      <c r="I810" s="3" t="s">
        <v>6645</v>
      </c>
      <c r="J810" s="3">
        <v>-1.0</v>
      </c>
      <c r="K810" s="3">
        <v>1.0</v>
      </c>
      <c r="L810" s="3">
        <v>0.0</v>
      </c>
      <c r="M810" s="3">
        <v>0.0</v>
      </c>
      <c r="N810" s="3">
        <v>1322.3212</v>
      </c>
      <c r="O810" s="3">
        <v>207.0</v>
      </c>
      <c r="P810" s="3" t="e">
        <v>#N/A</v>
      </c>
      <c r="Q810" s="3">
        <v>43.0</v>
      </c>
      <c r="R810" s="3">
        <v>41.0</v>
      </c>
      <c r="S810" s="3">
        <v>36.0</v>
      </c>
      <c r="T810" s="3">
        <v>44.0</v>
      </c>
      <c r="U810" s="3">
        <v>42.0</v>
      </c>
      <c r="V810" s="3">
        <v>35.0</v>
      </c>
      <c r="W810" s="3">
        <v>28.0</v>
      </c>
      <c r="X810" s="3">
        <v>38.0</v>
      </c>
      <c r="Y810" s="3">
        <v>52.0</v>
      </c>
      <c r="Z810" s="3">
        <v>37.0</v>
      </c>
      <c r="AA810" s="3">
        <v>31.0</v>
      </c>
      <c r="AB810" s="3">
        <v>41.0</v>
      </c>
      <c r="AC810" s="3">
        <v>44.0</v>
      </c>
      <c r="AD810" s="3">
        <v>50.0</v>
      </c>
      <c r="AE810" s="3">
        <v>31.0</v>
      </c>
      <c r="AF810" s="3">
        <v>18.0</v>
      </c>
      <c r="AG810" s="3">
        <v>72.0</v>
      </c>
      <c r="AH810" s="3">
        <v>41.0</v>
      </c>
      <c r="AI810" s="3">
        <v>57.0</v>
      </c>
      <c r="AJ810" s="3">
        <v>38.0</v>
      </c>
      <c r="AK810" s="3">
        <v>46.0</v>
      </c>
      <c r="AL810" s="3">
        <v>39.0</v>
      </c>
      <c r="AM810" s="3">
        <v>52.0</v>
      </c>
      <c r="AN810" s="3">
        <v>42.0</v>
      </c>
    </row>
    <row r="811" ht="14.25" customHeight="1">
      <c r="A811" s="3">
        <v>809.0</v>
      </c>
      <c r="B811" s="3" t="s">
        <v>7987</v>
      </c>
      <c r="C811" s="3">
        <v>32.0</v>
      </c>
      <c r="D811" s="3" t="s">
        <v>6645</v>
      </c>
      <c r="E811" s="3" t="s">
        <v>6646</v>
      </c>
      <c r="F811" s="3" t="s">
        <v>6646</v>
      </c>
      <c r="G811" s="3" t="s">
        <v>6645</v>
      </c>
      <c r="H811" s="3" t="s">
        <v>6645</v>
      </c>
      <c r="I811" s="3" t="s">
        <v>6645</v>
      </c>
      <c r="J811" s="3">
        <v>-1.0</v>
      </c>
      <c r="K811" s="3">
        <v>2.0</v>
      </c>
      <c r="L811" s="3">
        <v>0.0</v>
      </c>
      <c r="M811" s="3">
        <v>0.0</v>
      </c>
      <c r="N811" s="3">
        <v>2217.3828</v>
      </c>
      <c r="O811" s="3">
        <v>315.0</v>
      </c>
      <c r="P811" s="3" t="e">
        <v>#N/A</v>
      </c>
      <c r="Q811" s="3">
        <v>41.0</v>
      </c>
      <c r="R811" s="3">
        <v>48.0</v>
      </c>
      <c r="S811" s="3">
        <v>42.0</v>
      </c>
      <c r="T811" s="3">
        <v>46.0</v>
      </c>
      <c r="U811" s="3">
        <v>40.0</v>
      </c>
      <c r="V811" s="3">
        <v>46.0</v>
      </c>
      <c r="W811" s="3">
        <v>37.0</v>
      </c>
      <c r="X811" s="3">
        <v>52.0</v>
      </c>
      <c r="Y811" s="3">
        <v>43.0</v>
      </c>
      <c r="Z811" s="3">
        <v>42.0</v>
      </c>
      <c r="AA811" s="3">
        <v>50.0</v>
      </c>
      <c r="AB811" s="3">
        <v>49.0</v>
      </c>
      <c r="AC811" s="3">
        <v>44.0</v>
      </c>
      <c r="AD811" s="3">
        <v>45.0</v>
      </c>
      <c r="AE811" s="3">
        <v>38.0</v>
      </c>
      <c r="AF811" s="3">
        <v>48.0</v>
      </c>
      <c r="AG811" s="3">
        <v>40.0</v>
      </c>
      <c r="AH811" s="3">
        <v>37.0</v>
      </c>
      <c r="AI811" s="3">
        <v>82.0</v>
      </c>
      <c r="AJ811" s="3">
        <v>51.0</v>
      </c>
      <c r="AK811" s="3">
        <v>36.0</v>
      </c>
      <c r="AL811" s="3">
        <v>53.0</v>
      </c>
      <c r="AM811" s="3">
        <v>45.0</v>
      </c>
      <c r="AN811" s="3">
        <v>48.0</v>
      </c>
    </row>
    <row r="812" ht="14.25" customHeight="1">
      <c r="A812" s="3">
        <v>810.0</v>
      </c>
      <c r="B812" s="3" t="s">
        <v>7988</v>
      </c>
      <c r="C812" s="3">
        <v>31.0</v>
      </c>
      <c r="D812" s="3" t="s">
        <v>6645</v>
      </c>
      <c r="E812" s="3" t="s">
        <v>6646</v>
      </c>
      <c r="F812" s="3" t="s">
        <v>6646</v>
      </c>
      <c r="G812" s="3" t="s">
        <v>6645</v>
      </c>
      <c r="H812" s="3" t="s">
        <v>6645</v>
      </c>
      <c r="I812" s="3" t="s">
        <v>6646</v>
      </c>
      <c r="J812" s="3">
        <v>-1.0</v>
      </c>
      <c r="K812" s="3">
        <v>2.0</v>
      </c>
      <c r="L812" s="3">
        <v>0.0</v>
      </c>
      <c r="M812" s="3">
        <v>0.0</v>
      </c>
      <c r="N812" s="3">
        <v>2889.5217</v>
      </c>
      <c r="O812" s="3">
        <v>383.0</v>
      </c>
      <c r="P812" s="3" t="e">
        <v>#N/A</v>
      </c>
      <c r="Q812" s="3">
        <v>44.0</v>
      </c>
      <c r="R812" s="3">
        <v>49.0</v>
      </c>
      <c r="S812" s="3">
        <v>45.0</v>
      </c>
      <c r="T812" s="3">
        <v>43.0</v>
      </c>
      <c r="U812" s="3">
        <v>47.0</v>
      </c>
      <c r="V812" s="3">
        <v>41.0</v>
      </c>
      <c r="W812" s="3">
        <v>37.0</v>
      </c>
      <c r="X812" s="3">
        <v>47.0</v>
      </c>
      <c r="Y812" s="3">
        <v>54.0</v>
      </c>
      <c r="Z812" s="3">
        <v>34.0</v>
      </c>
      <c r="AA812" s="3">
        <v>45.0</v>
      </c>
      <c r="AB812" s="3">
        <v>47.0</v>
      </c>
      <c r="AC812" s="3">
        <v>48.0</v>
      </c>
      <c r="AD812" s="3">
        <v>38.0</v>
      </c>
      <c r="AE812" s="3">
        <v>43.0</v>
      </c>
      <c r="AF812" s="3">
        <v>44.0</v>
      </c>
      <c r="AG812" s="3">
        <v>36.0</v>
      </c>
      <c r="AH812" s="3">
        <v>19.0</v>
      </c>
      <c r="AI812" s="3">
        <v>62.0</v>
      </c>
      <c r="AJ812" s="3">
        <v>64.0</v>
      </c>
      <c r="AK812" s="3">
        <v>45.0</v>
      </c>
      <c r="AL812" s="3">
        <v>46.0</v>
      </c>
      <c r="AM812" s="3">
        <v>47.0</v>
      </c>
      <c r="AN812" s="3">
        <v>50.0</v>
      </c>
    </row>
    <row r="813" ht="14.25" customHeight="1">
      <c r="A813" s="3">
        <v>811.0</v>
      </c>
      <c r="B813" s="3" t="s">
        <v>7989</v>
      </c>
      <c r="C813" s="3">
        <v>32.0</v>
      </c>
      <c r="D813" s="3" t="s">
        <v>6645</v>
      </c>
      <c r="E813" s="3" t="s">
        <v>6646</v>
      </c>
      <c r="F813" s="3" t="s">
        <v>6646</v>
      </c>
      <c r="G813" s="3" t="s">
        <v>6645</v>
      </c>
      <c r="H813" s="3" t="s">
        <v>6645</v>
      </c>
      <c r="I813" s="3" t="s">
        <v>6646</v>
      </c>
      <c r="J813" s="3">
        <v>-1.0</v>
      </c>
      <c r="K813" s="3">
        <v>3.0</v>
      </c>
      <c r="L813" s="3">
        <v>0.0</v>
      </c>
      <c r="M813" s="3">
        <v>0.0</v>
      </c>
      <c r="N813" s="3">
        <v>5389.1186</v>
      </c>
      <c r="O813" s="3">
        <v>867.0</v>
      </c>
      <c r="P813" s="3" t="e">
        <v>#N/A</v>
      </c>
      <c r="Q813" s="3">
        <v>47.0</v>
      </c>
      <c r="R813" s="3">
        <v>52.0</v>
      </c>
      <c r="S813" s="3">
        <v>48.0</v>
      </c>
      <c r="T813" s="3">
        <v>51.0</v>
      </c>
      <c r="U813" s="3">
        <v>53.0</v>
      </c>
      <c r="V813" s="3">
        <v>52.0</v>
      </c>
      <c r="W813" s="3">
        <v>39.0</v>
      </c>
      <c r="X813" s="3">
        <v>62.0</v>
      </c>
      <c r="Y813" s="3">
        <v>50.0</v>
      </c>
      <c r="Z813" s="3">
        <v>54.0</v>
      </c>
      <c r="AA813" s="3">
        <v>59.0</v>
      </c>
      <c r="AB813" s="3">
        <v>63.0</v>
      </c>
      <c r="AC813" s="3">
        <v>43.0</v>
      </c>
      <c r="AD813" s="3">
        <v>49.0</v>
      </c>
      <c r="AE813" s="3">
        <v>50.0</v>
      </c>
      <c r="AF813" s="3">
        <v>54.0</v>
      </c>
      <c r="AG813" s="3">
        <v>40.0</v>
      </c>
      <c r="AH813" s="3">
        <v>65.0</v>
      </c>
      <c r="AI813" s="3">
        <v>57.0</v>
      </c>
      <c r="AJ813" s="3">
        <v>47.0</v>
      </c>
      <c r="AK813" s="3">
        <v>54.0</v>
      </c>
      <c r="AL813" s="3">
        <v>44.0</v>
      </c>
      <c r="AM813" s="3">
        <v>59.0</v>
      </c>
      <c r="AN813" s="3">
        <v>64.0</v>
      </c>
    </row>
    <row r="814" ht="14.25" customHeight="1">
      <c r="A814" s="3">
        <v>812.0</v>
      </c>
      <c r="B814" s="3" t="s">
        <v>7990</v>
      </c>
      <c r="C814" s="3">
        <v>20.0</v>
      </c>
      <c r="D814" s="3" t="s">
        <v>6645</v>
      </c>
      <c r="E814" s="3" t="s">
        <v>6646</v>
      </c>
      <c r="F814" s="3" t="s">
        <v>6646</v>
      </c>
      <c r="G814" s="3" t="s">
        <v>6645</v>
      </c>
      <c r="H814" s="3" t="s">
        <v>6645</v>
      </c>
      <c r="I814" s="3" t="s">
        <v>6646</v>
      </c>
      <c r="J814" s="3">
        <v>-1.0</v>
      </c>
      <c r="K814" s="3">
        <v>0.0</v>
      </c>
      <c r="L814" s="3">
        <v>0.0</v>
      </c>
      <c r="M814" s="3">
        <v>0.0</v>
      </c>
      <c r="N814" s="3">
        <v>547.607</v>
      </c>
      <c r="O814" s="3">
        <v>116.0</v>
      </c>
      <c r="P814" s="3" t="e">
        <v>#N/A</v>
      </c>
      <c r="Q814" s="3">
        <v>38.0</v>
      </c>
      <c r="R814" s="3">
        <v>37.0</v>
      </c>
      <c r="S814" s="3">
        <v>38.0</v>
      </c>
      <c r="T814" s="3">
        <v>38.0</v>
      </c>
      <c r="U814" s="3">
        <v>31.0</v>
      </c>
      <c r="V814" s="3">
        <v>36.0</v>
      </c>
      <c r="W814" s="3">
        <v>39.0</v>
      </c>
      <c r="X814" s="3">
        <v>36.0</v>
      </c>
      <c r="Y814" s="3">
        <v>33.0</v>
      </c>
      <c r="Z814" s="3">
        <v>23.0</v>
      </c>
      <c r="AA814" s="3">
        <v>38.0</v>
      </c>
      <c r="AB814" s="3">
        <v>37.0</v>
      </c>
      <c r="AC814" s="3">
        <v>44.0</v>
      </c>
      <c r="AD814" s="3">
        <v>23.0</v>
      </c>
      <c r="AE814" s="3">
        <v>30.0</v>
      </c>
      <c r="AF814" s="3">
        <v>23.0</v>
      </c>
      <c r="AG814" s="3">
        <v>71.0</v>
      </c>
      <c r="AH814" s="3">
        <v>74.0</v>
      </c>
      <c r="AI814" s="3">
        <v>42.0</v>
      </c>
      <c r="AJ814" s="3">
        <v>38.0</v>
      </c>
      <c r="AK814" s="3">
        <v>48.0</v>
      </c>
      <c r="AL814" s="3">
        <v>34.0</v>
      </c>
      <c r="AM814" s="3">
        <v>36.0</v>
      </c>
      <c r="AN814" s="3">
        <v>78.0</v>
      </c>
    </row>
    <row r="815" ht="14.25" customHeight="1">
      <c r="A815" s="3">
        <v>813.0</v>
      </c>
      <c r="B815" s="3" t="s">
        <v>7991</v>
      </c>
      <c r="C815" s="3">
        <v>18.0</v>
      </c>
      <c r="D815" s="3" t="s">
        <v>6645</v>
      </c>
      <c r="E815" s="3" t="s">
        <v>6646</v>
      </c>
      <c r="F815" s="3" t="s">
        <v>6646</v>
      </c>
      <c r="G815" s="3" t="s">
        <v>6645</v>
      </c>
      <c r="H815" s="3" t="s">
        <v>6645</v>
      </c>
      <c r="I815" s="3" t="s">
        <v>6646</v>
      </c>
      <c r="J815" s="3">
        <v>-1.0</v>
      </c>
      <c r="K815" s="3">
        <v>0.0</v>
      </c>
      <c r="L815" s="3">
        <v>0.0</v>
      </c>
      <c r="M815" s="3">
        <v>0.0</v>
      </c>
      <c r="N815" s="3">
        <v>520.43383</v>
      </c>
      <c r="O815" s="3">
        <v>91.0</v>
      </c>
      <c r="P815" s="3" t="e">
        <v>#N/A</v>
      </c>
      <c r="Q815" s="3">
        <v>38.0</v>
      </c>
      <c r="R815" s="3">
        <v>38.0</v>
      </c>
      <c r="S815" s="3">
        <v>39.0</v>
      </c>
      <c r="T815" s="3">
        <v>31.0</v>
      </c>
      <c r="U815" s="3">
        <v>34.0</v>
      </c>
      <c r="V815" s="3">
        <v>36.0</v>
      </c>
      <c r="W815" s="3">
        <v>30.0</v>
      </c>
      <c r="X815" s="3">
        <v>42.0</v>
      </c>
      <c r="Y815" s="3">
        <v>26.0</v>
      </c>
      <c r="Z815" s="3">
        <v>37.0</v>
      </c>
      <c r="AA815" s="3">
        <v>35.0</v>
      </c>
      <c r="AB815" s="3">
        <v>38.0</v>
      </c>
      <c r="AC815" s="3">
        <v>39.0</v>
      </c>
      <c r="AD815" s="3">
        <v>26.0</v>
      </c>
      <c r="AE815" s="3">
        <v>32.0</v>
      </c>
      <c r="AF815" s="3">
        <v>74.0</v>
      </c>
      <c r="AG815" s="3">
        <v>15.0</v>
      </c>
      <c r="AH815" s="3">
        <v>47.0</v>
      </c>
      <c r="AI815" s="3">
        <v>33.0</v>
      </c>
      <c r="AJ815" s="3">
        <v>52.0</v>
      </c>
      <c r="AK815" s="3">
        <v>44.0</v>
      </c>
      <c r="AL815" s="3">
        <v>35.0</v>
      </c>
      <c r="AM815" s="3">
        <v>40.0</v>
      </c>
      <c r="AN815" s="3">
        <v>59.0</v>
      </c>
    </row>
    <row r="816" ht="14.25" customHeight="1">
      <c r="A816" s="3">
        <v>814.0</v>
      </c>
      <c r="B816" s="3" t="s">
        <v>7992</v>
      </c>
      <c r="C816" s="3">
        <v>43.0</v>
      </c>
      <c r="D816" s="3" t="s">
        <v>6645</v>
      </c>
      <c r="E816" s="3" t="s">
        <v>6646</v>
      </c>
      <c r="F816" s="3" t="s">
        <v>6646</v>
      </c>
      <c r="G816" s="3" t="s">
        <v>6645</v>
      </c>
      <c r="H816" s="3" t="s">
        <v>6645</v>
      </c>
      <c r="I816" s="3" t="s">
        <v>6646</v>
      </c>
      <c r="J816" s="3">
        <v>-1.0</v>
      </c>
      <c r="K816" s="3">
        <v>4.0</v>
      </c>
      <c r="L816" s="3">
        <v>0.0</v>
      </c>
      <c r="M816" s="3">
        <v>0.0</v>
      </c>
      <c r="N816" s="3">
        <v>8629.19</v>
      </c>
      <c r="O816" s="3">
        <v>1672.0</v>
      </c>
      <c r="P816" s="3" t="e">
        <v>#N/A</v>
      </c>
      <c r="Q816" s="3">
        <v>52.0</v>
      </c>
      <c r="R816" s="3">
        <v>58.0</v>
      </c>
      <c r="S816" s="3">
        <v>59.0</v>
      </c>
      <c r="T816" s="3">
        <v>58.0</v>
      </c>
      <c r="U816" s="3">
        <v>54.0</v>
      </c>
      <c r="V816" s="3">
        <v>56.0</v>
      </c>
      <c r="W816" s="3">
        <v>65.0</v>
      </c>
      <c r="X816" s="3">
        <v>61.0</v>
      </c>
      <c r="Y816" s="3">
        <v>62.0</v>
      </c>
      <c r="Z816" s="3">
        <v>65.0</v>
      </c>
      <c r="AA816" s="3">
        <v>50.0</v>
      </c>
      <c r="AB816" s="3">
        <v>59.0</v>
      </c>
      <c r="AC816" s="3">
        <v>59.0</v>
      </c>
      <c r="AD816" s="3">
        <v>76.0</v>
      </c>
      <c r="AE816" s="3">
        <v>66.0</v>
      </c>
      <c r="AF816" s="3">
        <v>31.0</v>
      </c>
      <c r="AG816" s="3">
        <v>100.0</v>
      </c>
      <c r="AH816" s="3">
        <v>38.0</v>
      </c>
      <c r="AI816" s="3">
        <v>48.0</v>
      </c>
      <c r="AJ816" s="3">
        <v>59.0</v>
      </c>
      <c r="AK816" s="3">
        <v>81.0</v>
      </c>
      <c r="AL816" s="3">
        <v>59.0</v>
      </c>
      <c r="AM816" s="3">
        <v>45.0</v>
      </c>
      <c r="AN816" s="3">
        <v>53.0</v>
      </c>
    </row>
    <row r="817" ht="14.25" customHeight="1">
      <c r="A817" s="3">
        <v>815.0</v>
      </c>
      <c r="B817" s="3" t="s">
        <v>7993</v>
      </c>
      <c r="C817" s="3">
        <v>36.0</v>
      </c>
      <c r="D817" s="3" t="s">
        <v>6645</v>
      </c>
      <c r="E817" s="3" t="s">
        <v>6646</v>
      </c>
      <c r="F817" s="3" t="s">
        <v>6646</v>
      </c>
      <c r="G817" s="3" t="s">
        <v>6645</v>
      </c>
      <c r="H817" s="3" t="s">
        <v>6645</v>
      </c>
      <c r="I817" s="3" t="s">
        <v>6645</v>
      </c>
      <c r="J817" s="3">
        <v>-1.0</v>
      </c>
      <c r="K817" s="3">
        <v>3.0</v>
      </c>
      <c r="L817" s="3">
        <v>0.0</v>
      </c>
      <c r="M817" s="3">
        <v>0.0</v>
      </c>
      <c r="N817" s="3">
        <v>4824.6865</v>
      </c>
      <c r="O817" s="3">
        <v>694.0</v>
      </c>
      <c r="P817" s="3" t="e">
        <v>#N/A</v>
      </c>
      <c r="Q817" s="3">
        <v>57.0</v>
      </c>
      <c r="R817" s="3">
        <v>54.0</v>
      </c>
      <c r="S817" s="3">
        <v>52.0</v>
      </c>
      <c r="T817" s="3">
        <v>52.0</v>
      </c>
      <c r="U817" s="3">
        <v>49.0</v>
      </c>
      <c r="V817" s="3">
        <v>52.0</v>
      </c>
      <c r="W817" s="3">
        <v>56.0</v>
      </c>
      <c r="X817" s="3">
        <v>54.0</v>
      </c>
      <c r="Y817" s="3">
        <v>61.0</v>
      </c>
      <c r="Z817" s="3">
        <v>50.0</v>
      </c>
      <c r="AA817" s="3">
        <v>45.0</v>
      </c>
      <c r="AB817" s="3">
        <v>59.0</v>
      </c>
      <c r="AC817" s="3">
        <v>61.0</v>
      </c>
      <c r="AD817" s="3">
        <v>41.0</v>
      </c>
      <c r="AE817" s="3">
        <v>38.0</v>
      </c>
      <c r="AF817" s="3">
        <v>48.0</v>
      </c>
      <c r="AG817" s="3">
        <v>62.0</v>
      </c>
      <c r="AH817" s="3">
        <v>45.0</v>
      </c>
      <c r="AI817" s="3">
        <v>16.0</v>
      </c>
      <c r="AJ817" s="3">
        <v>37.0</v>
      </c>
      <c r="AK817" s="3">
        <v>38.0</v>
      </c>
      <c r="AL817" s="3">
        <v>63.0</v>
      </c>
      <c r="AM817" s="3">
        <v>44.0</v>
      </c>
      <c r="AN817" s="3">
        <v>67.0</v>
      </c>
    </row>
    <row r="818" ht="14.25" customHeight="1">
      <c r="A818" s="3">
        <v>816.0</v>
      </c>
      <c r="B818" s="3" t="s">
        <v>7994</v>
      </c>
      <c r="C818" s="3">
        <v>38.0</v>
      </c>
      <c r="D818" s="3" t="s">
        <v>6645</v>
      </c>
      <c r="E818" s="3" t="s">
        <v>6646</v>
      </c>
      <c r="F818" s="3" t="s">
        <v>6646</v>
      </c>
      <c r="G818" s="3" t="s">
        <v>6645</v>
      </c>
      <c r="H818" s="3" t="s">
        <v>6645</v>
      </c>
      <c r="I818" s="3" t="s">
        <v>6645</v>
      </c>
      <c r="J818" s="3">
        <v>-1.0</v>
      </c>
      <c r="K818" s="3">
        <v>3.0</v>
      </c>
      <c r="L818" s="3">
        <v>0.0</v>
      </c>
      <c r="M818" s="3">
        <v>0.0</v>
      </c>
      <c r="N818" s="3">
        <v>6309.49</v>
      </c>
      <c r="O818" s="3">
        <v>744.0</v>
      </c>
      <c r="P818" s="3" t="e">
        <v>#N/A</v>
      </c>
      <c r="Q818" s="3">
        <v>51.0</v>
      </c>
      <c r="R818" s="3">
        <v>47.0</v>
      </c>
      <c r="S818" s="3">
        <v>45.0</v>
      </c>
      <c r="T818" s="3">
        <v>49.0</v>
      </c>
      <c r="U818" s="3">
        <v>52.0</v>
      </c>
      <c r="V818" s="3">
        <v>54.0</v>
      </c>
      <c r="W818" s="3">
        <v>60.0</v>
      </c>
      <c r="X818" s="3">
        <v>51.0</v>
      </c>
      <c r="Y818" s="3">
        <v>38.0</v>
      </c>
      <c r="Z818" s="3">
        <v>44.0</v>
      </c>
      <c r="AA818" s="3">
        <v>66.0</v>
      </c>
      <c r="AB818" s="3">
        <v>46.0</v>
      </c>
      <c r="AC818" s="3">
        <v>39.0</v>
      </c>
      <c r="AD818" s="3">
        <v>59.0</v>
      </c>
      <c r="AE818" s="3">
        <v>49.0</v>
      </c>
      <c r="AF818" s="3">
        <v>28.0</v>
      </c>
      <c r="AG818" s="3">
        <v>61.0</v>
      </c>
      <c r="AH818" s="3">
        <v>70.0</v>
      </c>
      <c r="AI818" s="3">
        <v>38.0</v>
      </c>
      <c r="AJ818" s="3">
        <v>50.0</v>
      </c>
      <c r="AK818" s="3">
        <v>47.0</v>
      </c>
      <c r="AL818" s="3">
        <v>64.0</v>
      </c>
      <c r="AM818" s="3">
        <v>49.0</v>
      </c>
      <c r="AN818" s="3">
        <v>58.0</v>
      </c>
    </row>
    <row r="819" ht="14.25" customHeight="1">
      <c r="A819" s="3">
        <v>817.0</v>
      </c>
      <c r="B819" s="3" t="s">
        <v>7995</v>
      </c>
      <c r="C819" s="3">
        <v>24.0</v>
      </c>
      <c r="D819" s="3" t="s">
        <v>6645</v>
      </c>
      <c r="E819" s="3" t="s">
        <v>6646</v>
      </c>
      <c r="F819" s="3" t="s">
        <v>6646</v>
      </c>
      <c r="G819" s="3" t="s">
        <v>6645</v>
      </c>
      <c r="H819" s="3" t="s">
        <v>6645</v>
      </c>
      <c r="I819" s="3" t="s">
        <v>6645</v>
      </c>
      <c r="J819" s="3">
        <v>-1.0</v>
      </c>
      <c r="K819" s="3">
        <v>0.0</v>
      </c>
      <c r="L819" s="3">
        <v>0.0</v>
      </c>
      <c r="M819" s="3">
        <v>0.0</v>
      </c>
      <c r="N819" s="3">
        <v>499.96417</v>
      </c>
      <c r="O819" s="3">
        <v>95.0</v>
      </c>
      <c r="P819" s="3" t="e">
        <v>#N/A</v>
      </c>
      <c r="Q819" s="3">
        <v>32.0</v>
      </c>
      <c r="R819" s="3">
        <v>32.0</v>
      </c>
      <c r="S819" s="3">
        <v>38.0</v>
      </c>
      <c r="T819" s="3">
        <v>32.0</v>
      </c>
      <c r="U819" s="3">
        <v>31.0</v>
      </c>
      <c r="V819" s="3">
        <v>34.0</v>
      </c>
      <c r="W819" s="3">
        <v>46.0</v>
      </c>
      <c r="X819" s="3">
        <v>38.0</v>
      </c>
      <c r="Y819" s="3">
        <v>29.0</v>
      </c>
      <c r="Z819" s="3">
        <v>23.0</v>
      </c>
      <c r="AA819" s="3">
        <v>47.0</v>
      </c>
      <c r="AB819" s="3">
        <v>26.0</v>
      </c>
      <c r="AC819" s="3">
        <v>35.0</v>
      </c>
      <c r="AD819" s="3">
        <v>36.0</v>
      </c>
      <c r="AE819" s="3">
        <v>49.0</v>
      </c>
      <c r="AF819" s="3">
        <v>48.0</v>
      </c>
      <c r="AG819" s="3">
        <v>49.0</v>
      </c>
      <c r="AH819" s="3">
        <v>22.0</v>
      </c>
      <c r="AI819" s="3">
        <v>50.0</v>
      </c>
      <c r="AJ819" s="3">
        <v>75.0</v>
      </c>
      <c r="AK819" s="3">
        <v>52.0</v>
      </c>
      <c r="AL819" s="3">
        <v>38.0</v>
      </c>
      <c r="AM819" s="3">
        <v>47.0</v>
      </c>
      <c r="AN819" s="3">
        <v>57.0</v>
      </c>
    </row>
    <row r="820" ht="14.25" customHeight="1">
      <c r="A820" s="3">
        <v>818.0</v>
      </c>
      <c r="B820" s="3" t="s">
        <v>7996</v>
      </c>
      <c r="C820" s="3">
        <v>31.0</v>
      </c>
      <c r="D820" s="3" t="s">
        <v>6645</v>
      </c>
      <c r="E820" s="3" t="s">
        <v>6646</v>
      </c>
      <c r="F820" s="3" t="s">
        <v>6646</v>
      </c>
      <c r="G820" s="3" t="s">
        <v>6645</v>
      </c>
      <c r="H820" s="3" t="s">
        <v>6645</v>
      </c>
      <c r="I820" s="3" t="s">
        <v>6645</v>
      </c>
      <c r="J820" s="3">
        <v>-1.0</v>
      </c>
      <c r="K820" s="3">
        <v>3.0</v>
      </c>
      <c r="L820" s="3">
        <v>0.0</v>
      </c>
      <c r="M820" s="3">
        <v>0.0</v>
      </c>
      <c r="N820" s="3">
        <v>4749.14</v>
      </c>
      <c r="O820" s="3">
        <v>892.0</v>
      </c>
      <c r="P820" s="3" t="e">
        <v>#N/A</v>
      </c>
      <c r="Q820" s="3">
        <v>49.0</v>
      </c>
      <c r="R820" s="3">
        <v>48.0</v>
      </c>
      <c r="S820" s="3">
        <v>48.0</v>
      </c>
      <c r="T820" s="3">
        <v>50.0</v>
      </c>
      <c r="U820" s="3">
        <v>53.0</v>
      </c>
      <c r="V820" s="3">
        <v>47.0</v>
      </c>
      <c r="W820" s="3">
        <v>55.0</v>
      </c>
      <c r="X820" s="3">
        <v>48.0</v>
      </c>
      <c r="Y820" s="3">
        <v>58.0</v>
      </c>
      <c r="Z820" s="3">
        <v>48.0</v>
      </c>
      <c r="AA820" s="3">
        <v>50.0</v>
      </c>
      <c r="AB820" s="3">
        <v>52.0</v>
      </c>
      <c r="AC820" s="3">
        <v>56.0</v>
      </c>
      <c r="AD820" s="3">
        <v>42.0</v>
      </c>
      <c r="AE820" s="3">
        <v>47.0</v>
      </c>
      <c r="AF820" s="3">
        <v>52.0</v>
      </c>
      <c r="AG820" s="3">
        <v>58.0</v>
      </c>
      <c r="AH820" s="3">
        <v>51.0</v>
      </c>
      <c r="AI820" s="3">
        <v>28.0</v>
      </c>
      <c r="AJ820" s="3">
        <v>74.0</v>
      </c>
      <c r="AK820" s="3">
        <v>54.0</v>
      </c>
      <c r="AL820" s="3">
        <v>50.0</v>
      </c>
      <c r="AM820" s="3">
        <v>47.0</v>
      </c>
      <c r="AN820" s="3">
        <v>59.0</v>
      </c>
    </row>
    <row r="821" ht="14.25" customHeight="1">
      <c r="A821" s="3">
        <v>819.0</v>
      </c>
      <c r="B821" s="3" t="s">
        <v>7997</v>
      </c>
      <c r="C821" s="3">
        <v>15.0</v>
      </c>
      <c r="D821" s="3" t="s">
        <v>6645</v>
      </c>
      <c r="E821" s="3" t="s">
        <v>6646</v>
      </c>
      <c r="F821" s="3" t="s">
        <v>6646</v>
      </c>
      <c r="G821" s="3" t="s">
        <v>6645</v>
      </c>
      <c r="H821" s="3" t="s">
        <v>6645</v>
      </c>
      <c r="I821" s="3" t="s">
        <v>6646</v>
      </c>
      <c r="J821" s="3">
        <v>-1.0</v>
      </c>
      <c r="K821" s="3">
        <v>0.0</v>
      </c>
      <c r="L821" s="3">
        <v>0.0</v>
      </c>
      <c r="M821" s="3">
        <v>0.0</v>
      </c>
      <c r="N821" s="3">
        <v>435.7429</v>
      </c>
      <c r="O821" s="3">
        <v>109.0</v>
      </c>
      <c r="P821" s="3" t="e">
        <v>#N/A</v>
      </c>
      <c r="Q821" s="3">
        <v>33.0</v>
      </c>
      <c r="R821" s="3">
        <v>34.0</v>
      </c>
      <c r="S821" s="3">
        <v>32.0</v>
      </c>
      <c r="T821" s="3">
        <v>34.0</v>
      </c>
      <c r="U821" s="3">
        <v>34.0</v>
      </c>
      <c r="V821" s="3">
        <v>33.0</v>
      </c>
      <c r="W821" s="3">
        <v>42.0</v>
      </c>
      <c r="X821" s="3">
        <v>22.0</v>
      </c>
      <c r="Y821" s="3">
        <v>39.0</v>
      </c>
      <c r="Z821" s="3">
        <v>47.0</v>
      </c>
      <c r="AA821" s="3">
        <v>43.0</v>
      </c>
      <c r="AB821" s="3">
        <v>34.0</v>
      </c>
      <c r="AC821" s="3">
        <v>25.0</v>
      </c>
      <c r="AD821" s="3">
        <v>24.0</v>
      </c>
      <c r="AE821" s="3">
        <v>36.0</v>
      </c>
      <c r="AF821" s="3">
        <v>57.0</v>
      </c>
      <c r="AG821" s="3">
        <v>44.0</v>
      </c>
      <c r="AH821" s="3">
        <v>31.0</v>
      </c>
      <c r="AI821" s="3">
        <v>52.0</v>
      </c>
      <c r="AJ821" s="3">
        <v>47.0</v>
      </c>
      <c r="AK821" s="3">
        <v>72.0</v>
      </c>
      <c r="AL821" s="3">
        <v>34.0</v>
      </c>
      <c r="AM821" s="3">
        <v>69.0</v>
      </c>
      <c r="AN821" s="3">
        <v>32.0</v>
      </c>
    </row>
    <row r="822" ht="14.25" customHeight="1">
      <c r="A822" s="3">
        <v>820.0</v>
      </c>
      <c r="B822" s="3" t="s">
        <v>7998</v>
      </c>
      <c r="C822" s="3">
        <v>17.0</v>
      </c>
      <c r="D822" s="3" t="s">
        <v>6645</v>
      </c>
      <c r="E822" s="3" t="s">
        <v>6646</v>
      </c>
      <c r="F822" s="3" t="s">
        <v>6646</v>
      </c>
      <c r="G822" s="3" t="s">
        <v>6645</v>
      </c>
      <c r="H822" s="3" t="s">
        <v>6645</v>
      </c>
      <c r="I822" s="3" t="s">
        <v>6645</v>
      </c>
      <c r="J822" s="3">
        <v>-1.0</v>
      </c>
      <c r="K822" s="3">
        <v>0.0</v>
      </c>
      <c r="L822" s="3">
        <v>0.0</v>
      </c>
      <c r="M822" s="3">
        <v>0.0</v>
      </c>
      <c r="N822" s="3">
        <v>447.65365</v>
      </c>
      <c r="O822" s="3">
        <v>85.0</v>
      </c>
      <c r="P822" s="3" t="e">
        <v>#N/A</v>
      </c>
      <c r="Q822" s="3">
        <v>37.0</v>
      </c>
      <c r="R822" s="3">
        <v>31.0</v>
      </c>
      <c r="S822" s="3">
        <v>31.0</v>
      </c>
      <c r="T822" s="3">
        <v>31.0</v>
      </c>
      <c r="U822" s="3">
        <v>32.0</v>
      </c>
      <c r="V822" s="3">
        <v>39.0</v>
      </c>
      <c r="W822" s="3">
        <v>35.0</v>
      </c>
      <c r="X822" s="3">
        <v>37.0</v>
      </c>
      <c r="Y822" s="3">
        <v>36.0</v>
      </c>
      <c r="Z822" s="3">
        <v>48.0</v>
      </c>
      <c r="AA822" s="3">
        <v>44.0</v>
      </c>
      <c r="AB822" s="3">
        <v>29.0</v>
      </c>
      <c r="AC822" s="3">
        <v>24.0</v>
      </c>
      <c r="AD822" s="3">
        <v>35.0</v>
      </c>
      <c r="AE822" s="3">
        <v>27.0</v>
      </c>
      <c r="AF822" s="3">
        <v>56.0</v>
      </c>
      <c r="AG822" s="3">
        <v>43.0</v>
      </c>
      <c r="AH822" s="3">
        <v>53.0</v>
      </c>
      <c r="AI822" s="3">
        <v>52.0</v>
      </c>
      <c r="AJ822" s="3">
        <v>46.0</v>
      </c>
      <c r="AK822" s="3">
        <v>20.0</v>
      </c>
      <c r="AL822" s="3">
        <v>74.0</v>
      </c>
      <c r="AM822" s="3">
        <v>54.0</v>
      </c>
      <c r="AN822" s="3">
        <v>39.0</v>
      </c>
    </row>
    <row r="823" ht="14.25" customHeight="1">
      <c r="A823" s="3">
        <v>821.0</v>
      </c>
      <c r="B823" s="3" t="s">
        <v>7999</v>
      </c>
      <c r="C823" s="3">
        <v>21.0</v>
      </c>
      <c r="D823" s="3" t="s">
        <v>6645</v>
      </c>
      <c r="E823" s="3" t="s">
        <v>6646</v>
      </c>
      <c r="F823" s="3" t="s">
        <v>6646</v>
      </c>
      <c r="G823" s="3" t="s">
        <v>6645</v>
      </c>
      <c r="H823" s="3" t="s">
        <v>6645</v>
      </c>
      <c r="I823" s="3" t="s">
        <v>6645</v>
      </c>
      <c r="J823" s="3">
        <v>-1.0</v>
      </c>
      <c r="K823" s="3">
        <v>0.0</v>
      </c>
      <c r="L823" s="3">
        <v>0.0</v>
      </c>
      <c r="M823" s="3">
        <v>0.0</v>
      </c>
      <c r="N823" s="3">
        <v>390.87213</v>
      </c>
      <c r="O823" s="3">
        <v>120.0</v>
      </c>
      <c r="P823" s="3" t="e">
        <v>#N/A</v>
      </c>
      <c r="Q823" s="3">
        <v>31.0</v>
      </c>
      <c r="R823" s="3">
        <v>37.0</v>
      </c>
      <c r="S823" s="3">
        <v>39.0</v>
      </c>
      <c r="T823" s="3">
        <v>30.0</v>
      </c>
      <c r="U823" s="3">
        <v>36.0</v>
      </c>
      <c r="V823" s="3">
        <v>37.0</v>
      </c>
      <c r="W823" s="3">
        <v>40.0</v>
      </c>
      <c r="X823" s="3">
        <v>34.0</v>
      </c>
      <c r="Y823" s="3">
        <v>28.0</v>
      </c>
      <c r="Z823" s="3">
        <v>44.0</v>
      </c>
      <c r="AA823" s="3">
        <v>36.0</v>
      </c>
      <c r="AB823" s="3">
        <v>28.0</v>
      </c>
      <c r="AC823" s="3">
        <v>30.0</v>
      </c>
      <c r="AD823" s="3">
        <v>37.0</v>
      </c>
      <c r="AE823" s="3">
        <v>30.0</v>
      </c>
      <c r="AF823" s="3">
        <v>40.0</v>
      </c>
      <c r="AG823" s="3">
        <v>35.0</v>
      </c>
      <c r="AH823" s="3">
        <v>40.0</v>
      </c>
      <c r="AI823" s="3">
        <v>54.0</v>
      </c>
      <c r="AJ823" s="3">
        <v>17.0</v>
      </c>
      <c r="AK823" s="3">
        <v>31.0</v>
      </c>
      <c r="AL823" s="3">
        <v>66.0</v>
      </c>
      <c r="AM823" s="3">
        <v>42.0</v>
      </c>
      <c r="AN823" s="3">
        <v>37.0</v>
      </c>
    </row>
    <row r="824" ht="14.25" customHeight="1">
      <c r="A824" s="3">
        <v>822.0</v>
      </c>
      <c r="B824" s="3" t="s">
        <v>8000</v>
      </c>
      <c r="C824" s="3">
        <v>19.0</v>
      </c>
      <c r="D824" s="3" t="s">
        <v>6645</v>
      </c>
      <c r="E824" s="3" t="s">
        <v>6646</v>
      </c>
      <c r="F824" s="3" t="s">
        <v>6646</v>
      </c>
      <c r="G824" s="3" t="s">
        <v>6645</v>
      </c>
      <c r="H824" s="3" t="s">
        <v>6645</v>
      </c>
      <c r="I824" s="3" t="s">
        <v>6646</v>
      </c>
      <c r="J824" s="3">
        <v>-1.0</v>
      </c>
      <c r="K824" s="3">
        <v>0.0</v>
      </c>
      <c r="L824" s="3">
        <v>0.0</v>
      </c>
      <c r="M824" s="3">
        <v>0.0</v>
      </c>
      <c r="N824" s="3">
        <v>407.92398</v>
      </c>
      <c r="O824" s="3">
        <v>98.0</v>
      </c>
      <c r="P824" s="3" t="e">
        <v>#N/A</v>
      </c>
      <c r="Q824" s="3">
        <v>38.0</v>
      </c>
      <c r="R824" s="3">
        <v>35.0</v>
      </c>
      <c r="S824" s="3">
        <v>30.0</v>
      </c>
      <c r="T824" s="3">
        <v>33.0</v>
      </c>
      <c r="U824" s="3">
        <v>37.0</v>
      </c>
      <c r="V824" s="3">
        <v>38.0</v>
      </c>
      <c r="W824" s="3">
        <v>37.0</v>
      </c>
      <c r="X824" s="3">
        <v>38.0</v>
      </c>
      <c r="Y824" s="3">
        <v>31.0</v>
      </c>
      <c r="Z824" s="3">
        <v>45.0</v>
      </c>
      <c r="AA824" s="3">
        <v>26.0</v>
      </c>
      <c r="AB824" s="3">
        <v>39.0</v>
      </c>
      <c r="AC824" s="3">
        <v>33.0</v>
      </c>
      <c r="AD824" s="3">
        <v>22.0</v>
      </c>
      <c r="AE824" s="3">
        <v>41.0</v>
      </c>
      <c r="AF824" s="3">
        <v>75.0</v>
      </c>
      <c r="AG824" s="3">
        <v>63.0</v>
      </c>
      <c r="AH824" s="3">
        <v>32.0</v>
      </c>
      <c r="AI824" s="3">
        <v>33.0</v>
      </c>
      <c r="AJ824" s="3">
        <v>3.0</v>
      </c>
      <c r="AK824" s="3">
        <v>36.0</v>
      </c>
      <c r="AL824" s="3">
        <v>59.0</v>
      </c>
      <c r="AM824" s="3">
        <v>42.0</v>
      </c>
      <c r="AN824" s="3">
        <v>21.0</v>
      </c>
    </row>
    <row r="825" ht="14.25" customHeight="1">
      <c r="A825" s="3">
        <v>823.0</v>
      </c>
      <c r="B825" s="3" t="s">
        <v>8001</v>
      </c>
      <c r="C825" s="3">
        <v>32.0</v>
      </c>
      <c r="D825" s="3" t="s">
        <v>6645</v>
      </c>
      <c r="E825" s="3" t="s">
        <v>6646</v>
      </c>
      <c r="F825" s="3" t="s">
        <v>6646</v>
      </c>
      <c r="G825" s="3" t="s">
        <v>6645</v>
      </c>
      <c r="H825" s="3" t="s">
        <v>6645</v>
      </c>
      <c r="I825" s="3" t="s">
        <v>6646</v>
      </c>
      <c r="J825" s="3">
        <v>-1.0</v>
      </c>
      <c r="K825" s="3">
        <v>2.0</v>
      </c>
      <c r="L825" s="3">
        <v>0.0</v>
      </c>
      <c r="M825" s="3">
        <v>0.0</v>
      </c>
      <c r="N825" s="3">
        <v>2410.83</v>
      </c>
      <c r="O825" s="3">
        <v>381.0</v>
      </c>
      <c r="P825" s="3" t="e">
        <v>#N/A</v>
      </c>
      <c r="Q825" s="3">
        <v>47.0</v>
      </c>
      <c r="R825" s="3">
        <v>40.0</v>
      </c>
      <c r="S825" s="3">
        <v>47.0</v>
      </c>
      <c r="T825" s="3">
        <v>41.0</v>
      </c>
      <c r="U825" s="3">
        <v>40.0</v>
      </c>
      <c r="V825" s="3">
        <v>47.0</v>
      </c>
      <c r="W825" s="3">
        <v>47.0</v>
      </c>
      <c r="X825" s="3">
        <v>47.0</v>
      </c>
      <c r="Y825" s="3">
        <v>43.0</v>
      </c>
      <c r="Z825" s="3">
        <v>42.0</v>
      </c>
      <c r="AA825" s="3">
        <v>50.0</v>
      </c>
      <c r="AB825" s="3">
        <v>48.0</v>
      </c>
      <c r="AC825" s="3">
        <v>40.0</v>
      </c>
      <c r="AD825" s="3">
        <v>34.0</v>
      </c>
      <c r="AE825" s="3">
        <v>48.0</v>
      </c>
      <c r="AF825" s="3">
        <v>11.0</v>
      </c>
      <c r="AG825" s="3">
        <v>35.0</v>
      </c>
      <c r="AH825" s="3">
        <v>47.0</v>
      </c>
      <c r="AI825" s="3">
        <v>48.0</v>
      </c>
      <c r="AJ825" s="3">
        <v>36.0</v>
      </c>
      <c r="AK825" s="3">
        <v>39.0</v>
      </c>
      <c r="AL825" s="3">
        <v>66.0</v>
      </c>
      <c r="AM825" s="3">
        <v>27.0</v>
      </c>
      <c r="AN825" s="3">
        <v>70.0</v>
      </c>
    </row>
    <row r="826" ht="14.25" customHeight="1">
      <c r="A826" s="3">
        <v>824.0</v>
      </c>
      <c r="B826" s="3" t="s">
        <v>8002</v>
      </c>
      <c r="C826" s="3">
        <v>21.0</v>
      </c>
      <c r="D826" s="3" t="s">
        <v>6645</v>
      </c>
      <c r="E826" s="3" t="s">
        <v>6646</v>
      </c>
      <c r="F826" s="3" t="s">
        <v>6646</v>
      </c>
      <c r="G826" s="3" t="s">
        <v>6645</v>
      </c>
      <c r="H826" s="3" t="s">
        <v>6645</v>
      </c>
      <c r="I826" s="3" t="s">
        <v>6646</v>
      </c>
      <c r="J826" s="3">
        <v>-1.0</v>
      </c>
      <c r="K826" s="3">
        <v>1.0</v>
      </c>
      <c r="L826" s="3">
        <v>0.0</v>
      </c>
      <c r="M826" s="3">
        <v>0.0</v>
      </c>
      <c r="N826" s="3">
        <v>948.88</v>
      </c>
      <c r="O826" s="3">
        <v>206.0</v>
      </c>
      <c r="P826" s="3" t="e">
        <v>#N/A</v>
      </c>
      <c r="Q826" s="3">
        <v>35.0</v>
      </c>
      <c r="R826" s="3">
        <v>40.0</v>
      </c>
      <c r="S826" s="3">
        <v>35.0</v>
      </c>
      <c r="T826" s="3">
        <v>38.0</v>
      </c>
      <c r="U826" s="3">
        <v>39.0</v>
      </c>
      <c r="V826" s="3">
        <v>42.0</v>
      </c>
      <c r="W826" s="3">
        <v>46.0</v>
      </c>
      <c r="X826" s="3">
        <v>29.0</v>
      </c>
      <c r="Y826" s="3">
        <v>39.0</v>
      </c>
      <c r="Z826" s="3">
        <v>49.0</v>
      </c>
      <c r="AA826" s="3">
        <v>32.0</v>
      </c>
      <c r="AB826" s="3">
        <v>41.0</v>
      </c>
      <c r="AC826" s="3">
        <v>47.0</v>
      </c>
      <c r="AD826" s="3">
        <v>33.0</v>
      </c>
      <c r="AE826" s="3">
        <v>40.0</v>
      </c>
      <c r="AF826" s="3">
        <v>66.0</v>
      </c>
      <c r="AG826" s="3">
        <v>47.0</v>
      </c>
      <c r="AH826" s="3">
        <v>34.0</v>
      </c>
      <c r="AI826" s="3">
        <v>42.0</v>
      </c>
      <c r="AJ826" s="3">
        <v>34.0</v>
      </c>
      <c r="AK826" s="3">
        <v>76.0</v>
      </c>
      <c r="AL826" s="3">
        <v>18.0</v>
      </c>
      <c r="AM826" s="3">
        <v>46.0</v>
      </c>
      <c r="AN826" s="3">
        <v>20.0</v>
      </c>
    </row>
    <row r="827" ht="14.25" customHeight="1">
      <c r="A827" s="3">
        <v>825.0</v>
      </c>
      <c r="B827" s="3" t="s">
        <v>8003</v>
      </c>
      <c r="C827" s="3">
        <v>37.0</v>
      </c>
      <c r="D827" s="3" t="s">
        <v>6645</v>
      </c>
      <c r="E827" s="3" t="s">
        <v>6646</v>
      </c>
      <c r="F827" s="3" t="s">
        <v>6646</v>
      </c>
      <c r="G827" s="3" t="s">
        <v>6645</v>
      </c>
      <c r="H827" s="3" t="s">
        <v>6645</v>
      </c>
      <c r="I827" s="3" t="s">
        <v>6646</v>
      </c>
      <c r="J827" s="3">
        <v>-1.0</v>
      </c>
      <c r="K827" s="3">
        <v>3.0</v>
      </c>
      <c r="L827" s="3">
        <v>0.0</v>
      </c>
      <c r="M827" s="3">
        <v>0.0</v>
      </c>
      <c r="N827" s="3">
        <v>4974.66</v>
      </c>
      <c r="O827" s="3">
        <v>997.0</v>
      </c>
      <c r="P827" s="3" t="e">
        <v>#N/A</v>
      </c>
      <c r="Q827" s="3">
        <v>48.0</v>
      </c>
      <c r="R827" s="3">
        <v>48.0</v>
      </c>
      <c r="S827" s="3">
        <v>45.0</v>
      </c>
      <c r="T827" s="3">
        <v>50.0</v>
      </c>
      <c r="U827" s="3">
        <v>49.0</v>
      </c>
      <c r="V827" s="3">
        <v>49.0</v>
      </c>
      <c r="W827" s="3">
        <v>51.0</v>
      </c>
      <c r="X827" s="3">
        <v>57.0</v>
      </c>
      <c r="Y827" s="3">
        <v>49.0</v>
      </c>
      <c r="Z827" s="3">
        <v>57.0</v>
      </c>
      <c r="AA827" s="3">
        <v>42.0</v>
      </c>
      <c r="AB827" s="3">
        <v>59.0</v>
      </c>
      <c r="AC827" s="3">
        <v>41.0</v>
      </c>
      <c r="AD827" s="3">
        <v>46.0</v>
      </c>
      <c r="AE827" s="3">
        <v>46.0</v>
      </c>
      <c r="AF827" s="3">
        <v>42.0</v>
      </c>
      <c r="AG827" s="3">
        <v>44.0</v>
      </c>
      <c r="AH827" s="3">
        <v>43.0</v>
      </c>
      <c r="AI827" s="3">
        <v>52.0</v>
      </c>
      <c r="AJ827" s="3">
        <v>60.0</v>
      </c>
      <c r="AK827" s="3">
        <v>38.0</v>
      </c>
      <c r="AL827" s="3">
        <v>57.0</v>
      </c>
      <c r="AM827" s="3">
        <v>54.0</v>
      </c>
      <c r="AN827" s="3">
        <v>52.0</v>
      </c>
    </row>
    <row r="828" ht="14.25" customHeight="1">
      <c r="A828" s="3">
        <v>826.0</v>
      </c>
      <c r="B828" s="3" t="s">
        <v>8004</v>
      </c>
      <c r="C828" s="3">
        <v>40.0</v>
      </c>
      <c r="D828" s="3" t="s">
        <v>6645</v>
      </c>
      <c r="E828" s="3" t="s">
        <v>6646</v>
      </c>
      <c r="F828" s="3" t="s">
        <v>6646</v>
      </c>
      <c r="G828" s="3" t="s">
        <v>6645</v>
      </c>
      <c r="H828" s="3" t="s">
        <v>6645</v>
      </c>
      <c r="I828" s="3" t="s">
        <v>6645</v>
      </c>
      <c r="J828" s="3">
        <v>-1.0</v>
      </c>
      <c r="K828" s="3">
        <v>4.0</v>
      </c>
      <c r="L828" s="3">
        <v>0.0</v>
      </c>
      <c r="M828" s="3">
        <v>0.0</v>
      </c>
      <c r="N828" s="3">
        <v>8263.0</v>
      </c>
      <c r="O828" s="3">
        <v>1596.0</v>
      </c>
      <c r="P828" s="3" t="e">
        <v>#N/A</v>
      </c>
      <c r="Q828" s="3">
        <v>56.0</v>
      </c>
      <c r="R828" s="3">
        <v>51.0</v>
      </c>
      <c r="S828" s="3">
        <v>53.0</v>
      </c>
      <c r="T828" s="3">
        <v>64.0</v>
      </c>
      <c r="U828" s="3">
        <v>58.0</v>
      </c>
      <c r="V828" s="3">
        <v>57.0</v>
      </c>
      <c r="W828" s="3">
        <v>50.0</v>
      </c>
      <c r="X828" s="3">
        <v>54.0</v>
      </c>
      <c r="Y828" s="3">
        <v>61.0</v>
      </c>
      <c r="Z828" s="3">
        <v>54.0</v>
      </c>
      <c r="AA828" s="3">
        <v>47.0</v>
      </c>
      <c r="AB828" s="3">
        <v>67.0</v>
      </c>
      <c r="AC828" s="3">
        <v>68.0</v>
      </c>
      <c r="AD828" s="3">
        <v>64.0</v>
      </c>
      <c r="AE828" s="3">
        <v>54.0</v>
      </c>
      <c r="AF828" s="3">
        <v>44.0</v>
      </c>
      <c r="AG828" s="3">
        <v>55.0</v>
      </c>
      <c r="AH828" s="3">
        <v>56.0</v>
      </c>
      <c r="AI828" s="3">
        <v>26.0</v>
      </c>
      <c r="AJ828" s="3">
        <v>74.0</v>
      </c>
      <c r="AK828" s="3">
        <v>54.0</v>
      </c>
      <c r="AL828" s="3">
        <v>60.0</v>
      </c>
      <c r="AM828" s="3">
        <v>55.0</v>
      </c>
      <c r="AN828" s="3">
        <v>65.0</v>
      </c>
    </row>
    <row r="829" ht="14.25" customHeight="1">
      <c r="A829" s="3">
        <v>827.0</v>
      </c>
      <c r="B829" s="3" t="s">
        <v>8005</v>
      </c>
      <c r="C829" s="3">
        <v>37.0</v>
      </c>
      <c r="D829" s="3" t="s">
        <v>6645</v>
      </c>
      <c r="E829" s="3" t="s">
        <v>6646</v>
      </c>
      <c r="F829" s="3" t="s">
        <v>6646</v>
      </c>
      <c r="G829" s="3" t="s">
        <v>6645</v>
      </c>
      <c r="H829" s="3" t="s">
        <v>6645</v>
      </c>
      <c r="I829" s="3" t="s">
        <v>6645</v>
      </c>
      <c r="J829" s="3">
        <v>-1.0</v>
      </c>
      <c r="K829" s="3">
        <v>4.0</v>
      </c>
      <c r="L829" s="3">
        <v>0.0</v>
      </c>
      <c r="M829" s="3">
        <v>0.0</v>
      </c>
      <c r="N829" s="3">
        <v>8393.1</v>
      </c>
      <c r="O829" s="3">
        <v>1259.0</v>
      </c>
      <c r="P829" s="3" t="e">
        <v>#N/A</v>
      </c>
      <c r="Q829" s="3">
        <v>56.0</v>
      </c>
      <c r="R829" s="3">
        <v>53.0</v>
      </c>
      <c r="S829" s="3">
        <v>52.0</v>
      </c>
      <c r="T829" s="3">
        <v>66.0</v>
      </c>
      <c r="U829" s="3">
        <v>64.0</v>
      </c>
      <c r="V829" s="3">
        <v>51.0</v>
      </c>
      <c r="W829" s="3">
        <v>55.0</v>
      </c>
      <c r="X829" s="3">
        <v>63.0</v>
      </c>
      <c r="Y829" s="3">
        <v>54.0</v>
      </c>
      <c r="Z829" s="3">
        <v>53.0</v>
      </c>
      <c r="AA829" s="3">
        <v>47.0</v>
      </c>
      <c r="AB829" s="3">
        <v>56.0</v>
      </c>
      <c r="AC829" s="3">
        <v>67.0</v>
      </c>
      <c r="AD829" s="3">
        <v>56.0</v>
      </c>
      <c r="AE829" s="3">
        <v>64.0</v>
      </c>
      <c r="AF829" s="3">
        <v>42.0</v>
      </c>
      <c r="AG829" s="3">
        <v>36.0</v>
      </c>
      <c r="AH829" s="3">
        <v>27.0</v>
      </c>
      <c r="AI829" s="3">
        <v>79.0</v>
      </c>
      <c r="AJ829" s="3">
        <v>48.0</v>
      </c>
      <c r="AK829" s="3">
        <v>45.0</v>
      </c>
      <c r="AL829" s="3">
        <v>77.0</v>
      </c>
      <c r="AM829" s="3">
        <v>55.0</v>
      </c>
      <c r="AN829" s="3">
        <v>61.0</v>
      </c>
    </row>
    <row r="830" ht="14.25" customHeight="1">
      <c r="A830" s="3">
        <v>828.0</v>
      </c>
      <c r="B830" s="3" t="s">
        <v>8006</v>
      </c>
      <c r="C830" s="3">
        <v>39.0</v>
      </c>
      <c r="D830" s="3" t="s">
        <v>6645</v>
      </c>
      <c r="E830" s="3" t="s">
        <v>6646</v>
      </c>
      <c r="F830" s="3" t="s">
        <v>6646</v>
      </c>
      <c r="G830" s="3" t="s">
        <v>6645</v>
      </c>
      <c r="H830" s="3" t="s">
        <v>6645</v>
      </c>
      <c r="I830" s="3" t="s">
        <v>6645</v>
      </c>
      <c r="J830" s="3">
        <v>-1.0</v>
      </c>
      <c r="K830" s="3">
        <v>3.0</v>
      </c>
      <c r="L830" s="3">
        <v>0.0</v>
      </c>
      <c r="M830" s="3">
        <v>0.0</v>
      </c>
      <c r="N830" s="3">
        <v>5029.1577</v>
      </c>
      <c r="O830" s="3">
        <v>753.0</v>
      </c>
      <c r="P830" s="3" t="e">
        <v>#N/A</v>
      </c>
      <c r="Q830" s="3">
        <v>51.0</v>
      </c>
      <c r="R830" s="3">
        <v>48.0</v>
      </c>
      <c r="S830" s="3">
        <v>51.0</v>
      </c>
      <c r="T830" s="3">
        <v>54.0</v>
      </c>
      <c r="U830" s="3">
        <v>49.0</v>
      </c>
      <c r="V830" s="3">
        <v>50.0</v>
      </c>
      <c r="W830" s="3">
        <v>47.0</v>
      </c>
      <c r="X830" s="3">
        <v>56.0</v>
      </c>
      <c r="Y830" s="3">
        <v>51.0</v>
      </c>
      <c r="Z830" s="3">
        <v>53.0</v>
      </c>
      <c r="AA830" s="3">
        <v>64.0</v>
      </c>
      <c r="AB830" s="3">
        <v>41.0</v>
      </c>
      <c r="AC830" s="3">
        <v>53.0</v>
      </c>
      <c r="AD830" s="3">
        <v>46.0</v>
      </c>
      <c r="AE830" s="3">
        <v>47.0</v>
      </c>
      <c r="AF830" s="3">
        <v>64.0</v>
      </c>
      <c r="AG830" s="3">
        <v>23.0</v>
      </c>
      <c r="AH830" s="3">
        <v>78.0</v>
      </c>
      <c r="AI830" s="3">
        <v>62.0</v>
      </c>
      <c r="AJ830" s="3">
        <v>44.0</v>
      </c>
      <c r="AK830" s="3">
        <v>57.0</v>
      </c>
      <c r="AL830" s="3">
        <v>72.0</v>
      </c>
      <c r="AM830" s="3">
        <v>36.0</v>
      </c>
      <c r="AN830" s="3">
        <v>30.0</v>
      </c>
    </row>
    <row r="831" ht="14.25" customHeight="1">
      <c r="A831" s="3">
        <v>829.0</v>
      </c>
      <c r="B831" s="3" t="s">
        <v>8007</v>
      </c>
      <c r="C831" s="3">
        <v>19.0</v>
      </c>
      <c r="D831" s="3" t="s">
        <v>6645</v>
      </c>
      <c r="E831" s="3" t="s">
        <v>6646</v>
      </c>
      <c r="F831" s="3" t="s">
        <v>6646</v>
      </c>
      <c r="G831" s="3" t="s">
        <v>6645</v>
      </c>
      <c r="H831" s="3" t="s">
        <v>6645</v>
      </c>
      <c r="I831" s="3" t="s">
        <v>6646</v>
      </c>
      <c r="J831" s="3">
        <v>-1.0</v>
      </c>
      <c r="K831" s="3">
        <v>0.0</v>
      </c>
      <c r="L831" s="3">
        <v>0.0</v>
      </c>
      <c r="M831" s="3">
        <v>0.0</v>
      </c>
      <c r="N831" s="3">
        <v>570.064</v>
      </c>
      <c r="O831" s="3">
        <v>121.0</v>
      </c>
      <c r="P831" s="3" t="e">
        <v>#N/A</v>
      </c>
      <c r="Q831" s="3">
        <v>36.0</v>
      </c>
      <c r="R831" s="3">
        <v>39.0</v>
      </c>
      <c r="S831" s="3">
        <v>37.0</v>
      </c>
      <c r="T831" s="3">
        <v>30.0</v>
      </c>
      <c r="U831" s="3">
        <v>33.0</v>
      </c>
      <c r="V831" s="3">
        <v>32.0</v>
      </c>
      <c r="W831" s="3">
        <v>37.0</v>
      </c>
      <c r="X831" s="3">
        <v>43.0</v>
      </c>
      <c r="Y831" s="3">
        <v>29.0</v>
      </c>
      <c r="Z831" s="3">
        <v>38.0</v>
      </c>
      <c r="AA831" s="3">
        <v>37.0</v>
      </c>
      <c r="AB831" s="3">
        <v>31.0</v>
      </c>
      <c r="AC831" s="3">
        <v>29.0</v>
      </c>
      <c r="AD831" s="3">
        <v>44.0</v>
      </c>
      <c r="AE831" s="3">
        <v>45.0</v>
      </c>
      <c r="AF831" s="3">
        <v>35.0</v>
      </c>
      <c r="AG831" s="3">
        <v>41.0</v>
      </c>
      <c r="AH831" s="3">
        <v>38.0</v>
      </c>
      <c r="AI831" s="3">
        <v>43.0</v>
      </c>
      <c r="AJ831" s="3">
        <v>64.0</v>
      </c>
      <c r="AK831" s="3">
        <v>44.0</v>
      </c>
      <c r="AL831" s="3">
        <v>74.0</v>
      </c>
      <c r="AM831" s="3">
        <v>10.0</v>
      </c>
      <c r="AN831" s="3">
        <v>19.0</v>
      </c>
    </row>
    <row r="832" ht="14.25" customHeight="1">
      <c r="A832" s="3">
        <v>830.0</v>
      </c>
      <c r="B832" s="3" t="s">
        <v>8008</v>
      </c>
      <c r="C832" s="3">
        <v>36.0</v>
      </c>
      <c r="D832" s="3" t="s">
        <v>6645</v>
      </c>
      <c r="E832" s="3" t="s">
        <v>6646</v>
      </c>
      <c r="F832" s="3" t="s">
        <v>6646</v>
      </c>
      <c r="G832" s="3" t="s">
        <v>6645</v>
      </c>
      <c r="H832" s="3" t="s">
        <v>6645</v>
      </c>
      <c r="I832" s="3" t="s">
        <v>6646</v>
      </c>
      <c r="J832" s="3">
        <v>-1.0</v>
      </c>
      <c r="K832" s="3">
        <v>3.0</v>
      </c>
      <c r="L832" s="3">
        <v>0.0</v>
      </c>
      <c r="M832" s="3">
        <v>0.0</v>
      </c>
      <c r="N832" s="3">
        <v>5075.8764</v>
      </c>
      <c r="O832" s="3">
        <v>708.0</v>
      </c>
      <c r="P832" s="3" t="e">
        <v>#N/A</v>
      </c>
      <c r="Q832" s="3">
        <v>52.0</v>
      </c>
      <c r="R832" s="3">
        <v>49.0</v>
      </c>
      <c r="S832" s="3">
        <v>56.0</v>
      </c>
      <c r="T832" s="3">
        <v>45.0</v>
      </c>
      <c r="U832" s="3">
        <v>54.0</v>
      </c>
      <c r="V832" s="3">
        <v>51.0</v>
      </c>
      <c r="W832" s="3">
        <v>46.0</v>
      </c>
      <c r="X832" s="3">
        <v>45.0</v>
      </c>
      <c r="Y832" s="3">
        <v>53.0</v>
      </c>
      <c r="Z832" s="3">
        <v>50.0</v>
      </c>
      <c r="AA832" s="3">
        <v>46.0</v>
      </c>
      <c r="AB832" s="3">
        <v>43.0</v>
      </c>
      <c r="AC832" s="3">
        <v>50.0</v>
      </c>
      <c r="AD832" s="3">
        <v>53.0</v>
      </c>
      <c r="AE832" s="3">
        <v>59.0</v>
      </c>
      <c r="AF832" s="3">
        <v>71.0</v>
      </c>
      <c r="AG832" s="3">
        <v>62.0</v>
      </c>
      <c r="AH832" s="3">
        <v>42.0</v>
      </c>
      <c r="AI832" s="3">
        <v>53.0</v>
      </c>
      <c r="AJ832" s="3">
        <v>56.0</v>
      </c>
      <c r="AK832" s="3">
        <v>35.0</v>
      </c>
      <c r="AL832" s="3">
        <v>40.0</v>
      </c>
      <c r="AM832" s="3">
        <v>58.0</v>
      </c>
      <c r="AN832" s="3">
        <v>51.0</v>
      </c>
    </row>
    <row r="833" ht="14.25" customHeight="1">
      <c r="A833" s="3">
        <v>831.0</v>
      </c>
      <c r="B833" s="3" t="s">
        <v>8009</v>
      </c>
      <c r="C833" s="3">
        <v>24.0</v>
      </c>
      <c r="D833" s="3" t="s">
        <v>6645</v>
      </c>
      <c r="E833" s="3" t="s">
        <v>6646</v>
      </c>
      <c r="F833" s="3" t="s">
        <v>6646</v>
      </c>
      <c r="G833" s="3" t="s">
        <v>6645</v>
      </c>
      <c r="H833" s="3" t="s">
        <v>6645</v>
      </c>
      <c r="I833" s="3" t="s">
        <v>6646</v>
      </c>
      <c r="J833" s="3">
        <v>-1.0</v>
      </c>
      <c r="K833" s="3">
        <v>0.0</v>
      </c>
      <c r="L833" s="3">
        <v>0.0</v>
      </c>
      <c r="M833" s="3">
        <v>0.0</v>
      </c>
      <c r="N833" s="3">
        <v>411.03915</v>
      </c>
      <c r="O833" s="3">
        <v>110.0</v>
      </c>
      <c r="P833" s="3" t="e">
        <v>#N/A</v>
      </c>
      <c r="Q833" s="3">
        <v>31.0</v>
      </c>
      <c r="R833" s="3">
        <v>32.0</v>
      </c>
      <c r="S833" s="3">
        <v>36.0</v>
      </c>
      <c r="T833" s="3">
        <v>39.0</v>
      </c>
      <c r="U833" s="3">
        <v>39.0</v>
      </c>
      <c r="V833" s="3">
        <v>34.0</v>
      </c>
      <c r="W833" s="3">
        <v>39.0</v>
      </c>
      <c r="X833" s="3">
        <v>26.0</v>
      </c>
      <c r="Y833" s="3">
        <v>46.0</v>
      </c>
      <c r="Z833" s="3">
        <v>49.0</v>
      </c>
      <c r="AA833" s="3">
        <v>46.0</v>
      </c>
      <c r="AB833" s="3">
        <v>23.0</v>
      </c>
      <c r="AC833" s="3">
        <v>25.0</v>
      </c>
      <c r="AD833" s="3">
        <v>32.0</v>
      </c>
      <c r="AE833" s="3">
        <v>23.0</v>
      </c>
      <c r="AF833" s="3">
        <v>42.0</v>
      </c>
      <c r="AG833" s="3">
        <v>48.0</v>
      </c>
      <c r="AH833" s="3">
        <v>54.0</v>
      </c>
      <c r="AI833" s="3">
        <v>23.0</v>
      </c>
      <c r="AJ833" s="3">
        <v>59.0</v>
      </c>
      <c r="AK833" s="3">
        <v>79.0</v>
      </c>
      <c r="AL833" s="3">
        <v>28.0</v>
      </c>
      <c r="AM833" s="3">
        <v>77.0</v>
      </c>
      <c r="AN833" s="3">
        <v>58.0</v>
      </c>
    </row>
    <row r="834" ht="14.25" customHeight="1">
      <c r="A834" s="3">
        <v>832.0</v>
      </c>
      <c r="B834" s="3" t="s">
        <v>8010</v>
      </c>
      <c r="C834" s="3">
        <v>17.0</v>
      </c>
      <c r="D834" s="3" t="s">
        <v>6645</v>
      </c>
      <c r="E834" s="3" t="s">
        <v>6646</v>
      </c>
      <c r="F834" s="3" t="s">
        <v>6646</v>
      </c>
      <c r="G834" s="3" t="s">
        <v>6645</v>
      </c>
      <c r="H834" s="3" t="s">
        <v>6645</v>
      </c>
      <c r="I834" s="3" t="s">
        <v>6645</v>
      </c>
      <c r="J834" s="3">
        <v>-1.0</v>
      </c>
      <c r="K834" s="3">
        <v>0.0</v>
      </c>
      <c r="L834" s="3">
        <v>0.0</v>
      </c>
      <c r="M834" s="3">
        <v>0.0</v>
      </c>
      <c r="N834" s="3">
        <v>402.79968</v>
      </c>
      <c r="O834" s="3">
        <v>119.0</v>
      </c>
      <c r="P834" s="3" t="e">
        <v>#N/A</v>
      </c>
      <c r="Q834" s="3">
        <v>37.0</v>
      </c>
      <c r="R834" s="3">
        <v>32.0</v>
      </c>
      <c r="S834" s="3">
        <v>32.0</v>
      </c>
      <c r="T834" s="3">
        <v>33.0</v>
      </c>
      <c r="U834" s="3">
        <v>30.0</v>
      </c>
      <c r="V834" s="3">
        <v>35.0</v>
      </c>
      <c r="W834" s="3">
        <v>41.0</v>
      </c>
      <c r="X834" s="3">
        <v>37.0</v>
      </c>
      <c r="Y834" s="3">
        <v>32.0</v>
      </c>
      <c r="Z834" s="3">
        <v>26.0</v>
      </c>
      <c r="AA834" s="3">
        <v>33.0</v>
      </c>
      <c r="AB834" s="3">
        <v>41.0</v>
      </c>
      <c r="AC834" s="3">
        <v>27.0</v>
      </c>
      <c r="AD834" s="3">
        <v>32.0</v>
      </c>
      <c r="AE834" s="3">
        <v>42.0</v>
      </c>
      <c r="AF834" s="3">
        <v>77.0</v>
      </c>
      <c r="AG834" s="3">
        <v>33.0</v>
      </c>
      <c r="AH834" s="3">
        <v>59.0</v>
      </c>
      <c r="AI834" s="3">
        <v>72.0</v>
      </c>
      <c r="AJ834" s="3">
        <v>47.0</v>
      </c>
      <c r="AK834" s="3">
        <v>27.0</v>
      </c>
      <c r="AL834" s="3">
        <v>10.0</v>
      </c>
      <c r="AM834" s="3">
        <v>54.0</v>
      </c>
      <c r="AN834" s="3">
        <v>49.0</v>
      </c>
    </row>
    <row r="835" ht="14.25" customHeight="1">
      <c r="A835" s="3">
        <v>833.0</v>
      </c>
      <c r="B835" s="3" t="s">
        <v>8011</v>
      </c>
      <c r="C835" s="3">
        <v>37.0</v>
      </c>
      <c r="D835" s="3" t="s">
        <v>6645</v>
      </c>
      <c r="E835" s="3" t="s">
        <v>6646</v>
      </c>
      <c r="F835" s="3" t="s">
        <v>6646</v>
      </c>
      <c r="G835" s="3" t="s">
        <v>6645</v>
      </c>
      <c r="H835" s="3" t="s">
        <v>6645</v>
      </c>
      <c r="I835" s="3" t="s">
        <v>6645</v>
      </c>
      <c r="J835" s="3">
        <v>-1.0</v>
      </c>
      <c r="K835" s="3">
        <v>3.0</v>
      </c>
      <c r="L835" s="3">
        <v>0.0</v>
      </c>
      <c r="M835" s="3">
        <v>0.0</v>
      </c>
      <c r="N835" s="3">
        <v>5998.65</v>
      </c>
      <c r="O835" s="3">
        <v>627.0</v>
      </c>
      <c r="P835" s="3" t="e">
        <v>#N/A</v>
      </c>
      <c r="Q835" s="3">
        <v>58.0</v>
      </c>
      <c r="R835" s="3">
        <v>48.0</v>
      </c>
      <c r="S835" s="3">
        <v>54.0</v>
      </c>
      <c r="T835" s="3">
        <v>48.0</v>
      </c>
      <c r="U835" s="3">
        <v>50.0</v>
      </c>
      <c r="V835" s="3">
        <v>46.0</v>
      </c>
      <c r="W835" s="3">
        <v>55.0</v>
      </c>
      <c r="X835" s="3">
        <v>53.0</v>
      </c>
      <c r="Y835" s="3">
        <v>59.0</v>
      </c>
      <c r="Z835" s="3">
        <v>59.0</v>
      </c>
      <c r="AA835" s="3">
        <v>45.0</v>
      </c>
      <c r="AB835" s="3">
        <v>45.0</v>
      </c>
      <c r="AC835" s="3">
        <v>63.0</v>
      </c>
      <c r="AD835" s="3">
        <v>44.0</v>
      </c>
      <c r="AE835" s="3">
        <v>43.0</v>
      </c>
      <c r="AF835" s="3">
        <v>74.0</v>
      </c>
      <c r="AG835" s="3">
        <v>55.0</v>
      </c>
      <c r="AH835" s="3">
        <v>47.0</v>
      </c>
      <c r="AI835" s="3">
        <v>52.0</v>
      </c>
      <c r="AJ835" s="3">
        <v>35.0</v>
      </c>
      <c r="AK835" s="3">
        <v>63.0</v>
      </c>
      <c r="AL835" s="3">
        <v>53.0</v>
      </c>
      <c r="AM835" s="3">
        <v>65.0</v>
      </c>
      <c r="AN835" s="3">
        <v>43.0</v>
      </c>
    </row>
    <row r="836" ht="14.25" customHeight="1">
      <c r="A836" s="3">
        <v>834.0</v>
      </c>
      <c r="B836" s="3" t="s">
        <v>8012</v>
      </c>
      <c r="C836" s="3">
        <v>35.0</v>
      </c>
      <c r="D836" s="3" t="s">
        <v>6645</v>
      </c>
      <c r="E836" s="3" t="s">
        <v>6646</v>
      </c>
      <c r="F836" s="3" t="s">
        <v>6646</v>
      </c>
      <c r="G836" s="3" t="s">
        <v>6645</v>
      </c>
      <c r="H836" s="3" t="s">
        <v>6645</v>
      </c>
      <c r="I836" s="3" t="s">
        <v>6646</v>
      </c>
      <c r="J836" s="3">
        <v>-1.0</v>
      </c>
      <c r="K836" s="3">
        <v>3.0</v>
      </c>
      <c r="L836" s="3">
        <v>0.0</v>
      </c>
      <c r="M836" s="3">
        <v>0.0</v>
      </c>
      <c r="N836" s="3">
        <v>5314.4633</v>
      </c>
      <c r="O836" s="3">
        <v>725.0</v>
      </c>
      <c r="P836" s="3" t="e">
        <v>#N/A</v>
      </c>
      <c r="Q836" s="3">
        <v>50.0</v>
      </c>
      <c r="R836" s="3">
        <v>47.0</v>
      </c>
      <c r="S836" s="3">
        <v>50.0</v>
      </c>
      <c r="T836" s="3">
        <v>53.0</v>
      </c>
      <c r="U836" s="3">
        <v>53.0</v>
      </c>
      <c r="V836" s="3">
        <v>52.0</v>
      </c>
      <c r="W836" s="3">
        <v>48.0</v>
      </c>
      <c r="X836" s="3">
        <v>46.0</v>
      </c>
      <c r="Y836" s="3">
        <v>63.0</v>
      </c>
      <c r="Z836" s="3">
        <v>48.0</v>
      </c>
      <c r="AA836" s="3">
        <v>49.0</v>
      </c>
      <c r="AB836" s="3">
        <v>39.0</v>
      </c>
      <c r="AC836" s="3">
        <v>59.0</v>
      </c>
      <c r="AD836" s="3">
        <v>59.0</v>
      </c>
      <c r="AE836" s="3">
        <v>41.0</v>
      </c>
      <c r="AF836" s="3">
        <v>46.0</v>
      </c>
      <c r="AG836" s="3">
        <v>58.0</v>
      </c>
      <c r="AH836" s="3">
        <v>73.0</v>
      </c>
      <c r="AI836" s="3">
        <v>37.0</v>
      </c>
      <c r="AJ836" s="3">
        <v>65.0</v>
      </c>
      <c r="AK836" s="3">
        <v>58.0</v>
      </c>
      <c r="AL836" s="3">
        <v>45.0</v>
      </c>
      <c r="AM836" s="3">
        <v>17.0</v>
      </c>
      <c r="AN836" s="3">
        <v>55.0</v>
      </c>
    </row>
    <row r="837" ht="14.25" customHeight="1">
      <c r="A837" s="3">
        <v>835.0</v>
      </c>
      <c r="B837" s="3" t="s">
        <v>8013</v>
      </c>
      <c r="C837" s="3">
        <v>30.0</v>
      </c>
      <c r="D837" s="3" t="s">
        <v>6645</v>
      </c>
      <c r="E837" s="3" t="s">
        <v>6646</v>
      </c>
      <c r="F837" s="3" t="s">
        <v>6646</v>
      </c>
      <c r="G837" s="3" t="s">
        <v>6645</v>
      </c>
      <c r="H837" s="3" t="s">
        <v>6645</v>
      </c>
      <c r="I837" s="3" t="s">
        <v>6646</v>
      </c>
      <c r="J837" s="3">
        <v>-1.0</v>
      </c>
      <c r="K837" s="3">
        <v>3.0</v>
      </c>
      <c r="L837" s="3">
        <v>0.0</v>
      </c>
      <c r="M837" s="3">
        <v>0.0</v>
      </c>
      <c r="N837" s="3">
        <v>4981.1</v>
      </c>
      <c r="O837" s="3">
        <v>672.0</v>
      </c>
      <c r="P837" s="3" t="e">
        <v>#N/A</v>
      </c>
      <c r="Q837" s="3">
        <v>47.0</v>
      </c>
      <c r="R837" s="3">
        <v>49.0</v>
      </c>
      <c r="S837" s="3">
        <v>46.0</v>
      </c>
      <c r="T837" s="3">
        <v>48.0</v>
      </c>
      <c r="U837" s="3">
        <v>52.0</v>
      </c>
      <c r="V837" s="3">
        <v>52.0</v>
      </c>
      <c r="W837" s="3">
        <v>42.0</v>
      </c>
      <c r="X837" s="3">
        <v>57.0</v>
      </c>
      <c r="Y837" s="3">
        <v>47.0</v>
      </c>
      <c r="Z837" s="3">
        <v>59.0</v>
      </c>
      <c r="AA837" s="3">
        <v>45.0</v>
      </c>
      <c r="AB837" s="3">
        <v>53.0</v>
      </c>
      <c r="AC837" s="3">
        <v>52.0</v>
      </c>
      <c r="AD837" s="3">
        <v>57.0</v>
      </c>
      <c r="AE837" s="3">
        <v>48.0</v>
      </c>
      <c r="AF837" s="3">
        <v>40.0</v>
      </c>
      <c r="AG837" s="3">
        <v>56.0</v>
      </c>
      <c r="AH837" s="3">
        <v>52.0</v>
      </c>
      <c r="AI837" s="3">
        <v>13.0</v>
      </c>
      <c r="AJ837" s="3">
        <v>50.0</v>
      </c>
      <c r="AK837" s="3">
        <v>80.0</v>
      </c>
      <c r="AL837" s="3">
        <v>63.0</v>
      </c>
      <c r="AM837" s="3">
        <v>63.0</v>
      </c>
      <c r="AN837" s="3">
        <v>57.0</v>
      </c>
    </row>
    <row r="838" ht="14.25" customHeight="1">
      <c r="A838" s="3">
        <v>836.0</v>
      </c>
      <c r="B838" s="3" t="s">
        <v>8014</v>
      </c>
      <c r="C838" s="3">
        <v>34.0</v>
      </c>
      <c r="D838" s="3" t="s">
        <v>6645</v>
      </c>
      <c r="E838" s="3" t="s">
        <v>6646</v>
      </c>
      <c r="F838" s="3" t="s">
        <v>6646</v>
      </c>
      <c r="G838" s="3" t="s">
        <v>6645</v>
      </c>
      <c r="H838" s="3" t="s">
        <v>6645</v>
      </c>
      <c r="I838" s="3" t="s">
        <v>6645</v>
      </c>
      <c r="J838" s="3">
        <v>-1.0</v>
      </c>
      <c r="K838" s="3">
        <v>3.0</v>
      </c>
      <c r="L838" s="3">
        <v>0.0</v>
      </c>
      <c r="M838" s="3">
        <v>0.0</v>
      </c>
      <c r="N838" s="3">
        <v>4512.67</v>
      </c>
      <c r="O838" s="3">
        <v>847.0</v>
      </c>
      <c r="P838" s="3" t="e">
        <v>#N/A</v>
      </c>
      <c r="Q838" s="3">
        <v>58.0</v>
      </c>
      <c r="R838" s="3">
        <v>51.0</v>
      </c>
      <c r="S838" s="3">
        <v>47.0</v>
      </c>
      <c r="T838" s="3">
        <v>57.0</v>
      </c>
      <c r="U838" s="3">
        <v>52.0</v>
      </c>
      <c r="V838" s="3">
        <v>50.0</v>
      </c>
      <c r="W838" s="3">
        <v>63.0</v>
      </c>
      <c r="X838" s="3">
        <v>49.0</v>
      </c>
      <c r="Y838" s="3">
        <v>52.0</v>
      </c>
      <c r="Z838" s="3">
        <v>49.0</v>
      </c>
      <c r="AA838" s="3">
        <v>44.0</v>
      </c>
      <c r="AB838" s="3">
        <v>49.0</v>
      </c>
      <c r="AC838" s="3">
        <v>58.0</v>
      </c>
      <c r="AD838" s="3">
        <v>41.0</v>
      </c>
      <c r="AE838" s="3">
        <v>43.0</v>
      </c>
      <c r="AF838" s="3">
        <v>43.0</v>
      </c>
      <c r="AG838" s="3">
        <v>42.0</v>
      </c>
      <c r="AH838" s="3">
        <v>61.0</v>
      </c>
      <c r="AI838" s="3">
        <v>77.0</v>
      </c>
      <c r="AJ838" s="3">
        <v>61.0</v>
      </c>
      <c r="AK838" s="3">
        <v>64.0</v>
      </c>
      <c r="AL838" s="3">
        <v>63.0</v>
      </c>
      <c r="AM838" s="3">
        <v>51.0</v>
      </c>
      <c r="AN838" s="3">
        <v>65.0</v>
      </c>
    </row>
    <row r="839" ht="14.25" customHeight="1">
      <c r="A839" s="3">
        <v>837.0</v>
      </c>
      <c r="B839" s="3" t="s">
        <v>8015</v>
      </c>
      <c r="C839" s="3">
        <v>20.0</v>
      </c>
      <c r="D839" s="3" t="s">
        <v>6645</v>
      </c>
      <c r="E839" s="3" t="s">
        <v>6646</v>
      </c>
      <c r="F839" s="3" t="s">
        <v>6646</v>
      </c>
      <c r="G839" s="3" t="s">
        <v>6645</v>
      </c>
      <c r="H839" s="3" t="s">
        <v>6645</v>
      </c>
      <c r="I839" s="3" t="s">
        <v>6645</v>
      </c>
      <c r="J839" s="3">
        <v>-1.0</v>
      </c>
      <c r="K839" s="3">
        <v>0.0</v>
      </c>
      <c r="L839" s="3">
        <v>0.0</v>
      </c>
      <c r="M839" s="3">
        <v>0.0</v>
      </c>
      <c r="N839" s="3">
        <v>474.307</v>
      </c>
      <c r="O839" s="3">
        <v>99.0</v>
      </c>
      <c r="P839" s="3" t="e">
        <v>#N/A</v>
      </c>
      <c r="Q839" s="3">
        <v>31.0</v>
      </c>
      <c r="R839" s="3">
        <v>38.0</v>
      </c>
      <c r="S839" s="3">
        <v>39.0</v>
      </c>
      <c r="T839" s="3">
        <v>31.0</v>
      </c>
      <c r="U839" s="3">
        <v>38.0</v>
      </c>
      <c r="V839" s="3">
        <v>38.0</v>
      </c>
      <c r="W839" s="3">
        <v>42.0</v>
      </c>
      <c r="X839" s="3">
        <v>35.0</v>
      </c>
      <c r="Y839" s="3">
        <v>30.0</v>
      </c>
      <c r="Z839" s="3">
        <v>39.0</v>
      </c>
      <c r="AA839" s="3">
        <v>32.0</v>
      </c>
      <c r="AB839" s="3">
        <v>31.0</v>
      </c>
      <c r="AC839" s="3">
        <v>26.0</v>
      </c>
      <c r="AD839" s="3">
        <v>47.0</v>
      </c>
      <c r="AE839" s="3">
        <v>32.0</v>
      </c>
      <c r="AF839" s="3">
        <v>38.0</v>
      </c>
      <c r="AG839" s="3">
        <v>56.0</v>
      </c>
      <c r="AH839" s="3">
        <v>40.0</v>
      </c>
      <c r="AI839" s="3">
        <v>30.0</v>
      </c>
      <c r="AJ839" s="3">
        <v>59.0</v>
      </c>
      <c r="AK839" s="3">
        <v>53.0</v>
      </c>
      <c r="AL839" s="3">
        <v>31.0</v>
      </c>
      <c r="AM839" s="3">
        <v>58.0</v>
      </c>
      <c r="AN839" s="3">
        <v>56.0</v>
      </c>
    </row>
    <row r="840" ht="14.25" customHeight="1">
      <c r="A840" s="3">
        <v>838.0</v>
      </c>
      <c r="B840" s="3" t="s">
        <v>8016</v>
      </c>
      <c r="C840" s="3">
        <v>21.0</v>
      </c>
      <c r="D840" s="3" t="s">
        <v>6645</v>
      </c>
      <c r="E840" s="3" t="s">
        <v>6646</v>
      </c>
      <c r="F840" s="3" t="s">
        <v>6646</v>
      </c>
      <c r="G840" s="3" t="s">
        <v>6645</v>
      </c>
      <c r="H840" s="3" t="s">
        <v>6645</v>
      </c>
      <c r="I840" s="3" t="s">
        <v>6646</v>
      </c>
      <c r="J840" s="3">
        <v>-1.0</v>
      </c>
      <c r="K840" s="3">
        <v>0.0</v>
      </c>
      <c r="L840" s="3">
        <v>0.0</v>
      </c>
      <c r="M840" s="3">
        <v>0.0</v>
      </c>
      <c r="N840" s="3">
        <v>502.19955</v>
      </c>
      <c r="O840" s="3">
        <v>78.0</v>
      </c>
      <c r="P840" s="3" t="e">
        <v>#N/A</v>
      </c>
      <c r="Q840" s="3">
        <v>32.0</v>
      </c>
      <c r="R840" s="3">
        <v>33.0</v>
      </c>
      <c r="S840" s="3">
        <v>31.0</v>
      </c>
      <c r="T840" s="3">
        <v>38.0</v>
      </c>
      <c r="U840" s="3">
        <v>39.0</v>
      </c>
      <c r="V840" s="3">
        <v>32.0</v>
      </c>
      <c r="W840" s="3">
        <v>31.0</v>
      </c>
      <c r="X840" s="3">
        <v>32.0</v>
      </c>
      <c r="Y840" s="3">
        <v>38.0</v>
      </c>
      <c r="Z840" s="3">
        <v>32.0</v>
      </c>
      <c r="AA840" s="3">
        <v>32.0</v>
      </c>
      <c r="AB840" s="3">
        <v>40.0</v>
      </c>
      <c r="AC840" s="3">
        <v>28.0</v>
      </c>
      <c r="AD840" s="3">
        <v>40.0</v>
      </c>
      <c r="AE840" s="3">
        <v>28.0</v>
      </c>
      <c r="AF840" s="3">
        <v>71.0</v>
      </c>
      <c r="AG840" s="3">
        <v>70.0</v>
      </c>
      <c r="AH840" s="3">
        <v>57.0</v>
      </c>
      <c r="AI840" s="3">
        <v>39.0</v>
      </c>
      <c r="AJ840" s="3">
        <v>33.0</v>
      </c>
      <c r="AK840" s="3">
        <v>21.0</v>
      </c>
      <c r="AL840" s="3">
        <v>49.0</v>
      </c>
      <c r="AM840" s="3">
        <v>73.0</v>
      </c>
      <c r="AN840" s="3">
        <v>26.0</v>
      </c>
    </row>
    <row r="841" ht="14.25" customHeight="1">
      <c r="A841" s="3">
        <v>839.0</v>
      </c>
      <c r="B841" s="3" t="s">
        <v>8017</v>
      </c>
      <c r="C841" s="3">
        <v>25.0</v>
      </c>
      <c r="D841" s="3" t="s">
        <v>6645</v>
      </c>
      <c r="E841" s="3" t="s">
        <v>6646</v>
      </c>
      <c r="F841" s="3" t="s">
        <v>6646</v>
      </c>
      <c r="G841" s="3" t="s">
        <v>6645</v>
      </c>
      <c r="H841" s="3" t="s">
        <v>6645</v>
      </c>
      <c r="I841" s="3" t="s">
        <v>6646</v>
      </c>
      <c r="J841" s="3">
        <v>-1.0</v>
      </c>
      <c r="K841" s="3">
        <v>1.0</v>
      </c>
      <c r="L841" s="3">
        <v>0.0</v>
      </c>
      <c r="M841" s="3">
        <v>0.0</v>
      </c>
      <c r="N841" s="3">
        <v>934.56445</v>
      </c>
      <c r="O841" s="3">
        <v>242.0</v>
      </c>
      <c r="P841" s="3" t="e">
        <v>#N/A</v>
      </c>
      <c r="Q841" s="3">
        <v>41.0</v>
      </c>
      <c r="R841" s="3">
        <v>40.0</v>
      </c>
      <c r="S841" s="3">
        <v>42.0</v>
      </c>
      <c r="T841" s="3">
        <v>36.0</v>
      </c>
      <c r="U841" s="3">
        <v>39.0</v>
      </c>
      <c r="V841" s="3">
        <v>41.0</v>
      </c>
      <c r="W841" s="3">
        <v>36.0</v>
      </c>
      <c r="X841" s="3">
        <v>39.0</v>
      </c>
      <c r="Y841" s="3">
        <v>47.0</v>
      </c>
      <c r="Z841" s="3">
        <v>36.0</v>
      </c>
      <c r="AA841" s="3">
        <v>40.0</v>
      </c>
      <c r="AB841" s="3">
        <v>40.0</v>
      </c>
      <c r="AC841" s="3">
        <v>40.0</v>
      </c>
      <c r="AD841" s="3">
        <v>26.0</v>
      </c>
      <c r="AE841" s="3">
        <v>48.0</v>
      </c>
      <c r="AF841" s="3">
        <v>65.0</v>
      </c>
      <c r="AG841" s="3">
        <v>7.0</v>
      </c>
      <c r="AH841" s="3">
        <v>46.0</v>
      </c>
      <c r="AI841" s="3">
        <v>52.0</v>
      </c>
      <c r="AJ841" s="3">
        <v>60.0</v>
      </c>
      <c r="AK841" s="3">
        <v>65.0</v>
      </c>
      <c r="AL841" s="3">
        <v>47.0</v>
      </c>
      <c r="AM841" s="3">
        <v>57.0</v>
      </c>
      <c r="AN841" s="3">
        <v>22.0</v>
      </c>
    </row>
    <row r="842" ht="14.25" customHeight="1">
      <c r="A842" s="3">
        <v>840.0</v>
      </c>
      <c r="B842" s="3" t="s">
        <v>8018</v>
      </c>
      <c r="C842" s="3">
        <v>36.0</v>
      </c>
      <c r="D842" s="3" t="s">
        <v>6645</v>
      </c>
      <c r="E842" s="3" t="s">
        <v>6646</v>
      </c>
      <c r="F842" s="3" t="s">
        <v>6646</v>
      </c>
      <c r="G842" s="3" t="s">
        <v>6645</v>
      </c>
      <c r="H842" s="3" t="s">
        <v>6645</v>
      </c>
      <c r="I842" s="3" t="s">
        <v>6645</v>
      </c>
      <c r="J842" s="3">
        <v>-1.0</v>
      </c>
      <c r="K842" s="3">
        <v>3.0</v>
      </c>
      <c r="L842" s="3">
        <v>0.0</v>
      </c>
      <c r="M842" s="3">
        <v>0.0</v>
      </c>
      <c r="N842" s="3">
        <v>4559.4516</v>
      </c>
      <c r="O842" s="3">
        <v>948.0</v>
      </c>
      <c r="P842" s="3" t="e">
        <v>#N/A</v>
      </c>
      <c r="Q842" s="3">
        <v>47.0</v>
      </c>
      <c r="R842" s="3">
        <v>46.0</v>
      </c>
      <c r="S842" s="3">
        <v>54.0</v>
      </c>
      <c r="T842" s="3">
        <v>50.0</v>
      </c>
      <c r="U842" s="3">
        <v>51.0</v>
      </c>
      <c r="V842" s="3">
        <v>46.0</v>
      </c>
      <c r="W842" s="3">
        <v>57.0</v>
      </c>
      <c r="X842" s="3">
        <v>47.0</v>
      </c>
      <c r="Y842" s="3">
        <v>52.0</v>
      </c>
      <c r="Z842" s="3">
        <v>59.0</v>
      </c>
      <c r="AA842" s="3">
        <v>47.0</v>
      </c>
      <c r="AB842" s="3">
        <v>48.0</v>
      </c>
      <c r="AC842" s="3">
        <v>49.0</v>
      </c>
      <c r="AD842" s="3">
        <v>53.0</v>
      </c>
      <c r="AE842" s="3">
        <v>43.0</v>
      </c>
      <c r="AF842" s="3">
        <v>47.0</v>
      </c>
      <c r="AG842" s="3">
        <v>28.0</v>
      </c>
      <c r="AH842" s="3">
        <v>81.0</v>
      </c>
      <c r="AI842" s="3">
        <v>39.0</v>
      </c>
      <c r="AJ842" s="3">
        <v>51.0</v>
      </c>
      <c r="AK842" s="3">
        <v>54.0</v>
      </c>
      <c r="AL842" s="3">
        <v>49.0</v>
      </c>
      <c r="AM842" s="3">
        <v>51.0</v>
      </c>
      <c r="AN842" s="3">
        <v>64.0</v>
      </c>
    </row>
    <row r="843" ht="14.25" customHeight="1">
      <c r="A843" s="3">
        <v>841.0</v>
      </c>
      <c r="B843" s="3" t="s">
        <v>8019</v>
      </c>
      <c r="C843" s="3">
        <v>22.0</v>
      </c>
      <c r="D843" s="3" t="s">
        <v>6645</v>
      </c>
      <c r="E843" s="3" t="s">
        <v>6646</v>
      </c>
      <c r="F843" s="3" t="s">
        <v>6646</v>
      </c>
      <c r="G843" s="3" t="s">
        <v>6645</v>
      </c>
      <c r="H843" s="3" t="s">
        <v>6645</v>
      </c>
      <c r="I843" s="3" t="s">
        <v>6646</v>
      </c>
      <c r="J843" s="3">
        <v>-1.0</v>
      </c>
      <c r="K843" s="3">
        <v>0.0</v>
      </c>
      <c r="L843" s="3">
        <v>0.0</v>
      </c>
      <c r="M843" s="3">
        <v>0.0</v>
      </c>
      <c r="N843" s="3">
        <v>345.68215</v>
      </c>
      <c r="O843" s="3">
        <v>100.0</v>
      </c>
      <c r="P843" s="3" t="e">
        <v>#N/A</v>
      </c>
      <c r="Q843" s="3">
        <v>31.0</v>
      </c>
      <c r="R843" s="3">
        <v>35.0</v>
      </c>
      <c r="S843" s="3">
        <v>38.0</v>
      </c>
      <c r="T843" s="3">
        <v>38.0</v>
      </c>
      <c r="U843" s="3">
        <v>34.0</v>
      </c>
      <c r="V843" s="3">
        <v>39.0</v>
      </c>
      <c r="W843" s="3">
        <v>42.0</v>
      </c>
      <c r="X843" s="3">
        <v>36.0</v>
      </c>
      <c r="Y843" s="3">
        <v>33.0</v>
      </c>
      <c r="Z843" s="3">
        <v>32.0</v>
      </c>
      <c r="AA843" s="3">
        <v>31.0</v>
      </c>
      <c r="AB843" s="3">
        <v>41.0</v>
      </c>
      <c r="AC843" s="3">
        <v>30.0</v>
      </c>
      <c r="AD843" s="3">
        <v>42.0</v>
      </c>
      <c r="AE843" s="3">
        <v>26.0</v>
      </c>
      <c r="AF843" s="3">
        <v>39.0</v>
      </c>
      <c r="AG843" s="3">
        <v>41.0</v>
      </c>
      <c r="AH843" s="3">
        <v>46.0</v>
      </c>
      <c r="AI843" s="3">
        <v>38.0</v>
      </c>
      <c r="AJ843" s="3">
        <v>38.0</v>
      </c>
      <c r="AK843" s="3">
        <v>32.0</v>
      </c>
      <c r="AL843" s="3">
        <v>48.0</v>
      </c>
      <c r="AM843" s="3">
        <v>45.0</v>
      </c>
      <c r="AN843" s="3">
        <v>52.0</v>
      </c>
    </row>
    <row r="844" ht="14.25" customHeight="1">
      <c r="A844" s="3">
        <v>842.0</v>
      </c>
      <c r="B844" s="3" t="s">
        <v>8020</v>
      </c>
      <c r="C844" s="3">
        <v>38.0</v>
      </c>
      <c r="D844" s="3" t="s">
        <v>6645</v>
      </c>
      <c r="E844" s="3" t="s">
        <v>6646</v>
      </c>
      <c r="F844" s="3" t="s">
        <v>6646</v>
      </c>
      <c r="G844" s="3" t="s">
        <v>6645</v>
      </c>
      <c r="H844" s="3" t="s">
        <v>6645</v>
      </c>
      <c r="I844" s="3" t="s">
        <v>6646</v>
      </c>
      <c r="J844" s="3">
        <v>-1.0</v>
      </c>
      <c r="K844" s="3">
        <v>3.0</v>
      </c>
      <c r="L844" s="3">
        <v>0.0</v>
      </c>
      <c r="M844" s="3">
        <v>0.0</v>
      </c>
      <c r="N844" s="3">
        <v>4747.9052</v>
      </c>
      <c r="O844" s="3">
        <v>782.0</v>
      </c>
      <c r="P844" s="3" t="e">
        <v>#N/A</v>
      </c>
      <c r="Q844" s="3">
        <v>46.0</v>
      </c>
      <c r="R844" s="3">
        <v>52.0</v>
      </c>
      <c r="S844" s="3">
        <v>57.0</v>
      </c>
      <c r="T844" s="3">
        <v>50.0</v>
      </c>
      <c r="U844" s="3">
        <v>49.0</v>
      </c>
      <c r="V844" s="3">
        <v>45.0</v>
      </c>
      <c r="W844" s="3">
        <v>50.0</v>
      </c>
      <c r="X844" s="3">
        <v>45.0</v>
      </c>
      <c r="Y844" s="3">
        <v>56.0</v>
      </c>
      <c r="Z844" s="3">
        <v>47.0</v>
      </c>
      <c r="AA844" s="3">
        <v>51.0</v>
      </c>
      <c r="AB844" s="3">
        <v>56.0</v>
      </c>
      <c r="AC844" s="3">
        <v>52.0</v>
      </c>
      <c r="AD844" s="3">
        <v>52.0</v>
      </c>
      <c r="AE844" s="3">
        <v>46.0</v>
      </c>
      <c r="AF844" s="3">
        <v>63.0</v>
      </c>
      <c r="AG844" s="3">
        <v>84.0</v>
      </c>
      <c r="AH844" s="3">
        <v>58.0</v>
      </c>
      <c r="AI844" s="3">
        <v>48.0</v>
      </c>
      <c r="AJ844" s="3">
        <v>36.0</v>
      </c>
      <c r="AK844" s="3">
        <v>38.0</v>
      </c>
      <c r="AL844" s="3">
        <v>41.0</v>
      </c>
      <c r="AM844" s="3">
        <v>51.0</v>
      </c>
      <c r="AN844" s="3">
        <v>40.0</v>
      </c>
    </row>
    <row r="845" ht="14.25" customHeight="1">
      <c r="A845" s="3">
        <v>843.0</v>
      </c>
      <c r="B845" s="3" t="s">
        <v>8021</v>
      </c>
      <c r="C845" s="3">
        <v>26.0</v>
      </c>
      <c r="D845" s="3" t="s">
        <v>6645</v>
      </c>
      <c r="E845" s="3" t="s">
        <v>6646</v>
      </c>
      <c r="F845" s="3" t="s">
        <v>6646</v>
      </c>
      <c r="G845" s="3" t="s">
        <v>6645</v>
      </c>
      <c r="H845" s="3" t="s">
        <v>6645</v>
      </c>
      <c r="I845" s="3" t="s">
        <v>6646</v>
      </c>
      <c r="J845" s="3">
        <v>-1.0</v>
      </c>
      <c r="K845" s="3">
        <v>1.0</v>
      </c>
      <c r="L845" s="3">
        <v>0.0</v>
      </c>
      <c r="M845" s="3">
        <v>0.0</v>
      </c>
      <c r="N845" s="3">
        <v>1043.0114</v>
      </c>
      <c r="O845" s="3">
        <v>224.0</v>
      </c>
      <c r="P845" s="3" t="e">
        <v>#N/A</v>
      </c>
      <c r="Q845" s="3">
        <v>40.0</v>
      </c>
      <c r="R845" s="3">
        <v>42.0</v>
      </c>
      <c r="S845" s="3">
        <v>36.0</v>
      </c>
      <c r="T845" s="3">
        <v>44.0</v>
      </c>
      <c r="U845" s="3">
        <v>39.0</v>
      </c>
      <c r="V845" s="3">
        <v>35.0</v>
      </c>
      <c r="W845" s="3">
        <v>49.0</v>
      </c>
      <c r="X845" s="3">
        <v>44.0</v>
      </c>
      <c r="Y845" s="3">
        <v>36.0</v>
      </c>
      <c r="Z845" s="3">
        <v>36.0</v>
      </c>
      <c r="AA845" s="3">
        <v>36.0</v>
      </c>
      <c r="AB845" s="3">
        <v>48.0</v>
      </c>
      <c r="AC845" s="3">
        <v>42.0</v>
      </c>
      <c r="AD845" s="3">
        <v>50.0</v>
      </c>
      <c r="AE845" s="3">
        <v>33.0</v>
      </c>
      <c r="AF845" s="3">
        <v>67.0</v>
      </c>
      <c r="AG845" s="3">
        <v>25.0</v>
      </c>
      <c r="AH845" s="3">
        <v>79.0</v>
      </c>
      <c r="AI845" s="3">
        <v>76.0</v>
      </c>
      <c r="AJ845" s="3">
        <v>17.0</v>
      </c>
      <c r="AK845" s="3">
        <v>37.0</v>
      </c>
      <c r="AL845" s="3">
        <v>35.0</v>
      </c>
      <c r="AM845" s="3">
        <v>50.0</v>
      </c>
      <c r="AN845" s="3">
        <v>9.0</v>
      </c>
    </row>
    <row r="846" ht="14.25" customHeight="1">
      <c r="A846" s="3">
        <v>844.0</v>
      </c>
      <c r="B846" s="3" t="s">
        <v>8022</v>
      </c>
      <c r="C846" s="3">
        <v>34.0</v>
      </c>
      <c r="D846" s="3" t="s">
        <v>6645</v>
      </c>
      <c r="E846" s="3" t="s">
        <v>6646</v>
      </c>
      <c r="F846" s="3" t="s">
        <v>6646</v>
      </c>
      <c r="G846" s="3" t="s">
        <v>6645</v>
      </c>
      <c r="H846" s="3" t="s">
        <v>6645</v>
      </c>
      <c r="I846" s="3" t="s">
        <v>6646</v>
      </c>
      <c r="J846" s="3">
        <v>-1.0</v>
      </c>
      <c r="K846" s="3">
        <v>2.0</v>
      </c>
      <c r="L846" s="3">
        <v>0.0</v>
      </c>
      <c r="M846" s="3">
        <v>0.0</v>
      </c>
      <c r="N846" s="3">
        <v>2824.0463</v>
      </c>
      <c r="O846" s="3">
        <v>358.0</v>
      </c>
      <c r="P846" s="3" t="e">
        <v>#N/A</v>
      </c>
      <c r="Q846" s="3">
        <v>46.0</v>
      </c>
      <c r="R846" s="3">
        <v>44.0</v>
      </c>
      <c r="S846" s="3">
        <v>49.0</v>
      </c>
      <c r="T846" s="3">
        <v>47.0</v>
      </c>
      <c r="U846" s="3">
        <v>44.0</v>
      </c>
      <c r="V846" s="3">
        <v>43.0</v>
      </c>
      <c r="W846" s="3">
        <v>32.0</v>
      </c>
      <c r="X846" s="3">
        <v>41.0</v>
      </c>
      <c r="Y846" s="3">
        <v>51.0</v>
      </c>
      <c r="Z846" s="3">
        <v>46.0</v>
      </c>
      <c r="AA846" s="3">
        <v>42.0</v>
      </c>
      <c r="AB846" s="3">
        <v>47.0</v>
      </c>
      <c r="AC846" s="3">
        <v>54.0</v>
      </c>
      <c r="AD846" s="3">
        <v>48.0</v>
      </c>
      <c r="AE846" s="3">
        <v>59.0</v>
      </c>
      <c r="AF846" s="3">
        <v>39.0</v>
      </c>
      <c r="AG846" s="3">
        <v>59.0</v>
      </c>
      <c r="AH846" s="3">
        <v>50.0</v>
      </c>
      <c r="AI846" s="3">
        <v>61.0</v>
      </c>
      <c r="AJ846" s="3">
        <v>36.0</v>
      </c>
      <c r="AK846" s="3">
        <v>36.0</v>
      </c>
      <c r="AL846" s="3">
        <v>79.0</v>
      </c>
      <c r="AM846" s="3">
        <v>42.0</v>
      </c>
      <c r="AN846" s="3">
        <v>34.0</v>
      </c>
    </row>
    <row r="847" ht="14.25" customHeight="1">
      <c r="A847" s="3">
        <v>845.0</v>
      </c>
      <c r="B847" s="3" t="s">
        <v>8023</v>
      </c>
      <c r="C847" s="3">
        <v>17.0</v>
      </c>
      <c r="D847" s="3" t="s">
        <v>6645</v>
      </c>
      <c r="E847" s="3" t="s">
        <v>6646</v>
      </c>
      <c r="F847" s="3" t="s">
        <v>6646</v>
      </c>
      <c r="G847" s="3" t="s">
        <v>6645</v>
      </c>
      <c r="H847" s="3" t="s">
        <v>6645</v>
      </c>
      <c r="I847" s="3" t="s">
        <v>6645</v>
      </c>
      <c r="J847" s="3">
        <v>-1.0</v>
      </c>
      <c r="K847" s="3">
        <v>0.0</v>
      </c>
      <c r="L847" s="3">
        <v>0.0</v>
      </c>
      <c r="M847" s="3">
        <v>0.0</v>
      </c>
      <c r="N847" s="3">
        <v>401.88046</v>
      </c>
      <c r="O847" s="3">
        <v>94.0</v>
      </c>
      <c r="P847" s="3" t="e">
        <v>#N/A</v>
      </c>
      <c r="Q847" s="3">
        <v>35.0</v>
      </c>
      <c r="R847" s="3">
        <v>35.0</v>
      </c>
      <c r="S847" s="3">
        <v>31.0</v>
      </c>
      <c r="T847" s="3">
        <v>31.0</v>
      </c>
      <c r="U847" s="3">
        <v>35.0</v>
      </c>
      <c r="V847" s="3">
        <v>32.0</v>
      </c>
      <c r="W847" s="3">
        <v>32.0</v>
      </c>
      <c r="X847" s="3">
        <v>39.0</v>
      </c>
      <c r="Y847" s="3">
        <v>26.0</v>
      </c>
      <c r="Z847" s="3">
        <v>45.0</v>
      </c>
      <c r="AA847" s="3">
        <v>39.0</v>
      </c>
      <c r="AB847" s="3">
        <v>32.0</v>
      </c>
      <c r="AC847" s="3">
        <v>41.0</v>
      </c>
      <c r="AD847" s="3">
        <v>33.0</v>
      </c>
      <c r="AE847" s="3">
        <v>32.0</v>
      </c>
      <c r="AF847" s="3">
        <v>5.0</v>
      </c>
      <c r="AG847" s="3">
        <v>49.0</v>
      </c>
      <c r="AH847" s="3">
        <v>41.0</v>
      </c>
      <c r="AI847" s="3">
        <v>68.0</v>
      </c>
      <c r="AJ847" s="3">
        <v>42.0</v>
      </c>
      <c r="AK847" s="3">
        <v>39.0</v>
      </c>
      <c r="AL847" s="3">
        <v>45.0</v>
      </c>
      <c r="AM847" s="3">
        <v>56.0</v>
      </c>
      <c r="AN847" s="3">
        <v>58.0</v>
      </c>
    </row>
    <row r="848" ht="14.25" customHeight="1">
      <c r="A848" s="3">
        <v>846.0</v>
      </c>
      <c r="B848" s="3" t="s">
        <v>8024</v>
      </c>
      <c r="C848" s="3">
        <v>19.0</v>
      </c>
      <c r="D848" s="3" t="s">
        <v>6645</v>
      </c>
      <c r="E848" s="3" t="s">
        <v>6646</v>
      </c>
      <c r="F848" s="3" t="s">
        <v>6646</v>
      </c>
      <c r="G848" s="3" t="s">
        <v>6645</v>
      </c>
      <c r="H848" s="3" t="s">
        <v>6645</v>
      </c>
      <c r="I848" s="3" t="s">
        <v>6645</v>
      </c>
      <c r="J848" s="3">
        <v>-1.0</v>
      </c>
      <c r="K848" s="3">
        <v>0.0</v>
      </c>
      <c r="L848" s="3">
        <v>0.0</v>
      </c>
      <c r="M848" s="3">
        <v>0.0</v>
      </c>
      <c r="N848" s="3">
        <v>401.98025</v>
      </c>
      <c r="O848" s="3">
        <v>83.0</v>
      </c>
      <c r="P848" s="3" t="e">
        <v>#N/A</v>
      </c>
      <c r="Q848" s="3">
        <v>35.0</v>
      </c>
      <c r="R848" s="3">
        <v>32.0</v>
      </c>
      <c r="S848" s="3">
        <v>34.0</v>
      </c>
      <c r="T848" s="3">
        <v>35.0</v>
      </c>
      <c r="U848" s="3">
        <v>31.0</v>
      </c>
      <c r="V848" s="3">
        <v>38.0</v>
      </c>
      <c r="W848" s="3">
        <v>41.0</v>
      </c>
      <c r="X848" s="3">
        <v>25.0</v>
      </c>
      <c r="Y848" s="3">
        <v>28.0</v>
      </c>
      <c r="Z848" s="3">
        <v>30.0</v>
      </c>
      <c r="AA848" s="3">
        <v>25.0</v>
      </c>
      <c r="AB848" s="3">
        <v>40.0</v>
      </c>
      <c r="AC848" s="3">
        <v>38.0</v>
      </c>
      <c r="AD848" s="3">
        <v>42.0</v>
      </c>
      <c r="AE848" s="3">
        <v>34.0</v>
      </c>
      <c r="AF848" s="3">
        <v>34.0</v>
      </c>
      <c r="AG848" s="3">
        <v>25.0</v>
      </c>
      <c r="AH848" s="3">
        <v>67.0</v>
      </c>
      <c r="AI848" s="3">
        <v>58.0</v>
      </c>
      <c r="AJ848" s="3">
        <v>47.0</v>
      </c>
      <c r="AK848" s="3">
        <v>57.0</v>
      </c>
      <c r="AL848" s="3">
        <v>42.0</v>
      </c>
      <c r="AM848" s="3">
        <v>52.0</v>
      </c>
      <c r="AN848" s="3">
        <v>51.0</v>
      </c>
    </row>
    <row r="849" ht="14.25" customHeight="1">
      <c r="A849" s="3">
        <v>847.0</v>
      </c>
      <c r="B849" s="3" t="s">
        <v>8025</v>
      </c>
      <c r="C849" s="3">
        <v>33.0</v>
      </c>
      <c r="D849" s="3" t="s">
        <v>6645</v>
      </c>
      <c r="E849" s="3" t="s">
        <v>6646</v>
      </c>
      <c r="F849" s="3" t="s">
        <v>6646</v>
      </c>
      <c r="G849" s="3" t="s">
        <v>6645</v>
      </c>
      <c r="H849" s="3" t="s">
        <v>6645</v>
      </c>
      <c r="I849" s="3" t="s">
        <v>6645</v>
      </c>
      <c r="J849" s="3">
        <v>-1.0</v>
      </c>
      <c r="K849" s="3">
        <v>2.0</v>
      </c>
      <c r="L849" s="3">
        <v>0.0</v>
      </c>
      <c r="M849" s="3">
        <v>0.0</v>
      </c>
      <c r="N849" s="3">
        <v>2910.887</v>
      </c>
      <c r="O849" s="3">
        <v>330.0</v>
      </c>
      <c r="P849" s="3" t="e">
        <v>#N/A</v>
      </c>
      <c r="Q849" s="3">
        <v>43.0</v>
      </c>
      <c r="R849" s="3">
        <v>43.0</v>
      </c>
      <c r="S849" s="3">
        <v>42.0</v>
      </c>
      <c r="T849" s="3">
        <v>43.0</v>
      </c>
      <c r="U849" s="3">
        <v>42.0</v>
      </c>
      <c r="V849" s="3">
        <v>47.0</v>
      </c>
      <c r="W849" s="3">
        <v>44.0</v>
      </c>
      <c r="X849" s="3">
        <v>49.0</v>
      </c>
      <c r="Y849" s="3">
        <v>55.0</v>
      </c>
      <c r="Z849" s="3">
        <v>41.0</v>
      </c>
      <c r="AA849" s="3">
        <v>40.0</v>
      </c>
      <c r="AB849" s="3">
        <v>42.0</v>
      </c>
      <c r="AC849" s="3">
        <v>47.0</v>
      </c>
      <c r="AD849" s="3">
        <v>53.0</v>
      </c>
      <c r="AE849" s="3">
        <v>42.0</v>
      </c>
      <c r="AF849" s="3">
        <v>36.0</v>
      </c>
      <c r="AG849" s="3">
        <v>67.0</v>
      </c>
      <c r="AH849" s="3">
        <v>23.0</v>
      </c>
      <c r="AI849" s="3">
        <v>35.0</v>
      </c>
      <c r="AJ849" s="3">
        <v>52.0</v>
      </c>
      <c r="AK849" s="3">
        <v>54.0</v>
      </c>
      <c r="AL849" s="3">
        <v>60.0</v>
      </c>
      <c r="AM849" s="3">
        <v>63.0</v>
      </c>
      <c r="AN849" s="3">
        <v>52.0</v>
      </c>
    </row>
    <row r="850" ht="14.25" customHeight="1">
      <c r="A850" s="3">
        <v>848.0</v>
      </c>
      <c r="B850" s="3" t="s">
        <v>8026</v>
      </c>
      <c r="C850" s="3">
        <v>20.0</v>
      </c>
      <c r="D850" s="3" t="s">
        <v>6645</v>
      </c>
      <c r="E850" s="3" t="s">
        <v>6646</v>
      </c>
      <c r="F850" s="3" t="s">
        <v>6646</v>
      </c>
      <c r="G850" s="3" t="s">
        <v>6645</v>
      </c>
      <c r="H850" s="3" t="s">
        <v>6645</v>
      </c>
      <c r="I850" s="3" t="s">
        <v>6646</v>
      </c>
      <c r="J850" s="3">
        <v>-1.0</v>
      </c>
      <c r="K850" s="3">
        <v>1.0</v>
      </c>
      <c r="L850" s="3">
        <v>0.0</v>
      </c>
      <c r="M850" s="3">
        <v>0.0</v>
      </c>
      <c r="N850" s="3">
        <v>1330.8348</v>
      </c>
      <c r="O850" s="3">
        <v>153.0</v>
      </c>
      <c r="P850" s="3" t="e">
        <v>#N/A</v>
      </c>
      <c r="Q850" s="3">
        <v>41.0</v>
      </c>
      <c r="R850" s="3">
        <v>42.0</v>
      </c>
      <c r="S850" s="3">
        <v>40.0</v>
      </c>
      <c r="T850" s="3">
        <v>44.0</v>
      </c>
      <c r="U850" s="3">
        <v>40.0</v>
      </c>
      <c r="V850" s="3">
        <v>39.0</v>
      </c>
      <c r="W850" s="3">
        <v>43.0</v>
      </c>
      <c r="X850" s="3">
        <v>32.0</v>
      </c>
      <c r="Y850" s="3">
        <v>49.0</v>
      </c>
      <c r="Z850" s="3">
        <v>28.0</v>
      </c>
      <c r="AA850" s="3">
        <v>37.0</v>
      </c>
      <c r="AB850" s="3">
        <v>34.0</v>
      </c>
      <c r="AC850" s="3">
        <v>43.0</v>
      </c>
      <c r="AD850" s="3">
        <v>42.0</v>
      </c>
      <c r="AE850" s="3">
        <v>47.0</v>
      </c>
      <c r="AF850" s="3">
        <v>51.0</v>
      </c>
      <c r="AG850" s="3">
        <v>23.0</v>
      </c>
      <c r="AH850" s="3">
        <v>69.0</v>
      </c>
      <c r="AI850" s="3">
        <v>50.0</v>
      </c>
      <c r="AJ850" s="3">
        <v>9.0</v>
      </c>
      <c r="AK850" s="3">
        <v>50.0</v>
      </c>
      <c r="AL850" s="3">
        <v>70.0</v>
      </c>
      <c r="AM850" s="3">
        <v>52.0</v>
      </c>
      <c r="AN850" s="3">
        <v>52.0</v>
      </c>
    </row>
    <row r="851" ht="14.25" customHeight="1">
      <c r="A851" s="3">
        <v>849.0</v>
      </c>
      <c r="B851" s="3" t="s">
        <v>8027</v>
      </c>
      <c r="C851" s="3">
        <v>23.0</v>
      </c>
      <c r="D851" s="3" t="s">
        <v>6645</v>
      </c>
      <c r="E851" s="3" t="s">
        <v>6646</v>
      </c>
      <c r="F851" s="3" t="s">
        <v>6646</v>
      </c>
      <c r="G851" s="3" t="s">
        <v>6645</v>
      </c>
      <c r="H851" s="3" t="s">
        <v>6645</v>
      </c>
      <c r="I851" s="3" t="s">
        <v>6645</v>
      </c>
      <c r="J851" s="3">
        <v>-1.0</v>
      </c>
      <c r="K851" s="3">
        <v>0.0</v>
      </c>
      <c r="L851" s="3">
        <v>0.0</v>
      </c>
      <c r="M851" s="3">
        <v>0.0</v>
      </c>
      <c r="N851" s="3">
        <v>419.053</v>
      </c>
      <c r="O851" s="3">
        <v>93.0</v>
      </c>
      <c r="P851" s="3" t="e">
        <v>#N/A</v>
      </c>
      <c r="Q851" s="3">
        <v>30.0</v>
      </c>
      <c r="R851" s="3">
        <v>35.0</v>
      </c>
      <c r="S851" s="3">
        <v>39.0</v>
      </c>
      <c r="T851" s="3">
        <v>32.0</v>
      </c>
      <c r="U851" s="3">
        <v>38.0</v>
      </c>
      <c r="V851" s="3">
        <v>32.0</v>
      </c>
      <c r="W851" s="3">
        <v>46.0</v>
      </c>
      <c r="X851" s="3">
        <v>30.0</v>
      </c>
      <c r="Y851" s="3">
        <v>21.0</v>
      </c>
      <c r="Z851" s="3">
        <v>43.0</v>
      </c>
      <c r="AA851" s="3">
        <v>33.0</v>
      </c>
      <c r="AB851" s="3">
        <v>34.0</v>
      </c>
      <c r="AC851" s="3">
        <v>30.0</v>
      </c>
      <c r="AD851" s="3">
        <v>25.0</v>
      </c>
      <c r="AE851" s="3">
        <v>44.0</v>
      </c>
      <c r="AF851" s="3">
        <v>73.0</v>
      </c>
      <c r="AG851" s="3">
        <v>51.0</v>
      </c>
      <c r="AH851" s="3">
        <v>46.0</v>
      </c>
      <c r="AI851" s="3">
        <v>37.0</v>
      </c>
      <c r="AJ851" s="3">
        <v>33.0</v>
      </c>
      <c r="AK851" s="3">
        <v>6.0</v>
      </c>
      <c r="AL851" s="3">
        <v>52.0</v>
      </c>
      <c r="AM851" s="3">
        <v>64.0</v>
      </c>
      <c r="AN851" s="3">
        <v>45.0</v>
      </c>
    </row>
    <row r="852" ht="14.25" customHeight="1">
      <c r="A852" s="3">
        <v>850.0</v>
      </c>
      <c r="B852" s="3" t="s">
        <v>8028</v>
      </c>
      <c r="C852" s="3">
        <v>20.0</v>
      </c>
      <c r="D852" s="3" t="s">
        <v>6645</v>
      </c>
      <c r="E852" s="3" t="s">
        <v>6646</v>
      </c>
      <c r="F852" s="3" t="s">
        <v>6646</v>
      </c>
      <c r="G852" s="3" t="s">
        <v>6645</v>
      </c>
      <c r="H852" s="3" t="s">
        <v>6645</v>
      </c>
      <c r="I852" s="3" t="s">
        <v>6645</v>
      </c>
      <c r="J852" s="3">
        <v>-1.0</v>
      </c>
      <c r="K852" s="3">
        <v>0.0</v>
      </c>
      <c r="L852" s="3">
        <v>0.0</v>
      </c>
      <c r="M852" s="3">
        <v>0.0</v>
      </c>
      <c r="N852" s="3">
        <v>407.42886</v>
      </c>
      <c r="O852" s="3">
        <v>79.0</v>
      </c>
      <c r="P852" s="3" t="e">
        <v>#N/A</v>
      </c>
      <c r="Q852" s="3">
        <v>31.0</v>
      </c>
      <c r="R852" s="3">
        <v>31.0</v>
      </c>
      <c r="S852" s="3">
        <v>37.0</v>
      </c>
      <c r="T852" s="3">
        <v>32.0</v>
      </c>
      <c r="U852" s="3">
        <v>39.0</v>
      </c>
      <c r="V852" s="3">
        <v>34.0</v>
      </c>
      <c r="W852" s="3">
        <v>25.0</v>
      </c>
      <c r="X852" s="3">
        <v>32.0</v>
      </c>
      <c r="Y852" s="3">
        <v>42.0</v>
      </c>
      <c r="Z852" s="3">
        <v>33.0</v>
      </c>
      <c r="AA852" s="3">
        <v>32.0</v>
      </c>
      <c r="AB852" s="3">
        <v>36.0</v>
      </c>
      <c r="AC852" s="3">
        <v>33.0</v>
      </c>
      <c r="AD852" s="3">
        <v>38.0</v>
      </c>
      <c r="AE852" s="3">
        <v>41.0</v>
      </c>
      <c r="AF852" s="3">
        <v>51.0</v>
      </c>
      <c r="AG852" s="3">
        <v>51.0</v>
      </c>
      <c r="AH852" s="3">
        <v>76.0</v>
      </c>
      <c r="AI852" s="3">
        <v>42.0</v>
      </c>
      <c r="AJ852" s="3">
        <v>54.0</v>
      </c>
      <c r="AK852" s="3">
        <v>30.0</v>
      </c>
      <c r="AL852" s="3">
        <v>74.0</v>
      </c>
      <c r="AM852" s="3">
        <v>29.0</v>
      </c>
      <c r="AN852" s="3">
        <v>31.0</v>
      </c>
    </row>
    <row r="853" ht="14.25" customHeight="1">
      <c r="A853" s="3">
        <v>851.0</v>
      </c>
      <c r="B853" s="3" t="s">
        <v>8029</v>
      </c>
      <c r="C853" s="3">
        <v>15.0</v>
      </c>
      <c r="D853" s="3" t="s">
        <v>6645</v>
      </c>
      <c r="E853" s="3" t="s">
        <v>6646</v>
      </c>
      <c r="F853" s="3" t="s">
        <v>6646</v>
      </c>
      <c r="G853" s="3" t="s">
        <v>6645</v>
      </c>
      <c r="H853" s="3" t="s">
        <v>6645</v>
      </c>
      <c r="I853" s="3" t="s">
        <v>6646</v>
      </c>
      <c r="J853" s="3">
        <v>-1.0</v>
      </c>
      <c r="K853" s="3">
        <v>0.0</v>
      </c>
      <c r="L853" s="3">
        <v>0.0</v>
      </c>
      <c r="M853" s="3">
        <v>0.0</v>
      </c>
      <c r="N853" s="3">
        <v>423.85601</v>
      </c>
      <c r="O853" s="3">
        <v>84.0</v>
      </c>
      <c r="P853" s="3" t="e">
        <v>#N/A</v>
      </c>
      <c r="Q853" s="3">
        <v>36.0</v>
      </c>
      <c r="R853" s="3">
        <v>32.0</v>
      </c>
      <c r="S853" s="3">
        <v>33.0</v>
      </c>
      <c r="T853" s="3">
        <v>34.0</v>
      </c>
      <c r="U853" s="3">
        <v>30.0</v>
      </c>
      <c r="V853" s="3">
        <v>35.0</v>
      </c>
      <c r="W853" s="3">
        <v>46.0</v>
      </c>
      <c r="X853" s="3">
        <v>26.0</v>
      </c>
      <c r="Y853" s="3">
        <v>38.0</v>
      </c>
      <c r="Z853" s="3">
        <v>38.0</v>
      </c>
      <c r="AA853" s="3">
        <v>27.0</v>
      </c>
      <c r="AB853" s="3">
        <v>39.0</v>
      </c>
      <c r="AC853" s="3">
        <v>44.0</v>
      </c>
      <c r="AD853" s="3">
        <v>23.0</v>
      </c>
      <c r="AE853" s="3">
        <v>31.0</v>
      </c>
      <c r="AF853" s="3">
        <v>45.0</v>
      </c>
      <c r="AG853" s="3">
        <v>51.0</v>
      </c>
      <c r="AH853" s="3">
        <v>49.0</v>
      </c>
      <c r="AI853" s="3">
        <v>59.0</v>
      </c>
      <c r="AJ853" s="3">
        <v>49.0</v>
      </c>
      <c r="AK853" s="3">
        <v>30.0</v>
      </c>
      <c r="AL853" s="3">
        <v>30.0</v>
      </c>
      <c r="AM853" s="3">
        <v>70.0</v>
      </c>
      <c r="AN853" s="3">
        <v>11.0</v>
      </c>
    </row>
    <row r="854" ht="14.25" customHeight="1">
      <c r="A854" s="3">
        <v>852.0</v>
      </c>
      <c r="B854" s="3" t="s">
        <v>8030</v>
      </c>
      <c r="C854" s="3">
        <v>31.0</v>
      </c>
      <c r="D854" s="3" t="s">
        <v>6645</v>
      </c>
      <c r="E854" s="3" t="s">
        <v>6646</v>
      </c>
      <c r="F854" s="3" t="s">
        <v>6646</v>
      </c>
      <c r="G854" s="3" t="s">
        <v>6645</v>
      </c>
      <c r="H854" s="3" t="s">
        <v>6645</v>
      </c>
      <c r="I854" s="3" t="s">
        <v>6645</v>
      </c>
      <c r="J854" s="3">
        <v>-1.0</v>
      </c>
      <c r="K854" s="3">
        <v>2.0</v>
      </c>
      <c r="L854" s="3">
        <v>0.0</v>
      </c>
      <c r="M854" s="3">
        <v>0.0</v>
      </c>
      <c r="N854" s="3">
        <v>2849.8354</v>
      </c>
      <c r="O854" s="3">
        <v>450.0</v>
      </c>
      <c r="P854" s="3" t="e">
        <v>#N/A</v>
      </c>
      <c r="Q854" s="3">
        <v>47.0</v>
      </c>
      <c r="R854" s="3">
        <v>47.0</v>
      </c>
      <c r="S854" s="3">
        <v>48.0</v>
      </c>
      <c r="T854" s="3">
        <v>47.0</v>
      </c>
      <c r="U854" s="3">
        <v>46.0</v>
      </c>
      <c r="V854" s="3">
        <v>44.0</v>
      </c>
      <c r="W854" s="3">
        <v>45.0</v>
      </c>
      <c r="X854" s="3">
        <v>41.0</v>
      </c>
      <c r="Y854" s="3">
        <v>48.0</v>
      </c>
      <c r="Z854" s="3">
        <v>35.0</v>
      </c>
      <c r="AA854" s="3">
        <v>37.0</v>
      </c>
      <c r="AB854" s="3">
        <v>43.0</v>
      </c>
      <c r="AC854" s="3">
        <v>51.0</v>
      </c>
      <c r="AD854" s="3">
        <v>48.0</v>
      </c>
      <c r="AE854" s="3">
        <v>44.0</v>
      </c>
      <c r="AF854" s="3">
        <v>55.0</v>
      </c>
      <c r="AG854" s="3">
        <v>42.0</v>
      </c>
      <c r="AH854" s="3">
        <v>21.0</v>
      </c>
      <c r="AI854" s="3">
        <v>35.0</v>
      </c>
      <c r="AJ854" s="3">
        <v>53.0</v>
      </c>
      <c r="AK854" s="3">
        <v>67.0</v>
      </c>
      <c r="AL854" s="3">
        <v>56.0</v>
      </c>
      <c r="AM854" s="3">
        <v>43.0</v>
      </c>
      <c r="AN854" s="3">
        <v>42.0</v>
      </c>
    </row>
    <row r="855" ht="14.25" customHeight="1">
      <c r="A855" s="3">
        <v>853.0</v>
      </c>
      <c r="B855" s="3" t="s">
        <v>8031</v>
      </c>
      <c r="C855" s="3">
        <v>15.0</v>
      </c>
      <c r="D855" s="3" t="s">
        <v>6645</v>
      </c>
      <c r="E855" s="3" t="s">
        <v>6646</v>
      </c>
      <c r="F855" s="3" t="s">
        <v>6646</v>
      </c>
      <c r="G855" s="3" t="s">
        <v>6645</v>
      </c>
      <c r="H855" s="3" t="s">
        <v>6645</v>
      </c>
      <c r="I855" s="3" t="s">
        <v>6646</v>
      </c>
      <c r="J855" s="3">
        <v>-1.0</v>
      </c>
      <c r="K855" s="3">
        <v>0.0</v>
      </c>
      <c r="L855" s="3">
        <v>0.0</v>
      </c>
      <c r="M855" s="3">
        <v>0.0</v>
      </c>
      <c r="N855" s="3">
        <v>442.6898</v>
      </c>
      <c r="O855" s="3">
        <v>96.0</v>
      </c>
      <c r="P855" s="3" t="e">
        <v>#N/A</v>
      </c>
      <c r="Q855" s="3">
        <v>39.0</v>
      </c>
      <c r="R855" s="3">
        <v>39.0</v>
      </c>
      <c r="S855" s="3">
        <v>34.0</v>
      </c>
      <c r="T855" s="3">
        <v>35.0</v>
      </c>
      <c r="U855" s="3">
        <v>32.0</v>
      </c>
      <c r="V855" s="3">
        <v>34.0</v>
      </c>
      <c r="W855" s="3">
        <v>26.0</v>
      </c>
      <c r="X855" s="3">
        <v>46.0</v>
      </c>
      <c r="Y855" s="3">
        <v>30.0</v>
      </c>
      <c r="Z855" s="3">
        <v>39.0</v>
      </c>
      <c r="AA855" s="3">
        <v>35.0</v>
      </c>
      <c r="AB855" s="3">
        <v>24.0</v>
      </c>
      <c r="AC855" s="3">
        <v>30.0</v>
      </c>
      <c r="AD855" s="3">
        <v>41.0</v>
      </c>
      <c r="AE855" s="3">
        <v>47.0</v>
      </c>
      <c r="AF855" s="3">
        <v>67.0</v>
      </c>
      <c r="AG855" s="3">
        <v>34.0</v>
      </c>
      <c r="AH855" s="3">
        <v>49.0</v>
      </c>
      <c r="AI855" s="3">
        <v>53.0</v>
      </c>
      <c r="AJ855" s="3">
        <v>46.0</v>
      </c>
      <c r="AK855" s="3">
        <v>38.0</v>
      </c>
      <c r="AL855" s="3">
        <v>39.0</v>
      </c>
      <c r="AM855" s="3">
        <v>65.0</v>
      </c>
      <c r="AN855" s="3">
        <v>29.0</v>
      </c>
    </row>
    <row r="856" ht="14.25" customHeight="1">
      <c r="A856" s="3">
        <v>854.0</v>
      </c>
      <c r="B856" s="3" t="s">
        <v>8032</v>
      </c>
      <c r="C856" s="3">
        <v>29.0</v>
      </c>
      <c r="D856" s="3" t="s">
        <v>6645</v>
      </c>
      <c r="E856" s="3" t="s">
        <v>6646</v>
      </c>
      <c r="F856" s="3" t="s">
        <v>6646</v>
      </c>
      <c r="G856" s="3" t="s">
        <v>6645</v>
      </c>
      <c r="H856" s="3" t="s">
        <v>6645</v>
      </c>
      <c r="I856" s="3" t="s">
        <v>6646</v>
      </c>
      <c r="J856" s="3">
        <v>-1.0</v>
      </c>
      <c r="K856" s="3">
        <v>1.0</v>
      </c>
      <c r="L856" s="3">
        <v>0.0</v>
      </c>
      <c r="M856" s="3">
        <v>0.0</v>
      </c>
      <c r="N856" s="3">
        <v>1080.6771</v>
      </c>
      <c r="O856" s="3">
        <v>225.0</v>
      </c>
      <c r="P856" s="3" t="e">
        <v>#N/A</v>
      </c>
      <c r="Q856" s="3">
        <v>38.0</v>
      </c>
      <c r="R856" s="3">
        <v>42.0</v>
      </c>
      <c r="S856" s="3">
        <v>41.0</v>
      </c>
      <c r="T856" s="3">
        <v>41.0</v>
      </c>
      <c r="U856" s="3">
        <v>40.0</v>
      </c>
      <c r="V856" s="3">
        <v>41.0</v>
      </c>
      <c r="W856" s="3">
        <v>30.0</v>
      </c>
      <c r="X856" s="3">
        <v>43.0</v>
      </c>
      <c r="Y856" s="3">
        <v>36.0</v>
      </c>
      <c r="Z856" s="3">
        <v>35.0</v>
      </c>
      <c r="AA856" s="3">
        <v>34.0</v>
      </c>
      <c r="AB856" s="3">
        <v>36.0</v>
      </c>
      <c r="AC856" s="3">
        <v>48.0</v>
      </c>
      <c r="AD856" s="3">
        <v>50.0</v>
      </c>
      <c r="AE856" s="3">
        <v>44.0</v>
      </c>
      <c r="AF856" s="3">
        <v>54.0</v>
      </c>
      <c r="AG856" s="3">
        <v>70.0</v>
      </c>
      <c r="AH856" s="3">
        <v>47.0</v>
      </c>
      <c r="AI856" s="3">
        <v>36.0</v>
      </c>
      <c r="AJ856" s="3">
        <v>37.0</v>
      </c>
      <c r="AK856" s="3">
        <v>55.0</v>
      </c>
      <c r="AL856" s="3">
        <v>33.0</v>
      </c>
      <c r="AM856" s="3">
        <v>8.0</v>
      </c>
      <c r="AN856" s="3">
        <v>42.0</v>
      </c>
    </row>
    <row r="857" ht="14.25" customHeight="1">
      <c r="A857" s="3">
        <v>855.0</v>
      </c>
      <c r="B857" s="3" t="s">
        <v>8033</v>
      </c>
      <c r="C857" s="3">
        <v>16.0</v>
      </c>
      <c r="D857" s="3" t="s">
        <v>6645</v>
      </c>
      <c r="E857" s="3" t="s">
        <v>6646</v>
      </c>
      <c r="F857" s="3" t="s">
        <v>6646</v>
      </c>
      <c r="G857" s="3" t="s">
        <v>6645</v>
      </c>
      <c r="H857" s="3" t="s">
        <v>6645</v>
      </c>
      <c r="I857" s="3" t="s">
        <v>6645</v>
      </c>
      <c r="J857" s="3">
        <v>-1.0</v>
      </c>
      <c r="K857" s="3">
        <v>0.0</v>
      </c>
      <c r="L857" s="3">
        <v>0.0</v>
      </c>
      <c r="M857" s="3">
        <v>0.0</v>
      </c>
      <c r="N857" s="3">
        <v>434.83117</v>
      </c>
      <c r="O857" s="3">
        <v>79.0</v>
      </c>
      <c r="P857" s="3" t="e">
        <v>#N/A</v>
      </c>
      <c r="Q857" s="3">
        <v>32.0</v>
      </c>
      <c r="R857" s="3">
        <v>32.0</v>
      </c>
      <c r="S857" s="3">
        <v>39.0</v>
      </c>
      <c r="T857" s="3">
        <v>30.0</v>
      </c>
      <c r="U857" s="3">
        <v>37.0</v>
      </c>
      <c r="V857" s="3">
        <v>39.0</v>
      </c>
      <c r="W857" s="3">
        <v>35.0</v>
      </c>
      <c r="X857" s="3">
        <v>46.0</v>
      </c>
      <c r="Y857" s="3">
        <v>30.0</v>
      </c>
      <c r="Z857" s="3">
        <v>35.0</v>
      </c>
      <c r="AA857" s="3">
        <v>36.0</v>
      </c>
      <c r="AB857" s="3">
        <v>31.0</v>
      </c>
      <c r="AC857" s="3">
        <v>29.0</v>
      </c>
      <c r="AD857" s="3">
        <v>32.0</v>
      </c>
      <c r="AE857" s="3">
        <v>34.0</v>
      </c>
      <c r="AF857" s="3">
        <v>41.0</v>
      </c>
      <c r="AG857" s="3">
        <v>25.0</v>
      </c>
      <c r="AH857" s="3">
        <v>44.0</v>
      </c>
      <c r="AI857" s="3">
        <v>51.0</v>
      </c>
      <c r="AJ857" s="3">
        <v>55.0</v>
      </c>
      <c r="AK857" s="3">
        <v>69.0</v>
      </c>
      <c r="AL857" s="3">
        <v>40.0</v>
      </c>
      <c r="AM857" s="3">
        <v>42.0</v>
      </c>
      <c r="AN857" s="3">
        <v>55.0</v>
      </c>
    </row>
    <row r="858" ht="14.25" customHeight="1">
      <c r="A858" s="3">
        <v>856.0</v>
      </c>
      <c r="B858" s="3" t="s">
        <v>8034</v>
      </c>
      <c r="C858" s="3">
        <v>28.0</v>
      </c>
      <c r="D858" s="3" t="s">
        <v>6645</v>
      </c>
      <c r="E858" s="3" t="s">
        <v>6646</v>
      </c>
      <c r="F858" s="3" t="s">
        <v>6646</v>
      </c>
      <c r="G858" s="3" t="s">
        <v>6645</v>
      </c>
      <c r="H858" s="3" t="s">
        <v>6645</v>
      </c>
      <c r="I858" s="3" t="s">
        <v>6645</v>
      </c>
      <c r="J858" s="3">
        <v>-1.0</v>
      </c>
      <c r="K858" s="3">
        <v>2.0</v>
      </c>
      <c r="L858" s="3">
        <v>0.0</v>
      </c>
      <c r="M858" s="3">
        <v>0.0</v>
      </c>
      <c r="N858" s="3">
        <v>2687.9</v>
      </c>
      <c r="O858" s="3">
        <v>307.0</v>
      </c>
      <c r="P858" s="3" t="e">
        <v>#N/A</v>
      </c>
      <c r="Q858" s="3">
        <v>45.0</v>
      </c>
      <c r="R858" s="3">
        <v>40.0</v>
      </c>
      <c r="S858" s="3">
        <v>49.0</v>
      </c>
      <c r="T858" s="3">
        <v>42.0</v>
      </c>
      <c r="U858" s="3">
        <v>43.0</v>
      </c>
      <c r="V858" s="3">
        <v>49.0</v>
      </c>
      <c r="W858" s="3">
        <v>54.0</v>
      </c>
      <c r="X858" s="3">
        <v>44.0</v>
      </c>
      <c r="Y858" s="3">
        <v>46.0</v>
      </c>
      <c r="Z858" s="3">
        <v>50.0</v>
      </c>
      <c r="AA858" s="3">
        <v>33.0</v>
      </c>
      <c r="AB858" s="3">
        <v>48.0</v>
      </c>
      <c r="AC858" s="3">
        <v>37.0</v>
      </c>
      <c r="AD858" s="3">
        <v>42.0</v>
      </c>
      <c r="AE858" s="3">
        <v>32.0</v>
      </c>
      <c r="AF858" s="3">
        <v>69.0</v>
      </c>
      <c r="AG858" s="3">
        <v>50.0</v>
      </c>
      <c r="AH858" s="3">
        <v>51.0</v>
      </c>
      <c r="AI858" s="3">
        <v>34.0</v>
      </c>
      <c r="AJ858" s="3">
        <v>14.0</v>
      </c>
      <c r="AK858" s="3">
        <v>42.0</v>
      </c>
      <c r="AL858" s="3">
        <v>57.0</v>
      </c>
      <c r="AM858" s="3">
        <v>48.0</v>
      </c>
      <c r="AN858" s="3">
        <v>45.0</v>
      </c>
    </row>
    <row r="859" ht="14.25" customHeight="1">
      <c r="A859" s="3">
        <v>857.0</v>
      </c>
      <c r="B859" s="3" t="s">
        <v>8035</v>
      </c>
      <c r="C859" s="3">
        <v>15.0</v>
      </c>
      <c r="D859" s="3" t="s">
        <v>6645</v>
      </c>
      <c r="E859" s="3" t="s">
        <v>6646</v>
      </c>
      <c r="F859" s="3" t="s">
        <v>6646</v>
      </c>
      <c r="G859" s="3" t="s">
        <v>6645</v>
      </c>
      <c r="H859" s="3" t="s">
        <v>6645</v>
      </c>
      <c r="I859" s="3" t="s">
        <v>6645</v>
      </c>
      <c r="J859" s="3">
        <v>-1.0</v>
      </c>
      <c r="K859" s="3">
        <v>0.0</v>
      </c>
      <c r="L859" s="3">
        <v>0.0</v>
      </c>
      <c r="M859" s="3">
        <v>0.0</v>
      </c>
      <c r="N859" s="3">
        <v>534.05773</v>
      </c>
      <c r="O859" s="3">
        <v>76.0</v>
      </c>
      <c r="P859" s="3" t="e">
        <v>#N/A</v>
      </c>
      <c r="Q859" s="3">
        <v>34.0</v>
      </c>
      <c r="R859" s="3">
        <v>36.0</v>
      </c>
      <c r="S859" s="3">
        <v>37.0</v>
      </c>
      <c r="T859" s="3">
        <v>32.0</v>
      </c>
      <c r="U859" s="3">
        <v>38.0</v>
      </c>
      <c r="V859" s="3">
        <v>32.0</v>
      </c>
      <c r="W859" s="3">
        <v>34.0</v>
      </c>
      <c r="X859" s="3">
        <v>40.0</v>
      </c>
      <c r="Y859" s="3">
        <v>22.0</v>
      </c>
      <c r="Z859" s="3">
        <v>44.0</v>
      </c>
      <c r="AA859" s="3">
        <v>37.0</v>
      </c>
      <c r="AB859" s="3">
        <v>36.0</v>
      </c>
      <c r="AC859" s="3">
        <v>47.0</v>
      </c>
      <c r="AD859" s="3">
        <v>20.0</v>
      </c>
      <c r="AE859" s="3">
        <v>32.0</v>
      </c>
      <c r="AF859" s="3">
        <v>13.0</v>
      </c>
      <c r="AG859" s="3">
        <v>53.0</v>
      </c>
      <c r="AH859" s="3">
        <v>69.0</v>
      </c>
      <c r="AI859" s="3">
        <v>43.0</v>
      </c>
      <c r="AJ859" s="3">
        <v>18.0</v>
      </c>
      <c r="AK859" s="3">
        <v>42.0</v>
      </c>
      <c r="AL859" s="3">
        <v>65.0</v>
      </c>
      <c r="AM859" s="3">
        <v>49.0</v>
      </c>
      <c r="AN859" s="3">
        <v>54.0</v>
      </c>
    </row>
    <row r="860" ht="14.25" customHeight="1">
      <c r="A860" s="3">
        <v>858.0</v>
      </c>
      <c r="B860" s="3" t="s">
        <v>8036</v>
      </c>
      <c r="C860" s="3">
        <v>21.0</v>
      </c>
      <c r="D860" s="3" t="s">
        <v>6645</v>
      </c>
      <c r="E860" s="3" t="s">
        <v>6646</v>
      </c>
      <c r="F860" s="3" t="s">
        <v>6646</v>
      </c>
      <c r="G860" s="3" t="s">
        <v>6645</v>
      </c>
      <c r="H860" s="3" t="s">
        <v>6645</v>
      </c>
      <c r="I860" s="3" t="s">
        <v>6645</v>
      </c>
      <c r="J860" s="3">
        <v>-1.0</v>
      </c>
      <c r="K860" s="3">
        <v>0.0</v>
      </c>
      <c r="L860" s="3">
        <v>0.0</v>
      </c>
      <c r="M860" s="3">
        <v>0.0</v>
      </c>
      <c r="N860" s="3">
        <v>458.10424</v>
      </c>
      <c r="O860" s="3">
        <v>79.0</v>
      </c>
      <c r="P860" s="3" t="e">
        <v>#N/A</v>
      </c>
      <c r="Q860" s="3">
        <v>38.0</v>
      </c>
      <c r="R860" s="3">
        <v>30.0</v>
      </c>
      <c r="S860" s="3">
        <v>34.0</v>
      </c>
      <c r="T860" s="3">
        <v>30.0</v>
      </c>
      <c r="U860" s="3">
        <v>32.0</v>
      </c>
      <c r="V860" s="3">
        <v>35.0</v>
      </c>
      <c r="W860" s="3">
        <v>45.0</v>
      </c>
      <c r="X860" s="3">
        <v>21.0</v>
      </c>
      <c r="Y860" s="3">
        <v>28.0</v>
      </c>
      <c r="Z860" s="3">
        <v>45.0</v>
      </c>
      <c r="AA860" s="3">
        <v>44.0</v>
      </c>
      <c r="AB860" s="3">
        <v>25.0</v>
      </c>
      <c r="AC860" s="3">
        <v>36.0</v>
      </c>
      <c r="AD860" s="3">
        <v>34.0</v>
      </c>
      <c r="AE860" s="3">
        <v>35.0</v>
      </c>
      <c r="AF860" s="3">
        <v>64.0</v>
      </c>
      <c r="AG860" s="3">
        <v>0.0</v>
      </c>
      <c r="AH860" s="3">
        <v>42.0</v>
      </c>
      <c r="AI860" s="3">
        <v>37.0</v>
      </c>
      <c r="AJ860" s="3">
        <v>38.0</v>
      </c>
      <c r="AK860" s="3">
        <v>42.0</v>
      </c>
      <c r="AL860" s="3">
        <v>48.0</v>
      </c>
      <c r="AM860" s="3">
        <v>58.0</v>
      </c>
      <c r="AN860" s="3">
        <v>56.0</v>
      </c>
    </row>
    <row r="861" ht="14.25" customHeight="1">
      <c r="A861" s="3">
        <v>859.0</v>
      </c>
      <c r="B861" s="3" t="s">
        <v>8037</v>
      </c>
      <c r="C861" s="3">
        <v>19.0</v>
      </c>
      <c r="D861" s="3" t="s">
        <v>6645</v>
      </c>
      <c r="E861" s="3" t="s">
        <v>6646</v>
      </c>
      <c r="F861" s="3" t="s">
        <v>6646</v>
      </c>
      <c r="G861" s="3" t="s">
        <v>6645</v>
      </c>
      <c r="H861" s="3" t="s">
        <v>6645</v>
      </c>
      <c r="I861" s="3" t="s">
        <v>6646</v>
      </c>
      <c r="J861" s="3">
        <v>-1.0</v>
      </c>
      <c r="K861" s="3">
        <v>0.0</v>
      </c>
      <c r="L861" s="3">
        <v>0.0</v>
      </c>
      <c r="M861" s="3">
        <v>0.0</v>
      </c>
      <c r="N861" s="3">
        <v>562.244</v>
      </c>
      <c r="O861" s="3">
        <v>112.0</v>
      </c>
      <c r="P861" s="3" t="e">
        <v>#N/A</v>
      </c>
      <c r="Q861" s="3">
        <v>36.0</v>
      </c>
      <c r="R861" s="3">
        <v>31.0</v>
      </c>
      <c r="S861" s="3">
        <v>37.0</v>
      </c>
      <c r="T861" s="3">
        <v>39.0</v>
      </c>
      <c r="U861" s="3">
        <v>32.0</v>
      </c>
      <c r="V861" s="3">
        <v>39.0</v>
      </c>
      <c r="W861" s="3">
        <v>21.0</v>
      </c>
      <c r="X861" s="3">
        <v>43.0</v>
      </c>
      <c r="Y861" s="3">
        <v>31.0</v>
      </c>
      <c r="Z861" s="3">
        <v>31.0</v>
      </c>
      <c r="AA861" s="3">
        <v>39.0</v>
      </c>
      <c r="AB861" s="3">
        <v>46.0</v>
      </c>
      <c r="AC861" s="3">
        <v>39.0</v>
      </c>
      <c r="AD861" s="3">
        <v>22.0</v>
      </c>
      <c r="AE861" s="3">
        <v>36.0</v>
      </c>
      <c r="AF861" s="3">
        <v>38.0</v>
      </c>
      <c r="AG861" s="3">
        <v>62.0</v>
      </c>
      <c r="AH861" s="3">
        <v>35.0</v>
      </c>
      <c r="AI861" s="3">
        <v>5.0</v>
      </c>
      <c r="AJ861" s="3">
        <v>36.0</v>
      </c>
      <c r="AK861" s="3">
        <v>50.0</v>
      </c>
      <c r="AL861" s="3">
        <v>30.0</v>
      </c>
      <c r="AM861" s="3">
        <v>54.0</v>
      </c>
      <c r="AN861" s="3">
        <v>69.0</v>
      </c>
    </row>
    <row r="862" ht="14.25" customHeight="1">
      <c r="A862" s="3">
        <v>860.0</v>
      </c>
      <c r="B862" s="3" t="s">
        <v>8038</v>
      </c>
      <c r="C862" s="3">
        <v>24.0</v>
      </c>
      <c r="D862" s="3" t="s">
        <v>6645</v>
      </c>
      <c r="E862" s="3" t="s">
        <v>6646</v>
      </c>
      <c r="F862" s="3" t="s">
        <v>6646</v>
      </c>
      <c r="G862" s="3" t="s">
        <v>6645</v>
      </c>
      <c r="H862" s="3" t="s">
        <v>6645</v>
      </c>
      <c r="I862" s="3" t="s">
        <v>6645</v>
      </c>
      <c r="J862" s="3">
        <v>-1.0</v>
      </c>
      <c r="K862" s="3">
        <v>0.0</v>
      </c>
      <c r="L862" s="3">
        <v>0.0</v>
      </c>
      <c r="M862" s="3">
        <v>0.0</v>
      </c>
      <c r="N862" s="3">
        <v>409.99023</v>
      </c>
      <c r="O862" s="3">
        <v>84.0</v>
      </c>
      <c r="P862" s="3" t="e">
        <v>#N/A</v>
      </c>
      <c r="Q862" s="3">
        <v>31.0</v>
      </c>
      <c r="R862" s="3">
        <v>39.0</v>
      </c>
      <c r="S862" s="3">
        <v>35.0</v>
      </c>
      <c r="T862" s="3">
        <v>38.0</v>
      </c>
      <c r="U862" s="3">
        <v>31.0</v>
      </c>
      <c r="V862" s="3">
        <v>35.0</v>
      </c>
      <c r="W862" s="3">
        <v>43.0</v>
      </c>
      <c r="X862" s="3">
        <v>21.0</v>
      </c>
      <c r="Y862" s="3">
        <v>27.0</v>
      </c>
      <c r="Z862" s="3">
        <v>43.0</v>
      </c>
      <c r="AA862" s="3">
        <v>32.0</v>
      </c>
      <c r="AB862" s="3">
        <v>23.0</v>
      </c>
      <c r="AC862" s="3">
        <v>34.0</v>
      </c>
      <c r="AD862" s="3">
        <v>33.0</v>
      </c>
      <c r="AE862" s="3">
        <v>43.0</v>
      </c>
      <c r="AF862" s="3">
        <v>67.0</v>
      </c>
      <c r="AG862" s="3">
        <v>45.0</v>
      </c>
      <c r="AH862" s="3">
        <v>49.0</v>
      </c>
      <c r="AI862" s="3">
        <v>1.0</v>
      </c>
      <c r="AJ862" s="3">
        <v>33.0</v>
      </c>
      <c r="AK862" s="3">
        <v>37.0</v>
      </c>
      <c r="AL862" s="3">
        <v>45.0</v>
      </c>
      <c r="AM862" s="3">
        <v>75.0</v>
      </c>
      <c r="AN862" s="3">
        <v>24.0</v>
      </c>
    </row>
    <row r="863" ht="14.25" customHeight="1">
      <c r="A863" s="3">
        <v>861.0</v>
      </c>
      <c r="B863" s="3" t="s">
        <v>8039</v>
      </c>
      <c r="C863" s="3">
        <v>40.0</v>
      </c>
      <c r="D863" s="3" t="s">
        <v>6645</v>
      </c>
      <c r="E863" s="3" t="s">
        <v>6646</v>
      </c>
      <c r="F863" s="3" t="s">
        <v>6646</v>
      </c>
      <c r="G863" s="3" t="s">
        <v>6645</v>
      </c>
      <c r="H863" s="3" t="s">
        <v>6645</v>
      </c>
      <c r="I863" s="3" t="s">
        <v>6646</v>
      </c>
      <c r="J863" s="3">
        <v>-1.0</v>
      </c>
      <c r="K863" s="3">
        <v>4.0</v>
      </c>
      <c r="L863" s="3">
        <v>0.0</v>
      </c>
      <c r="M863" s="3">
        <v>0.0</v>
      </c>
      <c r="N863" s="3">
        <v>9188.15</v>
      </c>
      <c r="O863" s="3">
        <v>1659.0</v>
      </c>
      <c r="P863" s="3" t="e">
        <v>#N/A</v>
      </c>
      <c r="Q863" s="3">
        <v>59.0</v>
      </c>
      <c r="R863" s="3">
        <v>63.0</v>
      </c>
      <c r="S863" s="3">
        <v>65.0</v>
      </c>
      <c r="T863" s="3">
        <v>56.0</v>
      </c>
      <c r="U863" s="3">
        <v>57.0</v>
      </c>
      <c r="V863" s="3">
        <v>56.0</v>
      </c>
      <c r="W863" s="3">
        <v>53.0</v>
      </c>
      <c r="X863" s="3">
        <v>58.0</v>
      </c>
      <c r="Y863" s="3">
        <v>52.0</v>
      </c>
      <c r="Z863" s="3">
        <v>64.0</v>
      </c>
      <c r="AA863" s="3">
        <v>57.0</v>
      </c>
      <c r="AB863" s="3">
        <v>60.0</v>
      </c>
      <c r="AC863" s="3">
        <v>47.0</v>
      </c>
      <c r="AD863" s="3">
        <v>64.0</v>
      </c>
      <c r="AE863" s="3">
        <v>50.0</v>
      </c>
      <c r="AF863" s="3">
        <v>45.0</v>
      </c>
      <c r="AG863" s="3">
        <v>56.0</v>
      </c>
      <c r="AH863" s="3">
        <v>47.0</v>
      </c>
      <c r="AI863" s="3">
        <v>52.0</v>
      </c>
      <c r="AJ863" s="3">
        <v>40.0</v>
      </c>
      <c r="AK863" s="3">
        <v>63.0</v>
      </c>
      <c r="AL863" s="3">
        <v>42.0</v>
      </c>
      <c r="AM863" s="3">
        <v>61.0</v>
      </c>
      <c r="AN863" s="3">
        <v>65.0</v>
      </c>
    </row>
    <row r="864" ht="14.25" customHeight="1">
      <c r="A864" s="3">
        <v>862.0</v>
      </c>
      <c r="B864" s="3" t="s">
        <v>8040</v>
      </c>
      <c r="C864" s="3">
        <v>18.0</v>
      </c>
      <c r="D864" s="3" t="s">
        <v>6645</v>
      </c>
      <c r="E864" s="3" t="s">
        <v>6646</v>
      </c>
      <c r="F864" s="3" t="s">
        <v>6646</v>
      </c>
      <c r="G864" s="3" t="s">
        <v>6645</v>
      </c>
      <c r="H864" s="3" t="s">
        <v>6645</v>
      </c>
      <c r="I864" s="3" t="s">
        <v>6646</v>
      </c>
      <c r="J864" s="3">
        <v>-1.0</v>
      </c>
      <c r="K864" s="3">
        <v>0.0</v>
      </c>
      <c r="L864" s="3">
        <v>0.0</v>
      </c>
      <c r="M864" s="3">
        <v>0.0</v>
      </c>
      <c r="N864" s="3">
        <v>371.758</v>
      </c>
      <c r="O864" s="3">
        <v>109.0</v>
      </c>
      <c r="P864" s="3" t="e">
        <v>#N/A</v>
      </c>
      <c r="Q864" s="3">
        <v>36.0</v>
      </c>
      <c r="R864" s="3">
        <v>39.0</v>
      </c>
      <c r="S864" s="3">
        <v>31.0</v>
      </c>
      <c r="T864" s="3">
        <v>30.0</v>
      </c>
      <c r="U864" s="3">
        <v>31.0</v>
      </c>
      <c r="V864" s="3">
        <v>34.0</v>
      </c>
      <c r="W864" s="3">
        <v>34.0</v>
      </c>
      <c r="X864" s="3">
        <v>31.0</v>
      </c>
      <c r="Y864" s="3">
        <v>42.0</v>
      </c>
      <c r="Z864" s="3">
        <v>33.0</v>
      </c>
      <c r="AA864" s="3">
        <v>33.0</v>
      </c>
      <c r="AB864" s="3">
        <v>35.0</v>
      </c>
      <c r="AC864" s="3">
        <v>39.0</v>
      </c>
      <c r="AD864" s="3">
        <v>34.0</v>
      </c>
      <c r="AE864" s="3">
        <v>39.0</v>
      </c>
      <c r="AF864" s="3">
        <v>30.0</v>
      </c>
      <c r="AG864" s="3">
        <v>50.0</v>
      </c>
      <c r="AH864" s="3">
        <v>10.0</v>
      </c>
      <c r="AI864" s="3">
        <v>49.0</v>
      </c>
      <c r="AJ864" s="3">
        <v>51.0</v>
      </c>
      <c r="AK864" s="3">
        <v>36.0</v>
      </c>
      <c r="AL864" s="3">
        <v>72.0</v>
      </c>
      <c r="AM864" s="3">
        <v>59.0</v>
      </c>
      <c r="AN864" s="3">
        <v>43.0</v>
      </c>
    </row>
    <row r="865" ht="14.25" customHeight="1">
      <c r="A865" s="3">
        <v>863.0</v>
      </c>
      <c r="B865" s="3" t="s">
        <v>8041</v>
      </c>
      <c r="C865" s="3">
        <v>22.0</v>
      </c>
      <c r="D865" s="3" t="s">
        <v>6645</v>
      </c>
      <c r="E865" s="3" t="s">
        <v>6646</v>
      </c>
      <c r="F865" s="3" t="s">
        <v>6646</v>
      </c>
      <c r="G865" s="3" t="s">
        <v>6645</v>
      </c>
      <c r="H865" s="3" t="s">
        <v>6645</v>
      </c>
      <c r="I865" s="3" t="s">
        <v>6646</v>
      </c>
      <c r="J865" s="3">
        <v>-1.0</v>
      </c>
      <c r="K865" s="3">
        <v>0.0</v>
      </c>
      <c r="L865" s="3">
        <v>0.0</v>
      </c>
      <c r="M865" s="3">
        <v>0.0</v>
      </c>
      <c r="N865" s="3">
        <v>441.888</v>
      </c>
      <c r="O865" s="3">
        <v>81.0</v>
      </c>
      <c r="P865" s="3" t="e">
        <v>#N/A</v>
      </c>
      <c r="Q865" s="3">
        <v>31.0</v>
      </c>
      <c r="R865" s="3">
        <v>34.0</v>
      </c>
      <c r="S865" s="3">
        <v>30.0</v>
      </c>
      <c r="T865" s="3">
        <v>38.0</v>
      </c>
      <c r="U865" s="3">
        <v>33.0</v>
      </c>
      <c r="V865" s="3">
        <v>34.0</v>
      </c>
      <c r="W865" s="3">
        <v>34.0</v>
      </c>
      <c r="X865" s="3">
        <v>28.0</v>
      </c>
      <c r="Y865" s="3">
        <v>42.0</v>
      </c>
      <c r="Z865" s="3">
        <v>32.0</v>
      </c>
      <c r="AA865" s="3">
        <v>30.0</v>
      </c>
      <c r="AB865" s="3">
        <v>33.0</v>
      </c>
      <c r="AC865" s="3">
        <v>39.0</v>
      </c>
      <c r="AD865" s="3">
        <v>35.0</v>
      </c>
      <c r="AE865" s="3">
        <v>28.0</v>
      </c>
      <c r="AF865" s="3">
        <v>36.0</v>
      </c>
      <c r="AG865" s="3">
        <v>67.0</v>
      </c>
      <c r="AH865" s="3">
        <v>38.0</v>
      </c>
      <c r="AI865" s="3">
        <v>17.0</v>
      </c>
      <c r="AJ865" s="3">
        <v>32.0</v>
      </c>
      <c r="AK865" s="3">
        <v>30.0</v>
      </c>
      <c r="AL865" s="3">
        <v>44.0</v>
      </c>
      <c r="AM865" s="3">
        <v>34.0</v>
      </c>
      <c r="AN865" s="3">
        <v>34.0</v>
      </c>
    </row>
    <row r="866" ht="14.25" customHeight="1">
      <c r="A866" s="3">
        <v>864.0</v>
      </c>
      <c r="B866" s="3" t="s">
        <v>8042</v>
      </c>
      <c r="C866" s="3">
        <v>22.0</v>
      </c>
      <c r="D866" s="3" t="s">
        <v>6645</v>
      </c>
      <c r="E866" s="3" t="s">
        <v>6646</v>
      </c>
      <c r="F866" s="3" t="s">
        <v>6646</v>
      </c>
      <c r="G866" s="3" t="s">
        <v>6645</v>
      </c>
      <c r="H866" s="3" t="s">
        <v>6645</v>
      </c>
      <c r="I866" s="3" t="s">
        <v>6645</v>
      </c>
      <c r="J866" s="3">
        <v>-1.0</v>
      </c>
      <c r="K866" s="3">
        <v>0.0</v>
      </c>
      <c r="L866" s="3">
        <v>0.0</v>
      </c>
      <c r="M866" s="3">
        <v>0.0</v>
      </c>
      <c r="N866" s="3">
        <v>460.00924</v>
      </c>
      <c r="O866" s="3">
        <v>121.0</v>
      </c>
      <c r="P866" s="3" t="e">
        <v>#N/A</v>
      </c>
      <c r="Q866" s="3">
        <v>36.0</v>
      </c>
      <c r="R866" s="3">
        <v>39.0</v>
      </c>
      <c r="S866" s="3">
        <v>31.0</v>
      </c>
      <c r="T866" s="3">
        <v>37.0</v>
      </c>
      <c r="U866" s="3">
        <v>32.0</v>
      </c>
      <c r="V866" s="3">
        <v>30.0</v>
      </c>
      <c r="W866" s="3">
        <v>40.0</v>
      </c>
      <c r="X866" s="3">
        <v>35.0</v>
      </c>
      <c r="Y866" s="3">
        <v>30.0</v>
      </c>
      <c r="Z866" s="3">
        <v>26.0</v>
      </c>
      <c r="AA866" s="3">
        <v>39.0</v>
      </c>
      <c r="AB866" s="3">
        <v>39.0</v>
      </c>
      <c r="AC866" s="3">
        <v>33.0</v>
      </c>
      <c r="AD866" s="3">
        <v>21.0</v>
      </c>
      <c r="AE866" s="3">
        <v>38.0</v>
      </c>
      <c r="AF866" s="3">
        <v>70.0</v>
      </c>
      <c r="AG866" s="3">
        <v>41.0</v>
      </c>
      <c r="AH866" s="3">
        <v>15.0</v>
      </c>
      <c r="AI866" s="3">
        <v>69.0</v>
      </c>
      <c r="AJ866" s="3">
        <v>48.0</v>
      </c>
      <c r="AK866" s="3">
        <v>40.0</v>
      </c>
      <c r="AL866" s="3">
        <v>5.0</v>
      </c>
      <c r="AM866" s="3">
        <v>47.0</v>
      </c>
      <c r="AN866" s="3">
        <v>75.0</v>
      </c>
    </row>
    <row r="867" ht="14.25" customHeight="1">
      <c r="A867" s="3">
        <v>865.0</v>
      </c>
      <c r="B867" s="3" t="s">
        <v>8043</v>
      </c>
      <c r="C867" s="3">
        <v>23.0</v>
      </c>
      <c r="D867" s="3" t="s">
        <v>6645</v>
      </c>
      <c r="E867" s="3" t="s">
        <v>6646</v>
      </c>
      <c r="F867" s="3" t="s">
        <v>6646</v>
      </c>
      <c r="G867" s="3" t="s">
        <v>6645</v>
      </c>
      <c r="H867" s="3" t="s">
        <v>6645</v>
      </c>
      <c r="I867" s="3" t="s">
        <v>6646</v>
      </c>
      <c r="J867" s="3">
        <v>-1.0</v>
      </c>
      <c r="K867" s="3">
        <v>1.0</v>
      </c>
      <c r="L867" s="3">
        <v>0.0</v>
      </c>
      <c r="M867" s="3">
        <v>0.0</v>
      </c>
      <c r="N867" s="3">
        <v>1078.01</v>
      </c>
      <c r="O867" s="3">
        <v>164.0</v>
      </c>
      <c r="P867" s="3" t="e">
        <v>#N/A</v>
      </c>
      <c r="Q867" s="3">
        <v>36.0</v>
      </c>
      <c r="R867" s="3">
        <v>38.0</v>
      </c>
      <c r="S867" s="3">
        <v>42.0</v>
      </c>
      <c r="T867" s="3">
        <v>39.0</v>
      </c>
      <c r="U867" s="3">
        <v>43.0</v>
      </c>
      <c r="V867" s="3">
        <v>39.0</v>
      </c>
      <c r="W867" s="3">
        <v>41.0</v>
      </c>
      <c r="X867" s="3">
        <v>42.0</v>
      </c>
      <c r="Y867" s="3">
        <v>31.0</v>
      </c>
      <c r="Z867" s="3">
        <v>28.0</v>
      </c>
      <c r="AA867" s="3">
        <v>44.0</v>
      </c>
      <c r="AB867" s="3">
        <v>45.0</v>
      </c>
      <c r="AC867" s="3">
        <v>36.0</v>
      </c>
      <c r="AD867" s="3">
        <v>39.0</v>
      </c>
      <c r="AE867" s="3">
        <v>41.0</v>
      </c>
      <c r="AF867" s="3">
        <v>40.0</v>
      </c>
      <c r="AG867" s="3">
        <v>53.0</v>
      </c>
      <c r="AH867" s="3">
        <v>60.0</v>
      </c>
      <c r="AI867" s="3">
        <v>57.0</v>
      </c>
      <c r="AJ867" s="3">
        <v>72.0</v>
      </c>
      <c r="AK867" s="3">
        <v>33.0</v>
      </c>
      <c r="AL867" s="3">
        <v>34.0</v>
      </c>
      <c r="AM867" s="3">
        <v>38.0</v>
      </c>
      <c r="AN867" s="3">
        <v>54.0</v>
      </c>
    </row>
    <row r="868" ht="14.25" customHeight="1">
      <c r="A868" s="3">
        <v>866.0</v>
      </c>
      <c r="B868" s="3" t="s">
        <v>8044</v>
      </c>
      <c r="C868" s="3">
        <v>24.0</v>
      </c>
      <c r="D868" s="3" t="s">
        <v>6645</v>
      </c>
      <c r="E868" s="3" t="s">
        <v>6646</v>
      </c>
      <c r="F868" s="3" t="s">
        <v>6646</v>
      </c>
      <c r="G868" s="3" t="s">
        <v>6645</v>
      </c>
      <c r="H868" s="3" t="s">
        <v>6645</v>
      </c>
      <c r="I868" s="3" t="s">
        <v>6646</v>
      </c>
      <c r="J868" s="3">
        <v>-1.0</v>
      </c>
      <c r="K868" s="3">
        <v>0.0</v>
      </c>
      <c r="L868" s="3">
        <v>0.0</v>
      </c>
      <c r="M868" s="3">
        <v>0.0</v>
      </c>
      <c r="N868" s="3">
        <v>427.7057</v>
      </c>
      <c r="O868" s="3">
        <v>106.0</v>
      </c>
      <c r="P868" s="3" t="e">
        <v>#N/A</v>
      </c>
      <c r="Q868" s="3">
        <v>33.0</v>
      </c>
      <c r="R868" s="3">
        <v>37.0</v>
      </c>
      <c r="S868" s="3">
        <v>38.0</v>
      </c>
      <c r="T868" s="3">
        <v>32.0</v>
      </c>
      <c r="U868" s="3">
        <v>35.0</v>
      </c>
      <c r="V868" s="3">
        <v>33.0</v>
      </c>
      <c r="W868" s="3">
        <v>27.0</v>
      </c>
      <c r="X868" s="3">
        <v>39.0</v>
      </c>
      <c r="Y868" s="3">
        <v>29.0</v>
      </c>
      <c r="Z868" s="3">
        <v>40.0</v>
      </c>
      <c r="AA868" s="3">
        <v>38.0</v>
      </c>
      <c r="AB868" s="3">
        <v>35.0</v>
      </c>
      <c r="AC868" s="3">
        <v>34.0</v>
      </c>
      <c r="AD868" s="3">
        <v>39.0</v>
      </c>
      <c r="AE868" s="3">
        <v>32.0</v>
      </c>
      <c r="AF868" s="3">
        <v>49.0</v>
      </c>
      <c r="AG868" s="3">
        <v>43.0</v>
      </c>
      <c r="AH868" s="3">
        <v>69.0</v>
      </c>
      <c r="AI868" s="3">
        <v>35.0</v>
      </c>
      <c r="AJ868" s="3">
        <v>22.0</v>
      </c>
      <c r="AK868" s="3">
        <v>33.0</v>
      </c>
      <c r="AL868" s="3">
        <v>53.0</v>
      </c>
      <c r="AM868" s="3">
        <v>74.0</v>
      </c>
      <c r="AN868" s="3">
        <v>34.0</v>
      </c>
    </row>
    <row r="869" ht="14.25" customHeight="1">
      <c r="A869" s="3">
        <v>867.0</v>
      </c>
      <c r="B869" s="3" t="s">
        <v>8045</v>
      </c>
      <c r="C869" s="3">
        <v>15.0</v>
      </c>
      <c r="D869" s="3" t="s">
        <v>6645</v>
      </c>
      <c r="E869" s="3" t="s">
        <v>6646</v>
      </c>
      <c r="F869" s="3" t="s">
        <v>6646</v>
      </c>
      <c r="G869" s="3" t="s">
        <v>6645</v>
      </c>
      <c r="H869" s="3" t="s">
        <v>6645</v>
      </c>
      <c r="I869" s="3" t="s">
        <v>6645</v>
      </c>
      <c r="J869" s="3">
        <v>-1.0</v>
      </c>
      <c r="K869" s="3">
        <v>0.0</v>
      </c>
      <c r="L869" s="3">
        <v>0.0</v>
      </c>
      <c r="M869" s="3">
        <v>0.0</v>
      </c>
      <c r="N869" s="3">
        <v>403.68112</v>
      </c>
      <c r="O869" s="3">
        <v>89.0</v>
      </c>
      <c r="P869" s="3" t="e">
        <v>#N/A</v>
      </c>
      <c r="Q869" s="3">
        <v>39.0</v>
      </c>
      <c r="R869" s="3">
        <v>36.0</v>
      </c>
      <c r="S869" s="3">
        <v>30.0</v>
      </c>
      <c r="T869" s="3">
        <v>39.0</v>
      </c>
      <c r="U869" s="3">
        <v>34.0</v>
      </c>
      <c r="V869" s="3">
        <v>34.0</v>
      </c>
      <c r="W869" s="3">
        <v>41.0</v>
      </c>
      <c r="X869" s="3">
        <v>26.0</v>
      </c>
      <c r="Y869" s="3">
        <v>45.0</v>
      </c>
      <c r="Z869" s="3">
        <v>40.0</v>
      </c>
      <c r="AA869" s="3">
        <v>28.0</v>
      </c>
      <c r="AB869" s="3">
        <v>32.0</v>
      </c>
      <c r="AC869" s="3">
        <v>35.0</v>
      </c>
      <c r="AD869" s="3">
        <v>30.0</v>
      </c>
      <c r="AE869" s="3">
        <v>27.0</v>
      </c>
      <c r="AF869" s="3">
        <v>74.0</v>
      </c>
      <c r="AG869" s="3">
        <v>34.0</v>
      </c>
      <c r="AH869" s="3">
        <v>45.0</v>
      </c>
      <c r="AI869" s="3">
        <v>58.0</v>
      </c>
      <c r="AJ869" s="3">
        <v>31.0</v>
      </c>
      <c r="AK869" s="3">
        <v>25.0</v>
      </c>
      <c r="AL869" s="3">
        <v>50.0</v>
      </c>
      <c r="AM869" s="3">
        <v>58.0</v>
      </c>
      <c r="AN869" s="3">
        <v>54.0</v>
      </c>
    </row>
    <row r="870" ht="14.25" customHeight="1">
      <c r="A870" s="3">
        <v>868.0</v>
      </c>
      <c r="B870" s="3" t="s">
        <v>8046</v>
      </c>
      <c r="C870" s="3">
        <v>32.0</v>
      </c>
      <c r="D870" s="3" t="s">
        <v>6645</v>
      </c>
      <c r="E870" s="3" t="s">
        <v>6646</v>
      </c>
      <c r="F870" s="3" t="s">
        <v>6646</v>
      </c>
      <c r="G870" s="3" t="s">
        <v>6645</v>
      </c>
      <c r="H870" s="3" t="s">
        <v>6645</v>
      </c>
      <c r="I870" s="3" t="s">
        <v>6645</v>
      </c>
      <c r="J870" s="3">
        <v>-1.0</v>
      </c>
      <c r="K870" s="3">
        <v>2.0</v>
      </c>
      <c r="L870" s="3">
        <v>0.0</v>
      </c>
      <c r="M870" s="3">
        <v>0.0</v>
      </c>
      <c r="N870" s="3">
        <v>2488.8986</v>
      </c>
      <c r="O870" s="3">
        <v>478.0</v>
      </c>
      <c r="P870" s="3" t="e">
        <v>#N/A</v>
      </c>
      <c r="Q870" s="3">
        <v>49.0</v>
      </c>
      <c r="R870" s="3">
        <v>40.0</v>
      </c>
      <c r="S870" s="3">
        <v>49.0</v>
      </c>
      <c r="T870" s="3">
        <v>40.0</v>
      </c>
      <c r="U870" s="3">
        <v>41.0</v>
      </c>
      <c r="V870" s="3">
        <v>40.0</v>
      </c>
      <c r="W870" s="3">
        <v>40.0</v>
      </c>
      <c r="X870" s="3">
        <v>44.0</v>
      </c>
      <c r="Y870" s="3">
        <v>53.0</v>
      </c>
      <c r="Z870" s="3">
        <v>41.0</v>
      </c>
      <c r="AA870" s="3">
        <v>47.0</v>
      </c>
      <c r="AB870" s="3">
        <v>46.0</v>
      </c>
      <c r="AC870" s="3">
        <v>40.0</v>
      </c>
      <c r="AD870" s="3">
        <v>40.0</v>
      </c>
      <c r="AE870" s="3">
        <v>42.0</v>
      </c>
      <c r="AF870" s="3">
        <v>80.0</v>
      </c>
      <c r="AG870" s="3">
        <v>43.0</v>
      </c>
      <c r="AH870" s="3">
        <v>43.0</v>
      </c>
      <c r="AI870" s="3">
        <v>34.0</v>
      </c>
      <c r="AJ870" s="3">
        <v>49.0</v>
      </c>
      <c r="AK870" s="3">
        <v>44.0</v>
      </c>
      <c r="AL870" s="3">
        <v>69.0</v>
      </c>
      <c r="AM870" s="3">
        <v>26.0</v>
      </c>
      <c r="AN870" s="3">
        <v>38.0</v>
      </c>
    </row>
    <row r="871" ht="14.25" customHeight="1">
      <c r="A871" s="3">
        <v>869.0</v>
      </c>
      <c r="B871" s="3" t="s">
        <v>8047</v>
      </c>
      <c r="C871" s="3">
        <v>19.0</v>
      </c>
      <c r="D871" s="3" t="s">
        <v>6645</v>
      </c>
      <c r="E871" s="3" t="s">
        <v>6646</v>
      </c>
      <c r="F871" s="3" t="s">
        <v>6646</v>
      </c>
      <c r="G871" s="3" t="s">
        <v>6645</v>
      </c>
      <c r="H871" s="3" t="s">
        <v>6645</v>
      </c>
      <c r="I871" s="3" t="s">
        <v>6645</v>
      </c>
      <c r="J871" s="3">
        <v>-1.0</v>
      </c>
      <c r="K871" s="3">
        <v>0.0</v>
      </c>
      <c r="L871" s="3">
        <v>0.0</v>
      </c>
      <c r="M871" s="3">
        <v>0.0</v>
      </c>
      <c r="N871" s="3">
        <v>464.64895</v>
      </c>
      <c r="O871" s="3">
        <v>121.0</v>
      </c>
      <c r="P871" s="3" t="e">
        <v>#N/A</v>
      </c>
      <c r="Q871" s="3">
        <v>32.0</v>
      </c>
      <c r="R871" s="3">
        <v>35.0</v>
      </c>
      <c r="S871" s="3">
        <v>31.0</v>
      </c>
      <c r="T871" s="3">
        <v>36.0</v>
      </c>
      <c r="U871" s="3">
        <v>33.0</v>
      </c>
      <c r="V871" s="3">
        <v>32.0</v>
      </c>
      <c r="W871" s="3">
        <v>34.0</v>
      </c>
      <c r="X871" s="3">
        <v>43.0</v>
      </c>
      <c r="Y871" s="3">
        <v>29.0</v>
      </c>
      <c r="Z871" s="3">
        <v>41.0</v>
      </c>
      <c r="AA871" s="3">
        <v>41.0</v>
      </c>
      <c r="AB871" s="3">
        <v>35.0</v>
      </c>
      <c r="AC871" s="3">
        <v>24.0</v>
      </c>
      <c r="AD871" s="3">
        <v>38.0</v>
      </c>
      <c r="AE871" s="3">
        <v>28.0</v>
      </c>
      <c r="AF871" s="3">
        <v>41.0</v>
      </c>
      <c r="AG871" s="3">
        <v>15.0</v>
      </c>
      <c r="AH871" s="3">
        <v>43.0</v>
      </c>
      <c r="AI871" s="3">
        <v>68.0</v>
      </c>
      <c r="AJ871" s="3">
        <v>58.0</v>
      </c>
      <c r="AK871" s="3">
        <v>55.0</v>
      </c>
      <c r="AL871" s="3">
        <v>31.0</v>
      </c>
      <c r="AM871" s="3">
        <v>65.0</v>
      </c>
      <c r="AN871" s="3">
        <v>7.0</v>
      </c>
    </row>
    <row r="872" ht="14.25" customHeight="1">
      <c r="A872" s="3">
        <v>870.0</v>
      </c>
      <c r="B872" s="3" t="s">
        <v>8048</v>
      </c>
      <c r="C872" s="3">
        <v>15.0</v>
      </c>
      <c r="D872" s="3" t="s">
        <v>6645</v>
      </c>
      <c r="E872" s="3" t="s">
        <v>6646</v>
      </c>
      <c r="F872" s="3" t="s">
        <v>6646</v>
      </c>
      <c r="G872" s="3" t="s">
        <v>6645</v>
      </c>
      <c r="H872" s="3" t="s">
        <v>6645</v>
      </c>
      <c r="I872" s="3" t="s">
        <v>6646</v>
      </c>
      <c r="J872" s="3">
        <v>-1.0</v>
      </c>
      <c r="K872" s="3">
        <v>0.0</v>
      </c>
      <c r="L872" s="3">
        <v>0.0</v>
      </c>
      <c r="M872" s="3">
        <v>0.0</v>
      </c>
      <c r="N872" s="3">
        <v>443.44271</v>
      </c>
      <c r="O872" s="3">
        <v>120.0</v>
      </c>
      <c r="P872" s="3" t="e">
        <v>#N/A</v>
      </c>
      <c r="Q872" s="3">
        <v>39.0</v>
      </c>
      <c r="R872" s="3">
        <v>31.0</v>
      </c>
      <c r="S872" s="3">
        <v>33.0</v>
      </c>
      <c r="T872" s="3">
        <v>34.0</v>
      </c>
      <c r="U872" s="3">
        <v>38.0</v>
      </c>
      <c r="V872" s="3">
        <v>37.0</v>
      </c>
      <c r="W872" s="3">
        <v>43.0</v>
      </c>
      <c r="X872" s="3">
        <v>37.0</v>
      </c>
      <c r="Y872" s="3">
        <v>46.0</v>
      </c>
      <c r="Z872" s="3">
        <v>40.0</v>
      </c>
      <c r="AA872" s="3">
        <v>25.0</v>
      </c>
      <c r="AB872" s="3">
        <v>44.0</v>
      </c>
      <c r="AC872" s="3">
        <v>33.0</v>
      </c>
      <c r="AD872" s="3">
        <v>29.0</v>
      </c>
      <c r="AE872" s="3">
        <v>24.0</v>
      </c>
      <c r="AF872" s="3">
        <v>58.0</v>
      </c>
      <c r="AG872" s="3">
        <v>45.0</v>
      </c>
      <c r="AH872" s="3">
        <v>32.0</v>
      </c>
      <c r="AI872" s="3">
        <v>41.0</v>
      </c>
      <c r="AJ872" s="3">
        <v>74.0</v>
      </c>
      <c r="AK872" s="3">
        <v>41.0</v>
      </c>
      <c r="AL872" s="3">
        <v>48.0</v>
      </c>
      <c r="AM872" s="3">
        <v>54.0</v>
      </c>
      <c r="AN872" s="3">
        <v>58.0</v>
      </c>
    </row>
    <row r="873" ht="14.25" customHeight="1">
      <c r="A873" s="3">
        <v>871.0</v>
      </c>
      <c r="B873" s="3" t="s">
        <v>8049</v>
      </c>
      <c r="C873" s="3">
        <v>21.0</v>
      </c>
      <c r="D873" s="3" t="s">
        <v>6645</v>
      </c>
      <c r="E873" s="3" t="s">
        <v>6646</v>
      </c>
      <c r="F873" s="3" t="s">
        <v>6646</v>
      </c>
      <c r="G873" s="3" t="s">
        <v>6645</v>
      </c>
      <c r="H873" s="3" t="s">
        <v>6645</v>
      </c>
      <c r="I873" s="3" t="s">
        <v>6645</v>
      </c>
      <c r="J873" s="3">
        <v>-1.0</v>
      </c>
      <c r="K873" s="3">
        <v>0.0</v>
      </c>
      <c r="L873" s="3">
        <v>0.0</v>
      </c>
      <c r="M873" s="3">
        <v>0.0</v>
      </c>
      <c r="N873" s="3">
        <v>440.4404</v>
      </c>
      <c r="O873" s="3">
        <v>99.0</v>
      </c>
      <c r="P873" s="3" t="e">
        <v>#N/A</v>
      </c>
      <c r="Q873" s="3">
        <v>37.0</v>
      </c>
      <c r="R873" s="3">
        <v>38.0</v>
      </c>
      <c r="S873" s="3">
        <v>31.0</v>
      </c>
      <c r="T873" s="3">
        <v>39.0</v>
      </c>
      <c r="U873" s="3">
        <v>38.0</v>
      </c>
      <c r="V873" s="3">
        <v>39.0</v>
      </c>
      <c r="W873" s="3">
        <v>43.0</v>
      </c>
      <c r="X873" s="3">
        <v>36.0</v>
      </c>
      <c r="Y873" s="3">
        <v>25.0</v>
      </c>
      <c r="Z873" s="3">
        <v>30.0</v>
      </c>
      <c r="AA873" s="3">
        <v>40.0</v>
      </c>
      <c r="AB873" s="3">
        <v>23.0</v>
      </c>
      <c r="AC873" s="3">
        <v>39.0</v>
      </c>
      <c r="AD873" s="3">
        <v>24.0</v>
      </c>
      <c r="AE873" s="3">
        <v>34.0</v>
      </c>
      <c r="AF873" s="3">
        <v>66.0</v>
      </c>
      <c r="AG873" s="3">
        <v>24.0</v>
      </c>
      <c r="AH873" s="3">
        <v>41.0</v>
      </c>
      <c r="AI873" s="3">
        <v>58.0</v>
      </c>
      <c r="AJ873" s="3">
        <v>45.0</v>
      </c>
      <c r="AK873" s="3">
        <v>72.0</v>
      </c>
      <c r="AL873" s="3">
        <v>23.0</v>
      </c>
      <c r="AM873" s="3">
        <v>32.0</v>
      </c>
      <c r="AN873" s="3">
        <v>46.0</v>
      </c>
    </row>
    <row r="874" ht="14.25" customHeight="1">
      <c r="A874" s="3">
        <v>872.0</v>
      </c>
      <c r="B874" s="3" t="s">
        <v>8050</v>
      </c>
      <c r="C874" s="3">
        <v>36.0</v>
      </c>
      <c r="D874" s="3" t="s">
        <v>6645</v>
      </c>
      <c r="E874" s="3" t="s">
        <v>6646</v>
      </c>
      <c r="F874" s="3" t="s">
        <v>6646</v>
      </c>
      <c r="G874" s="3" t="s">
        <v>6645</v>
      </c>
      <c r="H874" s="3" t="s">
        <v>6645</v>
      </c>
      <c r="I874" s="3" t="s">
        <v>6645</v>
      </c>
      <c r="J874" s="3">
        <v>-1.0</v>
      </c>
      <c r="K874" s="3">
        <v>4.0</v>
      </c>
      <c r="L874" s="3">
        <v>0.0</v>
      </c>
      <c r="M874" s="3">
        <v>0.0</v>
      </c>
      <c r="N874" s="3">
        <v>8476.45</v>
      </c>
      <c r="O874" s="3">
        <v>1985.0</v>
      </c>
      <c r="P874" s="3" t="e">
        <v>#N/A</v>
      </c>
      <c r="Q874" s="3">
        <v>50.0</v>
      </c>
      <c r="R874" s="3">
        <v>51.0</v>
      </c>
      <c r="S874" s="3">
        <v>77.0</v>
      </c>
      <c r="T874" s="3">
        <v>57.0</v>
      </c>
      <c r="U874" s="3">
        <v>62.0</v>
      </c>
      <c r="V874" s="3">
        <v>64.0</v>
      </c>
      <c r="W874" s="3">
        <v>57.0</v>
      </c>
      <c r="X874" s="3">
        <v>51.0</v>
      </c>
      <c r="Y874" s="3">
        <v>53.0</v>
      </c>
      <c r="Z874" s="3">
        <v>76.0</v>
      </c>
      <c r="AA874" s="3">
        <v>55.0</v>
      </c>
      <c r="AB874" s="3">
        <v>50.0</v>
      </c>
      <c r="AC874" s="3">
        <v>50.0</v>
      </c>
      <c r="AD874" s="3">
        <v>55.0</v>
      </c>
      <c r="AE874" s="3">
        <v>59.0</v>
      </c>
      <c r="AF874" s="3">
        <v>98.0</v>
      </c>
      <c r="AG874" s="3">
        <v>45.0</v>
      </c>
      <c r="AH874" s="3">
        <v>67.0</v>
      </c>
      <c r="AI874" s="3">
        <v>42.0</v>
      </c>
      <c r="AJ874" s="3">
        <v>44.0</v>
      </c>
      <c r="AK874" s="3">
        <v>66.0</v>
      </c>
      <c r="AL874" s="3">
        <v>51.0</v>
      </c>
      <c r="AM874" s="3">
        <v>78.0</v>
      </c>
      <c r="AN874" s="3">
        <v>26.0</v>
      </c>
    </row>
    <row r="875" ht="14.25" customHeight="1">
      <c r="A875" s="3">
        <v>873.0</v>
      </c>
      <c r="B875" s="3" t="s">
        <v>8051</v>
      </c>
      <c r="C875" s="3">
        <v>32.0</v>
      </c>
      <c r="D875" s="3" t="s">
        <v>6645</v>
      </c>
      <c r="E875" s="3" t="s">
        <v>6646</v>
      </c>
      <c r="F875" s="3" t="s">
        <v>6646</v>
      </c>
      <c r="G875" s="3" t="s">
        <v>6645</v>
      </c>
      <c r="H875" s="3" t="s">
        <v>6645</v>
      </c>
      <c r="I875" s="3" t="s">
        <v>6645</v>
      </c>
      <c r="J875" s="3">
        <v>-1.0</v>
      </c>
      <c r="K875" s="3">
        <v>2.0</v>
      </c>
      <c r="L875" s="3">
        <v>0.0</v>
      </c>
      <c r="M875" s="3">
        <v>0.0</v>
      </c>
      <c r="N875" s="3">
        <v>2366.7004</v>
      </c>
      <c r="O875" s="3">
        <v>453.0</v>
      </c>
      <c r="Q875" s="3">
        <v>46.0</v>
      </c>
      <c r="R875" s="3">
        <v>40.0</v>
      </c>
      <c r="S875" s="3">
        <v>40.0</v>
      </c>
      <c r="T875" s="3">
        <v>43.0</v>
      </c>
      <c r="U875" s="3">
        <v>42.0</v>
      </c>
      <c r="V875" s="3">
        <v>41.0</v>
      </c>
      <c r="W875" s="3">
        <v>34.0</v>
      </c>
      <c r="X875" s="3">
        <v>45.0</v>
      </c>
      <c r="Y875" s="3">
        <v>43.0</v>
      </c>
      <c r="Z875" s="3">
        <v>49.0</v>
      </c>
      <c r="AA875" s="3">
        <v>44.0</v>
      </c>
      <c r="AB875" s="3">
        <v>45.0</v>
      </c>
      <c r="AC875" s="3">
        <v>49.0</v>
      </c>
      <c r="AD875" s="3">
        <v>51.0</v>
      </c>
      <c r="AE875" s="3">
        <v>49.0</v>
      </c>
      <c r="AF875" s="3">
        <v>37.0</v>
      </c>
      <c r="AG875" s="3">
        <v>76.0</v>
      </c>
      <c r="AH875" s="3">
        <v>42.0</v>
      </c>
      <c r="AI875" s="3">
        <v>40.0</v>
      </c>
      <c r="AJ875" s="3">
        <v>63.0</v>
      </c>
      <c r="AK875" s="3">
        <v>43.0</v>
      </c>
      <c r="AL875" s="3">
        <v>62.0</v>
      </c>
      <c r="AM875" s="3">
        <v>53.0</v>
      </c>
      <c r="AN875" s="3">
        <v>48.0</v>
      </c>
    </row>
    <row r="876" ht="14.25" customHeight="1">
      <c r="A876" s="3">
        <v>874.0</v>
      </c>
      <c r="B876" s="3" t="s">
        <v>8052</v>
      </c>
      <c r="C876" s="3">
        <v>39.0</v>
      </c>
      <c r="D876" s="3" t="s">
        <v>6645</v>
      </c>
      <c r="E876" s="3" t="s">
        <v>6646</v>
      </c>
      <c r="F876" s="3" t="s">
        <v>6646</v>
      </c>
      <c r="G876" s="3" t="s">
        <v>6645</v>
      </c>
      <c r="H876" s="3" t="s">
        <v>6645</v>
      </c>
      <c r="I876" s="3" t="s">
        <v>6645</v>
      </c>
      <c r="J876" s="3">
        <v>-1.0</v>
      </c>
      <c r="K876" s="3">
        <v>4.0</v>
      </c>
      <c r="L876" s="3">
        <v>0.0</v>
      </c>
      <c r="M876" s="3">
        <v>0.0</v>
      </c>
      <c r="N876" s="3">
        <v>9000.84</v>
      </c>
      <c r="O876" s="3">
        <v>1869.0</v>
      </c>
      <c r="Q876" s="3">
        <v>57.0</v>
      </c>
      <c r="R876" s="3">
        <v>61.0</v>
      </c>
      <c r="S876" s="3">
        <v>52.0</v>
      </c>
      <c r="T876" s="3">
        <v>61.0</v>
      </c>
      <c r="U876" s="3">
        <v>59.0</v>
      </c>
      <c r="V876" s="3">
        <v>57.0</v>
      </c>
      <c r="W876" s="3">
        <v>62.0</v>
      </c>
      <c r="X876" s="3">
        <v>63.0</v>
      </c>
      <c r="Y876" s="3">
        <v>71.0</v>
      </c>
      <c r="Z876" s="3">
        <v>53.0</v>
      </c>
      <c r="AA876" s="3">
        <v>44.0</v>
      </c>
      <c r="AB876" s="3">
        <v>53.0</v>
      </c>
      <c r="AC876" s="3">
        <v>68.0</v>
      </c>
      <c r="AD876" s="3">
        <v>68.0</v>
      </c>
      <c r="AE876" s="3">
        <v>58.0</v>
      </c>
      <c r="AF876" s="3">
        <v>46.0</v>
      </c>
      <c r="AG876" s="3">
        <v>80.0</v>
      </c>
      <c r="AH876" s="3">
        <v>41.0</v>
      </c>
      <c r="AI876" s="3">
        <v>56.0</v>
      </c>
      <c r="AJ876" s="3">
        <v>52.0</v>
      </c>
      <c r="AK876" s="3">
        <v>62.0</v>
      </c>
      <c r="AL876" s="3">
        <v>59.0</v>
      </c>
      <c r="AM876" s="3">
        <v>51.0</v>
      </c>
      <c r="AN876" s="3">
        <v>13.0</v>
      </c>
    </row>
    <row r="877" ht="14.25" customHeight="1">
      <c r="A877" s="3">
        <v>875.0</v>
      </c>
      <c r="B877" s="3" t="s">
        <v>8053</v>
      </c>
      <c r="C877" s="3">
        <v>18.0</v>
      </c>
      <c r="D877" s="3" t="s">
        <v>6645</v>
      </c>
      <c r="E877" s="3" t="s">
        <v>6646</v>
      </c>
      <c r="F877" s="3" t="s">
        <v>6646</v>
      </c>
      <c r="G877" s="3" t="s">
        <v>6645</v>
      </c>
      <c r="H877" s="3" t="s">
        <v>6645</v>
      </c>
      <c r="I877" s="3" t="s">
        <v>6645</v>
      </c>
      <c r="J877" s="3">
        <v>-1.0</v>
      </c>
      <c r="K877" s="3">
        <v>0.0</v>
      </c>
      <c r="L877" s="3">
        <v>0.0</v>
      </c>
      <c r="M877" s="3">
        <v>0.0</v>
      </c>
      <c r="N877" s="3">
        <v>489.909</v>
      </c>
      <c r="O877" s="3">
        <v>95.0</v>
      </c>
      <c r="Q877" s="3">
        <v>33.0</v>
      </c>
      <c r="R877" s="3">
        <v>30.0</v>
      </c>
      <c r="S877" s="3">
        <v>35.0</v>
      </c>
      <c r="T877" s="3">
        <v>35.0</v>
      </c>
      <c r="U877" s="3">
        <v>34.0</v>
      </c>
      <c r="V877" s="3">
        <v>39.0</v>
      </c>
      <c r="W877" s="3">
        <v>37.0</v>
      </c>
      <c r="X877" s="3">
        <v>29.0</v>
      </c>
      <c r="Y877" s="3">
        <v>31.0</v>
      </c>
      <c r="Z877" s="3">
        <v>32.0</v>
      </c>
      <c r="AA877" s="3">
        <v>39.0</v>
      </c>
      <c r="AB877" s="3">
        <v>45.0</v>
      </c>
      <c r="AC877" s="3">
        <v>30.0</v>
      </c>
      <c r="AD877" s="3">
        <v>26.0</v>
      </c>
      <c r="AE877" s="3">
        <v>40.0</v>
      </c>
      <c r="AF877" s="3">
        <v>61.0</v>
      </c>
      <c r="AG877" s="3">
        <v>36.0</v>
      </c>
      <c r="AH877" s="3">
        <v>38.0</v>
      </c>
      <c r="AI877" s="3">
        <v>46.0</v>
      </c>
      <c r="AJ877" s="3">
        <v>59.0</v>
      </c>
      <c r="AK877" s="3">
        <v>69.0</v>
      </c>
      <c r="AL877" s="3">
        <v>32.0</v>
      </c>
      <c r="AM877" s="3">
        <v>49.0</v>
      </c>
      <c r="AN877" s="3">
        <v>30.0</v>
      </c>
    </row>
    <row r="878" ht="14.25" customHeight="1">
      <c r="A878" s="3">
        <v>876.0</v>
      </c>
      <c r="B878" s="3" t="s">
        <v>8054</v>
      </c>
      <c r="C878" s="3">
        <v>20.0</v>
      </c>
      <c r="D878" s="3" t="s">
        <v>6645</v>
      </c>
      <c r="E878" s="3" t="s">
        <v>6646</v>
      </c>
      <c r="F878" s="3" t="s">
        <v>6646</v>
      </c>
      <c r="G878" s="3" t="s">
        <v>6645</v>
      </c>
      <c r="H878" s="3" t="s">
        <v>6645</v>
      </c>
      <c r="I878" s="3" t="s">
        <v>6646</v>
      </c>
      <c r="J878" s="3">
        <v>-1.0</v>
      </c>
      <c r="K878" s="3">
        <v>0.0</v>
      </c>
      <c r="L878" s="3">
        <v>0.0</v>
      </c>
      <c r="M878" s="3">
        <v>0.0</v>
      </c>
      <c r="N878" s="3">
        <v>499.6367</v>
      </c>
      <c r="O878" s="3">
        <v>105.0</v>
      </c>
      <c r="Q878" s="3">
        <v>35.0</v>
      </c>
      <c r="R878" s="3">
        <v>36.0</v>
      </c>
      <c r="S878" s="3">
        <v>34.0</v>
      </c>
      <c r="T878" s="3">
        <v>37.0</v>
      </c>
      <c r="U878" s="3">
        <v>37.0</v>
      </c>
      <c r="V878" s="3">
        <v>37.0</v>
      </c>
      <c r="W878" s="3">
        <v>30.0</v>
      </c>
      <c r="X878" s="3">
        <v>42.0</v>
      </c>
      <c r="Y878" s="3">
        <v>29.0</v>
      </c>
      <c r="Z878" s="3">
        <v>42.0</v>
      </c>
      <c r="AA878" s="3">
        <v>32.0</v>
      </c>
      <c r="AB878" s="3">
        <v>36.0</v>
      </c>
      <c r="AC878" s="3">
        <v>46.0</v>
      </c>
      <c r="AD878" s="3">
        <v>22.0</v>
      </c>
      <c r="AE878" s="3">
        <v>26.0</v>
      </c>
      <c r="AF878" s="3">
        <v>54.0</v>
      </c>
      <c r="AG878" s="3">
        <v>72.0</v>
      </c>
      <c r="AH878" s="3">
        <v>73.0</v>
      </c>
      <c r="AI878" s="3">
        <v>25.0</v>
      </c>
      <c r="AJ878" s="3">
        <v>48.0</v>
      </c>
      <c r="AK878" s="3">
        <v>38.0</v>
      </c>
      <c r="AL878" s="3">
        <v>47.0</v>
      </c>
      <c r="AM878" s="3">
        <v>24.0</v>
      </c>
      <c r="AN878" s="3">
        <v>43.0</v>
      </c>
    </row>
    <row r="879" ht="14.25" customHeight="1">
      <c r="A879" s="3">
        <v>877.0</v>
      </c>
      <c r="B879" s="3" t="s">
        <v>8055</v>
      </c>
      <c r="C879" s="3">
        <v>15.0</v>
      </c>
      <c r="D879" s="3" t="s">
        <v>6645</v>
      </c>
      <c r="E879" s="3" t="s">
        <v>6646</v>
      </c>
      <c r="F879" s="3" t="s">
        <v>6646</v>
      </c>
      <c r="G879" s="3" t="s">
        <v>6645</v>
      </c>
      <c r="H879" s="3" t="s">
        <v>6645</v>
      </c>
      <c r="I879" s="3" t="s">
        <v>6645</v>
      </c>
      <c r="J879" s="3">
        <v>-1.0</v>
      </c>
      <c r="K879" s="3">
        <v>0.0</v>
      </c>
      <c r="L879" s="3">
        <v>0.0</v>
      </c>
      <c r="M879" s="3">
        <v>0.0</v>
      </c>
      <c r="N879" s="3">
        <v>522.67</v>
      </c>
      <c r="O879" s="3">
        <v>115.0</v>
      </c>
      <c r="Q879" s="3">
        <v>37.0</v>
      </c>
      <c r="R879" s="3">
        <v>35.0</v>
      </c>
      <c r="S879" s="3">
        <v>34.0</v>
      </c>
      <c r="T879" s="3">
        <v>36.0</v>
      </c>
      <c r="U879" s="3">
        <v>39.0</v>
      </c>
      <c r="V879" s="3">
        <v>37.0</v>
      </c>
      <c r="W879" s="3">
        <v>31.0</v>
      </c>
      <c r="X879" s="3">
        <v>38.0</v>
      </c>
      <c r="Y879" s="3">
        <v>30.0</v>
      </c>
      <c r="Z879" s="3">
        <v>25.0</v>
      </c>
      <c r="AA879" s="3">
        <v>30.0</v>
      </c>
      <c r="AB879" s="3">
        <v>35.0</v>
      </c>
      <c r="AC879" s="3">
        <v>43.0</v>
      </c>
      <c r="AD879" s="3">
        <v>39.0</v>
      </c>
      <c r="AE879" s="3">
        <v>23.0</v>
      </c>
      <c r="AF879" s="3">
        <v>41.0</v>
      </c>
      <c r="AG879" s="3">
        <v>12.0</v>
      </c>
      <c r="AH879" s="3">
        <v>55.0</v>
      </c>
      <c r="AI879" s="3">
        <v>51.0</v>
      </c>
      <c r="AJ879" s="3">
        <v>36.0</v>
      </c>
      <c r="AK879" s="3">
        <v>63.0</v>
      </c>
      <c r="AL879" s="3">
        <v>74.0</v>
      </c>
      <c r="AM879" s="3">
        <v>33.0</v>
      </c>
      <c r="AN879" s="3">
        <v>34.0</v>
      </c>
    </row>
    <row r="880" ht="14.25" customHeight="1">
      <c r="A880" s="3">
        <v>878.0</v>
      </c>
      <c r="B880" s="3" t="s">
        <v>8056</v>
      </c>
      <c r="C880" s="3">
        <v>17.0</v>
      </c>
      <c r="D880" s="3" t="s">
        <v>6645</v>
      </c>
      <c r="E880" s="3" t="s">
        <v>6646</v>
      </c>
      <c r="F880" s="3" t="s">
        <v>6646</v>
      </c>
      <c r="G880" s="3" t="s">
        <v>6645</v>
      </c>
      <c r="H880" s="3" t="s">
        <v>6645</v>
      </c>
      <c r="I880" s="3" t="s">
        <v>6646</v>
      </c>
      <c r="J880" s="3">
        <v>-1.0</v>
      </c>
      <c r="K880" s="3">
        <v>0.0</v>
      </c>
      <c r="L880" s="3">
        <v>0.0</v>
      </c>
      <c r="M880" s="3">
        <v>0.0</v>
      </c>
      <c r="N880" s="3">
        <v>451.4864</v>
      </c>
      <c r="O880" s="3">
        <v>119.0</v>
      </c>
      <c r="Q880" s="3">
        <v>33.0</v>
      </c>
      <c r="R880" s="3">
        <v>33.0</v>
      </c>
      <c r="S880" s="3">
        <v>37.0</v>
      </c>
      <c r="T880" s="3">
        <v>38.0</v>
      </c>
      <c r="U880" s="3">
        <v>32.0</v>
      </c>
      <c r="V880" s="3">
        <v>33.0</v>
      </c>
      <c r="W880" s="3">
        <v>42.0</v>
      </c>
      <c r="X880" s="3">
        <v>35.0</v>
      </c>
      <c r="Y880" s="3">
        <v>33.0</v>
      </c>
      <c r="Z880" s="3">
        <v>40.0</v>
      </c>
      <c r="AA880" s="3">
        <v>29.0</v>
      </c>
      <c r="AB880" s="3">
        <v>30.0</v>
      </c>
      <c r="AC880" s="3">
        <v>30.0</v>
      </c>
      <c r="AD880" s="3">
        <v>27.0</v>
      </c>
      <c r="AE880" s="3">
        <v>45.0</v>
      </c>
      <c r="AF880" s="3">
        <v>46.0</v>
      </c>
      <c r="AG880" s="3">
        <v>44.0</v>
      </c>
      <c r="AH880" s="3">
        <v>57.0</v>
      </c>
      <c r="AI880" s="3">
        <v>58.0</v>
      </c>
      <c r="AJ880" s="3">
        <v>76.0</v>
      </c>
      <c r="AK880" s="3">
        <v>31.0</v>
      </c>
      <c r="AL880" s="3">
        <v>51.0</v>
      </c>
      <c r="AM880" s="3">
        <v>49.0</v>
      </c>
      <c r="AN880" s="3">
        <v>17.0</v>
      </c>
    </row>
    <row r="881" ht="14.25" customHeight="1">
      <c r="A881" s="3">
        <v>879.0</v>
      </c>
      <c r="B881" s="3" t="s">
        <v>8057</v>
      </c>
      <c r="C881" s="3">
        <v>22.0</v>
      </c>
      <c r="D881" s="3" t="s">
        <v>6645</v>
      </c>
      <c r="E881" s="3" t="s">
        <v>6646</v>
      </c>
      <c r="F881" s="3" t="s">
        <v>6646</v>
      </c>
      <c r="G881" s="3" t="s">
        <v>6645</v>
      </c>
      <c r="H881" s="3" t="s">
        <v>6645</v>
      </c>
      <c r="I881" s="3" t="s">
        <v>6645</v>
      </c>
      <c r="J881" s="3">
        <v>-1.0</v>
      </c>
      <c r="K881" s="3">
        <v>1.0</v>
      </c>
      <c r="L881" s="3">
        <v>0.0</v>
      </c>
      <c r="M881" s="3">
        <v>0.0</v>
      </c>
      <c r="N881" s="3">
        <v>966.383</v>
      </c>
      <c r="O881" s="3">
        <v>216.0</v>
      </c>
      <c r="Q881" s="3">
        <v>36.0</v>
      </c>
      <c r="R881" s="3">
        <v>41.0</v>
      </c>
      <c r="S881" s="3">
        <v>37.0</v>
      </c>
      <c r="T881" s="3">
        <v>44.0</v>
      </c>
      <c r="U881" s="3">
        <v>40.0</v>
      </c>
      <c r="V881" s="3">
        <v>40.0</v>
      </c>
      <c r="W881" s="3">
        <v>40.0</v>
      </c>
      <c r="X881" s="3">
        <v>50.0</v>
      </c>
      <c r="Y881" s="3">
        <v>29.0</v>
      </c>
      <c r="Z881" s="3">
        <v>42.0</v>
      </c>
      <c r="AA881" s="3">
        <v>32.0</v>
      </c>
      <c r="AB881" s="3">
        <v>37.0</v>
      </c>
      <c r="AC881" s="3">
        <v>52.0</v>
      </c>
      <c r="AD881" s="3">
        <v>52.0</v>
      </c>
      <c r="AE881" s="3">
        <v>31.0</v>
      </c>
      <c r="AF881" s="3">
        <v>76.0</v>
      </c>
      <c r="AG881" s="3">
        <v>36.0</v>
      </c>
      <c r="AH881" s="3">
        <v>62.0</v>
      </c>
      <c r="AI881" s="3">
        <v>17.0</v>
      </c>
      <c r="AJ881" s="3">
        <v>29.0</v>
      </c>
      <c r="AK881" s="3">
        <v>52.0</v>
      </c>
      <c r="AL881" s="3">
        <v>31.0</v>
      </c>
      <c r="AM881" s="3">
        <v>36.0</v>
      </c>
      <c r="AN881" s="3">
        <v>77.0</v>
      </c>
    </row>
    <row r="882" ht="14.25" customHeight="1">
      <c r="A882" s="3">
        <v>880.0</v>
      </c>
      <c r="B882" s="3" t="s">
        <v>8058</v>
      </c>
      <c r="C882" s="3">
        <v>30.0</v>
      </c>
      <c r="D882" s="3" t="s">
        <v>6645</v>
      </c>
      <c r="E882" s="3" t="s">
        <v>6646</v>
      </c>
      <c r="F882" s="3" t="s">
        <v>6646</v>
      </c>
      <c r="G882" s="3" t="s">
        <v>6645</v>
      </c>
      <c r="H882" s="3" t="s">
        <v>6645</v>
      </c>
      <c r="I882" s="3" t="s">
        <v>6646</v>
      </c>
      <c r="J882" s="3">
        <v>-1.0</v>
      </c>
      <c r="K882" s="3">
        <v>2.0</v>
      </c>
      <c r="L882" s="3">
        <v>0.0</v>
      </c>
      <c r="M882" s="3">
        <v>0.0</v>
      </c>
      <c r="N882" s="3">
        <v>2659.9294</v>
      </c>
      <c r="O882" s="3">
        <v>350.0</v>
      </c>
      <c r="Q882" s="3">
        <v>45.0</v>
      </c>
      <c r="R882" s="3">
        <v>43.0</v>
      </c>
      <c r="S882" s="3">
        <v>40.0</v>
      </c>
      <c r="T882" s="3">
        <v>44.0</v>
      </c>
      <c r="U882" s="3">
        <v>45.0</v>
      </c>
      <c r="V882" s="3">
        <v>47.0</v>
      </c>
      <c r="W882" s="3">
        <v>51.0</v>
      </c>
      <c r="X882" s="3">
        <v>35.0</v>
      </c>
      <c r="Y882" s="3">
        <v>55.0</v>
      </c>
      <c r="Z882" s="3">
        <v>51.0</v>
      </c>
      <c r="AA882" s="3">
        <v>46.0</v>
      </c>
      <c r="AB882" s="3">
        <v>34.0</v>
      </c>
      <c r="AC882" s="3">
        <v>41.0</v>
      </c>
      <c r="AD882" s="3">
        <v>42.0</v>
      </c>
      <c r="AE882" s="3">
        <v>42.0</v>
      </c>
      <c r="AF882" s="3">
        <v>17.0</v>
      </c>
      <c r="AG882" s="3">
        <v>58.0</v>
      </c>
      <c r="AH882" s="3">
        <v>39.0</v>
      </c>
      <c r="AI882" s="3">
        <v>53.0</v>
      </c>
      <c r="AJ882" s="3">
        <v>61.0</v>
      </c>
      <c r="AK882" s="3">
        <v>70.0</v>
      </c>
      <c r="AL882" s="3">
        <v>37.0</v>
      </c>
      <c r="AM882" s="3">
        <v>68.0</v>
      </c>
      <c r="AN882" s="3">
        <v>30.0</v>
      </c>
    </row>
    <row r="883" ht="14.25" customHeight="1">
      <c r="A883" s="3">
        <v>881.0</v>
      </c>
      <c r="B883" s="3" t="s">
        <v>8059</v>
      </c>
      <c r="C883" s="3">
        <v>22.0</v>
      </c>
      <c r="D883" s="3" t="s">
        <v>6645</v>
      </c>
      <c r="E883" s="3" t="s">
        <v>6646</v>
      </c>
      <c r="F883" s="3" t="s">
        <v>6646</v>
      </c>
      <c r="G883" s="3" t="s">
        <v>6645</v>
      </c>
      <c r="H883" s="3" t="s">
        <v>6645</v>
      </c>
      <c r="I883" s="3" t="s">
        <v>6645</v>
      </c>
      <c r="J883" s="3">
        <v>-1.0</v>
      </c>
      <c r="K883" s="3">
        <v>0.0</v>
      </c>
      <c r="L883" s="3">
        <v>0.0</v>
      </c>
      <c r="M883" s="3">
        <v>0.0</v>
      </c>
      <c r="N883" s="3">
        <v>463.46731</v>
      </c>
      <c r="O883" s="3">
        <v>84.0</v>
      </c>
      <c r="Q883" s="3">
        <v>37.0</v>
      </c>
      <c r="R883" s="3">
        <v>34.0</v>
      </c>
      <c r="S883" s="3">
        <v>33.0</v>
      </c>
      <c r="T883" s="3">
        <v>31.0</v>
      </c>
      <c r="U883" s="3">
        <v>33.0</v>
      </c>
      <c r="V883" s="3">
        <v>35.0</v>
      </c>
      <c r="W883" s="3">
        <v>31.0</v>
      </c>
      <c r="X883" s="3">
        <v>43.0</v>
      </c>
      <c r="Y883" s="3">
        <v>29.0</v>
      </c>
      <c r="Z883" s="3">
        <v>24.0</v>
      </c>
      <c r="AA883" s="3">
        <v>41.0</v>
      </c>
      <c r="AB883" s="3">
        <v>30.0</v>
      </c>
      <c r="AC883" s="3">
        <v>33.0</v>
      </c>
      <c r="AD883" s="3">
        <v>24.0</v>
      </c>
      <c r="AE883" s="3">
        <v>43.0</v>
      </c>
      <c r="AF883" s="3">
        <v>46.0</v>
      </c>
      <c r="AG883" s="3">
        <v>29.0</v>
      </c>
      <c r="AH883" s="3">
        <v>5.0</v>
      </c>
      <c r="AI883" s="3">
        <v>66.0</v>
      </c>
      <c r="AJ883" s="3">
        <v>51.0</v>
      </c>
      <c r="AK883" s="3">
        <v>40.0</v>
      </c>
      <c r="AL883" s="3">
        <v>33.0</v>
      </c>
      <c r="AM883" s="3">
        <v>76.0</v>
      </c>
      <c r="AN883" s="3">
        <v>32.0</v>
      </c>
    </row>
    <row r="884" ht="14.25" customHeight="1">
      <c r="A884" s="3">
        <v>882.0</v>
      </c>
      <c r="B884" s="3" t="s">
        <v>8060</v>
      </c>
      <c r="C884" s="3">
        <v>19.0</v>
      </c>
      <c r="D884" s="3" t="s">
        <v>6645</v>
      </c>
      <c r="E884" s="3" t="s">
        <v>6646</v>
      </c>
      <c r="F884" s="3" t="s">
        <v>6646</v>
      </c>
      <c r="G884" s="3" t="s">
        <v>6645</v>
      </c>
      <c r="H884" s="3" t="s">
        <v>6645</v>
      </c>
      <c r="I884" s="3" t="s">
        <v>6646</v>
      </c>
      <c r="J884" s="3">
        <v>-1.0</v>
      </c>
      <c r="K884" s="3">
        <v>0.0</v>
      </c>
      <c r="L884" s="3">
        <v>0.0</v>
      </c>
      <c r="M884" s="3">
        <v>0.0</v>
      </c>
      <c r="N884" s="3">
        <v>379.92974</v>
      </c>
      <c r="O884" s="3">
        <v>120.0</v>
      </c>
      <c r="Q884" s="3">
        <v>36.0</v>
      </c>
      <c r="R884" s="3">
        <v>37.0</v>
      </c>
      <c r="S884" s="3">
        <v>31.0</v>
      </c>
      <c r="T884" s="3">
        <v>36.0</v>
      </c>
      <c r="U884" s="3">
        <v>34.0</v>
      </c>
      <c r="V884" s="3">
        <v>36.0</v>
      </c>
      <c r="W884" s="3">
        <v>30.0</v>
      </c>
      <c r="X884" s="3">
        <v>39.0</v>
      </c>
      <c r="Y884" s="3">
        <v>47.0</v>
      </c>
      <c r="Z884" s="3">
        <v>20.0</v>
      </c>
      <c r="AA884" s="3">
        <v>31.0</v>
      </c>
      <c r="AB884" s="3">
        <v>41.0</v>
      </c>
      <c r="AC884" s="3">
        <v>31.0</v>
      </c>
      <c r="AD884" s="3">
        <v>30.0</v>
      </c>
      <c r="AE884" s="3">
        <v>46.0</v>
      </c>
      <c r="AF884" s="3">
        <v>46.0</v>
      </c>
      <c r="AG884" s="3">
        <v>69.0</v>
      </c>
      <c r="AH884" s="3">
        <v>31.0</v>
      </c>
      <c r="AI884" s="3">
        <v>18.0</v>
      </c>
      <c r="AJ884" s="3">
        <v>58.0</v>
      </c>
      <c r="AK884" s="3">
        <v>53.0</v>
      </c>
      <c r="AL884" s="3">
        <v>50.0</v>
      </c>
      <c r="AM884" s="3">
        <v>59.0</v>
      </c>
      <c r="AN884" s="3">
        <v>56.0</v>
      </c>
    </row>
  </sheetData>
  <autoFilter ref="$A$1:$AN$1"/>
  <conditionalFormatting sqref="Q3:AN876">
    <cfRule type="cellIs" dxfId="2" priority="1" operator="between">
      <formula>100</formula>
      <formula>200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9.0"/>
    <col customWidth="1" min="20" max="26" width="8.71"/>
  </cols>
  <sheetData>
    <row r="1" ht="14.25" customHeight="1">
      <c r="A1" s="29" t="s">
        <v>11</v>
      </c>
      <c r="B1" s="29" t="s">
        <v>15</v>
      </c>
      <c r="C1" s="29" t="s">
        <v>12</v>
      </c>
      <c r="D1" s="29" t="s">
        <v>8061</v>
      </c>
      <c r="E1" s="29" t="s">
        <v>8062</v>
      </c>
      <c r="F1" s="29" t="s">
        <v>8063</v>
      </c>
      <c r="G1" s="29" t="s">
        <v>8064</v>
      </c>
      <c r="H1" s="29" t="s">
        <v>8065</v>
      </c>
      <c r="I1" s="29" t="s">
        <v>8066</v>
      </c>
      <c r="J1" s="29" t="s">
        <v>8067</v>
      </c>
      <c r="K1" s="29" t="s">
        <v>8068</v>
      </c>
      <c r="L1" s="29" t="s">
        <v>8069</v>
      </c>
      <c r="M1" s="29" t="s">
        <v>8070</v>
      </c>
      <c r="N1" s="29"/>
      <c r="O1" s="30" t="s">
        <v>8071</v>
      </c>
      <c r="P1" s="23" t="str">
        <f>VLOOKUP(O1,B:N,13,0)</f>
        <v>#N/A</v>
      </c>
      <c r="Q1" s="23"/>
      <c r="R1" s="23" t="s">
        <v>514</v>
      </c>
      <c r="S1" s="23" t="s">
        <v>8072</v>
      </c>
      <c r="T1" s="23"/>
      <c r="U1" s="23"/>
      <c r="V1" s="23"/>
      <c r="W1" s="23"/>
      <c r="X1" s="23"/>
      <c r="Y1" s="23"/>
      <c r="Z1" s="23"/>
    </row>
    <row r="2" ht="14.25" customHeight="1">
      <c r="A2" s="23">
        <v>0.0</v>
      </c>
      <c r="B2" s="23" t="s">
        <v>8073</v>
      </c>
      <c r="C2" s="23" t="s">
        <v>8074</v>
      </c>
      <c r="D2" s="23" t="s">
        <v>8073</v>
      </c>
      <c r="E2" s="23">
        <v>4.0</v>
      </c>
      <c r="F2" s="23" t="s">
        <v>8075</v>
      </c>
      <c r="G2" s="23">
        <v>5.0</v>
      </c>
      <c r="H2" s="23">
        <v>3.0</v>
      </c>
      <c r="I2" s="23">
        <v>3.0</v>
      </c>
      <c r="J2" s="23">
        <v>1.0</v>
      </c>
      <c r="K2" s="23" t="s">
        <v>8076</v>
      </c>
      <c r="L2" s="23">
        <v>2058.0</v>
      </c>
      <c r="M2" s="23">
        <v>799.0</v>
      </c>
      <c r="N2" s="23" t="str">
        <f t="shared" ref="N2:N70" si="1">"""x"":"&amp;L2&amp;",""y"":"&amp;M2</f>
        <v>"x":2058,"y":799</v>
      </c>
      <c r="O2" s="23">
        <f t="shared" ref="O2:O70" si="2">IFERROR(SIGN(FIND($O$1,B2,1)),0)</f>
        <v>0</v>
      </c>
      <c r="P2" s="23"/>
      <c r="Q2" s="23"/>
      <c r="R2" s="23" t="s">
        <v>4928</v>
      </c>
      <c r="S2" s="23" t="s">
        <v>8077</v>
      </c>
      <c r="T2" s="23"/>
      <c r="U2" s="23"/>
      <c r="V2" s="23"/>
      <c r="W2" s="23"/>
      <c r="X2" s="23"/>
      <c r="Y2" s="23"/>
      <c r="Z2" s="23"/>
    </row>
    <row r="3" ht="14.25" customHeight="1">
      <c r="A3" s="23">
        <v>1.0</v>
      </c>
      <c r="B3" s="23" t="s">
        <v>8078</v>
      </c>
      <c r="C3" s="23" t="s">
        <v>8074</v>
      </c>
      <c r="D3" s="23" t="s">
        <v>8078</v>
      </c>
      <c r="E3" s="23">
        <v>0.0</v>
      </c>
      <c r="F3" s="23" t="s">
        <v>8079</v>
      </c>
      <c r="G3" s="23">
        <v>3.0</v>
      </c>
      <c r="H3" s="23">
        <v>1.0</v>
      </c>
      <c r="I3" s="23">
        <v>3.0</v>
      </c>
      <c r="J3" s="23">
        <v>-1.0</v>
      </c>
      <c r="K3" s="23" t="s">
        <v>8080</v>
      </c>
      <c r="L3" s="23">
        <v>5296.0</v>
      </c>
      <c r="M3" s="23">
        <v>-1704.0</v>
      </c>
      <c r="N3" s="23" t="str">
        <f t="shared" si="1"/>
        <v>"x":5296,"y":-1704</v>
      </c>
      <c r="O3" s="23">
        <f t="shared" si="2"/>
        <v>0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23">
        <v>2.0</v>
      </c>
      <c r="B4" s="23" t="s">
        <v>8081</v>
      </c>
      <c r="C4" s="23" t="s">
        <v>8074</v>
      </c>
      <c r="D4" s="23" t="s">
        <v>8081</v>
      </c>
      <c r="E4" s="23">
        <v>9.0</v>
      </c>
      <c r="F4" s="23" t="s">
        <v>8082</v>
      </c>
      <c r="G4" s="23">
        <v>2.0</v>
      </c>
      <c r="H4" s="23">
        <v>1.0</v>
      </c>
      <c r="I4" s="23">
        <v>0.0</v>
      </c>
      <c r="J4" s="23">
        <v>1.0</v>
      </c>
      <c r="K4" s="23" t="s">
        <v>8083</v>
      </c>
      <c r="L4" s="23">
        <v>1103.0</v>
      </c>
      <c r="M4" s="23">
        <v>-2963.0</v>
      </c>
      <c r="N4" s="23" t="str">
        <f t="shared" si="1"/>
        <v>"x":1103,"y":-2963</v>
      </c>
      <c r="O4" s="23">
        <f t="shared" si="2"/>
        <v>0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23">
        <v>3.0</v>
      </c>
      <c r="B5" s="23" t="s">
        <v>8084</v>
      </c>
      <c r="C5" s="23" t="s">
        <v>8074</v>
      </c>
      <c r="D5" s="23" t="s">
        <v>8084</v>
      </c>
      <c r="E5" s="23">
        <v>14.0</v>
      </c>
      <c r="F5" s="23" t="s">
        <v>8085</v>
      </c>
      <c r="G5" s="23">
        <v>2.0</v>
      </c>
      <c r="H5" s="23">
        <v>4.0</v>
      </c>
      <c r="I5" s="23">
        <v>3.0</v>
      </c>
      <c r="J5" s="23">
        <v>1.0</v>
      </c>
      <c r="K5" s="23" t="s">
        <v>8086</v>
      </c>
      <c r="L5" s="23">
        <v>-3527.0</v>
      </c>
      <c r="M5" s="23">
        <v>-2312.0</v>
      </c>
      <c r="N5" s="23" t="str">
        <f t="shared" si="1"/>
        <v>"x":-3527,"y":-2312</v>
      </c>
      <c r="O5" s="23">
        <f t="shared" si="2"/>
        <v>0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23">
        <v>4.0</v>
      </c>
      <c r="B6" s="23" t="s">
        <v>8087</v>
      </c>
      <c r="C6" s="23" t="s">
        <v>8074</v>
      </c>
      <c r="D6" s="23" t="s">
        <v>8087</v>
      </c>
      <c r="E6" s="23">
        <v>5.0</v>
      </c>
      <c r="F6" s="23" t="s">
        <v>8088</v>
      </c>
      <c r="G6" s="23">
        <v>1.0</v>
      </c>
      <c r="H6" s="23">
        <v>2.0</v>
      </c>
      <c r="I6" s="23">
        <v>3.0</v>
      </c>
      <c r="J6" s="23">
        <v>-1.0</v>
      </c>
      <c r="K6" s="23" t="s">
        <v>8089</v>
      </c>
      <c r="L6" s="23">
        <v>4515.0</v>
      </c>
      <c r="M6" s="23">
        <v>2800.0</v>
      </c>
      <c r="N6" s="23" t="str">
        <f t="shared" si="1"/>
        <v>"x":4515,"y":2800</v>
      </c>
      <c r="O6" s="23">
        <f t="shared" si="2"/>
        <v>0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23">
        <v>5.0</v>
      </c>
      <c r="B7" s="23" t="s">
        <v>8090</v>
      </c>
      <c r="C7" s="23" t="s">
        <v>8074</v>
      </c>
      <c r="D7" s="23" t="s">
        <v>8090</v>
      </c>
      <c r="E7" s="23">
        <v>10.0</v>
      </c>
      <c r="F7" s="23" t="s">
        <v>8091</v>
      </c>
      <c r="G7" s="23">
        <v>2.0</v>
      </c>
      <c r="H7" s="23">
        <v>1.0</v>
      </c>
      <c r="I7" s="23">
        <v>2.0</v>
      </c>
      <c r="J7" s="23">
        <v>-1.0</v>
      </c>
      <c r="K7" s="23" t="s">
        <v>8092</v>
      </c>
      <c r="L7" s="23">
        <v>908.0</v>
      </c>
      <c r="M7" s="23">
        <v>3031.0</v>
      </c>
      <c r="N7" s="23" t="str">
        <f t="shared" si="1"/>
        <v>"x":908,"y":3031</v>
      </c>
      <c r="O7" s="23">
        <f t="shared" si="2"/>
        <v>0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23">
        <v>6.0</v>
      </c>
      <c r="B8" s="23" t="s">
        <v>8093</v>
      </c>
      <c r="C8" s="23" t="s">
        <v>8074</v>
      </c>
      <c r="D8" s="23" t="s">
        <v>8093</v>
      </c>
      <c r="E8" s="23">
        <v>1.0</v>
      </c>
      <c r="F8" s="23" t="s">
        <v>8094</v>
      </c>
      <c r="G8" s="23">
        <v>3.0</v>
      </c>
      <c r="H8" s="23">
        <v>5.0</v>
      </c>
      <c r="I8" s="23">
        <v>2.0</v>
      </c>
      <c r="J8" s="23">
        <v>1.0</v>
      </c>
      <c r="K8" s="23" t="s">
        <v>8095</v>
      </c>
      <c r="L8" s="23">
        <v>-2680.0</v>
      </c>
      <c r="M8" s="23">
        <v>-160.0</v>
      </c>
      <c r="N8" s="23" t="str">
        <f t="shared" si="1"/>
        <v>"x":-2680,"y":-160</v>
      </c>
      <c r="O8" s="23">
        <f t="shared" si="2"/>
        <v>0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23">
        <v>7.0</v>
      </c>
      <c r="B9" s="23" t="s">
        <v>8096</v>
      </c>
      <c r="C9" s="23" t="s">
        <v>8074</v>
      </c>
      <c r="D9" s="23" t="s">
        <v>8096</v>
      </c>
      <c r="E9" s="23">
        <v>12.0</v>
      </c>
      <c r="F9" s="23" t="s">
        <v>8097</v>
      </c>
      <c r="G9" s="23">
        <v>1.0</v>
      </c>
      <c r="H9" s="23">
        <v>2.0</v>
      </c>
      <c r="I9" s="23">
        <v>3.0</v>
      </c>
      <c r="J9" s="23">
        <v>1.0</v>
      </c>
      <c r="K9" s="23" t="s">
        <v>8098</v>
      </c>
      <c r="L9" s="23">
        <v>-3077.0</v>
      </c>
      <c r="M9" s="23">
        <v>2640.0</v>
      </c>
      <c r="N9" s="23" t="str">
        <f t="shared" si="1"/>
        <v>"x":-3077,"y":2640</v>
      </c>
      <c r="O9" s="23">
        <f t="shared" si="2"/>
        <v>0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23">
        <v>8.0</v>
      </c>
      <c r="B10" s="23" t="s">
        <v>8099</v>
      </c>
      <c r="C10" s="23" t="s">
        <v>8074</v>
      </c>
      <c r="D10" s="23" t="s">
        <v>8099</v>
      </c>
      <c r="E10" s="23">
        <v>11.0</v>
      </c>
      <c r="F10" s="23" t="s">
        <v>8100</v>
      </c>
      <c r="G10" s="23">
        <v>4.0</v>
      </c>
      <c r="H10" s="23">
        <v>3.0</v>
      </c>
      <c r="I10" s="23">
        <v>2.0</v>
      </c>
      <c r="J10" s="23">
        <v>1.0</v>
      </c>
      <c r="K10" s="23" t="s">
        <v>8101</v>
      </c>
      <c r="L10" s="23">
        <v>-31.0</v>
      </c>
      <c r="M10" s="23">
        <v>-1400.0</v>
      </c>
      <c r="N10" s="23" t="str">
        <f t="shared" si="1"/>
        <v>"x":-31,"y":-1400</v>
      </c>
      <c r="O10" s="23">
        <f t="shared" si="2"/>
        <v>0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3">
        <v>9.0</v>
      </c>
      <c r="B11" s="23" t="s">
        <v>8102</v>
      </c>
      <c r="C11" s="23" t="s">
        <v>8074</v>
      </c>
      <c r="D11" s="23" t="s">
        <v>8102</v>
      </c>
      <c r="E11" s="23">
        <v>16.0</v>
      </c>
      <c r="F11" s="23" t="s">
        <v>8103</v>
      </c>
      <c r="G11" s="23">
        <v>4.0</v>
      </c>
      <c r="H11" s="23">
        <v>1.0</v>
      </c>
      <c r="I11" s="23">
        <v>1.0</v>
      </c>
      <c r="J11" s="23">
        <v>1.0</v>
      </c>
      <c r="K11" s="23" t="s">
        <v>8104</v>
      </c>
      <c r="L11" s="23">
        <v>5080.0</v>
      </c>
      <c r="M11" s="23">
        <v>488.0</v>
      </c>
      <c r="N11" s="23" t="str">
        <f t="shared" si="1"/>
        <v>"x":5080,"y":488</v>
      </c>
      <c r="O11" s="23">
        <f t="shared" si="2"/>
        <v>0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3">
        <v>10.0</v>
      </c>
      <c r="B12" s="23" t="s">
        <v>8105</v>
      </c>
      <c r="C12" s="23" t="s">
        <v>8106</v>
      </c>
      <c r="D12" s="23" t="s">
        <v>8106</v>
      </c>
      <c r="E12" s="23">
        <v>8.0</v>
      </c>
      <c r="F12" s="23" t="s">
        <v>8107</v>
      </c>
      <c r="G12" s="23">
        <v>3.0</v>
      </c>
      <c r="H12" s="23">
        <v>5.0</v>
      </c>
      <c r="I12" s="23">
        <v>0.0</v>
      </c>
      <c r="J12" s="23">
        <v>-1.0</v>
      </c>
      <c r="K12" s="23" t="s">
        <v>5906</v>
      </c>
      <c r="L12" s="23">
        <v>-2402.0</v>
      </c>
      <c r="M12" s="23">
        <v>-1147.0</v>
      </c>
      <c r="N12" s="23" t="str">
        <f t="shared" si="1"/>
        <v>"x":-2402,"y":-1147</v>
      </c>
      <c r="O12" s="23">
        <f t="shared" si="2"/>
        <v>0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3">
        <v>11.0</v>
      </c>
      <c r="B13" s="23" t="s">
        <v>8108</v>
      </c>
      <c r="C13" s="23" t="s">
        <v>8106</v>
      </c>
      <c r="D13" s="23" t="s">
        <v>8106</v>
      </c>
      <c r="E13" s="23">
        <v>6.0</v>
      </c>
      <c r="F13" s="23" t="s">
        <v>8109</v>
      </c>
      <c r="G13" s="23">
        <v>1.0</v>
      </c>
      <c r="H13" s="23">
        <v>0.0</v>
      </c>
      <c r="I13" s="23">
        <v>1.0</v>
      </c>
      <c r="J13" s="23">
        <v>1.0</v>
      </c>
      <c r="K13" s="23" t="s">
        <v>5906</v>
      </c>
      <c r="L13" s="23">
        <v>4776.0</v>
      </c>
      <c r="M13" s="23">
        <v>-2760.0</v>
      </c>
      <c r="N13" s="23" t="str">
        <f t="shared" si="1"/>
        <v>"x":4776,"y":-2760</v>
      </c>
      <c r="O13" s="23">
        <f t="shared" si="2"/>
        <v>0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3">
        <v>12.0</v>
      </c>
      <c r="B14" s="23" t="s">
        <v>8110</v>
      </c>
      <c r="C14" s="23" t="s">
        <v>8106</v>
      </c>
      <c r="D14" s="23" t="s">
        <v>8106</v>
      </c>
      <c r="E14" s="23">
        <v>14.0</v>
      </c>
      <c r="F14" s="23" t="s">
        <v>8111</v>
      </c>
      <c r="G14" s="23">
        <v>0.0</v>
      </c>
      <c r="H14" s="23">
        <v>4.0</v>
      </c>
      <c r="I14" s="23">
        <v>0.0</v>
      </c>
      <c r="J14" s="23">
        <v>1.0</v>
      </c>
      <c r="K14" s="23" t="s">
        <v>5906</v>
      </c>
      <c r="L14" s="23">
        <v>-4385.0</v>
      </c>
      <c r="M14" s="23">
        <v>-3039.0</v>
      </c>
      <c r="N14" s="23" t="str">
        <f t="shared" si="1"/>
        <v>"x":-4385,"y":-3039</v>
      </c>
      <c r="O14" s="23">
        <f t="shared" si="2"/>
        <v>0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3">
        <v>13.0</v>
      </c>
      <c r="B15" s="23" t="s">
        <v>8112</v>
      </c>
      <c r="C15" s="23" t="s">
        <v>8106</v>
      </c>
      <c r="D15" s="23" t="s">
        <v>8106</v>
      </c>
      <c r="E15" s="23">
        <v>2.0</v>
      </c>
      <c r="F15" s="23" t="s">
        <v>8113</v>
      </c>
      <c r="G15" s="23">
        <v>0.0</v>
      </c>
      <c r="H15" s="23">
        <v>4.0</v>
      </c>
      <c r="I15" s="23">
        <v>2.0</v>
      </c>
      <c r="J15" s="23">
        <v>1.0</v>
      </c>
      <c r="K15" s="23" t="s">
        <v>5906</v>
      </c>
      <c r="L15" s="23">
        <v>425.0</v>
      </c>
      <c r="M15" s="23">
        <v>-2369.0</v>
      </c>
      <c r="N15" s="23" t="str">
        <f t="shared" si="1"/>
        <v>"x":425,"y":-2369</v>
      </c>
      <c r="O15" s="23">
        <f t="shared" si="2"/>
        <v>0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3">
        <v>14.0</v>
      </c>
      <c r="B16" s="23" t="s">
        <v>8114</v>
      </c>
      <c r="C16" s="23" t="s">
        <v>8106</v>
      </c>
      <c r="D16" s="23" t="s">
        <v>8106</v>
      </c>
      <c r="E16" s="23">
        <v>6.0</v>
      </c>
      <c r="F16" s="23" t="s">
        <v>8115</v>
      </c>
      <c r="G16" s="23">
        <v>0.0</v>
      </c>
      <c r="H16" s="23">
        <v>0.0</v>
      </c>
      <c r="I16" s="23">
        <v>3.0</v>
      </c>
      <c r="J16" s="23">
        <v>-1.0</v>
      </c>
      <c r="K16" s="23" t="s">
        <v>5906</v>
      </c>
      <c r="L16" s="23">
        <v>6872.0</v>
      </c>
      <c r="M16" s="23">
        <v>-1736.0</v>
      </c>
      <c r="N16" s="23" t="str">
        <f t="shared" si="1"/>
        <v>"x":6872,"y":-1736</v>
      </c>
      <c r="O16" s="23">
        <f t="shared" si="2"/>
        <v>0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3">
        <v>15.0</v>
      </c>
      <c r="B17" s="23" t="s">
        <v>8116</v>
      </c>
      <c r="C17" s="23" t="s">
        <v>8106</v>
      </c>
      <c r="D17" s="23" t="s">
        <v>8106</v>
      </c>
      <c r="E17" s="23">
        <v>18.0</v>
      </c>
      <c r="F17" s="23" t="s">
        <v>8117</v>
      </c>
      <c r="G17" s="23">
        <v>0.0</v>
      </c>
      <c r="H17" s="23">
        <v>6.0</v>
      </c>
      <c r="I17" s="23">
        <v>1.0</v>
      </c>
      <c r="J17" s="23">
        <v>-1.0</v>
      </c>
      <c r="K17" s="23" t="s">
        <v>5906</v>
      </c>
      <c r="L17" s="23">
        <v>-6434.0</v>
      </c>
      <c r="M17" s="23">
        <v>1223.0</v>
      </c>
      <c r="N17" s="23" t="str">
        <f t="shared" si="1"/>
        <v>"x":-6434,"y":1223</v>
      </c>
      <c r="O17" s="23">
        <f t="shared" si="2"/>
        <v>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3">
        <v>16.0</v>
      </c>
      <c r="B18" s="23" t="s">
        <v>8118</v>
      </c>
      <c r="C18" s="23" t="s">
        <v>8106</v>
      </c>
      <c r="D18" s="23" t="s">
        <v>8106</v>
      </c>
      <c r="E18" s="23">
        <v>8.0</v>
      </c>
      <c r="F18" s="23" t="s">
        <v>8119</v>
      </c>
      <c r="G18" s="23">
        <v>0.0</v>
      </c>
      <c r="H18" s="23">
        <v>4.0</v>
      </c>
      <c r="I18" s="23">
        <v>0.0</v>
      </c>
      <c r="J18" s="23">
        <v>-1.0</v>
      </c>
      <c r="K18" s="23" t="s">
        <v>5906</v>
      </c>
      <c r="L18" s="23">
        <v>-2403.0</v>
      </c>
      <c r="M18" s="23">
        <v>-2663.0</v>
      </c>
      <c r="N18" s="23" t="str">
        <f t="shared" si="1"/>
        <v>"x":-2403,"y":-2663</v>
      </c>
      <c r="O18" s="23">
        <f t="shared" si="2"/>
        <v>0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3">
        <v>17.0</v>
      </c>
      <c r="B19" s="23" t="s">
        <v>8120</v>
      </c>
      <c r="C19" s="23" t="s">
        <v>8106</v>
      </c>
      <c r="D19" s="23" t="s">
        <v>8106</v>
      </c>
      <c r="E19" s="23">
        <v>15.0</v>
      </c>
      <c r="F19" s="23" t="s">
        <v>8121</v>
      </c>
      <c r="G19" s="23">
        <v>1.0</v>
      </c>
      <c r="H19" s="23">
        <v>6.0</v>
      </c>
      <c r="I19" s="23">
        <v>2.0</v>
      </c>
      <c r="J19" s="23">
        <v>-1.0</v>
      </c>
      <c r="K19" s="23" t="s">
        <v>5906</v>
      </c>
      <c r="L19" s="23">
        <v>-3800.0</v>
      </c>
      <c r="M19" s="23">
        <v>1320.0</v>
      </c>
      <c r="N19" s="23" t="str">
        <f t="shared" si="1"/>
        <v>"x":-3800,"y":1320</v>
      </c>
      <c r="O19" s="23">
        <f t="shared" si="2"/>
        <v>0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3">
        <v>18.0</v>
      </c>
      <c r="B20" s="23" t="s">
        <v>8122</v>
      </c>
      <c r="C20" s="23" t="s">
        <v>8106</v>
      </c>
      <c r="D20" s="23" t="s">
        <v>8106</v>
      </c>
      <c r="E20" s="23">
        <v>19.0</v>
      </c>
      <c r="F20" s="23" t="s">
        <v>8123</v>
      </c>
      <c r="G20" s="23">
        <v>0.0</v>
      </c>
      <c r="H20" s="23">
        <v>6.0</v>
      </c>
      <c r="I20" s="23">
        <v>0.0</v>
      </c>
      <c r="J20" s="23">
        <v>-1.0</v>
      </c>
      <c r="K20" s="23" t="s">
        <v>5906</v>
      </c>
      <c r="L20" s="23">
        <v>-4492.0</v>
      </c>
      <c r="M20" s="23">
        <v>2500.0</v>
      </c>
      <c r="N20" s="23" t="str">
        <f t="shared" si="1"/>
        <v>"x":-4492,"y":2500</v>
      </c>
      <c r="O20" s="23">
        <f t="shared" si="2"/>
        <v>0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3">
        <v>19.0</v>
      </c>
      <c r="B21" s="23" t="s">
        <v>8124</v>
      </c>
      <c r="C21" s="23" t="s">
        <v>8106</v>
      </c>
      <c r="D21" s="23" t="s">
        <v>8106</v>
      </c>
      <c r="E21" s="23">
        <v>15.0</v>
      </c>
      <c r="F21" s="23" t="s">
        <v>8125</v>
      </c>
      <c r="G21" s="23">
        <v>2.0</v>
      </c>
      <c r="H21" s="23">
        <v>2.0</v>
      </c>
      <c r="I21" s="23">
        <v>1.0</v>
      </c>
      <c r="J21" s="23">
        <v>1.0</v>
      </c>
      <c r="K21" s="23" t="s">
        <v>5906</v>
      </c>
      <c r="L21" s="23">
        <v>-1700.0</v>
      </c>
      <c r="M21" s="23">
        <v>1905.0</v>
      </c>
      <c r="N21" s="23" t="str">
        <f t="shared" si="1"/>
        <v>"x":-1700,"y":1905</v>
      </c>
      <c r="O21" s="23">
        <f t="shared" si="2"/>
        <v>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23">
        <v>20.0</v>
      </c>
      <c r="B22" s="23" t="s">
        <v>8126</v>
      </c>
      <c r="C22" s="23" t="s">
        <v>8106</v>
      </c>
      <c r="D22" s="23" t="s">
        <v>8106</v>
      </c>
      <c r="E22" s="23">
        <v>4.0</v>
      </c>
      <c r="F22" s="23" t="s">
        <v>8127</v>
      </c>
      <c r="G22" s="23">
        <v>1.0</v>
      </c>
      <c r="H22" s="23">
        <v>3.0</v>
      </c>
      <c r="I22" s="23">
        <v>0.0</v>
      </c>
      <c r="J22" s="23">
        <v>1.0</v>
      </c>
      <c r="K22" s="23" t="s">
        <v>5906</v>
      </c>
      <c r="L22" s="23">
        <v>1024.0</v>
      </c>
      <c r="M22" s="23">
        <v>1967.0</v>
      </c>
      <c r="N22" s="23" t="str">
        <f t="shared" si="1"/>
        <v>"x":1024,"y":1967</v>
      </c>
      <c r="O22" s="23">
        <f t="shared" si="2"/>
        <v>0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3">
        <v>21.0</v>
      </c>
      <c r="B23" s="23" t="s">
        <v>8128</v>
      </c>
      <c r="C23" s="23" t="s">
        <v>8106</v>
      </c>
      <c r="D23" s="23" t="s">
        <v>8106</v>
      </c>
      <c r="E23" s="23">
        <v>7.0</v>
      </c>
      <c r="F23" s="23" t="s">
        <v>8129</v>
      </c>
      <c r="G23" s="23">
        <v>1.0</v>
      </c>
      <c r="H23" s="23">
        <v>6.0</v>
      </c>
      <c r="I23" s="23">
        <v>2.0</v>
      </c>
      <c r="J23" s="23">
        <v>-1.0</v>
      </c>
      <c r="K23" s="23" t="s">
        <v>5906</v>
      </c>
      <c r="L23" s="23">
        <v>-6771.0</v>
      </c>
      <c r="M23" s="23">
        <v>-2288.0</v>
      </c>
      <c r="N23" s="23" t="str">
        <f t="shared" si="1"/>
        <v>"x":-6771,"y":-2288</v>
      </c>
      <c r="O23" s="23">
        <f t="shared" si="2"/>
        <v>0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>
        <v>22.0</v>
      </c>
      <c r="B24" s="23" t="s">
        <v>8130</v>
      </c>
      <c r="C24" s="23" t="s">
        <v>8106</v>
      </c>
      <c r="D24" s="23" t="s">
        <v>8106</v>
      </c>
      <c r="E24" s="23">
        <v>25.0</v>
      </c>
      <c r="F24" s="23" t="s">
        <v>8131</v>
      </c>
      <c r="G24" s="23">
        <v>0.0</v>
      </c>
      <c r="H24" s="23">
        <v>5.0</v>
      </c>
      <c r="I24" s="23">
        <v>0.0</v>
      </c>
      <c r="J24" s="23">
        <v>1.0</v>
      </c>
      <c r="K24" s="23" t="s">
        <v>5906</v>
      </c>
      <c r="L24" s="23">
        <v>-1484.0</v>
      </c>
      <c r="M24" s="23">
        <v>193.0</v>
      </c>
      <c r="N24" s="23" t="str">
        <f t="shared" si="1"/>
        <v>"x":-1484,"y":193</v>
      </c>
      <c r="O24" s="23">
        <f t="shared" si="2"/>
        <v>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23">
        <v>23.0</v>
      </c>
      <c r="B25" s="23" t="s">
        <v>8132</v>
      </c>
      <c r="C25" s="23" t="s">
        <v>8106</v>
      </c>
      <c r="D25" s="23" t="s">
        <v>8106</v>
      </c>
      <c r="E25" s="23">
        <v>13.0</v>
      </c>
      <c r="F25" s="23" t="s">
        <v>8133</v>
      </c>
      <c r="G25" s="23">
        <v>1.0</v>
      </c>
      <c r="H25" s="23">
        <v>2.0</v>
      </c>
      <c r="I25" s="23">
        <v>1.0</v>
      </c>
      <c r="J25" s="23">
        <v>-1.0</v>
      </c>
      <c r="K25" s="23" t="s">
        <v>5906</v>
      </c>
      <c r="L25" s="23">
        <v>5613.0</v>
      </c>
      <c r="M25" s="23">
        <v>3163.0</v>
      </c>
      <c r="N25" s="23" t="str">
        <f t="shared" si="1"/>
        <v>"x":5613,"y":3163</v>
      </c>
      <c r="O25" s="23">
        <f t="shared" si="2"/>
        <v>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23">
        <v>24.0</v>
      </c>
      <c r="B26" s="23" t="s">
        <v>8134</v>
      </c>
      <c r="C26" s="23" t="s">
        <v>8106</v>
      </c>
      <c r="D26" s="23" t="s">
        <v>8106</v>
      </c>
      <c r="E26" s="23">
        <v>0.0</v>
      </c>
      <c r="F26" s="23" t="s">
        <v>8135</v>
      </c>
      <c r="G26" s="23">
        <v>0.0</v>
      </c>
      <c r="H26" s="23">
        <v>1.0</v>
      </c>
      <c r="I26" s="23">
        <v>2.0</v>
      </c>
      <c r="J26" s="23">
        <v>1.0</v>
      </c>
      <c r="K26" s="23" t="s">
        <v>5906</v>
      </c>
      <c r="L26" s="23">
        <v>3888.0</v>
      </c>
      <c r="M26" s="23">
        <v>-1496.0</v>
      </c>
      <c r="N26" s="23" t="str">
        <f t="shared" si="1"/>
        <v>"x":3888,"y":-1496</v>
      </c>
      <c r="O26" s="23">
        <f t="shared" si="2"/>
        <v>0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3">
        <v>25.0</v>
      </c>
      <c r="B27" s="23" t="s">
        <v>8136</v>
      </c>
      <c r="C27" s="23" t="s">
        <v>8106</v>
      </c>
      <c r="D27" s="23" t="s">
        <v>8106</v>
      </c>
      <c r="E27" s="23">
        <v>16.0</v>
      </c>
      <c r="F27" s="23" t="s">
        <v>8137</v>
      </c>
      <c r="G27" s="23">
        <v>0.0</v>
      </c>
      <c r="H27" s="23">
        <v>1.0</v>
      </c>
      <c r="I27" s="23">
        <v>1.0</v>
      </c>
      <c r="J27" s="23">
        <v>-1.0</v>
      </c>
      <c r="K27" s="23" t="s">
        <v>5906</v>
      </c>
      <c r="L27" s="23">
        <v>6192.0</v>
      </c>
      <c r="M27" s="23">
        <v>280.0</v>
      </c>
      <c r="N27" s="23" t="str">
        <f t="shared" si="1"/>
        <v>"x":6192,"y":280</v>
      </c>
      <c r="O27" s="23">
        <f t="shared" si="2"/>
        <v>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23">
        <v>26.0</v>
      </c>
      <c r="B28" s="23" t="s">
        <v>8138</v>
      </c>
      <c r="C28" s="23" t="s">
        <v>8106</v>
      </c>
      <c r="D28" s="23" t="s">
        <v>8106</v>
      </c>
      <c r="E28" s="23">
        <v>17.0</v>
      </c>
      <c r="F28" s="23" t="s">
        <v>8139</v>
      </c>
      <c r="G28" s="23">
        <v>1.0</v>
      </c>
      <c r="H28" s="23">
        <v>0.0</v>
      </c>
      <c r="I28" s="23">
        <v>0.0</v>
      </c>
      <c r="J28" s="23">
        <v>-1.0</v>
      </c>
      <c r="K28" s="23" t="s">
        <v>5906</v>
      </c>
      <c r="L28" s="23">
        <v>2452.0</v>
      </c>
      <c r="M28" s="23">
        <v>-3289.0</v>
      </c>
      <c r="N28" s="23" t="str">
        <f t="shared" si="1"/>
        <v>"x":2452,"y":-3289</v>
      </c>
      <c r="O28" s="23">
        <f t="shared" si="2"/>
        <v>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23">
        <v>27.0</v>
      </c>
      <c r="B29" s="23" t="s">
        <v>8140</v>
      </c>
      <c r="C29" s="23" t="s">
        <v>8106</v>
      </c>
      <c r="D29" s="23" t="s">
        <v>8106</v>
      </c>
      <c r="E29" s="23">
        <v>5.0</v>
      </c>
      <c r="F29" s="23" t="s">
        <v>8141</v>
      </c>
      <c r="G29" s="23">
        <v>0.0</v>
      </c>
      <c r="H29" s="23">
        <v>3.0</v>
      </c>
      <c r="I29" s="23">
        <v>1.0</v>
      </c>
      <c r="J29" s="23">
        <v>1.0</v>
      </c>
      <c r="K29" s="23" t="s">
        <v>5906</v>
      </c>
      <c r="L29" s="23">
        <v>3307.0</v>
      </c>
      <c r="M29" s="23">
        <v>1673.0</v>
      </c>
      <c r="N29" s="23" t="str">
        <f t="shared" si="1"/>
        <v>"x":3307,"y":1673</v>
      </c>
      <c r="O29" s="23">
        <f t="shared" si="2"/>
        <v>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3">
        <v>28.0</v>
      </c>
      <c r="B30" s="23" t="s">
        <v>8142</v>
      </c>
      <c r="C30" s="23" t="s">
        <v>8106</v>
      </c>
      <c r="D30" s="23" t="s">
        <v>8106</v>
      </c>
      <c r="E30" s="23">
        <v>10.0</v>
      </c>
      <c r="F30" s="23" t="s">
        <v>8143</v>
      </c>
      <c r="G30" s="23">
        <v>0.0</v>
      </c>
      <c r="H30" s="23">
        <v>2.0</v>
      </c>
      <c r="I30" s="23">
        <v>0.0</v>
      </c>
      <c r="J30" s="23">
        <v>1.0</v>
      </c>
      <c r="K30" s="23" t="s">
        <v>5906</v>
      </c>
      <c r="L30" s="23">
        <v>2184.0</v>
      </c>
      <c r="M30" s="23">
        <v>3536.0</v>
      </c>
      <c r="N30" s="23" t="str">
        <f t="shared" si="1"/>
        <v>"x":2184,"y":3536</v>
      </c>
      <c r="O30" s="23">
        <f t="shared" si="2"/>
        <v>1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23">
        <v>29.0</v>
      </c>
      <c r="B31" s="23" t="s">
        <v>8144</v>
      </c>
      <c r="C31" s="23" t="s">
        <v>8106</v>
      </c>
      <c r="D31" s="23" t="s">
        <v>8106</v>
      </c>
      <c r="E31" s="23">
        <v>3.0</v>
      </c>
      <c r="F31" s="23" t="s">
        <v>8145</v>
      </c>
      <c r="G31" s="23">
        <v>1.0</v>
      </c>
      <c r="H31" s="23">
        <v>3.0</v>
      </c>
      <c r="I31" s="23">
        <v>1.0</v>
      </c>
      <c r="J31" s="23">
        <v>1.0</v>
      </c>
      <c r="K31" s="23" t="s">
        <v>5906</v>
      </c>
      <c r="L31" s="23">
        <v>1308.0</v>
      </c>
      <c r="M31" s="23">
        <v>-525.0</v>
      </c>
      <c r="N31" s="23" t="str">
        <f t="shared" si="1"/>
        <v>"x":1308,"y":-525</v>
      </c>
      <c r="O31" s="23">
        <f t="shared" si="2"/>
        <v>0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23">
        <v>30.0</v>
      </c>
      <c r="B32" s="23" t="s">
        <v>329</v>
      </c>
      <c r="C32" s="23" t="s">
        <v>5878</v>
      </c>
      <c r="D32" s="23" t="s">
        <v>329</v>
      </c>
      <c r="E32" s="23">
        <v>0.0</v>
      </c>
      <c r="F32" s="23" t="s">
        <v>8146</v>
      </c>
      <c r="G32" s="23">
        <v>0.0</v>
      </c>
      <c r="H32" s="23">
        <v>1.0</v>
      </c>
      <c r="I32" s="23">
        <v>3.0</v>
      </c>
      <c r="J32" s="23">
        <v>1.0</v>
      </c>
      <c r="K32" s="23" t="s">
        <v>5906</v>
      </c>
      <c r="L32" s="23">
        <v>4456.0</v>
      </c>
      <c r="M32" s="23">
        <v>-432.0</v>
      </c>
      <c r="N32" s="23" t="str">
        <f t="shared" si="1"/>
        <v>"x":4456,"y":-432</v>
      </c>
      <c r="O32" s="23">
        <f t="shared" si="2"/>
        <v>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3">
        <v>31.0</v>
      </c>
      <c r="B33" s="23" t="s">
        <v>2361</v>
      </c>
      <c r="C33" s="23" t="s">
        <v>5878</v>
      </c>
      <c r="D33" s="23" t="s">
        <v>2361</v>
      </c>
      <c r="E33" s="23">
        <v>1.0</v>
      </c>
      <c r="F33" s="23" t="s">
        <v>8147</v>
      </c>
      <c r="G33" s="23">
        <v>0.0</v>
      </c>
      <c r="H33" s="23">
        <v>5.0</v>
      </c>
      <c r="I33" s="23">
        <v>2.0</v>
      </c>
      <c r="J33" s="23">
        <v>1.0</v>
      </c>
      <c r="K33" s="23" t="s">
        <v>5906</v>
      </c>
      <c r="L33" s="23">
        <v>-3807.0</v>
      </c>
      <c r="M33" s="23">
        <v>84.0</v>
      </c>
      <c r="N33" s="23" t="str">
        <f t="shared" si="1"/>
        <v>"x":-3807,"y":84</v>
      </c>
      <c r="O33" s="23">
        <f t="shared" si="2"/>
        <v>0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23">
        <v>32.0</v>
      </c>
      <c r="B34" s="23" t="s">
        <v>667</v>
      </c>
      <c r="C34" s="23" t="s">
        <v>5878</v>
      </c>
      <c r="D34" s="23" t="s">
        <v>667</v>
      </c>
      <c r="E34" s="23">
        <v>2.0</v>
      </c>
      <c r="F34" s="23" t="s">
        <v>8148</v>
      </c>
      <c r="G34" s="23">
        <v>0.0</v>
      </c>
      <c r="H34" s="23">
        <v>4.0</v>
      </c>
      <c r="I34" s="23">
        <v>0.0</v>
      </c>
      <c r="J34" s="23">
        <v>1.0</v>
      </c>
      <c r="K34" s="23" t="s">
        <v>5906</v>
      </c>
      <c r="L34" s="23">
        <v>-186.0</v>
      </c>
      <c r="M34" s="23">
        <v>-3544.0</v>
      </c>
      <c r="N34" s="23" t="str">
        <f t="shared" si="1"/>
        <v>"x":-186,"y":-3544</v>
      </c>
      <c r="O34" s="23">
        <f t="shared" si="2"/>
        <v>0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23">
        <v>33.0</v>
      </c>
      <c r="B35" s="23" t="s">
        <v>702</v>
      </c>
      <c r="C35" s="23" t="s">
        <v>5878</v>
      </c>
      <c r="D35" s="23" t="s">
        <v>702</v>
      </c>
      <c r="E35" s="23">
        <v>3.0</v>
      </c>
      <c r="F35" s="23" t="s">
        <v>8149</v>
      </c>
      <c r="G35" s="23">
        <v>0.0</v>
      </c>
      <c r="H35" s="23">
        <v>3.0</v>
      </c>
      <c r="I35" s="23">
        <v>1.0</v>
      </c>
      <c r="J35" s="23">
        <v>-1.0</v>
      </c>
      <c r="K35" s="23" t="s">
        <v>5906</v>
      </c>
      <c r="L35" s="23">
        <v>2794.0</v>
      </c>
      <c r="M35" s="23">
        <v>-243.0</v>
      </c>
      <c r="N35" s="23" t="str">
        <f t="shared" si="1"/>
        <v>"x":2794,"y":-243</v>
      </c>
      <c r="O35" s="23">
        <f t="shared" si="2"/>
        <v>0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23">
        <v>34.0</v>
      </c>
      <c r="B36" s="23" t="s">
        <v>2958</v>
      </c>
      <c r="C36" s="23" t="s">
        <v>5878</v>
      </c>
      <c r="D36" s="23" t="s">
        <v>2958</v>
      </c>
      <c r="E36" s="23">
        <v>4.0</v>
      </c>
      <c r="F36" s="23" t="s">
        <v>8150</v>
      </c>
      <c r="G36" s="23">
        <v>0.0</v>
      </c>
      <c r="H36" s="23">
        <v>2.0</v>
      </c>
      <c r="I36" s="23">
        <v>2.0</v>
      </c>
      <c r="J36" s="23">
        <v>-1.0</v>
      </c>
      <c r="K36" s="23" t="s">
        <v>5906</v>
      </c>
      <c r="L36" s="23">
        <v>-176.0</v>
      </c>
      <c r="M36" s="23">
        <v>1824.0</v>
      </c>
      <c r="N36" s="23" t="str">
        <f t="shared" si="1"/>
        <v>"x":-176,"y":1824</v>
      </c>
      <c r="O36" s="23">
        <f t="shared" si="2"/>
        <v>0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23">
        <v>35.0</v>
      </c>
      <c r="B37" s="23" t="s">
        <v>3151</v>
      </c>
      <c r="C37" s="23" t="s">
        <v>5878</v>
      </c>
      <c r="D37" s="23" t="s">
        <v>3151</v>
      </c>
      <c r="E37" s="23">
        <v>5.0</v>
      </c>
      <c r="F37" s="23" t="s">
        <v>8151</v>
      </c>
      <c r="G37" s="23">
        <v>0.0</v>
      </c>
      <c r="H37" s="23">
        <v>0.0</v>
      </c>
      <c r="I37" s="23">
        <v>3.0</v>
      </c>
      <c r="J37" s="23">
        <v>1.0</v>
      </c>
      <c r="K37" s="23" t="s">
        <v>5906</v>
      </c>
      <c r="L37" s="23">
        <v>4584.0</v>
      </c>
      <c r="M37" s="23">
        <v>1480.0</v>
      </c>
      <c r="N37" s="23" t="str">
        <f t="shared" si="1"/>
        <v>"x":4584,"y":1480</v>
      </c>
      <c r="O37" s="23">
        <f t="shared" si="2"/>
        <v>0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23">
        <v>36.0</v>
      </c>
      <c r="B38" s="23" t="s">
        <v>3368</v>
      </c>
      <c r="C38" s="23" t="s">
        <v>5878</v>
      </c>
      <c r="D38" s="23" t="s">
        <v>3368</v>
      </c>
      <c r="E38" s="23">
        <v>6.0</v>
      </c>
      <c r="F38" s="23" t="s">
        <v>8152</v>
      </c>
      <c r="G38" s="23">
        <v>0.0</v>
      </c>
      <c r="H38" s="23">
        <v>0.0</v>
      </c>
      <c r="I38" s="23">
        <v>0.0</v>
      </c>
      <c r="J38" s="23">
        <v>1.0</v>
      </c>
      <c r="K38" s="23" t="s">
        <v>5906</v>
      </c>
      <c r="L38" s="23">
        <v>6304.0</v>
      </c>
      <c r="M38" s="23">
        <v>-2952.0</v>
      </c>
      <c r="N38" s="23" t="str">
        <f t="shared" si="1"/>
        <v>"x":6304,"y":-2952</v>
      </c>
      <c r="O38" s="23">
        <f t="shared" si="2"/>
        <v>0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23">
        <v>37.0</v>
      </c>
      <c r="B39" s="23" t="s">
        <v>3525</v>
      </c>
      <c r="C39" s="23" t="s">
        <v>5878</v>
      </c>
      <c r="D39" s="23" t="s">
        <v>3525</v>
      </c>
      <c r="E39" s="23">
        <v>7.0</v>
      </c>
      <c r="F39" s="23" t="s">
        <v>8153</v>
      </c>
      <c r="G39" s="23">
        <v>0.0</v>
      </c>
      <c r="H39" s="23">
        <v>4.0</v>
      </c>
      <c r="I39" s="23">
        <v>1.0</v>
      </c>
      <c r="J39" s="23">
        <v>-1.0</v>
      </c>
      <c r="K39" s="23" t="s">
        <v>5906</v>
      </c>
      <c r="L39" s="23">
        <v>-5522.0</v>
      </c>
      <c r="M39" s="23">
        <v>-3169.0</v>
      </c>
      <c r="N39" s="23" t="str">
        <f t="shared" si="1"/>
        <v>"x":-5522,"y":-3169</v>
      </c>
      <c r="O39" s="23">
        <f t="shared" si="2"/>
        <v>0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23">
        <v>38.0</v>
      </c>
      <c r="B40" s="23" t="s">
        <v>561</v>
      </c>
      <c r="C40" s="23" t="s">
        <v>5878</v>
      </c>
      <c r="D40" s="23" t="s">
        <v>561</v>
      </c>
      <c r="E40" s="23">
        <v>8.0</v>
      </c>
      <c r="F40" s="23" t="s">
        <v>8154</v>
      </c>
      <c r="G40" s="23">
        <v>0.0</v>
      </c>
      <c r="H40" s="23">
        <v>5.0</v>
      </c>
      <c r="I40" s="23">
        <v>0.0</v>
      </c>
      <c r="J40" s="23">
        <v>1.0</v>
      </c>
      <c r="K40" s="23" t="s">
        <v>5906</v>
      </c>
      <c r="L40" s="23">
        <v>-1576.0</v>
      </c>
      <c r="M40" s="23">
        <v>-1904.0</v>
      </c>
      <c r="N40" s="23" t="str">
        <f t="shared" si="1"/>
        <v>"x":-1576,"y":-1904</v>
      </c>
      <c r="O40" s="23">
        <f t="shared" si="2"/>
        <v>0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23">
        <v>39.0</v>
      </c>
      <c r="B41" s="23" t="s">
        <v>541</v>
      </c>
      <c r="C41" s="23" t="s">
        <v>5878</v>
      </c>
      <c r="D41" s="23" t="s">
        <v>541</v>
      </c>
      <c r="E41" s="23">
        <v>9.0</v>
      </c>
      <c r="F41" s="23" t="s">
        <v>8155</v>
      </c>
      <c r="G41" s="23">
        <v>0.0</v>
      </c>
      <c r="H41" s="23">
        <v>0.0</v>
      </c>
      <c r="I41" s="23">
        <v>1.0</v>
      </c>
      <c r="J41" s="23">
        <v>-1.0</v>
      </c>
      <c r="K41" s="23" t="s">
        <v>5906</v>
      </c>
      <c r="L41" s="23">
        <v>1454.0</v>
      </c>
      <c r="M41" s="23">
        <v>-1880.0</v>
      </c>
      <c r="N41" s="23" t="str">
        <f t="shared" si="1"/>
        <v>"x":1454,"y":-1880</v>
      </c>
      <c r="O41" s="23">
        <f t="shared" si="2"/>
        <v>0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23">
        <v>40.0</v>
      </c>
      <c r="B42" s="23" t="s">
        <v>931</v>
      </c>
      <c r="C42" s="23" t="s">
        <v>5878</v>
      </c>
      <c r="D42" s="23" t="s">
        <v>931</v>
      </c>
      <c r="E42" s="23">
        <v>10.0</v>
      </c>
      <c r="F42" s="23" t="s">
        <v>8156</v>
      </c>
      <c r="G42" s="23">
        <v>0.0</v>
      </c>
      <c r="H42" s="23">
        <v>3.0</v>
      </c>
      <c r="I42" s="23">
        <v>3.0</v>
      </c>
      <c r="J42" s="23">
        <v>1.0</v>
      </c>
      <c r="K42" s="23" t="s">
        <v>5906</v>
      </c>
      <c r="L42" s="23">
        <v>2136.0</v>
      </c>
      <c r="M42" s="23">
        <v>2104.0</v>
      </c>
      <c r="N42" s="23" t="str">
        <f t="shared" si="1"/>
        <v>"x":2136,"y":2104</v>
      </c>
      <c r="O42" s="23">
        <f t="shared" si="2"/>
        <v>0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23">
        <v>41.0</v>
      </c>
      <c r="B43" s="23" t="s">
        <v>1493</v>
      </c>
      <c r="C43" s="23" t="s">
        <v>5878</v>
      </c>
      <c r="D43" s="23" t="s">
        <v>1493</v>
      </c>
      <c r="E43" s="23">
        <v>11.0</v>
      </c>
      <c r="F43" s="23" t="s">
        <v>8157</v>
      </c>
      <c r="G43" s="23">
        <v>0.0</v>
      </c>
      <c r="H43" s="23">
        <v>0.0</v>
      </c>
      <c r="I43" s="23">
        <v>2.0</v>
      </c>
      <c r="J43" s="23">
        <v>-1.0</v>
      </c>
      <c r="K43" s="23" t="s">
        <v>5906</v>
      </c>
      <c r="L43" s="23">
        <v>-50.0</v>
      </c>
      <c r="M43" s="23">
        <v>132.0</v>
      </c>
      <c r="N43" s="23" t="str">
        <f t="shared" si="1"/>
        <v>"x":-50,"y":132</v>
      </c>
      <c r="O43" s="23">
        <f t="shared" si="2"/>
        <v>1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23">
        <v>42.0</v>
      </c>
      <c r="B44" s="23" t="s">
        <v>4633</v>
      </c>
      <c r="C44" s="23" t="s">
        <v>5878</v>
      </c>
      <c r="D44" s="23" t="s">
        <v>4633</v>
      </c>
      <c r="E44" s="23">
        <v>12.0</v>
      </c>
      <c r="F44" s="23" t="s">
        <v>8158</v>
      </c>
      <c r="G44" s="23">
        <v>0.0</v>
      </c>
      <c r="H44" s="23">
        <v>2.0</v>
      </c>
      <c r="I44" s="23">
        <v>0.0</v>
      </c>
      <c r="J44" s="23">
        <v>-1.0</v>
      </c>
      <c r="K44" s="23" t="s">
        <v>5906</v>
      </c>
      <c r="L44" s="23">
        <v>-1452.0</v>
      </c>
      <c r="M44" s="23">
        <v>2728.0</v>
      </c>
      <c r="N44" s="23" t="str">
        <f t="shared" si="1"/>
        <v>"x":-1452,"y":2728</v>
      </c>
      <c r="O44" s="23">
        <f t="shared" si="2"/>
        <v>0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23">
        <v>43.0</v>
      </c>
      <c r="B45" s="23" t="s">
        <v>465</v>
      </c>
      <c r="C45" s="23" t="s">
        <v>5878</v>
      </c>
      <c r="D45" s="23" t="s">
        <v>465</v>
      </c>
      <c r="E45" s="23">
        <v>13.0</v>
      </c>
      <c r="F45" s="23" t="s">
        <v>8159</v>
      </c>
      <c r="G45" s="23">
        <v>0.0</v>
      </c>
      <c r="H45" s="23">
        <v>1.0</v>
      </c>
      <c r="I45" s="23">
        <v>0.0</v>
      </c>
      <c r="J45" s="23">
        <v>1.0</v>
      </c>
      <c r="K45" s="23" t="s">
        <v>5906</v>
      </c>
      <c r="L45" s="23">
        <v>6252.0</v>
      </c>
      <c r="M45" s="23">
        <v>2232.0</v>
      </c>
      <c r="N45" s="23" t="str">
        <f t="shared" si="1"/>
        <v>"x":6252,"y":2232</v>
      </c>
      <c r="O45" s="23">
        <f t="shared" si="2"/>
        <v>0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23">
        <v>44.0</v>
      </c>
      <c r="B46" s="23" t="s">
        <v>4928</v>
      </c>
      <c r="C46" s="23" t="s">
        <v>5878</v>
      </c>
      <c r="D46" s="23" t="s">
        <v>4928</v>
      </c>
      <c r="E46" s="23">
        <v>14.0</v>
      </c>
      <c r="F46" s="23" t="s">
        <v>8160</v>
      </c>
      <c r="G46" s="23">
        <v>0.0</v>
      </c>
      <c r="H46" s="23">
        <v>5.0</v>
      </c>
      <c r="I46" s="23">
        <v>3.0</v>
      </c>
      <c r="J46" s="23">
        <v>-1.0</v>
      </c>
      <c r="K46" s="23" t="s">
        <v>5906</v>
      </c>
      <c r="L46" s="23">
        <v>-4777.0</v>
      </c>
      <c r="M46" s="23">
        <v>-952.0</v>
      </c>
      <c r="N46" s="23" t="str">
        <f t="shared" si="1"/>
        <v>"x":-4777,"y":-952</v>
      </c>
      <c r="O46" s="23">
        <f t="shared" si="2"/>
        <v>0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23">
        <v>45.0</v>
      </c>
      <c r="B47" s="23" t="s">
        <v>496</v>
      </c>
      <c r="C47" s="23" t="s">
        <v>5878</v>
      </c>
      <c r="D47" s="23" t="s">
        <v>496</v>
      </c>
      <c r="E47" s="23">
        <v>15.0</v>
      </c>
      <c r="F47" s="23" t="s">
        <v>8161</v>
      </c>
      <c r="G47" s="23">
        <v>0.0</v>
      </c>
      <c r="H47" s="23">
        <v>5.0</v>
      </c>
      <c r="I47" s="23">
        <v>3.0</v>
      </c>
      <c r="J47" s="23">
        <v>1.0</v>
      </c>
      <c r="K47" s="23" t="s">
        <v>5906</v>
      </c>
      <c r="L47" s="23">
        <v>-2624.0</v>
      </c>
      <c r="M47" s="23">
        <v>1416.0</v>
      </c>
      <c r="N47" s="23" t="str">
        <f t="shared" si="1"/>
        <v>"x":-2624,"y":1416</v>
      </c>
      <c r="O47" s="23">
        <f t="shared" si="2"/>
        <v>0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23">
        <v>46.0</v>
      </c>
      <c r="B48" s="23" t="s">
        <v>5224</v>
      </c>
      <c r="C48" s="23" t="s">
        <v>5878</v>
      </c>
      <c r="D48" s="23" t="s">
        <v>5224</v>
      </c>
      <c r="E48" s="23">
        <v>16.0</v>
      </c>
      <c r="F48" s="23" t="s">
        <v>8162</v>
      </c>
      <c r="G48" s="23">
        <v>0.0</v>
      </c>
      <c r="H48" s="23">
        <v>5.0</v>
      </c>
      <c r="I48" s="23">
        <v>2.0</v>
      </c>
      <c r="J48" s="23">
        <v>-1.0</v>
      </c>
      <c r="K48" s="23" t="s">
        <v>5906</v>
      </c>
      <c r="L48" s="23">
        <v>3563.0</v>
      </c>
      <c r="M48" s="23">
        <v>507.0</v>
      </c>
      <c r="N48" s="23" t="str">
        <f t="shared" si="1"/>
        <v>"x":3563,"y":507</v>
      </c>
      <c r="O48" s="23">
        <f t="shared" si="2"/>
        <v>0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23">
        <v>47.0</v>
      </c>
      <c r="B49" s="23" t="s">
        <v>5371</v>
      </c>
      <c r="C49" s="23" t="s">
        <v>5878</v>
      </c>
      <c r="D49" s="23" t="s">
        <v>5371</v>
      </c>
      <c r="E49" s="23">
        <v>17.0</v>
      </c>
      <c r="F49" s="23" t="s">
        <v>8163</v>
      </c>
      <c r="G49" s="23">
        <v>0.0</v>
      </c>
      <c r="H49" s="23">
        <v>0.0</v>
      </c>
      <c r="I49" s="23">
        <v>2.0</v>
      </c>
      <c r="J49" s="23">
        <v>1.0</v>
      </c>
      <c r="K49" s="23" t="s">
        <v>5906</v>
      </c>
      <c r="L49" s="23">
        <v>3608.0</v>
      </c>
      <c r="M49" s="23">
        <v>-2648.0</v>
      </c>
      <c r="N49" s="23" t="str">
        <f t="shared" si="1"/>
        <v>"x":3608,"y":-2648</v>
      </c>
      <c r="O49" s="23">
        <f t="shared" si="2"/>
        <v>0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23">
        <v>48.0</v>
      </c>
      <c r="B50" s="23" t="s">
        <v>5523</v>
      </c>
      <c r="C50" s="23" t="s">
        <v>5878</v>
      </c>
      <c r="D50" s="23" t="s">
        <v>5523</v>
      </c>
      <c r="E50" s="23">
        <v>18.0</v>
      </c>
      <c r="F50" s="23" t="s">
        <v>8164</v>
      </c>
      <c r="G50" s="23">
        <v>0.0</v>
      </c>
      <c r="H50" s="23">
        <v>6.0</v>
      </c>
      <c r="I50" s="23">
        <v>2.0</v>
      </c>
      <c r="J50" s="23">
        <v>1.0</v>
      </c>
      <c r="K50" s="23" t="s">
        <v>5906</v>
      </c>
      <c r="L50" s="23">
        <v>-6832.0</v>
      </c>
      <c r="M50" s="23">
        <v>8.0</v>
      </c>
      <c r="N50" s="23" t="str">
        <f t="shared" si="1"/>
        <v>"x":-6832,"y":8</v>
      </c>
      <c r="O50" s="23">
        <f t="shared" si="2"/>
        <v>0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3">
        <v>49.0</v>
      </c>
      <c r="B51" s="23" t="s">
        <v>418</v>
      </c>
      <c r="C51" s="23" t="s">
        <v>5878</v>
      </c>
      <c r="D51" s="23" t="s">
        <v>418</v>
      </c>
      <c r="E51" s="23">
        <v>19.0</v>
      </c>
      <c r="F51" s="23" t="s">
        <v>8165</v>
      </c>
      <c r="G51" s="23">
        <v>0.0</v>
      </c>
      <c r="H51" s="23">
        <v>6.0</v>
      </c>
      <c r="I51" s="23">
        <v>1.0</v>
      </c>
      <c r="J51" s="23">
        <v>1.0</v>
      </c>
      <c r="K51" s="23" t="s">
        <v>5906</v>
      </c>
      <c r="L51" s="23">
        <v>-5732.0</v>
      </c>
      <c r="M51" s="23">
        <v>2905.0</v>
      </c>
      <c r="N51" s="23" t="str">
        <f t="shared" si="1"/>
        <v>"x":-5732,"y":2905</v>
      </c>
      <c r="O51" s="23">
        <f t="shared" si="2"/>
        <v>0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23">
        <v>50.0</v>
      </c>
      <c r="B52" s="23" t="s">
        <v>372</v>
      </c>
      <c r="C52" s="23" t="s">
        <v>5878</v>
      </c>
      <c r="D52" s="23" t="s">
        <v>8166</v>
      </c>
      <c r="E52" s="23">
        <v>20.0</v>
      </c>
      <c r="F52" s="23" t="s">
        <v>8167</v>
      </c>
      <c r="G52" s="23">
        <v>0.0</v>
      </c>
      <c r="H52" s="23">
        <v>4.0</v>
      </c>
      <c r="I52" s="23">
        <v>1.0</v>
      </c>
      <c r="J52" s="23">
        <v>1.0</v>
      </c>
      <c r="K52" s="23" t="s">
        <v>5906</v>
      </c>
      <c r="L52" s="23">
        <v>-1599.0</v>
      </c>
      <c r="M52" s="23">
        <v>-3175.0</v>
      </c>
      <c r="N52" s="23" t="str">
        <f t="shared" si="1"/>
        <v>"x":-1599,"y":-3175</v>
      </c>
      <c r="O52" s="23">
        <f t="shared" si="2"/>
        <v>0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23">
        <v>51.0</v>
      </c>
      <c r="B53" s="23" t="s">
        <v>455</v>
      </c>
      <c r="C53" s="23" t="s">
        <v>5878</v>
      </c>
      <c r="D53" s="23" t="s">
        <v>8166</v>
      </c>
      <c r="E53" s="23">
        <v>21.0</v>
      </c>
      <c r="F53" s="23" t="s">
        <v>8168</v>
      </c>
      <c r="G53" s="23">
        <v>0.0</v>
      </c>
      <c r="H53" s="23">
        <v>2.0</v>
      </c>
      <c r="I53" s="23">
        <v>3.0</v>
      </c>
      <c r="J53" s="23">
        <v>-1.0</v>
      </c>
      <c r="K53" s="23" t="s">
        <v>5906</v>
      </c>
      <c r="L53" s="23">
        <v>-3857.0</v>
      </c>
      <c r="M53" s="23">
        <v>3177.0</v>
      </c>
      <c r="N53" s="23" t="str">
        <f t="shared" si="1"/>
        <v>"x":-3857,"y":3177</v>
      </c>
      <c r="O53" s="23">
        <f t="shared" si="2"/>
        <v>0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23">
        <v>52.0</v>
      </c>
      <c r="B54" s="23" t="s">
        <v>433</v>
      </c>
      <c r="C54" s="23" t="s">
        <v>5878</v>
      </c>
      <c r="D54" s="23" t="s">
        <v>8166</v>
      </c>
      <c r="E54" s="23">
        <v>22.0</v>
      </c>
      <c r="F54" s="23" t="s">
        <v>8169</v>
      </c>
      <c r="G54" s="23">
        <v>0.0</v>
      </c>
      <c r="H54" s="23">
        <v>1.0</v>
      </c>
      <c r="I54" s="23">
        <v>3.0</v>
      </c>
      <c r="J54" s="23">
        <v>-1.0</v>
      </c>
      <c r="K54" s="23" t="s">
        <v>5906</v>
      </c>
      <c r="L54" s="23">
        <v>5915.0</v>
      </c>
      <c r="M54" s="23">
        <v>-894.0</v>
      </c>
      <c r="N54" s="23" t="str">
        <f t="shared" si="1"/>
        <v>"x":5915,"y":-894</v>
      </c>
      <c r="O54" s="23">
        <f t="shared" si="2"/>
        <v>0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23">
        <v>53.0</v>
      </c>
      <c r="B55" s="23" t="s">
        <v>377</v>
      </c>
      <c r="C55" s="23" t="s">
        <v>5878</v>
      </c>
      <c r="D55" s="23" t="s">
        <v>8166</v>
      </c>
      <c r="E55" s="23">
        <v>23.0</v>
      </c>
      <c r="F55" s="23" t="s">
        <v>8170</v>
      </c>
      <c r="G55" s="23">
        <v>0.0</v>
      </c>
      <c r="H55" s="23">
        <v>0.0</v>
      </c>
      <c r="I55" s="23">
        <v>0.0</v>
      </c>
      <c r="J55" s="23">
        <v>1.0</v>
      </c>
      <c r="K55" s="23" t="s">
        <v>5906</v>
      </c>
      <c r="L55" s="23">
        <v>4320.0</v>
      </c>
      <c r="M55" s="23">
        <v>-3544.0</v>
      </c>
      <c r="N55" s="23" t="str">
        <f t="shared" si="1"/>
        <v>"x":4320,"y":-3544</v>
      </c>
      <c r="O55" s="23">
        <f t="shared" si="2"/>
        <v>0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23">
        <v>54.0</v>
      </c>
      <c r="B56" s="23" t="s">
        <v>523</v>
      </c>
      <c r="C56" s="23" t="s">
        <v>5878</v>
      </c>
      <c r="D56" s="23" t="s">
        <v>8166</v>
      </c>
      <c r="E56" s="23">
        <v>24.0</v>
      </c>
      <c r="F56" s="23" t="s">
        <v>8171</v>
      </c>
      <c r="G56" s="23">
        <v>0.0</v>
      </c>
      <c r="H56" s="23">
        <v>3.0</v>
      </c>
      <c r="I56" s="23">
        <v>2.0</v>
      </c>
      <c r="J56" s="23">
        <v>-1.0</v>
      </c>
      <c r="K56" s="23" t="s">
        <v>5906</v>
      </c>
      <c r="L56" s="23">
        <v>-1065.0</v>
      </c>
      <c r="M56" s="23">
        <v>1245.0</v>
      </c>
      <c r="N56" s="23" t="str">
        <f t="shared" si="1"/>
        <v>"x":-1065,"y":1245</v>
      </c>
      <c r="O56" s="23">
        <f t="shared" si="2"/>
        <v>0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23">
        <v>55.0</v>
      </c>
      <c r="B57" s="23" t="s">
        <v>514</v>
      </c>
      <c r="C57" s="23" t="s">
        <v>5878</v>
      </c>
      <c r="D57" s="23" t="s">
        <v>8166</v>
      </c>
      <c r="E57" s="23">
        <v>25.0</v>
      </c>
      <c r="F57" s="23" t="s">
        <v>8172</v>
      </c>
      <c r="G57" s="23">
        <v>0.0</v>
      </c>
      <c r="H57" s="23">
        <v>5.0</v>
      </c>
      <c r="I57" s="23">
        <v>1.0</v>
      </c>
      <c r="J57" s="23">
        <v>-1.0</v>
      </c>
      <c r="K57" s="23" t="s">
        <v>5906</v>
      </c>
      <c r="L57" s="23">
        <v>-1056.0</v>
      </c>
      <c r="M57" s="23">
        <v>-664.0</v>
      </c>
      <c r="N57" s="23" t="str">
        <f t="shared" si="1"/>
        <v>"x":-1056,"y":-664</v>
      </c>
      <c r="O57" s="23">
        <f t="shared" si="2"/>
        <v>0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23">
        <v>56.0</v>
      </c>
      <c r="B58" s="23" t="s">
        <v>505</v>
      </c>
      <c r="C58" s="23" t="s">
        <v>5878</v>
      </c>
      <c r="D58" s="23" t="s">
        <v>8166</v>
      </c>
      <c r="E58" s="23">
        <v>26.0</v>
      </c>
      <c r="F58" s="23" t="s">
        <v>8173</v>
      </c>
      <c r="G58" s="23">
        <v>0.0</v>
      </c>
      <c r="H58" s="23">
        <v>1.0</v>
      </c>
      <c r="I58" s="23">
        <v>0.0</v>
      </c>
      <c r="J58" s="23">
        <v>1.0</v>
      </c>
      <c r="K58" s="23" t="s">
        <v>5906</v>
      </c>
      <c r="L58" s="23">
        <v>6554.0</v>
      </c>
      <c r="M58" s="23">
        <v>1214.0</v>
      </c>
      <c r="N58" s="23" t="str">
        <f t="shared" si="1"/>
        <v>"x":6554,"y":1214</v>
      </c>
      <c r="O58" s="23">
        <f t="shared" si="2"/>
        <v>0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3">
        <v>57.0</v>
      </c>
      <c r="B59" s="23" t="s">
        <v>1009</v>
      </c>
      <c r="C59" s="23" t="s">
        <v>5878</v>
      </c>
      <c r="D59" s="23" t="s">
        <v>8166</v>
      </c>
      <c r="E59" s="23">
        <v>27.0</v>
      </c>
      <c r="F59" s="23" t="s">
        <v>8174</v>
      </c>
      <c r="G59" s="23">
        <v>0.0</v>
      </c>
      <c r="H59" s="23">
        <v>2.0</v>
      </c>
      <c r="I59" s="23">
        <v>2.0</v>
      </c>
      <c r="J59" s="23">
        <v>1.0</v>
      </c>
      <c r="K59" s="23" t="s">
        <v>5906</v>
      </c>
      <c r="L59" s="23">
        <v>2832.0</v>
      </c>
      <c r="M59" s="23">
        <v>3064.0</v>
      </c>
      <c r="N59" s="23" t="str">
        <f t="shared" si="1"/>
        <v>"x":2832,"y":3064</v>
      </c>
      <c r="O59" s="23">
        <f t="shared" si="2"/>
        <v>0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23">
        <v>58.0</v>
      </c>
      <c r="B60" s="23" t="s">
        <v>334</v>
      </c>
      <c r="C60" s="23" t="s">
        <v>5878</v>
      </c>
      <c r="D60" s="23" t="s">
        <v>8166</v>
      </c>
      <c r="E60" s="23">
        <v>28.0</v>
      </c>
      <c r="F60" s="23" t="s">
        <v>8175</v>
      </c>
      <c r="G60" s="23">
        <v>0.0</v>
      </c>
      <c r="H60" s="23">
        <v>5.0</v>
      </c>
      <c r="I60" s="23">
        <v>1.0</v>
      </c>
      <c r="J60" s="23">
        <v>1.0</v>
      </c>
      <c r="K60" s="23" t="s">
        <v>5906</v>
      </c>
      <c r="L60" s="23">
        <v>-3633.0</v>
      </c>
      <c r="M60" s="23">
        <v>-1248.0</v>
      </c>
      <c r="N60" s="23" t="str">
        <f t="shared" si="1"/>
        <v>"x":-3633,"y":-1248</v>
      </c>
      <c r="O60" s="23">
        <f t="shared" si="2"/>
        <v>0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3">
        <v>59.0</v>
      </c>
      <c r="B61" s="23" t="s">
        <v>413</v>
      </c>
      <c r="C61" s="23" t="s">
        <v>5878</v>
      </c>
      <c r="D61" s="23" t="s">
        <v>8166</v>
      </c>
      <c r="E61" s="23">
        <v>29.0</v>
      </c>
      <c r="F61" s="23" t="s">
        <v>8176</v>
      </c>
      <c r="G61" s="23">
        <v>0.0</v>
      </c>
      <c r="H61" s="23">
        <v>2.0</v>
      </c>
      <c r="I61" s="23">
        <v>2.0</v>
      </c>
      <c r="J61" s="23">
        <v>1.0</v>
      </c>
      <c r="K61" s="23" t="s">
        <v>5906</v>
      </c>
      <c r="L61" s="23">
        <v>-440.0</v>
      </c>
      <c r="M61" s="23">
        <v>3331.0</v>
      </c>
      <c r="N61" s="23" t="str">
        <f t="shared" si="1"/>
        <v>"x":-440,"y":3331</v>
      </c>
      <c r="O61" s="23">
        <f t="shared" si="2"/>
        <v>0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3">
        <v>60.0</v>
      </c>
      <c r="B62" s="23" t="s">
        <v>8177</v>
      </c>
      <c r="C62" s="23" t="s">
        <v>8074</v>
      </c>
      <c r="D62" s="23" t="s">
        <v>8177</v>
      </c>
      <c r="E62" s="23">
        <v>18.0</v>
      </c>
      <c r="F62" s="23" t="s">
        <v>8178</v>
      </c>
      <c r="G62" s="23">
        <v>1.0</v>
      </c>
      <c r="H62" s="23">
        <v>6.0</v>
      </c>
      <c r="I62" s="23">
        <v>3.0</v>
      </c>
      <c r="J62" s="23">
        <v>1.0</v>
      </c>
      <c r="K62" s="23" t="s">
        <v>8179</v>
      </c>
      <c r="L62" s="23">
        <v>-5937.0</v>
      </c>
      <c r="M62" s="23">
        <v>-736.0</v>
      </c>
      <c r="N62" s="23" t="str">
        <f t="shared" si="1"/>
        <v>"x":-5937,"y":-736</v>
      </c>
      <c r="O62" s="23">
        <f t="shared" si="2"/>
        <v>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23">
        <v>61.0</v>
      </c>
      <c r="B63" s="23" t="s">
        <v>8180</v>
      </c>
      <c r="C63" s="23" t="s">
        <v>8106</v>
      </c>
      <c r="D63" s="23" t="s">
        <v>8106</v>
      </c>
      <c r="E63" s="23">
        <v>11.0</v>
      </c>
      <c r="F63" s="23" t="s">
        <v>8181</v>
      </c>
      <c r="G63" s="23">
        <v>3.0</v>
      </c>
      <c r="H63" s="23">
        <v>3.0</v>
      </c>
      <c r="I63" s="23">
        <v>3.0</v>
      </c>
      <c r="J63" s="23">
        <v>-1.0</v>
      </c>
      <c r="K63" s="23" t="s">
        <v>5906</v>
      </c>
      <c r="L63" s="23">
        <v>836.0</v>
      </c>
      <c r="M63" s="23">
        <v>982.0</v>
      </c>
      <c r="N63" s="23" t="str">
        <f t="shared" si="1"/>
        <v>"x":836,"y":982</v>
      </c>
      <c r="O63" s="23">
        <f t="shared" si="2"/>
        <v>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23">
        <v>62.0</v>
      </c>
      <c r="B64" s="23" t="s">
        <v>8182</v>
      </c>
      <c r="C64" s="23" t="s">
        <v>8106</v>
      </c>
      <c r="D64" s="23" t="s">
        <v>8106</v>
      </c>
      <c r="E64" s="23">
        <v>17.0</v>
      </c>
      <c r="F64" s="23" t="s">
        <v>8183</v>
      </c>
      <c r="G64" s="23">
        <v>2.0</v>
      </c>
      <c r="H64" s="23">
        <v>0.0</v>
      </c>
      <c r="I64" s="23">
        <v>1.0</v>
      </c>
      <c r="J64" s="23">
        <v>1.0</v>
      </c>
      <c r="K64" s="23" t="s">
        <v>5906</v>
      </c>
      <c r="L64" s="23">
        <v>2582.0</v>
      </c>
      <c r="M64" s="23">
        <v>-2217.0</v>
      </c>
      <c r="N64" s="23" t="str">
        <f t="shared" si="1"/>
        <v>"x":2582,"y":-2217</v>
      </c>
      <c r="O64" s="23">
        <f t="shared" si="2"/>
        <v>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23">
        <v>63.0</v>
      </c>
      <c r="B65" s="23" t="s">
        <v>8184</v>
      </c>
      <c r="C65" s="23" t="s">
        <v>8106</v>
      </c>
      <c r="D65" s="23" t="s">
        <v>8106</v>
      </c>
      <c r="E65" s="23">
        <v>2.0</v>
      </c>
      <c r="F65" s="23" t="s">
        <v>8185</v>
      </c>
      <c r="G65" s="23">
        <v>2.0</v>
      </c>
      <c r="H65" s="23">
        <v>4.0</v>
      </c>
      <c r="I65" s="23">
        <v>3.0</v>
      </c>
      <c r="J65" s="23">
        <v>-1.0</v>
      </c>
      <c r="K65" s="23" t="s">
        <v>5906</v>
      </c>
      <c r="L65" s="23">
        <v>-746.0</v>
      </c>
      <c r="M65" s="23">
        <v>-2745.0</v>
      </c>
      <c r="N65" s="23" t="str">
        <f t="shared" si="1"/>
        <v>"x":-746,"y":-2745</v>
      </c>
      <c r="O65" s="23">
        <f t="shared" si="2"/>
        <v>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23">
        <v>64.0</v>
      </c>
      <c r="B66" s="23" t="s">
        <v>8186</v>
      </c>
      <c r="C66" s="23" t="s">
        <v>8106</v>
      </c>
      <c r="D66" s="23" t="s">
        <v>8106</v>
      </c>
      <c r="E66" s="23">
        <v>7.0</v>
      </c>
      <c r="F66" s="23" t="s">
        <v>8187</v>
      </c>
      <c r="G66" s="23">
        <v>0.0</v>
      </c>
      <c r="H66" s="23">
        <v>4.0</v>
      </c>
      <c r="I66" s="23">
        <v>2.0</v>
      </c>
      <c r="J66" s="23">
        <v>-1.0</v>
      </c>
      <c r="K66" s="23" t="s">
        <v>5906</v>
      </c>
      <c r="L66" s="23">
        <v>-5507.0</v>
      </c>
      <c r="M66" s="23">
        <v>-1921.0</v>
      </c>
      <c r="N66" s="23" t="str">
        <f t="shared" si="1"/>
        <v>"x":-5507,"y":-1921</v>
      </c>
      <c r="O66" s="23">
        <f t="shared" si="2"/>
        <v>0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23">
        <v>65.0</v>
      </c>
      <c r="B67" s="23" t="s">
        <v>8188</v>
      </c>
      <c r="C67" s="23" t="s">
        <v>8106</v>
      </c>
      <c r="D67" s="23" t="s">
        <v>8106</v>
      </c>
      <c r="E67" s="23">
        <v>13.0</v>
      </c>
      <c r="F67" s="23" t="s">
        <v>8189</v>
      </c>
      <c r="G67" s="23">
        <v>2.0</v>
      </c>
      <c r="H67" s="23">
        <v>1.0</v>
      </c>
      <c r="I67" s="23">
        <v>2.0</v>
      </c>
      <c r="J67" s="23">
        <v>-1.0</v>
      </c>
      <c r="K67" s="23" t="s">
        <v>5906</v>
      </c>
      <c r="L67" s="23">
        <v>5712.0</v>
      </c>
      <c r="M67" s="23">
        <v>1356.0</v>
      </c>
      <c r="N67" s="23" t="str">
        <f t="shared" si="1"/>
        <v>"x":5712,"y":1356</v>
      </c>
      <c r="O67" s="23">
        <f t="shared" si="2"/>
        <v>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23">
        <v>66.0</v>
      </c>
      <c r="B68" s="23" t="s">
        <v>8190</v>
      </c>
      <c r="C68" s="23" t="s">
        <v>8074</v>
      </c>
      <c r="D68" s="23" t="s">
        <v>8190</v>
      </c>
      <c r="E68" s="23">
        <v>19.0</v>
      </c>
      <c r="F68" s="23" t="s">
        <v>8191</v>
      </c>
      <c r="G68" s="23">
        <v>1.0</v>
      </c>
      <c r="H68" s="23">
        <v>6.0</v>
      </c>
      <c r="I68" s="23">
        <v>0.0</v>
      </c>
      <c r="J68" s="23">
        <v>1.0</v>
      </c>
      <c r="K68" s="23" t="s">
        <v>8192</v>
      </c>
      <c r="L68" s="23">
        <v>-5181.0</v>
      </c>
      <c r="M68" s="23">
        <v>1342.0</v>
      </c>
      <c r="N68" s="23" t="str">
        <f t="shared" si="1"/>
        <v>"x":-5181,"y":1342</v>
      </c>
      <c r="O68" s="23">
        <f t="shared" si="2"/>
        <v>0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3">
        <v>67.0</v>
      </c>
      <c r="B69" s="23" t="s">
        <v>8193</v>
      </c>
      <c r="C69" s="23" t="s">
        <v>8074</v>
      </c>
      <c r="D69" s="23" t="s">
        <v>8193</v>
      </c>
      <c r="E69" s="23">
        <v>3.0</v>
      </c>
      <c r="F69" s="23" t="s">
        <v>8194</v>
      </c>
      <c r="G69" s="23">
        <v>3.0</v>
      </c>
      <c r="H69" s="23">
        <v>3.0</v>
      </c>
      <c r="I69" s="23">
        <v>2.0</v>
      </c>
      <c r="J69" s="23">
        <v>-1.0</v>
      </c>
      <c r="K69" s="23" t="s">
        <v>8195</v>
      </c>
      <c r="L69" s="23">
        <v>2639.0</v>
      </c>
      <c r="M69" s="23">
        <v>-1335.0</v>
      </c>
      <c r="N69" s="23" t="str">
        <f t="shared" si="1"/>
        <v>"x":2639,"y":-1335</v>
      </c>
      <c r="O69" s="23">
        <f t="shared" si="2"/>
        <v>0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23">
        <v>68.0</v>
      </c>
      <c r="B70" s="23" t="s">
        <v>8196</v>
      </c>
      <c r="C70" s="23" t="s">
        <v>8106</v>
      </c>
      <c r="D70" s="23" t="s">
        <v>8106</v>
      </c>
      <c r="E70" s="23">
        <v>1.0</v>
      </c>
      <c r="F70" s="23" t="s">
        <v>8197</v>
      </c>
      <c r="G70" s="23">
        <v>1.0</v>
      </c>
      <c r="H70" s="23">
        <v>6.0</v>
      </c>
      <c r="I70" s="23">
        <v>3.0</v>
      </c>
      <c r="J70" s="23">
        <v>-1.0</v>
      </c>
      <c r="K70" s="23" t="s">
        <v>5906</v>
      </c>
      <c r="L70" s="23">
        <v>-5047.0</v>
      </c>
      <c r="M70" s="23">
        <v>16.0</v>
      </c>
      <c r="N70" s="23" t="str">
        <f t="shared" si="1"/>
        <v>"x":-5047,"y":16</v>
      </c>
      <c r="O70" s="23">
        <f t="shared" si="2"/>
        <v>0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$A$1:$N$1"/>
  <conditionalFormatting sqref="A1:N70">
    <cfRule type="expression" dxfId="2" priority="1">
      <formula>IF($O1=1,1,0)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LibraMa</dc:creator>
</cp:coreProperties>
</file>